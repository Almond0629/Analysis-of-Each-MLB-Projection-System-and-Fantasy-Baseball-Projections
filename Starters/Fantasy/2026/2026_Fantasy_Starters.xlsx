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ond/Desktop/Baseball/Projection_model/Starters/Fantasy/2026/"/>
    </mc:Choice>
  </mc:AlternateContent>
  <xr:revisionPtr revIDLastSave="0" documentId="13_ncr:1_{629BBA66-CD6B-9947-90A6-2C3323565E0A}" xr6:coauthVersionLast="47" xr6:coauthVersionMax="47" xr10:uidLastSave="{00000000-0000-0000-0000-000000000000}"/>
  <bookViews>
    <workbookView xWindow="0" yWindow="760" windowWidth="10000" windowHeight="17400" activeTab="1" xr2:uid="{00000000-000D-0000-FFFF-FFFF00000000}"/>
  </bookViews>
  <sheets>
    <sheet name="2026_Fantasy_Starters" sheetId="1" r:id="rId1"/>
    <sheet name="CKBT_Rank" sheetId="3" r:id="rId2"/>
    <sheet name="P14_Rank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S3" i="3"/>
  <c r="S4" i="3"/>
  <c r="S5" i="3"/>
  <c r="S9" i="3"/>
  <c r="S8" i="3"/>
  <c r="S19" i="3"/>
  <c r="S15" i="3"/>
  <c r="S14" i="3"/>
  <c r="S10" i="3"/>
  <c r="S12" i="3"/>
  <c r="S34" i="3"/>
  <c r="S7" i="3"/>
  <c r="S6" i="3"/>
  <c r="S11" i="3"/>
  <c r="S21" i="3"/>
  <c r="S58" i="3"/>
  <c r="S24" i="3"/>
  <c r="S13" i="3"/>
  <c r="S16" i="3"/>
  <c r="S64" i="3"/>
  <c r="S18" i="3"/>
  <c r="S20" i="3"/>
  <c r="S17" i="3"/>
  <c r="S30" i="3"/>
  <c r="S48" i="3"/>
  <c r="S28" i="3"/>
  <c r="S27" i="3"/>
  <c r="S22" i="3"/>
  <c r="S23" i="3"/>
  <c r="S35" i="3"/>
  <c r="S38" i="3"/>
  <c r="S25" i="3"/>
  <c r="S77" i="3"/>
  <c r="S29" i="3"/>
  <c r="S56" i="3"/>
  <c r="S50" i="3"/>
  <c r="S33" i="3"/>
  <c r="S32" i="3"/>
  <c r="S37" i="3"/>
  <c r="S26" i="3"/>
  <c r="S61" i="3"/>
  <c r="S36" i="3"/>
  <c r="S31" i="3"/>
  <c r="S39" i="3"/>
  <c r="S47" i="3"/>
  <c r="S49" i="3"/>
  <c r="S43" i="3"/>
  <c r="S57" i="3"/>
  <c r="S40" i="3"/>
  <c r="S41" i="3"/>
  <c r="S52" i="3"/>
  <c r="S62" i="3"/>
  <c r="S51" i="3"/>
  <c r="S65" i="3"/>
  <c r="S68" i="3"/>
  <c r="S46" i="3"/>
  <c r="S44" i="3"/>
  <c r="S55" i="3"/>
  <c r="S53" i="3"/>
  <c r="S42" i="3"/>
  <c r="S66" i="3"/>
  <c r="S45" i="3"/>
  <c r="S105" i="3"/>
  <c r="S72" i="3"/>
  <c r="S85" i="3"/>
  <c r="S76" i="3"/>
  <c r="S70" i="3"/>
  <c r="S95" i="3"/>
  <c r="S60" i="3"/>
  <c r="S89" i="3"/>
  <c r="S82" i="3"/>
  <c r="S109" i="3"/>
  <c r="S90" i="3"/>
  <c r="S54" i="3"/>
  <c r="S87" i="3"/>
  <c r="S75" i="3"/>
  <c r="S86" i="3"/>
  <c r="S74" i="3"/>
  <c r="S73" i="3"/>
  <c r="S94" i="3"/>
  <c r="S93" i="3"/>
  <c r="S59" i="3"/>
  <c r="S63" i="3"/>
  <c r="S67" i="3"/>
  <c r="S99" i="3"/>
  <c r="S104" i="3"/>
  <c r="S71" i="3"/>
  <c r="S78" i="3"/>
  <c r="S122" i="3"/>
  <c r="S69" i="3"/>
  <c r="S101" i="3"/>
  <c r="S98" i="3"/>
  <c r="S92" i="3"/>
  <c r="S80" i="3"/>
  <c r="S83" i="3"/>
  <c r="S120" i="3"/>
  <c r="S91" i="3"/>
  <c r="S79" i="3"/>
  <c r="S97" i="3"/>
  <c r="S119" i="3"/>
  <c r="S84" i="3"/>
  <c r="S121" i="3"/>
  <c r="S88" i="3"/>
  <c r="S81" i="3"/>
  <c r="S113" i="3"/>
  <c r="S111" i="3"/>
  <c r="S96" i="3"/>
  <c r="S108" i="3"/>
  <c r="S100" i="3"/>
  <c r="S102" i="3"/>
  <c r="S117" i="3"/>
  <c r="S106" i="3"/>
  <c r="S107" i="3"/>
  <c r="S118" i="3"/>
  <c r="S103" i="3"/>
  <c r="S110" i="3"/>
  <c r="S115" i="3"/>
  <c r="S112" i="3"/>
  <c r="S114" i="3"/>
  <c r="S116" i="3"/>
  <c r="S2" i="3"/>
  <c r="AE4" i="3"/>
  <c r="AE3" i="3"/>
  <c r="AE8" i="3"/>
  <c r="AE7" i="3"/>
  <c r="AE11" i="3"/>
  <c r="AE13" i="3"/>
  <c r="AE5" i="3"/>
  <c r="AE6" i="3"/>
  <c r="AE10" i="3"/>
  <c r="AE17" i="3"/>
  <c r="AE25" i="3"/>
  <c r="AE9" i="3"/>
  <c r="AE12" i="3"/>
  <c r="AE22" i="3"/>
  <c r="AE32" i="3"/>
  <c r="AE20" i="3"/>
  <c r="AE16" i="3"/>
  <c r="AE26" i="3"/>
  <c r="AE35" i="3"/>
  <c r="AE29" i="3"/>
  <c r="AE15" i="3"/>
  <c r="AE18" i="3"/>
  <c r="AE19" i="3"/>
  <c r="AE55" i="3"/>
  <c r="AE31" i="3"/>
  <c r="AE34" i="3"/>
  <c r="AE23" i="3"/>
  <c r="AE47" i="3"/>
  <c r="AE21" i="3"/>
  <c r="AE66" i="3"/>
  <c r="AE42" i="3"/>
  <c r="AE43" i="3"/>
  <c r="AE27" i="3"/>
  <c r="AE72" i="3"/>
  <c r="AE30" i="3"/>
  <c r="AE28" i="3"/>
  <c r="AE39" i="3"/>
  <c r="AE37" i="3"/>
  <c r="AE92" i="3"/>
  <c r="AE14" i="3"/>
  <c r="AE98" i="3"/>
  <c r="AE73" i="3"/>
  <c r="AE33" i="3"/>
  <c r="AE69" i="3"/>
  <c r="AE63" i="3"/>
  <c r="AE36" i="3"/>
  <c r="AE60" i="3"/>
  <c r="AE38" i="3"/>
  <c r="AE54" i="3"/>
  <c r="AE56" i="3"/>
  <c r="AE81" i="3"/>
  <c r="AE41" i="3"/>
  <c r="AE71" i="3"/>
  <c r="AE46" i="3"/>
  <c r="AE87" i="3"/>
  <c r="AE50" i="3"/>
  <c r="AE51" i="3"/>
  <c r="AE59" i="3"/>
  <c r="AE82" i="3"/>
  <c r="AE40" i="3"/>
  <c r="AE44" i="3"/>
  <c r="AE91" i="3"/>
  <c r="AE95" i="3"/>
  <c r="AE88" i="3"/>
  <c r="AE111" i="3"/>
  <c r="AE53" i="3"/>
  <c r="AE117" i="3"/>
  <c r="AE90" i="3"/>
  <c r="AE116" i="3"/>
  <c r="AE93" i="3"/>
  <c r="AE120" i="3"/>
  <c r="AE112" i="3"/>
  <c r="AE106" i="3"/>
  <c r="AE75" i="3"/>
  <c r="AE67" i="3"/>
  <c r="AE100" i="3"/>
  <c r="AE45" i="3"/>
  <c r="AE108" i="3"/>
  <c r="AE58" i="3"/>
  <c r="AE24" i="3"/>
  <c r="AE76" i="3"/>
  <c r="AE52" i="3"/>
  <c r="AE104" i="3"/>
  <c r="AE80" i="3"/>
  <c r="AE114" i="3"/>
  <c r="AE122" i="3"/>
  <c r="AE110" i="3"/>
  <c r="AE57" i="3"/>
  <c r="AE49" i="3"/>
  <c r="AE107" i="3"/>
  <c r="AE103" i="3"/>
  <c r="AE121" i="3"/>
  <c r="AE68" i="3"/>
  <c r="AE85" i="3"/>
  <c r="AE94" i="3"/>
  <c r="AE89" i="3"/>
  <c r="AE99" i="3"/>
  <c r="AE48" i="3"/>
  <c r="AE97" i="3"/>
  <c r="AE96" i="3"/>
  <c r="AE79" i="3"/>
  <c r="AE64" i="3"/>
  <c r="AE70" i="3"/>
  <c r="AE65" i="3"/>
  <c r="AE102" i="3"/>
  <c r="AE78" i="3"/>
  <c r="AE84" i="3"/>
  <c r="AE77" i="3"/>
  <c r="AE74" i="3"/>
  <c r="AE61" i="3"/>
  <c r="AE83" i="3"/>
  <c r="AE101" i="3"/>
  <c r="AE86" i="3"/>
  <c r="AE115" i="3"/>
  <c r="AE105" i="3"/>
  <c r="AE118" i="3"/>
  <c r="AE62" i="3"/>
  <c r="AE119" i="3"/>
  <c r="AE109" i="3"/>
  <c r="AE113" i="3"/>
  <c r="AE2" i="3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S2" i="1"/>
  <c r="R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2" i="1"/>
  <c r="M102" i="1"/>
  <c r="K3" i="1"/>
  <c r="L3" i="1"/>
  <c r="U3" i="1" s="1"/>
  <c r="M3" i="1"/>
  <c r="N3" i="1"/>
  <c r="O3" i="1"/>
  <c r="P3" i="1"/>
  <c r="Q3" i="1"/>
  <c r="K4" i="1"/>
  <c r="L4" i="1"/>
  <c r="U4" i="1" s="1"/>
  <c r="M4" i="1"/>
  <c r="N4" i="1"/>
  <c r="O4" i="1"/>
  <c r="P4" i="1"/>
  <c r="Q4" i="1"/>
  <c r="K5" i="1"/>
  <c r="L5" i="1"/>
  <c r="U5" i="1" s="1"/>
  <c r="M5" i="1"/>
  <c r="N5" i="1"/>
  <c r="O5" i="1"/>
  <c r="P5" i="1"/>
  <c r="Q5" i="1"/>
  <c r="K6" i="1"/>
  <c r="L6" i="1"/>
  <c r="U6" i="1" s="1"/>
  <c r="M6" i="1"/>
  <c r="N6" i="1"/>
  <c r="O6" i="1"/>
  <c r="P6" i="1"/>
  <c r="Q6" i="1"/>
  <c r="K7" i="1"/>
  <c r="L7" i="1"/>
  <c r="U7" i="1" s="1"/>
  <c r="M7" i="1"/>
  <c r="N7" i="1"/>
  <c r="O7" i="1"/>
  <c r="P7" i="1"/>
  <c r="Q7" i="1"/>
  <c r="K8" i="1"/>
  <c r="L8" i="1"/>
  <c r="U8" i="1" s="1"/>
  <c r="M8" i="1"/>
  <c r="N8" i="1"/>
  <c r="O8" i="1"/>
  <c r="P8" i="1"/>
  <c r="Q8" i="1"/>
  <c r="K9" i="1"/>
  <c r="L9" i="1"/>
  <c r="U9" i="1" s="1"/>
  <c r="M9" i="1"/>
  <c r="N9" i="1"/>
  <c r="O9" i="1"/>
  <c r="P9" i="1"/>
  <c r="Q9" i="1"/>
  <c r="K10" i="1"/>
  <c r="L10" i="1"/>
  <c r="U10" i="1" s="1"/>
  <c r="M10" i="1"/>
  <c r="N10" i="1"/>
  <c r="O10" i="1"/>
  <c r="P10" i="1"/>
  <c r="Q10" i="1"/>
  <c r="V10" i="1" s="1"/>
  <c r="K11" i="1"/>
  <c r="L11" i="1"/>
  <c r="U11" i="1" s="1"/>
  <c r="M11" i="1"/>
  <c r="N11" i="1"/>
  <c r="O11" i="1"/>
  <c r="P11" i="1"/>
  <c r="Q11" i="1"/>
  <c r="K12" i="1"/>
  <c r="L12" i="1"/>
  <c r="U12" i="1" s="1"/>
  <c r="M12" i="1"/>
  <c r="N12" i="1"/>
  <c r="O12" i="1"/>
  <c r="P12" i="1"/>
  <c r="Q12" i="1"/>
  <c r="K13" i="1"/>
  <c r="L13" i="1"/>
  <c r="U13" i="1" s="1"/>
  <c r="M13" i="1"/>
  <c r="N13" i="1"/>
  <c r="O13" i="1"/>
  <c r="P13" i="1"/>
  <c r="Q13" i="1"/>
  <c r="K14" i="1"/>
  <c r="L14" i="1"/>
  <c r="U14" i="1" s="1"/>
  <c r="M14" i="1"/>
  <c r="N14" i="1"/>
  <c r="O14" i="1"/>
  <c r="P14" i="1"/>
  <c r="Q14" i="1"/>
  <c r="K15" i="1"/>
  <c r="L15" i="1"/>
  <c r="U15" i="1" s="1"/>
  <c r="M15" i="1"/>
  <c r="N15" i="1"/>
  <c r="O15" i="1"/>
  <c r="P15" i="1"/>
  <c r="Q15" i="1"/>
  <c r="K16" i="1"/>
  <c r="L16" i="1"/>
  <c r="U16" i="1" s="1"/>
  <c r="M16" i="1"/>
  <c r="N16" i="1"/>
  <c r="O16" i="1"/>
  <c r="P16" i="1"/>
  <c r="Q16" i="1"/>
  <c r="K17" i="1"/>
  <c r="L17" i="1"/>
  <c r="U17" i="1" s="1"/>
  <c r="M17" i="1"/>
  <c r="N17" i="1"/>
  <c r="O17" i="1"/>
  <c r="P17" i="1"/>
  <c r="Q17" i="1"/>
  <c r="K18" i="1"/>
  <c r="L18" i="1"/>
  <c r="U18" i="1" s="1"/>
  <c r="M18" i="1"/>
  <c r="N18" i="1"/>
  <c r="O18" i="1"/>
  <c r="P18" i="1"/>
  <c r="Q18" i="1"/>
  <c r="K19" i="1"/>
  <c r="L19" i="1"/>
  <c r="U19" i="1" s="1"/>
  <c r="M19" i="1"/>
  <c r="N19" i="1"/>
  <c r="O19" i="1"/>
  <c r="P19" i="1"/>
  <c r="Q19" i="1"/>
  <c r="K20" i="1"/>
  <c r="L20" i="1"/>
  <c r="U20" i="1" s="1"/>
  <c r="M20" i="1"/>
  <c r="N20" i="1"/>
  <c r="O20" i="1"/>
  <c r="P20" i="1"/>
  <c r="Q20" i="1"/>
  <c r="V20" i="1" s="1"/>
  <c r="K21" i="1"/>
  <c r="L21" i="1"/>
  <c r="U21" i="1" s="1"/>
  <c r="M21" i="1"/>
  <c r="N21" i="1"/>
  <c r="O21" i="1"/>
  <c r="P21" i="1"/>
  <c r="Q21" i="1"/>
  <c r="K22" i="1"/>
  <c r="L22" i="1"/>
  <c r="U22" i="1" s="1"/>
  <c r="M22" i="1"/>
  <c r="N22" i="1"/>
  <c r="O22" i="1"/>
  <c r="P22" i="1"/>
  <c r="Q22" i="1"/>
  <c r="K23" i="1"/>
  <c r="L23" i="1"/>
  <c r="U23" i="1" s="1"/>
  <c r="M23" i="1"/>
  <c r="N23" i="1"/>
  <c r="O23" i="1"/>
  <c r="P23" i="1"/>
  <c r="Q23" i="1"/>
  <c r="K24" i="1"/>
  <c r="L24" i="1"/>
  <c r="U24" i="1" s="1"/>
  <c r="M24" i="1"/>
  <c r="N24" i="1"/>
  <c r="O24" i="1"/>
  <c r="P24" i="1"/>
  <c r="Q24" i="1"/>
  <c r="K25" i="1"/>
  <c r="L25" i="1"/>
  <c r="U25" i="1" s="1"/>
  <c r="M25" i="1"/>
  <c r="N25" i="1"/>
  <c r="O25" i="1"/>
  <c r="P25" i="1"/>
  <c r="Q25" i="1"/>
  <c r="K26" i="1"/>
  <c r="L26" i="1"/>
  <c r="U26" i="1" s="1"/>
  <c r="M26" i="1"/>
  <c r="N26" i="1"/>
  <c r="O26" i="1"/>
  <c r="P26" i="1"/>
  <c r="Q26" i="1"/>
  <c r="K27" i="1"/>
  <c r="L27" i="1"/>
  <c r="U27" i="1" s="1"/>
  <c r="M27" i="1"/>
  <c r="N27" i="1"/>
  <c r="O27" i="1"/>
  <c r="P27" i="1"/>
  <c r="Q27" i="1"/>
  <c r="K28" i="1"/>
  <c r="L28" i="1"/>
  <c r="U28" i="1" s="1"/>
  <c r="M28" i="1"/>
  <c r="N28" i="1"/>
  <c r="O28" i="1"/>
  <c r="P28" i="1"/>
  <c r="Q28" i="1"/>
  <c r="K29" i="1"/>
  <c r="L29" i="1"/>
  <c r="U29" i="1" s="1"/>
  <c r="M29" i="1"/>
  <c r="N29" i="1"/>
  <c r="O29" i="1"/>
  <c r="P29" i="1"/>
  <c r="Q29" i="1"/>
  <c r="K30" i="1"/>
  <c r="L30" i="1"/>
  <c r="U30" i="1" s="1"/>
  <c r="M30" i="1"/>
  <c r="N30" i="1"/>
  <c r="O30" i="1"/>
  <c r="P30" i="1"/>
  <c r="Q30" i="1"/>
  <c r="V30" i="1" s="1"/>
  <c r="K31" i="1"/>
  <c r="L31" i="1"/>
  <c r="U31" i="1" s="1"/>
  <c r="M31" i="1"/>
  <c r="N31" i="1"/>
  <c r="O31" i="1"/>
  <c r="P31" i="1"/>
  <c r="Q31" i="1"/>
  <c r="K32" i="1"/>
  <c r="L32" i="1"/>
  <c r="U32" i="1" s="1"/>
  <c r="M32" i="1"/>
  <c r="N32" i="1"/>
  <c r="O32" i="1"/>
  <c r="P32" i="1"/>
  <c r="Q32" i="1"/>
  <c r="K33" i="1"/>
  <c r="L33" i="1"/>
  <c r="U33" i="1" s="1"/>
  <c r="M33" i="1"/>
  <c r="N33" i="1"/>
  <c r="O33" i="1"/>
  <c r="P33" i="1"/>
  <c r="Q33" i="1"/>
  <c r="K34" i="1"/>
  <c r="L34" i="1"/>
  <c r="U34" i="1" s="1"/>
  <c r="M34" i="1"/>
  <c r="N34" i="1"/>
  <c r="O34" i="1"/>
  <c r="P34" i="1"/>
  <c r="Q34" i="1"/>
  <c r="K35" i="1"/>
  <c r="L35" i="1"/>
  <c r="U35" i="1" s="1"/>
  <c r="M35" i="1"/>
  <c r="N35" i="1"/>
  <c r="O35" i="1"/>
  <c r="P35" i="1"/>
  <c r="Q35" i="1"/>
  <c r="K36" i="1"/>
  <c r="L36" i="1"/>
  <c r="U36" i="1" s="1"/>
  <c r="M36" i="1"/>
  <c r="N36" i="1"/>
  <c r="O36" i="1"/>
  <c r="P36" i="1"/>
  <c r="Q36" i="1"/>
  <c r="K37" i="1"/>
  <c r="L37" i="1"/>
  <c r="U37" i="1" s="1"/>
  <c r="M37" i="1"/>
  <c r="N37" i="1"/>
  <c r="O37" i="1"/>
  <c r="P37" i="1"/>
  <c r="Q37" i="1"/>
  <c r="K38" i="1"/>
  <c r="L38" i="1"/>
  <c r="U38" i="1" s="1"/>
  <c r="M38" i="1"/>
  <c r="N38" i="1"/>
  <c r="O38" i="1"/>
  <c r="P38" i="1"/>
  <c r="Q38" i="1"/>
  <c r="K39" i="1"/>
  <c r="L39" i="1"/>
  <c r="U39" i="1" s="1"/>
  <c r="M39" i="1"/>
  <c r="N39" i="1"/>
  <c r="O39" i="1"/>
  <c r="P39" i="1"/>
  <c r="Q39" i="1"/>
  <c r="K40" i="1"/>
  <c r="L40" i="1"/>
  <c r="U40" i="1" s="1"/>
  <c r="M40" i="1"/>
  <c r="N40" i="1"/>
  <c r="O40" i="1"/>
  <c r="P40" i="1"/>
  <c r="Q40" i="1"/>
  <c r="V40" i="1" s="1"/>
  <c r="K41" i="1"/>
  <c r="L41" i="1"/>
  <c r="U41" i="1" s="1"/>
  <c r="M41" i="1"/>
  <c r="N41" i="1"/>
  <c r="O41" i="1"/>
  <c r="P41" i="1"/>
  <c r="Q41" i="1"/>
  <c r="K42" i="1"/>
  <c r="L42" i="1"/>
  <c r="U42" i="1" s="1"/>
  <c r="M42" i="1"/>
  <c r="N42" i="1"/>
  <c r="O42" i="1"/>
  <c r="P42" i="1"/>
  <c r="Q42" i="1"/>
  <c r="K43" i="1"/>
  <c r="L43" i="1"/>
  <c r="U43" i="1" s="1"/>
  <c r="M43" i="1"/>
  <c r="N43" i="1"/>
  <c r="O43" i="1"/>
  <c r="P43" i="1"/>
  <c r="Q43" i="1"/>
  <c r="K44" i="1"/>
  <c r="L44" i="1"/>
  <c r="U44" i="1" s="1"/>
  <c r="M44" i="1"/>
  <c r="N44" i="1"/>
  <c r="O44" i="1"/>
  <c r="P44" i="1"/>
  <c r="Q44" i="1"/>
  <c r="K45" i="1"/>
  <c r="L45" i="1"/>
  <c r="U45" i="1" s="1"/>
  <c r="M45" i="1"/>
  <c r="N45" i="1"/>
  <c r="O45" i="1"/>
  <c r="P45" i="1"/>
  <c r="Q45" i="1"/>
  <c r="K46" i="1"/>
  <c r="L46" i="1"/>
  <c r="U46" i="1" s="1"/>
  <c r="M46" i="1"/>
  <c r="N46" i="1"/>
  <c r="O46" i="1"/>
  <c r="P46" i="1"/>
  <c r="Q46" i="1"/>
  <c r="K47" i="1"/>
  <c r="L47" i="1"/>
  <c r="U47" i="1" s="1"/>
  <c r="M47" i="1"/>
  <c r="N47" i="1"/>
  <c r="O47" i="1"/>
  <c r="P47" i="1"/>
  <c r="Q47" i="1"/>
  <c r="K48" i="1"/>
  <c r="L48" i="1"/>
  <c r="U48" i="1" s="1"/>
  <c r="M48" i="1"/>
  <c r="N48" i="1"/>
  <c r="O48" i="1"/>
  <c r="P48" i="1"/>
  <c r="Q48" i="1"/>
  <c r="K49" i="1"/>
  <c r="L49" i="1"/>
  <c r="U49" i="1" s="1"/>
  <c r="M49" i="1"/>
  <c r="N49" i="1"/>
  <c r="O49" i="1"/>
  <c r="P49" i="1"/>
  <c r="Q49" i="1"/>
  <c r="K50" i="1"/>
  <c r="L50" i="1"/>
  <c r="U50" i="1" s="1"/>
  <c r="M50" i="1"/>
  <c r="N50" i="1"/>
  <c r="O50" i="1"/>
  <c r="P50" i="1"/>
  <c r="Q50" i="1"/>
  <c r="V50" i="1" s="1"/>
  <c r="K51" i="1"/>
  <c r="L51" i="1"/>
  <c r="U51" i="1" s="1"/>
  <c r="M51" i="1"/>
  <c r="N51" i="1"/>
  <c r="O51" i="1"/>
  <c r="P51" i="1"/>
  <c r="Q51" i="1"/>
  <c r="K52" i="1"/>
  <c r="L52" i="1"/>
  <c r="U52" i="1" s="1"/>
  <c r="M52" i="1"/>
  <c r="N52" i="1"/>
  <c r="O52" i="1"/>
  <c r="P52" i="1"/>
  <c r="Q52" i="1"/>
  <c r="V52" i="1" s="1"/>
  <c r="K53" i="1"/>
  <c r="L53" i="1"/>
  <c r="U53" i="1" s="1"/>
  <c r="M53" i="1"/>
  <c r="N53" i="1"/>
  <c r="O53" i="1"/>
  <c r="P53" i="1"/>
  <c r="Q53" i="1"/>
  <c r="K54" i="1"/>
  <c r="L54" i="1"/>
  <c r="U54" i="1" s="1"/>
  <c r="M54" i="1"/>
  <c r="N54" i="1"/>
  <c r="O54" i="1"/>
  <c r="P54" i="1"/>
  <c r="Q54" i="1"/>
  <c r="K55" i="1"/>
  <c r="L55" i="1"/>
  <c r="U55" i="1" s="1"/>
  <c r="M55" i="1"/>
  <c r="N55" i="1"/>
  <c r="O55" i="1"/>
  <c r="P55" i="1"/>
  <c r="Q55" i="1"/>
  <c r="K56" i="1"/>
  <c r="L56" i="1"/>
  <c r="U56" i="1" s="1"/>
  <c r="M56" i="1"/>
  <c r="N56" i="1"/>
  <c r="O56" i="1"/>
  <c r="P56" i="1"/>
  <c r="Q56" i="1"/>
  <c r="K57" i="1"/>
  <c r="L57" i="1"/>
  <c r="U57" i="1" s="1"/>
  <c r="M57" i="1"/>
  <c r="N57" i="1"/>
  <c r="O57" i="1"/>
  <c r="P57" i="1"/>
  <c r="Q57" i="1"/>
  <c r="K58" i="1"/>
  <c r="L58" i="1"/>
  <c r="U58" i="1" s="1"/>
  <c r="M58" i="1"/>
  <c r="N58" i="1"/>
  <c r="O58" i="1"/>
  <c r="P58" i="1"/>
  <c r="Q58" i="1"/>
  <c r="K59" i="1"/>
  <c r="L59" i="1"/>
  <c r="U59" i="1" s="1"/>
  <c r="M59" i="1"/>
  <c r="N59" i="1"/>
  <c r="O59" i="1"/>
  <c r="P59" i="1"/>
  <c r="Q59" i="1"/>
  <c r="K60" i="1"/>
  <c r="L60" i="1"/>
  <c r="U60" i="1" s="1"/>
  <c r="M60" i="1"/>
  <c r="N60" i="1"/>
  <c r="O60" i="1"/>
  <c r="P60" i="1"/>
  <c r="Q60" i="1"/>
  <c r="V60" i="1" s="1"/>
  <c r="K61" i="1"/>
  <c r="L61" i="1"/>
  <c r="U61" i="1" s="1"/>
  <c r="M61" i="1"/>
  <c r="N61" i="1"/>
  <c r="O61" i="1"/>
  <c r="P61" i="1"/>
  <c r="Q61" i="1"/>
  <c r="K62" i="1"/>
  <c r="L62" i="1"/>
  <c r="U62" i="1" s="1"/>
  <c r="M62" i="1"/>
  <c r="N62" i="1"/>
  <c r="O62" i="1"/>
  <c r="P62" i="1"/>
  <c r="Q62" i="1"/>
  <c r="V62" i="1" s="1"/>
  <c r="K63" i="1"/>
  <c r="L63" i="1"/>
  <c r="U63" i="1" s="1"/>
  <c r="M63" i="1"/>
  <c r="N63" i="1"/>
  <c r="O63" i="1"/>
  <c r="P63" i="1"/>
  <c r="Q63" i="1"/>
  <c r="K64" i="1"/>
  <c r="L64" i="1"/>
  <c r="U64" i="1" s="1"/>
  <c r="M64" i="1"/>
  <c r="N64" i="1"/>
  <c r="O64" i="1"/>
  <c r="P64" i="1"/>
  <c r="Q64" i="1"/>
  <c r="K65" i="1"/>
  <c r="L65" i="1"/>
  <c r="U65" i="1" s="1"/>
  <c r="M65" i="1"/>
  <c r="N65" i="1"/>
  <c r="O65" i="1"/>
  <c r="P65" i="1"/>
  <c r="Q65" i="1"/>
  <c r="K66" i="1"/>
  <c r="L66" i="1"/>
  <c r="U66" i="1" s="1"/>
  <c r="M66" i="1"/>
  <c r="N66" i="1"/>
  <c r="O66" i="1"/>
  <c r="P66" i="1"/>
  <c r="Q66" i="1"/>
  <c r="K67" i="1"/>
  <c r="L67" i="1"/>
  <c r="U67" i="1" s="1"/>
  <c r="M67" i="1"/>
  <c r="N67" i="1"/>
  <c r="O67" i="1"/>
  <c r="P67" i="1"/>
  <c r="Q67" i="1"/>
  <c r="K68" i="1"/>
  <c r="L68" i="1"/>
  <c r="U68" i="1" s="1"/>
  <c r="M68" i="1"/>
  <c r="N68" i="1"/>
  <c r="O68" i="1"/>
  <c r="P68" i="1"/>
  <c r="Q68" i="1"/>
  <c r="K69" i="1"/>
  <c r="L69" i="1"/>
  <c r="U69" i="1" s="1"/>
  <c r="M69" i="1"/>
  <c r="N69" i="1"/>
  <c r="O69" i="1"/>
  <c r="P69" i="1"/>
  <c r="Q69" i="1"/>
  <c r="K70" i="1"/>
  <c r="L70" i="1"/>
  <c r="U70" i="1" s="1"/>
  <c r="M70" i="1"/>
  <c r="N70" i="1"/>
  <c r="O70" i="1"/>
  <c r="P70" i="1"/>
  <c r="Q70" i="1"/>
  <c r="V70" i="1" s="1"/>
  <c r="K71" i="1"/>
  <c r="L71" i="1"/>
  <c r="U71" i="1" s="1"/>
  <c r="M71" i="1"/>
  <c r="N71" i="1"/>
  <c r="O71" i="1"/>
  <c r="P71" i="1"/>
  <c r="Q71" i="1"/>
  <c r="K72" i="1"/>
  <c r="L72" i="1"/>
  <c r="U72" i="1" s="1"/>
  <c r="M72" i="1"/>
  <c r="N72" i="1"/>
  <c r="O72" i="1"/>
  <c r="P72" i="1"/>
  <c r="Q72" i="1"/>
  <c r="V72" i="1" s="1"/>
  <c r="K73" i="1"/>
  <c r="L73" i="1"/>
  <c r="U73" i="1" s="1"/>
  <c r="M73" i="1"/>
  <c r="N73" i="1"/>
  <c r="O73" i="1"/>
  <c r="P73" i="1"/>
  <c r="Q73" i="1"/>
  <c r="K74" i="1"/>
  <c r="L74" i="1"/>
  <c r="U74" i="1" s="1"/>
  <c r="M74" i="1"/>
  <c r="N74" i="1"/>
  <c r="O74" i="1"/>
  <c r="P74" i="1"/>
  <c r="Q74" i="1"/>
  <c r="K75" i="1"/>
  <c r="L75" i="1"/>
  <c r="U75" i="1" s="1"/>
  <c r="M75" i="1"/>
  <c r="N75" i="1"/>
  <c r="O75" i="1"/>
  <c r="P75" i="1"/>
  <c r="Q75" i="1"/>
  <c r="K76" i="1"/>
  <c r="L76" i="1"/>
  <c r="U76" i="1" s="1"/>
  <c r="M76" i="1"/>
  <c r="N76" i="1"/>
  <c r="O76" i="1"/>
  <c r="P76" i="1"/>
  <c r="Q76" i="1"/>
  <c r="K77" i="1"/>
  <c r="L77" i="1"/>
  <c r="U77" i="1" s="1"/>
  <c r="M77" i="1"/>
  <c r="N77" i="1"/>
  <c r="O77" i="1"/>
  <c r="P77" i="1"/>
  <c r="Q77" i="1"/>
  <c r="K78" i="1"/>
  <c r="L78" i="1"/>
  <c r="U78" i="1" s="1"/>
  <c r="M78" i="1"/>
  <c r="N78" i="1"/>
  <c r="O78" i="1"/>
  <c r="P78" i="1"/>
  <c r="Q78" i="1"/>
  <c r="K79" i="1"/>
  <c r="L79" i="1"/>
  <c r="U79" i="1" s="1"/>
  <c r="M79" i="1"/>
  <c r="N79" i="1"/>
  <c r="O79" i="1"/>
  <c r="P79" i="1"/>
  <c r="Q79" i="1"/>
  <c r="K80" i="1"/>
  <c r="L80" i="1"/>
  <c r="U80" i="1" s="1"/>
  <c r="M80" i="1"/>
  <c r="N80" i="1"/>
  <c r="O80" i="1"/>
  <c r="P80" i="1"/>
  <c r="Q80" i="1"/>
  <c r="V80" i="1" s="1"/>
  <c r="K81" i="1"/>
  <c r="L81" i="1"/>
  <c r="U81" i="1" s="1"/>
  <c r="M81" i="1"/>
  <c r="N81" i="1"/>
  <c r="O81" i="1"/>
  <c r="P81" i="1"/>
  <c r="Q81" i="1"/>
  <c r="K82" i="1"/>
  <c r="L82" i="1"/>
  <c r="U82" i="1" s="1"/>
  <c r="M82" i="1"/>
  <c r="N82" i="1"/>
  <c r="O82" i="1"/>
  <c r="P82" i="1"/>
  <c r="Q82" i="1"/>
  <c r="V82" i="1" s="1"/>
  <c r="K83" i="1"/>
  <c r="L83" i="1"/>
  <c r="U83" i="1" s="1"/>
  <c r="M83" i="1"/>
  <c r="N83" i="1"/>
  <c r="O83" i="1"/>
  <c r="P83" i="1"/>
  <c r="Q83" i="1"/>
  <c r="K84" i="1"/>
  <c r="L84" i="1"/>
  <c r="U84" i="1" s="1"/>
  <c r="M84" i="1"/>
  <c r="N84" i="1"/>
  <c r="O84" i="1"/>
  <c r="P84" i="1"/>
  <c r="Q84" i="1"/>
  <c r="K85" i="1"/>
  <c r="L85" i="1"/>
  <c r="U85" i="1" s="1"/>
  <c r="M85" i="1"/>
  <c r="N85" i="1"/>
  <c r="O85" i="1"/>
  <c r="P85" i="1"/>
  <c r="Q85" i="1"/>
  <c r="K86" i="1"/>
  <c r="L86" i="1"/>
  <c r="U86" i="1" s="1"/>
  <c r="M86" i="1"/>
  <c r="N86" i="1"/>
  <c r="O86" i="1"/>
  <c r="P86" i="1"/>
  <c r="Q86" i="1"/>
  <c r="K87" i="1"/>
  <c r="L87" i="1"/>
  <c r="U87" i="1" s="1"/>
  <c r="M87" i="1"/>
  <c r="N87" i="1"/>
  <c r="O87" i="1"/>
  <c r="P87" i="1"/>
  <c r="Q87" i="1"/>
  <c r="K88" i="1"/>
  <c r="L88" i="1"/>
  <c r="U88" i="1" s="1"/>
  <c r="M88" i="1"/>
  <c r="N88" i="1"/>
  <c r="O88" i="1"/>
  <c r="P88" i="1"/>
  <c r="Q88" i="1"/>
  <c r="K89" i="1"/>
  <c r="L89" i="1"/>
  <c r="U89" i="1" s="1"/>
  <c r="M89" i="1"/>
  <c r="N89" i="1"/>
  <c r="O89" i="1"/>
  <c r="P89" i="1"/>
  <c r="Q89" i="1"/>
  <c r="K90" i="1"/>
  <c r="L90" i="1"/>
  <c r="U90" i="1" s="1"/>
  <c r="M90" i="1"/>
  <c r="N90" i="1"/>
  <c r="O90" i="1"/>
  <c r="P90" i="1"/>
  <c r="Q90" i="1"/>
  <c r="V90" i="1" s="1"/>
  <c r="K91" i="1"/>
  <c r="L91" i="1"/>
  <c r="U91" i="1" s="1"/>
  <c r="M91" i="1"/>
  <c r="N91" i="1"/>
  <c r="O91" i="1"/>
  <c r="P91" i="1"/>
  <c r="Q91" i="1"/>
  <c r="K92" i="1"/>
  <c r="L92" i="1"/>
  <c r="U92" i="1" s="1"/>
  <c r="M92" i="1"/>
  <c r="N92" i="1"/>
  <c r="O92" i="1"/>
  <c r="P92" i="1"/>
  <c r="Q92" i="1"/>
  <c r="V92" i="1" s="1"/>
  <c r="K93" i="1"/>
  <c r="L93" i="1"/>
  <c r="U93" i="1" s="1"/>
  <c r="M93" i="1"/>
  <c r="N93" i="1"/>
  <c r="O93" i="1"/>
  <c r="P93" i="1"/>
  <c r="Q93" i="1"/>
  <c r="K94" i="1"/>
  <c r="L94" i="1"/>
  <c r="U94" i="1" s="1"/>
  <c r="M94" i="1"/>
  <c r="N94" i="1"/>
  <c r="O94" i="1"/>
  <c r="P94" i="1"/>
  <c r="Q94" i="1"/>
  <c r="K95" i="1"/>
  <c r="L95" i="1"/>
  <c r="U95" i="1" s="1"/>
  <c r="M95" i="1"/>
  <c r="N95" i="1"/>
  <c r="O95" i="1"/>
  <c r="P95" i="1"/>
  <c r="Q95" i="1"/>
  <c r="V95" i="1" s="1"/>
  <c r="K96" i="1"/>
  <c r="L96" i="1"/>
  <c r="U96" i="1" s="1"/>
  <c r="M96" i="1"/>
  <c r="N96" i="1"/>
  <c r="O96" i="1"/>
  <c r="P96" i="1"/>
  <c r="Q96" i="1"/>
  <c r="K97" i="1"/>
  <c r="L97" i="1"/>
  <c r="U97" i="1" s="1"/>
  <c r="M97" i="1"/>
  <c r="N97" i="1"/>
  <c r="O97" i="1"/>
  <c r="P97" i="1"/>
  <c r="Q97" i="1"/>
  <c r="K98" i="1"/>
  <c r="L98" i="1"/>
  <c r="U98" i="1" s="1"/>
  <c r="M98" i="1"/>
  <c r="N98" i="1"/>
  <c r="O98" i="1"/>
  <c r="P98" i="1"/>
  <c r="Q98" i="1"/>
  <c r="K99" i="1"/>
  <c r="L99" i="1"/>
  <c r="U99" i="1" s="1"/>
  <c r="M99" i="1"/>
  <c r="N99" i="1"/>
  <c r="O99" i="1"/>
  <c r="P99" i="1"/>
  <c r="Q99" i="1"/>
  <c r="K100" i="1"/>
  <c r="L100" i="1"/>
  <c r="U100" i="1" s="1"/>
  <c r="M100" i="1"/>
  <c r="N100" i="1"/>
  <c r="O100" i="1"/>
  <c r="P100" i="1"/>
  <c r="Q100" i="1"/>
  <c r="V100" i="1" s="1"/>
  <c r="K101" i="1"/>
  <c r="L101" i="1"/>
  <c r="U101" i="1" s="1"/>
  <c r="M101" i="1"/>
  <c r="N101" i="1"/>
  <c r="O101" i="1"/>
  <c r="P101" i="1"/>
  <c r="Q101" i="1"/>
  <c r="K102" i="1"/>
  <c r="L102" i="1"/>
  <c r="U102" i="1" s="1"/>
  <c r="N102" i="1"/>
  <c r="O102" i="1"/>
  <c r="P102" i="1"/>
  <c r="Q102" i="1"/>
  <c r="K103" i="1"/>
  <c r="L103" i="1"/>
  <c r="U103" i="1" s="1"/>
  <c r="M103" i="1"/>
  <c r="N103" i="1"/>
  <c r="O103" i="1"/>
  <c r="P103" i="1"/>
  <c r="Q103" i="1"/>
  <c r="K104" i="1"/>
  <c r="L104" i="1"/>
  <c r="U104" i="1" s="1"/>
  <c r="M104" i="1"/>
  <c r="N104" i="1"/>
  <c r="O104" i="1"/>
  <c r="P104" i="1"/>
  <c r="Q104" i="1"/>
  <c r="K105" i="1"/>
  <c r="L105" i="1"/>
  <c r="U105" i="1" s="1"/>
  <c r="M105" i="1"/>
  <c r="N105" i="1"/>
  <c r="O105" i="1"/>
  <c r="P105" i="1"/>
  <c r="Q105" i="1"/>
  <c r="V105" i="1" s="1"/>
  <c r="K106" i="1"/>
  <c r="L106" i="1"/>
  <c r="U106" i="1" s="1"/>
  <c r="M106" i="1"/>
  <c r="N106" i="1"/>
  <c r="O106" i="1"/>
  <c r="P106" i="1"/>
  <c r="Q106" i="1"/>
  <c r="K107" i="1"/>
  <c r="L107" i="1"/>
  <c r="U107" i="1" s="1"/>
  <c r="M107" i="1"/>
  <c r="N107" i="1"/>
  <c r="O107" i="1"/>
  <c r="P107" i="1"/>
  <c r="Q107" i="1"/>
  <c r="K108" i="1"/>
  <c r="L108" i="1"/>
  <c r="U108" i="1" s="1"/>
  <c r="M108" i="1"/>
  <c r="N108" i="1"/>
  <c r="O108" i="1"/>
  <c r="P108" i="1"/>
  <c r="Q108" i="1"/>
  <c r="K109" i="1"/>
  <c r="L109" i="1"/>
  <c r="U109" i="1" s="1"/>
  <c r="M109" i="1"/>
  <c r="N109" i="1"/>
  <c r="O109" i="1"/>
  <c r="P109" i="1"/>
  <c r="Q109" i="1"/>
  <c r="K110" i="1"/>
  <c r="L110" i="1"/>
  <c r="U110" i="1" s="1"/>
  <c r="M110" i="1"/>
  <c r="N110" i="1"/>
  <c r="O110" i="1"/>
  <c r="P110" i="1"/>
  <c r="Q110" i="1"/>
  <c r="V110" i="1" s="1"/>
  <c r="K111" i="1"/>
  <c r="L111" i="1"/>
  <c r="U111" i="1" s="1"/>
  <c r="M111" i="1"/>
  <c r="N111" i="1"/>
  <c r="O111" i="1"/>
  <c r="P111" i="1"/>
  <c r="Q111" i="1"/>
  <c r="V111" i="1" s="1"/>
  <c r="K112" i="1"/>
  <c r="L112" i="1"/>
  <c r="U112" i="1" s="1"/>
  <c r="M112" i="1"/>
  <c r="N112" i="1"/>
  <c r="O112" i="1"/>
  <c r="P112" i="1"/>
  <c r="Q112" i="1"/>
  <c r="K113" i="1"/>
  <c r="L113" i="1"/>
  <c r="U113" i="1" s="1"/>
  <c r="M113" i="1"/>
  <c r="N113" i="1"/>
  <c r="O113" i="1"/>
  <c r="P113" i="1"/>
  <c r="Q113" i="1"/>
  <c r="K114" i="1"/>
  <c r="L114" i="1"/>
  <c r="U114" i="1" s="1"/>
  <c r="M114" i="1"/>
  <c r="N114" i="1"/>
  <c r="O114" i="1"/>
  <c r="P114" i="1"/>
  <c r="Q114" i="1"/>
  <c r="V114" i="1" s="1"/>
  <c r="K115" i="1"/>
  <c r="L115" i="1"/>
  <c r="U115" i="1" s="1"/>
  <c r="M115" i="1"/>
  <c r="N115" i="1"/>
  <c r="O115" i="1"/>
  <c r="P115" i="1"/>
  <c r="Q115" i="1"/>
  <c r="V115" i="1" s="1"/>
  <c r="K116" i="1"/>
  <c r="L116" i="1"/>
  <c r="U116" i="1" s="1"/>
  <c r="M116" i="1"/>
  <c r="N116" i="1"/>
  <c r="O116" i="1"/>
  <c r="P116" i="1"/>
  <c r="Q116" i="1"/>
  <c r="K117" i="1"/>
  <c r="L117" i="1"/>
  <c r="U117" i="1" s="1"/>
  <c r="M117" i="1"/>
  <c r="N117" i="1"/>
  <c r="O117" i="1"/>
  <c r="P117" i="1"/>
  <c r="Q117" i="1"/>
  <c r="K118" i="1"/>
  <c r="L118" i="1"/>
  <c r="U118" i="1" s="1"/>
  <c r="M118" i="1"/>
  <c r="N118" i="1"/>
  <c r="O118" i="1"/>
  <c r="P118" i="1"/>
  <c r="Q118" i="1"/>
  <c r="K119" i="1"/>
  <c r="L119" i="1"/>
  <c r="U119" i="1" s="1"/>
  <c r="M119" i="1"/>
  <c r="N119" i="1"/>
  <c r="O119" i="1"/>
  <c r="P119" i="1"/>
  <c r="Q119" i="1"/>
  <c r="K120" i="1"/>
  <c r="L120" i="1"/>
  <c r="U120" i="1" s="1"/>
  <c r="M120" i="1"/>
  <c r="N120" i="1"/>
  <c r="O120" i="1"/>
  <c r="P120" i="1"/>
  <c r="Q120" i="1"/>
  <c r="V120" i="1" s="1"/>
  <c r="K121" i="1"/>
  <c r="L121" i="1"/>
  <c r="U121" i="1" s="1"/>
  <c r="M121" i="1"/>
  <c r="N121" i="1"/>
  <c r="O121" i="1"/>
  <c r="P121" i="1"/>
  <c r="Q121" i="1"/>
  <c r="V121" i="1" s="1"/>
  <c r="K122" i="1"/>
  <c r="L122" i="1"/>
  <c r="U122" i="1" s="1"/>
  <c r="M122" i="1"/>
  <c r="N122" i="1"/>
  <c r="O122" i="1"/>
  <c r="P122" i="1"/>
  <c r="Q122" i="1"/>
  <c r="K2" i="1"/>
  <c r="L2" i="1"/>
  <c r="U2" i="1" s="1"/>
  <c r="M2" i="1"/>
  <c r="N2" i="1"/>
  <c r="O2" i="1"/>
  <c r="P2" i="1"/>
  <c r="Q2" i="1"/>
  <c r="J3" i="1"/>
  <c r="J4" i="1"/>
  <c r="V4" i="1" s="1"/>
  <c r="J5" i="1"/>
  <c r="V5" i="1" s="1"/>
  <c r="J6" i="1"/>
  <c r="J7" i="1"/>
  <c r="J8" i="1"/>
  <c r="J9" i="1"/>
  <c r="J10" i="1"/>
  <c r="J11" i="1"/>
  <c r="J12" i="1"/>
  <c r="J13" i="1"/>
  <c r="J14" i="1"/>
  <c r="V14" i="1" s="1"/>
  <c r="J15" i="1"/>
  <c r="V15" i="1" s="1"/>
  <c r="J16" i="1"/>
  <c r="J17" i="1"/>
  <c r="J18" i="1"/>
  <c r="J19" i="1"/>
  <c r="J20" i="1"/>
  <c r="J21" i="1"/>
  <c r="J22" i="1"/>
  <c r="J23" i="1"/>
  <c r="J24" i="1"/>
  <c r="V24" i="1" s="1"/>
  <c r="J25" i="1"/>
  <c r="V25" i="1" s="1"/>
  <c r="J26" i="1"/>
  <c r="J27" i="1"/>
  <c r="J28" i="1"/>
  <c r="J29" i="1"/>
  <c r="J30" i="1"/>
  <c r="J31" i="1"/>
  <c r="J32" i="1"/>
  <c r="J33" i="1"/>
  <c r="J34" i="1"/>
  <c r="V34" i="1" s="1"/>
  <c r="J35" i="1"/>
  <c r="V35" i="1" s="1"/>
  <c r="J36" i="1"/>
  <c r="J37" i="1"/>
  <c r="J38" i="1"/>
  <c r="J39" i="1"/>
  <c r="J40" i="1"/>
  <c r="J41" i="1"/>
  <c r="J42" i="1"/>
  <c r="J43" i="1"/>
  <c r="J44" i="1"/>
  <c r="V44" i="1" s="1"/>
  <c r="J45" i="1"/>
  <c r="V45" i="1" s="1"/>
  <c r="J46" i="1"/>
  <c r="J47" i="1"/>
  <c r="J48" i="1"/>
  <c r="J49" i="1"/>
  <c r="J50" i="1"/>
  <c r="J51" i="1"/>
  <c r="J52" i="1"/>
  <c r="J53" i="1"/>
  <c r="J54" i="1"/>
  <c r="V54" i="1" s="1"/>
  <c r="J55" i="1"/>
  <c r="J56" i="1"/>
  <c r="J57" i="1"/>
  <c r="J58" i="1"/>
  <c r="J59" i="1"/>
  <c r="J60" i="1"/>
  <c r="J61" i="1"/>
  <c r="J62" i="1"/>
  <c r="J63" i="1"/>
  <c r="J64" i="1"/>
  <c r="V64" i="1" s="1"/>
  <c r="J65" i="1"/>
  <c r="J66" i="1"/>
  <c r="J67" i="1"/>
  <c r="J68" i="1"/>
  <c r="J69" i="1"/>
  <c r="J70" i="1"/>
  <c r="J71" i="1"/>
  <c r="J72" i="1"/>
  <c r="J73" i="1"/>
  <c r="J74" i="1"/>
  <c r="V74" i="1" s="1"/>
  <c r="J75" i="1"/>
  <c r="J76" i="1"/>
  <c r="J77" i="1"/>
  <c r="J78" i="1"/>
  <c r="J79" i="1"/>
  <c r="J80" i="1"/>
  <c r="J81" i="1"/>
  <c r="J82" i="1"/>
  <c r="J83" i="1"/>
  <c r="J84" i="1"/>
  <c r="V84" i="1" s="1"/>
  <c r="J85" i="1"/>
  <c r="J86" i="1"/>
  <c r="J87" i="1"/>
  <c r="J88" i="1"/>
  <c r="J89" i="1"/>
  <c r="J90" i="1"/>
  <c r="J91" i="1"/>
  <c r="J92" i="1"/>
  <c r="J93" i="1"/>
  <c r="J94" i="1"/>
  <c r="V94" i="1" s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V107" i="1" s="1"/>
  <c r="J108" i="1"/>
  <c r="J109" i="1"/>
  <c r="J110" i="1"/>
  <c r="J111" i="1"/>
  <c r="J112" i="1"/>
  <c r="J113" i="1"/>
  <c r="J114" i="1"/>
  <c r="J115" i="1"/>
  <c r="J116" i="1"/>
  <c r="J117" i="1"/>
  <c r="V117" i="1" s="1"/>
  <c r="J118" i="1"/>
  <c r="J119" i="1"/>
  <c r="J120" i="1"/>
  <c r="J121" i="1"/>
  <c r="J122" i="1"/>
  <c r="J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H2" i="1"/>
  <c r="I2" i="1"/>
  <c r="G2" i="1"/>
  <c r="BF1" i="2"/>
  <c r="BG1" i="2"/>
  <c r="BH1" i="2"/>
  <c r="BF2" i="2"/>
  <c r="BG2" i="2"/>
  <c r="BH2" i="2"/>
  <c r="BF3" i="2"/>
  <c r="BG3" i="2"/>
  <c r="BH3" i="2"/>
  <c r="BF4" i="2"/>
  <c r="BG4" i="2"/>
  <c r="BH4" i="2"/>
  <c r="BF5" i="2"/>
  <c r="BG5" i="2"/>
  <c r="BH5" i="2"/>
  <c r="BF6" i="2"/>
  <c r="BG6" i="2"/>
  <c r="BH6" i="2"/>
  <c r="BF7" i="2"/>
  <c r="BG7" i="2"/>
  <c r="BH7" i="2"/>
  <c r="BF8" i="2"/>
  <c r="BG8" i="2"/>
  <c r="BH8" i="2"/>
  <c r="BF9" i="2"/>
  <c r="BG9" i="2"/>
  <c r="BH9" i="2"/>
  <c r="BF10" i="2"/>
  <c r="BG10" i="2"/>
  <c r="BH10" i="2"/>
  <c r="BF11" i="2"/>
  <c r="BG11" i="2"/>
  <c r="BH11" i="2"/>
  <c r="BF12" i="2"/>
  <c r="BG12" i="2"/>
  <c r="BH12" i="2"/>
  <c r="BF13" i="2"/>
  <c r="BG13" i="2"/>
  <c r="BH13" i="2"/>
  <c r="BF14" i="2"/>
  <c r="BG14" i="2"/>
  <c r="BH14" i="2"/>
  <c r="BF15" i="2"/>
  <c r="BG15" i="2"/>
  <c r="BH15" i="2"/>
  <c r="BF16" i="2"/>
  <c r="BG16" i="2"/>
  <c r="BH16" i="2"/>
  <c r="BF17" i="2"/>
  <c r="BG17" i="2"/>
  <c r="BH17" i="2"/>
  <c r="BF18" i="2"/>
  <c r="BG18" i="2"/>
  <c r="BH18" i="2"/>
  <c r="BF19" i="2"/>
  <c r="BG19" i="2"/>
  <c r="BH19" i="2"/>
  <c r="BF20" i="2"/>
  <c r="BG20" i="2"/>
  <c r="BH20" i="2"/>
  <c r="BF21" i="2"/>
  <c r="BG21" i="2"/>
  <c r="BH21" i="2"/>
  <c r="BF22" i="2"/>
  <c r="BG22" i="2"/>
  <c r="BH22" i="2"/>
  <c r="BF23" i="2"/>
  <c r="BG23" i="2"/>
  <c r="BH23" i="2"/>
  <c r="BF24" i="2"/>
  <c r="BG24" i="2"/>
  <c r="BH24" i="2"/>
  <c r="BF25" i="2"/>
  <c r="BG25" i="2"/>
  <c r="BH25" i="2"/>
  <c r="BF26" i="2"/>
  <c r="BG26" i="2"/>
  <c r="BH26" i="2"/>
  <c r="BF27" i="2"/>
  <c r="BG27" i="2"/>
  <c r="BH27" i="2"/>
  <c r="BF28" i="2"/>
  <c r="BG28" i="2"/>
  <c r="BH28" i="2"/>
  <c r="BF29" i="2"/>
  <c r="BG29" i="2"/>
  <c r="BH29" i="2"/>
  <c r="BF30" i="2"/>
  <c r="BG30" i="2"/>
  <c r="BH30" i="2"/>
  <c r="BF31" i="2"/>
  <c r="BG31" i="2"/>
  <c r="BH31" i="2"/>
  <c r="BF32" i="2"/>
  <c r="BG32" i="2"/>
  <c r="BH32" i="2"/>
  <c r="BF33" i="2"/>
  <c r="BG33" i="2"/>
  <c r="BH33" i="2"/>
  <c r="BF34" i="2"/>
  <c r="BG34" i="2"/>
  <c r="BH34" i="2"/>
  <c r="BF35" i="2"/>
  <c r="BG35" i="2"/>
  <c r="BH35" i="2"/>
  <c r="BF36" i="2"/>
  <c r="BG36" i="2"/>
  <c r="BH36" i="2"/>
  <c r="BF37" i="2"/>
  <c r="BG37" i="2"/>
  <c r="BH37" i="2"/>
  <c r="BF38" i="2"/>
  <c r="BG38" i="2"/>
  <c r="BH38" i="2"/>
  <c r="BF39" i="2"/>
  <c r="BG39" i="2"/>
  <c r="BH39" i="2"/>
  <c r="BF40" i="2"/>
  <c r="BG40" i="2"/>
  <c r="BH40" i="2"/>
  <c r="BF41" i="2"/>
  <c r="BG41" i="2"/>
  <c r="BH41" i="2"/>
  <c r="BF42" i="2"/>
  <c r="BG42" i="2"/>
  <c r="BH42" i="2"/>
  <c r="BF43" i="2"/>
  <c r="BG43" i="2"/>
  <c r="BH43" i="2"/>
  <c r="BF44" i="2"/>
  <c r="BG44" i="2"/>
  <c r="BH44" i="2"/>
  <c r="BF45" i="2"/>
  <c r="BG45" i="2"/>
  <c r="BH45" i="2"/>
  <c r="BF46" i="2"/>
  <c r="BG46" i="2"/>
  <c r="BH46" i="2"/>
  <c r="BF47" i="2"/>
  <c r="BG47" i="2"/>
  <c r="BH47" i="2"/>
  <c r="BF48" i="2"/>
  <c r="BG48" i="2"/>
  <c r="BH48" i="2"/>
  <c r="BF49" i="2"/>
  <c r="BG49" i="2"/>
  <c r="BH49" i="2"/>
  <c r="BF50" i="2"/>
  <c r="BG50" i="2"/>
  <c r="BH50" i="2"/>
  <c r="BF51" i="2"/>
  <c r="BG51" i="2"/>
  <c r="AV51" i="2" s="1"/>
  <c r="BH51" i="2"/>
  <c r="BF52" i="2"/>
  <c r="BG52" i="2"/>
  <c r="BH52" i="2"/>
  <c r="BF53" i="2"/>
  <c r="BG53" i="2"/>
  <c r="BH53" i="2"/>
  <c r="BF54" i="2"/>
  <c r="BG54" i="2"/>
  <c r="BH54" i="2"/>
  <c r="BF55" i="2"/>
  <c r="BG55" i="2"/>
  <c r="BH55" i="2"/>
  <c r="BF56" i="2"/>
  <c r="BG56" i="2"/>
  <c r="BH56" i="2"/>
  <c r="BF57" i="2"/>
  <c r="BG57" i="2"/>
  <c r="BH57" i="2"/>
  <c r="BF58" i="2"/>
  <c r="BG58" i="2"/>
  <c r="BH58" i="2"/>
  <c r="BF59" i="2"/>
  <c r="BG59" i="2"/>
  <c r="BH59" i="2"/>
  <c r="BF60" i="2"/>
  <c r="BG60" i="2"/>
  <c r="BH60" i="2"/>
  <c r="BF61" i="2"/>
  <c r="BG61" i="2"/>
  <c r="BH61" i="2"/>
  <c r="BF62" i="2"/>
  <c r="BG62" i="2"/>
  <c r="BH62" i="2"/>
  <c r="BF63" i="2"/>
  <c r="BG63" i="2"/>
  <c r="BH63" i="2"/>
  <c r="BF64" i="2"/>
  <c r="BG64" i="2"/>
  <c r="BH64" i="2"/>
  <c r="AV64" i="2" s="1"/>
  <c r="BF65" i="2"/>
  <c r="BG65" i="2"/>
  <c r="BH65" i="2"/>
  <c r="BF66" i="2"/>
  <c r="BG66" i="2"/>
  <c r="BH66" i="2"/>
  <c r="BF67" i="2"/>
  <c r="BG67" i="2"/>
  <c r="BH67" i="2"/>
  <c r="BF68" i="2"/>
  <c r="BG68" i="2"/>
  <c r="BH68" i="2"/>
  <c r="BF69" i="2"/>
  <c r="BG69" i="2"/>
  <c r="BH69" i="2"/>
  <c r="BF70" i="2"/>
  <c r="BG70" i="2"/>
  <c r="BH70" i="2"/>
  <c r="BF71" i="2"/>
  <c r="BG71" i="2"/>
  <c r="BH71" i="2"/>
  <c r="BF72" i="2"/>
  <c r="BG72" i="2"/>
  <c r="BH72" i="2"/>
  <c r="BF73" i="2"/>
  <c r="BG73" i="2"/>
  <c r="BH73" i="2"/>
  <c r="BF74" i="2"/>
  <c r="BG74" i="2"/>
  <c r="BH74" i="2"/>
  <c r="BF75" i="2"/>
  <c r="BG75" i="2"/>
  <c r="BH75" i="2"/>
  <c r="BF76" i="2"/>
  <c r="BG76" i="2"/>
  <c r="BH76" i="2"/>
  <c r="BF77" i="2"/>
  <c r="BG77" i="2"/>
  <c r="BH77" i="2"/>
  <c r="BF78" i="2"/>
  <c r="BG78" i="2"/>
  <c r="BH78" i="2"/>
  <c r="BF79" i="2"/>
  <c r="BG79" i="2"/>
  <c r="BH79" i="2"/>
  <c r="BF80" i="2"/>
  <c r="BG80" i="2"/>
  <c r="BH80" i="2"/>
  <c r="BF81" i="2"/>
  <c r="BG81" i="2"/>
  <c r="BH81" i="2"/>
  <c r="BF82" i="2"/>
  <c r="BG82" i="2"/>
  <c r="BH82" i="2"/>
  <c r="BF83" i="2"/>
  <c r="BG83" i="2"/>
  <c r="BH83" i="2"/>
  <c r="BF84" i="2"/>
  <c r="BG84" i="2"/>
  <c r="BH84" i="2"/>
  <c r="BF85" i="2"/>
  <c r="BG85" i="2"/>
  <c r="BH85" i="2"/>
  <c r="BF86" i="2"/>
  <c r="BG86" i="2"/>
  <c r="BH86" i="2"/>
  <c r="BF87" i="2"/>
  <c r="BG87" i="2"/>
  <c r="BH87" i="2"/>
  <c r="BF88" i="2"/>
  <c r="BG88" i="2"/>
  <c r="BH88" i="2"/>
  <c r="BF89" i="2"/>
  <c r="BG89" i="2"/>
  <c r="BH89" i="2"/>
  <c r="BF90" i="2"/>
  <c r="BG90" i="2"/>
  <c r="BH90" i="2"/>
  <c r="BF91" i="2"/>
  <c r="BG91" i="2"/>
  <c r="AV91" i="2" s="1"/>
  <c r="BH91" i="2"/>
  <c r="BF92" i="2"/>
  <c r="BG92" i="2"/>
  <c r="BH92" i="2"/>
  <c r="BF93" i="2"/>
  <c r="BG93" i="2"/>
  <c r="BH93" i="2"/>
  <c r="BF94" i="2"/>
  <c r="BG94" i="2"/>
  <c r="BH94" i="2"/>
  <c r="BF95" i="2"/>
  <c r="BG95" i="2"/>
  <c r="BH95" i="2"/>
  <c r="BF96" i="2"/>
  <c r="BG96" i="2"/>
  <c r="BH96" i="2"/>
  <c r="BF97" i="2"/>
  <c r="BG97" i="2"/>
  <c r="BH97" i="2"/>
  <c r="BF98" i="2"/>
  <c r="BG98" i="2"/>
  <c r="BH98" i="2"/>
  <c r="BF99" i="2"/>
  <c r="BG99" i="2"/>
  <c r="BH99" i="2"/>
  <c r="BF100" i="2"/>
  <c r="BG100" i="2"/>
  <c r="BH100" i="2"/>
  <c r="BF101" i="2"/>
  <c r="BG101" i="2"/>
  <c r="BH101" i="2"/>
  <c r="BF102" i="2"/>
  <c r="BG102" i="2"/>
  <c r="BH102" i="2"/>
  <c r="BF103" i="2"/>
  <c r="BG103" i="2"/>
  <c r="BH103" i="2"/>
  <c r="BF104" i="2"/>
  <c r="BG104" i="2"/>
  <c r="BH104" i="2"/>
  <c r="AV104" i="2" s="1"/>
  <c r="BF105" i="2"/>
  <c r="BG105" i="2"/>
  <c r="BH105" i="2"/>
  <c r="BF106" i="2"/>
  <c r="BG106" i="2"/>
  <c r="BH106" i="2"/>
  <c r="BF107" i="2"/>
  <c r="BG107" i="2"/>
  <c r="BH107" i="2"/>
  <c r="BF108" i="2"/>
  <c r="BG108" i="2"/>
  <c r="BH108" i="2"/>
  <c r="BF109" i="2"/>
  <c r="BG109" i="2"/>
  <c r="BH109" i="2"/>
  <c r="BF110" i="2"/>
  <c r="BG110" i="2"/>
  <c r="BH110" i="2"/>
  <c r="BF111" i="2"/>
  <c r="BG111" i="2"/>
  <c r="BH111" i="2"/>
  <c r="BF112" i="2"/>
  <c r="BG112" i="2"/>
  <c r="BH112" i="2"/>
  <c r="A2" i="2"/>
  <c r="C2" i="2"/>
  <c r="A3" i="2"/>
  <c r="C3" i="2"/>
  <c r="A4" i="2"/>
  <c r="C4" i="2"/>
  <c r="A5" i="2"/>
  <c r="C5" i="2"/>
  <c r="A6" i="2"/>
  <c r="C6" i="2"/>
  <c r="A7" i="2"/>
  <c r="C7" i="2"/>
  <c r="A8" i="2"/>
  <c r="C8" i="2"/>
  <c r="A9" i="2"/>
  <c r="C9" i="2"/>
  <c r="A10" i="2"/>
  <c r="C10" i="2"/>
  <c r="A11" i="2"/>
  <c r="C11" i="2"/>
  <c r="A12" i="2"/>
  <c r="C12" i="2"/>
  <c r="A13" i="2"/>
  <c r="C13" i="2"/>
  <c r="A14" i="2"/>
  <c r="C14" i="2"/>
  <c r="A15" i="2"/>
  <c r="C15" i="2"/>
  <c r="A16" i="2"/>
  <c r="C16" i="2"/>
  <c r="A17" i="2"/>
  <c r="C17" i="2"/>
  <c r="A18" i="2"/>
  <c r="C18" i="2"/>
  <c r="A19" i="2"/>
  <c r="C19" i="2"/>
  <c r="A20" i="2"/>
  <c r="C20" i="2"/>
  <c r="A21" i="2"/>
  <c r="C21" i="2"/>
  <c r="A22" i="2"/>
  <c r="C22" i="2"/>
  <c r="A23" i="2"/>
  <c r="C23" i="2"/>
  <c r="A24" i="2"/>
  <c r="C24" i="2"/>
  <c r="A25" i="2"/>
  <c r="C25" i="2"/>
  <c r="A26" i="2"/>
  <c r="C26" i="2"/>
  <c r="A27" i="2"/>
  <c r="C27" i="2"/>
  <c r="A28" i="2"/>
  <c r="C28" i="2"/>
  <c r="A29" i="2"/>
  <c r="C29" i="2"/>
  <c r="A30" i="2"/>
  <c r="C30" i="2"/>
  <c r="A31" i="2"/>
  <c r="C31" i="2"/>
  <c r="A32" i="2"/>
  <c r="C32" i="2"/>
  <c r="A33" i="2"/>
  <c r="C33" i="2"/>
  <c r="A34" i="2"/>
  <c r="C34" i="2"/>
  <c r="A35" i="2"/>
  <c r="C35" i="2"/>
  <c r="A36" i="2"/>
  <c r="C36" i="2"/>
  <c r="A37" i="2"/>
  <c r="C37" i="2"/>
  <c r="A38" i="2"/>
  <c r="C38" i="2"/>
  <c r="A39" i="2"/>
  <c r="C39" i="2"/>
  <c r="A40" i="2"/>
  <c r="C40" i="2"/>
  <c r="A41" i="2"/>
  <c r="C41" i="2"/>
  <c r="A42" i="2"/>
  <c r="C42" i="2"/>
  <c r="A43" i="2"/>
  <c r="C43" i="2"/>
  <c r="A44" i="2"/>
  <c r="C44" i="2"/>
  <c r="A45" i="2"/>
  <c r="C45" i="2"/>
  <c r="A46" i="2"/>
  <c r="C46" i="2"/>
  <c r="A47" i="2"/>
  <c r="C47" i="2"/>
  <c r="A48" i="2"/>
  <c r="C48" i="2"/>
  <c r="A49" i="2"/>
  <c r="C49" i="2"/>
  <c r="A50" i="2"/>
  <c r="C50" i="2"/>
  <c r="A51" i="2"/>
  <c r="C51" i="2"/>
  <c r="A52" i="2"/>
  <c r="C52" i="2"/>
  <c r="A53" i="2"/>
  <c r="C53" i="2"/>
  <c r="A54" i="2"/>
  <c r="C54" i="2"/>
  <c r="A55" i="2"/>
  <c r="C55" i="2"/>
  <c r="A56" i="2"/>
  <c r="C56" i="2"/>
  <c r="A57" i="2"/>
  <c r="C57" i="2"/>
  <c r="A58" i="2"/>
  <c r="C58" i="2"/>
  <c r="A59" i="2"/>
  <c r="C59" i="2"/>
  <c r="A60" i="2"/>
  <c r="C60" i="2"/>
  <c r="A61" i="2"/>
  <c r="C61" i="2"/>
  <c r="A62" i="2"/>
  <c r="C62" i="2"/>
  <c r="A63" i="2"/>
  <c r="C63" i="2"/>
  <c r="A64" i="2"/>
  <c r="C64" i="2"/>
  <c r="A65" i="2"/>
  <c r="C65" i="2"/>
  <c r="A66" i="2"/>
  <c r="C66" i="2"/>
  <c r="A67" i="2"/>
  <c r="C67" i="2"/>
  <c r="A68" i="2"/>
  <c r="C68" i="2"/>
  <c r="A69" i="2"/>
  <c r="C69" i="2"/>
  <c r="A70" i="2"/>
  <c r="C70" i="2"/>
  <c r="A71" i="2"/>
  <c r="C71" i="2"/>
  <c r="A72" i="2"/>
  <c r="C72" i="2"/>
  <c r="A73" i="2"/>
  <c r="C73" i="2"/>
  <c r="A74" i="2"/>
  <c r="C74" i="2"/>
  <c r="A75" i="2"/>
  <c r="C75" i="2"/>
  <c r="A76" i="2"/>
  <c r="C76" i="2"/>
  <c r="A77" i="2"/>
  <c r="C77" i="2"/>
  <c r="A78" i="2"/>
  <c r="C78" i="2"/>
  <c r="A79" i="2"/>
  <c r="C79" i="2"/>
  <c r="A80" i="2"/>
  <c r="C80" i="2"/>
  <c r="A81" i="2"/>
  <c r="C81" i="2"/>
  <c r="A82" i="2"/>
  <c r="C82" i="2"/>
  <c r="A83" i="2"/>
  <c r="C83" i="2"/>
  <c r="A84" i="2"/>
  <c r="C84" i="2"/>
  <c r="A85" i="2"/>
  <c r="C85" i="2"/>
  <c r="A86" i="2"/>
  <c r="C86" i="2"/>
  <c r="A87" i="2"/>
  <c r="C87" i="2"/>
  <c r="A88" i="2"/>
  <c r="C88" i="2"/>
  <c r="A89" i="2"/>
  <c r="C89" i="2"/>
  <c r="A90" i="2"/>
  <c r="C90" i="2"/>
  <c r="A91" i="2"/>
  <c r="C91" i="2"/>
  <c r="A92" i="2"/>
  <c r="C92" i="2"/>
  <c r="A93" i="2"/>
  <c r="C93" i="2"/>
  <c r="A94" i="2"/>
  <c r="C94" i="2"/>
  <c r="A95" i="2"/>
  <c r="C95" i="2"/>
  <c r="A96" i="2"/>
  <c r="C96" i="2"/>
  <c r="A97" i="2"/>
  <c r="C97" i="2"/>
  <c r="A98" i="2"/>
  <c r="C98" i="2"/>
  <c r="A99" i="2"/>
  <c r="C99" i="2"/>
  <c r="A100" i="2"/>
  <c r="C100" i="2"/>
  <c r="A101" i="2"/>
  <c r="C101" i="2"/>
  <c r="A102" i="2"/>
  <c r="C102" i="2"/>
  <c r="A103" i="2"/>
  <c r="C103" i="2"/>
  <c r="A104" i="2"/>
  <c r="C104" i="2"/>
  <c r="A105" i="2"/>
  <c r="C105" i="2"/>
  <c r="A106" i="2"/>
  <c r="C106" i="2"/>
  <c r="A107" i="2"/>
  <c r="C107" i="2"/>
  <c r="A108" i="2"/>
  <c r="C108" i="2"/>
  <c r="A109" i="2"/>
  <c r="C109" i="2"/>
  <c r="A110" i="2"/>
  <c r="C110" i="2"/>
  <c r="A111" i="2"/>
  <c r="C111" i="2"/>
  <c r="A112" i="2"/>
  <c r="C11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" i="2"/>
  <c r="N113" i="2"/>
  <c r="N114" i="2"/>
  <c r="S124" i="3" l="1"/>
  <c r="S123" i="3"/>
  <c r="AE124" i="3"/>
  <c r="AE123" i="3"/>
  <c r="V116" i="1"/>
  <c r="V106" i="1"/>
  <c r="V93" i="1"/>
  <c r="V83" i="1"/>
  <c r="V73" i="1"/>
  <c r="V63" i="1"/>
  <c r="V53" i="1"/>
  <c r="V43" i="1"/>
  <c r="V33" i="1"/>
  <c r="V23" i="1"/>
  <c r="V13" i="1"/>
  <c r="V3" i="1"/>
  <c r="V2" i="1"/>
  <c r="V113" i="1"/>
  <c r="V103" i="1"/>
  <c r="V101" i="1"/>
  <c r="V91" i="1"/>
  <c r="V81" i="1"/>
  <c r="V71" i="1"/>
  <c r="V61" i="1"/>
  <c r="V51" i="1"/>
  <c r="V41" i="1"/>
  <c r="V31" i="1"/>
  <c r="V21" i="1"/>
  <c r="V11" i="1"/>
  <c r="V88" i="1"/>
  <c r="V68" i="1"/>
  <c r="V58" i="1"/>
  <c r="V48" i="1"/>
  <c r="V38" i="1"/>
  <c r="V28" i="1"/>
  <c r="V18" i="1"/>
  <c r="V8" i="1"/>
  <c r="V98" i="1"/>
  <c r="V78" i="1"/>
  <c r="V97" i="1"/>
  <c r="V87" i="1"/>
  <c r="V77" i="1"/>
  <c r="V67" i="1"/>
  <c r="V57" i="1"/>
  <c r="V47" i="1"/>
  <c r="V37" i="1"/>
  <c r="V27" i="1"/>
  <c r="V17" i="1"/>
  <c r="V7" i="1"/>
  <c r="AH103" i="3" s="1"/>
  <c r="V118" i="1"/>
  <c r="V108" i="1"/>
  <c r="V32" i="1"/>
  <c r="V85" i="1"/>
  <c r="V75" i="1"/>
  <c r="V65" i="1"/>
  <c r="V55" i="1"/>
  <c r="V122" i="1"/>
  <c r="V112" i="1"/>
  <c r="V102" i="1"/>
  <c r="V99" i="1"/>
  <c r="V89" i="1"/>
  <c r="V79" i="1"/>
  <c r="V69" i="1"/>
  <c r="V59" i="1"/>
  <c r="V49" i="1"/>
  <c r="V39" i="1"/>
  <c r="V29" i="1"/>
  <c r="V19" i="1"/>
  <c r="V9" i="1"/>
  <c r="AH38" i="3" s="1"/>
  <c r="V42" i="1"/>
  <c r="V22" i="1"/>
  <c r="V12" i="1"/>
  <c r="AH61" i="3" s="1"/>
  <c r="V104" i="1"/>
  <c r="V119" i="1"/>
  <c r="V109" i="1"/>
  <c r="V96" i="1"/>
  <c r="V86" i="1"/>
  <c r="V76" i="1"/>
  <c r="V66" i="1"/>
  <c r="V56" i="1"/>
  <c r="V46" i="1"/>
  <c r="V36" i="1"/>
  <c r="V26" i="1"/>
  <c r="V16" i="1"/>
  <c r="AH98" i="3" s="1"/>
  <c r="V6" i="1"/>
  <c r="AH15" i="3"/>
  <c r="AH42" i="3"/>
  <c r="AH44" i="3"/>
  <c r="AH120" i="3"/>
  <c r="AH76" i="3"/>
  <c r="AH2" i="3"/>
  <c r="AH3" i="3"/>
  <c r="AH9" i="3"/>
  <c r="AH18" i="3"/>
  <c r="AH43" i="3"/>
  <c r="AH73" i="3"/>
  <c r="AH41" i="3"/>
  <c r="AH121" i="3"/>
  <c r="AH64" i="3"/>
  <c r="AH101" i="3"/>
  <c r="AH8" i="3"/>
  <c r="AH12" i="3"/>
  <c r="AH19" i="3"/>
  <c r="AH27" i="3"/>
  <c r="AH106" i="3"/>
  <c r="AH104" i="3"/>
  <c r="AH68" i="3"/>
  <c r="AH70" i="3"/>
  <c r="AH86" i="3"/>
  <c r="AH7" i="3"/>
  <c r="AH22" i="3"/>
  <c r="AH46" i="3"/>
  <c r="AH88" i="3"/>
  <c r="AH75" i="3"/>
  <c r="AH80" i="3"/>
  <c r="AH85" i="3"/>
  <c r="AH65" i="3"/>
  <c r="AH115" i="3"/>
  <c r="AH30" i="3"/>
  <c r="AH63" i="3"/>
  <c r="AH87" i="3"/>
  <c r="AH111" i="3"/>
  <c r="AH67" i="3"/>
  <c r="AH114" i="3"/>
  <c r="AH94" i="3"/>
  <c r="AH20" i="3"/>
  <c r="AH34" i="3"/>
  <c r="AH28" i="3"/>
  <c r="AH36" i="3"/>
  <c r="AH50" i="3"/>
  <c r="AH53" i="3"/>
  <c r="AH100" i="3"/>
  <c r="AH118" i="3"/>
  <c r="AH5" i="3"/>
  <c r="AH16" i="3"/>
  <c r="AH23" i="3"/>
  <c r="AH39" i="3"/>
  <c r="AH60" i="3"/>
  <c r="AH51" i="3"/>
  <c r="AH99" i="3"/>
  <c r="AH84" i="3"/>
  <c r="AH62" i="3"/>
  <c r="AH6" i="3"/>
  <c r="AH26" i="3"/>
  <c r="AH47" i="3"/>
  <c r="AH37" i="3"/>
  <c r="AH108" i="3"/>
  <c r="AH57" i="3"/>
  <c r="AH48" i="3"/>
  <c r="AH77" i="3"/>
  <c r="AH119" i="3"/>
  <c r="AH10" i="3"/>
  <c r="AH35" i="3"/>
  <c r="AH82" i="3"/>
  <c r="AH116" i="3"/>
  <c r="AH58" i="3"/>
  <c r="AH49" i="3"/>
  <c r="AH97" i="3"/>
  <c r="AH74" i="3"/>
  <c r="AH109" i="3"/>
  <c r="AH14" i="3"/>
  <c r="AH56" i="3"/>
  <c r="AH40" i="3"/>
  <c r="AH93" i="3"/>
  <c r="AH24" i="3"/>
  <c r="AH107" i="3"/>
  <c r="AH96" i="3"/>
  <c r="AG4" i="3"/>
  <c r="AG113" i="3"/>
  <c r="AG61" i="3"/>
  <c r="AG96" i="3"/>
  <c r="AG107" i="3"/>
  <c r="AG24" i="3"/>
  <c r="AG93" i="3"/>
  <c r="AG40" i="3"/>
  <c r="AG56" i="3"/>
  <c r="AG14" i="3"/>
  <c r="AG66" i="3"/>
  <c r="AG29" i="3"/>
  <c r="AG17" i="3"/>
  <c r="T74" i="3"/>
  <c r="AV74" i="2"/>
  <c r="AG109" i="3"/>
  <c r="AG74" i="3"/>
  <c r="AG97" i="3"/>
  <c r="AG49" i="3"/>
  <c r="AG58" i="3"/>
  <c r="AG116" i="3"/>
  <c r="AG82" i="3"/>
  <c r="AG54" i="3"/>
  <c r="AG92" i="3"/>
  <c r="AG21" i="3"/>
  <c r="AG35" i="3"/>
  <c r="AG10" i="3"/>
  <c r="AG119" i="3"/>
  <c r="AG77" i="3"/>
  <c r="AG48" i="3"/>
  <c r="AG57" i="3"/>
  <c r="AG108" i="3"/>
  <c r="AG90" i="3"/>
  <c r="AG59" i="3"/>
  <c r="AG38" i="3"/>
  <c r="AG37" i="3"/>
  <c r="AG47" i="3"/>
  <c r="AG26" i="3"/>
  <c r="AG6" i="3"/>
  <c r="AG62" i="3"/>
  <c r="AG84" i="3"/>
  <c r="AG99" i="3"/>
  <c r="AG110" i="3"/>
  <c r="AG45" i="3"/>
  <c r="AG117" i="3"/>
  <c r="AG51" i="3"/>
  <c r="AG60" i="3"/>
  <c r="AG39" i="3"/>
  <c r="AG23" i="3"/>
  <c r="AG16" i="3"/>
  <c r="AG5" i="3"/>
  <c r="AG118" i="3"/>
  <c r="AG78" i="3"/>
  <c r="AG89" i="3"/>
  <c r="AG122" i="3"/>
  <c r="AG100" i="3"/>
  <c r="AG53" i="3"/>
  <c r="AG50" i="3"/>
  <c r="AG36" i="3"/>
  <c r="AG28" i="3"/>
  <c r="AG34" i="3"/>
  <c r="AG20" i="3"/>
  <c r="AG13" i="3"/>
  <c r="AG105" i="3"/>
  <c r="AG102" i="3"/>
  <c r="AG94" i="3"/>
  <c r="AG114" i="3"/>
  <c r="AG67" i="3"/>
  <c r="AG111" i="3"/>
  <c r="AG87" i="3"/>
  <c r="AG63" i="3"/>
  <c r="AG30" i="3"/>
  <c r="AG31" i="3"/>
  <c r="AG32" i="3"/>
  <c r="AG11" i="3"/>
  <c r="AF119" i="3"/>
  <c r="AG115" i="3"/>
  <c r="AG65" i="3"/>
  <c r="AG85" i="3"/>
  <c r="AG80" i="3"/>
  <c r="AG75" i="3"/>
  <c r="AG88" i="3"/>
  <c r="AG46" i="3"/>
  <c r="AG69" i="3"/>
  <c r="AG72" i="3"/>
  <c r="AG55" i="3"/>
  <c r="AG22" i="3"/>
  <c r="AG7" i="3"/>
  <c r="AG86" i="3"/>
  <c r="AG70" i="3"/>
  <c r="AG68" i="3"/>
  <c r="AG104" i="3"/>
  <c r="AG106" i="3"/>
  <c r="AG95" i="3"/>
  <c r="AG71" i="3"/>
  <c r="AG33" i="3"/>
  <c r="AG27" i="3"/>
  <c r="AG19" i="3"/>
  <c r="AG12" i="3"/>
  <c r="AG8" i="3"/>
  <c r="AG2" i="3"/>
  <c r="AG101" i="3"/>
  <c r="AG64" i="3"/>
  <c r="AG121" i="3"/>
  <c r="AG52" i="3"/>
  <c r="AG112" i="3"/>
  <c r="AG91" i="3"/>
  <c r="AG41" i="3"/>
  <c r="AG73" i="3"/>
  <c r="AG43" i="3"/>
  <c r="AG18" i="3"/>
  <c r="AG9" i="3"/>
  <c r="AG3" i="3"/>
  <c r="AG83" i="3"/>
  <c r="AG79" i="3"/>
  <c r="AG103" i="3"/>
  <c r="AG76" i="3"/>
  <c r="AG120" i="3"/>
  <c r="AG44" i="3"/>
  <c r="AG81" i="3"/>
  <c r="AG98" i="3"/>
  <c r="AG42" i="3"/>
  <c r="AG15" i="3"/>
  <c r="AG25" i="3"/>
  <c r="AF62" i="3"/>
  <c r="AF117" i="3"/>
  <c r="AV42" i="2"/>
  <c r="AV108" i="2"/>
  <c r="AV98" i="2"/>
  <c r="AV88" i="2"/>
  <c r="AV78" i="2"/>
  <c r="AV68" i="2"/>
  <c r="AV58" i="2"/>
  <c r="AV48" i="2"/>
  <c r="AV38" i="2"/>
  <c r="AV28" i="2"/>
  <c r="AV18" i="2"/>
  <c r="AV8" i="2"/>
  <c r="AF104" i="3"/>
  <c r="AF101" i="3"/>
  <c r="AF64" i="3"/>
  <c r="AF43" i="3"/>
  <c r="AV54" i="2"/>
  <c r="AV34" i="2"/>
  <c r="AF41" i="3"/>
  <c r="AF90" i="3"/>
  <c r="T109" i="3"/>
  <c r="V67" i="3"/>
  <c r="V63" i="3"/>
  <c r="AC64" i="3"/>
  <c r="AV44" i="2"/>
  <c r="V114" i="3"/>
  <c r="V47" i="3"/>
  <c r="T9" i="3"/>
  <c r="Y11" i="3"/>
  <c r="Y17" i="3"/>
  <c r="Y32" i="3"/>
  <c r="Y29" i="3"/>
  <c r="Y31" i="3"/>
  <c r="Y66" i="3"/>
  <c r="Y30" i="3"/>
  <c r="Y14" i="3"/>
  <c r="Y63" i="3"/>
  <c r="Y56" i="3"/>
  <c r="Y87" i="3"/>
  <c r="Y40" i="3"/>
  <c r="Y111" i="3"/>
  <c r="Y93" i="3"/>
  <c r="Y67" i="3"/>
  <c r="Y3" i="3"/>
  <c r="Y5" i="3"/>
  <c r="Y9" i="3"/>
  <c r="Y16" i="3"/>
  <c r="Y18" i="3"/>
  <c r="Y23" i="3"/>
  <c r="Y43" i="3"/>
  <c r="Y39" i="3"/>
  <c r="Y73" i="3"/>
  <c r="Y60" i="3"/>
  <c r="Y41" i="3"/>
  <c r="Y51" i="3"/>
  <c r="Y91" i="3"/>
  <c r="Y8" i="3"/>
  <c r="Y6" i="3"/>
  <c r="Y12" i="3"/>
  <c r="Y26" i="3"/>
  <c r="Y19" i="3"/>
  <c r="Y69" i="3"/>
  <c r="Y81" i="3"/>
  <c r="Y59" i="3"/>
  <c r="Y100" i="3"/>
  <c r="Y25" i="3"/>
  <c r="Y22" i="3"/>
  <c r="Y54" i="3"/>
  <c r="Y50" i="3"/>
  <c r="Y95" i="3"/>
  <c r="Y117" i="3"/>
  <c r="Y108" i="3"/>
  <c r="Y104" i="3"/>
  <c r="Y57" i="3"/>
  <c r="Y68" i="3"/>
  <c r="Y48" i="3"/>
  <c r="Y70" i="3"/>
  <c r="Y77" i="3"/>
  <c r="Y86" i="3"/>
  <c r="Y119" i="3"/>
  <c r="Y46" i="3"/>
  <c r="Y44" i="3"/>
  <c r="Y116" i="3"/>
  <c r="Y13" i="3"/>
  <c r="Y10" i="3"/>
  <c r="Y20" i="3"/>
  <c r="Y35" i="3"/>
  <c r="Y92" i="3"/>
  <c r="Y36" i="3"/>
  <c r="Y71" i="3"/>
  <c r="Y33" i="3"/>
  <c r="Y52" i="3"/>
  <c r="Y49" i="3"/>
  <c r="Y89" i="3"/>
  <c r="Y115" i="3"/>
  <c r="Y7" i="3"/>
  <c r="Y47" i="3"/>
  <c r="Y112" i="3"/>
  <c r="Y24" i="3"/>
  <c r="Y110" i="3"/>
  <c r="Y85" i="3"/>
  <c r="Y79" i="3"/>
  <c r="Y102" i="3"/>
  <c r="Y118" i="3"/>
  <c r="Y55" i="3"/>
  <c r="Y28" i="3"/>
  <c r="Y88" i="3"/>
  <c r="Y114" i="3"/>
  <c r="Y121" i="3"/>
  <c r="Y97" i="3"/>
  <c r="Y84" i="3"/>
  <c r="Y113" i="3"/>
  <c r="Y38" i="3"/>
  <c r="Y42" i="3"/>
  <c r="Y53" i="3"/>
  <c r="Y75" i="3"/>
  <c r="Y45" i="3"/>
  <c r="Y80" i="3"/>
  <c r="Y103" i="3"/>
  <c r="Y101" i="3"/>
  <c r="Y27" i="3"/>
  <c r="Y76" i="3"/>
  <c r="Y107" i="3"/>
  <c r="Y98" i="3"/>
  <c r="Y83" i="3"/>
  <c r="Y62" i="3"/>
  <c r="Y34" i="3"/>
  <c r="Y64" i="3"/>
  <c r="Y72" i="3"/>
  <c r="Y122" i="3"/>
  <c r="Y94" i="3"/>
  <c r="Y82" i="3"/>
  <c r="Y74" i="3"/>
  <c r="Y105" i="3"/>
  <c r="Y2" i="3"/>
  <c r="Y21" i="3"/>
  <c r="Y120" i="3"/>
  <c r="Y58" i="3"/>
  <c r="Y96" i="3"/>
  <c r="Y78" i="3"/>
  <c r="Y4" i="3"/>
  <c r="Y15" i="3"/>
  <c r="Y37" i="3"/>
  <c r="Y99" i="3"/>
  <c r="Y109" i="3"/>
  <c r="Y90" i="3"/>
  <c r="Y106" i="3"/>
  <c r="Y65" i="3"/>
  <c r="Y61" i="3"/>
  <c r="AC122" i="3"/>
  <c r="T105" i="3"/>
  <c r="T102" i="3"/>
  <c r="T94" i="3"/>
  <c r="V103" i="3"/>
  <c r="T111" i="3"/>
  <c r="V81" i="3"/>
  <c r="V4" i="3"/>
  <c r="T62" i="3"/>
  <c r="V86" i="3"/>
  <c r="T84" i="3"/>
  <c r="V70" i="3"/>
  <c r="T99" i="3"/>
  <c r="V68" i="3"/>
  <c r="T110" i="3"/>
  <c r="V104" i="3"/>
  <c r="T45" i="3"/>
  <c r="V106" i="3"/>
  <c r="T117" i="3"/>
  <c r="V95" i="3"/>
  <c r="T51" i="3"/>
  <c r="V71" i="3"/>
  <c r="T60" i="3"/>
  <c r="V33" i="3"/>
  <c r="T39" i="3"/>
  <c r="T23" i="3"/>
  <c r="T16" i="3"/>
  <c r="T5" i="3"/>
  <c r="V8" i="3"/>
  <c r="AC103" i="3"/>
  <c r="AC76" i="3"/>
  <c r="AC44" i="3"/>
  <c r="T35" i="3"/>
  <c r="T113" i="3"/>
  <c r="V118" i="3"/>
  <c r="T61" i="3"/>
  <c r="V78" i="3"/>
  <c r="T96" i="3"/>
  <c r="V89" i="3"/>
  <c r="T107" i="3"/>
  <c r="V122" i="3"/>
  <c r="T24" i="3"/>
  <c r="V100" i="3"/>
  <c r="T93" i="3"/>
  <c r="V53" i="3"/>
  <c r="T40" i="3"/>
  <c r="T56" i="3"/>
  <c r="T14" i="3"/>
  <c r="V28" i="3"/>
  <c r="T66" i="3"/>
  <c r="V34" i="3"/>
  <c r="T29" i="3"/>
  <c r="V20" i="3"/>
  <c r="T17" i="3"/>
  <c r="V13" i="3"/>
  <c r="V111" i="3"/>
  <c r="V31" i="3"/>
  <c r="T86" i="3"/>
  <c r="T70" i="3"/>
  <c r="T104" i="3"/>
  <c r="V58" i="3"/>
  <c r="T106" i="3"/>
  <c r="T33" i="3"/>
  <c r="V92" i="3"/>
  <c r="T27" i="3"/>
  <c r="V21" i="3"/>
  <c r="T19" i="3"/>
  <c r="V35" i="3"/>
  <c r="T12" i="3"/>
  <c r="V10" i="3"/>
  <c r="T8" i="3"/>
  <c r="AB9" i="3"/>
  <c r="AC87" i="3"/>
  <c r="AC63" i="3"/>
  <c r="AC31" i="3"/>
  <c r="V102" i="3"/>
  <c r="T92" i="3"/>
  <c r="V32" i="3"/>
  <c r="V109" i="3"/>
  <c r="V74" i="3"/>
  <c r="V97" i="3"/>
  <c r="T68" i="3"/>
  <c r="V49" i="3"/>
  <c r="V116" i="3"/>
  <c r="T95" i="3"/>
  <c r="V82" i="3"/>
  <c r="T71" i="3"/>
  <c r="V54" i="3"/>
  <c r="AV111" i="2"/>
  <c r="AV101" i="2"/>
  <c r="T118" i="3"/>
  <c r="V101" i="3"/>
  <c r="T78" i="3"/>
  <c r="V64" i="3"/>
  <c r="T89" i="3"/>
  <c r="V121" i="3"/>
  <c r="T122" i="3"/>
  <c r="V52" i="3"/>
  <c r="T100" i="3"/>
  <c r="V112" i="3"/>
  <c r="T53" i="3"/>
  <c r="V91" i="3"/>
  <c r="T50" i="3"/>
  <c r="V41" i="3"/>
  <c r="T36" i="3"/>
  <c r="V73" i="3"/>
  <c r="T28" i="3"/>
  <c r="V43" i="3"/>
  <c r="T34" i="3"/>
  <c r="T20" i="3"/>
  <c r="T13" i="3"/>
  <c r="AA9" i="3"/>
  <c r="AC121" i="3"/>
  <c r="AC91" i="3"/>
  <c r="V105" i="3"/>
  <c r="T97" i="3"/>
  <c r="T116" i="3"/>
  <c r="V87" i="3"/>
  <c r="V30" i="3"/>
  <c r="AC97" i="3"/>
  <c r="AC49" i="3"/>
  <c r="AC58" i="3"/>
  <c r="AC116" i="3"/>
  <c r="AC82" i="3"/>
  <c r="AC54" i="3"/>
  <c r="T112" i="3"/>
  <c r="V90" i="3"/>
  <c r="T73" i="3"/>
  <c r="V26" i="3"/>
  <c r="AC53" i="3"/>
  <c r="AC36" i="3"/>
  <c r="V119" i="3"/>
  <c r="T101" i="3"/>
  <c r="V77" i="3"/>
  <c r="V57" i="3"/>
  <c r="T91" i="3"/>
  <c r="T41" i="3"/>
  <c r="AC50" i="3"/>
  <c r="AC68" i="3"/>
  <c r="AC106" i="3"/>
  <c r="AC95" i="3"/>
  <c r="AC71" i="3"/>
  <c r="AC19" i="3"/>
  <c r="AC12" i="3"/>
  <c r="T21" i="3"/>
  <c r="T18" i="3"/>
  <c r="V6" i="3"/>
  <c r="AC109" i="3"/>
  <c r="AC74" i="3"/>
  <c r="T114" i="3"/>
  <c r="T67" i="3"/>
  <c r="T87" i="3"/>
  <c r="T63" i="3"/>
  <c r="T32" i="3"/>
  <c r="AC118" i="3"/>
  <c r="AC104" i="3"/>
  <c r="V2" i="3"/>
  <c r="T119" i="3"/>
  <c r="V115" i="3"/>
  <c r="T77" i="3"/>
  <c r="V65" i="3"/>
  <c r="T48" i="3"/>
  <c r="V85" i="3"/>
  <c r="T57" i="3"/>
  <c r="V80" i="3"/>
  <c r="T108" i="3"/>
  <c r="V75" i="3"/>
  <c r="T90" i="3"/>
  <c r="V88" i="3"/>
  <c r="T59" i="3"/>
  <c r="V46" i="3"/>
  <c r="T38" i="3"/>
  <c r="T37" i="3"/>
  <c r="T47" i="3"/>
  <c r="T26" i="3"/>
  <c r="V22" i="3"/>
  <c r="T6" i="3"/>
  <c r="V7" i="3"/>
  <c r="AC86" i="3"/>
  <c r="V94" i="3"/>
  <c r="T49" i="3"/>
  <c r="T58" i="3"/>
  <c r="T82" i="3"/>
  <c r="T54" i="3"/>
  <c r="T10" i="3"/>
  <c r="Z11" i="3"/>
  <c r="Z17" i="3"/>
  <c r="Z32" i="3"/>
  <c r="Z29" i="3"/>
  <c r="Z31" i="3"/>
  <c r="Z66" i="3"/>
  <c r="Z30" i="3"/>
  <c r="Z14" i="3"/>
  <c r="Z63" i="3"/>
  <c r="Z56" i="3"/>
  <c r="Z87" i="3"/>
  <c r="Z40" i="3"/>
  <c r="Z20" i="3"/>
  <c r="Z35" i="3"/>
  <c r="Z18" i="3"/>
  <c r="Z43" i="3"/>
  <c r="Z92" i="3"/>
  <c r="Z36" i="3"/>
  <c r="Z71" i="3"/>
  <c r="Z75" i="3"/>
  <c r="Z76" i="3"/>
  <c r="Z122" i="3"/>
  <c r="Z103" i="3"/>
  <c r="Z89" i="3"/>
  <c r="Z6" i="3"/>
  <c r="Z39" i="3"/>
  <c r="Z69" i="3"/>
  <c r="Z81" i="3"/>
  <c r="Z59" i="3"/>
  <c r="Z111" i="3"/>
  <c r="Z100" i="3"/>
  <c r="Z25" i="3"/>
  <c r="Z22" i="3"/>
  <c r="Z16" i="3"/>
  <c r="Z73" i="3"/>
  <c r="Z54" i="3"/>
  <c r="Z50" i="3"/>
  <c r="Z95" i="3"/>
  <c r="Z117" i="3"/>
  <c r="Z108" i="3"/>
  <c r="Z104" i="3"/>
  <c r="Z57" i="3"/>
  <c r="Z68" i="3"/>
  <c r="Z48" i="3"/>
  <c r="Z8" i="3"/>
  <c r="Z12" i="3"/>
  <c r="Z23" i="3"/>
  <c r="Z72" i="3"/>
  <c r="Z98" i="3"/>
  <c r="Z38" i="3"/>
  <c r="Z10" i="3"/>
  <c r="Z26" i="3"/>
  <c r="Z19" i="3"/>
  <c r="Z42" i="3"/>
  <c r="Z53" i="3"/>
  <c r="Z45" i="3"/>
  <c r="Z80" i="3"/>
  <c r="Z101" i="3"/>
  <c r="Z33" i="3"/>
  <c r="Z41" i="3"/>
  <c r="Z52" i="3"/>
  <c r="Z49" i="3"/>
  <c r="Z70" i="3"/>
  <c r="Z115" i="3"/>
  <c r="Z7" i="3"/>
  <c r="Z47" i="3"/>
  <c r="Z112" i="3"/>
  <c r="Z67" i="3"/>
  <c r="Z24" i="3"/>
  <c r="Z110" i="3"/>
  <c r="Z85" i="3"/>
  <c r="Z79" i="3"/>
  <c r="Z102" i="3"/>
  <c r="Z118" i="3"/>
  <c r="Z119" i="3"/>
  <c r="Z55" i="3"/>
  <c r="Z28" i="3"/>
  <c r="Z3" i="3"/>
  <c r="Z82" i="3"/>
  <c r="Z116" i="3"/>
  <c r="Z58" i="3"/>
  <c r="Z61" i="3"/>
  <c r="Z51" i="3"/>
  <c r="Z88" i="3"/>
  <c r="Z90" i="3"/>
  <c r="Z106" i="3"/>
  <c r="Z65" i="3"/>
  <c r="Z113" i="3"/>
  <c r="Z13" i="3"/>
  <c r="Z27" i="3"/>
  <c r="Z107" i="3"/>
  <c r="Z83" i="3"/>
  <c r="Z62" i="3"/>
  <c r="Z5" i="3"/>
  <c r="Z34" i="3"/>
  <c r="Z93" i="3"/>
  <c r="Z64" i="3"/>
  <c r="Z77" i="3"/>
  <c r="Z94" i="3"/>
  <c r="Z97" i="3"/>
  <c r="Z44" i="3"/>
  <c r="Z74" i="3"/>
  <c r="Z105" i="3"/>
  <c r="Z2" i="3"/>
  <c r="Z9" i="3"/>
  <c r="Z21" i="3"/>
  <c r="Z120" i="3"/>
  <c r="Z121" i="3"/>
  <c r="Z46" i="3"/>
  <c r="Z96" i="3"/>
  <c r="Z78" i="3"/>
  <c r="Z4" i="3"/>
  <c r="Z15" i="3"/>
  <c r="Z91" i="3"/>
  <c r="Z114" i="3"/>
  <c r="Z84" i="3"/>
  <c r="Z86" i="3"/>
  <c r="Z37" i="3"/>
  <c r="Z60" i="3"/>
  <c r="Z99" i="3"/>
  <c r="Z109" i="3"/>
  <c r="AC101" i="3"/>
  <c r="AV94" i="2"/>
  <c r="AV84" i="2"/>
  <c r="AV24" i="2"/>
  <c r="AV14" i="2"/>
  <c r="AV4" i="2"/>
  <c r="T64" i="3"/>
  <c r="V48" i="3"/>
  <c r="T121" i="3"/>
  <c r="T43" i="3"/>
  <c r="AC89" i="3"/>
  <c r="AC100" i="3"/>
  <c r="T2" i="3"/>
  <c r="V83" i="3"/>
  <c r="V79" i="3"/>
  <c r="V76" i="3"/>
  <c r="V120" i="3"/>
  <c r="V44" i="3"/>
  <c r="V98" i="3"/>
  <c r="V42" i="3"/>
  <c r="T31" i="3"/>
  <c r="V25" i="3"/>
  <c r="AC78" i="3"/>
  <c r="U6" i="3"/>
  <c r="V60" i="3"/>
  <c r="V39" i="3"/>
  <c r="V23" i="3"/>
  <c r="V16" i="3"/>
  <c r="V5" i="3"/>
  <c r="AC51" i="3"/>
  <c r="AC23" i="3"/>
  <c r="V11" i="3"/>
  <c r="T52" i="3"/>
  <c r="V108" i="3"/>
  <c r="V59" i="3"/>
  <c r="V38" i="3"/>
  <c r="V37" i="3"/>
  <c r="T3" i="3"/>
  <c r="T30" i="3"/>
  <c r="V15" i="3"/>
  <c r="T11" i="3"/>
  <c r="X3" i="3"/>
  <c r="X5" i="3"/>
  <c r="X9" i="3"/>
  <c r="X16" i="3"/>
  <c r="X18" i="3"/>
  <c r="X23" i="3"/>
  <c r="X43" i="3"/>
  <c r="X39" i="3"/>
  <c r="X73" i="3"/>
  <c r="X60" i="3"/>
  <c r="X41" i="3"/>
  <c r="X51" i="3"/>
  <c r="X91" i="3"/>
  <c r="X6" i="3"/>
  <c r="X25" i="3"/>
  <c r="X22" i="3"/>
  <c r="X54" i="3"/>
  <c r="X50" i="3"/>
  <c r="X95" i="3"/>
  <c r="X111" i="3"/>
  <c r="X117" i="3"/>
  <c r="X108" i="3"/>
  <c r="X104" i="3"/>
  <c r="X57" i="3"/>
  <c r="X68" i="3"/>
  <c r="X48" i="3"/>
  <c r="X31" i="3"/>
  <c r="X46" i="3"/>
  <c r="X44" i="3"/>
  <c r="X116" i="3"/>
  <c r="X8" i="3"/>
  <c r="X13" i="3"/>
  <c r="X10" i="3"/>
  <c r="X66" i="3"/>
  <c r="X82" i="3"/>
  <c r="X120" i="3"/>
  <c r="X24" i="3"/>
  <c r="X114" i="3"/>
  <c r="X107" i="3"/>
  <c r="X94" i="3"/>
  <c r="X96" i="3"/>
  <c r="X11" i="3"/>
  <c r="X69" i="3"/>
  <c r="X81" i="3"/>
  <c r="X59" i="3"/>
  <c r="X7" i="3"/>
  <c r="X47" i="3"/>
  <c r="X87" i="3"/>
  <c r="X112" i="3"/>
  <c r="X110" i="3"/>
  <c r="X85" i="3"/>
  <c r="X79" i="3"/>
  <c r="X70" i="3"/>
  <c r="X102" i="3"/>
  <c r="X118" i="3"/>
  <c r="X35" i="3"/>
  <c r="X55" i="3"/>
  <c r="X28" i="3"/>
  <c r="X14" i="3"/>
  <c r="X88" i="3"/>
  <c r="X67" i="3"/>
  <c r="X121" i="3"/>
  <c r="X97" i="3"/>
  <c r="X84" i="3"/>
  <c r="X119" i="3"/>
  <c r="X113" i="3"/>
  <c r="X32" i="3"/>
  <c r="X29" i="3"/>
  <c r="X38" i="3"/>
  <c r="X99" i="3"/>
  <c r="X74" i="3"/>
  <c r="X17" i="3"/>
  <c r="X21" i="3"/>
  <c r="X27" i="3"/>
  <c r="X40" i="3"/>
  <c r="X12" i="3"/>
  <c r="X26" i="3"/>
  <c r="X19" i="3"/>
  <c r="X92" i="3"/>
  <c r="X33" i="3"/>
  <c r="X52" i="3"/>
  <c r="X49" i="3"/>
  <c r="X89" i="3"/>
  <c r="X115" i="3"/>
  <c r="X98" i="3"/>
  <c r="X83" i="3"/>
  <c r="X62" i="3"/>
  <c r="X20" i="3"/>
  <c r="X34" i="3"/>
  <c r="X64" i="3"/>
  <c r="X72" i="3"/>
  <c r="X93" i="3"/>
  <c r="X122" i="3"/>
  <c r="X77" i="3"/>
  <c r="X56" i="3"/>
  <c r="X75" i="3"/>
  <c r="X105" i="3"/>
  <c r="X2" i="3"/>
  <c r="X30" i="3"/>
  <c r="X58" i="3"/>
  <c r="X63" i="3"/>
  <c r="X53" i="3"/>
  <c r="X103" i="3"/>
  <c r="X78" i="3"/>
  <c r="X101" i="3"/>
  <c r="X4" i="3"/>
  <c r="X15" i="3"/>
  <c r="X71" i="3"/>
  <c r="X37" i="3"/>
  <c r="X100" i="3"/>
  <c r="X80" i="3"/>
  <c r="X86" i="3"/>
  <c r="X109" i="3"/>
  <c r="X36" i="3"/>
  <c r="X90" i="3"/>
  <c r="X106" i="3"/>
  <c r="X65" i="3"/>
  <c r="X61" i="3"/>
  <c r="X42" i="3"/>
  <c r="X45" i="3"/>
  <c r="X76" i="3"/>
  <c r="V113" i="3"/>
  <c r="T115" i="3"/>
  <c r="V61" i="3"/>
  <c r="T65" i="3"/>
  <c r="V96" i="3"/>
  <c r="T85" i="3"/>
  <c r="V107" i="3"/>
  <c r="T80" i="3"/>
  <c r="V24" i="3"/>
  <c r="T75" i="3"/>
  <c r="V93" i="3"/>
  <c r="T88" i="3"/>
  <c r="V40" i="3"/>
  <c r="T46" i="3"/>
  <c r="V56" i="3"/>
  <c r="T69" i="3"/>
  <c r="V14" i="3"/>
  <c r="T72" i="3"/>
  <c r="V66" i="3"/>
  <c r="T55" i="3"/>
  <c r="V29" i="3"/>
  <c r="T22" i="3"/>
  <c r="V17" i="3"/>
  <c r="T7" i="3"/>
  <c r="W52" i="3"/>
  <c r="AC85" i="3"/>
  <c r="AC55" i="3"/>
  <c r="AC33" i="3"/>
  <c r="AC27" i="3"/>
  <c r="V27" i="3"/>
  <c r="V19" i="3"/>
  <c r="V12" i="3"/>
  <c r="AD4" i="3"/>
  <c r="AD13" i="3"/>
  <c r="AD25" i="3"/>
  <c r="AD20" i="3"/>
  <c r="AD15" i="3"/>
  <c r="AD34" i="3"/>
  <c r="AD42" i="3"/>
  <c r="AD28" i="3"/>
  <c r="AD98" i="3"/>
  <c r="AD36" i="3"/>
  <c r="AD81" i="3"/>
  <c r="AD50" i="3"/>
  <c r="AD44" i="3"/>
  <c r="AD53" i="3"/>
  <c r="AD120" i="3"/>
  <c r="AD100" i="3"/>
  <c r="AD76" i="3"/>
  <c r="AD122" i="3"/>
  <c r="AD103" i="3"/>
  <c r="AD89" i="3"/>
  <c r="AD79" i="3"/>
  <c r="AD78" i="3"/>
  <c r="AD83" i="3"/>
  <c r="AD118" i="3"/>
  <c r="AD2" i="3"/>
  <c r="AD3" i="3"/>
  <c r="AD5" i="3"/>
  <c r="AD8" i="3"/>
  <c r="AD6" i="3"/>
  <c r="AD7" i="3"/>
  <c r="AD10" i="3"/>
  <c r="AD22" i="3"/>
  <c r="AD11" i="3"/>
  <c r="AD17" i="3"/>
  <c r="AD9" i="3"/>
  <c r="AD31" i="3"/>
  <c r="AD39" i="3"/>
  <c r="AD60" i="3"/>
  <c r="AD46" i="3"/>
  <c r="AD95" i="3"/>
  <c r="AD112" i="3"/>
  <c r="AD58" i="3"/>
  <c r="AD57" i="3"/>
  <c r="AD99" i="3"/>
  <c r="AD65" i="3"/>
  <c r="AD86" i="3"/>
  <c r="AD12" i="3"/>
  <c r="AD23" i="3"/>
  <c r="AD87" i="3"/>
  <c r="AD24" i="3"/>
  <c r="AD102" i="3"/>
  <c r="AD32" i="3"/>
  <c r="AD47" i="3"/>
  <c r="AD37" i="3"/>
  <c r="AD38" i="3"/>
  <c r="AD51" i="3"/>
  <c r="AD88" i="3"/>
  <c r="AD106" i="3"/>
  <c r="AD52" i="3"/>
  <c r="AD49" i="3"/>
  <c r="AD48" i="3"/>
  <c r="AD84" i="3"/>
  <c r="AD115" i="3"/>
  <c r="AD16" i="3"/>
  <c r="AD21" i="3"/>
  <c r="AD92" i="3"/>
  <c r="AD111" i="3"/>
  <c r="AD107" i="3"/>
  <c r="AD105" i="3"/>
  <c r="AD55" i="3"/>
  <c r="AD30" i="3"/>
  <c r="AD63" i="3"/>
  <c r="AD93" i="3"/>
  <c r="AD94" i="3"/>
  <c r="AD113" i="3"/>
  <c r="AD26" i="3"/>
  <c r="AD14" i="3"/>
  <c r="AD59" i="3"/>
  <c r="AD75" i="3"/>
  <c r="AD121" i="3"/>
  <c r="AD77" i="3"/>
  <c r="AD35" i="3"/>
  <c r="AD73" i="3"/>
  <c r="AD67" i="3"/>
  <c r="AD29" i="3"/>
  <c r="AD82" i="3"/>
  <c r="AD45" i="3"/>
  <c r="AD68" i="3"/>
  <c r="AD74" i="3"/>
  <c r="AD18" i="3"/>
  <c r="AD33" i="3"/>
  <c r="AD40" i="3"/>
  <c r="AD61" i="3"/>
  <c r="AD72" i="3"/>
  <c r="AD71" i="3"/>
  <c r="AD116" i="3"/>
  <c r="AD110" i="3"/>
  <c r="AD70" i="3"/>
  <c r="AD109" i="3"/>
  <c r="AC115" i="3"/>
  <c r="AC65" i="3"/>
  <c r="AC120" i="3"/>
  <c r="AC81" i="3"/>
  <c r="AC98" i="3"/>
  <c r="AC42" i="3"/>
  <c r="AC15" i="3"/>
  <c r="AC25" i="3"/>
  <c r="AC4" i="3"/>
  <c r="AF77" i="3"/>
  <c r="AF48" i="3"/>
  <c r="AF57" i="3"/>
  <c r="AF108" i="3"/>
  <c r="AF59" i="3"/>
  <c r="AF38" i="3"/>
  <c r="AF37" i="3"/>
  <c r="AF47" i="3"/>
  <c r="AF26" i="3"/>
  <c r="AF6" i="3"/>
  <c r="U119" i="3"/>
  <c r="U64" i="3"/>
  <c r="U49" i="3"/>
  <c r="U106" i="3"/>
  <c r="U40" i="3"/>
  <c r="U60" i="3"/>
  <c r="U42" i="3"/>
  <c r="U26" i="3"/>
  <c r="U3" i="3"/>
  <c r="W62" i="3"/>
  <c r="AA86" i="3"/>
  <c r="AA84" i="3"/>
  <c r="AB96" i="3"/>
  <c r="W68" i="3"/>
  <c r="W49" i="3"/>
  <c r="AA114" i="3"/>
  <c r="AA91" i="3"/>
  <c r="AB46" i="3"/>
  <c r="W19" i="3"/>
  <c r="W12" i="3"/>
  <c r="AB4" i="3"/>
  <c r="AD114" i="3"/>
  <c r="V50" i="3"/>
  <c r="V36" i="3"/>
  <c r="AC2" i="3"/>
  <c r="AC83" i="3"/>
  <c r="AC79" i="3"/>
  <c r="AC48" i="3"/>
  <c r="AC57" i="3"/>
  <c r="AC108" i="3"/>
  <c r="AC90" i="3"/>
  <c r="AC59" i="3"/>
  <c r="AC38" i="3"/>
  <c r="AC37" i="3"/>
  <c r="AC47" i="3"/>
  <c r="AC26" i="3"/>
  <c r="AC6" i="3"/>
  <c r="AF84" i="3"/>
  <c r="AF99" i="3"/>
  <c r="AF110" i="3"/>
  <c r="AF45" i="3"/>
  <c r="AF51" i="3"/>
  <c r="AF60" i="3"/>
  <c r="AF39" i="3"/>
  <c r="AF23" i="3"/>
  <c r="AF16" i="3"/>
  <c r="AF5" i="3"/>
  <c r="U62" i="3"/>
  <c r="U79" i="3"/>
  <c r="U57" i="3"/>
  <c r="U112" i="3"/>
  <c r="U82" i="3"/>
  <c r="U33" i="3"/>
  <c r="U66" i="3"/>
  <c r="U16" i="3"/>
  <c r="U4" i="3"/>
  <c r="AB118" i="3"/>
  <c r="AA96" i="3"/>
  <c r="AB121" i="3"/>
  <c r="AB57" i="3"/>
  <c r="W76" i="3"/>
  <c r="AB100" i="3"/>
  <c r="AA46" i="3"/>
  <c r="W42" i="3"/>
  <c r="AD119" i="3"/>
  <c r="AD80" i="3"/>
  <c r="AD41" i="3"/>
  <c r="AB8" i="3"/>
  <c r="AB6" i="3"/>
  <c r="AB12" i="3"/>
  <c r="AB26" i="3"/>
  <c r="AB19" i="3"/>
  <c r="AB47" i="3"/>
  <c r="AB27" i="3"/>
  <c r="AB37" i="3"/>
  <c r="AB33" i="3"/>
  <c r="AB38" i="3"/>
  <c r="AB71" i="3"/>
  <c r="AB59" i="3"/>
  <c r="AB3" i="3"/>
  <c r="AB11" i="3"/>
  <c r="AB55" i="3"/>
  <c r="AB21" i="3"/>
  <c r="AB28" i="3"/>
  <c r="AB93" i="3"/>
  <c r="AB58" i="3"/>
  <c r="AB80" i="3"/>
  <c r="AB49" i="3"/>
  <c r="AB85" i="3"/>
  <c r="AB97" i="3"/>
  <c r="AB20" i="3"/>
  <c r="AB23" i="3"/>
  <c r="AB72" i="3"/>
  <c r="AB98" i="3"/>
  <c r="AB112" i="3"/>
  <c r="AB2" i="3"/>
  <c r="AB35" i="3"/>
  <c r="AB18" i="3"/>
  <c r="AB31" i="3"/>
  <c r="AB43" i="3"/>
  <c r="AB92" i="3"/>
  <c r="AB36" i="3"/>
  <c r="AB75" i="3"/>
  <c r="AB76" i="3"/>
  <c r="AB122" i="3"/>
  <c r="AB103" i="3"/>
  <c r="AB89" i="3"/>
  <c r="AB79" i="3"/>
  <c r="AB25" i="3"/>
  <c r="AB15" i="3"/>
  <c r="AB42" i="3"/>
  <c r="AB40" i="3"/>
  <c r="AB53" i="3"/>
  <c r="AB60" i="3"/>
  <c r="AB81" i="3"/>
  <c r="AB95" i="3"/>
  <c r="AB77" i="3"/>
  <c r="AB109" i="3"/>
  <c r="AB22" i="3"/>
  <c r="AB87" i="3"/>
  <c r="AB82" i="3"/>
  <c r="AB116" i="3"/>
  <c r="AB61" i="3"/>
  <c r="AB10" i="3"/>
  <c r="AB14" i="3"/>
  <c r="AB69" i="3"/>
  <c r="AB45" i="3"/>
  <c r="AB101" i="3"/>
  <c r="AB32" i="3"/>
  <c r="AB29" i="3"/>
  <c r="AB41" i="3"/>
  <c r="AB50" i="3"/>
  <c r="AB5" i="3"/>
  <c r="AB34" i="3"/>
  <c r="AB30" i="3"/>
  <c r="AB91" i="3"/>
  <c r="AB120" i="3"/>
  <c r="AB48" i="3"/>
  <c r="AB65" i="3"/>
  <c r="AB78" i="3"/>
  <c r="AB62" i="3"/>
  <c r="AC119" i="3"/>
  <c r="AC77" i="3"/>
  <c r="AC94" i="3"/>
  <c r="AC114" i="3"/>
  <c r="AC67" i="3"/>
  <c r="AC111" i="3"/>
  <c r="AC30" i="3"/>
  <c r="AC32" i="3"/>
  <c r="AC11" i="3"/>
  <c r="AF118" i="3"/>
  <c r="AF78" i="3"/>
  <c r="AF89" i="3"/>
  <c r="AF122" i="3"/>
  <c r="AF100" i="3"/>
  <c r="AF53" i="3"/>
  <c r="AF50" i="3"/>
  <c r="AF36" i="3"/>
  <c r="AF28" i="3"/>
  <c r="AF34" i="3"/>
  <c r="AF20" i="3"/>
  <c r="AF13" i="3"/>
  <c r="U86" i="3"/>
  <c r="U96" i="3"/>
  <c r="U110" i="3"/>
  <c r="U120" i="3"/>
  <c r="U59" i="3"/>
  <c r="U73" i="3"/>
  <c r="U21" i="3"/>
  <c r="U12" i="3"/>
  <c r="AB105" i="3"/>
  <c r="AB74" i="3"/>
  <c r="W65" i="3"/>
  <c r="W89" i="3"/>
  <c r="AA121" i="3"/>
  <c r="AA57" i="3"/>
  <c r="AB24" i="3"/>
  <c r="AA120" i="3"/>
  <c r="W90" i="3"/>
  <c r="AB44" i="3"/>
  <c r="W36" i="3"/>
  <c r="AB66" i="3"/>
  <c r="AD56" i="3"/>
  <c r="AV81" i="2"/>
  <c r="AV71" i="2"/>
  <c r="AV61" i="2"/>
  <c r="AV41" i="2"/>
  <c r="AV31" i="2"/>
  <c r="AV21" i="2"/>
  <c r="AV11" i="2"/>
  <c r="V18" i="3"/>
  <c r="V9" i="3"/>
  <c r="V3" i="3"/>
  <c r="AA8" i="3"/>
  <c r="AA6" i="3"/>
  <c r="AA12" i="3"/>
  <c r="AA26" i="3"/>
  <c r="AA19" i="3"/>
  <c r="AA47" i="3"/>
  <c r="AA27" i="3"/>
  <c r="AA37" i="3"/>
  <c r="AA33" i="3"/>
  <c r="AA38" i="3"/>
  <c r="AA71" i="3"/>
  <c r="AA59" i="3"/>
  <c r="AA95" i="3"/>
  <c r="AA90" i="3"/>
  <c r="AA106" i="3"/>
  <c r="AA11" i="3"/>
  <c r="AA17" i="3"/>
  <c r="AA32" i="3"/>
  <c r="AA29" i="3"/>
  <c r="AA31" i="3"/>
  <c r="AA66" i="3"/>
  <c r="AA30" i="3"/>
  <c r="AA14" i="3"/>
  <c r="AA63" i="3"/>
  <c r="AA56" i="3"/>
  <c r="AA87" i="3"/>
  <c r="AA40" i="3"/>
  <c r="AA4" i="3"/>
  <c r="AA13" i="3"/>
  <c r="AA25" i="3"/>
  <c r="AA20" i="3"/>
  <c r="AA15" i="3"/>
  <c r="AA23" i="3"/>
  <c r="AA72" i="3"/>
  <c r="AA98" i="3"/>
  <c r="AA112" i="3"/>
  <c r="AA35" i="3"/>
  <c r="AA18" i="3"/>
  <c r="AA43" i="3"/>
  <c r="AA92" i="3"/>
  <c r="AA36" i="3"/>
  <c r="AA75" i="3"/>
  <c r="AA76" i="3"/>
  <c r="AA122" i="3"/>
  <c r="AA103" i="3"/>
  <c r="AA89" i="3"/>
  <c r="AA79" i="3"/>
  <c r="AA78" i="3"/>
  <c r="AA83" i="3"/>
  <c r="AA118" i="3"/>
  <c r="AA39" i="3"/>
  <c r="AA69" i="3"/>
  <c r="AA81" i="3"/>
  <c r="AA111" i="3"/>
  <c r="AA100" i="3"/>
  <c r="AA3" i="3"/>
  <c r="AA55" i="3"/>
  <c r="AA21" i="3"/>
  <c r="AA28" i="3"/>
  <c r="AA22" i="3"/>
  <c r="AA82" i="3"/>
  <c r="AA116" i="3"/>
  <c r="AA58" i="3"/>
  <c r="AA61" i="3"/>
  <c r="AA10" i="3"/>
  <c r="AA42" i="3"/>
  <c r="AA53" i="3"/>
  <c r="AA45" i="3"/>
  <c r="AA80" i="3"/>
  <c r="AA101" i="3"/>
  <c r="AA41" i="3"/>
  <c r="AA50" i="3"/>
  <c r="AA117" i="3"/>
  <c r="AA52" i="3"/>
  <c r="AA49" i="3"/>
  <c r="AA70" i="3"/>
  <c r="AA115" i="3"/>
  <c r="AA7" i="3"/>
  <c r="AA60" i="3"/>
  <c r="AA77" i="3"/>
  <c r="AA109" i="3"/>
  <c r="AC105" i="3"/>
  <c r="AC102" i="3"/>
  <c r="AC52" i="3"/>
  <c r="AC112" i="3"/>
  <c r="AC41" i="3"/>
  <c r="AC73" i="3"/>
  <c r="AC43" i="3"/>
  <c r="AC18" i="3"/>
  <c r="AC9" i="3"/>
  <c r="AC3" i="3"/>
  <c r="AF105" i="3"/>
  <c r="AF102" i="3"/>
  <c r="AF94" i="3"/>
  <c r="AF114" i="3"/>
  <c r="AF67" i="3"/>
  <c r="AF111" i="3"/>
  <c r="AF87" i="3"/>
  <c r="AF63" i="3"/>
  <c r="AF30" i="3"/>
  <c r="AF31" i="3"/>
  <c r="AF32" i="3"/>
  <c r="AF11" i="3"/>
  <c r="U101" i="3"/>
  <c r="U97" i="3"/>
  <c r="U104" i="3"/>
  <c r="U93" i="3"/>
  <c r="U51" i="3"/>
  <c r="U98" i="3"/>
  <c r="U47" i="3"/>
  <c r="U9" i="3"/>
  <c r="AA2" i="3"/>
  <c r="W109" i="3"/>
  <c r="AA105" i="3"/>
  <c r="W86" i="3"/>
  <c r="AA74" i="3"/>
  <c r="AB70" i="3"/>
  <c r="AB94" i="3"/>
  <c r="W57" i="3"/>
  <c r="W80" i="3"/>
  <c r="AA24" i="3"/>
  <c r="W100" i="3"/>
  <c r="AB117" i="3"/>
  <c r="AA44" i="3"/>
  <c r="AB63" i="3"/>
  <c r="W37" i="3"/>
  <c r="AD62" i="3"/>
  <c r="AD104" i="3"/>
  <c r="AD54" i="3"/>
  <c r="AC92" i="3"/>
  <c r="AC21" i="3"/>
  <c r="AC35" i="3"/>
  <c r="AC10" i="3"/>
  <c r="AF115" i="3"/>
  <c r="AF65" i="3"/>
  <c r="AF85" i="3"/>
  <c r="AF80" i="3"/>
  <c r="AF75" i="3"/>
  <c r="AF88" i="3"/>
  <c r="AF46" i="3"/>
  <c r="AF69" i="3"/>
  <c r="AF72" i="3"/>
  <c r="AF55" i="3"/>
  <c r="AF22" i="3"/>
  <c r="AF7" i="3"/>
  <c r="U83" i="3"/>
  <c r="U48" i="3"/>
  <c r="U52" i="3"/>
  <c r="U116" i="3"/>
  <c r="U71" i="3"/>
  <c r="U14" i="3"/>
  <c r="U23" i="3"/>
  <c r="U25" i="3"/>
  <c r="AB119" i="3"/>
  <c r="AB64" i="3"/>
  <c r="AA97" i="3"/>
  <c r="AA94" i="3"/>
  <c r="AB110" i="3"/>
  <c r="AB104" i="3"/>
  <c r="AB67" i="3"/>
  <c r="W71" i="3"/>
  <c r="AB39" i="3"/>
  <c r="W15" i="3"/>
  <c r="AB17" i="3"/>
  <c r="AD101" i="3"/>
  <c r="AD108" i="3"/>
  <c r="AD69" i="3"/>
  <c r="AC28" i="3"/>
  <c r="AC34" i="3"/>
  <c r="AC20" i="3"/>
  <c r="AC13" i="3"/>
  <c r="AF86" i="3"/>
  <c r="AF70" i="3"/>
  <c r="AF68" i="3"/>
  <c r="AF106" i="3"/>
  <c r="AF95" i="3"/>
  <c r="AF71" i="3"/>
  <c r="AF33" i="3"/>
  <c r="AF27" i="3"/>
  <c r="AF19" i="3"/>
  <c r="AF12" i="3"/>
  <c r="AF8" i="3"/>
  <c r="U61" i="3"/>
  <c r="U99" i="3"/>
  <c r="U76" i="3"/>
  <c r="U90" i="3"/>
  <c r="U41" i="3"/>
  <c r="U92" i="3"/>
  <c r="U19" i="3"/>
  <c r="U17" i="3"/>
  <c r="AA119" i="3"/>
  <c r="W101" i="3"/>
  <c r="W78" i="3"/>
  <c r="AA64" i="3"/>
  <c r="W103" i="3"/>
  <c r="AA110" i="3"/>
  <c r="AA104" i="3"/>
  <c r="AA67" i="3"/>
  <c r="AA93" i="3"/>
  <c r="W53" i="3"/>
  <c r="AB56" i="3"/>
  <c r="W33" i="3"/>
  <c r="AA34" i="3"/>
  <c r="W26" i="3"/>
  <c r="AA5" i="3"/>
  <c r="AD27" i="3"/>
  <c r="AC8" i="3"/>
  <c r="AF121" i="3"/>
  <c r="AF52" i="3"/>
  <c r="AF112" i="3"/>
  <c r="AF91" i="3"/>
  <c r="AF73" i="3"/>
  <c r="AF18" i="3"/>
  <c r="AF9" i="3"/>
  <c r="AF3" i="3"/>
  <c r="U74" i="3"/>
  <c r="U68" i="3"/>
  <c r="U24" i="3"/>
  <c r="U117" i="3"/>
  <c r="U81" i="3"/>
  <c r="U37" i="3"/>
  <c r="U18" i="3"/>
  <c r="U10" i="3"/>
  <c r="AA62" i="3"/>
  <c r="AB83" i="3"/>
  <c r="AB102" i="3"/>
  <c r="AA48" i="3"/>
  <c r="AB107" i="3"/>
  <c r="W104" i="3"/>
  <c r="W58" i="3"/>
  <c r="AB111" i="3"/>
  <c r="W59" i="3"/>
  <c r="AB73" i="3"/>
  <c r="AB16" i="3"/>
  <c r="AD64" i="3"/>
  <c r="AD90" i="3"/>
  <c r="AC70" i="3"/>
  <c r="AC93" i="3"/>
  <c r="AC56" i="3"/>
  <c r="AC14" i="3"/>
  <c r="AC29" i="3"/>
  <c r="AC17" i="3"/>
  <c r="AF2" i="3"/>
  <c r="AF83" i="3"/>
  <c r="AF79" i="3"/>
  <c r="AF103" i="3"/>
  <c r="AF76" i="3"/>
  <c r="AF120" i="3"/>
  <c r="AF44" i="3"/>
  <c r="AF81" i="3"/>
  <c r="AF98" i="3"/>
  <c r="AF42" i="3"/>
  <c r="AF15" i="3"/>
  <c r="AF25" i="3"/>
  <c r="AF4" i="3"/>
  <c r="U2" i="3"/>
  <c r="U77" i="3"/>
  <c r="U121" i="3"/>
  <c r="U58" i="3"/>
  <c r="U95" i="3"/>
  <c r="U56" i="3"/>
  <c r="U39" i="3"/>
  <c r="U15" i="3"/>
  <c r="AB113" i="3"/>
  <c r="AB115" i="3"/>
  <c r="AA102" i="3"/>
  <c r="W48" i="3"/>
  <c r="AA85" i="3"/>
  <c r="AA107" i="3"/>
  <c r="AB52" i="3"/>
  <c r="AB108" i="3"/>
  <c r="W75" i="3"/>
  <c r="AB88" i="3"/>
  <c r="AB51" i="3"/>
  <c r="W56" i="3"/>
  <c r="AA73" i="3"/>
  <c r="AA16" i="3"/>
  <c r="AB13" i="3"/>
  <c r="AD96" i="3"/>
  <c r="AD43" i="3"/>
  <c r="AC66" i="3"/>
  <c r="U7" i="3"/>
  <c r="U22" i="3"/>
  <c r="U55" i="3"/>
  <c r="U72" i="3"/>
  <c r="U69" i="3"/>
  <c r="U46" i="3"/>
  <c r="U88" i="3"/>
  <c r="U75" i="3"/>
  <c r="U80" i="3"/>
  <c r="U85" i="3"/>
  <c r="U65" i="3"/>
  <c r="U115" i="3"/>
  <c r="U11" i="3"/>
  <c r="U32" i="3"/>
  <c r="U31" i="3"/>
  <c r="U30" i="3"/>
  <c r="U63" i="3"/>
  <c r="U87" i="3"/>
  <c r="U111" i="3"/>
  <c r="U67" i="3"/>
  <c r="U114" i="3"/>
  <c r="U94" i="3"/>
  <c r="U102" i="3"/>
  <c r="U105" i="3"/>
  <c r="U13" i="3"/>
  <c r="U20" i="3"/>
  <c r="U34" i="3"/>
  <c r="U28" i="3"/>
  <c r="U36" i="3"/>
  <c r="U50" i="3"/>
  <c r="U53" i="3"/>
  <c r="U100" i="3"/>
  <c r="U122" i="3"/>
  <c r="U89" i="3"/>
  <c r="U78" i="3"/>
  <c r="U118" i="3"/>
  <c r="V62" i="3"/>
  <c r="T83" i="3"/>
  <c r="T79" i="3"/>
  <c r="V99" i="3"/>
  <c r="T103" i="3"/>
  <c r="V110" i="3"/>
  <c r="T76" i="3"/>
  <c r="V45" i="3"/>
  <c r="T120" i="3"/>
  <c r="V117" i="3"/>
  <c r="T44" i="3"/>
  <c r="V51" i="3"/>
  <c r="T81" i="3"/>
  <c r="T98" i="3"/>
  <c r="T42" i="3"/>
  <c r="T15" i="3"/>
  <c r="T25" i="3"/>
  <c r="T4" i="3"/>
  <c r="AC113" i="3"/>
  <c r="AC61" i="3"/>
  <c r="AC96" i="3"/>
  <c r="AC99" i="3"/>
  <c r="AC110" i="3"/>
  <c r="AC45" i="3"/>
  <c r="AC117" i="3"/>
  <c r="AC60" i="3"/>
  <c r="AC39" i="3"/>
  <c r="AC16" i="3"/>
  <c r="AC5" i="3"/>
  <c r="AF113" i="3"/>
  <c r="AF61" i="3"/>
  <c r="AF96" i="3"/>
  <c r="AF107" i="3"/>
  <c r="AF24" i="3"/>
  <c r="AF93" i="3"/>
  <c r="AF40" i="3"/>
  <c r="AF56" i="3"/>
  <c r="AF14" i="3"/>
  <c r="AF66" i="3"/>
  <c r="AF29" i="3"/>
  <c r="AF17" i="3"/>
  <c r="U113" i="3"/>
  <c r="U84" i="3"/>
  <c r="U103" i="3"/>
  <c r="U108" i="3"/>
  <c r="U91" i="3"/>
  <c r="U54" i="3"/>
  <c r="U27" i="3"/>
  <c r="U29" i="3"/>
  <c r="U5" i="3"/>
  <c r="AA113" i="3"/>
  <c r="W115" i="3"/>
  <c r="W77" i="3"/>
  <c r="AA65" i="3"/>
  <c r="AB99" i="3"/>
  <c r="AB68" i="3"/>
  <c r="W122" i="3"/>
  <c r="AA108" i="3"/>
  <c r="AB106" i="3"/>
  <c r="AB90" i="3"/>
  <c r="AA88" i="3"/>
  <c r="AA51" i="3"/>
  <c r="AB54" i="3"/>
  <c r="AD97" i="3"/>
  <c r="AD117" i="3"/>
  <c r="AD66" i="3"/>
  <c r="V69" i="3"/>
  <c r="V72" i="3"/>
  <c r="V55" i="3"/>
  <c r="AC107" i="3"/>
  <c r="AC24" i="3"/>
  <c r="AC40" i="3"/>
  <c r="V84" i="3"/>
  <c r="W3" i="3"/>
  <c r="W5" i="3"/>
  <c r="W9" i="3"/>
  <c r="W16" i="3"/>
  <c r="W18" i="3"/>
  <c r="W23" i="3"/>
  <c r="W43" i="3"/>
  <c r="W39" i="3"/>
  <c r="W73" i="3"/>
  <c r="W60" i="3"/>
  <c r="W41" i="3"/>
  <c r="W51" i="3"/>
  <c r="W91" i="3"/>
  <c r="W117" i="3"/>
  <c r="W112" i="3"/>
  <c r="W45" i="3"/>
  <c r="W7" i="3"/>
  <c r="W10" i="3"/>
  <c r="W22" i="3"/>
  <c r="W35" i="3"/>
  <c r="W55" i="3"/>
  <c r="W21" i="3"/>
  <c r="W72" i="3"/>
  <c r="W92" i="3"/>
  <c r="W69" i="3"/>
  <c r="W54" i="3"/>
  <c r="W46" i="3"/>
  <c r="W82" i="3"/>
  <c r="W88" i="3"/>
  <c r="W11" i="3"/>
  <c r="W17" i="3"/>
  <c r="W32" i="3"/>
  <c r="W29" i="3"/>
  <c r="W31" i="3"/>
  <c r="W44" i="3"/>
  <c r="W116" i="3"/>
  <c r="W8" i="3"/>
  <c r="W13" i="3"/>
  <c r="W66" i="3"/>
  <c r="W120" i="3"/>
  <c r="W24" i="3"/>
  <c r="W114" i="3"/>
  <c r="W107" i="3"/>
  <c r="W94" i="3"/>
  <c r="W96" i="3"/>
  <c r="W102" i="3"/>
  <c r="W61" i="3"/>
  <c r="W105" i="3"/>
  <c r="W113" i="3"/>
  <c r="W47" i="3"/>
  <c r="W30" i="3"/>
  <c r="W106" i="3"/>
  <c r="W4" i="3"/>
  <c r="W6" i="3"/>
  <c r="W25" i="3"/>
  <c r="W50" i="3"/>
  <c r="W95" i="3"/>
  <c r="W111" i="3"/>
  <c r="W28" i="3"/>
  <c r="W14" i="3"/>
  <c r="W67" i="3"/>
  <c r="W121" i="3"/>
  <c r="W97" i="3"/>
  <c r="W84" i="3"/>
  <c r="W119" i="3"/>
  <c r="W2" i="3"/>
  <c r="W38" i="3"/>
  <c r="W99" i="3"/>
  <c r="W74" i="3"/>
  <c r="W27" i="3"/>
  <c r="W40" i="3"/>
  <c r="W93" i="3"/>
  <c r="W83" i="3"/>
  <c r="W98" i="3"/>
  <c r="W63" i="3"/>
  <c r="W81" i="3"/>
  <c r="W87" i="3"/>
  <c r="W110" i="3"/>
  <c r="W85" i="3"/>
  <c r="W79" i="3"/>
  <c r="W70" i="3"/>
  <c r="W118" i="3"/>
  <c r="AC62" i="3"/>
  <c r="AC84" i="3"/>
  <c r="AC80" i="3"/>
  <c r="AC75" i="3"/>
  <c r="AC88" i="3"/>
  <c r="AC46" i="3"/>
  <c r="AC69" i="3"/>
  <c r="AC72" i="3"/>
  <c r="AC22" i="3"/>
  <c r="AC7" i="3"/>
  <c r="AF109" i="3"/>
  <c r="AF74" i="3"/>
  <c r="AF97" i="3"/>
  <c r="AF49" i="3"/>
  <c r="AF58" i="3"/>
  <c r="AF116" i="3"/>
  <c r="AF82" i="3"/>
  <c r="AF54" i="3"/>
  <c r="AF92" i="3"/>
  <c r="AF21" i="3"/>
  <c r="AF35" i="3"/>
  <c r="AF10" i="3"/>
  <c r="U109" i="3"/>
  <c r="U70" i="3"/>
  <c r="U107" i="3"/>
  <c r="U45" i="3"/>
  <c r="U44" i="3"/>
  <c r="U38" i="3"/>
  <c r="U43" i="3"/>
  <c r="U35" i="3"/>
  <c r="U8" i="3"/>
  <c r="AB86" i="3"/>
  <c r="AB84" i="3"/>
  <c r="W64" i="3"/>
  <c r="AA99" i="3"/>
  <c r="AA68" i="3"/>
  <c r="AB114" i="3"/>
  <c r="W108" i="3"/>
  <c r="AA54" i="3"/>
  <c r="W34" i="3"/>
  <c r="W20" i="3"/>
  <c r="AB7" i="3"/>
  <c r="AD85" i="3"/>
  <c r="AD91" i="3"/>
  <c r="AD19" i="3"/>
  <c r="AV62" i="2"/>
  <c r="AV32" i="2"/>
  <c r="AV2" i="2"/>
  <c r="AV107" i="2"/>
  <c r="AV97" i="2"/>
  <c r="AV87" i="2"/>
  <c r="AV77" i="2"/>
  <c r="AV67" i="2"/>
  <c r="AV57" i="2"/>
  <c r="AV47" i="2"/>
  <c r="AV37" i="2"/>
  <c r="AV27" i="2"/>
  <c r="AV17" i="2"/>
  <c r="AV7" i="2"/>
  <c r="AV103" i="2"/>
  <c r="AV93" i="2"/>
  <c r="AV83" i="2"/>
  <c r="AV73" i="2"/>
  <c r="AV63" i="2"/>
  <c r="AV53" i="2"/>
  <c r="AV43" i="2"/>
  <c r="AV33" i="2"/>
  <c r="AV23" i="2"/>
  <c r="AV13" i="2"/>
  <c r="AV3" i="2"/>
  <c r="AV112" i="2"/>
  <c r="AV12" i="2"/>
  <c r="AV102" i="2"/>
  <c r="AV106" i="2"/>
  <c r="AV66" i="2"/>
  <c r="AV36" i="2"/>
  <c r="AV92" i="2"/>
  <c r="AV86" i="2"/>
  <c r="AV46" i="2"/>
  <c r="AV16" i="2"/>
  <c r="AV82" i="2"/>
  <c r="AV52" i="2"/>
  <c r="AV96" i="2"/>
  <c r="AV26" i="2"/>
  <c r="AV76" i="2"/>
  <c r="AV56" i="2"/>
  <c r="AV6" i="2"/>
  <c r="AV72" i="2"/>
  <c r="AV22" i="2"/>
  <c r="AV110" i="2"/>
  <c r="AV100" i="2"/>
  <c r="AV90" i="2"/>
  <c r="AV80" i="2"/>
  <c r="AV70" i="2"/>
  <c r="AV60" i="2"/>
  <c r="AV50" i="2"/>
  <c r="AV40" i="2"/>
  <c r="AV30" i="2"/>
  <c r="AV20" i="2"/>
  <c r="AV10" i="2"/>
  <c r="AV89" i="2"/>
  <c r="AV69" i="2"/>
  <c r="AV39" i="2"/>
  <c r="AV95" i="2"/>
  <c r="AV85" i="2"/>
  <c r="AV75" i="2"/>
  <c r="AV45" i="2"/>
  <c r="AV99" i="2"/>
  <c r="AV59" i="2"/>
  <c r="AV29" i="2"/>
  <c r="AV9" i="2"/>
  <c r="AV35" i="2"/>
  <c r="AV25" i="2"/>
  <c r="AV5" i="2"/>
  <c r="AV109" i="2"/>
  <c r="AV79" i="2"/>
  <c r="AV49" i="2"/>
  <c r="AV19" i="2"/>
  <c r="AV105" i="2"/>
  <c r="AV65" i="2"/>
  <c r="AV55" i="2"/>
  <c r="AV15" i="2"/>
  <c r="D2" i="2"/>
  <c r="F2" i="2"/>
  <c r="AX2" i="2"/>
  <c r="AY2" i="2"/>
  <c r="AZ2" i="2"/>
  <c r="BA2" i="2"/>
  <c r="BB2" i="2"/>
  <c r="BC2" i="2"/>
  <c r="BD2" i="2"/>
  <c r="BE2" i="2"/>
  <c r="D4" i="2"/>
  <c r="F4" i="2"/>
  <c r="AX4" i="2"/>
  <c r="AY4" i="2"/>
  <c r="AZ4" i="2"/>
  <c r="BA4" i="2"/>
  <c r="BB4" i="2"/>
  <c r="BC4" i="2"/>
  <c r="BD4" i="2"/>
  <c r="BE4" i="2"/>
  <c r="D3" i="2"/>
  <c r="F3" i="2"/>
  <c r="AX3" i="2"/>
  <c r="AY3" i="2"/>
  <c r="AZ3" i="2"/>
  <c r="BA3" i="2"/>
  <c r="BB3" i="2"/>
  <c r="BC3" i="2"/>
  <c r="BD3" i="2"/>
  <c r="BE3" i="2"/>
  <c r="D14" i="2"/>
  <c r="F14" i="2"/>
  <c r="AX14" i="2"/>
  <c r="AY14" i="2"/>
  <c r="AZ14" i="2"/>
  <c r="BA14" i="2"/>
  <c r="BB14" i="2"/>
  <c r="BC14" i="2"/>
  <c r="BD14" i="2"/>
  <c r="BE14" i="2"/>
  <c r="D15" i="2"/>
  <c r="F15" i="2"/>
  <c r="AX15" i="2"/>
  <c r="AY15" i="2"/>
  <c r="AZ15" i="2"/>
  <c r="BA15" i="2"/>
  <c r="BB15" i="2"/>
  <c r="BC15" i="2"/>
  <c r="BD15" i="2"/>
  <c r="BE15" i="2"/>
  <c r="D6" i="2"/>
  <c r="F6" i="2"/>
  <c r="AX6" i="2"/>
  <c r="AY6" i="2"/>
  <c r="AZ6" i="2"/>
  <c r="BA6" i="2"/>
  <c r="BB6" i="2"/>
  <c r="BC6" i="2"/>
  <c r="BD6" i="2"/>
  <c r="BE6" i="2"/>
  <c r="D17" i="2"/>
  <c r="F17" i="2"/>
  <c r="AX17" i="2"/>
  <c r="AY17" i="2"/>
  <c r="AZ17" i="2"/>
  <c r="BA17" i="2"/>
  <c r="BB17" i="2"/>
  <c r="BC17" i="2"/>
  <c r="BD17" i="2"/>
  <c r="BE17" i="2"/>
  <c r="D5" i="2"/>
  <c r="F5" i="2"/>
  <c r="AX5" i="2"/>
  <c r="AY5" i="2"/>
  <c r="AZ5" i="2"/>
  <c r="BA5" i="2"/>
  <c r="BB5" i="2"/>
  <c r="BC5" i="2"/>
  <c r="BD5" i="2"/>
  <c r="BE5" i="2"/>
  <c r="D13" i="2"/>
  <c r="F13" i="2"/>
  <c r="AX13" i="2"/>
  <c r="AY13" i="2"/>
  <c r="AZ13" i="2"/>
  <c r="BA13" i="2"/>
  <c r="BB13" i="2"/>
  <c r="BC13" i="2"/>
  <c r="BD13" i="2"/>
  <c r="BE13" i="2"/>
  <c r="D7" i="2"/>
  <c r="F7" i="2"/>
  <c r="AX7" i="2"/>
  <c r="AY7" i="2"/>
  <c r="AZ7" i="2"/>
  <c r="BA7" i="2"/>
  <c r="BB7" i="2"/>
  <c r="BC7" i="2"/>
  <c r="BD7" i="2"/>
  <c r="BE7" i="2"/>
  <c r="D26" i="2"/>
  <c r="F26" i="2"/>
  <c r="AX26" i="2"/>
  <c r="AY26" i="2"/>
  <c r="AZ26" i="2"/>
  <c r="BA26" i="2"/>
  <c r="BB26" i="2"/>
  <c r="BC26" i="2"/>
  <c r="BD26" i="2"/>
  <c r="BE26" i="2"/>
  <c r="D12" i="2"/>
  <c r="F12" i="2"/>
  <c r="AX12" i="2"/>
  <c r="AY12" i="2"/>
  <c r="AZ12" i="2"/>
  <c r="BA12" i="2"/>
  <c r="BB12" i="2"/>
  <c r="BC12" i="2"/>
  <c r="BD12" i="2"/>
  <c r="BE12" i="2"/>
  <c r="D11" i="2"/>
  <c r="F11" i="2"/>
  <c r="AX11" i="2"/>
  <c r="AY11" i="2"/>
  <c r="AZ11" i="2"/>
  <c r="BA11" i="2"/>
  <c r="BB11" i="2"/>
  <c r="BC11" i="2"/>
  <c r="BD11" i="2"/>
  <c r="BE11" i="2"/>
  <c r="D8" i="2"/>
  <c r="F8" i="2"/>
  <c r="AX8" i="2"/>
  <c r="AY8" i="2"/>
  <c r="AZ8" i="2"/>
  <c r="BA8" i="2"/>
  <c r="BB8" i="2"/>
  <c r="BC8" i="2"/>
  <c r="BD8" i="2"/>
  <c r="BE8" i="2"/>
  <c r="D9" i="2"/>
  <c r="F9" i="2"/>
  <c r="AX9" i="2"/>
  <c r="AY9" i="2"/>
  <c r="AZ9" i="2"/>
  <c r="BA9" i="2"/>
  <c r="BB9" i="2"/>
  <c r="BC9" i="2"/>
  <c r="BD9" i="2"/>
  <c r="BE9" i="2"/>
  <c r="D30" i="2"/>
  <c r="F30" i="2"/>
  <c r="AX30" i="2"/>
  <c r="AY30" i="2"/>
  <c r="AZ30" i="2"/>
  <c r="BA30" i="2"/>
  <c r="BB30" i="2"/>
  <c r="BC30" i="2"/>
  <c r="BD30" i="2"/>
  <c r="BE30" i="2"/>
  <c r="D10" i="2"/>
  <c r="F10" i="2"/>
  <c r="AX10" i="2"/>
  <c r="AY10" i="2"/>
  <c r="AZ10" i="2"/>
  <c r="BA10" i="2"/>
  <c r="BB10" i="2"/>
  <c r="BC10" i="2"/>
  <c r="BD10" i="2"/>
  <c r="BE10" i="2"/>
  <c r="D20" i="2"/>
  <c r="F20" i="2"/>
  <c r="AX20" i="2"/>
  <c r="AY20" i="2"/>
  <c r="AZ20" i="2"/>
  <c r="BA20" i="2"/>
  <c r="BB20" i="2"/>
  <c r="BC20" i="2"/>
  <c r="BD20" i="2"/>
  <c r="BE20" i="2"/>
  <c r="D39" i="2"/>
  <c r="F39" i="2"/>
  <c r="AX39" i="2"/>
  <c r="AY39" i="2"/>
  <c r="AZ39" i="2"/>
  <c r="BA39" i="2"/>
  <c r="BB39" i="2"/>
  <c r="BC39" i="2"/>
  <c r="BD39" i="2"/>
  <c r="BE39" i="2"/>
  <c r="D38" i="2"/>
  <c r="F38" i="2"/>
  <c r="AX38" i="2"/>
  <c r="AY38" i="2"/>
  <c r="AZ38" i="2"/>
  <c r="BA38" i="2"/>
  <c r="BB38" i="2"/>
  <c r="BC38" i="2"/>
  <c r="BD38" i="2"/>
  <c r="BE38" i="2"/>
  <c r="D23" i="2"/>
  <c r="F23" i="2"/>
  <c r="AX23" i="2"/>
  <c r="AY23" i="2"/>
  <c r="AZ23" i="2"/>
  <c r="BA23" i="2"/>
  <c r="BB23" i="2"/>
  <c r="BC23" i="2"/>
  <c r="BD23" i="2"/>
  <c r="BE23" i="2"/>
  <c r="D27" i="2"/>
  <c r="F27" i="2"/>
  <c r="AX27" i="2"/>
  <c r="AY27" i="2"/>
  <c r="AZ27" i="2"/>
  <c r="BA27" i="2"/>
  <c r="BB27" i="2"/>
  <c r="BC27" i="2"/>
  <c r="BD27" i="2"/>
  <c r="BE27" i="2"/>
  <c r="D19" i="2"/>
  <c r="F19" i="2"/>
  <c r="AX19" i="2"/>
  <c r="AY19" i="2"/>
  <c r="AZ19" i="2"/>
  <c r="BA19" i="2"/>
  <c r="BB19" i="2"/>
  <c r="BC19" i="2"/>
  <c r="BD19" i="2"/>
  <c r="BE19" i="2"/>
  <c r="D18" i="2"/>
  <c r="F18" i="2"/>
  <c r="AX18" i="2"/>
  <c r="AY18" i="2"/>
  <c r="AZ18" i="2"/>
  <c r="BA18" i="2"/>
  <c r="BB18" i="2"/>
  <c r="BC18" i="2"/>
  <c r="BD18" i="2"/>
  <c r="BE18" i="2"/>
  <c r="D61" i="2"/>
  <c r="F61" i="2"/>
  <c r="AX61" i="2"/>
  <c r="AY61" i="2"/>
  <c r="AZ61" i="2"/>
  <c r="BA61" i="2"/>
  <c r="BB61" i="2"/>
  <c r="BC61" i="2"/>
  <c r="BD61" i="2"/>
  <c r="BE61" i="2"/>
  <c r="D36" i="2"/>
  <c r="F36" i="2"/>
  <c r="AX36" i="2"/>
  <c r="AY36" i="2"/>
  <c r="AZ36" i="2"/>
  <c r="BA36" i="2"/>
  <c r="BB36" i="2"/>
  <c r="BC36" i="2"/>
  <c r="BD36" i="2"/>
  <c r="BE36" i="2"/>
  <c r="D34" i="2"/>
  <c r="F34" i="2"/>
  <c r="AX34" i="2"/>
  <c r="AY34" i="2"/>
  <c r="AZ34" i="2"/>
  <c r="BA34" i="2"/>
  <c r="BB34" i="2"/>
  <c r="BC34" i="2"/>
  <c r="BD34" i="2"/>
  <c r="BE34" i="2"/>
  <c r="D22" i="2"/>
  <c r="F22" i="2"/>
  <c r="AX22" i="2"/>
  <c r="AY22" i="2"/>
  <c r="AZ22" i="2"/>
  <c r="BA22" i="2"/>
  <c r="BB22" i="2"/>
  <c r="BC22" i="2"/>
  <c r="BD22" i="2"/>
  <c r="BE22" i="2"/>
  <c r="D58" i="2"/>
  <c r="F58" i="2"/>
  <c r="AX58" i="2"/>
  <c r="AY58" i="2"/>
  <c r="AZ58" i="2"/>
  <c r="BA58" i="2"/>
  <c r="BB58" i="2"/>
  <c r="BC58" i="2"/>
  <c r="BD58" i="2"/>
  <c r="BE58" i="2"/>
  <c r="D29" i="2"/>
  <c r="F29" i="2"/>
  <c r="AX29" i="2"/>
  <c r="AY29" i="2"/>
  <c r="AZ29" i="2"/>
  <c r="BA29" i="2"/>
  <c r="BB29" i="2"/>
  <c r="BC29" i="2"/>
  <c r="BD29" i="2"/>
  <c r="BE29" i="2"/>
  <c r="D65" i="2"/>
  <c r="F65" i="2"/>
  <c r="AX65" i="2"/>
  <c r="AY65" i="2"/>
  <c r="AZ65" i="2"/>
  <c r="BA65" i="2"/>
  <c r="BB65" i="2"/>
  <c r="BC65" i="2"/>
  <c r="BD65" i="2"/>
  <c r="BE65" i="2"/>
  <c r="D43" i="2"/>
  <c r="F43" i="2"/>
  <c r="AX43" i="2"/>
  <c r="AY43" i="2"/>
  <c r="AZ43" i="2"/>
  <c r="BA43" i="2"/>
  <c r="BB43" i="2"/>
  <c r="BC43" i="2"/>
  <c r="BD43" i="2"/>
  <c r="BE43" i="2"/>
  <c r="D41" i="2"/>
  <c r="F41" i="2"/>
  <c r="AX41" i="2"/>
  <c r="AY41" i="2"/>
  <c r="AZ41" i="2"/>
  <c r="BA41" i="2"/>
  <c r="BB41" i="2"/>
  <c r="BC41" i="2"/>
  <c r="BD41" i="2"/>
  <c r="BE41" i="2"/>
  <c r="D21" i="2"/>
  <c r="F21" i="2"/>
  <c r="AX21" i="2"/>
  <c r="AY21" i="2"/>
  <c r="AZ21" i="2"/>
  <c r="BA21" i="2"/>
  <c r="BB21" i="2"/>
  <c r="BC21" i="2"/>
  <c r="BD21" i="2"/>
  <c r="BE21" i="2"/>
  <c r="D76" i="2"/>
  <c r="F76" i="2"/>
  <c r="AX76" i="2"/>
  <c r="AY76" i="2"/>
  <c r="AZ76" i="2"/>
  <c r="BA76" i="2"/>
  <c r="BB76" i="2"/>
  <c r="BC76" i="2"/>
  <c r="BD76" i="2"/>
  <c r="BE76" i="2"/>
  <c r="D24" i="2"/>
  <c r="F24" i="2"/>
  <c r="AX24" i="2"/>
  <c r="AY24" i="2"/>
  <c r="AZ24" i="2"/>
  <c r="BA24" i="2"/>
  <c r="BB24" i="2"/>
  <c r="BC24" i="2"/>
  <c r="BD24" i="2"/>
  <c r="BE24" i="2"/>
  <c r="D25" i="2"/>
  <c r="F25" i="2"/>
  <c r="AX25" i="2"/>
  <c r="AY25" i="2"/>
  <c r="AZ25" i="2"/>
  <c r="BA25" i="2"/>
  <c r="BB25" i="2"/>
  <c r="BC25" i="2"/>
  <c r="BD25" i="2"/>
  <c r="BE25" i="2"/>
  <c r="D45" i="2"/>
  <c r="F45" i="2"/>
  <c r="AX45" i="2"/>
  <c r="AY45" i="2"/>
  <c r="AZ45" i="2"/>
  <c r="BA45" i="2"/>
  <c r="BB45" i="2"/>
  <c r="BC45" i="2"/>
  <c r="BD45" i="2"/>
  <c r="BE45" i="2"/>
  <c r="D32" i="2"/>
  <c r="F32" i="2"/>
  <c r="AX32" i="2"/>
  <c r="AY32" i="2"/>
  <c r="AZ32" i="2"/>
  <c r="BA32" i="2"/>
  <c r="BB32" i="2"/>
  <c r="BC32" i="2"/>
  <c r="BD32" i="2"/>
  <c r="BE32" i="2"/>
  <c r="D40" i="2"/>
  <c r="F40" i="2"/>
  <c r="AX40" i="2"/>
  <c r="AY40" i="2"/>
  <c r="AZ40" i="2"/>
  <c r="BA40" i="2"/>
  <c r="BB40" i="2"/>
  <c r="BC40" i="2"/>
  <c r="BD40" i="2"/>
  <c r="BE40" i="2"/>
  <c r="D16" i="2"/>
  <c r="F16" i="2"/>
  <c r="AX16" i="2"/>
  <c r="AY16" i="2"/>
  <c r="AZ16" i="2"/>
  <c r="BA16" i="2"/>
  <c r="BB16" i="2"/>
  <c r="BC16" i="2"/>
  <c r="BD16" i="2"/>
  <c r="BE16" i="2"/>
  <c r="D96" i="2"/>
  <c r="F96" i="2"/>
  <c r="AX96" i="2"/>
  <c r="AY96" i="2"/>
  <c r="AZ96" i="2"/>
  <c r="BA96" i="2"/>
  <c r="BB96" i="2"/>
  <c r="BC96" i="2"/>
  <c r="BD96" i="2"/>
  <c r="BE96" i="2"/>
  <c r="D92" i="2"/>
  <c r="F92" i="2"/>
  <c r="AX92" i="2"/>
  <c r="AY92" i="2"/>
  <c r="AZ92" i="2"/>
  <c r="BA92" i="2"/>
  <c r="BB92" i="2"/>
  <c r="BC92" i="2"/>
  <c r="BD92" i="2"/>
  <c r="BE92" i="2"/>
  <c r="D33" i="2"/>
  <c r="F33" i="2"/>
  <c r="AX33" i="2"/>
  <c r="AY33" i="2"/>
  <c r="AZ33" i="2"/>
  <c r="BA33" i="2"/>
  <c r="BB33" i="2"/>
  <c r="BC33" i="2"/>
  <c r="BD33" i="2"/>
  <c r="BE33" i="2"/>
  <c r="D71" i="2"/>
  <c r="F71" i="2"/>
  <c r="AX71" i="2"/>
  <c r="AY71" i="2"/>
  <c r="AZ71" i="2"/>
  <c r="BA71" i="2"/>
  <c r="BB71" i="2"/>
  <c r="BC71" i="2"/>
  <c r="BD71" i="2"/>
  <c r="BE71" i="2"/>
  <c r="D47" i="2"/>
  <c r="F47" i="2"/>
  <c r="AX47" i="2"/>
  <c r="AY47" i="2"/>
  <c r="AZ47" i="2"/>
  <c r="BA47" i="2"/>
  <c r="BB47" i="2"/>
  <c r="BC47" i="2"/>
  <c r="BD47" i="2"/>
  <c r="BE47" i="2"/>
  <c r="D48" i="2"/>
  <c r="F48" i="2"/>
  <c r="AX48" i="2"/>
  <c r="AY48" i="2"/>
  <c r="AZ48" i="2"/>
  <c r="BA48" i="2"/>
  <c r="BB48" i="2"/>
  <c r="BC48" i="2"/>
  <c r="BD48" i="2"/>
  <c r="BE48" i="2"/>
  <c r="D75" i="2"/>
  <c r="F75" i="2"/>
  <c r="AX75" i="2"/>
  <c r="AY75" i="2"/>
  <c r="AZ75" i="2"/>
  <c r="BA75" i="2"/>
  <c r="BB75" i="2"/>
  <c r="BC75" i="2"/>
  <c r="BD75" i="2"/>
  <c r="BE75" i="2"/>
  <c r="D35" i="2"/>
  <c r="F35" i="2"/>
  <c r="AX35" i="2"/>
  <c r="AY35" i="2"/>
  <c r="AZ35" i="2"/>
  <c r="BA35" i="2"/>
  <c r="BB35" i="2"/>
  <c r="BC35" i="2"/>
  <c r="BD35" i="2"/>
  <c r="BE35" i="2"/>
  <c r="D46" i="2"/>
  <c r="F46" i="2"/>
  <c r="AX46" i="2"/>
  <c r="AY46" i="2"/>
  <c r="AZ46" i="2"/>
  <c r="BA46" i="2"/>
  <c r="BB46" i="2"/>
  <c r="BC46" i="2"/>
  <c r="BD46" i="2"/>
  <c r="BE46" i="2"/>
  <c r="D63" i="2"/>
  <c r="F63" i="2"/>
  <c r="AX63" i="2"/>
  <c r="AY63" i="2"/>
  <c r="AZ63" i="2"/>
  <c r="BA63" i="2"/>
  <c r="BB63" i="2"/>
  <c r="BC63" i="2"/>
  <c r="BD63" i="2"/>
  <c r="BE63" i="2"/>
  <c r="D73" i="2"/>
  <c r="F73" i="2"/>
  <c r="AX73" i="2"/>
  <c r="AY73" i="2"/>
  <c r="AZ73" i="2"/>
  <c r="BA73" i="2"/>
  <c r="BB73" i="2"/>
  <c r="BC73" i="2"/>
  <c r="BD73" i="2"/>
  <c r="BE73" i="2"/>
  <c r="D31" i="2"/>
  <c r="F31" i="2"/>
  <c r="AX31" i="2"/>
  <c r="AY31" i="2"/>
  <c r="AZ31" i="2"/>
  <c r="BA31" i="2"/>
  <c r="BB31" i="2"/>
  <c r="BC31" i="2"/>
  <c r="BD31" i="2"/>
  <c r="BE31" i="2"/>
  <c r="D77" i="2"/>
  <c r="F77" i="2"/>
  <c r="AX77" i="2"/>
  <c r="AY77" i="2"/>
  <c r="AZ77" i="2"/>
  <c r="BA77" i="2"/>
  <c r="BB77" i="2"/>
  <c r="BC77" i="2"/>
  <c r="BD77" i="2"/>
  <c r="BE77" i="2"/>
  <c r="D37" i="2"/>
  <c r="F37" i="2"/>
  <c r="AX37" i="2"/>
  <c r="AY37" i="2"/>
  <c r="AZ37" i="2"/>
  <c r="BA37" i="2"/>
  <c r="BB37" i="2"/>
  <c r="BC37" i="2"/>
  <c r="BD37" i="2"/>
  <c r="BE37" i="2"/>
  <c r="D85" i="2"/>
  <c r="F85" i="2"/>
  <c r="AX85" i="2"/>
  <c r="AY85" i="2"/>
  <c r="AZ85" i="2"/>
  <c r="BA85" i="2"/>
  <c r="BB85" i="2"/>
  <c r="BC85" i="2"/>
  <c r="BD85" i="2"/>
  <c r="BE85" i="2"/>
  <c r="D52" i="2"/>
  <c r="F52" i="2"/>
  <c r="AX52" i="2"/>
  <c r="AY52" i="2"/>
  <c r="AZ52" i="2"/>
  <c r="BA52" i="2"/>
  <c r="BB52" i="2"/>
  <c r="BC52" i="2"/>
  <c r="BD52" i="2"/>
  <c r="BE52" i="2"/>
  <c r="D53" i="2"/>
  <c r="F53" i="2"/>
  <c r="AX53" i="2"/>
  <c r="AY53" i="2"/>
  <c r="AZ53" i="2"/>
  <c r="BA53" i="2"/>
  <c r="BB53" i="2"/>
  <c r="BC53" i="2"/>
  <c r="BD53" i="2"/>
  <c r="BE53" i="2"/>
  <c r="D57" i="2"/>
  <c r="F57" i="2"/>
  <c r="AX57" i="2"/>
  <c r="AY57" i="2"/>
  <c r="AZ57" i="2"/>
  <c r="BA57" i="2"/>
  <c r="BB57" i="2"/>
  <c r="BC57" i="2"/>
  <c r="BD57" i="2"/>
  <c r="BE57" i="2"/>
  <c r="D56" i="2"/>
  <c r="F56" i="2"/>
  <c r="AX56" i="2"/>
  <c r="AY56" i="2"/>
  <c r="AZ56" i="2"/>
  <c r="BA56" i="2"/>
  <c r="BB56" i="2"/>
  <c r="BC56" i="2"/>
  <c r="BD56" i="2"/>
  <c r="BE56" i="2"/>
  <c r="D44" i="2"/>
  <c r="F44" i="2"/>
  <c r="AX44" i="2"/>
  <c r="AY44" i="2"/>
  <c r="AZ44" i="2"/>
  <c r="BA44" i="2"/>
  <c r="BB44" i="2"/>
  <c r="BC44" i="2"/>
  <c r="BD44" i="2"/>
  <c r="BE44" i="2"/>
  <c r="D42" i="2"/>
  <c r="F42" i="2"/>
  <c r="AX42" i="2"/>
  <c r="AY42" i="2"/>
  <c r="AZ42" i="2"/>
  <c r="BA42" i="2"/>
  <c r="BB42" i="2"/>
  <c r="BC42" i="2"/>
  <c r="BD42" i="2"/>
  <c r="BE42" i="2"/>
  <c r="D84" i="2"/>
  <c r="F84" i="2"/>
  <c r="AX84" i="2"/>
  <c r="AY84" i="2"/>
  <c r="AZ84" i="2"/>
  <c r="BA84" i="2"/>
  <c r="BB84" i="2"/>
  <c r="BC84" i="2"/>
  <c r="BD84" i="2"/>
  <c r="BE84" i="2"/>
  <c r="D95" i="2"/>
  <c r="F95" i="2"/>
  <c r="AX95" i="2"/>
  <c r="AY95" i="2"/>
  <c r="AZ95" i="2"/>
  <c r="BA95" i="2"/>
  <c r="BB95" i="2"/>
  <c r="BC95" i="2"/>
  <c r="BD95" i="2"/>
  <c r="BE95" i="2"/>
  <c r="D81" i="2"/>
  <c r="F81" i="2"/>
  <c r="AX81" i="2"/>
  <c r="AY81" i="2"/>
  <c r="AZ81" i="2"/>
  <c r="BA81" i="2"/>
  <c r="BB81" i="2"/>
  <c r="BC81" i="2"/>
  <c r="BD81" i="2"/>
  <c r="BE81" i="2"/>
  <c r="D87" i="2"/>
  <c r="F87" i="2"/>
  <c r="AX87" i="2"/>
  <c r="AY87" i="2"/>
  <c r="AZ87" i="2"/>
  <c r="BA87" i="2"/>
  <c r="BB87" i="2"/>
  <c r="BC87" i="2"/>
  <c r="BD87" i="2"/>
  <c r="BE87" i="2"/>
  <c r="D49" i="2"/>
  <c r="F49" i="2"/>
  <c r="AX49" i="2"/>
  <c r="AY49" i="2"/>
  <c r="AZ49" i="2"/>
  <c r="BA49" i="2"/>
  <c r="BB49" i="2"/>
  <c r="BC49" i="2"/>
  <c r="BD49" i="2"/>
  <c r="BE49" i="2"/>
  <c r="D109" i="2"/>
  <c r="F109" i="2"/>
  <c r="AX109" i="2"/>
  <c r="AY109" i="2"/>
  <c r="AZ109" i="2"/>
  <c r="BA109" i="2"/>
  <c r="BB109" i="2"/>
  <c r="BC109" i="2"/>
  <c r="BD109" i="2"/>
  <c r="BE109" i="2"/>
  <c r="D66" i="2"/>
  <c r="F66" i="2"/>
  <c r="AX66" i="2"/>
  <c r="AY66" i="2"/>
  <c r="AZ66" i="2"/>
  <c r="BA66" i="2"/>
  <c r="BB66" i="2"/>
  <c r="BC66" i="2"/>
  <c r="BD66" i="2"/>
  <c r="BE66" i="2"/>
  <c r="D108" i="2"/>
  <c r="F108" i="2"/>
  <c r="AX108" i="2"/>
  <c r="AY108" i="2"/>
  <c r="AZ108" i="2"/>
  <c r="BA108" i="2"/>
  <c r="BB108" i="2"/>
  <c r="BC108" i="2"/>
  <c r="BD108" i="2"/>
  <c r="BE108" i="2"/>
  <c r="D103" i="2"/>
  <c r="F103" i="2"/>
  <c r="AX103" i="2"/>
  <c r="AY103" i="2"/>
  <c r="AZ103" i="2"/>
  <c r="BA103" i="2"/>
  <c r="BB103" i="2"/>
  <c r="BC103" i="2"/>
  <c r="BD103" i="2"/>
  <c r="BE103" i="2"/>
  <c r="D90" i="2"/>
  <c r="F90" i="2"/>
  <c r="AX90" i="2"/>
  <c r="AY90" i="2"/>
  <c r="AZ90" i="2"/>
  <c r="BA90" i="2"/>
  <c r="BB90" i="2"/>
  <c r="BC90" i="2"/>
  <c r="BD90" i="2"/>
  <c r="BE90" i="2"/>
  <c r="D111" i="2"/>
  <c r="F111" i="2"/>
  <c r="AX111" i="2"/>
  <c r="AY111" i="2"/>
  <c r="AZ111" i="2"/>
  <c r="BA111" i="2"/>
  <c r="BB111" i="2"/>
  <c r="BC111" i="2"/>
  <c r="BD111" i="2"/>
  <c r="BE111" i="2"/>
  <c r="D106" i="2"/>
  <c r="F106" i="2"/>
  <c r="AX106" i="2"/>
  <c r="AY106" i="2"/>
  <c r="AZ106" i="2"/>
  <c r="BA106" i="2"/>
  <c r="BB106" i="2"/>
  <c r="BC106" i="2"/>
  <c r="BD106" i="2"/>
  <c r="BE106" i="2"/>
  <c r="D101" i="2"/>
  <c r="F101" i="2"/>
  <c r="AX101" i="2"/>
  <c r="AY101" i="2"/>
  <c r="AZ101" i="2"/>
  <c r="BA101" i="2"/>
  <c r="BB101" i="2"/>
  <c r="BC101" i="2"/>
  <c r="BD101" i="2"/>
  <c r="BE101" i="2"/>
  <c r="D67" i="2"/>
  <c r="F67" i="2"/>
  <c r="AX67" i="2"/>
  <c r="AY67" i="2"/>
  <c r="AZ67" i="2"/>
  <c r="BA67" i="2"/>
  <c r="BB67" i="2"/>
  <c r="BC67" i="2"/>
  <c r="BD67" i="2"/>
  <c r="BE67" i="2"/>
  <c r="D91" i="2"/>
  <c r="F91" i="2"/>
  <c r="AX91" i="2"/>
  <c r="AY91" i="2"/>
  <c r="AZ91" i="2"/>
  <c r="BA91" i="2"/>
  <c r="BB91" i="2"/>
  <c r="BC91" i="2"/>
  <c r="BD91" i="2"/>
  <c r="BE91" i="2"/>
  <c r="D83" i="2"/>
  <c r="F83" i="2"/>
  <c r="AX83" i="2"/>
  <c r="AY83" i="2"/>
  <c r="AZ83" i="2"/>
  <c r="BA83" i="2"/>
  <c r="BB83" i="2"/>
  <c r="BC83" i="2"/>
  <c r="BD83" i="2"/>
  <c r="BE83" i="2"/>
  <c r="D60" i="2"/>
  <c r="F60" i="2"/>
  <c r="AX60" i="2"/>
  <c r="AY60" i="2"/>
  <c r="AZ60" i="2"/>
  <c r="BA60" i="2"/>
  <c r="BB60" i="2"/>
  <c r="BC60" i="2"/>
  <c r="BD60" i="2"/>
  <c r="BE60" i="2"/>
  <c r="D107" i="2"/>
  <c r="F107" i="2"/>
  <c r="AX107" i="2"/>
  <c r="AY107" i="2"/>
  <c r="AZ107" i="2"/>
  <c r="BA107" i="2"/>
  <c r="BB107" i="2"/>
  <c r="BC107" i="2"/>
  <c r="BD107" i="2"/>
  <c r="BE107" i="2"/>
  <c r="D86" i="2"/>
  <c r="F86" i="2"/>
  <c r="AX86" i="2"/>
  <c r="AY86" i="2"/>
  <c r="AZ86" i="2"/>
  <c r="BA86" i="2"/>
  <c r="BB86" i="2"/>
  <c r="BC86" i="2"/>
  <c r="BD86" i="2"/>
  <c r="BE86" i="2"/>
  <c r="D28" i="2"/>
  <c r="F28" i="2"/>
  <c r="AX28" i="2"/>
  <c r="AY28" i="2"/>
  <c r="AZ28" i="2"/>
  <c r="BA28" i="2"/>
  <c r="BB28" i="2"/>
  <c r="BC28" i="2"/>
  <c r="BD28" i="2"/>
  <c r="BE28" i="2"/>
  <c r="D64" i="2"/>
  <c r="F64" i="2"/>
  <c r="AX64" i="2"/>
  <c r="AY64" i="2"/>
  <c r="AZ64" i="2"/>
  <c r="BA64" i="2"/>
  <c r="BB64" i="2"/>
  <c r="BC64" i="2"/>
  <c r="BD64" i="2"/>
  <c r="BE64" i="2"/>
  <c r="D55" i="2"/>
  <c r="F55" i="2"/>
  <c r="AX55" i="2"/>
  <c r="AY55" i="2"/>
  <c r="AZ55" i="2"/>
  <c r="BA55" i="2"/>
  <c r="BB55" i="2"/>
  <c r="BC55" i="2"/>
  <c r="BD55" i="2"/>
  <c r="BE55" i="2"/>
  <c r="D97" i="2"/>
  <c r="F97" i="2"/>
  <c r="AX97" i="2"/>
  <c r="AY97" i="2"/>
  <c r="AZ97" i="2"/>
  <c r="BA97" i="2"/>
  <c r="BB97" i="2"/>
  <c r="BC97" i="2"/>
  <c r="BD97" i="2"/>
  <c r="BE97" i="2"/>
  <c r="D54" i="2"/>
  <c r="F54" i="2"/>
  <c r="AX54" i="2"/>
  <c r="AY54" i="2"/>
  <c r="AZ54" i="2"/>
  <c r="BA54" i="2"/>
  <c r="BB54" i="2"/>
  <c r="BC54" i="2"/>
  <c r="BD54" i="2"/>
  <c r="BE54" i="2"/>
  <c r="D94" i="2"/>
  <c r="F94" i="2"/>
  <c r="AX94" i="2"/>
  <c r="AY94" i="2"/>
  <c r="AZ94" i="2"/>
  <c r="BA94" i="2"/>
  <c r="BB94" i="2"/>
  <c r="BC94" i="2"/>
  <c r="BD94" i="2"/>
  <c r="BE94" i="2"/>
  <c r="D112" i="2"/>
  <c r="F112" i="2"/>
  <c r="AX112" i="2"/>
  <c r="AY112" i="2"/>
  <c r="AZ112" i="2"/>
  <c r="BA112" i="2"/>
  <c r="BB112" i="2"/>
  <c r="BC112" i="2"/>
  <c r="BD112" i="2"/>
  <c r="BE112" i="2"/>
  <c r="D72" i="2"/>
  <c r="F72" i="2"/>
  <c r="AX72" i="2"/>
  <c r="AY72" i="2"/>
  <c r="AZ72" i="2"/>
  <c r="BA72" i="2"/>
  <c r="BB72" i="2"/>
  <c r="BC72" i="2"/>
  <c r="BD72" i="2"/>
  <c r="BE72" i="2"/>
  <c r="D51" i="2"/>
  <c r="F51" i="2"/>
  <c r="AX51" i="2"/>
  <c r="AY51" i="2"/>
  <c r="AZ51" i="2"/>
  <c r="BA51" i="2"/>
  <c r="BB51" i="2"/>
  <c r="BC51" i="2"/>
  <c r="BD51" i="2"/>
  <c r="BE51" i="2"/>
  <c r="D62" i="2"/>
  <c r="F62" i="2"/>
  <c r="AX62" i="2"/>
  <c r="AY62" i="2"/>
  <c r="AZ62" i="2"/>
  <c r="BA62" i="2"/>
  <c r="BB62" i="2"/>
  <c r="BC62" i="2"/>
  <c r="BD62" i="2"/>
  <c r="BE62" i="2"/>
  <c r="D104" i="2"/>
  <c r="F104" i="2"/>
  <c r="AX104" i="2"/>
  <c r="AY104" i="2"/>
  <c r="AZ104" i="2"/>
  <c r="BA104" i="2"/>
  <c r="BB104" i="2"/>
  <c r="BC104" i="2"/>
  <c r="BD104" i="2"/>
  <c r="BE104" i="2"/>
  <c r="D74" i="2"/>
  <c r="F74" i="2"/>
  <c r="AX74" i="2"/>
  <c r="AY74" i="2"/>
  <c r="AZ74" i="2"/>
  <c r="BA74" i="2"/>
  <c r="BB74" i="2"/>
  <c r="BC74" i="2"/>
  <c r="BD74" i="2"/>
  <c r="BE74" i="2"/>
  <c r="D110" i="2"/>
  <c r="F110" i="2"/>
  <c r="AX110" i="2"/>
  <c r="AY110" i="2"/>
  <c r="AZ110" i="2"/>
  <c r="BA110" i="2"/>
  <c r="BB110" i="2"/>
  <c r="BC110" i="2"/>
  <c r="BD110" i="2"/>
  <c r="BE110" i="2"/>
  <c r="D93" i="2"/>
  <c r="F93" i="2"/>
  <c r="AX93" i="2"/>
  <c r="AY93" i="2"/>
  <c r="AZ93" i="2"/>
  <c r="BA93" i="2"/>
  <c r="BB93" i="2"/>
  <c r="BC93" i="2"/>
  <c r="BD93" i="2"/>
  <c r="BE93" i="2"/>
  <c r="D105" i="2"/>
  <c r="F105" i="2"/>
  <c r="AX105" i="2"/>
  <c r="AY105" i="2"/>
  <c r="AZ105" i="2"/>
  <c r="BA105" i="2"/>
  <c r="BB105" i="2"/>
  <c r="BC105" i="2"/>
  <c r="BD105" i="2"/>
  <c r="BE105" i="2"/>
  <c r="D80" i="2"/>
  <c r="F80" i="2"/>
  <c r="AX80" i="2"/>
  <c r="AY80" i="2"/>
  <c r="AZ80" i="2"/>
  <c r="BA80" i="2"/>
  <c r="BB80" i="2"/>
  <c r="BC80" i="2"/>
  <c r="BD80" i="2"/>
  <c r="BE80" i="2"/>
  <c r="D82" i="2"/>
  <c r="F82" i="2"/>
  <c r="AX82" i="2"/>
  <c r="AY82" i="2"/>
  <c r="AZ82" i="2"/>
  <c r="BA82" i="2"/>
  <c r="BB82" i="2"/>
  <c r="BC82" i="2"/>
  <c r="BD82" i="2"/>
  <c r="BE82" i="2"/>
  <c r="D100" i="2"/>
  <c r="F100" i="2"/>
  <c r="AX100" i="2"/>
  <c r="AY100" i="2"/>
  <c r="AZ100" i="2"/>
  <c r="BA100" i="2"/>
  <c r="BB100" i="2"/>
  <c r="BC100" i="2"/>
  <c r="BD100" i="2"/>
  <c r="BE100" i="2"/>
  <c r="D59" i="2"/>
  <c r="F59" i="2"/>
  <c r="AX59" i="2"/>
  <c r="AY59" i="2"/>
  <c r="AZ59" i="2"/>
  <c r="BA59" i="2"/>
  <c r="BB59" i="2"/>
  <c r="BC59" i="2"/>
  <c r="BD59" i="2"/>
  <c r="BE59" i="2"/>
  <c r="D102" i="2"/>
  <c r="F102" i="2"/>
  <c r="AX102" i="2"/>
  <c r="AY102" i="2"/>
  <c r="AZ102" i="2"/>
  <c r="BA102" i="2"/>
  <c r="BB102" i="2"/>
  <c r="BC102" i="2"/>
  <c r="BD102" i="2"/>
  <c r="BE102" i="2"/>
  <c r="D89" i="2"/>
  <c r="F89" i="2"/>
  <c r="AX89" i="2"/>
  <c r="AY89" i="2"/>
  <c r="AZ89" i="2"/>
  <c r="BA89" i="2"/>
  <c r="BB89" i="2"/>
  <c r="BC89" i="2"/>
  <c r="BD89" i="2"/>
  <c r="BE89" i="2"/>
  <c r="D70" i="2"/>
  <c r="F70" i="2"/>
  <c r="AX70" i="2"/>
  <c r="AY70" i="2"/>
  <c r="AZ70" i="2"/>
  <c r="BA70" i="2"/>
  <c r="BB70" i="2"/>
  <c r="BC70" i="2"/>
  <c r="BD70" i="2"/>
  <c r="BE70" i="2"/>
  <c r="D88" i="2"/>
  <c r="F88" i="2"/>
  <c r="AX88" i="2"/>
  <c r="AY88" i="2"/>
  <c r="AZ88" i="2"/>
  <c r="BA88" i="2"/>
  <c r="BB88" i="2"/>
  <c r="BC88" i="2"/>
  <c r="BD88" i="2"/>
  <c r="BE88" i="2"/>
  <c r="D50" i="2"/>
  <c r="F50" i="2"/>
  <c r="AX50" i="2"/>
  <c r="AY50" i="2"/>
  <c r="AZ50" i="2"/>
  <c r="BA50" i="2"/>
  <c r="BB50" i="2"/>
  <c r="BC50" i="2"/>
  <c r="BD50" i="2"/>
  <c r="BE50" i="2"/>
  <c r="D78" i="2"/>
  <c r="F78" i="2"/>
  <c r="AX78" i="2"/>
  <c r="AY78" i="2"/>
  <c r="AZ78" i="2"/>
  <c r="BA78" i="2"/>
  <c r="BB78" i="2"/>
  <c r="BC78" i="2"/>
  <c r="BD78" i="2"/>
  <c r="BE78" i="2"/>
  <c r="D79" i="2"/>
  <c r="F79" i="2"/>
  <c r="AX79" i="2"/>
  <c r="AY79" i="2"/>
  <c r="AZ79" i="2"/>
  <c r="BA79" i="2"/>
  <c r="BB79" i="2"/>
  <c r="BC79" i="2"/>
  <c r="BD79" i="2"/>
  <c r="BE79" i="2"/>
  <c r="D69" i="2"/>
  <c r="F69" i="2"/>
  <c r="AX69" i="2"/>
  <c r="AY69" i="2"/>
  <c r="AZ69" i="2"/>
  <c r="BA69" i="2"/>
  <c r="BB69" i="2"/>
  <c r="BC69" i="2"/>
  <c r="BD69" i="2"/>
  <c r="BE69" i="2"/>
  <c r="D98" i="2"/>
  <c r="F98" i="2"/>
  <c r="AX98" i="2"/>
  <c r="AY98" i="2"/>
  <c r="AZ98" i="2"/>
  <c r="BA98" i="2"/>
  <c r="BB98" i="2"/>
  <c r="BC98" i="2"/>
  <c r="BD98" i="2"/>
  <c r="BE98" i="2"/>
  <c r="D99" i="2"/>
  <c r="F99" i="2"/>
  <c r="AX99" i="2"/>
  <c r="AY99" i="2"/>
  <c r="AZ99" i="2"/>
  <c r="BA99" i="2"/>
  <c r="BB99" i="2"/>
  <c r="BC99" i="2"/>
  <c r="BD99" i="2"/>
  <c r="BE99" i="2"/>
  <c r="D68" i="2"/>
  <c r="F68" i="2"/>
  <c r="AX68" i="2"/>
  <c r="AY68" i="2"/>
  <c r="AZ68" i="2"/>
  <c r="BA68" i="2"/>
  <c r="BB68" i="2"/>
  <c r="BC68" i="2"/>
  <c r="BD68" i="2"/>
  <c r="BE68" i="2"/>
  <c r="A1" i="2"/>
  <c r="C1" i="2"/>
  <c r="D1" i="2"/>
  <c r="F1" i="2"/>
  <c r="AX1" i="2"/>
  <c r="AY1" i="2"/>
  <c r="AZ1" i="2"/>
  <c r="BA1" i="2"/>
  <c r="BB1" i="2"/>
  <c r="BC1" i="2"/>
  <c r="BD1" i="2"/>
  <c r="BE1" i="2"/>
  <c r="P14" i="3" l="1"/>
  <c r="H10" i="3"/>
  <c r="H16" i="3"/>
  <c r="H23" i="3"/>
  <c r="H37" i="3"/>
  <c r="H40" i="3"/>
  <c r="H53" i="3"/>
  <c r="H60" i="3"/>
  <c r="H73" i="3"/>
  <c r="H122" i="3"/>
  <c r="H97" i="3"/>
  <c r="H100" i="3"/>
  <c r="H114" i="3"/>
  <c r="H28" i="3"/>
  <c r="H12" i="3"/>
  <c r="H64" i="3"/>
  <c r="H35" i="3"/>
  <c r="H26" i="3"/>
  <c r="H41" i="3"/>
  <c r="H42" i="3"/>
  <c r="H89" i="3"/>
  <c r="H94" i="3"/>
  <c r="H69" i="3"/>
  <c r="H119" i="3"/>
  <c r="H102" i="3"/>
  <c r="H116" i="3"/>
  <c r="H58" i="3"/>
  <c r="H3" i="3"/>
  <c r="H34" i="3"/>
  <c r="H18" i="3"/>
  <c r="H38" i="3"/>
  <c r="H61" i="3"/>
  <c r="H52" i="3"/>
  <c r="H66" i="3"/>
  <c r="H82" i="3"/>
  <c r="H93" i="3"/>
  <c r="H101" i="3"/>
  <c r="H84" i="3"/>
  <c r="H117" i="3"/>
  <c r="H2" i="3"/>
  <c r="H4" i="3"/>
  <c r="H7" i="3"/>
  <c r="H20" i="3"/>
  <c r="H25" i="3"/>
  <c r="H36" i="3"/>
  <c r="H62" i="3"/>
  <c r="H45" i="3"/>
  <c r="H109" i="3"/>
  <c r="H59" i="3"/>
  <c r="H98" i="3"/>
  <c r="H121" i="3"/>
  <c r="H106" i="3"/>
  <c r="H8" i="3"/>
  <c r="H21" i="3"/>
  <c r="H48" i="3"/>
  <c r="H56" i="3"/>
  <c r="H47" i="3"/>
  <c r="H68" i="3"/>
  <c r="H85" i="3"/>
  <c r="H87" i="3"/>
  <c r="H99" i="3"/>
  <c r="H83" i="3"/>
  <c r="H113" i="3"/>
  <c r="H103" i="3"/>
  <c r="H19" i="3"/>
  <c r="H49" i="3"/>
  <c r="H46" i="3"/>
  <c r="H76" i="3"/>
  <c r="H75" i="3"/>
  <c r="H104" i="3"/>
  <c r="H120" i="3"/>
  <c r="H111" i="3"/>
  <c r="H110" i="3"/>
  <c r="H15" i="3"/>
  <c r="H24" i="3"/>
  <c r="H27" i="3"/>
  <c r="H33" i="3"/>
  <c r="H43" i="3"/>
  <c r="H44" i="3"/>
  <c r="H70" i="3"/>
  <c r="H86" i="3"/>
  <c r="H71" i="3"/>
  <c r="H91" i="3"/>
  <c r="H96" i="3"/>
  <c r="H115" i="3"/>
  <c r="H5" i="3"/>
  <c r="H6" i="3"/>
  <c r="H17" i="3"/>
  <c r="H77" i="3"/>
  <c r="H31" i="3"/>
  <c r="H51" i="3"/>
  <c r="H105" i="3"/>
  <c r="H90" i="3"/>
  <c r="H63" i="3"/>
  <c r="H92" i="3"/>
  <c r="H88" i="3"/>
  <c r="H107" i="3"/>
  <c r="H9" i="3"/>
  <c r="H11" i="3"/>
  <c r="H30" i="3"/>
  <c r="H29" i="3"/>
  <c r="H39" i="3"/>
  <c r="H65" i="3"/>
  <c r="H72" i="3"/>
  <c r="H54" i="3"/>
  <c r="H67" i="3"/>
  <c r="H80" i="3"/>
  <c r="H81" i="3"/>
  <c r="H118" i="3"/>
  <c r="H50" i="3"/>
  <c r="H13" i="3"/>
  <c r="H112" i="3"/>
  <c r="H22" i="3"/>
  <c r="H32" i="3"/>
  <c r="H78" i="3"/>
  <c r="H57" i="3"/>
  <c r="H108" i="3"/>
  <c r="H55" i="3"/>
  <c r="H79" i="3"/>
  <c r="H95" i="3"/>
  <c r="H74" i="3"/>
  <c r="H14" i="3"/>
  <c r="P60" i="3"/>
  <c r="P98" i="3"/>
  <c r="P112" i="3"/>
  <c r="P106" i="3"/>
  <c r="P69" i="3"/>
  <c r="P67" i="3"/>
  <c r="P100" i="3"/>
  <c r="P77" i="3"/>
  <c r="P74" i="3"/>
  <c r="P81" i="3"/>
  <c r="P52" i="3"/>
  <c r="P104" i="3"/>
  <c r="P80" i="3"/>
  <c r="P114" i="3"/>
  <c r="P122" i="3"/>
  <c r="P119" i="3"/>
  <c r="P109" i="3"/>
  <c r="P44" i="3"/>
  <c r="P121" i="3"/>
  <c r="P68" i="3"/>
  <c r="P85" i="3"/>
  <c r="P94" i="3"/>
  <c r="P5" i="3"/>
  <c r="P45" i="3"/>
  <c r="P110" i="3"/>
  <c r="P79" i="3"/>
  <c r="P64" i="3"/>
  <c r="P70" i="3"/>
  <c r="P65" i="3"/>
  <c r="P102" i="3"/>
  <c r="P6" i="3"/>
  <c r="P10" i="3"/>
  <c r="P2" i="3"/>
  <c r="P83" i="3"/>
  <c r="P101" i="3"/>
  <c r="P84" i="3"/>
  <c r="P115" i="3"/>
  <c r="P105" i="3"/>
  <c r="P26" i="3"/>
  <c r="P35" i="3"/>
  <c r="P56" i="3"/>
  <c r="P23" i="3"/>
  <c r="P62" i="3"/>
  <c r="P117" i="3"/>
  <c r="P34" i="3"/>
  <c r="P47" i="3"/>
  <c r="P21" i="3"/>
  <c r="P40" i="3"/>
  <c r="P4" i="3"/>
  <c r="P3" i="3"/>
  <c r="P8" i="3"/>
  <c r="P7" i="3"/>
  <c r="P11" i="3"/>
  <c r="P28" i="3"/>
  <c r="P37" i="3"/>
  <c r="P116" i="3"/>
  <c r="P93" i="3"/>
  <c r="P25" i="3"/>
  <c r="P9" i="3"/>
  <c r="P33" i="3"/>
  <c r="P22" i="3"/>
  <c r="P32" i="3"/>
  <c r="P36" i="3"/>
  <c r="P38" i="3"/>
  <c r="P58" i="3"/>
  <c r="P24" i="3"/>
  <c r="P15" i="3"/>
  <c r="P18" i="3"/>
  <c r="P71" i="3"/>
  <c r="P55" i="3"/>
  <c r="P87" i="3"/>
  <c r="P50" i="3"/>
  <c r="P59" i="3"/>
  <c r="P49" i="3"/>
  <c r="P107" i="3"/>
  <c r="P42" i="3"/>
  <c r="P43" i="3"/>
  <c r="P95" i="3"/>
  <c r="P72" i="3"/>
  <c r="P111" i="3"/>
  <c r="P53" i="3"/>
  <c r="P48" i="3"/>
  <c r="P97" i="3"/>
  <c r="P96" i="3"/>
  <c r="P120" i="3"/>
  <c r="P73" i="3"/>
  <c r="P12" i="3"/>
  <c r="P86" i="3"/>
  <c r="P46" i="3"/>
  <c r="P31" i="3"/>
  <c r="P51" i="3"/>
  <c r="P89" i="3"/>
  <c r="P90" i="3"/>
  <c r="P92" i="3"/>
  <c r="P17" i="3"/>
  <c r="P61" i="3"/>
  <c r="P76" i="3"/>
  <c r="P41" i="3"/>
  <c r="P19" i="3"/>
  <c r="P16" i="3"/>
  <c r="P88" i="3"/>
  <c r="P30" i="3"/>
  <c r="P13" i="3"/>
  <c r="P78" i="3"/>
  <c r="P108" i="3"/>
  <c r="P54" i="3"/>
  <c r="P29" i="3"/>
  <c r="P113" i="3"/>
  <c r="P103" i="3"/>
  <c r="P91" i="3"/>
  <c r="P27" i="3"/>
  <c r="P99" i="3"/>
  <c r="P75" i="3"/>
  <c r="P63" i="3"/>
  <c r="P20" i="3"/>
  <c r="P118" i="3"/>
  <c r="P57" i="3"/>
  <c r="P82" i="3"/>
  <c r="P66" i="3"/>
  <c r="P39" i="3"/>
  <c r="AG124" i="3"/>
  <c r="AG123" i="3"/>
  <c r="N71" i="3" s="1"/>
  <c r="AH81" i="3"/>
  <c r="AH66" i="3"/>
  <c r="AH54" i="3"/>
  <c r="AH90" i="3"/>
  <c r="AH110" i="3"/>
  <c r="AH78" i="3"/>
  <c r="AH13" i="3"/>
  <c r="AH31" i="3"/>
  <c r="AH69" i="3"/>
  <c r="AH95" i="3"/>
  <c r="AH52" i="3"/>
  <c r="AH83" i="3"/>
  <c r="AH25" i="3"/>
  <c r="AH113" i="3"/>
  <c r="AH29" i="3"/>
  <c r="AH92" i="3"/>
  <c r="AH59" i="3"/>
  <c r="AH45" i="3"/>
  <c r="AH89" i="3"/>
  <c r="AH105" i="3"/>
  <c r="AH32" i="3"/>
  <c r="AH72" i="3"/>
  <c r="AH71" i="3"/>
  <c r="AH112" i="3"/>
  <c r="AH79" i="3"/>
  <c r="AH4" i="3"/>
  <c r="AH17" i="3"/>
  <c r="AH21" i="3"/>
  <c r="AH117" i="3"/>
  <c r="AH122" i="3"/>
  <c r="AH102" i="3"/>
  <c r="AH11" i="3"/>
  <c r="AH55" i="3"/>
  <c r="AH33" i="3"/>
  <c r="AH91" i="3"/>
  <c r="N14" i="3"/>
  <c r="N16" i="3"/>
  <c r="N22" i="3"/>
  <c r="Y124" i="3"/>
  <c r="Y123" i="3"/>
  <c r="AD124" i="3"/>
  <c r="AD123" i="3"/>
  <c r="X124" i="3"/>
  <c r="X123" i="3"/>
  <c r="AF124" i="3"/>
  <c r="AF123" i="3"/>
  <c r="AB124" i="3"/>
  <c r="AB123" i="3"/>
  <c r="AA124" i="3"/>
  <c r="AA123" i="3"/>
  <c r="AC124" i="3"/>
  <c r="AC123" i="3"/>
  <c r="T124" i="3"/>
  <c r="T123" i="3"/>
  <c r="Z124" i="3"/>
  <c r="Z123" i="3"/>
  <c r="W124" i="3"/>
  <c r="W123" i="3"/>
  <c r="U124" i="3"/>
  <c r="U123" i="3"/>
  <c r="V124" i="3"/>
  <c r="V123" i="3"/>
  <c r="AK57" i="2"/>
  <c r="AL57" i="2"/>
  <c r="AT57" i="2" s="1"/>
  <c r="AJ57" i="2"/>
  <c r="AQ57" i="2"/>
  <c r="AM57" i="2"/>
  <c r="AN57" i="2"/>
  <c r="AO57" i="2"/>
  <c r="AP57" i="2"/>
  <c r="AR57" i="2" s="1"/>
  <c r="AM33" i="2"/>
  <c r="AN33" i="2"/>
  <c r="AJ33" i="2"/>
  <c r="AK33" i="2"/>
  <c r="AL33" i="2"/>
  <c r="AT33" i="2" s="1"/>
  <c r="AO33" i="2"/>
  <c r="AP33" i="2"/>
  <c r="AR33" i="2" s="1"/>
  <c r="AQ33" i="2"/>
  <c r="AM40" i="2"/>
  <c r="AJ40" i="2"/>
  <c r="AN40" i="2"/>
  <c r="AK40" i="2"/>
  <c r="AO40" i="2"/>
  <c r="AP40" i="2"/>
  <c r="AR40" i="2" s="1"/>
  <c r="AL40" i="2"/>
  <c r="AT40" i="2" s="1"/>
  <c r="AQ40" i="2"/>
  <c r="AK25" i="2"/>
  <c r="AL25" i="2"/>
  <c r="AT25" i="2" s="1"/>
  <c r="AJ25" i="2"/>
  <c r="AM25" i="2"/>
  <c r="AO25" i="2"/>
  <c r="AP25" i="2"/>
  <c r="AR25" i="2" s="1"/>
  <c r="AQ25" i="2"/>
  <c r="AN25" i="2"/>
  <c r="AJ76" i="2"/>
  <c r="AL76" i="2"/>
  <c r="AT76" i="2" s="1"/>
  <c r="AM76" i="2"/>
  <c r="AN76" i="2"/>
  <c r="AK76" i="2"/>
  <c r="AQ76" i="2"/>
  <c r="AO76" i="2"/>
  <c r="AP76" i="2"/>
  <c r="AR76" i="2" s="1"/>
  <c r="AJ21" i="2"/>
  <c r="AK21" i="2"/>
  <c r="AM21" i="2"/>
  <c r="AO21" i="2"/>
  <c r="AP21" i="2"/>
  <c r="AR21" i="2" s="1"/>
  <c r="AL21" i="2"/>
  <c r="AT21" i="2" s="1"/>
  <c r="AQ21" i="2"/>
  <c r="AN21" i="2"/>
  <c r="AJ41" i="2"/>
  <c r="AK41" i="2"/>
  <c r="AN41" i="2"/>
  <c r="AL41" i="2"/>
  <c r="AT41" i="2" s="1"/>
  <c r="AO41" i="2"/>
  <c r="AM41" i="2"/>
  <c r="AP41" i="2"/>
  <c r="AR41" i="2" s="1"/>
  <c r="AQ41" i="2"/>
  <c r="AK43" i="2"/>
  <c r="AL43" i="2"/>
  <c r="AT43" i="2" s="1"/>
  <c r="AJ43" i="2"/>
  <c r="AM43" i="2"/>
  <c r="AN43" i="2"/>
  <c r="AO43" i="2"/>
  <c r="AP43" i="2"/>
  <c r="AR43" i="2" s="1"/>
  <c r="AQ43" i="2"/>
  <c r="AJ65" i="2"/>
  <c r="AN65" i="2"/>
  <c r="AK65" i="2"/>
  <c r="AL65" i="2"/>
  <c r="AT65" i="2" s="1"/>
  <c r="AO65" i="2"/>
  <c r="AM65" i="2"/>
  <c r="AP65" i="2"/>
  <c r="AR65" i="2" s="1"/>
  <c r="AQ65" i="2"/>
  <c r="AJ29" i="2"/>
  <c r="AK29" i="2"/>
  <c r="AL29" i="2"/>
  <c r="AT29" i="2" s="1"/>
  <c r="AM29" i="2"/>
  <c r="AN29" i="2"/>
  <c r="AO29" i="2"/>
  <c r="AP29" i="2"/>
  <c r="AR29" i="2" s="1"/>
  <c r="AQ29" i="2"/>
  <c r="AM58" i="2"/>
  <c r="AJ58" i="2"/>
  <c r="AO58" i="2"/>
  <c r="AP58" i="2"/>
  <c r="AR58" i="2" s="1"/>
  <c r="AQ58" i="2"/>
  <c r="AK58" i="2"/>
  <c r="AL58" i="2"/>
  <c r="AT58" i="2" s="1"/>
  <c r="AN58" i="2"/>
  <c r="AK22" i="2"/>
  <c r="AL22" i="2"/>
  <c r="AT22" i="2" s="1"/>
  <c r="AJ22" i="2"/>
  <c r="AM22" i="2"/>
  <c r="AN22" i="2"/>
  <c r="AO22" i="2"/>
  <c r="AP22" i="2"/>
  <c r="AR22" i="2" s="1"/>
  <c r="AQ22" i="2"/>
  <c r="AK34" i="2"/>
  <c r="AL34" i="2"/>
  <c r="AT34" i="2" s="1"/>
  <c r="AJ34" i="2"/>
  <c r="AM34" i="2"/>
  <c r="AN34" i="2"/>
  <c r="AP34" i="2"/>
  <c r="AR34" i="2" s="1"/>
  <c r="AQ34" i="2"/>
  <c r="AO34" i="2"/>
  <c r="AK36" i="2"/>
  <c r="AL36" i="2"/>
  <c r="AT36" i="2" s="1"/>
  <c r="AM36" i="2"/>
  <c r="AN36" i="2"/>
  <c r="AJ36" i="2"/>
  <c r="AO36" i="2"/>
  <c r="AP36" i="2"/>
  <c r="AR36" i="2" s="1"/>
  <c r="AQ36" i="2"/>
  <c r="AS36" i="2" s="1"/>
  <c r="AM61" i="2"/>
  <c r="AN61" i="2"/>
  <c r="AJ61" i="2"/>
  <c r="AK61" i="2"/>
  <c r="AO61" i="2"/>
  <c r="AP61" i="2"/>
  <c r="AR61" i="2" s="1"/>
  <c r="AL61" i="2"/>
  <c r="AT61" i="2" s="1"/>
  <c r="AQ61" i="2"/>
  <c r="AK18" i="2"/>
  <c r="AL18" i="2"/>
  <c r="AT18" i="2" s="1"/>
  <c r="AM18" i="2"/>
  <c r="AJ18" i="2"/>
  <c r="AN18" i="2"/>
  <c r="AO18" i="2"/>
  <c r="AP18" i="2"/>
  <c r="AR18" i="2" s="1"/>
  <c r="AQ18" i="2"/>
  <c r="AS18" i="2" s="1"/>
  <c r="AJ19" i="2"/>
  <c r="AM19" i="2"/>
  <c r="AN19" i="2"/>
  <c r="AK19" i="2"/>
  <c r="AL19" i="2"/>
  <c r="AT19" i="2" s="1"/>
  <c r="AO19" i="2"/>
  <c r="AP19" i="2"/>
  <c r="AR19" i="2" s="1"/>
  <c r="AQ19" i="2"/>
  <c r="AK27" i="2"/>
  <c r="AL27" i="2"/>
  <c r="AT27" i="2" s="1"/>
  <c r="AM27" i="2"/>
  <c r="AN27" i="2"/>
  <c r="AJ27" i="2"/>
  <c r="AQ27" i="2"/>
  <c r="AO27" i="2"/>
  <c r="AP27" i="2"/>
  <c r="AR27" i="2" s="1"/>
  <c r="AJ23" i="2"/>
  <c r="AK23" i="2"/>
  <c r="AL23" i="2"/>
  <c r="AT23" i="2" s="1"/>
  <c r="AN23" i="2"/>
  <c r="AM23" i="2"/>
  <c r="AO23" i="2"/>
  <c r="AP23" i="2"/>
  <c r="AR23" i="2" s="1"/>
  <c r="AQ23" i="2"/>
  <c r="AK38" i="2"/>
  <c r="AL38" i="2"/>
  <c r="AT38" i="2" s="1"/>
  <c r="AM38" i="2"/>
  <c r="AN38" i="2"/>
  <c r="AJ38" i="2"/>
  <c r="AO38" i="2"/>
  <c r="AP38" i="2"/>
  <c r="AR38" i="2" s="1"/>
  <c r="AQ38" i="2"/>
  <c r="AJ39" i="2"/>
  <c r="AK39" i="2"/>
  <c r="AL39" i="2"/>
  <c r="AT39" i="2" s="1"/>
  <c r="AM39" i="2"/>
  <c r="AO39" i="2"/>
  <c r="AP39" i="2"/>
  <c r="AR39" i="2" s="1"/>
  <c r="AQ39" i="2"/>
  <c r="AS39" i="2" s="1"/>
  <c r="AN39" i="2"/>
  <c r="AJ20" i="2"/>
  <c r="AK20" i="2"/>
  <c r="AL20" i="2"/>
  <c r="AT20" i="2" s="1"/>
  <c r="AM20" i="2"/>
  <c r="AN20" i="2"/>
  <c r="AO20" i="2"/>
  <c r="AP20" i="2"/>
  <c r="AR20" i="2" s="1"/>
  <c r="AQ20" i="2"/>
  <c r="AK10" i="2"/>
  <c r="AJ10" i="2"/>
  <c r="AL10" i="2"/>
  <c r="AT10" i="2" s="1"/>
  <c r="AM10" i="2"/>
  <c r="AN10" i="2"/>
  <c r="AO10" i="2"/>
  <c r="AP10" i="2"/>
  <c r="AR10" i="2" s="1"/>
  <c r="AQ10" i="2"/>
  <c r="AJ30" i="2"/>
  <c r="AK30" i="2"/>
  <c r="AL30" i="2"/>
  <c r="AT30" i="2" s="1"/>
  <c r="AN30" i="2"/>
  <c r="AM30" i="2"/>
  <c r="AO30" i="2"/>
  <c r="AP30" i="2"/>
  <c r="AR30" i="2" s="1"/>
  <c r="AQ30" i="2"/>
  <c r="AJ9" i="2"/>
  <c r="AK9" i="2"/>
  <c r="AL9" i="2"/>
  <c r="AT9" i="2" s="1"/>
  <c r="AM9" i="2"/>
  <c r="AN9" i="2"/>
  <c r="AO9" i="2"/>
  <c r="AP9" i="2"/>
  <c r="AR9" i="2" s="1"/>
  <c r="AQ9" i="2"/>
  <c r="AS9" i="2" s="1"/>
  <c r="AK8" i="2"/>
  <c r="AL8" i="2"/>
  <c r="AT8" i="2" s="1"/>
  <c r="AM8" i="2"/>
  <c r="AN8" i="2"/>
  <c r="AJ8" i="2"/>
  <c r="AO8" i="2"/>
  <c r="AP8" i="2"/>
  <c r="AR8" i="2" s="1"/>
  <c r="AQ8" i="2"/>
  <c r="AJ11" i="2"/>
  <c r="AK11" i="2"/>
  <c r="AL11" i="2"/>
  <c r="AT11" i="2" s="1"/>
  <c r="AM11" i="2"/>
  <c r="AO11" i="2"/>
  <c r="AP11" i="2"/>
  <c r="AR11" i="2" s="1"/>
  <c r="AQ11" i="2"/>
  <c r="AN11" i="2"/>
  <c r="AL12" i="2"/>
  <c r="AT12" i="2" s="1"/>
  <c r="AM12" i="2"/>
  <c r="AN12" i="2"/>
  <c r="AJ12" i="2"/>
  <c r="AO12" i="2"/>
  <c r="AP12" i="2"/>
  <c r="AR12" i="2" s="1"/>
  <c r="AK12" i="2"/>
  <c r="AQ12" i="2"/>
  <c r="AL26" i="2"/>
  <c r="AT26" i="2" s="1"/>
  <c r="AM26" i="2"/>
  <c r="AN26" i="2"/>
  <c r="AJ26" i="2"/>
  <c r="AO26" i="2"/>
  <c r="AP26" i="2"/>
  <c r="AR26" i="2" s="1"/>
  <c r="AK26" i="2"/>
  <c r="AQ26" i="2"/>
  <c r="AK7" i="2"/>
  <c r="AL7" i="2"/>
  <c r="AT7" i="2" s="1"/>
  <c r="AJ7" i="2"/>
  <c r="AM7" i="2"/>
  <c r="AQ7" i="2"/>
  <c r="AN7" i="2"/>
  <c r="AO7" i="2"/>
  <c r="AP7" i="2"/>
  <c r="AR7" i="2" s="1"/>
  <c r="AK13" i="2"/>
  <c r="AJ13" i="2"/>
  <c r="AL13" i="2"/>
  <c r="AT13" i="2" s="1"/>
  <c r="AM13" i="2"/>
  <c r="AN13" i="2"/>
  <c r="AO13" i="2"/>
  <c r="AP13" i="2"/>
  <c r="AR13" i="2" s="1"/>
  <c r="AQ13" i="2"/>
  <c r="AN5" i="2"/>
  <c r="AJ5" i="2"/>
  <c r="AK5" i="2"/>
  <c r="AL5" i="2"/>
  <c r="AT5" i="2" s="1"/>
  <c r="AM5" i="2"/>
  <c r="AO5" i="2"/>
  <c r="AP5" i="2"/>
  <c r="AR5" i="2" s="1"/>
  <c r="AQ5" i="2"/>
  <c r="AK17" i="2"/>
  <c r="AL17" i="2"/>
  <c r="AT17" i="2" s="1"/>
  <c r="AM17" i="2"/>
  <c r="AN17" i="2"/>
  <c r="AJ17" i="2"/>
  <c r="AQ17" i="2"/>
  <c r="AO17" i="2"/>
  <c r="AP17" i="2"/>
  <c r="AR17" i="2" s="1"/>
  <c r="AK6" i="2"/>
  <c r="AL6" i="2"/>
  <c r="AT6" i="2" s="1"/>
  <c r="AM6" i="2"/>
  <c r="AN6" i="2"/>
  <c r="AJ6" i="2"/>
  <c r="AO6" i="2"/>
  <c r="AP6" i="2"/>
  <c r="AR6" i="2" s="1"/>
  <c r="AQ6" i="2"/>
  <c r="AK15" i="2"/>
  <c r="AL15" i="2"/>
  <c r="AT15" i="2" s="1"/>
  <c r="AM15" i="2"/>
  <c r="AN15" i="2"/>
  <c r="AJ15" i="2"/>
  <c r="AO15" i="2"/>
  <c r="AP15" i="2"/>
  <c r="AR15" i="2" s="1"/>
  <c r="AQ15" i="2"/>
  <c r="AM14" i="2"/>
  <c r="AN14" i="2"/>
  <c r="AJ14" i="2"/>
  <c r="AK14" i="2"/>
  <c r="AP14" i="2"/>
  <c r="AR14" i="2" s="1"/>
  <c r="AQ14" i="2"/>
  <c r="AL14" i="2"/>
  <c r="AT14" i="2" s="1"/>
  <c r="AO14" i="2"/>
  <c r="AM3" i="2"/>
  <c r="AN3" i="2"/>
  <c r="AJ3" i="2"/>
  <c r="AK3" i="2"/>
  <c r="AL3" i="2"/>
  <c r="AT3" i="2" s="1"/>
  <c r="AO3" i="2"/>
  <c r="AP3" i="2"/>
  <c r="AR3" i="2" s="1"/>
  <c r="AQ3" i="2"/>
  <c r="AK4" i="2"/>
  <c r="AL4" i="2"/>
  <c r="AT4" i="2" s="1"/>
  <c r="AJ4" i="2"/>
  <c r="AM4" i="2"/>
  <c r="AN4" i="2"/>
  <c r="AP4" i="2"/>
  <c r="AR4" i="2" s="1"/>
  <c r="AQ4" i="2"/>
  <c r="AO4" i="2"/>
  <c r="AJ2" i="2"/>
  <c r="AK2" i="2"/>
  <c r="AL2" i="2"/>
  <c r="AT2" i="2" s="1"/>
  <c r="AM2" i="2"/>
  <c r="AN2" i="2"/>
  <c r="AO2" i="2"/>
  <c r="AP2" i="2"/>
  <c r="AR2" i="2" s="1"/>
  <c r="AQ2" i="2"/>
  <c r="AJ99" i="2"/>
  <c r="AK99" i="2"/>
  <c r="AL99" i="2"/>
  <c r="AT99" i="2" s="1"/>
  <c r="AM99" i="2"/>
  <c r="AN99" i="2"/>
  <c r="AP99" i="2"/>
  <c r="AR99" i="2" s="1"/>
  <c r="AQ99" i="2"/>
  <c r="AS99" i="2" s="1"/>
  <c r="AO99" i="2"/>
  <c r="AJ79" i="2"/>
  <c r="AN79" i="2"/>
  <c r="AK79" i="2"/>
  <c r="AL79" i="2"/>
  <c r="AT79" i="2" s="1"/>
  <c r="AM79" i="2"/>
  <c r="AO79" i="2"/>
  <c r="AP79" i="2"/>
  <c r="AR79" i="2" s="1"/>
  <c r="AQ79" i="2"/>
  <c r="AJ89" i="2"/>
  <c r="AL89" i="2"/>
  <c r="AT89" i="2" s="1"/>
  <c r="AM89" i="2"/>
  <c r="AN89" i="2"/>
  <c r="AK89" i="2"/>
  <c r="AO89" i="2"/>
  <c r="AP89" i="2"/>
  <c r="AR89" i="2" s="1"/>
  <c r="AQ89" i="2"/>
  <c r="AL80" i="2"/>
  <c r="AT80" i="2" s="1"/>
  <c r="AJ80" i="2"/>
  <c r="AM80" i="2"/>
  <c r="AN80" i="2"/>
  <c r="AK80" i="2"/>
  <c r="AQ80" i="2"/>
  <c r="AO80" i="2"/>
  <c r="AP80" i="2"/>
  <c r="AR80" i="2" s="1"/>
  <c r="AJ110" i="2"/>
  <c r="AK110" i="2"/>
  <c r="AL110" i="2"/>
  <c r="AT110" i="2" s="1"/>
  <c r="AM110" i="2"/>
  <c r="AN110" i="2"/>
  <c r="AQ110" i="2"/>
  <c r="AO110" i="2"/>
  <c r="AP110" i="2"/>
  <c r="AR110" i="2" s="1"/>
  <c r="AK62" i="2"/>
  <c r="AJ62" i="2"/>
  <c r="AL62" i="2"/>
  <c r="AT62" i="2" s="1"/>
  <c r="AO62" i="2"/>
  <c r="AM62" i="2"/>
  <c r="AP62" i="2"/>
  <c r="AR62" i="2" s="1"/>
  <c r="AN62" i="2"/>
  <c r="AQ62" i="2"/>
  <c r="AK94" i="2"/>
  <c r="AL94" i="2"/>
  <c r="AT94" i="2" s="1"/>
  <c r="AJ94" i="2"/>
  <c r="AP94" i="2"/>
  <c r="AR94" i="2" s="1"/>
  <c r="AQ94" i="2"/>
  <c r="AM94" i="2"/>
  <c r="AN94" i="2"/>
  <c r="AO94" i="2"/>
  <c r="AJ86" i="2"/>
  <c r="AM86" i="2"/>
  <c r="AK86" i="2"/>
  <c r="AL86" i="2"/>
  <c r="AT86" i="2" s="1"/>
  <c r="AN86" i="2"/>
  <c r="AO86" i="2"/>
  <c r="AP86" i="2"/>
  <c r="AR86" i="2" s="1"/>
  <c r="AQ86" i="2"/>
  <c r="AJ67" i="2"/>
  <c r="AQ67" i="2"/>
  <c r="AK67" i="2"/>
  <c r="AL67" i="2"/>
  <c r="AT67" i="2" s="1"/>
  <c r="AM67" i="2"/>
  <c r="AN67" i="2"/>
  <c r="AO67" i="2"/>
  <c r="AP67" i="2"/>
  <c r="AR67" i="2" s="1"/>
  <c r="AJ101" i="2"/>
  <c r="AO101" i="2"/>
  <c r="AP101" i="2"/>
  <c r="AR101" i="2" s="1"/>
  <c r="AK101" i="2"/>
  <c r="AQ101" i="2"/>
  <c r="AL101" i="2"/>
  <c r="AT101" i="2" s="1"/>
  <c r="AM101" i="2"/>
  <c r="AN101" i="2"/>
  <c r="AJ90" i="2"/>
  <c r="AK90" i="2"/>
  <c r="AL90" i="2"/>
  <c r="AT90" i="2" s="1"/>
  <c r="AM90" i="2"/>
  <c r="AN90" i="2"/>
  <c r="AQ90" i="2"/>
  <c r="AO90" i="2"/>
  <c r="AP90" i="2"/>
  <c r="AR90" i="2" s="1"/>
  <c r="AJ103" i="2"/>
  <c r="AK103" i="2"/>
  <c r="AL103" i="2"/>
  <c r="AT103" i="2" s="1"/>
  <c r="AM103" i="2"/>
  <c r="AN103" i="2"/>
  <c r="AO103" i="2"/>
  <c r="AP103" i="2"/>
  <c r="AR103" i="2" s="1"/>
  <c r="AQ103" i="2"/>
  <c r="AJ109" i="2"/>
  <c r="AK109" i="2"/>
  <c r="AL109" i="2"/>
  <c r="AT109" i="2" s="1"/>
  <c r="AM109" i="2"/>
  <c r="AN109" i="2"/>
  <c r="AO109" i="2"/>
  <c r="AP109" i="2"/>
  <c r="AR109" i="2" s="1"/>
  <c r="AQ109" i="2"/>
  <c r="AJ95" i="2"/>
  <c r="AN95" i="2"/>
  <c r="AL95" i="2"/>
  <c r="AT95" i="2" s="1"/>
  <c r="AM95" i="2"/>
  <c r="AO95" i="2"/>
  <c r="AK95" i="2"/>
  <c r="AP95" i="2"/>
  <c r="AR95" i="2" s="1"/>
  <c r="AQ95" i="2"/>
  <c r="AN56" i="2"/>
  <c r="AJ56" i="2"/>
  <c r="AL56" i="2"/>
  <c r="AT56" i="2" s="1"/>
  <c r="AM56" i="2"/>
  <c r="AO56" i="2"/>
  <c r="AP56" i="2"/>
  <c r="AR56" i="2" s="1"/>
  <c r="AQ56" i="2"/>
  <c r="AK56" i="2"/>
  <c r="AK85" i="2"/>
  <c r="AL85" i="2"/>
  <c r="AT85" i="2" s="1"/>
  <c r="AJ85" i="2"/>
  <c r="AO85" i="2"/>
  <c r="AM85" i="2"/>
  <c r="AN85" i="2"/>
  <c r="AP85" i="2"/>
  <c r="AR85" i="2" s="1"/>
  <c r="AQ85" i="2"/>
  <c r="AL31" i="2"/>
  <c r="AT31" i="2" s="1"/>
  <c r="AM31" i="2"/>
  <c r="AJ31" i="2"/>
  <c r="AN31" i="2"/>
  <c r="AO31" i="2"/>
  <c r="AK31" i="2"/>
  <c r="AP31" i="2"/>
  <c r="AR31" i="2" s="1"/>
  <c r="AQ31" i="2"/>
  <c r="AM75" i="2"/>
  <c r="AN75" i="2"/>
  <c r="AJ75" i="2"/>
  <c r="AK75" i="2"/>
  <c r="AO75" i="2"/>
  <c r="AL75" i="2"/>
  <c r="AT75" i="2" s="1"/>
  <c r="AP75" i="2"/>
  <c r="AR75" i="2" s="1"/>
  <c r="AQ75" i="2"/>
  <c r="AM47" i="2"/>
  <c r="AN47" i="2"/>
  <c r="AJ47" i="2"/>
  <c r="AK47" i="2"/>
  <c r="AQ47" i="2"/>
  <c r="AL47" i="2"/>
  <c r="AT47" i="2" s="1"/>
  <c r="AO47" i="2"/>
  <c r="AP47" i="2"/>
  <c r="AR47" i="2" s="1"/>
  <c r="AK16" i="2"/>
  <c r="AJ16" i="2"/>
  <c r="AM16" i="2"/>
  <c r="AO16" i="2"/>
  <c r="AP16" i="2"/>
  <c r="AR16" i="2" s="1"/>
  <c r="AQ16" i="2"/>
  <c r="AS16" i="2" s="1"/>
  <c r="AL16" i="2"/>
  <c r="AT16" i="2" s="1"/>
  <c r="AN16" i="2"/>
  <c r="AJ32" i="2"/>
  <c r="AK32" i="2"/>
  <c r="AL32" i="2"/>
  <c r="AT32" i="2" s="1"/>
  <c r="AM32" i="2"/>
  <c r="AN32" i="2"/>
  <c r="AO32" i="2"/>
  <c r="AP32" i="2"/>
  <c r="AR32" i="2" s="1"/>
  <c r="AQ32" i="2"/>
  <c r="AH99" i="2"/>
  <c r="AI99" i="2"/>
  <c r="AG99" i="2"/>
  <c r="AH69" i="2"/>
  <c r="AI69" i="2"/>
  <c r="AG69" i="2"/>
  <c r="AH78" i="2"/>
  <c r="AI78" i="2"/>
  <c r="AG78" i="2"/>
  <c r="AH50" i="2"/>
  <c r="AG50" i="2"/>
  <c r="AI50" i="2"/>
  <c r="AH88" i="2"/>
  <c r="AI88" i="2"/>
  <c r="AG88" i="2"/>
  <c r="AH89" i="2"/>
  <c r="AI89" i="2"/>
  <c r="AG89" i="2"/>
  <c r="AG102" i="2"/>
  <c r="AH102" i="2"/>
  <c r="AI102" i="2"/>
  <c r="AG82" i="2"/>
  <c r="AH82" i="2"/>
  <c r="AI82" i="2"/>
  <c r="AG105" i="2"/>
  <c r="AH105" i="2"/>
  <c r="AI105" i="2"/>
  <c r="AH110" i="2"/>
  <c r="AG110" i="2"/>
  <c r="AI110" i="2"/>
  <c r="AG104" i="2"/>
  <c r="AH104" i="2"/>
  <c r="AI104" i="2"/>
  <c r="AG72" i="2"/>
  <c r="AH72" i="2"/>
  <c r="AI72" i="2"/>
  <c r="AG94" i="2"/>
  <c r="AH94" i="2"/>
  <c r="AI94" i="2"/>
  <c r="AG55" i="2"/>
  <c r="AH55" i="2"/>
  <c r="AI55" i="2"/>
  <c r="AG64" i="2"/>
  <c r="AH64" i="2"/>
  <c r="AI64" i="2"/>
  <c r="AH28" i="2"/>
  <c r="AI28" i="2"/>
  <c r="AG28" i="2"/>
  <c r="AI86" i="2"/>
  <c r="AG86" i="2"/>
  <c r="AH86" i="2"/>
  <c r="AH60" i="2"/>
  <c r="AG60" i="2"/>
  <c r="AI60" i="2"/>
  <c r="AG83" i="2"/>
  <c r="AH83" i="2"/>
  <c r="AI83" i="2"/>
  <c r="AI91" i="2"/>
  <c r="AG91" i="2"/>
  <c r="AH91" i="2"/>
  <c r="AH67" i="2"/>
  <c r="AI67" i="2"/>
  <c r="AG67" i="2"/>
  <c r="AI101" i="2"/>
  <c r="AG101" i="2"/>
  <c r="AH101" i="2"/>
  <c r="AI106" i="2"/>
  <c r="AG106" i="2"/>
  <c r="AH106" i="2"/>
  <c r="AI111" i="2"/>
  <c r="AG111" i="2"/>
  <c r="AH111" i="2"/>
  <c r="AH90" i="2"/>
  <c r="AG90" i="2"/>
  <c r="AI90" i="2"/>
  <c r="AG103" i="2"/>
  <c r="AH103" i="2"/>
  <c r="AI103" i="2"/>
  <c r="AH108" i="2"/>
  <c r="AI108" i="2"/>
  <c r="AG108" i="2"/>
  <c r="AI66" i="2"/>
  <c r="AG66" i="2"/>
  <c r="AH66" i="2"/>
  <c r="AH109" i="2"/>
  <c r="AI109" i="2"/>
  <c r="AG109" i="2"/>
  <c r="AH49" i="2"/>
  <c r="AI49" i="2"/>
  <c r="AG49" i="2"/>
  <c r="AH87" i="2"/>
  <c r="AI87" i="2"/>
  <c r="AG87" i="2"/>
  <c r="AI81" i="2"/>
  <c r="AG81" i="2"/>
  <c r="AH81" i="2"/>
  <c r="AG95" i="2"/>
  <c r="AH95" i="2"/>
  <c r="AI95" i="2"/>
  <c r="AG84" i="2"/>
  <c r="AH84" i="2"/>
  <c r="AI84" i="2"/>
  <c r="AG42" i="2"/>
  <c r="AH42" i="2"/>
  <c r="AI42" i="2"/>
  <c r="AG44" i="2"/>
  <c r="AH44" i="2"/>
  <c r="AI44" i="2"/>
  <c r="AI56" i="2"/>
  <c r="AG56" i="2"/>
  <c r="AH56" i="2"/>
  <c r="AH57" i="2"/>
  <c r="AI57" i="2"/>
  <c r="AG57" i="2"/>
  <c r="AG53" i="2"/>
  <c r="AH53" i="2"/>
  <c r="AI53" i="2"/>
  <c r="AG52" i="2"/>
  <c r="AH52" i="2"/>
  <c r="AI52" i="2"/>
  <c r="AG85" i="2"/>
  <c r="AH85" i="2"/>
  <c r="AI85" i="2"/>
  <c r="AH37" i="2"/>
  <c r="AI37" i="2"/>
  <c r="AG37" i="2"/>
  <c r="AH77" i="2"/>
  <c r="AI77" i="2"/>
  <c r="AG77" i="2"/>
  <c r="AI31" i="2"/>
  <c r="AG31" i="2"/>
  <c r="AH31" i="2"/>
  <c r="AG73" i="2"/>
  <c r="AH73" i="2"/>
  <c r="AI73" i="2"/>
  <c r="AG63" i="2"/>
  <c r="AH63" i="2"/>
  <c r="AI63" i="2"/>
  <c r="AI46" i="2"/>
  <c r="AG46" i="2"/>
  <c r="AH46" i="2"/>
  <c r="AG35" i="2"/>
  <c r="AH35" i="2"/>
  <c r="AI35" i="2"/>
  <c r="AG75" i="2"/>
  <c r="AH75" i="2"/>
  <c r="AI75" i="2"/>
  <c r="AH48" i="2"/>
  <c r="AI48" i="2"/>
  <c r="AG48" i="2"/>
  <c r="AH47" i="2"/>
  <c r="AI47" i="2"/>
  <c r="AG47" i="2"/>
  <c r="AI71" i="2"/>
  <c r="AG71" i="2"/>
  <c r="AH71" i="2"/>
  <c r="AG33" i="2"/>
  <c r="AH33" i="2"/>
  <c r="AI33" i="2"/>
  <c r="AG92" i="2"/>
  <c r="AH92" i="2"/>
  <c r="AI92" i="2"/>
  <c r="AI96" i="2"/>
  <c r="AG96" i="2"/>
  <c r="AH96" i="2"/>
  <c r="AI16" i="2"/>
  <c r="AG16" i="2"/>
  <c r="AH16" i="2"/>
  <c r="AH40" i="2"/>
  <c r="AG40" i="2"/>
  <c r="AI40" i="2"/>
  <c r="AG32" i="2"/>
  <c r="AH32" i="2"/>
  <c r="AI32" i="2"/>
  <c r="AG45" i="2"/>
  <c r="AH45" i="2"/>
  <c r="AI45" i="2"/>
  <c r="AG25" i="2"/>
  <c r="AH25" i="2"/>
  <c r="AI25" i="2"/>
  <c r="AG24" i="2"/>
  <c r="AH24" i="2"/>
  <c r="AI24" i="2"/>
  <c r="AI76" i="2"/>
  <c r="AG76" i="2"/>
  <c r="AH76" i="2"/>
  <c r="AI21" i="2"/>
  <c r="AG21" i="2"/>
  <c r="AH21" i="2"/>
  <c r="AI41" i="2"/>
  <c r="AG41" i="2"/>
  <c r="AH41" i="2"/>
  <c r="AG43" i="2"/>
  <c r="AH43" i="2"/>
  <c r="AI43" i="2"/>
  <c r="AG65" i="2"/>
  <c r="AH65" i="2"/>
  <c r="AI65" i="2"/>
  <c r="AH29" i="2"/>
  <c r="AI29" i="2"/>
  <c r="AG29" i="2"/>
  <c r="AH58" i="2"/>
  <c r="AI58" i="2"/>
  <c r="AG58" i="2"/>
  <c r="AG22" i="2"/>
  <c r="AH22" i="2"/>
  <c r="AI22" i="2"/>
  <c r="AG34" i="2"/>
  <c r="AH34" i="2"/>
  <c r="AI34" i="2"/>
  <c r="AI36" i="2"/>
  <c r="AG36" i="2"/>
  <c r="AH36" i="2"/>
  <c r="AI61" i="2"/>
  <c r="AG61" i="2"/>
  <c r="AH61" i="2"/>
  <c r="AH18" i="2"/>
  <c r="AI18" i="2"/>
  <c r="AG18" i="2"/>
  <c r="AH19" i="2"/>
  <c r="AI19" i="2"/>
  <c r="AG19" i="2"/>
  <c r="AH27" i="2"/>
  <c r="AI27" i="2"/>
  <c r="AG27" i="2"/>
  <c r="AG23" i="2"/>
  <c r="AH23" i="2"/>
  <c r="AI23" i="2"/>
  <c r="AH38" i="2"/>
  <c r="AI38" i="2"/>
  <c r="AG38" i="2"/>
  <c r="AH39" i="2"/>
  <c r="AI39" i="2"/>
  <c r="AG39" i="2"/>
  <c r="AH20" i="2"/>
  <c r="AG20" i="2"/>
  <c r="AI20" i="2"/>
  <c r="AH10" i="2"/>
  <c r="AG10" i="2"/>
  <c r="AI10" i="2"/>
  <c r="AH30" i="2"/>
  <c r="AG30" i="2"/>
  <c r="AI30" i="2"/>
  <c r="AH9" i="2"/>
  <c r="AI9" i="2"/>
  <c r="AG9" i="2"/>
  <c r="AH8" i="2"/>
  <c r="AI8" i="2"/>
  <c r="AG8" i="2"/>
  <c r="AI11" i="2"/>
  <c r="AG11" i="2"/>
  <c r="AH11" i="2"/>
  <c r="AG12" i="2"/>
  <c r="AH12" i="2"/>
  <c r="AI12" i="2"/>
  <c r="AI26" i="2"/>
  <c r="AG26" i="2"/>
  <c r="AH26" i="2"/>
  <c r="AH7" i="2"/>
  <c r="AI7" i="2"/>
  <c r="AG7" i="2"/>
  <c r="AG13" i="2"/>
  <c r="AH13" i="2"/>
  <c r="AI13" i="2"/>
  <c r="AG5" i="2"/>
  <c r="AH5" i="2"/>
  <c r="AI5" i="2"/>
  <c r="AH17" i="2"/>
  <c r="AI17" i="2"/>
  <c r="AG17" i="2"/>
  <c r="AI6" i="2"/>
  <c r="AG6" i="2"/>
  <c r="AH6" i="2"/>
  <c r="AG15" i="2"/>
  <c r="AH15" i="2"/>
  <c r="AI15" i="2"/>
  <c r="AG14" i="2"/>
  <c r="AH14" i="2"/>
  <c r="AI14" i="2"/>
  <c r="AG3" i="2"/>
  <c r="AH3" i="2"/>
  <c r="AI3" i="2"/>
  <c r="AG4" i="2"/>
  <c r="AH4" i="2"/>
  <c r="AI4" i="2"/>
  <c r="AG2" i="2"/>
  <c r="AH2" i="2"/>
  <c r="AI2" i="2"/>
  <c r="AM68" i="2"/>
  <c r="AN68" i="2"/>
  <c r="AK68" i="2"/>
  <c r="AJ68" i="2"/>
  <c r="AL68" i="2"/>
  <c r="AT68" i="2" s="1"/>
  <c r="AO68" i="2"/>
  <c r="AP68" i="2"/>
  <c r="AR68" i="2" s="1"/>
  <c r="AQ68" i="2"/>
  <c r="AJ98" i="2"/>
  <c r="AK98" i="2"/>
  <c r="AL98" i="2"/>
  <c r="AT98" i="2" s="1"/>
  <c r="AO98" i="2"/>
  <c r="AM98" i="2"/>
  <c r="AP98" i="2"/>
  <c r="AR98" i="2" s="1"/>
  <c r="AN98" i="2"/>
  <c r="AQ98" i="2"/>
  <c r="AS98" i="2" s="1"/>
  <c r="AK78" i="2"/>
  <c r="AL78" i="2"/>
  <c r="AT78" i="2" s="1"/>
  <c r="AJ78" i="2"/>
  <c r="AO78" i="2"/>
  <c r="AP78" i="2"/>
  <c r="AR78" i="2" s="1"/>
  <c r="AM78" i="2"/>
  <c r="AN78" i="2"/>
  <c r="AQ78" i="2"/>
  <c r="AS78" i="2" s="1"/>
  <c r="AJ70" i="2"/>
  <c r="AM70" i="2"/>
  <c r="AK70" i="2"/>
  <c r="AL70" i="2"/>
  <c r="AT70" i="2" s="1"/>
  <c r="AN70" i="2"/>
  <c r="AO70" i="2"/>
  <c r="AP70" i="2"/>
  <c r="AR70" i="2" s="1"/>
  <c r="AQ70" i="2"/>
  <c r="AJ100" i="2"/>
  <c r="AM100" i="2"/>
  <c r="AN100" i="2"/>
  <c r="AK100" i="2"/>
  <c r="AL100" i="2"/>
  <c r="AT100" i="2" s="1"/>
  <c r="AQ100" i="2"/>
  <c r="AO100" i="2"/>
  <c r="AP100" i="2"/>
  <c r="AR100" i="2" s="1"/>
  <c r="AJ105" i="2"/>
  <c r="AL105" i="2"/>
  <c r="AT105" i="2" s="1"/>
  <c r="AM105" i="2"/>
  <c r="AN105" i="2"/>
  <c r="AO105" i="2"/>
  <c r="AK105" i="2"/>
  <c r="AP105" i="2"/>
  <c r="AR105" i="2" s="1"/>
  <c r="AQ105" i="2"/>
  <c r="AJ74" i="2"/>
  <c r="AP74" i="2"/>
  <c r="AR74" i="2" s="1"/>
  <c r="AQ74" i="2"/>
  <c r="AK74" i="2"/>
  <c r="AL74" i="2"/>
  <c r="AT74" i="2" s="1"/>
  <c r="AM74" i="2"/>
  <c r="AN74" i="2"/>
  <c r="AO74" i="2"/>
  <c r="AJ72" i="2"/>
  <c r="AN72" i="2"/>
  <c r="AL72" i="2"/>
  <c r="AT72" i="2" s="1"/>
  <c r="AM72" i="2"/>
  <c r="AK72" i="2"/>
  <c r="AO72" i="2"/>
  <c r="AP72" i="2"/>
  <c r="AR72" i="2" s="1"/>
  <c r="AQ72" i="2"/>
  <c r="AM54" i="2"/>
  <c r="AN54" i="2"/>
  <c r="AJ54" i="2"/>
  <c r="AK54" i="2"/>
  <c r="AP54" i="2"/>
  <c r="AR54" i="2" s="1"/>
  <c r="AQ54" i="2"/>
  <c r="AL54" i="2"/>
  <c r="AT54" i="2" s="1"/>
  <c r="AO54" i="2"/>
  <c r="AK55" i="2"/>
  <c r="AJ55" i="2"/>
  <c r="AO55" i="2"/>
  <c r="AP55" i="2"/>
  <c r="AR55" i="2" s="1"/>
  <c r="AQ55" i="2"/>
  <c r="AL55" i="2"/>
  <c r="AT55" i="2" s="1"/>
  <c r="AM55" i="2"/>
  <c r="AN55" i="2"/>
  <c r="AN28" i="2"/>
  <c r="AL28" i="2"/>
  <c r="AT28" i="2" s="1"/>
  <c r="AJ28" i="2"/>
  <c r="AO28" i="2"/>
  <c r="AP28" i="2"/>
  <c r="AR28" i="2" s="1"/>
  <c r="AQ28" i="2"/>
  <c r="AS28" i="2" s="1"/>
  <c r="AK28" i="2"/>
  <c r="AM28" i="2"/>
  <c r="AJ107" i="2"/>
  <c r="AM107" i="2"/>
  <c r="AQ107" i="2"/>
  <c r="AN107" i="2"/>
  <c r="AK107" i="2"/>
  <c r="AL107" i="2"/>
  <c r="AT107" i="2" s="1"/>
  <c r="AP107" i="2"/>
  <c r="AR107" i="2" s="1"/>
  <c r="AO107" i="2"/>
  <c r="AN91" i="2"/>
  <c r="AJ91" i="2"/>
  <c r="AL91" i="2"/>
  <c r="AT91" i="2" s="1"/>
  <c r="AM91" i="2"/>
  <c r="AO91" i="2"/>
  <c r="AP91" i="2"/>
  <c r="AR91" i="2" s="1"/>
  <c r="AQ91" i="2"/>
  <c r="AK91" i="2"/>
  <c r="AJ106" i="2"/>
  <c r="AK106" i="2"/>
  <c r="AL106" i="2"/>
  <c r="AT106" i="2" s="1"/>
  <c r="AM106" i="2"/>
  <c r="AN106" i="2"/>
  <c r="AO106" i="2"/>
  <c r="AP106" i="2"/>
  <c r="AR106" i="2" s="1"/>
  <c r="AQ106" i="2"/>
  <c r="AL66" i="2"/>
  <c r="AT66" i="2" s="1"/>
  <c r="AM66" i="2"/>
  <c r="AN66" i="2"/>
  <c r="AJ66" i="2"/>
  <c r="AK66" i="2"/>
  <c r="AO66" i="2"/>
  <c r="AP66" i="2"/>
  <c r="AR66" i="2" s="1"/>
  <c r="AQ66" i="2"/>
  <c r="AS66" i="2" s="1"/>
  <c r="AK87" i="2"/>
  <c r="AL87" i="2"/>
  <c r="AT87" i="2" s="1"/>
  <c r="AM87" i="2"/>
  <c r="AJ87" i="2"/>
  <c r="AQ87" i="2"/>
  <c r="AN87" i="2"/>
  <c r="AP87" i="2"/>
  <c r="AR87" i="2" s="1"/>
  <c r="AO87" i="2"/>
  <c r="AN42" i="2"/>
  <c r="AJ42" i="2"/>
  <c r="AL42" i="2"/>
  <c r="AT42" i="2" s="1"/>
  <c r="AK42" i="2"/>
  <c r="AO42" i="2"/>
  <c r="AM42" i="2"/>
  <c r="AP42" i="2"/>
  <c r="AR42" i="2" s="1"/>
  <c r="AQ42" i="2"/>
  <c r="AJ53" i="2"/>
  <c r="AL53" i="2"/>
  <c r="AT53" i="2" s="1"/>
  <c r="AM53" i="2"/>
  <c r="AN53" i="2"/>
  <c r="AO53" i="2"/>
  <c r="AP53" i="2"/>
  <c r="AR53" i="2" s="1"/>
  <c r="AQ53" i="2"/>
  <c r="AK53" i="2"/>
  <c r="AK37" i="2"/>
  <c r="AL37" i="2"/>
  <c r="AT37" i="2" s="1"/>
  <c r="AJ37" i="2"/>
  <c r="AN37" i="2"/>
  <c r="AQ37" i="2"/>
  <c r="AM37" i="2"/>
  <c r="AO37" i="2"/>
  <c r="AP37" i="2"/>
  <c r="AR37" i="2" s="1"/>
  <c r="AL73" i="2"/>
  <c r="AT73" i="2" s="1"/>
  <c r="AM73" i="2"/>
  <c r="AN73" i="2"/>
  <c r="AJ73" i="2"/>
  <c r="AK73" i="2"/>
  <c r="AO73" i="2"/>
  <c r="AP73" i="2"/>
  <c r="AR73" i="2" s="1"/>
  <c r="AQ73" i="2"/>
  <c r="AJ46" i="2"/>
  <c r="AK46" i="2"/>
  <c r="AL46" i="2"/>
  <c r="AT46" i="2" s="1"/>
  <c r="AM46" i="2"/>
  <c r="AN46" i="2"/>
  <c r="AO46" i="2"/>
  <c r="AP46" i="2"/>
  <c r="AR46" i="2" s="1"/>
  <c r="AQ46" i="2"/>
  <c r="AK48" i="2"/>
  <c r="AJ48" i="2"/>
  <c r="AO48" i="2"/>
  <c r="AP48" i="2"/>
  <c r="AR48" i="2" s="1"/>
  <c r="AQ48" i="2"/>
  <c r="AS48" i="2" s="1"/>
  <c r="AL48" i="2"/>
  <c r="AT48" i="2" s="1"/>
  <c r="AM48" i="2"/>
  <c r="AN48" i="2"/>
  <c r="AK92" i="2"/>
  <c r="AJ92" i="2"/>
  <c r="AL92" i="2"/>
  <c r="AT92" i="2" s="1"/>
  <c r="AM92" i="2"/>
  <c r="AN92" i="2"/>
  <c r="AO92" i="2"/>
  <c r="AP92" i="2"/>
  <c r="AR92" i="2" s="1"/>
  <c r="AQ92" i="2"/>
  <c r="AK24" i="2"/>
  <c r="AL24" i="2"/>
  <c r="AT24" i="2" s="1"/>
  <c r="AM24" i="2"/>
  <c r="AN24" i="2"/>
  <c r="AJ24" i="2"/>
  <c r="AP24" i="2"/>
  <c r="AR24" i="2" s="1"/>
  <c r="AQ24" i="2"/>
  <c r="AO24" i="2"/>
  <c r="AH68" i="2"/>
  <c r="AI68" i="2"/>
  <c r="AG68" i="2"/>
  <c r="AH98" i="2"/>
  <c r="AI98" i="2"/>
  <c r="AG98" i="2"/>
  <c r="AH79" i="2"/>
  <c r="AI79" i="2"/>
  <c r="AG79" i="2"/>
  <c r="AH70" i="2"/>
  <c r="AG70" i="2"/>
  <c r="AI70" i="2"/>
  <c r="AH59" i="2"/>
  <c r="AI59" i="2"/>
  <c r="AG59" i="2"/>
  <c r="AH100" i="2"/>
  <c r="AG100" i="2"/>
  <c r="AI100" i="2"/>
  <c r="AH80" i="2"/>
  <c r="AG80" i="2"/>
  <c r="AI80" i="2"/>
  <c r="AG93" i="2"/>
  <c r="AH93" i="2"/>
  <c r="AI93" i="2"/>
  <c r="AG74" i="2"/>
  <c r="AH74" i="2"/>
  <c r="AI74" i="2"/>
  <c r="AG62" i="2"/>
  <c r="AH62" i="2"/>
  <c r="AI62" i="2"/>
  <c r="AI51" i="2"/>
  <c r="AG51" i="2"/>
  <c r="AH51" i="2"/>
  <c r="AG112" i="2"/>
  <c r="AH112" i="2"/>
  <c r="AI112" i="2"/>
  <c r="AG54" i="2"/>
  <c r="AH54" i="2"/>
  <c r="AI54" i="2"/>
  <c r="AH97" i="2"/>
  <c r="AI97" i="2"/>
  <c r="AG97" i="2"/>
  <c r="AH107" i="2"/>
  <c r="AI107" i="2"/>
  <c r="AG107" i="2"/>
  <c r="AJ69" i="2"/>
  <c r="AK69" i="2"/>
  <c r="AL69" i="2"/>
  <c r="AT69" i="2" s="1"/>
  <c r="AM69" i="2"/>
  <c r="AN69" i="2"/>
  <c r="AO69" i="2"/>
  <c r="AP69" i="2"/>
  <c r="AR69" i="2" s="1"/>
  <c r="AQ69" i="2"/>
  <c r="AS69" i="2" s="1"/>
  <c r="AK50" i="2"/>
  <c r="AJ50" i="2"/>
  <c r="AL50" i="2"/>
  <c r="AT50" i="2" s="1"/>
  <c r="AM50" i="2"/>
  <c r="AN50" i="2"/>
  <c r="AO50" i="2"/>
  <c r="AP50" i="2"/>
  <c r="AR50" i="2" s="1"/>
  <c r="AQ50" i="2"/>
  <c r="AN88" i="2"/>
  <c r="AJ88" i="2"/>
  <c r="AK88" i="2"/>
  <c r="AO88" i="2"/>
  <c r="AL88" i="2"/>
  <c r="AT88" i="2" s="1"/>
  <c r="AP88" i="2"/>
  <c r="AR88" i="2" s="1"/>
  <c r="AM88" i="2"/>
  <c r="AQ88" i="2"/>
  <c r="AJ102" i="2"/>
  <c r="AN102" i="2"/>
  <c r="AK102" i="2"/>
  <c r="AL102" i="2"/>
  <c r="AT102" i="2" s="1"/>
  <c r="AM102" i="2"/>
  <c r="AO102" i="2"/>
  <c r="AP102" i="2"/>
  <c r="AR102" i="2" s="1"/>
  <c r="AQ102" i="2"/>
  <c r="AJ59" i="2"/>
  <c r="AK59" i="2"/>
  <c r="AL59" i="2"/>
  <c r="AT59" i="2" s="1"/>
  <c r="AM59" i="2"/>
  <c r="AO59" i="2"/>
  <c r="AP59" i="2"/>
  <c r="AR59" i="2" s="1"/>
  <c r="AQ59" i="2"/>
  <c r="AN59" i="2"/>
  <c r="AM82" i="2"/>
  <c r="AN82" i="2"/>
  <c r="AJ82" i="2"/>
  <c r="AK82" i="2"/>
  <c r="AL82" i="2"/>
  <c r="AT82" i="2" s="1"/>
  <c r="AQ82" i="2"/>
  <c r="AO82" i="2"/>
  <c r="AP82" i="2"/>
  <c r="AR82" i="2" s="1"/>
  <c r="AJ93" i="2"/>
  <c r="AM93" i="2"/>
  <c r="AK93" i="2"/>
  <c r="AL93" i="2"/>
  <c r="AT93" i="2" s="1"/>
  <c r="AN93" i="2"/>
  <c r="AP93" i="2"/>
  <c r="AR93" i="2" s="1"/>
  <c r="AQ93" i="2"/>
  <c r="AO93" i="2"/>
  <c r="AJ104" i="2"/>
  <c r="AP104" i="2"/>
  <c r="AR104" i="2" s="1"/>
  <c r="AQ104" i="2"/>
  <c r="AK104" i="2"/>
  <c r="AL104" i="2"/>
  <c r="AT104" i="2" s="1"/>
  <c r="AM104" i="2"/>
  <c r="AN104" i="2"/>
  <c r="AO104" i="2"/>
  <c r="AJ51" i="2"/>
  <c r="AO51" i="2"/>
  <c r="AP51" i="2"/>
  <c r="AR51" i="2" s="1"/>
  <c r="AQ51" i="2"/>
  <c r="AK51" i="2"/>
  <c r="AL51" i="2"/>
  <c r="AT51" i="2" s="1"/>
  <c r="AM51" i="2"/>
  <c r="AN51" i="2"/>
  <c r="AJ112" i="2"/>
  <c r="AL112" i="2"/>
  <c r="AT112" i="2" s="1"/>
  <c r="AM112" i="2"/>
  <c r="AN112" i="2"/>
  <c r="AK112" i="2"/>
  <c r="AO112" i="2"/>
  <c r="AP112" i="2"/>
  <c r="AR112" i="2" s="1"/>
  <c r="AQ112" i="2"/>
  <c r="AJ97" i="2"/>
  <c r="AQ97" i="2"/>
  <c r="AK97" i="2"/>
  <c r="AL97" i="2"/>
  <c r="AT97" i="2" s="1"/>
  <c r="AM97" i="2"/>
  <c r="AN97" i="2"/>
  <c r="AP97" i="2"/>
  <c r="AR97" i="2" s="1"/>
  <c r="AO97" i="2"/>
  <c r="AK64" i="2"/>
  <c r="AL64" i="2"/>
  <c r="AT64" i="2" s="1"/>
  <c r="AJ64" i="2"/>
  <c r="AN64" i="2"/>
  <c r="AP64" i="2"/>
  <c r="AR64" i="2" s="1"/>
  <c r="AQ64" i="2"/>
  <c r="AM64" i="2"/>
  <c r="AO64" i="2"/>
  <c r="AJ60" i="2"/>
  <c r="AM60" i="2"/>
  <c r="AN60" i="2"/>
  <c r="AO60" i="2"/>
  <c r="AK60" i="2"/>
  <c r="AP60" i="2"/>
  <c r="AR60" i="2" s="1"/>
  <c r="AL60" i="2"/>
  <c r="AT60" i="2" s="1"/>
  <c r="AQ60" i="2"/>
  <c r="AK83" i="2"/>
  <c r="AJ83" i="2"/>
  <c r="AL83" i="2"/>
  <c r="AT83" i="2" s="1"/>
  <c r="AM83" i="2"/>
  <c r="AN83" i="2"/>
  <c r="AO83" i="2"/>
  <c r="AP83" i="2"/>
  <c r="AR83" i="2" s="1"/>
  <c r="AQ83" i="2"/>
  <c r="AJ111" i="2"/>
  <c r="AO111" i="2"/>
  <c r="AP111" i="2"/>
  <c r="AR111" i="2" s="1"/>
  <c r="AQ111" i="2"/>
  <c r="AK111" i="2"/>
  <c r="AL111" i="2"/>
  <c r="AT111" i="2" s="1"/>
  <c r="AM111" i="2"/>
  <c r="AN111" i="2"/>
  <c r="AJ108" i="2"/>
  <c r="AO108" i="2"/>
  <c r="AK108" i="2"/>
  <c r="AP108" i="2"/>
  <c r="AR108" i="2" s="1"/>
  <c r="AL108" i="2"/>
  <c r="AM108" i="2"/>
  <c r="AN108" i="2"/>
  <c r="AQ108" i="2"/>
  <c r="AS108" i="2" s="1"/>
  <c r="AJ49" i="2"/>
  <c r="AM49" i="2"/>
  <c r="AK49" i="2"/>
  <c r="AL49" i="2"/>
  <c r="AT49" i="2" s="1"/>
  <c r="AN49" i="2"/>
  <c r="AO49" i="2"/>
  <c r="AP49" i="2"/>
  <c r="AR49" i="2" s="1"/>
  <c r="AQ49" i="2"/>
  <c r="AJ81" i="2"/>
  <c r="AO81" i="2"/>
  <c r="AK81" i="2"/>
  <c r="AP81" i="2"/>
  <c r="AR81" i="2" s="1"/>
  <c r="AL81" i="2"/>
  <c r="AT81" i="2" s="1"/>
  <c r="AQ81" i="2"/>
  <c r="AM81" i="2"/>
  <c r="AN81" i="2"/>
  <c r="AN84" i="2"/>
  <c r="AJ84" i="2"/>
  <c r="AL84" i="2"/>
  <c r="AT84" i="2" s="1"/>
  <c r="AP84" i="2"/>
  <c r="AR84" i="2" s="1"/>
  <c r="AK84" i="2"/>
  <c r="AQ84" i="2"/>
  <c r="AM84" i="2"/>
  <c r="AO84" i="2"/>
  <c r="AJ44" i="2"/>
  <c r="AM44" i="2"/>
  <c r="AN44" i="2"/>
  <c r="AP44" i="2"/>
  <c r="AR44" i="2" s="1"/>
  <c r="AQ44" i="2"/>
  <c r="AK44" i="2"/>
  <c r="AL44" i="2"/>
  <c r="AT44" i="2" s="1"/>
  <c r="AO44" i="2"/>
  <c r="AL52" i="2"/>
  <c r="AT52" i="2" s="1"/>
  <c r="AM52" i="2"/>
  <c r="AN52" i="2"/>
  <c r="AJ52" i="2"/>
  <c r="AO52" i="2"/>
  <c r="AP52" i="2"/>
  <c r="AR52" i="2" s="1"/>
  <c r="AQ52" i="2"/>
  <c r="AK52" i="2"/>
  <c r="AN77" i="2"/>
  <c r="AJ77" i="2"/>
  <c r="AL77" i="2"/>
  <c r="AT77" i="2" s="1"/>
  <c r="AQ77" i="2"/>
  <c r="AK77" i="2"/>
  <c r="AM77" i="2"/>
  <c r="AP77" i="2"/>
  <c r="AR77" i="2" s="1"/>
  <c r="AO77" i="2"/>
  <c r="AJ63" i="2"/>
  <c r="AM63" i="2"/>
  <c r="AK63" i="2"/>
  <c r="AO63" i="2"/>
  <c r="AL63" i="2"/>
  <c r="AT63" i="2" s="1"/>
  <c r="AP63" i="2"/>
  <c r="AR63" i="2" s="1"/>
  <c r="AN63" i="2"/>
  <c r="AQ63" i="2"/>
  <c r="AN35" i="2"/>
  <c r="AJ35" i="2"/>
  <c r="AL35" i="2"/>
  <c r="AT35" i="2" s="1"/>
  <c r="AO35" i="2"/>
  <c r="AP35" i="2"/>
  <c r="AR35" i="2" s="1"/>
  <c r="AK35" i="2"/>
  <c r="AQ35" i="2"/>
  <c r="AM35" i="2"/>
  <c r="AK71" i="2"/>
  <c r="AL71" i="2"/>
  <c r="AT71" i="2" s="1"/>
  <c r="AJ71" i="2"/>
  <c r="AM71" i="2"/>
  <c r="AO71" i="2"/>
  <c r="AP71" i="2"/>
  <c r="AR71" i="2" s="1"/>
  <c r="AQ71" i="2"/>
  <c r="AN71" i="2"/>
  <c r="AJ96" i="2"/>
  <c r="AK96" i="2"/>
  <c r="AL96" i="2"/>
  <c r="AT96" i="2" s="1"/>
  <c r="AM96" i="2"/>
  <c r="AN96" i="2"/>
  <c r="AO96" i="2"/>
  <c r="AP96" i="2"/>
  <c r="AR96" i="2" s="1"/>
  <c r="AQ96" i="2"/>
  <c r="AS96" i="2" s="1"/>
  <c r="AK45" i="2"/>
  <c r="AL45" i="2"/>
  <c r="AT45" i="2" s="1"/>
  <c r="AM45" i="2"/>
  <c r="AJ45" i="2"/>
  <c r="AN45" i="2"/>
  <c r="AO45" i="2"/>
  <c r="AP45" i="2"/>
  <c r="AQ45" i="2"/>
  <c r="AE85" i="2"/>
  <c r="AE74" i="2"/>
  <c r="AE65" i="2"/>
  <c r="AE63" i="2"/>
  <c r="AE62" i="2"/>
  <c r="AE24" i="2"/>
  <c r="AE47" i="2"/>
  <c r="AE50" i="2"/>
  <c r="AE36" i="2"/>
  <c r="AE75" i="2"/>
  <c r="AE35" i="2"/>
  <c r="AE69" i="2"/>
  <c r="AE43" i="2"/>
  <c r="AE37" i="2"/>
  <c r="AE9" i="2"/>
  <c r="AE16" i="2"/>
  <c r="AE10" i="2"/>
  <c r="AE56" i="2"/>
  <c r="AE111" i="2"/>
  <c r="AE57" i="2"/>
  <c r="AE44" i="2"/>
  <c r="AE96" i="2"/>
  <c r="AE81" i="2"/>
  <c r="AE61" i="2"/>
  <c r="AE55" i="2"/>
  <c r="AE34" i="2"/>
  <c r="AE108" i="2"/>
  <c r="AE64" i="2"/>
  <c r="AE66" i="2"/>
  <c r="AE86" i="2"/>
  <c r="AE73" i="2"/>
  <c r="AE53" i="2"/>
  <c r="AE94" i="2"/>
  <c r="AE91" i="2"/>
  <c r="AE25" i="2"/>
  <c r="AE107" i="2"/>
  <c r="AE60" i="2"/>
  <c r="AE102" i="2"/>
  <c r="AE42" i="2"/>
  <c r="AE109" i="2"/>
  <c r="AE5" i="2"/>
  <c r="AE14" i="2"/>
  <c r="AE48" i="2"/>
  <c r="AE3" i="2"/>
  <c r="AE70" i="2"/>
  <c r="AE87" i="2"/>
  <c r="AE80" i="2"/>
  <c r="AE72" i="2"/>
  <c r="AE68" i="2"/>
  <c r="AE90" i="2"/>
  <c r="AE83" i="2"/>
  <c r="AE20" i="2"/>
  <c r="AE8" i="2"/>
  <c r="AE52" i="2"/>
  <c r="AE11" i="2"/>
  <c r="AE93" i="2"/>
  <c r="AE95" i="2"/>
  <c r="AE112" i="2"/>
  <c r="AE49" i="2"/>
  <c r="AE54" i="2"/>
  <c r="AE39" i="2"/>
  <c r="AE98" i="2"/>
  <c r="AE79" i="2"/>
  <c r="AE104" i="2"/>
  <c r="AE103" i="2"/>
  <c r="AE51" i="2"/>
  <c r="AE21" i="2"/>
  <c r="AE38" i="2"/>
  <c r="AE41" i="2"/>
  <c r="AE22" i="2"/>
  <c r="AE28" i="2"/>
  <c r="AE7" i="2"/>
  <c r="AE105" i="2"/>
  <c r="AE97" i="2"/>
  <c r="AE4" i="2"/>
  <c r="AE89" i="2"/>
  <c r="AE110" i="2"/>
  <c r="AE2" i="2"/>
  <c r="AE33" i="2"/>
  <c r="AE29" i="2"/>
  <c r="AE92" i="2"/>
  <c r="AE106" i="2"/>
  <c r="AE67" i="2"/>
  <c r="AE100" i="2"/>
  <c r="AE18" i="2"/>
  <c r="AE6" i="2"/>
  <c r="AE78" i="2"/>
  <c r="AE58" i="2"/>
  <c r="AE45" i="2"/>
  <c r="AE12" i="2"/>
  <c r="AE76" i="2"/>
  <c r="AE59" i="2"/>
  <c r="AE26" i="2"/>
  <c r="AE77" i="2"/>
  <c r="AE40" i="2"/>
  <c r="AE31" i="2"/>
  <c r="AE88" i="2"/>
  <c r="AE13" i="2"/>
  <c r="AE19" i="2"/>
  <c r="AE30" i="2"/>
  <c r="AE101" i="2"/>
  <c r="AE32" i="2"/>
  <c r="AE82" i="2"/>
  <c r="AE27" i="2"/>
  <c r="AE71" i="2"/>
  <c r="AE15" i="2"/>
  <c r="AE23" i="2"/>
  <c r="AE17" i="2"/>
  <c r="AE46" i="2"/>
  <c r="AE84" i="2"/>
  <c r="AE99" i="2"/>
  <c r="Y3" i="2"/>
  <c r="Y10" i="2"/>
  <c r="Y33" i="2"/>
  <c r="Y39" i="2"/>
  <c r="Y57" i="2"/>
  <c r="Y2" i="2"/>
  <c r="Y36" i="2"/>
  <c r="Y110" i="2"/>
  <c r="Y65" i="2"/>
  <c r="Y94" i="2"/>
  <c r="Y99" i="2"/>
  <c r="Y30" i="2"/>
  <c r="Y14" i="2"/>
  <c r="Y43" i="2"/>
  <c r="Y40" i="2"/>
  <c r="Y19" i="2"/>
  <c r="Y21" i="2"/>
  <c r="Y75" i="2"/>
  <c r="Y85" i="2"/>
  <c r="Y18" i="2"/>
  <c r="N29" i="3" l="1"/>
  <c r="N91" i="3"/>
  <c r="N107" i="3"/>
  <c r="N69" i="3"/>
  <c r="N68" i="3"/>
  <c r="N44" i="3"/>
  <c r="N27" i="3"/>
  <c r="N37" i="3"/>
  <c r="N122" i="3"/>
  <c r="N25" i="3"/>
  <c r="N28" i="3"/>
  <c r="N64" i="3"/>
  <c r="N112" i="3"/>
  <c r="N3" i="3"/>
  <c r="N35" i="3"/>
  <c r="N101" i="3"/>
  <c r="N84" i="3"/>
  <c r="N31" i="3"/>
  <c r="N61" i="3"/>
  <c r="N2" i="3"/>
  <c r="N76" i="3"/>
  <c r="N42" i="3"/>
  <c r="N120" i="3"/>
  <c r="N47" i="3"/>
  <c r="N81" i="3"/>
  <c r="N108" i="3"/>
  <c r="N8" i="3"/>
  <c r="N50" i="3"/>
  <c r="N79" i="3"/>
  <c r="N114" i="3"/>
  <c r="N9" i="3"/>
  <c r="N56" i="3"/>
  <c r="N45" i="3"/>
  <c r="N66" i="3"/>
  <c r="N118" i="3"/>
  <c r="N52" i="3"/>
  <c r="N32" i="3"/>
  <c r="N94" i="3"/>
  <c r="N75" i="3"/>
  <c r="N103" i="3"/>
  <c r="N92" i="3"/>
  <c r="N10" i="3"/>
  <c r="N30" i="3"/>
  <c r="N15" i="3"/>
  <c r="N65" i="3"/>
  <c r="N80" i="3"/>
  <c r="N104" i="3"/>
  <c r="N40" i="3"/>
  <c r="N38" i="3"/>
  <c r="N26" i="3"/>
  <c r="N113" i="3"/>
  <c r="N70" i="3"/>
  <c r="N54" i="3"/>
  <c r="N36" i="3"/>
  <c r="N12" i="3"/>
  <c r="N17" i="3"/>
  <c r="N73" i="3"/>
  <c r="N43" i="3"/>
  <c r="N48" i="3"/>
  <c r="N90" i="3"/>
  <c r="N55" i="3"/>
  <c r="N86" i="3"/>
  <c r="N116" i="3"/>
  <c r="N99" i="3"/>
  <c r="N53" i="3"/>
  <c r="N121" i="3"/>
  <c r="N115" i="3"/>
  <c r="N4" i="3"/>
  <c r="N24" i="3"/>
  <c r="N13" i="3"/>
  <c r="N110" i="3"/>
  <c r="N33" i="3"/>
  <c r="N7" i="3"/>
  <c r="N77" i="3"/>
  <c r="N98" i="3"/>
  <c r="N105" i="3"/>
  <c r="N96" i="3"/>
  <c r="N59" i="3"/>
  <c r="N62" i="3"/>
  <c r="N106" i="3"/>
  <c r="N87" i="3"/>
  <c r="N74" i="3"/>
  <c r="N51" i="3"/>
  <c r="N20" i="3"/>
  <c r="N60" i="3"/>
  <c r="N23" i="3"/>
  <c r="N21" i="3"/>
  <c r="N11" i="3"/>
  <c r="N109" i="3"/>
  <c r="N18" i="3"/>
  <c r="N67" i="3"/>
  <c r="N41" i="3"/>
  <c r="N117" i="3"/>
  <c r="N39" i="3"/>
  <c r="N49" i="3"/>
  <c r="N6" i="3"/>
  <c r="N78" i="3"/>
  <c r="N100" i="3"/>
  <c r="N85" i="3"/>
  <c r="N57" i="3"/>
  <c r="N119" i="3"/>
  <c r="N83" i="3"/>
  <c r="N46" i="3"/>
  <c r="N111" i="3"/>
  <c r="N19" i="3"/>
  <c r="N63" i="3"/>
  <c r="N89" i="3"/>
  <c r="N5" i="3"/>
  <c r="N58" i="3"/>
  <c r="N82" i="3"/>
  <c r="N102" i="3"/>
  <c r="N88" i="3"/>
  <c r="N34" i="3"/>
  <c r="N93" i="3"/>
  <c r="N95" i="3"/>
  <c r="N72" i="3"/>
  <c r="Q106" i="3"/>
  <c r="I39" i="3"/>
  <c r="AH124" i="3"/>
  <c r="M70" i="3"/>
  <c r="AH123" i="3"/>
  <c r="L98" i="3"/>
  <c r="N97" i="3"/>
  <c r="J105" i="3"/>
  <c r="I104" i="3"/>
  <c r="Y98" i="2"/>
  <c r="Y80" i="2"/>
  <c r="J88" i="3"/>
  <c r="L45" i="3"/>
  <c r="J53" i="3"/>
  <c r="J34" i="3"/>
  <c r="J86" i="3"/>
  <c r="J90" i="3"/>
  <c r="L65" i="3"/>
  <c r="Q76" i="3"/>
  <c r="L11" i="3"/>
  <c r="J35" i="3"/>
  <c r="M82" i="3"/>
  <c r="L114" i="3"/>
  <c r="L44" i="3"/>
  <c r="Q61" i="3"/>
  <c r="J116" i="3"/>
  <c r="Q59" i="3"/>
  <c r="J95" i="3"/>
  <c r="Q52" i="3"/>
  <c r="J40" i="3"/>
  <c r="L49" i="3"/>
  <c r="L32" i="3"/>
  <c r="Q8" i="3"/>
  <c r="L91" i="3"/>
  <c r="J3" i="3"/>
  <c r="J112" i="3"/>
  <c r="J32" i="3"/>
  <c r="K24" i="3"/>
  <c r="J92" i="3"/>
  <c r="K97" i="3"/>
  <c r="L22" i="3"/>
  <c r="Q25" i="3"/>
  <c r="I2" i="3"/>
  <c r="Q75" i="3"/>
  <c r="I59" i="3"/>
  <c r="Q88" i="3"/>
  <c r="I118" i="3"/>
  <c r="Q46" i="3"/>
  <c r="L64" i="3"/>
  <c r="I102" i="3"/>
  <c r="L24" i="3"/>
  <c r="M38" i="3"/>
  <c r="L100" i="3"/>
  <c r="L79" i="3"/>
  <c r="L19" i="3"/>
  <c r="Q4" i="3"/>
  <c r="Q58" i="3"/>
  <c r="M93" i="3"/>
  <c r="I52" i="3"/>
  <c r="L18" i="3"/>
  <c r="I13" i="3"/>
  <c r="I105" i="3"/>
  <c r="L120" i="3"/>
  <c r="I60" i="3"/>
  <c r="L13" i="3"/>
  <c r="I95" i="3"/>
  <c r="M35" i="3"/>
  <c r="L104" i="3"/>
  <c r="Q43" i="3"/>
  <c r="L83" i="3"/>
  <c r="L105" i="3"/>
  <c r="Q73" i="3"/>
  <c r="M81" i="3"/>
  <c r="M105" i="3"/>
  <c r="M74" i="3"/>
  <c r="I110" i="3"/>
  <c r="M118" i="3"/>
  <c r="M49" i="3"/>
  <c r="I98" i="3"/>
  <c r="I19" i="3"/>
  <c r="I70" i="3"/>
  <c r="Q77" i="3"/>
  <c r="Q121" i="3"/>
  <c r="L6" i="3"/>
  <c r="Q27" i="3"/>
  <c r="I67" i="3"/>
  <c r="I24" i="3"/>
  <c r="I65" i="3"/>
  <c r="I35" i="3"/>
  <c r="I85" i="3"/>
  <c r="I89" i="3"/>
  <c r="L10" i="3"/>
  <c r="I56" i="3"/>
  <c r="L74" i="3"/>
  <c r="I75" i="3"/>
  <c r="M14" i="3"/>
  <c r="I100" i="3"/>
  <c r="M26" i="3"/>
  <c r="K12" i="3"/>
  <c r="L47" i="3"/>
  <c r="I106" i="3"/>
  <c r="Q108" i="3"/>
  <c r="I101" i="3"/>
  <c r="I93" i="3"/>
  <c r="M2" i="3"/>
  <c r="L75" i="3"/>
  <c r="I23" i="3"/>
  <c r="I43" i="3"/>
  <c r="I71" i="3"/>
  <c r="M57" i="3"/>
  <c r="Q95" i="3"/>
  <c r="I83" i="3"/>
  <c r="I42" i="3"/>
  <c r="L89" i="3"/>
  <c r="Q48" i="3"/>
  <c r="L55" i="3"/>
  <c r="K119" i="3"/>
  <c r="M10" i="3"/>
  <c r="I37" i="3"/>
  <c r="I32" i="3"/>
  <c r="M95" i="3"/>
  <c r="L111" i="3"/>
  <c r="I61" i="3"/>
  <c r="I80" i="3"/>
  <c r="I122" i="3"/>
  <c r="M6" i="3"/>
  <c r="M15" i="3"/>
  <c r="M73" i="3"/>
  <c r="M13" i="3"/>
  <c r="I50" i="3"/>
  <c r="I55" i="3"/>
  <c r="K117" i="3"/>
  <c r="J113" i="3"/>
  <c r="L16" i="3"/>
  <c r="M41" i="3"/>
  <c r="I44" i="3"/>
  <c r="Q51" i="3"/>
  <c r="Q90" i="3"/>
  <c r="K79" i="3"/>
  <c r="I87" i="3"/>
  <c r="M34" i="3"/>
  <c r="I82" i="3"/>
  <c r="I57" i="3"/>
  <c r="M91" i="3"/>
  <c r="L38" i="3"/>
  <c r="I97" i="3"/>
  <c r="Q84" i="3"/>
  <c r="I28" i="3"/>
  <c r="M22" i="3"/>
  <c r="J93" i="3"/>
  <c r="I120" i="3"/>
  <c r="I79" i="3"/>
  <c r="J94" i="3"/>
  <c r="I46" i="3"/>
  <c r="I69" i="3"/>
  <c r="I21" i="3"/>
  <c r="I111" i="3"/>
  <c r="I31" i="3"/>
  <c r="L88" i="3"/>
  <c r="Q118" i="3"/>
  <c r="Q78" i="3"/>
  <c r="I84" i="3"/>
  <c r="M21" i="3"/>
  <c r="I38" i="3"/>
  <c r="Q122" i="3"/>
  <c r="L72" i="3"/>
  <c r="I47" i="3"/>
  <c r="I121" i="3"/>
  <c r="I112" i="3"/>
  <c r="M8" i="3"/>
  <c r="I6" i="3"/>
  <c r="M32" i="3"/>
  <c r="I5" i="3"/>
  <c r="J29" i="3"/>
  <c r="I81" i="3"/>
  <c r="I15" i="3"/>
  <c r="I12" i="3"/>
  <c r="I29" i="3"/>
  <c r="I113" i="3"/>
  <c r="I92" i="3"/>
  <c r="M115" i="3"/>
  <c r="L5" i="3"/>
  <c r="Q20" i="3"/>
  <c r="I107" i="3"/>
  <c r="Q13" i="3"/>
  <c r="I51" i="3"/>
  <c r="M72" i="3"/>
  <c r="I58" i="3"/>
  <c r="L101" i="3"/>
  <c r="I54" i="3"/>
  <c r="I30" i="3"/>
  <c r="I91" i="3"/>
  <c r="M71" i="3"/>
  <c r="L17" i="3"/>
  <c r="Q28" i="3"/>
  <c r="I73" i="3"/>
  <c r="Q80" i="3"/>
  <c r="J68" i="3"/>
  <c r="J67" i="3"/>
  <c r="K23" i="3"/>
  <c r="K33" i="3"/>
  <c r="K15" i="3"/>
  <c r="K35" i="3"/>
  <c r="K8" i="3"/>
  <c r="K10" i="3"/>
  <c r="K83" i="3"/>
  <c r="K37" i="3"/>
  <c r="K105" i="3"/>
  <c r="K5" i="3"/>
  <c r="K114" i="3"/>
  <c r="J79" i="3"/>
  <c r="K32" i="3"/>
  <c r="J12" i="3"/>
  <c r="J104" i="3"/>
  <c r="J38" i="3"/>
  <c r="J111" i="3"/>
  <c r="J50" i="3"/>
  <c r="K89" i="3"/>
  <c r="K74" i="3"/>
  <c r="J6" i="3"/>
  <c r="M75" i="3"/>
  <c r="K85" i="3"/>
  <c r="K56" i="3"/>
  <c r="L82" i="3"/>
  <c r="M69" i="3"/>
  <c r="K57" i="3"/>
  <c r="K104" i="3"/>
  <c r="L87" i="3"/>
  <c r="M46" i="3"/>
  <c r="L40" i="3"/>
  <c r="M121" i="3"/>
  <c r="K52" i="3"/>
  <c r="L15" i="3"/>
  <c r="M44" i="3"/>
  <c r="Q85" i="3"/>
  <c r="J18" i="3"/>
  <c r="J108" i="3"/>
  <c r="J36" i="3"/>
  <c r="K99" i="3"/>
  <c r="J61" i="3"/>
  <c r="K64" i="3"/>
  <c r="K107" i="3"/>
  <c r="K31" i="3"/>
  <c r="K43" i="3"/>
  <c r="K11" i="3"/>
  <c r="K44" i="3"/>
  <c r="K87" i="3"/>
  <c r="K103" i="3"/>
  <c r="K47" i="3"/>
  <c r="J97" i="3"/>
  <c r="K72" i="3"/>
  <c r="J31" i="3"/>
  <c r="J14" i="3"/>
  <c r="J101" i="3"/>
  <c r="K14" i="3"/>
  <c r="K80" i="3"/>
  <c r="K118" i="3"/>
  <c r="K46" i="3"/>
  <c r="K112" i="3"/>
  <c r="K113" i="3"/>
  <c r="K29" i="3"/>
  <c r="K30" i="3"/>
  <c r="K108" i="3"/>
  <c r="K93" i="3"/>
  <c r="K20" i="3"/>
  <c r="K122" i="3"/>
  <c r="K18" i="3"/>
  <c r="K45" i="3"/>
  <c r="K27" i="3"/>
  <c r="K81" i="3"/>
  <c r="K28" i="3"/>
  <c r="K69" i="3"/>
  <c r="K94" i="3"/>
  <c r="K3" i="3"/>
  <c r="J47" i="3"/>
  <c r="K67" i="3"/>
  <c r="J89" i="3"/>
  <c r="J74" i="3"/>
  <c r="J28" i="3"/>
  <c r="K84" i="3"/>
  <c r="K82" i="3"/>
  <c r="M99" i="3"/>
  <c r="M37" i="3"/>
  <c r="M54" i="3"/>
  <c r="M25" i="3"/>
  <c r="M101" i="3"/>
  <c r="M33" i="3"/>
  <c r="M28" i="3"/>
  <c r="M36" i="3"/>
  <c r="M94" i="3"/>
  <c r="M42" i="3"/>
  <c r="M67" i="3"/>
  <c r="M19" i="3"/>
  <c r="M16" i="3"/>
  <c r="M111" i="3"/>
  <c r="M83" i="3"/>
  <c r="M78" i="3"/>
  <c r="M31" i="3"/>
  <c r="M109" i="3"/>
  <c r="M27" i="3"/>
  <c r="M5" i="3"/>
  <c r="M96" i="3"/>
  <c r="M23" i="3"/>
  <c r="M92" i="3"/>
  <c r="M59" i="3"/>
  <c r="M9" i="3"/>
  <c r="M53" i="3"/>
  <c r="M66" i="3"/>
  <c r="M11" i="3"/>
  <c r="M88" i="3"/>
  <c r="M29" i="3"/>
  <c r="M85" i="3"/>
  <c r="M79" i="3"/>
  <c r="M120" i="3"/>
  <c r="M61" i="3"/>
  <c r="M55" i="3"/>
  <c r="M107" i="3"/>
  <c r="M20" i="3"/>
  <c r="M68" i="3"/>
  <c r="M117" i="3"/>
  <c r="M114" i="3"/>
  <c r="M106" i="3"/>
  <c r="M102" i="3"/>
  <c r="M87" i="3"/>
  <c r="M18" i="3"/>
  <c r="M45" i="3"/>
  <c r="M7" i="3"/>
  <c r="M86" i="3"/>
  <c r="M17" i="3"/>
  <c r="M51" i="3"/>
  <c r="M39" i="3"/>
  <c r="M122" i="3"/>
  <c r="M3" i="3"/>
  <c r="M65" i="3"/>
  <c r="M80" i="3"/>
  <c r="M103" i="3"/>
  <c r="M60" i="3"/>
  <c r="M47" i="3"/>
  <c r="M104" i="3"/>
  <c r="M50" i="3"/>
  <c r="M110" i="3"/>
  <c r="M62" i="3"/>
  <c r="M4" i="3"/>
  <c r="M113" i="3"/>
  <c r="M112" i="3"/>
  <c r="M108" i="3"/>
  <c r="M52" i="3"/>
  <c r="K115" i="3"/>
  <c r="L73" i="3"/>
  <c r="M100" i="3"/>
  <c r="K65" i="3"/>
  <c r="K17" i="3"/>
  <c r="J71" i="3"/>
  <c r="L30" i="3"/>
  <c r="K36" i="3"/>
  <c r="L3" i="3"/>
  <c r="Q104" i="3"/>
  <c r="L41" i="3"/>
  <c r="M89" i="3"/>
  <c r="K73" i="3"/>
  <c r="L78" i="3"/>
  <c r="M48" i="3"/>
  <c r="L4" i="3"/>
  <c r="J21" i="3"/>
  <c r="K4" i="3"/>
  <c r="L20" i="3"/>
  <c r="M12" i="3"/>
  <c r="M63" i="3"/>
  <c r="Q97" i="3"/>
  <c r="J13" i="3"/>
  <c r="Q113" i="3"/>
  <c r="Q96" i="3"/>
  <c r="Q12" i="3"/>
  <c r="M30" i="3"/>
  <c r="M119" i="3"/>
  <c r="K60" i="3"/>
  <c r="K41" i="3"/>
  <c r="K109" i="3"/>
  <c r="K62" i="3"/>
  <c r="K102" i="3"/>
  <c r="J82" i="3"/>
  <c r="K40" i="3"/>
  <c r="K88" i="3"/>
  <c r="J119" i="3"/>
  <c r="J52" i="3"/>
  <c r="K95" i="3"/>
  <c r="L90" i="3"/>
  <c r="M40" i="3"/>
  <c r="L39" i="3"/>
  <c r="Q60" i="3"/>
  <c r="L80" i="3"/>
  <c r="M98" i="3"/>
  <c r="L113" i="3"/>
  <c r="K63" i="3"/>
  <c r="Q38" i="3"/>
  <c r="L110" i="3"/>
  <c r="M77" i="3"/>
  <c r="Q36" i="3"/>
  <c r="K6" i="3"/>
  <c r="K106" i="3"/>
  <c r="M97" i="3"/>
  <c r="Q7" i="3"/>
  <c r="M84" i="3"/>
  <c r="J5" i="3"/>
  <c r="M56" i="3"/>
  <c r="Q72" i="3"/>
  <c r="J115" i="3"/>
  <c r="J87" i="3"/>
  <c r="J43" i="3"/>
  <c r="J118" i="3"/>
  <c r="J70" i="3"/>
  <c r="J69" i="3"/>
  <c r="J27" i="3"/>
  <c r="J57" i="3"/>
  <c r="J26" i="3"/>
  <c r="J59" i="3"/>
  <c r="J75" i="3"/>
  <c r="J98" i="3"/>
  <c r="J121" i="3"/>
  <c r="J22" i="3"/>
  <c r="J25" i="3"/>
  <c r="J103" i="3"/>
  <c r="J84" i="3"/>
  <c r="J81" i="3"/>
  <c r="J45" i="3"/>
  <c r="J20" i="3"/>
  <c r="J2" i="3"/>
  <c r="J8" i="3"/>
  <c r="J41" i="3"/>
  <c r="J42" i="3"/>
  <c r="J4" i="3"/>
  <c r="J17" i="3"/>
  <c r="J58" i="3"/>
  <c r="J51" i="3"/>
  <c r="J24" i="3"/>
  <c r="J65" i="3"/>
  <c r="J110" i="3"/>
  <c r="J37" i="3"/>
  <c r="J44" i="3"/>
  <c r="J30" i="3"/>
  <c r="J120" i="3"/>
  <c r="J16" i="3"/>
  <c r="J66" i="3"/>
  <c r="J49" i="3"/>
  <c r="J60" i="3"/>
  <c r="J96" i="3"/>
  <c r="J117" i="3"/>
  <c r="J122" i="3"/>
  <c r="J99" i="3"/>
  <c r="J15" i="3"/>
  <c r="J107" i="3"/>
  <c r="J46" i="3"/>
  <c r="J76" i="3"/>
  <c r="J48" i="3"/>
  <c r="J102" i="3"/>
  <c r="J91" i="3"/>
  <c r="J11" i="3"/>
  <c r="J55" i="3"/>
  <c r="J10" i="3"/>
  <c r="J85" i="3"/>
  <c r="J80" i="3"/>
  <c r="J114" i="3"/>
  <c r="J7" i="3"/>
  <c r="J78" i="3"/>
  <c r="J83" i="3"/>
  <c r="J109" i="3"/>
  <c r="J72" i="3"/>
  <c r="J73" i="3"/>
  <c r="J62" i="3"/>
  <c r="J64" i="3"/>
  <c r="J63" i="3"/>
  <c r="J100" i="3"/>
  <c r="J23" i="3"/>
  <c r="J9" i="3"/>
  <c r="K61" i="3"/>
  <c r="K16" i="3"/>
  <c r="J77" i="3"/>
  <c r="J19" i="3"/>
  <c r="J106" i="3"/>
  <c r="L62" i="3"/>
  <c r="L26" i="3"/>
  <c r="L107" i="3"/>
  <c r="L96" i="3"/>
  <c r="L56" i="3"/>
  <c r="L59" i="3"/>
  <c r="L95" i="3"/>
  <c r="L23" i="3"/>
  <c r="L84" i="3"/>
  <c r="L43" i="3"/>
  <c r="L119" i="3"/>
  <c r="L118" i="3"/>
  <c r="L94" i="3"/>
  <c r="L14" i="3"/>
  <c r="L92" i="3"/>
  <c r="L51" i="3"/>
  <c r="L57" i="3"/>
  <c r="L58" i="3"/>
  <c r="L97" i="3"/>
  <c r="L60" i="3"/>
  <c r="L71" i="3"/>
  <c r="L81" i="3"/>
  <c r="L50" i="3"/>
  <c r="L21" i="3"/>
  <c r="L66" i="3"/>
  <c r="L7" i="3"/>
  <c r="L115" i="3"/>
  <c r="L106" i="3"/>
  <c r="L48" i="3"/>
  <c r="L102" i="3"/>
  <c r="L25" i="3"/>
  <c r="L85" i="3"/>
  <c r="L27" i="3"/>
  <c r="L46" i="3"/>
  <c r="L63" i="3"/>
  <c r="L37" i="3"/>
  <c r="L36" i="3"/>
  <c r="L69" i="3"/>
  <c r="L93" i="3"/>
  <c r="L53" i="3"/>
  <c r="L42" i="3"/>
  <c r="L121" i="3"/>
  <c r="L86" i="3"/>
  <c r="L8" i="3"/>
  <c r="L70" i="3"/>
  <c r="L122" i="3"/>
  <c r="L52" i="3"/>
  <c r="L116" i="3"/>
  <c r="L103" i="3"/>
  <c r="L61" i="3"/>
  <c r="L109" i="3"/>
  <c r="L76" i="3"/>
  <c r="L108" i="3"/>
  <c r="L33" i="3"/>
  <c r="L67" i="3"/>
  <c r="L28" i="3"/>
  <c r="L12" i="3"/>
  <c r="L9" i="3"/>
  <c r="L31" i="3"/>
  <c r="L2" i="3"/>
  <c r="L29" i="3"/>
  <c r="Q119" i="3"/>
  <c r="Q56" i="3"/>
  <c r="Q83" i="3"/>
  <c r="Q94" i="3"/>
  <c r="Q70" i="3"/>
  <c r="Q32" i="3"/>
  <c r="Q98" i="3"/>
  <c r="Q81" i="3"/>
  <c r="Q67" i="3"/>
  <c r="Q79" i="3"/>
  <c r="Q114" i="3"/>
  <c r="Q34" i="3"/>
  <c r="Q5" i="3"/>
  <c r="Q11" i="3"/>
  <c r="Q89" i="3"/>
  <c r="Q53" i="3"/>
  <c r="Q23" i="3"/>
  <c r="Q35" i="3"/>
  <c r="Q105" i="3"/>
  <c r="Q54" i="3"/>
  <c r="Q49" i="3"/>
  <c r="Q14" i="3"/>
  <c r="Q110" i="3"/>
  <c r="Q47" i="3"/>
  <c r="Q50" i="3"/>
  <c r="Q102" i="3"/>
  <c r="Q63" i="3"/>
  <c r="Q41" i="3"/>
  <c r="Q120" i="3"/>
  <c r="Q39" i="3"/>
  <c r="Q9" i="3"/>
  <c r="Q109" i="3"/>
  <c r="Q55" i="3"/>
  <c r="Q24" i="3"/>
  <c r="Q107" i="3"/>
  <c r="Q112" i="3"/>
  <c r="Q116" i="3"/>
  <c r="Q103" i="3"/>
  <c r="Q21" i="3"/>
  <c r="Q3" i="3"/>
  <c r="Q71" i="3"/>
  <c r="Q6" i="3"/>
  <c r="Q37" i="3"/>
  <c r="Q16" i="3"/>
  <c r="Q31" i="3"/>
  <c r="Q19" i="3"/>
  <c r="Q44" i="3"/>
  <c r="Q62" i="3"/>
  <c r="Q87" i="3"/>
  <c r="Q57" i="3"/>
  <c r="Q92" i="3"/>
  <c r="Q100" i="3"/>
  <c r="Q91" i="3"/>
  <c r="Q17" i="3"/>
  <c r="Q93" i="3"/>
  <c r="Q68" i="3"/>
  <c r="Q15" i="3"/>
  <c r="Q40" i="3"/>
  <c r="Q2" i="3"/>
  <c r="Q10" i="3"/>
  <c r="Q74" i="3"/>
  <c r="Q22" i="3"/>
  <c r="Q69" i="3"/>
  <c r="Q29" i="3"/>
  <c r="Q65" i="3"/>
  <c r="Q111" i="3"/>
  <c r="Q99" i="3"/>
  <c r="Q64" i="3"/>
  <c r="Q101" i="3"/>
  <c r="Q30" i="3"/>
  <c r="Q117" i="3"/>
  <c r="Q115" i="3"/>
  <c r="Q18" i="3"/>
  <c r="Q42" i="3"/>
  <c r="L35" i="3"/>
  <c r="Q45" i="3"/>
  <c r="Q33" i="3"/>
  <c r="L34" i="3"/>
  <c r="M116" i="3"/>
  <c r="L54" i="3"/>
  <c r="J33" i="3"/>
  <c r="K70" i="3"/>
  <c r="L112" i="3"/>
  <c r="M76" i="3"/>
  <c r="K100" i="3"/>
  <c r="L77" i="3"/>
  <c r="K68" i="3"/>
  <c r="L117" i="3"/>
  <c r="M58" i="3"/>
  <c r="L99" i="3"/>
  <c r="M24" i="3"/>
  <c r="K42" i="3"/>
  <c r="K2" i="3"/>
  <c r="Q26" i="3"/>
  <c r="L68" i="3"/>
  <c r="M43" i="3"/>
  <c r="M64" i="3"/>
  <c r="J39" i="3"/>
  <c r="Q66" i="3"/>
  <c r="M90" i="3"/>
  <c r="Q82" i="3"/>
  <c r="J56" i="3"/>
  <c r="Q86" i="3"/>
  <c r="J54" i="3"/>
  <c r="I66" i="3"/>
  <c r="I53" i="3"/>
  <c r="K59" i="3"/>
  <c r="K71" i="3"/>
  <c r="I48" i="3"/>
  <c r="I7" i="3"/>
  <c r="I99" i="3"/>
  <c r="I63" i="3"/>
  <c r="K96" i="3"/>
  <c r="I94" i="3"/>
  <c r="K77" i="3"/>
  <c r="I3" i="3"/>
  <c r="I36" i="3"/>
  <c r="K98" i="3"/>
  <c r="K121" i="3"/>
  <c r="K75" i="3"/>
  <c r="K54" i="3"/>
  <c r="K25" i="3"/>
  <c r="K51" i="3"/>
  <c r="K110" i="3"/>
  <c r="I74" i="3"/>
  <c r="I9" i="3"/>
  <c r="I34" i="3"/>
  <c r="I20" i="3"/>
  <c r="I115" i="3"/>
  <c r="K9" i="3"/>
  <c r="K34" i="3"/>
  <c r="I49" i="3"/>
  <c r="I68" i="3"/>
  <c r="K76" i="3"/>
  <c r="I33" i="3"/>
  <c r="I17" i="3"/>
  <c r="K53" i="3"/>
  <c r="I26" i="3"/>
  <c r="I40" i="3"/>
  <c r="I18" i="3"/>
  <c r="I72" i="3"/>
  <c r="I45" i="3"/>
  <c r="I116" i="3"/>
  <c r="I11" i="3"/>
  <c r="I96" i="3"/>
  <c r="I119" i="3"/>
  <c r="I4" i="3"/>
  <c r="K55" i="3"/>
  <c r="I76" i="3"/>
  <c r="I62" i="3"/>
  <c r="I114" i="3"/>
  <c r="I88" i="3"/>
  <c r="K58" i="3"/>
  <c r="K101" i="3"/>
  <c r="K39" i="3"/>
  <c r="K49" i="3"/>
  <c r="I64" i="3"/>
  <c r="K92" i="3"/>
  <c r="K13" i="3"/>
  <c r="I10" i="3"/>
  <c r="K111" i="3"/>
  <c r="I108" i="3"/>
  <c r="I16" i="3"/>
  <c r="K90" i="3"/>
  <c r="I14" i="3"/>
  <c r="I90" i="3"/>
  <c r="I25" i="3"/>
  <c r="I103" i="3"/>
  <c r="I117" i="3"/>
  <c r="K26" i="3"/>
  <c r="K19" i="3"/>
  <c r="K86" i="3"/>
  <c r="I77" i="3"/>
  <c r="I22" i="3"/>
  <c r="I8" i="3"/>
  <c r="K50" i="3"/>
  <c r="I109" i="3"/>
  <c r="K91" i="3"/>
  <c r="K38" i="3"/>
  <c r="I78" i="3"/>
  <c r="K120" i="3"/>
  <c r="K116" i="3"/>
  <c r="K48" i="3"/>
  <c r="I27" i="3"/>
  <c r="K21" i="3"/>
  <c r="K22" i="3"/>
  <c r="K78" i="3"/>
  <c r="I41" i="3"/>
  <c r="K66" i="3"/>
  <c r="I86" i="3"/>
  <c r="K7" i="3"/>
  <c r="Y92" i="2"/>
  <c r="Y58" i="2"/>
  <c r="Y61" i="2"/>
  <c r="Y23" i="2"/>
  <c r="Y27" i="2"/>
  <c r="Y41" i="2"/>
  <c r="Y101" i="2"/>
  <c r="Y22" i="2"/>
  <c r="Y12" i="2"/>
  <c r="Y59" i="2"/>
  <c r="Y42" i="2"/>
  <c r="Y34" i="2"/>
  <c r="Y6" i="2"/>
  <c r="Y69" i="2"/>
  <c r="Y89" i="2"/>
  <c r="Y96" i="2"/>
  <c r="Y67" i="2"/>
  <c r="AU96" i="2"/>
  <c r="AU108" i="2"/>
  <c r="AU69" i="2"/>
  <c r="Y72" i="2"/>
  <c r="Y4" i="2"/>
  <c r="Y11" i="2"/>
  <c r="AU36" i="2"/>
  <c r="Y44" i="2"/>
  <c r="Y71" i="2"/>
  <c r="Y47" i="2"/>
  <c r="Y17" i="2"/>
  <c r="Y84" i="2"/>
  <c r="Y51" i="2"/>
  <c r="Y5" i="2"/>
  <c r="Y104" i="2"/>
  <c r="AU48" i="2"/>
  <c r="Y28" i="2"/>
  <c r="Y97" i="2"/>
  <c r="Y95" i="2"/>
  <c r="Y107" i="2"/>
  <c r="Y52" i="2"/>
  <c r="AU78" i="2"/>
  <c r="Y32" i="2"/>
  <c r="Y26" i="2"/>
  <c r="Y106" i="2"/>
  <c r="Y15" i="2"/>
  <c r="Y25" i="2"/>
  <c r="Y29" i="2"/>
  <c r="Y82" i="2"/>
  <c r="Y78" i="2"/>
  <c r="Z23" i="2"/>
  <c r="S55" i="2"/>
  <c r="V21" i="2"/>
  <c r="Z93" i="2"/>
  <c r="R62" i="2"/>
  <c r="X69" i="2"/>
  <c r="Z8" i="2"/>
  <c r="Q22" i="2"/>
  <c r="Y79" i="2"/>
  <c r="Z58" i="2"/>
  <c r="Y13" i="2"/>
  <c r="Z76" i="2"/>
  <c r="Y8" i="2"/>
  <c r="Y103" i="2"/>
  <c r="Z6" i="2"/>
  <c r="S39" i="2"/>
  <c r="X61" i="2"/>
  <c r="T89" i="2"/>
  <c r="Z86" i="2"/>
  <c r="P57" i="2"/>
  <c r="Q109" i="2"/>
  <c r="P92" i="2"/>
  <c r="X56" i="2"/>
  <c r="Z30" i="2"/>
  <c r="S107" i="2"/>
  <c r="V86" i="2"/>
  <c r="P54" i="2"/>
  <c r="S5" i="2"/>
  <c r="AU98" i="2"/>
  <c r="P93" i="2"/>
  <c r="Q106" i="2"/>
  <c r="T44" i="2"/>
  <c r="V32" i="2"/>
  <c r="T76" i="2"/>
  <c r="X67" i="2"/>
  <c r="V46" i="2"/>
  <c r="Z47" i="2"/>
  <c r="Z96" i="2"/>
  <c r="Q57" i="2"/>
  <c r="V58" i="2"/>
  <c r="U26" i="2"/>
  <c r="S86" i="2"/>
  <c r="Q18" i="2"/>
  <c r="Z34" i="2"/>
  <c r="Z25" i="2"/>
  <c r="Z12" i="2"/>
  <c r="X112" i="2"/>
  <c r="R54" i="2"/>
  <c r="Z24" i="2"/>
  <c r="P26" i="2"/>
  <c r="V40" i="2"/>
  <c r="Q59" i="2"/>
  <c r="Z78" i="2"/>
  <c r="Z11" i="2"/>
  <c r="Z40" i="2"/>
  <c r="X41" i="2"/>
  <c r="X45" i="2"/>
  <c r="Y49" i="2"/>
  <c r="Q21" i="2"/>
  <c r="Q12" i="2"/>
  <c r="P91" i="2"/>
  <c r="Z64" i="2"/>
  <c r="Z91" i="2"/>
  <c r="Z44" i="2"/>
  <c r="Z50" i="2"/>
  <c r="Z45" i="2"/>
  <c r="X95" i="2"/>
  <c r="X17" i="2"/>
  <c r="Q54" i="2"/>
  <c r="P62" i="2"/>
  <c r="R100" i="2"/>
  <c r="R22" i="2"/>
  <c r="Q10" i="2"/>
  <c r="P52" i="2"/>
  <c r="X32" i="2"/>
  <c r="Z31" i="2"/>
  <c r="X64" i="2"/>
  <c r="X46" i="2"/>
  <c r="X84" i="2"/>
  <c r="Q36" i="2"/>
  <c r="P71" i="2"/>
  <c r="Z48" i="2"/>
  <c r="U67" i="2"/>
  <c r="Q66" i="2"/>
  <c r="X22" i="2"/>
  <c r="V106" i="2"/>
  <c r="P43" i="2"/>
  <c r="Z53" i="2"/>
  <c r="Z109" i="2"/>
  <c r="P85" i="2"/>
  <c r="V3" i="2"/>
  <c r="P59" i="2"/>
  <c r="S92" i="2"/>
  <c r="Z80" i="2"/>
  <c r="P33" i="2"/>
  <c r="Z105" i="2"/>
  <c r="Z43" i="2"/>
  <c r="X57" i="2"/>
  <c r="U30" i="2"/>
  <c r="Z16" i="2"/>
  <c r="Z90" i="2"/>
  <c r="X109" i="2"/>
  <c r="P15" i="2"/>
  <c r="Z39" i="2"/>
  <c r="Z27" i="2"/>
  <c r="X20" i="2"/>
  <c r="U73" i="2"/>
  <c r="V80" i="2"/>
  <c r="P82" i="2"/>
  <c r="Q105" i="2"/>
  <c r="Z89" i="2"/>
  <c r="Z51" i="2"/>
  <c r="Z62" i="2"/>
  <c r="Z33" i="2"/>
  <c r="Z38" i="2"/>
  <c r="X12" i="2"/>
  <c r="X97" i="2"/>
  <c r="P7" i="2"/>
  <c r="Z84" i="2"/>
  <c r="Z111" i="2"/>
  <c r="Z57" i="2"/>
  <c r="X25" i="2"/>
  <c r="P3" i="2"/>
  <c r="P68" i="2"/>
  <c r="Q9" i="2"/>
  <c r="Z99" i="2"/>
  <c r="X75" i="2"/>
  <c r="U88" i="2"/>
  <c r="V108" i="2"/>
  <c r="Q92" i="2"/>
  <c r="Q108" i="2"/>
  <c r="Y90" i="2"/>
  <c r="Z104" i="2"/>
  <c r="Z56" i="2"/>
  <c r="Z72" i="2"/>
  <c r="Z10" i="2"/>
  <c r="Z20" i="2"/>
  <c r="X76" i="2"/>
  <c r="X28" i="2"/>
  <c r="Q5" i="2"/>
  <c r="Z21" i="2"/>
  <c r="X110" i="2"/>
  <c r="Z36" i="2"/>
  <c r="P74" i="2"/>
  <c r="Q98" i="2"/>
  <c r="Z87" i="2"/>
  <c r="Z18" i="2"/>
  <c r="X58" i="2"/>
  <c r="X19" i="2"/>
  <c r="U85" i="2"/>
  <c r="Z85" i="2"/>
  <c r="U89" i="2"/>
  <c r="Q60" i="2"/>
  <c r="Z107" i="2"/>
  <c r="Z65" i="2"/>
  <c r="Z52" i="2"/>
  <c r="Z4" i="2"/>
  <c r="X89" i="2"/>
  <c r="Y100" i="2"/>
  <c r="R48" i="2"/>
  <c r="U69" i="2"/>
  <c r="R30" i="2"/>
  <c r="V92" i="2"/>
  <c r="R92" i="2"/>
  <c r="R111" i="2"/>
  <c r="Y88" i="2"/>
  <c r="R106" i="2"/>
  <c r="Y24" i="2"/>
  <c r="R96" i="2"/>
  <c r="U77" i="2"/>
  <c r="U52" i="2"/>
  <c r="Y64" i="2"/>
  <c r="Q64" i="2"/>
  <c r="Y35" i="2"/>
  <c r="Y93" i="2"/>
  <c r="X52" i="2"/>
  <c r="X24" i="2"/>
  <c r="X10" i="2"/>
  <c r="Z63" i="2"/>
  <c r="Z60" i="2"/>
  <c r="T39" i="2"/>
  <c r="Z88" i="2"/>
  <c r="R25" i="2"/>
  <c r="X37" i="2"/>
  <c r="X91" i="2"/>
  <c r="Z74" i="2"/>
  <c r="P18" i="2"/>
  <c r="R46" i="2"/>
  <c r="R49" i="2"/>
  <c r="R86" i="2"/>
  <c r="X90" i="2"/>
  <c r="W12" i="2"/>
  <c r="S85" i="2"/>
  <c r="Q81" i="2"/>
  <c r="R79" i="2"/>
  <c r="Z73" i="2"/>
  <c r="Z54" i="2"/>
  <c r="R41" i="2"/>
  <c r="R65" i="2"/>
  <c r="P21" i="2"/>
  <c r="R103" i="2"/>
  <c r="Z103" i="2"/>
  <c r="Z67" i="2"/>
  <c r="V37" i="2"/>
  <c r="Z13" i="2"/>
  <c r="X9" i="2"/>
  <c r="S59" i="2"/>
  <c r="V101" i="2"/>
  <c r="Z77" i="2"/>
  <c r="Z81" i="2"/>
  <c r="X108" i="2"/>
  <c r="Z83" i="2"/>
  <c r="Z97" i="2"/>
  <c r="P49" i="2"/>
  <c r="R74" i="2"/>
  <c r="S70" i="2"/>
  <c r="T32" i="2"/>
  <c r="Z37" i="2"/>
  <c r="X100" i="2"/>
  <c r="Q47" i="2"/>
  <c r="R12" i="2"/>
  <c r="R75" i="2"/>
  <c r="P109" i="2"/>
  <c r="R105" i="2"/>
  <c r="V31" i="2"/>
  <c r="T91" i="2"/>
  <c r="Z7" i="2"/>
  <c r="Z46" i="2"/>
  <c r="Z68" i="2"/>
  <c r="P103" i="2"/>
  <c r="Z75" i="2"/>
  <c r="T64" i="2"/>
  <c r="Z3" i="2"/>
  <c r="Z14" i="2"/>
  <c r="X13" i="2"/>
  <c r="X18" i="2"/>
  <c r="V12" i="2"/>
  <c r="T68" i="2"/>
  <c r="Z55" i="2"/>
  <c r="P61" i="2"/>
  <c r="Z94" i="2"/>
  <c r="S76" i="2"/>
  <c r="R93" i="2"/>
  <c r="X107" i="2"/>
  <c r="X74" i="2"/>
  <c r="Z69" i="2"/>
  <c r="Z49" i="2"/>
  <c r="Z101" i="2"/>
  <c r="Z92" i="2"/>
  <c r="Z26" i="2"/>
  <c r="Z32" i="2"/>
  <c r="Z29" i="2"/>
  <c r="Z17" i="2"/>
  <c r="X2" i="2"/>
  <c r="X70" i="2"/>
  <c r="X36" i="2"/>
  <c r="V22" i="2"/>
  <c r="Z82" i="2"/>
  <c r="Z110" i="2"/>
  <c r="Z108" i="2"/>
  <c r="Z19" i="2"/>
  <c r="Z2" i="2"/>
  <c r="Z5" i="2"/>
  <c r="Z22" i="2"/>
  <c r="X16" i="2"/>
  <c r="X80" i="2"/>
  <c r="X33" i="2"/>
  <c r="Z95" i="2"/>
  <c r="Z35" i="2"/>
  <c r="Z71" i="2"/>
  <c r="Z100" i="2"/>
  <c r="Z79" i="2"/>
  <c r="Z41" i="2"/>
  <c r="X51" i="2"/>
  <c r="X93" i="2"/>
  <c r="U13" i="2"/>
  <c r="V4" i="2"/>
  <c r="T48" i="2"/>
  <c r="U17" i="2"/>
  <c r="S105" i="2"/>
  <c r="V99" i="2"/>
  <c r="Q45" i="2"/>
  <c r="P47" i="2"/>
  <c r="R98" i="2"/>
  <c r="U86" i="2"/>
  <c r="S110" i="2"/>
  <c r="V28" i="2"/>
  <c r="U70" i="2"/>
  <c r="U100" i="2"/>
  <c r="U46" i="2"/>
  <c r="U41" i="2"/>
  <c r="R19" i="2"/>
  <c r="S94" i="2"/>
  <c r="S66" i="2"/>
  <c r="S18" i="2"/>
  <c r="V79" i="2"/>
  <c r="V82" i="2"/>
  <c r="V6" i="2"/>
  <c r="Y102" i="2"/>
  <c r="R47" i="2"/>
  <c r="Q51" i="2"/>
  <c r="Q97" i="2"/>
  <c r="Q50" i="2"/>
  <c r="Q26" i="2"/>
  <c r="Q17" i="2"/>
  <c r="Z98" i="2"/>
  <c r="R55" i="2"/>
  <c r="S6" i="2"/>
  <c r="V19" i="2"/>
  <c r="R58" i="2"/>
  <c r="P10" i="2"/>
  <c r="Q27" i="2"/>
  <c r="T38" i="2"/>
  <c r="P11" i="2"/>
  <c r="R71" i="2"/>
  <c r="R10" i="2"/>
  <c r="R38" i="2"/>
  <c r="Q8" i="2"/>
  <c r="P40" i="2"/>
  <c r="P48" i="2"/>
  <c r="P46" i="2"/>
  <c r="R31" i="2"/>
  <c r="R52" i="2"/>
  <c r="P56" i="2"/>
  <c r="P84" i="2"/>
  <c r="R108" i="2"/>
  <c r="P86" i="2"/>
  <c r="R110" i="2"/>
  <c r="V10" i="2"/>
  <c r="T27" i="2"/>
  <c r="T99" i="2"/>
  <c r="R2" i="2"/>
  <c r="U103" i="2"/>
  <c r="V34" i="2"/>
  <c r="P22" i="2"/>
  <c r="V70" i="2"/>
  <c r="P67" i="2"/>
  <c r="U59" i="2"/>
  <c r="V75" i="2"/>
  <c r="V9" i="2"/>
  <c r="U14" i="2"/>
  <c r="P80" i="2"/>
  <c r="V24" i="2"/>
  <c r="R57" i="2"/>
  <c r="Q112" i="2"/>
  <c r="R9" i="2"/>
  <c r="U38" i="2"/>
  <c r="V74" i="2"/>
  <c r="V26" i="2"/>
  <c r="Q70" i="2"/>
  <c r="Y16" i="2"/>
  <c r="P112" i="2"/>
  <c r="R13" i="2"/>
  <c r="U8" i="2"/>
  <c r="Y62" i="2"/>
  <c r="S104" i="2"/>
  <c r="S61" i="2"/>
  <c r="V50" i="2"/>
  <c r="V96" i="2"/>
  <c r="V56" i="2"/>
  <c r="V44" i="2"/>
  <c r="V5" i="2"/>
  <c r="R104" i="2"/>
  <c r="Y68" i="2"/>
  <c r="R11" i="2"/>
  <c r="P35" i="2"/>
  <c r="Q69" i="2"/>
  <c r="Q93" i="2"/>
  <c r="Q19" i="2"/>
  <c r="Q46" i="2"/>
  <c r="R34" i="2"/>
  <c r="P31" i="2"/>
  <c r="Z66" i="2"/>
  <c r="T72" i="2"/>
  <c r="Y70" i="2"/>
  <c r="Y38" i="2"/>
  <c r="U55" i="2"/>
  <c r="R14" i="2"/>
  <c r="V77" i="2"/>
  <c r="P16" i="2"/>
  <c r="Q87" i="2"/>
  <c r="P69" i="2"/>
  <c r="S16" i="2"/>
  <c r="V111" i="2"/>
  <c r="Q23" i="2"/>
  <c r="Q77" i="2"/>
  <c r="P42" i="2"/>
  <c r="R59" i="2"/>
  <c r="V107" i="2"/>
  <c r="P38" i="2"/>
  <c r="R81" i="2"/>
  <c r="Q110" i="2"/>
  <c r="Q7" i="2"/>
  <c r="Q75" i="2"/>
  <c r="Z28" i="2"/>
  <c r="T42" i="2"/>
  <c r="Y46" i="2"/>
  <c r="V91" i="2"/>
  <c r="R18" i="2"/>
  <c r="S77" i="2"/>
  <c r="U91" i="2"/>
  <c r="Q76" i="2"/>
  <c r="R107" i="2"/>
  <c r="AU66" i="2"/>
  <c r="U66" i="2"/>
  <c r="U84" i="2"/>
  <c r="P17" i="2"/>
  <c r="Y108" i="2"/>
  <c r="S37" i="2"/>
  <c r="R29" i="2"/>
  <c r="U37" i="2"/>
  <c r="U96" i="2"/>
  <c r="U5" i="2"/>
  <c r="R97" i="2"/>
  <c r="S32" i="2"/>
  <c r="S38" i="2"/>
  <c r="S45" i="2"/>
  <c r="V93" i="2"/>
  <c r="V73" i="2"/>
  <c r="V52" i="2"/>
  <c r="V15" i="2"/>
  <c r="Y66" i="2"/>
  <c r="Y31" i="2"/>
  <c r="Y54" i="2"/>
  <c r="Q74" i="2"/>
  <c r="U102" i="2"/>
  <c r="U47" i="2"/>
  <c r="U44" i="2"/>
  <c r="U25" i="2"/>
  <c r="Y109" i="2"/>
  <c r="Y74" i="2"/>
  <c r="S21" i="2"/>
  <c r="S101" i="2"/>
  <c r="V7" i="2"/>
  <c r="V59" i="2"/>
  <c r="V27" i="2"/>
  <c r="Y112" i="2"/>
  <c r="Y55" i="2"/>
  <c r="Q82" i="2"/>
  <c r="Q62" i="2"/>
  <c r="Q34" i="2"/>
  <c r="Y9" i="2"/>
  <c r="Y86" i="2"/>
  <c r="Y20" i="2"/>
  <c r="AR45" i="2"/>
  <c r="Y45" i="2"/>
  <c r="W95" i="2"/>
  <c r="W111" i="2"/>
  <c r="W66" i="2"/>
  <c r="W13" i="2"/>
  <c r="W34" i="2"/>
  <c r="W35" i="2"/>
  <c r="W45" i="2"/>
  <c r="W90" i="2"/>
  <c r="W83" i="2"/>
  <c r="W80" i="2"/>
  <c r="W76" i="2"/>
  <c r="W5" i="2"/>
  <c r="W58" i="2"/>
  <c r="W63" i="2"/>
  <c r="W103" i="2"/>
  <c r="W53" i="2"/>
  <c r="W91" i="2"/>
  <c r="W106" i="2"/>
  <c r="W86" i="2"/>
  <c r="W110" i="2"/>
  <c r="W47" i="2"/>
  <c r="W29" i="2"/>
  <c r="W26" i="2"/>
  <c r="W14" i="2"/>
  <c r="W31" i="2"/>
  <c r="W8" i="2"/>
  <c r="W67" i="2"/>
  <c r="W112" i="2"/>
  <c r="W27" i="2"/>
  <c r="W107" i="2"/>
  <c r="W55" i="2"/>
  <c r="W88" i="2"/>
  <c r="W51" i="2"/>
  <c r="W11" i="2"/>
  <c r="W30" i="2"/>
  <c r="W37" i="2"/>
  <c r="W38" i="2"/>
  <c r="W60" i="2"/>
  <c r="W4" i="2"/>
  <c r="W16" i="2"/>
  <c r="W7" i="2"/>
  <c r="W93" i="2"/>
  <c r="W50" i="2"/>
  <c r="W59" i="2"/>
  <c r="AT108" i="2"/>
  <c r="AC58" i="2" s="1"/>
  <c r="U34" i="2"/>
  <c r="U3" i="2"/>
  <c r="U82" i="2"/>
  <c r="U97" i="2"/>
  <c r="U15" i="2"/>
  <c r="U22" i="2"/>
  <c r="S19" i="2"/>
  <c r="W39" i="2"/>
  <c r="S43" i="2"/>
  <c r="W72" i="2"/>
  <c r="W46" i="2"/>
  <c r="W73" i="2"/>
  <c r="W92" i="2"/>
  <c r="Y111" i="2"/>
  <c r="W57" i="2"/>
  <c r="W20" i="2"/>
  <c r="U65" i="2"/>
  <c r="S41" i="2"/>
  <c r="S9" i="2"/>
  <c r="U68" i="2"/>
  <c r="U71" i="2"/>
  <c r="S20" i="2"/>
  <c r="S111" i="2"/>
  <c r="S65" i="2"/>
  <c r="S17" i="2"/>
  <c r="S12" i="2"/>
  <c r="W2" i="2"/>
  <c r="W10" i="2"/>
  <c r="S2" i="2"/>
  <c r="U81" i="2"/>
  <c r="U58" i="2"/>
  <c r="U62" i="2"/>
  <c r="U36" i="2"/>
  <c r="U112" i="2"/>
  <c r="U21" i="2"/>
  <c r="U10" i="2"/>
  <c r="S26" i="2"/>
  <c r="S31" i="2"/>
  <c r="S29" i="2"/>
  <c r="S42" i="2"/>
  <c r="S13" i="2"/>
  <c r="W70" i="2"/>
  <c r="U35" i="2"/>
  <c r="S49" i="2"/>
  <c r="U7" i="2"/>
  <c r="U50" i="2"/>
  <c r="U60" i="2"/>
  <c r="U95" i="2"/>
  <c r="U20" i="2"/>
  <c r="U11" i="2"/>
  <c r="Y77" i="2"/>
  <c r="S58" i="2"/>
  <c r="S93" i="2"/>
  <c r="S7" i="2"/>
  <c r="S53" i="2"/>
  <c r="W104" i="2"/>
  <c r="AU106" i="2"/>
  <c r="AS106" i="2"/>
  <c r="AS32" i="2"/>
  <c r="AU32" i="2"/>
  <c r="AS62" i="2"/>
  <c r="AU62" i="2"/>
  <c r="AS110" i="2"/>
  <c r="AU110" i="2"/>
  <c r="AS15" i="2"/>
  <c r="AU15" i="2"/>
  <c r="AU38" i="2"/>
  <c r="AS38" i="2"/>
  <c r="AS61" i="2"/>
  <c r="AU61" i="2"/>
  <c r="AU29" i="2"/>
  <c r="AS29" i="2"/>
  <c r="AU93" i="2"/>
  <c r="AS93" i="2"/>
  <c r="AS70" i="2"/>
  <c r="AU70" i="2"/>
  <c r="AS85" i="2"/>
  <c r="AU85" i="2"/>
  <c r="R101" i="2"/>
  <c r="U72" i="2"/>
  <c r="U93" i="2"/>
  <c r="U98" i="2"/>
  <c r="U56" i="2"/>
  <c r="U87" i="2"/>
  <c r="U106" i="2"/>
  <c r="U78" i="2"/>
  <c r="U48" i="2"/>
  <c r="U40" i="2"/>
  <c r="U76" i="2"/>
  <c r="U9" i="2"/>
  <c r="R91" i="2"/>
  <c r="R88" i="2"/>
  <c r="P23" i="2"/>
  <c r="S97" i="2"/>
  <c r="S74" i="2"/>
  <c r="S30" i="2"/>
  <c r="S50" i="2"/>
  <c r="S82" i="2"/>
  <c r="S35" i="2"/>
  <c r="S83" i="2"/>
  <c r="S27" i="2"/>
  <c r="S56" i="2"/>
  <c r="S22" i="2"/>
  <c r="S23" i="2"/>
  <c r="V29" i="2"/>
  <c r="V76" i="2"/>
  <c r="V109" i="2"/>
  <c r="V16" i="2"/>
  <c r="V95" i="2"/>
  <c r="V88" i="2"/>
  <c r="V17" i="2"/>
  <c r="V60" i="2"/>
  <c r="V57" i="2"/>
  <c r="V20" i="2"/>
  <c r="V11" i="2"/>
  <c r="P88" i="2"/>
  <c r="P76" i="2"/>
  <c r="R99" i="2"/>
  <c r="R17" i="2"/>
  <c r="P13" i="2"/>
  <c r="R63" i="2"/>
  <c r="Y7" i="2"/>
  <c r="Y48" i="2"/>
  <c r="Q78" i="2"/>
  <c r="Q31" i="2"/>
  <c r="Q52" i="2"/>
  <c r="Q39" i="2"/>
  <c r="Q80" i="2"/>
  <c r="Q101" i="2"/>
  <c r="Q4" i="2"/>
  <c r="Q15" i="2"/>
  <c r="Q90" i="2"/>
  <c r="Q73" i="2"/>
  <c r="Q29" i="2"/>
  <c r="R83" i="2"/>
  <c r="R56" i="2"/>
  <c r="P27" i="2"/>
  <c r="R20" i="2"/>
  <c r="R109" i="2"/>
  <c r="Z9" i="2"/>
  <c r="R68" i="2"/>
  <c r="R6" i="2"/>
  <c r="T66" i="2"/>
  <c r="T67" i="2"/>
  <c r="T102" i="2"/>
  <c r="T34" i="2"/>
  <c r="T57" i="2"/>
  <c r="T109" i="2"/>
  <c r="T87" i="2"/>
  <c r="T59" i="2"/>
  <c r="T46" i="2"/>
  <c r="T36" i="2"/>
  <c r="T17" i="2"/>
  <c r="R69" i="2"/>
  <c r="W99" i="2"/>
  <c r="W89" i="2"/>
  <c r="W64" i="2"/>
  <c r="W18" i="2"/>
  <c r="W87" i="2"/>
  <c r="W22" i="2"/>
  <c r="W43" i="2"/>
  <c r="W40" i="2"/>
  <c r="W52" i="2"/>
  <c r="W65" i="2"/>
  <c r="W9" i="2"/>
  <c r="P44" i="2"/>
  <c r="X6" i="2"/>
  <c r="X105" i="2"/>
  <c r="X27" i="2"/>
  <c r="X82" i="2"/>
  <c r="X102" i="2"/>
  <c r="X26" i="2"/>
  <c r="X53" i="2"/>
  <c r="X92" i="2"/>
  <c r="X44" i="2"/>
  <c r="X21" i="2"/>
  <c r="X7" i="2"/>
  <c r="Y76" i="2"/>
  <c r="R40" i="2"/>
  <c r="P19" i="2"/>
  <c r="AS63" i="2"/>
  <c r="AU63" i="2"/>
  <c r="AS60" i="2"/>
  <c r="AU60" i="2"/>
  <c r="AU64" i="2"/>
  <c r="AS64" i="2"/>
  <c r="AU88" i="2"/>
  <c r="AS88" i="2"/>
  <c r="AU24" i="2"/>
  <c r="AS24" i="2"/>
  <c r="AS107" i="2"/>
  <c r="AU107" i="2"/>
  <c r="AU74" i="2"/>
  <c r="AS74" i="2"/>
  <c r="AS101" i="2"/>
  <c r="AU101" i="2"/>
  <c r="R53" i="2"/>
  <c r="T52" i="2"/>
  <c r="T98" i="2"/>
  <c r="T58" i="2"/>
  <c r="T62" i="2"/>
  <c r="T31" i="2"/>
  <c r="T81" i="2"/>
  <c r="T84" i="2"/>
  <c r="T82" i="2"/>
  <c r="T22" i="2"/>
  <c r="T19" i="2"/>
  <c r="T9" i="2"/>
  <c r="P101" i="2"/>
  <c r="R5" i="2"/>
  <c r="P81" i="2"/>
  <c r="P36" i="2"/>
  <c r="X23" i="2"/>
  <c r="X4" i="2"/>
  <c r="AS73" i="2"/>
  <c r="AU73" i="2"/>
  <c r="AU54" i="2"/>
  <c r="AS54" i="2"/>
  <c r="AS31" i="2"/>
  <c r="AU31" i="2"/>
  <c r="AS103" i="2"/>
  <c r="AU103" i="2"/>
  <c r="AS90" i="2"/>
  <c r="AU90" i="2"/>
  <c r="AS67" i="2"/>
  <c r="AU67" i="2"/>
  <c r="AU79" i="2"/>
  <c r="AS79" i="2"/>
  <c r="AU13" i="2"/>
  <c r="AS13" i="2"/>
  <c r="AU8" i="2"/>
  <c r="AS8" i="2"/>
  <c r="AU76" i="2"/>
  <c r="AS76" i="2"/>
  <c r="P63" i="2"/>
  <c r="P51" i="2"/>
  <c r="T79" i="2"/>
  <c r="T100" i="2"/>
  <c r="T70" i="2"/>
  <c r="T74" i="2"/>
  <c r="T20" i="2"/>
  <c r="T75" i="2"/>
  <c r="T63" i="2"/>
  <c r="T105" i="2"/>
  <c r="T40" i="2"/>
  <c r="T3" i="2"/>
  <c r="T11" i="2"/>
  <c r="Y53" i="2"/>
  <c r="P24" i="2"/>
  <c r="P95" i="2"/>
  <c r="P108" i="2"/>
  <c r="X5" i="2"/>
  <c r="P37" i="2"/>
  <c r="P14" i="2"/>
  <c r="P5" i="2"/>
  <c r="AS77" i="2"/>
  <c r="AU77" i="2"/>
  <c r="AS81" i="2"/>
  <c r="AU81" i="2"/>
  <c r="AS83" i="2"/>
  <c r="AU83" i="2"/>
  <c r="AS97" i="2"/>
  <c r="AU97" i="2"/>
  <c r="AS102" i="2"/>
  <c r="AU102" i="2"/>
  <c r="AS37" i="2"/>
  <c r="AU37" i="2"/>
  <c r="AS7" i="2"/>
  <c r="AU7" i="2"/>
  <c r="AS21" i="2"/>
  <c r="AU21" i="2"/>
  <c r="P39" i="2"/>
  <c r="R7" i="2"/>
  <c r="T80" i="2"/>
  <c r="T77" i="2"/>
  <c r="T37" i="2"/>
  <c r="T50" i="2"/>
  <c r="T35" i="2"/>
  <c r="T16" i="2"/>
  <c r="T96" i="2"/>
  <c r="T110" i="2"/>
  <c r="T25" i="2"/>
  <c r="T43" i="2"/>
  <c r="T26" i="2"/>
  <c r="R64" i="2"/>
  <c r="P107" i="2"/>
  <c r="R78" i="2"/>
  <c r="X11" i="2"/>
  <c r="X15" i="2"/>
  <c r="P60" i="2"/>
  <c r="AS35" i="2"/>
  <c r="AU35" i="2"/>
  <c r="AS46" i="2"/>
  <c r="AU46" i="2"/>
  <c r="AU105" i="2"/>
  <c r="AS105" i="2"/>
  <c r="AS100" i="2"/>
  <c r="AU100" i="2"/>
  <c r="AU68" i="2"/>
  <c r="AS68" i="2"/>
  <c r="AU16" i="2"/>
  <c r="AU75" i="2"/>
  <c r="AS75" i="2"/>
  <c r="AS109" i="2"/>
  <c r="AU109" i="2"/>
  <c r="AU86" i="2"/>
  <c r="AS86" i="2"/>
  <c r="AU89" i="2"/>
  <c r="AS89" i="2"/>
  <c r="AU3" i="2"/>
  <c r="AS3" i="2"/>
  <c r="AU14" i="2"/>
  <c r="AS14" i="2"/>
  <c r="AU5" i="2"/>
  <c r="AS5" i="2"/>
  <c r="AS20" i="2"/>
  <c r="AU20" i="2"/>
  <c r="AS19" i="2"/>
  <c r="AU19" i="2"/>
  <c r="AS22" i="2"/>
  <c r="AU22" i="2"/>
  <c r="AS41" i="2"/>
  <c r="AU41" i="2"/>
  <c r="AS33" i="2"/>
  <c r="AU33" i="2"/>
  <c r="P98" i="2"/>
  <c r="T94" i="2"/>
  <c r="T24" i="2"/>
  <c r="T104" i="2"/>
  <c r="T13" i="2"/>
  <c r="P66" i="2"/>
  <c r="R80" i="2"/>
  <c r="R94" i="2"/>
  <c r="X31" i="2"/>
  <c r="X65" i="2"/>
  <c r="X14" i="2"/>
  <c r="P29" i="2"/>
  <c r="P32" i="2"/>
  <c r="AU84" i="2"/>
  <c r="AS84" i="2"/>
  <c r="AS112" i="2"/>
  <c r="AU112" i="2"/>
  <c r="AS55" i="2"/>
  <c r="AU55" i="2"/>
  <c r="AU94" i="2"/>
  <c r="AS94" i="2"/>
  <c r="AS11" i="2"/>
  <c r="AU11" i="2"/>
  <c r="AS58" i="2"/>
  <c r="AU58" i="2"/>
  <c r="T33" i="2"/>
  <c r="AS71" i="2"/>
  <c r="AU71" i="2"/>
  <c r="AU104" i="2"/>
  <c r="AS104" i="2"/>
  <c r="AS59" i="2"/>
  <c r="AU59" i="2"/>
  <c r="AS42" i="2"/>
  <c r="AU42" i="2"/>
  <c r="AS95" i="2"/>
  <c r="AU95" i="2"/>
  <c r="AS12" i="2"/>
  <c r="AU12" i="2"/>
  <c r="AU10" i="2"/>
  <c r="AS10" i="2"/>
  <c r="AU18" i="2"/>
  <c r="AU43" i="2"/>
  <c r="AS43" i="2"/>
  <c r="AS40" i="2"/>
  <c r="AU40" i="2"/>
  <c r="AS57" i="2"/>
  <c r="AU57" i="2"/>
  <c r="S60" i="2"/>
  <c r="S99" i="2"/>
  <c r="S91" i="2"/>
  <c r="S36" i="2"/>
  <c r="V55" i="2"/>
  <c r="V105" i="2"/>
  <c r="V38" i="2"/>
  <c r="V61" i="2"/>
  <c r="R66" i="2"/>
  <c r="R95" i="2"/>
  <c r="P28" i="2"/>
  <c r="Q71" i="2"/>
  <c r="Q102" i="2"/>
  <c r="Q95" i="2"/>
  <c r="P110" i="2"/>
  <c r="P58" i="2"/>
  <c r="T21" i="2"/>
  <c r="T15" i="2"/>
  <c r="U94" i="2"/>
  <c r="U105" i="2"/>
  <c r="U43" i="2"/>
  <c r="R82" i="2"/>
  <c r="R102" i="2"/>
  <c r="S79" i="2"/>
  <c r="S8" i="2"/>
  <c r="S64" i="2"/>
  <c r="S46" i="2"/>
  <c r="V98" i="2"/>
  <c r="V102" i="2"/>
  <c r="V78" i="2"/>
  <c r="V66" i="2"/>
  <c r="P105" i="2"/>
  <c r="R28" i="2"/>
  <c r="Q63" i="2"/>
  <c r="Q43" i="2"/>
  <c r="Q3" i="2"/>
  <c r="Q16" i="2"/>
  <c r="R27" i="2"/>
  <c r="R85" i="2"/>
  <c r="R33" i="2"/>
  <c r="T101" i="2"/>
  <c r="T51" i="2"/>
  <c r="T23" i="2"/>
  <c r="P106" i="2"/>
  <c r="W101" i="2"/>
  <c r="W85" i="2"/>
  <c r="W49" i="2"/>
  <c r="W17" i="2"/>
  <c r="X99" i="2"/>
  <c r="X62" i="2"/>
  <c r="X103" i="2"/>
  <c r="X3" i="2"/>
  <c r="P77" i="2"/>
  <c r="U49" i="2"/>
  <c r="U80" i="2"/>
  <c r="U110" i="2"/>
  <c r="U54" i="2"/>
  <c r="U57" i="2"/>
  <c r="U18" i="2"/>
  <c r="U92" i="2"/>
  <c r="U19" i="2"/>
  <c r="R45" i="2"/>
  <c r="R90" i="2"/>
  <c r="Y81" i="2"/>
  <c r="S28" i="2"/>
  <c r="S68" i="2"/>
  <c r="S100" i="2"/>
  <c r="S103" i="2"/>
  <c r="S78" i="2"/>
  <c r="S106" i="2"/>
  <c r="S81" i="2"/>
  <c r="S63" i="2"/>
  <c r="S109" i="2"/>
  <c r="S75" i="2"/>
  <c r="S11" i="2"/>
  <c r="P50" i="2"/>
  <c r="V100" i="2"/>
  <c r="V90" i="2"/>
  <c r="V18" i="2"/>
  <c r="V45" i="2"/>
  <c r="V104" i="2"/>
  <c r="V89" i="2"/>
  <c r="V65" i="2"/>
  <c r="V94" i="2"/>
  <c r="V49" i="2"/>
  <c r="V48" i="2"/>
  <c r="V23" i="2"/>
  <c r="P6" i="2"/>
  <c r="R60" i="2"/>
  <c r="P104" i="2"/>
  <c r="R16" i="2"/>
  <c r="P8" i="2"/>
  <c r="R43" i="2"/>
  <c r="Q96" i="2"/>
  <c r="Q84" i="2"/>
  <c r="Q2" i="2"/>
  <c r="Q40" i="2"/>
  <c r="Q103" i="2"/>
  <c r="Q49" i="2"/>
  <c r="Q24" i="2"/>
  <c r="Q107" i="2"/>
  <c r="Q56" i="2"/>
  <c r="Q61" i="2"/>
  <c r="Q20" i="2"/>
  <c r="P83" i="2"/>
  <c r="P87" i="2"/>
  <c r="R51" i="2"/>
  <c r="P53" i="2"/>
  <c r="Z42" i="2"/>
  <c r="Z15" i="2"/>
  <c r="P75" i="2"/>
  <c r="P25" i="2"/>
  <c r="T56" i="2"/>
  <c r="T30" i="2"/>
  <c r="T55" i="2"/>
  <c r="T90" i="2"/>
  <c r="T7" i="2"/>
  <c r="T108" i="2"/>
  <c r="T69" i="2"/>
  <c r="T112" i="2"/>
  <c r="T8" i="2"/>
  <c r="T12" i="2"/>
  <c r="T14" i="2"/>
  <c r="R21" i="2"/>
  <c r="W69" i="2"/>
  <c r="W108" i="2"/>
  <c r="W109" i="2"/>
  <c r="W78" i="2"/>
  <c r="W77" i="2"/>
  <c r="W97" i="2"/>
  <c r="W36" i="2"/>
  <c r="W81" i="2"/>
  <c r="W71" i="2"/>
  <c r="W19" i="2"/>
  <c r="W15" i="2"/>
  <c r="R76" i="2"/>
  <c r="X29" i="2"/>
  <c r="X54" i="2"/>
  <c r="X8" i="2"/>
  <c r="X88" i="2"/>
  <c r="X98" i="2"/>
  <c r="X72" i="2"/>
  <c r="X43" i="2"/>
  <c r="X111" i="2"/>
  <c r="X66" i="2"/>
  <c r="X35" i="2"/>
  <c r="X30" i="2"/>
  <c r="P20" i="2"/>
  <c r="R89" i="2"/>
  <c r="Y105" i="2"/>
  <c r="AS51" i="2"/>
  <c r="AU51" i="2"/>
  <c r="AS87" i="2"/>
  <c r="AU87" i="2"/>
  <c r="AU99" i="2"/>
  <c r="AU4" i="2"/>
  <c r="AS4" i="2"/>
  <c r="AU9" i="2"/>
  <c r="AU34" i="2"/>
  <c r="AS34" i="2"/>
  <c r="S80" i="2"/>
  <c r="S51" i="2"/>
  <c r="S90" i="2"/>
  <c r="V33" i="2"/>
  <c r="V67" i="2"/>
  <c r="V43" i="2"/>
  <c r="V63" i="2"/>
  <c r="R3" i="2"/>
  <c r="Q99" i="2"/>
  <c r="Q25" i="2"/>
  <c r="Q11" i="2"/>
  <c r="Q33" i="2"/>
  <c r="P12" i="2"/>
  <c r="R77" i="2"/>
  <c r="P55" i="2"/>
  <c r="R67" i="2"/>
  <c r="T83" i="2"/>
  <c r="T18" i="2"/>
  <c r="U111" i="2"/>
  <c r="U79" i="2"/>
  <c r="U4" i="2"/>
  <c r="U6" i="2"/>
  <c r="S67" i="2"/>
  <c r="S112" i="2"/>
  <c r="S108" i="2"/>
  <c r="S4" i="2"/>
  <c r="V53" i="2"/>
  <c r="V13" i="2"/>
  <c r="V35" i="2"/>
  <c r="P64" i="2"/>
  <c r="Q88" i="2"/>
  <c r="Q100" i="2"/>
  <c r="Q28" i="2"/>
  <c r="Q38" i="2"/>
  <c r="R23" i="2"/>
  <c r="Z106" i="2"/>
  <c r="P72" i="2"/>
  <c r="T93" i="2"/>
  <c r="T61" i="2"/>
  <c r="T10" i="2"/>
  <c r="R24" i="2"/>
  <c r="W105" i="2"/>
  <c r="W42" i="2"/>
  <c r="W61" i="2"/>
  <c r="X59" i="2"/>
  <c r="X106" i="2"/>
  <c r="X73" i="2"/>
  <c r="X63" i="2"/>
  <c r="R84" i="2"/>
  <c r="U53" i="2"/>
  <c r="U83" i="2"/>
  <c r="U24" i="2"/>
  <c r="P79" i="2"/>
  <c r="U45" i="2"/>
  <c r="U29" i="2"/>
  <c r="U101" i="2"/>
  <c r="U108" i="2"/>
  <c r="U109" i="2"/>
  <c r="U104" i="2"/>
  <c r="U64" i="2"/>
  <c r="U31" i="2"/>
  <c r="U12" i="2"/>
  <c r="U16" i="2"/>
  <c r="U23" i="2"/>
  <c r="P78" i="2"/>
  <c r="P2" i="2"/>
  <c r="P9" i="2"/>
  <c r="Y56" i="2"/>
  <c r="S98" i="2"/>
  <c r="S57" i="2"/>
  <c r="S48" i="2"/>
  <c r="S34" i="2"/>
  <c r="S88" i="2"/>
  <c r="S44" i="2"/>
  <c r="S25" i="2"/>
  <c r="S96" i="2"/>
  <c r="S87" i="2"/>
  <c r="S47" i="2"/>
  <c r="S3" i="2"/>
  <c r="R61" i="2"/>
  <c r="V72" i="2"/>
  <c r="V47" i="2"/>
  <c r="V2" i="2"/>
  <c r="V41" i="2"/>
  <c r="V51" i="2"/>
  <c r="V42" i="2"/>
  <c r="V30" i="2"/>
  <c r="V97" i="2"/>
  <c r="V81" i="2"/>
  <c r="V71" i="2"/>
  <c r="V39" i="2"/>
  <c r="R50" i="2"/>
  <c r="P90" i="2"/>
  <c r="R73" i="2"/>
  <c r="P41" i="2"/>
  <c r="P4" i="2"/>
  <c r="Q89" i="2"/>
  <c r="Q14" i="2"/>
  <c r="Q37" i="2"/>
  <c r="Q94" i="2"/>
  <c r="Q48" i="2"/>
  <c r="Q35" i="2"/>
  <c r="Q41" i="2"/>
  <c r="Q83" i="2"/>
  <c r="Q53" i="2"/>
  <c r="Q13" i="2"/>
  <c r="Q30" i="2"/>
  <c r="R35" i="2"/>
  <c r="R72" i="2"/>
  <c r="R37" i="2"/>
  <c r="Y83" i="2"/>
  <c r="Z112" i="2"/>
  <c r="Z61" i="2"/>
  <c r="Z59" i="2"/>
  <c r="Z102" i="2"/>
  <c r="Z70" i="2"/>
  <c r="Y60" i="2"/>
  <c r="P97" i="2"/>
  <c r="T85" i="2"/>
  <c r="T73" i="2"/>
  <c r="T111" i="2"/>
  <c r="T86" i="2"/>
  <c r="T47" i="2"/>
  <c r="T2" i="2"/>
  <c r="T49" i="2"/>
  <c r="T78" i="2"/>
  <c r="T106" i="2"/>
  <c r="T5" i="2"/>
  <c r="T92" i="2"/>
  <c r="T4" i="2"/>
  <c r="R15" i="2"/>
  <c r="W68" i="2"/>
  <c r="W82" i="2"/>
  <c r="W74" i="2"/>
  <c r="W75" i="2"/>
  <c r="W98" i="2"/>
  <c r="W33" i="2"/>
  <c r="W28" i="2"/>
  <c r="W96" i="2"/>
  <c r="W84" i="2"/>
  <c r="W25" i="2"/>
  <c r="W23" i="2"/>
  <c r="W3" i="2"/>
  <c r="P70" i="2"/>
  <c r="X40" i="2"/>
  <c r="X86" i="2"/>
  <c r="X47" i="2"/>
  <c r="X83" i="2"/>
  <c r="X79" i="2"/>
  <c r="X94" i="2"/>
  <c r="X38" i="2"/>
  <c r="X85" i="2"/>
  <c r="X49" i="2"/>
  <c r="X48" i="2"/>
  <c r="X96" i="2"/>
  <c r="Y87" i="2"/>
  <c r="R70" i="2"/>
  <c r="AS52" i="2"/>
  <c r="AU52" i="2"/>
  <c r="AU44" i="2"/>
  <c r="AS44" i="2"/>
  <c r="AS92" i="2"/>
  <c r="AU92" i="2"/>
  <c r="AS72" i="2"/>
  <c r="AU72" i="2"/>
  <c r="AS80" i="2"/>
  <c r="AU80" i="2"/>
  <c r="AU2" i="2"/>
  <c r="AS2" i="2"/>
  <c r="AU6" i="2"/>
  <c r="AS6" i="2"/>
  <c r="AS17" i="2"/>
  <c r="AU17" i="2"/>
  <c r="AU26" i="2"/>
  <c r="AS26" i="2"/>
  <c r="AS30" i="2"/>
  <c r="AU30" i="2"/>
  <c r="AS23" i="2"/>
  <c r="AU23" i="2"/>
  <c r="AS27" i="2"/>
  <c r="AU27" i="2"/>
  <c r="AU65" i="2"/>
  <c r="AS65" i="2"/>
  <c r="S71" i="2"/>
  <c r="S54" i="2"/>
  <c r="S73" i="2"/>
  <c r="S14" i="2"/>
  <c r="V68" i="2"/>
  <c r="V69" i="2"/>
  <c r="V103" i="2"/>
  <c r="R112" i="2"/>
  <c r="R32" i="2"/>
  <c r="Q111" i="2"/>
  <c r="Q72" i="2"/>
  <c r="Q55" i="2"/>
  <c r="P94" i="2"/>
  <c r="T28" i="2"/>
  <c r="T65" i="2"/>
  <c r="U2" i="2"/>
  <c r="U75" i="2"/>
  <c r="U42" i="2"/>
  <c r="U61" i="2"/>
  <c r="S40" i="2"/>
  <c r="S69" i="2"/>
  <c r="S84" i="2"/>
  <c r="V83" i="2"/>
  <c r="V110" i="2"/>
  <c r="V8" i="2"/>
  <c r="R44" i="2"/>
  <c r="R39" i="2"/>
  <c r="Q91" i="2"/>
  <c r="Q86" i="2"/>
  <c r="Q42" i="2"/>
  <c r="R8" i="2"/>
  <c r="T60" i="2"/>
  <c r="T29" i="2"/>
  <c r="T6" i="2"/>
  <c r="W94" i="2"/>
  <c r="W79" i="2"/>
  <c r="W41" i="2"/>
  <c r="W48" i="2"/>
  <c r="P34" i="2"/>
  <c r="X34" i="2"/>
  <c r="X68" i="2"/>
  <c r="X42" i="2"/>
  <c r="X39" i="2"/>
  <c r="P65" i="2"/>
  <c r="P100" i="2"/>
  <c r="R36" i="2"/>
  <c r="U33" i="2"/>
  <c r="U74" i="2"/>
  <c r="U90" i="2"/>
  <c r="U28" i="2"/>
  <c r="U107" i="2"/>
  <c r="U51" i="2"/>
  <c r="U99" i="2"/>
  <c r="U63" i="2"/>
  <c r="U27" i="2"/>
  <c r="U32" i="2"/>
  <c r="U39" i="2"/>
  <c r="P30" i="2"/>
  <c r="Y37" i="2"/>
  <c r="R26" i="2"/>
  <c r="P96" i="2"/>
  <c r="S72" i="2"/>
  <c r="S52" i="2"/>
  <c r="S102" i="2"/>
  <c r="S62" i="2"/>
  <c r="S89" i="2"/>
  <c r="S10" i="2"/>
  <c r="S24" i="2"/>
  <c r="S15" i="2"/>
  <c r="S95" i="2"/>
  <c r="S33" i="2"/>
  <c r="P89" i="2"/>
  <c r="V85" i="2"/>
  <c r="V62" i="2"/>
  <c r="V54" i="2"/>
  <c r="V36" i="2"/>
  <c r="V112" i="2"/>
  <c r="V87" i="2"/>
  <c r="V14" i="2"/>
  <c r="V64" i="2"/>
  <c r="V84" i="2"/>
  <c r="V25" i="2"/>
  <c r="R87" i="2"/>
  <c r="R4" i="2"/>
  <c r="R42" i="2"/>
  <c r="P73" i="2"/>
  <c r="Y50" i="2"/>
  <c r="P102" i="2"/>
  <c r="Q104" i="2"/>
  <c r="Q44" i="2"/>
  <c r="Q32" i="2"/>
  <c r="Q79" i="2"/>
  <c r="Q68" i="2"/>
  <c r="Q65" i="2"/>
  <c r="Q58" i="2"/>
  <c r="Q67" i="2"/>
  <c r="Q85" i="2"/>
  <c r="Q6" i="2"/>
  <c r="Y63" i="2"/>
  <c r="Y91" i="2"/>
  <c r="P99" i="2"/>
  <c r="P111" i="2"/>
  <c r="Y73" i="2"/>
  <c r="T103" i="2"/>
  <c r="T41" i="2"/>
  <c r="T53" i="2"/>
  <c r="T71" i="2"/>
  <c r="T97" i="2"/>
  <c r="T54" i="2"/>
  <c r="T107" i="2"/>
  <c r="T88" i="2"/>
  <c r="T95" i="2"/>
  <c r="T45" i="2"/>
  <c r="P45" i="2"/>
  <c r="W62" i="2"/>
  <c r="W102" i="2"/>
  <c r="W54" i="2"/>
  <c r="W24" i="2"/>
  <c r="W100" i="2"/>
  <c r="W32" i="2"/>
  <c r="W56" i="2"/>
  <c r="W6" i="2"/>
  <c r="W44" i="2"/>
  <c r="W21" i="2"/>
  <c r="X104" i="2"/>
  <c r="X101" i="2"/>
  <c r="X87" i="2"/>
  <c r="X78" i="2"/>
  <c r="X50" i="2"/>
  <c r="X55" i="2"/>
  <c r="X60" i="2"/>
  <c r="X77" i="2"/>
  <c r="X81" i="2"/>
  <c r="X71" i="2"/>
  <c r="AS45" i="2"/>
  <c r="AU45" i="2"/>
  <c r="AU49" i="2"/>
  <c r="AS49" i="2"/>
  <c r="AS111" i="2"/>
  <c r="AU111" i="2"/>
  <c r="AS82" i="2"/>
  <c r="AU82" i="2"/>
  <c r="AS50" i="2"/>
  <c r="AU50" i="2"/>
  <c r="AU53" i="2"/>
  <c r="AS53" i="2"/>
  <c r="AS91" i="2"/>
  <c r="AU91" i="2"/>
  <c r="AU28" i="2"/>
  <c r="AS47" i="2"/>
  <c r="AU47" i="2"/>
  <c r="AU56" i="2"/>
  <c r="AS56" i="2"/>
  <c r="AU39" i="2"/>
  <c r="AS25" i="2"/>
  <c r="AU25" i="2"/>
  <c r="AE114" i="2"/>
  <c r="AE113" i="2"/>
  <c r="AA68" i="2"/>
  <c r="AA96" i="2"/>
  <c r="AA7" i="2"/>
  <c r="AA50" i="2"/>
  <c r="AA12" i="2"/>
  <c r="AA45" i="2"/>
  <c r="AA88" i="2"/>
  <c r="AA67" i="2"/>
  <c r="AA111" i="2"/>
  <c r="AA97" i="2"/>
  <c r="AA58" i="2"/>
  <c r="AA34" i="2"/>
  <c r="AA75" i="2"/>
  <c r="AA62" i="2"/>
  <c r="AA101" i="2"/>
  <c r="AA43" i="2"/>
  <c r="AA94" i="2"/>
  <c r="AA64" i="2"/>
  <c r="AA22" i="2"/>
  <c r="AA35" i="2"/>
  <c r="AA57" i="2"/>
  <c r="AA92" i="2"/>
  <c r="AA105" i="2"/>
  <c r="AA21" i="2"/>
  <c r="AA31" i="2"/>
  <c r="AA29" i="2"/>
  <c r="AA103" i="2"/>
  <c r="AA15" i="2"/>
  <c r="AA106" i="2"/>
  <c r="AA98" i="2"/>
  <c r="AA71" i="2"/>
  <c r="AA20" i="2"/>
  <c r="AA39" i="2"/>
  <c r="AA104" i="2"/>
  <c r="AA3" i="2"/>
  <c r="AA66" i="2"/>
  <c r="AA54" i="2"/>
  <c r="AA78" i="2"/>
  <c r="AA9" i="2"/>
  <c r="AA33" i="2"/>
  <c r="AA74" i="2"/>
  <c r="AC73" i="2"/>
  <c r="AC66" i="2"/>
  <c r="AC91" i="2"/>
  <c r="AC78" i="2"/>
  <c r="AC5" i="2"/>
  <c r="AC44" i="2"/>
  <c r="AA19" i="2"/>
  <c r="AA6" i="2"/>
  <c r="AA49" i="2"/>
  <c r="AA80" i="2"/>
  <c r="AA42" i="2"/>
  <c r="AA24" i="2"/>
  <c r="AA16" i="2"/>
  <c r="AA52" i="2"/>
  <c r="AA8" i="2"/>
  <c r="AA53" i="2"/>
  <c r="AA72" i="2"/>
  <c r="AA95" i="2"/>
  <c r="AA14" i="2"/>
  <c r="AA65" i="2"/>
  <c r="AA11" i="2"/>
  <c r="AA112" i="2"/>
  <c r="AA69" i="2"/>
  <c r="AA91" i="2"/>
  <c r="AA86" i="2"/>
  <c r="Y113" i="2"/>
  <c r="Y114" i="2"/>
  <c r="AA61" i="2"/>
  <c r="AA76" i="2"/>
  <c r="AA13" i="2"/>
  <c r="AA37" i="2"/>
  <c r="AA84" i="2"/>
  <c r="AA2" i="2"/>
  <c r="AA82" i="2"/>
  <c r="X113" i="2"/>
  <c r="X114" i="2"/>
  <c r="AA87" i="2"/>
  <c r="AA70" i="2"/>
  <c r="AA38" i="2"/>
  <c r="AA27" i="2"/>
  <c r="AA25" i="2"/>
  <c r="AA83" i="2"/>
  <c r="AA41" i="2"/>
  <c r="AA100" i="2"/>
  <c r="AA18" i="2"/>
  <c r="AA56" i="2"/>
  <c r="AA23" i="2"/>
  <c r="AA32" i="2"/>
  <c r="AA102" i="2"/>
  <c r="AA30" i="2"/>
  <c r="AA110" i="2"/>
  <c r="AA55" i="2"/>
  <c r="AA26" i="2"/>
  <c r="AA44" i="2"/>
  <c r="AA5" i="2"/>
  <c r="AA60" i="2"/>
  <c r="AA79" i="2"/>
  <c r="AA89" i="2"/>
  <c r="AA77" i="2"/>
  <c r="AA81" i="2"/>
  <c r="AA109" i="2"/>
  <c r="AA108" i="2"/>
  <c r="AA40" i="2"/>
  <c r="AA51" i="2"/>
  <c r="AA48" i="2"/>
  <c r="AA36" i="2"/>
  <c r="AA93" i="2"/>
  <c r="AA46" i="2"/>
  <c r="AA10" i="2"/>
  <c r="AA4" i="2"/>
  <c r="AA59" i="2"/>
  <c r="AA85" i="2"/>
  <c r="AA17" i="2"/>
  <c r="AA28" i="2"/>
  <c r="AA99" i="2"/>
  <c r="AA107" i="2"/>
  <c r="AA63" i="2"/>
  <c r="AA90" i="2"/>
  <c r="AA73" i="2"/>
  <c r="AA47" i="2"/>
  <c r="F38" i="3" l="1"/>
  <c r="F68" i="3"/>
  <c r="F51" i="3"/>
  <c r="F94" i="3"/>
  <c r="F101" i="3"/>
  <c r="F56" i="3"/>
  <c r="F2" i="3"/>
  <c r="F49" i="3"/>
  <c r="F63" i="3"/>
  <c r="F84" i="3"/>
  <c r="F82" i="3"/>
  <c r="F107" i="3"/>
  <c r="F30" i="3"/>
  <c r="F6" i="3"/>
  <c r="F89" i="3"/>
  <c r="F86" i="3"/>
  <c r="F78" i="3"/>
  <c r="F10" i="3"/>
  <c r="F62" i="3"/>
  <c r="F97" i="3"/>
  <c r="F87" i="3"/>
  <c r="F50" i="3"/>
  <c r="F32" i="3"/>
  <c r="F76" i="3"/>
  <c r="F48" i="3"/>
  <c r="F44" i="3"/>
  <c r="F71" i="3"/>
  <c r="F52" i="3"/>
  <c r="F104" i="3"/>
  <c r="F25" i="3"/>
  <c r="F34" i="3"/>
  <c r="F12" i="3"/>
  <c r="F23" i="3"/>
  <c r="F100" i="3"/>
  <c r="F24" i="3"/>
  <c r="F53" i="3"/>
  <c r="F73" i="3"/>
  <c r="F95" i="3"/>
  <c r="F41" i="3"/>
  <c r="F96" i="3"/>
  <c r="F81" i="3"/>
  <c r="O105" i="3"/>
  <c r="F105" i="3" s="1"/>
  <c r="O89" i="3"/>
  <c r="O120" i="3"/>
  <c r="F120" i="3" s="1"/>
  <c r="O106" i="3"/>
  <c r="F106" i="3" s="1"/>
  <c r="O5" i="3"/>
  <c r="F5" i="3" s="1"/>
  <c r="O6" i="3"/>
  <c r="O95" i="3"/>
  <c r="O28" i="3"/>
  <c r="F28" i="3" s="1"/>
  <c r="O45" i="3"/>
  <c r="F45" i="3" s="1"/>
  <c r="O19" i="3"/>
  <c r="F19" i="3" s="1"/>
  <c r="O59" i="3"/>
  <c r="F59" i="3" s="1"/>
  <c r="O22" i="3"/>
  <c r="F22" i="3" s="1"/>
  <c r="O47" i="3"/>
  <c r="F47" i="3" s="1"/>
  <c r="O57" i="3"/>
  <c r="F57" i="3" s="1"/>
  <c r="O52" i="3"/>
  <c r="O32" i="3"/>
  <c r="O7" i="3"/>
  <c r="F7" i="3" s="1"/>
  <c r="O64" i="3"/>
  <c r="F64" i="3" s="1"/>
  <c r="O72" i="3"/>
  <c r="F72" i="3" s="1"/>
  <c r="O50" i="3"/>
  <c r="O36" i="3"/>
  <c r="F36" i="3" s="1"/>
  <c r="O107" i="3"/>
  <c r="O9" i="3"/>
  <c r="F9" i="3" s="1"/>
  <c r="O3" i="3"/>
  <c r="F3" i="3" s="1"/>
  <c r="O65" i="3"/>
  <c r="F65" i="3" s="1"/>
  <c r="O77" i="3"/>
  <c r="F77" i="3" s="1"/>
  <c r="O98" i="3"/>
  <c r="F98" i="3" s="1"/>
  <c r="O75" i="3"/>
  <c r="F75" i="3" s="1"/>
  <c r="O29" i="3"/>
  <c r="F29" i="3" s="1"/>
  <c r="O97" i="3"/>
  <c r="O76" i="3"/>
  <c r="O2" i="3"/>
  <c r="O17" i="3"/>
  <c r="F17" i="3" s="1"/>
  <c r="O21" i="3"/>
  <c r="F21" i="3" s="1"/>
  <c r="O20" i="3"/>
  <c r="F20" i="3" s="1"/>
  <c r="O61" i="3"/>
  <c r="F61" i="3" s="1"/>
  <c r="O16" i="3"/>
  <c r="F16" i="3" s="1"/>
  <c r="O92" i="3"/>
  <c r="F92" i="3" s="1"/>
  <c r="O83" i="3"/>
  <c r="F83" i="3" s="1"/>
  <c r="O81" i="3"/>
  <c r="O49" i="3"/>
  <c r="O87" i="3"/>
  <c r="O34" i="3"/>
  <c r="O69" i="3"/>
  <c r="F69" i="3" s="1"/>
  <c r="O8" i="3"/>
  <c r="F8" i="3" s="1"/>
  <c r="O62" i="3"/>
  <c r="O42" i="3"/>
  <c r="F42" i="3" s="1"/>
  <c r="O90" i="3"/>
  <c r="F90" i="3" s="1"/>
  <c r="O37" i="3"/>
  <c r="F37" i="3" s="1"/>
  <c r="O71" i="3"/>
  <c r="O39" i="3"/>
  <c r="F39" i="3" s="1"/>
  <c r="O100" i="3"/>
  <c r="O114" i="3"/>
  <c r="F114" i="3" s="1"/>
  <c r="O14" i="3"/>
  <c r="F14" i="3" s="1"/>
  <c r="O110" i="3"/>
  <c r="F110" i="3" s="1"/>
  <c r="O113" i="3"/>
  <c r="F113" i="3" s="1"/>
  <c r="O82" i="3"/>
  <c r="O117" i="3"/>
  <c r="F117" i="3" s="1"/>
  <c r="O121" i="3"/>
  <c r="F121" i="3" s="1"/>
  <c r="O86" i="3"/>
  <c r="O101" i="3"/>
  <c r="O43" i="3"/>
  <c r="F43" i="3" s="1"/>
  <c r="O53" i="3"/>
  <c r="O112" i="3"/>
  <c r="F112" i="3" s="1"/>
  <c r="O54" i="3"/>
  <c r="F54" i="3" s="1"/>
  <c r="O88" i="3"/>
  <c r="F88" i="3" s="1"/>
  <c r="O91" i="3"/>
  <c r="F91" i="3" s="1"/>
  <c r="O115" i="3"/>
  <c r="F115" i="3" s="1"/>
  <c r="O70" i="3"/>
  <c r="F70" i="3" s="1"/>
  <c r="O38" i="3"/>
  <c r="O63" i="3"/>
  <c r="O25" i="3"/>
  <c r="O73" i="3"/>
  <c r="O30" i="3"/>
  <c r="O26" i="3"/>
  <c r="F26" i="3" s="1"/>
  <c r="O33" i="3"/>
  <c r="F33" i="3" s="1"/>
  <c r="O13" i="3"/>
  <c r="F13" i="3" s="1"/>
  <c r="O119" i="3"/>
  <c r="F119" i="3" s="1"/>
  <c r="O111" i="3"/>
  <c r="F111" i="3" s="1"/>
  <c r="O15" i="3"/>
  <c r="F15" i="3" s="1"/>
  <c r="O96" i="3"/>
  <c r="O78" i="3"/>
  <c r="O67" i="3"/>
  <c r="F67" i="3" s="1"/>
  <c r="O104" i="3"/>
  <c r="O116" i="3"/>
  <c r="F116" i="3" s="1"/>
  <c r="O79" i="3"/>
  <c r="F79" i="3" s="1"/>
  <c r="O41" i="3"/>
  <c r="O4" i="3"/>
  <c r="O74" i="3"/>
  <c r="F74" i="3" s="1"/>
  <c r="O10" i="3"/>
  <c r="O103" i="3"/>
  <c r="F103" i="3" s="1"/>
  <c r="O12" i="3"/>
  <c r="O122" i="3"/>
  <c r="F122" i="3" s="1"/>
  <c r="O99" i="3"/>
  <c r="F99" i="3" s="1"/>
  <c r="O24" i="3"/>
  <c r="O109" i="3"/>
  <c r="F109" i="3" s="1"/>
  <c r="O31" i="3"/>
  <c r="F31" i="3" s="1"/>
  <c r="O66" i="3"/>
  <c r="F66" i="3" s="1"/>
  <c r="O18" i="3"/>
  <c r="F18" i="3" s="1"/>
  <c r="O27" i="3"/>
  <c r="F27" i="3" s="1"/>
  <c r="O94" i="3"/>
  <c r="O23" i="3"/>
  <c r="O68" i="3"/>
  <c r="O80" i="3"/>
  <c r="F80" i="3" s="1"/>
  <c r="O108" i="3"/>
  <c r="F108" i="3" s="1"/>
  <c r="O35" i="3"/>
  <c r="F35" i="3" s="1"/>
  <c r="O55" i="3"/>
  <c r="F55" i="3" s="1"/>
  <c r="O46" i="3"/>
  <c r="F46" i="3" s="1"/>
  <c r="O60" i="3"/>
  <c r="F60" i="3" s="1"/>
  <c r="O48" i="3"/>
  <c r="O51" i="3"/>
  <c r="O56" i="3"/>
  <c r="O58" i="3"/>
  <c r="F58" i="3" s="1"/>
  <c r="O84" i="3"/>
  <c r="O93" i="3"/>
  <c r="F93" i="3" s="1"/>
  <c r="O40" i="3"/>
  <c r="F40" i="3" s="1"/>
  <c r="O11" i="3"/>
  <c r="F11" i="3" s="1"/>
  <c r="O102" i="3"/>
  <c r="F102" i="3" s="1"/>
  <c r="O85" i="3"/>
  <c r="F85" i="3" s="1"/>
  <c r="O44" i="3"/>
  <c r="O118" i="3"/>
  <c r="F118" i="3" s="1"/>
  <c r="AC24" i="2"/>
  <c r="AC107" i="2"/>
  <c r="AC109" i="2"/>
  <c r="AC46" i="2"/>
  <c r="AC25" i="2"/>
  <c r="AC75" i="2"/>
  <c r="AC71" i="2"/>
  <c r="AC41" i="2"/>
  <c r="AC106" i="2"/>
  <c r="AC31" i="2"/>
  <c r="AC23" i="2"/>
  <c r="AC34" i="2"/>
  <c r="AC57" i="2"/>
  <c r="AC81" i="2"/>
  <c r="AC97" i="2"/>
  <c r="AC54" i="2"/>
  <c r="AC6" i="2"/>
  <c r="AC35" i="2"/>
  <c r="AC69" i="2"/>
  <c r="AC64" i="2"/>
  <c r="AC13" i="2"/>
  <c r="AC93" i="2"/>
  <c r="AC88" i="2"/>
  <c r="AC15" i="2"/>
  <c r="AC94" i="2"/>
  <c r="AC112" i="2"/>
  <c r="AC108" i="2"/>
  <c r="AD82" i="2"/>
  <c r="AD9" i="2"/>
  <c r="AB90" i="2"/>
  <c r="AD53" i="2"/>
  <c r="AD67" i="2"/>
  <c r="AD102" i="2"/>
  <c r="AB2" i="2"/>
  <c r="AB98" i="2"/>
  <c r="Z113" i="2"/>
  <c r="U114" i="2"/>
  <c r="AD13" i="2"/>
  <c r="AC84" i="2"/>
  <c r="AC8" i="2"/>
  <c r="AC104" i="2"/>
  <c r="AC20" i="2"/>
  <c r="AC45" i="2"/>
  <c r="AD64" i="2"/>
  <c r="AB36" i="2"/>
  <c r="AC38" i="2"/>
  <c r="AC28" i="2"/>
  <c r="AC9" i="2"/>
  <c r="AC83" i="2"/>
  <c r="AC61" i="2"/>
  <c r="AC85" i="2"/>
  <c r="AD5" i="2"/>
  <c r="AD56" i="2"/>
  <c r="AD19" i="2"/>
  <c r="AB70" i="2"/>
  <c r="AB86" i="2"/>
  <c r="AC11" i="2"/>
  <c r="AC7" i="2"/>
  <c r="AC60" i="2"/>
  <c r="AC63" i="2"/>
  <c r="AC99" i="2"/>
  <c r="AC51" i="2"/>
  <c r="AC101" i="2"/>
  <c r="AC17" i="2"/>
  <c r="AC26" i="2"/>
  <c r="AC77" i="2"/>
  <c r="AC76" i="2"/>
  <c r="AD25" i="2"/>
  <c r="AD2" i="2"/>
  <c r="AD66" i="2"/>
  <c r="AD22" i="2"/>
  <c r="AB65" i="2"/>
  <c r="AB37" i="2"/>
  <c r="AB4" i="2"/>
  <c r="M8" i="2"/>
  <c r="AD91" i="2"/>
  <c r="AB49" i="2"/>
  <c r="W113" i="2"/>
  <c r="Q113" i="2"/>
  <c r="P113" i="2"/>
  <c r="G70" i="2" s="1"/>
  <c r="AD96" i="2"/>
  <c r="AD72" i="2"/>
  <c r="AD48" i="2"/>
  <c r="AD61" i="2"/>
  <c r="AB81" i="2"/>
  <c r="AB101" i="2"/>
  <c r="AB91" i="2"/>
  <c r="AD60" i="2"/>
  <c r="AD24" i="2"/>
  <c r="AD59" i="2"/>
  <c r="AD15" i="2"/>
  <c r="AB15" i="2"/>
  <c r="AB41" i="2"/>
  <c r="U113" i="2"/>
  <c r="AD23" i="2"/>
  <c r="AB14" i="2"/>
  <c r="AC2" i="2"/>
  <c r="AC48" i="2"/>
  <c r="AD41" i="2"/>
  <c r="Z114" i="2"/>
  <c r="AB95" i="2"/>
  <c r="P114" i="2"/>
  <c r="AC59" i="2"/>
  <c r="AD90" i="2"/>
  <c r="AB42" i="2"/>
  <c r="R113" i="2"/>
  <c r="AC96" i="2"/>
  <c r="AC89" i="2"/>
  <c r="AC87" i="2"/>
  <c r="AD111" i="2"/>
  <c r="AB93" i="2"/>
  <c r="AC80" i="2"/>
  <c r="AC90" i="2"/>
  <c r="AC4" i="2"/>
  <c r="AC30" i="2"/>
  <c r="AC82" i="2"/>
  <c r="AC18" i="2"/>
  <c r="AC29" i="2"/>
  <c r="AD28" i="2"/>
  <c r="AD77" i="2"/>
  <c r="AD39" i="2"/>
  <c r="AB89" i="2"/>
  <c r="AB16" i="2"/>
  <c r="AC52" i="2"/>
  <c r="AC86" i="2"/>
  <c r="AC14" i="2"/>
  <c r="AD105" i="2"/>
  <c r="AC70" i="2"/>
  <c r="AC98" i="2"/>
  <c r="AC40" i="2"/>
  <c r="AC33" i="2"/>
  <c r="AD42" i="2"/>
  <c r="AD110" i="2"/>
  <c r="AC27" i="2"/>
  <c r="AC68" i="2"/>
  <c r="AC103" i="2"/>
  <c r="AC50" i="2"/>
  <c r="AC100" i="2"/>
  <c r="AC102" i="2"/>
  <c r="AC32" i="2"/>
  <c r="AC56" i="2"/>
  <c r="AD68" i="2"/>
  <c r="V113" i="2"/>
  <c r="AC79" i="2"/>
  <c r="AC49" i="2"/>
  <c r="AC47" i="2"/>
  <c r="AC65" i="2"/>
  <c r="AC67" i="2"/>
  <c r="AC39" i="2"/>
  <c r="AC95" i="2"/>
  <c r="AC10" i="2"/>
  <c r="AC111" i="2"/>
  <c r="AC36" i="2"/>
  <c r="AC42" i="2"/>
  <c r="AC12" i="2"/>
  <c r="AC92" i="2"/>
  <c r="AC105" i="2"/>
  <c r="AC55" i="2"/>
  <c r="AC43" i="2"/>
  <c r="AC16" i="2"/>
  <c r="AD10" i="2"/>
  <c r="AD33" i="2"/>
  <c r="AD92" i="2"/>
  <c r="AB82" i="2"/>
  <c r="AB104" i="2"/>
  <c r="AB13" i="2"/>
  <c r="AC19" i="2"/>
  <c r="AC74" i="2"/>
  <c r="AC72" i="2"/>
  <c r="AC3" i="2"/>
  <c r="AC62" i="2"/>
  <c r="AC110" i="2"/>
  <c r="AC37" i="2"/>
  <c r="AC21" i="2"/>
  <c r="AC22" i="2"/>
  <c r="AC53" i="2"/>
  <c r="AD95" i="2"/>
  <c r="AD62" i="2"/>
  <c r="AD85" i="2"/>
  <c r="AD36" i="2"/>
  <c r="AB107" i="2"/>
  <c r="AB55" i="2"/>
  <c r="AB22" i="2"/>
  <c r="AD46" i="2"/>
  <c r="AD109" i="2"/>
  <c r="AD51" i="2"/>
  <c r="AB99" i="2"/>
  <c r="AB23" i="2"/>
  <c r="AB30" i="2"/>
  <c r="AD29" i="2"/>
  <c r="AD27" i="2"/>
  <c r="AD100" i="2"/>
  <c r="AD12" i="2"/>
  <c r="AD71" i="2"/>
  <c r="AD101" i="2"/>
  <c r="AD88" i="2"/>
  <c r="AD47" i="2"/>
  <c r="AD43" i="2"/>
  <c r="AB96" i="2"/>
  <c r="AB97" i="2"/>
  <c r="AB25" i="2"/>
  <c r="AB9" i="2"/>
  <c r="AB24" i="2"/>
  <c r="AB29" i="2"/>
  <c r="AB7" i="2"/>
  <c r="S113" i="2"/>
  <c r="T114" i="2"/>
  <c r="Q114" i="2"/>
  <c r="R114" i="2"/>
  <c r="L60" i="2" s="1"/>
  <c r="AD7" i="2"/>
  <c r="AB94" i="2"/>
  <c r="AD50" i="2"/>
  <c r="AD26" i="2"/>
  <c r="AD44" i="2"/>
  <c r="AD40" i="2"/>
  <c r="AD11" i="2"/>
  <c r="AB39" i="2"/>
  <c r="AD55" i="2"/>
  <c r="AD57" i="2"/>
  <c r="AD18" i="2"/>
  <c r="AB78" i="2"/>
  <c r="AB54" i="2"/>
  <c r="AB85" i="2"/>
  <c r="AD70" i="2"/>
  <c r="AD80" i="2"/>
  <c r="AD63" i="2"/>
  <c r="AD97" i="2"/>
  <c r="AD81" i="2"/>
  <c r="AD20" i="2"/>
  <c r="AD99" i="2"/>
  <c r="AD112" i="2"/>
  <c r="AD58" i="2"/>
  <c r="AD6" i="2"/>
  <c r="V114" i="2"/>
  <c r="AB35" i="2"/>
  <c r="AB112" i="2"/>
  <c r="AB100" i="2"/>
  <c r="AB64" i="2"/>
  <c r="AB21" i="2"/>
  <c r="AB77" i="2"/>
  <c r="AB8" i="2"/>
  <c r="W114" i="2"/>
  <c r="AD94" i="2"/>
  <c r="AD32" i="2"/>
  <c r="AB74" i="2"/>
  <c r="AB56" i="2"/>
  <c r="AD3" i="2"/>
  <c r="AD21" i="2"/>
  <c r="AD16" i="2"/>
  <c r="AB106" i="2"/>
  <c r="AD74" i="2"/>
  <c r="AD86" i="2"/>
  <c r="AD31" i="2"/>
  <c r="AD87" i="2"/>
  <c r="AD35" i="2"/>
  <c r="AD17" i="2"/>
  <c r="AD69" i="2"/>
  <c r="AD107" i="2"/>
  <c r="AD76" i="2"/>
  <c r="AD14" i="2"/>
  <c r="AB105" i="2"/>
  <c r="AB79" i="2"/>
  <c r="AB72" i="2"/>
  <c r="AB48" i="2"/>
  <c r="AB45" i="2"/>
  <c r="AB73" i="2"/>
  <c r="AB17" i="2"/>
  <c r="AD93" i="2"/>
  <c r="AD106" i="2"/>
  <c r="AD104" i="2"/>
  <c r="AB71" i="2"/>
  <c r="AB20" i="2"/>
  <c r="AD52" i="2"/>
  <c r="AD84" i="2"/>
  <c r="AD37" i="2"/>
  <c r="AD98" i="2"/>
  <c r="AD75" i="2"/>
  <c r="AD30" i="2"/>
  <c r="AD83" i="2"/>
  <c r="AD78" i="2"/>
  <c r="AD49" i="2"/>
  <c r="AD34" i="2"/>
  <c r="AD4" i="2"/>
  <c r="T113" i="2"/>
  <c r="AB57" i="2"/>
  <c r="AB59" i="2"/>
  <c r="AB110" i="2"/>
  <c r="AB40" i="2"/>
  <c r="AB76" i="2"/>
  <c r="AB33" i="2"/>
  <c r="AB3" i="2"/>
  <c r="AB44" i="2"/>
  <c r="AB61" i="2"/>
  <c r="AB51" i="2"/>
  <c r="AB80" i="2"/>
  <c r="AB69" i="2"/>
  <c r="AB66" i="2"/>
  <c r="AB83" i="2"/>
  <c r="AB34" i="2"/>
  <c r="AB53" i="2"/>
  <c r="AB58" i="2"/>
  <c r="AB12" i="2"/>
  <c r="AB68" i="2"/>
  <c r="AB63" i="2"/>
  <c r="AB84" i="2"/>
  <c r="AB28" i="2"/>
  <c r="AB67" i="2"/>
  <c r="AB11" i="2"/>
  <c r="AB52" i="2"/>
  <c r="AB108" i="2"/>
  <c r="AB46" i="2"/>
  <c r="AB18" i="2"/>
  <c r="AB5" i="2"/>
  <c r="S114" i="2"/>
  <c r="AB102" i="2"/>
  <c r="AB10" i="2"/>
  <c r="AB43" i="2"/>
  <c r="AB60" i="2"/>
  <c r="AB111" i="2"/>
  <c r="AB26" i="2"/>
  <c r="AB103" i="2"/>
  <c r="AB109" i="2"/>
  <c r="AB75" i="2"/>
  <c r="AB27" i="2"/>
  <c r="AB6" i="2"/>
  <c r="AD8" i="2"/>
  <c r="AD65" i="2"/>
  <c r="AD38" i="2"/>
  <c r="AD79" i="2"/>
  <c r="AD73" i="2"/>
  <c r="AD103" i="2"/>
  <c r="AD54" i="2"/>
  <c r="AD89" i="2"/>
  <c r="AD108" i="2"/>
  <c r="AD45" i="2"/>
  <c r="AB62" i="2"/>
  <c r="AB50" i="2"/>
  <c r="AB19" i="2"/>
  <c r="AB88" i="2"/>
  <c r="AB92" i="2"/>
  <c r="AB31" i="2"/>
  <c r="AB32" i="2"/>
  <c r="AB87" i="2"/>
  <c r="AB47" i="2"/>
  <c r="AB38" i="2"/>
  <c r="M98" i="2"/>
  <c r="M48" i="2"/>
  <c r="M79" i="2"/>
  <c r="M104" i="2"/>
  <c r="M3" i="2"/>
  <c r="M52" i="2"/>
  <c r="M10" i="2"/>
  <c r="M55" i="2"/>
  <c r="M30" i="2"/>
  <c r="M84" i="2"/>
  <c r="M4" i="2"/>
  <c r="M7" i="2"/>
  <c r="G65" i="2"/>
  <c r="G42" i="2"/>
  <c r="M18" i="2"/>
  <c r="M31" i="2"/>
  <c r="M40" i="2"/>
  <c r="G102" i="2"/>
  <c r="G8" i="2"/>
  <c r="M106" i="2"/>
  <c r="G61" i="2"/>
  <c r="G46" i="2"/>
  <c r="M53" i="2"/>
  <c r="G72" i="2"/>
  <c r="G10" i="2"/>
  <c r="G101" i="2"/>
  <c r="M71" i="2"/>
  <c r="G34" i="2"/>
  <c r="M6" i="2"/>
  <c r="M12" i="2"/>
  <c r="M20" i="2"/>
  <c r="M25" i="2"/>
  <c r="M107" i="2"/>
  <c r="M11" i="2"/>
  <c r="M51" i="2"/>
  <c r="M21" i="2"/>
  <c r="M112" i="2"/>
  <c r="M73" i="2"/>
  <c r="M61" i="2"/>
  <c r="M103" i="2"/>
  <c r="M89" i="2"/>
  <c r="M110" i="2"/>
  <c r="M38" i="2"/>
  <c r="M42" i="2"/>
  <c r="M74" i="2"/>
  <c r="M24" i="2"/>
  <c r="M65" i="2"/>
  <c r="M47" i="2"/>
  <c r="M85" i="2"/>
  <c r="M63" i="2"/>
  <c r="M62" i="2"/>
  <c r="M68" i="2"/>
  <c r="M109" i="2"/>
  <c r="M49" i="2"/>
  <c r="M90" i="2"/>
  <c r="M94" i="2"/>
  <c r="M76" i="2"/>
  <c r="M105" i="2"/>
  <c r="M97" i="2"/>
  <c r="M77" i="2"/>
  <c r="M43" i="2"/>
  <c r="M15" i="2"/>
  <c r="M2" i="2"/>
  <c r="M41" i="2"/>
  <c r="M54" i="2"/>
  <c r="M5" i="2"/>
  <c r="M50" i="2"/>
  <c r="M101" i="2"/>
  <c r="M67" i="2"/>
  <c r="M100" i="2"/>
  <c r="M27" i="2"/>
  <c r="M44" i="2"/>
  <c r="M37" i="2"/>
  <c r="M78" i="2"/>
  <c r="M33" i="2"/>
  <c r="M22" i="2"/>
  <c r="M83" i="2"/>
  <c r="M56" i="2"/>
  <c r="M99" i="2"/>
  <c r="M59" i="2"/>
  <c r="M26" i="2"/>
  <c r="M69" i="2"/>
  <c r="M66" i="2"/>
  <c r="M96" i="2"/>
  <c r="M88" i="2"/>
  <c r="M58" i="2"/>
  <c r="M29" i="2"/>
  <c r="M39" i="2"/>
  <c r="M34" i="2"/>
  <c r="M36" i="2"/>
  <c r="M32" i="2"/>
  <c r="M82" i="2"/>
  <c r="M57" i="2"/>
  <c r="M60" i="2"/>
  <c r="M86" i="2"/>
  <c r="M23" i="2"/>
  <c r="M13" i="2"/>
  <c r="M45" i="2"/>
  <c r="L50" i="2"/>
  <c r="M28" i="2"/>
  <c r="M91" i="2"/>
  <c r="M111" i="2"/>
  <c r="M75" i="2"/>
  <c r="M35" i="2"/>
  <c r="M87" i="2"/>
  <c r="M80" i="2"/>
  <c r="M102" i="2"/>
  <c r="M9" i="2"/>
  <c r="M17" i="2"/>
  <c r="M19" i="2"/>
  <c r="G80" i="2"/>
  <c r="G17" i="2"/>
  <c r="G57" i="2"/>
  <c r="G88" i="2"/>
  <c r="M92" i="2"/>
  <c r="M14" i="2"/>
  <c r="M108" i="2"/>
  <c r="M64" i="2"/>
  <c r="M70" i="2"/>
  <c r="M93" i="2"/>
  <c r="M95" i="2"/>
  <c r="M72" i="2"/>
  <c r="M81" i="2"/>
  <c r="M16" i="2"/>
  <c r="M46" i="2"/>
  <c r="G93" i="2"/>
  <c r="G108" i="2"/>
  <c r="G74" i="2"/>
  <c r="G16" i="2"/>
  <c r="G75" i="2"/>
  <c r="L108" i="2"/>
  <c r="G77" i="2"/>
  <c r="G59" i="2"/>
  <c r="G87" i="2"/>
  <c r="G13" i="2"/>
  <c r="G104" i="2"/>
  <c r="AA114" i="2"/>
  <c r="AA113" i="2"/>
  <c r="G98" i="2"/>
  <c r="G81" i="2"/>
  <c r="G66" i="2"/>
  <c r="G41" i="2"/>
  <c r="L41" i="2"/>
  <c r="G82" i="2"/>
  <c r="G38" i="2"/>
  <c r="G9" i="2"/>
  <c r="L88" i="2"/>
  <c r="G11" i="2"/>
  <c r="G3" i="2"/>
  <c r="G32" i="2"/>
  <c r="L26" i="2"/>
  <c r="G63" i="2"/>
  <c r="G55" i="2"/>
  <c r="G89" i="2"/>
  <c r="G107" i="2"/>
  <c r="L45" i="2" l="1"/>
  <c r="G44" i="2"/>
  <c r="G23" i="2"/>
  <c r="G33" i="2"/>
  <c r="G85" i="2"/>
  <c r="G62" i="2"/>
  <c r="G92" i="2"/>
  <c r="G60" i="2"/>
  <c r="G47" i="2"/>
  <c r="G50" i="2"/>
  <c r="G100" i="2"/>
  <c r="G21" i="2"/>
  <c r="G96" i="2"/>
  <c r="G39" i="2"/>
  <c r="G54" i="2"/>
  <c r="G106" i="2"/>
  <c r="G2" i="2"/>
  <c r="G111" i="2"/>
  <c r="G15" i="2"/>
  <c r="G112" i="2"/>
  <c r="G25" i="2"/>
  <c r="G78" i="2"/>
  <c r="G83" i="2"/>
  <c r="G40" i="2"/>
  <c r="G67" i="2"/>
  <c r="G35" i="2"/>
  <c r="G95" i="2"/>
  <c r="G22" i="2"/>
  <c r="G84" i="2"/>
  <c r="G49" i="2"/>
  <c r="G86" i="2"/>
  <c r="G12" i="2"/>
  <c r="L63" i="2"/>
  <c r="L46" i="2"/>
  <c r="L62" i="2"/>
  <c r="L74" i="2"/>
  <c r="L38" i="2"/>
  <c r="L92" i="2"/>
  <c r="L79" i="2"/>
  <c r="L61" i="2"/>
  <c r="L102" i="2"/>
  <c r="L15" i="2"/>
  <c r="L56" i="2"/>
  <c r="L44" i="2"/>
  <c r="AD114" i="2"/>
  <c r="AC114" i="2"/>
  <c r="AB113" i="2"/>
  <c r="G99" i="2"/>
  <c r="G64" i="2"/>
  <c r="G103" i="2"/>
  <c r="G68" i="2"/>
  <c r="G31" i="2"/>
  <c r="G36" i="2"/>
  <c r="G29" i="2"/>
  <c r="L83" i="2"/>
  <c r="G26" i="2"/>
  <c r="L31" i="2"/>
  <c r="L103" i="2"/>
  <c r="G27" i="2"/>
  <c r="G18" i="2"/>
  <c r="G71" i="2"/>
  <c r="G79" i="2"/>
  <c r="L14" i="2"/>
  <c r="L98" i="2"/>
  <c r="G7" i="2"/>
  <c r="G58" i="2"/>
  <c r="G91" i="2"/>
  <c r="G97" i="2"/>
  <c r="G4" i="2"/>
  <c r="G28" i="2"/>
  <c r="L91" i="2"/>
  <c r="G14" i="2"/>
  <c r="G30" i="2"/>
  <c r="G45" i="2"/>
  <c r="G94" i="2"/>
  <c r="L77" i="2"/>
  <c r="G56" i="2"/>
  <c r="L16" i="2"/>
  <c r="G43" i="2"/>
  <c r="G51" i="2"/>
  <c r="G19" i="2"/>
  <c r="G53" i="2"/>
  <c r="G20" i="2"/>
  <c r="G6" i="2"/>
  <c r="G37" i="2"/>
  <c r="L72" i="2"/>
  <c r="L13" i="2"/>
  <c r="G73" i="2"/>
  <c r="L23" i="2"/>
  <c r="G5" i="2"/>
  <c r="G69" i="2"/>
  <c r="G105" i="2"/>
  <c r="G24" i="2"/>
  <c r="L81" i="2"/>
  <c r="G48" i="2"/>
  <c r="L18" i="2"/>
  <c r="G110" i="2"/>
  <c r="G52" i="2"/>
  <c r="G90" i="2"/>
  <c r="G76" i="2"/>
  <c r="G109" i="2"/>
  <c r="AB114" i="2"/>
  <c r="AC113" i="2"/>
  <c r="AD113" i="2"/>
  <c r="L76" i="2"/>
  <c r="L99" i="2"/>
  <c r="L54" i="2"/>
  <c r="L109" i="2"/>
  <c r="L28" i="2"/>
  <c r="L29" i="2"/>
  <c r="L2" i="2"/>
  <c r="L39" i="2"/>
  <c r="L94" i="2"/>
  <c r="L57" i="2"/>
  <c r="L89" i="2"/>
  <c r="L34" i="2"/>
  <c r="L20" i="2"/>
  <c r="L32" i="2"/>
  <c r="L100" i="2"/>
  <c r="L11" i="2"/>
  <c r="L93" i="2"/>
  <c r="L95" i="2"/>
  <c r="L42" i="2"/>
  <c r="L78" i="2"/>
  <c r="L67" i="2"/>
  <c r="L9" i="2"/>
  <c r="L58" i="2"/>
  <c r="L4" i="2"/>
  <c r="L7" i="2"/>
  <c r="L96" i="2"/>
  <c r="L3" i="2"/>
  <c r="L59" i="2"/>
  <c r="L85" i="2"/>
  <c r="L33" i="2"/>
  <c r="L86" i="2"/>
  <c r="L105" i="2"/>
  <c r="L87" i="2"/>
  <c r="L112" i="2"/>
  <c r="L107" i="2"/>
  <c r="L68" i="2"/>
  <c r="L25" i="2"/>
  <c r="L17" i="2"/>
  <c r="L6" i="2"/>
  <c r="L104" i="2"/>
  <c r="L110" i="2"/>
  <c r="L65" i="2"/>
  <c r="L30" i="2"/>
  <c r="L111" i="2"/>
  <c r="L106" i="2"/>
  <c r="L36" i="2"/>
  <c r="L97" i="2"/>
  <c r="L19" i="2"/>
  <c r="L10" i="2"/>
  <c r="L69" i="2"/>
  <c r="L12" i="2"/>
  <c r="L64" i="2"/>
  <c r="L22" i="2"/>
  <c r="L75" i="2"/>
  <c r="L90" i="2"/>
  <c r="L52" i="2"/>
  <c r="L66" i="2"/>
  <c r="L47" i="2"/>
  <c r="L82" i="2"/>
  <c r="L21" i="2"/>
  <c r="L101" i="2"/>
  <c r="L73" i="2"/>
  <c r="L71" i="2"/>
  <c r="L48" i="2"/>
  <c r="L24" i="2"/>
  <c r="L80" i="2"/>
  <c r="L70" i="2"/>
  <c r="L8" i="2"/>
  <c r="L35" i="2"/>
  <c r="L37" i="2"/>
  <c r="L53" i="2"/>
  <c r="L27" i="2"/>
  <c r="L51" i="2"/>
  <c r="L5" i="2"/>
  <c r="L84" i="2"/>
  <c r="L55" i="2"/>
  <c r="L49" i="2"/>
  <c r="L40" i="2"/>
  <c r="L43" i="2"/>
  <c r="J17" i="2"/>
  <c r="J5" i="2"/>
  <c r="J21" i="2"/>
  <c r="J24" i="2"/>
  <c r="J107" i="2"/>
  <c r="J34" i="2"/>
  <c r="J62" i="2"/>
  <c r="J74" i="2"/>
  <c r="J4" i="2"/>
  <c r="J57" i="2"/>
  <c r="J23" i="2"/>
  <c r="J102" i="2"/>
  <c r="J61" i="2"/>
  <c r="J29" i="2"/>
  <c r="J82" i="2"/>
  <c r="J63" i="2"/>
  <c r="J87" i="2"/>
  <c r="J78" i="2"/>
  <c r="J25" i="2"/>
  <c r="J26" i="2"/>
  <c r="J19" i="2"/>
  <c r="J6" i="2"/>
  <c r="J39" i="2"/>
  <c r="J11" i="2"/>
  <c r="J97" i="2"/>
  <c r="J68" i="2"/>
  <c r="J7" i="2"/>
  <c r="J96" i="2"/>
  <c r="J105" i="2"/>
  <c r="J45" i="2"/>
  <c r="J93" i="2"/>
  <c r="J44" i="2"/>
  <c r="J13" i="2"/>
  <c r="J33" i="2"/>
  <c r="J52" i="2"/>
  <c r="J36" i="2"/>
  <c r="J2" i="2"/>
  <c r="J32" i="2"/>
  <c r="J38" i="2"/>
  <c r="J65" i="2"/>
  <c r="J64" i="2"/>
  <c r="J55" i="2"/>
  <c r="J50" i="2"/>
  <c r="J91" i="2"/>
  <c r="J73" i="2"/>
  <c r="J20" i="2"/>
  <c r="J43" i="2"/>
  <c r="J15" i="2"/>
  <c r="J109" i="2"/>
  <c r="J81" i="2"/>
  <c r="J84" i="2"/>
  <c r="J98" i="2"/>
  <c r="J40" i="2"/>
  <c r="J28" i="2"/>
  <c r="J101" i="2"/>
  <c r="J47" i="2"/>
  <c r="J72" i="2"/>
  <c r="J85" i="2"/>
  <c r="J58" i="2"/>
  <c r="J88" i="2"/>
  <c r="J106" i="2"/>
  <c r="J27" i="2"/>
  <c r="J77" i="2"/>
  <c r="J71" i="2"/>
  <c r="J99" i="2"/>
  <c r="J79" i="2"/>
  <c r="J76" i="2"/>
  <c r="J83" i="2"/>
  <c r="J59" i="2"/>
  <c r="J104" i="2"/>
  <c r="J41" i="2"/>
  <c r="J42" i="2"/>
  <c r="J67" i="2"/>
  <c r="J54" i="2"/>
  <c r="J10" i="2"/>
  <c r="J18" i="2"/>
  <c r="J90" i="2"/>
  <c r="J103" i="2"/>
  <c r="J12" i="2"/>
  <c r="J110" i="2"/>
  <c r="J112" i="2"/>
  <c r="J3" i="2"/>
  <c r="J108" i="2"/>
  <c r="J94" i="2"/>
  <c r="J46" i="2"/>
  <c r="J56" i="2"/>
  <c r="J9" i="2"/>
  <c r="J35" i="2"/>
  <c r="J49" i="2"/>
  <c r="J31" i="2"/>
  <c r="J92" i="2"/>
  <c r="J66" i="2"/>
  <c r="J8" i="2"/>
  <c r="J100" i="2"/>
  <c r="J95" i="2"/>
  <c r="J89" i="2"/>
  <c r="J16" i="2"/>
  <c r="J14" i="2"/>
  <c r="J22" i="2"/>
  <c r="J37" i="2"/>
  <c r="J48" i="2"/>
  <c r="J111" i="2"/>
  <c r="J69" i="2"/>
  <c r="J70" i="2"/>
  <c r="J53" i="2"/>
  <c r="J86" i="2"/>
  <c r="J60" i="2"/>
  <c r="J75" i="2"/>
  <c r="J80" i="2"/>
  <c r="J51" i="2"/>
  <c r="J30" i="2"/>
  <c r="I77" i="2" l="1"/>
  <c r="K71" i="2"/>
  <c r="H67" i="2"/>
  <c r="K60" i="2"/>
  <c r="K87" i="2"/>
  <c r="K43" i="2"/>
  <c r="H91" i="2"/>
  <c r="H109" i="2"/>
  <c r="H50" i="2"/>
  <c r="K26" i="2"/>
  <c r="I28" i="2"/>
  <c r="H51" i="2"/>
  <c r="K75" i="2"/>
  <c r="K2" i="2"/>
  <c r="H71" i="2"/>
  <c r="K6" i="2"/>
  <c r="I48" i="2"/>
  <c r="K98" i="2"/>
  <c r="I53" i="2"/>
  <c r="I69" i="2"/>
  <c r="H49" i="2"/>
  <c r="K83" i="2"/>
  <c r="K48" i="2"/>
  <c r="H60" i="2"/>
  <c r="K35" i="2"/>
  <c r="K63" i="2"/>
  <c r="H61" i="2"/>
  <c r="K94" i="2"/>
  <c r="K13" i="2"/>
  <c r="H66" i="2"/>
  <c r="K88" i="2"/>
  <c r="K27" i="2"/>
  <c r="K3" i="2"/>
  <c r="K97" i="2"/>
  <c r="H75" i="2"/>
  <c r="K109" i="2"/>
  <c r="I107" i="2"/>
  <c r="K38" i="2"/>
  <c r="I27" i="2"/>
  <c r="K82" i="2"/>
  <c r="H94" i="2"/>
  <c r="I42" i="2"/>
  <c r="K99" i="2"/>
  <c r="K70" i="2"/>
  <c r="K39" i="2"/>
  <c r="I56" i="2"/>
  <c r="K57" i="2"/>
  <c r="K65" i="2"/>
  <c r="K17" i="2"/>
  <c r="H83" i="2"/>
  <c r="I10" i="2"/>
  <c r="I70" i="2"/>
  <c r="I41" i="2"/>
  <c r="K96" i="2"/>
  <c r="H84" i="2"/>
  <c r="K111" i="2"/>
  <c r="H101" i="2"/>
  <c r="K23" i="2"/>
  <c r="K16" i="2"/>
  <c r="K112" i="2"/>
  <c r="K105" i="2"/>
  <c r="K89" i="2"/>
  <c r="I50" i="2"/>
  <c r="H90" i="2"/>
  <c r="I83" i="2"/>
  <c r="K107" i="2"/>
  <c r="I11" i="2"/>
  <c r="I26" i="2"/>
  <c r="K47" i="2"/>
  <c r="H43" i="2"/>
  <c r="K53" i="2"/>
  <c r="K37" i="2"/>
  <c r="K21" i="2"/>
  <c r="H23" i="2"/>
  <c r="I6" i="2"/>
  <c r="I21" i="2"/>
  <c r="I79" i="2"/>
  <c r="K76" i="2"/>
  <c r="H64" i="2"/>
  <c r="K24" i="2"/>
  <c r="K49" i="2"/>
  <c r="K62" i="2"/>
  <c r="H98" i="2"/>
  <c r="H110" i="2"/>
  <c r="H34" i="2"/>
  <c r="I76" i="2"/>
  <c r="K84" i="2"/>
  <c r="I99" i="2"/>
  <c r="K66" i="2"/>
  <c r="H45" i="2"/>
  <c r="K55" i="2"/>
  <c r="H112" i="2"/>
  <c r="H6" i="2"/>
  <c r="I78" i="2"/>
  <c r="H54" i="2"/>
  <c r="H100" i="2"/>
  <c r="K58" i="2"/>
  <c r="K28" i="2"/>
  <c r="K91" i="2"/>
  <c r="K42" i="2"/>
  <c r="K4" i="2"/>
  <c r="H31" i="2"/>
  <c r="H16" i="2"/>
  <c r="H41" i="2"/>
  <c r="I60" i="2"/>
  <c r="N60" i="2" s="1"/>
  <c r="H11" i="2"/>
  <c r="H21" i="2"/>
  <c r="H89" i="2"/>
  <c r="K90" i="2"/>
  <c r="K79" i="2"/>
  <c r="H47" i="2"/>
  <c r="K81" i="2"/>
  <c r="K8" i="2"/>
  <c r="H97" i="2"/>
  <c r="I95" i="2"/>
  <c r="H20" i="2"/>
  <c r="K25" i="2"/>
  <c r="K86" i="2"/>
  <c r="H62" i="2"/>
  <c r="I12" i="2"/>
  <c r="K73" i="2"/>
  <c r="K95" i="2"/>
  <c r="I82" i="2"/>
  <c r="K69" i="2"/>
  <c r="K33" i="2"/>
  <c r="I3" i="2"/>
  <c r="I62" i="2"/>
  <c r="K85" i="2"/>
  <c r="K18" i="2"/>
  <c r="H46" i="2"/>
  <c r="K11" i="2"/>
  <c r="H40" i="2"/>
  <c r="K52" i="2"/>
  <c r="H65" i="2"/>
  <c r="H77" i="2"/>
  <c r="K104" i="2"/>
  <c r="K7" i="2"/>
  <c r="K72" i="2"/>
  <c r="K46" i="2"/>
  <c r="H108" i="2"/>
  <c r="I43" i="2"/>
  <c r="I67" i="2"/>
  <c r="I72" i="2"/>
  <c r="K59" i="2"/>
  <c r="H5" i="2"/>
  <c r="H30" i="2"/>
  <c r="H44" i="2"/>
  <c r="K22" i="2"/>
  <c r="H33" i="2"/>
  <c r="I4" i="2"/>
  <c r="K44" i="2"/>
  <c r="K103" i="2"/>
  <c r="I49" i="2"/>
  <c r="K100" i="2"/>
  <c r="I111" i="2"/>
  <c r="K20" i="2"/>
  <c r="H95" i="2"/>
  <c r="K29" i="2"/>
  <c r="I52" i="2"/>
  <c r="K68" i="2"/>
  <c r="K36" i="2"/>
  <c r="K61" i="2"/>
  <c r="I59" i="2"/>
  <c r="K41" i="2"/>
  <c r="H26" i="2"/>
  <c r="K15" i="2"/>
  <c r="K51" i="2"/>
  <c r="K5" i="2"/>
  <c r="H78" i="2"/>
  <c r="I80" i="2"/>
  <c r="I90" i="2"/>
  <c r="I87" i="2"/>
  <c r="H28" i="2"/>
  <c r="H8" i="2"/>
  <c r="H88" i="2"/>
  <c r="I44" i="2"/>
  <c r="I19" i="2"/>
  <c r="K74" i="2"/>
  <c r="I100" i="2"/>
  <c r="K67" i="2"/>
  <c r="K92" i="2"/>
  <c r="H80" i="2"/>
  <c r="K31" i="2"/>
  <c r="H42" i="2"/>
  <c r="H9" i="2"/>
  <c r="K9" i="2"/>
  <c r="I30" i="2"/>
  <c r="K108" i="2"/>
  <c r="K50" i="2"/>
  <c r="I57" i="2"/>
  <c r="I93" i="2"/>
  <c r="I22" i="2"/>
  <c r="I5" i="2"/>
  <c r="I105" i="2"/>
  <c r="H99" i="2"/>
  <c r="H70" i="2"/>
  <c r="I85" i="2"/>
  <c r="I98" i="2"/>
  <c r="I61" i="2"/>
  <c r="I63" i="2"/>
  <c r="I75" i="2"/>
  <c r="I58" i="2"/>
  <c r="H3" i="2"/>
  <c r="H15" i="2"/>
  <c r="I102" i="2"/>
  <c r="H38" i="2"/>
  <c r="H39" i="2"/>
  <c r="N39" i="2" s="1"/>
  <c r="H111" i="2"/>
  <c r="H53" i="2"/>
  <c r="H7" i="2"/>
  <c r="I14" i="2"/>
  <c r="H36" i="2"/>
  <c r="I64" i="2"/>
  <c r="I39" i="2"/>
  <c r="H57" i="2"/>
  <c r="I18" i="2"/>
  <c r="I68" i="2"/>
  <c r="I24" i="2"/>
  <c r="I101" i="2"/>
  <c r="H52" i="2"/>
  <c r="I8" i="2"/>
  <c r="H37" i="2"/>
  <c r="I29" i="2"/>
  <c r="H22" i="2"/>
  <c r="I34" i="2"/>
  <c r="H87" i="2"/>
  <c r="H93" i="2"/>
  <c r="I20" i="2"/>
  <c r="H14" i="2"/>
  <c r="H79" i="2"/>
  <c r="I110" i="2"/>
  <c r="I36" i="2"/>
  <c r="I13" i="2"/>
  <c r="I73" i="2"/>
  <c r="I35" i="2"/>
  <c r="I17" i="2"/>
  <c r="H104" i="2"/>
  <c r="K110" i="2"/>
  <c r="H13" i="2"/>
  <c r="K80" i="2"/>
  <c r="H4" i="2"/>
  <c r="H103" i="2"/>
  <c r="I37" i="2"/>
  <c r="H68" i="2"/>
  <c r="H18" i="2"/>
  <c r="K34" i="2"/>
  <c r="H24" i="2"/>
  <c r="H105" i="2"/>
  <c r="K106" i="2"/>
  <c r="K10" i="2"/>
  <c r="H32" i="2"/>
  <c r="K93" i="2"/>
  <c r="K30" i="2"/>
  <c r="I89" i="2"/>
  <c r="H10" i="2"/>
  <c r="I7" i="2"/>
  <c r="I88" i="2"/>
  <c r="I32" i="2"/>
  <c r="H59" i="2"/>
  <c r="H96" i="2"/>
  <c r="I31" i="2"/>
  <c r="I96" i="2"/>
  <c r="H2" i="2"/>
  <c r="I54" i="2"/>
  <c r="I55" i="2"/>
  <c r="I81" i="2"/>
  <c r="I97" i="2"/>
  <c r="N97" i="2" s="1"/>
  <c r="I74" i="2"/>
  <c r="I40" i="2"/>
  <c r="I38" i="2"/>
  <c r="H63" i="2"/>
  <c r="I108" i="2"/>
  <c r="I15" i="2"/>
  <c r="H25" i="2"/>
  <c r="H107" i="2"/>
  <c r="H56" i="2"/>
  <c r="H102" i="2"/>
  <c r="H92" i="2"/>
  <c r="K102" i="2"/>
  <c r="H81" i="2"/>
  <c r="H35" i="2"/>
  <c r="H85" i="2"/>
  <c r="H74" i="2"/>
  <c r="K101" i="2"/>
  <c r="K54" i="2"/>
  <c r="K14" i="2"/>
  <c r="H69" i="2"/>
  <c r="K12" i="2"/>
  <c r="K19" i="2"/>
  <c r="I106" i="2"/>
  <c r="H29" i="2"/>
  <c r="I103" i="2"/>
  <c r="H73" i="2"/>
  <c r="I94" i="2"/>
  <c r="I91" i="2"/>
  <c r="I71" i="2"/>
  <c r="N71" i="2" s="1"/>
  <c r="I66" i="2"/>
  <c r="H19" i="2"/>
  <c r="I112" i="2"/>
  <c r="I45" i="2"/>
  <c r="I51" i="2"/>
  <c r="I104" i="2"/>
  <c r="I84" i="2"/>
  <c r="H82" i="2"/>
  <c r="I109" i="2"/>
  <c r="I23" i="2"/>
  <c r="I86" i="2"/>
  <c r="I47" i="2"/>
  <c r="I9" i="2"/>
  <c r="I65" i="2"/>
  <c r="I33" i="2"/>
  <c r="I2" i="2"/>
  <c r="I46" i="2"/>
  <c r="I16" i="2"/>
  <c r="K32" i="2"/>
  <c r="I25" i="2"/>
  <c r="I92" i="2"/>
  <c r="K40" i="2"/>
  <c r="H27" i="2"/>
  <c r="H86" i="2"/>
  <c r="K56" i="2"/>
  <c r="H76" i="2"/>
  <c r="H58" i="2"/>
  <c r="H48" i="2"/>
  <c r="H12" i="2"/>
  <c r="H106" i="2"/>
  <c r="H17" i="2"/>
  <c r="H72" i="2"/>
  <c r="K78" i="2"/>
  <c r="H55" i="2"/>
  <c r="K64" i="2"/>
  <c r="K45" i="2"/>
  <c r="K77" i="2"/>
  <c r="N2" i="2" l="1"/>
  <c r="N37" i="2"/>
  <c r="N29" i="2"/>
  <c r="N64" i="2"/>
  <c r="N49" i="2"/>
  <c r="N90" i="2"/>
  <c r="N53" i="2"/>
  <c r="N27" i="2"/>
  <c r="N17" i="2"/>
  <c r="N23" i="2"/>
  <c r="N69" i="2"/>
  <c r="N31" i="2"/>
  <c r="N83" i="2"/>
  <c r="N103" i="2"/>
  <c r="N36" i="2"/>
  <c r="N66" i="2"/>
  <c r="N88" i="2"/>
  <c r="N61" i="2"/>
  <c r="N56" i="2"/>
  <c r="N18" i="2"/>
  <c r="N70" i="2"/>
  <c r="N30" i="2"/>
  <c r="N3" i="2"/>
  <c r="N76" i="2"/>
  <c r="N104" i="2"/>
  <c r="N51" i="2"/>
  <c r="N35" i="2"/>
  <c r="N26" i="2"/>
  <c r="N77" i="2"/>
  <c r="N75" i="2"/>
  <c r="N93" i="2"/>
  <c r="N85" i="2"/>
  <c r="N95" i="2"/>
  <c r="N25" i="2"/>
  <c r="N87" i="2"/>
  <c r="N82" i="2"/>
  <c r="N94" i="2"/>
  <c r="N73" i="2"/>
  <c r="N15" i="2"/>
  <c r="N8" i="2"/>
  <c r="N109" i="2"/>
  <c r="N107" i="2"/>
  <c r="N84" i="2"/>
  <c r="N80" i="2"/>
  <c r="N48" i="2"/>
  <c r="N112" i="2"/>
  <c r="N59" i="2"/>
  <c r="N13" i="2"/>
  <c r="N14" i="2"/>
  <c r="N101" i="2"/>
  <c r="N50" i="2"/>
  <c r="N33" i="2"/>
  <c r="N62" i="2"/>
  <c r="N11" i="2"/>
  <c r="N57" i="2"/>
  <c r="N78" i="2"/>
  <c r="N72" i="2"/>
  <c r="N47" i="2"/>
  <c r="N92" i="2"/>
  <c r="N74" i="2"/>
  <c r="N32" i="2"/>
  <c r="N105" i="2"/>
  <c r="N110" i="2"/>
  <c r="N20" i="2"/>
  <c r="N111" i="2"/>
  <c r="N98" i="2"/>
  <c r="N89" i="2"/>
  <c r="N28" i="2"/>
  <c r="N44" i="2"/>
  <c r="N21" i="2"/>
  <c r="N100" i="2"/>
  <c r="N9" i="2"/>
  <c r="N5" i="2"/>
  <c r="N34" i="2"/>
  <c r="N6" i="2"/>
  <c r="N65" i="2"/>
  <c r="N41" i="2"/>
  <c r="N16" i="2"/>
  <c r="N55" i="2"/>
  <c r="N45" i="2"/>
  <c r="N81" i="2"/>
  <c r="N96" i="2"/>
  <c r="N52" i="2"/>
  <c r="N63" i="2"/>
  <c r="N67" i="2"/>
  <c r="N4" i="2"/>
  <c r="N108" i="2"/>
  <c r="N46" i="2"/>
  <c r="N42" i="2"/>
  <c r="N43" i="2"/>
  <c r="N79" i="2"/>
  <c r="N7" i="2"/>
  <c r="N38" i="2"/>
  <c r="N10" i="2"/>
  <c r="N58" i="2"/>
  <c r="N40" i="2"/>
  <c r="N12" i="2"/>
  <c r="N91" i="2"/>
  <c r="N68" i="2"/>
  <c r="N22" i="2"/>
  <c r="N19" i="2"/>
  <c r="N86" i="2"/>
  <c r="N102" i="2"/>
  <c r="N24" i="2"/>
  <c r="N106" i="2"/>
  <c r="N99" i="2"/>
  <c r="N54" i="2"/>
</calcChain>
</file>

<file path=xl/sharedStrings.xml><?xml version="1.0" encoding="utf-8"?>
<sst xmlns="http://schemas.openxmlformats.org/spreadsheetml/2006/main" count="1800" uniqueCount="1041">
  <si>
    <t>Name</t>
  </si>
  <si>
    <t>Team</t>
  </si>
  <si>
    <t>Position</t>
  </si>
  <si>
    <t>W%</t>
  </si>
  <si>
    <t>L%</t>
  </si>
  <si>
    <t>QS%</t>
  </si>
  <si>
    <t>H%</t>
  </si>
  <si>
    <t>R%</t>
  </si>
  <si>
    <t>ER%</t>
  </si>
  <si>
    <t>HR%</t>
  </si>
  <si>
    <t>IBB%</t>
  </si>
  <si>
    <t>HBP%</t>
  </si>
  <si>
    <t>K%</t>
  </si>
  <si>
    <t>BB%</t>
  </si>
  <si>
    <t>Tarik Skubal</t>
  </si>
  <si>
    <t xml:space="preserve">DET </t>
  </si>
  <si>
    <t>SP</t>
  </si>
  <si>
    <t>0.31054328485626237</t>
  </si>
  <si>
    <t>0.053019995168297196</t>
  </si>
  <si>
    <t>Paul Skenes</t>
  </si>
  <si>
    <t xml:space="preserve">PIT </t>
  </si>
  <si>
    <t>0.2910246443737717</t>
  </si>
  <si>
    <t>Garrett Crochet</t>
  </si>
  <si>
    <t xml:space="preserve">BOS </t>
  </si>
  <si>
    <t>0.3054437137965822</t>
  </si>
  <si>
    <t>Yoshinobu Yamamoto</t>
  </si>
  <si>
    <t xml:space="preserve">LAD </t>
  </si>
  <si>
    <t>0.26696147314689755</t>
  </si>
  <si>
    <t>Cristopher Sanchez</t>
  </si>
  <si>
    <t xml:space="preserve">PHI </t>
  </si>
  <si>
    <t>0.2361261132168638</t>
  </si>
  <si>
    <t>0.060527849642289806</t>
  </si>
  <si>
    <t>Bryan Woo</t>
  </si>
  <si>
    <t xml:space="preserve">SEA </t>
  </si>
  <si>
    <t>0.25395166902354027</t>
  </si>
  <si>
    <t>0.050083619678029045</t>
  </si>
  <si>
    <t>Hunter Brown</t>
  </si>
  <si>
    <t xml:space="preserve">HOU </t>
  </si>
  <si>
    <t>0.2596342438239594</t>
  </si>
  <si>
    <t>Chris Sale</t>
  </si>
  <si>
    <t xml:space="preserve">ATL </t>
  </si>
  <si>
    <t>0.29581531389472593</t>
  </si>
  <si>
    <t>Logan Webb</t>
  </si>
  <si>
    <t xml:space="preserve">SF </t>
  </si>
  <si>
    <t>0.23024518094422106</t>
  </si>
  <si>
    <t>Logan Gilbert</t>
  </si>
  <si>
    <t>0.27686502735538165</t>
  </si>
  <si>
    <t>Max Fried</t>
  </si>
  <si>
    <t xml:space="preserve">NYY </t>
  </si>
  <si>
    <t>0.2249951784351669</t>
  </si>
  <si>
    <t>Hunter Greene</t>
  </si>
  <si>
    <t xml:space="preserve">CIN </t>
  </si>
  <si>
    <t>0.28853131369578733</t>
  </si>
  <si>
    <t>Cole Ragans</t>
  </si>
  <si>
    <t xml:space="preserve">KC </t>
  </si>
  <si>
    <t>0.30223194949567844</t>
  </si>
  <si>
    <t>Jacob deGrom</t>
  </si>
  <si>
    <t xml:space="preserve">TEX </t>
  </si>
  <si>
    <t>0.2729603408095245</t>
  </si>
  <si>
    <t>Joe Ryan</t>
  </si>
  <si>
    <t xml:space="preserve">MIN </t>
  </si>
  <si>
    <t>0.2685400683536352</t>
  </si>
  <si>
    <t>Freddy Peralta</t>
  </si>
  <si>
    <t xml:space="preserve">NYM </t>
  </si>
  <si>
    <t>0.38582068965517247</t>
  </si>
  <si>
    <t>0.2624290945275374</t>
  </si>
  <si>
    <t>George Kirby</t>
  </si>
  <si>
    <t>0.23949612228630993</t>
  </si>
  <si>
    <t>Dylan Cease</t>
  </si>
  <si>
    <t xml:space="preserve">TOR </t>
  </si>
  <si>
    <t>0.2819912877279023</t>
  </si>
  <si>
    <t>Framber Valdez</t>
  </si>
  <si>
    <t>0.22036653780194487</t>
  </si>
  <si>
    <t>Kyle Bradish</t>
  </si>
  <si>
    <t xml:space="preserve">BAL </t>
  </si>
  <si>
    <t>0.25387825540541775</t>
  </si>
  <si>
    <t>Nick Pivetta</t>
  </si>
  <si>
    <t xml:space="preserve">SD </t>
  </si>
  <si>
    <t>0.3366908866995074</t>
  </si>
  <si>
    <t>0.2621276338540141</t>
  </si>
  <si>
    <t>Blake Snell</t>
  </si>
  <si>
    <t>0.026830565123972548</t>
  </si>
  <si>
    <t>0.2944885727791291</t>
  </si>
  <si>
    <t>0.10009836731993856</t>
  </si>
  <si>
    <t>Jesus Luzardo</t>
  </si>
  <si>
    <t>0.2677703612036192</t>
  </si>
  <si>
    <t>Shohei Ohtani</t>
  </si>
  <si>
    <t>0.29347319347319345</t>
  </si>
  <si>
    <t>Nolan McLean</t>
  </si>
  <si>
    <t>0.37508241758241756</t>
  </si>
  <si>
    <t>0.22537925424615868</t>
  </si>
  <si>
    <t>Kevin Gausman</t>
  </si>
  <si>
    <t>0.23119021759001923</t>
  </si>
  <si>
    <t>Spencer Schwellenbach</t>
  </si>
  <si>
    <t>0.24096583584013753</t>
  </si>
  <si>
    <t>0.051281098026606624</t>
  </si>
  <si>
    <t>Sonny Gray</t>
  </si>
  <si>
    <t>0.24783413244095992</t>
  </si>
  <si>
    <t>Trey Yesavage</t>
  </si>
  <si>
    <t>0.26072897153301544</t>
  </si>
  <si>
    <t>Tyler Glasnow</t>
  </si>
  <si>
    <t>0.32903571428571426</t>
  </si>
  <si>
    <t>0.28090071472806266</t>
  </si>
  <si>
    <t>Jacob Misiorowski</t>
  </si>
  <si>
    <t xml:space="preserve">MIL </t>
  </si>
  <si>
    <t>0.2793677884615385</t>
  </si>
  <si>
    <t>0.27447760326849496</t>
  </si>
  <si>
    <t>0.11143873343026463</t>
  </si>
  <si>
    <t>Luis Castillo</t>
  </si>
  <si>
    <t>0.22156776685418744</t>
  </si>
  <si>
    <t>Eury Perez</t>
  </si>
  <si>
    <t xml:space="preserve">MIA </t>
  </si>
  <si>
    <t>0.25696559503666105</t>
  </si>
  <si>
    <t>Spencer Strider</t>
  </si>
  <si>
    <t>0.28208863752339547</t>
  </si>
  <si>
    <t>Cam Schlittler</t>
  </si>
  <si>
    <t>0.23392607033573648</t>
  </si>
  <si>
    <t>Chase Burns</t>
  </si>
  <si>
    <t>SP,RP</t>
  </si>
  <si>
    <t>0.28194589301293477</t>
  </si>
  <si>
    <t>Brandon Woodruff</t>
  </si>
  <si>
    <t>0.25889505026421167</t>
  </si>
  <si>
    <t>Michael King</t>
  </si>
  <si>
    <t>0.24659168591199587</t>
  </si>
  <si>
    <t>Nathan Eovaldi</t>
  </si>
  <si>
    <t>0.22852831391746392</t>
  </si>
  <si>
    <t>Nick Lodolo</t>
  </si>
  <si>
    <t>0.2396763981201409</t>
  </si>
  <si>
    <t>Zack Wheeler</t>
  </si>
  <si>
    <t>0.2702002148700426</t>
  </si>
  <si>
    <t>Bubba Chandler</t>
  </si>
  <si>
    <t>0.21735621625722265</t>
  </si>
  <si>
    <t>Trevor Rogers</t>
  </si>
  <si>
    <t>0.20540267659731276</t>
  </si>
  <si>
    <t>MacKenzie Gore</t>
  </si>
  <si>
    <t>0.3100344827586207</t>
  </si>
  <si>
    <t>0.26947677610113496</t>
  </si>
  <si>
    <t>Robbie Ray</t>
  </si>
  <si>
    <t>0.23939802040905706</t>
  </si>
  <si>
    <t>Ryan Pepiot</t>
  </si>
  <si>
    <t xml:space="preserve">TB </t>
  </si>
  <si>
    <t>0.23917063636315977</t>
  </si>
  <si>
    <t>Ranger Suarez</t>
  </si>
  <si>
    <t>0.20768394105280324</t>
  </si>
  <si>
    <t>Gavin Williams</t>
  </si>
  <si>
    <t xml:space="preserve">CLE </t>
  </si>
  <si>
    <t>0.2395630357925036</t>
  </si>
  <si>
    <t>0.10090383184347956</t>
  </si>
  <si>
    <t>Emmet Sheehan</t>
  </si>
  <si>
    <t>0.27765845589409954</t>
  </si>
  <si>
    <t>Tanner Bibee</t>
  </si>
  <si>
    <t>0.22059558829920295</t>
  </si>
  <si>
    <t>Shane Bieber</t>
  </si>
  <si>
    <t>0.22094731509625123</t>
  </si>
  <si>
    <t>Sandy Alcantara</t>
  </si>
  <si>
    <t>0.19330318669201266</t>
  </si>
  <si>
    <t>Jack Flaherty</t>
  </si>
  <si>
    <t>0.26015784924969365</t>
  </si>
  <si>
    <t>Andrew Abbott</t>
  </si>
  <si>
    <t>0.21327058773394264</t>
  </si>
  <si>
    <t>Shota Imanaga</t>
  </si>
  <si>
    <t xml:space="preserve">CHC </t>
  </si>
  <si>
    <t>0.22391742295417294</t>
  </si>
  <si>
    <t>Cade Horton</t>
  </si>
  <si>
    <t>0.2080038952855588</t>
  </si>
  <si>
    <t>Gerrit Cole</t>
  </si>
  <si>
    <t>0.23717632871272995</t>
  </si>
  <si>
    <t>Carlos Rodon</t>
  </si>
  <si>
    <t>0.24591544482961722</t>
  </si>
  <si>
    <t>Zac Gallen</t>
  </si>
  <si>
    <t xml:space="preserve">AZ </t>
  </si>
  <si>
    <t>0.21758721646967444</t>
  </si>
  <si>
    <t>Reid Detmers</t>
  </si>
  <si>
    <t xml:space="preserve">LAA </t>
  </si>
  <si>
    <t>0.26258926991890535</t>
  </si>
  <si>
    <t>Drew Rasmussen</t>
  </si>
  <si>
    <t>0.2137104919700495</t>
  </si>
  <si>
    <t>Aaron Nola</t>
  </si>
  <si>
    <t>0.23581803851990912</t>
  </si>
  <si>
    <t>Ryne Nelson</t>
  </si>
  <si>
    <t>0.19621670832571275</t>
  </si>
  <si>
    <t>Roki Sasaki</t>
  </si>
  <si>
    <t>0.24423432821673147</t>
  </si>
  <si>
    <t>Quinn Priester</t>
  </si>
  <si>
    <t>0.19481640220744834</t>
  </si>
  <si>
    <t>Zach Eflin</t>
  </si>
  <si>
    <t>0.17912937824970832</t>
  </si>
  <si>
    <t>Matthew Boyd</t>
  </si>
  <si>
    <t>0.21464653689818863</t>
  </si>
  <si>
    <t>Justin Verlander</t>
  </si>
  <si>
    <t>0.19100331832452544</t>
  </si>
  <si>
    <t>Sean Manaea</t>
  </si>
  <si>
    <t>0.24503118832387125</t>
  </si>
  <si>
    <t>Eric Lauer</t>
  </si>
  <si>
    <t>Tatsuya Imai</t>
  </si>
  <si>
    <t>0.22551263355071008</t>
  </si>
  <si>
    <t>Braxton Ashcraft</t>
  </si>
  <si>
    <t>Luis Gil</t>
  </si>
  <si>
    <t>0.23065788688290112</t>
  </si>
  <si>
    <t>0.11427064683873596</t>
  </si>
  <si>
    <t>Brayan Bello</t>
  </si>
  <si>
    <t>0.33223271889400924</t>
  </si>
  <si>
    <t>0.1891578970290554</t>
  </si>
  <si>
    <t>Jeffrey Springs</t>
  </si>
  <si>
    <t xml:space="preserve">ATH </t>
  </si>
  <si>
    <t>0.20017358494730153</t>
  </si>
  <si>
    <t>Casey Mize</t>
  </si>
  <si>
    <t>0.20647697319269037</t>
  </si>
  <si>
    <t>David Peterson</t>
  </si>
  <si>
    <t>0.2784568965517241</t>
  </si>
  <si>
    <t>0.20665356149227115</t>
  </si>
  <si>
    <t>Jameson Taillon</t>
  </si>
  <si>
    <t>0.18368172957256296</t>
  </si>
  <si>
    <t>Merrill Kelly</t>
  </si>
  <si>
    <t>0.3611904761904762</t>
  </si>
  <si>
    <t>Clay Holmes</t>
  </si>
  <si>
    <t>0.35678571428571426</t>
  </si>
  <si>
    <t>0.18389000832274732</t>
  </si>
  <si>
    <t>Jonah Tong</t>
  </si>
  <si>
    <t>0.2701044443793396</t>
  </si>
  <si>
    <t>Shane McClanahan</t>
  </si>
  <si>
    <t>0.25890849214895695</t>
  </si>
  <si>
    <t>Cody Ponce</t>
  </si>
  <si>
    <t>0.24499233749455884</t>
  </si>
  <si>
    <t>Edward Cabrera</t>
  </si>
  <si>
    <t>0.2533199066480749</t>
  </si>
  <si>
    <t>Will Warren</t>
  </si>
  <si>
    <t>0.22922117610006815</t>
  </si>
  <si>
    <t>Brandon Pfaadt</t>
  </si>
  <si>
    <t>0.20857393734375207</t>
  </si>
  <si>
    <t>0.055112868251190994</t>
  </si>
  <si>
    <t>Chris Bassitt</t>
  </si>
  <si>
    <t>0.2072034426244574</t>
  </si>
  <si>
    <t>Hurston Waldrep</t>
  </si>
  <si>
    <t>0.20203031848436107</t>
  </si>
  <si>
    <t>Brady Singer</t>
  </si>
  <si>
    <t>0.21876132889524935</t>
  </si>
  <si>
    <t>Grayson Rodriguez</t>
  </si>
  <si>
    <t>0.24789518693224807</t>
  </si>
  <si>
    <t>Kris Bubic</t>
  </si>
  <si>
    <t>0.23107226126086033</t>
  </si>
  <si>
    <t>Michael Wacha</t>
  </si>
  <si>
    <t>0.1803826596585255</t>
  </si>
  <si>
    <t>Mitch Keller</t>
  </si>
  <si>
    <t>0.20187016035559785</t>
  </si>
  <si>
    <t>Andrew Painter</t>
  </si>
  <si>
    <t>0.21267826638276718</t>
  </si>
  <si>
    <t>Joey Cantillo</t>
  </si>
  <si>
    <t>0.2544553373607234</t>
  </si>
  <si>
    <t>0.10133912797682136</t>
  </si>
  <si>
    <t>Kodai Senga</t>
  </si>
  <si>
    <t>0.23198694800806557</t>
  </si>
  <si>
    <t>0.10360263905206638</t>
  </si>
  <si>
    <t>Mike Burrows</t>
  </si>
  <si>
    <t>0.2368327140955736</t>
  </si>
  <si>
    <t>Parker Messick</t>
  </si>
  <si>
    <t>0.21805743233844496</t>
  </si>
  <si>
    <t>Ryan Weathers</t>
  </si>
  <si>
    <t>0.21635904282177498</t>
  </si>
  <si>
    <t>Justin Steele</t>
  </si>
  <si>
    <t>0.22652783185750586</t>
  </si>
  <si>
    <t>Noah Cameron</t>
  </si>
  <si>
    <t>0.2020004106081822</t>
  </si>
  <si>
    <t>Jack Leiter</t>
  </si>
  <si>
    <t>0.33299999999999996</t>
  </si>
  <si>
    <t>0.2236246143261063</t>
  </si>
  <si>
    <t>Yusei Kikuchi</t>
  </si>
  <si>
    <t>0.2327192211038965</t>
  </si>
  <si>
    <t>Corbin Burnes</t>
  </si>
  <si>
    <t>0.42402000000000006</t>
  </si>
  <si>
    <t>0.2256894934333958</t>
  </si>
  <si>
    <t>Joe Musgrove</t>
  </si>
  <si>
    <t>0.21677803920564107</t>
  </si>
  <si>
    <t>Reynaldo Lopez</t>
  </si>
  <si>
    <t>0.23310000000000003</t>
  </si>
  <si>
    <t>0.23906125139474022</t>
  </si>
  <si>
    <t>Shane Smith</t>
  </si>
  <si>
    <t xml:space="preserve">CWS </t>
  </si>
  <si>
    <t>0.22443972069893148</t>
  </si>
  <si>
    <t>Shane Baz</t>
  </si>
  <si>
    <t>0.23118204556412725</t>
  </si>
  <si>
    <t>Jose Soriano</t>
  </si>
  <si>
    <t>0.21067942438352366</t>
  </si>
  <si>
    <t>Connelly Early</t>
  </si>
  <si>
    <t>0.24328721775736695</t>
  </si>
  <si>
    <t>Bryce Miller</t>
  </si>
  <si>
    <t>0.21119273907891667</t>
  </si>
  <si>
    <t>W</t>
    <phoneticPr fontId="18" type="noConversion"/>
  </si>
  <si>
    <t>L</t>
    <phoneticPr fontId="18" type="noConversion"/>
  </si>
  <si>
    <t>QS</t>
    <phoneticPr fontId="18" type="noConversion"/>
  </si>
  <si>
    <t>H</t>
    <phoneticPr fontId="18" type="noConversion"/>
  </si>
  <si>
    <t>R</t>
    <phoneticPr fontId="18" type="noConversion"/>
  </si>
  <si>
    <t>ER</t>
    <phoneticPr fontId="18" type="noConversion"/>
  </si>
  <si>
    <t>HR</t>
    <phoneticPr fontId="18" type="noConversion"/>
  </si>
  <si>
    <t>IBB</t>
    <phoneticPr fontId="18" type="noConversion"/>
  </si>
  <si>
    <t>HBP</t>
    <phoneticPr fontId="18" type="noConversion"/>
  </si>
  <si>
    <t>K</t>
    <phoneticPr fontId="18" type="noConversion"/>
  </si>
  <si>
    <t>BB</t>
    <phoneticPr fontId="18" type="noConversion"/>
  </si>
  <si>
    <t>K/9</t>
    <phoneticPr fontId="18" type="noConversion"/>
  </si>
  <si>
    <t>BB/9</t>
    <phoneticPr fontId="18" type="noConversion"/>
  </si>
  <si>
    <t>ERA</t>
    <phoneticPr fontId="18" type="noConversion"/>
  </si>
  <si>
    <t>WHIP</t>
    <phoneticPr fontId="18" type="noConversion"/>
  </si>
  <si>
    <t>W+</t>
    <phoneticPr fontId="18" type="noConversion"/>
  </si>
  <si>
    <t>ERA+</t>
    <phoneticPr fontId="18" type="noConversion"/>
  </si>
  <si>
    <t>WHIP+</t>
    <phoneticPr fontId="18" type="noConversion"/>
  </si>
  <si>
    <t>K/9+</t>
    <phoneticPr fontId="18" type="noConversion"/>
  </si>
  <si>
    <t>BB/9+</t>
    <phoneticPr fontId="18" type="noConversion"/>
  </si>
  <si>
    <t>QS+</t>
    <phoneticPr fontId="18" type="noConversion"/>
  </si>
  <si>
    <t>K-BB%+</t>
    <phoneticPr fontId="18" type="noConversion"/>
  </si>
  <si>
    <t>Total</t>
    <phoneticPr fontId="18" type="noConversion"/>
  </si>
  <si>
    <t>Mean</t>
    <phoneticPr fontId="18" type="noConversion"/>
  </si>
  <si>
    <t>Standard Deviation</t>
    <phoneticPr fontId="18" type="noConversion"/>
  </si>
  <si>
    <t>K-BB%</t>
    <phoneticPr fontId="18" type="noConversion"/>
  </si>
  <si>
    <t>0.6263888888888889</t>
  </si>
  <si>
    <t>0.19639232846717486</t>
  </si>
  <si>
    <t>0.19764418595629166</t>
  </si>
  <si>
    <t>0.021277321029525426</t>
  </si>
  <si>
    <t>0.46146336206896554</t>
  </si>
  <si>
    <t>0.2773803879310345</t>
  </si>
  <si>
    <t>0.5919540229885057</t>
  </si>
  <si>
    <t>0.2023481009699661</t>
  </si>
  <si>
    <t>0.026193010425305842</t>
  </si>
  <si>
    <t>0.4619917582417582</t>
  </si>
  <si>
    <t>0.2561538461538461</t>
  </si>
  <si>
    <t>0.5448717948717948</t>
  </si>
  <si>
    <t>0.20784149678346364</t>
  </si>
  <si>
    <t>0.41591508620689654</t>
  </si>
  <si>
    <t>0.5951388888888889</t>
  </si>
  <si>
    <t>0.22255539992469836</t>
  </si>
  <si>
    <t>0.4110964285714286</t>
  </si>
  <si>
    <t>0.5628472222222222</t>
  </si>
  <si>
    <t>0.21272019835766143</t>
  </si>
  <si>
    <t>0.1004480362272818</t>
  </si>
  <si>
    <t>0.4064032258064516</t>
  </si>
  <si>
    <t>0.30721935483870966</t>
  </si>
  <si>
    <t>0.5510752688172043</t>
  </si>
  <si>
    <t>0.20772068498734197</t>
  </si>
  <si>
    <t>0.10017797090465749</t>
  </si>
  <si>
    <t>0.4254615584415584</t>
  </si>
  <si>
    <t>0.2816228571428572</t>
  </si>
  <si>
    <t>0.5747619047619047</t>
  </si>
  <si>
    <t>0.20471675469740397</t>
  </si>
  <si>
    <t>0.027147168928802055</t>
  </si>
  <si>
    <t>0.013261487783917137</t>
  </si>
  <si>
    <t>0.31496250000000003</t>
  </si>
  <si>
    <t>0.5899305555555555</t>
  </si>
  <si>
    <t>0.2295581638268903</t>
  </si>
  <si>
    <t>0.019545022799723158</t>
  </si>
  <si>
    <t>0.36892463054187186</t>
  </si>
  <si>
    <t>0.29363054187192117</t>
  </si>
  <si>
    <t>0.5250410509031198</t>
  </si>
  <si>
    <t>0.20785213420468282</t>
  </si>
  <si>
    <t>0.2804015572858732</t>
  </si>
  <si>
    <t>0.5704486466444197</t>
  </si>
  <si>
    <t>0.2142908339244556</t>
  </si>
  <si>
    <t>0.022515500749074338</t>
  </si>
  <si>
    <t>0.3480898617511521</t>
  </si>
  <si>
    <t>0.5230414746543779</t>
  </si>
  <si>
    <t>0.1978064877087199</t>
  </si>
  <si>
    <t>0.10498819160658443</t>
  </si>
  <si>
    <t>0.10018557913945442</t>
  </si>
  <si>
    <t>0.013521926693288422</t>
  </si>
  <si>
    <t>0.38967771883289126</t>
  </si>
  <si>
    <t>0.3082679045092839</t>
  </si>
  <si>
    <t>0.5232095490716181</t>
  </si>
  <si>
    <t>0.19398719440164605</t>
  </si>
  <si>
    <t>0.025966279464717648</t>
  </si>
  <si>
    <t>0.38246419098143236</t>
  </si>
  <si>
    <t>0.2954602122015915</t>
  </si>
  <si>
    <t>0.5238726790450928</t>
  </si>
  <si>
    <t>0.20646323561754726</t>
  </si>
  <si>
    <t>0.10336536846142315</t>
  </si>
  <si>
    <t>0.38795320197044336</t>
  </si>
  <si>
    <t>0.34079187192118227</t>
  </si>
  <si>
    <t>0.21172211968271487</t>
  </si>
  <si>
    <t>0.10914003454477993</t>
  </si>
  <si>
    <t>0.10296940468452964</t>
  </si>
  <si>
    <t>0.036116545211530196</t>
  </si>
  <si>
    <t>0.48275862068965525</t>
  </si>
  <si>
    <t>0.19842454101798532</t>
  </si>
  <si>
    <t>0.10839932738847943</t>
  </si>
  <si>
    <t>0.10207421043890645</t>
  </si>
  <si>
    <t>0.011473868025258897</t>
  </si>
  <si>
    <t>0.39539132104454683</t>
  </si>
  <si>
    <t>0.32149078341013826</t>
  </si>
  <si>
    <t>0.5284178187403994</t>
  </si>
  <si>
    <t>0.2238567452409323</t>
  </si>
  <si>
    <t>0.10078681385229835</t>
  </si>
  <si>
    <t>0.029612823990355586</t>
  </si>
  <si>
    <t>0.38017500000000004</t>
  </si>
  <si>
    <t>0.5031249999999999</t>
  </si>
  <si>
    <t>0.10222790792073395</t>
  </si>
  <si>
    <t>0.029267550096961796</t>
  </si>
  <si>
    <t>0.4270296625880608</t>
  </si>
  <si>
    <t>0.32559176863181316</t>
  </si>
  <si>
    <t>0.21933930446297226</t>
  </si>
  <si>
    <t>0.10131187079514775</t>
  </si>
  <si>
    <t>0.021032999296548137</t>
  </si>
  <si>
    <t>0.33620192307692304</t>
  </si>
  <si>
    <t>0.3105865384615385</t>
  </si>
  <si>
    <t>0.47702991452991456</t>
  </si>
  <si>
    <t>0.21315003094937196</t>
  </si>
  <si>
    <t>0.10423585052031481</t>
  </si>
  <si>
    <t>0.010455143515142833</t>
  </si>
  <si>
    <t>0.3526847290640394</t>
  </si>
  <si>
    <t>0.5139573070607554</t>
  </si>
  <si>
    <t>0.2116347193411276</t>
  </si>
  <si>
    <t>0.1119764216284882</t>
  </si>
  <si>
    <t>0.10566868568506149</t>
  </si>
  <si>
    <t>0.4169707792207792</t>
  </si>
  <si>
    <t>0.2787613636363636</t>
  </si>
  <si>
    <t>0.5334595959595959</t>
  </si>
  <si>
    <t>0.19379006218828887</t>
  </si>
  <si>
    <t>0.39751775782615606</t>
  </si>
  <si>
    <t>0.31410901001112346</t>
  </si>
  <si>
    <t>0.5266963292547274</t>
  </si>
  <si>
    <t>0.2106609640989362</t>
  </si>
  <si>
    <t>0.10477902691402555</t>
  </si>
  <si>
    <t>0.1028665852807813</t>
  </si>
  <si>
    <t>0.029614054480670487</t>
  </si>
  <si>
    <t>0.37708113354037265</t>
  </si>
  <si>
    <t>0.2454409937888198</t>
  </si>
  <si>
    <t>0.44271911663216007</t>
  </si>
  <si>
    <t>0.19672947522222997</t>
  </si>
  <si>
    <t>0.029803945014076197</t>
  </si>
  <si>
    <t>0.010107956431152676</t>
  </si>
  <si>
    <t>0.3073846153846154</t>
  </si>
  <si>
    <t>0.21312157968866913</t>
  </si>
  <si>
    <t>0.10557896080148604</t>
  </si>
  <si>
    <t>0.37529306372159543</t>
  </si>
  <si>
    <t>0.3370745272525028</t>
  </si>
  <si>
    <t>0.5270671116054876</t>
  </si>
  <si>
    <t>0.22381910110803904</t>
  </si>
  <si>
    <t>0.11225349823598861</t>
  </si>
  <si>
    <t>0.10198433276771504</t>
  </si>
  <si>
    <t>0.5111111111111112</t>
  </si>
  <si>
    <t>0.22776879981120107</t>
  </si>
  <si>
    <t>0.10550156439659525</t>
  </si>
  <si>
    <t>0.029243833931667428</t>
  </si>
  <si>
    <t>0.5117127496159753</t>
  </si>
  <si>
    <t>0.22360763488844718</t>
  </si>
  <si>
    <t>0.1068439199498927</t>
  </si>
  <si>
    <t>0.030301730045454674</t>
  </si>
  <si>
    <t>0.23997142857142856</t>
  </si>
  <si>
    <t>0.2972222222222222</t>
  </si>
  <si>
    <t>0.19996191501446647</t>
  </si>
  <si>
    <t>0.10406017848611819</t>
  </si>
  <si>
    <t>0.10202502399069241</t>
  </si>
  <si>
    <t>0.030556832687688638</t>
  </si>
  <si>
    <t>0.3628183229813664</t>
  </si>
  <si>
    <t>0.27086413043478264</t>
  </si>
  <si>
    <t>0.20204770328162386</t>
  </si>
  <si>
    <t>0.10391122785827936</t>
  </si>
  <si>
    <t>0.10011941486422965</t>
  </si>
  <si>
    <t>0.1943357637134886</t>
  </si>
  <si>
    <t>0.10732696877329273</t>
  </si>
  <si>
    <t>0.1024609663564247</t>
  </si>
  <si>
    <t>0.014531166492360236</t>
  </si>
  <si>
    <t>0.35929922135706344</t>
  </si>
  <si>
    <t>0.5101965146459028</t>
  </si>
  <si>
    <t>0.22153037047083884</t>
  </si>
  <si>
    <t>0.10981877217369035</t>
  </si>
  <si>
    <t>0.10131057536756169</t>
  </si>
  <si>
    <t>0.2953562271062271</t>
  </si>
  <si>
    <t>0.3532619047619047</t>
  </si>
  <si>
    <t>0.43496472663139335</t>
  </si>
  <si>
    <t>0.20474805572898286</t>
  </si>
  <si>
    <t>0.11108590702420623</t>
  </si>
  <si>
    <t>0.10910458088209299</t>
  </si>
  <si>
    <t>0.4054183516483516</t>
  </si>
  <si>
    <t>0.33757417582417576</t>
  </si>
  <si>
    <t>0.4922161172161172</t>
  </si>
  <si>
    <t>0.20710031118953365</t>
  </si>
  <si>
    <t>0.10928220325539569</t>
  </si>
  <si>
    <t>0.10182773024116068</t>
  </si>
  <si>
    <t>0.031834548293180776</t>
  </si>
  <si>
    <t>0.010214546461017418</t>
  </si>
  <si>
    <t>0.3426521739130434</t>
  </si>
  <si>
    <t>0.3474782608695651</t>
  </si>
  <si>
    <t>0.2144198401631486</t>
  </si>
  <si>
    <t>0.11050830721402541</t>
  </si>
  <si>
    <t>0.10518890182556383</t>
  </si>
  <si>
    <t>0.010913207909887972</t>
  </si>
  <si>
    <t>0.2641308861698183</t>
  </si>
  <si>
    <t>0.27040044493882087</t>
  </si>
  <si>
    <t>0.3146088246199481</t>
  </si>
  <si>
    <t>0.20903395596301627</t>
  </si>
  <si>
    <t>0.10004758215585523</t>
  </si>
  <si>
    <t>0.10021987150971462</t>
  </si>
  <si>
    <t>0.033321496784670994</t>
  </si>
  <si>
    <t>0.3553585714285714</t>
  </si>
  <si>
    <t>0.3068357142857143</t>
  </si>
  <si>
    <t>0.4878571428571428</t>
  </si>
  <si>
    <t>0.2103026219683316</t>
  </si>
  <si>
    <t>0.1113461806804232</t>
  </si>
  <si>
    <t>0.35398700649675163</t>
  </si>
  <si>
    <t>0.32449425287356326</t>
  </si>
  <si>
    <t>0.47381864623243936</t>
  </si>
  <si>
    <t>0.21197007299944948</t>
  </si>
  <si>
    <t>0.10669463969902568</t>
  </si>
  <si>
    <t>0.030288122669477918</t>
  </si>
  <si>
    <t>0.010493724919014671</t>
  </si>
  <si>
    <t>0.3705103448275862</t>
  </si>
  <si>
    <t>0.3164648275862069</t>
  </si>
  <si>
    <t>0.5340229885057471</t>
  </si>
  <si>
    <t>0.22191463608785952</t>
  </si>
  <si>
    <t>0.10787078344741342</t>
  </si>
  <si>
    <t>0.10316445897865079</t>
  </si>
  <si>
    <t>0.3247664835164835</t>
  </si>
  <si>
    <t>0.34946703296703296</t>
  </si>
  <si>
    <t>0.4615384615384615</t>
  </si>
  <si>
    <t>0.2211166486753155</t>
  </si>
  <si>
    <t>0.11281791602760735</t>
  </si>
  <si>
    <t>0.10936396890151096</t>
  </si>
  <si>
    <t>0.44003571428571425</t>
  </si>
  <si>
    <t>0.2874107142857143</t>
  </si>
  <si>
    <t>0.5902777777777778</t>
  </si>
  <si>
    <t>0.20245004162527688</t>
  </si>
  <si>
    <t>0.028771923226235417</t>
  </si>
  <si>
    <t>0.010221565131087086</t>
  </si>
  <si>
    <t>0.2639120689655172</t>
  </si>
  <si>
    <t>0.30370370370370364</t>
  </si>
  <si>
    <t>0.22127234905746285</t>
  </si>
  <si>
    <t>0.11523195291867769</t>
  </si>
  <si>
    <t>0.10373140258612175</t>
  </si>
  <si>
    <t>0.011617943023507563</t>
  </si>
  <si>
    <t>0.34170923076923077</t>
  </si>
  <si>
    <t>0.32838923076923077</t>
  </si>
  <si>
    <t>0.4635897435897436</t>
  </si>
  <si>
    <t>0.22974439357837909</t>
  </si>
  <si>
    <t>0.11841803476162571</t>
  </si>
  <si>
    <t>0.10552464373433401</t>
  </si>
  <si>
    <t>0.36006650246305416</t>
  </si>
  <si>
    <t>0.34120197044334977</t>
  </si>
  <si>
    <t>0.4786535303776683</t>
  </si>
  <si>
    <t>0.20627839750725918</t>
  </si>
  <si>
    <t>0.10822392922872573</t>
  </si>
  <si>
    <t>0.3209136077122729</t>
  </si>
  <si>
    <t>0.4825732295142751</t>
  </si>
  <si>
    <t>0.2143301400169066</t>
  </si>
  <si>
    <t>0.11582963688631626</t>
  </si>
  <si>
    <t>0.10680626296036053</t>
  </si>
  <si>
    <t>0.33065268817204296</t>
  </si>
  <si>
    <t>0.35126129032258063</t>
  </si>
  <si>
    <t>0.46917562724014333</t>
  </si>
  <si>
    <t>0.2112195459472432</t>
  </si>
  <si>
    <t>0.11232022028950613</t>
  </si>
  <si>
    <t>0.1082851963427676</t>
  </si>
  <si>
    <t>0.010650017831033056</t>
  </si>
  <si>
    <t>0.4046912972085386</t>
  </si>
  <si>
    <t>0.33682758620689657</t>
  </si>
  <si>
    <t>0.5227756492124308</t>
  </si>
  <si>
    <t>0.23052359955926982</t>
  </si>
  <si>
    <t>0.10949887332224652</t>
  </si>
  <si>
    <t>0.3478164627363738</t>
  </si>
  <si>
    <t>0.46459028550241005</t>
  </si>
  <si>
    <t>0.20912623016717824</t>
  </si>
  <si>
    <t>0.11087782708614875</t>
  </si>
  <si>
    <t>0.23680777310924364</t>
  </si>
  <si>
    <t>0.19075210084033606</t>
  </si>
  <si>
    <t>0.21055088702147517</t>
  </si>
  <si>
    <t>0.20227777336983113</t>
  </si>
  <si>
    <t>0.10797677560534702</t>
  </si>
  <si>
    <t>0.1058716055965491</t>
  </si>
  <si>
    <t>0.034199426434568504</t>
  </si>
  <si>
    <t>0.3530683696170348</t>
  </si>
  <si>
    <t>0.5044493882091212</t>
  </si>
  <si>
    <t>0.22170122923541402</t>
  </si>
  <si>
    <t>0.11263161711236735</t>
  </si>
  <si>
    <t>0.10184139085633279</t>
  </si>
  <si>
    <t>0.031887006442738224</t>
  </si>
  <si>
    <t>0.010583951617931272</t>
  </si>
  <si>
    <t>0.33413761076118287</t>
  </si>
  <si>
    <t>0.2958498985801217</t>
  </si>
  <si>
    <t>0.41514536849222444</t>
  </si>
  <si>
    <t>0.23029355588163364</t>
  </si>
  <si>
    <t>0.11016461412151062</t>
  </si>
  <si>
    <t>0.032371866520165514</t>
  </si>
  <si>
    <t>0.35442484934420415</t>
  </si>
  <si>
    <t>0.3905460829493087</t>
  </si>
  <si>
    <t>0.5134408602150538</t>
  </si>
  <si>
    <t>0.23179933706508188</t>
  </si>
  <si>
    <t>0.11722986235334829</t>
  </si>
  <si>
    <t>0.10731639601270512</t>
  </si>
  <si>
    <t>0.027251596861366963</t>
  </si>
  <si>
    <t>0.35708949096880127</t>
  </si>
  <si>
    <t>0.47290640394088673</t>
  </si>
  <si>
    <t>0.21267217211638834</t>
  </si>
  <si>
    <t>0.10961360213996332</t>
  </si>
  <si>
    <t>0.10549518420400558</t>
  </si>
  <si>
    <t>0.032689951077092994</t>
  </si>
  <si>
    <t>0.010333838102469513</t>
  </si>
  <si>
    <t>0.31028054187192117</t>
  </si>
  <si>
    <t>0.3522746305418719</t>
  </si>
  <si>
    <t>0.4616174055829228</t>
  </si>
  <si>
    <t>0.22738577409609662</t>
  </si>
  <si>
    <t>0.1243820870387745</t>
  </si>
  <si>
    <t>0.10638836508909097</t>
  </si>
  <si>
    <t>0.3499061538461538</t>
  </si>
  <si>
    <t>0.4807692307692308</t>
  </si>
  <si>
    <t>0.22907098363157818</t>
  </si>
  <si>
    <t>0.12027313745271377</t>
  </si>
  <si>
    <t>0.10848766321588398</t>
  </si>
  <si>
    <t>0.044176349935611814</t>
  </si>
  <si>
    <t>0.3292876254180602</t>
  </si>
  <si>
    <t>0.34204891304347823</t>
  </si>
  <si>
    <t>0.4314613526570048</t>
  </si>
  <si>
    <t>0.22227619101461052</t>
  </si>
  <si>
    <t>0.11726533503465875</t>
  </si>
  <si>
    <t>0.10767792802163506</t>
  </si>
  <si>
    <t>0.031335461851311947</t>
  </si>
  <si>
    <t>0.36801029748283753</t>
  </si>
  <si>
    <t>0.31932608695652176</t>
  </si>
  <si>
    <t>0.5088566827697262</t>
  </si>
  <si>
    <t>0.21506835223544846</t>
  </si>
  <si>
    <t>0.10972145262513389</t>
  </si>
  <si>
    <t>0.1055989848187194</t>
  </si>
  <si>
    <t>0.034738133057729874</t>
  </si>
  <si>
    <t>0.3825535714285715</t>
  </si>
  <si>
    <t>0.3429107142857143</t>
  </si>
  <si>
    <t>0.49107142857142855</t>
  </si>
  <si>
    <t>0.20548390721610343</t>
  </si>
  <si>
    <t>0.1116855953489407</t>
  </si>
  <si>
    <t>0.10584627438765823</t>
  </si>
  <si>
    <t>0.034167517193881544</t>
  </si>
  <si>
    <t>0.38838887652947723</t>
  </si>
  <si>
    <t>0.3707819799777531</t>
  </si>
  <si>
    <t>0.5051909529106414</t>
  </si>
  <si>
    <t>0.22905502615576756</t>
  </si>
  <si>
    <t>0.11730838115666015</t>
  </si>
  <si>
    <t>0.1044921640135337</t>
  </si>
  <si>
    <t>0.031041880760120696</t>
  </si>
  <si>
    <t>0.1986676264911559</t>
  </si>
  <si>
    <t>0.2798743315508021</t>
  </si>
  <si>
    <t>0.24702911467617347</t>
  </si>
  <si>
    <t>0.21292737251334581</t>
  </si>
  <si>
    <t>0.11147745190871101</t>
  </si>
  <si>
    <t>0.10794786873997224</t>
  </si>
  <si>
    <t>0.011311864308264773</t>
  </si>
  <si>
    <t>0.3133681868743048</t>
  </si>
  <si>
    <t>0.44697812384130514</t>
  </si>
  <si>
    <t>0.22585302827048315</t>
  </si>
  <si>
    <t>0.10617254437979393</t>
  </si>
  <si>
    <t>0.028054123021637706</t>
  </si>
  <si>
    <t>0.3619648617511521</t>
  </si>
  <si>
    <t>0.3333836405529954</t>
  </si>
  <si>
    <t>0.4961597542242704</t>
  </si>
  <si>
    <t>0.2276012775706191</t>
  </si>
  <si>
    <t>0.11642082255649214</t>
  </si>
  <si>
    <t>0.11096629028452634</t>
  </si>
  <si>
    <t>0.26166713929219604</t>
  </si>
  <si>
    <t>0.2749440789473684</t>
  </si>
  <si>
    <t>0.32648026315789475</t>
  </si>
  <si>
    <t>0.23733530526779806</t>
  </si>
  <si>
    <t>0.11848857701180437</t>
  </si>
  <si>
    <t>0.10667773483240615</t>
  </si>
  <si>
    <t>0.21129379157427935</t>
  </si>
  <si>
    <t>0.17794456762749444</t>
  </si>
  <si>
    <t>0.17134762256713476</t>
  </si>
  <si>
    <t>0.21926523256288646</t>
  </si>
  <si>
    <t>0.11759735084610798</t>
  </si>
  <si>
    <t>0.10754783523335479</t>
  </si>
  <si>
    <t>0.029828228517586576</t>
  </si>
  <si>
    <t>0.013100030588310392</t>
  </si>
  <si>
    <t>0.4846059113300492</t>
  </si>
  <si>
    <t>0.23068491200187563</t>
  </si>
  <si>
    <t>0.11474245117866705</t>
  </si>
  <si>
    <t>0.10735819756432022</t>
  </si>
  <si>
    <t>0.3068326947637292</t>
  </si>
  <si>
    <t>0.25142243594588687</t>
  </si>
  <si>
    <t>0.12618573177881412</t>
  </si>
  <si>
    <t>0.11569199669930216</t>
  </si>
  <si>
    <t>0.37772060123784257</t>
  </si>
  <si>
    <t>0.49233716475095785</t>
  </si>
  <si>
    <t>0.21987727872736418</t>
  </si>
  <si>
    <t>0.11382889692247267</t>
  </si>
  <si>
    <t>0.10281803672843345</t>
  </si>
  <si>
    <t>0.010268513222959292</t>
  </si>
  <si>
    <t>0.37420735785953174</t>
  </si>
  <si>
    <t>0.4409141583054626</t>
  </si>
  <si>
    <t>0.22692966534316505</t>
  </si>
  <si>
    <t>0.12263053520784373</t>
  </si>
  <si>
    <t>0.11145882697827898</t>
  </si>
  <si>
    <t>0.035145881544277655</t>
  </si>
  <si>
    <t>0.21601585623678643</t>
  </si>
  <si>
    <t>0.22340803382663846</t>
  </si>
  <si>
    <t>0.18698614047451254</t>
  </si>
  <si>
    <t>0.21306556361917156</t>
  </si>
  <si>
    <t>0.11274367852170811</t>
  </si>
  <si>
    <t>0.11347728599187454</t>
  </si>
  <si>
    <t>0.034758424905271076</t>
  </si>
  <si>
    <t>0.011995478049946186</t>
  </si>
  <si>
    <t>0.22626923076923075</t>
  </si>
  <si>
    <t>0.3372692307692307</t>
  </si>
  <si>
    <t>0.4596391263057929</t>
  </si>
  <si>
    <t>0.22007453513062475</t>
  </si>
  <si>
    <t>0.11965699851452269</t>
  </si>
  <si>
    <t>0.11744420652876528</t>
  </si>
  <si>
    <t>0.1866516129032258</t>
  </si>
  <si>
    <t>0.18368368368368362</t>
  </si>
  <si>
    <t>0.23042810268512914</t>
  </si>
  <si>
    <t>0.11037667967809406</t>
  </si>
  <si>
    <t>0.024922466074719294</t>
  </si>
  <si>
    <t>0.010302497687326509</t>
  </si>
  <si>
    <t>0.16867647058823532</t>
  </si>
  <si>
    <t>0.14092647058823526</t>
  </si>
  <si>
    <t>0.2014107995431182</t>
  </si>
  <si>
    <t>0.12069547469511872</t>
  </si>
  <si>
    <t>0.11621380501851089</t>
  </si>
  <si>
    <t>0.34412557603686633</t>
  </si>
  <si>
    <t>0.45238095238095233</t>
  </si>
  <si>
    <t>0.2344928888850888</t>
  </si>
  <si>
    <t>0.12162085751047827</t>
  </si>
  <si>
    <t>0.10676160212746871</t>
  </si>
  <si>
    <t>0.026943020187359765</t>
  </si>
  <si>
    <t>0.012139672232066677</t>
  </si>
  <si>
    <t>0.31779989671063086</t>
  </si>
  <si>
    <t>0.4330737856878013</t>
  </si>
  <si>
    <t>0.2363249111619305</t>
  </si>
  <si>
    <t>0.13033933497536937</t>
  </si>
  <si>
    <t>0.1124878671929867</t>
  </si>
  <si>
    <t>0.038863662281762294</t>
  </si>
  <si>
    <t>0.33665934065934067</t>
  </si>
  <si>
    <t>0.11549822586938491</t>
  </si>
  <si>
    <t>0.1059009865388161</t>
  </si>
  <si>
    <t>0.3284889162561576</t>
  </si>
  <si>
    <t>0.4961001642036124</t>
  </si>
  <si>
    <t>0.2265606685867324</t>
  </si>
  <si>
    <t>0.10776598095959196</t>
  </si>
  <si>
    <t>0.10078557238561797</t>
  </si>
  <si>
    <t>0.010411058418325809</t>
  </si>
  <si>
    <t>0.3409285714285714</t>
  </si>
  <si>
    <t>0.45436507936507936</t>
  </si>
  <si>
    <t>0.23992980789496648</t>
  </si>
  <si>
    <t>0.12766326939958061</t>
  </si>
  <si>
    <t>0.11529809302470347</t>
  </si>
  <si>
    <t>0.32110714285714287</t>
  </si>
  <si>
    <t>0.23109789569956318</t>
  </si>
  <si>
    <t>0.11760155758413846</t>
  </si>
  <si>
    <t>0.10273055151313751</t>
  </si>
  <si>
    <t>0.4226190476190476</t>
  </si>
  <si>
    <t>0.22632363208342804</t>
  </si>
  <si>
    <t>0.10790369347361409</t>
  </si>
  <si>
    <t>0.021078865450396424</t>
  </si>
  <si>
    <t>0.013659346255658834</t>
  </si>
  <si>
    <t>0.22199999999999995</t>
  </si>
  <si>
    <t>0.13661538461538458</t>
  </si>
  <si>
    <t>0.1945047581728616</t>
  </si>
  <si>
    <t>0.023943048555921644</t>
  </si>
  <si>
    <t>0.5097222222222223</t>
  </si>
  <si>
    <t>0.21472277667063855</t>
  </si>
  <si>
    <t>0.10494656552182649</t>
  </si>
  <si>
    <t>0.031299256595969854</t>
  </si>
  <si>
    <t>0.23106991492249074</t>
  </si>
  <si>
    <t>0.21107322929171665</t>
  </si>
  <si>
    <t>0.18387354941976786</t>
  </si>
  <si>
    <t>0.22059236795066728</t>
  </si>
  <si>
    <t>0.11318028931374896</t>
  </si>
  <si>
    <t>0.10777080936145036</t>
  </si>
  <si>
    <t>0.032998455054703626</t>
  </si>
  <si>
    <t>0.010676805319634887</t>
  </si>
  <si>
    <t>0.31506923076923077</t>
  </si>
  <si>
    <t>0.44974358974358974</t>
  </si>
  <si>
    <t>0.2045529443320855</t>
  </si>
  <si>
    <t>0.10994832435385421</t>
  </si>
  <si>
    <t>0.1036474521017452</t>
  </si>
  <si>
    <t>0.028505886236673505</t>
  </si>
  <si>
    <t>0.012116472542236155</t>
  </si>
  <si>
    <t>0.20904999999999996</t>
  </si>
  <si>
    <t>0.21142857142857138</t>
  </si>
  <si>
    <t>0.16825396825396824</t>
  </si>
  <si>
    <t>0.22021749914777544</t>
  </si>
  <si>
    <t>0.11356946555946354</t>
  </si>
  <si>
    <t>0.4673645320197044</t>
  </si>
  <si>
    <t>0.24365914093621266</t>
  </si>
  <si>
    <t>0.12050304364385431</t>
  </si>
  <si>
    <t>0.10965445892767857</t>
  </si>
  <si>
    <t>0.010024293441372293</t>
  </si>
  <si>
    <t>0.3159230769230769</t>
  </si>
  <si>
    <t>0.3058321678321678</t>
  </si>
  <si>
    <t>0.3554778554778555</t>
  </si>
  <si>
    <t>0.22805456978474942</t>
  </si>
  <si>
    <t>0.11910968426229343</t>
  </si>
  <si>
    <t>0.10597204896644208</t>
  </si>
  <si>
    <t>0.014808075491285991</t>
  </si>
  <si>
    <t>0.3516293706293706</t>
  </si>
  <si>
    <t>0.34464335664335666</t>
  </si>
  <si>
    <t>0.41258741258741255</t>
  </si>
  <si>
    <t>0.22790376175548588</t>
  </si>
  <si>
    <t>0.11814910021976824</t>
  </si>
  <si>
    <t>0.10912570347091262</t>
  </si>
  <si>
    <t>0.025940691701034642</t>
  </si>
  <si>
    <t>0.010518008305474884</t>
  </si>
  <si>
    <t>0.3289254727474972</t>
  </si>
  <si>
    <t>0.4549499443826474</t>
  </si>
  <si>
    <t>0.23072666672188102</t>
  </si>
  <si>
    <t>0.12193614208455214</t>
  </si>
  <si>
    <t>0.1132999585913454</t>
  </si>
  <si>
    <t>0.013190078957620442</t>
  </si>
  <si>
    <t>0.3144576659038901</t>
  </si>
  <si>
    <t>0.3536832298136645</t>
  </si>
  <si>
    <t>0.4824016563146998</t>
  </si>
  <si>
    <t>0.21688970562696122</t>
  </si>
  <si>
    <t>0.10544861934179203</t>
  </si>
  <si>
    <t>0.2958352147455684</t>
  </si>
  <si>
    <t>0.28335395537525354</t>
  </si>
  <si>
    <t>0.3078093306288032</t>
  </si>
  <si>
    <t>0.22193087346746168</t>
  </si>
  <si>
    <t>0.11121734795827952</t>
  </si>
  <si>
    <t>0.34475615763546796</t>
  </si>
  <si>
    <t>0.3760603448275862</t>
  </si>
  <si>
    <t>0.45607553366174053</t>
  </si>
  <si>
    <t>0.2364426328645221</t>
  </si>
  <si>
    <t>0.1274753346988125</t>
  </si>
  <si>
    <t>0.11120726642321696</t>
  </si>
  <si>
    <t>0.031825088588749016</t>
  </si>
  <si>
    <t>0.32176418242491656</t>
  </si>
  <si>
    <t>0.3842032258064516</t>
  </si>
  <si>
    <t>0.48046594982078855</t>
  </si>
  <si>
    <t>0.23541895658158085</t>
  </si>
  <si>
    <t>0.11890069649920734</t>
  </si>
  <si>
    <t>0.1070932058463685</t>
  </si>
  <si>
    <t>0.029482938419445454</t>
  </si>
  <si>
    <t>0.012653158830025586</t>
  </si>
  <si>
    <t>0.20320161290322578</t>
  </si>
  <si>
    <t>0.24169354838709678</t>
  </si>
  <si>
    <t>0.19310035842293904</t>
  </si>
  <si>
    <t>0.23277053198177622</t>
  </si>
  <si>
    <t>0.12778444264014738</t>
  </si>
  <si>
    <t>0.12098706902054208</t>
  </si>
  <si>
    <t>0.15257109557109555</t>
  </si>
  <si>
    <t>0.18357692307692308</t>
  </si>
  <si>
    <t>0.12986704653371314</t>
  </si>
  <si>
    <t>0.20502735461253274</t>
  </si>
  <si>
    <t>0.10967085392748066</t>
  </si>
  <si>
    <t>0.027207015620717978</t>
  </si>
  <si>
    <t>0.26305359605911327</t>
  </si>
  <si>
    <t>0.22735862068965518</t>
  </si>
  <si>
    <t>0.21954022988505742</t>
  </si>
  <si>
    <t>0.2076122041137055</t>
  </si>
  <si>
    <t>0.11098982507313473</t>
  </si>
  <si>
    <t>0.2063036800927267</t>
  </si>
  <si>
    <t>0.2718711967545639</t>
  </si>
  <si>
    <t>0.26436781609195403</t>
  </si>
  <si>
    <t>0.21932279554313447</t>
  </si>
  <si>
    <t>0.11672411486908493</t>
  </si>
  <si>
    <t>0.10709421680715929</t>
  </si>
  <si>
    <t>0.29695621769534813</t>
  </si>
  <si>
    <t>0.3428715415019763</t>
  </si>
  <si>
    <t>0.43544137022397894</t>
  </si>
  <si>
    <t>0.22717908503293097</t>
  </si>
  <si>
    <t>0.11381807192823015</t>
  </si>
  <si>
    <t>0.10314668868324103</t>
  </si>
  <si>
    <t>0.010965874730210575</t>
  </si>
  <si>
    <t>0.22324355233982962</t>
  </si>
  <si>
    <t>0.20821729490022173</t>
  </si>
  <si>
    <t>0.1845282089184528</t>
  </si>
  <si>
    <t>0.21802676775610252</t>
  </si>
  <si>
    <t>0.11217080412720964</t>
  </si>
  <si>
    <t>0.11066105939147271</t>
  </si>
  <si>
    <t>0.37569230769230766</t>
  </si>
  <si>
    <t>0.47179487179487173</t>
  </si>
  <si>
    <t>0.22208023889295564</t>
  </si>
  <si>
    <t>0.10603789705048211</t>
  </si>
  <si>
    <t>0.025791034742094016</t>
  </si>
  <si>
    <t>0.3338158974358974</t>
  </si>
  <si>
    <t>0.45051282051282054</t>
  </si>
  <si>
    <t>0.23260110501458903</t>
  </si>
  <si>
    <t>0.12357589146545846</t>
  </si>
  <si>
    <t>0.10850908776281626</t>
  </si>
  <si>
    <t>0.3293091133004926</t>
  </si>
  <si>
    <t>0.3600665024630542</t>
  </si>
  <si>
    <t>0.4275451559934318</t>
  </si>
  <si>
    <t>0.21338027037564924</t>
  </si>
  <si>
    <t>0.1197642268973664</t>
  </si>
  <si>
    <t>0.11014766054502317</t>
  </si>
  <si>
    <t>0.29114349276974416</t>
  </si>
  <si>
    <t>0.4657026325546904</t>
  </si>
  <si>
    <t>0.2266055299627745</t>
  </si>
  <si>
    <t>0.11629741127800683</t>
  </si>
  <si>
    <t>0.10923271221688469</t>
  </si>
  <si>
    <t>0.5555555555555555</t>
  </si>
  <si>
    <t>0.21944636752136748</t>
  </si>
  <si>
    <t>0.10650567460317457</t>
  </si>
  <si>
    <t>0.025354232147780497</t>
  </si>
  <si>
    <t>0.33399107142857143</t>
  </si>
  <si>
    <t>0.4970238095238095</t>
  </si>
  <si>
    <t>0.22544753314216776</t>
  </si>
  <si>
    <t>0.11009398791573226</t>
  </si>
  <si>
    <t>0.1019704230202605</t>
  </si>
  <si>
    <t>0.014781258388395595</t>
  </si>
  <si>
    <t>0.2616428571428571</t>
  </si>
  <si>
    <t>0.27843915343915343</t>
  </si>
  <si>
    <t>0.21994196399493676</t>
  </si>
  <si>
    <t>0.11292485110340769</t>
  </si>
  <si>
    <t>0.029344235615078797</t>
  </si>
  <si>
    <t>0.36416748768472906</t>
  </si>
  <si>
    <t>0.44950738916256155</t>
  </si>
  <si>
    <t>0.21971254449206779</t>
  </si>
  <si>
    <t>0.11917597268217531</t>
  </si>
  <si>
    <t>0.1087011950261576</t>
  </si>
  <si>
    <t>0.031874116754501185</t>
  </si>
  <si>
    <t>0.013108700626407411</t>
  </si>
  <si>
    <t>0.45370370370370366</t>
  </si>
  <si>
    <t>0.21795850290697674</t>
  </si>
  <si>
    <t>0.11825164201840956</t>
  </si>
  <si>
    <t>0.11164832308272832</t>
  </si>
  <si>
    <t>0.011759455260977603</t>
  </si>
  <si>
    <t>0.33288887652947724</t>
  </si>
  <si>
    <t>0.48683722654801626</t>
  </si>
  <si>
    <t>0.2189802346372241</t>
  </si>
  <si>
    <t>0.10610640342333133</t>
  </si>
  <si>
    <t>0.10108629995218094</t>
  </si>
  <si>
    <t>0.020414594529255155</t>
  </si>
  <si>
    <t>0.012239088892307294</t>
  </si>
  <si>
    <t>0.19143478260869562</t>
  </si>
  <si>
    <t>0.12386956521739126</t>
  </si>
  <si>
    <t>0.20883444570135745</t>
  </si>
  <si>
    <t>0.10579928374624789</t>
  </si>
  <si>
    <t>0.013643765672653317</t>
  </si>
  <si>
    <t>0.33649705685618725</t>
  </si>
  <si>
    <t>0.4502564102564102</t>
  </si>
  <si>
    <t>0.2234545700924025</t>
  </si>
  <si>
    <t>0.11512475041448483</t>
  </si>
  <si>
    <t>0.10891734654898537</t>
  </si>
  <si>
    <t>Logan Henderson</t>
  </si>
  <si>
    <t>0.2399815447710184</t>
  </si>
  <si>
    <t>0.19252392344497604</t>
  </si>
  <si>
    <t>0.15643274853801167</t>
  </si>
  <si>
    <t>0.2148637351125669</t>
  </si>
  <si>
    <t>0.11577537608216909</t>
  </si>
  <si>
    <t>0.10973881501201652</t>
  </si>
  <si>
    <t>0.24748397006823075</t>
  </si>
  <si>
    <t>MIN</t>
  </si>
  <si>
    <t>Bailey Ober</t>
  </si>
  <si>
    <t>0.30040476190476184</t>
  </si>
  <si>
    <t>0.3448928571428571</t>
  </si>
  <si>
    <t>0.4464285714285714</t>
  </si>
  <si>
    <t>0.23248658268806593</t>
  </si>
  <si>
    <t>0.12584890064801432</t>
  </si>
  <si>
    <t>0.11400061019496271</t>
  </si>
  <si>
    <t>0.21528804188137973</t>
  </si>
  <si>
    <t>0.059678924151035845</t>
  </si>
  <si>
    <t>Chad Patrick</t>
  </si>
  <si>
    <t>0.2747800868486353</t>
  </si>
  <si>
    <t>0.36395192307692303</t>
  </si>
  <si>
    <t>0.41773504273504275</t>
  </si>
  <si>
    <t>0.22389287654831005</t>
  </si>
  <si>
    <t>0.12039741126826617</t>
  </si>
  <si>
    <t>0.11486726064811394</t>
  </si>
  <si>
    <t>0.2241445149595808</t>
  </si>
  <si>
    <t>Jacob Lopez</t>
  </si>
  <si>
    <t>0.30558782608695656</t>
  </si>
  <si>
    <t>0.4317632850241546</t>
  </si>
  <si>
    <t>0.21117700506299983</t>
  </si>
  <si>
    <t>0.11986237326518732</t>
  </si>
  <si>
    <t>0.10644356896701554</t>
  </si>
  <si>
    <t>0.034510547938300204</t>
  </si>
  <si>
    <t>0.013225366990951285</t>
  </si>
  <si>
    <t>0.24985263770307364</t>
  </si>
  <si>
    <t>Seth Lugo</t>
  </si>
  <si>
    <t>0.36227472527472526</t>
  </si>
  <si>
    <t>0.47573260073260065</t>
  </si>
  <si>
    <t>0.2361536210461652</t>
  </si>
  <si>
    <t>0.12700564091400413</t>
  </si>
  <si>
    <t>0.11237032924157385</t>
  </si>
  <si>
    <t>0.19305020548878876</t>
  </si>
  <si>
    <t>Ian Seymour</t>
  </si>
  <si>
    <t>0.16261406644238857</t>
  </si>
  <si>
    <t>0.17360670731707317</t>
  </si>
  <si>
    <t>0.10556402439024389</t>
  </si>
  <si>
    <t>0.21861324395884735</t>
  </si>
  <si>
    <t>0.11513959560702822</t>
  </si>
  <si>
    <t>0.11140910517619773</t>
  </si>
  <si>
    <t>0.23007220626748487</t>
  </si>
  <si>
    <t>WSN</t>
  </si>
  <si>
    <t>Cade Cavalli</t>
  </si>
  <si>
    <t>0.28807604895104894</t>
  </si>
  <si>
    <t>0.3778269230769231</t>
  </si>
  <si>
    <t>0.4513888888888889</t>
  </si>
  <si>
    <t>0.22932260458839404</t>
  </si>
  <si>
    <t>0.1156332450044714</t>
  </si>
  <si>
    <t>0.10981041155819574</t>
  </si>
  <si>
    <t>0.026633640817657726</t>
  </si>
  <si>
    <t>0.1953213817582272</t>
  </si>
  <si>
    <t>Zebby Matthews</t>
  </si>
  <si>
    <t>0.24652671171745505</t>
  </si>
  <si>
    <t>0.2633401759530792</t>
  </si>
  <si>
    <t>0.2264581296839361</t>
  </si>
  <si>
    <t>0.23370353550549192</t>
  </si>
  <si>
    <t>0.11283451641922787</t>
  </si>
  <si>
    <t>0.10451064350528785</t>
  </si>
  <si>
    <t>0.034913607262831985</t>
  </si>
  <si>
    <t>Johan Oviedo</t>
  </si>
  <si>
    <t>0.17701578947368418</t>
  </si>
  <si>
    <t>0.14753971291866022</t>
  </si>
  <si>
    <t>0.2144694260885598</t>
  </si>
  <si>
    <t>0.11928678353878726</t>
  </si>
  <si>
    <t>0.11005037825721489</t>
  </si>
  <si>
    <t>0.012943894872416227</t>
  </si>
  <si>
    <t>0.22089560526092622</t>
  </si>
  <si>
    <t>0.10217663842659075</t>
  </si>
  <si>
    <t>ARI</t>
  </si>
  <si>
    <t>Michael Soroka</t>
  </si>
  <si>
    <t>0.15497307692307688</t>
  </si>
  <si>
    <t>0.1299980769230769</t>
  </si>
  <si>
    <t>0.21155505873853447</t>
  </si>
  <si>
    <t>0.11464448273175927</t>
  </si>
  <si>
    <t>0.10704450150823575</t>
  </si>
  <si>
    <t>0.23287914992809564</t>
  </si>
  <si>
    <t>Max Meyer</t>
  </si>
  <si>
    <t>0.2534862745098039</t>
  </si>
  <si>
    <t>0.3101470588235294</t>
  </si>
  <si>
    <t>0.2999273783587509</t>
  </si>
  <si>
    <t>0.23000689390885515</t>
  </si>
  <si>
    <t>0.1169888134954023</t>
  </si>
  <si>
    <t>0.11169471764540108</t>
  </si>
  <si>
    <t>0.032156603184365126</t>
  </si>
  <si>
    <t>0.20706158788389678</t>
  </si>
  <si>
    <t>G</t>
    <phoneticPr fontId="18" type="noConversion"/>
  </si>
  <si>
    <t>IP</t>
    <phoneticPr fontId="18" type="noConversion"/>
  </si>
  <si>
    <t>TBF</t>
    <phoneticPr fontId="18" type="noConversion"/>
  </si>
  <si>
    <t>G</t>
  </si>
  <si>
    <t>IP</t>
  </si>
  <si>
    <t>TBF</t>
  </si>
  <si>
    <t>L+</t>
    <phoneticPr fontId="18" type="noConversion"/>
  </si>
  <si>
    <t>HR+</t>
    <phoneticPr fontId="18" type="noConversion"/>
  </si>
  <si>
    <t>HBP+</t>
    <phoneticPr fontId="18" type="noConversion"/>
  </si>
  <si>
    <t>IP+</t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</si>
  <si>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 </t>
    </r>
    <r>
      <rPr>
        <sz val="12"/>
        <color theme="1"/>
        <rFont val="新細明體"/>
        <family val="2"/>
        <charset val="136"/>
        <scheme val="minor"/>
      </rPr>
      <t>Garrett Crochet</t>
    </r>
    <phoneticPr fontId="18" type="noConversion"/>
  </si>
  <si>
    <r>
      <rPr>
        <b/>
        <sz val="12"/>
        <color theme="2" tint="-0.249977111117893"/>
        <rFont val="新細明體"/>
        <family val="1"/>
        <charset val="136"/>
        <scheme val="minor"/>
      </rPr>
      <t xml:space="preserve">2 </t>
    </r>
    <r>
      <rPr>
        <sz val="12"/>
        <color theme="2" tint="-0.249977111117893"/>
        <rFont val="新細明體"/>
        <family val="1"/>
        <charset val="136"/>
        <scheme val="minor"/>
      </rPr>
      <t>Cristopher Sanchez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</si>
  <si>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4 </t>
    </r>
    <r>
      <rPr>
        <sz val="12"/>
        <color theme="1"/>
        <rFont val="新細明體"/>
        <family val="2"/>
        <charset val="136"/>
        <scheme val="minor"/>
      </rPr>
      <t>Dylan Cease</t>
    </r>
    <phoneticPr fontId="18" type="noConversion"/>
  </si>
  <si>
    <t>Hunter Greene</t>
    <phoneticPr fontId="18" type="noConversion"/>
  </si>
  <si>
    <r>
      <rPr>
        <b/>
        <sz val="12"/>
        <color rgb="FF0070C0"/>
        <rFont val="新細明體"/>
        <family val="1"/>
        <charset val="136"/>
      </rPr>
      <t>10</t>
    </r>
    <r>
      <rPr>
        <sz val="12"/>
        <color theme="1"/>
        <rFont val="新細明體"/>
        <family val="2"/>
        <charset val="136"/>
        <scheme val="minor"/>
      </rPr>
      <t xml:space="preserve"> Emmet Sheehan</t>
    </r>
    <phoneticPr fontId="18" type="noConversion"/>
  </si>
  <si>
    <r>
      <rPr>
        <b/>
        <sz val="12"/>
        <color rgb="FF0070C0"/>
        <rFont val="新細明體"/>
        <family val="1"/>
        <charset val="136"/>
      </rPr>
      <t>10</t>
    </r>
    <r>
      <rPr>
        <sz val="12"/>
        <color theme="1"/>
        <rFont val="新細明體"/>
        <family val="2"/>
        <charset val="136"/>
        <scheme val="minor"/>
      </rPr>
      <t xml:space="preserve"> Nathan Eovaldi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</si>
  <si>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11 </t>
    </r>
    <r>
      <rPr>
        <sz val="12"/>
        <color theme="1"/>
        <rFont val="新細明體"/>
        <family val="2"/>
        <charset val="136"/>
        <scheme val="minor"/>
      </rPr>
      <t>Shota Imanaga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</si>
  <si>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11 </t>
    </r>
    <r>
      <rPr>
        <sz val="12"/>
        <color theme="1"/>
        <rFont val="新細明體"/>
        <family val="2"/>
        <charset val="136"/>
        <scheme val="minor"/>
      </rPr>
      <t>Sandy Alcantara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</si>
  <si>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17 </t>
    </r>
    <r>
      <rPr>
        <sz val="12"/>
        <color theme="1"/>
        <rFont val="新細明體"/>
        <family val="2"/>
        <charset val="136"/>
        <scheme val="minor"/>
      </rPr>
      <t>Braxton Ashcraft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</si>
  <si>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17 </t>
    </r>
    <r>
      <rPr>
        <sz val="12"/>
        <color theme="1"/>
        <rFont val="新細明體"/>
        <family val="2"/>
        <charset val="136"/>
        <scheme val="minor"/>
      </rPr>
      <t>Shane Baz</t>
    </r>
    <phoneticPr fontId="18" type="noConversion"/>
  </si>
  <si>
    <t>Justin Steele</t>
    <phoneticPr fontId="18" type="noConversion"/>
  </si>
  <si>
    <t>Jacob deGrom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</si>
</sst>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206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b/>
      <sz val="12"/>
      <color theme="2" tint="-0.249977111117893"/>
      <name val="新細明體"/>
      <family val="1"/>
      <charset val="136"/>
      <scheme val="minor"/>
    </font>
    <font>
      <sz val="12"/>
      <color theme="2" tint="-0.249977111117893"/>
      <name val="新細明體"/>
      <family val="2"/>
      <scheme val="minor"/>
    </font>
    <font>
      <b/>
      <sz val="12"/>
      <color theme="2" tint="-0.249977111117893"/>
      <name val="新細明體"/>
      <family val="2"/>
      <scheme val="minor"/>
    </font>
    <font>
      <b/>
      <sz val="12"/>
      <color rgb="FF0070C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2"/>
  <sheetViews>
    <sheetView workbookViewId="0">
      <selection activeCell="V53" sqref="V53"/>
    </sheetView>
  </sheetViews>
  <sheetFormatPr baseColWidth="10" defaultColWidth="10.83203125" defaultRowHeight="15"/>
  <sheetData>
    <row r="1" spans="1:34">
      <c r="A1" t="s">
        <v>1</v>
      </c>
      <c r="B1" t="s">
        <v>0</v>
      </c>
      <c r="C1" t="s">
        <v>2</v>
      </c>
      <c r="D1" t="s">
        <v>1019</v>
      </c>
      <c r="E1" t="s">
        <v>1020</v>
      </c>
      <c r="F1" t="s">
        <v>1021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  <c r="R1" t="s">
        <v>298</v>
      </c>
      <c r="S1" t="s">
        <v>299</v>
      </c>
      <c r="T1" t="s">
        <v>312</v>
      </c>
      <c r="U1" t="s">
        <v>300</v>
      </c>
      <c r="V1" t="s">
        <v>301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</row>
    <row r="2" spans="1:34">
      <c r="A2" t="s">
        <v>15</v>
      </c>
      <c r="B2" t="s">
        <v>14</v>
      </c>
      <c r="C2" t="s">
        <v>16</v>
      </c>
      <c r="D2" s="1">
        <v>30</v>
      </c>
      <c r="E2">
        <v>192.33</v>
      </c>
      <c r="F2">
        <v>752</v>
      </c>
      <c r="G2">
        <f t="shared" ref="G2:G33" si="0">W2*$D2</f>
        <v>13.694625</v>
      </c>
      <c r="H2">
        <f t="shared" ref="H2:H33" si="1">X2*$D2</f>
        <v>7.8046874999999991</v>
      </c>
      <c r="I2">
        <f t="shared" ref="I2:I33" si="2">Y2*$D2</f>
        <v>18.791666666666639</v>
      </c>
      <c r="J2">
        <f t="shared" ref="J2:J33" si="3">Z2*$F2</f>
        <v>147.68703100731486</v>
      </c>
      <c r="K2">
        <f t="shared" ref="K2:K33" si="4">AA2*$F2</f>
        <v>61.689588303999997</v>
      </c>
      <c r="L2">
        <f t="shared" ref="L2:L33" si="5">AB2*$F2</f>
        <v>55.759516336000004</v>
      </c>
      <c r="M2">
        <f t="shared" ref="M2:M33" si="6">AC2*$F2</f>
        <v>18.965673872</v>
      </c>
      <c r="N2">
        <f t="shared" ref="N2:N33" si="7">AD2*$F2</f>
        <v>0.50000028799999996</v>
      </c>
      <c r="O2">
        <f t="shared" ref="O2:O33" si="8">AE2*$F2</f>
        <v>6.5151911360000003</v>
      </c>
      <c r="P2">
        <f t="shared" ref="P2:P33" si="9">AF2*$F2</f>
        <v>233.52855021190902</v>
      </c>
      <c r="Q2">
        <f t="shared" ref="Q2:Q33" si="10">AG2*$F2</f>
        <v>39.871036366559416</v>
      </c>
      <c r="R2">
        <f>P2/$E2*9</f>
        <v>10.927868517169349</v>
      </c>
      <c r="S2">
        <f>Q2/$E2*9</f>
        <v>1.86574807517826</v>
      </c>
      <c r="T2">
        <f>AF2-AG2</f>
        <v>0.2575232896879649</v>
      </c>
      <c r="U2">
        <f>L2/$E2*9</f>
        <v>2.6092426923724847</v>
      </c>
      <c r="V2">
        <f>(Q2+J2)/$E2</f>
        <v>0.97518882844004717</v>
      </c>
      <c r="W2">
        <v>0.45648749999999999</v>
      </c>
      <c r="X2">
        <v>0.26015624999999998</v>
      </c>
      <c r="Y2" s="1" t="s">
        <v>313</v>
      </c>
      <c r="Z2" s="1" t="s">
        <v>314</v>
      </c>
      <c r="AA2">
        <v>8.2034026999999995E-2</v>
      </c>
      <c r="AB2">
        <v>7.4148293000000004E-2</v>
      </c>
      <c r="AC2">
        <v>2.5220310999999999E-2</v>
      </c>
      <c r="AD2">
        <v>6.6489399999999997E-4</v>
      </c>
      <c r="AE2">
        <v>8.6638180000000002E-3</v>
      </c>
      <c r="AF2" s="1" t="s">
        <v>17</v>
      </c>
      <c r="AG2" s="1" t="s">
        <v>18</v>
      </c>
    </row>
    <row r="3" spans="1:34">
      <c r="A3" t="s">
        <v>20</v>
      </c>
      <c r="B3" t="s">
        <v>19</v>
      </c>
      <c r="C3" t="s">
        <v>16</v>
      </c>
      <c r="D3">
        <v>30</v>
      </c>
      <c r="E3">
        <v>187.33</v>
      </c>
      <c r="F3">
        <v>745</v>
      </c>
      <c r="G3">
        <f t="shared" si="0"/>
        <v>12.778875000000001</v>
      </c>
      <c r="H3">
        <f t="shared" si="1"/>
        <v>8.1376874999999984</v>
      </c>
      <c r="I3">
        <f t="shared" si="2"/>
        <v>18</v>
      </c>
      <c r="J3">
        <f t="shared" si="3"/>
        <v>147.24491853743677</v>
      </c>
      <c r="K3">
        <f t="shared" si="4"/>
        <v>63.561676070000004</v>
      </c>
      <c r="L3">
        <f t="shared" si="5"/>
        <v>57.998112175000003</v>
      </c>
      <c r="M3">
        <f t="shared" si="6"/>
        <v>15.851604166996424</v>
      </c>
      <c r="N3">
        <f t="shared" si="7"/>
        <v>0.97391838500000005</v>
      </c>
      <c r="O3">
        <f t="shared" si="8"/>
        <v>6.8651675499999998</v>
      </c>
      <c r="P3">
        <f t="shared" si="9"/>
        <v>216.81336005845941</v>
      </c>
      <c r="Q3">
        <f t="shared" si="10"/>
        <v>46.595926660000003</v>
      </c>
      <c r="R3">
        <f t="shared" ref="R3:R66" si="11">P3/$E3*9</f>
        <v>10.416485563049884</v>
      </c>
      <c r="S3">
        <f t="shared" ref="S3:S66" si="12">Q3/$E3*9</f>
        <v>2.2386341746650298</v>
      </c>
      <c r="T3">
        <f t="shared" ref="T3:T66" si="13">AF3-AG3</f>
        <v>0.22847977637377101</v>
      </c>
      <c r="U3">
        <f t="shared" ref="U3:U66" si="14">L3/$E3*9</f>
        <v>2.7864357528158861</v>
      </c>
      <c r="V3">
        <f t="shared" ref="V3:V66" si="15">(Q3+J3)/$E3</f>
        <v>1.0347560198443215</v>
      </c>
      <c r="W3">
        <v>0.42596250000000002</v>
      </c>
      <c r="X3">
        <v>0.27125624999999998</v>
      </c>
      <c r="Y3">
        <v>0.6</v>
      </c>
      <c r="Z3" s="1" t="s">
        <v>315</v>
      </c>
      <c r="AA3">
        <v>8.5317686000000004E-2</v>
      </c>
      <c r="AB3">
        <v>7.7849815000000003E-2</v>
      </c>
      <c r="AC3" s="1" t="s">
        <v>316</v>
      </c>
      <c r="AD3">
        <v>1.3072730000000001E-3</v>
      </c>
      <c r="AE3">
        <v>9.2149899999999993E-3</v>
      </c>
      <c r="AF3" s="1" t="s">
        <v>21</v>
      </c>
      <c r="AG3">
        <v>6.2544868000000003E-2</v>
      </c>
    </row>
    <row r="4" spans="1:34">
      <c r="A4" t="s">
        <v>23</v>
      </c>
      <c r="B4" t="s">
        <v>22</v>
      </c>
      <c r="C4" t="s">
        <v>16</v>
      </c>
      <c r="D4">
        <v>29</v>
      </c>
      <c r="E4">
        <v>181.67</v>
      </c>
      <c r="F4">
        <v>727</v>
      </c>
      <c r="G4">
        <f t="shared" si="0"/>
        <v>13.382437499999984</v>
      </c>
      <c r="H4">
        <f t="shared" si="1"/>
        <v>8.0440312499999855</v>
      </c>
      <c r="I4">
        <f t="shared" si="2"/>
        <v>17.166666666666643</v>
      </c>
      <c r="J4">
        <f t="shared" si="3"/>
        <v>147.10706940516528</v>
      </c>
      <c r="K4">
        <f t="shared" si="4"/>
        <v>64.217861994999993</v>
      </c>
      <c r="L4">
        <f t="shared" si="5"/>
        <v>57.307447827000004</v>
      </c>
      <c r="M4">
        <f t="shared" si="6"/>
        <v>19.042318579197318</v>
      </c>
      <c r="N4">
        <f t="shared" si="7"/>
        <v>1.000000132</v>
      </c>
      <c r="O4">
        <f t="shared" si="8"/>
        <v>5.1998318770000003</v>
      </c>
      <c r="P4">
        <f t="shared" si="9"/>
        <v>222.05757993011508</v>
      </c>
      <c r="Q4">
        <f t="shared" si="10"/>
        <v>45.900298748999994</v>
      </c>
      <c r="R4">
        <f t="shared" si="11"/>
        <v>11.00081587147595</v>
      </c>
      <c r="S4">
        <f t="shared" si="12"/>
        <v>2.2739180312709855</v>
      </c>
      <c r="T4">
        <f t="shared" si="13"/>
        <v>0.24230712679658198</v>
      </c>
      <c r="U4">
        <f t="shared" si="14"/>
        <v>2.8390324789068093</v>
      </c>
      <c r="V4">
        <f t="shared" si="15"/>
        <v>1.0624063860525419</v>
      </c>
      <c r="W4" s="1" t="s">
        <v>317</v>
      </c>
      <c r="X4" s="1" t="s">
        <v>318</v>
      </c>
      <c r="Y4" s="1" t="s">
        <v>319</v>
      </c>
      <c r="Z4" s="1" t="s">
        <v>320</v>
      </c>
      <c r="AA4">
        <v>8.8332684999999994E-2</v>
      </c>
      <c r="AB4">
        <v>7.8827301000000002E-2</v>
      </c>
      <c r="AC4" s="1" t="s">
        <v>321</v>
      </c>
      <c r="AD4">
        <v>1.375516E-3</v>
      </c>
      <c r="AE4">
        <v>7.1524509999999998E-3</v>
      </c>
      <c r="AF4" s="1" t="s">
        <v>24</v>
      </c>
      <c r="AG4">
        <v>6.3136586999999994E-2</v>
      </c>
    </row>
    <row r="5" spans="1:34">
      <c r="A5" t="s">
        <v>26</v>
      </c>
      <c r="B5" t="s">
        <v>25</v>
      </c>
      <c r="C5" t="s">
        <v>16</v>
      </c>
      <c r="D5">
        <v>26</v>
      </c>
      <c r="E5">
        <v>160.66999999999999</v>
      </c>
      <c r="F5">
        <v>652</v>
      </c>
      <c r="G5">
        <f t="shared" si="0"/>
        <v>12.011785714285708</v>
      </c>
      <c r="H5">
        <f t="shared" si="1"/>
        <v>6.6599999999999966</v>
      </c>
      <c r="I5">
        <f t="shared" si="2"/>
        <v>14.166666666666645</v>
      </c>
      <c r="J5">
        <f t="shared" si="3"/>
        <v>135.51265590281787</v>
      </c>
      <c r="K5">
        <f t="shared" si="4"/>
        <v>64.709463236000005</v>
      </c>
      <c r="L5">
        <f t="shared" si="5"/>
        <v>60.474558280000004</v>
      </c>
      <c r="M5">
        <f t="shared" si="6"/>
        <v>16.179260683999999</v>
      </c>
      <c r="N5">
        <f t="shared" si="7"/>
        <v>0.499999892</v>
      </c>
      <c r="O5">
        <f t="shared" si="8"/>
        <v>5.0160661559999999</v>
      </c>
      <c r="P5">
        <f t="shared" si="9"/>
        <v>174.05888049177685</v>
      </c>
      <c r="Q5">
        <f t="shared" si="10"/>
        <v>48.026859856000002</v>
      </c>
      <c r="R5">
        <f t="shared" si="11"/>
        <v>9.749983969788957</v>
      </c>
      <c r="S5">
        <f t="shared" si="12"/>
        <v>2.6902454640194189</v>
      </c>
      <c r="T5">
        <f t="shared" si="13"/>
        <v>0.19330064514689699</v>
      </c>
      <c r="U5">
        <f t="shared" si="14"/>
        <v>3.3875087105246786</v>
      </c>
      <c r="V5">
        <f t="shared" si="15"/>
        <v>1.1423384313114948</v>
      </c>
      <c r="W5" s="1" t="s">
        <v>322</v>
      </c>
      <c r="X5" s="1" t="s">
        <v>323</v>
      </c>
      <c r="Y5" s="1" t="s">
        <v>324</v>
      </c>
      <c r="Z5" s="1" t="s">
        <v>325</v>
      </c>
      <c r="AA5">
        <v>9.9247642999999997E-2</v>
      </c>
      <c r="AB5">
        <v>9.2752390000000004E-2</v>
      </c>
      <c r="AC5">
        <v>2.4814816999999999E-2</v>
      </c>
      <c r="AD5">
        <v>7.6687100000000002E-4</v>
      </c>
      <c r="AE5">
        <v>7.693353E-3</v>
      </c>
      <c r="AF5" s="1" t="s">
        <v>27</v>
      </c>
      <c r="AG5">
        <v>7.3660827999999998E-2</v>
      </c>
    </row>
    <row r="6" spans="1:34">
      <c r="A6" t="s">
        <v>29</v>
      </c>
      <c r="B6" t="s">
        <v>28</v>
      </c>
      <c r="C6" t="s">
        <v>16</v>
      </c>
      <c r="D6" s="1">
        <v>30</v>
      </c>
      <c r="E6">
        <v>190.33</v>
      </c>
      <c r="F6">
        <v>777</v>
      </c>
      <c r="G6">
        <f t="shared" si="0"/>
        <v>12.47745258620688</v>
      </c>
      <c r="H6">
        <f t="shared" si="1"/>
        <v>8.1376874999999984</v>
      </c>
      <c r="I6">
        <f t="shared" si="2"/>
        <v>17.854166666666639</v>
      </c>
      <c r="J6">
        <f t="shared" si="3"/>
        <v>172.92554574149034</v>
      </c>
      <c r="K6">
        <f t="shared" si="4"/>
        <v>72.839680074</v>
      </c>
      <c r="L6">
        <f t="shared" si="5"/>
        <v>68.052825498000004</v>
      </c>
      <c r="M6">
        <f t="shared" si="6"/>
        <v>16.328832156000001</v>
      </c>
      <c r="N6">
        <f t="shared" si="7"/>
        <v>0.99999977700000009</v>
      </c>
      <c r="O6">
        <f t="shared" si="8"/>
        <v>6.2239580340000007</v>
      </c>
      <c r="P6">
        <f t="shared" si="9"/>
        <v>183.46998996950256</v>
      </c>
      <c r="Q6">
        <f t="shared" si="10"/>
        <v>47.030139172059172</v>
      </c>
      <c r="R6">
        <f t="shared" si="11"/>
        <v>8.6756155610020649</v>
      </c>
      <c r="S6">
        <f t="shared" si="12"/>
        <v>2.2238809044739796</v>
      </c>
      <c r="T6">
        <f t="shared" si="13"/>
        <v>0.1755982635745732</v>
      </c>
      <c r="U6">
        <f t="shared" si="14"/>
        <v>3.217965793527032</v>
      </c>
      <c r="V6">
        <f t="shared" si="15"/>
        <v>1.1556543104794277</v>
      </c>
      <c r="W6" s="1" t="s">
        <v>326</v>
      </c>
      <c r="X6">
        <v>0.27125624999999998</v>
      </c>
      <c r="Y6" s="1" t="s">
        <v>327</v>
      </c>
      <c r="Z6" s="1" t="s">
        <v>328</v>
      </c>
      <c r="AA6">
        <v>9.3744761999999995E-2</v>
      </c>
      <c r="AB6">
        <v>8.7584073999999998E-2</v>
      </c>
      <c r="AC6">
        <v>2.1015228E-2</v>
      </c>
      <c r="AD6">
        <v>1.2870010000000001E-3</v>
      </c>
      <c r="AE6">
        <v>8.0102420000000008E-3</v>
      </c>
      <c r="AF6" s="1" t="s">
        <v>30</v>
      </c>
      <c r="AG6" s="1" t="s">
        <v>31</v>
      </c>
    </row>
    <row r="7" spans="1:34">
      <c r="A7" t="s">
        <v>33</v>
      </c>
      <c r="B7" t="s">
        <v>32</v>
      </c>
      <c r="C7" t="s">
        <v>16</v>
      </c>
      <c r="D7" s="1">
        <v>30</v>
      </c>
      <c r="E7">
        <v>185.33</v>
      </c>
      <c r="F7">
        <v>741</v>
      </c>
      <c r="G7">
        <f t="shared" si="0"/>
        <v>12.33289285714284</v>
      </c>
      <c r="H7">
        <f t="shared" si="1"/>
        <v>8.4498749999999987</v>
      </c>
      <c r="I7">
        <f t="shared" si="2"/>
        <v>16.885416666666661</v>
      </c>
      <c r="J7">
        <f t="shared" si="3"/>
        <v>157.6256669830268</v>
      </c>
      <c r="K7">
        <f t="shared" si="4"/>
        <v>74.431994844415229</v>
      </c>
      <c r="L7">
        <f t="shared" si="5"/>
        <v>70.282903742999991</v>
      </c>
      <c r="M7">
        <f t="shared" si="6"/>
        <v>23.844945774000003</v>
      </c>
      <c r="N7">
        <f t="shared" si="7"/>
        <v>0.96254714399999997</v>
      </c>
      <c r="O7">
        <f t="shared" si="8"/>
        <v>7.1359248480000002</v>
      </c>
      <c r="P7">
        <f t="shared" si="9"/>
        <v>188.17818674644315</v>
      </c>
      <c r="Q7">
        <f t="shared" si="10"/>
        <v>37.111962181419486</v>
      </c>
      <c r="R7">
        <f t="shared" si="11"/>
        <v>9.138313714552357</v>
      </c>
      <c r="S7">
        <f t="shared" si="12"/>
        <v>1.8022320165800212</v>
      </c>
      <c r="T7">
        <f t="shared" si="13"/>
        <v>0.203868049345511</v>
      </c>
      <c r="U7">
        <f t="shared" si="14"/>
        <v>3.4130800932768568</v>
      </c>
      <c r="V7">
        <f t="shared" si="15"/>
        <v>1.0507615019934509</v>
      </c>
      <c r="W7" s="1" t="s">
        <v>329</v>
      </c>
      <c r="X7">
        <v>0.28166249999999998</v>
      </c>
      <c r="Y7" s="1" t="s">
        <v>330</v>
      </c>
      <c r="Z7" s="1" t="s">
        <v>331</v>
      </c>
      <c r="AA7" s="1" t="s">
        <v>332</v>
      </c>
      <c r="AB7">
        <v>9.4848722999999996E-2</v>
      </c>
      <c r="AC7">
        <v>3.2179414000000003E-2</v>
      </c>
      <c r="AD7">
        <v>1.298984E-3</v>
      </c>
      <c r="AE7">
        <v>9.630128E-3</v>
      </c>
      <c r="AF7" s="1" t="s">
        <v>34</v>
      </c>
      <c r="AG7" s="1" t="s">
        <v>35</v>
      </c>
    </row>
    <row r="8" spans="1:34">
      <c r="A8" t="s">
        <v>37</v>
      </c>
      <c r="B8" t="s">
        <v>36</v>
      </c>
      <c r="C8" t="s">
        <v>16</v>
      </c>
      <c r="D8">
        <v>30</v>
      </c>
      <c r="E8">
        <v>182.67</v>
      </c>
      <c r="F8">
        <v>753</v>
      </c>
      <c r="G8">
        <f t="shared" si="0"/>
        <v>12.19209677419353</v>
      </c>
      <c r="H8">
        <f t="shared" si="1"/>
        <v>9.2165806451612688</v>
      </c>
      <c r="I8">
        <f t="shared" si="2"/>
        <v>16.532258064516121</v>
      </c>
      <c r="J8">
        <f t="shared" si="3"/>
        <v>156.41367579546778</v>
      </c>
      <c r="K8">
        <f t="shared" si="4"/>
        <v>75.434012091206711</v>
      </c>
      <c r="L8">
        <f t="shared" si="5"/>
        <v>65.626075718999999</v>
      </c>
      <c r="M8">
        <f t="shared" si="6"/>
        <v>19.579341846000002</v>
      </c>
      <c r="N8">
        <f t="shared" si="7"/>
        <v>1.4889611159999998</v>
      </c>
      <c r="O8">
        <f t="shared" si="8"/>
        <v>6.9353611709999994</v>
      </c>
      <c r="P8">
        <f t="shared" si="9"/>
        <v>195.50458559944113</v>
      </c>
      <c r="Q8">
        <f t="shared" si="10"/>
        <v>60.548530454999998</v>
      </c>
      <c r="R8">
        <f t="shared" si="11"/>
        <v>9.6323494300923524</v>
      </c>
      <c r="S8">
        <f t="shared" si="12"/>
        <v>2.9831760775989489</v>
      </c>
      <c r="T8">
        <f t="shared" si="13"/>
        <v>0.17922450882395902</v>
      </c>
      <c r="U8">
        <f t="shared" si="14"/>
        <v>3.2333425382985714</v>
      </c>
      <c r="V8">
        <f t="shared" si="15"/>
        <v>1.187727630429013</v>
      </c>
      <c r="W8" s="1" t="s">
        <v>333</v>
      </c>
      <c r="X8" s="1" t="s">
        <v>334</v>
      </c>
      <c r="Y8" s="1" t="s">
        <v>335</v>
      </c>
      <c r="Z8" s="1" t="s">
        <v>336</v>
      </c>
      <c r="AA8" s="1" t="s">
        <v>337</v>
      </c>
      <c r="AB8">
        <v>8.7152823000000004E-2</v>
      </c>
      <c r="AC8">
        <v>2.6001782000000001E-2</v>
      </c>
      <c r="AD8">
        <v>1.9773719999999998E-3</v>
      </c>
      <c r="AE8">
        <v>9.2103069999999992E-3</v>
      </c>
      <c r="AF8" s="1" t="s">
        <v>38</v>
      </c>
      <c r="AG8">
        <v>8.0409734999999996E-2</v>
      </c>
    </row>
    <row r="9" spans="1:34">
      <c r="A9" t="s">
        <v>40</v>
      </c>
      <c r="B9" t="s">
        <v>39</v>
      </c>
      <c r="C9" t="s">
        <v>16</v>
      </c>
      <c r="D9">
        <v>25</v>
      </c>
      <c r="E9">
        <v>155.66999999999999</v>
      </c>
      <c r="F9">
        <v>631</v>
      </c>
      <c r="G9">
        <f t="shared" si="0"/>
        <v>10.63653896103895</v>
      </c>
      <c r="H9">
        <f t="shared" si="1"/>
        <v>7.0405714285714254</v>
      </c>
      <c r="I9">
        <f t="shared" si="2"/>
        <v>14.369047619047601</v>
      </c>
      <c r="J9">
        <f t="shared" si="3"/>
        <v>129.1762722140613</v>
      </c>
      <c r="K9">
        <f t="shared" si="4"/>
        <v>57.767283334999995</v>
      </c>
      <c r="L9">
        <f t="shared" si="5"/>
        <v>53.632265245999996</v>
      </c>
      <c r="M9">
        <f t="shared" si="6"/>
        <v>17.129863594074063</v>
      </c>
      <c r="N9">
        <f t="shared" si="7"/>
        <v>0.95991253599999993</v>
      </c>
      <c r="O9">
        <f t="shared" si="8"/>
        <v>8.36799879165169</v>
      </c>
      <c r="P9">
        <f t="shared" si="9"/>
        <v>186.65946306757147</v>
      </c>
      <c r="Q9">
        <f t="shared" si="10"/>
        <v>41.983885355999995</v>
      </c>
      <c r="R9">
        <f t="shared" si="11"/>
        <v>10.791643653935527</v>
      </c>
      <c r="S9">
        <f t="shared" si="12"/>
        <v>2.4272818667951435</v>
      </c>
      <c r="T9">
        <f t="shared" si="13"/>
        <v>0.229279837894725</v>
      </c>
      <c r="U9">
        <f t="shared" si="14"/>
        <v>3.1007283819232994</v>
      </c>
      <c r="V9">
        <f t="shared" si="15"/>
        <v>1.0995063761165369</v>
      </c>
      <c r="W9" s="1" t="s">
        <v>338</v>
      </c>
      <c r="X9" s="1" t="s">
        <v>339</v>
      </c>
      <c r="Y9" s="1" t="s">
        <v>340</v>
      </c>
      <c r="Z9" s="1" t="s">
        <v>341</v>
      </c>
      <c r="AA9">
        <v>9.1548784999999994E-2</v>
      </c>
      <c r="AB9">
        <v>8.4995665999999997E-2</v>
      </c>
      <c r="AC9" s="1" t="s">
        <v>342</v>
      </c>
      <c r="AD9">
        <v>1.5212559999999999E-3</v>
      </c>
      <c r="AE9" s="1" t="s">
        <v>343</v>
      </c>
      <c r="AF9" s="1" t="s">
        <v>41</v>
      </c>
      <c r="AG9">
        <v>6.6535475999999996E-2</v>
      </c>
      <c r="AH9" s="1"/>
    </row>
    <row r="10" spans="1:34">
      <c r="A10" t="s">
        <v>43</v>
      </c>
      <c r="B10" t="s">
        <v>42</v>
      </c>
      <c r="C10" t="s">
        <v>16</v>
      </c>
      <c r="D10">
        <v>30</v>
      </c>
      <c r="E10">
        <v>196.67</v>
      </c>
      <c r="F10">
        <v>809</v>
      </c>
      <c r="G10">
        <f t="shared" si="0"/>
        <v>13.7154375</v>
      </c>
      <c r="H10">
        <f t="shared" si="1"/>
        <v>9.4488749999999992</v>
      </c>
      <c r="I10">
        <f t="shared" si="2"/>
        <v>17.69791666666665</v>
      </c>
      <c r="J10">
        <f t="shared" si="3"/>
        <v>185.71255453595401</v>
      </c>
      <c r="K10">
        <f t="shared" si="4"/>
        <v>77.833799391999989</v>
      </c>
      <c r="L10">
        <f t="shared" si="5"/>
        <v>68.347172534000009</v>
      </c>
      <c r="M10">
        <f t="shared" si="6"/>
        <v>15.811923444975987</v>
      </c>
      <c r="N10">
        <f t="shared" si="7"/>
        <v>0.98676318800000007</v>
      </c>
      <c r="O10">
        <f t="shared" si="8"/>
        <v>5.9411050760000004</v>
      </c>
      <c r="P10">
        <f t="shared" si="9"/>
        <v>186.2683513838748</v>
      </c>
      <c r="Q10">
        <f t="shared" si="10"/>
        <v>46.151143540999996</v>
      </c>
      <c r="R10">
        <f t="shared" si="11"/>
        <v>8.5240004192549623</v>
      </c>
      <c r="S10">
        <f t="shared" si="12"/>
        <v>2.11196568805105</v>
      </c>
      <c r="T10">
        <f t="shared" si="13"/>
        <v>0.17319803194422101</v>
      </c>
      <c r="U10">
        <f t="shared" si="14"/>
        <v>3.127698951573703</v>
      </c>
      <c r="V10">
        <f t="shared" si="15"/>
        <v>1.1789479741544415</v>
      </c>
      <c r="W10">
        <v>0.45718124999999998</v>
      </c>
      <c r="X10" s="1" t="s">
        <v>344</v>
      </c>
      <c r="Y10" s="1" t="s">
        <v>345</v>
      </c>
      <c r="Z10" s="1" t="s">
        <v>346</v>
      </c>
      <c r="AA10">
        <v>9.6209887999999993E-2</v>
      </c>
      <c r="AB10">
        <v>8.4483526000000003E-2</v>
      </c>
      <c r="AC10" s="1" t="s">
        <v>347</v>
      </c>
      <c r="AD10">
        <v>1.2197320000000001E-3</v>
      </c>
      <c r="AE10">
        <v>7.343764E-3</v>
      </c>
      <c r="AF10" s="1" t="s">
        <v>44</v>
      </c>
      <c r="AG10">
        <v>5.7047148999999998E-2</v>
      </c>
    </row>
    <row r="11" spans="1:34">
      <c r="A11" t="s">
        <v>33</v>
      </c>
      <c r="B11" t="s">
        <v>45</v>
      </c>
      <c r="C11" t="s">
        <v>16</v>
      </c>
      <c r="D11">
        <v>28</v>
      </c>
      <c r="E11">
        <v>165.67</v>
      </c>
      <c r="F11">
        <v>660</v>
      </c>
      <c r="G11">
        <f t="shared" si="0"/>
        <v>10.329889655172389</v>
      </c>
      <c r="H11">
        <f t="shared" si="1"/>
        <v>8.2216551724137883</v>
      </c>
      <c r="I11">
        <f t="shared" si="2"/>
        <v>14.701149425287333</v>
      </c>
      <c r="J11">
        <f t="shared" si="3"/>
        <v>137.18240857509011</v>
      </c>
      <c r="K11">
        <f t="shared" si="4"/>
        <v>64.480349339999989</v>
      </c>
      <c r="L11">
        <f t="shared" si="5"/>
        <v>61.992825840000002</v>
      </c>
      <c r="M11">
        <f t="shared" si="6"/>
        <v>21.579337559999999</v>
      </c>
      <c r="N11">
        <f t="shared" si="7"/>
        <v>0.98672574000000002</v>
      </c>
      <c r="O11">
        <f t="shared" si="8"/>
        <v>5.5954371000000007</v>
      </c>
      <c r="P11">
        <f t="shared" si="9"/>
        <v>182.73091805455147</v>
      </c>
      <c r="Q11">
        <f t="shared" si="10"/>
        <v>37.550063100000003</v>
      </c>
      <c r="R11">
        <f t="shared" si="11"/>
        <v>9.9268320304880984</v>
      </c>
      <c r="S11">
        <f t="shared" si="12"/>
        <v>2.0399020214885017</v>
      </c>
      <c r="T11">
        <f t="shared" si="13"/>
        <v>0.21997099235538098</v>
      </c>
      <c r="U11">
        <f t="shared" si="14"/>
        <v>3.3677517508299637</v>
      </c>
      <c r="V11">
        <f t="shared" si="15"/>
        <v>1.0547019476977733</v>
      </c>
      <c r="W11" s="1" t="s">
        <v>348</v>
      </c>
      <c r="X11" s="1" t="s">
        <v>349</v>
      </c>
      <c r="Y11" s="1" t="s">
        <v>350</v>
      </c>
      <c r="Z11" s="1" t="s">
        <v>351</v>
      </c>
      <c r="AA11">
        <v>9.7697498999999993E-2</v>
      </c>
      <c r="AB11">
        <v>9.3928523999999999E-2</v>
      </c>
      <c r="AC11">
        <v>3.2695966E-2</v>
      </c>
      <c r="AD11">
        <v>1.4950390000000001E-3</v>
      </c>
      <c r="AE11">
        <v>8.4779350000000007E-3</v>
      </c>
      <c r="AF11" s="1" t="s">
        <v>46</v>
      </c>
      <c r="AG11">
        <v>5.6894035000000003E-2</v>
      </c>
    </row>
    <row r="12" spans="1:34">
      <c r="A12" t="s">
        <v>48</v>
      </c>
      <c r="B12" t="s">
        <v>47</v>
      </c>
      <c r="C12" t="s">
        <v>16</v>
      </c>
      <c r="D12">
        <v>29</v>
      </c>
      <c r="E12">
        <v>180.33</v>
      </c>
      <c r="F12">
        <v>743</v>
      </c>
      <c r="G12">
        <f t="shared" si="0"/>
        <v>12.862316814</v>
      </c>
      <c r="H12">
        <f t="shared" si="1"/>
        <v>8.1316451612903169</v>
      </c>
      <c r="I12">
        <f t="shared" si="2"/>
        <v>16.543010752688151</v>
      </c>
      <c r="J12">
        <f t="shared" si="3"/>
        <v>159.21808960587006</v>
      </c>
      <c r="K12">
        <f t="shared" si="4"/>
        <v>72.578898453999997</v>
      </c>
      <c r="L12">
        <f t="shared" si="5"/>
        <v>66.751205444999997</v>
      </c>
      <c r="M12">
        <f t="shared" si="6"/>
        <v>16.729017056562206</v>
      </c>
      <c r="N12">
        <f t="shared" si="7"/>
        <v>0.97084912300000004</v>
      </c>
      <c r="O12">
        <f t="shared" si="8"/>
        <v>6.8602401090000003</v>
      </c>
      <c r="P12">
        <f t="shared" si="9"/>
        <v>167.17141757732833</v>
      </c>
      <c r="Q12">
        <f t="shared" si="10"/>
        <v>54.608751720999997</v>
      </c>
      <c r="R12">
        <f t="shared" si="11"/>
        <v>8.3432748749290457</v>
      </c>
      <c r="S12">
        <f t="shared" si="12"/>
        <v>2.7254409443187484</v>
      </c>
      <c r="T12">
        <f t="shared" si="13"/>
        <v>0.15149753143516601</v>
      </c>
      <c r="U12">
        <f t="shared" si="14"/>
        <v>3.3314526091332555</v>
      </c>
      <c r="V12">
        <f t="shared" si="15"/>
        <v>1.1857530157315479</v>
      </c>
      <c r="W12">
        <v>0.443528166</v>
      </c>
      <c r="X12" s="1" t="s">
        <v>352</v>
      </c>
      <c r="Y12" s="1" t="s">
        <v>353</v>
      </c>
      <c r="Z12" s="1" t="s">
        <v>354</v>
      </c>
      <c r="AA12">
        <v>9.7683577999999993E-2</v>
      </c>
      <c r="AB12">
        <v>8.9840114999999998E-2</v>
      </c>
      <c r="AC12" s="1" t="s">
        <v>355</v>
      </c>
      <c r="AD12">
        <v>1.306661E-3</v>
      </c>
      <c r="AE12">
        <v>9.2331630000000008E-3</v>
      </c>
      <c r="AF12" s="1" t="s">
        <v>49</v>
      </c>
      <c r="AG12">
        <v>7.3497646999999999E-2</v>
      </c>
    </row>
    <row r="13" spans="1:34">
      <c r="A13" t="s">
        <v>51</v>
      </c>
      <c r="B13" t="s">
        <v>50</v>
      </c>
      <c r="C13" t="s">
        <v>16</v>
      </c>
      <c r="D13">
        <v>28</v>
      </c>
      <c r="E13">
        <v>167.67</v>
      </c>
      <c r="F13">
        <v>685</v>
      </c>
      <c r="G13">
        <f t="shared" si="0"/>
        <v>9.7465161290322548</v>
      </c>
      <c r="H13">
        <f t="shared" si="1"/>
        <v>9.3025161290322522</v>
      </c>
      <c r="I13">
        <f t="shared" si="2"/>
        <v>14.645161290322555</v>
      </c>
      <c r="J13">
        <f t="shared" si="3"/>
        <v>135.49744408047252</v>
      </c>
      <c r="K13">
        <f t="shared" si="4"/>
        <v>71.91691125051004</v>
      </c>
      <c r="L13">
        <f t="shared" si="5"/>
        <v>68.627121710525984</v>
      </c>
      <c r="M13">
        <f t="shared" si="6"/>
        <v>24.002222584999998</v>
      </c>
      <c r="N13">
        <f t="shared" si="7"/>
        <v>0.49999999500000003</v>
      </c>
      <c r="O13">
        <f t="shared" si="8"/>
        <v>9.2625197849025547</v>
      </c>
      <c r="P13">
        <f t="shared" si="9"/>
        <v>197.64394988161411</v>
      </c>
      <c r="Q13">
        <f t="shared" si="10"/>
        <v>53.453979795000002</v>
      </c>
      <c r="R13">
        <f t="shared" si="11"/>
        <v>10.60890766943715</v>
      </c>
      <c r="S13">
        <f t="shared" si="12"/>
        <v>2.8692420716586158</v>
      </c>
      <c r="T13">
        <f t="shared" si="13"/>
        <v>0.21049630669578701</v>
      </c>
      <c r="U13">
        <f t="shared" si="14"/>
        <v>3.6836887659971009</v>
      </c>
      <c r="V13">
        <f t="shared" si="15"/>
        <v>1.1269244580155815</v>
      </c>
      <c r="W13" s="1" t="s">
        <v>356</v>
      </c>
      <c r="X13" s="1" t="s">
        <v>201</v>
      </c>
      <c r="Y13" s="1" t="s">
        <v>357</v>
      </c>
      <c r="Z13" s="1" t="s">
        <v>358</v>
      </c>
      <c r="AA13" s="1" t="s">
        <v>359</v>
      </c>
      <c r="AB13" s="1" t="s">
        <v>360</v>
      </c>
      <c r="AC13">
        <v>3.5039740999999999E-2</v>
      </c>
      <c r="AD13">
        <v>7.2992700000000001E-4</v>
      </c>
      <c r="AE13" s="1" t="s">
        <v>361</v>
      </c>
      <c r="AF13" s="1" t="s">
        <v>52</v>
      </c>
      <c r="AG13">
        <v>7.8035007000000003E-2</v>
      </c>
      <c r="AH13" s="1"/>
    </row>
    <row r="14" spans="1:34">
      <c r="A14" t="s">
        <v>54</v>
      </c>
      <c r="B14" t="s">
        <v>53</v>
      </c>
      <c r="C14" t="s">
        <v>16</v>
      </c>
      <c r="D14">
        <v>26</v>
      </c>
      <c r="E14">
        <v>152.66999999999999</v>
      </c>
      <c r="F14">
        <v>624</v>
      </c>
      <c r="G14">
        <f t="shared" si="0"/>
        <v>10.131620689655165</v>
      </c>
      <c r="H14">
        <f t="shared" si="1"/>
        <v>8.0149655172413574</v>
      </c>
      <c r="I14">
        <f t="shared" si="2"/>
        <v>13.603448275862068</v>
      </c>
      <c r="J14">
        <f t="shared" si="3"/>
        <v>121.04800930662711</v>
      </c>
      <c r="K14">
        <f t="shared" si="4"/>
        <v>61.325125680000006</v>
      </c>
      <c r="L14">
        <f t="shared" si="5"/>
        <v>57.531090240000005</v>
      </c>
      <c r="M14">
        <f t="shared" si="6"/>
        <v>16.202958385983781</v>
      </c>
      <c r="N14">
        <f t="shared" si="7"/>
        <v>1.4388185759999998</v>
      </c>
      <c r="O14">
        <f t="shared" si="8"/>
        <v>5.0755523520000008</v>
      </c>
      <c r="P14">
        <f t="shared" si="9"/>
        <v>188.59273648530308</v>
      </c>
      <c r="Q14">
        <f t="shared" si="10"/>
        <v>53.953513536000003</v>
      </c>
      <c r="R14">
        <f t="shared" si="11"/>
        <v>11.11766966900981</v>
      </c>
      <c r="S14">
        <f t="shared" si="12"/>
        <v>3.1805961998034977</v>
      </c>
      <c r="T14">
        <f t="shared" si="13"/>
        <v>0.21576798549567799</v>
      </c>
      <c r="U14">
        <f t="shared" si="14"/>
        <v>3.3914967718608771</v>
      </c>
      <c r="V14">
        <f t="shared" si="15"/>
        <v>1.1462731567605104</v>
      </c>
      <c r="W14" s="1" t="s">
        <v>362</v>
      </c>
      <c r="X14" s="1" t="s">
        <v>363</v>
      </c>
      <c r="Y14" s="1" t="s">
        <v>364</v>
      </c>
      <c r="Z14" s="1" t="s">
        <v>365</v>
      </c>
      <c r="AA14">
        <v>9.8277445000000005E-2</v>
      </c>
      <c r="AB14">
        <v>9.2197260000000003E-2</v>
      </c>
      <c r="AC14" s="1" t="s">
        <v>366</v>
      </c>
      <c r="AD14">
        <v>2.3057989999999999E-3</v>
      </c>
      <c r="AE14">
        <v>8.1338980000000005E-3</v>
      </c>
      <c r="AF14" s="1" t="s">
        <v>55</v>
      </c>
      <c r="AG14">
        <v>8.6463964000000004E-2</v>
      </c>
    </row>
    <row r="15" spans="1:34">
      <c r="A15" t="s">
        <v>57</v>
      </c>
      <c r="B15" t="s">
        <v>56</v>
      </c>
      <c r="C15" t="s">
        <v>16</v>
      </c>
      <c r="D15">
        <v>26</v>
      </c>
      <c r="E15">
        <v>154.66999999999999</v>
      </c>
      <c r="F15">
        <v>617</v>
      </c>
      <c r="G15">
        <f t="shared" si="0"/>
        <v>9.9440689655172321</v>
      </c>
      <c r="H15">
        <f t="shared" si="1"/>
        <v>7.6819655172413661</v>
      </c>
      <c r="I15">
        <f t="shared" si="2"/>
        <v>13.620689655172393</v>
      </c>
      <c r="J15">
        <f t="shared" si="3"/>
        <v>127.38781637602651</v>
      </c>
      <c r="K15">
        <f t="shared" si="4"/>
        <v>63.776432340697987</v>
      </c>
      <c r="L15">
        <f t="shared" si="5"/>
        <v>59.723718767000001</v>
      </c>
      <c r="M15">
        <f t="shared" si="6"/>
        <v>21.525732495000003</v>
      </c>
      <c r="N15">
        <f t="shared" si="7"/>
        <v>0.50000014100000001</v>
      </c>
      <c r="O15">
        <f t="shared" si="8"/>
        <v>4.0838409389999999</v>
      </c>
      <c r="P15">
        <f t="shared" si="9"/>
        <v>168.41653027947632</v>
      </c>
      <c r="Q15">
        <f t="shared" si="10"/>
        <v>37.169496015</v>
      </c>
      <c r="R15">
        <f t="shared" si="11"/>
        <v>9.7998886178010416</v>
      </c>
      <c r="S15">
        <f t="shared" si="12"/>
        <v>2.1628335432533783</v>
      </c>
      <c r="T15">
        <f t="shared" si="13"/>
        <v>0.21271804580952403</v>
      </c>
      <c r="U15">
        <f t="shared" si="14"/>
        <v>3.4752277035171657</v>
      </c>
      <c r="V15">
        <f t="shared" si="15"/>
        <v>1.0639252110365716</v>
      </c>
      <c r="W15" s="1" t="s">
        <v>367</v>
      </c>
      <c r="X15" s="1" t="s">
        <v>368</v>
      </c>
      <c r="Y15" s="1" t="s">
        <v>369</v>
      </c>
      <c r="Z15" s="1" t="s">
        <v>370</v>
      </c>
      <c r="AA15" s="1" t="s">
        <v>371</v>
      </c>
      <c r="AB15">
        <v>9.6796951000000006E-2</v>
      </c>
      <c r="AC15">
        <v>3.4887735000000003E-2</v>
      </c>
      <c r="AD15">
        <v>8.1037299999999997E-4</v>
      </c>
      <c r="AE15">
        <v>6.6188669999999996E-3</v>
      </c>
      <c r="AF15" s="1" t="s">
        <v>58</v>
      </c>
      <c r="AG15">
        <v>6.0242295000000001E-2</v>
      </c>
    </row>
    <row r="16" spans="1:34">
      <c r="A16" t="s">
        <v>60</v>
      </c>
      <c r="B16" t="s">
        <v>59</v>
      </c>
      <c r="C16" t="s">
        <v>16</v>
      </c>
      <c r="D16">
        <v>28</v>
      </c>
      <c r="E16">
        <v>168</v>
      </c>
      <c r="F16">
        <v>680</v>
      </c>
      <c r="G16">
        <f t="shared" si="0"/>
        <v>10.862689655172403</v>
      </c>
      <c r="H16">
        <f t="shared" si="1"/>
        <v>9.5421724137930966</v>
      </c>
      <c r="I16">
        <f t="shared" si="2"/>
        <v>14.385057484000001</v>
      </c>
      <c r="J16">
        <f t="shared" si="3"/>
        <v>143.97104138424552</v>
      </c>
      <c r="K16">
        <f t="shared" si="4"/>
        <v>74.215223490449716</v>
      </c>
      <c r="L16">
        <f t="shared" si="5"/>
        <v>70.019195185479717</v>
      </c>
      <c r="M16">
        <f t="shared" si="6"/>
        <v>24.559250743840469</v>
      </c>
      <c r="N16">
        <f t="shared" si="7"/>
        <v>0.49999992000000004</v>
      </c>
      <c r="O16">
        <f t="shared" si="8"/>
        <v>7.5288654800000003</v>
      </c>
      <c r="P16">
        <f t="shared" si="9"/>
        <v>182.60724648047179</v>
      </c>
      <c r="Q16">
        <f t="shared" si="10"/>
        <v>38.854035160000002</v>
      </c>
      <c r="R16">
        <f t="shared" si="11"/>
        <v>9.7825310614538452</v>
      </c>
      <c r="S16">
        <f t="shared" si="12"/>
        <v>2.0814661692857146</v>
      </c>
      <c r="T16">
        <f t="shared" si="13"/>
        <v>0.21140178135363497</v>
      </c>
      <c r="U16">
        <f t="shared" si="14"/>
        <v>3.7510283135078422</v>
      </c>
      <c r="V16">
        <f t="shared" si="15"/>
        <v>1.0882445032395567</v>
      </c>
      <c r="W16" s="1" t="s">
        <v>372</v>
      </c>
      <c r="X16" s="1" t="s">
        <v>373</v>
      </c>
      <c r="Y16">
        <v>0.51375205300000004</v>
      </c>
      <c r="Z16" s="1" t="s">
        <v>374</v>
      </c>
      <c r="AA16" s="1" t="s">
        <v>375</v>
      </c>
      <c r="AB16" s="1" t="s">
        <v>376</v>
      </c>
      <c r="AC16" s="1" t="s">
        <v>377</v>
      </c>
      <c r="AD16">
        <v>7.3529400000000005E-4</v>
      </c>
      <c r="AE16">
        <v>1.1071861000000001E-2</v>
      </c>
      <c r="AF16" s="1" t="s">
        <v>61</v>
      </c>
      <c r="AG16">
        <v>5.7138287000000003E-2</v>
      </c>
      <c r="AH16" s="1"/>
    </row>
    <row r="17" spans="1:34">
      <c r="A17" t="s">
        <v>63</v>
      </c>
      <c r="B17" t="s">
        <v>62</v>
      </c>
      <c r="C17" t="s">
        <v>16</v>
      </c>
      <c r="D17">
        <v>29</v>
      </c>
      <c r="E17">
        <v>166.67</v>
      </c>
      <c r="F17">
        <v>691</v>
      </c>
      <c r="G17">
        <f t="shared" si="0"/>
        <v>11.188799999999988</v>
      </c>
      <c r="H17">
        <f t="shared" si="1"/>
        <v>8.9909999999999801</v>
      </c>
      <c r="I17">
        <f t="shared" si="2"/>
        <v>13.999999999999996</v>
      </c>
      <c r="J17">
        <f t="shared" si="3"/>
        <v>137.11135784342764</v>
      </c>
      <c r="K17">
        <f t="shared" si="4"/>
        <v>74.903935225438985</v>
      </c>
      <c r="L17">
        <f t="shared" si="5"/>
        <v>70.533279413284035</v>
      </c>
      <c r="M17">
        <f t="shared" si="6"/>
        <v>21.779387841000002</v>
      </c>
      <c r="N17">
        <f t="shared" si="7"/>
        <v>0.49999999899999997</v>
      </c>
      <c r="O17">
        <f t="shared" si="8"/>
        <v>7.9284428054538312</v>
      </c>
      <c r="P17">
        <f t="shared" si="9"/>
        <v>181.33850431852807</v>
      </c>
      <c r="Q17">
        <f t="shared" si="10"/>
        <v>61.256702922999999</v>
      </c>
      <c r="R17">
        <f t="shared" si="11"/>
        <v>9.7920833915326853</v>
      </c>
      <c r="S17">
        <f t="shared" si="12"/>
        <v>3.3077958019259617</v>
      </c>
      <c r="T17">
        <f t="shared" si="13"/>
        <v>0.173779741527537</v>
      </c>
      <c r="U17">
        <f t="shared" si="14"/>
        <v>3.8087209138990601</v>
      </c>
      <c r="V17">
        <f t="shared" si="15"/>
        <v>1.1901845609073478</v>
      </c>
      <c r="W17" s="1" t="s">
        <v>64</v>
      </c>
      <c r="X17" s="1" t="s">
        <v>135</v>
      </c>
      <c r="Y17" s="1" t="s">
        <v>378</v>
      </c>
      <c r="Z17" s="1" t="s">
        <v>379</v>
      </c>
      <c r="AA17" s="1" t="s">
        <v>380</v>
      </c>
      <c r="AB17" s="1" t="s">
        <v>381</v>
      </c>
      <c r="AC17">
        <v>3.1518651000000002E-2</v>
      </c>
      <c r="AD17">
        <v>7.2358899999999996E-4</v>
      </c>
      <c r="AE17" s="1" t="s">
        <v>382</v>
      </c>
      <c r="AF17" s="1" t="s">
        <v>65</v>
      </c>
      <c r="AG17">
        <v>8.8649353E-2</v>
      </c>
      <c r="AH17" s="1"/>
    </row>
    <row r="18" spans="1:34">
      <c r="A18" t="s">
        <v>33</v>
      </c>
      <c r="B18" t="s">
        <v>66</v>
      </c>
      <c r="C18" t="s">
        <v>16</v>
      </c>
      <c r="D18">
        <v>28</v>
      </c>
      <c r="E18">
        <v>166</v>
      </c>
      <c r="F18">
        <v>672</v>
      </c>
      <c r="G18">
        <f t="shared" si="0"/>
        <v>11.070956989247287</v>
      </c>
      <c r="H18">
        <f t="shared" si="1"/>
        <v>9.0017419354838637</v>
      </c>
      <c r="I18">
        <f t="shared" si="2"/>
        <v>14.79569892473117</v>
      </c>
      <c r="J18">
        <f t="shared" si="3"/>
        <v>150.43173280190629</v>
      </c>
      <c r="K18">
        <f t="shared" si="4"/>
        <v>67.728738908744262</v>
      </c>
      <c r="L18">
        <f t="shared" si="5"/>
        <v>63.989013311999997</v>
      </c>
      <c r="M18">
        <f t="shared" si="6"/>
        <v>19.899817721518897</v>
      </c>
      <c r="N18">
        <f t="shared" si="7"/>
        <v>0.50000025599999998</v>
      </c>
      <c r="O18">
        <f t="shared" si="8"/>
        <v>6.4571351039999998</v>
      </c>
      <c r="P18">
        <f t="shared" si="9"/>
        <v>160.94139417639965</v>
      </c>
      <c r="Q18">
        <f t="shared" si="10"/>
        <v>31.960772927999997</v>
      </c>
      <c r="R18">
        <f t="shared" si="11"/>
        <v>8.725738238479499</v>
      </c>
      <c r="S18">
        <f t="shared" si="12"/>
        <v>1.7328129900722891</v>
      </c>
      <c r="T18">
        <f t="shared" si="13"/>
        <v>0.19193544828630901</v>
      </c>
      <c r="U18">
        <f t="shared" si="14"/>
        <v>3.4692838542650604</v>
      </c>
      <c r="V18">
        <f t="shared" si="15"/>
        <v>1.0987500345175079</v>
      </c>
      <c r="W18" s="1" t="s">
        <v>383</v>
      </c>
      <c r="X18" s="1" t="s">
        <v>384</v>
      </c>
      <c r="Y18" s="1" t="s">
        <v>385</v>
      </c>
      <c r="Z18" s="1" t="s">
        <v>386</v>
      </c>
      <c r="AA18" s="1" t="s">
        <v>387</v>
      </c>
      <c r="AB18">
        <v>9.5221745999999996E-2</v>
      </c>
      <c r="AC18" s="1" t="s">
        <v>388</v>
      </c>
      <c r="AD18">
        <v>7.4404799999999998E-4</v>
      </c>
      <c r="AE18">
        <v>9.6088319999999994E-3</v>
      </c>
      <c r="AF18" s="1" t="s">
        <v>67</v>
      </c>
      <c r="AG18">
        <v>4.7560673999999997E-2</v>
      </c>
    </row>
    <row r="19" spans="1:34">
      <c r="A19" t="s">
        <v>69</v>
      </c>
      <c r="B19" t="s">
        <v>68</v>
      </c>
      <c r="C19" t="s">
        <v>16</v>
      </c>
      <c r="D19">
        <v>30</v>
      </c>
      <c r="E19">
        <v>175.33</v>
      </c>
      <c r="F19">
        <v>728</v>
      </c>
      <c r="G19">
        <f t="shared" si="0"/>
        <v>11.405249999999999</v>
      </c>
      <c r="H19">
        <f t="shared" si="1"/>
        <v>9.4488749999999992</v>
      </c>
      <c r="I19">
        <f t="shared" si="2"/>
        <v>15.093749999999972</v>
      </c>
      <c r="J19">
        <f t="shared" si="3"/>
        <v>143.54322528</v>
      </c>
      <c r="K19">
        <f t="shared" si="4"/>
        <v>74.421916966293622</v>
      </c>
      <c r="L19">
        <f t="shared" si="5"/>
        <v>69.161936480000008</v>
      </c>
      <c r="M19">
        <f t="shared" si="6"/>
        <v>21.306776470588115</v>
      </c>
      <c r="N19">
        <f t="shared" si="7"/>
        <v>1.469071968</v>
      </c>
      <c r="O19">
        <f t="shared" si="8"/>
        <v>5.5374126080000003</v>
      </c>
      <c r="P19">
        <f t="shared" si="9"/>
        <v>205.28965746591265</v>
      </c>
      <c r="Q19">
        <f t="shared" si="10"/>
        <v>65.358762560000002</v>
      </c>
      <c r="R19">
        <f t="shared" si="11"/>
        <v>10.537882377192801</v>
      </c>
      <c r="S19">
        <f t="shared" si="12"/>
        <v>3.3549812527234355</v>
      </c>
      <c r="T19">
        <f t="shared" si="13"/>
        <v>0.192212767727902</v>
      </c>
      <c r="U19">
        <f t="shared" si="14"/>
        <v>3.5502049182684083</v>
      </c>
      <c r="V19">
        <f t="shared" si="15"/>
        <v>1.1914788560999259</v>
      </c>
      <c r="W19" s="1" t="s">
        <v>389</v>
      </c>
      <c r="X19" s="1" t="s">
        <v>344</v>
      </c>
      <c r="Y19" s="1" t="s">
        <v>390</v>
      </c>
      <c r="Z19">
        <v>0.19717476</v>
      </c>
      <c r="AA19" s="1" t="s">
        <v>391</v>
      </c>
      <c r="AB19">
        <v>9.5002660000000003E-2</v>
      </c>
      <c r="AC19" s="1" t="s">
        <v>392</v>
      </c>
      <c r="AD19">
        <v>2.017956E-3</v>
      </c>
      <c r="AE19">
        <v>7.606336E-3</v>
      </c>
      <c r="AF19" s="1" t="s">
        <v>70</v>
      </c>
      <c r="AG19">
        <v>8.9778520000000001E-2</v>
      </c>
    </row>
    <row r="20" spans="1:34">
      <c r="A20" t="s">
        <v>15</v>
      </c>
      <c r="B20" t="s">
        <v>71</v>
      </c>
      <c r="C20" t="s">
        <v>16</v>
      </c>
      <c r="D20">
        <v>29</v>
      </c>
      <c r="E20">
        <v>187</v>
      </c>
      <c r="F20">
        <v>780</v>
      </c>
      <c r="G20">
        <f t="shared" si="0"/>
        <v>12.38386021505374</v>
      </c>
      <c r="H20">
        <f t="shared" si="1"/>
        <v>9.4421612903225771</v>
      </c>
      <c r="I20">
        <f t="shared" si="2"/>
        <v>16.887096778</v>
      </c>
      <c r="J20">
        <f t="shared" si="3"/>
        <v>171.08465748111817</v>
      </c>
      <c r="K20">
        <f t="shared" si="4"/>
        <v>79.023259220214655</v>
      </c>
      <c r="L20">
        <f t="shared" si="5"/>
        <v>70.778170320000001</v>
      </c>
      <c r="M20">
        <f t="shared" si="6"/>
        <v>16.405739451307518</v>
      </c>
      <c r="N20">
        <f t="shared" si="7"/>
        <v>0.50000028000000007</v>
      </c>
      <c r="O20">
        <f t="shared" si="8"/>
        <v>8.2637872199999993</v>
      </c>
      <c r="P20">
        <f t="shared" si="9"/>
        <v>171.88589948551632</v>
      </c>
      <c r="Q20">
        <f t="shared" si="10"/>
        <v>62.36891232</v>
      </c>
      <c r="R20">
        <f t="shared" si="11"/>
        <v>8.2725833976986465</v>
      </c>
      <c r="S20">
        <f t="shared" si="12"/>
        <v>3.0017123576470586</v>
      </c>
      <c r="T20">
        <f t="shared" si="13"/>
        <v>0.14040639380194403</v>
      </c>
      <c r="U20">
        <f t="shared" si="14"/>
        <v>3.4064360047058826</v>
      </c>
      <c r="V20">
        <f t="shared" si="15"/>
        <v>1.2484148117706855</v>
      </c>
      <c r="W20" s="1" t="s">
        <v>393</v>
      </c>
      <c r="X20" s="1" t="s">
        <v>394</v>
      </c>
      <c r="Y20">
        <v>0.582313682</v>
      </c>
      <c r="Z20" s="1" t="s">
        <v>395</v>
      </c>
      <c r="AA20" s="1" t="s">
        <v>396</v>
      </c>
      <c r="AB20">
        <v>9.0741243999999999E-2</v>
      </c>
      <c r="AC20" s="1" t="s">
        <v>397</v>
      </c>
      <c r="AD20">
        <v>6.4102600000000005E-4</v>
      </c>
      <c r="AE20">
        <v>1.0594599E-2</v>
      </c>
      <c r="AF20" s="1" t="s">
        <v>72</v>
      </c>
      <c r="AG20">
        <v>7.9960143999999997E-2</v>
      </c>
      <c r="AH20" s="1"/>
    </row>
    <row r="21" spans="1:34">
      <c r="A21" t="s">
        <v>74</v>
      </c>
      <c r="B21" t="s">
        <v>73</v>
      </c>
      <c r="C21" t="s">
        <v>16</v>
      </c>
      <c r="D21">
        <v>24</v>
      </c>
      <c r="E21">
        <v>134</v>
      </c>
      <c r="F21">
        <v>554</v>
      </c>
      <c r="G21">
        <f t="shared" si="0"/>
        <v>8.0688461538461524</v>
      </c>
      <c r="H21">
        <f t="shared" si="1"/>
        <v>7.4540769230769115</v>
      </c>
      <c r="I21">
        <f t="shared" si="2"/>
        <v>11.448717948717936</v>
      </c>
      <c r="J21">
        <f t="shared" si="3"/>
        <v>118.08511714595153</v>
      </c>
      <c r="K21">
        <f t="shared" si="4"/>
        <v>57.74666118825396</v>
      </c>
      <c r="L21">
        <f t="shared" si="5"/>
        <v>53.074942330000006</v>
      </c>
      <c r="M21">
        <f t="shared" si="6"/>
        <v>15.095286186000001</v>
      </c>
      <c r="N21">
        <f t="shared" si="7"/>
        <v>0.49999995799999997</v>
      </c>
      <c r="O21">
        <f t="shared" si="8"/>
        <v>5.7921495073891114</v>
      </c>
      <c r="P21">
        <f t="shared" si="9"/>
        <v>140.648553494601</v>
      </c>
      <c r="Q21">
        <f t="shared" si="10"/>
        <v>43.540763544000001</v>
      </c>
      <c r="R21">
        <f t="shared" si="11"/>
        <v>9.4465446376970821</v>
      </c>
      <c r="S21">
        <f t="shared" si="12"/>
        <v>2.9243796410149252</v>
      </c>
      <c r="T21">
        <f t="shared" si="13"/>
        <v>0.17528481940541696</v>
      </c>
      <c r="U21">
        <f t="shared" si="14"/>
        <v>3.5647349326119411</v>
      </c>
      <c r="V21">
        <f t="shared" si="15"/>
        <v>1.2061632887309817</v>
      </c>
      <c r="W21" s="1" t="s">
        <v>398</v>
      </c>
      <c r="X21" s="1" t="s">
        <v>399</v>
      </c>
      <c r="Y21" s="1" t="s">
        <v>400</v>
      </c>
      <c r="Z21" s="1" t="s">
        <v>401</v>
      </c>
      <c r="AA21" s="1" t="s">
        <v>402</v>
      </c>
      <c r="AB21">
        <v>9.5803145000000006E-2</v>
      </c>
      <c r="AC21">
        <v>2.7247809000000001E-2</v>
      </c>
      <c r="AD21">
        <v>9.0252699999999997E-4</v>
      </c>
      <c r="AE21" s="1" t="s">
        <v>403</v>
      </c>
      <c r="AF21" s="1" t="s">
        <v>75</v>
      </c>
      <c r="AG21">
        <v>7.8593436000000003E-2</v>
      </c>
      <c r="AH21" s="1"/>
    </row>
    <row r="22" spans="1:34">
      <c r="A22" t="s">
        <v>77</v>
      </c>
      <c r="B22" t="s">
        <v>76</v>
      </c>
      <c r="C22" t="s">
        <v>16</v>
      </c>
      <c r="D22">
        <v>28</v>
      </c>
      <c r="E22">
        <v>169</v>
      </c>
      <c r="F22">
        <v>691</v>
      </c>
      <c r="G22">
        <f t="shared" si="0"/>
        <v>9.8751724137930932</v>
      </c>
      <c r="H22">
        <f t="shared" si="1"/>
        <v>9.5421724137930966</v>
      </c>
      <c r="I22">
        <f t="shared" si="2"/>
        <v>14.390804597701141</v>
      </c>
      <c r="J22">
        <f t="shared" si="3"/>
        <v>146.23959106471875</v>
      </c>
      <c r="K22">
        <f t="shared" si="4"/>
        <v>77.375707345285207</v>
      </c>
      <c r="L22">
        <f t="shared" si="5"/>
        <v>73.01706180837715</v>
      </c>
      <c r="M22">
        <f t="shared" si="6"/>
        <v>26.537271105000002</v>
      </c>
      <c r="N22">
        <f t="shared" si="7"/>
        <v>0.975240777</v>
      </c>
      <c r="O22">
        <f t="shared" si="8"/>
        <v>4.8864617800000003</v>
      </c>
      <c r="P22">
        <f t="shared" si="9"/>
        <v>181.13019499312367</v>
      </c>
      <c r="Q22">
        <f t="shared" si="10"/>
        <v>49.381296466000002</v>
      </c>
      <c r="R22">
        <f t="shared" si="11"/>
        <v>9.6459867156101353</v>
      </c>
      <c r="S22">
        <f t="shared" si="12"/>
        <v>2.6297731845798817</v>
      </c>
      <c r="T22">
        <f t="shared" si="13"/>
        <v>0.190664107854014</v>
      </c>
      <c r="U22">
        <f t="shared" si="14"/>
        <v>3.8884825815112096</v>
      </c>
      <c r="V22">
        <f t="shared" si="15"/>
        <v>1.1575200445604661</v>
      </c>
      <c r="W22" s="1" t="s">
        <v>404</v>
      </c>
      <c r="X22" s="1" t="s">
        <v>373</v>
      </c>
      <c r="Y22" s="1" t="s">
        <v>405</v>
      </c>
      <c r="Z22" s="1" t="s">
        <v>406</v>
      </c>
      <c r="AA22" s="1" t="s">
        <v>407</v>
      </c>
      <c r="AB22" s="1" t="s">
        <v>408</v>
      </c>
      <c r="AC22">
        <v>3.8404155000000002E-2</v>
      </c>
      <c r="AD22">
        <v>1.4113470000000001E-3</v>
      </c>
      <c r="AE22">
        <v>7.0715800000000001E-3</v>
      </c>
      <c r="AF22" s="1" t="s">
        <v>79</v>
      </c>
      <c r="AG22">
        <v>7.1463525999999999E-2</v>
      </c>
    </row>
    <row r="23" spans="1:34">
      <c r="A23" t="s">
        <v>26</v>
      </c>
      <c r="B23" t="s">
        <v>80</v>
      </c>
      <c r="C23" t="s">
        <v>16</v>
      </c>
      <c r="D23" s="1">
        <v>22</v>
      </c>
      <c r="E23">
        <v>130</v>
      </c>
      <c r="F23">
        <v>538</v>
      </c>
      <c r="G23">
        <f t="shared" si="0"/>
        <v>9.1733571428571388</v>
      </c>
      <c r="H23">
        <f t="shared" si="1"/>
        <v>6.1327499999999864</v>
      </c>
      <c r="I23">
        <f t="shared" si="2"/>
        <v>11.736111111111091</v>
      </c>
      <c r="J23">
        <f t="shared" si="3"/>
        <v>104.25905345729895</v>
      </c>
      <c r="K23">
        <f t="shared" si="4"/>
        <v>53.627116928</v>
      </c>
      <c r="L23">
        <f t="shared" si="5"/>
        <v>50.859145126000001</v>
      </c>
      <c r="M23">
        <f t="shared" si="6"/>
        <v>14.434844036697205</v>
      </c>
      <c r="N23">
        <f t="shared" si="7"/>
        <v>0.95134217199999993</v>
      </c>
      <c r="O23">
        <f t="shared" si="8"/>
        <v>3.1875445519999999</v>
      </c>
      <c r="P23">
        <f t="shared" si="9"/>
        <v>158.4348521551714</v>
      </c>
      <c r="Q23">
        <f t="shared" si="10"/>
        <v>53.852921618126643</v>
      </c>
      <c r="R23">
        <f t="shared" si="11"/>
        <v>10.968566687665712</v>
      </c>
      <c r="S23">
        <f t="shared" si="12"/>
        <v>3.7282791889472291</v>
      </c>
      <c r="T23">
        <f t="shared" si="13"/>
        <v>0.194390205459191</v>
      </c>
      <c r="U23">
        <f t="shared" si="14"/>
        <v>3.5210177394923079</v>
      </c>
      <c r="V23">
        <f t="shared" si="15"/>
        <v>1.2162459621186583</v>
      </c>
      <c r="W23" s="1" t="s">
        <v>409</v>
      </c>
      <c r="X23" s="1" t="s">
        <v>410</v>
      </c>
      <c r="Y23" s="1" t="s">
        <v>411</v>
      </c>
      <c r="Z23" s="1" t="s">
        <v>412</v>
      </c>
      <c r="AA23">
        <v>9.9678656000000004E-2</v>
      </c>
      <c r="AB23">
        <v>9.4533726999999998E-2</v>
      </c>
      <c r="AC23" s="1" t="s">
        <v>81</v>
      </c>
      <c r="AD23">
        <v>1.7682939999999999E-3</v>
      </c>
      <c r="AE23">
        <v>5.9248039999999997E-3</v>
      </c>
      <c r="AF23" s="1" t="s">
        <v>82</v>
      </c>
      <c r="AG23" s="1" t="s">
        <v>83</v>
      </c>
    </row>
    <row r="24" spans="1:34">
      <c r="A24" t="s">
        <v>29</v>
      </c>
      <c r="B24" t="s">
        <v>84</v>
      </c>
      <c r="C24" t="s">
        <v>16</v>
      </c>
      <c r="D24">
        <v>29</v>
      </c>
      <c r="E24">
        <v>175.67</v>
      </c>
      <c r="F24">
        <v>720</v>
      </c>
      <c r="G24">
        <f t="shared" si="0"/>
        <v>11.528014976958524</v>
      </c>
      <c r="H24">
        <f t="shared" si="1"/>
        <v>9.109161290322568</v>
      </c>
      <c r="I24">
        <f t="shared" si="2"/>
        <v>15.274193548387082</v>
      </c>
      <c r="J24">
        <f t="shared" si="3"/>
        <v>151.67589415123393</v>
      </c>
      <c r="K24">
        <f t="shared" si="4"/>
        <v>75.44089937809801</v>
      </c>
      <c r="L24">
        <f t="shared" si="5"/>
        <v>74.063941402162328</v>
      </c>
      <c r="M24">
        <f t="shared" si="6"/>
        <v>21.322119226082688</v>
      </c>
      <c r="N24">
        <f t="shared" si="7"/>
        <v>0.97872336000000004</v>
      </c>
      <c r="O24">
        <f t="shared" si="8"/>
        <v>5.2201706400000001</v>
      </c>
      <c r="P24">
        <f t="shared" si="9"/>
        <v>192.7946600666057</v>
      </c>
      <c r="Q24">
        <f t="shared" si="10"/>
        <v>54.238181040000001</v>
      </c>
      <c r="R24">
        <f t="shared" si="11"/>
        <v>9.8773378527890454</v>
      </c>
      <c r="S24">
        <f t="shared" si="12"/>
        <v>2.7787535114703705</v>
      </c>
      <c r="T24">
        <f t="shared" si="13"/>
        <v>0.19243955420361902</v>
      </c>
      <c r="U24">
        <f t="shared" si="14"/>
        <v>3.7944752810352425</v>
      </c>
      <c r="V24">
        <f t="shared" si="15"/>
        <v>1.1721641440839867</v>
      </c>
      <c r="W24" s="1" t="s">
        <v>413</v>
      </c>
      <c r="X24" s="1" t="s">
        <v>414</v>
      </c>
      <c r="Y24" s="1" t="s">
        <v>415</v>
      </c>
      <c r="Z24" s="1" t="s">
        <v>416</v>
      </c>
      <c r="AA24" s="1" t="s">
        <v>417</v>
      </c>
      <c r="AB24" s="1" t="s">
        <v>418</v>
      </c>
      <c r="AC24" s="1" t="s">
        <v>419</v>
      </c>
      <c r="AD24">
        <v>1.3593380000000001E-3</v>
      </c>
      <c r="AE24">
        <v>7.2502369999999997E-3</v>
      </c>
      <c r="AF24" s="1" t="s">
        <v>85</v>
      </c>
      <c r="AG24">
        <v>7.5330807E-2</v>
      </c>
    </row>
    <row r="25" spans="1:34">
      <c r="A25" t="s">
        <v>26</v>
      </c>
      <c r="B25" t="s">
        <v>86</v>
      </c>
      <c r="C25" t="s">
        <v>16</v>
      </c>
      <c r="D25">
        <v>21</v>
      </c>
      <c r="E25">
        <v>110</v>
      </c>
      <c r="F25">
        <v>447</v>
      </c>
      <c r="G25">
        <f t="shared" si="0"/>
        <v>7.9187038043478113</v>
      </c>
      <c r="H25">
        <f t="shared" si="1"/>
        <v>5.1542608695651992</v>
      </c>
      <c r="I25">
        <f t="shared" si="2"/>
        <v>9.2971014492753596</v>
      </c>
      <c r="J25">
        <f t="shared" si="3"/>
        <v>87.938075424336361</v>
      </c>
      <c r="K25">
        <f t="shared" si="4"/>
        <v>44.475148271999998</v>
      </c>
      <c r="L25">
        <f t="shared" si="5"/>
        <v>43.064396157000004</v>
      </c>
      <c r="M25">
        <f t="shared" si="6"/>
        <v>13.322363421292017</v>
      </c>
      <c r="N25">
        <f t="shared" si="7"/>
        <v>0.49999989599999994</v>
      </c>
      <c r="O25">
        <f t="shared" si="8"/>
        <v>4.5182565247252118</v>
      </c>
      <c r="P25">
        <f t="shared" si="9"/>
        <v>131.18251748251728</v>
      </c>
      <c r="Q25">
        <f t="shared" si="10"/>
        <v>36.062142945000005</v>
      </c>
      <c r="R25">
        <f t="shared" si="11"/>
        <v>10.733115066751413</v>
      </c>
      <c r="S25">
        <f t="shared" si="12"/>
        <v>2.9505389682272734</v>
      </c>
      <c r="T25">
        <f t="shared" si="13"/>
        <v>0.212797258473193</v>
      </c>
      <c r="U25">
        <f t="shared" si="14"/>
        <v>3.5234505946636365</v>
      </c>
      <c r="V25">
        <f t="shared" si="15"/>
        <v>1.1272747124485125</v>
      </c>
      <c r="W25" s="1" t="s">
        <v>420</v>
      </c>
      <c r="X25" s="1" t="s">
        <v>421</v>
      </c>
      <c r="Y25" s="1" t="s">
        <v>422</v>
      </c>
      <c r="Z25" s="1" t="s">
        <v>423</v>
      </c>
      <c r="AA25">
        <v>9.9496976000000001E-2</v>
      </c>
      <c r="AB25">
        <v>9.6340931000000005E-2</v>
      </c>
      <c r="AC25" s="1" t="s">
        <v>424</v>
      </c>
      <c r="AD25">
        <v>1.1185679999999999E-3</v>
      </c>
      <c r="AE25" s="1" t="s">
        <v>425</v>
      </c>
      <c r="AF25" s="1" t="s">
        <v>87</v>
      </c>
      <c r="AG25">
        <v>8.0675935000000004E-2</v>
      </c>
      <c r="AH25" s="1"/>
    </row>
    <row r="26" spans="1:34">
      <c r="A26" t="s">
        <v>63</v>
      </c>
      <c r="B26" t="s">
        <v>88</v>
      </c>
      <c r="C26" t="s">
        <v>16</v>
      </c>
      <c r="D26">
        <v>26</v>
      </c>
      <c r="E26">
        <v>152.33000000000001</v>
      </c>
      <c r="F26">
        <v>643</v>
      </c>
      <c r="G26">
        <f t="shared" si="0"/>
        <v>9.752142857142843</v>
      </c>
      <c r="H26">
        <f t="shared" si="1"/>
        <v>7.9919999999999893</v>
      </c>
      <c r="I26">
        <f t="shared" si="2"/>
        <v>13</v>
      </c>
      <c r="J26">
        <f t="shared" si="3"/>
        <v>137.03717573981416</v>
      </c>
      <c r="K26">
        <f t="shared" si="4"/>
        <v>67.887271795355502</v>
      </c>
      <c r="L26">
        <f t="shared" si="5"/>
        <v>63.989463149999999</v>
      </c>
      <c r="M26">
        <f t="shared" si="6"/>
        <v>16.144908889</v>
      </c>
      <c r="N26">
        <f t="shared" si="7"/>
        <v>1.0047093620000001</v>
      </c>
      <c r="O26">
        <f t="shared" si="8"/>
        <v>8.3542424430000004</v>
      </c>
      <c r="P26">
        <f t="shared" si="9"/>
        <v>144.91886048027959</v>
      </c>
      <c r="Q26">
        <f t="shared" si="10"/>
        <v>56.151318226999997</v>
      </c>
      <c r="R26">
        <f t="shared" si="11"/>
        <v>8.562133160392019</v>
      </c>
      <c r="S26">
        <f t="shared" si="12"/>
        <v>3.3175465374056321</v>
      </c>
      <c r="T26">
        <f t="shared" si="13"/>
        <v>0.13805216524615802</v>
      </c>
      <c r="U26">
        <f t="shared" si="14"/>
        <v>3.780641819405238</v>
      </c>
      <c r="V26">
        <f t="shared" si="15"/>
        <v>1.2682235539080557</v>
      </c>
      <c r="W26" s="1" t="s">
        <v>89</v>
      </c>
      <c r="X26" s="1" t="s">
        <v>426</v>
      </c>
      <c r="Y26">
        <v>0.5</v>
      </c>
      <c r="Z26" s="1" t="s">
        <v>427</v>
      </c>
      <c r="AA26" s="1" t="s">
        <v>428</v>
      </c>
      <c r="AB26">
        <v>9.9517049999999996E-2</v>
      </c>
      <c r="AC26">
        <v>2.5108722999999999E-2</v>
      </c>
      <c r="AD26">
        <v>1.562534E-3</v>
      </c>
      <c r="AE26">
        <v>1.2992600999999999E-2</v>
      </c>
      <c r="AF26" s="1" t="s">
        <v>90</v>
      </c>
      <c r="AG26">
        <v>8.7327088999999997E-2</v>
      </c>
    </row>
    <row r="27" spans="1:34">
      <c r="A27" t="s">
        <v>69</v>
      </c>
      <c r="B27" t="s">
        <v>91</v>
      </c>
      <c r="C27" t="s">
        <v>16</v>
      </c>
      <c r="D27">
        <v>29</v>
      </c>
      <c r="E27">
        <v>181.67</v>
      </c>
      <c r="F27">
        <v>749</v>
      </c>
      <c r="G27">
        <f t="shared" si="0"/>
        <v>10.883498847926255</v>
      </c>
      <c r="H27">
        <f t="shared" si="1"/>
        <v>9.7751612903225578</v>
      </c>
      <c r="I27">
        <f t="shared" si="2"/>
        <v>15.284946236559124</v>
      </c>
      <c r="J27">
        <f t="shared" si="3"/>
        <v>167.64050672992121</v>
      </c>
      <c r="K27">
        <f t="shared" si="4"/>
        <v>84.077870178755006</v>
      </c>
      <c r="L27">
        <f t="shared" si="5"/>
        <v>76.386265243018528</v>
      </c>
      <c r="M27">
        <f t="shared" si="6"/>
        <v>24.628818731999999</v>
      </c>
      <c r="N27">
        <f t="shared" si="7"/>
        <v>0.97828837399999991</v>
      </c>
      <c r="O27">
        <f t="shared" si="8"/>
        <v>4.2342093500000004</v>
      </c>
      <c r="P27">
        <f t="shared" si="9"/>
        <v>173.16147297492424</v>
      </c>
      <c r="Q27">
        <f t="shared" si="10"/>
        <v>52.712036698999995</v>
      </c>
      <c r="R27">
        <f t="shared" si="11"/>
        <v>8.5784843770260277</v>
      </c>
      <c r="S27">
        <f t="shared" si="12"/>
        <v>2.611374086480982</v>
      </c>
      <c r="T27">
        <f t="shared" si="13"/>
        <v>0.160813666590019</v>
      </c>
      <c r="U27">
        <f t="shared" si="14"/>
        <v>3.784204255998056</v>
      </c>
      <c r="V27">
        <f t="shared" si="15"/>
        <v>1.2129275247917719</v>
      </c>
      <c r="W27" s="1" t="s">
        <v>429</v>
      </c>
      <c r="X27" s="1" t="s">
        <v>430</v>
      </c>
      <c r="Y27" s="1" t="s">
        <v>431</v>
      </c>
      <c r="Z27" s="1" t="s">
        <v>432</v>
      </c>
      <c r="AA27" s="1" t="s">
        <v>433</v>
      </c>
      <c r="AB27" s="1" t="s">
        <v>434</v>
      </c>
      <c r="AC27">
        <v>3.2882267999999999E-2</v>
      </c>
      <c r="AD27">
        <v>1.3061259999999999E-3</v>
      </c>
      <c r="AE27">
        <v>5.65315E-3</v>
      </c>
      <c r="AF27" s="1" t="s">
        <v>92</v>
      </c>
      <c r="AG27">
        <v>7.0376550999999996E-2</v>
      </c>
    </row>
    <row r="28" spans="1:34">
      <c r="A28" t="s">
        <v>40</v>
      </c>
      <c r="B28" t="s">
        <v>93</v>
      </c>
      <c r="C28" t="s">
        <v>16</v>
      </c>
      <c r="D28" s="1">
        <v>12</v>
      </c>
      <c r="E28">
        <v>68.67</v>
      </c>
      <c r="F28">
        <v>278</v>
      </c>
      <c r="G28">
        <f t="shared" si="0"/>
        <v>4.8618000000000006</v>
      </c>
      <c r="H28">
        <f t="shared" si="1"/>
        <v>3.3966000000000003</v>
      </c>
      <c r="I28">
        <f t="shared" si="2"/>
        <v>6.1333333333333311</v>
      </c>
      <c r="J28">
        <f t="shared" si="3"/>
        <v>63.319726347513878</v>
      </c>
      <c r="K28">
        <f t="shared" si="4"/>
        <v>29.329434902253411</v>
      </c>
      <c r="L28">
        <f t="shared" si="5"/>
        <v>26.399508836000003</v>
      </c>
      <c r="M28">
        <f t="shared" si="6"/>
        <v>8.1297858330035364</v>
      </c>
      <c r="N28">
        <f t="shared" si="7"/>
        <v>0.49999995799999997</v>
      </c>
      <c r="O28">
        <f t="shared" si="8"/>
        <v>2.103002724</v>
      </c>
      <c r="P28">
        <f t="shared" si="9"/>
        <v>66.988502363558084</v>
      </c>
      <c r="Q28">
        <f t="shared" si="10"/>
        <v>14.256145251396635</v>
      </c>
      <c r="R28">
        <f t="shared" si="11"/>
        <v>8.7796202311347429</v>
      </c>
      <c r="S28">
        <f t="shared" si="12"/>
        <v>1.8684331915329797</v>
      </c>
      <c r="T28">
        <f t="shared" si="13"/>
        <v>0.1896847378135304</v>
      </c>
      <c r="U28">
        <f t="shared" si="14"/>
        <v>3.4599618395806031</v>
      </c>
      <c r="V28">
        <f t="shared" si="15"/>
        <v>1.1296908635344474</v>
      </c>
      <c r="W28">
        <v>0.40515000000000001</v>
      </c>
      <c r="X28">
        <v>0.28305000000000002</v>
      </c>
      <c r="Y28" s="1" t="s">
        <v>435</v>
      </c>
      <c r="Z28" s="1" t="s">
        <v>436</v>
      </c>
      <c r="AA28" s="1" t="s">
        <v>437</v>
      </c>
      <c r="AB28">
        <v>9.4962262000000006E-2</v>
      </c>
      <c r="AC28" s="1" t="s">
        <v>438</v>
      </c>
      <c r="AD28">
        <v>1.798561E-3</v>
      </c>
      <c r="AE28">
        <v>7.5647580000000004E-3</v>
      </c>
      <c r="AF28" s="1" t="s">
        <v>94</v>
      </c>
      <c r="AG28" s="1" t="s">
        <v>95</v>
      </c>
    </row>
    <row r="29" spans="1:34">
      <c r="A29" t="s">
        <v>23</v>
      </c>
      <c r="B29" t="s">
        <v>96</v>
      </c>
      <c r="C29" t="s">
        <v>16</v>
      </c>
      <c r="D29">
        <v>28</v>
      </c>
      <c r="E29">
        <v>169</v>
      </c>
      <c r="F29">
        <v>697</v>
      </c>
      <c r="G29">
        <f t="shared" si="0"/>
        <v>11.070956989247287</v>
      </c>
      <c r="H29">
        <f t="shared" si="1"/>
        <v>9.0017419354838637</v>
      </c>
      <c r="I29">
        <f t="shared" si="2"/>
        <v>14.327956989247301</v>
      </c>
      <c r="J29">
        <f t="shared" si="3"/>
        <v>155.85452151724758</v>
      </c>
      <c r="K29">
        <f t="shared" si="4"/>
        <v>74.470212205074716</v>
      </c>
      <c r="L29">
        <f t="shared" si="5"/>
        <v>68.771254470000002</v>
      </c>
      <c r="M29">
        <f t="shared" si="6"/>
        <v>21.120305841681859</v>
      </c>
      <c r="N29">
        <f t="shared" si="7"/>
        <v>0.9603698140000001</v>
      </c>
      <c r="O29">
        <f t="shared" si="8"/>
        <v>5.4855851600000003</v>
      </c>
      <c r="P29">
        <f t="shared" si="9"/>
        <v>172.74039031134842</v>
      </c>
      <c r="Q29">
        <f t="shared" si="10"/>
        <v>44.842800481000005</v>
      </c>
      <c r="R29">
        <f t="shared" si="11"/>
        <v>9.1991923834445899</v>
      </c>
      <c r="S29">
        <f t="shared" si="12"/>
        <v>2.3880781321242606</v>
      </c>
      <c r="T29">
        <f t="shared" si="13"/>
        <v>0.18349725944095902</v>
      </c>
      <c r="U29">
        <f t="shared" si="14"/>
        <v>3.6623744984023672</v>
      </c>
      <c r="V29">
        <f t="shared" si="15"/>
        <v>1.1875581183328259</v>
      </c>
      <c r="W29" s="1" t="s">
        <v>383</v>
      </c>
      <c r="X29" s="1" t="s">
        <v>384</v>
      </c>
      <c r="Y29" s="1" t="s">
        <v>439</v>
      </c>
      <c r="Z29" s="1" t="s">
        <v>440</v>
      </c>
      <c r="AA29" s="1" t="s">
        <v>441</v>
      </c>
      <c r="AB29">
        <v>9.866751E-2</v>
      </c>
      <c r="AC29" s="1" t="s">
        <v>442</v>
      </c>
      <c r="AD29">
        <v>1.3778620000000001E-3</v>
      </c>
      <c r="AE29">
        <v>7.8702800000000003E-3</v>
      </c>
      <c r="AF29" s="1" t="s">
        <v>97</v>
      </c>
      <c r="AG29">
        <v>6.4336873000000003E-2</v>
      </c>
    </row>
    <row r="30" spans="1:34">
      <c r="A30" t="s">
        <v>69</v>
      </c>
      <c r="B30" t="s">
        <v>98</v>
      </c>
      <c r="C30" t="s">
        <v>16</v>
      </c>
      <c r="D30">
        <v>30</v>
      </c>
      <c r="E30">
        <v>136</v>
      </c>
      <c r="F30">
        <v>570</v>
      </c>
      <c r="G30">
        <f t="shared" si="0"/>
        <v>7.1991428571428404</v>
      </c>
      <c r="H30">
        <f t="shared" si="1"/>
        <v>7.2149999999999999</v>
      </c>
      <c r="I30">
        <f t="shared" si="2"/>
        <v>8.9166666666666607</v>
      </c>
      <c r="J30">
        <f t="shared" si="3"/>
        <v>113.97829155824562</v>
      </c>
      <c r="K30">
        <f t="shared" si="4"/>
        <v>59.314301737087256</v>
      </c>
      <c r="L30">
        <f t="shared" si="5"/>
        <v>58.154263674694434</v>
      </c>
      <c r="M30">
        <f t="shared" si="6"/>
        <v>17.417394631982503</v>
      </c>
      <c r="N30">
        <f t="shared" si="7"/>
        <v>0.94049486999999998</v>
      </c>
      <c r="O30">
        <f t="shared" si="8"/>
        <v>5.4373365899999992</v>
      </c>
      <c r="P30">
        <f t="shared" si="9"/>
        <v>148.61551377381855</v>
      </c>
      <c r="Q30">
        <f t="shared" si="10"/>
        <v>53.200944300000003</v>
      </c>
      <c r="R30">
        <f t="shared" si="11"/>
        <v>9.8348501762085814</v>
      </c>
      <c r="S30">
        <f t="shared" si="12"/>
        <v>3.5206507257352944</v>
      </c>
      <c r="T30">
        <f t="shared" si="13"/>
        <v>0.16739398153301499</v>
      </c>
      <c r="U30">
        <f t="shared" si="14"/>
        <v>3.8484439196488966</v>
      </c>
      <c r="V30">
        <f t="shared" si="15"/>
        <v>1.2292590871929825</v>
      </c>
      <c r="W30" s="1" t="s">
        <v>443</v>
      </c>
      <c r="X30">
        <v>0.24049999999999999</v>
      </c>
      <c r="Y30" s="1" t="s">
        <v>444</v>
      </c>
      <c r="Z30" s="1" t="s">
        <v>445</v>
      </c>
      <c r="AA30" s="1" t="s">
        <v>446</v>
      </c>
      <c r="AB30" s="1" t="s">
        <v>447</v>
      </c>
      <c r="AC30" s="1" t="s">
        <v>448</v>
      </c>
      <c r="AD30">
        <v>1.649991E-3</v>
      </c>
      <c r="AE30">
        <v>9.5391869999999993E-3</v>
      </c>
      <c r="AF30" s="1" t="s">
        <v>99</v>
      </c>
      <c r="AG30">
        <v>9.3334990000000007E-2</v>
      </c>
    </row>
    <row r="31" spans="1:34">
      <c r="A31" t="s">
        <v>26</v>
      </c>
      <c r="B31" t="s">
        <v>100</v>
      </c>
      <c r="C31" t="s">
        <v>16</v>
      </c>
      <c r="D31">
        <v>23</v>
      </c>
      <c r="E31">
        <v>132.33000000000001</v>
      </c>
      <c r="F31">
        <v>544</v>
      </c>
      <c r="G31">
        <f t="shared" si="0"/>
        <v>8.344821428571418</v>
      </c>
      <c r="H31">
        <f t="shared" si="1"/>
        <v>6.2298749999999865</v>
      </c>
      <c r="I31">
        <f t="shared" si="2"/>
        <v>11.555555556999998</v>
      </c>
      <c r="J31">
        <f t="shared" si="3"/>
        <v>109.91395058520291</v>
      </c>
      <c r="K31">
        <f t="shared" si="4"/>
        <v>56.527707954903775</v>
      </c>
      <c r="L31">
        <f t="shared" si="5"/>
        <v>54.464961686140576</v>
      </c>
      <c r="M31">
        <f t="shared" si="6"/>
        <v>16.886114687999999</v>
      </c>
      <c r="N31">
        <f t="shared" si="7"/>
        <v>0</v>
      </c>
      <c r="O31">
        <f t="shared" si="8"/>
        <v>3.5764610880000003</v>
      </c>
      <c r="P31">
        <f t="shared" si="9"/>
        <v>152.80998881206574</v>
      </c>
      <c r="Q31">
        <f t="shared" si="10"/>
        <v>47.568350624000004</v>
      </c>
      <c r="R31">
        <f t="shared" si="11"/>
        <v>10.392880671870259</v>
      </c>
      <c r="S31">
        <f t="shared" si="12"/>
        <v>3.2352086119247336</v>
      </c>
      <c r="T31">
        <f t="shared" si="13"/>
        <v>0.19345889372806199</v>
      </c>
      <c r="U31">
        <f t="shared" si="14"/>
        <v>3.7042594662983839</v>
      </c>
      <c r="V31">
        <f t="shared" si="15"/>
        <v>1.1900725550457409</v>
      </c>
      <c r="W31" s="1" t="s">
        <v>449</v>
      </c>
      <c r="X31" s="1" t="s">
        <v>450</v>
      </c>
      <c r="Y31">
        <v>0.50241545899999995</v>
      </c>
      <c r="Z31" s="1" t="s">
        <v>451</v>
      </c>
      <c r="AA31" s="1" t="s">
        <v>452</v>
      </c>
      <c r="AB31" s="1" t="s">
        <v>453</v>
      </c>
      <c r="AC31">
        <v>3.1040651999999998E-2</v>
      </c>
      <c r="AD31">
        <v>0</v>
      </c>
      <c r="AE31">
        <v>6.5743770000000002E-3</v>
      </c>
      <c r="AF31" s="1" t="s">
        <v>102</v>
      </c>
      <c r="AG31">
        <v>8.7441821000000003E-2</v>
      </c>
    </row>
    <row r="32" spans="1:34">
      <c r="A32" t="s">
        <v>104</v>
      </c>
      <c r="B32" t="s">
        <v>103</v>
      </c>
      <c r="C32" t="s">
        <v>16</v>
      </c>
      <c r="D32" s="1">
        <v>32</v>
      </c>
      <c r="E32">
        <v>139.33000000000001</v>
      </c>
      <c r="F32">
        <v>591</v>
      </c>
      <c r="G32">
        <f t="shared" si="0"/>
        <v>8.9397692307692154</v>
      </c>
      <c r="H32">
        <f t="shared" si="1"/>
        <v>8.6579999999999995</v>
      </c>
      <c r="I32">
        <f t="shared" si="2"/>
        <v>9.5</v>
      </c>
      <c r="J32">
        <f t="shared" si="3"/>
        <v>114.85243635467141</v>
      </c>
      <c r="K32">
        <f t="shared" si="4"/>
        <v>63.43023854501557</v>
      </c>
      <c r="L32">
        <f t="shared" si="5"/>
        <v>60.554431116646583</v>
      </c>
      <c r="M32">
        <f t="shared" si="6"/>
        <v>17.787042728999999</v>
      </c>
      <c r="N32">
        <f t="shared" si="7"/>
        <v>0.99249998699999997</v>
      </c>
      <c r="O32">
        <f t="shared" si="8"/>
        <v>8.5879193969848782</v>
      </c>
      <c r="P32">
        <f t="shared" si="9"/>
        <v>162.21626353167997</v>
      </c>
      <c r="Q32">
        <f t="shared" si="10"/>
        <v>65.860291457286024</v>
      </c>
      <c r="R32">
        <f t="shared" si="11"/>
        <v>10.478334685890472</v>
      </c>
      <c r="S32">
        <f t="shared" si="12"/>
        <v>4.2542354346915534</v>
      </c>
      <c r="T32">
        <f t="shared" si="13"/>
        <v>0.16303886983823002</v>
      </c>
      <c r="U32">
        <f t="shared" si="14"/>
        <v>3.9115041990226027</v>
      </c>
      <c r="V32">
        <f t="shared" si="15"/>
        <v>1.2970123290889071</v>
      </c>
      <c r="W32" s="1" t="s">
        <v>105</v>
      </c>
      <c r="X32">
        <v>0.27056249999999998</v>
      </c>
      <c r="Y32">
        <v>0.296875</v>
      </c>
      <c r="Z32" s="1" t="s">
        <v>454</v>
      </c>
      <c r="AA32" s="1" t="s">
        <v>455</v>
      </c>
      <c r="AB32" s="1" t="s">
        <v>456</v>
      </c>
      <c r="AC32">
        <v>3.0096518999999999E-2</v>
      </c>
      <c r="AD32">
        <v>1.679357E-3</v>
      </c>
      <c r="AE32" s="1" t="s">
        <v>457</v>
      </c>
      <c r="AF32" s="1" t="s">
        <v>106</v>
      </c>
      <c r="AG32" s="1" t="s">
        <v>107</v>
      </c>
      <c r="AH32" s="1"/>
    </row>
    <row r="33" spans="1:34">
      <c r="A33" t="s">
        <v>33</v>
      </c>
      <c r="B33" t="s">
        <v>108</v>
      </c>
      <c r="C33" t="s">
        <v>16</v>
      </c>
      <c r="D33">
        <v>29</v>
      </c>
      <c r="E33">
        <v>176.67</v>
      </c>
      <c r="F33">
        <v>730</v>
      </c>
      <c r="G33">
        <f t="shared" si="0"/>
        <v>10.419677419354826</v>
      </c>
      <c r="H33">
        <f t="shared" si="1"/>
        <v>9.7751612903225578</v>
      </c>
      <c r="I33">
        <f t="shared" si="2"/>
        <v>14.795698924731157</v>
      </c>
      <c r="J33">
        <f t="shared" si="3"/>
        <v>161.71717044371175</v>
      </c>
      <c r="K33">
        <f t="shared" si="4"/>
        <v>80.167703686793701</v>
      </c>
      <c r="L33">
        <f t="shared" si="5"/>
        <v>73.95672001831953</v>
      </c>
      <c r="M33">
        <f t="shared" si="6"/>
        <v>24.678412120000001</v>
      </c>
      <c r="N33">
        <f t="shared" si="7"/>
        <v>0.97837519999999989</v>
      </c>
      <c r="O33">
        <f t="shared" si="8"/>
        <v>6.86691509</v>
      </c>
      <c r="P33">
        <f t="shared" si="9"/>
        <v>161.74446980355651</v>
      </c>
      <c r="Q33">
        <f t="shared" si="10"/>
        <v>49.68242395</v>
      </c>
      <c r="R33">
        <f t="shared" si="11"/>
        <v>8.2396571474048148</v>
      </c>
      <c r="S33">
        <f t="shared" si="12"/>
        <v>2.5309436551197146</v>
      </c>
      <c r="T33">
        <f t="shared" si="13"/>
        <v>0.153509651854187</v>
      </c>
      <c r="U33">
        <f t="shared" si="14"/>
        <v>3.7675354059256003</v>
      </c>
      <c r="V33">
        <f t="shared" si="15"/>
        <v>1.1965789007398639</v>
      </c>
      <c r="W33" s="1" t="s">
        <v>458</v>
      </c>
      <c r="X33" s="1" t="s">
        <v>430</v>
      </c>
      <c r="Y33" s="1" t="s">
        <v>459</v>
      </c>
      <c r="Z33" s="1" t="s">
        <v>460</v>
      </c>
      <c r="AA33" s="1" t="s">
        <v>461</v>
      </c>
      <c r="AB33" s="1" t="s">
        <v>462</v>
      </c>
      <c r="AC33">
        <v>3.3806044E-2</v>
      </c>
      <c r="AD33">
        <v>1.3402399999999999E-3</v>
      </c>
      <c r="AE33">
        <v>9.4067330000000005E-3</v>
      </c>
      <c r="AF33" s="1" t="s">
        <v>109</v>
      </c>
      <c r="AG33">
        <v>6.8058115000000002E-2</v>
      </c>
    </row>
    <row r="34" spans="1:34">
      <c r="A34" t="s">
        <v>111</v>
      </c>
      <c r="B34" t="s">
        <v>110</v>
      </c>
      <c r="C34" t="s">
        <v>16</v>
      </c>
      <c r="D34">
        <v>27</v>
      </c>
      <c r="E34">
        <v>143.33000000000001</v>
      </c>
      <c r="F34">
        <v>588</v>
      </c>
      <c r="G34">
        <f t="shared" ref="G34:G65" si="16">W34*$D34</f>
        <v>7.9746181318681293</v>
      </c>
      <c r="H34">
        <f t="shared" ref="H34:H65" si="17">X34*$D34</f>
        <v>9.5380714285714081</v>
      </c>
      <c r="I34">
        <f t="shared" ref="I34:I65" si="18">Y34*$D34</f>
        <v>11.744047619047612</v>
      </c>
      <c r="J34">
        <f t="shared" ref="J34:J65" si="19">Z34*$F34</f>
        <v>120.39185676864142</v>
      </c>
      <c r="K34">
        <f t="shared" ref="K34:K65" si="20">AA34*$F34</f>
        <v>65.318513330233131</v>
      </c>
      <c r="L34">
        <f t="shared" ref="L34:L65" si="21">AB34*$F34</f>
        <v>64.153493558670093</v>
      </c>
      <c r="M34">
        <f t="shared" ref="M34:M65" si="22">AC34*$F34</f>
        <v>20.249010684000002</v>
      </c>
      <c r="N34">
        <f t="shared" ref="N34:N65" si="23">AD34*$F34</f>
        <v>0.49999991999999999</v>
      </c>
      <c r="O34">
        <f t="shared" ref="O34:O65" si="24">AE34*$F34</f>
        <v>4.8323815679999997</v>
      </c>
      <c r="P34">
        <f t="shared" ref="P34:P65" si="25">AF34*$F34</f>
        <v>151.09576988155666</v>
      </c>
      <c r="Q34">
        <f t="shared" ref="Q34:Q65" si="26">AG34*$F34</f>
        <v>46.783248624000002</v>
      </c>
      <c r="R34">
        <f t="shared" si="11"/>
        <v>9.487629449061675</v>
      </c>
      <c r="S34">
        <f t="shared" si="12"/>
        <v>2.9376211373473802</v>
      </c>
      <c r="T34">
        <f t="shared" si="13"/>
        <v>0.17740224703666099</v>
      </c>
      <c r="U34">
        <f t="shared" si="14"/>
        <v>4.0283363010397739</v>
      </c>
      <c r="V34">
        <f t="shared" si="15"/>
        <v>1.166365069368879</v>
      </c>
      <c r="W34" s="1" t="s">
        <v>463</v>
      </c>
      <c r="X34" s="1" t="s">
        <v>464</v>
      </c>
      <c r="Y34" s="1" t="s">
        <v>465</v>
      </c>
      <c r="Z34" s="1" t="s">
        <v>466</v>
      </c>
      <c r="AA34" s="1" t="s">
        <v>467</v>
      </c>
      <c r="AB34" s="1" t="s">
        <v>468</v>
      </c>
      <c r="AC34">
        <v>3.4437093000000002E-2</v>
      </c>
      <c r="AD34">
        <v>8.5033999999999999E-4</v>
      </c>
      <c r="AE34">
        <v>8.2183359999999997E-3</v>
      </c>
      <c r="AF34" s="1" t="s">
        <v>112</v>
      </c>
      <c r="AG34">
        <v>7.9563348000000006E-2</v>
      </c>
    </row>
    <row r="35" spans="1:34">
      <c r="A35" t="s">
        <v>40</v>
      </c>
      <c r="B35" t="s">
        <v>113</v>
      </c>
      <c r="C35" t="s">
        <v>16</v>
      </c>
      <c r="D35">
        <v>26</v>
      </c>
      <c r="E35">
        <v>153</v>
      </c>
      <c r="F35">
        <v>638</v>
      </c>
      <c r="G35">
        <f t="shared" si="16"/>
        <v>10.540877142857125</v>
      </c>
      <c r="H35">
        <f t="shared" si="17"/>
        <v>8.7769285714285488</v>
      </c>
      <c r="I35">
        <f t="shared" si="18"/>
        <v>12.797619047619042</v>
      </c>
      <c r="J35">
        <f t="shared" si="19"/>
        <v>132.12999853892205</v>
      </c>
      <c r="K35">
        <f t="shared" si="20"/>
        <v>69.722045676942017</v>
      </c>
      <c r="L35">
        <f t="shared" si="21"/>
        <v>64.966091893860082</v>
      </c>
      <c r="M35">
        <f t="shared" si="22"/>
        <v>20.310441811049287</v>
      </c>
      <c r="N35">
        <f t="shared" si="23"/>
        <v>0.973293882</v>
      </c>
      <c r="O35">
        <f t="shared" si="24"/>
        <v>6.5168806421291006</v>
      </c>
      <c r="P35">
        <f t="shared" si="25"/>
        <v>179.97255073992602</v>
      </c>
      <c r="Q35">
        <f t="shared" si="26"/>
        <v>52.742837949999995</v>
      </c>
      <c r="R35">
        <f t="shared" si="11"/>
        <v>10.586620631760354</v>
      </c>
      <c r="S35">
        <f t="shared" si="12"/>
        <v>3.1025198794117648</v>
      </c>
      <c r="T35">
        <f t="shared" si="13"/>
        <v>0.19941961252339502</v>
      </c>
      <c r="U35">
        <f t="shared" si="14"/>
        <v>3.8215348172858872</v>
      </c>
      <c r="V35">
        <f t="shared" si="15"/>
        <v>1.2083191927380525</v>
      </c>
      <c r="W35" s="1" t="s">
        <v>469</v>
      </c>
      <c r="X35" s="1" t="s">
        <v>470</v>
      </c>
      <c r="Y35" s="1" t="s">
        <v>471</v>
      </c>
      <c r="Z35" s="1" t="s">
        <v>472</v>
      </c>
      <c r="AA35" s="1" t="s">
        <v>473</v>
      </c>
      <c r="AB35" s="1" t="s">
        <v>474</v>
      </c>
      <c r="AC35" s="1" t="s">
        <v>475</v>
      </c>
      <c r="AD35">
        <v>1.525539E-3</v>
      </c>
      <c r="AE35" s="1" t="s">
        <v>476</v>
      </c>
      <c r="AF35" s="1" t="s">
        <v>114</v>
      </c>
      <c r="AG35">
        <v>8.2669024999999993E-2</v>
      </c>
      <c r="AH35" s="1"/>
    </row>
    <row r="36" spans="1:34">
      <c r="A36" t="s">
        <v>48</v>
      </c>
      <c r="B36" t="s">
        <v>115</v>
      </c>
      <c r="C36" t="s">
        <v>16</v>
      </c>
      <c r="D36">
        <v>23</v>
      </c>
      <c r="E36">
        <v>130.66999999999999</v>
      </c>
      <c r="F36">
        <v>551</v>
      </c>
      <c r="G36">
        <f t="shared" si="16"/>
        <v>7.8809999999999887</v>
      </c>
      <c r="H36">
        <f t="shared" si="17"/>
        <v>7.9919999999999956</v>
      </c>
      <c r="I36">
        <f t="shared" si="18"/>
        <v>10.666666668</v>
      </c>
      <c r="J36">
        <f t="shared" si="19"/>
        <v>118.14533192989454</v>
      </c>
      <c r="K36">
        <f t="shared" si="20"/>
        <v>60.890077274927776</v>
      </c>
      <c r="L36">
        <f t="shared" si="21"/>
        <v>57.959084905885213</v>
      </c>
      <c r="M36">
        <f t="shared" si="22"/>
        <v>16.628462597999999</v>
      </c>
      <c r="N36">
        <f t="shared" si="23"/>
        <v>0.49999999100000003</v>
      </c>
      <c r="O36">
        <f t="shared" si="24"/>
        <v>6.0131775583482332</v>
      </c>
      <c r="P36">
        <f t="shared" si="25"/>
        <v>128.89326475499055</v>
      </c>
      <c r="Q36">
        <f t="shared" si="26"/>
        <v>49.031641946000001</v>
      </c>
      <c r="R36">
        <f t="shared" si="11"/>
        <v>8.8776259492991123</v>
      </c>
      <c r="S36">
        <f t="shared" si="12"/>
        <v>3.3770932694114948</v>
      </c>
      <c r="T36">
        <f t="shared" si="13"/>
        <v>0.14493942433573601</v>
      </c>
      <c r="U36">
        <f t="shared" si="14"/>
        <v>3.9919779915280245</v>
      </c>
      <c r="V36">
        <f t="shared" si="15"/>
        <v>1.2793829790762574</v>
      </c>
      <c r="W36" s="1" t="s">
        <v>477</v>
      </c>
      <c r="X36" s="1" t="s">
        <v>478</v>
      </c>
      <c r="Y36">
        <v>0.46376811600000001</v>
      </c>
      <c r="Z36" s="1" t="s">
        <v>479</v>
      </c>
      <c r="AA36" s="1" t="s">
        <v>480</v>
      </c>
      <c r="AB36" s="1" t="s">
        <v>481</v>
      </c>
      <c r="AC36">
        <v>3.0178698E-2</v>
      </c>
      <c r="AD36">
        <v>9.0744100000000004E-4</v>
      </c>
      <c r="AE36" s="1" t="s">
        <v>482</v>
      </c>
      <c r="AF36" s="1" t="s">
        <v>116</v>
      </c>
      <c r="AG36">
        <v>8.8986646000000003E-2</v>
      </c>
      <c r="AH36" s="1"/>
    </row>
    <row r="37" spans="1:34">
      <c r="A37" t="s">
        <v>51</v>
      </c>
      <c r="B37" t="s">
        <v>117</v>
      </c>
      <c r="C37" t="s">
        <v>118</v>
      </c>
      <c r="D37">
        <v>29</v>
      </c>
      <c r="E37">
        <v>134</v>
      </c>
      <c r="F37">
        <v>548</v>
      </c>
      <c r="G37">
        <f t="shared" si="16"/>
        <v>7.6597956989247225</v>
      </c>
      <c r="H37">
        <f t="shared" si="17"/>
        <v>7.84161290322578</v>
      </c>
      <c r="I37">
        <f t="shared" si="18"/>
        <v>9.1236559139784923</v>
      </c>
      <c r="J37">
        <f t="shared" si="19"/>
        <v>114.55060786773277</v>
      </c>
      <c r="K37">
        <f t="shared" si="20"/>
        <v>54.826075021408542</v>
      </c>
      <c r="L37">
        <f t="shared" si="21"/>
        <v>54.920489587323267</v>
      </c>
      <c r="M37">
        <f t="shared" si="22"/>
        <v>18.260180237999652</v>
      </c>
      <c r="N37">
        <f t="shared" si="23"/>
        <v>1.0279384</v>
      </c>
      <c r="O37">
        <f t="shared" si="24"/>
        <v>4.3853952079999994</v>
      </c>
      <c r="P37">
        <f t="shared" si="25"/>
        <v>154.50634937108782</v>
      </c>
      <c r="Q37">
        <f t="shared" si="26"/>
        <v>41.113816723999996</v>
      </c>
      <c r="R37">
        <f t="shared" si="11"/>
        <v>10.377292121938735</v>
      </c>
      <c r="S37">
        <f t="shared" si="12"/>
        <v>2.7613757501194027</v>
      </c>
      <c r="T37">
        <f t="shared" si="13"/>
        <v>0.20692068001293401</v>
      </c>
      <c r="U37">
        <f t="shared" si="14"/>
        <v>3.6886895991485775</v>
      </c>
      <c r="V37">
        <f t="shared" si="15"/>
        <v>1.1616748103860655</v>
      </c>
      <c r="W37" s="1" t="s">
        <v>483</v>
      </c>
      <c r="X37" s="1" t="s">
        <v>484</v>
      </c>
      <c r="Y37" s="1" t="s">
        <v>485</v>
      </c>
      <c r="Z37" s="1" t="s">
        <v>486</v>
      </c>
      <c r="AA37" s="1" t="s">
        <v>487</v>
      </c>
      <c r="AB37" s="1" t="s">
        <v>488</v>
      </c>
      <c r="AC37" s="1" t="s">
        <v>489</v>
      </c>
      <c r="AD37">
        <v>1.8758E-3</v>
      </c>
      <c r="AE37">
        <v>8.0025459999999993E-3</v>
      </c>
      <c r="AF37" s="1" t="s">
        <v>119</v>
      </c>
      <c r="AG37">
        <v>7.5025212999999993E-2</v>
      </c>
    </row>
    <row r="38" spans="1:34">
      <c r="A38" t="s">
        <v>104</v>
      </c>
      <c r="B38" t="s">
        <v>120</v>
      </c>
      <c r="C38" t="s">
        <v>16</v>
      </c>
      <c r="D38">
        <v>25</v>
      </c>
      <c r="E38">
        <v>143.66999999999999</v>
      </c>
      <c r="F38">
        <v>585</v>
      </c>
      <c r="G38">
        <f t="shared" si="16"/>
        <v>8.883964285714276</v>
      </c>
      <c r="H38">
        <f t="shared" si="17"/>
        <v>7.6708928571428494</v>
      </c>
      <c r="I38">
        <f t="shared" si="18"/>
        <v>12.19642857142855</v>
      </c>
      <c r="J38">
        <f t="shared" si="19"/>
        <v>123.02703385147363</v>
      </c>
      <c r="K38">
        <f t="shared" si="20"/>
        <v>65.137515698047451</v>
      </c>
      <c r="L38">
        <f t="shared" si="21"/>
        <v>58.397656005000002</v>
      </c>
      <c r="M38">
        <f t="shared" si="22"/>
        <v>20.302754355000001</v>
      </c>
      <c r="N38">
        <f t="shared" si="23"/>
        <v>0</v>
      </c>
      <c r="O38">
        <f t="shared" si="24"/>
        <v>5.6685879899999998</v>
      </c>
      <c r="P38">
        <f t="shared" si="25"/>
        <v>151.45360440456344</v>
      </c>
      <c r="Q38">
        <f t="shared" si="26"/>
        <v>38.899047330000002</v>
      </c>
      <c r="R38">
        <f t="shared" si="11"/>
        <v>9.4875926751658035</v>
      </c>
      <c r="S38">
        <f t="shared" si="12"/>
        <v>2.4367747335560663</v>
      </c>
      <c r="T38">
        <f t="shared" si="13"/>
        <v>0.192400952264211</v>
      </c>
      <c r="U38">
        <f t="shared" si="14"/>
        <v>3.6582369600125295</v>
      </c>
      <c r="V38">
        <f t="shared" si="15"/>
        <v>1.1270695425730748</v>
      </c>
      <c r="W38" s="1" t="s">
        <v>490</v>
      </c>
      <c r="X38" s="1" t="s">
        <v>491</v>
      </c>
      <c r="Y38" s="1" t="s">
        <v>492</v>
      </c>
      <c r="Z38" s="1" t="s">
        <v>493</v>
      </c>
      <c r="AA38" s="1" t="s">
        <v>494</v>
      </c>
      <c r="AB38">
        <v>9.9825052999999997E-2</v>
      </c>
      <c r="AC38">
        <v>3.4705563000000002E-2</v>
      </c>
      <c r="AD38">
        <v>0</v>
      </c>
      <c r="AE38">
        <v>9.6898939999999992E-3</v>
      </c>
      <c r="AF38" s="1" t="s">
        <v>121</v>
      </c>
      <c r="AG38">
        <v>6.6494098000000001E-2</v>
      </c>
    </row>
    <row r="39" spans="1:34">
      <c r="A39" t="s">
        <v>77</v>
      </c>
      <c r="B39" t="s">
        <v>122</v>
      </c>
      <c r="C39" t="s">
        <v>16</v>
      </c>
      <c r="D39">
        <v>27</v>
      </c>
      <c r="E39">
        <v>154.66999999999999</v>
      </c>
      <c r="F39">
        <v>647</v>
      </c>
      <c r="G39">
        <f t="shared" si="16"/>
        <v>9.5576491754122781</v>
      </c>
      <c r="H39">
        <f t="shared" si="17"/>
        <v>8.7613448275861998</v>
      </c>
      <c r="I39">
        <f t="shared" si="18"/>
        <v>12.793103448275854</v>
      </c>
      <c r="J39">
        <f t="shared" si="19"/>
        <v>137.1446372306435</v>
      </c>
      <c r="K39">
        <f t="shared" si="20"/>
        <v>69.031431885269171</v>
      </c>
      <c r="L39">
        <f t="shared" si="21"/>
        <v>61.864201588</v>
      </c>
      <c r="M39">
        <f t="shared" si="22"/>
        <v>19.596415367152201</v>
      </c>
      <c r="N39">
        <f t="shared" si="23"/>
        <v>1.4601709510000001</v>
      </c>
      <c r="O39">
        <f t="shared" si="24"/>
        <v>6.7894400226024461</v>
      </c>
      <c r="P39">
        <f t="shared" si="25"/>
        <v>159.54482078506078</v>
      </c>
      <c r="Q39">
        <f t="shared" si="26"/>
        <v>53.668904917999996</v>
      </c>
      <c r="R39">
        <f t="shared" si="11"/>
        <v>9.2836580271904516</v>
      </c>
      <c r="S39">
        <f t="shared" si="12"/>
        <v>3.1229077666127885</v>
      </c>
      <c r="T39">
        <f t="shared" si="13"/>
        <v>0.163641291911995</v>
      </c>
      <c r="U39">
        <f t="shared" si="14"/>
        <v>3.5997789764789552</v>
      </c>
      <c r="V39">
        <f t="shared" si="15"/>
        <v>1.2336816586839303</v>
      </c>
      <c r="W39" s="1" t="s">
        <v>495</v>
      </c>
      <c r="X39" s="1" t="s">
        <v>496</v>
      </c>
      <c r="Y39" s="1" t="s">
        <v>497</v>
      </c>
      <c r="Z39" s="1" t="s">
        <v>498</v>
      </c>
      <c r="AA39" s="1" t="s">
        <v>499</v>
      </c>
      <c r="AB39">
        <v>9.5617004000000005E-2</v>
      </c>
      <c r="AC39" s="1" t="s">
        <v>500</v>
      </c>
      <c r="AD39">
        <v>2.2568330000000002E-3</v>
      </c>
      <c r="AE39" s="1" t="s">
        <v>501</v>
      </c>
      <c r="AF39" s="1" t="s">
        <v>123</v>
      </c>
      <c r="AG39">
        <v>8.2950393999999997E-2</v>
      </c>
      <c r="AH39" s="1"/>
    </row>
    <row r="40" spans="1:34">
      <c r="A40" t="s">
        <v>57</v>
      </c>
      <c r="B40" t="s">
        <v>124</v>
      </c>
      <c r="C40" t="s">
        <v>16</v>
      </c>
      <c r="D40">
        <v>25</v>
      </c>
      <c r="E40">
        <v>155</v>
      </c>
      <c r="F40">
        <v>631</v>
      </c>
      <c r="G40">
        <f t="shared" si="16"/>
        <v>9.2627586206896506</v>
      </c>
      <c r="H40">
        <f t="shared" si="17"/>
        <v>7.9116206896551491</v>
      </c>
      <c r="I40">
        <f t="shared" si="18"/>
        <v>13.350574712643676</v>
      </c>
      <c r="J40">
        <f t="shared" si="19"/>
        <v>140.02813537143902</v>
      </c>
      <c r="K40">
        <f t="shared" si="20"/>
        <v>68.066464355317592</v>
      </c>
      <c r="L40">
        <f t="shared" si="21"/>
        <v>65.09677361552815</v>
      </c>
      <c r="M40">
        <f t="shared" si="22"/>
        <v>19.046251023</v>
      </c>
      <c r="N40">
        <f t="shared" si="23"/>
        <v>0.93577363099999999</v>
      </c>
      <c r="O40">
        <f t="shared" si="24"/>
        <v>6.0056541870000002</v>
      </c>
      <c r="P40">
        <f t="shared" si="25"/>
        <v>144.20136608191916</v>
      </c>
      <c r="Q40">
        <f t="shared" si="26"/>
        <v>39.519001222</v>
      </c>
      <c r="R40">
        <f t="shared" si="11"/>
        <v>8.3729825466920804</v>
      </c>
      <c r="S40">
        <f t="shared" si="12"/>
        <v>2.2946516838580648</v>
      </c>
      <c r="T40">
        <f t="shared" si="13"/>
        <v>0.16589915191746302</v>
      </c>
      <c r="U40">
        <f t="shared" si="14"/>
        <v>3.7798126615467957</v>
      </c>
      <c r="V40">
        <f t="shared" si="15"/>
        <v>1.1583686231834776</v>
      </c>
      <c r="W40" s="1" t="s">
        <v>502</v>
      </c>
      <c r="X40" s="1" t="s">
        <v>503</v>
      </c>
      <c r="Y40" s="1" t="s">
        <v>504</v>
      </c>
      <c r="Z40" s="1" t="s">
        <v>505</v>
      </c>
      <c r="AA40" s="1" t="s">
        <v>506</v>
      </c>
      <c r="AB40" s="1" t="s">
        <v>507</v>
      </c>
      <c r="AC40">
        <v>3.0184233000000001E-2</v>
      </c>
      <c r="AD40">
        <v>1.4830010000000001E-3</v>
      </c>
      <c r="AE40">
        <v>9.5176770000000004E-3</v>
      </c>
      <c r="AF40" s="1" t="s">
        <v>125</v>
      </c>
      <c r="AG40">
        <v>6.2629162000000002E-2</v>
      </c>
    </row>
    <row r="41" spans="1:34">
      <c r="A41" t="s">
        <v>51</v>
      </c>
      <c r="B41" t="s">
        <v>126</v>
      </c>
      <c r="C41" t="s">
        <v>16</v>
      </c>
      <c r="D41">
        <v>26</v>
      </c>
      <c r="E41">
        <v>149</v>
      </c>
      <c r="F41">
        <v>624</v>
      </c>
      <c r="G41">
        <f t="shared" si="16"/>
        <v>8.4439285714285592</v>
      </c>
      <c r="H41">
        <f t="shared" si="17"/>
        <v>9.086142857142832</v>
      </c>
      <c r="I41">
        <f t="shared" si="18"/>
        <v>11.999999999999986</v>
      </c>
      <c r="J41">
        <f t="shared" si="19"/>
        <v>137.97678877339655</v>
      </c>
      <c r="K41">
        <f t="shared" si="20"/>
        <v>70.398379601226765</v>
      </c>
      <c r="L41">
        <f t="shared" si="21"/>
        <v>68.243116594542244</v>
      </c>
      <c r="M41">
        <f t="shared" si="22"/>
        <v>21.092633328000002</v>
      </c>
      <c r="N41">
        <f t="shared" si="23"/>
        <v>0.97852747200000001</v>
      </c>
      <c r="O41">
        <f t="shared" si="24"/>
        <v>12.111760752</v>
      </c>
      <c r="P41">
        <f t="shared" si="25"/>
        <v>149.55807242696736</v>
      </c>
      <c r="Q41">
        <f t="shared" si="26"/>
        <v>40.000101647999998</v>
      </c>
      <c r="R41">
        <f t="shared" si="11"/>
        <v>9.0337090727698399</v>
      </c>
      <c r="S41">
        <f t="shared" si="12"/>
        <v>2.4161135223624157</v>
      </c>
      <c r="T41">
        <f t="shared" si="13"/>
        <v>0.17557367112014</v>
      </c>
      <c r="U41">
        <f t="shared" si="14"/>
        <v>4.1220674453079207</v>
      </c>
      <c r="V41">
        <f t="shared" si="15"/>
        <v>1.1944757746402452</v>
      </c>
      <c r="W41" s="1" t="s">
        <v>508</v>
      </c>
      <c r="X41" s="1" t="s">
        <v>509</v>
      </c>
      <c r="Y41" s="1" t="s">
        <v>510</v>
      </c>
      <c r="Z41" s="1" t="s">
        <v>511</v>
      </c>
      <c r="AA41" s="1" t="s">
        <v>512</v>
      </c>
      <c r="AB41" s="1" t="s">
        <v>513</v>
      </c>
      <c r="AC41">
        <v>3.3802297000000002E-2</v>
      </c>
      <c r="AD41">
        <v>1.5681530000000001E-3</v>
      </c>
      <c r="AE41">
        <v>1.9409873000000001E-2</v>
      </c>
      <c r="AF41" s="1" t="s">
        <v>127</v>
      </c>
      <c r="AG41">
        <v>6.4102726999999998E-2</v>
      </c>
      <c r="AH41" s="1"/>
    </row>
    <row r="42" spans="1:34">
      <c r="A42" t="s">
        <v>29</v>
      </c>
      <c r="B42" t="s">
        <v>128</v>
      </c>
      <c r="C42" t="s">
        <v>16</v>
      </c>
      <c r="D42">
        <v>21</v>
      </c>
      <c r="E42">
        <v>132.66999999999999</v>
      </c>
      <c r="F42">
        <v>535</v>
      </c>
      <c r="G42">
        <f t="shared" si="16"/>
        <v>9.2407499999999931</v>
      </c>
      <c r="H42">
        <f t="shared" si="17"/>
        <v>6.0356249999999942</v>
      </c>
      <c r="I42">
        <f t="shared" si="18"/>
        <v>12.395833333333318</v>
      </c>
      <c r="J42">
        <f t="shared" si="19"/>
        <v>108.31077226952266</v>
      </c>
      <c r="K42">
        <f t="shared" si="20"/>
        <v>51.594823804999997</v>
      </c>
      <c r="L42">
        <f t="shared" si="21"/>
        <v>49.145140660000003</v>
      </c>
      <c r="M42">
        <f t="shared" si="22"/>
        <v>15.392978926035939</v>
      </c>
      <c r="N42">
        <f t="shared" si="23"/>
        <v>0.49999976500000004</v>
      </c>
      <c r="O42">
        <f t="shared" si="24"/>
        <v>5.4685373451315451</v>
      </c>
      <c r="P42">
        <f t="shared" si="25"/>
        <v>144.55711495547246</v>
      </c>
      <c r="Q42">
        <f t="shared" si="26"/>
        <v>36.415613879999995</v>
      </c>
      <c r="R42">
        <f t="shared" si="11"/>
        <v>9.8063920599928558</v>
      </c>
      <c r="S42">
        <f t="shared" si="12"/>
        <v>2.4703438977915129</v>
      </c>
      <c r="T42">
        <f t="shared" si="13"/>
        <v>0.20213364687004198</v>
      </c>
      <c r="U42">
        <f t="shared" si="14"/>
        <v>3.3338830627873675</v>
      </c>
      <c r="V42">
        <f t="shared" si="15"/>
        <v>1.0908749992426523</v>
      </c>
      <c r="W42" s="1" t="s">
        <v>514</v>
      </c>
      <c r="X42" s="1" t="s">
        <v>515</v>
      </c>
      <c r="Y42" s="1" t="s">
        <v>516</v>
      </c>
      <c r="Z42" s="1" t="s">
        <v>517</v>
      </c>
      <c r="AA42">
        <v>9.6438922999999996E-2</v>
      </c>
      <c r="AB42">
        <v>9.1860075999999999E-2</v>
      </c>
      <c r="AC42" s="1" t="s">
        <v>518</v>
      </c>
      <c r="AD42">
        <v>9.3457900000000005E-4</v>
      </c>
      <c r="AE42" s="1" t="s">
        <v>519</v>
      </c>
      <c r="AF42" s="1" t="s">
        <v>129</v>
      </c>
      <c r="AG42">
        <v>6.8066567999999994E-2</v>
      </c>
      <c r="AH42" s="1"/>
    </row>
    <row r="43" spans="1:34">
      <c r="A43" t="s">
        <v>20</v>
      </c>
      <c r="B43" t="s">
        <v>130</v>
      </c>
      <c r="C43" t="s">
        <v>16</v>
      </c>
      <c r="D43">
        <v>30</v>
      </c>
      <c r="E43">
        <v>140.66999999999999</v>
      </c>
      <c r="F43">
        <v>598</v>
      </c>
      <c r="G43">
        <f t="shared" si="16"/>
        <v>7.9173620689655095</v>
      </c>
      <c r="H43">
        <f t="shared" si="17"/>
        <v>8.7690000000000001</v>
      </c>
      <c r="I43">
        <f t="shared" si="18"/>
        <v>9.1111111111110894</v>
      </c>
      <c r="J43">
        <f t="shared" si="19"/>
        <v>132.32086473636227</v>
      </c>
      <c r="K43">
        <f t="shared" si="20"/>
        <v>68.908707845368838</v>
      </c>
      <c r="L43">
        <f t="shared" si="21"/>
        <v>62.031378746500359</v>
      </c>
      <c r="M43">
        <f t="shared" si="22"/>
        <v>16.991472731999998</v>
      </c>
      <c r="N43">
        <f t="shared" si="23"/>
        <v>0.93021591000000003</v>
      </c>
      <c r="O43">
        <f t="shared" si="24"/>
        <v>6.9475299280574854</v>
      </c>
      <c r="P43">
        <f t="shared" si="25"/>
        <v>129.97901732181876</v>
      </c>
      <c r="Q43">
        <f t="shared" si="26"/>
        <v>49.761438583999997</v>
      </c>
      <c r="R43">
        <f t="shared" si="11"/>
        <v>8.3159959898796387</v>
      </c>
      <c r="S43">
        <f t="shared" si="12"/>
        <v>3.1837132811260398</v>
      </c>
      <c r="T43">
        <f t="shared" si="13"/>
        <v>0.13414310825722203</v>
      </c>
      <c r="U43">
        <f t="shared" si="14"/>
        <v>3.9687382435380911</v>
      </c>
      <c r="V43">
        <f t="shared" si="15"/>
        <v>1.2943932844271151</v>
      </c>
      <c r="W43" s="1" t="s">
        <v>520</v>
      </c>
      <c r="X43">
        <v>0.2923</v>
      </c>
      <c r="Y43" s="1" t="s">
        <v>521</v>
      </c>
      <c r="Z43" s="1" t="s">
        <v>522</v>
      </c>
      <c r="AA43" s="1" t="s">
        <v>523</v>
      </c>
      <c r="AB43" s="1" t="s">
        <v>524</v>
      </c>
      <c r="AC43">
        <v>2.8413833999999999E-2</v>
      </c>
      <c r="AD43">
        <v>1.555545E-3</v>
      </c>
      <c r="AE43" s="1" t="s">
        <v>525</v>
      </c>
      <c r="AF43" s="1" t="s">
        <v>131</v>
      </c>
      <c r="AG43">
        <v>8.3213107999999994E-2</v>
      </c>
      <c r="AH43" s="1"/>
    </row>
    <row r="44" spans="1:34">
      <c r="A44" t="s">
        <v>74</v>
      </c>
      <c r="B44" t="s">
        <v>132</v>
      </c>
      <c r="C44" t="s">
        <v>16</v>
      </c>
      <c r="D44">
        <v>25</v>
      </c>
      <c r="E44">
        <v>146</v>
      </c>
      <c r="F44">
        <v>616</v>
      </c>
      <c r="G44">
        <f t="shared" si="16"/>
        <v>8.542730769230749</v>
      </c>
      <c r="H44">
        <f t="shared" si="17"/>
        <v>8.2097307692307488</v>
      </c>
      <c r="I44">
        <f t="shared" si="18"/>
        <v>11.589743589743575</v>
      </c>
      <c r="J44">
        <f t="shared" si="19"/>
        <v>141.52254644428146</v>
      </c>
      <c r="K44">
        <f t="shared" si="20"/>
        <v>72.945509413161005</v>
      </c>
      <c r="L44">
        <f t="shared" si="21"/>
        <v>65.003180540349746</v>
      </c>
      <c r="M44">
        <f t="shared" si="22"/>
        <v>17.380256431999999</v>
      </c>
      <c r="N44">
        <f t="shared" si="23"/>
        <v>0.98124980799999995</v>
      </c>
      <c r="O44">
        <f t="shared" si="24"/>
        <v>4.9218202880000002</v>
      </c>
      <c r="P44">
        <f t="shared" si="25"/>
        <v>126.5280487839442</v>
      </c>
      <c r="Q44">
        <f t="shared" si="26"/>
        <v>48.259435223999994</v>
      </c>
      <c r="R44">
        <f t="shared" si="11"/>
        <v>7.7996742401061496</v>
      </c>
      <c r="S44">
        <f t="shared" si="12"/>
        <v>2.9748966918904105</v>
      </c>
      <c r="T44">
        <f t="shared" si="13"/>
        <v>0.12705943759731203</v>
      </c>
      <c r="U44">
        <f t="shared" si="14"/>
        <v>4.0070453757749842</v>
      </c>
      <c r="V44">
        <f t="shared" si="15"/>
        <v>1.2998765867690509</v>
      </c>
      <c r="W44" s="1" t="s">
        <v>526</v>
      </c>
      <c r="X44" s="1" t="s">
        <v>527</v>
      </c>
      <c r="Y44" s="1" t="s">
        <v>528</v>
      </c>
      <c r="Z44" s="1" t="s">
        <v>529</v>
      </c>
      <c r="AA44" s="1" t="s">
        <v>530</v>
      </c>
      <c r="AB44" s="1" t="s">
        <v>531</v>
      </c>
      <c r="AC44">
        <v>2.8214702000000001E-2</v>
      </c>
      <c r="AD44">
        <v>1.5929379999999999E-3</v>
      </c>
      <c r="AE44">
        <v>7.9899680000000001E-3</v>
      </c>
      <c r="AF44" s="1" t="s">
        <v>133</v>
      </c>
      <c r="AG44">
        <v>7.8343238999999995E-2</v>
      </c>
    </row>
    <row r="45" spans="1:34">
      <c r="A45" t="s">
        <v>57</v>
      </c>
      <c r="B45" t="s">
        <v>134</v>
      </c>
      <c r="C45" t="s">
        <v>16</v>
      </c>
      <c r="D45">
        <v>28</v>
      </c>
      <c r="E45">
        <v>159.66999999999999</v>
      </c>
      <c r="F45">
        <v>672</v>
      </c>
      <c r="G45">
        <f t="shared" si="16"/>
        <v>10.081862068965512</v>
      </c>
      <c r="H45">
        <f t="shared" si="17"/>
        <v>9.5536551724137713</v>
      </c>
      <c r="I45">
        <f t="shared" si="18"/>
        <v>13.402298850574704</v>
      </c>
      <c r="J45">
        <f t="shared" si="19"/>
        <v>138.61908312487805</v>
      </c>
      <c r="K45">
        <f t="shared" si="20"/>
        <v>72.726480441703202</v>
      </c>
      <c r="L45">
        <f t="shared" si="21"/>
        <v>67.000874304000007</v>
      </c>
      <c r="M45">
        <f t="shared" si="22"/>
        <v>19.903671648</v>
      </c>
      <c r="N45">
        <f t="shared" si="23"/>
        <v>0.50000025599999998</v>
      </c>
      <c r="O45">
        <f t="shared" si="24"/>
        <v>6.288823968</v>
      </c>
      <c r="P45">
        <f t="shared" si="25"/>
        <v>181.08839353996206</v>
      </c>
      <c r="Q45">
        <f t="shared" si="26"/>
        <v>60.187780799999999</v>
      </c>
      <c r="R45">
        <f t="shared" si="11"/>
        <v>10.20727464056904</v>
      </c>
      <c r="S45">
        <f t="shared" si="12"/>
        <v>3.3925598246383171</v>
      </c>
      <c r="T45">
        <f t="shared" si="13"/>
        <v>0.17991162610113404</v>
      </c>
      <c r="U45">
        <f t="shared" si="14"/>
        <v>3.7765883931608952</v>
      </c>
      <c r="V45">
        <f t="shared" si="15"/>
        <v>1.2451109408459826</v>
      </c>
      <c r="W45" s="1" t="s">
        <v>532</v>
      </c>
      <c r="X45" s="1" t="s">
        <v>533</v>
      </c>
      <c r="Y45" s="1" t="s">
        <v>534</v>
      </c>
      <c r="Z45" s="1" t="s">
        <v>535</v>
      </c>
      <c r="AA45" s="1" t="s">
        <v>536</v>
      </c>
      <c r="AB45">
        <v>9.9703682000000002E-2</v>
      </c>
      <c r="AC45">
        <v>2.9618558999999999E-2</v>
      </c>
      <c r="AD45">
        <v>7.4404799999999998E-4</v>
      </c>
      <c r="AE45">
        <v>9.3583690000000001E-3</v>
      </c>
      <c r="AF45" s="1" t="s">
        <v>136</v>
      </c>
      <c r="AG45">
        <v>8.9565149999999996E-2</v>
      </c>
      <c r="AH45" s="1"/>
    </row>
    <row r="46" spans="1:34">
      <c r="A46" t="s">
        <v>43</v>
      </c>
      <c r="B46" t="s">
        <v>137</v>
      </c>
      <c r="C46" t="s">
        <v>16</v>
      </c>
      <c r="D46">
        <v>29</v>
      </c>
      <c r="E46">
        <v>171.33</v>
      </c>
      <c r="F46">
        <v>725</v>
      </c>
      <c r="G46">
        <f t="shared" si="16"/>
        <v>9.3064946236558885</v>
      </c>
      <c r="H46">
        <f t="shared" si="17"/>
        <v>10.419677419354826</v>
      </c>
      <c r="I46">
        <f t="shared" si="18"/>
        <v>13.994623655913975</v>
      </c>
      <c r="J46">
        <f t="shared" si="19"/>
        <v>155.38935151225687</v>
      </c>
      <c r="K46">
        <f t="shared" si="20"/>
        <v>83.976486742579098</v>
      </c>
      <c r="L46">
        <f t="shared" si="21"/>
        <v>77.434540646260999</v>
      </c>
      <c r="M46">
        <f t="shared" si="22"/>
        <v>25.982912500000001</v>
      </c>
      <c r="N46">
        <f t="shared" si="23"/>
        <v>0.49999987499999998</v>
      </c>
      <c r="O46">
        <f t="shared" si="24"/>
        <v>6.4825686500000002</v>
      </c>
      <c r="P46">
        <f t="shared" si="25"/>
        <v>173.56356479656631</v>
      </c>
      <c r="Q46">
        <f t="shared" si="26"/>
        <v>67.99578597499999</v>
      </c>
      <c r="R46">
        <f t="shared" si="11"/>
        <v>9.1173296163491315</v>
      </c>
      <c r="S46">
        <f t="shared" si="12"/>
        <v>3.5718325674137619</v>
      </c>
      <c r="T46">
        <f t="shared" si="13"/>
        <v>0.145610729409057</v>
      </c>
      <c r="U46">
        <f t="shared" si="14"/>
        <v>4.0676522839919977</v>
      </c>
      <c r="V46">
        <f t="shared" si="15"/>
        <v>1.3038296707363384</v>
      </c>
      <c r="W46" s="1" t="s">
        <v>537</v>
      </c>
      <c r="X46" s="1" t="s">
        <v>458</v>
      </c>
      <c r="Y46" s="1" t="s">
        <v>538</v>
      </c>
      <c r="Z46" s="1" t="s">
        <v>539</v>
      </c>
      <c r="AA46" s="1" t="s">
        <v>540</v>
      </c>
      <c r="AB46" s="1" t="s">
        <v>541</v>
      </c>
      <c r="AC46">
        <v>3.5838500000000002E-2</v>
      </c>
      <c r="AD46">
        <v>6.8965499999999996E-4</v>
      </c>
      <c r="AE46">
        <v>8.9414739999999996E-3</v>
      </c>
      <c r="AF46" s="1" t="s">
        <v>138</v>
      </c>
      <c r="AG46">
        <v>9.3787290999999995E-2</v>
      </c>
    </row>
    <row r="47" spans="1:34">
      <c r="A47" t="s">
        <v>140</v>
      </c>
      <c r="B47" t="s">
        <v>139</v>
      </c>
      <c r="C47" t="s">
        <v>16</v>
      </c>
      <c r="D47">
        <v>30</v>
      </c>
      <c r="E47">
        <v>169</v>
      </c>
      <c r="F47">
        <v>702</v>
      </c>
      <c r="G47">
        <f t="shared" si="16"/>
        <v>9.9195806451612611</v>
      </c>
      <c r="H47">
        <f t="shared" si="17"/>
        <v>10.5378387096774</v>
      </c>
      <c r="I47">
        <f t="shared" si="18"/>
        <v>14.075268817204289</v>
      </c>
      <c r="J47">
        <f t="shared" si="19"/>
        <v>148.27612125496458</v>
      </c>
      <c r="K47">
        <f t="shared" si="20"/>
        <v>78.848794643233219</v>
      </c>
      <c r="L47">
        <f t="shared" si="21"/>
        <v>76.016207832622428</v>
      </c>
      <c r="M47">
        <f t="shared" si="22"/>
        <v>25.364023073999999</v>
      </c>
      <c r="N47">
        <f t="shared" si="23"/>
        <v>0.50000020200000006</v>
      </c>
      <c r="O47">
        <f t="shared" si="24"/>
        <v>7.4763125173851668</v>
      </c>
      <c r="P47">
        <f t="shared" si="25"/>
        <v>167.89778672693762</v>
      </c>
      <c r="Q47">
        <f t="shared" si="26"/>
        <v>59.620010580000006</v>
      </c>
      <c r="R47">
        <f t="shared" si="11"/>
        <v>8.9413022517304057</v>
      </c>
      <c r="S47">
        <f t="shared" si="12"/>
        <v>3.1750301492307695</v>
      </c>
      <c r="T47">
        <f t="shared" si="13"/>
        <v>0.15424184636315899</v>
      </c>
      <c r="U47">
        <f t="shared" si="14"/>
        <v>4.0482004171219046</v>
      </c>
      <c r="V47">
        <f t="shared" si="15"/>
        <v>1.2301546262423941</v>
      </c>
      <c r="W47" s="1" t="s">
        <v>542</v>
      </c>
      <c r="X47" s="1" t="s">
        <v>543</v>
      </c>
      <c r="Y47" s="1" t="s">
        <v>544</v>
      </c>
      <c r="Z47" s="1" t="s">
        <v>545</v>
      </c>
      <c r="AA47" s="1" t="s">
        <v>546</v>
      </c>
      <c r="AB47" s="1" t="s">
        <v>547</v>
      </c>
      <c r="AC47">
        <v>3.6131086999999999E-2</v>
      </c>
      <c r="AD47">
        <v>7.1225100000000001E-4</v>
      </c>
      <c r="AE47" s="1" t="s">
        <v>548</v>
      </c>
      <c r="AF47" s="1" t="s">
        <v>141</v>
      </c>
      <c r="AG47">
        <v>8.4928790000000004E-2</v>
      </c>
    </row>
    <row r="48" spans="1:34">
      <c r="A48" t="s">
        <v>23</v>
      </c>
      <c r="B48" t="s">
        <v>142</v>
      </c>
      <c r="C48" t="s">
        <v>16</v>
      </c>
      <c r="D48">
        <v>27</v>
      </c>
      <c r="E48">
        <v>166</v>
      </c>
      <c r="F48">
        <v>694</v>
      </c>
      <c r="G48">
        <f t="shared" si="16"/>
        <v>10.926665024630527</v>
      </c>
      <c r="H48">
        <f t="shared" si="17"/>
        <v>9.0943448275861929</v>
      </c>
      <c r="I48">
        <f t="shared" si="18"/>
        <v>14.114942528735611</v>
      </c>
      <c r="J48">
        <f t="shared" si="19"/>
        <v>159.98337809413269</v>
      </c>
      <c r="K48">
        <f t="shared" si="20"/>
        <v>75.992218085638726</v>
      </c>
      <c r="L48">
        <f t="shared" si="21"/>
        <v>64.965810532000006</v>
      </c>
      <c r="M48">
        <f t="shared" si="22"/>
        <v>16.856723538000001</v>
      </c>
      <c r="N48">
        <f t="shared" si="23"/>
        <v>0.97994465600000003</v>
      </c>
      <c r="O48">
        <f t="shared" si="24"/>
        <v>5.2550873679999999</v>
      </c>
      <c r="P48">
        <f t="shared" si="25"/>
        <v>144.13265509064527</v>
      </c>
      <c r="Q48">
        <f t="shared" si="26"/>
        <v>47.108941385999998</v>
      </c>
      <c r="R48">
        <f t="shared" si="11"/>
        <v>7.8144210591313703</v>
      </c>
      <c r="S48">
        <f t="shared" si="12"/>
        <v>2.5540992317710844</v>
      </c>
      <c r="T48">
        <f t="shared" si="13"/>
        <v>0.139803622052803</v>
      </c>
      <c r="U48">
        <f t="shared" si="14"/>
        <v>3.5222427396867473</v>
      </c>
      <c r="V48">
        <f t="shared" si="15"/>
        <v>1.2475440932538113</v>
      </c>
      <c r="W48" s="1" t="s">
        <v>549</v>
      </c>
      <c r="X48" s="1" t="s">
        <v>550</v>
      </c>
      <c r="Y48" s="1" t="s">
        <v>551</v>
      </c>
      <c r="Z48" s="1" t="s">
        <v>552</v>
      </c>
      <c r="AA48" s="1" t="s">
        <v>553</v>
      </c>
      <c r="AB48">
        <v>9.3610678000000003E-2</v>
      </c>
      <c r="AC48">
        <v>2.4289227E-2</v>
      </c>
      <c r="AD48">
        <v>1.412024E-3</v>
      </c>
      <c r="AE48">
        <v>7.5721720000000003E-3</v>
      </c>
      <c r="AF48" s="1" t="s">
        <v>143</v>
      </c>
      <c r="AG48">
        <v>6.7880318999999995E-2</v>
      </c>
    </row>
    <row r="49" spans="1:34">
      <c r="A49" t="s">
        <v>145</v>
      </c>
      <c r="B49" t="s">
        <v>144</v>
      </c>
      <c r="C49" t="s">
        <v>16</v>
      </c>
      <c r="D49" s="1">
        <v>29</v>
      </c>
      <c r="E49">
        <v>163.66999999999999</v>
      </c>
      <c r="F49">
        <v>695</v>
      </c>
      <c r="G49">
        <f t="shared" si="16"/>
        <v>9.109161290322568</v>
      </c>
      <c r="H49">
        <f t="shared" si="17"/>
        <v>10.086677419354817</v>
      </c>
      <c r="I49">
        <f t="shared" si="18"/>
        <v>13.47311827956989</v>
      </c>
      <c r="J49">
        <f t="shared" si="19"/>
        <v>145.3427299661887</v>
      </c>
      <c r="K49">
        <f t="shared" si="20"/>
        <v>77.060089824872861</v>
      </c>
      <c r="L49">
        <f t="shared" si="21"/>
        <v>68.307961715000005</v>
      </c>
      <c r="M49">
        <f t="shared" si="22"/>
        <v>20.723947849999998</v>
      </c>
      <c r="N49">
        <f t="shared" si="23"/>
        <v>0.95663622500000001</v>
      </c>
      <c r="O49">
        <f t="shared" si="24"/>
        <v>6.1370675349999999</v>
      </c>
      <c r="P49">
        <f t="shared" si="25"/>
        <v>166.49630987578956</v>
      </c>
      <c r="Q49">
        <f t="shared" si="26"/>
        <v>70.128163131217903</v>
      </c>
      <c r="R49">
        <f t="shared" si="11"/>
        <v>9.1554150967318755</v>
      </c>
      <c r="S49">
        <f t="shared" si="12"/>
        <v>3.8562562973114267</v>
      </c>
      <c r="T49">
        <f t="shared" si="13"/>
        <v>0.13865920394902398</v>
      </c>
      <c r="U49">
        <f t="shared" si="14"/>
        <v>3.7561657935785431</v>
      </c>
      <c r="V49">
        <f t="shared" si="15"/>
        <v>1.3164959558710001</v>
      </c>
      <c r="W49" s="1" t="s">
        <v>414</v>
      </c>
      <c r="X49" s="1" t="s">
        <v>554</v>
      </c>
      <c r="Y49" s="1" t="s">
        <v>555</v>
      </c>
      <c r="Z49" s="1" t="s">
        <v>556</v>
      </c>
      <c r="AA49" s="1" t="s">
        <v>557</v>
      </c>
      <c r="AB49">
        <v>9.8284837E-2</v>
      </c>
      <c r="AC49">
        <v>2.9818629999999999E-2</v>
      </c>
      <c r="AD49">
        <v>1.376455E-3</v>
      </c>
      <c r="AE49">
        <v>8.8303129999999994E-3</v>
      </c>
      <c r="AF49" s="1" t="s">
        <v>146</v>
      </c>
      <c r="AG49" s="1" t="s">
        <v>147</v>
      </c>
    </row>
    <row r="50" spans="1:34">
      <c r="A50" t="s">
        <v>26</v>
      </c>
      <c r="B50" t="s">
        <v>148</v>
      </c>
      <c r="C50" t="s">
        <v>16</v>
      </c>
      <c r="D50">
        <v>34</v>
      </c>
      <c r="E50">
        <v>133.33000000000001</v>
      </c>
      <c r="F50">
        <v>547</v>
      </c>
      <c r="G50">
        <f t="shared" si="16"/>
        <v>8.0514642857142622</v>
      </c>
      <c r="H50">
        <f t="shared" si="17"/>
        <v>6.4855714285714239</v>
      </c>
      <c r="I50">
        <f t="shared" si="18"/>
        <v>7.1587301587301502</v>
      </c>
      <c r="J50">
        <f t="shared" si="19"/>
        <v>110.64594203329756</v>
      </c>
      <c r="K50">
        <f t="shared" si="20"/>
        <v>59.063296256124815</v>
      </c>
      <c r="L50">
        <f t="shared" si="21"/>
        <v>57.911768261312304</v>
      </c>
      <c r="M50">
        <f t="shared" si="22"/>
        <v>18.707086259708969</v>
      </c>
      <c r="N50">
        <f t="shared" si="23"/>
        <v>0.92935628200000009</v>
      </c>
      <c r="O50">
        <f t="shared" si="24"/>
        <v>5.3534627439999998</v>
      </c>
      <c r="P50">
        <f t="shared" si="25"/>
        <v>151.87917537407213</v>
      </c>
      <c r="Q50">
        <f t="shared" si="26"/>
        <v>45.205423432000003</v>
      </c>
      <c r="R50">
        <f t="shared" si="11"/>
        <v>10.252100640265876</v>
      </c>
      <c r="S50">
        <f t="shared" si="12"/>
        <v>3.0514423677191926</v>
      </c>
      <c r="T50">
        <f t="shared" si="13"/>
        <v>0.19501599989409898</v>
      </c>
      <c r="U50">
        <f t="shared" si="14"/>
        <v>3.9091420861907347</v>
      </c>
      <c r="V50">
        <f t="shared" si="15"/>
        <v>1.1689144638513278</v>
      </c>
      <c r="W50" s="1" t="s">
        <v>558</v>
      </c>
      <c r="X50" s="1" t="s">
        <v>559</v>
      </c>
      <c r="Y50" s="1" t="s">
        <v>560</v>
      </c>
      <c r="Z50" s="1" t="s">
        <v>561</v>
      </c>
      <c r="AA50" s="1" t="s">
        <v>562</v>
      </c>
      <c r="AB50" s="1" t="s">
        <v>563</v>
      </c>
      <c r="AC50" s="1" t="s">
        <v>564</v>
      </c>
      <c r="AD50">
        <v>1.6990060000000001E-3</v>
      </c>
      <c r="AE50">
        <v>9.7869519999999998E-3</v>
      </c>
      <c r="AF50" s="1" t="s">
        <v>149</v>
      </c>
      <c r="AG50">
        <v>8.2642456000000003E-2</v>
      </c>
      <c r="AH50" s="1"/>
    </row>
    <row r="51" spans="1:34">
      <c r="A51" t="s">
        <v>145</v>
      </c>
      <c r="B51" t="s">
        <v>150</v>
      </c>
      <c r="C51" t="s">
        <v>16</v>
      </c>
      <c r="D51">
        <v>29</v>
      </c>
      <c r="E51">
        <v>179</v>
      </c>
      <c r="F51">
        <v>746</v>
      </c>
      <c r="G51">
        <f t="shared" si="16"/>
        <v>10.238982718893984</v>
      </c>
      <c r="H51">
        <f t="shared" si="17"/>
        <v>10.419677419354826</v>
      </c>
      <c r="I51">
        <f t="shared" si="18"/>
        <v>14.629032258064509</v>
      </c>
      <c r="J51">
        <f t="shared" si="19"/>
        <v>165.38911700961884</v>
      </c>
      <c r="K51">
        <f t="shared" si="20"/>
        <v>84.023186365825779</v>
      </c>
      <c r="L51">
        <f t="shared" si="21"/>
        <v>75.973677578823668</v>
      </c>
      <c r="M51">
        <f t="shared" si="22"/>
        <v>23.787706806282699</v>
      </c>
      <c r="N51">
        <f t="shared" si="23"/>
        <v>0.98191205599999998</v>
      </c>
      <c r="O51">
        <f t="shared" si="24"/>
        <v>7.8956279069766753</v>
      </c>
      <c r="P51">
        <f t="shared" si="25"/>
        <v>164.5643088712047</v>
      </c>
      <c r="Q51">
        <f t="shared" si="26"/>
        <v>52.194832198</v>
      </c>
      <c r="R51">
        <f t="shared" si="11"/>
        <v>8.2741831276024715</v>
      </c>
      <c r="S51">
        <f t="shared" si="12"/>
        <v>2.6243211719664807</v>
      </c>
      <c r="T51">
        <f t="shared" si="13"/>
        <v>0.150629325299202</v>
      </c>
      <c r="U51">
        <f t="shared" si="14"/>
        <v>3.8199055765888996</v>
      </c>
      <c r="V51">
        <f t="shared" si="15"/>
        <v>1.2155527888693791</v>
      </c>
      <c r="W51" s="1" t="s">
        <v>565</v>
      </c>
      <c r="X51" s="1" t="s">
        <v>458</v>
      </c>
      <c r="Y51" s="1" t="s">
        <v>566</v>
      </c>
      <c r="Z51" s="1" t="s">
        <v>567</v>
      </c>
      <c r="AA51" s="1" t="s">
        <v>568</v>
      </c>
      <c r="AB51" s="1" t="s">
        <v>569</v>
      </c>
      <c r="AC51" s="1" t="s">
        <v>570</v>
      </c>
      <c r="AD51">
        <v>1.3162359999999999E-3</v>
      </c>
      <c r="AE51" s="1" t="s">
        <v>571</v>
      </c>
      <c r="AF51" s="1" t="s">
        <v>151</v>
      </c>
      <c r="AG51">
        <v>6.9966263000000001E-2</v>
      </c>
      <c r="AH51" s="1"/>
    </row>
    <row r="52" spans="1:34">
      <c r="A52" t="s">
        <v>69</v>
      </c>
      <c r="B52" t="s">
        <v>152</v>
      </c>
      <c r="C52" t="s">
        <v>16</v>
      </c>
      <c r="D52">
        <v>17</v>
      </c>
      <c r="E52">
        <v>101.67</v>
      </c>
      <c r="F52">
        <v>418</v>
      </c>
      <c r="G52">
        <f t="shared" si="16"/>
        <v>5.6803393829400939</v>
      </c>
      <c r="H52">
        <f t="shared" si="17"/>
        <v>5.0294482758620571</v>
      </c>
      <c r="I52">
        <f t="shared" si="18"/>
        <v>7.0574712643678081</v>
      </c>
      <c r="J52">
        <f t="shared" si="19"/>
        <v>96.262706358522593</v>
      </c>
      <c r="K52">
        <f t="shared" si="20"/>
        <v>46.048808702791185</v>
      </c>
      <c r="L52">
        <f t="shared" si="21"/>
        <v>41.483971099999998</v>
      </c>
      <c r="M52">
        <f t="shared" si="22"/>
        <v>13.531440205429179</v>
      </c>
      <c r="N52">
        <f t="shared" si="23"/>
        <v>0</v>
      </c>
      <c r="O52">
        <f t="shared" si="24"/>
        <v>3.0172581780000001</v>
      </c>
      <c r="P52">
        <f t="shared" si="25"/>
        <v>92.355977710232921</v>
      </c>
      <c r="Q52">
        <f t="shared" si="26"/>
        <v>25.484869783999997</v>
      </c>
      <c r="R52">
        <f t="shared" si="11"/>
        <v>8.1755070265771241</v>
      </c>
      <c r="S52">
        <f t="shared" si="12"/>
        <v>2.2559636869873114</v>
      </c>
      <c r="T52">
        <f t="shared" si="13"/>
        <v>0.15997872709625102</v>
      </c>
      <c r="U52">
        <f t="shared" si="14"/>
        <v>3.6722311389790496</v>
      </c>
      <c r="V52">
        <f t="shared" si="15"/>
        <v>1.1974778808156052</v>
      </c>
      <c r="W52" s="1" t="s">
        <v>572</v>
      </c>
      <c r="X52" s="1" t="s">
        <v>573</v>
      </c>
      <c r="Y52" s="1" t="s">
        <v>574</v>
      </c>
      <c r="Z52" s="1" t="s">
        <v>575</v>
      </c>
      <c r="AA52" s="1" t="s">
        <v>576</v>
      </c>
      <c r="AB52">
        <v>9.9243949999999997E-2</v>
      </c>
      <c r="AC52" s="1" t="s">
        <v>577</v>
      </c>
      <c r="AD52">
        <v>0</v>
      </c>
      <c r="AE52">
        <v>7.2183209999999998E-3</v>
      </c>
      <c r="AF52" s="1" t="s">
        <v>153</v>
      </c>
      <c r="AG52">
        <v>6.0968587999999997E-2</v>
      </c>
    </row>
    <row r="53" spans="1:34">
      <c r="A53" t="s">
        <v>111</v>
      </c>
      <c r="B53" t="s">
        <v>154</v>
      </c>
      <c r="C53" t="s">
        <v>16</v>
      </c>
      <c r="D53">
        <v>28</v>
      </c>
      <c r="E53">
        <v>176.33</v>
      </c>
      <c r="F53">
        <v>743</v>
      </c>
      <c r="G53">
        <f t="shared" si="16"/>
        <v>9.9238957816377109</v>
      </c>
      <c r="H53">
        <f t="shared" si="17"/>
        <v>10.935290322580624</v>
      </c>
      <c r="I53">
        <f t="shared" si="18"/>
        <v>14.376344086021483</v>
      </c>
      <c r="J53">
        <f t="shared" si="19"/>
        <v>172.22690743935519</v>
      </c>
      <c r="K53">
        <f t="shared" si="20"/>
        <v>87.101787728537559</v>
      </c>
      <c r="L53">
        <f t="shared" si="21"/>
        <v>79.736082237439817</v>
      </c>
      <c r="M53">
        <f t="shared" si="22"/>
        <v>20.247936467995608</v>
      </c>
      <c r="N53">
        <f t="shared" si="23"/>
        <v>0.967295354</v>
      </c>
      <c r="O53">
        <f t="shared" si="24"/>
        <v>7.1580426819999996</v>
      </c>
      <c r="P53">
        <f t="shared" si="25"/>
        <v>143.62426771216491</v>
      </c>
      <c r="Q53">
        <f t="shared" si="26"/>
        <v>51.837596509000001</v>
      </c>
      <c r="R53">
        <f t="shared" si="11"/>
        <v>7.330677759935825</v>
      </c>
      <c r="S53">
        <f t="shared" si="12"/>
        <v>2.6458252627516585</v>
      </c>
      <c r="T53">
        <f t="shared" si="13"/>
        <v>0.12353522369201199</v>
      </c>
      <c r="U53">
        <f t="shared" si="14"/>
        <v>4.0697824541312215</v>
      </c>
      <c r="V53">
        <f t="shared" si="15"/>
        <v>1.2707111889545464</v>
      </c>
      <c r="W53" s="1" t="s">
        <v>578</v>
      </c>
      <c r="X53" s="1" t="s">
        <v>579</v>
      </c>
      <c r="Y53" s="1" t="s">
        <v>580</v>
      </c>
      <c r="Z53" s="1" t="s">
        <v>581</v>
      </c>
      <c r="AA53" s="1" t="s">
        <v>582</v>
      </c>
      <c r="AB53" s="1" t="s">
        <v>583</v>
      </c>
      <c r="AC53" s="1" t="s">
        <v>584</v>
      </c>
      <c r="AD53">
        <v>1.301878E-3</v>
      </c>
      <c r="AE53">
        <v>9.633974E-3</v>
      </c>
      <c r="AF53" s="1" t="s">
        <v>155</v>
      </c>
      <c r="AG53">
        <v>6.9767963000000002E-2</v>
      </c>
    </row>
    <row r="54" spans="1:34">
      <c r="A54" t="s">
        <v>15</v>
      </c>
      <c r="B54" t="s">
        <v>156</v>
      </c>
      <c r="C54" t="s">
        <v>16</v>
      </c>
      <c r="D54">
        <v>28</v>
      </c>
      <c r="E54">
        <v>159</v>
      </c>
      <c r="F54">
        <v>667</v>
      </c>
      <c r="G54">
        <f t="shared" si="16"/>
        <v>9.998505747126428</v>
      </c>
      <c r="H54">
        <f t="shared" si="17"/>
        <v>9.8751724137930932</v>
      </c>
      <c r="I54">
        <f t="shared" si="18"/>
        <v>13.241379310344808</v>
      </c>
      <c r="J54">
        <f t="shared" si="19"/>
        <v>141.85233880163079</v>
      </c>
      <c r="K54">
        <f t="shared" si="20"/>
        <v>73.112272627355324</v>
      </c>
      <c r="L54">
        <f t="shared" si="21"/>
        <v>70.365287864071334</v>
      </c>
      <c r="M54">
        <f t="shared" si="22"/>
        <v>21.804197368420965</v>
      </c>
      <c r="N54">
        <f t="shared" si="23"/>
        <v>0.97847899500000002</v>
      </c>
      <c r="O54">
        <f t="shared" si="24"/>
        <v>6.8926700143471562</v>
      </c>
      <c r="P54">
        <f t="shared" si="25"/>
        <v>173.52528544954521</v>
      </c>
      <c r="Q54">
        <f t="shared" si="26"/>
        <v>52.109325642000002</v>
      </c>
      <c r="R54">
        <f t="shared" si="11"/>
        <v>9.8221859688421809</v>
      </c>
      <c r="S54">
        <f t="shared" si="12"/>
        <v>2.949584470301887</v>
      </c>
      <c r="T54">
        <f t="shared" si="13"/>
        <v>0.182032923249693</v>
      </c>
      <c r="U54">
        <f t="shared" si="14"/>
        <v>3.9829408224946037</v>
      </c>
      <c r="V54">
        <f t="shared" si="15"/>
        <v>1.2198846820354139</v>
      </c>
      <c r="W54" s="1" t="s">
        <v>585</v>
      </c>
      <c r="X54" s="1" t="s">
        <v>404</v>
      </c>
      <c r="Y54" s="1" t="s">
        <v>586</v>
      </c>
      <c r="Z54" s="1" t="s">
        <v>587</v>
      </c>
      <c r="AA54" s="1" t="s">
        <v>588</v>
      </c>
      <c r="AB54" s="1" t="s">
        <v>589</v>
      </c>
      <c r="AC54" s="1" t="s">
        <v>590</v>
      </c>
      <c r="AD54">
        <v>1.4669850000000001E-3</v>
      </c>
      <c r="AE54" s="1" t="s">
        <v>591</v>
      </c>
      <c r="AF54" s="1" t="s">
        <v>157</v>
      </c>
      <c r="AG54">
        <v>7.8124925999999997E-2</v>
      </c>
      <c r="AH54" s="1"/>
    </row>
    <row r="55" spans="1:34">
      <c r="A55" t="s">
        <v>51</v>
      </c>
      <c r="B55" t="s">
        <v>158</v>
      </c>
      <c r="C55" t="s">
        <v>16</v>
      </c>
      <c r="D55">
        <v>28</v>
      </c>
      <c r="E55">
        <v>163.66999999999999</v>
      </c>
      <c r="F55">
        <v>685</v>
      </c>
      <c r="G55">
        <f t="shared" si="16"/>
        <v>8.6878551724137871</v>
      </c>
      <c r="H55">
        <f t="shared" si="17"/>
        <v>9.8636896551723883</v>
      </c>
      <c r="I55">
        <f t="shared" si="18"/>
        <v>12.925287356321817</v>
      </c>
      <c r="J55">
        <f t="shared" si="19"/>
        <v>155.75925525582576</v>
      </c>
      <c r="K55">
        <f t="shared" si="20"/>
        <v>85.20172962156019</v>
      </c>
      <c r="L55">
        <f t="shared" si="21"/>
        <v>72.876030086026645</v>
      </c>
      <c r="M55">
        <f t="shared" si="22"/>
        <v>25.446037499999999</v>
      </c>
      <c r="N55">
        <f t="shared" si="23"/>
        <v>0.97701961000000004</v>
      </c>
      <c r="O55">
        <f t="shared" si="24"/>
        <v>4.2409089799999995</v>
      </c>
      <c r="P55">
        <f t="shared" si="25"/>
        <v>146.09035259775027</v>
      </c>
      <c r="Q55">
        <f t="shared" si="26"/>
        <v>51.077861384999999</v>
      </c>
      <c r="R55">
        <f t="shared" si="11"/>
        <v>8.0333180997113249</v>
      </c>
      <c r="S55">
        <f t="shared" si="12"/>
        <v>2.8087050312519097</v>
      </c>
      <c r="T55">
        <f t="shared" si="13"/>
        <v>0.13870436673394199</v>
      </c>
      <c r="U55">
        <f t="shared" si="14"/>
        <v>4.0073579200479008</v>
      </c>
      <c r="V55">
        <f t="shared" si="15"/>
        <v>1.263744831922929</v>
      </c>
      <c r="W55" s="1" t="s">
        <v>592</v>
      </c>
      <c r="X55" s="1" t="s">
        <v>593</v>
      </c>
      <c r="Y55" s="1" t="s">
        <v>594</v>
      </c>
      <c r="Z55" s="1" t="s">
        <v>595</v>
      </c>
      <c r="AA55" s="1" t="s">
        <v>596</v>
      </c>
      <c r="AB55" s="1" t="s">
        <v>597</v>
      </c>
      <c r="AC55">
        <v>3.71475E-2</v>
      </c>
      <c r="AD55">
        <v>1.426306E-3</v>
      </c>
      <c r="AE55">
        <v>6.1911079999999999E-3</v>
      </c>
      <c r="AF55" s="1" t="s">
        <v>159</v>
      </c>
      <c r="AG55">
        <v>7.4566221000000002E-2</v>
      </c>
    </row>
    <row r="56" spans="1:34">
      <c r="A56" t="s">
        <v>161</v>
      </c>
      <c r="B56" t="s">
        <v>160</v>
      </c>
      <c r="C56" t="s">
        <v>16</v>
      </c>
      <c r="D56">
        <v>26</v>
      </c>
      <c r="E56">
        <v>155</v>
      </c>
      <c r="F56">
        <v>631</v>
      </c>
      <c r="G56">
        <f t="shared" si="16"/>
        <v>9.0975599999999766</v>
      </c>
      <c r="H56">
        <f t="shared" si="17"/>
        <v>8.6579999999999746</v>
      </c>
      <c r="I56">
        <f t="shared" si="18"/>
        <v>12.49999999999998</v>
      </c>
      <c r="J56">
        <f t="shared" si="19"/>
        <v>144.5437906715257</v>
      </c>
      <c r="K56">
        <f t="shared" si="20"/>
        <v>75.892349732661899</v>
      </c>
      <c r="L56">
        <f t="shared" si="21"/>
        <v>68.455715489222172</v>
      </c>
      <c r="M56">
        <f t="shared" si="22"/>
        <v>27.875276809371044</v>
      </c>
      <c r="N56">
        <f t="shared" si="23"/>
        <v>0.49999998299999998</v>
      </c>
      <c r="O56">
        <f t="shared" si="24"/>
        <v>3.9709334800000002</v>
      </c>
      <c r="P56">
        <f t="shared" si="25"/>
        <v>141.29189388408253</v>
      </c>
      <c r="Q56">
        <f t="shared" si="26"/>
        <v>34.233073206999997</v>
      </c>
      <c r="R56">
        <f t="shared" si="11"/>
        <v>8.2040454513338243</v>
      </c>
      <c r="S56">
        <f t="shared" si="12"/>
        <v>1.9877268313741934</v>
      </c>
      <c r="T56">
        <f t="shared" si="13"/>
        <v>0.169665325954172</v>
      </c>
      <c r="U56">
        <f t="shared" si="14"/>
        <v>3.9748479961483842</v>
      </c>
      <c r="V56">
        <f t="shared" si="15"/>
        <v>1.1533991217969399</v>
      </c>
      <c r="W56" s="1" t="s">
        <v>598</v>
      </c>
      <c r="X56" s="1" t="s">
        <v>264</v>
      </c>
      <c r="Y56" s="1" t="s">
        <v>599</v>
      </c>
      <c r="Z56" s="1" t="s">
        <v>600</v>
      </c>
      <c r="AA56" s="1" t="s">
        <v>601</v>
      </c>
      <c r="AB56" s="1" t="s">
        <v>602</v>
      </c>
      <c r="AC56" s="1" t="s">
        <v>603</v>
      </c>
      <c r="AD56">
        <v>7.9239299999999996E-4</v>
      </c>
      <c r="AE56">
        <v>6.2930800000000004E-3</v>
      </c>
      <c r="AF56" s="1" t="s">
        <v>162</v>
      </c>
      <c r="AG56">
        <v>5.4252096999999999E-2</v>
      </c>
    </row>
    <row r="57" spans="1:34">
      <c r="A57" t="s">
        <v>161</v>
      </c>
      <c r="B57" t="s">
        <v>163</v>
      </c>
      <c r="C57" t="s">
        <v>16</v>
      </c>
      <c r="D57">
        <v>23</v>
      </c>
      <c r="E57">
        <v>126.67</v>
      </c>
      <c r="F57">
        <v>530</v>
      </c>
      <c r="G57">
        <f t="shared" si="16"/>
        <v>7.5736153846153798</v>
      </c>
      <c r="H57">
        <f t="shared" si="17"/>
        <v>7.8671249999999944</v>
      </c>
      <c r="I57">
        <f t="shared" si="18"/>
        <v>9.923611111111093</v>
      </c>
      <c r="J57">
        <f t="shared" si="19"/>
        <v>117.8063812377433</v>
      </c>
      <c r="K57">
        <f t="shared" si="20"/>
        <v>62.150627568368741</v>
      </c>
      <c r="L57">
        <f t="shared" si="21"/>
        <v>57.069301851466555</v>
      </c>
      <c r="M57">
        <f t="shared" si="22"/>
        <v>16.607794781195306</v>
      </c>
      <c r="N57">
        <f t="shared" si="23"/>
        <v>0.49999988000000001</v>
      </c>
      <c r="O57">
        <f t="shared" si="24"/>
        <v>5.1747822000000001</v>
      </c>
      <c r="P57">
        <f t="shared" si="25"/>
        <v>110.24206450134574</v>
      </c>
      <c r="Q57">
        <f t="shared" si="26"/>
        <v>39.33156924</v>
      </c>
      <c r="R57">
        <f t="shared" si="11"/>
        <v>7.8327826676569954</v>
      </c>
      <c r="S57">
        <f t="shared" si="12"/>
        <v>2.7945379581589957</v>
      </c>
      <c r="T57">
        <f t="shared" si="13"/>
        <v>0.13379338728555801</v>
      </c>
      <c r="U57">
        <f t="shared" si="14"/>
        <v>4.0548173731996444</v>
      </c>
      <c r="V57">
        <f t="shared" si="15"/>
        <v>1.2405301214000417</v>
      </c>
      <c r="W57" s="1" t="s">
        <v>604</v>
      </c>
      <c r="X57" s="1" t="s">
        <v>605</v>
      </c>
      <c r="Y57" s="1" t="s">
        <v>606</v>
      </c>
      <c r="Z57" s="1" t="s">
        <v>607</v>
      </c>
      <c r="AA57" s="1" t="s">
        <v>608</v>
      </c>
      <c r="AB57" s="1" t="s">
        <v>609</v>
      </c>
      <c r="AC57" s="1" t="s">
        <v>610</v>
      </c>
      <c r="AD57">
        <v>9.4339599999999999E-4</v>
      </c>
      <c r="AE57">
        <v>9.7637399999999999E-3</v>
      </c>
      <c r="AF57" s="1" t="s">
        <v>164</v>
      </c>
      <c r="AG57">
        <v>7.4210507999999994E-2</v>
      </c>
    </row>
    <row r="58" spans="1:34">
      <c r="A58" t="s">
        <v>48</v>
      </c>
      <c r="B58" t="s">
        <v>165</v>
      </c>
      <c r="C58" t="s">
        <v>16</v>
      </c>
      <c r="D58">
        <v>18</v>
      </c>
      <c r="E58">
        <v>109.33</v>
      </c>
      <c r="F58">
        <v>452</v>
      </c>
      <c r="G58">
        <f t="shared" si="16"/>
        <v>6.6241853546910656</v>
      </c>
      <c r="H58">
        <f t="shared" si="17"/>
        <v>5.7478695652173775</v>
      </c>
      <c r="I58">
        <f t="shared" si="18"/>
        <v>9.159420289855067</v>
      </c>
      <c r="J58">
        <f t="shared" si="19"/>
        <v>97.210895210422507</v>
      </c>
      <c r="K58">
        <f t="shared" si="20"/>
        <v>49.594096586560113</v>
      </c>
      <c r="L58">
        <f t="shared" si="21"/>
        <v>47.730741138060992</v>
      </c>
      <c r="M58">
        <f t="shared" si="22"/>
        <v>15.701636142093868</v>
      </c>
      <c r="N58">
        <f t="shared" si="23"/>
        <v>0.50000013999999993</v>
      </c>
      <c r="O58">
        <f t="shared" si="24"/>
        <v>3.992493852</v>
      </c>
      <c r="P58">
        <f t="shared" si="25"/>
        <v>107.20370057815352</v>
      </c>
      <c r="Q58">
        <f t="shared" si="26"/>
        <v>32.080579315999998</v>
      </c>
      <c r="R58">
        <f t="shared" si="11"/>
        <v>8.8249639184430766</v>
      </c>
      <c r="S58">
        <f t="shared" si="12"/>
        <v>2.6408599089362479</v>
      </c>
      <c r="T58">
        <f t="shared" si="13"/>
        <v>0.16620159571272902</v>
      </c>
      <c r="U58">
        <f t="shared" si="14"/>
        <v>3.9291747026666872</v>
      </c>
      <c r="V58">
        <f t="shared" si="15"/>
        <v>1.1825800285961998</v>
      </c>
      <c r="W58" s="1" t="s">
        <v>611</v>
      </c>
      <c r="X58" s="1" t="s">
        <v>612</v>
      </c>
      <c r="Y58" s="1" t="s">
        <v>613</v>
      </c>
      <c r="Z58" s="1" t="s">
        <v>614</v>
      </c>
      <c r="AA58" s="1" t="s">
        <v>615</v>
      </c>
      <c r="AB58" s="1" t="s">
        <v>616</v>
      </c>
      <c r="AC58" s="1" t="s">
        <v>617</v>
      </c>
      <c r="AD58">
        <v>1.1061949999999999E-3</v>
      </c>
      <c r="AE58">
        <v>8.8329510000000003E-3</v>
      </c>
      <c r="AF58" s="1" t="s">
        <v>166</v>
      </c>
      <c r="AG58">
        <v>7.0974732999999998E-2</v>
      </c>
    </row>
    <row r="59" spans="1:34">
      <c r="A59" t="s">
        <v>48</v>
      </c>
      <c r="B59" t="s">
        <v>167</v>
      </c>
      <c r="C59" t="s">
        <v>16</v>
      </c>
      <c r="D59">
        <v>24</v>
      </c>
      <c r="E59">
        <v>145.66999999999999</v>
      </c>
      <c r="F59">
        <v>607</v>
      </c>
      <c r="G59">
        <f t="shared" si="16"/>
        <v>9.1812857142857034</v>
      </c>
      <c r="H59">
        <f t="shared" si="17"/>
        <v>8.2298571428571368</v>
      </c>
      <c r="I59">
        <f t="shared" si="18"/>
        <v>11.785714285714272</v>
      </c>
      <c r="J59">
        <f t="shared" si="19"/>
        <v>124.72873168017452</v>
      </c>
      <c r="K59">
        <f t="shared" si="20"/>
        <v>67.793156376806579</v>
      </c>
      <c r="L59">
        <f t="shared" si="21"/>
        <v>64.248688553308398</v>
      </c>
      <c r="M59">
        <f t="shared" si="22"/>
        <v>20.739682936686073</v>
      </c>
      <c r="N59">
        <f t="shared" si="23"/>
        <v>0.49999986099999999</v>
      </c>
      <c r="O59">
        <f t="shared" si="24"/>
        <v>6.0422376409999998</v>
      </c>
      <c r="P59">
        <f t="shared" si="25"/>
        <v>149.27067501157751</v>
      </c>
      <c r="Q59">
        <f t="shared" si="26"/>
        <v>53.120519684000001</v>
      </c>
      <c r="R59">
        <f t="shared" si="11"/>
        <v>9.222462244142223</v>
      </c>
      <c r="S59">
        <f t="shared" si="12"/>
        <v>3.2819707362943644</v>
      </c>
      <c r="T59">
        <f t="shared" si="13"/>
        <v>0.15840223282961699</v>
      </c>
      <c r="U59">
        <f t="shared" si="14"/>
        <v>3.9695077708503854</v>
      </c>
      <c r="V59">
        <f t="shared" si="15"/>
        <v>1.220905137393935</v>
      </c>
      <c r="W59" s="1" t="s">
        <v>618</v>
      </c>
      <c r="X59" s="1" t="s">
        <v>619</v>
      </c>
      <c r="Y59" s="1" t="s">
        <v>620</v>
      </c>
      <c r="Z59" s="1" t="s">
        <v>621</v>
      </c>
      <c r="AA59" s="1" t="s">
        <v>622</v>
      </c>
      <c r="AB59" s="1" t="s">
        <v>623</v>
      </c>
      <c r="AC59" s="1" t="s">
        <v>624</v>
      </c>
      <c r="AD59">
        <v>8.2372299999999995E-4</v>
      </c>
      <c r="AE59">
        <v>9.9542629999999997E-3</v>
      </c>
      <c r="AF59" s="1" t="s">
        <v>168</v>
      </c>
      <c r="AG59">
        <v>8.7513212000000007E-2</v>
      </c>
    </row>
    <row r="60" spans="1:34">
      <c r="A60" t="s">
        <v>170</v>
      </c>
      <c r="B60" t="s">
        <v>169</v>
      </c>
      <c r="C60" t="s">
        <v>16</v>
      </c>
      <c r="D60">
        <v>29</v>
      </c>
      <c r="E60">
        <v>178.33</v>
      </c>
      <c r="F60">
        <v>753</v>
      </c>
      <c r="G60">
        <f t="shared" si="16"/>
        <v>11.263277419354834</v>
      </c>
      <c r="H60">
        <f t="shared" si="17"/>
        <v>10.752677419354836</v>
      </c>
      <c r="I60">
        <f t="shared" si="18"/>
        <v>14.650537634408588</v>
      </c>
      <c r="J60">
        <f t="shared" si="19"/>
        <v>172.47843469529255</v>
      </c>
      <c r="K60">
        <f t="shared" si="20"/>
        <v>88.333211010964973</v>
      </c>
      <c r="L60">
        <f t="shared" si="21"/>
        <v>78.682599502190357</v>
      </c>
      <c r="M60">
        <f t="shared" si="22"/>
        <v>23.37453621237081</v>
      </c>
      <c r="N60">
        <f t="shared" si="23"/>
        <v>0.97537897200000001</v>
      </c>
      <c r="O60">
        <f t="shared" si="24"/>
        <v>6.1980634800000001</v>
      </c>
      <c r="P60">
        <f t="shared" si="25"/>
        <v>163.84317400166452</v>
      </c>
      <c r="Q60">
        <f t="shared" si="26"/>
        <v>58.719201291000005</v>
      </c>
      <c r="R60">
        <f t="shared" si="11"/>
        <v>8.2688754893454863</v>
      </c>
      <c r="S60">
        <f t="shared" si="12"/>
        <v>2.9634543353277629</v>
      </c>
      <c r="T60">
        <f t="shared" si="13"/>
        <v>0.13960686946967399</v>
      </c>
      <c r="U60">
        <f t="shared" si="14"/>
        <v>3.9709717687417325</v>
      </c>
      <c r="V60">
        <f t="shared" si="15"/>
        <v>1.2964595748684602</v>
      </c>
      <c r="W60" s="1" t="s">
        <v>625</v>
      </c>
      <c r="X60" s="1" t="s">
        <v>626</v>
      </c>
      <c r="Y60" s="1" t="s">
        <v>627</v>
      </c>
      <c r="Z60" s="1" t="s">
        <v>628</v>
      </c>
      <c r="AA60" s="1" t="s">
        <v>629</v>
      </c>
      <c r="AB60" s="1" t="s">
        <v>630</v>
      </c>
      <c r="AC60" s="1" t="s">
        <v>631</v>
      </c>
      <c r="AD60">
        <v>1.295324E-3</v>
      </c>
      <c r="AE60">
        <v>8.2311599999999995E-3</v>
      </c>
      <c r="AF60" s="1" t="s">
        <v>171</v>
      </c>
      <c r="AG60">
        <v>7.7980347000000005E-2</v>
      </c>
    </row>
    <row r="61" spans="1:34">
      <c r="A61" t="s">
        <v>173</v>
      </c>
      <c r="B61" t="s">
        <v>172</v>
      </c>
      <c r="C61" t="s">
        <v>118</v>
      </c>
      <c r="D61">
        <v>33</v>
      </c>
      <c r="E61">
        <v>133.33000000000001</v>
      </c>
      <c r="F61">
        <v>564</v>
      </c>
      <c r="G61">
        <f t="shared" si="16"/>
        <v>6.5560316742081151</v>
      </c>
      <c r="H61">
        <f t="shared" si="17"/>
        <v>9.235852941176466</v>
      </c>
      <c r="I61">
        <f t="shared" si="18"/>
        <v>8.1519607843137099</v>
      </c>
      <c r="J61">
        <f t="shared" si="19"/>
        <v>120.09103809752658</v>
      </c>
      <c r="K61">
        <f t="shared" si="20"/>
        <v>62.873282876513002</v>
      </c>
      <c r="L61">
        <f t="shared" si="21"/>
        <v>60.882597969344211</v>
      </c>
      <c r="M61">
        <f t="shared" si="22"/>
        <v>18.382106268000001</v>
      </c>
      <c r="N61">
        <f t="shared" si="23"/>
        <v>1.9469093879999999</v>
      </c>
      <c r="O61">
        <f t="shared" si="24"/>
        <v>6.379891469861291</v>
      </c>
      <c r="P61">
        <f t="shared" si="25"/>
        <v>148.10034823426244</v>
      </c>
      <c r="Q61">
        <f t="shared" si="26"/>
        <v>49.046883275999996</v>
      </c>
      <c r="R61">
        <f t="shared" si="11"/>
        <v>9.9970234313984978</v>
      </c>
      <c r="S61">
        <f t="shared" si="12"/>
        <v>3.310747389814745</v>
      </c>
      <c r="T61">
        <f t="shared" si="13"/>
        <v>0.17562671091890503</v>
      </c>
      <c r="U61">
        <f t="shared" si="14"/>
        <v>4.1096781048833559</v>
      </c>
      <c r="V61">
        <f t="shared" si="15"/>
        <v>1.2685661244545605</v>
      </c>
      <c r="W61" s="1" t="s">
        <v>632</v>
      </c>
      <c r="X61" s="1" t="s">
        <v>633</v>
      </c>
      <c r="Y61" s="1" t="s">
        <v>634</v>
      </c>
      <c r="Z61" s="1" t="s">
        <v>635</v>
      </c>
      <c r="AA61" s="1" t="s">
        <v>636</v>
      </c>
      <c r="AB61" s="1" t="s">
        <v>637</v>
      </c>
      <c r="AC61">
        <v>3.2592387E-2</v>
      </c>
      <c r="AD61">
        <v>3.4519669999999998E-3</v>
      </c>
      <c r="AE61" s="1" t="s">
        <v>638</v>
      </c>
      <c r="AF61" s="1" t="s">
        <v>174</v>
      </c>
      <c r="AG61">
        <v>8.6962558999999995E-2</v>
      </c>
      <c r="AH61" s="1"/>
    </row>
    <row r="62" spans="1:34">
      <c r="A62" t="s">
        <v>140</v>
      </c>
      <c r="B62" t="s">
        <v>175</v>
      </c>
      <c r="C62" t="s">
        <v>16</v>
      </c>
      <c r="D62">
        <v>29</v>
      </c>
      <c r="E62">
        <v>153.66999999999999</v>
      </c>
      <c r="F62">
        <v>629</v>
      </c>
      <c r="G62">
        <f t="shared" si="16"/>
        <v>9.0876774193548169</v>
      </c>
      <c r="H62">
        <f t="shared" si="17"/>
        <v>9.109161290322568</v>
      </c>
      <c r="I62">
        <f t="shared" si="18"/>
        <v>12.962365591397845</v>
      </c>
      <c r="J62">
        <f t="shared" si="19"/>
        <v>142.06155478213381</v>
      </c>
      <c r="K62">
        <f t="shared" si="20"/>
        <v>66.782530414889791</v>
      </c>
      <c r="L62">
        <f t="shared" si="21"/>
        <v>62.090887107999997</v>
      </c>
      <c r="M62">
        <f t="shared" si="22"/>
        <v>17.646043380610113</v>
      </c>
      <c r="N62">
        <f t="shared" si="23"/>
        <v>0.94109407499999997</v>
      </c>
      <c r="O62">
        <f t="shared" si="24"/>
        <v>5.0691242089999999</v>
      </c>
      <c r="P62">
        <f t="shared" si="25"/>
        <v>134.42389944916081</v>
      </c>
      <c r="Q62">
        <f t="shared" si="26"/>
        <v>39.357559672999997</v>
      </c>
      <c r="R62">
        <f t="shared" si="11"/>
        <v>7.8728124880747536</v>
      </c>
      <c r="S62">
        <f t="shared" si="12"/>
        <v>2.3050565305980348</v>
      </c>
      <c r="T62">
        <f t="shared" si="13"/>
        <v>0.15113885497004897</v>
      </c>
      <c r="U62">
        <f t="shared" si="14"/>
        <v>3.6364806661807769</v>
      </c>
      <c r="V62">
        <f t="shared" si="15"/>
        <v>1.1805760034823571</v>
      </c>
      <c r="W62" s="1" t="s">
        <v>639</v>
      </c>
      <c r="X62" s="1" t="s">
        <v>414</v>
      </c>
      <c r="Y62" s="1" t="s">
        <v>640</v>
      </c>
      <c r="Z62" s="1" t="s">
        <v>641</v>
      </c>
      <c r="AA62" s="1" t="s">
        <v>642</v>
      </c>
      <c r="AB62">
        <v>9.8713651999999999E-2</v>
      </c>
      <c r="AC62" s="1" t="s">
        <v>643</v>
      </c>
      <c r="AD62">
        <v>1.496175E-3</v>
      </c>
      <c r="AE62">
        <v>8.0590209999999995E-3</v>
      </c>
      <c r="AF62" s="1" t="s">
        <v>176</v>
      </c>
      <c r="AG62">
        <v>6.2571636999999999E-2</v>
      </c>
    </row>
    <row r="63" spans="1:34">
      <c r="A63" t="s">
        <v>29</v>
      </c>
      <c r="B63" t="s">
        <v>177</v>
      </c>
      <c r="C63" t="s">
        <v>16</v>
      </c>
      <c r="D63">
        <v>28</v>
      </c>
      <c r="E63">
        <v>168</v>
      </c>
      <c r="F63">
        <v>700</v>
      </c>
      <c r="G63">
        <f t="shared" si="16"/>
        <v>10.135016129032255</v>
      </c>
      <c r="H63">
        <f t="shared" si="17"/>
        <v>9.3347419354838603</v>
      </c>
      <c r="I63">
        <f t="shared" si="18"/>
        <v>13.892473118279559</v>
      </c>
      <c r="J63">
        <f t="shared" si="19"/>
        <v>159.32089429943329</v>
      </c>
      <c r="K63">
        <f t="shared" si="20"/>
        <v>81.494575789544399</v>
      </c>
      <c r="L63">
        <f t="shared" si="21"/>
        <v>77.676403199168192</v>
      </c>
      <c r="M63">
        <f t="shared" si="22"/>
        <v>25.301727499999998</v>
      </c>
      <c r="N63">
        <f t="shared" si="23"/>
        <v>0.96174119999999996</v>
      </c>
      <c r="O63">
        <f t="shared" si="24"/>
        <v>5.1609683999999998</v>
      </c>
      <c r="P63">
        <f t="shared" si="25"/>
        <v>165.0726269639363</v>
      </c>
      <c r="Q63">
        <f t="shared" si="26"/>
        <v>46.772523700000001</v>
      </c>
      <c r="R63">
        <f t="shared" si="11"/>
        <v>8.8431764444965868</v>
      </c>
      <c r="S63">
        <f t="shared" si="12"/>
        <v>2.5056709124999998</v>
      </c>
      <c r="T63">
        <f t="shared" si="13"/>
        <v>0.16900014751990899</v>
      </c>
      <c r="U63">
        <f t="shared" si="14"/>
        <v>4.1612358856697247</v>
      </c>
      <c r="V63">
        <f t="shared" si="15"/>
        <v>1.2267465357109124</v>
      </c>
      <c r="W63" s="1" t="s">
        <v>644</v>
      </c>
      <c r="X63" s="1" t="s">
        <v>645</v>
      </c>
      <c r="Y63" s="1" t="s">
        <v>646</v>
      </c>
      <c r="Z63" s="1" t="s">
        <v>647</v>
      </c>
      <c r="AA63" s="1" t="s">
        <v>648</v>
      </c>
      <c r="AB63" s="1" t="s">
        <v>649</v>
      </c>
      <c r="AC63">
        <v>3.6145324999999999E-2</v>
      </c>
      <c r="AD63">
        <v>1.373916E-3</v>
      </c>
      <c r="AE63">
        <v>7.3728120000000003E-3</v>
      </c>
      <c r="AF63" s="1" t="s">
        <v>178</v>
      </c>
      <c r="AG63">
        <v>6.6817891000000004E-2</v>
      </c>
    </row>
    <row r="64" spans="1:34">
      <c r="A64" t="s">
        <v>170</v>
      </c>
      <c r="B64" t="s">
        <v>179</v>
      </c>
      <c r="C64" t="s">
        <v>118</v>
      </c>
      <c r="D64">
        <v>32</v>
      </c>
      <c r="E64">
        <v>159</v>
      </c>
      <c r="F64">
        <v>668</v>
      </c>
      <c r="G64">
        <f t="shared" si="16"/>
        <v>8.3733484573502714</v>
      </c>
      <c r="H64">
        <f t="shared" si="17"/>
        <v>8.7982105263157759</v>
      </c>
      <c r="I64">
        <f t="shared" si="18"/>
        <v>10.447368421052609</v>
      </c>
      <c r="J64">
        <f t="shared" si="19"/>
        <v>158.53998391888908</v>
      </c>
      <c r="K64">
        <f t="shared" si="20"/>
        <v>79.150369443885069</v>
      </c>
      <c r="L64">
        <f t="shared" si="21"/>
        <v>71.260726868047215</v>
      </c>
      <c r="M64">
        <f t="shared" si="22"/>
        <v>21.543752835999999</v>
      </c>
      <c r="N64">
        <f t="shared" si="23"/>
        <v>0.97850978</v>
      </c>
      <c r="O64">
        <f t="shared" si="24"/>
        <v>5.2248595279999996</v>
      </c>
      <c r="P64">
        <f t="shared" si="25"/>
        <v>131.07276116157561</v>
      </c>
      <c r="Q64">
        <f t="shared" si="26"/>
        <v>43.173025703999997</v>
      </c>
      <c r="R64">
        <f t="shared" si="11"/>
        <v>7.4192128959382417</v>
      </c>
      <c r="S64">
        <f t="shared" si="12"/>
        <v>2.4437561719245284</v>
      </c>
      <c r="T64">
        <f t="shared" si="13"/>
        <v>0.13158643032571199</v>
      </c>
      <c r="U64">
        <f t="shared" si="14"/>
        <v>4.0336260491347478</v>
      </c>
      <c r="V64">
        <f t="shared" si="15"/>
        <v>1.2686352806471011</v>
      </c>
      <c r="W64" s="1" t="s">
        <v>650</v>
      </c>
      <c r="X64" s="1" t="s">
        <v>651</v>
      </c>
      <c r="Y64" s="1" t="s">
        <v>652</v>
      </c>
      <c r="Z64" s="1" t="s">
        <v>653</v>
      </c>
      <c r="AA64" s="1" t="s">
        <v>654</v>
      </c>
      <c r="AB64" s="1" t="s">
        <v>655</v>
      </c>
      <c r="AC64">
        <v>3.2251126999999997E-2</v>
      </c>
      <c r="AD64">
        <v>1.4648350000000001E-3</v>
      </c>
      <c r="AE64">
        <v>7.8216459999999998E-3</v>
      </c>
      <c r="AF64" s="1" t="s">
        <v>180</v>
      </c>
      <c r="AG64">
        <v>6.4630277999999999E-2</v>
      </c>
    </row>
    <row r="65" spans="1:34">
      <c r="A65" t="s">
        <v>26</v>
      </c>
      <c r="B65" t="s">
        <v>181</v>
      </c>
      <c r="C65" t="s">
        <v>16</v>
      </c>
      <c r="D65">
        <v>33</v>
      </c>
      <c r="E65">
        <v>114</v>
      </c>
      <c r="F65">
        <v>489</v>
      </c>
      <c r="G65">
        <f t="shared" si="16"/>
        <v>6.9726951219512072</v>
      </c>
      <c r="H65">
        <f t="shared" si="17"/>
        <v>5.8721707317073015</v>
      </c>
      <c r="I65">
        <f t="shared" si="18"/>
        <v>5.6544715447154221</v>
      </c>
      <c r="J65">
        <f t="shared" si="19"/>
        <v>107.22069872325125</v>
      </c>
      <c r="K65">
        <f t="shared" si="20"/>
        <v>57.505104563746322</v>
      </c>
      <c r="L65">
        <f t="shared" si="21"/>
        <v>52.590891429110101</v>
      </c>
      <c r="M65">
        <f t="shared" si="22"/>
        <v>14.586003745099799</v>
      </c>
      <c r="N65">
        <f t="shared" si="23"/>
        <v>0.94373870399999993</v>
      </c>
      <c r="O65">
        <f t="shared" si="24"/>
        <v>6.4059149576837369</v>
      </c>
      <c r="P65">
        <f t="shared" si="25"/>
        <v>119.43058649798145</v>
      </c>
      <c r="Q65">
        <f t="shared" si="26"/>
        <v>43.528529132999999</v>
      </c>
      <c r="R65">
        <f t="shared" si="11"/>
        <v>9.4287305129985359</v>
      </c>
      <c r="S65">
        <f t="shared" si="12"/>
        <v>3.4364628262894734</v>
      </c>
      <c r="T65">
        <f t="shared" si="13"/>
        <v>0.155218931216731</v>
      </c>
      <c r="U65">
        <f t="shared" si="14"/>
        <v>4.1519124812455344</v>
      </c>
      <c r="V65">
        <f t="shared" si="15"/>
        <v>1.3223616478618532</v>
      </c>
      <c r="W65" s="1" t="s">
        <v>656</v>
      </c>
      <c r="X65" s="1" t="s">
        <v>657</v>
      </c>
      <c r="Y65" s="1" t="s">
        <v>658</v>
      </c>
      <c r="Z65" s="1" t="s">
        <v>659</v>
      </c>
      <c r="AA65" s="1" t="s">
        <v>660</v>
      </c>
      <c r="AB65" s="1" t="s">
        <v>661</v>
      </c>
      <c r="AC65" s="1" t="s">
        <v>662</v>
      </c>
      <c r="AD65">
        <v>1.9299359999999999E-3</v>
      </c>
      <c r="AE65" s="1" t="s">
        <v>663</v>
      </c>
      <c r="AF65" s="1" t="s">
        <v>182</v>
      </c>
      <c r="AG65">
        <v>8.9015396999999996E-2</v>
      </c>
      <c r="AH65" s="1"/>
    </row>
    <row r="66" spans="1:34">
      <c r="A66" t="s">
        <v>104</v>
      </c>
      <c r="B66" t="s">
        <v>183</v>
      </c>
      <c r="C66" t="s">
        <v>118</v>
      </c>
      <c r="D66">
        <v>28</v>
      </c>
      <c r="E66">
        <v>166.33</v>
      </c>
      <c r="F66">
        <v>707</v>
      </c>
      <c r="G66">
        <f t="shared" ref="G66:G97" si="27">W66*$D66</f>
        <v>9.5421724137930966</v>
      </c>
      <c r="H66">
        <f t="shared" ref="H66:H97" si="28">X66*$D66</f>
        <v>9.8636896551723883</v>
      </c>
      <c r="I66">
        <f t="shared" ref="I66:I97" si="29">Y66*$D66</f>
        <v>13.568965517241372</v>
      </c>
      <c r="J66">
        <f t="shared" ref="J66:J97" si="30">Z66*$F66</f>
        <v>163.09423278532563</v>
      </c>
      <c r="K66">
        <f t="shared" ref="K66:K97" si="31">AA66*$F66</f>
        <v>81.122912983317562</v>
      </c>
      <c r="L66">
        <f t="shared" ref="L66:L97" si="32">AB66*$F66</f>
        <v>75.902245677974236</v>
      </c>
      <c r="M66">
        <f t="shared" ref="M66:M97" si="33">AC66*$F66</f>
        <v>20.05936457</v>
      </c>
      <c r="N66">
        <f t="shared" ref="N66:N97" si="34">AD66*$F66</f>
        <v>0.97705773899999993</v>
      </c>
      <c r="O66">
        <f t="shared" ref="O66:O97" si="35">AE66*$F66</f>
        <v>6.9127229009999995</v>
      </c>
      <c r="P66">
        <f t="shared" ref="P66:P97" si="36">AF66*$F66</f>
        <v>137.73519636066573</v>
      </c>
      <c r="Q66">
        <f t="shared" ref="Q66:Q97" si="37">AG66*$F66</f>
        <v>51.733247369999994</v>
      </c>
      <c r="R66">
        <f t="shared" si="11"/>
        <v>7.4527551689171609</v>
      </c>
      <c r="S66">
        <f t="shared" si="12"/>
        <v>2.799249842662177</v>
      </c>
      <c r="T66">
        <f t="shared" si="13"/>
        <v>0.12164349220744801</v>
      </c>
      <c r="U66">
        <f t="shared" si="14"/>
        <v>4.1070174418431318</v>
      </c>
      <c r="V66">
        <f t="shared" si="15"/>
        <v>1.2915738601294151</v>
      </c>
      <c r="W66" s="1" t="s">
        <v>373</v>
      </c>
      <c r="X66" s="1" t="s">
        <v>593</v>
      </c>
      <c r="Y66" s="1" t="s">
        <v>664</v>
      </c>
      <c r="Z66" s="1" t="s">
        <v>665</v>
      </c>
      <c r="AA66" s="1" t="s">
        <v>666</v>
      </c>
      <c r="AB66" s="1" t="s">
        <v>667</v>
      </c>
      <c r="AC66">
        <v>2.837251E-2</v>
      </c>
      <c r="AD66">
        <v>1.3819769999999999E-3</v>
      </c>
      <c r="AE66">
        <v>9.7775429999999997E-3</v>
      </c>
      <c r="AF66" s="1" t="s">
        <v>184</v>
      </c>
      <c r="AG66">
        <v>7.3172909999999994E-2</v>
      </c>
      <c r="AH66" s="1"/>
    </row>
    <row r="67" spans="1:34">
      <c r="A67" t="s">
        <v>74</v>
      </c>
      <c r="B67" t="s">
        <v>185</v>
      </c>
      <c r="C67" t="s">
        <v>16</v>
      </c>
      <c r="D67">
        <v>29</v>
      </c>
      <c r="E67">
        <v>140.66999999999999</v>
      </c>
      <c r="F67">
        <v>586</v>
      </c>
      <c r="G67">
        <f t="shared" si="27"/>
        <v>8.4608289380000006</v>
      </c>
      <c r="H67">
        <f t="shared" si="28"/>
        <v>8.0752499999999969</v>
      </c>
      <c r="I67">
        <f t="shared" si="29"/>
        <v>8.8981481481481399</v>
      </c>
      <c r="J67">
        <f t="shared" si="30"/>
        <v>147.33354746428918</v>
      </c>
      <c r="K67">
        <f t="shared" si="31"/>
        <v>73.944838822385009</v>
      </c>
      <c r="L67">
        <f t="shared" si="32"/>
        <v>67.795510065790964</v>
      </c>
      <c r="M67">
        <f t="shared" si="33"/>
        <v>22.434281602000002</v>
      </c>
      <c r="N67">
        <f t="shared" si="34"/>
        <v>0.96730433999999998</v>
      </c>
      <c r="O67">
        <f t="shared" si="35"/>
        <v>4.5390382140000005</v>
      </c>
      <c r="P67">
        <f t="shared" si="36"/>
        <v>104.9698156543289</v>
      </c>
      <c r="Q67">
        <f t="shared" si="37"/>
        <v>27.411138582</v>
      </c>
      <c r="R67">
        <f t="shared" ref="R67:R122" si="38">P67/$E67*9</f>
        <v>6.7159191077625655</v>
      </c>
      <c r="S67">
        <f t="shared" ref="S67:S122" si="39">Q67/$E67*9</f>
        <v>1.7537516687140116</v>
      </c>
      <c r="T67">
        <f t="shared" ref="T67:T122" si="40">AF67-AG67</f>
        <v>0.132352691249708</v>
      </c>
      <c r="U67">
        <f t="shared" ref="U67:U122" si="41">L67/$E67*9</f>
        <v>4.3375246363269975</v>
      </c>
      <c r="V67">
        <f t="shared" ref="V67:V122" si="42">(Q67+J67)/$E67</f>
        <v>1.2422313645147451</v>
      </c>
      <c r="W67">
        <v>0.29175272200000002</v>
      </c>
      <c r="X67" s="1" t="s">
        <v>209</v>
      </c>
      <c r="Y67" s="1" t="s">
        <v>668</v>
      </c>
      <c r="Z67" s="1" t="s">
        <v>669</v>
      </c>
      <c r="AA67" s="1" t="s">
        <v>670</v>
      </c>
      <c r="AB67" s="1" t="s">
        <v>671</v>
      </c>
      <c r="AC67">
        <v>3.8283757000000002E-2</v>
      </c>
      <c r="AD67">
        <v>1.65069E-3</v>
      </c>
      <c r="AE67">
        <v>7.7457990000000003E-3</v>
      </c>
      <c r="AF67" s="1" t="s">
        <v>186</v>
      </c>
      <c r="AG67">
        <v>4.6776686999999997E-2</v>
      </c>
    </row>
    <row r="68" spans="1:34">
      <c r="A68" t="s">
        <v>161</v>
      </c>
      <c r="B68" t="s">
        <v>187</v>
      </c>
      <c r="C68" t="s">
        <v>16</v>
      </c>
      <c r="D68">
        <v>27</v>
      </c>
      <c r="E68">
        <v>158.66999999999999</v>
      </c>
      <c r="F68">
        <v>659</v>
      </c>
      <c r="G68">
        <f t="shared" si="27"/>
        <v>10.198456233421734</v>
      </c>
      <c r="H68">
        <f t="shared" si="28"/>
        <v>9.0943448275861929</v>
      </c>
      <c r="I68">
        <f t="shared" si="29"/>
        <v>13.29310344827584</v>
      </c>
      <c r="J68">
        <f t="shared" si="30"/>
        <v>144.89912668133289</v>
      </c>
      <c r="K68">
        <f t="shared" si="31"/>
        <v>75.013243071909045</v>
      </c>
      <c r="L68">
        <f t="shared" si="32"/>
        <v>67.75708620403735</v>
      </c>
      <c r="M68">
        <f t="shared" si="33"/>
        <v>20.903400260999998</v>
      </c>
      <c r="N68">
        <f t="shared" si="34"/>
        <v>0.49999977500000004</v>
      </c>
      <c r="O68">
        <f t="shared" si="35"/>
        <v>6.7669502139301123</v>
      </c>
      <c r="P68">
        <f t="shared" si="36"/>
        <v>141.45206781590588</v>
      </c>
      <c r="Q68">
        <f t="shared" si="37"/>
        <v>45.409844141000001</v>
      </c>
      <c r="R68">
        <f t="shared" si="38"/>
        <v>8.0233731035681171</v>
      </c>
      <c r="S68">
        <f t="shared" si="39"/>
        <v>2.5757143585365858</v>
      </c>
      <c r="T68">
        <f t="shared" si="40"/>
        <v>0.14573933789818799</v>
      </c>
      <c r="U68">
        <f t="shared" si="41"/>
        <v>3.8432833921745519</v>
      </c>
      <c r="V68">
        <f t="shared" si="42"/>
        <v>1.1994010891935016</v>
      </c>
      <c r="W68" s="1" t="s">
        <v>672</v>
      </c>
      <c r="X68" s="1" t="s">
        <v>550</v>
      </c>
      <c r="Y68" s="1" t="s">
        <v>673</v>
      </c>
      <c r="Z68" s="1" t="s">
        <v>674</v>
      </c>
      <c r="AA68" s="1" t="s">
        <v>675</v>
      </c>
      <c r="AB68" s="1" t="s">
        <v>676</v>
      </c>
      <c r="AC68">
        <v>3.1719878999999999E-2</v>
      </c>
      <c r="AD68">
        <v>7.5872500000000002E-4</v>
      </c>
      <c r="AE68" s="1" t="s">
        <v>677</v>
      </c>
      <c r="AF68" s="1" t="s">
        <v>188</v>
      </c>
      <c r="AG68">
        <v>6.8907199000000002E-2</v>
      </c>
      <c r="AH68" s="1"/>
    </row>
    <row r="69" spans="1:34">
      <c r="A69" t="s">
        <v>15</v>
      </c>
      <c r="B69" t="s">
        <v>189</v>
      </c>
      <c r="C69" t="s">
        <v>16</v>
      </c>
      <c r="D69">
        <v>23</v>
      </c>
      <c r="E69">
        <v>129.66999999999999</v>
      </c>
      <c r="F69">
        <v>551</v>
      </c>
      <c r="G69">
        <f t="shared" si="27"/>
        <v>6.8321353949999999</v>
      </c>
      <c r="H69">
        <f t="shared" si="28"/>
        <v>8.6067692307692134</v>
      </c>
      <c r="I69">
        <f t="shared" si="29"/>
        <v>10.141025641025626</v>
      </c>
      <c r="J69">
        <f t="shared" si="30"/>
        <v>125.03824560408391</v>
      </c>
      <c r="K69">
        <f t="shared" si="31"/>
        <v>67.569424899521493</v>
      </c>
      <c r="L69">
        <f t="shared" si="32"/>
        <v>61.413813665031178</v>
      </c>
      <c r="M69">
        <f t="shared" si="33"/>
        <v>19.365380730896955</v>
      </c>
      <c r="N69">
        <f t="shared" si="34"/>
        <v>0.49999999100000003</v>
      </c>
      <c r="O69">
        <f t="shared" si="35"/>
        <v>5.4410781649999995</v>
      </c>
      <c r="P69">
        <f t="shared" si="36"/>
        <v>105.24282839681327</v>
      </c>
      <c r="Q69">
        <f t="shared" si="37"/>
        <v>43.018462133999996</v>
      </c>
      <c r="R69">
        <f t="shared" si="38"/>
        <v>7.3045843724170547</v>
      </c>
      <c r="S69">
        <f t="shared" si="39"/>
        <v>2.9857805136577467</v>
      </c>
      <c r="T69">
        <f t="shared" si="40"/>
        <v>0.112929884324525</v>
      </c>
      <c r="U69">
        <f t="shared" si="41"/>
        <v>4.2625458701725973</v>
      </c>
      <c r="V69">
        <f t="shared" si="42"/>
        <v>1.2960338377271838</v>
      </c>
      <c r="W69">
        <v>0.29704936500000001</v>
      </c>
      <c r="X69" s="1" t="s">
        <v>678</v>
      </c>
      <c r="Y69" s="1" t="s">
        <v>679</v>
      </c>
      <c r="Z69" s="1" t="s">
        <v>680</v>
      </c>
      <c r="AA69" s="1" t="s">
        <v>681</v>
      </c>
      <c r="AB69" s="1" t="s">
        <v>682</v>
      </c>
      <c r="AC69" s="1" t="s">
        <v>683</v>
      </c>
      <c r="AD69">
        <v>9.0744100000000004E-4</v>
      </c>
      <c r="AE69">
        <v>9.8749149999999997E-3</v>
      </c>
      <c r="AF69" s="1" t="s">
        <v>190</v>
      </c>
      <c r="AG69">
        <v>7.8073433999999997E-2</v>
      </c>
    </row>
    <row r="70" spans="1:34">
      <c r="A70" t="s">
        <v>63</v>
      </c>
      <c r="B70" t="s">
        <v>191</v>
      </c>
      <c r="C70" t="s">
        <v>118</v>
      </c>
      <c r="D70">
        <v>33</v>
      </c>
      <c r="E70">
        <v>130.66999999999999</v>
      </c>
      <c r="F70">
        <v>542</v>
      </c>
      <c r="G70">
        <f t="shared" si="27"/>
        <v>7.1285232558139384</v>
      </c>
      <c r="H70">
        <f t="shared" si="28"/>
        <v>7.372465116279054</v>
      </c>
      <c r="I70">
        <f t="shared" si="29"/>
        <v>6.1705426356588964</v>
      </c>
      <c r="J70">
        <f t="shared" si="30"/>
        <v>115.48153548159068</v>
      </c>
      <c r="K70">
        <f t="shared" si="31"/>
        <v>61.107073758765736</v>
      </c>
      <c r="L70">
        <f t="shared" si="32"/>
        <v>61.504689007595708</v>
      </c>
      <c r="M70">
        <f t="shared" si="33"/>
        <v>18.839066298656881</v>
      </c>
      <c r="N70">
        <f t="shared" si="34"/>
        <v>0.97377616999999994</v>
      </c>
      <c r="O70">
        <f t="shared" si="35"/>
        <v>6.5015491030707864</v>
      </c>
      <c r="P70">
        <f t="shared" si="36"/>
        <v>132.80690407153807</v>
      </c>
      <c r="Q70">
        <f t="shared" si="37"/>
        <v>42.620363494000003</v>
      </c>
      <c r="R70">
        <f t="shared" si="38"/>
        <v>9.1471809645966378</v>
      </c>
      <c r="S70">
        <f t="shared" si="39"/>
        <v>2.9355113755720521</v>
      </c>
      <c r="T70">
        <f t="shared" si="40"/>
        <v>0.16639583132387098</v>
      </c>
      <c r="U70">
        <f t="shared" si="41"/>
        <v>4.236184289189266</v>
      </c>
      <c r="V70">
        <f t="shared" si="42"/>
        <v>1.2099326469395479</v>
      </c>
      <c r="W70" s="1" t="s">
        <v>684</v>
      </c>
      <c r="X70" s="1" t="s">
        <v>685</v>
      </c>
      <c r="Y70" s="1" t="s">
        <v>686</v>
      </c>
      <c r="Z70" s="1" t="s">
        <v>687</v>
      </c>
      <c r="AA70" s="1" t="s">
        <v>688</v>
      </c>
      <c r="AB70" s="1" t="s">
        <v>689</v>
      </c>
      <c r="AC70" s="1" t="s">
        <v>690</v>
      </c>
      <c r="AD70">
        <v>1.796635E-3</v>
      </c>
      <c r="AE70" s="1" t="s">
        <v>691</v>
      </c>
      <c r="AF70" s="1" t="s">
        <v>192</v>
      </c>
      <c r="AG70">
        <v>7.8635357000000003E-2</v>
      </c>
      <c r="AH70" s="1"/>
    </row>
    <row r="71" spans="1:34">
      <c r="A71" t="s">
        <v>37</v>
      </c>
      <c r="B71" t="s">
        <v>194</v>
      </c>
      <c r="C71" t="s">
        <v>16</v>
      </c>
      <c r="D71">
        <v>27</v>
      </c>
      <c r="E71">
        <v>155</v>
      </c>
      <c r="F71">
        <v>664</v>
      </c>
      <c r="G71">
        <f t="shared" si="27"/>
        <v>6.1092692307692102</v>
      </c>
      <c r="H71">
        <f t="shared" si="28"/>
        <v>9.1062692307692092</v>
      </c>
      <c r="I71">
        <f t="shared" si="29"/>
        <v>12.410256410256384</v>
      </c>
      <c r="J71">
        <f t="shared" si="30"/>
        <v>146.12949132673432</v>
      </c>
      <c r="K71">
        <f t="shared" si="31"/>
        <v>79.452247013642605</v>
      </c>
      <c r="L71">
        <f t="shared" si="32"/>
        <v>77.982953135099962</v>
      </c>
      <c r="M71">
        <f t="shared" si="33"/>
        <v>20.623094992000002</v>
      </c>
      <c r="N71">
        <f t="shared" si="34"/>
        <v>1.00075424</v>
      </c>
      <c r="O71">
        <f t="shared" si="35"/>
        <v>7.9820362960000004</v>
      </c>
      <c r="P71">
        <f t="shared" si="36"/>
        <v>149.74038867767143</v>
      </c>
      <c r="Q71">
        <f t="shared" si="37"/>
        <v>64.770277071999999</v>
      </c>
      <c r="R71">
        <f t="shared" si="38"/>
        <v>8.6946032135422122</v>
      </c>
      <c r="S71">
        <f t="shared" si="39"/>
        <v>3.7608547977290323</v>
      </c>
      <c r="T71">
        <f t="shared" si="40"/>
        <v>0.12796703555070998</v>
      </c>
      <c r="U71">
        <f t="shared" si="41"/>
        <v>4.5280424401025785</v>
      </c>
      <c r="V71">
        <f t="shared" si="42"/>
        <v>1.3606436670886086</v>
      </c>
      <c r="W71" s="1" t="s">
        <v>692</v>
      </c>
      <c r="X71" s="1" t="s">
        <v>693</v>
      </c>
      <c r="Y71" s="1" t="s">
        <v>694</v>
      </c>
      <c r="Z71" s="1" t="s">
        <v>695</v>
      </c>
      <c r="AA71" s="1" t="s">
        <v>696</v>
      </c>
      <c r="AB71" s="1" t="s">
        <v>697</v>
      </c>
      <c r="AC71">
        <v>3.1058878000000002E-2</v>
      </c>
      <c r="AD71">
        <v>1.50716E-3</v>
      </c>
      <c r="AE71">
        <v>1.2021139E-2</v>
      </c>
      <c r="AF71" s="1" t="s">
        <v>195</v>
      </c>
      <c r="AG71">
        <v>9.7545597999999997E-2</v>
      </c>
    </row>
    <row r="72" spans="1:34">
      <c r="A72" t="s">
        <v>20</v>
      </c>
      <c r="B72" t="s">
        <v>196</v>
      </c>
      <c r="C72" t="s">
        <v>118</v>
      </c>
      <c r="D72">
        <v>37</v>
      </c>
      <c r="E72">
        <v>133.33000000000001</v>
      </c>
      <c r="F72">
        <v>564</v>
      </c>
      <c r="G72">
        <f t="shared" si="27"/>
        <v>6.9061096774193249</v>
      </c>
      <c r="H72">
        <f t="shared" si="28"/>
        <v>7.7922000000000002</v>
      </c>
      <c r="I72">
        <f t="shared" si="29"/>
        <v>6.7962962962962719</v>
      </c>
      <c r="J72">
        <f t="shared" si="30"/>
        <v>129.96144991441275</v>
      </c>
      <c r="K72">
        <f t="shared" si="31"/>
        <v>62.252447338445016</v>
      </c>
      <c r="L72">
        <f t="shared" si="32"/>
        <v>55.296471395999994</v>
      </c>
      <c r="M72">
        <f t="shared" si="33"/>
        <v>14.056270866141629</v>
      </c>
      <c r="N72">
        <f t="shared" si="34"/>
        <v>1.454106492</v>
      </c>
      <c r="O72">
        <f t="shared" si="35"/>
        <v>5.8106086956521459</v>
      </c>
      <c r="P72">
        <f t="shared" si="36"/>
        <v>119.862132768</v>
      </c>
      <c r="Q72">
        <f t="shared" si="37"/>
        <v>41.81884032</v>
      </c>
      <c r="R72">
        <f t="shared" si="38"/>
        <v>8.0908962342458555</v>
      </c>
      <c r="S72">
        <f t="shared" si="39"/>
        <v>2.8228422926573162</v>
      </c>
      <c r="T72">
        <f t="shared" si="40"/>
        <v>0.138374632</v>
      </c>
      <c r="U72">
        <f t="shared" si="41"/>
        <v>3.7326051343583582</v>
      </c>
      <c r="V72">
        <f t="shared" si="42"/>
        <v>1.2883843863677547</v>
      </c>
      <c r="W72" s="1" t="s">
        <v>698</v>
      </c>
      <c r="X72">
        <v>0.21060000000000001</v>
      </c>
      <c r="Y72" s="1" t="s">
        <v>699</v>
      </c>
      <c r="Z72" s="1" t="s">
        <v>700</v>
      </c>
      <c r="AA72" s="1" t="s">
        <v>701</v>
      </c>
      <c r="AB72">
        <v>9.8043388999999995E-2</v>
      </c>
      <c r="AC72" s="1" t="s">
        <v>702</v>
      </c>
      <c r="AD72">
        <v>2.5782029999999998E-3</v>
      </c>
      <c r="AE72" s="1" t="s">
        <v>703</v>
      </c>
      <c r="AF72">
        <v>0.212521512</v>
      </c>
      <c r="AG72">
        <v>7.4146879999999998E-2</v>
      </c>
    </row>
    <row r="73" spans="1:34">
      <c r="A73" t="s">
        <v>48</v>
      </c>
      <c r="B73" t="s">
        <v>197</v>
      </c>
      <c r="C73" t="s">
        <v>16</v>
      </c>
      <c r="D73">
        <v>36</v>
      </c>
      <c r="E73">
        <v>94.67</v>
      </c>
      <c r="F73">
        <v>406</v>
      </c>
      <c r="G73">
        <f t="shared" si="27"/>
        <v>6.0723529411764607</v>
      </c>
      <c r="H73">
        <f t="shared" si="28"/>
        <v>5.0733529411764593</v>
      </c>
      <c r="I73">
        <f t="shared" si="29"/>
        <v>3.0490196039999997</v>
      </c>
      <c r="J73">
        <f t="shared" si="30"/>
        <v>81.772784614505909</v>
      </c>
      <c r="K73">
        <f t="shared" si="31"/>
        <v>49.00236272621791</v>
      </c>
      <c r="L73">
        <f t="shared" si="32"/>
        <v>47.182804837515064</v>
      </c>
      <c r="M73">
        <f t="shared" si="33"/>
        <v>13.048537529999999</v>
      </c>
      <c r="N73">
        <f t="shared" si="34"/>
        <v>0.95927609400000002</v>
      </c>
      <c r="O73">
        <f t="shared" si="35"/>
        <v>4.19626375</v>
      </c>
      <c r="P73">
        <f t="shared" si="36"/>
        <v>93.647102074457806</v>
      </c>
      <c r="Q73">
        <f t="shared" si="37"/>
        <v>46.393882616526412</v>
      </c>
      <c r="R73">
        <f t="shared" si="38"/>
        <v>8.9027560860897879</v>
      </c>
      <c r="S73">
        <f t="shared" si="39"/>
        <v>4.4105307230245874</v>
      </c>
      <c r="T73">
        <f t="shared" si="40"/>
        <v>0.11638724004416601</v>
      </c>
      <c r="U73">
        <f t="shared" si="41"/>
        <v>4.4855312510577328</v>
      </c>
      <c r="V73">
        <f t="shared" si="42"/>
        <v>1.3538255754835988</v>
      </c>
      <c r="W73" s="1" t="s">
        <v>704</v>
      </c>
      <c r="X73" s="1" t="s">
        <v>705</v>
      </c>
      <c r="Y73">
        <v>8.4694988999999998E-2</v>
      </c>
      <c r="Z73" s="1" t="s">
        <v>706</v>
      </c>
      <c r="AA73" s="1" t="s">
        <v>707</v>
      </c>
      <c r="AB73" s="1" t="s">
        <v>708</v>
      </c>
      <c r="AC73">
        <v>3.2139254999999999E-2</v>
      </c>
      <c r="AD73">
        <v>2.3627489999999999E-3</v>
      </c>
      <c r="AE73">
        <v>1.0335624999999999E-2</v>
      </c>
      <c r="AF73" s="1" t="s">
        <v>198</v>
      </c>
      <c r="AG73" s="1" t="s">
        <v>199</v>
      </c>
      <c r="AH73" s="1"/>
    </row>
    <row r="74" spans="1:34">
      <c r="A74" t="s">
        <v>23</v>
      </c>
      <c r="B74" t="s">
        <v>200</v>
      </c>
      <c r="C74" t="s">
        <v>16</v>
      </c>
      <c r="D74" s="1">
        <v>28</v>
      </c>
      <c r="E74">
        <v>160.33000000000001</v>
      </c>
      <c r="F74">
        <v>689</v>
      </c>
      <c r="G74">
        <f t="shared" si="27"/>
        <v>9.6355161290322471</v>
      </c>
      <c r="H74">
        <f t="shared" si="28"/>
        <v>9.9899999999999913</v>
      </c>
      <c r="I74">
        <f t="shared" si="29"/>
        <v>12.666666666666655</v>
      </c>
      <c r="J74">
        <f t="shared" si="30"/>
        <v>161.56560044182564</v>
      </c>
      <c r="K74">
        <f t="shared" si="31"/>
        <v>83.796770824719346</v>
      </c>
      <c r="L74">
        <f t="shared" si="32"/>
        <v>73.558743865825463</v>
      </c>
      <c r="M74">
        <f t="shared" si="33"/>
        <v>18.563740909090832</v>
      </c>
      <c r="N74">
        <f t="shared" si="34"/>
        <v>0.49999972099999995</v>
      </c>
      <c r="O74">
        <f t="shared" si="35"/>
        <v>8.364234167893887</v>
      </c>
      <c r="P74">
        <f t="shared" si="36"/>
        <v>130.32979105301891</v>
      </c>
      <c r="Q74">
        <f t="shared" si="37"/>
        <v>56.962002915999996</v>
      </c>
      <c r="R74">
        <f t="shared" si="38"/>
        <v>7.3159615759818504</v>
      </c>
      <c r="S74">
        <f t="shared" si="39"/>
        <v>3.1975177835963322</v>
      </c>
      <c r="T74">
        <f t="shared" si="40"/>
        <v>0.106484453029055</v>
      </c>
      <c r="U74">
        <f t="shared" si="41"/>
        <v>4.1291629438809281</v>
      </c>
      <c r="V74">
        <f t="shared" si="42"/>
        <v>1.362986361615578</v>
      </c>
      <c r="W74" s="1" t="s">
        <v>709</v>
      </c>
      <c r="X74" s="1" t="s">
        <v>216</v>
      </c>
      <c r="Y74" s="1" t="s">
        <v>710</v>
      </c>
      <c r="Z74" s="1" t="s">
        <v>711</v>
      </c>
      <c r="AA74" s="1" t="s">
        <v>712</v>
      </c>
      <c r="AB74" s="1" t="s">
        <v>713</v>
      </c>
      <c r="AC74" s="1" t="s">
        <v>714</v>
      </c>
      <c r="AD74">
        <v>7.2568899999999996E-4</v>
      </c>
      <c r="AE74" s="1" t="s">
        <v>715</v>
      </c>
      <c r="AF74" s="1" t="s">
        <v>202</v>
      </c>
      <c r="AG74">
        <v>8.2673443999999999E-2</v>
      </c>
      <c r="AH74" s="1"/>
    </row>
    <row r="75" spans="1:34">
      <c r="A75" t="s">
        <v>204</v>
      </c>
      <c r="B75" t="s">
        <v>203</v>
      </c>
      <c r="C75" t="s">
        <v>16</v>
      </c>
      <c r="D75">
        <v>29</v>
      </c>
      <c r="E75">
        <v>164.33</v>
      </c>
      <c r="F75">
        <v>696</v>
      </c>
      <c r="G75">
        <f t="shared" si="27"/>
        <v>9.2161970046082704</v>
      </c>
      <c r="H75">
        <f t="shared" si="28"/>
        <v>10.419677419354826</v>
      </c>
      <c r="I75">
        <f t="shared" si="29"/>
        <v>12.559139784946229</v>
      </c>
      <c r="J75">
        <f t="shared" si="30"/>
        <v>164.48213816870327</v>
      </c>
      <c r="K75">
        <f t="shared" si="31"/>
        <v>90.716177142856836</v>
      </c>
      <c r="L75">
        <f t="shared" si="32"/>
        <v>78.291555566318252</v>
      </c>
      <c r="M75">
        <f t="shared" si="33"/>
        <v>27.04910894810649</v>
      </c>
      <c r="N75">
        <f t="shared" si="34"/>
        <v>0.50000013599999993</v>
      </c>
      <c r="O75">
        <f t="shared" si="35"/>
        <v>4.4901583920000006</v>
      </c>
      <c r="P75">
        <f t="shared" si="36"/>
        <v>139.32081512332149</v>
      </c>
      <c r="Q75">
        <f t="shared" si="37"/>
        <v>52.755430967999999</v>
      </c>
      <c r="R75">
        <f t="shared" si="38"/>
        <v>7.6303008343570458</v>
      </c>
      <c r="S75">
        <f t="shared" si="39"/>
        <v>2.8893012761638168</v>
      </c>
      <c r="T75">
        <f t="shared" si="40"/>
        <v>0.124375551947301</v>
      </c>
      <c r="U75">
        <f t="shared" si="41"/>
        <v>4.2878597949057644</v>
      </c>
      <c r="V75">
        <f t="shared" si="42"/>
        <v>1.3219592839816421</v>
      </c>
      <c r="W75" s="1" t="s">
        <v>716</v>
      </c>
      <c r="X75" s="1" t="s">
        <v>458</v>
      </c>
      <c r="Y75" s="1" t="s">
        <v>717</v>
      </c>
      <c r="Z75" s="1" t="s">
        <v>718</v>
      </c>
      <c r="AA75" s="1" t="s">
        <v>719</v>
      </c>
      <c r="AB75" s="1" t="s">
        <v>720</v>
      </c>
      <c r="AC75" s="1" t="s">
        <v>721</v>
      </c>
      <c r="AD75">
        <v>7.1839099999999997E-4</v>
      </c>
      <c r="AE75">
        <v>6.4513770000000003E-3</v>
      </c>
      <c r="AF75" s="1" t="s">
        <v>205</v>
      </c>
      <c r="AG75">
        <v>7.5798033000000001E-2</v>
      </c>
      <c r="AH75" s="1"/>
    </row>
    <row r="76" spans="1:34">
      <c r="A76" t="s">
        <v>15</v>
      </c>
      <c r="B76" t="s">
        <v>206</v>
      </c>
      <c r="C76" t="s">
        <v>16</v>
      </c>
      <c r="D76">
        <v>26</v>
      </c>
      <c r="E76">
        <v>143</v>
      </c>
      <c r="F76">
        <v>599</v>
      </c>
      <c r="G76">
        <f t="shared" si="27"/>
        <v>8.5504885700000006</v>
      </c>
      <c r="H76">
        <f t="shared" si="28"/>
        <v>8.7531428571428407</v>
      </c>
      <c r="I76">
        <f t="shared" si="29"/>
        <v>11.023809524000001</v>
      </c>
      <c r="J76">
        <f t="shared" si="30"/>
        <v>138.681818166</v>
      </c>
      <c r="K76">
        <f t="shared" si="31"/>
        <v>69.183437295761024</v>
      </c>
      <c r="L76">
        <f t="shared" si="32"/>
        <v>63.434690936750783</v>
      </c>
      <c r="M76">
        <f t="shared" si="33"/>
        <v>19.117228161</v>
      </c>
      <c r="N76">
        <f t="shared" si="34"/>
        <v>0.50000027499999999</v>
      </c>
      <c r="O76">
        <f t="shared" si="35"/>
        <v>5.5514637139999996</v>
      </c>
      <c r="P76">
        <f t="shared" si="36"/>
        <v>123.67970694242132</v>
      </c>
      <c r="Q76">
        <f t="shared" si="37"/>
        <v>38.22329216</v>
      </c>
      <c r="R76">
        <f t="shared" si="38"/>
        <v>7.7840374998726709</v>
      </c>
      <c r="S76">
        <f t="shared" si="39"/>
        <v>2.4056617443356645</v>
      </c>
      <c r="T76">
        <f t="shared" si="40"/>
        <v>0.14266513319269003</v>
      </c>
      <c r="U76">
        <f t="shared" si="41"/>
        <v>3.99239313587942</v>
      </c>
      <c r="V76">
        <f t="shared" si="42"/>
        <v>1.2370986736083915</v>
      </c>
      <c r="W76">
        <v>0.32886494500000002</v>
      </c>
      <c r="X76" s="1" t="s">
        <v>722</v>
      </c>
      <c r="Y76">
        <v>0.42399267400000001</v>
      </c>
      <c r="Z76">
        <v>0.23152223399999999</v>
      </c>
      <c r="AA76" s="1" t="s">
        <v>723</v>
      </c>
      <c r="AB76" s="1" t="s">
        <v>724</v>
      </c>
      <c r="AC76">
        <v>3.1915238999999998E-2</v>
      </c>
      <c r="AD76">
        <v>8.3472500000000003E-4</v>
      </c>
      <c r="AE76">
        <v>9.2678859999999995E-3</v>
      </c>
      <c r="AF76" s="1" t="s">
        <v>207</v>
      </c>
      <c r="AG76">
        <v>6.3811839999999995E-2</v>
      </c>
    </row>
    <row r="77" spans="1:34">
      <c r="A77" t="s">
        <v>63</v>
      </c>
      <c r="B77" t="s">
        <v>208</v>
      </c>
      <c r="C77" t="s">
        <v>16</v>
      </c>
      <c r="D77">
        <v>28</v>
      </c>
      <c r="E77">
        <v>160.33000000000001</v>
      </c>
      <c r="F77">
        <v>688</v>
      </c>
      <c r="G77">
        <f t="shared" si="27"/>
        <v>9.1976896551723968</v>
      </c>
      <c r="H77">
        <f t="shared" si="28"/>
        <v>8.2216551724137883</v>
      </c>
      <c r="I77">
        <f t="shared" si="29"/>
        <v>13.890804597701138</v>
      </c>
      <c r="J77">
        <f t="shared" si="30"/>
        <v>155.8737399876716</v>
      </c>
      <c r="K77">
        <f t="shared" si="31"/>
        <v>74.142994900198602</v>
      </c>
      <c r="L77">
        <f t="shared" si="32"/>
        <v>69.340473801304498</v>
      </c>
      <c r="M77">
        <f t="shared" si="33"/>
        <v>16.147679232000002</v>
      </c>
      <c r="N77">
        <f t="shared" si="34"/>
        <v>1.4725277760000002</v>
      </c>
      <c r="O77">
        <f t="shared" si="35"/>
        <v>7.1628081918081508</v>
      </c>
      <c r="P77">
        <f t="shared" si="36"/>
        <v>142.17765030668244</v>
      </c>
      <c r="Q77">
        <f t="shared" si="37"/>
        <v>59.872871824000008</v>
      </c>
      <c r="R77">
        <f t="shared" si="38"/>
        <v>7.9810319513512251</v>
      </c>
      <c r="S77">
        <f t="shared" si="39"/>
        <v>3.3609171484812577</v>
      </c>
      <c r="T77">
        <f t="shared" si="40"/>
        <v>0.11962903849227098</v>
      </c>
      <c r="U77">
        <f t="shared" si="41"/>
        <v>3.8923736307100381</v>
      </c>
      <c r="V77">
        <f t="shared" si="42"/>
        <v>1.3456409393854649</v>
      </c>
      <c r="W77" s="1" t="s">
        <v>725</v>
      </c>
      <c r="X77" s="1" t="s">
        <v>349</v>
      </c>
      <c r="Y77" s="1" t="s">
        <v>726</v>
      </c>
      <c r="Z77" s="1" t="s">
        <v>727</v>
      </c>
      <c r="AA77" s="1" t="s">
        <v>728</v>
      </c>
      <c r="AB77" s="1" t="s">
        <v>729</v>
      </c>
      <c r="AC77">
        <v>2.3470464E-2</v>
      </c>
      <c r="AD77">
        <v>2.1403020000000002E-3</v>
      </c>
      <c r="AE77" s="1" t="s">
        <v>730</v>
      </c>
      <c r="AF77" s="1" t="s">
        <v>210</v>
      </c>
      <c r="AG77">
        <v>8.7024523000000006E-2</v>
      </c>
    </row>
    <row r="78" spans="1:34">
      <c r="A78" t="s">
        <v>161</v>
      </c>
      <c r="B78" t="s">
        <v>211</v>
      </c>
      <c r="C78" t="s">
        <v>16</v>
      </c>
      <c r="D78">
        <v>27</v>
      </c>
      <c r="E78">
        <v>156.33000000000001</v>
      </c>
      <c r="F78">
        <v>652</v>
      </c>
      <c r="G78">
        <f t="shared" si="27"/>
        <v>8.9992335150000002</v>
      </c>
      <c r="H78">
        <f t="shared" si="28"/>
        <v>9.2050714285714186</v>
      </c>
      <c r="I78">
        <f t="shared" si="29"/>
        <v>12.267857142857133</v>
      </c>
      <c r="J78">
        <f t="shared" si="30"/>
        <v>156.43423474751785</v>
      </c>
      <c r="K78">
        <f t="shared" si="31"/>
        <v>83.236451648526156</v>
      </c>
      <c r="L78">
        <f t="shared" si="32"/>
        <v>75.174356652106354</v>
      </c>
      <c r="M78">
        <f t="shared" si="33"/>
        <v>25.757385836000001</v>
      </c>
      <c r="N78">
        <f t="shared" si="34"/>
        <v>0.499999892</v>
      </c>
      <c r="O78">
        <f t="shared" si="35"/>
        <v>4.5743863600000001</v>
      </c>
      <c r="P78">
        <f t="shared" si="36"/>
        <v>119.76048768131044</v>
      </c>
      <c r="Q78">
        <f t="shared" si="37"/>
        <v>37.455307079999997</v>
      </c>
      <c r="R78">
        <f t="shared" si="38"/>
        <v>6.894674017346599</v>
      </c>
      <c r="S78">
        <f t="shared" si="39"/>
        <v>2.1563216511226249</v>
      </c>
      <c r="T78">
        <f t="shared" si="40"/>
        <v>0.12623493957256202</v>
      </c>
      <c r="U78">
        <f t="shared" si="41"/>
        <v>4.3278270956883329</v>
      </c>
      <c r="V78">
        <f t="shared" si="42"/>
        <v>1.2402580555716616</v>
      </c>
      <c r="W78">
        <v>0.33330494500000002</v>
      </c>
      <c r="X78" s="1" t="s">
        <v>731</v>
      </c>
      <c r="Y78" s="1" t="s">
        <v>732</v>
      </c>
      <c r="Z78" s="1" t="s">
        <v>733</v>
      </c>
      <c r="AA78" s="1" t="s">
        <v>734</v>
      </c>
      <c r="AB78" s="1" t="s">
        <v>735</v>
      </c>
      <c r="AC78">
        <v>3.9505193000000001E-2</v>
      </c>
      <c r="AD78">
        <v>7.6687100000000002E-4</v>
      </c>
      <c r="AE78">
        <v>7.0159300000000001E-3</v>
      </c>
      <c r="AF78" s="1" t="s">
        <v>212</v>
      </c>
      <c r="AG78">
        <v>5.7446789999999998E-2</v>
      </c>
    </row>
    <row r="79" spans="1:34">
      <c r="A79" t="s">
        <v>170</v>
      </c>
      <c r="B79" t="s">
        <v>213</v>
      </c>
      <c r="C79" t="s">
        <v>16</v>
      </c>
      <c r="D79">
        <v>28</v>
      </c>
      <c r="E79">
        <v>170</v>
      </c>
      <c r="F79">
        <v>710</v>
      </c>
      <c r="G79">
        <f t="shared" si="27"/>
        <v>10.113333333333328</v>
      </c>
      <c r="H79">
        <f t="shared" si="28"/>
        <v>8.9909999999999748</v>
      </c>
      <c r="I79">
        <f t="shared" si="29"/>
        <v>14</v>
      </c>
      <c r="J79">
        <f t="shared" si="30"/>
        <v>164.07950594668972</v>
      </c>
      <c r="K79">
        <f t="shared" si="31"/>
        <v>83.497105884737977</v>
      </c>
      <c r="L79">
        <f t="shared" si="32"/>
        <v>72.938691574327265</v>
      </c>
      <c r="M79">
        <f t="shared" si="33"/>
        <v>22.990921799999999</v>
      </c>
      <c r="N79">
        <f t="shared" si="34"/>
        <v>1.0182479199999999</v>
      </c>
      <c r="O79">
        <f t="shared" si="35"/>
        <v>4.3590613300000003</v>
      </c>
      <c r="P79">
        <f t="shared" si="36"/>
        <v>148.06189338000001</v>
      </c>
      <c r="Q79">
        <f t="shared" si="37"/>
        <v>49.879112410000005</v>
      </c>
      <c r="R79">
        <f t="shared" si="38"/>
        <v>7.8385708260000007</v>
      </c>
      <c r="S79">
        <f t="shared" si="39"/>
        <v>2.6406588922941179</v>
      </c>
      <c r="T79">
        <f t="shared" si="40"/>
        <v>0.138285607</v>
      </c>
      <c r="U79">
        <f t="shared" si="41"/>
        <v>3.8614601421702668</v>
      </c>
      <c r="V79">
        <f t="shared" si="42"/>
        <v>1.2585801079805279</v>
      </c>
      <c r="W79" s="1" t="s">
        <v>214</v>
      </c>
      <c r="X79" s="1" t="s">
        <v>736</v>
      </c>
      <c r="Y79">
        <v>0.5</v>
      </c>
      <c r="Z79" s="1" t="s">
        <v>737</v>
      </c>
      <c r="AA79" s="1" t="s">
        <v>738</v>
      </c>
      <c r="AB79" s="1" t="s">
        <v>739</v>
      </c>
      <c r="AC79">
        <v>3.238158E-2</v>
      </c>
      <c r="AD79">
        <v>1.434152E-3</v>
      </c>
      <c r="AE79">
        <v>6.139523E-3</v>
      </c>
      <c r="AF79">
        <v>0.20853787800000001</v>
      </c>
      <c r="AG79">
        <v>7.0252271000000005E-2</v>
      </c>
    </row>
    <row r="80" spans="1:34">
      <c r="A80" t="s">
        <v>63</v>
      </c>
      <c r="B80" t="s">
        <v>215</v>
      </c>
      <c r="C80" t="s">
        <v>16</v>
      </c>
      <c r="D80">
        <v>28</v>
      </c>
      <c r="E80">
        <v>144</v>
      </c>
      <c r="F80">
        <v>619</v>
      </c>
      <c r="G80">
        <f t="shared" si="27"/>
        <v>9.9899999999999913</v>
      </c>
      <c r="H80">
        <f t="shared" si="28"/>
        <v>9.3239999999999732</v>
      </c>
      <c r="I80">
        <f t="shared" si="29"/>
        <v>11.833333333333316</v>
      </c>
      <c r="J80">
        <f t="shared" si="30"/>
        <v>140.09432825964194</v>
      </c>
      <c r="K80">
        <f t="shared" si="31"/>
        <v>66.792386260167063</v>
      </c>
      <c r="L80">
        <f t="shared" si="32"/>
        <v>61.548120165</v>
      </c>
      <c r="M80">
        <f t="shared" si="33"/>
        <v>13.047817713795371</v>
      </c>
      <c r="N80">
        <f t="shared" si="34"/>
        <v>1.0000000710000001</v>
      </c>
      <c r="O80">
        <f t="shared" si="35"/>
        <v>8.455135332252798</v>
      </c>
      <c r="P80">
        <f t="shared" si="36"/>
        <v>113.82791515178039</v>
      </c>
      <c r="Q80">
        <f t="shared" si="37"/>
        <v>54.310824161000006</v>
      </c>
      <c r="R80">
        <f t="shared" si="38"/>
        <v>7.1142446969862743</v>
      </c>
      <c r="S80">
        <f t="shared" si="39"/>
        <v>3.3944265100625004</v>
      </c>
      <c r="T80">
        <f t="shared" si="40"/>
        <v>9.6150389322746985E-2</v>
      </c>
      <c r="U80">
        <f t="shared" si="41"/>
        <v>3.8467575103125</v>
      </c>
      <c r="V80">
        <f t="shared" si="42"/>
        <v>1.3500357806989023</v>
      </c>
      <c r="W80" s="1" t="s">
        <v>216</v>
      </c>
      <c r="X80" s="1" t="s">
        <v>264</v>
      </c>
      <c r="Y80" s="1" t="s">
        <v>740</v>
      </c>
      <c r="Z80" s="1" t="s">
        <v>741</v>
      </c>
      <c r="AA80" s="1" t="s">
        <v>742</v>
      </c>
      <c r="AB80">
        <v>9.9431535000000001E-2</v>
      </c>
      <c r="AC80" s="1" t="s">
        <v>743</v>
      </c>
      <c r="AD80">
        <v>1.615509E-3</v>
      </c>
      <c r="AE80" s="1" t="s">
        <v>744</v>
      </c>
      <c r="AF80" s="1" t="s">
        <v>217</v>
      </c>
      <c r="AG80">
        <v>8.7739619000000005E-2</v>
      </c>
    </row>
    <row r="81" spans="1:34">
      <c r="A81" t="s">
        <v>63</v>
      </c>
      <c r="B81" t="s">
        <v>218</v>
      </c>
      <c r="C81" t="s">
        <v>16</v>
      </c>
      <c r="D81">
        <v>12</v>
      </c>
      <c r="E81">
        <v>32</v>
      </c>
      <c r="F81">
        <v>134</v>
      </c>
      <c r="G81">
        <f t="shared" si="27"/>
        <v>2.6639999999999882</v>
      </c>
      <c r="H81">
        <f t="shared" si="28"/>
        <v>1.6393846153846079</v>
      </c>
      <c r="I81">
        <f t="shared" si="29"/>
        <v>1.102564104</v>
      </c>
      <c r="J81">
        <f t="shared" si="30"/>
        <v>26.063637595163375</v>
      </c>
      <c r="K81">
        <f t="shared" si="31"/>
        <v>13.172003153999999</v>
      </c>
      <c r="L81">
        <f t="shared" si="32"/>
        <v>13.145120208</v>
      </c>
      <c r="M81">
        <f t="shared" si="33"/>
        <v>3.2083685064934944</v>
      </c>
      <c r="N81">
        <f t="shared" si="34"/>
        <v>0</v>
      </c>
      <c r="O81">
        <f t="shared" si="35"/>
        <v>1.0557179280000002</v>
      </c>
      <c r="P81">
        <f t="shared" si="36"/>
        <v>36.193995546831424</v>
      </c>
      <c r="Q81">
        <f t="shared" si="37"/>
        <v>13.270898638</v>
      </c>
      <c r="R81">
        <f t="shared" si="38"/>
        <v>10.179561247546339</v>
      </c>
      <c r="S81">
        <f t="shared" si="39"/>
        <v>3.7324402419375002</v>
      </c>
      <c r="T81">
        <f t="shared" si="40"/>
        <v>0.17106788737933901</v>
      </c>
      <c r="U81">
        <f t="shared" si="41"/>
        <v>3.6970650584999998</v>
      </c>
      <c r="V81">
        <f t="shared" si="42"/>
        <v>1.2292042572863555</v>
      </c>
      <c r="W81" s="1" t="s">
        <v>745</v>
      </c>
      <c r="X81" s="1" t="s">
        <v>746</v>
      </c>
      <c r="Y81">
        <v>9.1880342000000004E-2</v>
      </c>
      <c r="Z81" s="1" t="s">
        <v>747</v>
      </c>
      <c r="AA81">
        <v>9.8298530999999995E-2</v>
      </c>
      <c r="AB81">
        <v>9.8097911999999995E-2</v>
      </c>
      <c r="AC81" s="1" t="s">
        <v>748</v>
      </c>
      <c r="AD81">
        <v>0</v>
      </c>
      <c r="AE81">
        <v>7.8784920000000008E-3</v>
      </c>
      <c r="AF81" s="1" t="s">
        <v>219</v>
      </c>
      <c r="AG81">
        <v>9.9036556999999997E-2</v>
      </c>
      <c r="AH81" s="1"/>
    </row>
    <row r="82" spans="1:34">
      <c r="A82" t="s">
        <v>140</v>
      </c>
      <c r="B82" t="s">
        <v>220</v>
      </c>
      <c r="C82" t="s">
        <v>16</v>
      </c>
      <c r="D82">
        <v>20</v>
      </c>
      <c r="E82">
        <v>117.67</v>
      </c>
      <c r="F82">
        <v>482</v>
      </c>
      <c r="G82">
        <f t="shared" si="27"/>
        <v>7.4924999999999997</v>
      </c>
      <c r="H82">
        <f t="shared" si="28"/>
        <v>6.5490000000000004</v>
      </c>
      <c r="I82">
        <f t="shared" si="29"/>
        <v>10.194444444444439</v>
      </c>
      <c r="J82">
        <f t="shared" si="30"/>
        <v>103.49637835524751</v>
      </c>
      <c r="K82">
        <f t="shared" si="31"/>
        <v>50.584244581520132</v>
      </c>
      <c r="L82">
        <f t="shared" si="32"/>
        <v>43.861829854</v>
      </c>
      <c r="M82">
        <f t="shared" si="33"/>
        <v>15.086241679257443</v>
      </c>
      <c r="N82">
        <f t="shared" si="34"/>
        <v>0.49999980799999999</v>
      </c>
      <c r="O82">
        <f t="shared" si="35"/>
        <v>3.0770513680000002</v>
      </c>
      <c r="P82">
        <f t="shared" si="36"/>
        <v>124.7938932157968</v>
      </c>
      <c r="Q82">
        <f t="shared" si="37"/>
        <v>33.897510852000003</v>
      </c>
      <c r="R82">
        <f t="shared" si="38"/>
        <v>9.5448715810501508</v>
      </c>
      <c r="S82">
        <f t="shared" si="39"/>
        <v>2.5926540126455344</v>
      </c>
      <c r="T82">
        <f t="shared" si="40"/>
        <v>0.188581706148956</v>
      </c>
      <c r="U82">
        <f t="shared" si="41"/>
        <v>3.3547758025495029</v>
      </c>
      <c r="V82">
        <f t="shared" si="42"/>
        <v>1.1676203722890075</v>
      </c>
      <c r="W82">
        <v>0.37462499999999999</v>
      </c>
      <c r="X82">
        <v>0.32745000000000002</v>
      </c>
      <c r="Y82" s="1" t="s">
        <v>749</v>
      </c>
      <c r="Z82" s="1" t="s">
        <v>750</v>
      </c>
      <c r="AA82" s="1" t="s">
        <v>751</v>
      </c>
      <c r="AB82">
        <v>9.0999647000000003E-2</v>
      </c>
      <c r="AC82" s="1" t="s">
        <v>752</v>
      </c>
      <c r="AD82">
        <v>1.0373439999999999E-3</v>
      </c>
      <c r="AE82">
        <v>6.383924E-3</v>
      </c>
      <c r="AF82" s="1" t="s">
        <v>221</v>
      </c>
      <c r="AG82">
        <v>7.0326786000000002E-2</v>
      </c>
    </row>
    <row r="83" spans="1:34">
      <c r="A83" t="s">
        <v>69</v>
      </c>
      <c r="B83" t="s">
        <v>222</v>
      </c>
      <c r="C83" t="s">
        <v>16</v>
      </c>
      <c r="D83">
        <v>34</v>
      </c>
      <c r="E83">
        <v>137.66999999999999</v>
      </c>
      <c r="F83">
        <v>579</v>
      </c>
      <c r="G83">
        <f t="shared" si="27"/>
        <v>7.8563771073646596</v>
      </c>
      <c r="H83">
        <f t="shared" si="28"/>
        <v>7.1764897959183447</v>
      </c>
      <c r="I83">
        <f t="shared" si="29"/>
        <v>6.2517006802720783</v>
      </c>
      <c r="J83">
        <f t="shared" si="30"/>
        <v>127.72298104343619</v>
      </c>
      <c r="K83">
        <f t="shared" si="31"/>
        <v>65.531387512660089</v>
      </c>
      <c r="L83">
        <f t="shared" si="32"/>
        <v>62.399298620279552</v>
      </c>
      <c r="M83">
        <f t="shared" si="33"/>
        <v>19.106105476673385</v>
      </c>
      <c r="N83">
        <f t="shared" si="34"/>
        <v>0.96468695400000004</v>
      </c>
      <c r="O83">
        <f t="shared" si="35"/>
        <v>6.1818702800685497</v>
      </c>
      <c r="P83">
        <f t="shared" si="36"/>
        <v>141.85056340934909</v>
      </c>
      <c r="Q83">
        <f t="shared" si="37"/>
        <v>44.267086599000002</v>
      </c>
      <c r="R83">
        <f t="shared" si="38"/>
        <v>9.2732989807811563</v>
      </c>
      <c r="S83">
        <f t="shared" si="39"/>
        <v>2.8939041141207236</v>
      </c>
      <c r="T83">
        <f t="shared" si="40"/>
        <v>0.16853795649455799</v>
      </c>
      <c r="U83">
        <f t="shared" si="41"/>
        <v>4.079274261513155</v>
      </c>
      <c r="V83">
        <f t="shared" si="42"/>
        <v>1.2492922760400684</v>
      </c>
      <c r="W83" s="1" t="s">
        <v>753</v>
      </c>
      <c r="X83" s="1" t="s">
        <v>754</v>
      </c>
      <c r="Y83" s="1" t="s">
        <v>755</v>
      </c>
      <c r="Z83" s="1" t="s">
        <v>756</v>
      </c>
      <c r="AA83" s="1" t="s">
        <v>757</v>
      </c>
      <c r="AB83" s="1" t="s">
        <v>758</v>
      </c>
      <c r="AC83" s="1" t="s">
        <v>759</v>
      </c>
      <c r="AD83">
        <v>1.666126E-3</v>
      </c>
      <c r="AE83" s="1" t="s">
        <v>760</v>
      </c>
      <c r="AF83" s="1" t="s">
        <v>223</v>
      </c>
      <c r="AG83">
        <v>7.6454381000000002E-2</v>
      </c>
    </row>
    <row r="84" spans="1:34">
      <c r="A84" t="s">
        <v>161</v>
      </c>
      <c r="B84" t="s">
        <v>224</v>
      </c>
      <c r="C84" t="s">
        <v>16</v>
      </c>
      <c r="D84">
        <v>25</v>
      </c>
      <c r="E84">
        <v>135.66999999999999</v>
      </c>
      <c r="F84">
        <v>571</v>
      </c>
      <c r="G84">
        <f t="shared" si="27"/>
        <v>8.542730769230749</v>
      </c>
      <c r="H84">
        <f t="shared" si="28"/>
        <v>7.8767307692307496</v>
      </c>
      <c r="I84">
        <f t="shared" si="29"/>
        <v>11.243589743589725</v>
      </c>
      <c r="J84">
        <f t="shared" si="30"/>
        <v>116.79973121362055</v>
      </c>
      <c r="K84">
        <f t="shared" si="31"/>
        <v>62.780493206050636</v>
      </c>
      <c r="L84">
        <f t="shared" si="32"/>
        <v>59.182695150096393</v>
      </c>
      <c r="M84">
        <f t="shared" si="33"/>
        <v>16.27686104114057</v>
      </c>
      <c r="N84">
        <f t="shared" si="34"/>
        <v>0.50000014699999995</v>
      </c>
      <c r="O84">
        <f t="shared" si="35"/>
        <v>6.9185058216168125</v>
      </c>
      <c r="P84">
        <f t="shared" si="36"/>
        <v>144.64566669605026</v>
      </c>
      <c r="Q84">
        <f t="shared" si="37"/>
        <v>52.986996782000006</v>
      </c>
      <c r="R84">
        <f t="shared" si="38"/>
        <v>9.5954227188357955</v>
      </c>
      <c r="S84">
        <f t="shared" si="39"/>
        <v>3.5150215304636259</v>
      </c>
      <c r="T84">
        <f t="shared" si="40"/>
        <v>0.16052306464807403</v>
      </c>
      <c r="U84">
        <f t="shared" si="41"/>
        <v>3.9260282770757544</v>
      </c>
      <c r="V84">
        <f t="shared" si="42"/>
        <v>1.2514684749437648</v>
      </c>
      <c r="W84" s="1" t="s">
        <v>526</v>
      </c>
      <c r="X84" s="1" t="s">
        <v>761</v>
      </c>
      <c r="Y84" s="1" t="s">
        <v>762</v>
      </c>
      <c r="Z84" s="1" t="s">
        <v>763</v>
      </c>
      <c r="AA84" s="1" t="s">
        <v>764</v>
      </c>
      <c r="AB84" s="1" t="s">
        <v>765</v>
      </c>
      <c r="AC84" s="1" t="s">
        <v>766</v>
      </c>
      <c r="AD84">
        <v>8.7565699999999995E-4</v>
      </c>
      <c r="AE84" s="1" t="s">
        <v>767</v>
      </c>
      <c r="AF84" s="1" t="s">
        <v>225</v>
      </c>
      <c r="AG84">
        <v>9.2796842000000004E-2</v>
      </c>
      <c r="AH84" s="1"/>
    </row>
    <row r="85" spans="1:34">
      <c r="A85" t="s">
        <v>48</v>
      </c>
      <c r="B85" t="s">
        <v>226</v>
      </c>
      <c r="C85" t="s">
        <v>16</v>
      </c>
      <c r="D85">
        <v>35</v>
      </c>
      <c r="E85">
        <v>123</v>
      </c>
      <c r="F85">
        <v>524</v>
      </c>
      <c r="G85">
        <f t="shared" si="27"/>
        <v>7.3167499999999643</v>
      </c>
      <c r="H85">
        <f t="shared" si="28"/>
        <v>7.3999999999999844</v>
      </c>
      <c r="I85">
        <f t="shared" si="29"/>
        <v>5.8888888888888795</v>
      </c>
      <c r="J85">
        <f t="shared" si="30"/>
        <v>115.3939695534341</v>
      </c>
      <c r="K85">
        <f t="shared" si="31"/>
        <v>59.510399953158611</v>
      </c>
      <c r="L85">
        <f t="shared" si="32"/>
        <v>58.463561368000001</v>
      </c>
      <c r="M85">
        <f t="shared" si="33"/>
        <v>16.772349724000001</v>
      </c>
      <c r="N85">
        <f t="shared" si="34"/>
        <v>0.94939944400000009</v>
      </c>
      <c r="O85">
        <f t="shared" si="35"/>
        <v>5.1519040720000007</v>
      </c>
      <c r="P85">
        <f t="shared" si="36"/>
        <v>120.11189627643563</v>
      </c>
      <c r="Q85">
        <f t="shared" si="37"/>
        <v>43.066964736000003</v>
      </c>
      <c r="R85">
        <f t="shared" si="38"/>
        <v>8.7886753373001678</v>
      </c>
      <c r="S85">
        <f t="shared" si="39"/>
        <v>3.1512413221463418</v>
      </c>
      <c r="T85">
        <f t="shared" si="40"/>
        <v>0.14703231210006801</v>
      </c>
      <c r="U85">
        <f t="shared" si="41"/>
        <v>4.2778215635121946</v>
      </c>
      <c r="V85">
        <f t="shared" si="42"/>
        <v>1.288300278775887</v>
      </c>
      <c r="W85" s="1" t="s">
        <v>768</v>
      </c>
      <c r="X85" s="1" t="s">
        <v>769</v>
      </c>
      <c r="Y85" s="1" t="s">
        <v>770</v>
      </c>
      <c r="Z85" s="1" t="s">
        <v>771</v>
      </c>
      <c r="AA85" s="1" t="s">
        <v>772</v>
      </c>
      <c r="AB85">
        <v>0.11157168200000001</v>
      </c>
      <c r="AC85">
        <v>3.2008301000000003E-2</v>
      </c>
      <c r="AD85">
        <v>1.8118310000000001E-3</v>
      </c>
      <c r="AE85">
        <v>9.8318780000000005E-3</v>
      </c>
      <c r="AF85" s="1" t="s">
        <v>227</v>
      </c>
      <c r="AG85">
        <v>8.2188864E-2</v>
      </c>
      <c r="AH85" s="1"/>
    </row>
    <row r="86" spans="1:34">
      <c r="A86" t="s">
        <v>170</v>
      </c>
      <c r="B86" t="s">
        <v>228</v>
      </c>
      <c r="C86" t="s">
        <v>16</v>
      </c>
      <c r="D86">
        <v>28</v>
      </c>
      <c r="E86">
        <v>163.66999999999999</v>
      </c>
      <c r="F86">
        <v>690</v>
      </c>
      <c r="G86">
        <f t="shared" si="27"/>
        <v>9.4273448275861949</v>
      </c>
      <c r="H86">
        <f t="shared" si="28"/>
        <v>9.8751724137930932</v>
      </c>
      <c r="I86">
        <f t="shared" si="29"/>
        <v>13.086206896551712</v>
      </c>
      <c r="J86">
        <f t="shared" si="30"/>
        <v>168.12480724598626</v>
      </c>
      <c r="K86">
        <f t="shared" si="31"/>
        <v>83.14710011425926</v>
      </c>
      <c r="L86">
        <f t="shared" si="32"/>
        <v>75.661576660097822</v>
      </c>
      <c r="M86">
        <f t="shared" si="33"/>
        <v>23.867874180000001</v>
      </c>
      <c r="N86">
        <f t="shared" si="34"/>
        <v>0.98866856999999997</v>
      </c>
      <c r="O86">
        <f t="shared" si="35"/>
        <v>6.9167624745468173</v>
      </c>
      <c r="P86">
        <f t="shared" si="36"/>
        <v>143.91601676718886</v>
      </c>
      <c r="Q86">
        <f t="shared" si="37"/>
        <v>38.027879093321722</v>
      </c>
      <c r="R86">
        <f t="shared" si="38"/>
        <v>7.9137542060530333</v>
      </c>
      <c r="S86">
        <f t="shared" si="39"/>
        <v>2.0911035121885226</v>
      </c>
      <c r="T86">
        <f t="shared" si="40"/>
        <v>0.15346106909256108</v>
      </c>
      <c r="U86">
        <f t="shared" si="41"/>
        <v>4.1605314959423261</v>
      </c>
      <c r="V86">
        <f t="shared" si="42"/>
        <v>1.2595630618886051</v>
      </c>
      <c r="W86" s="1" t="s">
        <v>78</v>
      </c>
      <c r="X86" s="1" t="s">
        <v>404</v>
      </c>
      <c r="Y86" s="1" t="s">
        <v>773</v>
      </c>
      <c r="Z86" s="1" t="s">
        <v>774</v>
      </c>
      <c r="AA86" s="1" t="s">
        <v>775</v>
      </c>
      <c r="AB86" s="1" t="s">
        <v>776</v>
      </c>
      <c r="AC86">
        <v>3.4591122000000002E-2</v>
      </c>
      <c r="AD86">
        <v>1.432853E-3</v>
      </c>
      <c r="AE86" s="1" t="s">
        <v>777</v>
      </c>
      <c r="AF86" s="1" t="s">
        <v>229</v>
      </c>
      <c r="AG86" s="1" t="s">
        <v>230</v>
      </c>
      <c r="AH86" s="1"/>
    </row>
    <row r="87" spans="1:34">
      <c r="A87" t="s">
        <v>74</v>
      </c>
      <c r="B87" t="s">
        <v>231</v>
      </c>
      <c r="C87" t="s">
        <v>16</v>
      </c>
      <c r="D87" s="1">
        <v>33</v>
      </c>
      <c r="E87">
        <v>168.33</v>
      </c>
      <c r="F87">
        <v>722</v>
      </c>
      <c r="G87">
        <f t="shared" si="27"/>
        <v>10.425461538461507</v>
      </c>
      <c r="H87">
        <f t="shared" si="28"/>
        <v>10.09246153846151</v>
      </c>
      <c r="I87">
        <f t="shared" si="29"/>
        <v>11.730769230769214</v>
      </c>
      <c r="J87">
        <f t="shared" si="30"/>
        <v>164.65539938458878</v>
      </c>
      <c r="K87">
        <f t="shared" si="31"/>
        <v>85.997192037375541</v>
      </c>
      <c r="L87">
        <f t="shared" si="32"/>
        <v>76.511819353771116</v>
      </c>
      <c r="M87">
        <f t="shared" si="33"/>
        <v>23.218522917999998</v>
      </c>
      <c r="N87">
        <f t="shared" si="34"/>
        <v>0.9628202119999999</v>
      </c>
      <c r="O87">
        <f t="shared" si="35"/>
        <v>10.691430504708419</v>
      </c>
      <c r="P87">
        <f t="shared" si="36"/>
        <v>149.60088557485795</v>
      </c>
      <c r="Q87">
        <f t="shared" si="37"/>
        <v>58.683054618000007</v>
      </c>
      <c r="R87">
        <f t="shared" si="38"/>
        <v>7.9986215776969134</v>
      </c>
      <c r="S87">
        <f t="shared" si="39"/>
        <v>3.1375719810016038</v>
      </c>
      <c r="T87">
        <f t="shared" si="40"/>
        <v>0.12592497362445698</v>
      </c>
      <c r="U87">
        <f t="shared" si="41"/>
        <v>4.0908119419232456</v>
      </c>
      <c r="V87">
        <f t="shared" si="42"/>
        <v>1.3267893661414409</v>
      </c>
      <c r="W87" s="1" t="s">
        <v>778</v>
      </c>
      <c r="X87" s="1" t="s">
        <v>779</v>
      </c>
      <c r="Y87" s="1" t="s">
        <v>780</v>
      </c>
      <c r="Z87" s="1" t="s">
        <v>781</v>
      </c>
      <c r="AA87" s="1" t="s">
        <v>782</v>
      </c>
      <c r="AB87" s="1" t="s">
        <v>783</v>
      </c>
      <c r="AC87">
        <v>3.2158618999999999E-2</v>
      </c>
      <c r="AD87">
        <v>1.3335459999999999E-3</v>
      </c>
      <c r="AE87" s="1" t="s">
        <v>784</v>
      </c>
      <c r="AF87" s="1" t="s">
        <v>232</v>
      </c>
      <c r="AG87">
        <v>8.1278469000000006E-2</v>
      </c>
      <c r="AH87" s="1"/>
    </row>
    <row r="88" spans="1:34">
      <c r="A88" t="s">
        <v>40</v>
      </c>
      <c r="B88" t="s">
        <v>233</v>
      </c>
      <c r="C88" t="s">
        <v>16</v>
      </c>
      <c r="D88">
        <v>11</v>
      </c>
      <c r="E88">
        <v>62</v>
      </c>
      <c r="F88">
        <v>271</v>
      </c>
      <c r="G88">
        <f t="shared" si="27"/>
        <v>3.8679230769230699</v>
      </c>
      <c r="H88">
        <f t="shared" si="28"/>
        <v>3.7910769230769157</v>
      </c>
      <c r="I88">
        <f t="shared" si="29"/>
        <v>4.5384615384615321</v>
      </c>
      <c r="J88">
        <f t="shared" si="30"/>
        <v>61.761919435736431</v>
      </c>
      <c r="K88">
        <f t="shared" si="31"/>
        <v>32.018406159557131</v>
      </c>
      <c r="L88">
        <f t="shared" si="32"/>
        <v>29.573065640617152</v>
      </c>
      <c r="M88">
        <f t="shared" si="33"/>
        <v>7.0299274509803764</v>
      </c>
      <c r="N88">
        <f t="shared" si="34"/>
        <v>0.49999987799999995</v>
      </c>
      <c r="O88">
        <f t="shared" si="35"/>
        <v>2.8503802507836711</v>
      </c>
      <c r="P88">
        <f t="shared" si="36"/>
        <v>54.75021630926183</v>
      </c>
      <c r="Q88">
        <f t="shared" si="37"/>
        <v>26.351341091000002</v>
      </c>
      <c r="R88">
        <f t="shared" si="38"/>
        <v>7.9476120448928462</v>
      </c>
      <c r="S88">
        <f t="shared" si="39"/>
        <v>3.8251946745000001</v>
      </c>
      <c r="T88">
        <f t="shared" si="40"/>
        <v>0.10479289748436101</v>
      </c>
      <c r="U88">
        <f t="shared" si="41"/>
        <v>4.2928643671863611</v>
      </c>
      <c r="V88">
        <f t="shared" si="42"/>
        <v>1.4211816213989747</v>
      </c>
      <c r="W88" s="1" t="s">
        <v>785</v>
      </c>
      <c r="X88" s="1" t="s">
        <v>786</v>
      </c>
      <c r="Y88" s="1" t="s">
        <v>787</v>
      </c>
      <c r="Z88" s="1" t="s">
        <v>788</v>
      </c>
      <c r="AA88" s="1" t="s">
        <v>789</v>
      </c>
      <c r="AB88" s="1" t="s">
        <v>790</v>
      </c>
      <c r="AC88" s="1" t="s">
        <v>791</v>
      </c>
      <c r="AD88">
        <v>1.8450179999999999E-3</v>
      </c>
      <c r="AE88" s="1" t="s">
        <v>792</v>
      </c>
      <c r="AF88" s="1" t="s">
        <v>234</v>
      </c>
      <c r="AG88">
        <v>9.7237421000000004E-2</v>
      </c>
      <c r="AH88" s="1"/>
    </row>
    <row r="89" spans="1:34">
      <c r="A89" t="s">
        <v>51</v>
      </c>
      <c r="B89" t="s">
        <v>235</v>
      </c>
      <c r="C89" t="s">
        <v>16</v>
      </c>
      <c r="D89">
        <v>29</v>
      </c>
      <c r="E89">
        <v>168</v>
      </c>
      <c r="F89">
        <v>715</v>
      </c>
      <c r="G89">
        <f t="shared" si="27"/>
        <v>9.5388387096774139</v>
      </c>
      <c r="H89">
        <f t="shared" si="28"/>
        <v>10.752677419354836</v>
      </c>
      <c r="I89">
        <f t="shared" si="29"/>
        <v>13.193548387096763</v>
      </c>
      <c r="J89">
        <f t="shared" si="30"/>
        <v>164.96956670614492</v>
      </c>
      <c r="K89">
        <f t="shared" si="31"/>
        <v>87.184341590454679</v>
      </c>
      <c r="L89">
        <f t="shared" si="32"/>
        <v>81.009470392811679</v>
      </c>
      <c r="M89">
        <f t="shared" si="33"/>
        <v>24.401035945</v>
      </c>
      <c r="N89">
        <f t="shared" si="34"/>
        <v>0.50000021500000003</v>
      </c>
      <c r="O89">
        <f t="shared" si="35"/>
        <v>9.4309064546985866</v>
      </c>
      <c r="P89">
        <f t="shared" si="36"/>
        <v>156.41435016010303</v>
      </c>
      <c r="Q89">
        <f t="shared" si="37"/>
        <v>54.885496380000006</v>
      </c>
      <c r="R89">
        <f t="shared" si="38"/>
        <v>8.3793401871483759</v>
      </c>
      <c r="S89">
        <f t="shared" si="39"/>
        <v>2.9402944489285718</v>
      </c>
      <c r="T89">
        <f t="shared" si="40"/>
        <v>0.14199839689524899</v>
      </c>
      <c r="U89">
        <f t="shared" si="41"/>
        <v>4.3397930567577685</v>
      </c>
      <c r="V89">
        <f t="shared" si="42"/>
        <v>1.3086610897984816</v>
      </c>
      <c r="W89" s="1" t="s">
        <v>793</v>
      </c>
      <c r="X89" s="1" t="s">
        <v>626</v>
      </c>
      <c r="Y89" s="1" t="s">
        <v>794</v>
      </c>
      <c r="Z89" s="1" t="s">
        <v>795</v>
      </c>
      <c r="AA89" s="1" t="s">
        <v>796</v>
      </c>
      <c r="AB89" s="1" t="s">
        <v>797</v>
      </c>
      <c r="AC89">
        <v>3.4127323000000001E-2</v>
      </c>
      <c r="AD89">
        <v>6.9930100000000005E-4</v>
      </c>
      <c r="AE89" s="1" t="s">
        <v>798</v>
      </c>
      <c r="AF89" s="1" t="s">
        <v>236</v>
      </c>
      <c r="AG89">
        <v>7.6762932000000006E-2</v>
      </c>
      <c r="AH89" s="1"/>
    </row>
    <row r="90" spans="1:34">
      <c r="A90" t="s">
        <v>173</v>
      </c>
      <c r="B90" t="s">
        <v>237</v>
      </c>
      <c r="C90" t="s">
        <v>16</v>
      </c>
      <c r="D90">
        <v>21</v>
      </c>
      <c r="E90">
        <v>119</v>
      </c>
      <c r="F90">
        <v>499</v>
      </c>
      <c r="G90">
        <f t="shared" si="27"/>
        <v>6.6036109839816906</v>
      </c>
      <c r="H90">
        <f t="shared" si="28"/>
        <v>7.4273478260869439</v>
      </c>
      <c r="I90">
        <f t="shared" si="29"/>
        <v>10.130434782608679</v>
      </c>
      <c r="J90">
        <f t="shared" si="30"/>
        <v>108.22796310785354</v>
      </c>
      <c r="K90">
        <f t="shared" si="31"/>
        <v>53.122298488000006</v>
      </c>
      <c r="L90">
        <f t="shared" si="32"/>
        <v>52.618861051554212</v>
      </c>
      <c r="M90">
        <f t="shared" si="33"/>
        <v>15.797809063999999</v>
      </c>
      <c r="N90">
        <f t="shared" si="34"/>
        <v>0.49999999599999995</v>
      </c>
      <c r="O90">
        <f t="shared" si="35"/>
        <v>4.8624091930000004</v>
      </c>
      <c r="P90">
        <f t="shared" si="36"/>
        <v>123.69969827919175</v>
      </c>
      <c r="Q90">
        <f t="shared" si="37"/>
        <v>38.579820730000002</v>
      </c>
      <c r="R90">
        <f t="shared" si="38"/>
        <v>9.355439365653158</v>
      </c>
      <c r="S90">
        <f t="shared" si="39"/>
        <v>2.9178015678151263</v>
      </c>
      <c r="T90">
        <f t="shared" si="40"/>
        <v>0.17058091693224797</v>
      </c>
      <c r="U90">
        <f t="shared" si="41"/>
        <v>3.9795777265881336</v>
      </c>
      <c r="V90">
        <f t="shared" si="42"/>
        <v>1.233678855780282</v>
      </c>
      <c r="W90" s="1" t="s">
        <v>799</v>
      </c>
      <c r="X90" s="1" t="s">
        <v>800</v>
      </c>
      <c r="Y90" s="1" t="s">
        <v>801</v>
      </c>
      <c r="Z90" s="1" t="s">
        <v>802</v>
      </c>
      <c r="AA90">
        <v>0.106457512</v>
      </c>
      <c r="AB90" s="1" t="s">
        <v>803</v>
      </c>
      <c r="AC90">
        <v>3.1658935999999999E-2</v>
      </c>
      <c r="AD90">
        <v>1.0020039999999999E-3</v>
      </c>
      <c r="AE90">
        <v>9.7443070000000007E-3</v>
      </c>
      <c r="AF90" s="1" t="s">
        <v>238</v>
      </c>
      <c r="AG90">
        <v>7.7314270000000004E-2</v>
      </c>
      <c r="AH90" s="1"/>
    </row>
    <row r="91" spans="1:34">
      <c r="A91" t="s">
        <v>54</v>
      </c>
      <c r="B91" t="s">
        <v>239</v>
      </c>
      <c r="C91" t="s">
        <v>16</v>
      </c>
      <c r="D91">
        <v>29</v>
      </c>
      <c r="E91">
        <v>134.66999999999999</v>
      </c>
      <c r="F91">
        <v>563</v>
      </c>
      <c r="G91">
        <f t="shared" si="27"/>
        <v>8.5792212276214723</v>
      </c>
      <c r="H91">
        <f t="shared" si="28"/>
        <v>8.2172647058823358</v>
      </c>
      <c r="I91">
        <f t="shared" si="29"/>
        <v>8.9264705882352864</v>
      </c>
      <c r="J91">
        <f t="shared" si="30"/>
        <v>124.94708176218053</v>
      </c>
      <c r="K91">
        <f t="shared" si="31"/>
        <v>62.615366900511077</v>
      </c>
      <c r="L91">
        <f t="shared" si="32"/>
        <v>54.395375504</v>
      </c>
      <c r="M91">
        <f t="shared" si="33"/>
        <v>14.176557317999999</v>
      </c>
      <c r="N91">
        <f t="shared" si="34"/>
        <v>1.4454112940000001</v>
      </c>
      <c r="O91">
        <f t="shared" si="35"/>
        <v>4.4684741370000003</v>
      </c>
      <c r="P91">
        <f t="shared" si="36"/>
        <v>130.09368308986419</v>
      </c>
      <c r="Q91">
        <f t="shared" si="37"/>
        <v>44.309354364000001</v>
      </c>
      <c r="R91">
        <f t="shared" si="38"/>
        <v>8.6941646083669539</v>
      </c>
      <c r="S91">
        <f t="shared" si="39"/>
        <v>2.9611954353308088</v>
      </c>
      <c r="T91">
        <f t="shared" si="40"/>
        <v>0.15237003326086002</v>
      </c>
      <c r="U91">
        <f t="shared" si="41"/>
        <v>3.6352445202049455</v>
      </c>
      <c r="V91">
        <f t="shared" si="42"/>
        <v>1.25682361421386</v>
      </c>
      <c r="W91" s="1" t="s">
        <v>804</v>
      </c>
      <c r="X91" s="1" t="s">
        <v>805</v>
      </c>
      <c r="Y91" s="1" t="s">
        <v>806</v>
      </c>
      <c r="Z91" s="1" t="s">
        <v>807</v>
      </c>
      <c r="AA91" s="1" t="s">
        <v>808</v>
      </c>
      <c r="AB91">
        <v>9.6617008000000004E-2</v>
      </c>
      <c r="AC91">
        <v>2.5180385999999999E-2</v>
      </c>
      <c r="AD91">
        <v>2.5673380000000002E-3</v>
      </c>
      <c r="AE91">
        <v>7.9368990000000007E-3</v>
      </c>
      <c r="AF91" s="1" t="s">
        <v>240</v>
      </c>
      <c r="AG91">
        <v>7.8702227999999999E-2</v>
      </c>
    </row>
    <row r="92" spans="1:34">
      <c r="A92" t="s">
        <v>54</v>
      </c>
      <c r="B92" t="s">
        <v>241</v>
      </c>
      <c r="C92" t="s">
        <v>16</v>
      </c>
      <c r="D92">
        <v>28</v>
      </c>
      <c r="E92">
        <v>165.67</v>
      </c>
      <c r="F92">
        <v>701</v>
      </c>
      <c r="G92">
        <f t="shared" si="27"/>
        <v>9.6531724137930759</v>
      </c>
      <c r="H92">
        <f t="shared" si="28"/>
        <v>10.529689655172408</v>
      </c>
      <c r="I92">
        <f t="shared" si="29"/>
        <v>12.770114942528719</v>
      </c>
      <c r="J92">
        <f t="shared" si="30"/>
        <v>165.74628563802992</v>
      </c>
      <c r="K92">
        <f t="shared" si="31"/>
        <v>89.36020962386722</v>
      </c>
      <c r="L92">
        <f t="shared" si="32"/>
        <v>77.95629376267442</v>
      </c>
      <c r="M92">
        <f t="shared" si="33"/>
        <v>22.30938710071305</v>
      </c>
      <c r="N92">
        <f t="shared" si="34"/>
        <v>0.50000016699999994</v>
      </c>
      <c r="O92">
        <f t="shared" si="35"/>
        <v>5.5753943870000002</v>
      </c>
      <c r="P92">
        <f t="shared" si="36"/>
        <v>126.44824442062604</v>
      </c>
      <c r="Q92">
        <f t="shared" si="37"/>
        <v>49.165312165999993</v>
      </c>
      <c r="R92">
        <f t="shared" si="38"/>
        <v>6.8692835141282931</v>
      </c>
      <c r="S92">
        <f t="shared" si="39"/>
        <v>2.6708988319792355</v>
      </c>
      <c r="T92">
        <f t="shared" si="40"/>
        <v>0.11024669365852502</v>
      </c>
      <c r="U92">
        <f t="shared" si="41"/>
        <v>4.2349649536069887</v>
      </c>
      <c r="V92">
        <f t="shared" si="42"/>
        <v>1.297227004309953</v>
      </c>
      <c r="W92" s="1" t="s">
        <v>809</v>
      </c>
      <c r="X92" s="1" t="s">
        <v>810</v>
      </c>
      <c r="Y92" s="1" t="s">
        <v>811</v>
      </c>
      <c r="Z92" s="1" t="s">
        <v>812</v>
      </c>
      <c r="AA92" s="1" t="s">
        <v>813</v>
      </c>
      <c r="AB92" s="1" t="s">
        <v>814</v>
      </c>
      <c r="AC92" s="1" t="s">
        <v>815</v>
      </c>
      <c r="AD92">
        <v>7.1326699999999996E-4</v>
      </c>
      <c r="AE92">
        <v>7.9534870000000004E-3</v>
      </c>
      <c r="AF92" s="1" t="s">
        <v>242</v>
      </c>
      <c r="AG92">
        <v>7.0135965999999994E-2</v>
      </c>
    </row>
    <row r="93" spans="1:34">
      <c r="A93" t="s">
        <v>20</v>
      </c>
      <c r="B93" t="s">
        <v>243</v>
      </c>
      <c r="C93" t="s">
        <v>16</v>
      </c>
      <c r="D93">
        <v>30</v>
      </c>
      <c r="E93">
        <v>177.33</v>
      </c>
      <c r="F93">
        <v>754</v>
      </c>
      <c r="G93">
        <f t="shared" si="27"/>
        <v>9.65292547274748</v>
      </c>
      <c r="H93">
        <f t="shared" si="28"/>
        <v>11.52609677419353</v>
      </c>
      <c r="I93">
        <f t="shared" si="29"/>
        <v>14.41397849462364</v>
      </c>
      <c r="J93">
        <f t="shared" si="30"/>
        <v>177.50589326251131</v>
      </c>
      <c r="K93">
        <f t="shared" si="31"/>
        <v>89.651125160402074</v>
      </c>
      <c r="L93">
        <f t="shared" si="32"/>
        <v>80.748277208161468</v>
      </c>
      <c r="M93">
        <f t="shared" si="33"/>
        <v>22.230135568261829</v>
      </c>
      <c r="N93">
        <f t="shared" si="34"/>
        <v>0.98897505199999991</v>
      </c>
      <c r="O93">
        <f t="shared" si="35"/>
        <v>9.5404817578392258</v>
      </c>
      <c r="P93">
        <f t="shared" si="36"/>
        <v>152.21010090812013</v>
      </c>
      <c r="Q93">
        <f t="shared" si="37"/>
        <v>53.269222344000006</v>
      </c>
      <c r="R93">
        <f t="shared" si="38"/>
        <v>7.7250939388320141</v>
      </c>
      <c r="S93">
        <f t="shared" si="39"/>
        <v>2.7035639829470481</v>
      </c>
      <c r="T93">
        <f t="shared" si="40"/>
        <v>0.13122132435559697</v>
      </c>
      <c r="U93">
        <f t="shared" si="41"/>
        <v>4.0982038846977566</v>
      </c>
      <c r="V93">
        <f t="shared" si="42"/>
        <v>1.3013878960498015</v>
      </c>
      <c r="W93" s="1" t="s">
        <v>816</v>
      </c>
      <c r="X93" s="1" t="s">
        <v>817</v>
      </c>
      <c r="Y93" s="1" t="s">
        <v>818</v>
      </c>
      <c r="Z93" s="1" t="s">
        <v>819</v>
      </c>
      <c r="AA93" s="1" t="s">
        <v>820</v>
      </c>
      <c r="AB93" s="1" t="s">
        <v>821</v>
      </c>
      <c r="AC93" s="1" t="s">
        <v>822</v>
      </c>
      <c r="AD93">
        <v>1.311638E-3</v>
      </c>
      <c r="AE93" s="1" t="s">
        <v>823</v>
      </c>
      <c r="AF93" s="1" t="s">
        <v>244</v>
      </c>
      <c r="AG93">
        <v>7.0648836000000007E-2</v>
      </c>
    </row>
    <row r="94" spans="1:34">
      <c r="A94" t="s">
        <v>29</v>
      </c>
      <c r="B94" t="s">
        <v>245</v>
      </c>
      <c r="C94" t="s">
        <v>16</v>
      </c>
      <c r="D94">
        <v>24</v>
      </c>
      <c r="E94">
        <v>93.67</v>
      </c>
      <c r="F94">
        <v>405</v>
      </c>
      <c r="G94">
        <f t="shared" si="27"/>
        <v>4.8768387096773997</v>
      </c>
      <c r="H94">
        <f t="shared" si="28"/>
        <v>5.8006451612903041</v>
      </c>
      <c r="I94">
        <f t="shared" si="29"/>
        <v>4.6344086021505362</v>
      </c>
      <c r="J94">
        <f t="shared" si="30"/>
        <v>94.272065452619273</v>
      </c>
      <c r="K94">
        <f t="shared" si="31"/>
        <v>51.75269926925953</v>
      </c>
      <c r="L94">
        <f t="shared" si="32"/>
        <v>48.999762953319511</v>
      </c>
      <c r="M94">
        <f t="shared" si="33"/>
        <v>14.15054529</v>
      </c>
      <c r="N94">
        <f t="shared" si="34"/>
        <v>0.90744462000000004</v>
      </c>
      <c r="O94">
        <f t="shared" si="35"/>
        <v>3.1061369700000001</v>
      </c>
      <c r="P94">
        <f t="shared" si="36"/>
        <v>86.134697885020628</v>
      </c>
      <c r="Q94">
        <f t="shared" si="37"/>
        <v>31.151888414999998</v>
      </c>
      <c r="R94">
        <f t="shared" si="38"/>
        <v>8.2759931778070417</v>
      </c>
      <c r="S94">
        <f t="shared" si="39"/>
        <v>2.9931354300736626</v>
      </c>
      <c r="T94">
        <f t="shared" si="40"/>
        <v>0.13576002338276699</v>
      </c>
      <c r="U94">
        <f t="shared" si="41"/>
        <v>4.7079947323569513</v>
      </c>
      <c r="V94">
        <f t="shared" si="42"/>
        <v>1.3389981196500402</v>
      </c>
      <c r="W94" s="1" t="s">
        <v>824</v>
      </c>
      <c r="X94" s="1" t="s">
        <v>825</v>
      </c>
      <c r="Y94" s="1" t="s">
        <v>826</v>
      </c>
      <c r="Z94" s="1" t="s">
        <v>827</v>
      </c>
      <c r="AA94" s="1" t="s">
        <v>828</v>
      </c>
      <c r="AB94" s="1" t="s">
        <v>829</v>
      </c>
      <c r="AC94">
        <v>3.4939617999999999E-2</v>
      </c>
      <c r="AD94">
        <v>2.2406040000000002E-3</v>
      </c>
      <c r="AE94">
        <v>7.6694739999999999E-3</v>
      </c>
      <c r="AF94" s="1" t="s">
        <v>246</v>
      </c>
      <c r="AG94">
        <v>7.6918242999999997E-2</v>
      </c>
      <c r="AH94" s="1"/>
    </row>
    <row r="95" spans="1:34">
      <c r="A95" t="s">
        <v>145</v>
      </c>
      <c r="B95" t="s">
        <v>247</v>
      </c>
      <c r="C95" t="s">
        <v>118</v>
      </c>
      <c r="D95">
        <v>39</v>
      </c>
      <c r="E95">
        <v>126</v>
      </c>
      <c r="F95">
        <v>534</v>
      </c>
      <c r="G95">
        <f t="shared" si="27"/>
        <v>5.9502727272727052</v>
      </c>
      <c r="H95">
        <f t="shared" si="28"/>
        <v>7.1594999999999969</v>
      </c>
      <c r="I95">
        <f t="shared" si="29"/>
        <v>5.0648148148148069</v>
      </c>
      <c r="J95">
        <f t="shared" si="30"/>
        <v>109.48460736309208</v>
      </c>
      <c r="K95">
        <f t="shared" si="31"/>
        <v>58.564235997274317</v>
      </c>
      <c r="L95">
        <f t="shared" si="32"/>
        <v>52.125375642000002</v>
      </c>
      <c r="M95">
        <f t="shared" si="33"/>
        <v>14.528546341463358</v>
      </c>
      <c r="N95">
        <f t="shared" si="34"/>
        <v>0.91981126200000007</v>
      </c>
      <c r="O95">
        <f t="shared" si="35"/>
        <v>4.061971926</v>
      </c>
      <c r="P95">
        <f t="shared" si="36"/>
        <v>135.87915015062609</v>
      </c>
      <c r="Q95">
        <f t="shared" si="37"/>
        <v>54.115094339622416</v>
      </c>
      <c r="R95">
        <f t="shared" si="38"/>
        <v>9.7056535821875762</v>
      </c>
      <c r="S95">
        <f t="shared" si="39"/>
        <v>3.8653638814016009</v>
      </c>
      <c r="T95">
        <f t="shared" si="40"/>
        <v>0.15311620938390202</v>
      </c>
      <c r="U95">
        <f t="shared" si="41"/>
        <v>3.7232411172857143</v>
      </c>
      <c r="V95">
        <f t="shared" si="42"/>
        <v>1.2984103309739246</v>
      </c>
      <c r="W95" s="1" t="s">
        <v>830</v>
      </c>
      <c r="X95" s="1" t="s">
        <v>831</v>
      </c>
      <c r="Y95" s="1" t="s">
        <v>832</v>
      </c>
      <c r="Z95" s="1" t="s">
        <v>833</v>
      </c>
      <c r="AA95" s="1" t="s">
        <v>834</v>
      </c>
      <c r="AB95">
        <v>9.7613063E-2</v>
      </c>
      <c r="AC95" s="1" t="s">
        <v>835</v>
      </c>
      <c r="AD95">
        <v>1.7224930000000001E-3</v>
      </c>
      <c r="AE95">
        <v>7.6066889999999998E-3</v>
      </c>
      <c r="AF95" s="1" t="s">
        <v>248</v>
      </c>
      <c r="AG95" s="1" t="s">
        <v>249</v>
      </c>
    </row>
    <row r="96" spans="1:34">
      <c r="A96" t="s">
        <v>63</v>
      </c>
      <c r="B96" t="s">
        <v>250</v>
      </c>
      <c r="C96" t="s">
        <v>16</v>
      </c>
      <c r="D96" s="1">
        <v>29</v>
      </c>
      <c r="E96">
        <v>120</v>
      </c>
      <c r="F96">
        <v>509</v>
      </c>
      <c r="G96">
        <f t="shared" si="27"/>
        <v>7.6285542857142765</v>
      </c>
      <c r="H96">
        <f t="shared" si="28"/>
        <v>6.5933999999999955</v>
      </c>
      <c r="I96">
        <f t="shared" si="29"/>
        <v>6.3666666666666529</v>
      </c>
      <c r="J96">
        <f t="shared" si="30"/>
        <v>105.67461189387585</v>
      </c>
      <c r="K96">
        <f t="shared" si="31"/>
        <v>56.493820962225207</v>
      </c>
      <c r="L96">
        <f t="shared" si="32"/>
        <v>50.884472446000004</v>
      </c>
      <c r="M96">
        <f t="shared" si="33"/>
        <v>14.584238551999999</v>
      </c>
      <c r="N96">
        <f t="shared" si="34"/>
        <v>0.98109648199999999</v>
      </c>
      <c r="O96">
        <f t="shared" si="35"/>
        <v>4.9094638079999999</v>
      </c>
      <c r="P96">
        <f t="shared" si="36"/>
        <v>118.08135653610508</v>
      </c>
      <c r="Q96">
        <f t="shared" si="37"/>
        <v>52.733743277501596</v>
      </c>
      <c r="R96">
        <f t="shared" si="38"/>
        <v>8.8561017402078797</v>
      </c>
      <c r="S96">
        <f t="shared" si="39"/>
        <v>3.9550307458126195</v>
      </c>
      <c r="T96">
        <f t="shared" si="40"/>
        <v>0.128384308955999</v>
      </c>
      <c r="U96">
        <f t="shared" si="41"/>
        <v>3.8163354334500004</v>
      </c>
      <c r="V96">
        <f t="shared" si="42"/>
        <v>1.3200696264281455</v>
      </c>
      <c r="W96" s="1" t="s">
        <v>836</v>
      </c>
      <c r="X96" s="1" t="s">
        <v>837</v>
      </c>
      <c r="Y96" s="1" t="s">
        <v>838</v>
      </c>
      <c r="Z96" s="1" t="s">
        <v>839</v>
      </c>
      <c r="AA96" s="1" t="s">
        <v>840</v>
      </c>
      <c r="AB96">
        <v>9.9969494000000006E-2</v>
      </c>
      <c r="AC96">
        <v>2.8652727999999999E-2</v>
      </c>
      <c r="AD96">
        <v>1.9274979999999999E-3</v>
      </c>
      <c r="AE96">
        <v>9.6453119999999996E-3</v>
      </c>
      <c r="AF96" s="1" t="s">
        <v>251</v>
      </c>
      <c r="AG96" s="1" t="s">
        <v>252</v>
      </c>
    </row>
    <row r="97" spans="1:34">
      <c r="A97" t="s">
        <v>37</v>
      </c>
      <c r="B97" t="s">
        <v>253</v>
      </c>
      <c r="C97" t="s">
        <v>118</v>
      </c>
      <c r="D97" s="1">
        <v>29</v>
      </c>
      <c r="E97">
        <v>126.33</v>
      </c>
      <c r="F97">
        <v>531</v>
      </c>
      <c r="G97">
        <f t="shared" si="27"/>
        <v>5.9828067226890544</v>
      </c>
      <c r="H97">
        <f t="shared" si="28"/>
        <v>7.8842647058823268</v>
      </c>
      <c r="I97">
        <f t="shared" si="29"/>
        <v>7.6666666666666652</v>
      </c>
      <c r="J97">
        <f t="shared" si="30"/>
        <v>116.46040443340415</v>
      </c>
      <c r="K97">
        <f t="shared" si="31"/>
        <v>61.980504995483606</v>
      </c>
      <c r="L97">
        <f t="shared" si="32"/>
        <v>56.86702912460143</v>
      </c>
      <c r="M97">
        <f t="shared" si="33"/>
        <v>19.026335870999997</v>
      </c>
      <c r="N97">
        <f t="shared" si="34"/>
        <v>0.94472387099999999</v>
      </c>
      <c r="O97">
        <f t="shared" si="35"/>
        <v>5.1008677740000001</v>
      </c>
      <c r="P97">
        <f t="shared" si="36"/>
        <v>125.75817118474926</v>
      </c>
      <c r="Q97">
        <f t="shared" si="37"/>
        <v>42.659894303999998</v>
      </c>
      <c r="R97">
        <f t="shared" si="38"/>
        <v>8.9592617799631391</v>
      </c>
      <c r="S97">
        <f t="shared" si="39"/>
        <v>3.0391755619092855</v>
      </c>
      <c r="T97">
        <f t="shared" si="40"/>
        <v>0.156493930095573</v>
      </c>
      <c r="U97">
        <f t="shared" si="41"/>
        <v>4.051320051622044</v>
      </c>
      <c r="V97">
        <f t="shared" si="42"/>
        <v>1.259560664429701</v>
      </c>
      <c r="W97" s="1" t="s">
        <v>841</v>
      </c>
      <c r="X97" s="1" t="s">
        <v>842</v>
      </c>
      <c r="Y97" s="1" t="s">
        <v>843</v>
      </c>
      <c r="Z97" s="1" t="s">
        <v>844</v>
      </c>
      <c r="AA97" s="1" t="s">
        <v>845</v>
      </c>
      <c r="AB97" s="1" t="s">
        <v>846</v>
      </c>
      <c r="AC97">
        <v>3.5831140999999997E-2</v>
      </c>
      <c r="AD97">
        <v>1.7791409999999999E-3</v>
      </c>
      <c r="AE97">
        <v>9.6061540000000004E-3</v>
      </c>
      <c r="AF97" s="1" t="s">
        <v>254</v>
      </c>
      <c r="AG97">
        <v>8.0338783999999996E-2</v>
      </c>
    </row>
    <row r="98" spans="1:34">
      <c r="A98" t="s">
        <v>145</v>
      </c>
      <c r="B98" t="s">
        <v>255</v>
      </c>
      <c r="C98" t="s">
        <v>16</v>
      </c>
      <c r="D98">
        <v>22</v>
      </c>
      <c r="E98">
        <v>117.33</v>
      </c>
      <c r="F98">
        <v>496</v>
      </c>
      <c r="G98">
        <f t="shared" ref="G98:G122" si="43">W98*$D98</f>
        <v>6.5330367892976566</v>
      </c>
      <c r="H98">
        <f t="shared" ref="H98:H122" si="44">X98*$D98</f>
        <v>7.5431739130434723</v>
      </c>
      <c r="I98">
        <f t="shared" ref="I98:I122" si="45">Y98*$D98</f>
        <v>9.5797101449275157</v>
      </c>
      <c r="J98">
        <f t="shared" ref="J98:J122" si="46">Z98*$F98</f>
        <v>112.68082617633328</v>
      </c>
      <c r="K98">
        <f t="shared" ref="K98:K122" si="47">AA98*$F98</f>
        <v>56.453763676402083</v>
      </c>
      <c r="L98">
        <f t="shared" ref="L98:L122" si="48">AB98*$F98</f>
        <v>51.160757586887541</v>
      </c>
      <c r="M98">
        <f t="shared" ref="M98:M122" si="49">AC98*$F98</f>
        <v>15.391958303999999</v>
      </c>
      <c r="N98">
        <f t="shared" ref="N98:N122" si="50">AD98*$F98</f>
        <v>0.50000023999999998</v>
      </c>
      <c r="O98">
        <f t="shared" ref="O98:O122" si="51">AE98*$F98</f>
        <v>5.4390738661844082</v>
      </c>
      <c r="P98">
        <f t="shared" ref="P98:P122" si="52">AF98*$F98</f>
        <v>108.15648643986822</v>
      </c>
      <c r="Q98">
        <f t="shared" ref="Q98:Q122" si="53">AG98*$F98</f>
        <v>37.148947711999995</v>
      </c>
      <c r="R98">
        <f t="shared" si="38"/>
        <v>8.2963298215189134</v>
      </c>
      <c r="S98">
        <f t="shared" si="39"/>
        <v>2.8495741021733569</v>
      </c>
      <c r="T98">
        <f t="shared" si="40"/>
        <v>0.14316036033844398</v>
      </c>
      <c r="U98">
        <f t="shared" si="41"/>
        <v>3.9243741437142066</v>
      </c>
      <c r="V98">
        <f t="shared" si="42"/>
        <v>1.2769945784397279</v>
      </c>
      <c r="W98" s="1" t="s">
        <v>847</v>
      </c>
      <c r="X98" s="1" t="s">
        <v>848</v>
      </c>
      <c r="Y98" s="1" t="s">
        <v>849</v>
      </c>
      <c r="Z98" s="1" t="s">
        <v>850</v>
      </c>
      <c r="AA98" s="1" t="s">
        <v>851</v>
      </c>
      <c r="AB98" s="1" t="s">
        <v>852</v>
      </c>
      <c r="AC98">
        <v>3.1032173999999999E-2</v>
      </c>
      <c r="AD98">
        <v>1.008065E-3</v>
      </c>
      <c r="AE98" s="1" t="s">
        <v>853</v>
      </c>
      <c r="AF98" s="1" t="s">
        <v>256</v>
      </c>
      <c r="AG98">
        <v>7.4897071999999995E-2</v>
      </c>
    </row>
    <row r="99" spans="1:34">
      <c r="A99" t="s">
        <v>48</v>
      </c>
      <c r="B99" t="s">
        <v>257</v>
      </c>
      <c r="C99" t="s">
        <v>16</v>
      </c>
      <c r="D99">
        <v>33</v>
      </c>
      <c r="E99">
        <v>126.33</v>
      </c>
      <c r="F99">
        <v>531</v>
      </c>
      <c r="G99">
        <f t="shared" si="43"/>
        <v>7.3670372272143574</v>
      </c>
      <c r="H99">
        <f t="shared" si="44"/>
        <v>6.8711707317072932</v>
      </c>
      <c r="I99">
        <f t="shared" si="45"/>
        <v>6.0894308943089159</v>
      </c>
      <c r="J99">
        <f t="shared" si="46"/>
        <v>115.77221367849016</v>
      </c>
      <c r="K99">
        <f t="shared" si="47"/>
        <v>59.56269699154798</v>
      </c>
      <c r="L99">
        <f t="shared" si="48"/>
        <v>58.761022536871629</v>
      </c>
      <c r="M99">
        <f t="shared" si="49"/>
        <v>17.373449691000001</v>
      </c>
      <c r="N99">
        <f t="shared" si="50"/>
        <v>0.98895032999999999</v>
      </c>
      <c r="O99">
        <f t="shared" si="51"/>
        <v>4.945755771</v>
      </c>
      <c r="P99">
        <f t="shared" si="52"/>
        <v>114.886651738362</v>
      </c>
      <c r="Q99">
        <f t="shared" si="53"/>
        <v>42.649197309000002</v>
      </c>
      <c r="R99">
        <f t="shared" si="38"/>
        <v>8.1847531516287351</v>
      </c>
      <c r="S99">
        <f t="shared" si="39"/>
        <v>3.0384134867489907</v>
      </c>
      <c r="T99">
        <f t="shared" si="40"/>
        <v>0.13604040382177401</v>
      </c>
      <c r="U99">
        <f t="shared" si="41"/>
        <v>4.1862519024130815</v>
      </c>
      <c r="V99">
        <f t="shared" si="42"/>
        <v>1.2540284254531002</v>
      </c>
      <c r="W99" s="1" t="s">
        <v>854</v>
      </c>
      <c r="X99" s="1" t="s">
        <v>855</v>
      </c>
      <c r="Y99" s="1" t="s">
        <v>856</v>
      </c>
      <c r="Z99" s="1" t="s">
        <v>857</v>
      </c>
      <c r="AA99" s="1" t="s">
        <v>858</v>
      </c>
      <c r="AB99" s="1" t="s">
        <v>859</v>
      </c>
      <c r="AC99">
        <v>3.2718361000000001E-2</v>
      </c>
      <c r="AD99">
        <v>1.86243E-3</v>
      </c>
      <c r="AE99">
        <v>9.3140410000000003E-3</v>
      </c>
      <c r="AF99" s="1" t="s">
        <v>258</v>
      </c>
      <c r="AG99">
        <v>8.0318638999999997E-2</v>
      </c>
      <c r="AH99" s="1"/>
    </row>
    <row r="100" spans="1:34">
      <c r="A100" t="s">
        <v>161</v>
      </c>
      <c r="B100" t="s">
        <v>259</v>
      </c>
      <c r="C100" t="s">
        <v>16</v>
      </c>
      <c r="D100">
        <v>13</v>
      </c>
      <c r="E100">
        <v>72</v>
      </c>
      <c r="F100">
        <v>297</v>
      </c>
      <c r="G100">
        <f t="shared" si="43"/>
        <v>4.8839999999999906</v>
      </c>
      <c r="H100">
        <f t="shared" si="44"/>
        <v>4.1070000010000003</v>
      </c>
      <c r="I100">
        <f t="shared" si="45"/>
        <v>6.1333333333333231</v>
      </c>
      <c r="J100">
        <f t="shared" si="46"/>
        <v>65.95783095120764</v>
      </c>
      <c r="K100">
        <f t="shared" si="47"/>
        <v>31.493255423993155</v>
      </c>
      <c r="L100">
        <f t="shared" si="48"/>
        <v>28.129919598000001</v>
      </c>
      <c r="M100">
        <f t="shared" si="49"/>
        <v>7.6599373184019184</v>
      </c>
      <c r="N100">
        <f t="shared" si="50"/>
        <v>0</v>
      </c>
      <c r="O100">
        <f t="shared" si="51"/>
        <v>2.8672816590000001</v>
      </c>
      <c r="P100">
        <f t="shared" si="52"/>
        <v>67.278766061678979</v>
      </c>
      <c r="Q100">
        <f t="shared" si="53"/>
        <v>18.732528638999998</v>
      </c>
      <c r="R100">
        <f t="shared" si="38"/>
        <v>8.4098457577098724</v>
      </c>
      <c r="S100">
        <f t="shared" si="39"/>
        <v>2.3415660798749998</v>
      </c>
      <c r="T100">
        <f t="shared" si="40"/>
        <v>0.16345534485750501</v>
      </c>
      <c r="U100">
        <f t="shared" si="41"/>
        <v>3.5162399497500001</v>
      </c>
      <c r="V100">
        <f t="shared" si="42"/>
        <v>1.1762549943084393</v>
      </c>
      <c r="W100" s="1" t="s">
        <v>860</v>
      </c>
      <c r="X100">
        <v>0.315923077</v>
      </c>
      <c r="Y100" s="1" t="s">
        <v>861</v>
      </c>
      <c r="Z100" s="1" t="s">
        <v>862</v>
      </c>
      <c r="AA100" s="1" t="s">
        <v>863</v>
      </c>
      <c r="AB100">
        <v>9.4713534000000002E-2</v>
      </c>
      <c r="AC100" s="1" t="s">
        <v>864</v>
      </c>
      <c r="AD100">
        <v>0</v>
      </c>
      <c r="AE100">
        <v>9.6541470000000001E-3</v>
      </c>
      <c r="AF100" s="1" t="s">
        <v>260</v>
      </c>
      <c r="AG100">
        <v>6.3072486999999997E-2</v>
      </c>
    </row>
    <row r="101" spans="1:34">
      <c r="A101" t="s">
        <v>54</v>
      </c>
      <c r="B101" t="s">
        <v>261</v>
      </c>
      <c r="C101" t="s">
        <v>16</v>
      </c>
      <c r="D101">
        <v>25</v>
      </c>
      <c r="E101">
        <v>146.66999999999999</v>
      </c>
      <c r="F101">
        <v>621</v>
      </c>
      <c r="G101">
        <f t="shared" si="43"/>
        <v>8.345397435897425</v>
      </c>
      <c r="H101">
        <f t="shared" si="44"/>
        <v>8.542730769230749</v>
      </c>
      <c r="I101">
        <f t="shared" si="45"/>
        <v>11.2628205128205</v>
      </c>
      <c r="J101">
        <f t="shared" si="46"/>
        <v>144.44528621405976</v>
      </c>
      <c r="K101">
        <f t="shared" si="47"/>
        <v>76.740628600049419</v>
      </c>
      <c r="L101">
        <f t="shared" si="48"/>
        <v>67.384143500708731</v>
      </c>
      <c r="M101">
        <f t="shared" si="49"/>
        <v>20.424159045</v>
      </c>
      <c r="N101">
        <f t="shared" si="50"/>
        <v>0.987440922</v>
      </c>
      <c r="O101">
        <f t="shared" si="51"/>
        <v>5.2618820399999997</v>
      </c>
      <c r="P101">
        <f t="shared" si="52"/>
        <v>125.44225498768103</v>
      </c>
      <c r="Q101">
        <f t="shared" si="53"/>
        <v>47.919157604999995</v>
      </c>
      <c r="R101">
        <f t="shared" si="38"/>
        <v>7.6974179783809182</v>
      </c>
      <c r="S101">
        <f t="shared" si="39"/>
        <v>2.940426934240131</v>
      </c>
      <c r="T101">
        <f t="shared" si="40"/>
        <v>0.124835905608182</v>
      </c>
      <c r="U101">
        <f t="shared" si="41"/>
        <v>4.1348421047683823</v>
      </c>
      <c r="V101">
        <f t="shared" si="42"/>
        <v>1.3115459454493748</v>
      </c>
      <c r="W101" s="1" t="s">
        <v>865</v>
      </c>
      <c r="X101" s="1" t="s">
        <v>526</v>
      </c>
      <c r="Y101" s="1" t="s">
        <v>866</v>
      </c>
      <c r="Z101" s="1" t="s">
        <v>867</v>
      </c>
      <c r="AA101" s="1" t="s">
        <v>868</v>
      </c>
      <c r="AB101" s="1" t="s">
        <v>869</v>
      </c>
      <c r="AC101">
        <v>3.2889145000000002E-2</v>
      </c>
      <c r="AD101">
        <v>1.590082E-3</v>
      </c>
      <c r="AE101">
        <v>8.4732399999999999E-3</v>
      </c>
      <c r="AF101" s="1" t="s">
        <v>262</v>
      </c>
      <c r="AG101">
        <v>7.7164504999999994E-2</v>
      </c>
    </row>
    <row r="102" spans="1:34">
      <c r="A102" t="s">
        <v>57</v>
      </c>
      <c r="B102" t="s">
        <v>263</v>
      </c>
      <c r="C102" t="s">
        <v>16</v>
      </c>
      <c r="D102">
        <v>29</v>
      </c>
      <c r="E102">
        <v>163</v>
      </c>
      <c r="F102">
        <v>691</v>
      </c>
      <c r="G102">
        <f t="shared" si="43"/>
        <v>9.5499642857142675</v>
      </c>
      <c r="H102">
        <f t="shared" si="44"/>
        <v>10.441928571428566</v>
      </c>
      <c r="I102">
        <f t="shared" si="45"/>
        <v>12.398809523809499</v>
      </c>
      <c r="J102">
        <f t="shared" si="46"/>
        <v>147.44576682957344</v>
      </c>
      <c r="K102">
        <f t="shared" si="47"/>
        <v>82.757080786079911</v>
      </c>
      <c r="L102">
        <f t="shared" si="48"/>
        <v>76.112033436610886</v>
      </c>
      <c r="M102">
        <f t="shared" si="49"/>
        <v>23.185810545000002</v>
      </c>
      <c r="N102">
        <f t="shared" si="50"/>
        <v>0.49999999899999997</v>
      </c>
      <c r="O102">
        <f t="shared" si="51"/>
        <v>7.1031628309999997</v>
      </c>
      <c r="P102">
        <f t="shared" si="52"/>
        <v>154.52460849933925</v>
      </c>
      <c r="Q102">
        <f t="shared" si="53"/>
        <v>64.898466403</v>
      </c>
      <c r="R102">
        <f t="shared" si="38"/>
        <v>8.5320335981230269</v>
      </c>
      <c r="S102">
        <f t="shared" si="39"/>
        <v>3.5833509056871167</v>
      </c>
      <c r="T102">
        <f t="shared" si="40"/>
        <v>0.129704981326106</v>
      </c>
      <c r="U102">
        <f t="shared" si="41"/>
        <v>4.2025049136779016</v>
      </c>
      <c r="V102">
        <f t="shared" si="42"/>
        <v>1.3027253572550519</v>
      </c>
      <c r="W102" s="1" t="s">
        <v>870</v>
      </c>
      <c r="X102" s="1" t="s">
        <v>871</v>
      </c>
      <c r="Y102" s="1" t="s">
        <v>872</v>
      </c>
      <c r="Z102" s="1" t="s">
        <v>873</v>
      </c>
      <c r="AA102" s="1" t="s">
        <v>874</v>
      </c>
      <c r="AB102" s="1" t="s">
        <v>875</v>
      </c>
      <c r="AC102">
        <v>3.3553995000000003E-2</v>
      </c>
      <c r="AD102">
        <v>7.2358899999999996E-4</v>
      </c>
      <c r="AE102">
        <v>1.0279541E-2</v>
      </c>
      <c r="AF102" s="1" t="s">
        <v>265</v>
      </c>
      <c r="AG102">
        <v>9.3919633000000002E-2</v>
      </c>
    </row>
    <row r="103" spans="1:34">
      <c r="A103" t="s">
        <v>173</v>
      </c>
      <c r="B103" t="s">
        <v>266</v>
      </c>
      <c r="C103" t="s">
        <v>16</v>
      </c>
      <c r="D103">
        <v>29</v>
      </c>
      <c r="E103">
        <v>169.67</v>
      </c>
      <c r="F103">
        <v>721</v>
      </c>
      <c r="G103">
        <f t="shared" si="43"/>
        <v>8.4431612903225766</v>
      </c>
      <c r="H103">
        <f t="shared" si="44"/>
        <v>10.752677419354836</v>
      </c>
      <c r="I103">
        <f t="shared" si="45"/>
        <v>13.505376344086011</v>
      </c>
      <c r="J103">
        <f t="shared" si="46"/>
        <v>163.38258710316006</v>
      </c>
      <c r="K103">
        <f t="shared" si="47"/>
        <v>83.85043353144232</v>
      </c>
      <c r="L103">
        <f t="shared" si="48"/>
        <v>78.756785508373369</v>
      </c>
      <c r="M103">
        <f t="shared" si="49"/>
        <v>26.401856306000003</v>
      </c>
      <c r="N103">
        <f t="shared" si="50"/>
        <v>1.481952052</v>
      </c>
      <c r="O103">
        <f t="shared" si="51"/>
        <v>5.235190373</v>
      </c>
      <c r="P103">
        <f t="shared" si="52"/>
        <v>167.79055841590903</v>
      </c>
      <c r="Q103">
        <f t="shared" si="53"/>
        <v>59.462240620999999</v>
      </c>
      <c r="R103">
        <f t="shared" si="38"/>
        <v>8.9003066290044295</v>
      </c>
      <c r="S103">
        <f t="shared" si="39"/>
        <v>3.1541236847350742</v>
      </c>
      <c r="T103">
        <f t="shared" si="40"/>
        <v>0.15024732010389602</v>
      </c>
      <c r="U103">
        <f t="shared" si="41"/>
        <v>4.1775863121079766</v>
      </c>
      <c r="V103">
        <f t="shared" si="42"/>
        <v>1.3134014718227152</v>
      </c>
      <c r="W103" s="1" t="s">
        <v>876</v>
      </c>
      <c r="X103" s="1" t="s">
        <v>626</v>
      </c>
      <c r="Y103" s="1" t="s">
        <v>877</v>
      </c>
      <c r="Z103" s="1" t="s">
        <v>878</v>
      </c>
      <c r="AA103" s="1" t="s">
        <v>879</v>
      </c>
      <c r="AB103" s="1" t="s">
        <v>880</v>
      </c>
      <c r="AC103">
        <v>3.6618386000000003E-2</v>
      </c>
      <c r="AD103">
        <v>2.055412E-3</v>
      </c>
      <c r="AE103">
        <v>7.2610130000000002E-3</v>
      </c>
      <c r="AF103" s="1" t="s">
        <v>267</v>
      </c>
      <c r="AG103">
        <v>8.2471901E-2</v>
      </c>
      <c r="AH103" s="1"/>
    </row>
    <row r="104" spans="1:34">
      <c r="A104" t="s">
        <v>170</v>
      </c>
      <c r="B104" t="s">
        <v>268</v>
      </c>
      <c r="C104" t="s">
        <v>16</v>
      </c>
      <c r="D104">
        <v>6</v>
      </c>
      <c r="E104">
        <v>37.33</v>
      </c>
      <c r="F104">
        <v>155</v>
      </c>
      <c r="G104">
        <f t="shared" si="43"/>
        <v>2.5441199999999999</v>
      </c>
      <c r="H104">
        <f t="shared" si="44"/>
        <v>1.9980000000000002</v>
      </c>
      <c r="I104">
        <f t="shared" si="45"/>
        <v>3.3333333333333304</v>
      </c>
      <c r="J104">
        <f t="shared" si="46"/>
        <v>34.014186965811888</v>
      </c>
      <c r="K104">
        <f t="shared" si="47"/>
        <v>16.508379563491971</v>
      </c>
      <c r="L104">
        <f t="shared" si="48"/>
        <v>14.045300510000001</v>
      </c>
      <c r="M104">
        <f t="shared" si="49"/>
        <v>3.9299059829059622</v>
      </c>
      <c r="N104">
        <f t="shared" si="50"/>
        <v>0</v>
      </c>
      <c r="O104">
        <f t="shared" si="51"/>
        <v>1.3194592000000001</v>
      </c>
      <c r="P104">
        <f t="shared" si="52"/>
        <v>34.981871482176224</v>
      </c>
      <c r="Q104">
        <f t="shared" si="53"/>
        <v>11.389743635</v>
      </c>
      <c r="R104">
        <f t="shared" si="38"/>
        <v>8.4338827575565496</v>
      </c>
      <c r="S104">
        <f t="shared" si="39"/>
        <v>2.7459869465577285</v>
      </c>
      <c r="T104">
        <f t="shared" si="40"/>
        <v>0.15220727643339499</v>
      </c>
      <c r="U104">
        <f t="shared" si="41"/>
        <v>3.3862230000000006</v>
      </c>
      <c r="V104">
        <f t="shared" si="42"/>
        <v>1.2162853094243742</v>
      </c>
      <c r="W104" s="1" t="s">
        <v>269</v>
      </c>
      <c r="X104">
        <v>0.33300000000000002</v>
      </c>
      <c r="Y104" s="1" t="s">
        <v>881</v>
      </c>
      <c r="Z104" s="1" t="s">
        <v>882</v>
      </c>
      <c r="AA104" s="1" t="s">
        <v>883</v>
      </c>
      <c r="AB104">
        <v>9.0614842000000001E-2</v>
      </c>
      <c r="AC104" s="1" t="s">
        <v>884</v>
      </c>
      <c r="AD104">
        <v>0</v>
      </c>
      <c r="AE104">
        <v>8.5126400000000001E-3</v>
      </c>
      <c r="AF104" s="1" t="s">
        <v>270</v>
      </c>
      <c r="AG104">
        <v>7.3482217000000002E-2</v>
      </c>
    </row>
    <row r="105" spans="1:34">
      <c r="A105" t="s">
        <v>77</v>
      </c>
      <c r="B105" t="s">
        <v>271</v>
      </c>
      <c r="C105" t="s">
        <v>16</v>
      </c>
      <c r="D105">
        <v>24</v>
      </c>
      <c r="E105">
        <v>138</v>
      </c>
      <c r="F105">
        <v>576</v>
      </c>
      <c r="G105">
        <f t="shared" si="43"/>
        <v>8.0157857142857036</v>
      </c>
      <c r="H105">
        <f t="shared" si="44"/>
        <v>7.8968571428571357</v>
      </c>
      <c r="I105">
        <f t="shared" si="45"/>
        <v>11.928571428571416</v>
      </c>
      <c r="J105">
        <f t="shared" si="46"/>
        <v>129.8577790898882</v>
      </c>
      <c r="K105">
        <f t="shared" si="47"/>
        <v>63.414137039461629</v>
      </c>
      <c r="L105">
        <f t="shared" si="48"/>
        <v>58.734963659669766</v>
      </c>
      <c r="M105">
        <f t="shared" si="49"/>
        <v>18.709730495999999</v>
      </c>
      <c r="N105">
        <f t="shared" si="50"/>
        <v>0.93113798400000003</v>
      </c>
      <c r="O105">
        <f t="shared" si="51"/>
        <v>8.5140048317158072</v>
      </c>
      <c r="P105">
        <f t="shared" si="52"/>
        <v>124.86415058244923</v>
      </c>
      <c r="Q105">
        <f t="shared" si="53"/>
        <v>36.243072576000003</v>
      </c>
      <c r="R105">
        <f t="shared" si="38"/>
        <v>8.1433141684206021</v>
      </c>
      <c r="S105">
        <f t="shared" si="39"/>
        <v>2.3636786462608694</v>
      </c>
      <c r="T105">
        <f t="shared" si="40"/>
        <v>0.153856038205641</v>
      </c>
      <c r="U105">
        <f t="shared" si="41"/>
        <v>3.8305411082393324</v>
      </c>
      <c r="V105">
        <f t="shared" si="42"/>
        <v>1.2036293598977406</v>
      </c>
      <c r="W105" s="1" t="s">
        <v>885</v>
      </c>
      <c r="X105" s="1" t="s">
        <v>101</v>
      </c>
      <c r="Y105" s="1" t="s">
        <v>886</v>
      </c>
      <c r="Z105" s="1" t="s">
        <v>887</v>
      </c>
      <c r="AA105" s="1" t="s">
        <v>888</v>
      </c>
      <c r="AB105" s="1" t="s">
        <v>889</v>
      </c>
      <c r="AC105">
        <v>3.2482170999999997E-2</v>
      </c>
      <c r="AD105">
        <v>1.6165590000000001E-3</v>
      </c>
      <c r="AE105" s="1" t="s">
        <v>890</v>
      </c>
      <c r="AF105" s="1" t="s">
        <v>272</v>
      </c>
      <c r="AG105">
        <v>6.2922001000000005E-2</v>
      </c>
      <c r="AH105" s="1"/>
    </row>
    <row r="106" spans="1:34">
      <c r="A106" t="s">
        <v>40</v>
      </c>
      <c r="B106" t="s">
        <v>273</v>
      </c>
      <c r="C106" t="s">
        <v>16</v>
      </c>
      <c r="D106">
        <v>28</v>
      </c>
      <c r="E106">
        <v>125.67</v>
      </c>
      <c r="F106">
        <v>530</v>
      </c>
      <c r="G106">
        <f t="shared" si="43"/>
        <v>6.5267999999999997</v>
      </c>
      <c r="H106">
        <f t="shared" si="44"/>
        <v>7.3259999999999961</v>
      </c>
      <c r="I106">
        <f t="shared" si="45"/>
        <v>7.7962962962962834</v>
      </c>
      <c r="J106">
        <f t="shared" si="46"/>
        <v>116.56924091731608</v>
      </c>
      <c r="K106">
        <f t="shared" si="47"/>
        <v>59.850171084805709</v>
      </c>
      <c r="L106">
        <f t="shared" si="48"/>
        <v>52.837948789999999</v>
      </c>
      <c r="M106">
        <f t="shared" si="49"/>
        <v>15.552444875991711</v>
      </c>
      <c r="N106">
        <f t="shared" si="50"/>
        <v>0.91149082000000003</v>
      </c>
      <c r="O106">
        <f t="shared" si="51"/>
        <v>4.0144574400000002</v>
      </c>
      <c r="P106">
        <f t="shared" si="52"/>
        <v>126.70246323921219</v>
      </c>
      <c r="Q106">
        <f t="shared" si="53"/>
        <v>44.281594869999999</v>
      </c>
      <c r="R106">
        <f t="shared" si="38"/>
        <v>9.0739410293061979</v>
      </c>
      <c r="S106">
        <f t="shared" si="39"/>
        <v>3.171276787061351</v>
      </c>
      <c r="T106">
        <f t="shared" si="40"/>
        <v>0.15551107239473999</v>
      </c>
      <c r="U106">
        <f t="shared" si="41"/>
        <v>3.784049805920267</v>
      </c>
      <c r="V106">
        <f t="shared" si="42"/>
        <v>1.2799461748015921</v>
      </c>
      <c r="W106" s="1" t="s">
        <v>274</v>
      </c>
      <c r="X106" s="1" t="s">
        <v>891</v>
      </c>
      <c r="Y106" s="1" t="s">
        <v>892</v>
      </c>
      <c r="Z106" s="1" t="s">
        <v>893</v>
      </c>
      <c r="AA106" s="1" t="s">
        <v>894</v>
      </c>
      <c r="AB106">
        <v>9.9694243000000002E-2</v>
      </c>
      <c r="AC106" s="1" t="s">
        <v>895</v>
      </c>
      <c r="AD106">
        <v>1.719794E-3</v>
      </c>
      <c r="AE106">
        <v>7.5744480000000001E-3</v>
      </c>
      <c r="AF106" s="1" t="s">
        <v>275</v>
      </c>
      <c r="AG106">
        <v>8.3550179000000002E-2</v>
      </c>
    </row>
    <row r="107" spans="1:34">
      <c r="A107" t="s">
        <v>277</v>
      </c>
      <c r="B107" t="s">
        <v>276</v>
      </c>
      <c r="C107" t="s">
        <v>16</v>
      </c>
      <c r="D107">
        <v>28</v>
      </c>
      <c r="E107">
        <v>156.33000000000001</v>
      </c>
      <c r="F107">
        <v>662</v>
      </c>
      <c r="G107">
        <f t="shared" si="43"/>
        <v>7.8886551800000007</v>
      </c>
      <c r="H107">
        <f t="shared" si="44"/>
        <v>10.196689655172412</v>
      </c>
      <c r="I107">
        <f t="shared" si="45"/>
        <v>12.586206896551708</v>
      </c>
      <c r="J107">
        <f t="shared" si="46"/>
        <v>145.44970445374835</v>
      </c>
      <c r="K107">
        <f t="shared" si="47"/>
        <v>78.894493915599853</v>
      </c>
      <c r="L107">
        <f t="shared" si="48"/>
        <v>71.960191107315936</v>
      </c>
      <c r="M107">
        <f t="shared" si="49"/>
        <v>21.100665291479729</v>
      </c>
      <c r="N107">
        <f t="shared" si="50"/>
        <v>0.95718249</v>
      </c>
      <c r="O107">
        <f t="shared" si="51"/>
        <v>8.6779598146816994</v>
      </c>
      <c r="P107">
        <f t="shared" si="52"/>
        <v>148.57909510269232</v>
      </c>
      <c r="Q107">
        <f t="shared" si="53"/>
        <v>56.004228846000004</v>
      </c>
      <c r="R107">
        <f t="shared" si="38"/>
        <v>8.5537763444267298</v>
      </c>
      <c r="S107">
        <f t="shared" si="39"/>
        <v>3.2241927948186526</v>
      </c>
      <c r="T107">
        <f t="shared" si="40"/>
        <v>0.139841187698931</v>
      </c>
      <c r="U107">
        <f t="shared" si="41"/>
        <v>4.1427859013998809</v>
      </c>
      <c r="V107">
        <f t="shared" si="42"/>
        <v>1.2886453866804091</v>
      </c>
      <c r="W107">
        <v>0.28173768500000002</v>
      </c>
      <c r="X107" s="1" t="s">
        <v>896</v>
      </c>
      <c r="Y107" s="1" t="s">
        <v>897</v>
      </c>
      <c r="Z107" s="1" t="s">
        <v>898</v>
      </c>
      <c r="AA107" s="1" t="s">
        <v>899</v>
      </c>
      <c r="AB107" s="1" t="s">
        <v>900</v>
      </c>
      <c r="AC107" s="1" t="s">
        <v>901</v>
      </c>
      <c r="AD107">
        <v>1.445895E-3</v>
      </c>
      <c r="AE107" s="1" t="s">
        <v>902</v>
      </c>
      <c r="AF107" s="1" t="s">
        <v>278</v>
      </c>
      <c r="AG107">
        <v>8.4598533000000004E-2</v>
      </c>
    </row>
    <row r="108" spans="1:34">
      <c r="A108" t="s">
        <v>74</v>
      </c>
      <c r="B108" t="s">
        <v>279</v>
      </c>
      <c r="C108" t="s">
        <v>16</v>
      </c>
      <c r="D108">
        <v>27</v>
      </c>
      <c r="E108">
        <v>151.66999999999999</v>
      </c>
      <c r="F108">
        <v>639</v>
      </c>
      <c r="G108">
        <f t="shared" si="43"/>
        <v>9.5380714285714081</v>
      </c>
      <c r="H108">
        <f t="shared" si="44"/>
        <v>9.2050714285714186</v>
      </c>
      <c r="I108">
        <f t="shared" si="45"/>
        <v>12.24999999999998</v>
      </c>
      <c r="J108">
        <f t="shared" si="46"/>
        <v>139.27548335755765</v>
      </c>
      <c r="K108">
        <f t="shared" si="47"/>
        <v>75.562799249763344</v>
      </c>
      <c r="L108">
        <f t="shared" si="48"/>
        <v>71.343278449863192</v>
      </c>
      <c r="M108">
        <f t="shared" si="49"/>
        <v>21.232924596000004</v>
      </c>
      <c r="N108">
        <f t="shared" si="50"/>
        <v>0.50000024700000001</v>
      </c>
      <c r="O108">
        <f t="shared" si="51"/>
        <v>7.514291911764686</v>
      </c>
      <c r="P108">
        <f t="shared" si="52"/>
        <v>147.72532711547714</v>
      </c>
      <c r="Q108">
        <f t="shared" si="53"/>
        <v>53.158401053999995</v>
      </c>
      <c r="R108">
        <f t="shared" si="38"/>
        <v>8.7659256546403004</v>
      </c>
      <c r="S108">
        <f t="shared" si="39"/>
        <v>3.154385240891409</v>
      </c>
      <c r="T108">
        <f t="shared" si="40"/>
        <v>0.147992059564127</v>
      </c>
      <c r="U108">
        <f t="shared" si="41"/>
        <v>4.2334641395712325</v>
      </c>
      <c r="V108">
        <f t="shared" si="42"/>
        <v>1.2687669572859344</v>
      </c>
      <c r="W108" s="1" t="s">
        <v>464</v>
      </c>
      <c r="X108" s="1" t="s">
        <v>731</v>
      </c>
      <c r="Y108" s="1" t="s">
        <v>903</v>
      </c>
      <c r="Z108" s="1" t="s">
        <v>904</v>
      </c>
      <c r="AA108" s="1" t="s">
        <v>905</v>
      </c>
      <c r="AB108" s="1" t="s">
        <v>906</v>
      </c>
      <c r="AC108">
        <v>3.3228364000000003E-2</v>
      </c>
      <c r="AD108">
        <v>7.82473E-4</v>
      </c>
      <c r="AE108" s="1" t="s">
        <v>907</v>
      </c>
      <c r="AF108" s="1" t="s">
        <v>280</v>
      </c>
      <c r="AG108">
        <v>8.3189985999999994E-2</v>
      </c>
      <c r="AH108" s="1"/>
    </row>
    <row r="109" spans="1:34">
      <c r="A109" t="s">
        <v>173</v>
      </c>
      <c r="B109" t="s">
        <v>281</v>
      </c>
      <c r="C109" t="s">
        <v>16</v>
      </c>
      <c r="D109">
        <v>29</v>
      </c>
      <c r="E109">
        <v>168.33</v>
      </c>
      <c r="F109">
        <v>722</v>
      </c>
      <c r="G109">
        <f t="shared" si="43"/>
        <v>9.6537774193548334</v>
      </c>
      <c r="H109">
        <f t="shared" si="44"/>
        <v>10.419677419354826</v>
      </c>
      <c r="I109">
        <f t="shared" si="45"/>
        <v>14.118279569892463</v>
      </c>
      <c r="J109">
        <f t="shared" si="46"/>
        <v>158.10372940807571</v>
      </c>
      <c r="K109">
        <f t="shared" si="47"/>
        <v>76.60882327164498</v>
      </c>
      <c r="L109">
        <f t="shared" si="48"/>
        <v>72.984308565473967</v>
      </c>
      <c r="M109">
        <f t="shared" si="49"/>
        <v>14.739337250122182</v>
      </c>
      <c r="N109">
        <f t="shared" si="50"/>
        <v>0.97562560400000009</v>
      </c>
      <c r="O109">
        <f t="shared" si="51"/>
        <v>8.8366221802457989</v>
      </c>
      <c r="P109">
        <f t="shared" si="52"/>
        <v>152.11054440490361</v>
      </c>
      <c r="Q109">
        <f t="shared" si="53"/>
        <v>70.772089769999994</v>
      </c>
      <c r="R109">
        <f t="shared" si="38"/>
        <v>8.1328040138070001</v>
      </c>
      <c r="S109">
        <f t="shared" si="39"/>
        <v>3.7839292338264117</v>
      </c>
      <c r="T109">
        <f t="shared" si="40"/>
        <v>0.11265713938352299</v>
      </c>
      <c r="U109">
        <f t="shared" si="41"/>
        <v>3.9022086205029742</v>
      </c>
      <c r="V109">
        <f t="shared" si="42"/>
        <v>1.3596852562114636</v>
      </c>
      <c r="W109" s="1" t="s">
        <v>908</v>
      </c>
      <c r="X109" s="1" t="s">
        <v>458</v>
      </c>
      <c r="Y109" s="1" t="s">
        <v>909</v>
      </c>
      <c r="Z109" s="1" t="s">
        <v>910</v>
      </c>
      <c r="AA109" s="1" t="s">
        <v>911</v>
      </c>
      <c r="AB109" s="1" t="s">
        <v>912</v>
      </c>
      <c r="AC109" s="1" t="s">
        <v>913</v>
      </c>
      <c r="AD109">
        <v>1.3512820000000001E-3</v>
      </c>
      <c r="AE109" s="1" t="s">
        <v>914</v>
      </c>
      <c r="AF109" s="1" t="s">
        <v>282</v>
      </c>
      <c r="AG109">
        <v>9.8022285000000001E-2</v>
      </c>
      <c r="AH109" s="1"/>
    </row>
    <row r="110" spans="1:34">
      <c r="A110" t="s">
        <v>23</v>
      </c>
      <c r="B110" t="s">
        <v>283</v>
      </c>
      <c r="C110" t="s">
        <v>16</v>
      </c>
      <c r="D110">
        <v>23</v>
      </c>
      <c r="E110">
        <v>54</v>
      </c>
      <c r="F110">
        <v>227</v>
      </c>
      <c r="G110">
        <f t="shared" si="43"/>
        <v>4.4029999999999854</v>
      </c>
      <c r="H110">
        <f t="shared" si="44"/>
        <v>2.8489999999999931</v>
      </c>
      <c r="I110">
        <f t="shared" si="45"/>
        <v>1.493827161</v>
      </c>
      <c r="J110">
        <f t="shared" si="46"/>
        <v>47.405419174208042</v>
      </c>
      <c r="K110">
        <f t="shared" si="47"/>
        <v>24.016437410398069</v>
      </c>
      <c r="L110">
        <f t="shared" si="48"/>
        <v>22.683278045000002</v>
      </c>
      <c r="M110">
        <f t="shared" si="49"/>
        <v>5.1975204819999998</v>
      </c>
      <c r="N110">
        <f t="shared" si="50"/>
        <v>1.0456730030000001</v>
      </c>
      <c r="O110">
        <f t="shared" si="51"/>
        <v>3.0971348076922989</v>
      </c>
      <c r="P110">
        <f t="shared" si="52"/>
        <v>55.226198430922082</v>
      </c>
      <c r="Q110">
        <f t="shared" si="53"/>
        <v>20.017735085000002</v>
      </c>
      <c r="R110">
        <f t="shared" si="38"/>
        <v>9.2043664051536815</v>
      </c>
      <c r="S110">
        <f t="shared" si="39"/>
        <v>3.3362891808333339</v>
      </c>
      <c r="T110">
        <f t="shared" si="40"/>
        <v>0.155103362757366</v>
      </c>
      <c r="U110">
        <f t="shared" si="41"/>
        <v>3.7805463408333337</v>
      </c>
      <c r="V110">
        <f t="shared" si="42"/>
        <v>1.248576930726075</v>
      </c>
      <c r="W110" s="1" t="s">
        <v>915</v>
      </c>
      <c r="X110" s="1" t="s">
        <v>916</v>
      </c>
      <c r="Y110">
        <v>6.4949007000000003E-2</v>
      </c>
      <c r="Z110" s="1" t="s">
        <v>917</v>
      </c>
      <c r="AA110" s="1" t="s">
        <v>918</v>
      </c>
      <c r="AB110">
        <v>9.9926335000000005E-2</v>
      </c>
      <c r="AC110">
        <v>2.2896566E-2</v>
      </c>
      <c r="AD110">
        <v>4.6064890000000001E-3</v>
      </c>
      <c r="AE110" s="1" t="s">
        <v>919</v>
      </c>
      <c r="AF110" s="1" t="s">
        <v>284</v>
      </c>
      <c r="AG110">
        <v>8.8183855000000005E-2</v>
      </c>
      <c r="AH110" s="1"/>
    </row>
    <row r="111" spans="1:34">
      <c r="A111" t="s">
        <v>33</v>
      </c>
      <c r="B111" t="s">
        <v>285</v>
      </c>
      <c r="C111" t="s">
        <v>16</v>
      </c>
      <c r="D111">
        <v>25</v>
      </c>
      <c r="E111">
        <v>144.33000000000001</v>
      </c>
      <c r="F111">
        <v>599</v>
      </c>
      <c r="G111">
        <f t="shared" si="43"/>
        <v>8.4124264214046764</v>
      </c>
      <c r="H111">
        <f t="shared" si="44"/>
        <v>8.542730769230749</v>
      </c>
      <c r="I111">
        <f t="shared" si="45"/>
        <v>11.25641025641025</v>
      </c>
      <c r="J111">
        <f t="shared" si="46"/>
        <v>133.84928748534878</v>
      </c>
      <c r="K111">
        <f t="shared" si="47"/>
        <v>68.959725498275915</v>
      </c>
      <c r="L111">
        <f t="shared" si="48"/>
        <v>65.241490582842005</v>
      </c>
      <c r="M111">
        <f t="shared" si="49"/>
        <v>21.645650887999999</v>
      </c>
      <c r="N111">
        <f t="shared" si="50"/>
        <v>0.50000027499999999</v>
      </c>
      <c r="O111">
        <f t="shared" si="51"/>
        <v>4.945715979</v>
      </c>
      <c r="P111">
        <f t="shared" si="52"/>
        <v>126.50445070827068</v>
      </c>
      <c r="Q111">
        <f t="shared" si="53"/>
        <v>42.275424131999998</v>
      </c>
      <c r="R111">
        <f t="shared" si="38"/>
        <v>7.8884504702725424</v>
      </c>
      <c r="S111">
        <f t="shared" si="39"/>
        <v>2.6361727789648715</v>
      </c>
      <c r="T111">
        <f t="shared" si="40"/>
        <v>0.14061607107891599</v>
      </c>
      <c r="U111">
        <f t="shared" si="41"/>
        <v>4.0682700425800462</v>
      </c>
      <c r="V111">
        <f t="shared" si="42"/>
        <v>1.2202917731403642</v>
      </c>
      <c r="W111" s="1" t="s">
        <v>920</v>
      </c>
      <c r="X111" s="1" t="s">
        <v>526</v>
      </c>
      <c r="Y111" s="1" t="s">
        <v>921</v>
      </c>
      <c r="Z111" s="1" t="s">
        <v>922</v>
      </c>
      <c r="AA111" s="1" t="s">
        <v>923</v>
      </c>
      <c r="AB111" s="1" t="s">
        <v>924</v>
      </c>
      <c r="AC111">
        <v>3.6136311999999997E-2</v>
      </c>
      <c r="AD111">
        <v>8.3472500000000003E-4</v>
      </c>
      <c r="AE111">
        <v>8.2566210000000004E-3</v>
      </c>
      <c r="AF111" s="1" t="s">
        <v>286</v>
      </c>
      <c r="AG111">
        <v>7.0576667999999995E-2</v>
      </c>
      <c r="AH111" s="1"/>
    </row>
    <row r="112" spans="1:34">
      <c r="A112" t="s">
        <v>104</v>
      </c>
      <c r="B112" t="s">
        <v>925</v>
      </c>
      <c r="C112" t="s">
        <v>16</v>
      </c>
      <c r="D112">
        <v>33</v>
      </c>
      <c r="E112">
        <v>111</v>
      </c>
      <c r="F112">
        <v>460</v>
      </c>
      <c r="G112">
        <f t="shared" si="43"/>
        <v>7.9193909774435935</v>
      </c>
      <c r="H112">
        <f t="shared" si="44"/>
        <v>6.3532894736842076</v>
      </c>
      <c r="I112">
        <f t="shared" si="45"/>
        <v>5.162280701754363</v>
      </c>
      <c r="J112">
        <f t="shared" si="46"/>
        <v>98.837318151780366</v>
      </c>
      <c r="K112">
        <f t="shared" si="47"/>
        <v>53.256672997797736</v>
      </c>
      <c r="L112">
        <f t="shared" si="48"/>
        <v>50.479854905527361</v>
      </c>
      <c r="M112">
        <f t="shared" si="49"/>
        <v>17.238725859999999</v>
      </c>
      <c r="N112">
        <f t="shared" si="50"/>
        <v>0.98218050000000001</v>
      </c>
      <c r="O112">
        <f t="shared" si="51"/>
        <v>3.9543449199999996</v>
      </c>
      <c r="P112">
        <f t="shared" si="52"/>
        <v>113.84262623138581</v>
      </c>
      <c r="Q112">
        <f t="shared" si="53"/>
        <v>31.823154200000001</v>
      </c>
      <c r="R112">
        <f t="shared" si="38"/>
        <v>9.2304832079502006</v>
      </c>
      <c r="S112">
        <f t="shared" si="39"/>
        <v>2.5802557459459456</v>
      </c>
      <c r="T112">
        <f t="shared" si="40"/>
        <v>0.17830320006823</v>
      </c>
      <c r="U112">
        <f t="shared" si="41"/>
        <v>4.0929612085562725</v>
      </c>
      <c r="V112">
        <f t="shared" si="42"/>
        <v>1.1771213725385619</v>
      </c>
      <c r="W112" s="1" t="s">
        <v>926</v>
      </c>
      <c r="X112" s="1" t="s">
        <v>927</v>
      </c>
      <c r="Y112" s="1" t="s">
        <v>928</v>
      </c>
      <c r="Z112" s="1" t="s">
        <v>929</v>
      </c>
      <c r="AA112" s="1" t="s">
        <v>930</v>
      </c>
      <c r="AB112" s="1" t="s">
        <v>931</v>
      </c>
      <c r="AC112">
        <v>3.7475491E-2</v>
      </c>
      <c r="AD112">
        <v>2.135175E-3</v>
      </c>
      <c r="AE112">
        <v>8.5964019999999995E-3</v>
      </c>
      <c r="AF112" s="1" t="s">
        <v>932</v>
      </c>
      <c r="AG112">
        <v>6.9180770000000003E-2</v>
      </c>
    </row>
    <row r="113" spans="1:33">
      <c r="A113" t="s">
        <v>933</v>
      </c>
      <c r="B113" t="s">
        <v>934</v>
      </c>
      <c r="C113" t="s">
        <v>16</v>
      </c>
      <c r="D113">
        <v>28</v>
      </c>
      <c r="E113">
        <v>159.66999999999999</v>
      </c>
      <c r="F113">
        <v>662</v>
      </c>
      <c r="G113">
        <f t="shared" si="43"/>
        <v>8.4113333333333085</v>
      </c>
      <c r="H113">
        <f t="shared" si="44"/>
        <v>9.6569999999999965</v>
      </c>
      <c r="I113">
        <f t="shared" si="45"/>
        <v>12.499999999999988</v>
      </c>
      <c r="J113">
        <f t="shared" si="46"/>
        <v>153.90611773949902</v>
      </c>
      <c r="K113">
        <f t="shared" si="47"/>
        <v>83.311972228985255</v>
      </c>
      <c r="L113">
        <f t="shared" si="48"/>
        <v>75.468403949064836</v>
      </c>
      <c r="M113">
        <f t="shared" si="49"/>
        <v>26.722300606000001</v>
      </c>
      <c r="N113">
        <f t="shared" si="50"/>
        <v>0.499999994</v>
      </c>
      <c r="O113">
        <f t="shared" si="51"/>
        <v>5.9288256600000002</v>
      </c>
      <c r="P113">
        <f t="shared" si="52"/>
        <v>142.52068372547291</v>
      </c>
      <c r="Q113">
        <f t="shared" si="53"/>
        <v>39.507447787985704</v>
      </c>
      <c r="R113">
        <f t="shared" si="38"/>
        <v>8.033357258904342</v>
      </c>
      <c r="S113">
        <f t="shared" si="39"/>
        <v>2.2268868922895431</v>
      </c>
      <c r="T113">
        <f t="shared" si="40"/>
        <v>0.15560911773034319</v>
      </c>
      <c r="U113">
        <f t="shared" si="41"/>
        <v>4.2538713317566454</v>
      </c>
      <c r="V113">
        <f t="shared" si="42"/>
        <v>1.2113331591876042</v>
      </c>
      <c r="W113" s="1" t="s">
        <v>935</v>
      </c>
      <c r="X113" s="1" t="s">
        <v>936</v>
      </c>
      <c r="Y113" s="1" t="s">
        <v>937</v>
      </c>
      <c r="Z113" s="1" t="s">
        <v>938</v>
      </c>
      <c r="AA113" s="1" t="s">
        <v>939</v>
      </c>
      <c r="AB113" s="1" t="s">
        <v>940</v>
      </c>
      <c r="AC113">
        <v>4.0366012999999999E-2</v>
      </c>
      <c r="AD113">
        <v>7.5528699999999999E-4</v>
      </c>
      <c r="AE113">
        <v>8.9559300000000008E-3</v>
      </c>
      <c r="AF113" s="1" t="s">
        <v>941</v>
      </c>
      <c r="AG113" s="1" t="s">
        <v>942</v>
      </c>
    </row>
    <row r="114" spans="1:33">
      <c r="A114" t="s">
        <v>104</v>
      </c>
      <c r="B114" t="s">
        <v>943</v>
      </c>
      <c r="C114" t="s">
        <v>16</v>
      </c>
      <c r="D114">
        <v>24</v>
      </c>
      <c r="E114">
        <v>128.33000000000001</v>
      </c>
      <c r="F114">
        <v>543</v>
      </c>
      <c r="G114">
        <f t="shared" si="43"/>
        <v>6.5947220843672394</v>
      </c>
      <c r="H114">
        <f t="shared" si="44"/>
        <v>8.734846153846151</v>
      </c>
      <c r="I114">
        <f t="shared" si="45"/>
        <v>10.025641025641008</v>
      </c>
      <c r="J114">
        <f t="shared" si="46"/>
        <v>121.57383196573232</v>
      </c>
      <c r="K114">
        <f t="shared" si="47"/>
        <v>65.37579431866844</v>
      </c>
      <c r="L114">
        <f t="shared" si="48"/>
        <v>62.372922531925362</v>
      </c>
      <c r="M114">
        <f t="shared" si="49"/>
        <v>20.351646515999999</v>
      </c>
      <c r="N114">
        <f t="shared" si="50"/>
        <v>0.93790326600000007</v>
      </c>
      <c r="O114">
        <f t="shared" si="51"/>
        <v>5.0829334049999995</v>
      </c>
      <c r="P114">
        <f t="shared" si="52"/>
        <v>121.71047162305193</v>
      </c>
      <c r="Q114">
        <f t="shared" si="53"/>
        <v>40.167636021</v>
      </c>
      <c r="R114">
        <f t="shared" si="38"/>
        <v>8.5357612764549771</v>
      </c>
      <c r="S114">
        <f t="shared" si="39"/>
        <v>2.8170242670381045</v>
      </c>
      <c r="T114">
        <f t="shared" si="40"/>
        <v>0.15017096795957999</v>
      </c>
      <c r="U114">
        <f t="shared" si="41"/>
        <v>4.3743185754486733</v>
      </c>
      <c r="V114">
        <f t="shared" si="42"/>
        <v>1.2603558636852825</v>
      </c>
      <c r="W114" s="1" t="s">
        <v>944</v>
      </c>
      <c r="X114" s="1" t="s">
        <v>945</v>
      </c>
      <c r="Y114" s="1" t="s">
        <v>946</v>
      </c>
      <c r="Z114" s="1" t="s">
        <v>947</v>
      </c>
      <c r="AA114" s="1" t="s">
        <v>948</v>
      </c>
      <c r="AB114" s="1" t="s">
        <v>949</v>
      </c>
      <c r="AC114">
        <v>3.7480012E-2</v>
      </c>
      <c r="AD114">
        <v>1.727262E-3</v>
      </c>
      <c r="AE114">
        <v>9.3608349999999996E-3</v>
      </c>
      <c r="AF114" s="1" t="s">
        <v>950</v>
      </c>
      <c r="AG114">
        <v>7.3973547000000001E-2</v>
      </c>
    </row>
    <row r="115" spans="1:33">
      <c r="A115" t="s">
        <v>204</v>
      </c>
      <c r="B115" t="s">
        <v>951</v>
      </c>
      <c r="C115" t="s">
        <v>16</v>
      </c>
      <c r="D115">
        <v>23</v>
      </c>
      <c r="E115">
        <v>128</v>
      </c>
      <c r="F115">
        <v>545</v>
      </c>
      <c r="G115">
        <f t="shared" si="43"/>
        <v>7.0285199999999879</v>
      </c>
      <c r="H115">
        <f t="shared" si="44"/>
        <v>7.8809999999999887</v>
      </c>
      <c r="I115">
        <f t="shared" si="45"/>
        <v>9.9305555555555429</v>
      </c>
      <c r="J115">
        <f t="shared" si="46"/>
        <v>115.09146775933445</v>
      </c>
      <c r="K115">
        <f t="shared" si="47"/>
        <v>65.324993429526913</v>
      </c>
      <c r="L115">
        <f t="shared" si="48"/>
        <v>58.011745087023172</v>
      </c>
      <c r="M115">
        <f t="shared" si="49"/>
        <v>18.808248626373608</v>
      </c>
      <c r="N115">
        <f t="shared" si="50"/>
        <v>0.49999989500000003</v>
      </c>
      <c r="O115">
        <f t="shared" si="51"/>
        <v>7.2078250100684045</v>
      </c>
      <c r="P115">
        <f t="shared" si="52"/>
        <v>136.16968754817478</v>
      </c>
      <c r="Q115">
        <f t="shared" si="53"/>
        <v>50.027379565000004</v>
      </c>
      <c r="R115">
        <f t="shared" si="38"/>
        <v>9.5744311557310393</v>
      </c>
      <c r="S115">
        <f t="shared" si="39"/>
        <v>3.5175501256640627</v>
      </c>
      <c r="T115">
        <f t="shared" si="40"/>
        <v>0.15805928070307301</v>
      </c>
      <c r="U115">
        <f t="shared" si="41"/>
        <v>4.078950826431317</v>
      </c>
      <c r="V115">
        <f t="shared" si="42"/>
        <v>1.289990994721363</v>
      </c>
      <c r="W115" s="1" t="s">
        <v>952</v>
      </c>
      <c r="X115" s="1" t="s">
        <v>477</v>
      </c>
      <c r="Y115" s="1" t="s">
        <v>953</v>
      </c>
      <c r="Z115" s="1" t="s">
        <v>954</v>
      </c>
      <c r="AA115" s="1" t="s">
        <v>955</v>
      </c>
      <c r="AB115" s="1" t="s">
        <v>956</v>
      </c>
      <c r="AC115" s="1" t="s">
        <v>957</v>
      </c>
      <c r="AD115">
        <v>9.1743100000000002E-4</v>
      </c>
      <c r="AE115" s="1" t="s">
        <v>958</v>
      </c>
      <c r="AF115" s="1" t="s">
        <v>959</v>
      </c>
      <c r="AG115">
        <v>9.1793357000000006E-2</v>
      </c>
    </row>
    <row r="116" spans="1:33">
      <c r="A116" t="s">
        <v>54</v>
      </c>
      <c r="B116" t="s">
        <v>960</v>
      </c>
      <c r="C116" t="s">
        <v>16</v>
      </c>
      <c r="D116">
        <v>26</v>
      </c>
      <c r="E116">
        <v>156</v>
      </c>
      <c r="F116">
        <v>665</v>
      </c>
      <c r="G116">
        <f t="shared" si="43"/>
        <v>8.2041685700000002</v>
      </c>
      <c r="H116">
        <f t="shared" si="44"/>
        <v>9.4191428571428499</v>
      </c>
      <c r="I116">
        <f t="shared" si="45"/>
        <v>12.369047619047599</v>
      </c>
      <c r="J116">
        <f t="shared" si="46"/>
        <v>157.04215799569971</v>
      </c>
      <c r="K116">
        <f t="shared" si="47"/>
        <v>84.458751207812654</v>
      </c>
      <c r="L116">
        <f t="shared" si="48"/>
        <v>74.726268945646041</v>
      </c>
      <c r="M116">
        <f t="shared" si="49"/>
        <v>23.286569005</v>
      </c>
      <c r="N116">
        <f t="shared" si="50"/>
        <v>0.97567935500000003</v>
      </c>
      <c r="O116">
        <f t="shared" si="51"/>
        <v>6.1869385550000002</v>
      </c>
      <c r="P116">
        <f t="shared" si="52"/>
        <v>128.37838665004404</v>
      </c>
      <c r="Q116">
        <f t="shared" si="53"/>
        <v>50.543901555000005</v>
      </c>
      <c r="R116">
        <f t="shared" si="38"/>
        <v>7.4064453836563864</v>
      </c>
      <c r="S116">
        <f t="shared" si="39"/>
        <v>2.9159943204807695</v>
      </c>
      <c r="T116">
        <f t="shared" si="40"/>
        <v>0.11704433848878801</v>
      </c>
      <c r="U116">
        <f t="shared" si="41"/>
        <v>4.3111309007103484</v>
      </c>
      <c r="V116">
        <f t="shared" si="42"/>
        <v>1.3306798689147417</v>
      </c>
      <c r="W116">
        <v>0.31554494500000002</v>
      </c>
      <c r="X116" s="1" t="s">
        <v>961</v>
      </c>
      <c r="Y116" s="1" t="s">
        <v>962</v>
      </c>
      <c r="Z116" s="1" t="s">
        <v>963</v>
      </c>
      <c r="AA116" s="1" t="s">
        <v>964</v>
      </c>
      <c r="AB116" s="1" t="s">
        <v>965</v>
      </c>
      <c r="AC116">
        <v>3.5017396999999999E-2</v>
      </c>
      <c r="AD116">
        <v>1.467187E-3</v>
      </c>
      <c r="AE116">
        <v>9.3036669999999998E-3</v>
      </c>
      <c r="AF116" s="1" t="s">
        <v>966</v>
      </c>
      <c r="AG116">
        <v>7.6005867000000005E-2</v>
      </c>
    </row>
    <row r="117" spans="1:33">
      <c r="A117" t="s">
        <v>140</v>
      </c>
      <c r="B117" t="s">
        <v>967</v>
      </c>
      <c r="C117" t="s">
        <v>118</v>
      </c>
      <c r="D117">
        <v>32</v>
      </c>
      <c r="E117">
        <v>92.67</v>
      </c>
      <c r="F117">
        <v>386</v>
      </c>
      <c r="G117">
        <f t="shared" si="43"/>
        <v>5.2036501261564156</v>
      </c>
      <c r="H117">
        <f t="shared" si="44"/>
        <v>5.5554146341463362</v>
      </c>
      <c r="I117">
        <f t="shared" si="45"/>
        <v>3.3780487804877759</v>
      </c>
      <c r="J117">
        <f t="shared" si="46"/>
        <v>84.38471216811493</v>
      </c>
      <c r="K117">
        <f t="shared" si="47"/>
        <v>44.443883904312806</v>
      </c>
      <c r="L117">
        <f t="shared" si="48"/>
        <v>43.003914598012038</v>
      </c>
      <c r="M117">
        <f t="shared" si="49"/>
        <v>12.768471997999999</v>
      </c>
      <c r="N117">
        <f t="shared" si="50"/>
        <v>0.98614623800000001</v>
      </c>
      <c r="O117">
        <f t="shared" si="51"/>
        <v>4.5988333359999993</v>
      </c>
      <c r="P117">
        <f t="shared" si="52"/>
        <v>88.807871619248829</v>
      </c>
      <c r="Q117">
        <f t="shared" si="53"/>
        <v>28.653020477999998</v>
      </c>
      <c r="R117">
        <f t="shared" si="38"/>
        <v>8.6249146927078826</v>
      </c>
      <c r="S117">
        <f t="shared" si="39"/>
        <v>2.7827472137908704</v>
      </c>
      <c r="T117">
        <f t="shared" si="40"/>
        <v>0.15584158326748401</v>
      </c>
      <c r="U117">
        <f t="shared" si="41"/>
        <v>4.1764889541610914</v>
      </c>
      <c r="V117">
        <f t="shared" si="42"/>
        <v>1.2197877700023194</v>
      </c>
      <c r="W117" s="1" t="s">
        <v>968</v>
      </c>
      <c r="X117" s="1" t="s">
        <v>969</v>
      </c>
      <c r="Y117" s="1" t="s">
        <v>970</v>
      </c>
      <c r="Z117" s="1" t="s">
        <v>971</v>
      </c>
      <c r="AA117" s="1" t="s">
        <v>972</v>
      </c>
      <c r="AB117" s="1" t="s">
        <v>973</v>
      </c>
      <c r="AC117">
        <v>3.3078943E-2</v>
      </c>
      <c r="AD117">
        <v>2.5547830000000001E-3</v>
      </c>
      <c r="AE117">
        <v>1.1914075999999999E-2</v>
      </c>
      <c r="AF117" s="1" t="s">
        <v>974</v>
      </c>
      <c r="AG117">
        <v>7.4230622999999996E-2</v>
      </c>
    </row>
    <row r="118" spans="1:33">
      <c r="A118" t="s">
        <v>975</v>
      </c>
      <c r="B118" t="s">
        <v>976</v>
      </c>
      <c r="C118" t="s">
        <v>16</v>
      </c>
      <c r="D118">
        <v>24</v>
      </c>
      <c r="E118">
        <v>132.66999999999999</v>
      </c>
      <c r="F118">
        <v>571</v>
      </c>
      <c r="G118">
        <f t="shared" si="43"/>
        <v>6.9138251748251518</v>
      </c>
      <c r="H118">
        <f t="shared" si="44"/>
        <v>9.0678461538461512</v>
      </c>
      <c r="I118">
        <f t="shared" si="45"/>
        <v>10.833333333333313</v>
      </c>
      <c r="J118">
        <f t="shared" si="46"/>
        <v>130.94320721997298</v>
      </c>
      <c r="K118">
        <f t="shared" si="47"/>
        <v>66.026582897552942</v>
      </c>
      <c r="L118">
        <f t="shared" si="48"/>
        <v>62.701744999729343</v>
      </c>
      <c r="M118">
        <f t="shared" si="49"/>
        <v>15.207808906882546</v>
      </c>
      <c r="N118">
        <f t="shared" si="50"/>
        <v>0.94058660199999999</v>
      </c>
      <c r="O118">
        <f t="shared" si="51"/>
        <v>7.3465339639999998</v>
      </c>
      <c r="P118">
        <f t="shared" si="52"/>
        <v>111.52850898394762</v>
      </c>
      <c r="Q118">
        <f t="shared" si="53"/>
        <v>46.604548354000002</v>
      </c>
      <c r="R118">
        <f t="shared" si="38"/>
        <v>7.565814282471762</v>
      </c>
      <c r="S118">
        <f t="shared" si="39"/>
        <v>3.1615356537725186</v>
      </c>
      <c r="T118">
        <f t="shared" si="40"/>
        <v>0.11370220775822699</v>
      </c>
      <c r="U118">
        <f t="shared" si="41"/>
        <v>4.2535290947280027</v>
      </c>
      <c r="V118">
        <f t="shared" si="42"/>
        <v>1.3382660403555664</v>
      </c>
      <c r="W118" s="1" t="s">
        <v>977</v>
      </c>
      <c r="X118" s="1" t="s">
        <v>978</v>
      </c>
      <c r="Y118" s="1" t="s">
        <v>979</v>
      </c>
      <c r="Z118" s="1" t="s">
        <v>980</v>
      </c>
      <c r="AA118" s="1" t="s">
        <v>981</v>
      </c>
      <c r="AB118" s="1" t="s">
        <v>982</v>
      </c>
      <c r="AC118" s="1" t="s">
        <v>983</v>
      </c>
      <c r="AD118">
        <v>1.647262E-3</v>
      </c>
      <c r="AE118">
        <v>1.2866084E-2</v>
      </c>
      <c r="AF118" s="1" t="s">
        <v>984</v>
      </c>
      <c r="AG118">
        <v>8.1619174000000003E-2</v>
      </c>
    </row>
    <row r="119" spans="1:33">
      <c r="A119" t="s">
        <v>933</v>
      </c>
      <c r="B119" t="s">
        <v>985</v>
      </c>
      <c r="C119" t="s">
        <v>16</v>
      </c>
      <c r="D119">
        <v>31</v>
      </c>
      <c r="E119">
        <v>126.33</v>
      </c>
      <c r="F119">
        <v>526</v>
      </c>
      <c r="G119">
        <f t="shared" si="43"/>
        <v>7.6423280632411048</v>
      </c>
      <c r="H119">
        <f t="shared" si="44"/>
        <v>8.1635454545454493</v>
      </c>
      <c r="I119">
        <f t="shared" si="45"/>
        <v>7.0202020202020163</v>
      </c>
      <c r="J119">
        <f t="shared" si="46"/>
        <v>122.92805967588826</v>
      </c>
      <c r="K119">
        <f t="shared" si="47"/>
        <v>59.350955636513397</v>
      </c>
      <c r="L119">
        <f t="shared" si="48"/>
        <v>54.972598483780956</v>
      </c>
      <c r="M119">
        <f t="shared" si="49"/>
        <v>18.364557420249579</v>
      </c>
      <c r="N119">
        <f t="shared" si="50"/>
        <v>1.000000166</v>
      </c>
      <c r="O119">
        <f t="shared" si="51"/>
        <v>3.647977268</v>
      </c>
      <c r="P119">
        <f t="shared" si="52"/>
        <v>124.982844746</v>
      </c>
      <c r="Q119">
        <f t="shared" si="53"/>
        <v>31.325187814</v>
      </c>
      <c r="R119">
        <f t="shared" si="38"/>
        <v>8.9040259852291612</v>
      </c>
      <c r="S119">
        <f t="shared" si="39"/>
        <v>2.2316685690334839</v>
      </c>
      <c r="T119">
        <f t="shared" si="40"/>
        <v>0.17805638200000001</v>
      </c>
      <c r="U119">
        <f t="shared" si="41"/>
        <v>3.9163570518010653</v>
      </c>
      <c r="V119">
        <f t="shared" si="42"/>
        <v>1.2210341762834502</v>
      </c>
      <c r="W119" s="1" t="s">
        <v>986</v>
      </c>
      <c r="X119" s="1" t="s">
        <v>987</v>
      </c>
      <c r="Y119" s="1" t="s">
        <v>988</v>
      </c>
      <c r="Z119" s="1" t="s">
        <v>989</v>
      </c>
      <c r="AA119" s="1" t="s">
        <v>990</v>
      </c>
      <c r="AB119" s="1" t="s">
        <v>991</v>
      </c>
      <c r="AC119" s="1" t="s">
        <v>992</v>
      </c>
      <c r="AD119">
        <v>1.9011410000000001E-3</v>
      </c>
      <c r="AE119">
        <v>6.9353180000000002E-3</v>
      </c>
      <c r="AF119">
        <v>0.237609971</v>
      </c>
      <c r="AG119">
        <v>5.9553588999999997E-2</v>
      </c>
    </row>
    <row r="120" spans="1:33">
      <c r="A120" t="s">
        <v>23</v>
      </c>
      <c r="B120" t="s">
        <v>993</v>
      </c>
      <c r="C120" t="s">
        <v>16</v>
      </c>
      <c r="D120">
        <v>38</v>
      </c>
      <c r="E120">
        <v>102</v>
      </c>
      <c r="F120">
        <v>438</v>
      </c>
      <c r="G120">
        <f t="shared" si="43"/>
        <v>6.7265999999999915</v>
      </c>
      <c r="H120">
        <f t="shared" si="44"/>
        <v>5.6065090909090802</v>
      </c>
      <c r="I120">
        <f t="shared" si="45"/>
        <v>3.4696969700000002</v>
      </c>
      <c r="J120">
        <f t="shared" si="46"/>
        <v>93.937608626788844</v>
      </c>
      <c r="K120">
        <f t="shared" si="47"/>
        <v>52.247611189988703</v>
      </c>
      <c r="L120">
        <f t="shared" si="48"/>
        <v>48.202065676659736</v>
      </c>
      <c r="M120">
        <f t="shared" si="49"/>
        <v>12.75945684</v>
      </c>
      <c r="N120">
        <f t="shared" si="50"/>
        <v>1.348837206</v>
      </c>
      <c r="O120">
        <f t="shared" si="51"/>
        <v>5.669425954118295</v>
      </c>
      <c r="P120">
        <f t="shared" si="52"/>
        <v>96.752275104285587</v>
      </c>
      <c r="Q120">
        <f t="shared" si="53"/>
        <v>44.753367630846419</v>
      </c>
      <c r="R120">
        <f t="shared" si="38"/>
        <v>8.5369654503781405</v>
      </c>
      <c r="S120">
        <f t="shared" si="39"/>
        <v>3.9488265556629192</v>
      </c>
      <c r="T120">
        <f t="shared" si="40"/>
        <v>0.118718966834336</v>
      </c>
      <c r="U120">
        <f t="shared" si="41"/>
        <v>4.2531234420582118</v>
      </c>
      <c r="V120">
        <f t="shared" si="42"/>
        <v>1.3597154535062281</v>
      </c>
      <c r="W120" s="1" t="s">
        <v>994</v>
      </c>
      <c r="X120" s="1" t="s">
        <v>995</v>
      </c>
      <c r="Y120">
        <v>9.1307815000000001E-2</v>
      </c>
      <c r="Z120" s="1" t="s">
        <v>996</v>
      </c>
      <c r="AA120" s="1" t="s">
        <v>997</v>
      </c>
      <c r="AB120" s="1" t="s">
        <v>998</v>
      </c>
      <c r="AC120">
        <v>2.913118E-2</v>
      </c>
      <c r="AD120">
        <v>3.0795369999999998E-3</v>
      </c>
      <c r="AE120" s="1" t="s">
        <v>999</v>
      </c>
      <c r="AF120" s="1" t="s">
        <v>1000</v>
      </c>
      <c r="AG120" s="1" t="s">
        <v>1001</v>
      </c>
    </row>
    <row r="121" spans="1:33">
      <c r="A121" t="s">
        <v>1002</v>
      </c>
      <c r="B121" t="s">
        <v>1003</v>
      </c>
      <c r="C121" t="s">
        <v>16</v>
      </c>
      <c r="D121">
        <v>40</v>
      </c>
      <c r="E121">
        <v>94.67</v>
      </c>
      <c r="F121">
        <v>403</v>
      </c>
      <c r="G121">
        <f t="shared" si="43"/>
        <v>6.1989230769230392</v>
      </c>
      <c r="H121">
        <f t="shared" si="44"/>
        <v>5.1999230769230396</v>
      </c>
      <c r="I121">
        <f t="shared" si="45"/>
        <v>3.1794871600000003</v>
      </c>
      <c r="J121">
        <f t="shared" si="46"/>
        <v>85.256688671629206</v>
      </c>
      <c r="K121">
        <f t="shared" si="47"/>
        <v>46.201726540898882</v>
      </c>
      <c r="L121">
        <f t="shared" si="48"/>
        <v>43.138934107818706</v>
      </c>
      <c r="M121">
        <f t="shared" si="49"/>
        <v>11.404511104999999</v>
      </c>
      <c r="N121">
        <f t="shared" si="50"/>
        <v>0.96215605199999998</v>
      </c>
      <c r="O121">
        <f t="shared" si="51"/>
        <v>6.4885413969999997</v>
      </c>
      <c r="P121">
        <f t="shared" si="52"/>
        <v>93.85029742102229</v>
      </c>
      <c r="Q121">
        <f t="shared" si="53"/>
        <v>35.701065959000005</v>
      </c>
      <c r="R121">
        <f t="shared" si="38"/>
        <v>8.9220732733622121</v>
      </c>
      <c r="S121">
        <f t="shared" si="39"/>
        <v>3.3939959187810294</v>
      </c>
      <c r="T121">
        <f t="shared" si="40"/>
        <v>0.14429089692809499</v>
      </c>
      <c r="U121">
        <f t="shared" si="41"/>
        <v>4.1010922886909089</v>
      </c>
      <c r="V121">
        <f t="shared" si="42"/>
        <v>1.2776777715287759</v>
      </c>
      <c r="W121" s="1" t="s">
        <v>1004</v>
      </c>
      <c r="X121" s="1" t="s">
        <v>1005</v>
      </c>
      <c r="Y121">
        <v>7.9487179000000005E-2</v>
      </c>
      <c r="Z121" s="1" t="s">
        <v>1006</v>
      </c>
      <c r="AA121" s="1" t="s">
        <v>1007</v>
      </c>
      <c r="AB121" s="1" t="s">
        <v>1008</v>
      </c>
      <c r="AC121">
        <v>2.8299035E-2</v>
      </c>
      <c r="AD121">
        <v>2.387484E-3</v>
      </c>
      <c r="AE121">
        <v>1.6100599E-2</v>
      </c>
      <c r="AF121" s="1" t="s">
        <v>1009</v>
      </c>
      <c r="AG121">
        <v>8.8588253000000006E-2</v>
      </c>
    </row>
    <row r="122" spans="1:33">
      <c r="A122" t="s">
        <v>111</v>
      </c>
      <c r="B122" t="s">
        <v>1010</v>
      </c>
      <c r="C122" t="s">
        <v>16</v>
      </c>
      <c r="D122">
        <v>27</v>
      </c>
      <c r="E122">
        <v>125</v>
      </c>
      <c r="F122">
        <v>531</v>
      </c>
      <c r="G122">
        <f t="shared" si="43"/>
        <v>6.8441294117646807</v>
      </c>
      <c r="H122">
        <f t="shared" si="44"/>
        <v>8.3739705882352826</v>
      </c>
      <c r="I122">
        <f t="shared" si="45"/>
        <v>8.0980392156862493</v>
      </c>
      <c r="J122">
        <f t="shared" si="46"/>
        <v>122.13366066560201</v>
      </c>
      <c r="K122">
        <f t="shared" si="47"/>
        <v>62.121059966058461</v>
      </c>
      <c r="L122">
        <f t="shared" si="48"/>
        <v>59.309895069707927</v>
      </c>
      <c r="M122">
        <f t="shared" si="49"/>
        <v>17.075156290897866</v>
      </c>
      <c r="N122">
        <f t="shared" si="50"/>
        <v>0.92009502899999995</v>
      </c>
      <c r="O122">
        <f t="shared" si="51"/>
        <v>5.0055697349999999</v>
      </c>
      <c r="P122">
        <f t="shared" si="52"/>
        <v>109.94970316634878</v>
      </c>
      <c r="Q122">
        <f t="shared" si="53"/>
        <v>40.827289049999997</v>
      </c>
      <c r="R122">
        <f t="shared" si="38"/>
        <v>7.916378627977112</v>
      </c>
      <c r="S122">
        <f t="shared" si="39"/>
        <v>2.9395648115999999</v>
      </c>
      <c r="T122">
        <f t="shared" si="40"/>
        <v>0.130174037883896</v>
      </c>
      <c r="U122">
        <f t="shared" si="41"/>
        <v>4.2703124450189707</v>
      </c>
      <c r="V122">
        <f t="shared" si="42"/>
        <v>1.3036875977248159</v>
      </c>
      <c r="W122" s="1" t="s">
        <v>1011</v>
      </c>
      <c r="X122" s="1" t="s">
        <v>1012</v>
      </c>
      <c r="Y122" s="1" t="s">
        <v>1013</v>
      </c>
      <c r="Z122" s="1" t="s">
        <v>1014</v>
      </c>
      <c r="AA122" s="1" t="s">
        <v>1015</v>
      </c>
      <c r="AB122" s="1" t="s">
        <v>1016</v>
      </c>
      <c r="AC122" s="1" t="s">
        <v>1017</v>
      </c>
      <c r="AD122">
        <v>1.7327589999999999E-3</v>
      </c>
      <c r="AE122">
        <v>9.4266850000000006E-3</v>
      </c>
      <c r="AF122" s="1" t="s">
        <v>1018</v>
      </c>
      <c r="AG122">
        <v>7.6887549999999999E-2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FAD0-C2A0-814E-8784-6CD027E7A88E}">
  <dimension ref="A1:AH124"/>
  <sheetViews>
    <sheetView tabSelected="1" topLeftCell="A47" workbookViewId="0">
      <selection activeCell="C59" sqref="C59"/>
    </sheetView>
  </sheetViews>
  <sheetFormatPr baseColWidth="10" defaultRowHeight="15"/>
  <cols>
    <col min="1" max="1" width="13" customWidth="1"/>
    <col min="6" max="6" width="10.83203125" style="4"/>
  </cols>
  <sheetData>
    <row r="1" spans="1:34">
      <c r="A1" t="s">
        <v>0</v>
      </c>
      <c r="B1" t="s">
        <v>1</v>
      </c>
      <c r="C1" t="s">
        <v>2</v>
      </c>
      <c r="D1" t="s">
        <v>1022</v>
      </c>
      <c r="E1" t="s">
        <v>1023</v>
      </c>
      <c r="F1" s="4" t="s">
        <v>309</v>
      </c>
      <c r="G1" t="s">
        <v>1024</v>
      </c>
      <c r="H1" t="s">
        <v>1028</v>
      </c>
      <c r="I1" t="s">
        <v>302</v>
      </c>
      <c r="J1" t="s">
        <v>1025</v>
      </c>
      <c r="K1" t="s">
        <v>307</v>
      </c>
      <c r="L1" t="s">
        <v>1026</v>
      </c>
      <c r="M1" t="s">
        <v>1027</v>
      </c>
      <c r="N1" t="s">
        <v>303</v>
      </c>
      <c r="O1" t="s">
        <v>304</v>
      </c>
      <c r="P1" t="s">
        <v>305</v>
      </c>
      <c r="Q1" t="s">
        <v>308</v>
      </c>
      <c r="S1" t="s">
        <v>1020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B1" t="s">
        <v>295</v>
      </c>
      <c r="AC1" t="s">
        <v>296</v>
      </c>
      <c r="AD1" t="s">
        <v>297</v>
      </c>
      <c r="AE1" t="s">
        <v>298</v>
      </c>
      <c r="AF1" t="s">
        <v>312</v>
      </c>
      <c r="AG1" t="s">
        <v>300</v>
      </c>
      <c r="AH1" t="s">
        <v>301</v>
      </c>
    </row>
    <row r="2" spans="1:34">
      <c r="A2" t="s">
        <v>14</v>
      </c>
      <c r="B2" t="s">
        <v>15</v>
      </c>
      <c r="C2" t="s">
        <v>16</v>
      </c>
      <c r="D2">
        <v>30</v>
      </c>
      <c r="E2">
        <v>192.33</v>
      </c>
      <c r="F2" s="4">
        <f>H2*1.5+I2+J2+K2*1.5+L2+M2+N2+O2+P2+Q2</f>
        <v>19.176212963114274</v>
      </c>
      <c r="G2">
        <v>752</v>
      </c>
      <c r="H2">
        <f>(S2-S$123)/S$124</f>
        <v>1.5359248795069513</v>
      </c>
      <c r="I2">
        <f>(T2-T$123)/T$124</f>
        <v>2.2937280790328023</v>
      </c>
      <c r="J2">
        <f>(U2-U$123)/U$124</f>
        <v>0.19179347972347288</v>
      </c>
      <c r="K2">
        <f>(V2-V$123)/V$124</f>
        <v>1.9859342462003142</v>
      </c>
      <c r="L2">
        <f>(Z2-Z$123)/Z$124</f>
        <v>-8.2135555270955715E-2</v>
      </c>
      <c r="M2">
        <f>(AB2-AB$123)/AB$124</f>
        <v>-0.37408974434408337</v>
      </c>
      <c r="N2">
        <f>(AG2-AG$123)/AG$124</f>
        <v>3.4572971410950339</v>
      </c>
      <c r="O2">
        <f>(AH2-AH$123)/AH$124</f>
        <v>3.2119646695371746</v>
      </c>
      <c r="P2">
        <f>(AE2-AE$123)/AE$124</f>
        <v>2.0623257871155687</v>
      </c>
      <c r="Q2">
        <f>(AF2-AF$123)/AF$124</f>
        <v>3.1325404176643619</v>
      </c>
      <c r="S2">
        <f>(E2-AVERAGE(E$2:E$122))/AVERAGE(E$2:E$122)*100+100</f>
        <v>133.25116764034448</v>
      </c>
      <c r="T2">
        <f>('2026_Fantasy_Starters'!G2-AVERAGE('2026_Fantasy_Starters'!G$2:'2026_Fantasy_Starters'!G$122))/AVERAGE('2026_Fantasy_Starters'!G$2:'2026_Fantasy_Starters'!G$122)*100+100</f>
        <v>156.81609199462034</v>
      </c>
      <c r="U2">
        <f>(AVERAGE('2026_Fantasy_Starters'!H$2:'2026_Fantasy_Starters'!H$122)-'2026_Fantasy_Starters'!H2)/AVERAGE('2026_Fantasy_Starters'!H$2:'2026_Fantasy_Starters'!H$122)*100+100</f>
        <v>104.37171649696567</v>
      </c>
      <c r="V2">
        <f>('2026_Fantasy_Starters'!I2-AVERAGE('2026_Fantasy_Starters'!I$2:'2026_Fantasy_Starters'!I$122))/AVERAGE('2026_Fantasy_Starters'!I$2:'2026_Fantasy_Starters'!I$122)*100+100</f>
        <v>167.16394111091842</v>
      </c>
      <c r="W2">
        <f>(AVERAGE('2026_Fantasy_Starters'!J$2:'2026_Fantasy_Starters'!J$122)-'2026_Fantasy_Starters'!J2)/AVERAGE('2026_Fantasy_Starters'!J$2:'2026_Fantasy_Starters'!J$122)*100+100</f>
        <v>87.638665421126589</v>
      </c>
      <c r="X2">
        <f>(AVERAGE('2026_Fantasy_Starters'!K$2:'2026_Fantasy_Starters'!K$122)-'2026_Fantasy_Starters'!K2)/AVERAGE('2026_Fantasy_Starters'!K$2:'2026_Fantasy_Starters'!K$122)*100+100</f>
        <v>107.54255159638424</v>
      </c>
      <c r="Y2">
        <f>(AVERAGE('2026_Fantasy_Starters'!L$2:'2026_Fantasy_Starters'!L$122)-'2026_Fantasy_Starters'!L2)/AVERAGE('2026_Fantasy_Starters'!L$2:'2026_Fantasy_Starters'!L$122)*100+100</f>
        <v>109.60665451625086</v>
      </c>
      <c r="Z2">
        <f>(AVERAGE('2026_Fantasy_Starters'!M$2:'2026_Fantasy_Starters'!M$122)-'2026_Fantasy_Starters'!M2)/AVERAGE('2026_Fantasy_Starters'!M$2:'2026_Fantasy_Starters'!M$122)*100+100</f>
        <v>97.911569687246811</v>
      </c>
      <c r="AA2">
        <f>(AVERAGE('2026_Fantasy_Starters'!N$2:'2026_Fantasy_Starters'!N$122)-'2026_Fantasy_Starters'!N2)/AVERAGE('2026_Fantasy_Starters'!N$2:'2026_Fantasy_Starters'!N$122)*100+100</f>
        <v>138.5860795131492</v>
      </c>
      <c r="AB2">
        <f>(AVERAGE('2026_Fantasy_Starters'!O$2:'2026_Fantasy_Starters'!O$122)-'2026_Fantasy_Starters'!O2)/AVERAGE('2026_Fantasy_Starters'!O$2:'2026_Fantasy_Starters'!O$122)*100+100</f>
        <v>88.403657632032306</v>
      </c>
      <c r="AC2">
        <f>('2026_Fantasy_Starters'!P2-AVERAGE('2026_Fantasy_Starters'!P$2:'2026_Fantasy_Starters'!P$122))/AVERAGE('2026_Fantasy_Starters'!P$2:'2026_Fantasy_Starters'!P$122)*100+100</f>
        <v>164.54801799686607</v>
      </c>
      <c r="AD2">
        <f>(AVERAGE('2026_Fantasy_Starters'!Q$2:'2026_Fantasy_Starters'!Q$122)-'2026_Fantasy_Starters'!Q2)/AVERAGE('2026_Fantasy_Starters'!Q$2:'2026_Fantasy_Starters'!Q$122)*100+100</f>
        <v>112.89435927585053</v>
      </c>
      <c r="AE2">
        <f>('2026_Fantasy_Starters'!R2-AVERAGE('2026_Fantasy_Starters'!R$2:'2026_Fantasy_Starters'!R$122))/AVERAGE('2026_Fantasy_Starters'!R$2:'2026_Fantasy_Starters'!R$122)*100+100</f>
        <v>123.4166219288069</v>
      </c>
      <c r="AF2">
        <f>('2026_Fantasy_Starters'!T2-AVERAGE('2026_Fantasy_Starters'!T$2:'2026_Fantasy_Starters'!T$122))/AVERAGE('2026_Fantasy_Starters'!T$2:'2026_Fantasy_Starters'!T$122)*100+100</f>
        <v>161.56294538256878</v>
      </c>
      <c r="AG2">
        <f>(AVERAGE('2026_Fantasy_Starters'!U$2:'2026_Fantasy_Starters'!U$122)-'2026_Fantasy_Starters'!U2)/AVERAGE('2026_Fantasy_Starters'!U$2:'2026_Fantasy_Starters'!U$122)*100+100</f>
        <v>132.46296415083799</v>
      </c>
      <c r="AH2">
        <f>(AVERAGE('2026_Fantasy_Starters'!V$2:'2026_Fantasy_Starters'!V$122)-'2026_Fantasy_Starters'!V2)/AVERAGE('2026_Fantasy_Starters'!V$2:'2026_Fantasy_Starters'!V$122)*100+100</f>
        <v>120.80922770246882</v>
      </c>
    </row>
    <row r="3" spans="1:34">
      <c r="A3" s="9" t="s">
        <v>1029</v>
      </c>
      <c r="B3" t="s">
        <v>23</v>
      </c>
      <c r="C3" t="s">
        <v>16</v>
      </c>
      <c r="D3">
        <v>29</v>
      </c>
      <c r="E3">
        <v>181.67</v>
      </c>
      <c r="F3" s="4">
        <f>H3*1.5+I3+J3+K3*1.5+L3+M3+N3+O3+P3+Q3</f>
        <v>16.321119929665926</v>
      </c>
      <c r="G3">
        <v>727</v>
      </c>
      <c r="H3">
        <f>(S3-S$123)/S$124</f>
        <v>1.1947757470337821</v>
      </c>
      <c r="I3">
        <f>(T3-T$123)/T$124</f>
        <v>2.1494080641396747</v>
      </c>
      <c r="J3">
        <f>(U3-U$123)/U$124</f>
        <v>6.3136076584467904E-2</v>
      </c>
      <c r="K3">
        <f>(V3-V$123)/V$124</f>
        <v>1.558509798043002</v>
      </c>
      <c r="L3">
        <f>(Z3-Z$123)/Z$124</f>
        <v>-9.8361187451255369E-2</v>
      </c>
      <c r="M3">
        <f>(AB3-AB$123)/AB$124</f>
        <v>0.35272203789672407</v>
      </c>
      <c r="N3">
        <f>(AG3-AG$123)/AG$124</f>
        <v>2.8238552563516754</v>
      </c>
      <c r="O3">
        <f>(AH3-AH$123)/AH$124</f>
        <v>2.1187521947735277</v>
      </c>
      <c r="P3">
        <f>(AE3-AE$123)/AE$124</f>
        <v>2.1348830293097576</v>
      </c>
      <c r="Q3">
        <f>(AF3-AF$123)/AF$124</f>
        <v>2.6467961404461793</v>
      </c>
      <c r="S3">
        <f>(E3-AVERAGE(E$2:E$122))/AVERAGE(E$2:E$122)*100+100</f>
        <v>125.86564563625737</v>
      </c>
      <c r="T3">
        <f>('2026_Fantasy_Starters'!G4-AVERAGE('2026_Fantasy_Starters'!G$2:'2026_Fantasy_Starters'!G$122))/AVERAGE('2026_Fantasy_Starters'!G$2:'2026_Fantasy_Starters'!G$122)*100+100</f>
        <v>153.24125707073063</v>
      </c>
      <c r="U3">
        <f>(AVERAGE('2026_Fantasy_Starters'!H$2:'2026_Fantasy_Starters'!H$122)-'2026_Fantasy_Starters'!H4)/AVERAGE('2026_Fantasy_Starters'!H$2:'2026_Fantasy_Starters'!H$122)*100+100</f>
        <v>101.43911580287279</v>
      </c>
      <c r="V3">
        <f>('2026_Fantasy_Starters'!I4-AVERAGE('2026_Fantasy_Starters'!I$2:'2026_Fantasy_Starters'!I$122))/AVERAGE('2026_Fantasy_Starters'!I$2:'2026_Fantasy_Starters'!I$122)*100+100</f>
        <v>152.70852269999642</v>
      </c>
      <c r="W3">
        <f>(AVERAGE('2026_Fantasy_Starters'!J$2:'2026_Fantasy_Starters'!J$122)-'2026_Fantasy_Starters'!J4)/AVERAGE('2026_Fantasy_Starters'!J$2:'2026_Fantasy_Starters'!J$122)*100+100</f>
        <v>88.079904297536814</v>
      </c>
      <c r="X3">
        <f>(AVERAGE('2026_Fantasy_Starters'!K$2:'2026_Fantasy_Starters'!K$122)-'2026_Fantasy_Starters'!K4)/AVERAGE('2026_Fantasy_Starters'!K$2:'2026_Fantasy_Starters'!K$122)*100+100</f>
        <v>103.75329410962786</v>
      </c>
      <c r="Y3">
        <f>(AVERAGE('2026_Fantasy_Starters'!L$2:'2026_Fantasy_Starters'!L$122)-'2026_Fantasy_Starters'!L4)/AVERAGE('2026_Fantasy_Starters'!L$2:'2026_Fantasy_Starters'!L$122)*100+100</f>
        <v>107.09725853784995</v>
      </c>
      <c r="Z3">
        <f>(AVERAGE('2026_Fantasy_Starters'!M$2:'2026_Fantasy_Starters'!M$122)-'2026_Fantasy_Starters'!M4)/AVERAGE('2026_Fantasy_Starters'!M$2:'2026_Fantasy_Starters'!M$122)*100+100</f>
        <v>97.499006553325884</v>
      </c>
      <c r="AA3">
        <f>(AVERAGE('2026_Fantasy_Starters'!N$2:'2026_Fantasy_Starters'!N$122)-'2026_Fantasy_Starters'!N4)/AVERAGE('2026_Fantasy_Starters'!N$2:'2026_Fantasy_Starters'!N$122)*100+100</f>
        <v>77.172213561828357</v>
      </c>
      <c r="AB3">
        <f>(AVERAGE('2026_Fantasy_Starters'!O$2:'2026_Fantasy_Starters'!O$122)-'2026_Fantasy_Starters'!O4)/AVERAGE('2026_Fantasy_Starters'!O$2:'2026_Fantasy_Starters'!O$122)*100+100</f>
        <v>110.93396858379381</v>
      </c>
      <c r="AC3">
        <f>('2026_Fantasy_Starters'!P4-AVERAGE('2026_Fantasy_Starters'!P$2:'2026_Fantasy_Starters'!P$122))/AVERAGE('2026_Fantasy_Starters'!P$2:'2026_Fantasy_Starters'!P$122)*100+100</f>
        <v>156.46538560499209</v>
      </c>
      <c r="AD3">
        <f>(AVERAGE('2026_Fantasy_Starters'!Q$2:'2026_Fantasy_Starters'!Q$122)-'2026_Fantasy_Starters'!Q4)/AVERAGE('2026_Fantasy_Starters'!Q$2:'2026_Fantasy_Starters'!Q$122)*100+100</f>
        <v>99.722322359424183</v>
      </c>
      <c r="AE3">
        <f>('2026_Fantasy_Starters'!R4-AVERAGE('2026_Fantasy_Starters'!R$2:'2026_Fantasy_Starters'!R$122))/AVERAGE('2026_Fantasy_Starters'!R$2:'2026_Fantasy_Starters'!R$122)*100+100</f>
        <v>124.24047115732019</v>
      </c>
      <c r="AF3">
        <f>('2026_Fantasy_Starters'!T4-AVERAGE('2026_Fantasy_Starters'!T$2:'2026_Fantasy_Starters'!T$122))/AVERAGE('2026_Fantasy_Starters'!T$2:'2026_Fantasy_Starters'!T$122)*100+100</f>
        <v>152.01674823227796</v>
      </c>
      <c r="AG3">
        <f>(AVERAGE('2026_Fantasy_Starters'!U$2:'2026_Fantasy_Starters'!U$122)-'2026_Fantasy_Starters'!U4)/AVERAGE('2026_Fantasy_Starters'!U$2:'2026_Fantasy_Starters'!U$122)*100+100</f>
        <v>126.51513833290734</v>
      </c>
      <c r="AH3">
        <f>(AVERAGE('2026_Fantasy_Starters'!V$2:'2026_Fantasy_Starters'!V$122)-'2026_Fantasy_Starters'!V4)/AVERAGE('2026_Fantasy_Starters'!V$2:'2026_Fantasy_Starters'!V$122)*100+100</f>
        <v>113.72667554045695</v>
      </c>
    </row>
    <row r="4" spans="1:34">
      <c r="A4" t="s">
        <v>19</v>
      </c>
      <c r="B4" t="s">
        <v>20</v>
      </c>
      <c r="C4" t="s">
        <v>16</v>
      </c>
      <c r="D4">
        <v>30</v>
      </c>
      <c r="E4">
        <v>187.33</v>
      </c>
      <c r="F4" s="4">
        <f>H4*1.5+I4+J4+K4*1.5+L4+M4+N4+O4+P4+Q4</f>
        <v>15.816479036911691</v>
      </c>
      <c r="G4">
        <v>745</v>
      </c>
      <c r="H4">
        <f>(S4-S$123)/S$124</f>
        <v>1.375911215119912</v>
      </c>
      <c r="I4">
        <f>(T4-T$123)/T$124</f>
        <v>1.87038936867965</v>
      </c>
      <c r="J4">
        <f>(U4-U$123)/U$124</f>
        <v>1.2791875356151727E-2</v>
      </c>
      <c r="K4">
        <f>(V4-V$123)/V$124</f>
        <v>1.777701822739066</v>
      </c>
      <c r="L4">
        <f>(Z4-Z$123)/Z$124</f>
        <v>0.57711087497663516</v>
      </c>
      <c r="M4">
        <f>(AB4-AB$123)/AB$124</f>
        <v>-0.56747187889108763</v>
      </c>
      <c r="N4">
        <f>(AG4-AG$123)/AG$124</f>
        <v>2.9688441603793487</v>
      </c>
      <c r="O4">
        <f>(AH4-AH$123)/AH$124</f>
        <v>2.4653306372118124</v>
      </c>
      <c r="P4">
        <f>(AE4-AE$123)/AE$124</f>
        <v>1.5536776365592968</v>
      </c>
      <c r="Q4">
        <f>(AF4-AF$123)/AF$124</f>
        <v>2.205386805851417</v>
      </c>
      <c r="S4">
        <f>(E4-AVERAGE(E$2:E$122))/AVERAGE(E$2:E$122)*100+100</f>
        <v>129.78703912060382</v>
      </c>
      <c r="T4">
        <f>('2026_Fantasy_Starters'!G3-AVERAGE('2026_Fantasy_Starters'!G$2:'2026_Fantasy_Starters'!G$122))/AVERAGE('2026_Fantasy_Starters'!G$2:'2026_Fantasy_Starters'!G$122)*100+100</f>
        <v>146.32990955121107</v>
      </c>
      <c r="U4">
        <f>(AVERAGE('2026_Fantasy_Starters'!H$2:'2026_Fantasy_Starters'!H$122)-'2026_Fantasy_Starters'!H3)/AVERAGE('2026_Fantasy_Starters'!H$2:'2026_Fantasy_Starters'!H$122)*100+100</f>
        <v>100.29157640083622</v>
      </c>
      <c r="V4">
        <f>('2026_Fantasy_Starters'!I3-AVERAGE('2026_Fantasy_Starters'!I$2:'2026_Fantasy_Starters'!I$122))/AVERAGE('2026_Fantasy_Starters'!I$2:'2026_Fantasy_Starters'!I$122)*100+100</f>
        <v>160.12155778252074</v>
      </c>
      <c r="W4">
        <f>(AVERAGE('2026_Fantasy_Starters'!J$2:'2026_Fantasy_Starters'!J$122)-'2026_Fantasy_Starters'!J3)/AVERAGE('2026_Fantasy_Starters'!J$2:'2026_Fantasy_Starters'!J$122)*100+100</f>
        <v>87.975027705686315</v>
      </c>
      <c r="X4">
        <f>(AVERAGE('2026_Fantasy_Starters'!K$2:'2026_Fantasy_Starters'!K$122)-'2026_Fantasy_Starters'!K3)/AVERAGE('2026_Fantasy_Starters'!K$2:'2026_Fantasy_Starters'!K$122)*100+100</f>
        <v>104.73675465737691</v>
      </c>
      <c r="Y4">
        <f>(AVERAGE('2026_Fantasy_Starters'!L$2:'2026_Fantasy_Starters'!L$122)-'2026_Fantasy_Starters'!L3)/AVERAGE('2026_Fantasy_Starters'!L$2:'2026_Fantasy_Starters'!L$122)*100+100</f>
        <v>105.97760282480775</v>
      </c>
      <c r="Z4">
        <f>(AVERAGE('2026_Fantasy_Starters'!M$2:'2026_Fantasy_Starters'!M$122)-'2026_Fantasy_Starters'!M3)/AVERAGE('2026_Fantasy_Starters'!M$2:'2026_Fantasy_Starters'!M$122)*100+100</f>
        <v>114.67398425864052</v>
      </c>
      <c r="AA4">
        <f>(AVERAGE('2026_Fantasy_Starters'!N$2:'2026_Fantasy_Starters'!N$122)-'2026_Fantasy_Starters'!N3)/AVERAGE('2026_Fantasy_Starters'!N$2:'2026_Fantasy_Starters'!N$122)*100+100</f>
        <v>80.375776389408486</v>
      </c>
      <c r="AB4">
        <f>(AVERAGE('2026_Fantasy_Starters'!O$2:'2026_Fantasy_Starters'!O$122)-'2026_Fantasy_Starters'!O3)/AVERAGE('2026_Fantasy_Starters'!O$2:'2026_Fantasy_Starters'!O$122)*100+100</f>
        <v>82.409038763270161</v>
      </c>
      <c r="AC4">
        <f>('2026_Fantasy_Starters'!P3-AVERAGE('2026_Fantasy_Starters'!P$2:'2026_Fantasy_Starters'!P$122))/AVERAGE('2026_Fantasy_Starters'!P$2:'2026_Fantasy_Starters'!P$122)*100+100</f>
        <v>152.7702229148727</v>
      </c>
      <c r="AD4">
        <f>(AVERAGE('2026_Fantasy_Starters'!Q$2:'2026_Fantasy_Starters'!Q$122)-'2026_Fantasy_Starters'!Q3)/AVERAGE('2026_Fantasy_Starters'!Q$2:'2026_Fantasy_Starters'!Q$122)*100+100</f>
        <v>98.202594747225007</v>
      </c>
      <c r="AE4">
        <f>('2026_Fantasy_Starters'!R3-AVERAGE('2026_Fantasy_Starters'!R$2:'2026_Fantasy_Starters'!R$122))/AVERAGE('2026_Fantasy_Starters'!R$2:'2026_Fantasy_Starters'!R$122)*100+100</f>
        <v>117.64119036955654</v>
      </c>
      <c r="AF4">
        <f>('2026_Fantasy_Starters'!T3-AVERAGE('2026_Fantasy_Starters'!T$2:'2026_Fantasy_Starters'!T$122))/AVERAGE('2026_Fantasy_Starters'!T$2:'2026_Fantasy_Starters'!T$122)*100+100</f>
        <v>143.34185337576568</v>
      </c>
      <c r="AG4">
        <f>(AVERAGE('2026_Fantasy_Starters'!U$2:'2026_Fantasy_Starters'!U$122)-'2026_Fantasy_Starters'!U3)/AVERAGE('2026_Fantasy_Starters'!U$2:'2026_Fantasy_Starters'!U$122)*100+100</f>
        <v>127.87653985601416</v>
      </c>
      <c r="AH4">
        <f>(AVERAGE('2026_Fantasy_Starters'!V$2:'2026_Fantasy_Starters'!V$122)-'2026_Fantasy_Starters'!V3)/AVERAGE('2026_Fantasy_Starters'!V$2:'2026_Fantasy_Starters'!V$122)*100+100</f>
        <v>115.97203950534281</v>
      </c>
    </row>
    <row r="5" spans="1:34">
      <c r="A5" t="s">
        <v>39</v>
      </c>
      <c r="B5" t="s">
        <v>40</v>
      </c>
      <c r="C5" t="s">
        <v>16</v>
      </c>
      <c r="D5">
        <v>25</v>
      </c>
      <c r="E5">
        <v>155.66999999999999</v>
      </c>
      <c r="F5" s="4">
        <f>H5*1.5+I5+J5+K5*1.5+L5+M5+N5+O5+P5+Q5</f>
        <v>10.083165963582001</v>
      </c>
      <c r="G5">
        <v>631</v>
      </c>
      <c r="H5">
        <f>(S5-S$123)/S$124</f>
        <v>0.3627046922211743</v>
      </c>
      <c r="I5">
        <f>(T5-T$123)/T$124</f>
        <v>0.88001669504945412</v>
      </c>
      <c r="J5">
        <f>(U5-U$123)/U$124</f>
        <v>0.60253823260206019</v>
      </c>
      <c r="K5">
        <f>(V5-V$123)/V$124</f>
        <v>0.82265085799195214</v>
      </c>
      <c r="L5">
        <f>(Z5-Z$123)/Z$124</f>
        <v>0.30650422706594016</v>
      </c>
      <c r="M5">
        <f>(AB5-AB$123)/AB$124</f>
        <v>-1.3978727337742105</v>
      </c>
      <c r="N5">
        <f>(AG5-AG$123)/AG$124</f>
        <v>2.1024605044938984</v>
      </c>
      <c r="O5">
        <f>(AH5-AH$123)/AH$124</f>
        <v>1.6537291757643779</v>
      </c>
      <c r="P5">
        <f>(AE5-AE$123)/AE$124</f>
        <v>1.9268294351439355</v>
      </c>
      <c r="Q5">
        <f>(AF5-AF$123)/AF$124</f>
        <v>2.2309271019168562</v>
      </c>
      <c r="S5">
        <f>(E5-AVERAGE(E$2:E$122))/AVERAGE(E$2:E$122)*100+100</f>
        <v>107.85217733360589</v>
      </c>
      <c r="T5">
        <f>('2026_Fantasy_Starters'!G9-AVERAGE('2026_Fantasy_Starters'!G$2:'2026_Fantasy_Starters'!G$122))/AVERAGE('2026_Fantasy_Starters'!G$2:'2026_Fantasy_Starters'!G$122)*100+100</f>
        <v>121.79818521636389</v>
      </c>
      <c r="U5">
        <f>(AVERAGE('2026_Fantasy_Starters'!H$2:'2026_Fantasy_Starters'!H$122)-'2026_Fantasy_Starters'!H9)/AVERAGE('2026_Fantasy_Starters'!H$2:'2026_Fantasy_Starters'!H$122)*100+100</f>
        <v>113.73418082469135</v>
      </c>
      <c r="V5">
        <f>('2026_Fantasy_Starters'!I9-AVERAGE('2026_Fantasy_Starters'!I$2:'2026_Fantasy_Starters'!I$122))/AVERAGE('2026_Fantasy_Starters'!I$2:'2026_Fantasy_Starters'!I$122)*100+100</f>
        <v>127.82190492295125</v>
      </c>
      <c r="W5">
        <f>(AVERAGE('2026_Fantasy_Starters'!J$2:'2026_Fantasy_Starters'!J$122)-'2026_Fantasy_Starters'!J9)/AVERAGE('2026_Fantasy_Starters'!J$2:'2026_Fantasy_Starters'!J$122)*100+100</f>
        <v>101.72178123631669</v>
      </c>
      <c r="X5">
        <f>(AVERAGE('2026_Fantasy_Starters'!K$2:'2026_Fantasy_Starters'!K$122)-'2026_Fantasy_Starters'!K9)/AVERAGE('2026_Fantasy_Starters'!K$2:'2026_Fantasy_Starters'!K$122)*100+100</f>
        <v>113.42111748188634</v>
      </c>
      <c r="Y5">
        <f>(AVERAGE('2026_Fantasy_Starters'!L$2:'2026_Fantasy_Starters'!L$122)-'2026_Fantasy_Starters'!L9)/AVERAGE('2026_Fantasy_Starters'!L$2:'2026_Fantasy_Starters'!L$122)*100+100</f>
        <v>113.05520205296801</v>
      </c>
      <c r="Z5">
        <f>(AVERAGE('2026_Fantasy_Starters'!M$2:'2026_Fantasy_Starters'!M$122)-'2026_Fantasy_Starters'!M9)/AVERAGE('2026_Fantasy_Starters'!M$2:'2026_Fantasy_Starters'!M$122)*100+100</f>
        <v>107.79336934753563</v>
      </c>
      <c r="AA5">
        <f>(AVERAGE('2026_Fantasy_Starters'!N$2:'2026_Fantasy_Starters'!N$122)-'2026_Fantasy_Starters'!N9)/AVERAGE('2026_Fantasy_Starters'!N$2:'2026_Fantasy_Starters'!N$122)*100+100</f>
        <v>82.096083592185238</v>
      </c>
      <c r="AB5">
        <f>(AVERAGE('2026_Fantasy_Starters'!O$2:'2026_Fantasy_Starters'!O$122)-'2026_Fantasy_Starters'!O9)/AVERAGE('2026_Fantasy_Starters'!O$2:'2026_Fantasy_Starters'!O$122)*100+100</f>
        <v>56.667588318639631</v>
      </c>
      <c r="AC5">
        <f>('2026_Fantasy_Starters'!P9-AVERAGE('2026_Fantasy_Starters'!P$2:'2026_Fantasy_Starters'!P$122))/AVERAGE('2026_Fantasy_Starters'!P$2:'2026_Fantasy_Starters'!P$122)*100+100</f>
        <v>131.52329623190457</v>
      </c>
      <c r="AD5">
        <f>(AVERAGE('2026_Fantasy_Starters'!Q$2:'2026_Fantasy_Starters'!Q$122)-'2026_Fantasy_Starters'!Q9)/AVERAGE('2026_Fantasy_Starters'!Q$2:'2026_Fantasy_Starters'!Q$122)*100+100</f>
        <v>108.27845054233811</v>
      </c>
      <c r="AE5">
        <f>('2026_Fantasy_Starters'!R9-AVERAGE('2026_Fantasy_Starters'!R$2:'2026_Fantasy_Starters'!R$122))/AVERAGE('2026_Fantasy_Starters'!R$2:'2026_Fantasy_Starters'!R$122)*100+100</f>
        <v>121.87813229410668</v>
      </c>
      <c r="AF5">
        <f>('2026_Fantasy_Starters'!T9-AVERAGE('2026_Fantasy_Starters'!T$2:'2026_Fantasy_Starters'!T$122))/AVERAGE('2026_Fantasy_Starters'!T$2:'2026_Fantasy_Starters'!T$122)*100+100</f>
        <v>143.84378970924917</v>
      </c>
      <c r="AG5">
        <f>(AVERAGE('2026_Fantasy_Starters'!U$2:'2026_Fantasy_Starters'!U$122)-'2026_Fantasy_Starters'!U9)/AVERAGE('2026_Fantasy_Starters'!U$2:'2026_Fantasy_Starters'!U$122)*100+100</f>
        <v>119.74146195727934</v>
      </c>
      <c r="AH5">
        <f>(AVERAGE('2026_Fantasy_Starters'!V$2:'2026_Fantasy_Starters'!V$122)-'2026_Fantasy_Starters'!V9)/AVERAGE('2026_Fantasy_Starters'!V$2:'2026_Fantasy_Starters'!V$122)*100+100</f>
        <v>110.71394941017692</v>
      </c>
    </row>
    <row r="6" spans="1:34" s="5" customFormat="1">
      <c r="A6" t="s">
        <v>42</v>
      </c>
      <c r="B6" t="s">
        <v>43</v>
      </c>
      <c r="C6" t="s">
        <v>16</v>
      </c>
      <c r="D6">
        <v>30</v>
      </c>
      <c r="E6">
        <v>196.67</v>
      </c>
      <c r="F6" s="4">
        <f>H6*1.5+I6+J6+K6*1.5+L6+M6+N6+O6+P6+Q6</f>
        <v>9.9975934727636417</v>
      </c>
      <c r="G6">
        <v>809</v>
      </c>
      <c r="H6">
        <f>(S6-S$123)/S$124</f>
        <v>1.6748167401949012</v>
      </c>
      <c r="I6">
        <f>(T6-T$123)/T$124</f>
        <v>2.3033494133590104</v>
      </c>
      <c r="J6">
        <f>(U6-U$123)/U$124</f>
        <v>-0.69202694184017755</v>
      </c>
      <c r="K6">
        <f>(V6-V$123)/V$124</f>
        <v>1.6982447137867405</v>
      </c>
      <c r="L6">
        <f>(Z6-Z$123)/Z$124</f>
        <v>0.5855112567341747</v>
      </c>
      <c r="M6">
        <f>(AB6-AB$123)/AB$124</f>
        <v>-5.687411707475571E-2</v>
      </c>
      <c r="N6">
        <f>(AG6-AG$123)/AG$124</f>
        <v>2.0281130379262247</v>
      </c>
      <c r="O6">
        <f>(AH6-AH$123)/AH$124</f>
        <v>0.65798303969331973</v>
      </c>
      <c r="P6">
        <f>(AE6-AE$123)/AE$124</f>
        <v>-0.32868676489791571</v>
      </c>
      <c r="Q6">
        <f>(AF6-AF$123)/AF$124</f>
        <v>0.44063236789129923</v>
      </c>
      <c r="R6"/>
      <c r="S6">
        <f>(E6-AVERAGE(E$2:E$122))/AVERAGE(E$2:E$122)*100+100</f>
        <v>136.25803119547936</v>
      </c>
      <c r="T6">
        <f>('2026_Fantasy_Starters'!G10-AVERAGE('2026_Fantasy_Starters'!G$2:'2026_Fantasy_Starters'!G$122))/AVERAGE('2026_Fantasy_Starters'!G$2:'2026_Fantasy_Starters'!G$122)*100+100</f>
        <v>157.05441432287964</v>
      </c>
      <c r="U6">
        <f>(AVERAGE('2026_Fantasy_Starters'!H$2:'2026_Fantasy_Starters'!H$122)-'2026_Fantasy_Starters'!H10)/AVERAGE('2026_Fantasy_Starters'!H$2:'2026_Fantasy_Starters'!H$122)*100+100</f>
        <v>84.22602477232644</v>
      </c>
      <c r="V6">
        <f>('2026_Fantasy_Starters'!I10-AVERAGE('2026_Fantasy_Starters'!I$2:'2026_Fantasy_Starters'!I$122))/AVERAGE('2026_Fantasy_Starters'!I$2:'2026_Fantasy_Starters'!I$122)*100+100</f>
        <v>157.43433256510559</v>
      </c>
      <c r="W6">
        <f>(AVERAGE('2026_Fantasy_Starters'!J$2:'2026_Fantasy_Starters'!J$122)-'2026_Fantasy_Starters'!J10)/AVERAGE('2026_Fantasy_Starters'!J$2:'2026_Fantasy_Starters'!J$122)*100+100</f>
        <v>58.708578990405222</v>
      </c>
      <c r="X6">
        <f>(AVERAGE('2026_Fantasy_Starters'!K$2:'2026_Fantasy_Starters'!K$122)-'2026_Fantasy_Starters'!K10)/AVERAGE('2026_Fantasy_Starters'!K$2:'2026_Fantasy_Starters'!K$122)*100+100</f>
        <v>83.346368663047073</v>
      </c>
      <c r="Y6">
        <f>(AVERAGE('2026_Fantasy_Starters'!L$2:'2026_Fantasy_Starters'!L$122)-'2026_Fantasy_Starters'!L10)/AVERAGE('2026_Fantasy_Starters'!L$2:'2026_Fantasy_Starters'!L$122)*100+100</f>
        <v>89.200445310991896</v>
      </c>
      <c r="Z6">
        <f>(AVERAGE('2026_Fantasy_Starters'!M$2:'2026_Fantasy_Starters'!M$122)-'2026_Fantasy_Starters'!M10)/AVERAGE('2026_Fantasy_Starters'!M$2:'2026_Fantasy_Starters'!M$122)*100+100</f>
        <v>114.88757765121295</v>
      </c>
      <c r="AA6">
        <f>(AVERAGE('2026_Fantasy_Starters'!N$2:'2026_Fantasy_Starters'!N$122)-'2026_Fantasy_Starters'!N10)/AVERAGE('2026_Fantasy_Starters'!N$2:'2026_Fantasy_Starters'!N$122)*100+100</f>
        <v>78.798077877940301</v>
      </c>
      <c r="AB6">
        <f>(AVERAGE('2026_Fantasy_Starters'!O$2:'2026_Fantasy_Starters'!O$122)-'2026_Fantasy_Starters'!O10)/AVERAGE('2026_Fantasy_Starters'!O$2:'2026_Fantasy_Starters'!O$122)*100+100</f>
        <v>98.236969220765047</v>
      </c>
      <c r="AC6">
        <f>('2026_Fantasy_Starters'!P10-AVERAGE('2026_Fantasy_Starters'!P$2:'2026_Fantasy_Starters'!P$122))/AVERAGE('2026_Fantasy_Starters'!P$2:'2026_Fantasy_Starters'!P$122)*100+100</f>
        <v>131.24771257282174</v>
      </c>
      <c r="AD6">
        <f>(AVERAGE('2026_Fantasy_Starters'!Q$2:'2026_Fantasy_Starters'!Q$122)-'2026_Fantasy_Starters'!Q10)/AVERAGE('2026_Fantasy_Starters'!Q$2:'2026_Fantasy_Starters'!Q$122)*100+100</f>
        <v>99.174305595360266</v>
      </c>
      <c r="AE6">
        <f>('2026_Fantasy_Starters'!R10-AVERAGE('2026_Fantasy_Starters'!R$2:'2026_Fantasy_Starters'!R$122))/AVERAGE('2026_Fantasy_Starters'!R$2:'2026_Fantasy_Starters'!R$122)*100+100</f>
        <v>96.267935088285839</v>
      </c>
      <c r="AF6">
        <f>('2026_Fantasy_Starters'!T10-AVERAGE('2026_Fantasy_Starters'!T$2:'2026_Fantasy_Starters'!T$122))/AVERAGE('2026_Fantasy_Starters'!T$2:'2026_Fantasy_Starters'!T$122)*100+100</f>
        <v>108.65962534603452</v>
      </c>
      <c r="AG6">
        <f>(AVERAGE('2026_Fantasy_Starters'!U$2:'2026_Fantasy_Starters'!U$122)-'2026_Fantasy_Starters'!U10)/AVERAGE('2026_Fantasy_Starters'!U$2:'2026_Fantasy_Starters'!U$122)*100+100</f>
        <v>119.04336195505402</v>
      </c>
      <c r="AH6">
        <f>(AVERAGE('2026_Fantasy_Starters'!V$2:'2026_Fantasy_Starters'!V$122)-'2026_Fantasy_Starters'!V10)/AVERAGE('2026_Fantasy_Starters'!V$2:'2026_Fantasy_Starters'!V$122)*100+100</f>
        <v>104.26284853852819</v>
      </c>
    </row>
    <row r="7" spans="1:34" s="5" customFormat="1">
      <c r="A7" s="5" t="s">
        <v>1030</v>
      </c>
      <c r="B7" s="5" t="s">
        <v>29</v>
      </c>
      <c r="C7" s="5" t="s">
        <v>16</v>
      </c>
      <c r="D7" s="5">
        <v>30</v>
      </c>
      <c r="E7" s="5">
        <v>190.33</v>
      </c>
      <c r="F7" s="6">
        <f>H7*1.5+I7+J7+K7*1.5+L7+M7+N7+O7+P7+Q7</f>
        <v>9.8922547452260829</v>
      </c>
      <c r="G7" s="5">
        <v>777</v>
      </c>
      <c r="H7" s="5">
        <f>(S7-S$123)/S$124</f>
        <v>1.4719194137521356</v>
      </c>
      <c r="I7" s="5">
        <f>(T7-T$123)/T$124</f>
        <v>1.731045906024216</v>
      </c>
      <c r="J7" s="5">
        <f>(U7-U$123)/U$124</f>
        <v>1.2791875356151727E-2</v>
      </c>
      <c r="K7" s="5">
        <f>(V7-V$123)/V$124</f>
        <v>1.7393432184172486</v>
      </c>
      <c r="L7" s="5">
        <f>(Z7-Z$123)/Z$124</f>
        <v>0.47608203555812806</v>
      </c>
      <c r="M7" s="5">
        <f>(AB7-AB$123)/AB$124</f>
        <v>-0.21316667449542337</v>
      </c>
      <c r="N7" s="5">
        <f>(AG7-AG$123)/AG$124</f>
        <v>1.7792821418315157</v>
      </c>
      <c r="O7" s="5">
        <f>(AH7-AH$123)/AH$124</f>
        <v>0.94995319351961505</v>
      </c>
      <c r="P7" s="5">
        <f>(AE7-AE$123)/AE$124</f>
        <v>-0.17788243944131377</v>
      </c>
      <c r="Q7" s="5">
        <f>(AF7-AF$123)/AF$124</f>
        <v>0.51725475861911629</v>
      </c>
      <c r="S7" s="5">
        <f>(E7-AVERAGE(E$2:E$122))/AVERAGE(E$2:E$122)*100+100</f>
        <v>131.86551623244821</v>
      </c>
      <c r="T7" s="5">
        <f>('2026_Fantasy_Starters'!G6-AVERAGE('2026_Fantasy_Starters'!G$2:'2026_Fantasy_Starters'!G$122))/AVERAGE('2026_Fantasy_Starters'!G$2:'2026_Fantasy_Starters'!G$122)*100+100</f>
        <v>142.87834479711066</v>
      </c>
      <c r="U7" s="5">
        <f>(AVERAGE('2026_Fantasy_Starters'!H$2:'2026_Fantasy_Starters'!H$122)-'2026_Fantasy_Starters'!H6)/AVERAGE('2026_Fantasy_Starters'!H$2:'2026_Fantasy_Starters'!H$122)*100+100</f>
        <v>100.29157640083622</v>
      </c>
      <c r="V7" s="5">
        <f>('2026_Fantasy_Starters'!I6-AVERAGE('2026_Fantasy_Starters'!I$2:'2026_Fantasy_Starters'!I$122))/AVERAGE('2026_Fantasy_Starters'!I$2:'2026_Fantasy_Starters'!I$122)*100+100</f>
        <v>158.82427664307878</v>
      </c>
      <c r="W7" s="5">
        <f>(AVERAGE('2026_Fantasy_Starters'!J$2:'2026_Fantasy_Starters'!J$122)-'2026_Fantasy_Starters'!J6)/AVERAGE('2026_Fantasy_Starters'!J$2:'2026_Fantasy_Starters'!J$122)*100+100</f>
        <v>68.437025446523407</v>
      </c>
      <c r="X7" s="5">
        <f>(AVERAGE('2026_Fantasy_Starters'!K$2:'2026_Fantasy_Starters'!K$122)-'2026_Fantasy_Starters'!K6)/AVERAGE('2026_Fantasy_Starters'!K$2:'2026_Fantasy_Starters'!K$122)*100+100</f>
        <v>90.831319395576841</v>
      </c>
      <c r="Y7" s="5">
        <f>(AVERAGE('2026_Fantasy_Starters'!L$2:'2026_Fantasy_Starters'!L$122)-'2026_Fantasy_Starters'!L6)/AVERAGE('2026_Fantasy_Starters'!L$2:'2026_Fantasy_Starters'!L$122)*100+100</f>
        <v>89.677619703196726</v>
      </c>
      <c r="Z7" s="5">
        <f>(AVERAGE('2026_Fantasy_Starters'!M$2:'2026_Fantasy_Starters'!M$122)-'2026_Fantasy_Starters'!M6)/AVERAGE('2026_Fantasy_Starters'!M$2:'2026_Fantasy_Starters'!M$122)*100+100</f>
        <v>112.10516141440644</v>
      </c>
      <c r="AA7" s="5">
        <f>(AVERAGE('2026_Fantasy_Starters'!N$2:'2026_Fantasy_Starters'!N$122)-'2026_Fantasy_Starters'!N6)/AVERAGE('2026_Fantasy_Starters'!N$2:'2026_Fantasy_Starters'!N$122)*100+100</f>
        <v>77.172257165686787</v>
      </c>
      <c r="AB7" s="5">
        <f>(AVERAGE('2026_Fantasy_Starters'!O$2:'2026_Fantasy_Starters'!O$122)-'2026_Fantasy_Starters'!O6)/AVERAGE('2026_Fantasy_Starters'!O$2:'2026_Fantasy_Starters'!O$122)*100+100</f>
        <v>93.392083647670418</v>
      </c>
      <c r="AC7" s="5">
        <f>('2026_Fantasy_Starters'!P6-AVERAGE('2026_Fantasy_Starters'!P$2:'2026_Fantasy_Starters'!P$122))/AVERAGE('2026_Fantasy_Starters'!P$2:'2026_Fantasy_Starters'!P$122)*100+100</f>
        <v>129.27594156685257</v>
      </c>
      <c r="AD7" s="5">
        <f>(AVERAGE('2026_Fantasy_Starters'!Q$2:'2026_Fantasy_Starters'!Q$122)-'2026_Fantasy_Starters'!Q6)/AVERAGE('2026_Fantasy_Starters'!Q$2:'2026_Fantasy_Starters'!Q$122)*100+100</f>
        <v>97.253977341707085</v>
      </c>
      <c r="AE7" s="5">
        <f>('2026_Fantasy_Starters'!R6-AVERAGE('2026_Fantasy_Starters'!R$2:'2026_Fantasy_Starters'!R$122))/AVERAGE('2026_Fantasy_Starters'!R$2:'2026_Fantasy_Starters'!R$122)*100+100</f>
        <v>97.980238690610975</v>
      </c>
      <c r="AF7" s="5">
        <f>('2026_Fantasy_Starters'!T6-AVERAGE('2026_Fantasy_Starters'!T$2:'2026_Fantasy_Starters'!T$122))/AVERAGE('2026_Fantasy_Starters'!T$2:'2026_Fantasy_Starters'!T$122)*100+100</f>
        <v>110.16546387531854</v>
      </c>
      <c r="AG7" s="5">
        <f>(AVERAGE('2026_Fantasy_Starters'!U$2:'2026_Fantasy_Starters'!U$122)-'2026_Fantasy_Starters'!U6)/AVERAGE('2026_Fantasy_Starters'!U$2:'2026_Fantasy_Starters'!U$122)*100+100</f>
        <v>116.70691584415222</v>
      </c>
      <c r="AH7" s="5">
        <f>(AVERAGE('2026_Fantasy_Starters'!V$2:'2026_Fantasy_Starters'!V$122)-'2026_Fantasy_Starters'!V6)/AVERAGE('2026_Fantasy_Starters'!V$2:'2026_Fantasy_Starters'!V$122)*100+100</f>
        <v>106.15442395681313</v>
      </c>
    </row>
    <row r="8" spans="1:34" s="5" customFormat="1">
      <c r="A8" s="5" t="s">
        <v>25</v>
      </c>
      <c r="B8" s="5" t="s">
        <v>26</v>
      </c>
      <c r="C8" s="5" t="s">
        <v>16</v>
      </c>
      <c r="D8" s="5">
        <v>26</v>
      </c>
      <c r="E8" s="5">
        <v>160.66999999999999</v>
      </c>
      <c r="F8" s="6">
        <f>H8*1.5+I8+J8+K8*1.5+L8+M8+N8+O8+P8+Q8</f>
        <v>9.6249837493761525</v>
      </c>
      <c r="G8" s="5">
        <v>652</v>
      </c>
      <c r="H8" s="5">
        <f>(S8-S$123)/S$124</f>
        <v>0.52271835660821431</v>
      </c>
      <c r="I8" s="5">
        <f>(T8-T$123)/T$124</f>
        <v>1.5157744749422657</v>
      </c>
      <c r="J8" s="5">
        <f>(U8-U$123)/U$124</f>
        <v>0.80711149473614185</v>
      </c>
      <c r="K8" s="5">
        <f>(V8-V$123)/V$124</f>
        <v>0.76941850913719445</v>
      </c>
      <c r="L8" s="5">
        <f>(Z8-Z$123)/Z$124</f>
        <v>0.5077462140524126</v>
      </c>
      <c r="M8" s="5">
        <f>(AB8-AB$123)/AB$124</f>
        <v>0.45426318741987298</v>
      </c>
      <c r="N8" s="5">
        <f>(AG8-AG$123)/AG$124</f>
        <v>1.3119176583720467</v>
      </c>
      <c r="O8" s="5">
        <f>(AH8-AH$123)/AH$124</f>
        <v>1.1168586379887939</v>
      </c>
      <c r="P8" s="5">
        <f>(AE8-AE$123)/AE$124</f>
        <v>0.89074039935959548</v>
      </c>
      <c r="Q8" s="5">
        <f>(AF8-AF$123)/AF$124</f>
        <v>1.0823663838869095</v>
      </c>
      <c r="S8" s="5">
        <f>(E8-AVERAGE(E$2:E$122))/AVERAGE(E$2:E$122)*100+100</f>
        <v>111.31630585334656</v>
      </c>
      <c r="T8" s="5">
        <f>('2026_Fantasy_Starters'!G5-AVERAGE('2026_Fantasy_Starters'!G$2:'2026_Fantasy_Starters'!G$122))/AVERAGE('2026_Fantasy_Starters'!G$2:'2026_Fantasy_Starters'!G$122)*100+100</f>
        <v>137.54602945251102</v>
      </c>
      <c r="U8" s="5">
        <f>(AVERAGE('2026_Fantasy_Starters'!H$2:'2026_Fantasy_Starters'!H$122)-'2026_Fantasy_Starters'!H5)/AVERAGE('2026_Fantasy_Starters'!H$2:'2026_Fantasy_Starters'!H$122)*100+100</f>
        <v>118.39719807741074</v>
      </c>
      <c r="V8" s="5">
        <f>('2026_Fantasy_Starters'!I5-AVERAGE('2026_Fantasy_Starters'!I$2:'2026_Fantasy_Starters'!I$122))/AVERAGE('2026_Fantasy_Starters'!I$2:'2026_Fantasy_Starters'!I$122)*100+100</f>
        <v>126.02159640290965</v>
      </c>
      <c r="W8" s="5">
        <f>(AVERAGE('2026_Fantasy_Starters'!J$2:'2026_Fantasy_Starters'!J$122)-'2026_Fantasy_Starters'!J5)/AVERAGE('2026_Fantasy_Starters'!J$2:'2026_Fantasy_Starters'!J$122)*100+100</f>
        <v>96.901015846041972</v>
      </c>
      <c r="X8" s="5">
        <f>(AVERAGE('2026_Fantasy_Starters'!K$2:'2026_Fantasy_Starters'!K$122)-'2026_Fantasy_Starters'!K5)/AVERAGE('2026_Fantasy_Starters'!K$2:'2026_Fantasy_Starters'!K$122)*100+100</f>
        <v>103.01650533173995</v>
      </c>
      <c r="Y8" s="5">
        <f>(AVERAGE('2026_Fantasy_Starters'!L$2:'2026_Fantasy_Starters'!L$122)-'2026_Fantasy_Starters'!L5)/AVERAGE('2026_Fantasy_Starters'!L$2:'2026_Fantasy_Starters'!L$122)*100+100</f>
        <v>101.96296526962826</v>
      </c>
      <c r="Z8" s="5">
        <f>(AVERAGE('2026_Fantasy_Starters'!M$2:'2026_Fantasy_Starters'!M$122)-'2026_Fantasy_Starters'!M5)/AVERAGE('2026_Fantasy_Starters'!M$2:'2026_Fantasy_Starters'!M$122)*100+100</f>
        <v>112.9102747417315</v>
      </c>
      <c r="AA8" s="5">
        <f>(AVERAGE('2026_Fantasy_Starters'!N$2:'2026_Fantasy_Starters'!N$122)-'2026_Fantasy_Starters'!N5)/AVERAGE('2026_Fantasy_Starters'!N$2:'2026_Fantasy_Starters'!N$122)*100+100</f>
        <v>138.5861281529462</v>
      </c>
      <c r="AB8" s="5">
        <f>(AVERAGE('2026_Fantasy_Starters'!O$2:'2026_Fantasy_Starters'!O$122)-'2026_Fantasy_Starters'!O5)/AVERAGE('2026_Fantasy_Starters'!O$2:'2026_Fantasy_Starters'!O$122)*100+100</f>
        <v>114.08162486710634</v>
      </c>
      <c r="AC8" s="5">
        <f>('2026_Fantasy_Starters'!P5-AVERAGE('2026_Fantasy_Starters'!P$2:'2026_Fantasy_Starters'!P$122))/AVERAGE('2026_Fantasy_Starters'!P$2:'2026_Fantasy_Starters'!P$122)*100+100</f>
        <v>122.64472062917248</v>
      </c>
      <c r="AD8" s="5">
        <f>(AVERAGE('2026_Fantasy_Starters'!Q$2:'2026_Fantasy_Starters'!Q$122)-'2026_Fantasy_Starters'!Q5)/AVERAGE('2026_Fantasy_Starters'!Q$2:'2026_Fantasy_Starters'!Q$122)*100+100</f>
        <v>95.076456973300111</v>
      </c>
      <c r="AE8" s="5">
        <f>('2026_Fantasy_Starters'!R5-AVERAGE('2026_Fantasy_Starters'!R$2:'2026_Fantasy_Starters'!R$122))/AVERAGE('2026_Fantasy_Starters'!R$2:'2026_Fantasy_Starters'!R$122)*100+100</f>
        <v>110.11388758208317</v>
      </c>
      <c r="AF8" s="5">
        <f>('2026_Fantasy_Starters'!T5-AVERAGE('2026_Fantasy_Starters'!T$2:'2026_Fantasy_Starters'!T$122))/AVERAGE('2026_Fantasy_Starters'!T$2:'2026_Fantasy_Starters'!T$122)*100+100</f>
        <v>121.27144543751508</v>
      </c>
      <c r="AG8" s="5">
        <f>(AVERAGE('2026_Fantasy_Starters'!U$2:'2026_Fantasy_Starters'!U$122)-'2026_Fantasy_Starters'!U5)/AVERAGE('2026_Fantasy_Starters'!U$2:'2026_Fantasy_Starters'!U$122)*100+100</f>
        <v>112.31850609724971</v>
      </c>
      <c r="AH8" s="5">
        <f>(AVERAGE('2026_Fantasy_Starters'!V$2:'2026_Fantasy_Starters'!V$122)-'2026_Fantasy_Starters'!V5)/AVERAGE('2026_Fantasy_Starters'!V$2:'2026_Fantasy_Starters'!V$122)*100+100</f>
        <v>107.23574761883255</v>
      </c>
    </row>
    <row r="9" spans="1:34">
      <c r="A9" s="5" t="s">
        <v>53</v>
      </c>
      <c r="B9" s="5" t="s">
        <v>54</v>
      </c>
      <c r="C9" s="5" t="s">
        <v>16</v>
      </c>
      <c r="D9" s="5">
        <v>26</v>
      </c>
      <c r="E9" s="5">
        <v>152.66999999999999</v>
      </c>
      <c r="F9" s="6">
        <f>H9*1.5+I9+J9+K9*1.5+L9+M9+N9+O9+P9+Q9</f>
        <v>9.4006051689734171</v>
      </c>
      <c r="G9" s="5">
        <v>624</v>
      </c>
      <c r="H9" s="5">
        <f>(S9-S$123)/S$124</f>
        <v>0.2666964935889507</v>
      </c>
      <c r="I9" s="5">
        <f>(T9-T$123)/T$124</f>
        <v>0.64659987840587796</v>
      </c>
      <c r="J9" s="5">
        <f>(U9-U$123)/U$124</f>
        <v>7.8760139034636481E-2</v>
      </c>
      <c r="K9" s="5">
        <f>(V9-V$123)/V$124</f>
        <v>0.62127493382538113</v>
      </c>
      <c r="L9" s="5">
        <f>(Z9-Z$123)/Z$124</f>
        <v>0.50272942672335019</v>
      </c>
      <c r="M9" s="5">
        <f>(AB9-AB$123)/AB$124</f>
        <v>0.42139363650618872</v>
      </c>
      <c r="N9" s="5">
        <f>(AG9-AG$123)/AG$124</f>
        <v>1.3009241101931934</v>
      </c>
      <c r="O9" s="5">
        <f>(AH9-AH$123)/AH$124</f>
        <v>1.067539543721727</v>
      </c>
      <c r="P9" s="5">
        <f>(AE9-AE$123)/AE$124</f>
        <v>2.251111909295441</v>
      </c>
      <c r="Q9" s="5">
        <f>(AF9-AF$123)/AF$124</f>
        <v>1.7995893839715054</v>
      </c>
      <c r="R9" s="5"/>
      <c r="S9" s="5">
        <f>(E9-AVERAGE(E$2:E$122))/AVERAGE(E$2:E$122)*100+100</f>
        <v>105.7737002217615</v>
      </c>
      <c r="T9" s="5">
        <f>('2026_Fantasy_Starters'!G14-AVERAGE('2026_Fantasy_Starters'!G$2:'2026_Fantasy_Starters'!G$122))/AVERAGE('2026_Fantasy_Starters'!G$2:'2026_Fantasy_Starters'!G$122)*100+100</f>
        <v>116.01640513147041</v>
      </c>
      <c r="U9" s="5">
        <f>(AVERAGE('2026_Fantasy_Starters'!H$2:'2026_Fantasy_Starters'!H$122)-'2026_Fantasy_Starters'!H14)/AVERAGE('2026_Fantasy_Starters'!H$2:'2026_Fantasy_Starters'!H$122)*100+100</f>
        <v>101.79524872074624</v>
      </c>
      <c r="V9" s="5">
        <f>('2026_Fantasy_Starters'!I14-AVERAGE('2026_Fantasy_Starters'!I$2:'2026_Fantasy_Starters'!I$122))/AVERAGE('2026_Fantasy_Starters'!I$2:'2026_Fantasy_Starters'!I$122)*100+100</f>
        <v>121.01140717472111</v>
      </c>
      <c r="W9" s="5">
        <f>(AVERAGE('2026_Fantasy_Starters'!J$2:'2026_Fantasy_Starters'!J$122)-'2026_Fantasy_Starters'!J14)/AVERAGE('2026_Fantasy_Starters'!J$2:'2026_Fantasy_Starters'!J$122)*100+100</f>
        <v>107.90582097127503</v>
      </c>
      <c r="X9" s="5">
        <f>(AVERAGE('2026_Fantasy_Starters'!K$2:'2026_Fantasy_Starters'!K$122)-'2026_Fantasy_Starters'!K14)/AVERAGE('2026_Fantasy_Starters'!K$2:'2026_Fantasy_Starters'!K$122)*100+100</f>
        <v>108.08879100533392</v>
      </c>
      <c r="Y9" s="5">
        <f>(AVERAGE('2026_Fantasy_Starters'!L$2:'2026_Fantasy_Starters'!L$122)-'2026_Fantasy_Starters'!L14)/AVERAGE('2026_Fantasy_Starters'!L$2:'2026_Fantasy_Starters'!L$122)*100+100</f>
        <v>106.73470543065815</v>
      </c>
      <c r="Z9" s="5">
        <f>(AVERAGE('2026_Fantasy_Starters'!M$2:'2026_Fantasy_Starters'!M$122)-'2026_Fantasy_Starters'!M14)/AVERAGE('2026_Fantasy_Starters'!M$2:'2026_Fantasy_Starters'!M$122)*100+100</f>
        <v>112.78271475025051</v>
      </c>
      <c r="AA9" s="5">
        <f>(AVERAGE('2026_Fantasy_Starters'!N$2:'2026_Fantasy_Starters'!N$122)-'2026_Fantasy_Starters'!N14)/AVERAGE('2026_Fantasy_Starters'!N$2:'2026_Fantasy_Starters'!N$122)*100+100</f>
        <v>23.273122551745615</v>
      </c>
      <c r="AB9" s="5">
        <f>(AVERAGE('2026_Fantasy_Starters'!O$2:'2026_Fantasy_Starters'!O$122)-'2026_Fantasy_Starters'!O14)/AVERAGE('2026_Fantasy_Starters'!O$2:'2026_Fantasy_Starters'!O$122)*100+100</f>
        <v>113.06270742379404</v>
      </c>
      <c r="AC9" s="5">
        <f>('2026_Fantasy_Starters'!P14-AVERAGE('2026_Fantasy_Starters'!P$2:'2026_Fantasy_Starters'!P$122))/AVERAGE('2026_Fantasy_Starters'!P$2:'2026_Fantasy_Starters'!P$122)*100+100</f>
        <v>132.88551215302041</v>
      </c>
      <c r="AD9" s="5">
        <f>(AVERAGE('2026_Fantasy_Starters'!Q$2:'2026_Fantasy_Starters'!Q$122)-'2026_Fantasy_Starters'!Q14)/AVERAGE('2026_Fantasy_Starters'!Q$2:'2026_Fantasy_Starters'!Q$122)*100+100</f>
        <v>82.128587713008628</v>
      </c>
      <c r="AE9" s="5">
        <f>('2026_Fantasy_Starters'!R14-AVERAGE('2026_Fantasy_Starters'!R$2:'2026_Fantasy_Starters'!R$122))/AVERAGE('2026_Fantasy_Starters'!R$2:'2026_Fantasy_Starters'!R$122)*100+100</f>
        <v>125.56018880660588</v>
      </c>
      <c r="AF9" s="5">
        <f>('2026_Fantasy_Starters'!T14-AVERAGE('2026_Fantasy_Starters'!T$2:'2026_Fantasy_Starters'!T$122))/AVERAGE('2026_Fantasy_Starters'!T$2:'2026_Fantasy_Starters'!T$122)*100+100</f>
        <v>135.36682953291069</v>
      </c>
      <c r="AG9" s="5">
        <f>(AVERAGE('2026_Fantasy_Starters'!U$2:'2026_Fantasy_Starters'!U$122)-'2026_Fantasy_Starters'!U14)/AVERAGE('2026_Fantasy_Starters'!U$2:'2026_Fantasy_Starters'!U$122)*100+100</f>
        <v>112.21528003774255</v>
      </c>
      <c r="AH9" s="5">
        <f>(AVERAGE('2026_Fantasy_Starters'!V$2:'2026_Fantasy_Starters'!V$122)-'2026_Fantasy_Starters'!V14)/AVERAGE('2026_Fantasy_Starters'!V$2:'2026_Fantasy_Starters'!V$122)*100+100</f>
        <v>106.91622596518036</v>
      </c>
    </row>
    <row r="10" spans="1:34" s="5" customFormat="1">
      <c r="A10" s="5" t="s">
        <v>45</v>
      </c>
      <c r="B10" s="5" t="s">
        <v>33</v>
      </c>
      <c r="C10" s="5" t="s">
        <v>16</v>
      </c>
      <c r="D10" s="5">
        <v>28</v>
      </c>
      <c r="E10" s="5">
        <v>165.67</v>
      </c>
      <c r="F10" s="6">
        <f>H10*1.5+I10+J10+K10*1.5+L10+M10+N10+O10+P10+Q10</f>
        <v>9.1758035932903255</v>
      </c>
      <c r="G10" s="5">
        <v>660</v>
      </c>
      <c r="H10" s="5">
        <f>(S10-S$123)/S$124</f>
        <v>0.68273202099525365</v>
      </c>
      <c r="I10" s="5">
        <f>(T10-T$123)/T$124</f>
        <v>0.73825691161921736</v>
      </c>
      <c r="J10" s="5">
        <f>(U10-U$123)/U$124</f>
        <v>-3.2344305055434112E-2</v>
      </c>
      <c r="K10" s="5">
        <f>(V10-V$123)/V$124</f>
        <v>0.91000373876983798</v>
      </c>
      <c r="L10" s="5">
        <f>(Z10-Z$123)/Z$124</f>
        <v>-0.63544637339850685</v>
      </c>
      <c r="M10" s="5">
        <f>(AB10-AB$123)/AB$124</f>
        <v>0.13412735722294622</v>
      </c>
      <c r="N10" s="5">
        <f>(AG10-AG$123)/AG$124</f>
        <v>1.3663799822836871</v>
      </c>
      <c r="O10" s="5">
        <f>(AH10-AH$123)/AH$124</f>
        <v>2.2153220638577089</v>
      </c>
      <c r="P10" s="5">
        <f>(AE10-AE$123)/AE$124</f>
        <v>1.0666427016938025</v>
      </c>
      <c r="Q10" s="5">
        <f>(AF10-AF$123)/AF$124</f>
        <v>1.9337616154192672</v>
      </c>
      <c r="S10" s="5">
        <f>(E10-AVERAGE(E$2:E$122))/AVERAGE(E$2:E$122)*100+100</f>
        <v>114.78043437308722</v>
      </c>
      <c r="T10" s="5">
        <f>('2026_Fantasy_Starters'!G11-AVERAGE('2026_Fantasy_Starters'!G$2:'2026_Fantasy_Starters'!G$122))/AVERAGE('2026_Fantasy_Starters'!G$2:'2026_Fantasy_Starters'!G$122)*100+100</f>
        <v>118.28676772527837</v>
      </c>
      <c r="U10" s="5">
        <f>(AVERAGE('2026_Fantasy_Starters'!H$2:'2026_Fantasy_Starters'!H$122)-'2026_Fantasy_Starters'!H11)/AVERAGE('2026_Fantasy_Starters'!H$2:'2026_Fantasy_Starters'!H$122)*100+100</f>
        <v>99.262747971424304</v>
      </c>
      <c r="V10" s="5">
        <f>('2026_Fantasy_Starters'!I11-AVERAGE('2026_Fantasy_Starters'!I$2:'2026_Fantasy_Starters'!I$122))/AVERAGE('2026_Fantasy_Starters'!I$2:'2026_Fantasy_Starters'!I$122)*100+100</f>
        <v>130.77616373170096</v>
      </c>
      <c r="W10" s="5">
        <f>(AVERAGE('2026_Fantasy_Starters'!J$2:'2026_Fantasy_Starters'!J$122)-'2026_Fantasy_Starters'!J11)/AVERAGE('2026_Fantasy_Starters'!J$2:'2026_Fantasy_Starters'!J$122)*100+100</f>
        <v>95.630656239016915</v>
      </c>
      <c r="X10" s="5">
        <f>(AVERAGE('2026_Fantasy_Starters'!K$2:'2026_Fantasy_Starters'!K$122)-'2026_Fantasy_Starters'!K11)/AVERAGE('2026_Fantasy_Starters'!K$2:'2026_Fantasy_Starters'!K$122)*100+100</f>
        <v>103.35989044420955</v>
      </c>
      <c r="Y10" s="5">
        <f>(AVERAGE('2026_Fantasy_Starters'!L$2:'2026_Fantasy_Starters'!L$122)-'2026_Fantasy_Starters'!L11)/AVERAGE('2026_Fantasy_Starters'!L$2:'2026_Fantasy_Starters'!L$122)*100+100</f>
        <v>99.501658337537066</v>
      </c>
      <c r="Z10" s="5">
        <f>(AVERAGE('2026_Fantasy_Starters'!M$2:'2026_Fantasy_Starters'!M$122)-'2026_Fantasy_Starters'!M11)/AVERAGE('2026_Fantasy_Starters'!M$2:'2026_Fantasy_Starters'!M$122)*100+100</f>
        <v>83.84274065042105</v>
      </c>
      <c r="AA10" s="5">
        <f>(AVERAGE('2026_Fantasy_Starters'!N$2:'2026_Fantasy_Starters'!N$122)-'2026_Fantasy_Starters'!N11)/AVERAGE('2026_Fantasy_Starters'!N$2:'2026_Fantasy_Starters'!N$122)*100+100</f>
        <v>78.802677532279688</v>
      </c>
      <c r="AB10" s="5">
        <f>(AVERAGE('2026_Fantasy_Starters'!O$2:'2026_Fantasy_Starters'!O$122)-'2026_Fantasy_Starters'!O11)/AVERAGE('2026_Fantasy_Starters'!O$2:'2026_Fantasy_Starters'!O$122)*100+100</f>
        <v>104.15779042003714</v>
      </c>
      <c r="AC10" s="5">
        <f>('2026_Fantasy_Starters'!P11-AVERAGE('2026_Fantasy_Starters'!P$2:'2026_Fantasy_Starters'!P$122))/AVERAGE('2026_Fantasy_Starters'!P$2:'2026_Fantasy_Starters'!P$122)*100+100</f>
        <v>128.75517946452291</v>
      </c>
      <c r="AD10" s="5">
        <f>(AVERAGE('2026_Fantasy_Starters'!Q$2:'2026_Fantasy_Starters'!Q$122)-'2026_Fantasy_Starters'!Q11)/AVERAGE('2026_Fantasy_Starters'!Q$2:'2026_Fantasy_Starters'!Q$122)*100+100</f>
        <v>117.96495392076034</v>
      </c>
      <c r="AE10" s="5">
        <f>('2026_Fantasy_Starters'!R11-AVERAGE('2026_Fantasy_Starters'!R$2:'2026_Fantasy_Starters'!R$122))/AVERAGE('2026_Fantasy_Starters'!R$2:'2026_Fantasy_Starters'!R$122)*100+100</f>
        <v>112.11116547866993</v>
      </c>
      <c r="AF10" s="5">
        <f>('2026_Fantasy_Starters'!T11-AVERAGE('2026_Fantasy_Starters'!T$2:'2026_Fantasy_Starters'!T$122))/AVERAGE('2026_Fantasy_Starters'!T$2:'2026_Fantasy_Starters'!T$122)*100+100</f>
        <v>138.0036790719933</v>
      </c>
      <c r="AG10" s="5">
        <f>(AVERAGE('2026_Fantasy_Starters'!U$2:'2026_Fantasy_Starters'!U$122)-'2026_Fantasy_Starters'!U11)/AVERAGE('2026_Fantasy_Starters'!U$2:'2026_Fantasy_Starters'!U$122)*100+100</f>
        <v>112.82989068369429</v>
      </c>
      <c r="AH10" s="5">
        <f>(AVERAGE('2026_Fantasy_Starters'!V$2:'2026_Fantasy_Starters'!V$122)-'2026_Fantasy_Starters'!V11)/AVERAGE('2026_Fantasy_Starters'!V$2:'2026_Fantasy_Starters'!V$122)*100+100</f>
        <v>114.35231890883806</v>
      </c>
    </row>
    <row r="11" spans="1:34">
      <c r="A11" t="s">
        <v>32</v>
      </c>
      <c r="B11" t="s">
        <v>33</v>
      </c>
      <c r="C11" t="s">
        <v>16</v>
      </c>
      <c r="D11">
        <v>30</v>
      </c>
      <c r="E11">
        <v>185.33</v>
      </c>
      <c r="F11" s="4">
        <f>H11*1.5+I11+J11+K11*1.5+L11+M11+N11+O11+P11+Q11</f>
        <v>9.0798882463054849</v>
      </c>
      <c r="G11">
        <v>741</v>
      </c>
      <c r="H11">
        <f>(S11-S$123)/S$124</f>
        <v>1.311905749365095</v>
      </c>
      <c r="I11">
        <f>(T11-T$123)/T$124</f>
        <v>1.6642179188323276</v>
      </c>
      <c r="J11">
        <f>(U11-U$123)/U$124</f>
        <v>-0.15502212873821228</v>
      </c>
      <c r="K11">
        <f>(V11-V$123)/V$124</f>
        <v>1.4845324897080867</v>
      </c>
      <c r="L11">
        <f>(Z11-Z$123)/Z$124</f>
        <v>-1.1150740853341989</v>
      </c>
      <c r="M11">
        <f>(AB11-AB$123)/AB$124</f>
        <v>-0.7170808872039155</v>
      </c>
      <c r="N11">
        <f>(AG11-AG$123)/AG$124</f>
        <v>1.2414272108620403</v>
      </c>
      <c r="O11">
        <f>(AH11-AH$123)/AH$124</f>
        <v>2.2647128576154651</v>
      </c>
      <c r="P11">
        <f>(AE11-AE$123)/AE$124</f>
        <v>0.28234126995940578</v>
      </c>
      <c r="Q11">
        <f>(AF11-AF$123)/AF$124</f>
        <v>1.419708731702801</v>
      </c>
      <c r="S11">
        <f>(E11-AVERAGE(E$2:E$122))/AVERAGE(E$2:E$122)*100+100</f>
        <v>128.40138771270753</v>
      </c>
      <c r="T11">
        <f>('2026_Fantasy_Starters'!G7-AVERAGE('2026_Fantasy_Starters'!G$2:'2026_Fantasy_Starters'!G$122))/AVERAGE('2026_Fantasy_Starters'!G$2:'2026_Fantasy_Starters'!G$122)*100+100</f>
        <v>141.22300251708299</v>
      </c>
      <c r="U11">
        <f>(AVERAGE('2026_Fantasy_Starters'!H$2:'2026_Fantasy_Starters'!H$122)-'2026_Fantasy_Starters'!H7)/AVERAGE('2026_Fantasy_Starters'!H$2:'2026_Fantasy_Starters'!H$122)*100+100</f>
        <v>96.466445060714847</v>
      </c>
      <c r="V11">
        <f>('2026_Fantasy_Starters'!I7-AVERAGE('2026_Fantasy_Starters'!I$2:'2026_Fantasy_Starters'!I$122))/AVERAGE('2026_Fantasy_Starters'!I$2:'2026_Fantasy_Starters'!I$122)*100+100</f>
        <v>150.20662335964468</v>
      </c>
      <c r="W11">
        <f>(AVERAGE('2026_Fantasy_Starters'!J$2:'2026_Fantasy_Starters'!J$122)-'2026_Fantasy_Starters'!J7)/AVERAGE('2026_Fantasy_Starters'!J$2:'2026_Fantasy_Starters'!J$122)*100+100</f>
        <v>80.077281090302805</v>
      </c>
      <c r="X11">
        <f>(AVERAGE('2026_Fantasy_Starters'!K$2:'2026_Fantasy_Starters'!K$122)-'2026_Fantasy_Starters'!K7)/AVERAGE('2026_Fantasy_Starters'!K$2:'2026_Fantasy_Starters'!K$122)*100+100</f>
        <v>88.444833040659233</v>
      </c>
      <c r="Y11">
        <f>(AVERAGE('2026_Fantasy_Starters'!L$2:'2026_Fantasy_Starters'!L$122)-'2026_Fantasy_Starters'!L7)/AVERAGE('2026_Fantasy_Starters'!L$2:'2026_Fantasy_Starters'!L$122)*100+100</f>
        <v>86.062376126811387</v>
      </c>
      <c r="Z11">
        <f>(AVERAGE('2026_Fantasy_Starters'!M$2:'2026_Fantasy_Starters'!M$122)-'2026_Fantasy_Starters'!M7)/AVERAGE('2026_Fantasy_Starters'!M$2:'2026_Fantasy_Starters'!M$122)*100+100</f>
        <v>71.647424637294336</v>
      </c>
      <c r="AA11">
        <f>(AVERAGE('2026_Fantasy_Starters'!N$2:'2026_Fantasy_Starters'!N$122)-'2026_Fantasy_Starters'!N7)/AVERAGE('2026_Fantasy_Starters'!N$2:'2026_Fantasy_Starters'!N$122)*100+100</f>
        <v>81.772480566128536</v>
      </c>
      <c r="AB11">
        <f>(AVERAGE('2026_Fantasy_Starters'!O$2:'2026_Fantasy_Starters'!O$122)-'2026_Fantasy_Starters'!O7)/AVERAGE('2026_Fantasy_Starters'!O$2:'2026_Fantasy_Starters'!O$122)*100+100</f>
        <v>77.771335356646119</v>
      </c>
      <c r="AC11">
        <f>('2026_Fantasy_Starters'!P7-AVERAGE('2026_Fantasy_Starters'!P$2:'2026_Fantasy_Starters'!P$122))/AVERAGE('2026_Fantasy_Starters'!P$2:'2026_Fantasy_Starters'!P$122)*100+100</f>
        <v>132.59341365873087</v>
      </c>
      <c r="AD11">
        <f>(AVERAGE('2026_Fantasy_Starters'!Q$2:'2026_Fantasy_Starters'!Q$122)-'2026_Fantasy_Starters'!Q7)/AVERAGE('2026_Fantasy_Starters'!Q$2:'2026_Fantasy_Starters'!Q$122)*100+100</f>
        <v>118.92206626827885</v>
      </c>
      <c r="AE11">
        <f>('2026_Fantasy_Starters'!R7-AVERAGE('2026_Fantasy_Starters'!R$2:'2026_Fantasy_Starters'!R$122))/AVERAGE('2026_Fantasy_Starters'!R$2:'2026_Fantasy_Starters'!R$122)*100+100</f>
        <v>103.20583625285775</v>
      </c>
      <c r="AF11">
        <f>('2026_Fantasy_Starters'!T7-AVERAGE('2026_Fantasy_Starters'!T$2:'2026_Fantasy_Starters'!T$122))/AVERAGE('2026_Fantasy_Starters'!T$2:'2026_Fantasy_Starters'!T$122)*100+100</f>
        <v>127.90114075340244</v>
      </c>
      <c r="AG11">
        <f>(AVERAGE('2026_Fantasy_Starters'!U$2:'2026_Fantasy_Starters'!U$122)-'2026_Fantasy_Starters'!U7)/AVERAGE('2026_Fantasy_Starters'!U$2:'2026_Fantasy_Starters'!U$122)*100+100</f>
        <v>111.65662232587995</v>
      </c>
      <c r="AH11">
        <f>(AVERAGE('2026_Fantasy_Starters'!V$2:'2026_Fantasy_Starters'!V$122)-'2026_Fantasy_Starters'!V7)/AVERAGE('2026_Fantasy_Starters'!V$2:'2026_Fantasy_Starters'!V$122)*100+100</f>
        <v>114.6723050791277</v>
      </c>
    </row>
    <row r="12" spans="1:34" s="5" customFormat="1">
      <c r="A12" s="5" t="s">
        <v>1040</v>
      </c>
      <c r="B12" s="5" t="s">
        <v>57</v>
      </c>
      <c r="C12" s="5" t="s">
        <v>16</v>
      </c>
      <c r="D12" s="5">
        <v>26</v>
      </c>
      <c r="E12" s="5">
        <v>154.66999999999999</v>
      </c>
      <c r="F12" s="6">
        <f>H12*1.5+I12+J12+K12*1.5+L12+M12+N12+O12+P12+Q12</f>
        <v>8.4101295351380241</v>
      </c>
      <c r="G12" s="5">
        <v>617</v>
      </c>
      <c r="H12" s="5">
        <f>(S12-S$123)/S$124</f>
        <v>0.33070195934376645</v>
      </c>
      <c r="I12" s="5">
        <f>(T12-T$123)/T$124</f>
        <v>0.55989727942027889</v>
      </c>
      <c r="J12" s="5">
        <f>(U12-U$123)/U$124</f>
        <v>0.2577617434019539</v>
      </c>
      <c r="K12" s="5">
        <f>(V12-V$123)/V$124</f>
        <v>0.62580994123288081</v>
      </c>
      <c r="L12" s="5">
        <f>(Z12-Z$123)/Z$124</f>
        <v>-0.62409821773980234</v>
      </c>
      <c r="M12" s="5">
        <f>(AB12-AB$123)/AB$124</f>
        <v>0.96937133508494622</v>
      </c>
      <c r="N12" s="5">
        <f>(AG12-AG$123)/AG$124</f>
        <v>1.070110199968535</v>
      </c>
      <c r="O12" s="5">
        <f>(AH12-AH$123)/AH$124</f>
        <v>2.0997147616582721</v>
      </c>
      <c r="P12" s="5">
        <f>(AE12-AE$123)/AE$124</f>
        <v>0.94037816438681721</v>
      </c>
      <c r="Q12" s="5">
        <f>(AF12-AF$123)/AF$124</f>
        <v>1.7022264180920521</v>
      </c>
      <c r="S12" s="5">
        <f>(E12-AVERAGE(E$2:E$122))/AVERAGE(E$2:E$122)*100+100</f>
        <v>107.15935162965776</v>
      </c>
      <c r="T12" s="5">
        <f>('2026_Fantasy_Starters'!G15-AVERAGE('2026_Fantasy_Starters'!G$2:'2026_Fantasy_Starters'!G$122))/AVERAGE('2026_Fantasy_Starters'!G$2:'2026_Fantasy_Starters'!G$122)*100+100</f>
        <v>113.86876484003025</v>
      </c>
      <c r="U12" s="5">
        <f>(AVERAGE('2026_Fantasy_Starters'!H$2:'2026_Fantasy_Starters'!H$122)-'2026_Fantasy_Starters'!H15)/AVERAGE('2026_Fantasy_Starters'!H$2:'2026_Fantasy_Starters'!H$122)*100+100</f>
        <v>105.87538881687561</v>
      </c>
      <c r="V12" s="5">
        <f>('2026_Fantasy_Starters'!I15-AVERAGE('2026_Fantasy_Starters'!I$2:'2026_Fantasy_Starters'!I$122))/AVERAGE('2026_Fantasy_Starters'!I$2:'2026_Fantasy_Starters'!I$122)*100+100</f>
        <v>121.16478031435938</v>
      </c>
      <c r="W12" s="5">
        <f>(AVERAGE('2026_Fantasy_Starters'!J$2:'2026_Fantasy_Starters'!J$122)-'2026_Fantasy_Starters'!J15)/AVERAGE('2026_Fantasy_Starters'!J$2:'2026_Fantasy_Starters'!J$122)*100+100</f>
        <v>103.0824510488679</v>
      </c>
      <c r="X12" s="5">
        <f>(AVERAGE('2026_Fantasy_Starters'!K$2:'2026_Fantasy_Starters'!K$122)-'2026_Fantasy_Starters'!K15)/AVERAGE('2026_Fantasy_Starters'!K$2:'2026_Fantasy_Starters'!K$122)*100+100</f>
        <v>104.41488807724082</v>
      </c>
      <c r="Y12" s="5">
        <f>(AVERAGE('2026_Fantasy_Starters'!L$2:'2026_Fantasy_Starters'!L$122)-'2026_Fantasy_Starters'!L15)/AVERAGE('2026_Fantasy_Starters'!L$2:'2026_Fantasy_Starters'!L$122)*100+100</f>
        <v>103.18017266239826</v>
      </c>
      <c r="Z12" s="5">
        <f>(AVERAGE('2026_Fantasy_Starters'!M$2:'2026_Fantasy_Starters'!M$122)-'2026_Fantasy_Starters'!M15)/AVERAGE('2026_Fantasy_Starters'!M$2:'2026_Fantasy_Starters'!M$122)*100+100</f>
        <v>84.131285997114048</v>
      </c>
      <c r="AA12" s="5">
        <f>(AVERAGE('2026_Fantasy_Starters'!N$2:'2026_Fantasy_Starters'!N$122)-'2026_Fantasy_Starters'!N15)/AVERAGE('2026_Fantasy_Starters'!N$2:'2026_Fantasy_Starters'!N$122)*100+100</f>
        <v>138.58609756883141</v>
      </c>
      <c r="AB12" s="5">
        <f>(AVERAGE('2026_Fantasy_Starters'!O$2:'2026_Fantasy_Starters'!O$122)-'2026_Fantasy_Starters'!O15)/AVERAGE('2026_Fantasy_Starters'!O$2:'2026_Fantasy_Starters'!O$122)*100+100</f>
        <v>130.04937198438523</v>
      </c>
      <c r="AC12" s="5">
        <f>('2026_Fantasy_Starters'!P15-AVERAGE('2026_Fantasy_Starters'!P$2:'2026_Fantasy_Starters'!P$122))/AVERAGE('2026_Fantasy_Starters'!P$2:'2026_Fantasy_Starters'!P$122)*100+100</f>
        <v>118.66902882003068</v>
      </c>
      <c r="AD12" s="5">
        <f>(AVERAGE('2026_Fantasy_Starters'!Q$2:'2026_Fantasy_Starters'!Q$122)-'2026_Fantasy_Starters'!Q15)/AVERAGE('2026_Fantasy_Starters'!Q$2:'2026_Fantasy_Starters'!Q$122)*100+100</f>
        <v>118.79637298578494</v>
      </c>
      <c r="AE12" s="5">
        <f>('2026_Fantasy_Starters'!R15-AVERAGE('2026_Fantasy_Starters'!R$2:'2026_Fantasy_Starters'!R$122))/AVERAGE('2026_Fantasy_Starters'!R$2:'2026_Fantasy_Starters'!R$122)*100+100</f>
        <v>110.67749823191124</v>
      </c>
      <c r="AF12" s="5">
        <f>('2026_Fantasy_Starters'!T15-AVERAGE('2026_Fantasy_Starters'!T$2:'2026_Fantasy_Starters'!T$122))/AVERAGE('2026_Fantasy_Starters'!T$2:'2026_Fantasy_Starters'!T$122)*100+100</f>
        <v>133.45338225002109</v>
      </c>
      <c r="AG12" s="5">
        <f>(AVERAGE('2026_Fantasy_Starters'!U$2:'2026_Fantasy_Starters'!U$122)-'2026_Fantasy_Starters'!U15)/AVERAGE('2026_Fantasy_Starters'!U$2:'2026_Fantasy_Starters'!U$122)*100+100</f>
        <v>110.0480079210148</v>
      </c>
      <c r="AH12" s="5">
        <f>(AVERAGE('2026_Fantasy_Starters'!V$2:'2026_Fantasy_Starters'!V$122)-'2026_Fantasy_Starters'!V15)/AVERAGE('2026_Fantasy_Starters'!V$2:'2026_Fantasy_Starters'!V$122)*100+100</f>
        <v>113.60333848002068</v>
      </c>
    </row>
    <row r="13" spans="1:34">
      <c r="A13" s="5" t="s">
        <v>36</v>
      </c>
      <c r="B13" s="5" t="s">
        <v>37</v>
      </c>
      <c r="C13" s="5" t="s">
        <v>16</v>
      </c>
      <c r="D13" s="5">
        <v>30</v>
      </c>
      <c r="E13" s="5">
        <v>182.67</v>
      </c>
      <c r="F13" s="6">
        <f>H13*1.5+I13+J13+K13*1.5+L13+M13+N13+O13+P13+Q13</f>
        <v>7.8328741092189231</v>
      </c>
      <c r="G13" s="5">
        <v>753</v>
      </c>
      <c r="H13" s="5">
        <f>(S13-S$123)/S$124</f>
        <v>1.2267784799111898</v>
      </c>
      <c r="I13" s="5">
        <f>(T13-T$123)/T$124</f>
        <v>1.5991298138052605</v>
      </c>
      <c r="J13" s="5">
        <f>(U13-U$123)/U$124</f>
        <v>-0.56715888718070406</v>
      </c>
      <c r="K13" s="5">
        <f>(V13-V$123)/V$124</f>
        <v>1.3916410308550393</v>
      </c>
      <c r="L13" s="5">
        <f>(Z13-Z$123)/Z$124</f>
        <v>-0.21204864635133269</v>
      </c>
      <c r="M13" s="5">
        <f>(AB13-AB$123)/AB$124</f>
        <v>-0.60625789908433281</v>
      </c>
      <c r="N13" s="5">
        <f>(AG13-AG$123)/AG$124</f>
        <v>1.7368943824092904</v>
      </c>
      <c r="O13" s="5">
        <f>(AH13-AH$123)/AH$124</f>
        <v>0.54793604885527902</v>
      </c>
      <c r="P13" s="5">
        <f>(AE13-AE$123)/AE$124</f>
        <v>0.77373495250960478</v>
      </c>
      <c r="Q13" s="5">
        <f>(AF13-AF$123)/AF$124</f>
        <v>0.63301507810651414</v>
      </c>
      <c r="R13" s="5"/>
      <c r="S13" s="5">
        <f>(E13-AVERAGE(E$2:E$122))/AVERAGE(E$2:E$122)*100+100</f>
        <v>126.5584713402055</v>
      </c>
      <c r="T13" s="5">
        <f>('2026_Fantasy_Starters'!G8-AVERAGE('2026_Fantasy_Starters'!G$2:'2026_Fantasy_Starters'!G$122))/AVERAGE('2026_Fantasy_Starters'!G$2:'2026_Fantasy_Starters'!G$122)*100+100</f>
        <v>139.61075745770668</v>
      </c>
      <c r="U13" s="5">
        <f>(AVERAGE('2026_Fantasy_Starters'!H$2:'2026_Fantasy_Starters'!H$122)-'2026_Fantasy_Starters'!H8)/AVERAGE('2026_Fantasy_Starters'!H$2:'2026_Fantasy_Starters'!H$122)*100+100</f>
        <v>87.072251532933137</v>
      </c>
      <c r="V13" s="5">
        <f>('2026_Fantasy_Starters'!I8-AVERAGE('2026_Fantasy_Starters'!I$2:'2026_Fantasy_Starters'!I$122))/AVERAGE('2026_Fantasy_Starters'!I$2:'2026_Fantasy_Starters'!I$122)*100+100</f>
        <v>147.06505083072014</v>
      </c>
      <c r="W13" s="5">
        <f>(AVERAGE('2026_Fantasy_Starters'!J$2:'2026_Fantasy_Starters'!J$122)-'2026_Fantasy_Starters'!J8)/AVERAGE('2026_Fantasy_Starters'!J$2:'2026_Fantasy_Starters'!J$122)*100+100</f>
        <v>80.99937253193535</v>
      </c>
      <c r="X13" s="5">
        <f>(AVERAGE('2026_Fantasy_Starters'!K$2:'2026_Fantasy_Starters'!K$122)-'2026_Fantasy_Starters'!K8)/AVERAGE('2026_Fantasy_Starters'!K$2:'2026_Fantasy_Starters'!K$122)*100+100</f>
        <v>86.943056801884268</v>
      </c>
      <c r="Y13" s="5">
        <f>(AVERAGE('2026_Fantasy_Starters'!L$2:'2026_Fantasy_Starters'!L$122)-'2026_Fantasy_Starters'!L8)/AVERAGE('2026_Fantasy_Starters'!L$2:'2026_Fantasy_Starters'!L$122)*100+100</f>
        <v>93.611693124026104</v>
      </c>
      <c r="Z13" s="5">
        <f>(AVERAGE('2026_Fantasy_Starters'!M$2:'2026_Fantasy_Starters'!M$122)-'2026_Fantasy_Starters'!M8)/AVERAGE('2026_Fantasy_Starters'!M$2:'2026_Fantasy_Starters'!M$122)*100+100</f>
        <v>94.608317684619124</v>
      </c>
      <c r="AA13" s="5">
        <f>(AVERAGE('2026_Fantasy_Starters'!N$2:'2026_Fantasy_Starters'!N$122)-'2026_Fantasy_Starters'!N8)/AVERAGE('2026_Fantasy_Starters'!N$2:'2026_Fantasy_Starters'!N$122)*100+100</f>
        <v>17.114226170132468</v>
      </c>
      <c r="AB13" s="5">
        <f>(AVERAGE('2026_Fantasy_Starters'!O$2:'2026_Fantasy_Starters'!O$122)-'2026_Fantasy_Starters'!O8)/AVERAGE('2026_Fantasy_Starters'!O$2:'2026_Fantasy_Starters'!O$122)*100+100</f>
        <v>81.206717726534976</v>
      </c>
      <c r="AC13" s="5">
        <f>('2026_Fantasy_Starters'!P8-AVERAGE('2026_Fantasy_Starters'!P$2:'2026_Fantasy_Starters'!P$122))/AVERAGE('2026_Fantasy_Starters'!P$2:'2026_Fantasy_Starters'!P$122)*100+100</f>
        <v>137.75571355406012</v>
      </c>
      <c r="AD13" s="5">
        <f>(AVERAGE('2026_Fantasy_Starters'!Q$2:'2026_Fantasy_Starters'!Q$122)-'2026_Fantasy_Starters'!Q8)/AVERAGE('2026_Fantasy_Starters'!Q$2:'2026_Fantasy_Starters'!Q$122)*100+100</f>
        <v>67.720555550646438</v>
      </c>
      <c r="AE13" s="5">
        <f>('2026_Fantasy_Starters'!R8-AVERAGE('2026_Fantasy_Starters'!R$2:'2026_Fantasy_Starters'!R$122))/AVERAGE('2026_Fantasy_Starters'!R$2:'2026_Fantasy_Starters'!R$122)*100+100</f>
        <v>108.78535242550666</v>
      </c>
      <c r="AF13" s="5">
        <f>('2026_Fantasy_Starters'!T8-AVERAGE('2026_Fantasy_Starters'!T$2:'2026_Fantasy_Starters'!T$122))/AVERAGE('2026_Fantasy_Starters'!T$2:'2026_Fantasy_Starters'!T$122)*100+100</f>
        <v>112.4404692306796</v>
      </c>
      <c r="AG13" s="5">
        <f>(AVERAGE('2026_Fantasy_Starters'!U$2:'2026_Fantasy_Starters'!U$122)-'2026_Fantasy_Starters'!U8)/AVERAGE('2026_Fantasy_Starters'!U$2:'2026_Fantasy_Starters'!U$122)*100+100</f>
        <v>116.30890773018311</v>
      </c>
      <c r="AH13" s="5">
        <f>(AVERAGE('2026_Fantasy_Starters'!V$2:'2026_Fantasy_Starters'!V$122)-'2026_Fantasy_Starters'!V8)/AVERAGE('2026_Fantasy_Starters'!V$2:'2026_Fantasy_Starters'!V$122)*100+100</f>
        <v>103.54989147768659</v>
      </c>
    </row>
    <row r="14" spans="1:34">
      <c r="A14" t="s">
        <v>128</v>
      </c>
      <c r="B14" t="s">
        <v>29</v>
      </c>
      <c r="C14" t="s">
        <v>16</v>
      </c>
      <c r="D14">
        <v>21</v>
      </c>
      <c r="E14">
        <v>132.66999999999999</v>
      </c>
      <c r="F14" s="4">
        <f>H14*1.5+I14+J14+K14*1.5+L14+M14+N14+O14+P14+Q14</f>
        <v>7.6842151485537613</v>
      </c>
      <c r="G14">
        <v>535</v>
      </c>
      <c r="H14">
        <f>(S14-S$123)/S$124</f>
        <v>-0.37335816395920918</v>
      </c>
      <c r="I14">
        <f>(T14-T$123)/T$124</f>
        <v>0.23476253322428497</v>
      </c>
      <c r="J14">
        <f>(U14-U$123)/U$124</f>
        <v>1.142739502924871</v>
      </c>
      <c r="K14">
        <f>(V14-V$123)/V$124</f>
        <v>0.30363545665807323</v>
      </c>
      <c r="L14">
        <f>(Z14-Z$123)/Z$124</f>
        <v>0.67420152533646471</v>
      </c>
      <c r="M14">
        <f>(AB14-AB$123)/AB$124</f>
        <v>0.20424678381365777</v>
      </c>
      <c r="N14">
        <f>(AG14-AG$123)/AG$124</f>
        <v>1.4597429028514481</v>
      </c>
      <c r="O14">
        <f>(AH14-AH$123)/AH$124</f>
        <v>1.7619175856581837</v>
      </c>
      <c r="P14">
        <f>(AE14-AE$123)/AE$124</f>
        <v>0.94684682709148627</v>
      </c>
      <c r="Q14">
        <f>(AF14-AF$123)/AF$124</f>
        <v>1.3643415486050681</v>
      </c>
      <c r="S14">
        <f>(E14-AVERAGE(E$2:E$122))/AVERAGE(E$2:E$122)*100+100</f>
        <v>91.917186142798826</v>
      </c>
      <c r="T14">
        <f>('2026_Fantasy_Starters'!G42-AVERAGE('2026_Fantasy_Starters'!G$2:'2026_Fantasy_Starters'!G$122))/AVERAGE('2026_Fantasy_Starters'!G$2:'2026_Fantasy_Starters'!G$122)*100+100</f>
        <v>105.81511374712974</v>
      </c>
      <c r="U14">
        <f>(AVERAGE('2026_Fantasy_Starters'!H$2:'2026_Fantasy_Starters'!H$122)-'2026_Fantasy_Starters'!H42)/AVERAGE('2026_Fantasy_Starters'!H$2:'2026_Fantasy_Starters'!H$122)*100+100</f>
        <v>126.04746075765351</v>
      </c>
      <c r="V14">
        <f>('2026_Fantasy_Starters'!I42-AVERAGE('2026_Fantasy_Starters'!I$2:'2026_Fantasy_Starters'!I$122))/AVERAGE('2026_Fantasy_Starters'!I$2:'2026_Fantasy_Starters'!I$122)*100+100</f>
        <v>110.26889685254598</v>
      </c>
      <c r="W14">
        <f>(AVERAGE('2026_Fantasy_Starters'!J$2:'2026_Fantasy_Starters'!J$122)-'2026_Fantasy_Starters'!J42)/AVERAGE('2026_Fantasy_Starters'!J$2:'2026_Fantasy_Starters'!J$122)*100+100</f>
        <v>117.59640072343774</v>
      </c>
      <c r="X14">
        <f>(AVERAGE('2026_Fantasy_Starters'!K$2:'2026_Fantasy_Starters'!K$122)-'2026_Fantasy_Starters'!K42)/AVERAGE('2026_Fantasy_Starters'!K$2:'2026_Fantasy_Starters'!K$122)*100+100</f>
        <v>122.67210900587057</v>
      </c>
      <c r="Y14">
        <f>(AVERAGE('2026_Fantasy_Starters'!L$2:'2026_Fantasy_Starters'!L$122)-'2026_Fantasy_Starters'!L42)/AVERAGE('2026_Fantasy_Starters'!L$2:'2026_Fantasy_Starters'!L$122)*100+100</f>
        <v>120.32940795688563</v>
      </c>
      <c r="Z14">
        <f>(AVERAGE('2026_Fantasy_Starters'!M$2:'2026_Fantasy_Starters'!M$122)-'2026_Fantasy_Starters'!M42)/AVERAGE('2026_Fantasy_Starters'!M$2:'2026_Fantasy_Starters'!M$122)*100+100</f>
        <v>117.14267222973271</v>
      </c>
      <c r="AA14">
        <f>(AVERAGE('2026_Fantasy_Starters'!N$2:'2026_Fantasy_Starters'!N$122)-'2026_Fantasy_Starters'!N42)/AVERAGE('2026_Fantasy_Starters'!N$2:'2026_Fantasy_Starters'!N$122)*100+100</f>
        <v>138.58614375207301</v>
      </c>
      <c r="AB14">
        <f>(AVERAGE('2026_Fantasy_Starters'!O$2:'2026_Fantasy_Starters'!O$122)-'2026_Fantasy_Starters'!O42)/AVERAGE('2026_Fantasy_Starters'!O$2:'2026_Fantasy_Starters'!O$122)*100+100</f>
        <v>106.33141022567277</v>
      </c>
      <c r="AC14">
        <f>('2026_Fantasy_Starters'!P42-AVERAGE('2026_Fantasy_Starters'!P$2:'2026_Fantasy_Starters'!P$122))/AVERAGE('2026_Fantasy_Starters'!P$2:'2026_Fantasy_Starters'!P$122)*100+100</f>
        <v>101.85729638489016</v>
      </c>
      <c r="AD14">
        <f>(AVERAGE('2026_Fantasy_Starters'!Q$2:'2026_Fantasy_Starters'!Q$122)-'2026_Fantasy_Starters'!Q42)/AVERAGE('2026_Fantasy_Starters'!Q$2:'2026_Fantasy_Starters'!Q$122)*100+100</f>
        <v>120.44336770636215</v>
      </c>
      <c r="AE14">
        <f>('2026_Fantasy_Starters'!R42-AVERAGE('2026_Fantasy_Starters'!R$2:'2026_Fantasy_Starters'!R$122))/AVERAGE('2026_Fantasy_Starters'!R$2:'2026_Fantasy_Starters'!R$122)*100+100</f>
        <v>110.7509464862494</v>
      </c>
      <c r="AF14">
        <f>('2026_Fantasy_Starters'!T42-AVERAGE('2026_Fantasy_Starters'!T$2:'2026_Fantasy_Starters'!T$122))/AVERAGE('2026_Fantasy_Starters'!T$2:'2026_Fantasy_Starters'!T$122)*100+100</f>
        <v>126.81302490665661</v>
      </c>
      <c r="AG14">
        <f>(AVERAGE('2026_Fantasy_Starters'!U$2:'2026_Fantasy_Starters'!U$122)-'2026_Fantasy_Starters'!U42)/AVERAGE('2026_Fantasy_Starters'!U$2:'2026_Fantasy_Starters'!U$122)*100+100</f>
        <v>113.70653999086052</v>
      </c>
      <c r="AH14">
        <f>(AVERAGE('2026_Fantasy_Starters'!V$2:'2026_Fantasy_Starters'!V$122)-'2026_Fantasy_Starters'!V42)/AVERAGE('2026_Fantasy_Starters'!V$2:'2026_Fantasy_Starters'!V$122)*100+100</f>
        <v>111.41486535660688</v>
      </c>
    </row>
    <row r="15" spans="1:34">
      <c r="A15" t="s">
        <v>80</v>
      </c>
      <c r="B15" t="s">
        <v>26</v>
      </c>
      <c r="C15" t="s">
        <v>16</v>
      </c>
      <c r="D15">
        <v>22</v>
      </c>
      <c r="E15">
        <v>130</v>
      </c>
      <c r="F15" s="4">
        <f>H15*1.5+I15+J15+K15*1.5+L15+M15+N15+O15+P15+Q15</f>
        <v>7.4970752683071584</v>
      </c>
      <c r="G15">
        <v>538</v>
      </c>
      <c r="H15">
        <f>(S15-S$123)/S$124</f>
        <v>-0.4588054607418881</v>
      </c>
      <c r="I15">
        <f>(T15-T$123)/T$124</f>
        <v>0.2036077363584701</v>
      </c>
      <c r="J15">
        <f>(U15-U$123)/U$124</f>
        <v>1.0905307016510737</v>
      </c>
      <c r="K15">
        <f>(V15-V$123)/V$124</f>
        <v>0.13010843710702621</v>
      </c>
      <c r="L15">
        <f>(Z15-Z$123)/Z$124</f>
        <v>0.87703802719039636</v>
      </c>
      <c r="M15">
        <f>(AB15-AB$123)/AB$124</f>
        <v>1.4646267339382764</v>
      </c>
      <c r="N15">
        <f>(AG15-AG$123)/AG$124</f>
        <v>0.94388471741764857</v>
      </c>
      <c r="O15">
        <f>(AH15-AH$123)/AH$124</f>
        <v>0.190478252328981</v>
      </c>
      <c r="P15">
        <f>(AE15-AE$123)/AE$124</f>
        <v>2.1028063095640404</v>
      </c>
      <c r="Q15">
        <f>(AF15-AF$123)/AF$124</f>
        <v>1.1171483253105643</v>
      </c>
      <c r="S15">
        <f>(E15-AVERAGE(E$2:E$122))/AVERAGE(E$2:E$122)*100+100</f>
        <v>90.067341513257318</v>
      </c>
      <c r="T15">
        <f>('2026_Fantasy_Starters'!G23-AVERAGE('2026_Fantasy_Starters'!G$2:'2026_Fantasy_Starters'!G$122))/AVERAGE('2026_Fantasy_Starters'!G$2:'2026_Fantasy_Starters'!G$122)*100+100</f>
        <v>105.04340335086157</v>
      </c>
      <c r="U15">
        <f>(AVERAGE('2026_Fantasy_Starters'!H$2:'2026_Fantasy_Starters'!H$122)-'2026_Fantasy_Starters'!H23)/AVERAGE('2026_Fantasy_Starters'!H$2:'2026_Fantasy_Starters'!H$122)*100+100</f>
        <v>124.85741989628252</v>
      </c>
      <c r="V15">
        <f>('2026_Fantasy_Starters'!I23-AVERAGE('2026_Fantasy_Starters'!I$2:'2026_Fantasy_Starters'!I$122))/AVERAGE('2026_Fantasy_Starters'!I$2:'2026_Fantasy_Starters'!I$122)*100+100</f>
        <v>104.40024407888102</v>
      </c>
      <c r="W15">
        <f>(AVERAGE('2026_Fantasy_Starters'!J$2:'2026_Fantasy_Starters'!J$122)-'2026_Fantasy_Starters'!J23)/AVERAGE('2026_Fantasy_Starters'!J$2:'2026_Fantasy_Starters'!J$122)*100+100</f>
        <v>120.67897696574323</v>
      </c>
      <c r="X15">
        <f>(AVERAGE('2026_Fantasy_Starters'!K$2:'2026_Fantasy_Starters'!K$122)-'2026_Fantasy_Starters'!K23)/AVERAGE('2026_Fantasy_Starters'!K$2:'2026_Fantasy_Starters'!K$122)*100+100</f>
        <v>119.62620382597473</v>
      </c>
      <c r="Y15">
        <f>(AVERAGE('2026_Fantasy_Starters'!L$2:'2026_Fantasy_Starters'!L$122)-'2026_Fantasy_Starters'!L23)/AVERAGE('2026_Fantasy_Starters'!L$2:'2026_Fantasy_Starters'!L$122)*100+100</f>
        <v>117.55078633251196</v>
      </c>
      <c r="Z15">
        <f>(AVERAGE('2026_Fantasy_Starters'!M$2:'2026_Fantasy_Starters'!M$122)-'2026_Fantasy_Starters'!M23)/AVERAGE('2026_Fantasy_Starters'!M$2:'2026_Fantasy_Starters'!M$122)*100+100</f>
        <v>122.30012076230942</v>
      </c>
      <c r="AA15">
        <f>(AVERAGE('2026_Fantasy_Starters'!N$2:'2026_Fantasy_Starters'!N$122)-'2026_Fantasy_Starters'!N23)/AVERAGE('2026_Fantasy_Starters'!N$2:'2026_Fantasy_Starters'!N$122)*100+100</f>
        <v>83.148762292321038</v>
      </c>
      <c r="AB15">
        <f>(AVERAGE('2026_Fantasy_Starters'!O$2:'2026_Fantasy_Starters'!O$122)-'2026_Fantasy_Starters'!O23)/AVERAGE('2026_Fantasy_Starters'!O$2:'2026_Fantasy_Starters'!O$122)*100+100</f>
        <v>145.40170722350666</v>
      </c>
      <c r="AC15">
        <f>('2026_Fantasy_Starters'!P23-AVERAGE('2026_Fantasy_Starters'!P$2:'2026_Fantasy_Starters'!P$122))/AVERAGE('2026_Fantasy_Starters'!P$2:'2026_Fantasy_Starters'!P$122)*100+100</f>
        <v>111.63577592591284</v>
      </c>
      <c r="AD15">
        <f>(AVERAGE('2026_Fantasy_Starters'!Q$2:'2026_Fantasy_Starters'!Q$122)-'2026_Fantasy_Starters'!Q23)/AVERAGE('2026_Fantasy_Starters'!Q$2:'2026_Fantasy_Starters'!Q$122)*100+100</f>
        <v>82.348349330877653</v>
      </c>
      <c r="AE15">
        <f>('2026_Fantasy_Starters'!R23-AVERAGE('2026_Fantasy_Starters'!R$2:'2026_Fantasy_Starters'!R$122))/AVERAGE('2026_Fantasy_Starters'!R$2:'2026_Fantasy_Starters'!R$122)*100+100</f>
        <v>123.87625691740986</v>
      </c>
      <c r="AF15">
        <f>('2026_Fantasy_Starters'!T23-AVERAGE('2026_Fantasy_Starters'!T$2:'2026_Fantasy_Starters'!T$122))/AVERAGE('2026_Fantasy_Starters'!T$2:'2026_Fantasy_Starters'!T$122)*100+100</f>
        <v>121.95500525627736</v>
      </c>
      <c r="AG15">
        <f>(AVERAGE('2026_Fantasy_Starters'!U$2:'2026_Fantasy_Starters'!U$122)-'2026_Fantasy_Starters'!U23)/AVERAGE('2026_Fantasy_Starters'!U$2:'2026_Fantasy_Starters'!U$122)*100+100</f>
        <v>108.86278919443644</v>
      </c>
      <c r="AH15">
        <f>(AVERAGE('2026_Fantasy_Starters'!V$2:'2026_Fantasy_Starters'!V$122)-'2026_Fantasy_Starters'!V23)/AVERAGE('2026_Fantasy_Starters'!V$2:'2026_Fantasy_Starters'!V$122)*100+100</f>
        <v>101.2340438743534</v>
      </c>
    </row>
    <row r="16" spans="1:34" s="5" customFormat="1">
      <c r="A16" s="9" t="s">
        <v>1031</v>
      </c>
      <c r="B16" t="s">
        <v>69</v>
      </c>
      <c r="C16" t="s">
        <v>16</v>
      </c>
      <c r="D16">
        <v>30</v>
      </c>
      <c r="E16">
        <v>175.33</v>
      </c>
      <c r="F16" s="4">
        <f>H16*1.5+I16+J16+K16*1.5+L16+M16+N16+O16+P16+Q16</f>
        <v>7.2259276183805872</v>
      </c>
      <c r="G16">
        <v>728</v>
      </c>
      <c r="H16">
        <f>(S16-S$123)/S$124</f>
        <v>0.99187842059101572</v>
      </c>
      <c r="I16">
        <f>(T16-T$123)/T$124</f>
        <v>1.2353813031499208</v>
      </c>
      <c r="J16">
        <f>(U16-U$123)/U$124</f>
        <v>-0.69202694184017755</v>
      </c>
      <c r="K16">
        <f>(V16-V$123)/V$124</f>
        <v>1.013269636611557</v>
      </c>
      <c r="L16">
        <f>(Z16-Z$123)/Z$124</f>
        <v>-0.57774537687602434</v>
      </c>
      <c r="M16">
        <f>(AB16-AB$123)/AB$124</f>
        <v>0.16618923245253145</v>
      </c>
      <c r="N16">
        <f>(AG16-AG$123)/AG$124</f>
        <v>0.86342691373057057</v>
      </c>
      <c r="O16">
        <f>(AH16-AH$123)/AH$124</f>
        <v>0.50091699889155838</v>
      </c>
      <c r="P16">
        <f>(AE16-AE$123)/AE$124</f>
        <v>1.674425237745067</v>
      </c>
      <c r="Q16">
        <f>(AF16-AF$123)/AF$124</f>
        <v>1.0476381653232822</v>
      </c>
      <c r="R16"/>
      <c r="S16">
        <f>(E16-AVERAGE(E$2:E$122))/AVERAGE(E$2:E$122)*100+100</f>
        <v>121.47313067322621</v>
      </c>
      <c r="T16">
        <f>('2026_Fantasy_Starters'!G19-AVERAGE('2026_Fantasy_Starters'!G$2:'2026_Fantasy_Starters'!G$122))/AVERAGE('2026_Fantasy_Starters'!G$2:'2026_Fantasy_Starters'!G$122)*100+100</f>
        <v>130.60063588609717</v>
      </c>
      <c r="U16">
        <f>(AVERAGE('2026_Fantasy_Starters'!H$2:'2026_Fantasy_Starters'!H$122)-'2026_Fantasy_Starters'!H19)/AVERAGE('2026_Fantasy_Starters'!H$2:'2026_Fantasy_Starters'!H$122)*100+100</f>
        <v>84.22602477232644</v>
      </c>
      <c r="V16">
        <f>('2026_Fantasy_Starters'!I19-AVERAGE('2026_Fantasy_Starters'!I$2:'2026_Fantasy_Starters'!I$122))/AVERAGE('2026_Fantasy_Starters'!I$2:'2026_Fantasy_Starters'!I$122)*100+100</f>
        <v>134.26859793221766</v>
      </c>
      <c r="W16">
        <f>(AVERAGE('2026_Fantasy_Starters'!J$2:'2026_Fantasy_Starters'!J$122)-'2026_Fantasy_Starters'!J19)/AVERAGE('2026_Fantasy_Starters'!J$2:'2026_Fantasy_Starters'!J$122)*100+100</f>
        <v>90.791302037767736</v>
      </c>
      <c r="X16">
        <f>(AVERAGE('2026_Fantasy_Starters'!K$2:'2026_Fantasy_Starters'!K$122)-'2026_Fantasy_Starters'!K19)/AVERAGE('2026_Fantasy_Starters'!K$2:'2026_Fantasy_Starters'!K$122)*100+100</f>
        <v>88.459937289561893</v>
      </c>
      <c r="Y16">
        <f>(AVERAGE('2026_Fantasy_Starters'!L$2:'2026_Fantasy_Starters'!L$122)-'2026_Fantasy_Starters'!L19)/AVERAGE('2026_Fantasy_Starters'!L$2:'2026_Fantasy_Starters'!L$122)*100+100</f>
        <v>87.87960819298894</v>
      </c>
      <c r="Z16">
        <f>(AVERAGE('2026_Fantasy_Starters'!M$2:'2026_Fantasy_Starters'!M$122)-'2026_Fantasy_Starters'!M19)/AVERAGE('2026_Fantasy_Starters'!M$2:'2026_Fantasy_Starters'!M$122)*100+100</f>
        <v>85.309882496800327</v>
      </c>
      <c r="AA16">
        <f>(AVERAGE('2026_Fantasy_Starters'!N$2:'2026_Fantasy_Starters'!N$122)-'2026_Fantasy_Starters'!N19)/AVERAGE('2026_Fantasy_Starters'!N$2:'2026_Fantasy_Starters'!N$122)*100+100</f>
        <v>19.557165870645605</v>
      </c>
      <c r="AB16">
        <f>(AVERAGE('2026_Fantasy_Starters'!O$2:'2026_Fantasy_Starters'!O$122)-'2026_Fantasy_Starters'!O19)/AVERAGE('2026_Fantasy_Starters'!O$2:'2026_Fantasy_Starters'!O$122)*100+100</f>
        <v>105.15167086648786</v>
      </c>
      <c r="AC16">
        <f>('2026_Fantasy_Starters'!P19-AVERAGE('2026_Fantasy_Starters'!P$2:'2026_Fantasy_Starters'!P$122))/AVERAGE('2026_Fantasy_Starters'!P$2:'2026_Fantasy_Starters'!P$122)*100+100</f>
        <v>144.65043447843416</v>
      </c>
      <c r="AD16">
        <f>(AVERAGE('2026_Fantasy_Starters'!Q$2:'2026_Fantasy_Starters'!Q$122)-'2026_Fantasy_Starters'!Q19)/AVERAGE('2026_Fantasy_Starters'!Q$2:'2026_Fantasy_Starters'!Q$122)*100+100</f>
        <v>57.211715356832933</v>
      </c>
      <c r="AE16">
        <f>('2026_Fantasy_Starters'!R19-AVERAGE('2026_Fantasy_Starters'!R$2:'2026_Fantasy_Starters'!R$122))/AVERAGE('2026_Fantasy_Starters'!R$2:'2026_Fantasy_Starters'!R$122)*100+100</f>
        <v>119.01221571552391</v>
      </c>
      <c r="AF16">
        <f>('2026_Fantasy_Starters'!T19-AVERAGE('2026_Fantasy_Starters'!T$2:'2026_Fantasy_Starters'!T$122))/AVERAGE('2026_Fantasy_Starters'!T$2:'2026_Fantasy_Starters'!T$122)*100+100</f>
        <v>120.58894141917568</v>
      </c>
      <c r="AG16">
        <f>(AVERAGE('2026_Fantasy_Starters'!U$2:'2026_Fantasy_Starters'!U$122)-'2026_Fantasy_Starters'!U19)/AVERAGE('2026_Fantasy_Starters'!U$2:'2026_Fantasy_Starters'!U$122)*100+100</f>
        <v>108.10731499301403</v>
      </c>
      <c r="AH16">
        <f>(AVERAGE('2026_Fantasy_Starters'!V$2:'2026_Fantasy_Starters'!V$122)-'2026_Fantasy_Starters'!V19)/AVERAGE('2026_Fantasy_Starters'!V$2:'2026_Fantasy_Starters'!V$122)*100+100</f>
        <v>103.24527102954517</v>
      </c>
    </row>
    <row r="17" spans="1:34">
      <c r="A17" t="s">
        <v>47</v>
      </c>
      <c r="B17" t="s">
        <v>48</v>
      </c>
      <c r="C17" t="s">
        <v>16</v>
      </c>
      <c r="D17">
        <v>29</v>
      </c>
      <c r="E17">
        <v>180.33</v>
      </c>
      <c r="F17" s="4">
        <f>H17*1.5+I17+J17+K17*1.5+L17+M17+N17+O17+P17+Q17</f>
        <v>6.8497318866600923</v>
      </c>
      <c r="G17">
        <v>743</v>
      </c>
      <c r="H17">
        <f>(S17-S$123)/S$124</f>
        <v>1.1518920849780556</v>
      </c>
      <c r="I17">
        <f>(T17-T$123)/T$124</f>
        <v>1.9089633789753495</v>
      </c>
      <c r="J17">
        <f>(U17-U$123)/U$124</f>
        <v>1.6039888338625369E-2</v>
      </c>
      <c r="K17">
        <f>(V17-V$123)/V$124</f>
        <v>1.3944693150446621</v>
      </c>
      <c r="L17">
        <f>(Z17-Z$123)/Z$124</f>
        <v>0.39136316535727</v>
      </c>
      <c r="M17">
        <f>(AB17-AB$123)/AB$124</f>
        <v>-0.56474918381702965</v>
      </c>
      <c r="N17">
        <f>(AG17-AG$123)/AG$124</f>
        <v>1.466442726923969</v>
      </c>
      <c r="O17">
        <f>(AH17-AH$123)/AH$124</f>
        <v>0.57268649451338127</v>
      </c>
      <c r="P17">
        <f>(AE17-AE$123)/AE$124</f>
        <v>-0.50844581462599592</v>
      </c>
      <c r="Q17">
        <f>(AF17-AF$123)/AF$124</f>
        <v>-0.25211086903955288</v>
      </c>
      <c r="S17">
        <f>(E17-AVERAGE(E$2:E$122))/AVERAGE(E$2:E$122)*100+100</f>
        <v>124.93725919296688</v>
      </c>
      <c r="T17">
        <f>('2026_Fantasy_Starters'!G12-AVERAGE('2026_Fantasy_Starters'!G$2:'2026_Fantasy_Starters'!G$122))/AVERAGE('2026_Fantasy_Starters'!G$2:'2026_Fantasy_Starters'!G$122)*100+100</f>
        <v>147.28539531153103</v>
      </c>
      <c r="U17">
        <f>(AVERAGE('2026_Fantasy_Starters'!H$2:'2026_Fantasy_Starters'!H$122)-'2026_Fantasy_Starters'!H12)/AVERAGE('2026_Fantasy_Starters'!H$2:'2026_Fantasy_Starters'!H$122)*100+100</f>
        <v>100.36561120096765</v>
      </c>
      <c r="V17">
        <f>('2026_Fantasy_Starters'!I12-AVERAGE('2026_Fantasy_Starters'!I$2:'2026_Fantasy_Starters'!I$122))/AVERAGE('2026_Fantasy_Starters'!I$2:'2026_Fantasy_Starters'!I$122)*100+100</f>
        <v>147.16070289630096</v>
      </c>
      <c r="W17">
        <f>(AVERAGE('2026_Fantasy_Starters'!J$2:'2026_Fantasy_Starters'!J$122)-'2026_Fantasy_Starters'!J12)/AVERAGE('2026_Fantasy_Starters'!J$2:'2026_Fantasy_Starters'!J$122)*100+100</f>
        <v>78.865754730162237</v>
      </c>
      <c r="X17">
        <f>(AVERAGE('2026_Fantasy_Starters'!K$2:'2026_Fantasy_Starters'!K$122)-'2026_Fantasy_Starters'!K12)/AVERAGE('2026_Fantasy_Starters'!K$2:'2026_Fantasy_Starters'!K$122)*100+100</f>
        <v>91.222166600731526</v>
      </c>
      <c r="Y17">
        <f>(AVERAGE('2026_Fantasy_Starters'!L$2:'2026_Fantasy_Starters'!L$122)-'2026_Fantasy_Starters'!L12)/AVERAGE('2026_Fantasy_Starters'!L$2:'2026_Fantasy_Starters'!L$122)*100+100</f>
        <v>91.787713170120185</v>
      </c>
      <c r="Z17">
        <f>(AVERAGE('2026_Fantasy_Starters'!M$2:'2026_Fantasy_Starters'!M$122)-'2026_Fantasy_Starters'!M12)/AVERAGE('2026_Fantasy_Starters'!M$2:'2026_Fantasy_Starters'!M$122)*100+100</f>
        <v>109.95104611067467</v>
      </c>
      <c r="AA17">
        <f>(AVERAGE('2026_Fantasy_Starters'!N$2:'2026_Fantasy_Starters'!N$122)-'2026_Fantasy_Starters'!N12)/AVERAGE('2026_Fantasy_Starters'!N$2:'2026_Fantasy_Starters'!N$122)*100+100</f>
        <v>80.75276699710453</v>
      </c>
      <c r="AB17">
        <f>(AVERAGE('2026_Fantasy_Starters'!O$2:'2026_Fantasy_Starters'!O$122)-'2026_Fantasy_Starters'!O12)/AVERAGE('2026_Fantasy_Starters'!O$2:'2026_Fantasy_Starters'!O$122)*100+100</f>
        <v>82.493439110298425</v>
      </c>
      <c r="AC17">
        <f>('2026_Fantasy_Starters'!P12-AVERAGE('2026_Fantasy_Starters'!P$2:'2026_Fantasy_Starters'!P$122))/AVERAGE('2026_Fantasy_Starters'!P$2:'2026_Fantasy_Starters'!P$122)*100+100</f>
        <v>117.79170214140717</v>
      </c>
      <c r="AD17">
        <f>(AVERAGE('2026_Fantasy_Starters'!Q$2:'2026_Fantasy_Starters'!Q$122)-'2026_Fantasy_Starters'!Q12)/AVERAGE('2026_Fantasy_Starters'!Q$2:'2026_Fantasy_Starters'!Q$122)*100+100</f>
        <v>80.697098914808663</v>
      </c>
      <c r="AE17">
        <f>('2026_Fantasy_Starters'!R12-AVERAGE('2026_Fantasy_Starters'!R$2:'2026_Fantasy_Starters'!R$122))/AVERAGE('2026_Fantasy_Starters'!R$2:'2026_Fantasy_Starters'!R$122)*100+100</f>
        <v>94.226865858554007</v>
      </c>
      <c r="AF17">
        <f>('2026_Fantasy_Starters'!T12-AVERAGE('2026_Fantasy_Starters'!T$2:'2026_Fantasy_Starters'!T$122))/AVERAGE('2026_Fantasy_Starters'!T$2:'2026_Fantasy_Starters'!T$122)*100+100</f>
        <v>95.045335225839978</v>
      </c>
      <c r="AG17">
        <f>(AVERAGE('2026_Fantasy_Starters'!U$2:'2026_Fantasy_Starters'!U$122)-'2026_Fantasy_Starters'!U12)/AVERAGE('2026_Fantasy_Starters'!U$2:'2026_Fantasy_Starters'!U$122)*100+100</f>
        <v>113.76944929249326</v>
      </c>
      <c r="AH17">
        <f>(AVERAGE('2026_Fantasy_Starters'!V$2:'2026_Fantasy_Starters'!V$122)-'2026_Fantasy_Starters'!V12)/AVERAGE('2026_Fantasy_Starters'!V$2:'2026_Fantasy_Starters'!V$122)*100+100</f>
        <v>103.71024120516701</v>
      </c>
    </row>
    <row r="18" spans="1:34">
      <c r="A18" t="s">
        <v>84</v>
      </c>
      <c r="B18" t="s">
        <v>29</v>
      </c>
      <c r="C18" t="s">
        <v>16</v>
      </c>
      <c r="D18">
        <v>29</v>
      </c>
      <c r="E18">
        <v>175.67</v>
      </c>
      <c r="F18" s="4">
        <f>H18*1.5+I18+J18+K18*1.5+L18+M18+N18+O18+P18+Q18</f>
        <v>6.6438168440475991</v>
      </c>
      <c r="G18">
        <v>720</v>
      </c>
      <c r="H18">
        <f>(S18-S$123)/S$124</f>
        <v>1.0027593497693335</v>
      </c>
      <c r="I18">
        <f>(T18-T$123)/T$124</f>
        <v>1.2921338742906867</v>
      </c>
      <c r="J18">
        <f>(U18-U$123)/U$124</f>
        <v>-0.50941643415899218</v>
      </c>
      <c r="K18">
        <f>(V18-V$123)/V$124</f>
        <v>1.0607317806687309</v>
      </c>
      <c r="L18">
        <f>(Z18-Z$123)/Z$124</f>
        <v>-0.58099342773811868</v>
      </c>
      <c r="M18">
        <f>(AB18-AB$123)/AB$124</f>
        <v>0.34148369940976059</v>
      </c>
      <c r="N18">
        <f>(AG18-AG$123)/AG$124</f>
        <v>0.19006766086031912</v>
      </c>
      <c r="O18">
        <f>(AH18-AH$123)/AH$124</f>
        <v>0.74301371313464304</v>
      </c>
      <c r="P18">
        <f>(AE18-AE$123)/AE$124</f>
        <v>1.0174132118425518</v>
      </c>
      <c r="Q18">
        <f>(AF18-AF$123)/AF$124</f>
        <v>1.0548778507496528</v>
      </c>
      <c r="S18">
        <f>(E18-AVERAGE(E$2:E$122))/AVERAGE(E$2:E$122)*100+100</f>
        <v>121.70869141256856</v>
      </c>
      <c r="T18">
        <f>('2026_Fantasy_Starters'!G24-AVERAGE('2026_Fantasy_Starters'!G$2:'2026_Fantasy_Starters'!G$122))/AVERAGE('2026_Fantasy_Starters'!G$2:'2026_Fantasy_Starters'!G$122)*100+100</f>
        <v>132.00640814495387</v>
      </c>
      <c r="U18">
        <f>(AVERAGE('2026_Fantasy_Starters'!H$2:'2026_Fantasy_Starters'!H$122)-'2026_Fantasy_Starters'!H24)/AVERAGE('2026_Fantasy_Starters'!H$2:'2026_Fantasy_Starters'!H$122)*100+100</f>
        <v>88.388425757490921</v>
      </c>
      <c r="V18">
        <f>('2026_Fantasy_Starters'!I24-AVERAGE('2026_Fantasy_Starters'!I$2:'2026_Fantasy_Starters'!I$122))/AVERAGE('2026_Fantasy_Starters'!I$2:'2026_Fantasy_Starters'!I$122)*100+100</f>
        <v>135.8737591577482</v>
      </c>
      <c r="W18">
        <f>(AVERAGE('2026_Fantasy_Starters'!J$2:'2026_Fantasy_Starters'!J$122)-'2026_Fantasy_Starters'!J24)/AVERAGE('2026_Fantasy_Starters'!J$2:'2026_Fantasy_Starters'!J$122)*100+100</f>
        <v>84.603910214482696</v>
      </c>
      <c r="X18">
        <f>(AVERAGE('2026_Fantasy_Starters'!K$2:'2026_Fantasy_Starters'!K$122)-'2026_Fantasy_Starters'!K24)/AVERAGE('2026_Fantasy_Starters'!K$2:'2026_Fantasy_Starters'!K$122)*100+100</f>
        <v>86.932734460790755</v>
      </c>
      <c r="Y18">
        <f>(AVERAGE('2026_Fantasy_Starters'!L$2:'2026_Fantasy_Starters'!L$122)-'2026_Fantasy_Starters'!L24)/AVERAGE('2026_Fantasy_Starters'!L$2:'2026_Fantasy_Starters'!L$122)*100+100</f>
        <v>79.93282791925165</v>
      </c>
      <c r="Z18">
        <f>(AVERAGE('2026_Fantasy_Starters'!M$2:'2026_Fantasy_Starters'!M$122)-'2026_Fantasy_Starters'!M24)/AVERAGE('2026_Fantasy_Starters'!M$2:'2026_Fantasy_Starters'!M$122)*100+100</f>
        <v>85.227295511719575</v>
      </c>
      <c r="AA18">
        <f>(AVERAGE('2026_Fantasy_Starters'!N$2:'2026_Fantasy_Starters'!N$122)-'2026_Fantasy_Starters'!N24)/AVERAGE('2026_Fantasy_Starters'!N$2:'2026_Fantasy_Starters'!N$122)*100+100</f>
        <v>79.785592024172075</v>
      </c>
      <c r="AB18">
        <f>(AVERAGE('2026_Fantasy_Starters'!O$2:'2026_Fantasy_Starters'!O$122)-'2026_Fantasy_Starters'!O24)/AVERAGE('2026_Fantasy_Starters'!O$2:'2026_Fantasy_Starters'!O$122)*100+100</f>
        <v>110.58559330028947</v>
      </c>
      <c r="AC18">
        <f>('2026_Fantasy_Starters'!P24-AVERAGE('2026_Fantasy_Starters'!P$2:'2026_Fantasy_Starters'!P$122))/AVERAGE('2026_Fantasy_Starters'!P$2:'2026_Fantasy_Starters'!P$122)*100+100</f>
        <v>135.84625590983401</v>
      </c>
      <c r="AD18">
        <f>(AVERAGE('2026_Fantasy_Starters'!Q$2:'2026_Fantasy_Starters'!Q$122)-'2026_Fantasy_Starters'!Q24)/AVERAGE('2026_Fantasy_Starters'!Q$2:'2026_Fantasy_Starters'!Q$122)*100+100</f>
        <v>81.506678989560925</v>
      </c>
      <c r="AE18">
        <f>('2026_Fantasy_Starters'!R24-AVERAGE('2026_Fantasy_Starters'!R$2:'2026_Fantasy_Starters'!R$122))/AVERAGE('2026_Fantasy_Starters'!R$2:'2026_Fantasy_Starters'!R$122)*100+100</f>
        <v>111.55219057819744</v>
      </c>
      <c r="AF18">
        <f>('2026_Fantasy_Starters'!T24-AVERAGE('2026_Fantasy_Starters'!T$2:'2026_Fantasy_Starters'!T$122))/AVERAGE('2026_Fantasy_Starters'!T$2:'2026_Fantasy_Starters'!T$122)*100+100</f>
        <v>120.73122094284196</v>
      </c>
      <c r="AG18">
        <f>(AVERAGE('2026_Fantasy_Starters'!U$2:'2026_Fantasy_Starters'!U$122)-'2026_Fantasy_Starters'!U24)/AVERAGE('2026_Fantasy_Starters'!U$2:'2026_Fantasy_Starters'!U$122)*100+100</f>
        <v>101.78467728081597</v>
      </c>
      <c r="AH18">
        <f>(AVERAGE('2026_Fantasy_Starters'!V$2:'2026_Fantasy_Starters'!V$122)-'2026_Fantasy_Starters'!V24)/AVERAGE('2026_Fantasy_Starters'!V$2:'2026_Fantasy_Starters'!V$122)*100+100</f>
        <v>104.81373337923527</v>
      </c>
    </row>
    <row r="19" spans="1:34">
      <c r="A19" t="s">
        <v>86</v>
      </c>
      <c r="B19" t="s">
        <v>26</v>
      </c>
      <c r="C19" t="s">
        <v>16</v>
      </c>
      <c r="D19">
        <v>21</v>
      </c>
      <c r="E19">
        <v>110</v>
      </c>
      <c r="F19" s="4">
        <f>H19*1.5+I19+J19+K19*1.5+L19+M19+N19+O19+P19+Q19</f>
        <v>6.4827809431749568</v>
      </c>
      <c r="G19">
        <v>447</v>
      </c>
      <c r="H19">
        <f>(S19-S$123)/S$124</f>
        <v>-1.0988601182900473</v>
      </c>
      <c r="I19">
        <f>(T19-T$123)/T$124</f>
        <v>-0.37640135593180074</v>
      </c>
      <c r="J19">
        <f>(U19-U$123)/U$124</f>
        <v>1.6165100536144734</v>
      </c>
      <c r="K19">
        <f>(V19-V$123)/V$124</f>
        <v>-0.51142532213019964</v>
      </c>
      <c r="L19">
        <f>(Z19-Z$123)/Z$124</f>
        <v>1.1125494138645973</v>
      </c>
      <c r="M19">
        <f>(AB19-AB$123)/AB$124</f>
        <v>0.72933169273342247</v>
      </c>
      <c r="N19">
        <f>(AG19-AG$123)/AG$124</f>
        <v>0.93717827328766246</v>
      </c>
      <c r="O19">
        <f>(AH19-AH$123)/AH$124</f>
        <v>1.30567205845295</v>
      </c>
      <c r="P19">
        <f>(AE19-AE$123)/AE$124</f>
        <v>1.8686138505491536</v>
      </c>
      <c r="Q19">
        <f>(AF19-AF$123)/AF$124</f>
        <v>1.7047551172348692</v>
      </c>
      <c r="S19">
        <f>(E19-AVERAGE(E$2:E$122))/AVERAGE(E$2:E$122)*100+100</f>
        <v>76.210827434294657</v>
      </c>
      <c r="T19">
        <f>('2026_Fantasy_Starters'!G25-AVERAGE('2026_Fantasy_Starters'!G$2:'2026_Fantasy_Starters'!G$122))/AVERAGE('2026_Fantasy_Starters'!G$2:'2026_Fantasy_Starters'!G$122)*100+100</f>
        <v>90.676464982484475</v>
      </c>
      <c r="U19">
        <f>(AVERAGE('2026_Fantasy_Starters'!H$2:'2026_Fantasy_Starters'!H$122)-'2026_Fantasy_Starters'!H25)/AVERAGE('2026_Fantasy_Starters'!H$2:'2026_Fantasy_Starters'!H$122)*100+100</f>
        <v>136.84652720773545</v>
      </c>
      <c r="V19">
        <f>('2026_Fantasy_Starters'!I25-AVERAGE('2026_Fantasy_Starters'!I$2:'2026_Fantasy_Starters'!I$122))/AVERAGE('2026_Fantasy_Starters'!I$2:'2026_Fantasy_Starters'!I$122)*100+100</f>
        <v>82.703687051116759</v>
      </c>
      <c r="W19">
        <f>(AVERAGE('2026_Fantasy_Starters'!J$2:'2026_Fantasy_Starters'!J$122)-'2026_Fantasy_Starters'!J25)/AVERAGE('2026_Fantasy_Starters'!J$2:'2026_Fantasy_Starters'!J$122)*100+100</f>
        <v>133.09609213765918</v>
      </c>
      <c r="X19">
        <f>(AVERAGE('2026_Fantasy_Starters'!K$2:'2026_Fantasy_Starters'!K$122)-'2026_Fantasy_Starters'!K25)/AVERAGE('2026_Fantasy_Starters'!K$2:'2026_Fantasy_Starters'!K$122)*100+100</f>
        <v>133.34274324643252</v>
      </c>
      <c r="Y19">
        <f>(AVERAGE('2026_Fantasy_Starters'!L$2:'2026_Fantasy_Starters'!L$122)-'2026_Fantasy_Starters'!L25)/AVERAGE('2026_Fantasy_Starters'!L$2:'2026_Fantasy_Starters'!L$122)*100+100</f>
        <v>130.18707665232247</v>
      </c>
      <c r="Z19">
        <f>(AVERAGE('2026_Fantasy_Starters'!M$2:'2026_Fantasy_Starters'!M$122)-'2026_Fantasy_Starters'!M25)/AVERAGE('2026_Fantasy_Starters'!M$2:'2026_Fantasy_Starters'!M$122)*100+100</f>
        <v>128.28838147725045</v>
      </c>
      <c r="AA19">
        <f>(AVERAGE('2026_Fantasy_Starters'!N$2:'2026_Fantasy_Starters'!N$122)-'2026_Fantasy_Starters'!N25)/AVERAGE('2026_Fantasy_Starters'!N$2:'2026_Fantasy_Starters'!N$122)*100+100</f>
        <v>138.58612766163512</v>
      </c>
      <c r="AB19">
        <f>(AVERAGE('2026_Fantasy_Starters'!O$2:'2026_Fantasy_Starters'!O$122)-'2026_Fantasy_Starters'!O25)/AVERAGE('2026_Fantasy_Starters'!O$2:'2026_Fantasy_Starters'!O$122)*100+100</f>
        <v>122.60842521511888</v>
      </c>
      <c r="AC19">
        <f>('2026_Fantasy_Starters'!P25-AVERAGE('2026_Fantasy_Starters'!P$2:'2026_Fantasy_Starters'!P$122))/AVERAGE('2026_Fantasy_Starters'!P$2:'2026_Fantasy_Starters'!P$122)*100+100</f>
        <v>92.433337285740848</v>
      </c>
      <c r="AD19">
        <f>(AVERAGE('2026_Fantasy_Starters'!Q$2:'2026_Fantasy_Starters'!Q$122)-'2026_Fantasy_Starters'!Q25)/AVERAGE('2026_Fantasy_Starters'!Q$2:'2026_Fantasy_Starters'!Q$122)*100+100</f>
        <v>121.21559022868318</v>
      </c>
      <c r="AE19">
        <f>('2026_Fantasy_Starters'!R25-AVERAGE('2026_Fantasy_Starters'!R$2:'2026_Fantasy_Starters'!R$122))/AVERAGE('2026_Fantasy_Starters'!R$2:'2026_Fantasy_Starters'!R$122)*100+100</f>
        <v>121.2171250258384</v>
      </c>
      <c r="AF19">
        <f>('2026_Fantasy_Starters'!T25-AVERAGE('2026_Fantasy_Starters'!T$2:'2026_Fantasy_Starters'!T$122))/AVERAGE('2026_Fantasy_Starters'!T$2:'2026_Fantasy_Starters'!T$122)*100+100</f>
        <v>133.50307807081253</v>
      </c>
      <c r="AG19">
        <f>(AVERAGE('2026_Fantasy_Starters'!U$2:'2026_Fantasy_Starters'!U$122)-'2026_Fantasy_Starters'!U25)/AVERAGE('2026_Fantasy_Starters'!U$2:'2026_Fantasy_Starters'!U$122)*100+100</f>
        <v>108.79981773248615</v>
      </c>
      <c r="AH19">
        <f>(AVERAGE('2026_Fantasy_Starters'!V$2:'2026_Fantasy_Starters'!V$122)-'2026_Fantasy_Starters'!V25)/AVERAGE('2026_Fantasy_Starters'!V$2:'2026_Fantasy_Starters'!V$122)*100+100</f>
        <v>108.45900561322598</v>
      </c>
    </row>
    <row r="20" spans="1:34">
      <c r="A20" t="s">
        <v>66</v>
      </c>
      <c r="B20" t="s">
        <v>33</v>
      </c>
      <c r="C20" t="s">
        <v>16</v>
      </c>
      <c r="D20">
        <v>28</v>
      </c>
      <c r="E20">
        <v>166</v>
      </c>
      <c r="F20" s="4">
        <f>H20*1.5+I20+J20+K20*1.5+L20+M20+N20+O20+P20+Q20</f>
        <v>6.1099757172407863</v>
      </c>
      <c r="G20">
        <v>672</v>
      </c>
      <c r="H20">
        <f>(S20-S$123)/S$124</f>
        <v>0.69329292284479893</v>
      </c>
      <c r="I20">
        <f>(T20-T$123)/T$124</f>
        <v>1.0808422127299091</v>
      </c>
      <c r="J20">
        <f>(U20-U$123)/U$124</f>
        <v>-0.45167398113727841</v>
      </c>
      <c r="K20">
        <f>(V20-V$123)/V$124</f>
        <v>0.9348731342303499</v>
      </c>
      <c r="L20">
        <f>(Z20-Z$123)/Z$124</f>
        <v>-0.27989317037622424</v>
      </c>
      <c r="M20">
        <f>(AB20-AB$123)/AB$124</f>
        <v>-0.3420104414471476</v>
      </c>
      <c r="N20">
        <f>(AG20-AG$123)/AG$124</f>
        <v>1.0864951017070712</v>
      </c>
      <c r="O20">
        <f>(AH20-AH$123)/AH$124</f>
        <v>1.6632094007772695</v>
      </c>
      <c r="P20">
        <f>(AE20-AE$123)/AE$124</f>
        <v>-0.12802781093942284</v>
      </c>
      <c r="Q20">
        <f>(AF20-AF$123)/AF$124</f>
        <v>1.0387853203138864</v>
      </c>
      <c r="S20">
        <f>(E20-AVERAGE(E$2:E$122))/AVERAGE(E$2:E$122)*100+100</f>
        <v>115.00906685539012</v>
      </c>
      <c r="T20">
        <f>('2026_Fantasy_Starters'!G18-AVERAGE('2026_Fantasy_Starters'!G$2:'2026_Fantasy_Starters'!G$122))/AVERAGE('2026_Fantasy_Starters'!G$2:'2026_Fantasy_Starters'!G$122)*100+100</f>
        <v>126.77267246779576</v>
      </c>
      <c r="U20">
        <f>(AVERAGE('2026_Fantasy_Starters'!H$2:'2026_Fantasy_Starters'!H$122)-'2026_Fantasy_Starters'!H18)/AVERAGE('2026_Fantasy_Starters'!H$2:'2026_Fantasy_Starters'!H$122)*100+100</f>
        <v>89.704599982048748</v>
      </c>
      <c r="V20">
        <f>('2026_Fantasy_Starters'!I18-AVERAGE('2026_Fantasy_Starters'!I$2:'2026_Fantasy_Starters'!I$122))/AVERAGE('2026_Fantasy_Starters'!I$2:'2026_Fantasy_Starters'!I$122)*100+100</f>
        <v>131.61724223939567</v>
      </c>
      <c r="W20">
        <f>(AVERAGE('2026_Fantasy_Starters'!J$2:'2026_Fantasy_Starters'!J$122)-'2026_Fantasy_Starters'!J18)/AVERAGE('2026_Fantasy_Starters'!J$2:'2026_Fantasy_Starters'!J$122)*100+100</f>
        <v>85.550476942030912</v>
      </c>
      <c r="X20">
        <f>(AVERAGE('2026_Fantasy_Starters'!K$2:'2026_Fantasy_Starters'!K$122)-'2026_Fantasy_Starters'!K18)/AVERAGE('2026_Fantasy_Starters'!K$2:'2026_Fantasy_Starters'!K$122)*100+100</f>
        <v>98.491357208633673</v>
      </c>
      <c r="Y20">
        <f>(AVERAGE('2026_Fantasy_Starters'!L$2:'2026_Fantasy_Starters'!L$122)-'2026_Fantasy_Starters'!L18)/AVERAGE('2026_Fantasy_Starters'!L$2:'2026_Fantasy_Starters'!L$122)*100+100</f>
        <v>96.265581777627446</v>
      </c>
      <c r="Z20">
        <f>(AVERAGE('2026_Fantasy_Starters'!M$2:'2026_Fantasy_Starters'!M$122)-'2026_Fantasy_Starters'!M18)/AVERAGE('2026_Fantasy_Starters'!M$2:'2026_Fantasy_Starters'!M$122)*100+100</f>
        <v>92.883260125070407</v>
      </c>
      <c r="AA20">
        <f>(AVERAGE('2026_Fantasy_Starters'!N$2:'2026_Fantasy_Starters'!N$122)-'2026_Fantasy_Starters'!N18)/AVERAGE('2026_Fantasy_Starters'!N$2:'2026_Fantasy_Starters'!N$122)*100+100</f>
        <v>138.58608344363785</v>
      </c>
      <c r="AB20">
        <f>(AVERAGE('2026_Fantasy_Starters'!O$2:'2026_Fantasy_Starters'!O$122)-'2026_Fantasy_Starters'!O18)/AVERAGE('2026_Fantasy_Starters'!O$2:'2026_Fantasy_Starters'!O$122)*100+100</f>
        <v>89.398078315686334</v>
      </c>
      <c r="AC20">
        <f>('2026_Fantasy_Starters'!P18-AVERAGE('2026_Fantasy_Starters'!P$2:'2026_Fantasy_Starters'!P$122))/AVERAGE('2026_Fantasy_Starters'!P$2:'2026_Fantasy_Starters'!P$122)*100+100</f>
        <v>113.40192623706197</v>
      </c>
      <c r="AD20">
        <f>(AVERAGE('2026_Fantasy_Starters'!Q$2:'2026_Fantasy_Starters'!Q$122)-'2026_Fantasy_Starters'!Q18)/AVERAGE('2026_Fantasy_Starters'!Q$2:'2026_Fantasy_Starters'!Q$122)*100+100</f>
        <v>130.17579030708487</v>
      </c>
      <c r="AE20">
        <f>('2026_Fantasy_Starters'!R18-AVERAGE('2026_Fantasy_Starters'!R$2:'2026_Fantasy_Starters'!R$122))/AVERAGE('2026_Fantasy_Starters'!R$2:'2026_Fantasy_Starters'!R$122)*100+100</f>
        <v>98.546311710850276</v>
      </c>
      <c r="AF20">
        <f>('2026_Fantasy_Starters'!T18-AVERAGE('2026_Fantasy_Starters'!T$2:'2026_Fantasy_Starters'!T$122))/AVERAGE('2026_Fantasy_Starters'!T$2:'2026_Fantasy_Starters'!T$122)*100+100</f>
        <v>120.41495891899133</v>
      </c>
      <c r="AG20">
        <f>(AVERAGE('2026_Fantasy_Starters'!U$2:'2026_Fantasy_Starters'!U$122)-'2026_Fantasy_Starters'!U18)/AVERAGE('2026_Fantasy_Starters'!U$2:'2026_Fantasy_Starters'!U$122)*100+100</f>
        <v>110.20185714370112</v>
      </c>
      <c r="AH20">
        <f>(AVERAGE('2026_Fantasy_Starters'!V$2:'2026_Fantasy_Starters'!V$122)-'2026_Fantasy_Starters'!V18)/AVERAGE('2026_Fantasy_Starters'!V$2:'2026_Fantasy_Starters'!V$122)*100+100</f>
        <v>110.77536856675573</v>
      </c>
    </row>
    <row r="21" spans="1:34">
      <c r="A21" t="s">
        <v>100</v>
      </c>
      <c r="B21" t="s">
        <v>26</v>
      </c>
      <c r="C21" t="s">
        <v>16</v>
      </c>
      <c r="D21">
        <v>23</v>
      </c>
      <c r="E21">
        <v>132.33000000000001</v>
      </c>
      <c r="F21" s="4">
        <f>H21*1.5+I21+J21+K21*1.5+L21+M21+N21+O21+P21+Q21</f>
        <v>5.5892281865294251</v>
      </c>
      <c r="G21">
        <v>544</v>
      </c>
      <c r="H21">
        <f>(S21-S$123)/S$124</f>
        <v>-0.38423909313752702</v>
      </c>
      <c r="I21">
        <f>(T21-T$123)/T$124</f>
        <v>-0.17941300158009907</v>
      </c>
      <c r="J21">
        <f>(U21-U$123)/U$124</f>
        <v>1.0383219003772712</v>
      </c>
      <c r="K21">
        <f>(V21-V$123)/V$124</f>
        <v>8.2616832136151105E-2</v>
      </c>
      <c r="L21">
        <f>(Z21-Z$123)/Z$124</f>
        <v>0.35810570404890224</v>
      </c>
      <c r="M21">
        <f>(AB21-AB$123)/AB$124</f>
        <v>1.2497279382374127</v>
      </c>
      <c r="N21">
        <f>(AG21-AG$123)/AG$124</f>
        <v>0.43875789458416226</v>
      </c>
      <c r="O21">
        <f>(AH21-AH$123)/AH$124</f>
        <v>0.51854402145206924</v>
      </c>
      <c r="P21">
        <f>(AE21-AE$123)/AE$124</f>
        <v>1.5301989809923113</v>
      </c>
      <c r="Q21">
        <f>(AF21-AF$123)/AF$124</f>
        <v>1.0874181399194589</v>
      </c>
      <c r="S21">
        <f>(E21-AVERAGE(E$2:E$122))/AVERAGE(E$2:E$122)*100+100</f>
        <v>91.681625403456479</v>
      </c>
      <c r="T21">
        <f>('2026_Fantasy_Starters'!G31-AVERAGE('2026_Fantasy_Starters'!G$2:'2026_Fantasy_Starters'!G$122))/AVERAGE('2026_Fantasy_Starters'!G$2:'2026_Fantasy_Starters'!G$122)*100+100</f>
        <v>95.55590494968169</v>
      </c>
      <c r="U21">
        <f>(AVERAGE('2026_Fantasy_Starters'!H$2:'2026_Fantasy_Starters'!H$122)-'2026_Fantasy_Starters'!H31)/AVERAGE('2026_Fantasy_Starters'!H$2:'2026_Fantasy_Starters'!H$122)*100+100</f>
        <v>123.66737903491142</v>
      </c>
      <c r="V21">
        <f>('2026_Fantasy_Starters'!I31-AVERAGE('2026_Fantasy_Starters'!I$2:'2026_Fantasy_Starters'!I$122))/AVERAGE('2026_Fantasy_Starters'!I$2:'2026_Fantasy_Starters'!I$122)*100+100</f>
        <v>102.79408649051688</v>
      </c>
      <c r="W21">
        <f>(AVERAGE('2026_Fantasy_Starters'!J$2:'2026_Fantasy_Starters'!J$122)-'2026_Fantasy_Starters'!J31)/AVERAGE('2026_Fantasy_Starters'!J$2:'2026_Fantasy_Starters'!J$122)*100+100</f>
        <v>116.37669135634496</v>
      </c>
      <c r="X21">
        <f>(AVERAGE('2026_Fantasy_Starters'!K$2:'2026_Fantasy_Starters'!K$122)-'2026_Fantasy_Starters'!K31)/AVERAGE('2026_Fantasy_Starters'!K$2:'2026_Fantasy_Starters'!K$122)*100+100</f>
        <v>115.27893465814729</v>
      </c>
      <c r="Y21">
        <f>(AVERAGE('2026_Fantasy_Starters'!L$2:'2026_Fantasy_Starters'!L$122)-'2026_Fantasy_Starters'!L31)/AVERAGE('2026_Fantasy_Starters'!L$2:'2026_Fantasy_Starters'!L$122)*100+100</f>
        <v>111.70529405622094</v>
      </c>
      <c r="Z21">
        <f>(AVERAGE('2026_Fantasy_Starters'!M$2:'2026_Fantasy_Starters'!M$122)-'2026_Fantasy_Starters'!M31)/AVERAGE('2026_Fantasy_Starters'!M$2:'2026_Fantasy_Starters'!M$122)*100+100</f>
        <v>109.10542097193319</v>
      </c>
      <c r="AA21">
        <f>(AVERAGE('2026_Fantasy_Starters'!N$2:'2026_Fantasy_Starters'!N$122)-'2026_Fantasy_Starters'!N31)/AVERAGE('2026_Fantasy_Starters'!N$2:'2026_Fantasy_Starters'!N$122)*100+100</f>
        <v>200</v>
      </c>
      <c r="AB21">
        <f>(AVERAGE('2026_Fantasy_Starters'!O$2:'2026_Fantasy_Starters'!O$122)-'2026_Fantasy_Starters'!O31)/AVERAGE('2026_Fantasy_Starters'!O$2:'2026_Fantasy_Starters'!O$122)*100+100</f>
        <v>138.74009714975119</v>
      </c>
      <c r="AC21">
        <f>('2026_Fantasy_Starters'!P31-AVERAGE('2026_Fantasy_Starters'!P$2:'2026_Fantasy_Starters'!P$122))/AVERAGE('2026_Fantasy_Starters'!P$2:'2026_Fantasy_Starters'!P$122)*100+100</f>
        <v>107.67240564946746</v>
      </c>
      <c r="AD21">
        <f>(AVERAGE('2026_Fantasy_Starters'!Q$2:'2026_Fantasy_Starters'!Q$122)-'2026_Fantasy_Starters'!Q31)/AVERAGE('2026_Fantasy_Starters'!Q$2:'2026_Fantasy_Starters'!Q$122)*100+100</f>
        <v>96.078155049671025</v>
      </c>
      <c r="AE21">
        <f>('2026_Fantasy_Starters'!R31-AVERAGE('2026_Fantasy_Starters'!R$2:'2026_Fantasy_Starters'!R$122))/AVERAGE('2026_Fantasy_Starters'!R$2:'2026_Fantasy_Starters'!R$122)*100+100</f>
        <v>117.37460261497208</v>
      </c>
      <c r="AF21">
        <f>('2026_Fantasy_Starters'!T31-AVERAGE('2026_Fantasy_Starters'!T$2:'2026_Fantasy_Starters'!T$122))/AVERAGE('2026_Fantasy_Starters'!T$2:'2026_Fantasy_Starters'!T$122)*100+100</f>
        <v>121.37072619346772</v>
      </c>
      <c r="AG21">
        <f>(AVERAGE('2026_Fantasy_Starters'!U$2:'2026_Fantasy_Starters'!U$122)-'2026_Fantasy_Starters'!U31)/AVERAGE('2026_Fantasy_Starters'!U$2:'2026_Fantasy_Starters'!U$122)*100+100</f>
        <v>104.11980261501955</v>
      </c>
      <c r="AH21">
        <f>(AVERAGE('2026_Fantasy_Starters'!V$2:'2026_Fantasy_Starters'!V$122)-'2026_Fantasy_Starters'!V31)/AVERAGE('2026_Fantasy_Starters'!V$2:'2026_Fantasy_Starters'!V$122)*100+100</f>
        <v>103.35947051923976</v>
      </c>
    </row>
    <row r="22" spans="1:34" s="5" customFormat="1">
      <c r="A22" s="5" t="s">
        <v>59</v>
      </c>
      <c r="B22" s="5" t="s">
        <v>60</v>
      </c>
      <c r="C22" s="5" t="s">
        <v>16</v>
      </c>
      <c r="D22" s="5">
        <v>28</v>
      </c>
      <c r="E22" s="5">
        <v>168</v>
      </c>
      <c r="F22" s="6">
        <f>H22*1.5+I22+J22+K22*1.5+L22+M22+N22+O22+P22+Q22</f>
        <v>5.1061742370030068</v>
      </c>
      <c r="G22" s="5">
        <v>680</v>
      </c>
      <c r="H22" s="5">
        <f>(S22-S$123)/S$124</f>
        <v>0.75729838859961529</v>
      </c>
      <c r="I22" s="5">
        <f>(T22-T$123)/T$124</f>
        <v>0.98456307037014901</v>
      </c>
      <c r="J22" s="5">
        <f>(U22-U$123)/U$124</f>
        <v>-0.74217825340860477</v>
      </c>
      <c r="K22" s="5">
        <f>(V22-V$123)/V$124</f>
        <v>0.82686193964878452</v>
      </c>
      <c r="L22" s="5">
        <f>(Z22-Z$123)/Z$124</f>
        <v>-1.2662919597185813</v>
      </c>
      <c r="M22" s="5">
        <f>(AB22-AB$123)/AB$124</f>
        <v>-0.93420322781515763</v>
      </c>
      <c r="N22" s="5">
        <f>(AG22-AG$123)/AG$124</f>
        <v>0.30983420667600553</v>
      </c>
      <c r="O22" s="5">
        <f>(AH22-AH$123)/AH$124</f>
        <v>1.794889055212245</v>
      </c>
      <c r="P22" s="5">
        <f>(AE22-AE$123)/AE$124</f>
        <v>0.92311343379097754</v>
      </c>
      <c r="Q22" s="5">
        <f>(AF22-AF$123)/AF$124</f>
        <v>1.6602074195233731</v>
      </c>
      <c r="S22" s="5">
        <f>(E22-AVERAGE(E$2:E$122))/AVERAGE(E$2:E$122)*100+100</f>
        <v>116.39471826328639</v>
      </c>
      <c r="T22" s="5">
        <f>('2026_Fantasy_Starters'!G16-AVERAGE('2026_Fantasy_Starters'!G$2:'2026_Fantasy_Starters'!G$122))/AVERAGE('2026_Fantasy_Starters'!G$2:'2026_Fantasy_Starters'!G$122)*100+100</f>
        <v>124.38781932871665</v>
      </c>
      <c r="U22" s="5">
        <f>(AVERAGE('2026_Fantasy_Starters'!H$2:'2026_Fantasy_Starters'!H$122)-'2026_Fantasy_Starters'!H16)/AVERAGE('2026_Fantasy_Starters'!H$2:'2026_Fantasy_Starters'!H$122)*100+100</f>
        <v>83.082882072979899</v>
      </c>
      <c r="V22" s="5">
        <f>('2026_Fantasy_Starters'!I16-AVERAGE('2026_Fantasy_Starters'!I$2:'2026_Fantasy_Starters'!I$122))/AVERAGE('2026_Fantasy_Starters'!I$2:'2026_Fantasy_Starters'!I$122)*100+100</f>
        <v>127.96432295162158</v>
      </c>
      <c r="W22" s="5">
        <f>(AVERAGE('2026_Fantasy_Starters'!J$2:'2026_Fantasy_Starters'!J$122)-'2026_Fantasy_Starters'!J16)/AVERAGE('2026_Fantasy_Starters'!J$2:'2026_Fantasy_Starters'!J$122)*100+100</f>
        <v>90.465816528989507</v>
      </c>
      <c r="X22" s="5">
        <f>(AVERAGE('2026_Fantasy_Starters'!K$2:'2026_Fantasy_Starters'!K$122)-'2026_Fantasy_Starters'!K16)/AVERAGE('2026_Fantasy_Starters'!K$2:'2026_Fantasy_Starters'!K$122)*100+100</f>
        <v>88.769719732654693</v>
      </c>
      <c r="Y22" s="5">
        <f>(AVERAGE('2026_Fantasy_Starters'!L$2:'2026_Fantasy_Starters'!L$122)-'2026_Fantasy_Starters'!L16)/AVERAGE('2026_Fantasy_Starters'!L$2:'2026_Fantasy_Starters'!L$122)*100+100</f>
        <v>86.489881605935523</v>
      </c>
      <c r="Z22" s="5">
        <f>(AVERAGE('2026_Fantasy_Starters'!M$2:'2026_Fantasy_Starters'!M$122)-'2026_Fantasy_Starters'!M16)/AVERAGE('2026_Fantasy_Starters'!M$2:'2026_Fantasy_Starters'!M$122)*100+100</f>
        <v>67.802463808179226</v>
      </c>
      <c r="AA22" s="5">
        <f>(AVERAGE('2026_Fantasy_Starters'!N$2:'2026_Fantasy_Starters'!N$122)-'2026_Fantasy_Starters'!N16)/AVERAGE('2026_Fantasy_Starters'!N$2:'2026_Fantasy_Starters'!N$122)*100+100</f>
        <v>138.58612471376864</v>
      </c>
      <c r="AB22" s="5">
        <f>(AVERAGE('2026_Fantasy_Starters'!O$2:'2026_Fantasy_Starters'!O$122)-'2026_Fantasy_Starters'!O16)/AVERAGE('2026_Fantasy_Starters'!O$2:'2026_Fantasy_Starters'!O$122)*100+100</f>
        <v>71.040798004233196</v>
      </c>
      <c r="AC22" s="5">
        <f>('2026_Fantasy_Starters'!P16-AVERAGE('2026_Fantasy_Starters'!P$2:'2026_Fantasy_Starters'!P$122))/AVERAGE('2026_Fantasy_Starters'!P$2:'2026_Fantasy_Starters'!P$122)*100+100</f>
        <v>128.66803846022646</v>
      </c>
      <c r="AD22" s="5">
        <f>(AVERAGE('2026_Fantasy_Starters'!Q$2:'2026_Fantasy_Starters'!Q$122)-'2026_Fantasy_Starters'!Q16)/AVERAGE('2026_Fantasy_Starters'!Q$2:'2026_Fantasy_Starters'!Q$122)*100+100</f>
        <v>115.11618619051006</v>
      </c>
      <c r="AE22" s="5">
        <f>('2026_Fantasy_Starters'!R16-AVERAGE('2026_Fantasy_Starters'!R$2:'2026_Fantasy_Starters'!R$122))/AVERAGE('2026_Fantasy_Starters'!R$2:'2026_Fantasy_Starters'!R$122)*100+100</f>
        <v>110.48146631901405</v>
      </c>
      <c r="AF22" s="5">
        <f>('2026_Fantasy_Starters'!T16-AVERAGE('2026_Fantasy_Starters'!T$2:'2026_Fantasy_Starters'!T$122))/AVERAGE('2026_Fantasy_Starters'!T$2:'2026_Fantasy_Starters'!T$122)*100+100</f>
        <v>132.62759456047468</v>
      </c>
      <c r="AG22" s="5">
        <f>(AVERAGE('2026_Fantasy_Starters'!U$2:'2026_Fantasy_Starters'!U$122)-'2026_Fantasy_Starters'!U16)/AVERAGE('2026_Fantasy_Starters'!U$2:'2026_Fantasy_Starters'!U$122)*100+100</f>
        <v>102.9092485642819</v>
      </c>
      <c r="AH22" s="5">
        <f>(AVERAGE('2026_Fantasy_Starters'!V$2:'2026_Fantasy_Starters'!V$122)-'2026_Fantasy_Starters'!V16)/AVERAGE('2026_Fantasy_Starters'!V$2:'2026_Fantasy_Starters'!V$122)*100+100</f>
        <v>111.62847630449266</v>
      </c>
    </row>
    <row r="23" spans="1:34">
      <c r="A23" t="s">
        <v>96</v>
      </c>
      <c r="B23" t="s">
        <v>23</v>
      </c>
      <c r="C23" t="s">
        <v>16</v>
      </c>
      <c r="D23">
        <v>28</v>
      </c>
      <c r="E23">
        <v>169</v>
      </c>
      <c r="F23" s="4">
        <f>H23*1.5+I23+J23+K23*1.5+L23+M23+N23+O23+P23+Q23</f>
        <v>4.9040287619847209</v>
      </c>
      <c r="G23">
        <v>697</v>
      </c>
      <c r="H23">
        <f>(S23-S$123)/S$124</f>
        <v>0.78930112147702314</v>
      </c>
      <c r="I23">
        <f>(T23-T$123)/T$124</f>
        <v>1.0808422127299091</v>
      </c>
      <c r="J23">
        <f>(U23-U$123)/U$124</f>
        <v>-0.45167398113727841</v>
      </c>
      <c r="K23">
        <f>(V23-V$123)/V$124</f>
        <v>0.81184277198159571</v>
      </c>
      <c r="L23">
        <f>(Z23-Z$123)/Z$124</f>
        <v>-0.5382696720596063</v>
      </c>
      <c r="M23">
        <f>(AB23-AB$123)/AB$124</f>
        <v>0.19482688379541283</v>
      </c>
      <c r="N23">
        <f>(AG23-AG$123)/AG$124</f>
        <v>0.55421860938187995</v>
      </c>
      <c r="O23">
        <f>(AH23-AH$123)/AH$124</f>
        <v>0.55006076712586416</v>
      </c>
      <c r="P23">
        <f>(AE23-AE$123)/AE$124</f>
        <v>0.34289436835839548</v>
      </c>
      <c r="Q23">
        <f>(AF23-AF$123)/AF$124</f>
        <v>0.76941373360221543</v>
      </c>
      <c r="S23">
        <f>(E23-AVERAGE(E$2:E$122))/AVERAGE(E$2:E$122)*100+100</f>
        <v>117.08754396723452</v>
      </c>
      <c r="T23">
        <f>('2026_Fantasy_Starters'!G29-AVERAGE('2026_Fantasy_Starters'!G$2:'2026_Fantasy_Starters'!G$122))/AVERAGE('2026_Fantasy_Starters'!G$2:'2026_Fantasy_Starters'!G$122)*100+100</f>
        <v>126.77267246779576</v>
      </c>
      <c r="U23">
        <f>(AVERAGE('2026_Fantasy_Starters'!H$2:'2026_Fantasy_Starters'!H$122)-'2026_Fantasy_Starters'!H29)/AVERAGE('2026_Fantasy_Starters'!H$2:'2026_Fantasy_Starters'!H$122)*100+100</f>
        <v>89.704599982048748</v>
      </c>
      <c r="V23">
        <f>('2026_Fantasy_Starters'!I29-AVERAGE('2026_Fantasy_Starters'!I$2:'2026_Fantasy_Starters'!I$122))/AVERAGE('2026_Fantasy_Starters'!I$2:'2026_Fantasy_Starters'!I$122)*100+100</f>
        <v>127.4563773866241</v>
      </c>
      <c r="W23">
        <f>(AVERAGE('2026_Fantasy_Starters'!J$2:'2026_Fantasy_Starters'!J$122)-'2026_Fantasy_Starters'!J29)/AVERAGE('2026_Fantasy_Starters'!J$2:'2026_Fantasy_Starters'!J$122)*100+100</f>
        <v>81.424781049581</v>
      </c>
      <c r="X23">
        <f>(AVERAGE('2026_Fantasy_Starters'!K$2:'2026_Fantasy_Starters'!K$122)-'2026_Fantasy_Starters'!K29)/AVERAGE('2026_Fantasy_Starters'!K$2:'2026_Fantasy_Starters'!K$122)*100+100</f>
        <v>88.387554661139433</v>
      </c>
      <c r="Y23">
        <f>(AVERAGE('2026_Fantasy_Starters'!L$2:'2026_Fantasy_Starters'!L$122)-'2026_Fantasy_Starters'!L29)/AVERAGE('2026_Fantasy_Starters'!L$2:'2026_Fantasy_Starters'!L$122)*100+100</f>
        <v>88.512953964702817</v>
      </c>
      <c r="Z23">
        <f>(AVERAGE('2026_Fantasy_Starters'!M$2:'2026_Fantasy_Starters'!M$122)-'2026_Fantasy_Starters'!M29)/AVERAGE('2026_Fantasy_Starters'!M$2:'2026_Fantasy_Starters'!M$122)*100+100</f>
        <v>86.313616607855352</v>
      </c>
      <c r="AA23">
        <f>(AVERAGE('2026_Fantasy_Starters'!N$2:'2026_Fantasy_Starters'!N$122)-'2026_Fantasy_Starters'!N29)/AVERAGE('2026_Fantasy_Starters'!N$2:'2026_Fantasy_Starters'!N$122)*100+100</f>
        <v>82.039917155072303</v>
      </c>
      <c r="AB23">
        <f>(AVERAGE('2026_Fantasy_Starters'!O$2:'2026_Fantasy_Starters'!O$122)-'2026_Fantasy_Starters'!O29)/AVERAGE('2026_Fantasy_Starters'!O$2:'2026_Fantasy_Starters'!O$122)*100+100</f>
        <v>106.03940439729828</v>
      </c>
      <c r="AC23">
        <f>('2026_Fantasy_Starters'!P29-AVERAGE('2026_Fantasy_Starters'!P$2:'2026_Fantasy_Starters'!P$122))/AVERAGE('2026_Fantasy_Starters'!P$2:'2026_Fantasy_Starters'!P$122)*100+100</f>
        <v>121.71569098487006</v>
      </c>
      <c r="AD23">
        <f>(AVERAGE('2026_Fantasy_Starters'!Q$2:'2026_Fantasy_Starters'!Q$122)-'2026_Fantasy_Starters'!Q29)/AVERAGE('2026_Fantasy_Starters'!Q$2:'2026_Fantasy_Starters'!Q$122)*100+100</f>
        <v>102.03262258217121</v>
      </c>
      <c r="AE23">
        <f>('2026_Fantasy_Starters'!R29-AVERAGE('2026_Fantasy_Starters'!R$2:'2026_Fantasy_Starters'!R$122))/AVERAGE('2026_Fantasy_Starters'!R$2:'2026_Fantasy_Starters'!R$122)*100+100</f>
        <v>103.89338475789302</v>
      </c>
      <c r="AF23">
        <f>('2026_Fantasy_Starters'!T29-AVERAGE('2026_Fantasy_Starters'!T$2:'2026_Fantasy_Starters'!T$122))/AVERAGE('2026_Fantasy_Starters'!T$2:'2026_Fantasy_Starters'!T$122)*100+100</f>
        <v>115.12107406220436</v>
      </c>
      <c r="AG23">
        <f>(AVERAGE('2026_Fantasy_Starters'!U$2:'2026_Fantasy_Starters'!U$122)-'2026_Fantasy_Starters'!U29)/AVERAGE('2026_Fantasy_Starters'!U$2:'2026_Fantasy_Starters'!U$122)*100+100</f>
        <v>105.20394346040875</v>
      </c>
      <c r="AH23">
        <f>(AVERAGE('2026_Fantasy_Starters'!V$2:'2026_Fantasy_Starters'!V$122)-'2026_Fantasy_Starters'!V29)/AVERAGE('2026_Fantasy_Starters'!V$2:'2026_Fantasy_Starters'!V$122)*100+100</f>
        <v>103.56365680540502</v>
      </c>
    </row>
    <row r="24" spans="1:34">
      <c r="A24" t="s">
        <v>220</v>
      </c>
      <c r="B24" t="s">
        <v>140</v>
      </c>
      <c r="C24" t="s">
        <v>16</v>
      </c>
      <c r="D24">
        <v>20</v>
      </c>
      <c r="E24">
        <v>117.67</v>
      </c>
      <c r="F24" s="4">
        <f>H24*1.5+I24+J24+K24*1.5+L24+M24+N24+O24+P24+Q24</f>
        <v>4.685538848523529</v>
      </c>
      <c r="G24">
        <v>482</v>
      </c>
      <c r="H24">
        <f>(S24-S$123)/S$124</f>
        <v>-0.85339915712032777</v>
      </c>
      <c r="I24">
        <f>(T24-T$123)/T$124</f>
        <v>-0.57342955017718433</v>
      </c>
      <c r="J24">
        <f>(U24-U$123)/U$124</f>
        <v>0.86677869619191394</v>
      </c>
      <c r="K24">
        <f>(V24-V$123)/V$124</f>
        <v>-0.27539680858067678</v>
      </c>
      <c r="L24">
        <f>(Z24-Z$123)/Z$124</f>
        <v>0.73913759103781551</v>
      </c>
      <c r="M24">
        <f>(AB24-AB$123)/AB$124</f>
        <v>1.5256805847695358</v>
      </c>
      <c r="N24">
        <f>(AG24-AG$123)/AG$124</f>
        <v>1.4021496710025523</v>
      </c>
      <c r="O24">
        <f>(AH24-AH$123)/AH$124</f>
        <v>0.79996678708817071</v>
      </c>
      <c r="P24">
        <f>(AE24-AE$123)/AE$124</f>
        <v>0.68672492260633611</v>
      </c>
      <c r="Q24">
        <f>(AF24-AF$123)/AF$124</f>
        <v>0.93172409455589622</v>
      </c>
      <c r="S24">
        <f>(E24-AVERAGE(E$2:E$122))/AVERAGE(E$2:E$122)*100+100</f>
        <v>81.524800583576848</v>
      </c>
      <c r="T24">
        <f>('2026_Fantasy_Starters'!G82-AVERAGE('2026_Fantasy_Starters'!G$2:'2026_Fantasy_Starters'!G$122))/AVERAGE('2026_Fantasy_Starters'!G$2:'2026_Fantasy_Starters'!G$122)*100+100</f>
        <v>85.796038173348506</v>
      </c>
      <c r="U24">
        <f>(AVERAGE('2026_Fantasy_Starters'!H$2:'2026_Fantasy_Starters'!H$122)-'2026_Fantasy_Starters'!H82)/AVERAGE('2026_Fantasy_Starters'!H$2:'2026_Fantasy_Starters'!H$122)*100+100</f>
        <v>119.75724477612052</v>
      </c>
      <c r="V24">
        <f>('2026_Fantasy_Starters'!I82-AVERAGE('2026_Fantasy_Starters'!I$2:'2026_Fantasy_Starters'!I$122))/AVERAGE('2026_Fantasy_Starters'!I$2:'2026_Fantasy_Starters'!I$122)*100+100</f>
        <v>90.686129176211551</v>
      </c>
      <c r="W24">
        <f>(AVERAGE('2026_Fantasy_Starters'!J$2:'2026_Fantasy_Starters'!J$122)-'2026_Fantasy_Starters'!J82)/AVERAGE('2026_Fantasy_Starters'!J$2:'2026_Fantasy_Starters'!J$122)*100+100</f>
        <v>121.25922556125013</v>
      </c>
      <c r="X24">
        <f>(AVERAGE('2026_Fantasy_Starters'!K$2:'2026_Fantasy_Starters'!K$122)-'2026_Fantasy_Starters'!K82)/AVERAGE('2026_Fantasy_Starters'!K$2:'2026_Fantasy_Starters'!K$122)*100+100</f>
        <v>124.18671753190279</v>
      </c>
      <c r="Y24">
        <f>(AVERAGE('2026_Fantasy_Starters'!L$2:'2026_Fantasy_Starters'!L$122)-'2026_Fantasy_Starters'!L82)/AVERAGE('2026_Fantasy_Starters'!L$2:'2026_Fantasy_Starters'!L$122)*100+100</f>
        <v>128.89433409625471</v>
      </c>
      <c r="Z24">
        <f>(AVERAGE('2026_Fantasy_Starters'!M$2:'2026_Fantasy_Starters'!M$122)-'2026_Fantasy_Starters'!M82)/AVERAGE('2026_Fantasy_Starters'!M$2:'2026_Fantasy_Starters'!M$122)*100+100</f>
        <v>118.79377749777717</v>
      </c>
      <c r="AA24">
        <f>(AVERAGE('2026_Fantasy_Starters'!N$2:'2026_Fantasy_Starters'!N$122)-'2026_Fantasy_Starters'!N82)/AVERAGE('2026_Fantasy_Starters'!N$2:'2026_Fantasy_Starters'!N$122)*100+100</f>
        <v>138.58613847047889</v>
      </c>
      <c r="AB24">
        <f>(AVERAGE('2026_Fantasy_Starters'!O$2:'2026_Fantasy_Starters'!O$122)-'2026_Fantasy_Starters'!O82)/AVERAGE('2026_Fantasy_Starters'!O$2:'2026_Fantasy_Starters'!O$122)*100+100</f>
        <v>147.29430483631612</v>
      </c>
      <c r="AC24">
        <f>('2026_Fantasy_Starters'!P82-AVERAGE('2026_Fantasy_Starters'!P$2:'2026_Fantasy_Starters'!P$122))/AVERAGE('2026_Fantasy_Starters'!P$2:'2026_Fantasy_Starters'!P$122)*100+100</f>
        <v>87.931808629558887</v>
      </c>
      <c r="AD24">
        <f>(AVERAGE('2026_Fantasy_Starters'!Q$2:'2026_Fantasy_Starters'!Q$122)-'2026_Fantasy_Starters'!Q82)/AVERAGE('2026_Fantasy_Starters'!Q$2:'2026_Fantasy_Starters'!Q$122)*100+100</f>
        <v>125.94462871314464</v>
      </c>
      <c r="AE24">
        <f>('2026_Fantasy_Starters'!R82-AVERAGE('2026_Fantasy_Starters'!R$2:'2026_Fantasy_Starters'!R$122))/AVERAGE('2026_Fantasy_Starters'!R$2:'2026_Fantasy_Starters'!R$122)*100+100</f>
        <v>107.79739941294761</v>
      </c>
      <c r="AF24">
        <f>('2026_Fantasy_Starters'!T82-AVERAGE('2026_Fantasy_Starters'!T$2:'2026_Fantasy_Starters'!T$122))/AVERAGE('2026_Fantasy_Starters'!T$2:'2026_Fantasy_Starters'!T$122)*100+100</f>
        <v>118.3109144326813</v>
      </c>
      <c r="AG24">
        <f>(AVERAGE('2026_Fantasy_Starters'!U$2:'2026_Fantasy_Starters'!U$122)-'2026_Fantasy_Starters'!U82)/AVERAGE('2026_Fantasy_Starters'!U$2:'2026_Fantasy_Starters'!U$122)*100+100</f>
        <v>113.16575713519616</v>
      </c>
      <c r="AH24">
        <f>(AVERAGE('2026_Fantasy_Starters'!V$2:'2026_Fantasy_Starters'!V$122)-'2026_Fantasy_Starters'!V82)/AVERAGE('2026_Fantasy_Starters'!V$2:'2026_Fantasy_Starters'!V$122)*100+100</f>
        <v>105.18271299333087</v>
      </c>
    </row>
    <row r="25" spans="1:34">
      <c r="A25" t="s">
        <v>1032</v>
      </c>
      <c r="B25" t="s">
        <v>51</v>
      </c>
      <c r="C25" t="s">
        <v>16</v>
      </c>
      <c r="D25">
        <v>28</v>
      </c>
      <c r="E25">
        <v>167.67</v>
      </c>
      <c r="F25" s="4">
        <f>H25*1.5+I25+J25+K25*1.5+L25+M25+N25+O25+P25+Q25</f>
        <v>4.4596221844016748</v>
      </c>
      <c r="G25">
        <v>685</v>
      </c>
      <c r="H25">
        <f>(S25-S$123)/S$124</f>
        <v>0.74673748675007001</v>
      </c>
      <c r="I25">
        <f>(T25-T$123)/T$124</f>
        <v>0.46857130287192261</v>
      </c>
      <c r="J25">
        <f>(U25-U$123)/U$124</f>
        <v>-0.61335284959808567</v>
      </c>
      <c r="K25">
        <f>(V25-V$123)/V$124</f>
        <v>0.89527715557557497</v>
      </c>
      <c r="L25">
        <f>(Z25-Z$123)/Z$124</f>
        <v>-1.1483694788335403</v>
      </c>
      <c r="M25">
        <f>(AB25-AB$123)/AB$124</f>
        <v>-1.8921471252820883</v>
      </c>
      <c r="N25">
        <f>(AG25-AG$123)/AG$124</f>
        <v>0.4954633877475374</v>
      </c>
      <c r="O25">
        <f>(AH25-AH$123)/AH$124</f>
        <v>1.3100622583840538</v>
      </c>
      <c r="P25">
        <f>(AE25-AE$123)/AE$124</f>
        <v>1.7450706967925091</v>
      </c>
      <c r="Q25">
        <f>(AF25-AF$123)/AF$124</f>
        <v>1.6313020288308986</v>
      </c>
      <c r="S25">
        <f>(E25-AVERAGE(E$2:E$122))/AVERAGE(E$2:E$122)*100+100</f>
        <v>116.16608578098349</v>
      </c>
      <c r="T25">
        <f>('2026_Fantasy_Starters'!G13-AVERAGE('2026_Fantasy_Starters'!G$2:'2026_Fantasy_Starters'!G$122))/AVERAGE('2026_Fantasy_Starters'!G$2:'2026_Fantasy_Starters'!G$122)*100+100</f>
        <v>111.60660258439884</v>
      </c>
      <c r="U25">
        <f>(AVERAGE('2026_Fantasy_Starters'!H$2:'2026_Fantasy_Starters'!H$122)-'2026_Fantasy_Starters'!H13)/AVERAGE('2026_Fantasy_Starters'!H$2:'2026_Fantasy_Starters'!H$122)*100+100</f>
        <v>86.019312153286634</v>
      </c>
      <c r="V25">
        <f>('2026_Fantasy_Starters'!I13-AVERAGE('2026_Fantasy_Starters'!I$2:'2026_Fantasy_Starters'!I$122))/AVERAGE('2026_Fantasy_Starters'!I$2:'2026_Fantasy_Starters'!I$122)*100+100</f>
        <v>130.27811332126217</v>
      </c>
      <c r="W25">
        <f>(AVERAGE('2026_Fantasy_Starters'!J$2:'2026_Fantasy_Starters'!J$122)-'2026_Fantasy_Starters'!J13)/AVERAGE('2026_Fantasy_Starters'!J$2:'2026_Fantasy_Starters'!J$122)*100+100</f>
        <v>96.912589107745745</v>
      </c>
      <c r="X25">
        <f>(AVERAGE('2026_Fantasy_Starters'!K$2:'2026_Fantasy_Starters'!K$122)-'2026_Fantasy_Starters'!K13)/AVERAGE('2026_Fantasy_Starters'!K$2:'2026_Fantasy_Starters'!K$122)*100+100</f>
        <v>92.214321831350219</v>
      </c>
      <c r="Y25">
        <f>(AVERAGE('2026_Fantasy_Starters'!L$2:'2026_Fantasy_Starters'!L$122)-'2026_Fantasy_Starters'!L13)/AVERAGE('2026_Fantasy_Starters'!L$2:'2026_Fantasy_Starters'!L$122)*100+100</f>
        <v>88.746611700256906</v>
      </c>
      <c r="Z25">
        <f>(AVERAGE('2026_Fantasy_Starters'!M$2:'2026_Fantasy_Starters'!M$122)-'2026_Fantasy_Starters'!M13)/AVERAGE('2026_Fantasy_Starters'!M$2:'2026_Fantasy_Starters'!M$122)*100+100</f>
        <v>70.800835010796035</v>
      </c>
      <c r="AA25">
        <f>(AVERAGE('2026_Fantasy_Starters'!N$2:'2026_Fantasy_Starters'!N$122)-'2026_Fantasy_Starters'!N13)/AVERAGE('2026_Fantasy_Starters'!N$2:'2026_Fantasy_Starters'!N$122)*100+100</f>
        <v>138.58611550168587</v>
      </c>
      <c r="AB25">
        <f>(AVERAGE('2026_Fantasy_Starters'!O$2:'2026_Fantasy_Starters'!O$122)-'2026_Fantasy_Starters'!O13)/AVERAGE('2026_Fantasy_Starters'!O$2:'2026_Fantasy_Starters'!O$122)*100+100</f>
        <v>41.345663154146962</v>
      </c>
      <c r="AC25">
        <f>('2026_Fantasy_Starters'!P13-AVERAGE('2026_Fantasy_Starters'!P$2:'2026_Fantasy_Starters'!P$122))/AVERAGE('2026_Fantasy_Starters'!P$2:'2026_Fantasy_Starters'!P$122)*100+100</f>
        <v>139.26314445313182</v>
      </c>
      <c r="AD25">
        <f>(AVERAGE('2026_Fantasy_Starters'!Q$2:'2026_Fantasy_Starters'!Q$122)-'2026_Fantasy_Starters'!Q13)/AVERAGE('2026_Fantasy_Starters'!Q$2:'2026_Fantasy_Starters'!Q$122)*100+100</f>
        <v>83.219911404048446</v>
      </c>
      <c r="AE25">
        <f>('2026_Fantasy_Starters'!R13-AVERAGE('2026_Fantasy_Starters'!R$2:'2026_Fantasy_Starters'!R$122))/AVERAGE('2026_Fantasy_Starters'!R$2:'2026_Fantasy_Starters'!R$122)*100+100</f>
        <v>119.81435765441451</v>
      </c>
      <c r="AF25">
        <f>('2026_Fantasy_Starters'!T13-AVERAGE('2026_Fantasy_Starters'!T$2:'2026_Fantasy_Starters'!T$122))/AVERAGE('2026_Fantasy_Starters'!T$2:'2026_Fantasy_Starters'!T$122)*100+100</f>
        <v>132.05952495842644</v>
      </c>
      <c r="AG25">
        <f>(AVERAGE('2026_Fantasy_Starters'!U$2:'2026_Fantasy_Starters'!U$122)-'2026_Fantasy_Starters'!U13)/AVERAGE('2026_Fantasy_Starters'!U$2:'2026_Fantasy_Starters'!U$122)*100+100</f>
        <v>104.65224987557963</v>
      </c>
      <c r="AH25">
        <f>(AVERAGE('2026_Fantasy_Starters'!V$2:'2026_Fantasy_Starters'!V$122)-'2026_Fantasy_Starters'!V13)/AVERAGE('2026_Fantasy_Starters'!V$2:'2026_Fantasy_Starters'!V$122)*100+100</f>
        <v>108.48744822683632</v>
      </c>
    </row>
    <row r="26" spans="1:34">
      <c r="A26" t="s">
        <v>71</v>
      </c>
      <c r="B26" t="s">
        <v>15</v>
      </c>
      <c r="C26" t="s">
        <v>16</v>
      </c>
      <c r="D26">
        <v>29</v>
      </c>
      <c r="E26">
        <v>187</v>
      </c>
      <c r="F26" s="4">
        <f>H26*1.5+I26+J26+K26*1.5+L26+M26+N26+O26+P26+Q26</f>
        <v>4.2564340083266572</v>
      </c>
      <c r="G26">
        <v>780</v>
      </c>
      <c r="H26">
        <f>(S26-S$123)/S$124</f>
        <v>1.3653503132703659</v>
      </c>
      <c r="I26">
        <f>(T26-T$123)/T$124</f>
        <v>1.6877794318742148</v>
      </c>
      <c r="J26">
        <f>(U26-U$123)/U$124</f>
        <v>-0.68841803852631889</v>
      </c>
      <c r="K26">
        <f>(V26-V$123)/V$124</f>
        <v>1.4849744101139299</v>
      </c>
      <c r="L26">
        <f>(Z26-Z$123)/Z$124</f>
        <v>0.45980081365419473</v>
      </c>
      <c r="M26">
        <f>(AB26-AB$123)/AB$124</f>
        <v>-1.3402898357149655</v>
      </c>
      <c r="N26">
        <f>(AG26-AG$123)/AG$124</f>
        <v>1.2597424025434205</v>
      </c>
      <c r="O26">
        <f>(AH26-AH$123)/AH$124</f>
        <v>-0.21273629186451662</v>
      </c>
      <c r="P26">
        <f>(AE26-AE$123)/AE$124</f>
        <v>-0.57875924385487276</v>
      </c>
      <c r="Q26">
        <f>(AF26-AF$123)/AF$124</f>
        <v>-0.60617231486094136</v>
      </c>
      <c r="S26">
        <f>(E26-AVERAGE(E$2:E$122))/AVERAGE(E$2:E$122)*100+100</f>
        <v>129.55840663830091</v>
      </c>
      <c r="T26">
        <f>('2026_Fantasy_Starters'!G20-AVERAGE('2026_Fantasy_Starters'!G$2:'2026_Fantasy_Starters'!G$122))/AVERAGE('2026_Fantasy_Starters'!G$2:'2026_Fantasy_Starters'!G$122)*100+100</f>
        <v>141.80662579168003</v>
      </c>
      <c r="U26">
        <f>(AVERAGE('2026_Fantasy_Starters'!H$2:'2026_Fantasy_Starters'!H$122)-'2026_Fantasy_Starters'!H20)/AVERAGE('2026_Fantasy_Starters'!H$2:'2026_Fantasy_Starters'!H$122)*100+100</f>
        <v>84.308285661361339</v>
      </c>
      <c r="V26">
        <f>('2026_Fantasy_Starters'!I20-AVERAGE('2026_Fantasy_Starters'!I$2:'2026_Fantasy_Starters'!I$122))/AVERAGE('2026_Fantasy_Starters'!I$2:'2026_Fantasy_Starters'!I$122)*100+100</f>
        <v>150.22156902875258</v>
      </c>
      <c r="W26">
        <f>(AVERAGE('2026_Fantasy_Starters'!J$2:'2026_Fantasy_Starters'!J$122)-'2026_Fantasy_Starters'!J20)/AVERAGE('2026_Fantasy_Starters'!J$2:'2026_Fantasy_Starters'!J$122)*100+100</f>
        <v>69.837586215706665</v>
      </c>
      <c r="X26">
        <f>(AVERAGE('2026_Fantasy_Starters'!K$2:'2026_Fantasy_Starters'!K$122)-'2026_Fantasy_Starters'!K20)/AVERAGE('2026_Fantasy_Starters'!K$2:'2026_Fantasy_Starters'!K$122)*100+100</f>
        <v>81.563662314718272</v>
      </c>
      <c r="Y26">
        <f>(AVERAGE('2026_Fantasy_Starters'!L$2:'2026_Fantasy_Starters'!L$122)-'2026_Fantasy_Starters'!L20)/AVERAGE('2026_Fantasy_Starters'!L$2:'2026_Fantasy_Starters'!L$122)*100+100</f>
        <v>85.25948532461102</v>
      </c>
      <c r="Z26">
        <f>(AVERAGE('2026_Fantasy_Starters'!M$2:'2026_Fantasy_Starters'!M$122)-'2026_Fantasy_Starters'!M20)/AVERAGE('2026_Fantasy_Starters'!M$2:'2026_Fantasy_Starters'!M$122)*100+100</f>
        <v>111.69118482119214</v>
      </c>
      <c r="AA26">
        <f>(AVERAGE('2026_Fantasy_Starters'!N$2:'2026_Fantasy_Starters'!N$122)-'2026_Fantasy_Starters'!N20)/AVERAGE('2026_Fantasy_Starters'!N$2:'2026_Fantasy_Starters'!N$122)*100+100</f>
        <v>138.58608049577134</v>
      </c>
      <c r="AB26">
        <f>(AVERAGE('2026_Fantasy_Starters'!O$2:'2026_Fantasy_Starters'!O$122)-'2026_Fantasy_Starters'!O20)/AVERAGE('2026_Fantasy_Starters'!O$2:'2026_Fantasy_Starters'!O$122)*100+100</f>
        <v>58.452590475289497</v>
      </c>
      <c r="AC26">
        <f>('2026_Fantasy_Starters'!P20-AVERAGE('2026_Fantasy_Starters'!P$2:'2026_Fantasy_Starters'!P$122))/AVERAGE('2026_Fantasy_Starters'!P$2:'2026_Fantasy_Starters'!P$122)*100+100</f>
        <v>121.11360283907553</v>
      </c>
      <c r="AD26">
        <f>(AVERAGE('2026_Fantasy_Starters'!Q$2:'2026_Fantasy_Starters'!Q$122)-'2026_Fantasy_Starters'!Q20)/AVERAGE('2026_Fantasy_Starters'!Q$2:'2026_Fantasy_Starters'!Q$122)*100+100</f>
        <v>63.743595251554758</v>
      </c>
      <c r="AE26">
        <f>('2026_Fantasy_Starters'!R20-AVERAGE('2026_Fantasy_Starters'!R$2:'2026_Fantasy_Starters'!R$122))/AVERAGE('2026_Fantasy_Starters'!R$2:'2026_Fantasy_Starters'!R$122)*100+100</f>
        <v>93.428493943186851</v>
      </c>
      <c r="AF26">
        <f>('2026_Fantasy_Starters'!T20-AVERAGE('2026_Fantasy_Starters'!T$2:'2026_Fantasy_Starters'!T$122))/AVERAGE('2026_Fantasy_Starters'!T$2:'2026_Fantasy_Starters'!T$122)*100+100</f>
        <v>88.087064127959778</v>
      </c>
      <c r="AG26">
        <f>(AVERAGE('2026_Fantasy_Starters'!U$2:'2026_Fantasy_Starters'!U$122)-'2026_Fantasy_Starters'!U20)/AVERAGE('2026_Fantasy_Starters'!U$2:'2026_Fantasy_Starters'!U$122)*100+100</f>
        <v>111.82859638153779</v>
      </c>
      <c r="AH26">
        <f>(AVERAGE('2026_Fantasy_Starters'!V$2:'2026_Fantasy_Starters'!V$122)-'2026_Fantasy_Starters'!V20)/AVERAGE('2026_Fantasy_Starters'!V$2:'2026_Fantasy_Starters'!V$122)*100+100</f>
        <v>98.621753850541054</v>
      </c>
    </row>
    <row r="27" spans="1:34">
      <c r="A27" t="s">
        <v>113</v>
      </c>
      <c r="B27" t="s">
        <v>40</v>
      </c>
      <c r="C27" t="s">
        <v>16</v>
      </c>
      <c r="D27">
        <v>26</v>
      </c>
      <c r="E27">
        <v>153</v>
      </c>
      <c r="F27" s="4">
        <f>H27*1.5+I27+J27+K27*1.5+L27+M27+N27+O27+P27+Q27</f>
        <v>4.1988973900178674</v>
      </c>
      <c r="G27">
        <v>638</v>
      </c>
      <c r="H27">
        <f>(S27-S$123)/S$124</f>
        <v>0.27725739543849537</v>
      </c>
      <c r="I27">
        <f>(T27-T$123)/T$124</f>
        <v>0.83579354381917137</v>
      </c>
      <c r="J27">
        <f>(U27-U$123)/U$124</f>
        <v>-0.33082727588467781</v>
      </c>
      <c r="K27">
        <f>(V27-V$123)/V$124</f>
        <v>0.40931732570796048</v>
      </c>
      <c r="L27">
        <f>(Z27-Z$123)/Z$124</f>
        <v>-0.36682200975371859</v>
      </c>
      <c r="M27">
        <f>(AB27-AB$123)/AB$124</f>
        <v>-0.37502329383058008</v>
      </c>
      <c r="N27">
        <f>(AG27-AG$123)/AG$124</f>
        <v>0.11547494766186138</v>
      </c>
      <c r="O27">
        <f>(AH27-AH$123)/AH$124</f>
        <v>0.28983488886716519</v>
      </c>
      <c r="P27">
        <f>(AE27-AE$123)/AE$124</f>
        <v>1.7229028470345924</v>
      </c>
      <c r="Q27">
        <f>(AF27-AF$123)/AF$124</f>
        <v>1.2777016603843703</v>
      </c>
      <c r="S27">
        <f>(E27-AVERAGE(E$2:E$122))/AVERAGE(E$2:E$122)*100+100</f>
        <v>106.00233270406439</v>
      </c>
      <c r="T27">
        <f>('2026_Fantasy_Starters'!G35-AVERAGE('2026_Fantasy_Starters'!G$2:'2026_Fantasy_Starters'!G$122))/AVERAGE('2026_Fantasy_Starters'!G$2:'2026_Fantasy_Starters'!G$122)*100+100</f>
        <v>120.70276913301925</v>
      </c>
      <c r="U27">
        <f>(AVERAGE('2026_Fantasy_Starters'!H$2:'2026_Fantasy_Starters'!H$122)-'2026_Fantasy_Starters'!H35)/AVERAGE('2026_Fantasy_Starters'!H$2:'2026_Fantasy_Starters'!H$122)*100+100</f>
        <v>92.459164609159373</v>
      </c>
      <c r="V27">
        <f>('2026_Fantasy_Starters'!I35-AVERAGE('2026_Fantasy_Starters'!I$2:'2026_Fantasy_Starters'!I$122))/AVERAGE('2026_Fantasy_Starters'!I$2:'2026_Fantasy_Starters'!I$122)*100+100</f>
        <v>113.84303876733446</v>
      </c>
      <c r="W27">
        <f>(AVERAGE('2026_Fantasy_Starters'!J$2:'2026_Fantasy_Starters'!J$122)-'2026_Fantasy_Starters'!J35)/AVERAGE('2026_Fantasy_Starters'!J$2:'2026_Fantasy_Starters'!J$122)*100+100</f>
        <v>99.474565420693267</v>
      </c>
      <c r="X27">
        <f>(AVERAGE('2026_Fantasy_Starters'!K$2:'2026_Fantasy_Starters'!K$122)-'2026_Fantasy_Starters'!K35)/AVERAGE('2026_Fantasy_Starters'!K$2:'2026_Fantasy_Starters'!K$122)*100+100</f>
        <v>95.503882940447127</v>
      </c>
      <c r="Y27">
        <f>(AVERAGE('2026_Fantasy_Starters'!L$2:'2026_Fantasy_Starters'!L$122)-'2026_Fantasy_Starters'!L35)/AVERAGE('2026_Fantasy_Starters'!L$2:'2026_Fantasy_Starters'!L$122)*100+100</f>
        <v>94.681611764641033</v>
      </c>
      <c r="Z27">
        <f>(AVERAGE('2026_Fantasy_Starters'!M$2:'2026_Fantasy_Starters'!M$122)-'2026_Fantasy_Starters'!M35)/AVERAGE('2026_Fantasy_Starters'!M$2:'2026_Fantasy_Starters'!M$122)*100+100</f>
        <v>90.672952754413274</v>
      </c>
      <c r="AA27">
        <f>(AVERAGE('2026_Fantasy_Starters'!N$2:'2026_Fantasy_Starters'!N$122)-'2026_Fantasy_Starters'!N35)/AVERAGE('2026_Fantasy_Starters'!N$2:'2026_Fantasy_Starters'!N$122)*100+100</f>
        <v>80.452482700397255</v>
      </c>
      <c r="AB27">
        <f>(AVERAGE('2026_Fantasy_Starters'!O$2:'2026_Fantasy_Starters'!O$122)-'2026_Fantasy_Starters'!O35)/AVERAGE('2026_Fantasy_Starters'!O$2:'2026_Fantasy_Starters'!O$122)*100+100</f>
        <v>88.374718695249001</v>
      </c>
      <c r="AC27">
        <f>('2026_Fantasy_Starters'!P35-AVERAGE('2026_Fantasy_Starters'!P$2:'2026_Fantasy_Starters'!P$122))/AVERAGE('2026_Fantasy_Starters'!P$2:'2026_Fantasy_Starters'!P$122)*100+100</f>
        <v>126.81158895228323</v>
      </c>
      <c r="AD27">
        <f>(AVERAGE('2026_Fantasy_Starters'!Q$2:'2026_Fantasy_Starters'!Q$122)-'2026_Fantasy_Starters'!Q35)/AVERAGE('2026_Fantasy_Starters'!Q$2:'2026_Fantasy_Starters'!Q$122)*100+100</f>
        <v>84.773532069560758</v>
      </c>
      <c r="AE27">
        <f>('2026_Fantasy_Starters'!R35-AVERAGE('2026_Fantasy_Starters'!R$2:'2026_Fantasy_Starters'!R$122))/AVERAGE('2026_Fantasy_Starters'!R$2:'2026_Fantasy_Starters'!R$122)*100+100</f>
        <v>119.56265340865528</v>
      </c>
      <c r="AF27">
        <f>('2026_Fantasy_Starters'!T35-AVERAGE('2026_Fantasy_Starters'!T$2:'2026_Fantasy_Starters'!T$122))/AVERAGE('2026_Fantasy_Starters'!T$2:'2026_Fantasy_Starters'!T$122)*100+100</f>
        <v>125.1103152859266</v>
      </c>
      <c r="AG27">
        <f>(AVERAGE('2026_Fantasy_Starters'!U$2:'2026_Fantasy_Starters'!U$122)-'2026_Fantasy_Starters'!U35)/AVERAGE('2026_Fantasy_Starters'!U$2:'2026_Fantasy_Starters'!U$122)*100+100</f>
        <v>101.08427448763624</v>
      </c>
      <c r="AH27">
        <f>(AVERAGE('2026_Fantasy_Starters'!V$2:'2026_Fantasy_Starters'!V$122)-'2026_Fantasy_Starters'!V35)/AVERAGE('2026_Fantasy_Starters'!V$2:'2026_Fantasy_Starters'!V$122)*100+100</f>
        <v>101.87774176215503</v>
      </c>
    </row>
    <row r="28" spans="1:34">
      <c r="A28" t="s">
        <v>120</v>
      </c>
      <c r="B28" t="s">
        <v>104</v>
      </c>
      <c r="C28" t="s">
        <v>16</v>
      </c>
      <c r="D28">
        <v>25</v>
      </c>
      <c r="E28">
        <v>143.66999999999999</v>
      </c>
      <c r="F28" s="4">
        <f>H28*1.5+I28+J28+K28*1.5+L28+M28+N28+O28+P28+Q28</f>
        <v>3.9641044180354887</v>
      </c>
      <c r="G28">
        <v>585</v>
      </c>
      <c r="H28">
        <f>(S28-S$123)/S$124</f>
        <v>-2.1328102307721367E-2</v>
      </c>
      <c r="I28">
        <f>(T28-T$123)/T$124</f>
        <v>6.9825373346432545E-2</v>
      </c>
      <c r="J28">
        <f>(U28-U$123)/U$124</f>
        <v>0.26371376719248973</v>
      </c>
      <c r="K28">
        <f>(V28-V$123)/V$124</f>
        <v>0.25118593646294335</v>
      </c>
      <c r="L28">
        <f>(Z28-Z$123)/Z$124</f>
        <v>-0.3651945805571164</v>
      </c>
      <c r="M28">
        <f>(AB28-AB$123)/AB$124</f>
        <v>9.3707275507916382E-2</v>
      </c>
      <c r="N28">
        <f>(AG28-AG$123)/AG$124</f>
        <v>0.5656242081919266</v>
      </c>
      <c r="O28">
        <f>(AH28-AH$123)/AH$124</f>
        <v>1.308243722615694</v>
      </c>
      <c r="P28">
        <f>(AE28-AE$123)/AE$124</f>
        <v>0.62975233619284021</v>
      </c>
      <c r="Q28">
        <f>(AF28-AF$123)/AF$124</f>
        <v>1.0536455643124729</v>
      </c>
      <c r="S28">
        <f>(E28-AVERAGE(E$2:E$122))/AVERAGE(E$2:E$122)*100+100</f>
        <v>99.538268886228295</v>
      </c>
      <c r="T28">
        <f>('2026_Fantasy_Starters'!G38-AVERAGE('2026_Fantasy_Starters'!G$2:'2026_Fantasy_Starters'!G$122))/AVERAGE('2026_Fantasy_Starters'!G$2:'2026_Fantasy_Starters'!G$122)*100+100</f>
        <v>101.72958811982741</v>
      </c>
      <c r="U28">
        <f>(AVERAGE('2026_Fantasy_Starters'!H$2:'2026_Fantasy_Starters'!H$122)-'2026_Fantasy_Starters'!H38)/AVERAGE('2026_Fantasy_Starters'!H$2:'2026_Fantasy_Starters'!H$122)*100+100</f>
        <v>106.01105849987492</v>
      </c>
      <c r="V28">
        <f>('2026_Fantasy_Starters'!I38-AVERAGE('2026_Fantasy_Starters'!I$2:'2026_Fantasy_Starters'!I$122))/AVERAGE('2026_Fantasy_Starters'!I$2:'2026_Fantasy_Starters'!I$122)*100+100</f>
        <v>108.49506345779908</v>
      </c>
      <c r="W28">
        <f>(AVERAGE('2026_Fantasy_Starters'!J$2:'2026_Fantasy_Starters'!J$122)-'2026_Fantasy_Starters'!J38)/AVERAGE('2026_Fantasy_Starters'!J$2:'2026_Fantasy_Starters'!J$122)*100+100</f>
        <v>106.40016514282054</v>
      </c>
      <c r="X28">
        <f>(AVERAGE('2026_Fantasy_Starters'!K$2:'2026_Fantasy_Starters'!K$122)-'2026_Fantasy_Starters'!K38)/AVERAGE('2026_Fantasy_Starters'!K$2:'2026_Fantasy_Starters'!K$122)*100+100</f>
        <v>102.37496046960271</v>
      </c>
      <c r="Y28">
        <f>(AVERAGE('2026_Fantasy_Starters'!L$2:'2026_Fantasy_Starters'!L$122)-'2026_Fantasy_Starters'!L38)/AVERAGE('2026_Fantasy_Starters'!L$2:'2026_Fantasy_Starters'!L$122)*100+100</f>
        <v>105.3298909034299</v>
      </c>
      <c r="Z28">
        <f>(AVERAGE('2026_Fantasy_Starters'!M$2:'2026_Fantasy_Starters'!M$122)-'2026_Fantasy_Starters'!M38)/AVERAGE('2026_Fantasy_Starters'!M$2:'2026_Fantasy_Starters'!M$122)*100+100</f>
        <v>90.714332793238498</v>
      </c>
      <c r="AA28">
        <f>(AVERAGE('2026_Fantasy_Starters'!N$2:'2026_Fantasy_Starters'!N$122)-'2026_Fantasy_Starters'!N38)/AVERAGE('2026_Fantasy_Starters'!N$2:'2026_Fantasy_Starters'!N$122)*100+100</f>
        <v>200</v>
      </c>
      <c r="AB28">
        <f>(AVERAGE('2026_Fantasy_Starters'!O$2:'2026_Fantasy_Starters'!O$122)-'2026_Fantasy_Starters'!O38)/AVERAGE('2026_Fantasy_Starters'!O$2:'2026_Fantasy_Starters'!O$122)*100+100</f>
        <v>102.9048153968096</v>
      </c>
      <c r="AC28">
        <f>('2026_Fantasy_Starters'!P38-AVERAGE('2026_Fantasy_Starters'!P$2:'2026_Fantasy_Starters'!P$122))/AVERAGE('2026_Fantasy_Starters'!P$2:'2026_Fantasy_Starters'!P$122)*100+100</f>
        <v>106.71667511590388</v>
      </c>
      <c r="AD28">
        <f>(AVERAGE('2026_Fantasy_Starters'!Q$2:'2026_Fantasy_Starters'!Q$122)-'2026_Fantasy_Starters'!Q38)/AVERAGE('2026_Fantasy_Starters'!Q$2:'2026_Fantasy_Starters'!Q$122)*100+100</f>
        <v>115.01784879410563</v>
      </c>
      <c r="AE28">
        <f>('2026_Fantasy_Starters'!R38-AVERAGE('2026_Fantasy_Starters'!R$2:'2026_Fantasy_Starters'!R$122))/AVERAGE('2026_Fantasy_Starters'!R$2:'2026_Fantasy_Starters'!R$122)*100+100</f>
        <v>107.15050573364341</v>
      </c>
      <c r="AF28">
        <f>('2026_Fantasy_Starters'!T38-AVERAGE('2026_Fantasy_Starters'!T$2:'2026_Fantasy_Starters'!T$122))/AVERAGE('2026_Fantasy_Starters'!T$2:'2026_Fantasy_Starters'!T$122)*100+100</f>
        <v>120.70700316030354</v>
      </c>
      <c r="AG28">
        <f>(AVERAGE('2026_Fantasy_Starters'!U$2:'2026_Fantasy_Starters'!U$122)-'2026_Fantasy_Starters'!U38)/AVERAGE('2026_Fantasy_Starters'!U$2:'2026_Fantasy_Starters'!U$122)*100+100</f>
        <v>105.31103854948522</v>
      </c>
      <c r="AH28">
        <f>(AVERAGE('2026_Fantasy_Starters'!V$2:'2026_Fantasy_Starters'!V$122)-'2026_Fantasy_Starters'!V38)/AVERAGE('2026_Fantasy_Starters'!V$2:'2026_Fantasy_Starters'!V$122)*100+100</f>
        <v>108.47566655151225</v>
      </c>
    </row>
    <row r="29" spans="1:34">
      <c r="A29" t="s">
        <v>76</v>
      </c>
      <c r="B29" t="s">
        <v>77</v>
      </c>
      <c r="C29" t="s">
        <v>16</v>
      </c>
      <c r="D29">
        <v>28</v>
      </c>
      <c r="E29">
        <v>169</v>
      </c>
      <c r="F29" s="4">
        <f>H29*1.5+I29+J29+K29*1.5+L29+M29+N29+O29+P29+Q29</f>
        <v>3.696213724902722</v>
      </c>
      <c r="G29">
        <v>691</v>
      </c>
      <c r="H29">
        <f>(S29-S$123)/S$124</f>
        <v>0.78930112147702314</v>
      </c>
      <c r="I29">
        <f>(T29-T$123)/T$124</f>
        <v>0.52804734509903806</v>
      </c>
      <c r="J29">
        <f>(U29-U$123)/U$124</f>
        <v>-0.74217825340860477</v>
      </c>
      <c r="K29">
        <f>(V29-V$123)/V$124</f>
        <v>0.82837360543475791</v>
      </c>
      <c r="L29">
        <f>(Z29-Z$123)/Z$124</f>
        <v>-1.685037519574305</v>
      </c>
      <c r="M29">
        <f>(AB29-AB$123)/AB$124</f>
        <v>0.52587707302735409</v>
      </c>
      <c r="N29">
        <f>(AG29-AG$123)/AG$124</f>
        <v>-6.9074237877800204E-2</v>
      </c>
      <c r="O29">
        <f>(AH29-AH$123)/AH$124</f>
        <v>0.92656749197262867</v>
      </c>
      <c r="P29">
        <f>(AE29-AE$123)/AE$124</f>
        <v>0.78729930775717483</v>
      </c>
      <c r="Q29">
        <f>(AF29-AF$123)/AF$124</f>
        <v>0.99820042753956439</v>
      </c>
      <c r="S29">
        <f>(E29-AVERAGE(E$2:E$122))/AVERAGE(E$2:E$122)*100+100</f>
        <v>117.08754396723452</v>
      </c>
      <c r="T29">
        <f>('2026_Fantasy_Starters'!G22-AVERAGE('2026_Fantasy_Starters'!G$2:'2026_Fantasy_Starters'!G$122))/AVERAGE('2026_Fantasy_Starters'!G$2:'2026_Fantasy_Starters'!G$122)*100+100</f>
        <v>113.07983575337876</v>
      </c>
      <c r="U29">
        <f>(AVERAGE('2026_Fantasy_Starters'!H$2:'2026_Fantasy_Starters'!H$122)-'2026_Fantasy_Starters'!H22)/AVERAGE('2026_Fantasy_Starters'!H$2:'2026_Fantasy_Starters'!H$122)*100+100</f>
        <v>83.082882072979899</v>
      </c>
      <c r="V29">
        <f>('2026_Fantasy_Starters'!I22-AVERAGE('2026_Fantasy_Starters'!I$2:'2026_Fantasy_Starters'!I$122))/AVERAGE('2026_Fantasy_Starters'!I$2:'2026_Fantasy_Starters'!I$122)*100+100</f>
        <v>128.01544721820935</v>
      </c>
      <c r="W29">
        <f>(AVERAGE('2026_Fantasy_Starters'!J$2:'2026_Fantasy_Starters'!J$122)-'2026_Fantasy_Starters'!J22)/AVERAGE('2026_Fantasy_Starters'!J$2:'2026_Fantasy_Starters'!J$122)*100+100</f>
        <v>88.739887935815858</v>
      </c>
      <c r="X29">
        <f>(AVERAGE('2026_Fantasy_Starters'!K$2:'2026_Fantasy_Starters'!K$122)-'2026_Fantasy_Starters'!K22)/AVERAGE('2026_Fantasy_Starters'!K$2:'2026_Fantasy_Starters'!K$122)*100+100</f>
        <v>84.032935439348492</v>
      </c>
      <c r="Y29">
        <f>(AVERAGE('2026_Fantasy_Starters'!L$2:'2026_Fantasy_Starters'!L$122)-'2026_Fantasy_Starters'!L22)/AVERAGE('2026_Fantasy_Starters'!L$2:'2026_Fantasy_Starters'!L$122)*100+100</f>
        <v>81.629954347513262</v>
      </c>
      <c r="Z29">
        <f>(AVERAGE('2026_Fantasy_Starters'!M$2:'2026_Fantasy_Starters'!M$122)-'2026_Fantasy_Starters'!M22)/AVERAGE('2026_Fantasy_Starters'!M$2:'2026_Fantasy_Starters'!M$122)*100+100</f>
        <v>57.155175704403185</v>
      </c>
      <c r="AA29">
        <f>(AVERAGE('2026_Fantasy_Starters'!N$2:'2026_Fantasy_Starters'!N$122)-'2026_Fantasy_Starters'!N22)/AVERAGE('2026_Fantasy_Starters'!N$2:'2026_Fantasy_Starters'!N$122)*100+100</f>
        <v>80.213349928685233</v>
      </c>
      <c r="AB29">
        <f>(AVERAGE('2026_Fantasy_Starters'!O$2:'2026_Fantasy_Starters'!O$122)-'2026_Fantasy_Starters'!O22)/AVERAGE('2026_Fantasy_Starters'!O$2:'2026_Fantasy_Starters'!O$122)*100+100</f>
        <v>116.30157114566825</v>
      </c>
      <c r="AC29">
        <f>('2026_Fantasy_Starters'!P22-AVERAGE('2026_Fantasy_Starters'!P$2:'2026_Fantasy_Starters'!P$122))/AVERAGE('2026_Fantasy_Starters'!P$2:'2026_Fantasy_Starters'!P$122)*100+100</f>
        <v>127.62728393791254</v>
      </c>
      <c r="AD29">
        <f>(AVERAGE('2026_Fantasy_Starters'!Q$2:'2026_Fantasy_Starters'!Q$122)-'2026_Fantasy_Starters'!Q22)/AVERAGE('2026_Fantasy_Starters'!Q$2:'2026_Fantasy_Starters'!Q$122)*100+100</f>
        <v>92.11744011580889</v>
      </c>
      <c r="AE29">
        <f>('2026_Fantasy_Starters'!R22-AVERAGE('2026_Fantasy_Starters'!R$2:'2026_Fantasy_Starters'!R$122))/AVERAGE('2026_Fantasy_Starters'!R$2:'2026_Fantasy_Starters'!R$122)*100+100</f>
        <v>108.93936852738774</v>
      </c>
      <c r="AF29">
        <f>('2026_Fantasy_Starters'!T22-AVERAGE('2026_Fantasy_Starters'!T$2:'2026_Fantasy_Starters'!T$122))/AVERAGE('2026_Fantasy_Starters'!T$2:'2026_Fantasy_Starters'!T$122)*100+100</f>
        <v>119.61735531166552</v>
      </c>
      <c r="AG29">
        <f>(AVERAGE('2026_Fantasy_Starters'!U$2:'2026_Fantasy_Starters'!U$122)-'2026_Fantasy_Starters'!U22)/AVERAGE('2026_Fantasy_Starters'!U$2:'2026_Fantasy_Starters'!U$122)*100+100</f>
        <v>99.35141400450668</v>
      </c>
      <c r="AH29">
        <f>(AVERAGE('2026_Fantasy_Starters'!V$2:'2026_Fantasy_Starters'!V$122)-'2026_Fantasy_Starters'!V22)/AVERAGE('2026_Fantasy_Starters'!V$2:'2026_Fantasy_Starters'!V$122)*100+100</f>
        <v>106.00291594270308</v>
      </c>
    </row>
    <row r="30" spans="1:34">
      <c r="A30" t="s">
        <v>117</v>
      </c>
      <c r="B30" t="s">
        <v>51</v>
      </c>
      <c r="C30" t="s">
        <v>118</v>
      </c>
      <c r="D30">
        <v>29</v>
      </c>
      <c r="E30">
        <v>134</v>
      </c>
      <c r="F30" s="4">
        <f>H30*1.5+I30+J30+K30*1.5+L30+M30+N30+O30+P30+Q30</f>
        <v>3.602073468131791</v>
      </c>
      <c r="G30">
        <v>548</v>
      </c>
      <c r="H30">
        <f>(S30-S$123)/S$124</f>
        <v>-0.330794529232256</v>
      </c>
      <c r="I30">
        <f>(T30-T$123)/T$124</f>
        <v>-0.49609103482864908</v>
      </c>
      <c r="J30">
        <f>(U30-U$123)/U$124</f>
        <v>0.17194451149727161</v>
      </c>
      <c r="K30">
        <f>(V30-V$123)/V$124</f>
        <v>-0.55704677579765383</v>
      </c>
      <c r="L30">
        <f>(Z30-Z$123)/Z$124</f>
        <v>6.7216965332495562E-2</v>
      </c>
      <c r="M30">
        <f>(AB30-AB$123)/AB$124</f>
        <v>0.80274522575809981</v>
      </c>
      <c r="N30">
        <f>(AG30-AG$123)/AG$124</f>
        <v>0.48167801797747972</v>
      </c>
      <c r="O30">
        <f>(AH30-AH$123)/AH$124</f>
        <v>0.87449034197437991</v>
      </c>
      <c r="P30">
        <f>(AE30-AE$123)/AE$124</f>
        <v>1.5146937964165441</v>
      </c>
      <c r="Q30">
        <f>(AF30-AF$123)/AF$124</f>
        <v>1.5171576015490338</v>
      </c>
      <c r="S30">
        <f>(E30-AVERAGE(E$2:E$122))/AVERAGE(E$2:E$122)*100+100</f>
        <v>92.838644329049856</v>
      </c>
      <c r="T30">
        <f>('2026_Fantasy_Starters'!G37-AVERAGE('2026_Fantasy_Starters'!G$2:'2026_Fantasy_Starters'!G$122))/AVERAGE('2026_Fantasy_Starters'!G$2:'2026_Fantasy_Starters'!G$122)*100+100</f>
        <v>87.711728286285776</v>
      </c>
      <c r="U30">
        <f>(AVERAGE('2026_Fantasy_Starters'!H$2:'2026_Fantasy_Starters'!H$122)-'2026_Fantasy_Starters'!H37)/AVERAGE('2026_Fantasy_Starters'!H$2:'2026_Fantasy_Starters'!H$122)*100+100</f>
        <v>103.91928160727421</v>
      </c>
      <c r="V30">
        <f>('2026_Fantasy_Starters'!I37-AVERAGE('2026_Fantasy_Starters'!I$2:'2026_Fantasy_Starters'!I$122))/AVERAGE('2026_Fantasy_Starters'!I$2:'2026_Fantasy_Starters'!I$122)*100+100</f>
        <v>81.160777645441343</v>
      </c>
      <c r="W30">
        <f>(AVERAGE('2026_Fantasy_Starters'!J$2:'2026_Fantasy_Starters'!J$122)-'2026_Fantasy_Starters'!J37)/AVERAGE('2026_Fantasy_Starters'!J$2:'2026_Fantasy_Starters'!J$122)*100+100</f>
        <v>112.84908980124224</v>
      </c>
      <c r="X30">
        <f>(AVERAGE('2026_Fantasy_Starters'!K$2:'2026_Fantasy_Starters'!K$122)-'2026_Fantasy_Starters'!K37)/AVERAGE('2026_Fantasy_Starters'!K$2:'2026_Fantasy_Starters'!K$122)*100+100</f>
        <v>117.8292619252905</v>
      </c>
      <c r="Y30">
        <f>(AVERAGE('2026_Fantasy_Starters'!L$2:'2026_Fantasy_Starters'!L$122)-'2026_Fantasy_Starters'!L37)/AVERAGE('2026_Fantasy_Starters'!L$2:'2026_Fantasy_Starters'!L$122)*100+100</f>
        <v>110.96682475707981</v>
      </c>
      <c r="Z30">
        <f>(AVERAGE('2026_Fantasy_Starters'!M$2:'2026_Fantasy_Starters'!M$122)-'2026_Fantasy_Starters'!M37)/AVERAGE('2026_Fantasy_Starters'!M$2:'2026_Fantasy_Starters'!M$122)*100+100</f>
        <v>101.70910085733966</v>
      </c>
      <c r="AA30">
        <f>(AVERAGE('2026_Fantasy_Starters'!N$2:'2026_Fantasy_Starters'!N$122)-'2026_Fantasy_Starters'!N37)/AVERAGE('2026_Fantasy_Starters'!N$2:'2026_Fantasy_Starters'!N$122)*100+100</f>
        <v>73.740618399442525</v>
      </c>
      <c r="AB30">
        <f>(AVERAGE('2026_Fantasy_Starters'!O$2:'2026_Fantasy_Starters'!O$122)-'2026_Fantasy_Starters'!O37)/AVERAGE('2026_Fantasy_Starters'!O$2:'2026_Fantasy_Starters'!O$122)*100+100</f>
        <v>124.88415844830054</v>
      </c>
      <c r="AC30">
        <f>('2026_Fantasy_Starters'!P37-AVERAGE('2026_Fantasy_Starters'!P$2:'2026_Fantasy_Starters'!P$122))/AVERAGE('2026_Fantasy_Starters'!P$2:'2026_Fantasy_Starters'!P$122)*100+100</f>
        <v>108.86768891372722</v>
      </c>
      <c r="AD30">
        <f>(AVERAGE('2026_Fantasy_Starters'!Q$2:'2026_Fantasy_Starters'!Q$122)-'2026_Fantasy_Starters'!Q37)/AVERAGE('2026_Fantasy_Starters'!Q$2:'2026_Fantasy_Starters'!Q$122)*100+100</f>
        <v>110.17927611826693</v>
      </c>
      <c r="AE30">
        <f>('2026_Fantasy_Starters'!R37-AVERAGE('2026_Fantasy_Starters'!R$2:'2026_Fantasy_Starters'!R$122))/AVERAGE('2026_Fantasy_Starters'!R$2:'2026_Fantasy_Starters'!R$122)*100+100</f>
        <v>117.19854941939286</v>
      </c>
      <c r="AF30">
        <f>('2026_Fantasy_Starters'!T37-AVERAGE('2026_Fantasy_Starters'!T$2:'2026_Fantasy_Starters'!T$122))/AVERAGE('2026_Fantasy_Starters'!T$2:'2026_Fantasy_Starters'!T$122)*100+100</f>
        <v>129.81627628305341</v>
      </c>
      <c r="AG30">
        <f>(AVERAGE('2026_Fantasy_Starters'!U$2:'2026_Fantasy_Starters'!U$122)-'2026_Fantasy_Starters'!U37)/AVERAGE('2026_Fantasy_Starters'!U$2:'2026_Fantasy_Starters'!U$122)*100+100</f>
        <v>104.52280946407086</v>
      </c>
      <c r="AH30">
        <f>(AVERAGE('2026_Fantasy_Starters'!V$2:'2026_Fantasy_Starters'!V$122)-'2026_Fantasy_Starters'!V37)/AVERAGE('2026_Fantasy_Starters'!V$2:'2026_Fantasy_Starters'!V$122)*100+100</f>
        <v>105.6655257831266</v>
      </c>
    </row>
    <row r="31" spans="1:34">
      <c r="A31" t="s">
        <v>91</v>
      </c>
      <c r="B31" t="s">
        <v>69</v>
      </c>
      <c r="C31" t="s">
        <v>16</v>
      </c>
      <c r="D31">
        <v>29</v>
      </c>
      <c r="E31">
        <v>181.67</v>
      </c>
      <c r="F31" s="4">
        <f>H31*1.5+I31+J31+K31*1.5+L31+M31+N31+O31+P31+Q31</f>
        <v>3.3407782775856911</v>
      </c>
      <c r="G31">
        <v>749</v>
      </c>
      <c r="H31">
        <f>(S31-S$123)/S$124</f>
        <v>1.1947757470337821</v>
      </c>
      <c r="I31">
        <f>(T31-T$123)/T$124</f>
        <v>0.99418287580165932</v>
      </c>
      <c r="J31">
        <f>(U31-U$123)/U$124</f>
        <v>-0.86741964289363005</v>
      </c>
      <c r="K31">
        <f>(V31-V$123)/V$124</f>
        <v>1.0635600648583576</v>
      </c>
      <c r="L31">
        <f>(Z31-Z$123)/Z$124</f>
        <v>-1.2810194553105989</v>
      </c>
      <c r="M31">
        <f>(AB31-AB$123)/AB$124</f>
        <v>0.88628412370612031</v>
      </c>
      <c r="N31">
        <f>(AG31-AG$123)/AG$124</f>
        <v>0.21838091862484355</v>
      </c>
      <c r="O31">
        <f>(AH31-AH$123)/AH$124</f>
        <v>0.23207259619483006</v>
      </c>
      <c r="P31">
        <f>(AE31-AE$123)/AE$124</f>
        <v>-0.27449417961130507</v>
      </c>
      <c r="Q31">
        <f>(AF31-AF$123)/AF$124</f>
        <v>4.5287323235562088E-2</v>
      </c>
      <c r="S31">
        <f>(E31-AVERAGE(E$2:E$122))/AVERAGE(E$2:E$122)*100+100</f>
        <v>125.86564563625737</v>
      </c>
      <c r="T31">
        <f>('2026_Fantasy_Starters'!G27-AVERAGE('2026_Fantasy_Starters'!G$2:'2026_Fantasy_Starters'!G$122))/AVERAGE('2026_Fantasy_Starters'!G$2:'2026_Fantasy_Starters'!G$122)*100+100</f>
        <v>124.62610378595602</v>
      </c>
      <c r="U31">
        <f>(AVERAGE('2026_Fantasy_Starters'!H$2:'2026_Fantasy_Starters'!H$122)-'2026_Fantasy_Starters'!H27)/AVERAGE('2026_Fantasy_Starters'!H$2:'2026_Fantasy_Starters'!H$122)*100+100</f>
        <v>80.228145565232111</v>
      </c>
      <c r="V31">
        <f>('2026_Fantasy_Starters'!I27-AVERAGE('2026_Fantasy_Starters'!I$2:'2026_Fantasy_Starters'!I$122))/AVERAGE('2026_Fantasy_Starters'!I$2:'2026_Fantasy_Starters'!I$122)*100+100</f>
        <v>135.96941122332916</v>
      </c>
      <c r="W31">
        <f>(AVERAGE('2026_Fantasy_Starters'!J$2:'2026_Fantasy_Starters'!J$122)-'2026_Fantasy_Starters'!J27)/AVERAGE('2026_Fantasy_Starters'!J$2:'2026_Fantasy_Starters'!J$122)*100+100</f>
        <v>72.457920393026228</v>
      </c>
      <c r="X31">
        <f>(AVERAGE('2026_Fantasy_Starters'!K$2:'2026_Fantasy_Starters'!K$122)-'2026_Fantasy_Starters'!K27)/AVERAGE('2026_Fantasy_Starters'!K$2:'2026_Fantasy_Starters'!K$122)*100+100</f>
        <v>73.988049561450907</v>
      </c>
      <c r="Y31">
        <f>(AVERAGE('2026_Fantasy_Starters'!L$2:'2026_Fantasy_Starters'!L$122)-'2026_Fantasy_Starters'!L27)/AVERAGE('2026_Fantasy_Starters'!L$2:'2026_Fantasy_Starters'!L$122)*100+100</f>
        <v>76.168042371136522</v>
      </c>
      <c r="Z31">
        <f>(AVERAGE('2026_Fantasy_Starters'!M$2:'2026_Fantasy_Starters'!M$122)-'2026_Fantasy_Starters'!M27)/AVERAGE('2026_Fantasy_Starters'!M$2:'2026_Fantasy_Starters'!M$122)*100+100</f>
        <v>67.427993237866005</v>
      </c>
      <c r="AA31">
        <f>(AVERAGE('2026_Fantasy_Starters'!N$2:'2026_Fantasy_Starters'!N$122)-'2026_Fantasy_Starters'!N27)/AVERAGE('2026_Fantasy_Starters'!N$2:'2026_Fantasy_Starters'!N$122)*100+100</f>
        <v>79.839020384631141</v>
      </c>
      <c r="AB31">
        <f>(AVERAGE('2026_Fantasy_Starters'!O$2:'2026_Fantasy_Starters'!O$122)-'2026_Fantasy_Starters'!O27)/AVERAGE('2026_Fantasy_Starters'!O$2:'2026_Fantasy_Starters'!O$122)*100+100</f>
        <v>127.47376609270823</v>
      </c>
      <c r="AC31">
        <f>('2026_Fantasy_Starters'!P27-AVERAGE('2026_Fantasy_Starters'!P$2:'2026_Fantasy_Starters'!P$122))/AVERAGE('2026_Fantasy_Starters'!P$2:'2026_Fantasy_Starters'!P$122)*100+100</f>
        <v>122.01239268426129</v>
      </c>
      <c r="AD31">
        <f>(AVERAGE('2026_Fantasy_Starters'!Q$2:'2026_Fantasy_Starters'!Q$122)-'2026_Fantasy_Starters'!Q27)/AVERAGE('2026_Fantasy_Starters'!Q$2:'2026_Fantasy_Starters'!Q$122)*100+100</f>
        <v>84.840823089508021</v>
      </c>
      <c r="AE31">
        <f>('2026_Fantasy_Starters'!R27-AVERAGE('2026_Fantasy_Starters'!R$2:'2026_Fantasy_Starters'!R$122))/AVERAGE('2026_Fantasy_Starters'!R$2:'2026_Fantasy_Starters'!R$122)*100+100</f>
        <v>96.88326332058034</v>
      </c>
      <c r="AF31">
        <f>('2026_Fantasy_Starters'!T27-AVERAGE('2026_Fantasy_Starters'!T$2:'2026_Fantasy_Starters'!T$122))/AVERAGE('2026_Fantasy_Starters'!T$2:'2026_Fantasy_Starters'!T$122)*100+100</f>
        <v>100.89001916500482</v>
      </c>
      <c r="AG31">
        <f>(AVERAGE('2026_Fantasy_Starters'!U$2:'2026_Fantasy_Starters'!U$122)-'2026_Fantasy_Starters'!U27)/AVERAGE('2026_Fantasy_Starters'!U$2:'2026_Fantasy_Starters'!U$122)*100+100</f>
        <v>102.05053012316439</v>
      </c>
      <c r="AH31">
        <f>(AVERAGE('2026_Fantasy_Starters'!V$2:'2026_Fantasy_Starters'!V$122)-'2026_Fantasy_Starters'!V27)/AVERAGE('2026_Fantasy_Starters'!V$2:'2026_Fantasy_Starters'!V$122)*100+100</f>
        <v>101.5035194949442</v>
      </c>
    </row>
    <row r="32" spans="1:34">
      <c r="A32" s="5" t="s">
        <v>62</v>
      </c>
      <c r="B32" s="5" t="s">
        <v>63</v>
      </c>
      <c r="C32" s="5" t="s">
        <v>16</v>
      </c>
      <c r="D32" s="5">
        <v>29</v>
      </c>
      <c r="E32" s="5">
        <v>166.67</v>
      </c>
      <c r="F32" s="6">
        <f>H32*1.5+I32+J32+K32*1.5+L32+M32+N32+O32+P32+Q32</f>
        <v>3.0768573306911642</v>
      </c>
      <c r="G32" s="5">
        <v>691</v>
      </c>
      <c r="H32" s="5">
        <f>(S32-S$123)/S$124</f>
        <v>0.71473475387266217</v>
      </c>
      <c r="I32" s="5">
        <f>(T32-T$123)/T$124</f>
        <v>1.1353194261573518</v>
      </c>
      <c r="J32" s="5">
        <f>(U32-U$123)/U$124</f>
        <v>-0.44589973583509984</v>
      </c>
      <c r="K32" s="5">
        <f>(V32-V$123)/V$124</f>
        <v>0.72558010419798769</v>
      </c>
      <c r="L32" s="5">
        <f>(Z32-Z$123)/Z$124</f>
        <v>-0.67779688129092019</v>
      </c>
      <c r="M32" s="5">
        <f>(AB32-AB$123)/AB$124</f>
        <v>-1.1549927239691615</v>
      </c>
      <c r="N32" s="5">
        <f>(AG32-AG$123)/AG$124</f>
        <v>0.150797941058082</v>
      </c>
      <c r="O32" s="5">
        <f>(AH32-AH$123)/AH$124</f>
        <v>0.5171401045286077</v>
      </c>
      <c r="P32" s="5">
        <f>(AE32-AE$123)/AE$124</f>
        <v>0.93261467936235298</v>
      </c>
      <c r="Q32" s="5">
        <f>(AF32-AF$123)/AF$124</f>
        <v>0.45920223357397655</v>
      </c>
      <c r="R32" s="5"/>
      <c r="S32" s="5">
        <f>(E32-AVERAGE(E$2:E$122))/AVERAGE(E$2:E$122)*100+100</f>
        <v>115.47326007703536</v>
      </c>
      <c r="T32" s="5">
        <f>('2026_Fantasy_Starters'!G17-AVERAGE('2026_Fantasy_Starters'!G$2:'2026_Fantasy_Starters'!G$122))/AVERAGE('2026_Fantasy_Starters'!G$2:'2026_Fantasy_Starters'!G$122)*100+100</f>
        <v>128.12208367220029</v>
      </c>
      <c r="U32" s="5">
        <f>(AVERAGE('2026_Fantasy_Starters'!H$2:'2026_Fantasy_Starters'!H$122)-'2026_Fantasy_Starters'!H17)/AVERAGE('2026_Fantasy_Starters'!H$2:'2026_Fantasy_Starters'!H$122)*100+100</f>
        <v>89.836217404504694</v>
      </c>
      <c r="V32" s="5">
        <f>('2026_Fantasy_Starters'!I17-AVERAGE('2026_Fantasy_Starters'!I$2:'2026_Fantasy_Starters'!I$122))/AVERAGE('2026_Fantasy_Starters'!I$2:'2026_Fantasy_Starters'!I$122)*100+100</f>
        <v>124.53898938640499</v>
      </c>
      <c r="W32" s="5">
        <f>(AVERAGE('2026_Fantasy_Starters'!J$2:'2026_Fantasy_Starters'!J$122)-'2026_Fantasy_Starters'!J17)/AVERAGE('2026_Fantasy_Starters'!J$2:'2026_Fantasy_Starters'!J$122)*100+100</f>
        <v>95.684712136667173</v>
      </c>
      <c r="X32" s="5">
        <f>(AVERAGE('2026_Fantasy_Starters'!K$2:'2026_Fantasy_Starters'!K$122)-'2026_Fantasy_Starters'!K17)/AVERAGE('2026_Fantasy_Starters'!K$2:'2026_Fantasy_Starters'!K$122)*100+100</f>
        <v>87.737511033369103</v>
      </c>
      <c r="Y32" s="5">
        <f>(AVERAGE('2026_Fantasy_Starters'!L$2:'2026_Fantasy_Starters'!L$122)-'2026_Fantasy_Starters'!L17)/AVERAGE('2026_Fantasy_Starters'!L$2:'2026_Fantasy_Starters'!L$122)*100+100</f>
        <v>85.656484972226565</v>
      </c>
      <c r="Z32" s="5">
        <f>(AVERAGE('2026_Fantasy_Starters'!M$2:'2026_Fantasy_Starters'!M$122)-'2026_Fantasy_Starters'!M17)/AVERAGE('2026_Fantasy_Starters'!M$2:'2026_Fantasy_Starters'!M$122)*100+100</f>
        <v>82.765909987363685</v>
      </c>
      <c r="AA32" s="5">
        <f>(AVERAGE('2026_Fantasy_Starters'!N$2:'2026_Fantasy_Starters'!N$122)-'2026_Fantasy_Starters'!N17)/AVERAGE('2026_Fantasy_Starters'!N$2:'2026_Fantasy_Starters'!N$122)*100+100</f>
        <v>138.58611501037478</v>
      </c>
      <c r="AB32" s="5">
        <f>(AVERAGE('2026_Fantasy_Starters'!O$2:'2026_Fantasy_Starters'!O$122)-'2026_Fantasy_Starters'!O17)/AVERAGE('2026_Fantasy_Starters'!O$2:'2026_Fantasy_Starters'!O$122)*100+100</f>
        <v>64.196583140385101</v>
      </c>
      <c r="AC32" s="5">
        <f>('2026_Fantasy_Starters'!P17-AVERAGE('2026_Fantasy_Starters'!P$2:'2026_Fantasy_Starters'!P$122))/AVERAGE('2026_Fantasy_Starters'!P$2:'2026_Fantasy_Starters'!P$122)*100+100</f>
        <v>127.7740620795764</v>
      </c>
      <c r="AD32" s="5">
        <f>(AVERAGE('2026_Fantasy_Starters'!Q$2:'2026_Fantasy_Starters'!Q$122)-'2026_Fantasy_Starters'!Q17)/AVERAGE('2026_Fantasy_Starters'!Q$2:'2026_Fantasy_Starters'!Q$122)*100+100</f>
        <v>66.173422037455907</v>
      </c>
      <c r="AE32" s="5">
        <f>('2026_Fantasy_Starters'!R17-AVERAGE('2026_Fantasy_Starters'!R$2:'2026_Fantasy_Starters'!R$122))/AVERAGE('2026_Fantasy_Starters'!R$2:'2026_Fantasy_Starters'!R$122)*100+100</f>
        <v>110.58934795284108</v>
      </c>
      <c r="AF32" s="5">
        <f>('2026_Fantasy_Starters'!T17-AVERAGE('2026_Fantasy_Starters'!T$2:'2026_Fantasy_Starters'!T$122))/AVERAGE('2026_Fantasy_Starters'!T$2:'2026_Fantasy_Starters'!T$122)*100+100</f>
        <v>109.02457375031933</v>
      </c>
      <c r="AG32" s="5">
        <f>(AVERAGE('2026_Fantasy_Starters'!U$2:'2026_Fantasy_Starters'!U$122)-'2026_Fantasy_Starters'!U17)/AVERAGE('2026_Fantasy_Starters'!U$2:'2026_Fantasy_Starters'!U$122)*100+100</f>
        <v>101.41594660649803</v>
      </c>
      <c r="AH32" s="5">
        <f>(AVERAGE('2026_Fantasy_Starters'!V$2:'2026_Fantasy_Starters'!V$122)-'2026_Fantasy_Starters'!V17)/AVERAGE('2026_Fantasy_Starters'!V$2:'2026_Fantasy_Starters'!V$122)*100+100</f>
        <v>103.35037501852871</v>
      </c>
    </row>
    <row r="33" spans="1:34">
      <c r="A33" t="s">
        <v>134</v>
      </c>
      <c r="B33" t="s">
        <v>57</v>
      </c>
      <c r="C33" t="s">
        <v>16</v>
      </c>
      <c r="D33">
        <v>28</v>
      </c>
      <c r="E33">
        <v>159.66999999999999</v>
      </c>
      <c r="F33" s="4">
        <f>H33*1.5+I33+J33+K33*1.5+L33+M33+N33+O33+P33+Q33</f>
        <v>3.0027375462830612</v>
      </c>
      <c r="G33">
        <v>672</v>
      </c>
      <c r="H33">
        <f>(S33-S$123)/S$124</f>
        <v>0.49071562373080641</v>
      </c>
      <c r="I33">
        <f>(T33-T$123)/T$124</f>
        <v>0.62359714806276101</v>
      </c>
      <c r="J33">
        <f>(U33-U$123)/U$124</f>
        <v>-0.74835072252471124</v>
      </c>
      <c r="K33">
        <f>(V33-V$123)/V$124</f>
        <v>0.56836651407115857</v>
      </c>
      <c r="L33">
        <f>(Z33-Z$123)/Z$124</f>
        <v>-0.28070904398079433</v>
      </c>
      <c r="M33">
        <f>(AB33-AB$123)/AB$124</f>
        <v>-0.2490088406372396</v>
      </c>
      <c r="N33">
        <f>(AG33-AG$123)/AG$124</f>
        <v>0.23937491745427977</v>
      </c>
      <c r="O33">
        <f>(AH33-AH$123)/AH$124</f>
        <v>-0.17132452789445352</v>
      </c>
      <c r="P33">
        <f>(AE33-AE$123)/AE$124</f>
        <v>1.3455855444415894</v>
      </c>
      <c r="Q33">
        <f>(AF33-AF$123)/AF$124</f>
        <v>0.65494986465868277</v>
      </c>
      <c r="S33">
        <f>(E33-AVERAGE(E$2:E$122))/AVERAGE(E$2:E$122)*100+100</f>
        <v>110.62348014939843</v>
      </c>
      <c r="T33">
        <f>('2026_Fantasy_Starters'!G45-AVERAGE('2026_Fantasy_Starters'!G$2:'2026_Fantasy_Starters'!G$122))/AVERAGE('2026_Fantasy_Starters'!G$2:'2026_Fantasy_Starters'!G$122)*100+100</f>
        <v>115.44662301333325</v>
      </c>
      <c r="U33">
        <f>(AVERAGE('2026_Fantasy_Starters'!H$2:'2026_Fantasy_Starters'!H$122)-'2026_Fantasy_Starters'!H45)/AVERAGE('2026_Fantasy_Starters'!H$2:'2026_Fantasy_Starters'!H$122)*100+100</f>
        <v>82.942187586906655</v>
      </c>
      <c r="V33">
        <f>('2026_Fantasy_Starters'!I45-AVERAGE('2026_Fantasy_Starters'!I$2:'2026_Fantasy_Starters'!I$122))/AVERAGE('2026_Fantasy_Starters'!I$2:'2026_Fantasy_Starters'!I$122)*100+100</f>
        <v>119.22205387893938</v>
      </c>
      <c r="W33">
        <f>(AVERAGE('2026_Fantasy_Starters'!J$2:'2026_Fantasy_Starters'!J$122)-'2026_Fantasy_Starters'!J45)/AVERAGE('2026_Fantasy_Starters'!J$2:'2026_Fantasy_Starters'!J$122)*100+100</f>
        <v>94.537624111086345</v>
      </c>
      <c r="X33">
        <f>(AVERAGE('2026_Fantasy_Starters'!K$2:'2026_Fantasy_Starters'!K$122)-'2026_Fantasy_Starters'!K45)/AVERAGE('2026_Fantasy_Starters'!K$2:'2026_Fantasy_Starters'!K$122)*100+100</f>
        <v>91.000977670986515</v>
      </c>
      <c r="Y33">
        <f>(AVERAGE('2026_Fantasy_Starters'!L$2:'2026_Fantasy_Starters'!L$122)-'2026_Fantasy_Starters'!L45)/AVERAGE('2026_Fantasy_Starters'!L$2:'2026_Fantasy_Starters'!L$122)*100+100</f>
        <v>91.382967847507857</v>
      </c>
      <c r="Z33">
        <f>(AVERAGE('2026_Fantasy_Starters'!M$2:'2026_Fantasy_Starters'!M$122)-'2026_Fantasy_Starters'!M45)/AVERAGE('2026_Fantasy_Starters'!M$2:'2026_Fantasy_Starters'!M$122)*100+100</f>
        <v>92.862515209405828</v>
      </c>
      <c r="AA33">
        <f>(AVERAGE('2026_Fantasy_Starters'!N$2:'2026_Fantasy_Starters'!N$122)-'2026_Fantasy_Starters'!N45)/AVERAGE('2026_Fantasy_Starters'!N$2:'2026_Fantasy_Starters'!N$122)*100+100</f>
        <v>138.58608344363785</v>
      </c>
      <c r="AB33">
        <f>(AVERAGE('2026_Fantasy_Starters'!O$2:'2026_Fantasy_Starters'!O$122)-'2026_Fantasy_Starters'!O45)/AVERAGE('2026_Fantasy_Starters'!O$2:'2026_Fantasy_Starters'!O$122)*100+100</f>
        <v>92.281018626310782</v>
      </c>
      <c r="AC33">
        <f>('2026_Fantasy_Starters'!P45-AVERAGE('2026_Fantasy_Starters'!P$2:'2026_Fantasy_Starters'!P$122))/AVERAGE('2026_Fantasy_Starters'!P$2:'2026_Fantasy_Starters'!P$122)*100+100</f>
        <v>127.59782995354578</v>
      </c>
      <c r="AD33">
        <f>(AVERAGE('2026_Fantasy_Starters'!Q$2:'2026_Fantasy_Starters'!Q$122)-'2026_Fantasy_Starters'!Q45)/AVERAGE('2026_Fantasy_Starters'!Q$2:'2026_Fantasy_Starters'!Q$122)*100+100</f>
        <v>68.508679780749119</v>
      </c>
      <c r="AE33">
        <f>('2026_Fantasy_Starters'!R45-AVERAGE('2026_Fantasy_Starters'!R$2:'2026_Fantasy_Starters'!R$122))/AVERAGE('2026_Fantasy_Starters'!R$2:'2026_Fantasy_Starters'!R$122)*100+100</f>
        <v>115.27841438239784</v>
      </c>
      <c r="AF33">
        <f>('2026_Fantasy_Starters'!T45-AVERAGE('2026_Fantasy_Starters'!T$2:'2026_Fantasy_Starters'!T$122))/AVERAGE('2026_Fantasy_Starters'!T$2:'2026_Fantasy_Starters'!T$122)*100+100</f>
        <v>112.87154748872049</v>
      </c>
      <c r="AG33">
        <f>(AVERAGE('2026_Fantasy_Starters'!U$2:'2026_Fantasy_Starters'!U$122)-'2026_Fantasy_Starters'!U45)/AVERAGE('2026_Fantasy_Starters'!U$2:'2026_Fantasy_Starters'!U$122)*100+100</f>
        <v>102.24765735972204</v>
      </c>
      <c r="AH33">
        <f>(AVERAGE('2026_Fantasy_Starters'!V$2:'2026_Fantasy_Starters'!V$122)-'2026_Fantasy_Starters'!V45)/AVERAGE('2026_Fantasy_Starters'!V$2:'2026_Fantasy_Starters'!V$122)*100+100</f>
        <v>98.890046598025762</v>
      </c>
    </row>
    <row r="34" spans="1:34">
      <c r="A34" t="s">
        <v>93</v>
      </c>
      <c r="B34" t="s">
        <v>40</v>
      </c>
      <c r="C34" t="s">
        <v>16</v>
      </c>
      <c r="D34">
        <v>12</v>
      </c>
      <c r="E34">
        <v>68.67</v>
      </c>
      <c r="F34" s="4">
        <f>H34*1.5+I34+J34+K34*1.5+L34+M34+N34+O34+P34+Q34</f>
        <v>2.6798672913538724</v>
      </c>
      <c r="G34">
        <v>278</v>
      </c>
      <c r="H34">
        <f>(S34-S$123)/S$124</f>
        <v>-2.4215330681133187</v>
      </c>
      <c r="I34">
        <f>(T34-T$123)/T$124</f>
        <v>-1.7895662090098761</v>
      </c>
      <c r="J34">
        <f>(U34-U$123)/U$124</f>
        <v>2.5613272175358919</v>
      </c>
      <c r="K34">
        <f>(V34-V$123)/V$124</f>
        <v>-1.3435926089327979</v>
      </c>
      <c r="L34">
        <f>(Z34-Z$123)/Z$124</f>
        <v>2.2118145437884928</v>
      </c>
      <c r="M34">
        <f>(AB34-AB$123)/AB$124</f>
        <v>2.0638985857384111</v>
      </c>
      <c r="N34">
        <f>(AG34-AG$123)/AG$124</f>
        <v>1.1121923036601522</v>
      </c>
      <c r="O34">
        <f>(AH34-AH$123)/AH$124</f>
        <v>1.2753872559388375</v>
      </c>
      <c r="P34">
        <f>(AE34-AE$123)/AE$124</f>
        <v>-7.4433971544505706E-2</v>
      </c>
      <c r="Q34">
        <f>(AF34-AF$123)/AF$124</f>
        <v>0.96693608081564386</v>
      </c>
      <c r="S34">
        <f>(E34-AVERAGE(E$2:E$122))/AVERAGE(E$2:E$122)*100+100</f>
        <v>47.576341090118312</v>
      </c>
      <c r="T34">
        <f>('2026_Fantasy_Starters'!G28-AVERAGE('2026_Fantasy_Starters'!G$2:'2026_Fantasy_Starters'!G$122))/AVERAGE('2026_Fantasy_Starters'!G$2:'2026_Fantasy_Starters'!G$122)*100+100</f>
        <v>55.672095881372819</v>
      </c>
      <c r="U34">
        <f>(AVERAGE('2026_Fantasy_Starters'!H$2:'2026_Fantasy_Starters'!H$122)-'2026_Fantasy_Starters'!H28)/AVERAGE('2026_Fantasy_Starters'!H$2:'2026_Fantasy_Starters'!H$122)*100+100</f>
        <v>158.38257101947946</v>
      </c>
      <c r="V34">
        <f>('2026_Fantasy_Starters'!I28-AVERAGE('2026_Fantasy_Starters'!I$2:'2026_Fantasy_Starters'!I$122))/AVERAGE('2026_Fantasy_Starters'!I$2:'2026_Fantasy_Starters'!I$122)*100+100</f>
        <v>54.559938207377421</v>
      </c>
      <c r="W34">
        <f>(AVERAGE('2026_Fantasy_Starters'!J$2:'2026_Fantasy_Starters'!J$122)-'2026_Fantasy_Starters'!J28)/AVERAGE('2026_Fantasy_Starters'!J$2:'2026_Fantasy_Starters'!J$122)*100+100</f>
        <v>151.82590570716175</v>
      </c>
      <c r="X34">
        <f>(AVERAGE('2026_Fantasy_Starters'!K$2:'2026_Fantasy_Starters'!K$122)-'2026_Fantasy_Starters'!K28)/AVERAGE('2026_Fantasy_Starters'!K$2:'2026_Fantasy_Starters'!K$122)*100+100</f>
        <v>156.04242484454267</v>
      </c>
      <c r="Y34">
        <f>(AVERAGE('2026_Fantasy_Starters'!L$2:'2026_Fantasy_Starters'!L$122)-'2026_Fantasy_Starters'!L28)/AVERAGE('2026_Fantasy_Starters'!L$2:'2026_Fantasy_Starters'!L$122)*100+100</f>
        <v>157.2030017542827</v>
      </c>
      <c r="Z34">
        <f>(AVERAGE('2026_Fantasy_Starters'!M$2:'2026_Fantasy_Starters'!M$122)-'2026_Fantasy_Starters'!M28)/AVERAGE('2026_Fantasy_Starters'!M$2:'2026_Fantasy_Starters'!M$122)*100+100</f>
        <v>156.23898839178617</v>
      </c>
      <c r="AA34">
        <f>(AVERAGE('2026_Fantasy_Starters'!N$2:'2026_Fantasy_Starters'!N$122)-'2026_Fantasy_Starters'!N28)/AVERAGE('2026_Fantasy_Starters'!N$2:'2026_Fantasy_Starters'!N$122)*100+100</f>
        <v>138.58612004631337</v>
      </c>
      <c r="AB34">
        <f>(AVERAGE('2026_Fantasy_Starters'!O$2:'2026_Fantasy_Starters'!O$122)-'2026_Fantasy_Starters'!O28)/AVERAGE('2026_Fantasy_Starters'!O$2:'2026_Fantasy_Starters'!O$122)*100+100</f>
        <v>163.97843024259163</v>
      </c>
      <c r="AC34">
        <f>('2026_Fantasy_Starters'!P28-AVERAGE('2026_Fantasy_Starters'!P$2:'2026_Fantasy_Starters'!P$122))/AVERAGE('2026_Fantasy_Starters'!P$2:'2026_Fantasy_Starters'!P$122)*100+100</f>
        <v>47.201189244310825</v>
      </c>
      <c r="AD34">
        <f>(AVERAGE('2026_Fantasy_Starters'!Q$2:'2026_Fantasy_Starters'!Q$122)-'2026_Fantasy_Starters'!Q28)/AVERAGE('2026_Fantasy_Starters'!Q$2:'2026_Fantasy_Starters'!Q$122)*100+100</f>
        <v>168.85481844607989</v>
      </c>
      <c r="AE34">
        <f>('2026_Fantasy_Starters'!R28-AVERAGE('2026_Fantasy_Starters'!R$2:'2026_Fantasy_Starters'!R$122))/AVERAGE('2026_Fantasy_Starters'!R$2:'2026_Fantasy_Starters'!R$122)*100+100</f>
        <v>99.154841499239936</v>
      </c>
      <c r="AF34">
        <f>('2026_Fantasy_Starters'!T28-AVERAGE('2026_Fantasy_Starters'!T$2:'2026_Fantasy_Starters'!T$122))/AVERAGE('2026_Fantasy_Starters'!T$2:'2026_Fantasy_Starters'!T$122)*100+100</f>
        <v>119.00292580297254</v>
      </c>
      <c r="AG34">
        <f>(AVERAGE('2026_Fantasy_Starters'!U$2:'2026_Fantasy_Starters'!U$122)-'2026_Fantasy_Starters'!U28)/AVERAGE('2026_Fantasy_Starters'!U$2:'2026_Fantasy_Starters'!U$122)*100+100</f>
        <v>110.44314602103363</v>
      </c>
      <c r="AH34">
        <f>(AVERAGE('2026_Fantasy_Starters'!V$2:'2026_Fantasy_Starters'!V$122)-'2026_Fantasy_Starters'!V28)/AVERAGE('2026_Fantasy_Starters'!V$2:'2026_Fantasy_Starters'!V$122)*100+100</f>
        <v>108.26280066819112</v>
      </c>
    </row>
    <row r="35" spans="1:34">
      <c r="A35" t="s">
        <v>73</v>
      </c>
      <c r="B35" t="s">
        <v>74</v>
      </c>
      <c r="C35" t="s">
        <v>16</v>
      </c>
      <c r="D35">
        <v>24</v>
      </c>
      <c r="E35">
        <v>134</v>
      </c>
      <c r="F35" s="4">
        <f>H35*1.5+I35+J35+K35*1.5+L35+M35+N35+O35+P35+Q35</f>
        <v>2.6579088101495909</v>
      </c>
      <c r="G35">
        <v>554</v>
      </c>
      <c r="H35">
        <f>(S35-S$123)/S$124</f>
        <v>-0.330794529232256</v>
      </c>
      <c r="I35">
        <f>(T35-T$123)/T$124</f>
        <v>-0.30699259960527103</v>
      </c>
      <c r="J35">
        <f>(U35-U$123)/U$124</f>
        <v>0.38026151509099526</v>
      </c>
      <c r="K35">
        <f>(V35-V$123)/V$124</f>
        <v>5.4515290128515873E-2</v>
      </c>
      <c r="L35">
        <f>(Z35-Z$123)/Z$124</f>
        <v>0.73722287513604845</v>
      </c>
      <c r="M35">
        <f>(AB35-AB$123)/AB$124</f>
        <v>2.5432417475417104E-2</v>
      </c>
      <c r="N35">
        <f>(AG35-AG$123)/AG$124</f>
        <v>0.82337326378411935</v>
      </c>
      <c r="O35">
        <f>(AH35-AH$123)/AH$124</f>
        <v>0.31685767211677579</v>
      </c>
      <c r="P35">
        <f>(AE35-AE$123)/AE$124</f>
        <v>0.5889238178109929</v>
      </c>
      <c r="Q35">
        <f>(AF35-AF$123)/AF$124</f>
        <v>0.50724870699612301</v>
      </c>
      <c r="S35">
        <f>(E35-AVERAGE(E$2:E$122))/AVERAGE(E$2:E$122)*100+100</f>
        <v>92.838644329049856</v>
      </c>
      <c r="T35">
        <f>('2026_Fantasy_Starters'!G21-AVERAGE('2026_Fantasy_Starters'!G$2:'2026_Fantasy_Starters'!G$122))/AVERAGE('2026_Fantasy_Starters'!G$2:'2026_Fantasy_Starters'!G$122)*100+100</f>
        <v>92.39573341745222</v>
      </c>
      <c r="U35">
        <f>(AVERAGE('2026_Fantasy_Starters'!H$2:'2026_Fantasy_Starters'!H$122)-'2026_Fantasy_Starters'!H21)/AVERAGE('2026_Fantasy_Starters'!H$2:'2026_Fantasy_Starters'!H$122)*100+100</f>
        <v>108.66763323279443</v>
      </c>
      <c r="V35">
        <f>('2026_Fantasy_Starters'!I21-AVERAGE('2026_Fantasy_Starters'!I$2:'2026_Fantasy_Starters'!I$122))/AVERAGE('2026_Fantasy_Starters'!I$2:'2026_Fantasy_Starters'!I$122)*100+100</f>
        <v>101.84369736452341</v>
      </c>
      <c r="W35">
        <f>(AVERAGE('2026_Fantasy_Starters'!J$2:'2026_Fantasy_Starters'!J$122)-'2026_Fantasy_Starters'!J21)/AVERAGE('2026_Fantasy_Starters'!J$2:'2026_Fantasy_Starters'!J$122)*100+100</f>
        <v>110.16001021941761</v>
      </c>
      <c r="X35">
        <f>(AVERAGE('2026_Fantasy_Starters'!K$2:'2026_Fantasy_Starters'!K$122)-'2026_Fantasy_Starters'!K21)/AVERAGE('2026_Fantasy_Starters'!K$2:'2026_Fantasy_Starters'!K$122)*100+100</f>
        <v>113.45202498380299</v>
      </c>
      <c r="Y35">
        <f>(AVERAGE('2026_Fantasy_Starters'!L$2:'2026_Fantasy_Starters'!L$122)-'2026_Fantasy_Starters'!L21)/AVERAGE('2026_Fantasy_Starters'!L$2:'2026_Fantasy_Starters'!L$122)*100+100</f>
        <v>113.95869415982963</v>
      </c>
      <c r="Z35">
        <f>(AVERAGE('2026_Fantasy_Starters'!M$2:'2026_Fantasy_Starters'!M$122)-'2026_Fantasy_Starters'!M21)/AVERAGE('2026_Fantasy_Starters'!M$2:'2026_Fantasy_Starters'!M$122)*100+100</f>
        <v>118.74509272640904</v>
      </c>
      <c r="AA35">
        <f>(AVERAGE('2026_Fantasy_Starters'!N$2:'2026_Fantasy_Starters'!N$122)-'2026_Fantasy_Starters'!N21)/AVERAGE('2026_Fantasy_Starters'!N$2:'2026_Fantasy_Starters'!N$122)*100+100</f>
        <v>138.58612004631337</v>
      </c>
      <c r="AB35">
        <f>(AVERAGE('2026_Fantasy_Starters'!O$2:'2026_Fantasy_Starters'!O$122)-'2026_Fantasy_Starters'!O21)/AVERAGE('2026_Fantasy_Starters'!O$2:'2026_Fantasy_Starters'!O$122)*100+100</f>
        <v>100.78837504836471</v>
      </c>
      <c r="AC35">
        <f>('2026_Fantasy_Starters'!P21-AVERAGE('2026_Fantasy_Starters'!P$2:'2026_Fantasy_Starters'!P$122))/AVERAGE('2026_Fantasy_Starters'!P$2:'2026_Fantasy_Starters'!P$122)*100+100</f>
        <v>99.103260353656594</v>
      </c>
      <c r="AD35">
        <f>(AVERAGE('2026_Fantasy_Starters'!Q$2:'2026_Fantasy_Starters'!Q$122)-'2026_Fantasy_Starters'!Q21)/AVERAGE('2026_Fantasy_Starters'!Q$2:'2026_Fantasy_Starters'!Q$122)*100+100</f>
        <v>104.87716267892719</v>
      </c>
      <c r="AE35">
        <f>('2026_Fantasy_Starters'!R21-AVERAGE('2026_Fantasy_Starters'!R$2:'2026_Fantasy_Starters'!R$122))/AVERAGE('2026_Fantasy_Starters'!R$2:'2026_Fantasy_Starters'!R$122)*100+100</f>
        <v>106.68691943470165</v>
      </c>
      <c r="AF35">
        <f>('2026_Fantasy_Starters'!T21-AVERAGE('2026_Fantasy_Starters'!T$2:'2026_Fantasy_Starters'!T$122))/AVERAGE('2026_Fantasy_Starters'!T$2:'2026_Fantasy_Starters'!T$122)*100+100</f>
        <v>109.96881772636931</v>
      </c>
      <c r="AG35">
        <f>(AVERAGE('2026_Fantasy_Starters'!U$2:'2026_Fantasy_Starters'!U$122)-'2026_Fantasy_Starters'!U21)/AVERAGE('2026_Fantasy_Starters'!U$2:'2026_Fantasy_Starters'!U$122)*100+100</f>
        <v>107.73122345408717</v>
      </c>
      <c r="AH35">
        <f>(AVERAGE('2026_Fantasy_Starters'!V$2:'2026_Fantasy_Starters'!V$122)-'2026_Fantasy_Starters'!V21)/AVERAGE('2026_Fantasy_Starters'!V$2:'2026_Fantasy_Starters'!V$122)*100+100</f>
        <v>102.05281319277466</v>
      </c>
    </row>
    <row r="36" spans="1:34" s="5" customFormat="1">
      <c r="A36" s="5" t="s">
        <v>142</v>
      </c>
      <c r="B36" s="5" t="s">
        <v>23</v>
      </c>
      <c r="C36" s="5" t="s">
        <v>16</v>
      </c>
      <c r="D36" s="5">
        <v>27</v>
      </c>
      <c r="E36" s="5">
        <v>166</v>
      </c>
      <c r="F36" s="6">
        <f>H36*1.5+I36+J36+K36*1.5+L36+M36+N36+O36+P36+Q36</f>
        <v>2.4516631440185179</v>
      </c>
      <c r="G36" s="5">
        <v>694</v>
      </c>
      <c r="H36" s="5">
        <f>(S36-S$123)/S$124</f>
        <v>0.69329292284479893</v>
      </c>
      <c r="I36" s="5">
        <f>(T36-T$123)/T$124</f>
        <v>1.014138009382727</v>
      </c>
      <c r="J36" s="5">
        <f>(U36-U$123)/U$124</f>
        <v>-0.50145195788013386</v>
      </c>
      <c r="K36" s="5">
        <f>(V36-V$123)/V$124</f>
        <v>0.75581348691468064</v>
      </c>
      <c r="L36" s="5">
        <f>(Z36-Z$123)/Z$124</f>
        <v>0.3643277904354843</v>
      </c>
      <c r="M36" s="5">
        <f>(AB36-AB$123)/AB$124</f>
        <v>0.32219019527083004</v>
      </c>
      <c r="N36" s="5">
        <f>(AG36-AG$123)/AG$124</f>
        <v>0.94050786397398789</v>
      </c>
      <c r="O36" s="5">
        <f>(AH36-AH$123)/AH$124</f>
        <v>-0.20182243035874509</v>
      </c>
      <c r="P36" s="5">
        <f>(AE36-AE$123)/AE$124</f>
        <v>-1.0344713951682711</v>
      </c>
      <c r="Q36" s="5">
        <f>(AF36-AF$123)/AF$124</f>
        <v>-0.62541454627658066</v>
      </c>
      <c r="S36" s="5">
        <f>(E36-AVERAGE(E$2:E$122))/AVERAGE(E$2:E$122)*100+100</f>
        <v>115.00906685539012</v>
      </c>
      <c r="T36" s="5">
        <f>('2026_Fantasy_Starters'!G48-AVERAGE('2026_Fantasy_Starters'!G$2:'2026_Fantasy_Starters'!G$122))/AVERAGE('2026_Fantasy_Starters'!G$2:'2026_Fantasy_Starters'!G$122)*100+100</f>
        <v>125.12039633775011</v>
      </c>
      <c r="U36" s="5">
        <f>(AVERAGE('2026_Fantasy_Starters'!H$2:'2026_Fantasy_Starters'!H$122)-'2026_Fantasy_Starters'!H48)/AVERAGE('2026_Fantasy_Starters'!H$2:'2026_Fantasy_Starters'!H$122)*100+100</f>
        <v>88.569967029843752</v>
      </c>
      <c r="V36" s="5">
        <f>('2026_Fantasy_Starters'!I48-AVERAGE('2026_Fantasy_Starters'!I$2:'2026_Fantasy_Starters'!I$122))/AVERAGE('2026_Fantasy_Starters'!I$2:'2026_Fantasy_Starters'!I$122)*100+100</f>
        <v>125.56147698399437</v>
      </c>
      <c r="W36" s="5">
        <f>(AVERAGE('2026_Fantasy_Starters'!J$2:'2026_Fantasy_Starters'!J$122)-'2026_Fantasy_Starters'!J48)/AVERAGE('2026_Fantasy_Starters'!J$2:'2026_Fantasy_Starters'!J$122)*100+100</f>
        <v>78.283517851998056</v>
      </c>
      <c r="X36" s="5">
        <f>(AVERAGE('2026_Fantasy_Starters'!K$2:'2026_Fantasy_Starters'!K$122)-'2026_Fantasy_Starters'!K48)/AVERAGE('2026_Fantasy_Starters'!K$2:'2026_Fantasy_Starters'!K$122)*100+100</f>
        <v>86.106443957680213</v>
      </c>
      <c r="Y36" s="5">
        <f>(AVERAGE('2026_Fantasy_Starters'!L$2:'2026_Fantasy_Starters'!L$122)-'2026_Fantasy_Starters'!L48)/AVERAGE('2026_Fantasy_Starters'!L$2:'2026_Fantasy_Starters'!L$122)*100+100</f>
        <v>94.682067888393448</v>
      </c>
      <c r="Z36" s="5">
        <f>(AVERAGE('2026_Fantasy_Starters'!M$2:'2026_Fantasy_Starters'!M$122)-'2026_Fantasy_Starters'!M48)/AVERAGE('2026_Fantasy_Starters'!M$2:'2026_Fantasy_Starters'!M$122)*100+100</f>
        <v>109.26362765569444</v>
      </c>
      <c r="AA36" s="5">
        <f>(AVERAGE('2026_Fantasy_Starters'!N$2:'2026_Fantasy_Starters'!N$122)-'2026_Fantasy_Starters'!N48)/AVERAGE('2026_Fantasy_Starters'!N$2:'2026_Fantasy_Starters'!N$122)*100+100</f>
        <v>79.635582959707477</v>
      </c>
      <c r="AB36" s="5">
        <f>(AVERAGE('2026_Fantasy_Starters'!O$2:'2026_Fantasy_Starters'!O$122)-'2026_Fantasy_Starters'!O48)/AVERAGE('2026_Fantasy_Starters'!O$2:'2026_Fantasy_Starters'!O$122)*100+100</f>
        <v>109.9875173496506</v>
      </c>
      <c r="AC36" s="5">
        <f>('2026_Fantasy_Starters'!P48-AVERAGE('2026_Fantasy_Starters'!P$2:'2026_Fantasy_Starters'!P$122))/AVERAGE('2026_Fantasy_Starters'!P$2:'2026_Fantasy_Starters'!P$122)*100+100</f>
        <v>101.55821505452113</v>
      </c>
      <c r="AD36" s="5">
        <f>(AVERAGE('2026_Fantasy_Starters'!Q$2:'2026_Fantasy_Starters'!Q$122)-'2026_Fantasy_Starters'!Q48)/AVERAGE('2026_Fantasy_Starters'!Q$2:'2026_Fantasy_Starters'!Q$122)*100+100</f>
        <v>97.081819355325919</v>
      </c>
      <c r="AE36" s="5">
        <f>('2026_Fantasy_Starters'!R48-AVERAGE('2026_Fantasy_Starters'!R$2:'2026_Fantasy_Starters'!R$122))/AVERAGE('2026_Fantasy_Starters'!R$2:'2026_Fantasy_Starters'!R$122)*100+100</f>
        <v>88.254122744253124</v>
      </c>
      <c r="AF36" s="5">
        <f>('2026_Fantasy_Starters'!T48-AVERAGE('2026_Fantasy_Starters'!T$2:'2026_Fantasy_Starters'!T$122))/AVERAGE('2026_Fantasy_Starters'!T$2:'2026_Fantasy_Starters'!T$122)*100+100</f>
        <v>87.70890190697142</v>
      </c>
      <c r="AG36" s="5">
        <f>(AVERAGE('2026_Fantasy_Starters'!U$2:'2026_Fantasy_Starters'!U$122)-'2026_Fantasy_Starters'!U48)/AVERAGE('2026_Fantasy_Starters'!U$2:'2026_Fantasy_Starters'!U$122)*100+100</f>
        <v>108.83108157203363</v>
      </c>
      <c r="AH36" s="5">
        <f>(AVERAGE('2026_Fantasy_Starters'!V$2:'2026_Fantasy_Starters'!V$122)-'2026_Fantasy_Starters'!V48)/AVERAGE('2026_Fantasy_Starters'!V$2:'2026_Fantasy_Starters'!V$122)*100+100</f>
        <v>98.692461050822786</v>
      </c>
    </row>
    <row r="37" spans="1:34">
      <c r="A37" s="9" t="s">
        <v>1034</v>
      </c>
      <c r="B37" t="s">
        <v>57</v>
      </c>
      <c r="C37" t="s">
        <v>16</v>
      </c>
      <c r="D37">
        <v>25</v>
      </c>
      <c r="E37">
        <v>155</v>
      </c>
      <c r="F37" s="4">
        <f>H37*1.5+I37+J37+K37*1.5+L37+M37+N37+O37+P37+Q37</f>
        <v>2.4067026207298325</v>
      </c>
      <c r="G37">
        <v>631</v>
      </c>
      <c r="H37">
        <f>(S37-S$123)/S$124</f>
        <v>0.34126286119331112</v>
      </c>
      <c r="I37">
        <f>(T37-T$123)/T$124</f>
        <v>0.24493681779912713</v>
      </c>
      <c r="J37">
        <f>(U37-U$123)/U$124</f>
        <v>0.13431236107966804</v>
      </c>
      <c r="K37">
        <f>(V37-V$123)/V$124</f>
        <v>0.55476149184864609</v>
      </c>
      <c r="L37">
        <f>(Z37-Z$123)/Z$124</f>
        <v>-9.9193683119191661E-2</v>
      </c>
      <c r="M37">
        <f>(AB37-AB$123)/AB$124</f>
        <v>-9.2541220253575848E-2</v>
      </c>
      <c r="N37">
        <f>(AG37-AG$123)/AG$124</f>
        <v>0.23048685208772782</v>
      </c>
      <c r="O37">
        <f>(AH37-AH$123)/AH$124</f>
        <v>0.91593113890464373</v>
      </c>
      <c r="P37">
        <f>(AE37-AE$123)/AE$124</f>
        <v>-0.47889701528124795</v>
      </c>
      <c r="Q37">
        <f>(AF37-AF$123)/AF$124</f>
        <v>0.20763083994974582</v>
      </c>
      <c r="S37">
        <f>(E37-AVERAGE(E$2:E$122))/AVERAGE(E$2:E$122)*100+100</f>
        <v>107.38798411196065</v>
      </c>
      <c r="T37">
        <f>('2026_Fantasy_Starters'!G40-AVERAGE('2026_Fantasy_Starters'!G$2:'2026_Fantasy_Starters'!G$122))/AVERAGE('2026_Fantasy_Starters'!G$2:'2026_Fantasy_Starters'!G$122)*100+100</f>
        <v>106.06713276092123</v>
      </c>
      <c r="U37">
        <f>(AVERAGE('2026_Fantasy_Starters'!H$2:'2026_Fantasy_Starters'!H$122)-'2026_Fantasy_Starters'!H40)/AVERAGE('2026_Fantasy_Starters'!H$2:'2026_Fantasy_Starters'!H$122)*100+100</f>
        <v>103.06149909540713</v>
      </c>
      <c r="V37">
        <f>('2026_Fantasy_Starters'!I40-AVERAGE('2026_Fantasy_Starters'!I$2:'2026_Fantasy_Starters'!I$122))/AVERAGE('2026_Fantasy_Starters'!I$2:'2026_Fantasy_Starters'!I$122)*100+100</f>
        <v>118.76193446002414</v>
      </c>
      <c r="W37">
        <f>(AVERAGE('2026_Fantasy_Starters'!J$2:'2026_Fantasy_Starters'!J$122)-'2026_Fantasy_Starters'!J40)/AVERAGE('2026_Fantasy_Starters'!J$2:'2026_Fantasy_Starters'!J$122)*100+100</f>
        <v>93.465607226224535</v>
      </c>
      <c r="X37">
        <f>(AVERAGE('2026_Fantasy_Starters'!K$2:'2026_Fantasy_Starters'!K$122)-'2026_Fantasy_Starters'!K40)/AVERAGE('2026_Fantasy_Starters'!K$2:'2026_Fantasy_Starters'!K$122)*100+100</f>
        <v>97.985190221470987</v>
      </c>
      <c r="Y37">
        <f>(AVERAGE('2026_Fantasy_Starters'!L$2:'2026_Fantasy_Starters'!L$122)-'2026_Fantasy_Starters'!L40)/AVERAGE('2026_Fantasy_Starters'!L$2:'2026_Fantasy_Starters'!L$122)*100+100</f>
        <v>94.469759890891439</v>
      </c>
      <c r="Z37">
        <f>(AVERAGE('2026_Fantasy_Starters'!M$2:'2026_Fantasy_Starters'!M$122)-'2026_Fantasy_Starters'!M40)/AVERAGE('2026_Fantasy_Starters'!M$2:'2026_Fantasy_Starters'!M$122)*100+100</f>
        <v>97.477838994618594</v>
      </c>
      <c r="AA37">
        <f>(AVERAGE('2026_Fantasy_Starters'!N$2:'2026_Fantasy_Starters'!N$122)-'2026_Fantasy_Starters'!N40)/AVERAGE('2026_Fantasy_Starters'!N$2:'2026_Fantasy_Starters'!N$122)*100+100</f>
        <v>85.061011469006061</v>
      </c>
      <c r="AB37">
        <f>(AVERAGE('2026_Fantasy_Starters'!O$2:'2026_Fantasy_Starters'!O$122)-'2026_Fantasy_Starters'!O40)/AVERAGE('2026_Fantasy_Starters'!O$2:'2026_Fantasy_Starters'!O$122)*100+100</f>
        <v>97.131330945488529</v>
      </c>
      <c r="AC37">
        <f>('2026_Fantasy_Starters'!P40-AVERAGE('2026_Fantasy_Starters'!P$2:'2026_Fantasy_Starters'!P$122))/AVERAGE('2026_Fantasy_Starters'!P$2:'2026_Fantasy_Starters'!P$122)*100+100</f>
        <v>101.60662993749136</v>
      </c>
      <c r="AD37">
        <f>(AVERAGE('2026_Fantasy_Starters'!Q$2:'2026_Fantasy_Starters'!Q$122)-'2026_Fantasy_Starters'!Q40)/AVERAGE('2026_Fantasy_Starters'!Q$2:'2026_Fantasy_Starters'!Q$122)*100+100</f>
        <v>113.66344504885004</v>
      </c>
      <c r="AE37">
        <f>('2026_Fantasy_Starters'!R40-AVERAGE('2026_Fantasy_Starters'!R$2:'2026_Fantasy_Starters'!R$122))/AVERAGE('2026_Fantasy_Starters'!R$2:'2026_Fantasy_Starters'!R$122)*100+100</f>
        <v>94.562376895185082</v>
      </c>
      <c r="AF37">
        <f>('2026_Fantasy_Starters'!T40-AVERAGE('2026_Fantasy_Starters'!T$2:'2026_Fantasy_Starters'!T$122))/AVERAGE('2026_Fantasy_Starters'!T$2:'2026_Fantasy_Starters'!T$122)*100+100</f>
        <v>104.08051113641928</v>
      </c>
      <c r="AG37">
        <f>(AVERAGE('2026_Fantasy_Starters'!U$2:'2026_Fantasy_Starters'!U$122)-'2026_Fantasy_Starters'!U40)/AVERAGE('2026_Fantasy_Starters'!U$2:'2026_Fantasy_Starters'!U$122)*100+100</f>
        <v>102.16420114071933</v>
      </c>
      <c r="AH37">
        <f>(AVERAGE('2026_Fantasy_Starters'!V$2:'2026_Fantasy_Starters'!V$122)-'2026_Fantasy_Starters'!V40)/AVERAGE('2026_Fantasy_Starters'!V$2:'2026_Fantasy_Starters'!V$122)*100+100</f>
        <v>105.93400662529535</v>
      </c>
    </row>
    <row r="38" spans="1:34">
      <c r="A38" s="9" t="s">
        <v>1033</v>
      </c>
      <c r="B38" t="s">
        <v>26</v>
      </c>
      <c r="C38" t="s">
        <v>16</v>
      </c>
      <c r="D38">
        <v>34</v>
      </c>
      <c r="E38">
        <v>133.33000000000001</v>
      </c>
      <c r="F38" s="4">
        <f>H38*1.5+I38+J38+K38*1.5+L38+M38+N38+O38+P38+Q38</f>
        <v>1.8721270673103532</v>
      </c>
      <c r="G38">
        <v>547</v>
      </c>
      <c r="H38">
        <f>(S38-S$123)/S$124</f>
        <v>-0.35223636026011917</v>
      </c>
      <c r="I38">
        <f>(T38-T$123)/T$124</f>
        <v>-0.31502799970189421</v>
      </c>
      <c r="J38">
        <f>(U38-U$123)/U$124</f>
        <v>0.90087423988093052</v>
      </c>
      <c r="K38">
        <f>(V38-V$123)/V$124</f>
        <v>-1.0738820414020314</v>
      </c>
      <c r="L38">
        <f>(Z38-Z$123)/Z$124</f>
        <v>-2.7392734313800633E-2</v>
      </c>
      <c r="M38">
        <f>(AB38-AB$123)/AB$124</f>
        <v>0.26783213159358993</v>
      </c>
      <c r="N38">
        <f>(AG38-AG$123)/AG$124</f>
        <v>-0.12602453048842477</v>
      </c>
      <c r="O38">
        <f>(AH38-AH$123)/AH$124</f>
        <v>0.78374623381722974</v>
      </c>
      <c r="P38">
        <f>(AE38-AE$123)/AE$124</f>
        <v>1.3901718210449847</v>
      </c>
      <c r="Q38">
        <f>(AF38-AF$123)/AF$124</f>
        <v>1.1371255079709639</v>
      </c>
      <c r="S38">
        <f>(E38-AVERAGE(E$2:E$122))/AVERAGE(E$2:E$122)*100+100</f>
        <v>92.37445110740461</v>
      </c>
      <c r="T38">
        <f>('2026_Fantasy_Starters'!G50-AVERAGE('2026_Fantasy_Starters'!G$2:'2026_Fantasy_Starters'!G$122))/AVERAGE('2026_Fantasy_Starters'!G$2:'2026_Fantasy_Starters'!G$122)*100+100</f>
        <v>92.196694989455196</v>
      </c>
      <c r="U38">
        <f>(AVERAGE('2026_Fantasy_Starters'!H$2:'2026_Fantasy_Starters'!H$122)-'2026_Fantasy_Starters'!H50)/AVERAGE('2026_Fantasy_Starters'!H$2:'2026_Fantasy_Starters'!H$122)*100+100</f>
        <v>120.53441431824048</v>
      </c>
      <c r="V38">
        <f>('2026_Fantasy_Starters'!I50-AVERAGE('2026_Fantasy_Starters'!I$2:'2026_Fantasy_Starters'!I$122))/AVERAGE('2026_Fantasy_Starters'!I$2:'2026_Fantasy_Starters'!I$122)*100+100</f>
        <v>63.681501375587978</v>
      </c>
      <c r="W38">
        <f>(AVERAGE('2026_Fantasy_Starters'!J$2:'2026_Fantasy_Starters'!J$122)-'2026_Fantasy_Starters'!J50)/AVERAGE('2026_Fantasy_Starters'!J$2:'2026_Fantasy_Starters'!J$122)*100+100</f>
        <v>115.81978710112865</v>
      </c>
      <c r="X38">
        <f>(AVERAGE('2026_Fantasy_Starters'!K$2:'2026_Fantasy_Starters'!K$122)-'2026_Fantasy_Starters'!K50)/AVERAGE('2026_Fantasy_Starters'!K$2:'2026_Fantasy_Starters'!K$122)*100+100</f>
        <v>111.47871437822438</v>
      </c>
      <c r="Y38">
        <f>(AVERAGE('2026_Fantasy_Starters'!L$2:'2026_Fantasy_Starters'!L$122)-'2026_Fantasy_Starters'!L50)/AVERAGE('2026_Fantasy_Starters'!L$2:'2026_Fantasy_Starters'!L$122)*100+100</f>
        <v>106.11757741090996</v>
      </c>
      <c r="Z38">
        <f>(AVERAGE('2026_Fantasy_Starters'!M$2:'2026_Fantasy_Starters'!M$122)-'2026_Fantasy_Starters'!M50)/AVERAGE('2026_Fantasy_Starters'!M$2:'2026_Fantasy_Starters'!M$122)*100+100</f>
        <v>99.303495100247204</v>
      </c>
      <c r="AA38">
        <f>(AVERAGE('2026_Fantasy_Starters'!N$2:'2026_Fantasy_Starters'!N$122)-'2026_Fantasy_Starters'!N50)/AVERAGE('2026_Fantasy_Starters'!N$2:'2026_Fantasy_Starters'!N$122)*100+100</f>
        <v>85.849240137431082</v>
      </c>
      <c r="AB38">
        <f>(AVERAGE('2026_Fantasy_Starters'!O$2:'2026_Fantasy_Starters'!O$122)-'2026_Fantasy_Starters'!O50)/AVERAGE('2026_Fantasy_Starters'!O$2:'2026_Fantasy_Starters'!O$122)*100+100</f>
        <v>108.30248126835865</v>
      </c>
      <c r="AC38">
        <f>('2026_Fantasy_Starters'!P50-AVERAGE('2026_Fantasy_Starters'!P$2:'2026_Fantasy_Starters'!P$122))/AVERAGE('2026_Fantasy_Starters'!P$2:'2026_Fantasy_Starters'!P$122)*100+100</f>
        <v>107.01653934871874</v>
      </c>
      <c r="AD38">
        <f>(AVERAGE('2026_Fantasy_Starters'!Q$2:'2026_Fantasy_Starters'!Q$122)-'2026_Fantasy_Starters'!Q50)/AVERAGE('2026_Fantasy_Starters'!Q$2:'2026_Fantasy_Starters'!Q$122)*100+100</f>
        <v>101.24040579107147</v>
      </c>
      <c r="AE38">
        <f>('2026_Fantasy_Starters'!R50-AVERAGE('2026_Fantasy_Starters'!R$2:'2026_Fantasy_Starters'!R$122))/AVERAGE('2026_Fantasy_Starters'!R$2:'2026_Fantasy_Starters'!R$122)*100+100</f>
        <v>115.78466804462605</v>
      </c>
      <c r="AF38">
        <f>('2026_Fantasy_Starters'!T50-AVERAGE('2026_Fantasy_Starters'!T$2:'2026_Fantasy_Starters'!T$122))/AVERAGE('2026_Fantasy_Starters'!T$2:'2026_Fantasy_Starters'!T$122)*100+100</f>
        <v>122.34761126962188</v>
      </c>
      <c r="AG38">
        <f>(AVERAGE('2026_Fantasy_Starters'!U$2:'2026_Fantasy_Starters'!U$122)-'2026_Fantasy_Starters'!U50)/AVERAGE('2026_Fantasy_Starters'!U$2:'2026_Fantasy_Starters'!U$122)*100+100</f>
        <v>98.816668151908985</v>
      </c>
      <c r="AH38">
        <f>(AVERAGE('2026_Fantasy_Starters'!V$2:'2026_Fantasy_Starters'!V$122)-'2026_Fantasy_Starters'!V50)/AVERAGE('2026_Fantasy_Starters'!V$2:'2026_Fantasy_Starters'!V$122)*100+100</f>
        <v>105.07762554026007</v>
      </c>
    </row>
    <row r="39" spans="1:34">
      <c r="A39" t="s">
        <v>122</v>
      </c>
      <c r="B39" t="s">
        <v>77</v>
      </c>
      <c r="C39" t="s">
        <v>16</v>
      </c>
      <c r="D39">
        <v>27</v>
      </c>
      <c r="E39">
        <v>154.66999999999999</v>
      </c>
      <c r="F39" s="4">
        <f>H39*1.5+I39+J39+K39*1.5+L39+M39+N39+O39+P39+Q39</f>
        <v>1.6869322206453403</v>
      </c>
      <c r="G39">
        <v>647</v>
      </c>
      <c r="H39">
        <f>(S39-S$123)/S$124</f>
        <v>0.33070195934376645</v>
      </c>
      <c r="I39">
        <f>(T39-T$123)/T$124</f>
        <v>0.38126069127071083</v>
      </c>
      <c r="J39">
        <f>(U39-U$123)/U$124</f>
        <v>-0.32245035351281587</v>
      </c>
      <c r="K39">
        <f>(V39-V$123)/V$124</f>
        <v>0.40812958567266105</v>
      </c>
      <c r="L39">
        <f>(Z39-Z$123)/Z$124</f>
        <v>-0.21566309912137127</v>
      </c>
      <c r="M39">
        <f>(AB39-AB$123)/AB$124</f>
        <v>-0.52562805654680334</v>
      </c>
      <c r="N39">
        <f>(AG39-AG$123)/AG$124</f>
        <v>0.72677034016882491</v>
      </c>
      <c r="O39">
        <f>(AH39-AH$123)/AH$124</f>
        <v>-2.806628747613683E-2</v>
      </c>
      <c r="P39">
        <f>(AE39-AE$123)/AE$124</f>
        <v>0.42690830181234707</v>
      </c>
      <c r="Q39">
        <f>(AF39-AF$123)/AF$124</f>
        <v>0.13555336652594357</v>
      </c>
      <c r="S39">
        <f>(E39-AVERAGE(E$2:E$122))/AVERAGE(E$2:E$122)*100+100</f>
        <v>107.15935162965776</v>
      </c>
      <c r="T39">
        <f>('2026_Fantasy_Starters'!G39-AVERAGE('2026_Fantasy_Starters'!G$2:'2026_Fantasy_Starters'!G$122))/AVERAGE('2026_Fantasy_Starters'!G$2:'2026_Fantasy_Starters'!G$122)*100+100</f>
        <v>109.44390170185449</v>
      </c>
      <c r="U39">
        <f>(AVERAGE('2026_Fantasy_Starters'!H$2:'2026_Fantasy_Starters'!H$122)-'2026_Fantasy_Starters'!H39)/AVERAGE('2026_Fantasy_Starters'!H$2:'2026_Fantasy_Starters'!H$122)*100+100</f>
        <v>92.650107125973136</v>
      </c>
      <c r="V39">
        <f>('2026_Fantasy_Starters'!I39-AVERAGE('2026_Fantasy_Starters'!I$2:'2026_Fantasy_Starters'!I$122))/AVERAGE('2026_Fantasy_Starters'!I$2:'2026_Fantasy_Starters'!I$122)*100+100</f>
        <v>113.80286961171485</v>
      </c>
      <c r="W39">
        <f>(AVERAGE('2026_Fantasy_Starters'!J$2:'2026_Fantasy_Starters'!J$122)-'2026_Fantasy_Starters'!J39)/AVERAGE('2026_Fantasy_Starters'!J$2:'2026_Fantasy_Starters'!J$122)*100+100</f>
        <v>95.659392944209742</v>
      </c>
      <c r="X39">
        <f>(AVERAGE('2026_Fantasy_Starters'!K$2:'2026_Fantasy_Starters'!K$122)-'2026_Fantasy_Starters'!K39)/AVERAGE('2026_Fantasy_Starters'!K$2:'2026_Fantasy_Starters'!K$122)*100+100</f>
        <v>96.538942352673374</v>
      </c>
      <c r="Y39">
        <f>(AVERAGE('2026_Fantasy_Starters'!L$2:'2026_Fantasy_Starters'!L$122)-'2026_Fantasy_Starters'!L39)/AVERAGE('2026_Fantasy_Starters'!L$2:'2026_Fantasy_Starters'!L$122)*100+100</f>
        <v>99.710174788407329</v>
      </c>
      <c r="Z39">
        <f>(AVERAGE('2026_Fantasy_Starters'!M$2:'2026_Fantasy_Starters'!M$122)-'2026_Fantasy_Starters'!M39)/AVERAGE('2026_Fantasy_Starters'!M$2:'2026_Fantasy_Starters'!M$122)*100+100</f>
        <v>94.516414334065743</v>
      </c>
      <c r="AA39">
        <f>(AVERAGE('2026_Fantasy_Starters'!N$2:'2026_Fantasy_Starters'!N$122)-'2026_Fantasy_Starters'!N39)/AVERAGE('2026_Fantasy_Starters'!N$2:'2026_Fantasy_Starters'!N$122)*100+100</f>
        <v>20.650457941489563</v>
      </c>
      <c r="AB39">
        <f>(AVERAGE('2026_Fantasy_Starters'!O$2:'2026_Fantasy_Starters'!O$122)-'2026_Fantasy_Starters'!O39)/AVERAGE('2026_Fantasy_Starters'!O$2:'2026_Fantasy_Starters'!O$122)*100+100</f>
        <v>83.706148072533722</v>
      </c>
      <c r="AC39">
        <f>('2026_Fantasy_Starters'!P39-AVERAGE('2026_Fantasy_Starters'!P$2:'2026_Fantasy_Starters'!P$122))/AVERAGE('2026_Fantasy_Starters'!P$2:'2026_Fantasy_Starters'!P$122)*100+100</f>
        <v>112.4178778912668</v>
      </c>
      <c r="AD39">
        <f>(AVERAGE('2026_Fantasy_Starters'!Q$2:'2026_Fantasy_Starters'!Q$122)-'2026_Fantasy_Starters'!Q39)/AVERAGE('2026_Fantasy_Starters'!Q$2:'2026_Fantasy_Starters'!Q$122)*100+100</f>
        <v>82.750367789116666</v>
      </c>
      <c r="AE39">
        <f>('2026_Fantasy_Starters'!R39-AVERAGE('2026_Fantasy_Starters'!R$2:'2026_Fantasy_Starters'!R$122))/AVERAGE('2026_Fantasy_Starters'!R$2:'2026_Fantasy_Starters'!R$122)*100+100</f>
        <v>104.84731867499478</v>
      </c>
      <c r="AF39">
        <f>('2026_Fantasy_Starters'!T39-AVERAGE('2026_Fantasy_Starters'!T$2:'2026_Fantasy_Starters'!T$122))/AVERAGE('2026_Fantasy_Starters'!T$2:'2026_Fantasy_Starters'!T$122)*100+100</f>
        <v>102.66399260255417</v>
      </c>
      <c r="AG39">
        <f>(AVERAGE('2026_Fantasy_Starters'!U$2:'2026_Fantasy_Starters'!U$122)-'2026_Fantasy_Starters'!U39)/AVERAGE('2026_Fantasy_Starters'!U$2:'2026_Fantasy_Starters'!U$122)*100+100</f>
        <v>106.82415150793788</v>
      </c>
      <c r="AH39">
        <f>(AVERAGE('2026_Fantasy_Starters'!V$2:'2026_Fantasy_Starters'!V$122)-'2026_Fantasy_Starters'!V39)/AVERAGE('2026_Fantasy_Starters'!V$2:'2026_Fantasy_Starters'!V$122)*100+100</f>
        <v>99.818168060068288</v>
      </c>
    </row>
    <row r="40" spans="1:34" s="5" customFormat="1">
      <c r="A40" t="s">
        <v>175</v>
      </c>
      <c r="B40" t="s">
        <v>140</v>
      </c>
      <c r="C40" t="s">
        <v>16</v>
      </c>
      <c r="D40">
        <v>29</v>
      </c>
      <c r="E40">
        <v>153.66999999999999</v>
      </c>
      <c r="F40" s="4">
        <f>H40*1.5+I40+J40+K40*1.5+L40+M40+N40+O40+P40+Q40</f>
        <v>1.4270040989415218</v>
      </c>
      <c r="G40">
        <v>629</v>
      </c>
      <c r="H40">
        <f>(S40-S$123)/S$124</f>
        <v>0.2986992264663586</v>
      </c>
      <c r="I40">
        <f>(T40-T$123)/T$124</f>
        <v>0.16399917108313541</v>
      </c>
      <c r="J40">
        <f>(U40-U$123)/U$124</f>
        <v>-0.50941643415899218</v>
      </c>
      <c r="K40">
        <f>(V40-V$123)/V$124</f>
        <v>0.45265067989902485</v>
      </c>
      <c r="L40">
        <f>(Z40-Z$123)/Z$124</f>
        <v>0.19722931870628185</v>
      </c>
      <c r="M40">
        <f>(AB40-AB$123)/AB$124</f>
        <v>0.42494555590643002</v>
      </c>
      <c r="N40">
        <f>(AG40-AG$123)/AG$124</f>
        <v>0.625597925812997</v>
      </c>
      <c r="O40">
        <f>(AH40-AH$123)/AH$124</f>
        <v>0.63757680476449829</v>
      </c>
      <c r="P40">
        <f>(AE40-AE$123)/AE$124</f>
        <v>-0.97639223531138619</v>
      </c>
      <c r="Q40">
        <f>(AF40-AF$123)/AF$124</f>
        <v>-0.26356086740951751</v>
      </c>
      <c r="R40"/>
      <c r="S40">
        <f>(E40-AVERAGE(E$2:E$122))/AVERAGE(E$2:E$122)*100+100</f>
        <v>106.46652592570963</v>
      </c>
      <c r="T40">
        <f>('2026_Fantasy_Starters'!G62-AVERAGE('2026_Fantasy_Starters'!G$2:'2026_Fantasy_Starters'!G$122))/AVERAGE('2026_Fantasy_Starters'!G$2:'2026_Fantasy_Starters'!G$122)*100+100</f>
        <v>104.06229146186762</v>
      </c>
      <c r="U40">
        <f>(AVERAGE('2026_Fantasy_Starters'!H$2:'2026_Fantasy_Starters'!H$122)-'2026_Fantasy_Starters'!H62)/AVERAGE('2026_Fantasy_Starters'!H$2:'2026_Fantasy_Starters'!H$122)*100+100</f>
        <v>88.388425757490921</v>
      </c>
      <c r="V40">
        <f>('2026_Fantasy_Starters'!I62-AVERAGE('2026_Fantasy_Starters'!I$2:'2026_Fantasy_Starters'!I$122))/AVERAGE('2026_Fantasy_Starters'!I$2:'2026_Fantasy_Starters'!I$122)*100+100</f>
        <v>115.3085650578427</v>
      </c>
      <c r="W40">
        <f>(AVERAGE('2026_Fantasy_Starters'!J$2:'2026_Fantasy_Starters'!J$122)-'2026_Fantasy_Starters'!J62)/AVERAGE('2026_Fantasy_Starters'!J$2:'2026_Fantasy_Starters'!J$122)*100+100</f>
        <v>91.918567400277084</v>
      </c>
      <c r="X40">
        <f>(AVERAGE('2026_Fantasy_Starters'!K$2:'2026_Fantasy_Starters'!K$122)-'2026_Fantasy_Starters'!K62)/AVERAGE('2026_Fantasy_Starters'!K$2:'2026_Fantasy_Starters'!K$122)*100+100</f>
        <v>99.909489917973545</v>
      </c>
      <c r="Y40">
        <f>(AVERAGE('2026_Fantasy_Starters'!L$2:'2026_Fantasy_Starters'!L$122)-'2026_Fantasy_Starters'!L62)/AVERAGE('2026_Fantasy_Starters'!L$2:'2026_Fantasy_Starters'!L$122)*100+100</f>
        <v>99.342688413488872</v>
      </c>
      <c r="Z40">
        <f>(AVERAGE('2026_Fantasy_Starters'!M$2:'2026_Fantasy_Starters'!M$122)-'2026_Fantasy_Starters'!M62)/AVERAGE('2026_Fantasy_Starters'!M$2:'2026_Fantasy_Starters'!M$122)*100+100</f>
        <v>105.01487676550114</v>
      </c>
      <c r="AA40">
        <f>(AVERAGE('2026_Fantasy_Starters'!N$2:'2026_Fantasy_Starters'!N$122)-'2026_Fantasy_Starters'!N62)/AVERAGE('2026_Fantasy_Starters'!N$2:'2026_Fantasy_Starters'!N$122)*100+100</f>
        <v>84.407513195879574</v>
      </c>
      <c r="AB40">
        <f>(AVERAGE('2026_Fantasy_Starters'!O$2:'2026_Fantasy_Starters'!O$122)-'2026_Fantasy_Starters'!O62)/AVERAGE('2026_Fantasy_Starters'!O$2:'2026_Fantasy_Starters'!O$122)*100+100</f>
        <v>113.17281275026014</v>
      </c>
      <c r="AC40">
        <f>('2026_Fantasy_Starters'!P62-AVERAGE('2026_Fantasy_Starters'!P$2:'2026_Fantasy_Starters'!P$122))/AVERAGE('2026_Fantasy_Starters'!P$2:'2026_Fantasy_Starters'!P$122)*100+100</f>
        <v>94.717267784594156</v>
      </c>
      <c r="AD40">
        <f>(AVERAGE('2026_Fantasy_Starters'!Q$2:'2026_Fantasy_Starters'!Q$122)-'2026_Fantasy_Starters'!Q62)/AVERAGE('2026_Fantasy_Starters'!Q$2:'2026_Fantasy_Starters'!Q$122)*100+100</f>
        <v>114.0161439211808</v>
      </c>
      <c r="AE40">
        <f>('2026_Fantasy_Starters'!R62-AVERAGE('2026_Fantasy_Starters'!R$2:'2026_Fantasy_Starters'!R$122))/AVERAGE('2026_Fantasy_Starters'!R$2:'2026_Fantasy_Starters'!R$122)*100+100</f>
        <v>88.91358098155402</v>
      </c>
      <c r="AF40">
        <f>('2026_Fantasy_Starters'!T62-AVERAGE('2026_Fantasy_Starters'!T$2:'2026_Fantasy_Starters'!T$122))/AVERAGE('2026_Fantasy_Starters'!T$2:'2026_Fantasy_Starters'!T$122)*100+100</f>
        <v>94.820311593166082</v>
      </c>
      <c r="AG40">
        <f>(AVERAGE('2026_Fantasy_Starters'!U$2:'2026_Fantasy_Starters'!U$122)-'2026_Fantasy_Starters'!U62)/AVERAGE('2026_Fantasy_Starters'!U$2:'2026_Fantasy_Starters'!U$122)*100+100</f>
        <v>105.87417343944976</v>
      </c>
      <c r="AH40">
        <f>(AVERAGE('2026_Fantasy_Starters'!V$2:'2026_Fantasy_Starters'!V$122)-'2026_Fantasy_Starters'!V62)/AVERAGE('2026_Fantasy_Starters'!V$2:'2026_Fantasy_Starters'!V$122)*100+100</f>
        <v>104.13064347624614</v>
      </c>
    </row>
    <row r="41" spans="1:34">
      <c r="A41" t="s">
        <v>156</v>
      </c>
      <c r="B41" t="s">
        <v>15</v>
      </c>
      <c r="C41" t="s">
        <v>16</v>
      </c>
      <c r="D41">
        <v>28</v>
      </c>
      <c r="E41">
        <v>159</v>
      </c>
      <c r="F41" s="4">
        <f>H41*1.5+I41+J41+K41*1.5+L41+M41+N41+O41+P41+Q41</f>
        <v>1.3917698470805502</v>
      </c>
      <c r="G41">
        <v>667</v>
      </c>
      <c r="H41">
        <f>(S41-S$123)/S$124</f>
        <v>0.46927379270294323</v>
      </c>
      <c r="I41">
        <f>(T41-T$123)/T$124</f>
        <v>0.58506265962471615</v>
      </c>
      <c r="J41">
        <f>(U41-U$123)/U$124</f>
        <v>-0.9211798577759247</v>
      </c>
      <c r="K41">
        <f>(V41-V$123)/V$124</f>
        <v>0.52603977826777892</v>
      </c>
      <c r="L41">
        <f>(Z41-Z$123)/Z$124</f>
        <v>-0.68304904130587429</v>
      </c>
      <c r="M41">
        <f>(AB41-AB$123)/AB$124</f>
        <v>-0.58266857514832759</v>
      </c>
      <c r="N41">
        <f>(AG41-AG$123)/AG$124</f>
        <v>-0.32945920581076787</v>
      </c>
      <c r="O41">
        <f>(AH41-AH$123)/AH$124</f>
        <v>0.14486938510018607</v>
      </c>
      <c r="P41">
        <f>(AE41-AE$123)/AE$124</f>
        <v>0.96255627235466723</v>
      </c>
      <c r="Q41">
        <f>(AF41-AF$123)/AF$124</f>
        <v>0.72266785358579211</v>
      </c>
      <c r="S41">
        <f>(E41-AVERAGE(E$2:E$122))/AVERAGE(E$2:E$122)*100+100</f>
        <v>110.15928692775319</v>
      </c>
      <c r="T41">
        <f>('2026_Fantasy_Starters'!G54-AVERAGE('2026_Fantasy_Starters'!G$2:'2026_Fantasy_Starters'!G$122))/AVERAGE('2026_Fantasy_Starters'!G$2:'2026_Fantasy_Starters'!G$122)*100+100</f>
        <v>114.49211621713761</v>
      </c>
      <c r="U41">
        <f>(AVERAGE('2026_Fantasy_Starters'!H$2:'2026_Fantasy_Starters'!H$122)-'2026_Fantasy_Starters'!H54)/AVERAGE('2026_Fantasy_Starters'!H$2:'2026_Fantasy_Starters'!H$122)*100+100</f>
        <v>79.002741976850473</v>
      </c>
      <c r="V41">
        <f>('2026_Fantasy_Starters'!I54-AVERAGE('2026_Fantasy_Starters'!I$2:'2026_Fantasy_Starters'!I$122))/AVERAGE('2026_Fantasy_Starters'!I$2:'2026_Fantasy_Starters'!I$122)*100+100</f>
        <v>117.79057124231393</v>
      </c>
      <c r="W41">
        <f>(AVERAGE('2026_Fantasy_Starters'!J$2:'2026_Fantasy_Starters'!J$122)-'2026_Fantasy_Starters'!J54)/AVERAGE('2026_Fantasy_Starters'!J$2:'2026_Fantasy_Starters'!J$122)*100+100</f>
        <v>92.07774039349259</v>
      </c>
      <c r="X41">
        <f>(AVERAGE('2026_Fantasy_Starters'!K$2:'2026_Fantasy_Starters'!K$122)-'2026_Fantasy_Starters'!K54)/AVERAGE('2026_Fantasy_Starters'!K$2:'2026_Fantasy_Starters'!K$122)*100+100</f>
        <v>90.422770519989271</v>
      </c>
      <c r="Y41">
        <f>(AVERAGE('2026_Fantasy_Starters'!L$2:'2026_Fantasy_Starters'!L$122)-'2026_Fantasy_Starters'!L54)/AVERAGE('2026_Fantasy_Starters'!L$2:'2026_Fantasy_Starters'!L$122)*100+100</f>
        <v>85.92882087368649</v>
      </c>
      <c r="Z41">
        <f>(AVERAGE('2026_Fantasy_Starters'!M$2:'2026_Fantasy_Starters'!M$122)-'2026_Fantasy_Starters'!M54)/AVERAGE('2026_Fantasy_Starters'!M$2:'2026_Fantasy_Starters'!M$122)*100+100</f>
        <v>82.632365261861125</v>
      </c>
      <c r="AA41">
        <f>(AVERAGE('2026_Fantasy_Starters'!N$2:'2026_Fantasy_Starters'!N$122)-'2026_Fantasy_Starters'!N54)/AVERAGE('2026_Fantasy_Starters'!N$2:'2026_Fantasy_Starters'!N$122)*100+100</f>
        <v>79.815606832243077</v>
      </c>
      <c r="AB41">
        <f>(AVERAGE('2026_Fantasy_Starters'!O$2:'2026_Fantasy_Starters'!O$122)-'2026_Fantasy_Starters'!O54)/AVERAGE('2026_Fantasy_Starters'!O$2:'2026_Fantasy_Starters'!O$122)*100+100</f>
        <v>81.937959041558045</v>
      </c>
      <c r="AC41">
        <f>('2026_Fantasy_Starters'!P54-AVERAGE('2026_Fantasy_Starters'!P$2:'2026_Fantasy_Starters'!P$122))/AVERAGE('2026_Fantasy_Starters'!P$2:'2026_Fantasy_Starters'!P$122)*100+100</f>
        <v>122.26874087623651</v>
      </c>
      <c r="AD41">
        <f>(AVERAGE('2026_Fantasy_Starters'!Q$2:'2026_Fantasy_Starters'!Q$122)-'2026_Fantasy_Starters'!Q54)/AVERAGE('2026_Fantasy_Starters'!Q$2:'2026_Fantasy_Starters'!Q$122)*100+100</f>
        <v>86.157556677991963</v>
      </c>
      <c r="AE41">
        <f>('2026_Fantasy_Starters'!R54-AVERAGE('2026_Fantasy_Starters'!R$2:'2026_Fantasy_Starters'!R$122))/AVERAGE('2026_Fantasy_Starters'!R$2:'2026_Fantasy_Starters'!R$122)*100+100</f>
        <v>110.92931895423551</v>
      </c>
      <c r="AF41">
        <f>('2026_Fantasy_Starters'!T54-AVERAGE('2026_Fantasy_Starters'!T$2:'2026_Fantasy_Starters'!T$122))/AVERAGE('2026_Fantasy_Starters'!T$2:'2026_Fantasy_Starters'!T$122)*100+100</f>
        <v>114.20239028654316</v>
      </c>
      <c r="AG41">
        <f>(AVERAGE('2026_Fantasy_Starters'!U$2:'2026_Fantasy_Starters'!U$122)-'2026_Fantasy_Starters'!U54)/AVERAGE('2026_Fantasy_Starters'!U$2:'2026_Fantasy_Starters'!U$122)*100+100</f>
        <v>96.906478688143409</v>
      </c>
      <c r="AH41">
        <f>(AVERAGE('2026_Fantasy_Starters'!V$2:'2026_Fantasy_Starters'!V$122)-'2026_Fantasy_Starters'!V54)/AVERAGE('2026_Fantasy_Starters'!V$2:'2026_Fantasy_Starters'!V$122)*100+100</f>
        <v>100.93855952098646</v>
      </c>
    </row>
    <row r="42" spans="1:34">
      <c r="A42" t="s">
        <v>108</v>
      </c>
      <c r="B42" t="s">
        <v>33</v>
      </c>
      <c r="C42" t="s">
        <v>16</v>
      </c>
      <c r="D42">
        <v>29</v>
      </c>
      <c r="E42">
        <v>176.67</v>
      </c>
      <c r="F42" s="4">
        <f>H42*1.5+I42+J42+K42*1.5+L42+M42+N42+O42+P42+Q42</f>
        <v>0.90877632386907004</v>
      </c>
      <c r="G42">
        <v>730</v>
      </c>
      <c r="H42">
        <f>(S42-S$123)/S$124</f>
        <v>1.0347620826467414</v>
      </c>
      <c r="I42">
        <f>(T42-T$123)/T$124</f>
        <v>0.77976456796045257</v>
      </c>
      <c r="J42">
        <f>(U42-U$123)/U$124</f>
        <v>-0.86741964289363005</v>
      </c>
      <c r="K42">
        <f>(V42-V$123)/V$124</f>
        <v>0.93487313423034657</v>
      </c>
      <c r="L42">
        <f>(Z42-Z$123)/Z$124</f>
        <v>-1.291518341687597</v>
      </c>
      <c r="M42">
        <f>(AB42-AB$123)/AB$124</f>
        <v>-0.56843749543519684</v>
      </c>
      <c r="N42">
        <f>(AG42-AG$123)/AG$124</f>
        <v>0.26433051440822131</v>
      </c>
      <c r="O42">
        <f>(AH42-AH$123)/AH$124</f>
        <v>0.4369914250179664</v>
      </c>
      <c r="P42">
        <f>(AE42-AE$123)/AE$124</f>
        <v>-0.61150940922858621</v>
      </c>
      <c r="Q42">
        <f>(AF42-AF$123)/AF$124</f>
        <v>-0.18787811958819173</v>
      </c>
      <c r="S42">
        <f>(E42-AVERAGE(E$2:E$122))/AVERAGE(E$2:E$122)*100+100</f>
        <v>122.40151711651669</v>
      </c>
      <c r="T42">
        <f>('2026_Fantasy_Starters'!G33-AVERAGE('2026_Fantasy_Starters'!G$2:'2026_Fantasy_Starters'!G$122))/AVERAGE('2026_Fantasy_Starters'!G$2:'2026_Fantasy_Starters'!G$122)*100+100</f>
        <v>119.31492047046302</v>
      </c>
      <c r="U42">
        <f>(AVERAGE('2026_Fantasy_Starters'!H$2:'2026_Fantasy_Starters'!H$122)-'2026_Fantasy_Starters'!H33)/AVERAGE('2026_Fantasy_Starters'!H$2:'2026_Fantasy_Starters'!H$122)*100+100</f>
        <v>80.228145565232111</v>
      </c>
      <c r="V42">
        <f>('2026_Fantasy_Starters'!I33-AVERAGE('2026_Fantasy_Starters'!I$2:'2026_Fantasy_Starters'!I$122))/AVERAGE('2026_Fantasy_Starters'!I$2:'2026_Fantasy_Starters'!I$122)*100+100</f>
        <v>131.61724223939555</v>
      </c>
      <c r="W42">
        <f>(AVERAGE('2026_Fantasy_Starters'!J$2:'2026_Fantasy_Starters'!J$122)-'2026_Fantasy_Starters'!J33)/AVERAGE('2026_Fantasy_Starters'!J$2:'2026_Fantasy_Starters'!J$122)*100+100</f>
        <v>76.964436406913705</v>
      </c>
      <c r="X42">
        <f>(AVERAGE('2026_Fantasy_Starters'!K$2:'2026_Fantasy_Starters'!K$122)-'2026_Fantasy_Starters'!K33)/AVERAGE('2026_Fantasy_Starters'!K$2:'2026_Fantasy_Starters'!K$122)*100+100</f>
        <v>79.848422869479919</v>
      </c>
      <c r="Y42">
        <f>(AVERAGE('2026_Fantasy_Starters'!L$2:'2026_Fantasy_Starters'!L$122)-'2026_Fantasy_Starters'!L33)/AVERAGE('2026_Fantasy_Starters'!L$2:'2026_Fantasy_Starters'!L$122)*100+100</f>
        <v>80.106647568879595</v>
      </c>
      <c r="Z42">
        <f>(AVERAGE('2026_Fantasy_Starters'!M$2:'2026_Fantasy_Starters'!M$122)-'2026_Fantasy_Starters'!M33)/AVERAGE('2026_Fantasy_Starters'!M$2:'2026_Fantasy_Starters'!M$122)*100+100</f>
        <v>67.161041946338941</v>
      </c>
      <c r="AA42">
        <f>(AVERAGE('2026_Fantasy_Starters'!N$2:'2026_Fantasy_Starters'!N$122)-'2026_Fantasy_Starters'!N33)/AVERAGE('2026_Fantasy_Starters'!N$2:'2026_Fantasy_Starters'!N$122)*100+100</f>
        <v>79.828355740653592</v>
      </c>
      <c r="AB42">
        <f>(AVERAGE('2026_Fantasy_Starters'!O$2:'2026_Fantasy_Starters'!O$122)-'2026_Fantasy_Starters'!O33)/AVERAGE('2026_Fantasy_Starters'!O$2:'2026_Fantasy_Starters'!O$122)*100+100</f>
        <v>82.379105785392625</v>
      </c>
      <c r="AC42">
        <f>('2026_Fantasy_Starters'!P33-AVERAGE('2026_Fantasy_Starters'!P$2:'2026_Fantasy_Starters'!P$122))/AVERAGE('2026_Fantasy_Starters'!P$2:'2026_Fantasy_Starters'!P$122)*100+100</f>
        <v>113.96778639690255</v>
      </c>
      <c r="AD42">
        <f>(AVERAGE('2026_Fantasy_Starters'!Q$2:'2026_Fantasy_Starters'!Q$122)-'2026_Fantasy_Starters'!Q33)/AVERAGE('2026_Fantasy_Starters'!Q$2:'2026_Fantasy_Starters'!Q$122)*100+100</f>
        <v>91.459571526883252</v>
      </c>
      <c r="AE42">
        <f>('2026_Fantasy_Starters'!R33-AVERAGE('2026_Fantasy_Starters'!R$2:'2026_Fantasy_Starters'!R$122))/AVERAGE('2026_Fantasy_Starters'!R$2:'2026_Fantasy_Starters'!R$122)*100+100</f>
        <v>93.056633083252223</v>
      </c>
      <c r="AF42">
        <f>('2026_Fantasy_Starters'!T33-AVERAGE('2026_Fantasy_Starters'!T$2:'2026_Fantasy_Starters'!T$122))/AVERAGE('2026_Fantasy_Starters'!T$2:'2026_Fantasy_Starters'!T$122)*100+100</f>
        <v>96.3076835818094</v>
      </c>
      <c r="AG42">
        <f>(AVERAGE('2026_Fantasy_Starters'!U$2:'2026_Fantasy_Starters'!U$122)-'2026_Fantasy_Starters'!U33)/AVERAGE('2026_Fantasy_Starters'!U$2:'2026_Fantasy_Starters'!U$122)*100+100</f>
        <v>102.48198279263001</v>
      </c>
      <c r="AH42">
        <f>(AVERAGE('2026_Fantasy_Starters'!V$2:'2026_Fantasy_Starters'!V$122)-'2026_Fantasy_Starters'!V33)/AVERAGE('2026_Fantasy_Starters'!V$2:'2026_Fantasy_Starters'!V$122)*100+100</f>
        <v>102.83111895764885</v>
      </c>
    </row>
    <row r="43" spans="1:34">
      <c r="A43" t="s">
        <v>110</v>
      </c>
      <c r="B43" t="s">
        <v>111</v>
      </c>
      <c r="C43" t="s">
        <v>16</v>
      </c>
      <c r="D43">
        <v>27</v>
      </c>
      <c r="E43">
        <v>143.33000000000001</v>
      </c>
      <c r="F43" s="4">
        <f>H43*1.5+I43+J43+K43*1.5+L43+M43+N43+O43+P43+Q43</f>
        <v>0.82713230938991755</v>
      </c>
      <c r="G43">
        <v>588</v>
      </c>
      <c r="H43">
        <f>(S43-S$123)/S$124</f>
        <v>-3.2209031486039229E-2</v>
      </c>
      <c r="I43">
        <f>(T43-T$123)/T$124</f>
        <v>-0.35055292644480623</v>
      </c>
      <c r="J43">
        <f>(U43-U$123)/U$124</f>
        <v>-0.73997380015284242</v>
      </c>
      <c r="K43">
        <f>(V43-V$123)/V$124</f>
        <v>0.13219598019937298</v>
      </c>
      <c r="L43">
        <f>(Z43-Z$123)/Z$124</f>
        <v>-0.35381708210285184</v>
      </c>
      <c r="M43">
        <f>(AB43-AB$123)/AB$124</f>
        <v>0.55575950628559834</v>
      </c>
      <c r="N43">
        <f>(AG43-AG$123)/AG$124</f>
        <v>-0.4545970455823542</v>
      </c>
      <c r="O43">
        <f>(AH43-AH$123)/AH$124</f>
        <v>0.81570115123981179</v>
      </c>
      <c r="P43">
        <f>(AE43-AE$123)/AE$124</f>
        <v>0.62978891342712839</v>
      </c>
      <c r="Q43">
        <f>(AF43-AF$123)/AF$124</f>
        <v>0.57484316965023308</v>
      </c>
      <c r="S43">
        <f>(E43-AVERAGE(E$2:E$122))/AVERAGE(E$2:E$122)*100+100</f>
        <v>99.302708146885948</v>
      </c>
      <c r="T43">
        <f>('2026_Fantasy_Starters'!G34-AVERAGE('2026_Fantasy_Starters'!G$2:'2026_Fantasy_Starters'!G$122))/AVERAGE('2026_Fantasy_Starters'!G$2:'2026_Fantasy_Starters'!G$122)*100+100</f>
        <v>91.316735623574942</v>
      </c>
      <c r="U43">
        <f>(AVERAGE('2026_Fantasy_Starters'!H$2:'2026_Fantasy_Starters'!H$122)-'2026_Fantasy_Starters'!H34)/AVERAGE('2026_Fantasy_Starters'!H$2:'2026_Fantasy_Starters'!H$122)*100+100</f>
        <v>83.133130103720575</v>
      </c>
      <c r="V43">
        <f>('2026_Fantasy_Starters'!I34-AVERAGE('2026_Fantasy_Starters'!I$2:'2026_Fantasy_Starters'!I$122))/AVERAGE('2026_Fantasy_Starters'!I$2:'2026_Fantasy_Starters'!I$122)*100+100</f>
        <v>104.47084441300041</v>
      </c>
      <c r="W43">
        <f>(AVERAGE('2026_Fantasy_Starters'!J$2:'2026_Fantasy_Starters'!J$122)-'2026_Fantasy_Starters'!J34)/AVERAGE('2026_Fantasy_Starters'!J$2:'2026_Fantasy_Starters'!J$122)*100+100</f>
        <v>108.40502644891603</v>
      </c>
      <c r="X43">
        <f>(AVERAGE('2026_Fantasy_Starters'!K$2:'2026_Fantasy_Starters'!K$122)-'2026_Fantasy_Starters'!K34)/AVERAGE('2026_Fantasy_Starters'!K$2:'2026_Fantasy_Starters'!K$122)*100+100</f>
        <v>102.10368974630792</v>
      </c>
      <c r="Y43">
        <f>(AVERAGE('2026_Fantasy_Starters'!L$2:'2026_Fantasy_Starters'!L$122)-'2026_Fantasy_Starters'!L34)/AVERAGE('2026_Fantasy_Starters'!L$2:'2026_Fantasy_Starters'!L$122)*100+100</f>
        <v>95.998938149068877</v>
      </c>
      <c r="Z43">
        <f>(AVERAGE('2026_Fantasy_Starters'!M$2:'2026_Fantasy_Starters'!M$122)-'2026_Fantasy_Starters'!M34)/AVERAGE('2026_Fantasy_Starters'!M$2:'2026_Fantasy_Starters'!M$122)*100+100</f>
        <v>91.003624228315587</v>
      </c>
      <c r="AA43">
        <f>(AVERAGE('2026_Fantasy_Starters'!N$2:'2026_Fantasy_Starters'!N$122)-'2026_Fantasy_Starters'!N34)/AVERAGE('2026_Fantasy_Starters'!N$2:'2026_Fantasy_Starters'!N$122)*100+100</f>
        <v>138.58612471376864</v>
      </c>
      <c r="AB43">
        <f>(AVERAGE('2026_Fantasy_Starters'!O$2:'2026_Fantasy_Starters'!O$122)-'2026_Fantasy_Starters'!O34)/AVERAGE('2026_Fantasy_Starters'!O$2:'2026_Fantasy_Starters'!O$122)*100+100</f>
        <v>117.22789145273289</v>
      </c>
      <c r="AC43">
        <f>('2026_Fantasy_Starters'!P34-AVERAGE('2026_Fantasy_Starters'!P$2:'2026_Fantasy_Starters'!P$122))/AVERAGE('2026_Fantasy_Starters'!P$2:'2026_Fantasy_Starters'!P$122)*100+100</f>
        <v>106.4645390859487</v>
      </c>
      <c r="AD43">
        <f>(AVERAGE('2026_Fantasy_Starters'!Q$2:'2026_Fantasy_Starters'!Q$122)-'2026_Fantasy_Starters'!Q34)/AVERAGE('2026_Fantasy_Starters'!Q$2:'2026_Fantasy_Starters'!Q$122)*100+100</f>
        <v>97.793355329771316</v>
      </c>
      <c r="AE43">
        <f>('2026_Fantasy_Starters'!R34-AVERAGE('2026_Fantasy_Starters'!R$2:'2026_Fantasy_Starters'!R$122))/AVERAGE('2026_Fantasy_Starters'!R$2:'2026_Fantasy_Starters'!R$122)*100+100</f>
        <v>107.15092104885301</v>
      </c>
      <c r="AF43">
        <f>('2026_Fantasy_Starters'!T34-AVERAGE('2026_Fantasy_Starters'!T$2:'2026_Fantasy_Starters'!T$122))/AVERAGE('2026_Fantasy_Starters'!T$2:'2026_Fantasy_Starters'!T$122)*100+100</f>
        <v>111.29723289671267</v>
      </c>
      <c r="AG43">
        <f>(AVERAGE('2026_Fantasy_Starters'!U$2:'2026_Fantasy_Starters'!U$122)-'2026_Fantasy_Starters'!U34)/AVERAGE('2026_Fantasy_Starters'!U$2:'2026_Fantasy_Starters'!U$122)*100+100</f>
        <v>95.731472595050803</v>
      </c>
      <c r="AH43">
        <f>(AVERAGE('2026_Fantasy_Starters'!V$2:'2026_Fantasy_Starters'!V$122)-'2026_Fantasy_Starters'!V34)/AVERAGE('2026_Fantasy_Starters'!V$2:'2026_Fantasy_Starters'!V$122)*100+100</f>
        <v>105.28465059229961</v>
      </c>
    </row>
    <row r="44" spans="1:34">
      <c r="A44" t="s">
        <v>177</v>
      </c>
      <c r="B44" t="s">
        <v>29</v>
      </c>
      <c r="C44" t="s">
        <v>16</v>
      </c>
      <c r="D44">
        <v>28</v>
      </c>
      <c r="E44">
        <v>168</v>
      </c>
      <c r="F44" s="4">
        <f>H44*1.5+I44+J44+K44*1.5+L44+M44+N44+O44+P44+Q44</f>
        <v>0.68342676815531633</v>
      </c>
      <c r="G44">
        <v>700</v>
      </c>
      <c r="H44">
        <f>(S44-S$123)/S$124</f>
        <v>0.75729838859961529</v>
      </c>
      <c r="I44">
        <f>(T44-T$123)/T$124</f>
        <v>0.64816954362780577</v>
      </c>
      <c r="J44">
        <f>(U44-U$123)/U$124</f>
        <v>-0.63067558550459824</v>
      </c>
      <c r="K44">
        <f>(V44-V$123)/V$124</f>
        <v>0.69729726230172029</v>
      </c>
      <c r="L44">
        <f>(Z44-Z$123)/Z$124</f>
        <v>-1.4234737820308785</v>
      </c>
      <c r="M44">
        <f>(AB44-AB$123)/AB$124</f>
        <v>0.37419634827176113</v>
      </c>
      <c r="N44">
        <f>(AG44-AG$123)/AG$124</f>
        <v>-0.82094998336634373</v>
      </c>
      <c r="O44">
        <f>(AH44-AH$123)/AH$124</f>
        <v>5.8860739095827654E-2</v>
      </c>
      <c r="P44">
        <f>(AE44-AE$123)/AE$124</f>
        <v>-1.1217647804255429E-2</v>
      </c>
      <c r="Q44">
        <f>(AF44-AF$123)/AF$124</f>
        <v>0.30662365951399401</v>
      </c>
      <c r="S44">
        <f>(E44-AVERAGE(E$2:E$122))/AVERAGE(E$2:E$122)*100+100</f>
        <v>116.39471826328639</v>
      </c>
      <c r="T44">
        <f>('2026_Fantasy_Starters'!G63-AVERAGE('2026_Fantasy_Starters'!G$2:'2026_Fantasy_Starters'!G$122))/AVERAGE('2026_Fantasy_Starters'!G$2:'2026_Fantasy_Starters'!G$122)*100+100</f>
        <v>116.05528604523914</v>
      </c>
      <c r="U44">
        <f>(AVERAGE('2026_Fantasy_Starters'!H$2:'2026_Fantasy_Starters'!H$122)-'2026_Fantasy_Starters'!H63)/AVERAGE('2026_Fantasy_Starters'!H$2:'2026_Fantasy_Starters'!H$122)*100+100</f>
        <v>85.624459885919322</v>
      </c>
      <c r="V44">
        <f>('2026_Fantasy_Starters'!I63-AVERAGE('2026_Fantasy_Starters'!I$2:'2026_Fantasy_Starters'!I$122))/AVERAGE('2026_Fantasy_Starters'!I$2:'2026_Fantasy_Starters'!I$122)*100+100</f>
        <v>123.58246873059537</v>
      </c>
      <c r="W44">
        <f>(AVERAGE('2026_Fantasy_Starters'!J$2:'2026_Fantasy_Starters'!J$122)-'2026_Fantasy_Starters'!J63)/AVERAGE('2026_Fantasy_Starters'!J$2:'2026_Fantasy_Starters'!J$122)*100+100</f>
        <v>78.787540194390544</v>
      </c>
      <c r="X44">
        <f>(AVERAGE('2026_Fantasy_Starters'!K$2:'2026_Fantasy_Starters'!K$122)-'2026_Fantasy_Starters'!K63)/AVERAGE('2026_Fantasy_Starters'!K$2:'2026_Fantasy_Starters'!K$122)*100+100</f>
        <v>77.859769478348184</v>
      </c>
      <c r="Y44">
        <f>(AVERAGE('2026_Fantasy_Starters'!L$2:'2026_Fantasy_Starters'!L$122)-'2026_Fantasy_Starters'!L63)/AVERAGE('2026_Fantasy_Starters'!L$2:'2026_Fantasy_Starters'!L$122)*100+100</f>
        <v>74.076562859564064</v>
      </c>
      <c r="Z44">
        <f>(AVERAGE('2026_Fantasy_Starters'!M$2:'2026_Fantasy_Starters'!M$122)-'2026_Fantasy_Starters'!M63)/AVERAGE('2026_Fantasy_Starters'!M$2:'2026_Fantasy_Starters'!M$122)*100+100</f>
        <v>63.805859886188564</v>
      </c>
      <c r="AA44">
        <f>(AVERAGE('2026_Fantasy_Starters'!N$2:'2026_Fantasy_Starters'!N$122)-'2026_Fantasy_Starters'!N63)/AVERAGE('2026_Fantasy_Starters'!N$2:'2026_Fantasy_Starters'!N$122)*100+100</f>
        <v>81.871472870574678</v>
      </c>
      <c r="AB44">
        <f>(AVERAGE('2026_Fantasy_Starters'!O$2:'2026_Fantasy_Starters'!O$122)-'2026_Fantasy_Starters'!O63)/AVERAGE('2026_Fantasy_Starters'!O$2:'2026_Fantasy_Starters'!O$122)*100+100</f>
        <v>111.59964696442293</v>
      </c>
      <c r="AC44">
        <f>('2026_Fantasy_Starters'!P63-AVERAGE('2026_Fantasy_Starters'!P$2:'2026_Fantasy_Starters'!P$122))/AVERAGE('2026_Fantasy_Starters'!P$2:'2026_Fantasy_Starters'!P$122)*100+100</f>
        <v>116.312860109841</v>
      </c>
      <c r="AD44">
        <f>(AVERAGE('2026_Fantasy_Starters'!Q$2:'2026_Fantasy_Starters'!Q$122)-'2026_Fantasy_Starters'!Q63)/AVERAGE('2026_Fantasy_Starters'!Q$2:'2026_Fantasy_Starters'!Q$122)*100+100</f>
        <v>97.816785906497472</v>
      </c>
      <c r="AE44">
        <f>('2026_Fantasy_Starters'!R63-AVERAGE('2026_Fantasy_Starters'!R$2:'2026_Fantasy_Starters'!R$122))/AVERAGE('2026_Fantasy_Starters'!R$2:'2026_Fantasy_Starters'!R$122)*100+100</f>
        <v>99.872629523810446</v>
      </c>
      <c r="AF44">
        <f>('2026_Fantasy_Starters'!T63-AVERAGE('2026_Fantasy_Starters'!T$2:'2026_Fantasy_Starters'!T$122))/AVERAGE('2026_Fantasy_Starters'!T$2:'2026_Fantasy_Starters'!T$122)*100+100</f>
        <v>106.02598948036487</v>
      </c>
      <c r="AG44">
        <f>(AVERAGE('2026_Fantasy_Starters'!U$2:'2026_Fantasy_Starters'!U$122)-'2026_Fantasy_Starters'!U63)/AVERAGE('2026_Fantasy_Starters'!U$2:'2026_Fantasy_Starters'!U$122)*100+100</f>
        <v>92.291530408864006</v>
      </c>
      <c r="AH44">
        <f>(AVERAGE('2026_Fantasy_Starters'!V$2:'2026_Fantasy_Starters'!V$122)-'2026_Fantasy_Starters'!V63)/AVERAGE('2026_Fantasy_Starters'!V$2:'2026_Fantasy_Starters'!V$122)*100+100</f>
        <v>100.38133872834815</v>
      </c>
    </row>
    <row r="45" spans="1:34">
      <c r="A45" t="s">
        <v>213</v>
      </c>
      <c r="B45" t="s">
        <v>170</v>
      </c>
      <c r="C45" t="s">
        <v>16</v>
      </c>
      <c r="D45">
        <v>28</v>
      </c>
      <c r="E45">
        <v>170</v>
      </c>
      <c r="F45" s="4">
        <f>H45*1.5+I45+J45+K45*1.5+L45+M45+N45+O45+P45+Q45</f>
        <v>0.37653059435285219</v>
      </c>
      <c r="G45">
        <v>710</v>
      </c>
      <c r="H45">
        <f>(S45-S$123)/S$124</f>
        <v>0.8213038543544311</v>
      </c>
      <c r="I45">
        <f>(T45-T$123)/T$124</f>
        <v>0.63814588349345158</v>
      </c>
      <c r="J45">
        <f>(U45-U$123)/U$124</f>
        <v>-0.44589973583509734</v>
      </c>
      <c r="K45">
        <f>(V45-V$123)/V$124</f>
        <v>0.72558010419798857</v>
      </c>
      <c r="L45">
        <f>(Z45-Z$123)/Z$124</f>
        <v>-0.93427779317004622</v>
      </c>
      <c r="M45">
        <f>(AB45-AB$123)/AB$124</f>
        <v>0.81729621072401903</v>
      </c>
      <c r="N45">
        <f>(AG45-AG$123)/AG$124</f>
        <v>5.4162134370714966E-3</v>
      </c>
      <c r="O45">
        <f>(AH45-AH$123)/AH$124</f>
        <v>-0.34015133225857752</v>
      </c>
      <c r="P45">
        <f>(AE45-AE$123)/AE$124</f>
        <v>-1.010450777830243</v>
      </c>
      <c r="Q45">
        <f>(AF45-AF$123)/AF$124</f>
        <v>-0.67387401203635455</v>
      </c>
      <c r="S45">
        <f>(E45-AVERAGE(E$2:E$122))/AVERAGE(E$2:E$122)*100+100</f>
        <v>117.78036967118265</v>
      </c>
      <c r="T45">
        <f>('2026_Fantasy_Starters'!G79-AVERAGE('2026_Fantasy_Starters'!G$2:'2026_Fantasy_Starters'!G$122))/AVERAGE('2026_Fantasy_Starters'!G$2:'2026_Fantasy_Starters'!G$122)*100+100</f>
        <v>115.80699802822345</v>
      </c>
      <c r="U45">
        <f>(AVERAGE('2026_Fantasy_Starters'!H$2:'2026_Fantasy_Starters'!H$122)-'2026_Fantasy_Starters'!H79)/AVERAGE('2026_Fantasy_Starters'!H$2:'2026_Fantasy_Starters'!H$122)*100+100</f>
        <v>89.836217404504751</v>
      </c>
      <c r="V45">
        <f>('2026_Fantasy_Starters'!I79-AVERAGE('2026_Fantasy_Starters'!I$2:'2026_Fantasy_Starters'!I$122))/AVERAGE('2026_Fantasy_Starters'!I$2:'2026_Fantasy_Starters'!I$122)*100+100</f>
        <v>124.53898938640502</v>
      </c>
      <c r="W45">
        <f>(AVERAGE('2026_Fantasy_Starters'!J$2:'2026_Fantasy_Starters'!J$122)-'2026_Fantasy_Starters'!J79)/AVERAGE('2026_Fantasy_Starters'!J$2:'2026_Fantasy_Starters'!J$122)*100+100</f>
        <v>75.167154898664606</v>
      </c>
      <c r="X45">
        <f>(AVERAGE('2026_Fantasy_Starters'!K$2:'2026_Fantasy_Starters'!K$122)-'2026_Fantasy_Starters'!K79)/AVERAGE('2026_Fantasy_Starters'!K$2:'2026_Fantasy_Starters'!K$122)*100+100</f>
        <v>74.858471722223541</v>
      </c>
      <c r="Y45">
        <f>(AVERAGE('2026_Fantasy_Starters'!L$2:'2026_Fantasy_Starters'!L$122)-'2026_Fantasy_Starters'!L79)/AVERAGE('2026_Fantasy_Starters'!L$2:'2026_Fantasy_Starters'!L$122)*100+100</f>
        <v>81.757002573674782</v>
      </c>
      <c r="Z45">
        <f>(AVERAGE('2026_Fantasy_Starters'!M$2:'2026_Fantasy_Starters'!M$122)-'2026_Fantasy_Starters'!M79)/AVERAGE('2026_Fantasy_Starters'!M$2:'2026_Fantasy_Starters'!M$122)*100+100</f>
        <v>76.244464929326199</v>
      </c>
      <c r="AA45">
        <f>(AVERAGE('2026_Fantasy_Starters'!N$2:'2026_Fantasy_Starters'!N$122)-'2026_Fantasy_Starters'!N79)/AVERAGE('2026_Fantasy_Starters'!N$2:'2026_Fantasy_Starters'!N$122)*100+100</f>
        <v>74.930878450251583</v>
      </c>
      <c r="AB45">
        <f>(AVERAGE('2026_Fantasy_Starters'!O$2:'2026_Fantasy_Starters'!O$122)-'2026_Fantasy_Starters'!O79)/AVERAGE('2026_Fantasy_Starters'!O$2:'2026_Fantasy_Starters'!O$122)*100+100</f>
        <v>125.33522187895355</v>
      </c>
      <c r="AC45">
        <f>('2026_Fantasy_Starters'!P79-AVERAGE('2026_Fantasy_Starters'!P$2:'2026_Fantasy_Starters'!P$122))/AVERAGE('2026_Fantasy_Starters'!P$2:'2026_Fantasy_Starters'!P$122)*100+100</f>
        <v>104.32682031569379</v>
      </c>
      <c r="AD45">
        <f>(AVERAGE('2026_Fantasy_Starters'!Q$2:'2026_Fantasy_Starters'!Q$122)-'2026_Fantasy_Starters'!Q79)/AVERAGE('2026_Fantasy_Starters'!Q$2:'2026_Fantasy_Starters'!Q$122)*100+100</f>
        <v>91.029869269489311</v>
      </c>
      <c r="AE45">
        <f>('2026_Fantasy_Starters'!R79-AVERAGE('2026_Fantasy_Starters'!R$2:'2026_Fantasy_Starters'!R$122))/AVERAGE('2026_Fantasy_Starters'!R$2:'2026_Fantasy_Starters'!R$122)*100+100</f>
        <v>88.526864188992491</v>
      </c>
      <c r="AF45">
        <f>('2026_Fantasy_Starters'!T79-AVERAGE('2026_Fantasy_Starters'!T$2:'2026_Fantasy_Starters'!T$122))/AVERAGE('2026_Fantasy_Starters'!T$2:'2026_Fantasy_Starters'!T$122)*100+100</f>
        <v>86.756541507400968</v>
      </c>
      <c r="AG45">
        <f>(AVERAGE('2026_Fantasy_Starters'!U$2:'2026_Fantasy_Starters'!U$122)-'2026_Fantasy_Starters'!U79)/AVERAGE('2026_Fantasy_Starters'!U$2:'2026_Fantasy_Starters'!U$122)*100+100</f>
        <v>100.05085658983462</v>
      </c>
      <c r="AH45">
        <f>(AVERAGE('2026_Fantasy_Starters'!V$2:'2026_Fantasy_Starters'!V$122)-'2026_Fantasy_Starters'!V79)/AVERAGE('2026_Fantasy_Starters'!V$2:'2026_Fantasy_Starters'!V$122)*100+100</f>
        <v>97.796275098104672</v>
      </c>
    </row>
    <row r="46" spans="1:34">
      <c r="A46" s="9" t="s">
        <v>1035</v>
      </c>
      <c r="B46" t="s">
        <v>161</v>
      </c>
      <c r="C46" t="s">
        <v>16</v>
      </c>
      <c r="D46">
        <v>26</v>
      </c>
      <c r="E46">
        <v>155</v>
      </c>
      <c r="F46" s="4">
        <f>H46*1.5+I46+J46+K46*1.5+L46+M46+N46+O46+P46+Q46</f>
        <v>0.32557987653958104</v>
      </c>
      <c r="G46">
        <v>631</v>
      </c>
      <c r="H46">
        <f>(S46-S$123)/S$124</f>
        <v>0.34126286119331112</v>
      </c>
      <c r="I46">
        <f>(T46-T$123)/T$124</f>
        <v>0.16856775305996632</v>
      </c>
      <c r="J46">
        <f>(U46-U$123)/U$124</f>
        <v>-0.26689813146777558</v>
      </c>
      <c r="K46">
        <f>(V46-V$123)/V$124</f>
        <v>0.33103445974507945</v>
      </c>
      <c r="L46">
        <f>(Z46-Z$123)/Z$124</f>
        <v>-1.96829241359297</v>
      </c>
      <c r="M46">
        <f>(AB46-AB$123)/AB$124</f>
        <v>1.0317592119654106</v>
      </c>
      <c r="N46">
        <f>(AG46-AG$123)/AG$124</f>
        <v>-0.3071504023997681</v>
      </c>
      <c r="O46">
        <f>(AH46-AH$123)/AH$124</f>
        <v>0.97822044231824723</v>
      </c>
      <c r="P46">
        <f>(AE46-AE$123)/AE$124</f>
        <v>-0.64693065899603552</v>
      </c>
      <c r="Q46">
        <f>(AF46-AF$123)/AF$124</f>
        <v>0.32785809424492024</v>
      </c>
      <c r="S46">
        <f>(E46-AVERAGE(E$2:E$122))/AVERAGE(E$2:E$122)*100+100</f>
        <v>107.38798411196065</v>
      </c>
      <c r="T46">
        <f>('2026_Fantasy_Starters'!G56-AVERAGE('2026_Fantasy_Starters'!G$2:'2026_Fantasy_Starters'!G$122))/AVERAGE('2026_Fantasy_Starters'!G$2:'2026_Fantasy_Starters'!G$122)*100+100</f>
        <v>104.17545612870556</v>
      </c>
      <c r="U46">
        <f>(AVERAGE('2026_Fantasy_Starters'!H$2:'2026_Fantasy_Starters'!H$122)-'2026_Fantasy_Starters'!H56)/AVERAGE('2026_Fantasy_Starters'!H$2:'2026_Fantasy_Starters'!H$122)*100+100</f>
        <v>93.91635750063422</v>
      </c>
      <c r="V46">
        <f>('2026_Fantasy_Starters'!I56-AVERAGE('2026_Fantasy_Starters'!I$2:'2026_Fantasy_Starters'!I$122))/AVERAGE('2026_Fantasy_Starters'!I$2:'2026_Fantasy_Starters'!I$122)*100+100</f>
        <v>111.19552623786146</v>
      </c>
      <c r="W46">
        <f>(AVERAGE('2026_Fantasy_Starters'!J$2:'2026_Fantasy_Starters'!J$122)-'2026_Fantasy_Starters'!J56)/AVERAGE('2026_Fantasy_Starters'!J$2:'2026_Fantasy_Starters'!J$122)*100+100</f>
        <v>90.03006483258828</v>
      </c>
      <c r="X46">
        <f>(AVERAGE('2026_Fantasy_Starters'!K$2:'2026_Fantasy_Starters'!K$122)-'2026_Fantasy_Starters'!K56)/AVERAGE('2026_Fantasy_Starters'!K$2:'2026_Fantasy_Starters'!K$122)*100+100</f>
        <v>86.256121939757307</v>
      </c>
      <c r="Y46">
        <f>(AVERAGE('2026_Fantasy_Starters'!L$2:'2026_Fantasy_Starters'!L$122)-'2026_Fantasy_Starters'!L56)/AVERAGE('2026_Fantasy_Starters'!L$2:'2026_Fantasy_Starters'!L$122)*100+100</f>
        <v>89.024483224231659</v>
      </c>
      <c r="Z46">
        <f>(AVERAGE('2026_Fantasy_Starters'!M$2:'2026_Fantasy_Starters'!M$122)-'2026_Fantasy_Starters'!M56)/AVERAGE('2026_Fantasy_Starters'!M$2:'2026_Fantasy_Starters'!M$122)*100+100</f>
        <v>49.952958528750301</v>
      </c>
      <c r="AA46">
        <f>(AVERAGE('2026_Fantasy_Starters'!N$2:'2026_Fantasy_Starters'!N$122)-'2026_Fantasy_Starters'!N56)/AVERAGE('2026_Fantasy_Starters'!N$2:'2026_Fantasy_Starters'!N$122)*100+100</f>
        <v>138.58611697561912</v>
      </c>
      <c r="AB46">
        <f>(AVERAGE('2026_Fantasy_Starters'!O$2:'2026_Fantasy_Starters'!O$122)-'2026_Fantasy_Starters'!O56)/AVERAGE('2026_Fantasy_Starters'!O$2:'2026_Fantasy_Starters'!O$122)*100+100</f>
        <v>131.98332283670007</v>
      </c>
      <c r="AC46">
        <f>('2026_Fantasy_Starters'!P56-AVERAGE('2026_Fantasy_Starters'!P$2:'2026_Fantasy_Starters'!P$122))/AVERAGE('2026_Fantasy_Starters'!P$2:'2026_Fantasy_Starters'!P$122)*100+100</f>
        <v>99.55656846476532</v>
      </c>
      <c r="AD46">
        <f>(AVERAGE('2026_Fantasy_Starters'!Q$2:'2026_Fantasy_Starters'!Q$122)-'2026_Fantasy_Starters'!Q56)/AVERAGE('2026_Fantasy_Starters'!Q$2:'2026_Fantasy_Starters'!Q$122)*100+100</f>
        <v>125.21153079047077</v>
      </c>
      <c r="AE46">
        <f>('2026_Fantasy_Starters'!R56-AVERAGE('2026_Fantasy_Starters'!R$2:'2026_Fantasy_Starters'!R$122))/AVERAGE('2026_Fantasy_Starters'!R$2:'2026_Fantasy_Starters'!R$122)*100+100</f>
        <v>92.654443468385267</v>
      </c>
      <c r="AF46">
        <f>('2026_Fantasy_Starters'!T56-AVERAGE('2026_Fantasy_Starters'!T$2:'2026_Fantasy_Starters'!T$122))/AVERAGE('2026_Fantasy_Starters'!T$2:'2026_Fantasy_Starters'!T$122)*100+100</f>
        <v>106.44330391889474</v>
      </c>
      <c r="AG46">
        <f>(AVERAGE('2026_Fantasy_Starters'!U$2:'2026_Fantasy_Starters'!U$122)-'2026_Fantasy_Starters'!U56)/AVERAGE('2026_Fantasy_Starters'!U$2:'2026_Fantasy_Starters'!U$122)*100+100</f>
        <v>97.115951538125287</v>
      </c>
      <c r="AH46">
        <f>(AVERAGE('2026_Fantasy_Starters'!V$2:'2026_Fantasy_Starters'!V$122)-'2026_Fantasy_Starters'!V56)/AVERAGE('2026_Fantasy_Starters'!V$2:'2026_Fantasy_Starters'!V$122)*100+100</f>
        <v>106.33755785686871</v>
      </c>
    </row>
    <row r="47" spans="1:34">
      <c r="A47" t="s">
        <v>98</v>
      </c>
      <c r="B47" t="s">
        <v>69</v>
      </c>
      <c r="C47" t="s">
        <v>16</v>
      </c>
      <c r="D47">
        <v>30</v>
      </c>
      <c r="E47">
        <v>136</v>
      </c>
      <c r="F47" s="4">
        <f>H47*1.5+I47+J47+K47*1.5+L47+M47+N47+O47+P47+Q47</f>
        <v>0.24859903428227259</v>
      </c>
      <c r="G47">
        <v>570</v>
      </c>
      <c r="H47">
        <f>(S47-S$123)/S$124</f>
        <v>-0.26678906347744025</v>
      </c>
      <c r="I47">
        <f>(T47-T$123)/T$124</f>
        <v>-0.70904454829898123</v>
      </c>
      <c r="J47">
        <f>(U47-U$123)/U$124</f>
        <v>0.50877548745727108</v>
      </c>
      <c r="K47">
        <f>(V47-V$123)/V$124</f>
        <v>-0.61149124644796604</v>
      </c>
      <c r="L47">
        <f>(Z47-Z$123)/Z$124</f>
        <v>0.24563410266828919</v>
      </c>
      <c r="M47">
        <f>(AB47-AB$123)/AB$124</f>
        <v>0.22148699882659531</v>
      </c>
      <c r="N47">
        <f>(AG47-AG$123)/AG$124</f>
        <v>4.1296922717177359E-2</v>
      </c>
      <c r="O47">
        <f>(AH47-AH$123)/AH$124</f>
        <v>2.7367623502192073E-2</v>
      </c>
      <c r="P47">
        <f>(AE47-AE$123)/AE$124</f>
        <v>0.97515275333489881</v>
      </c>
      <c r="Q47">
        <f>(AF47-AF$123)/AF$124</f>
        <v>0.25535015896293956</v>
      </c>
      <c r="S47">
        <f>(E47-AVERAGE(E$2:E$122))/AVERAGE(E$2:E$122)*100+100</f>
        <v>94.224295736946118</v>
      </c>
      <c r="T47">
        <f>('2026_Fantasy_Starters'!G30-AVERAGE('2026_Fantasy_Starters'!G$2:'2026_Fantasy_Starters'!G$122))/AVERAGE('2026_Fantasy_Starters'!G$2:'2026_Fantasy_Starters'!G$122)*100+100</f>
        <v>82.43682821312197</v>
      </c>
      <c r="U47">
        <f>(AVERAGE('2026_Fantasy_Starters'!H$2:'2026_Fantasy_Starters'!H$122)-'2026_Fantasy_Starters'!H30)/AVERAGE('2026_Fantasy_Starters'!H$2:'2026_Fantasy_Starters'!H$122)*100+100</f>
        <v>111.59696458386159</v>
      </c>
      <c r="V47">
        <f>('2026_Fantasy_Starters'!I30-AVERAGE('2026_Fantasy_Starters'!I$2:'2026_Fantasy_Starters'!I$122))/AVERAGE('2026_Fantasy_Starters'!I$2:'2026_Fantasy_Starters'!I$122)*100+100</f>
        <v>79.319475383007898</v>
      </c>
      <c r="W47">
        <f>(AVERAGE('2026_Fantasy_Starters'!J$2:'2026_Fantasy_Starters'!J$122)-'2026_Fantasy_Starters'!J30)/AVERAGE('2026_Fantasy_Starters'!J$2:'2026_Fantasy_Starters'!J$122)*100+100</f>
        <v>113.28451208508548</v>
      </c>
      <c r="X47">
        <f>(AVERAGE('2026_Fantasy_Starters'!K$2:'2026_Fantasy_Starters'!K$122)-'2026_Fantasy_Starters'!K30)/AVERAGE('2026_Fantasy_Starters'!K$2:'2026_Fantasy_Starters'!K$122)*100+100</f>
        <v>111.10251918964984</v>
      </c>
      <c r="Y47">
        <f>(AVERAGE('2026_Fantasy_Starters'!L$2:'2026_Fantasy_Starters'!L$122)-'2026_Fantasy_Starters'!L30)/AVERAGE('2026_Fantasy_Starters'!L$2:'2026_Fantasy_Starters'!L$122)*100+100</f>
        <v>105.72446116599872</v>
      </c>
      <c r="Z47">
        <f>(AVERAGE('2026_Fantasy_Starters'!M$2:'2026_Fantasy_Starters'!M$122)-'2026_Fantasy_Starters'!M30)/AVERAGE('2026_Fantasy_Starters'!M$2:'2026_Fantasy_Starters'!M$122)*100+100</f>
        <v>106.24564726160408</v>
      </c>
      <c r="AA47">
        <f>(AVERAGE('2026_Fantasy_Starters'!N$2:'2026_Fantasy_Starters'!N$122)-'2026_Fantasy_Starters'!N30)/AVERAGE('2026_Fantasy_Starters'!N$2:'2026_Fantasy_Starters'!N$122)*100+100</f>
        <v>84.481112209937194</v>
      </c>
      <c r="AB47">
        <f>(AVERAGE('2026_Fantasy_Starters'!O$2:'2026_Fantasy_Starters'!O$122)-'2026_Fantasy_Starters'!O30)/AVERAGE('2026_Fantasy_Starters'!O$2:'2026_Fantasy_Starters'!O$122)*100+100</f>
        <v>106.86583662685075</v>
      </c>
      <c r="AC47">
        <f>('2026_Fantasy_Starters'!P30-AVERAGE('2026_Fantasy_Starters'!P$2:'2026_Fantasy_Starters'!P$122))/AVERAGE('2026_Fantasy_Starters'!P$2:'2026_Fantasy_Starters'!P$122)*100+100</f>
        <v>104.71691025734256</v>
      </c>
      <c r="AD47">
        <f>(AVERAGE('2026_Fantasy_Starters'!Q$2:'2026_Fantasy_Starters'!Q$122)-'2026_Fantasy_Starters'!Q30)/AVERAGE('2026_Fantasy_Starters'!Q$2:'2026_Fantasy_Starters'!Q$122)*100+100</f>
        <v>83.772714163306873</v>
      </c>
      <c r="AE47">
        <f>('2026_Fantasy_Starters'!R30-AVERAGE('2026_Fantasy_Starters'!R$2:'2026_Fantasy_Starters'!R$122))/AVERAGE('2026_Fantasy_Starters'!R$2:'2026_Fantasy_Starters'!R$122)*100+100</f>
        <v>111.07234535413329</v>
      </c>
      <c r="AF47">
        <f>('2026_Fantasy_Starters'!T30-AVERAGE('2026_Fantasy_Starters'!T$2:'2026_Fantasy_Starters'!T$122))/AVERAGE('2026_Fantasy_Starters'!T$2:'2026_Fantasy_Starters'!T$122)*100+100</f>
        <v>105.01832563788165</v>
      </c>
      <c r="AG47">
        <f>(AVERAGE('2026_Fantasy_Starters'!U$2:'2026_Fantasy_Starters'!U$122)-'2026_Fantasy_Starters'!U30)/AVERAGE('2026_Fantasy_Starters'!U$2:'2026_Fantasy_Starters'!U$122)*100+100</f>
        <v>100.38776549049619</v>
      </c>
      <c r="AH47">
        <f>(AVERAGE('2026_Fantasy_Starters'!V$2:'2026_Fantasy_Starters'!V$122)-'2026_Fantasy_Starters'!V30)/AVERAGE('2026_Fantasy_Starters'!V$2:'2026_Fantasy_Starters'!V$122)*100+100</f>
        <v>100.177305533443</v>
      </c>
    </row>
    <row r="48" spans="1:34">
      <c r="A48" t="s">
        <v>1039</v>
      </c>
      <c r="B48" t="s">
        <v>161</v>
      </c>
      <c r="C48" t="s">
        <v>16</v>
      </c>
      <c r="D48">
        <v>13</v>
      </c>
      <c r="E48">
        <v>72</v>
      </c>
      <c r="F48" s="4">
        <f>H48*1.5+I48+J48+K48*1.5+L48+M48+N48+O48+P48+Q48</f>
        <v>0.20136979494543542</v>
      </c>
      <c r="G48">
        <v>297</v>
      </c>
      <c r="H48">
        <f>(S48-S$123)/S$124</f>
        <v>-2.3149639676315501</v>
      </c>
      <c r="I48">
        <f>(T48-T$123)/T$124</f>
        <v>-1.7793034523952587</v>
      </c>
      <c r="J48">
        <f>(U48-U$123)/U$124</f>
        <v>2.1794571276813968</v>
      </c>
      <c r="K48">
        <f>(V48-V$123)/V$124</f>
        <v>-1.3435926089328001</v>
      </c>
      <c r="L48">
        <f>(Z48-Z$123)/Z$124</f>
        <v>2.3112811535148459</v>
      </c>
      <c r="M48">
        <f>(AB48-AB$123)/AB$124</f>
        <v>1.6415904360251807</v>
      </c>
      <c r="N48">
        <f>(AG48-AG$123)/AG$124</f>
        <v>0.95705524246543228</v>
      </c>
      <c r="O48">
        <f>(AH48-AH$123)/AH$124</f>
        <v>0.69173770151286751</v>
      </c>
      <c r="P48">
        <f>(AE48-AE$123)/AE$124</f>
        <v>-0.44223094349156283</v>
      </c>
      <c r="Q48">
        <f>(AF48-AF$123)/AF$124</f>
        <v>0.12961739447905871</v>
      </c>
      <c r="S48">
        <f>(E48-AVERAGE(E$2:E$122))/AVERAGE(E$2:E$122)*100+100</f>
        <v>49.883450684265597</v>
      </c>
      <c r="T48">
        <f>('2026_Fantasy_Starters'!G100-AVERAGE('2026_Fantasy_Starters'!G$2:'2026_Fantasy_Starters'!G$122))/AVERAGE('2026_Fantasy_Starters'!G$2:'2026_Fantasy_Starters'!G$122)*100+100</f>
        <v>55.926306364849296</v>
      </c>
      <c r="U48">
        <f>(AVERAGE('2026_Fantasy_Starters'!H$2:'2026_Fantasy_Starters'!H$122)-'2026_Fantasy_Starters'!H100)/AVERAGE('2026_Fantasy_Starters'!H$2:'2026_Fantasy_Starters'!H$122)*100+100</f>
        <v>149.67827213548392</v>
      </c>
      <c r="V48">
        <f>('2026_Fantasy_Starters'!I100-AVERAGE('2026_Fantasy_Starters'!I$2:'2026_Fantasy_Starters'!I$122))/AVERAGE('2026_Fantasy_Starters'!I$2:'2026_Fantasy_Starters'!I$122)*100+100</f>
        <v>54.559938207377343</v>
      </c>
      <c r="W48">
        <f>(AVERAGE('2026_Fantasy_Starters'!J$2:'2026_Fantasy_Starters'!J$122)-'2026_Fantasy_Starters'!J100)/AVERAGE('2026_Fantasy_Starters'!J$2:'2026_Fantasy_Starters'!J$122)*100+100</f>
        <v>149.81881712255191</v>
      </c>
      <c r="X48">
        <f>(AVERAGE('2026_Fantasy_Starters'!K$2:'2026_Fantasy_Starters'!K$122)-'2026_Fantasy_Starters'!K100)/AVERAGE('2026_Fantasy_Starters'!K$2:'2026_Fantasy_Starters'!K$122)*100+100</f>
        <v>152.79939259641748</v>
      </c>
      <c r="Y48">
        <f>(AVERAGE('2026_Fantasy_Starters'!L$2:'2026_Fantasy_Starters'!L$122)-'2026_Fantasy_Starters'!L100)/AVERAGE('2026_Fantasy_Starters'!L$2:'2026_Fantasy_Starters'!L$122)*100+100</f>
        <v>154.39778341458782</v>
      </c>
      <c r="Z48">
        <f>(AVERAGE('2026_Fantasy_Starters'!M$2:'2026_Fantasy_Starters'!M$122)-'2026_Fantasy_Starters'!M100)/AVERAGE('2026_Fantasy_Starters'!M$2:'2026_Fantasy_Starters'!M$122)*100+100</f>
        <v>158.76808900082241</v>
      </c>
      <c r="AA48">
        <f>(AVERAGE('2026_Fantasy_Starters'!N$2:'2026_Fantasy_Starters'!N$122)-'2026_Fantasy_Starters'!N100)/AVERAGE('2026_Fantasy_Starters'!N$2:'2026_Fantasy_Starters'!N$122)*100+100</f>
        <v>200</v>
      </c>
      <c r="AB48">
        <f>(AVERAGE('2026_Fantasy_Starters'!O$2:'2026_Fantasy_Starters'!O$122)-'2026_Fantasy_Starters'!O100)/AVERAGE('2026_Fantasy_Starters'!O$2:'2026_Fantasy_Starters'!O$122)*100+100</f>
        <v>150.88737398430203</v>
      </c>
      <c r="AC48">
        <f>('2026_Fantasy_Starters'!P100-AVERAGE('2026_Fantasy_Starters'!P$2:'2026_Fantasy_Starters'!P$122))/AVERAGE('2026_Fantasy_Starters'!P$2:'2026_Fantasy_Starters'!P$122)*100+100</f>
        <v>47.405713771093069</v>
      </c>
      <c r="AD48">
        <f>(AVERAGE('2026_Fantasy_Starters'!Q$2:'2026_Fantasy_Starters'!Q$122)-'2026_Fantasy_Starters'!Q100)/AVERAGE('2026_Fantasy_Starters'!Q$2:'2026_Fantasy_Starters'!Q$122)*100+100</f>
        <v>159.07533241718997</v>
      </c>
      <c r="AE48">
        <f>('2026_Fantasy_Starters'!R100-AVERAGE('2026_Fantasy_Starters'!R$2:'2026_Fantasy_Starters'!R$122))/AVERAGE('2026_Fantasy_Starters'!R$2:'2026_Fantasy_Starters'!R$122)*100+100</f>
        <v>94.978700807768462</v>
      </c>
      <c r="AF48">
        <f>('2026_Fantasy_Starters'!T100-AVERAGE('2026_Fantasy_Starters'!T$2:'2026_Fantasy_Starters'!T$122))/AVERAGE('2026_Fantasy_Starters'!T$2:'2026_Fantasy_Starters'!T$122)*100+100</f>
        <v>102.54733459525309</v>
      </c>
      <c r="AG48">
        <f>(AVERAGE('2026_Fantasy_Starters'!U$2:'2026_Fantasy_Starters'!U$122)-'2026_Fantasy_Starters'!U100)/AVERAGE('2026_Fantasy_Starters'!U$2:'2026_Fantasy_Starters'!U$122)*100+100</f>
        <v>108.98645640180251</v>
      </c>
      <c r="AH48">
        <f>(AVERAGE('2026_Fantasy_Starters'!V$2:'2026_Fantasy_Starters'!V$122)-'2026_Fantasy_Starters'!V100)/AVERAGE('2026_Fantasy_Starters'!V$2:'2026_Fantasy_Starters'!V$122)*100+100</f>
        <v>104.48153352298165</v>
      </c>
    </row>
    <row r="49" spans="1:34">
      <c r="A49" t="s">
        <v>239</v>
      </c>
      <c r="B49" t="s">
        <v>54</v>
      </c>
      <c r="C49" t="s">
        <v>16</v>
      </c>
      <c r="D49">
        <v>29</v>
      </c>
      <c r="E49">
        <v>134.66999999999999</v>
      </c>
      <c r="F49" s="4">
        <f>H49*1.5+I49+J49+K49*1.5+L49+M49+N49+O49+P49+Q49</f>
        <v>0.13730119953407605</v>
      </c>
      <c r="G49">
        <v>563</v>
      </c>
      <c r="H49">
        <f>(S49-S$123)/S$124</f>
        <v>-0.30935269820439282</v>
      </c>
      <c r="I49">
        <f>(T49-T$123)/T$124</f>
        <v>-7.1053177788793484E-2</v>
      </c>
      <c r="J49">
        <f>(U49-U$123)/U$124</f>
        <v>-2.9984243334559901E-2</v>
      </c>
      <c r="K49">
        <f>(V49-V$123)/V$124</f>
        <v>-0.60891251674565994</v>
      </c>
      <c r="L49">
        <f>(Z49-Z$123)/Z$124</f>
        <v>0.9317171491791898</v>
      </c>
      <c r="M49">
        <f>(AB49-AB$123)/AB$124</f>
        <v>0.75683933043711049</v>
      </c>
      <c r="N49">
        <f>(AG49-AG$123)/AG$124</f>
        <v>0.62900550388057852</v>
      </c>
      <c r="O49">
        <f>(AH49-AH$123)/AH$124</f>
        <v>-0.31813488339059431</v>
      </c>
      <c r="P49">
        <f>(AE49-AE$123)/AE$124</f>
        <v>-0.15943258975287974</v>
      </c>
      <c r="Q49">
        <f>(AF49-AF$123)/AF$124</f>
        <v>-0.22425806727089592</v>
      </c>
      <c r="S49">
        <f>(E49-AVERAGE(E$2:E$122))/AVERAGE(E$2:E$122)*100+100</f>
        <v>93.302837550695102</v>
      </c>
      <c r="T49">
        <f>('2026_Fantasy_Starters'!G91-AVERAGE('2026_Fantasy_Starters'!G$2:'2026_Fantasy_Starters'!G$122))/AVERAGE('2026_Fantasy_Starters'!G$2:'2026_Fantasy_Starters'!G$122)*100+100</f>
        <v>98.239998924606439</v>
      </c>
      <c r="U49">
        <f>(AVERAGE('2026_Fantasy_Starters'!H$2:'2026_Fantasy_Starters'!H$122)-'2026_Fantasy_Starters'!H91)/AVERAGE('2026_Fantasy_Starters'!H$2:'2026_Fantasy_Starters'!H$122)*100+100</f>
        <v>99.316542921981949</v>
      </c>
      <c r="V49">
        <f>('2026_Fantasy_Starters'!I91-AVERAGE('2026_Fantasy_Starters'!I$2:'2026_Fantasy_Starters'!I$122))/AVERAGE('2026_Fantasy_Starters'!I$2:'2026_Fantasy_Starters'!I$122)*100+100</f>
        <v>79.406687560449342</v>
      </c>
      <c r="W49">
        <f>(AVERAGE('2026_Fantasy_Starters'!J$2:'2026_Fantasy_Starters'!J$122)-'2026_Fantasy_Starters'!J91)/AVERAGE('2026_Fantasy_Starters'!J$2:'2026_Fantasy_Starters'!J$122)*100+100</f>
        <v>104.93937915348259</v>
      </c>
      <c r="X49">
        <f>(AVERAGE('2026_Fantasy_Starters'!K$2:'2026_Fantasy_Starters'!K$122)-'2026_Fantasy_Starters'!K91)/AVERAGE('2026_Fantasy_Starters'!K$2:'2026_Fantasy_Starters'!K$122)*100+100</f>
        <v>106.1550382546143</v>
      </c>
      <c r="Y49">
        <f>(AVERAGE('2026_Fantasy_Starters'!L$2:'2026_Fantasy_Starters'!L$122)-'2026_Fantasy_Starters'!L91)/AVERAGE('2026_Fantasy_Starters'!L$2:'2026_Fantasy_Starters'!L$122)*100+100</f>
        <v>111.81810220479282</v>
      </c>
      <c r="Z49">
        <f>(AVERAGE('2026_Fantasy_Starters'!M$2:'2026_Fantasy_Starters'!M$122)-'2026_Fantasy_Starters'!M91)/AVERAGE('2026_Fantasy_Starters'!M$2:'2026_Fantasy_Starters'!M$122)*100+100</f>
        <v>123.69042652525718</v>
      </c>
      <c r="AA49">
        <f>(AVERAGE('2026_Fantasy_Starters'!N$2:'2026_Fantasy_Starters'!N$122)-'2026_Fantasy_Starters'!N91)/AVERAGE('2026_Fantasy_Starters'!N$2:'2026_Fantasy_Starters'!N$122)*100+100</f>
        <v>22.463353700083971</v>
      </c>
      <c r="AB49">
        <f>(AVERAGE('2026_Fantasy_Starters'!O$2:'2026_Fantasy_Starters'!O$122)-'2026_Fantasy_Starters'!O91)/AVERAGE('2026_Fantasy_Starters'!O$2:'2026_Fantasy_Starters'!O$122)*100+100</f>
        <v>123.46112965133722</v>
      </c>
      <c r="AC49">
        <f>('2026_Fantasy_Starters'!P91-AVERAGE('2026_Fantasy_Starters'!P$2:'2026_Fantasy_Starters'!P$122))/AVERAGE('2026_Fantasy_Starters'!P$2:'2026_Fantasy_Starters'!P$122)*100+100</f>
        <v>91.666126847979342</v>
      </c>
      <c r="AD49">
        <f>(AVERAGE('2026_Fantasy_Starters'!Q$2:'2026_Fantasy_Starters'!Q$122)-'2026_Fantasy_Starters'!Q91)/AVERAGE('2026_Fantasy_Starters'!Q$2:'2026_Fantasy_Starters'!Q$122)*100+100</f>
        <v>103.1980341201584</v>
      </c>
      <c r="AE49">
        <f>('2026_Fantasy_Starters'!R91-AVERAGE('2026_Fantasy_Starters'!R$2:'2026_Fantasy_Starters'!R$122))/AVERAGE('2026_Fantasy_Starters'!R$2:'2026_Fantasy_Starters'!R$122)*100+100</f>
        <v>98.189727005937542</v>
      </c>
      <c r="AF49">
        <f>('2026_Fantasy_Starters'!T91-AVERAGE('2026_Fantasy_Starters'!T$2:'2026_Fantasy_Starters'!T$122))/AVERAGE('2026_Fantasy_Starters'!T$2:'2026_Fantasy_Starters'!T$122)*100+100</f>
        <v>95.592718590589612</v>
      </c>
      <c r="AG49">
        <f>(AVERAGE('2026_Fantasy_Starters'!U$2:'2026_Fantasy_Starters'!U$122)-'2026_Fantasy_Starters'!U91)/AVERAGE('2026_Fantasy_Starters'!U$2:'2026_Fantasy_Starters'!U$122)*100+100</f>
        <v>105.90616955668661</v>
      </c>
      <c r="AH49">
        <f>(AVERAGE('2026_Fantasy_Starters'!V$2:'2026_Fantasy_Starters'!V$122)-'2026_Fantasy_Starters'!V91)/AVERAGE('2026_Fantasy_Starters'!V$2:'2026_Fantasy_Starters'!V$122)*100+100</f>
        <v>97.93891218936497</v>
      </c>
    </row>
    <row r="50" spans="1:34">
      <c r="A50" t="s">
        <v>165</v>
      </c>
      <c r="B50" t="s">
        <v>48</v>
      </c>
      <c r="C50" t="s">
        <v>16</v>
      </c>
      <c r="D50">
        <v>18</v>
      </c>
      <c r="E50">
        <v>109.33</v>
      </c>
      <c r="F50" s="4">
        <f>H50*1.5+I50+J50+K50*1.5+L50+M50+N50+O50+P50+Q50</f>
        <v>6.8537088891888864E-2</v>
      </c>
      <c r="G50">
        <v>452</v>
      </c>
      <c r="H50">
        <f>(S50-S$123)/S$124</f>
        <v>-1.1203019493179105</v>
      </c>
      <c r="I50">
        <f>(T50-T$123)/T$124</f>
        <v>-0.97483954430859465</v>
      </c>
      <c r="J50">
        <f>(U50-U$123)/U$124</f>
        <v>1.2974202371335937</v>
      </c>
      <c r="K50">
        <f>(V50-V$123)/V$124</f>
        <v>-0.54763965664520076</v>
      </c>
      <c r="L50">
        <f>(Z50-Z$123)/Z$124</f>
        <v>0.60885900344962252</v>
      </c>
      <c r="M50">
        <f>(AB50-AB$123)/AB$124</f>
        <v>1.0198458641162391</v>
      </c>
      <c r="N50">
        <f>(AG50-AG$123)/AG$124</f>
        <v>-0.18124673391291343</v>
      </c>
      <c r="O50">
        <f>(AH50-AH$123)/AH$124</f>
        <v>0.6124577196380141</v>
      </c>
      <c r="P50">
        <f>(AE50-AE$123)/AE$124</f>
        <v>-2.9332775849591382E-2</v>
      </c>
      <c r="Q50">
        <f>(AF50-AF$123)/AF$124</f>
        <v>0.21728572757018577</v>
      </c>
      <c r="S50">
        <f>(E50-AVERAGE(E$2:E$122))/AVERAGE(E$2:E$122)*100+100</f>
        <v>75.746634212649411</v>
      </c>
      <c r="T50">
        <f>('2026_Fantasy_Starters'!G58-AVERAGE('2026_Fantasy_Starters'!G$2:'2026_Fantasy_Starters'!G$122))/AVERAGE('2026_Fantasy_Starters'!G$2:'2026_Fantasy_Starters'!G$122)*100+100</f>
        <v>75.85303430876354</v>
      </c>
      <c r="U50">
        <f>(AVERAGE('2026_Fantasy_Starters'!H$2:'2026_Fantasy_Starters'!H$122)-'2026_Fantasy_Starters'!H58)/AVERAGE('2026_Fantasy_Starters'!H$2:'2026_Fantasy_Starters'!H$122)*100+100</f>
        <v>129.57323399289592</v>
      </c>
      <c r="V50">
        <f>('2026_Fantasy_Starters'!I58-AVERAGE('2026_Fantasy_Starters'!I$2:'2026_Fantasy_Starters'!I$122))/AVERAGE('2026_Fantasy_Starters'!I$2:'2026_Fantasy_Starters'!I$122)*100+100</f>
        <v>81.478924733134505</v>
      </c>
      <c r="W50">
        <f>(AVERAGE('2026_Fantasy_Starters'!J$2:'2026_Fantasy_Starters'!J$122)-'2026_Fantasy_Starters'!J58)/AVERAGE('2026_Fantasy_Starters'!J$2:'2026_Fantasy_Starters'!J$122)*100+100</f>
        <v>126.04126545878569</v>
      </c>
      <c r="X50">
        <f>(AVERAGE('2026_Fantasy_Starters'!K$2:'2026_Fantasy_Starters'!K$122)-'2026_Fantasy_Starters'!K58)/AVERAGE('2026_Fantasy_Starters'!K$2:'2026_Fantasy_Starters'!K$122)*100+100</f>
        <v>125.67070469526053</v>
      </c>
      <c r="Y50">
        <f>(AVERAGE('2026_Fantasy_Starters'!L$2:'2026_Fantasy_Starters'!L$122)-'2026_Fantasy_Starters'!L58)/AVERAGE('2026_Fantasy_Starters'!L$2:'2026_Fantasy_Starters'!L$122)*100+100</f>
        <v>122.62233144403103</v>
      </c>
      <c r="Z50">
        <f>(AVERAGE('2026_Fantasy_Starters'!M$2:'2026_Fantasy_Starters'!M$122)-'2026_Fantasy_Starters'!M58)/AVERAGE('2026_Fantasy_Starters'!M$2:'2026_Fantasy_Starters'!M$122)*100+100</f>
        <v>115.48123215095025</v>
      </c>
      <c r="AA50">
        <f>(AVERAGE('2026_Fantasy_Starters'!N$2:'2026_Fantasy_Starters'!N$122)-'2026_Fantasy_Starters'!N58)/AVERAGE('2026_Fantasy_Starters'!N$2:'2026_Fantasy_Starters'!N$122)*100+100</f>
        <v>138.58609769165918</v>
      </c>
      <c r="AB50">
        <f>(AVERAGE('2026_Fantasy_Starters'!O$2:'2026_Fantasy_Starters'!O$122)-'2026_Fantasy_Starters'!O58)/AVERAGE('2026_Fantasy_Starters'!O$2:'2026_Fantasy_Starters'!O$122)*100+100</f>
        <v>131.6140230563762</v>
      </c>
      <c r="AC50">
        <f>('2026_Fantasy_Starters'!P58-AVERAGE('2026_Fantasy_Starters'!P$2:'2026_Fantasy_Starters'!P$122))/AVERAGE('2026_Fantasy_Starters'!P$2:'2026_Fantasy_Starters'!P$122)*100+100</f>
        <v>75.537472553388341</v>
      </c>
      <c r="AD50">
        <f>(AVERAGE('2026_Fantasy_Starters'!Q$2:'2026_Fantasy_Starters'!Q$122)-'2026_Fantasy_Starters'!Q58)/AVERAGE('2026_Fantasy_Starters'!Q$2:'2026_Fantasy_Starters'!Q$122)*100+100</f>
        <v>129.91405113146766</v>
      </c>
      <c r="AE50">
        <f>('2026_Fantasy_Starters'!R58-AVERAGE('2026_Fantasy_Starters'!R$2:'2026_Fantasy_Starters'!R$122))/AVERAGE('2026_Fantasy_Starters'!R$2:'2026_Fantasy_Starters'!R$122)*100+100</f>
        <v>99.6669417962556</v>
      </c>
      <c r="AF50">
        <f>('2026_Fantasy_Starters'!T58-AVERAGE('2026_Fantasy_Starters'!T$2:'2026_Fantasy_Starters'!T$122))/AVERAGE('2026_Fantasy_Starters'!T$2:'2026_Fantasy_Starters'!T$122)*100+100</f>
        <v>104.27025595691713</v>
      </c>
      <c r="AG50">
        <f>(AVERAGE('2026_Fantasy_Starters'!U$2:'2026_Fantasy_Starters'!U$122)-'2026_Fantasy_Starters'!U58)/AVERAGE('2026_Fantasy_Starters'!U$2:'2026_Fantasy_Starters'!U$122)*100+100</f>
        <v>98.298148528937944</v>
      </c>
      <c r="AH50">
        <f>(AVERAGE('2026_Fantasy_Starters'!V$2:'2026_Fantasy_Starters'!V$122)-'2026_Fantasy_Starters'!V58)/AVERAGE('2026_Fantasy_Starters'!V$2:'2026_Fantasy_Starters'!V$122)*100+100</f>
        <v>103.96790545890984</v>
      </c>
    </row>
    <row r="51" spans="1:34" s="5" customFormat="1">
      <c r="A51" t="s">
        <v>167</v>
      </c>
      <c r="B51" t="s">
        <v>48</v>
      </c>
      <c r="C51" t="s">
        <v>16</v>
      </c>
      <c r="D51">
        <v>24</v>
      </c>
      <c r="E51">
        <v>145.66999999999999</v>
      </c>
      <c r="F51" s="4">
        <f>H51*1.5+I51+J51+K51*1.5+L51+M51+N51+O51+P51+Q51</f>
        <v>5.2817791170721086E-2</v>
      </c>
      <c r="G51">
        <v>607</v>
      </c>
      <c r="H51">
        <f>(S51-S$123)/S$124</f>
        <v>4.2677363447094357E-2</v>
      </c>
      <c r="I51">
        <f>(T51-T$123)/T$124</f>
        <v>0.2072730065779749</v>
      </c>
      <c r="J51">
        <f>(U51-U$123)/U$124</f>
        <v>-3.6753211566944013E-2</v>
      </c>
      <c r="K51">
        <f>(V51-V$123)/V$124</f>
        <v>0.14315558143417403</v>
      </c>
      <c r="L51">
        <f>(Z51-Z$123)/Z$124</f>
        <v>-0.45769206296313569</v>
      </c>
      <c r="M51">
        <f>(AB51-AB$123)/AB$124</f>
        <v>-0.11275568654507317</v>
      </c>
      <c r="N51">
        <f>(AG51-AG$123)/AG$124</f>
        <v>-0.29242945927720043</v>
      </c>
      <c r="O51">
        <f>(AH51-AH$123)/AH$124</f>
        <v>0.13207867462384795</v>
      </c>
      <c r="P51">
        <f>(AE51-AE$123)/AE$124</f>
        <v>0.36603978513892438</v>
      </c>
      <c r="Q51">
        <f>(AF51-AF$123)/AF$124</f>
        <v>-3.1692672139575405E-2</v>
      </c>
      <c r="R51"/>
      <c r="S51">
        <f>(E51-AVERAGE(E$2:E$122))/AVERAGE(E$2:E$122)*100+100</f>
        <v>100.92392029412456</v>
      </c>
      <c r="T51">
        <f>('2026_Fantasy_Starters'!G59-AVERAGE('2026_Fantasy_Starters'!G$2:'2026_Fantasy_Starters'!G$122))/AVERAGE('2026_Fantasy_Starters'!G$2:'2026_Fantasy_Starters'!G$122)*100+100</f>
        <v>105.13419280924599</v>
      </c>
      <c r="U51">
        <f>(AVERAGE('2026_Fantasy_Starters'!H$2:'2026_Fantasy_Starters'!H$122)-'2026_Fantasy_Starters'!H59)/AVERAGE('2026_Fantasy_Starters'!H$2:'2026_Fantasy_Starters'!H$122)*100+100</f>
        <v>99.162251909943294</v>
      </c>
      <c r="V51">
        <f>('2026_Fantasy_Starters'!I59-AVERAGE('2026_Fantasy_Starters'!I$2:'2026_Fantasy_Starters'!I$122))/AVERAGE('2026_Fantasy_Starters'!I$2:'2026_Fantasy_Starters'!I$122)*100+100</f>
        <v>104.84149616712655</v>
      </c>
      <c r="W51">
        <f>(AVERAGE('2026_Fantasy_Starters'!J$2:'2026_Fantasy_Starters'!J$122)-'2026_Fantasy_Starters'!J59)/AVERAGE('2026_Fantasy_Starters'!J$2:'2026_Fantasy_Starters'!J$122)*100+100</f>
        <v>105.10550143552905</v>
      </c>
      <c r="X51">
        <f>(AVERAGE('2026_Fantasy_Starters'!K$2:'2026_Fantasy_Starters'!K$122)-'2026_Fantasy_Starters'!K59)/AVERAGE('2026_Fantasy_Starters'!K$2:'2026_Fantasy_Starters'!K$122)*100+100</f>
        <v>98.394811342574187</v>
      </c>
      <c r="Y51">
        <f>(AVERAGE('2026_Fantasy_Starters'!L$2:'2026_Fantasy_Starters'!L$122)-'2026_Fantasy_Starters'!L59)/AVERAGE('2026_Fantasy_Starters'!L$2:'2026_Fantasy_Starters'!L$122)*100+100</f>
        <v>95.844614822682544</v>
      </c>
      <c r="Z51">
        <f>(AVERAGE('2026_Fantasy_Starters'!M$2:'2026_Fantasy_Starters'!M$122)-'2026_Fantasy_Starters'!M59)/AVERAGE('2026_Fantasy_Starters'!M$2:'2026_Fantasy_Starters'!M$122)*100+100</f>
        <v>88.362433600826364</v>
      </c>
      <c r="AA51">
        <f>(AVERAGE('2026_Fantasy_Starters'!N$2:'2026_Fantasy_Starters'!N$122)-'2026_Fantasy_Starters'!N59)/AVERAGE('2026_Fantasy_Starters'!N$2:'2026_Fantasy_Starters'!N$122)*100+100</f>
        <v>138.58613196060708</v>
      </c>
      <c r="AB51">
        <f>(AVERAGE('2026_Fantasy_Starters'!O$2:'2026_Fantasy_Starters'!O$122)-'2026_Fantasy_Starters'!O59)/AVERAGE('2026_Fantasy_Starters'!O$2:'2026_Fantasy_Starters'!O$122)*100+100</f>
        <v>96.504706250622974</v>
      </c>
      <c r="AC51">
        <f>('2026_Fantasy_Starters'!P59-AVERAGE('2026_Fantasy_Starters'!P$2:'2026_Fantasy_Starters'!P$122))/AVERAGE('2026_Fantasy_Starters'!P$2:'2026_Fantasy_Starters'!P$122)*100+100</f>
        <v>105.17854753057441</v>
      </c>
      <c r="AD51">
        <f>(AVERAGE('2026_Fantasy_Starters'!Q$2:'2026_Fantasy_Starters'!Q$122)-'2026_Fantasy_Starters'!Q59)/AVERAGE('2026_Fantasy_Starters'!Q$2:'2026_Fantasy_Starters'!Q$122)*100+100</f>
        <v>83.948416586546358</v>
      </c>
      <c r="AE51">
        <f>('2026_Fantasy_Starters'!R59-AVERAGE('2026_Fantasy_Starters'!R$2:'2026_Fantasy_Starters'!R$122))/AVERAGE('2026_Fantasy_Starters'!R$2:'2026_Fantasy_Starters'!R$122)*100+100</f>
        <v>104.15618876176107</v>
      </c>
      <c r="AF51">
        <f>('2026_Fantasy_Starters'!T59-AVERAGE('2026_Fantasy_Starters'!T$2:'2026_Fantasy_Starters'!T$122))/AVERAGE('2026_Fantasy_Starters'!T$2:'2026_Fantasy_Starters'!T$122)*100+100</f>
        <v>99.377152731069543</v>
      </c>
      <c r="AG51">
        <f>(AVERAGE('2026_Fantasy_Starters'!U$2:'2026_Fantasy_Starters'!U$122)-'2026_Fantasy_Starters'!U59)/AVERAGE('2026_Fantasy_Starters'!U$2:'2026_Fantasy_Starters'!U$122)*100+100</f>
        <v>97.254176697650649</v>
      </c>
      <c r="AH51">
        <f>(AVERAGE('2026_Fantasy_Starters'!V$2:'2026_Fantasy_Starters'!V$122)-'2026_Fantasy_Starters'!V59)/AVERAGE('2026_Fantasy_Starters'!V$2:'2026_Fantasy_Starters'!V$122)*100+100</f>
        <v>100.85569285395776</v>
      </c>
    </row>
    <row r="52" spans="1:34">
      <c r="A52" s="5" t="s">
        <v>224</v>
      </c>
      <c r="B52" s="5" t="s">
        <v>161</v>
      </c>
      <c r="C52" s="5" t="s">
        <v>16</v>
      </c>
      <c r="D52" s="5">
        <v>25</v>
      </c>
      <c r="E52" s="5">
        <v>135.66999999999999</v>
      </c>
      <c r="F52" s="6">
        <f>H52*1.5+I52+J52+K52*1.5+L52+M52+N52+O52+P52+Q52</f>
        <v>-0.11046850351484963</v>
      </c>
      <c r="G52" s="5">
        <v>571</v>
      </c>
      <c r="H52" s="5">
        <f>(S52-S$123)/S$124</f>
        <v>-0.27734996532698492</v>
      </c>
      <c r="I52" s="5">
        <f>(T52-T$123)/T$124</f>
        <v>-8.7922218023928078E-2</v>
      </c>
      <c r="J52" s="5">
        <f>(U52-U$123)/U$124</f>
        <v>0.15306717108632198</v>
      </c>
      <c r="K52" s="5">
        <f>(V52-V$123)/V$124</f>
        <v>5.6033020333096692E-4</v>
      </c>
      <c r="L52" s="5">
        <f>(Z52-Z$123)/Z$124</f>
        <v>0.48708428508774376</v>
      </c>
      <c r="M52" s="5">
        <f>(AB52-AB$123)/AB$124</f>
        <v>-0.59694434733665336</v>
      </c>
      <c r="N52" s="5">
        <f>(AG52-AG$123)/AG$124</f>
        <v>-0.17257325113291308</v>
      </c>
      <c r="O52" s="5">
        <f>(AH52-AH$123)/AH$124</f>
        <v>-0.25101187267553648</v>
      </c>
      <c r="P52" s="5">
        <f>(AE52-AE$123)/AE$124</f>
        <v>0.73700572007143283</v>
      </c>
      <c r="Q52" s="5">
        <f>(AF52-AF$123)/AF$124</f>
        <v>3.6010462094163781E-2</v>
      </c>
      <c r="R52" s="5"/>
      <c r="S52" s="5">
        <f>(E52-AVERAGE(E$2:E$122))/AVERAGE(E$2:E$122)*100+100</f>
        <v>93.995663254643233</v>
      </c>
      <c r="T52" s="5">
        <f>('2026_Fantasy_Starters'!G84-AVERAGE('2026_Fantasy_Starters'!G$2:'2026_Fantasy_Starters'!G$122))/AVERAGE('2026_Fantasy_Starters'!G$2:'2026_Fantasy_Starters'!G$122)*100+100</f>
        <v>97.822149507048408</v>
      </c>
      <c r="U52" s="5">
        <f>(AVERAGE('2026_Fantasy_Starters'!H$2:'2026_Fantasy_Starters'!H$122)-'2026_Fantasy_Starters'!H84)/AVERAGE('2026_Fantasy_Starters'!H$2:'2026_Fantasy_Starters'!H$122)*100+100</f>
        <v>103.48899388001482</v>
      </c>
      <c r="V52" s="5">
        <f>('2026_Fantasy_Starters'!I84-AVERAGE('2026_Fantasy_Starters'!I$2:'2026_Fantasy_Starters'!I$122))/AVERAGE('2026_Fantasy_Starters'!I$2:'2026_Fantasy_Starters'!I$122)*100+100</f>
        <v>100.01895026728666</v>
      </c>
      <c r="W52" s="5">
        <f>(AVERAGE('2026_Fantasy_Starters'!J$2:'2026_Fantasy_Starters'!J$122)-'2026_Fantasy_Starters'!J84)/AVERAGE('2026_Fantasy_Starters'!J$2:'2026_Fantasy_Starters'!J$122)*100+100</f>
        <v>111.1379409004025</v>
      </c>
      <c r="X52" s="5">
        <f>(AVERAGE('2026_Fantasy_Starters'!K$2:'2026_Fantasy_Starters'!K$122)-'2026_Fantasy_Starters'!K84)/AVERAGE('2026_Fantasy_Starters'!K$2:'2026_Fantasy_Starters'!K$122)*100+100</f>
        <v>105.90755472790849</v>
      </c>
      <c r="Y52" s="5">
        <f>(AVERAGE('2026_Fantasy_Starters'!L$2:'2026_Fantasy_Starters'!L$122)-'2026_Fantasy_Starters'!L84)/AVERAGE('2026_Fantasy_Starters'!L$2:'2026_Fantasy_Starters'!L$122)*100+100</f>
        <v>104.057241509677</v>
      </c>
      <c r="Z52" s="5">
        <f>(AVERAGE('2026_Fantasy_Starters'!M$2:'2026_Fantasy_Starters'!M$122)-'2026_Fantasy_Starters'!M84)/AVERAGE('2026_Fantasy_Starters'!M$2:'2026_Fantasy_Starters'!M$122)*100+100</f>
        <v>112.38491153419712</v>
      </c>
      <c r="AA52" s="5">
        <f>(AVERAGE('2026_Fantasy_Starters'!N$2:'2026_Fantasy_Starters'!N$122)-'2026_Fantasy_Starters'!N84)/AVERAGE('2026_Fantasy_Starters'!N$2:'2026_Fantasy_Starters'!N$122)*100+100</f>
        <v>138.58609683186481</v>
      </c>
      <c r="AB52" s="5">
        <f>(AVERAGE('2026_Fantasy_Starters'!O$2:'2026_Fantasy_Starters'!O$122)-'2026_Fantasy_Starters'!O84)/AVERAGE('2026_Fantasy_Starters'!O$2:'2026_Fantasy_Starters'!O$122)*100+100</f>
        <v>81.495426883524146</v>
      </c>
      <c r="AC52" s="5">
        <f>('2026_Fantasy_Starters'!P84-AVERAGE('2026_Fantasy_Starters'!P$2:'2026_Fantasy_Starters'!P$122))/AVERAGE('2026_Fantasy_Starters'!P$2:'2026_Fantasy_Starters'!P$122)*100+100</f>
        <v>101.91969138279953</v>
      </c>
      <c r="AD52" s="5">
        <f>(AVERAGE('2026_Fantasy_Starters'!Q$2:'2026_Fantasy_Starters'!Q$122)-'2026_Fantasy_Starters'!Q84)/AVERAGE('2026_Fantasy_Starters'!Q$2:'2026_Fantasy_Starters'!Q$122)*100+100</f>
        <v>84.240122019611348</v>
      </c>
      <c r="AE52" s="5">
        <f>('2026_Fantasy_Starters'!R84-AVERAGE('2026_Fantasy_Starters'!R$2:'2026_Fantasy_Starters'!R$122))/AVERAGE('2026_Fantasy_Starters'!R$2:'2026_Fantasy_Starters'!R$122)*100+100</f>
        <v>108.36831135706186</v>
      </c>
      <c r="AF52" s="5">
        <f>('2026_Fantasy_Starters'!T84-AVERAGE('2026_Fantasy_Starters'!T$2:'2026_Fantasy_Starters'!T$122))/AVERAGE('2026_Fantasy_Starters'!T$2:'2026_Fantasy_Starters'!T$122)*100+100</f>
        <v>100.70770359373586</v>
      </c>
      <c r="AG52" s="5">
        <f>(AVERAGE('2026_Fantasy_Starters'!U$2:'2026_Fantasy_Starters'!U$122)-'2026_Fantasy_Starters'!U84)/AVERAGE('2026_Fantasy_Starters'!U$2:'2026_Fantasy_Starters'!U$122)*100+100</f>
        <v>98.379589882995489</v>
      </c>
      <c r="AH52" s="5">
        <f>(AVERAGE('2026_Fantasy_Starters'!V$2:'2026_Fantasy_Starters'!V$122)-'2026_Fantasy_Starters'!V84)/AVERAGE('2026_Fantasy_Starters'!V$2:'2026_Fantasy_Starters'!V$122)*100+100</f>
        <v>98.373779368102078</v>
      </c>
    </row>
    <row r="53" spans="1:34">
      <c r="A53" t="s">
        <v>187</v>
      </c>
      <c r="B53" t="s">
        <v>161</v>
      </c>
      <c r="C53" t="s">
        <v>16</v>
      </c>
      <c r="D53">
        <v>27</v>
      </c>
      <c r="E53">
        <v>158.66999999999999</v>
      </c>
      <c r="F53" s="4">
        <f>H53*1.5+I53+J53+K53*1.5+L53+M53+N53+O53+P53+Q53</f>
        <v>-0.1373966937759179</v>
      </c>
      <c r="G53">
        <v>659</v>
      </c>
      <c r="H53">
        <f>(S53-S$123)/S$124</f>
        <v>0.45871289085339856</v>
      </c>
      <c r="I53">
        <f>(T53-T$123)/T$124</f>
        <v>0.67749703691408547</v>
      </c>
      <c r="J53">
        <f>(U53-U$123)/U$124</f>
        <v>-0.50145195788013386</v>
      </c>
      <c r="K53">
        <f>(V53-V$123)/V$124</f>
        <v>0.53964480049029229</v>
      </c>
      <c r="L53">
        <f>(Z53-Z$123)/Z$124</f>
        <v>-0.49235090873342235</v>
      </c>
      <c r="M53">
        <f>(AB53-AB$123)/AB$124</f>
        <v>-0.51320114138157291</v>
      </c>
      <c r="N53">
        <f>(AG53-AG$123)/AG$124</f>
        <v>5.5522508192144895E-2</v>
      </c>
      <c r="O53">
        <f>(AH53-AH$123)/AH$124</f>
        <v>0.40161722161091401</v>
      </c>
      <c r="P53">
        <f>(AE53-AE$123)/AE$124</f>
        <v>-0.82663679665156975</v>
      </c>
      <c r="Q53">
        <f>(AF53-AF$123)/AF$124</f>
        <v>-0.43592919286189957</v>
      </c>
      <c r="S53">
        <f>(E53-AVERAGE(E$2:E$122))/AVERAGE(E$2:E$122)*100+100</f>
        <v>109.9306544454503</v>
      </c>
      <c r="T53">
        <f>('2026_Fantasy_Starters'!G68-AVERAGE('2026_Fantasy_Starters'!G$2:'2026_Fantasy_Starters'!G$122))/AVERAGE('2026_Fantasy_Starters'!G$2:'2026_Fantasy_Starters'!G$122)*100+100</f>
        <v>116.7817337753587</v>
      </c>
      <c r="U53">
        <f>(AVERAGE('2026_Fantasy_Starters'!H$2:'2026_Fantasy_Starters'!H$122)-'2026_Fantasy_Starters'!H68)/AVERAGE('2026_Fantasy_Starters'!H$2:'2026_Fantasy_Starters'!H$122)*100+100</f>
        <v>88.569967029843752</v>
      </c>
      <c r="V53">
        <f>('2026_Fantasy_Starters'!I68-AVERAGE('2026_Fantasy_Starters'!I$2:'2026_Fantasy_Starters'!I$122))/AVERAGE('2026_Fantasy_Starters'!I$2:'2026_Fantasy_Starters'!I$122)*100+100</f>
        <v>118.2506906612292</v>
      </c>
      <c r="W53">
        <f>(AVERAGE('2026_Fantasy_Starters'!J$2:'2026_Fantasy_Starters'!J$122)-'2026_Fantasy_Starters'!J68)/AVERAGE('2026_Fantasy_Starters'!J$2:'2026_Fantasy_Starters'!J$122)*100+100</f>
        <v>89.759722690739068</v>
      </c>
      <c r="X53">
        <f>(AVERAGE('2026_Fantasy_Starters'!K$2:'2026_Fantasy_Starters'!K$122)-'2026_Fantasy_Starters'!K68)/AVERAGE('2026_Fantasy_Starters'!K$2:'2026_Fantasy_Starters'!K$122)*100+100</f>
        <v>87.573685583192443</v>
      </c>
      <c r="Y53">
        <f>(AVERAGE('2026_Fantasy_Starters'!L$2:'2026_Fantasy_Starters'!L$122)-'2026_Fantasy_Starters'!L68)/AVERAGE('2026_Fantasy_Starters'!L$2:'2026_Fantasy_Starters'!L$122)*100+100</f>
        <v>90.157051124574153</v>
      </c>
      <c r="Z53">
        <f>(AVERAGE('2026_Fantasy_Starters'!M$2:'2026_Fantasy_Starters'!M$122)-'2026_Fantasy_Starters'!M68)/AVERAGE('2026_Fantasy_Starters'!M$2:'2026_Fantasy_Starters'!M$122)*100+100</f>
        <v>87.481175978924114</v>
      </c>
      <c r="AA53">
        <f>(AVERAGE('2026_Fantasy_Starters'!N$2:'2026_Fantasy_Starters'!N$122)-'2026_Fantasy_Starters'!N68)/AVERAGE('2026_Fantasy_Starters'!N$2:'2026_Fantasy_Starters'!N$122)*100+100</f>
        <v>138.58614252379533</v>
      </c>
      <c r="AB53">
        <f>(AVERAGE('2026_Fantasy_Starters'!O$2:'2026_Fantasy_Starters'!O$122)-'2026_Fantasy_Starters'!O68)/AVERAGE('2026_Fantasy_Starters'!O$2:'2026_Fantasy_Starters'!O$122)*100+100</f>
        <v>84.091367836006185</v>
      </c>
      <c r="AC53">
        <f>('2026_Fantasy_Starters'!P68-AVERAGE('2026_Fantasy_Starters'!P$2:'2026_Fantasy_Starters'!P$122))/AVERAGE('2026_Fantasy_Starters'!P$2:'2026_Fantasy_Starters'!P$122)*100+100</f>
        <v>99.669429624535212</v>
      </c>
      <c r="AD53">
        <f>(AVERAGE('2026_Fantasy_Starters'!Q$2:'2026_Fantasy_Starters'!Q$122)-'2026_Fantasy_Starters'!Q68)/AVERAGE('2026_Fantasy_Starters'!Q$2:'2026_Fantasy_Starters'!Q$122)*100+100</f>
        <v>100.7938110080559</v>
      </c>
      <c r="AE53">
        <f>('2026_Fantasy_Starters'!R68-AVERAGE('2026_Fantasy_Starters'!R$2:'2026_Fantasy_Starters'!R$122))/AVERAGE('2026_Fantasy_Starters'!R$2:'2026_Fantasy_Starters'!R$122)*100+100</f>
        <v>90.613975027338725</v>
      </c>
      <c r="AF53">
        <f>('2026_Fantasy_Starters'!T68-AVERAGE('2026_Fantasy_Starters'!T$2:'2026_Fantasy_Starters'!T$122))/AVERAGE('2026_Fantasy_Starters'!T$2:'2026_Fantasy_Starters'!T$122)*100+100</f>
        <v>91.432804844435339</v>
      </c>
      <c r="AG53">
        <f>(AVERAGE('2026_Fantasy_Starters'!U$2:'2026_Fantasy_Starters'!U$122)-'2026_Fantasy_Starters'!U68)/AVERAGE('2026_Fantasy_Starters'!U$2:'2026_Fantasy_Starters'!U$122)*100+100</f>
        <v>100.52133939301366</v>
      </c>
      <c r="AH53">
        <f>(AVERAGE('2026_Fantasy_Starters'!V$2:'2026_Fantasy_Starters'!V$122)-'2026_Fantasy_Starters'!V68)/AVERAGE('2026_Fantasy_Starters'!V$2:'2026_Fantasy_Starters'!V$122)*100+100</f>
        <v>102.60194151355297</v>
      </c>
    </row>
    <row r="54" spans="1:34">
      <c r="A54" t="s">
        <v>150</v>
      </c>
      <c r="B54" t="s">
        <v>145</v>
      </c>
      <c r="C54" t="s">
        <v>16</v>
      </c>
      <c r="D54">
        <v>29</v>
      </c>
      <c r="E54">
        <v>179</v>
      </c>
      <c r="F54" s="4">
        <f>H54*1.5+I54+J54+K54*1.5+L54+M54+N54+O54+P54+Q54</f>
        <v>-0.29477671841350256</v>
      </c>
      <c r="G54">
        <v>746</v>
      </c>
      <c r="H54">
        <f>(S54-S$123)/S$124</f>
        <v>1.1093284502511025</v>
      </c>
      <c r="I54">
        <f>(T54-T$123)/T$124</f>
        <v>0.69623187731263148</v>
      </c>
      <c r="J54">
        <f>(U54-U$123)/U$124</f>
        <v>-1.2138743610239358</v>
      </c>
      <c r="K54">
        <f>(V54-V$123)/V$124</f>
        <v>0.8910347292911398</v>
      </c>
      <c r="L54">
        <f>(Z54-Z$123)/Z$124</f>
        <v>-1.1029566349514865</v>
      </c>
      <c r="M54">
        <f>(AB54-AB$123)/AB$124</f>
        <v>-1.1368606017500462</v>
      </c>
      <c r="N54">
        <f>(AG54-AG$123)/AG$124</f>
        <v>0.11996613638423802</v>
      </c>
      <c r="O54">
        <f>(AH54-AH$123)/AH$124</f>
        <v>0.19916670525094146</v>
      </c>
      <c r="P54">
        <f>(AE54-AE$123)/AE$124</f>
        <v>-0.57716806907985296</v>
      </c>
      <c r="Q54">
        <f>(AF54-AF$123)/AF$124</f>
        <v>-0.27982653986935541</v>
      </c>
      <c r="S54">
        <f>(E54-AVERAGE(E$2:E$122))/AVERAGE(E$2:E$122)*100+100</f>
        <v>124.01580100671585</v>
      </c>
      <c r="T54">
        <f>('2026_Fantasy_Starters'!G51-AVERAGE('2026_Fantasy_Starters'!G$2:'2026_Fantasy_Starters'!G$122))/AVERAGE('2026_Fantasy_Starters'!G$2:'2026_Fantasy_Starters'!G$122)*100+100</f>
        <v>117.24579942695816</v>
      </c>
      <c r="U54">
        <f>(AVERAGE('2026_Fantasy_Starters'!H$2:'2026_Fantasy_Starters'!H$122)-'2026_Fantasy_Starters'!H51)/AVERAGE('2026_Fantasy_Starters'!H$2:'2026_Fantasy_Starters'!H$122)*100+100</f>
        <v>72.331100217884625</v>
      </c>
      <c r="V54">
        <f>('2026_Fantasy_Starters'!I51-AVERAGE('2026_Fantasy_Starters'!I$2:'2026_Fantasy_Starters'!I$122))/AVERAGE('2026_Fantasy_Starters'!I$2:'2026_Fantasy_Starters'!I$122)*100+100</f>
        <v>130.13463522289089</v>
      </c>
      <c r="W54">
        <f>(AVERAGE('2026_Fantasy_Starters'!J$2:'2026_Fantasy_Starters'!J$122)-'2026_Fantasy_Starters'!J51)/AVERAGE('2026_Fantasy_Starters'!J$2:'2026_Fantasy_Starters'!J$122)*100+100</f>
        <v>74.170793567501519</v>
      </c>
      <c r="X54">
        <f>(AVERAGE('2026_Fantasy_Starters'!K$2:'2026_Fantasy_Starters'!K$122)-'2026_Fantasy_Starters'!K51)/AVERAGE('2026_Fantasy_Starters'!K$2:'2026_Fantasy_Starters'!K$122)*100+100</f>
        <v>74.070007083804626</v>
      </c>
      <c r="Y54">
        <f>(AVERAGE('2026_Fantasy_Starters'!L$2:'2026_Fantasy_Starters'!L$122)-'2026_Fantasy_Starters'!L51)/AVERAGE('2026_Fantasy_Starters'!L$2:'2026_Fantasy_Starters'!L$122)*100+100</f>
        <v>76.836900024907465</v>
      </c>
      <c r="Z54">
        <f>(AVERAGE('2026_Fantasy_Starters'!M$2:'2026_Fantasy_Starters'!M$122)-'2026_Fantasy_Starters'!M51)/AVERAGE('2026_Fantasy_Starters'!M$2:'2026_Fantasy_Starters'!M$122)*100+100</f>
        <v>71.955530555724621</v>
      </c>
      <c r="AA54">
        <f>(AVERAGE('2026_Fantasy_Starters'!N$2:'2026_Fantasy_Starters'!N$122)-'2026_Fantasy_Starters'!N51)/AVERAGE('2026_Fantasy_Starters'!N$2:'2026_Fantasy_Starters'!N$122)*100+100</f>
        <v>79.393931604567001</v>
      </c>
      <c r="AB54">
        <f>(AVERAGE('2026_Fantasy_Starters'!O$2:'2026_Fantasy_Starters'!O$122)-'2026_Fantasy_Starters'!O51)/AVERAGE('2026_Fantasy_Starters'!O$2:'2026_Fantasy_Starters'!O$122)*100+100</f>
        <v>64.758657616603017</v>
      </c>
      <c r="AC54">
        <f>('2026_Fantasy_Starters'!P51-AVERAGE('2026_Fantasy_Starters'!P$2:'2026_Fantasy_Starters'!P$122))/AVERAGE('2026_Fantasy_Starters'!P$2:'2026_Fantasy_Starters'!P$122)*100+100</f>
        <v>115.95469090699606</v>
      </c>
      <c r="AD54">
        <f>(AVERAGE('2026_Fantasy_Starters'!Q$2:'2026_Fantasy_Starters'!Q$122)-'2026_Fantasy_Starters'!Q51)/AVERAGE('2026_Fantasy_Starters'!Q$2:'2026_Fantasy_Starters'!Q$122)*100+100</f>
        <v>85.970751818493952</v>
      </c>
      <c r="AE54">
        <f>('2026_Fantasy_Starters'!R51-AVERAGE('2026_Fantasy_Starters'!R$2:'2026_Fantasy_Starters'!R$122))/AVERAGE('2026_Fantasy_Starters'!R$2:'2026_Fantasy_Starters'!R$122)*100+100</f>
        <v>93.446560893792849</v>
      </c>
      <c r="AF54">
        <f>('2026_Fantasy_Starters'!T51-AVERAGE('2026_Fantasy_Starters'!T$2:'2026_Fantasy_Starters'!T$122))/AVERAGE('2026_Fantasy_Starters'!T$2:'2026_Fantasy_Starters'!T$122)*100+100</f>
        <v>94.500646857283002</v>
      </c>
      <c r="AG54">
        <f>(AVERAGE('2026_Fantasy_Starters'!U$2:'2026_Fantasy_Starters'!U$122)-'2026_Fantasy_Starters'!U51)/AVERAGE('2026_Fantasy_Starters'!U$2:'2026_Fantasy_Starters'!U$122)*100+100</f>
        <v>101.12644537794131</v>
      </c>
      <c r="AH54">
        <f>(AVERAGE('2026_Fantasy_Starters'!V$2:'2026_Fantasy_Starters'!V$122)-'2026_Fantasy_Starters'!V51)/AVERAGE('2026_Fantasy_Starters'!V$2:'2026_Fantasy_Starters'!V$122)*100+100</f>
        <v>101.29033340859081</v>
      </c>
    </row>
    <row r="55" spans="1:34" s="5" customFormat="1">
      <c r="A55" s="5" t="s">
        <v>88</v>
      </c>
      <c r="B55" s="5" t="s">
        <v>63</v>
      </c>
      <c r="C55" s="5" t="s">
        <v>16</v>
      </c>
      <c r="D55" s="5">
        <v>26</v>
      </c>
      <c r="E55" s="5">
        <v>152.33000000000001</v>
      </c>
      <c r="F55" s="6">
        <f>H55*1.5+I55+J55+K55*1.5+L55+M55+N55+O55+P55+Q55</f>
        <v>-0.44033595300142853</v>
      </c>
      <c r="G55" s="5">
        <v>643</v>
      </c>
      <c r="H55" s="5">
        <f>(S55-S$123)/S$124</f>
        <v>0.25581556441063219</v>
      </c>
      <c r="I55" s="5">
        <f>(T55-T$123)/T$124</f>
        <v>0.47117246238253602</v>
      </c>
      <c r="J55" s="5">
        <f>(U55-U$123)/U$124</f>
        <v>9.1105077266859832E-2</v>
      </c>
      <c r="K55" s="5">
        <f>(V55-V$123)/V$124</f>
        <v>0.46254967456271906</v>
      </c>
      <c r="L55" s="5">
        <f>(Z55-Z$123)/Z$124</f>
        <v>0.51501846559834275</v>
      </c>
      <c r="M55" s="5">
        <f>(AB55-AB$123)/AB$124</f>
        <v>-1.3902715584966197</v>
      </c>
      <c r="N55" s="5">
        <f>(AG55-AG$123)/AG$124</f>
        <v>0.22820118341409809</v>
      </c>
      <c r="O55" s="5">
        <f>(AH55-AH$123)/AH$124</f>
        <v>-0.46102533602879975</v>
      </c>
      <c r="P55" s="5">
        <f>(AE55-AE$123)/AE$124</f>
        <v>-0.29075795225612117</v>
      </c>
      <c r="Q55" s="5">
        <f>(AF55-AF$123)/AF$124</f>
        <v>-0.68132615334175139</v>
      </c>
      <c r="S55" s="5">
        <f>(E55-AVERAGE(E$2:E$122))/AVERAGE(E$2:E$122)*100+100</f>
        <v>105.53813948241914</v>
      </c>
      <c r="T55" s="5">
        <f>('2026_Fantasy_Starters'!G26-AVERAGE('2026_Fantasy_Starters'!G$2:'2026_Fantasy_Starters'!G$122))/AVERAGE('2026_Fantasy_Starters'!G$2:'2026_Fantasy_Starters'!G$122)*100+100</f>
        <v>111.67103381292965</v>
      </c>
      <c r="U55" s="5">
        <f>(AVERAGE('2026_Fantasy_Starters'!H$2:'2026_Fantasy_Starters'!H$122)-'2026_Fantasy_Starters'!H26)/AVERAGE('2026_Fantasy_Starters'!H$2:'2026_Fantasy_Starters'!H$122)*100+100</f>
        <v>102.07663769289297</v>
      </c>
      <c r="V55" s="5">
        <f>('2026_Fantasy_Starters'!I26-AVERAGE('2026_Fantasy_Starters'!I$2:'2026_Fantasy_Starters'!I$122))/AVERAGE('2026_Fantasy_Starters'!I$2:'2026_Fantasy_Starters'!I$122)*100+100</f>
        <v>115.64334728737609</v>
      </c>
      <c r="W55" s="5">
        <f>(AVERAGE('2026_Fantasy_Starters'!J$2:'2026_Fantasy_Starters'!J$122)-'2026_Fantasy_Starters'!J26)/AVERAGE('2026_Fantasy_Starters'!J$2:'2026_Fantasy_Starters'!J$122)*100+100</f>
        <v>95.741150404178057</v>
      </c>
      <c r="X55" s="5">
        <f>(AVERAGE('2026_Fantasy_Starters'!K$2:'2026_Fantasy_Starters'!K$122)-'2026_Fantasy_Starters'!K26)/AVERAGE('2026_Fantasy_Starters'!K$2:'2026_Fantasy_Starters'!K$122)*100+100</f>
        <v>98.253755587564257</v>
      </c>
      <c r="Y55" s="5">
        <f>(AVERAGE('2026_Fantasy_Starters'!L$2:'2026_Fantasy_Starters'!L$122)-'2026_Fantasy_Starters'!L26)/AVERAGE('2026_Fantasy_Starters'!L$2:'2026_Fantasy_Starters'!L$122)*100+100</f>
        <v>96.264852532389725</v>
      </c>
      <c r="Z55" s="5">
        <f>(AVERAGE('2026_Fantasy_Starters'!M$2:'2026_Fantasy_Starters'!M$122)-'2026_Fantasy_Starters'!M26)/AVERAGE('2026_Fantasy_Starters'!M$2:'2026_Fantasy_Starters'!M$122)*100+100</f>
        <v>113.09518358565889</v>
      </c>
      <c r="AA55" s="5">
        <f>(AVERAGE('2026_Fantasy_Starters'!N$2:'2026_Fantasy_Starters'!N$122)-'2026_Fantasy_Starters'!N26)/AVERAGE('2026_Fantasy_Starters'!N$2:'2026_Fantasy_Starters'!N$122)*100+100</f>
        <v>76.593789341452123</v>
      </c>
      <c r="AB55" s="5">
        <f>(AVERAGE('2026_Fantasy_Starters'!O$2:'2026_Fantasy_Starters'!O$122)-'2026_Fantasy_Starters'!O26)/AVERAGE('2026_Fantasy_Starters'!O$2:'2026_Fantasy_Starters'!O$122)*100+100</f>
        <v>56.903215817790738</v>
      </c>
      <c r="AC55" s="5">
        <f>('2026_Fantasy_Starters'!P26-AVERAGE('2026_Fantasy_Starters'!P$2:'2026_Fantasy_Starters'!P$122))/AVERAGE('2026_Fantasy_Starters'!P$2:'2026_Fantasy_Starters'!P$122)*100+100</f>
        <v>102.1121881703795</v>
      </c>
      <c r="AD55" s="5">
        <f>(AVERAGE('2026_Fantasy_Starters'!Q$2:'2026_Fantasy_Starters'!Q$122)-'2026_Fantasy_Starters'!Q26)/AVERAGE('2026_Fantasy_Starters'!Q$2:'2026_Fantasy_Starters'!Q$122)*100+100</f>
        <v>77.327077563233317</v>
      </c>
      <c r="AE55" s="5">
        <f>('2026_Fantasy_Starters'!R26-AVERAGE('2026_Fantasy_Starters'!R$2:'2026_Fantasy_Starters'!R$122))/AVERAGE('2026_Fantasy_Starters'!R$2:'2026_Fantasy_Starters'!R$122)*100+100</f>
        <v>96.698596757450957</v>
      </c>
      <c r="AF55" s="5">
        <f>('2026_Fantasy_Starters'!T26-AVERAGE('2026_Fantasy_Starters'!T$2:'2026_Fantasy_Starters'!T$122))/AVERAGE('2026_Fantasy_Starters'!T$2:'2026_Fantasy_Starters'!T$122)*100+100</f>
        <v>86.610086647447588</v>
      </c>
      <c r="AG55" s="5">
        <f>(AVERAGE('2026_Fantasy_Starters'!U$2:'2026_Fantasy_Starters'!U$122)-'2026_Fantasy_Starters'!U26)/AVERAGE('2026_Fantasy_Starters'!U$2:'2026_Fantasy_Starters'!U$122)*100+100</f>
        <v>102.14273941001335</v>
      </c>
      <c r="AH55" s="5">
        <f>(AVERAGE('2026_Fantasy_Starters'!V$2:'2026_Fantasy_Starters'!V$122)-'2026_Fantasy_Starters'!V26)/AVERAGE('2026_Fantasy_Starters'!V$2:'2026_Fantasy_Starters'!V$122)*100+100</f>
        <v>97.013173499379405</v>
      </c>
    </row>
    <row r="56" spans="1:34">
      <c r="A56" t="s">
        <v>152</v>
      </c>
      <c r="B56" t="s">
        <v>69</v>
      </c>
      <c r="C56" t="s">
        <v>16</v>
      </c>
      <c r="D56">
        <v>17</v>
      </c>
      <c r="E56">
        <v>101.67</v>
      </c>
      <c r="F56" s="4">
        <f>H56*1.5+I56+J56+K56*1.5+L56+M56+N56+O56+P56+Q56</f>
        <v>-0.50340727244613204</v>
      </c>
      <c r="G56">
        <v>418</v>
      </c>
      <c r="H56">
        <f>(S56-S$123)/S$124</f>
        <v>-1.3654428831588556</v>
      </c>
      <c r="I56">
        <f>(T56-T$123)/T$124</f>
        <v>-1.4111666384424459</v>
      </c>
      <c r="J56">
        <f>(U56-U$123)/U$124</f>
        <v>1.6836021092244116</v>
      </c>
      <c r="K56">
        <f>(V56-V$123)/V$124</f>
        <v>-1.1005162118905505</v>
      </c>
      <c r="L56">
        <f>(Z56-Z$123)/Z$124</f>
        <v>1.0682880014213871</v>
      </c>
      <c r="M56">
        <f>(AB56-AB$123)/AB$124</f>
        <v>1.5587197675573639</v>
      </c>
      <c r="N56">
        <f>(AG56-AG$123)/AG$124</f>
        <v>0.52704764987885966</v>
      </c>
      <c r="O56">
        <f>(AH56-AH$123)/AH$124</f>
        <v>0.42572332418750197</v>
      </c>
      <c r="P56">
        <f>(AE56-AE$123)/AE$124</f>
        <v>-0.67531646430172698</v>
      </c>
      <c r="Q56">
        <f>(AF56-AF$123)/AF$124</f>
        <v>1.863362060262563E-2</v>
      </c>
      <c r="S56">
        <f>(E56-AVERAGE(E$2:E$122))/AVERAGE(E$2:E$122)*100+100</f>
        <v>70.439589320406711</v>
      </c>
      <c r="T56">
        <f>('2026_Fantasy_Starters'!G52-AVERAGE('2026_Fantasy_Starters'!G$2:'2026_Fantasy_Starters'!G$122))/AVERAGE('2026_Fantasy_Starters'!G$2:'2026_Fantasy_Starters'!G$122)*100+100</f>
        <v>65.045127065239001</v>
      </c>
      <c r="U56">
        <f>(AVERAGE('2026_Fantasy_Starters'!H$2:'2026_Fantasy_Starters'!H$122)-'2026_Fantasy_Starters'!H52)/AVERAGE('2026_Fantasy_Starters'!H$2:'2026_Fantasy_Starters'!H$122)*100+100</f>
        <v>138.37581509983789</v>
      </c>
      <c r="V56">
        <f>('2026_Fantasy_Starters'!I52-AVERAGE('2026_Fantasy_Starters'!I$2:'2026_Fantasy_Starters'!I$122))/AVERAGE('2026_Fantasy_Starters'!I$2:'2026_Fantasy_Starters'!I$122)*100+100</f>
        <v>62.780738491997205</v>
      </c>
      <c r="W56">
        <f>(AVERAGE('2026_Fantasy_Starters'!J$2:'2026_Fantasy_Starters'!J$122)-'2026_Fantasy_Starters'!J52)/AVERAGE('2026_Fantasy_Starters'!J$2:'2026_Fantasy_Starters'!J$122)*100+100</f>
        <v>126.76265422329412</v>
      </c>
      <c r="X56">
        <f>(AVERAGE('2026_Fantasy_Starters'!K$2:'2026_Fantasy_Starters'!K$122)-'2026_Fantasy_Starters'!K52)/AVERAGE('2026_Fantasy_Starters'!K$2:'2026_Fantasy_Starters'!K$122)*100+100</f>
        <v>130.98421513683169</v>
      </c>
      <c r="Y56">
        <f>(AVERAGE('2026_Fantasy_Starters'!L$2:'2026_Fantasy_Starters'!L$122)-'2026_Fantasy_Starters'!L52)/AVERAGE('2026_Fantasy_Starters'!L$2:'2026_Fantasy_Starters'!L$122)*100+100</f>
        <v>132.74914887919977</v>
      </c>
      <c r="Z56">
        <f>(AVERAGE('2026_Fantasy_Starters'!M$2:'2026_Fantasy_Starters'!M$122)-'2026_Fantasy_Starters'!M52)/AVERAGE('2026_Fantasy_Starters'!M$2:'2026_Fantasy_Starters'!M$122)*100+100</f>
        <v>127.16296295263305</v>
      </c>
      <c r="AA56">
        <f>(AVERAGE('2026_Fantasy_Starters'!N$2:'2026_Fantasy_Starters'!N$122)-'2026_Fantasy_Starters'!N52)/AVERAGE('2026_Fantasy_Starters'!N$2:'2026_Fantasy_Starters'!N$122)*100+100</f>
        <v>200</v>
      </c>
      <c r="AB56">
        <f>(AVERAGE('2026_Fantasy_Starters'!O$2:'2026_Fantasy_Starters'!O$122)-'2026_Fantasy_Starters'!O52)/AVERAGE('2026_Fantasy_Starters'!O$2:'2026_Fantasy_Starters'!O$122)*100+100</f>
        <v>148.31848066834084</v>
      </c>
      <c r="AC56">
        <f>('2026_Fantasy_Starters'!P52-AVERAGE('2026_Fantasy_Starters'!P$2:'2026_Fantasy_Starters'!P$122))/AVERAGE('2026_Fantasy_Starters'!P$2:'2026_Fantasy_Starters'!P$122)*100+100</f>
        <v>65.075525320529238</v>
      </c>
      <c r="AD56">
        <f>(AVERAGE('2026_Fantasy_Starters'!Q$2:'2026_Fantasy_Starters'!Q$122)-'2026_Fantasy_Starters'!Q52)/AVERAGE('2026_Fantasy_Starters'!Q$2:'2026_Fantasy_Starters'!Q$122)*100+100</f>
        <v>144.32359643481232</v>
      </c>
      <c r="AE56">
        <f>('2026_Fantasy_Starters'!R52-AVERAGE('2026_Fantasy_Starters'!R$2:'2026_Fantasy_Starters'!R$122))/AVERAGE('2026_Fantasy_Starters'!R$2:'2026_Fantasy_Starters'!R$122)*100+100</f>
        <v>92.332137615866316</v>
      </c>
      <c r="AF56">
        <f>('2026_Fantasy_Starters'!T52-AVERAGE('2026_Fantasy_Starters'!T$2:'2026_Fantasy_Starters'!T$122))/AVERAGE('2026_Fantasy_Starters'!T$2:'2026_Fantasy_Starters'!T$122)*100+100</f>
        <v>100.36620136199043</v>
      </c>
      <c r="AG56">
        <f>(AVERAGE('2026_Fantasy_Starters'!U$2:'2026_Fantasy_Starters'!U$122)-'2026_Fantasy_Starters'!U52)/AVERAGE('2026_Fantasy_Starters'!U$2:'2026_Fantasy_Starters'!U$122)*100+100</f>
        <v>104.94881644982989</v>
      </c>
      <c r="AH56">
        <f>(AVERAGE('2026_Fantasy_Starters'!V$2:'2026_Fantasy_Starters'!V$122)-'2026_Fantasy_Starters'!V52)/AVERAGE('2026_Fantasy_Starters'!V$2:'2026_Fantasy_Starters'!V$122)*100+100</f>
        <v>102.7581167611492</v>
      </c>
    </row>
    <row r="57" spans="1:34">
      <c r="A57" t="s">
        <v>237</v>
      </c>
      <c r="B57" t="s">
        <v>173</v>
      </c>
      <c r="C57" t="s">
        <v>16</v>
      </c>
      <c r="D57">
        <v>21</v>
      </c>
      <c r="E57">
        <v>119</v>
      </c>
      <c r="F57" s="4">
        <f>H57*1.5+I57+J57+K57*1.5+L57+M57+N57+O57+P57+Q57</f>
        <v>-0.60948512304312108</v>
      </c>
      <c r="G57">
        <v>499</v>
      </c>
      <c r="H57">
        <f>(S57-S$123)/S$124</f>
        <v>-0.81083552239337531</v>
      </c>
      <c r="I57">
        <f>(T57-T$123)/T$124</f>
        <v>-0.98435079471802367</v>
      </c>
      <c r="J57">
        <f>(U57-U$123)/U$124</f>
        <v>0.39462953684623225</v>
      </c>
      <c r="K57">
        <f>(V57-V$123)/V$124</f>
        <v>-0.29223329743414528</v>
      </c>
      <c r="L57">
        <f>(Z57-Z$123)/Z$124</f>
        <v>0.58849926154942478</v>
      </c>
      <c r="M57">
        <f>(AB57-AB$123)/AB$124</f>
        <v>0.53916751326667134</v>
      </c>
      <c r="N57">
        <f>(AG57-AG$123)/AG$124</f>
        <v>-0.32018844647156297</v>
      </c>
      <c r="O57">
        <f>(AH57-AH$123)/AH$124</f>
        <v>-2.8031154994583814E-2</v>
      </c>
      <c r="P57">
        <f>(AE57-AE$123)/AE$124</f>
        <v>0.49830576385012099</v>
      </c>
      <c r="Q57">
        <f>(AF57-AF$123)/AF$124</f>
        <v>0.35708642736988083</v>
      </c>
      <c r="S57">
        <f>(E57-AVERAGE(E$2:E$122))/AVERAGE(E$2:E$122)*100+100</f>
        <v>82.446258769827864</v>
      </c>
      <c r="T57">
        <f>('2026_Fantasy_Starters'!G90-AVERAGE('2026_Fantasy_Starters'!G$2:'2026_Fantasy_Starters'!G$122))/AVERAGE('2026_Fantasy_Starters'!G$2:'2026_Fantasy_Starters'!G$122)*100+100</f>
        <v>75.617438780598818</v>
      </c>
      <c r="U57">
        <f>(AVERAGE('2026_Fantasy_Starters'!H$2:'2026_Fantasy_Starters'!H$122)-'2026_Fantasy_Starters'!H90)/AVERAGE('2026_Fantasy_Starters'!H$2:'2026_Fantasy_Starters'!H$122)*100+100</f>
        <v>108.9951361167647</v>
      </c>
      <c r="V57">
        <f>('2026_Fantasy_Starters'!I90-AVERAGE('2026_Fantasy_Starters'!I$2:'2026_Fantasy_Starters'!I$122))/AVERAGE('2026_Fantasy_Starters'!I$2:'2026_Fantasy_Starters'!I$122)*100+100</f>
        <v>90.116722133640749</v>
      </c>
      <c r="W57">
        <f>(AVERAGE('2026_Fantasy_Starters'!J$2:'2026_Fantasy_Starters'!J$122)-'2026_Fantasy_Starters'!J90)/AVERAGE('2026_Fantasy_Starters'!J$2:'2026_Fantasy_Starters'!J$122)*100+100</f>
        <v>117.65940251754949</v>
      </c>
      <c r="X57">
        <f>(AVERAGE('2026_Fantasy_Starters'!K$2:'2026_Fantasy_Starters'!K$122)-'2026_Fantasy_Starters'!K90)/AVERAGE('2026_Fantasy_Starters'!K$2:'2026_Fantasy_Starters'!K$122)*100+100</f>
        <v>120.38280191898659</v>
      </c>
      <c r="Y57">
        <f>(AVERAGE('2026_Fantasy_Starters'!L$2:'2026_Fantasy_Starters'!L$122)-'2026_Fantasy_Starters'!L90)/AVERAGE('2026_Fantasy_Starters'!L$2:'2026_Fantasy_Starters'!L$122)*100+100</f>
        <v>114.69806055466694</v>
      </c>
      <c r="Z57">
        <f>(AVERAGE('2026_Fantasy_Starters'!M$2:'2026_Fantasy_Starters'!M$122)-'2026_Fantasy_Starters'!M90)/AVERAGE('2026_Fantasy_Starters'!M$2:'2026_Fantasy_Starters'!M$122)*100+100</f>
        <v>114.96355254187065</v>
      </c>
      <c r="AA57">
        <f>(AVERAGE('2026_Fantasy_Starters'!N$2:'2026_Fantasy_Starters'!N$122)-'2026_Fantasy_Starters'!N90)/AVERAGE('2026_Fantasy_Starters'!N$2:'2026_Fantasy_Starters'!N$122)*100+100</f>
        <v>138.5861153788581</v>
      </c>
      <c r="AB57">
        <f>(AVERAGE('2026_Fantasy_Starters'!O$2:'2026_Fantasy_Starters'!O$122)-'2026_Fantasy_Starters'!O90)/AVERAGE('2026_Fantasy_Starters'!O$2:'2026_Fantasy_Starters'!O$122)*100+100</f>
        <v>116.71355917144631</v>
      </c>
      <c r="AC57">
        <f>('2026_Fantasy_Starters'!P90-AVERAGE('2026_Fantasy_Starters'!P$2:'2026_Fantasy_Starters'!P$122))/AVERAGE('2026_Fantasy_Starters'!P$2:'2026_Fantasy_Starters'!P$122)*100+100</f>
        <v>87.160821065266688</v>
      </c>
      <c r="AD57">
        <f>(AVERAGE('2026_Fantasy_Starters'!Q$2:'2026_Fantasy_Starters'!Q$122)-'2026_Fantasy_Starters'!Q90)/AVERAGE('2026_Fantasy_Starters'!Q$2:'2026_Fantasy_Starters'!Q$122)*100+100</f>
        <v>115.71525824375098</v>
      </c>
      <c r="AE57">
        <f>('2026_Fantasy_Starters'!R90-AVERAGE('2026_Fantasy_Starters'!R$2:'2026_Fantasy_Starters'!R$122))/AVERAGE('2026_Fantasy_Starters'!R$2:'2026_Fantasy_Starters'!R$122)*100+100</f>
        <v>105.65799921133878</v>
      </c>
      <c r="AF57">
        <f>('2026_Fantasy_Starters'!T90-AVERAGE('2026_Fantasy_Starters'!T$2:'2026_Fantasy_Starters'!T$122))/AVERAGE('2026_Fantasy_Starters'!T$2:'2026_Fantasy_Starters'!T$122)*100+100</f>
        <v>107.01772021872883</v>
      </c>
      <c r="AG57">
        <f>(AVERAGE('2026_Fantasy_Starters'!U$2:'2026_Fantasy_Starters'!U$122)-'2026_Fantasy_Starters'!U90)/AVERAGE('2026_Fantasy_Starters'!U$2:'2026_Fantasy_Starters'!U$122)*100+100</f>
        <v>96.993528286658488</v>
      </c>
      <c r="AH57">
        <f>(AVERAGE('2026_Fantasy_Starters'!V$2:'2026_Fantasy_Starters'!V$122)-'2026_Fantasy_Starters'!V90)/AVERAGE('2026_Fantasy_Starters'!V$2:'2026_Fantasy_Starters'!V$122)*100+100</f>
        <v>99.818395671478626</v>
      </c>
    </row>
    <row r="58" spans="1:34">
      <c r="A58" t="s">
        <v>218</v>
      </c>
      <c r="B58" t="s">
        <v>63</v>
      </c>
      <c r="C58" t="s">
        <v>16</v>
      </c>
      <c r="D58">
        <v>12</v>
      </c>
      <c r="E58">
        <v>32</v>
      </c>
      <c r="F58" s="4">
        <f>H58*1.5+I58+J58+K58*1.5+L58+M58+N58+O58+P58+Q58</f>
        <v>-0.61898482700718283</v>
      </c>
      <c r="G58">
        <v>134</v>
      </c>
      <c r="H58">
        <f>(S58-S$123)/S$124</f>
        <v>-3.5950732827278693</v>
      </c>
      <c r="I58">
        <f>(T58-T$123)/T$124</f>
        <v>-2.8055791138574473</v>
      </c>
      <c r="J58">
        <f>(U58-U$123)/U$124</f>
        <v>3.5059049144280703</v>
      </c>
      <c r="K58">
        <f>(V58-V$123)/V$124</f>
        <v>-2.6668380007202366</v>
      </c>
      <c r="L58">
        <f>(Z58-Z$123)/Z$124</f>
        <v>3.253675231443415</v>
      </c>
      <c r="M58">
        <f>(AB58-AB$123)/AB$124</f>
        <v>2.6425837805901549</v>
      </c>
      <c r="N58">
        <f>(AG58-AG$123)/AG$124</f>
        <v>0.45859010429266489</v>
      </c>
      <c r="O58">
        <f>(AH58-AH$123)/AH$124</f>
        <v>2.8054878907588128E-2</v>
      </c>
      <c r="P58">
        <f>(AE58-AE$123)/AE$124</f>
        <v>1.3180203587171091</v>
      </c>
      <c r="Q58">
        <f>(AF58-AF$123)/AF$124</f>
        <v>0.37263194364342189</v>
      </c>
      <c r="S58">
        <f>(E58-AVERAGE(E$2:E$122))/AVERAGE(E$2:E$122)*100+100</f>
        <v>22.170422526340261</v>
      </c>
      <c r="T58">
        <f>('2026_Fantasy_Starters'!G81-AVERAGE('2026_Fantasy_Starters'!G$2:'2026_Fantasy_Starters'!G$122))/AVERAGE('2026_Fantasy_Starters'!G$2:'2026_Fantasy_Starters'!G$122)*100+100</f>
        <v>30.505258017190457</v>
      </c>
      <c r="U58">
        <f>(AVERAGE('2026_Fantasy_Starters'!H$2:'2026_Fantasy_Starters'!H$122)-'2026_Fantasy_Starters'!H81)/AVERAGE('2026_Fantasy_Starters'!H$2:'2026_Fantasy_Starters'!H$122)*100+100</f>
        <v>179.91315644982427</v>
      </c>
      <c r="V58">
        <f>('2026_Fantasy_Starters'!I81-AVERAGE('2026_Fantasy_Starters'!I$2:'2026_Fantasy_Starters'!I$122))/AVERAGE('2026_Fantasy_Starters'!I$2:'2026_Fantasy_Starters'!I$122)*100+100</f>
        <v>9.8080156604205229</v>
      </c>
      <c r="W58">
        <f>(AVERAGE('2026_Fantasy_Starters'!J$2:'2026_Fantasy_Starters'!J$122)-'2026_Fantasy_Starters'!J81)/AVERAGE('2026_Fantasy_Starters'!J$2:'2026_Fantasy_Starters'!J$122)*100+100</f>
        <v>180.17060073455195</v>
      </c>
      <c r="X58">
        <f>(AVERAGE('2026_Fantasy_Starters'!K$2:'2026_Fantasy_Starters'!K$122)-'2026_Fantasy_Starters'!K81)/AVERAGE('2026_Fantasy_Starters'!K$2:'2026_Fantasy_Starters'!K$122)*100+100</f>
        <v>180.25842228056734</v>
      </c>
      <c r="Y58">
        <f>(AVERAGE('2026_Fantasy_Starters'!L$2:'2026_Fantasy_Starters'!L$122)-'2026_Fantasy_Starters'!L81)/AVERAGE('2026_Fantasy_Starters'!L$2:'2026_Fantasy_Starters'!L$122)*100+100</f>
        <v>178.69006995636369</v>
      </c>
      <c r="Z58">
        <f>(AVERAGE('2026_Fantasy_Starters'!M$2:'2026_Fantasy_Starters'!M$122)-'2026_Fantasy_Starters'!M81)/AVERAGE('2026_Fantasy_Starters'!M$2:'2026_Fantasy_Starters'!M$122)*100+100</f>
        <v>182.72999383500138</v>
      </c>
      <c r="AA58">
        <f>(AVERAGE('2026_Fantasy_Starters'!N$2:'2026_Fantasy_Starters'!N$122)-'2026_Fantasy_Starters'!N81)/AVERAGE('2026_Fantasy_Starters'!N$2:'2026_Fantasy_Starters'!N$122)*100+100</f>
        <v>200</v>
      </c>
      <c r="AB58">
        <f>(AVERAGE('2026_Fantasy_Starters'!O$2:'2026_Fantasy_Starters'!O$122)-'2026_Fantasy_Starters'!O81)/AVERAGE('2026_Fantasy_Starters'!O$2:'2026_Fantasy_Starters'!O$122)*100+100</f>
        <v>181.91699109392184</v>
      </c>
      <c r="AC58">
        <f>('2026_Fantasy_Starters'!P81-AVERAGE('2026_Fantasy_Starters'!P$2:'2026_Fantasy_Starters'!P$122))/AVERAGE('2026_Fantasy_Starters'!P$2:'2026_Fantasy_Starters'!P$122)*100+100</f>
        <v>25.50287844982644</v>
      </c>
      <c r="AD58">
        <f>(AVERAGE('2026_Fantasy_Starters'!Q$2:'2026_Fantasy_Starters'!Q$122)-'2026_Fantasy_Starters'!Q81)/AVERAGE('2026_Fantasy_Starters'!Q$2:'2026_Fantasy_Starters'!Q$122)*100+100</f>
        <v>171.00727158881261</v>
      </c>
      <c r="AE58">
        <f>('2026_Fantasy_Starters'!R81-AVERAGE('2026_Fantasy_Starters'!R$2:'2026_Fantasy_Starters'!R$122))/AVERAGE('2026_Fantasy_Starters'!R$2:'2026_Fantasy_Starters'!R$122)*100+100</f>
        <v>114.96542623254287</v>
      </c>
      <c r="AF58">
        <f>('2026_Fantasy_Starters'!T81-AVERAGE('2026_Fantasy_Starters'!T$2:'2026_Fantasy_Starters'!T$122))/AVERAGE('2026_Fantasy_Starters'!T$2:'2026_Fantasy_Starters'!T$122)*100+100</f>
        <v>107.32323192542387</v>
      </c>
      <c r="AG58">
        <f>(AVERAGE('2026_Fantasy_Starters'!U$2:'2026_Fantasy_Starters'!U$122)-'2026_Fantasy_Starters'!U81)/AVERAGE('2026_Fantasy_Starters'!U$2:'2026_Fantasy_Starters'!U$122)*100+100</f>
        <v>104.30602100659092</v>
      </c>
      <c r="AH58">
        <f>(AVERAGE('2026_Fantasy_Starters'!V$2:'2026_Fantasy_Starters'!V$122)-'2026_Fantasy_Starters'!V81)/AVERAGE('2026_Fantasy_Starters'!V$2:'2026_Fantasy_Starters'!V$122)*100+100</f>
        <v>100.18175802769248</v>
      </c>
    </row>
    <row r="59" spans="1:34">
      <c r="A59" t="s">
        <v>169</v>
      </c>
      <c r="B59" t="s">
        <v>170</v>
      </c>
      <c r="C59" t="s">
        <v>16</v>
      </c>
      <c r="D59">
        <v>29</v>
      </c>
      <c r="E59">
        <v>178.33</v>
      </c>
      <c r="F59" s="4">
        <f>H59*1.5+I59+J59+K59*1.5+L59+M59+N59+O59+P59+Q59</f>
        <v>-0.78615939733948037</v>
      </c>
      <c r="G59">
        <v>753</v>
      </c>
      <c r="H59">
        <f>(S59-S$123)/S$124</f>
        <v>1.0878866192232399</v>
      </c>
      <c r="I59">
        <f>(T59-T$123)/T$124</f>
        <v>1.1697493193160873</v>
      </c>
      <c r="J59">
        <f>(U59-U$123)/U$124</f>
        <v>-1.3928759653912619</v>
      </c>
      <c r="K59">
        <f>(V59-V$123)/V$124</f>
        <v>0.89669129767039091</v>
      </c>
      <c r="L59">
        <f>(Z59-Z$123)/Z$124</f>
        <v>-1.0154887023351942</v>
      </c>
      <c r="M59">
        <f>(AB59-AB$123)/AB$124</f>
        <v>-0.19885844135356701</v>
      </c>
      <c r="N59">
        <f>(AG59-AG$123)/AG$124</f>
        <v>-0.29646513726594637</v>
      </c>
      <c r="O59">
        <f>(AH59-AH$123)/AH$124</f>
        <v>-0.81494456051279052</v>
      </c>
      <c r="P59">
        <f>(AE59-AE$123)/AE$124</f>
        <v>-0.58244732283966127</v>
      </c>
      <c r="Q59">
        <f>(AF59-AF$123)/AF$124</f>
        <v>-0.63169546229759233</v>
      </c>
      <c r="S59">
        <f>(E59-AVERAGE(E$2:E$122))/AVERAGE(E$2:E$122)*100+100</f>
        <v>123.55160778507062</v>
      </c>
      <c r="T59">
        <f>('2026_Fantasy_Starters'!G60-AVERAGE('2026_Fantasy_Starters'!G$2:'2026_Fantasy_Starters'!G$122))/AVERAGE('2026_Fantasy_Starters'!G$2:'2026_Fantasy_Starters'!G$122)*100+100</f>
        <v>128.97491884257346</v>
      </c>
      <c r="U59">
        <f>(AVERAGE('2026_Fantasy_Starters'!H$2:'2026_Fantasy_Starters'!H$122)-'2026_Fantasy_Starters'!H60)/AVERAGE('2026_Fantasy_Starters'!H$2:'2026_Fantasy_Starters'!H$122)*100+100</f>
        <v>68.250960121755057</v>
      </c>
      <c r="V59">
        <f>('2026_Fantasy_Starters'!I60-AVERAGE('2026_Fantasy_Starters'!I$2:'2026_Fantasy_Starters'!I$122))/AVERAGE('2026_Fantasy_Starters'!I$2:'2026_Fantasy_Starters'!I$122)*100+100</f>
        <v>130.32593935405274</v>
      </c>
      <c r="W59">
        <f>(AVERAGE('2026_Fantasy_Starters'!J$2:'2026_Fantasy_Starters'!J$122)-'2026_Fantasy_Starters'!J60)/AVERAGE('2026_Fantasy_Starters'!J$2:'2026_Fantasy_Starters'!J$122)*100+100</f>
        <v>68.777190683193737</v>
      </c>
      <c r="X59">
        <f>(AVERAGE('2026_Fantasy_Starters'!K$2:'2026_Fantasy_Starters'!K$122)-'2026_Fantasy_Starters'!K60)/AVERAGE('2026_Fantasy_Starters'!K$2:'2026_Fantasy_Starters'!K$122)*100+100</f>
        <v>67.610345215378274</v>
      </c>
      <c r="Y59">
        <f>(AVERAGE('2026_Fantasy_Starters'!L$2:'2026_Fantasy_Starters'!L$122)-'2026_Fantasy_Starters'!L60)/AVERAGE('2026_Fantasy_Starters'!L$2:'2026_Fantasy_Starters'!L$122)*100+100</f>
        <v>72.44538927664631</v>
      </c>
      <c r="Z59">
        <f>(AVERAGE('2026_Fantasy_Starters'!M$2:'2026_Fantasy_Starters'!M$122)-'2026_Fantasy_Starters'!M60)/AVERAGE('2026_Fantasy_Starters'!M$2:'2026_Fantasy_Starters'!M$122)*100+100</f>
        <v>74.179545250300023</v>
      </c>
      <c r="AA59">
        <f>(AVERAGE('2026_Fantasy_Starters'!N$2:'2026_Fantasy_Starters'!N$122)-'2026_Fantasy_Starters'!N60)/AVERAGE('2026_Fantasy_Starters'!N$2:'2026_Fantasy_Starters'!N$122)*100+100</f>
        <v>80.196375744979008</v>
      </c>
      <c r="AB59">
        <f>(AVERAGE('2026_Fantasy_Starters'!O$2:'2026_Fantasy_Starters'!O$122)-'2026_Fantasy_Starters'!O60)/AVERAGE('2026_Fantasy_Starters'!O$2:'2026_Fantasy_Starters'!O$122)*100+100</f>
        <v>93.83562205710902</v>
      </c>
      <c r="AC59">
        <f>('2026_Fantasy_Starters'!P60-AVERAGE('2026_Fantasy_Starters'!P$2:'2026_Fantasy_Starters'!P$122))/AVERAGE('2026_Fantasy_Starters'!P$2:'2026_Fantasy_Starters'!P$122)*100+100</f>
        <v>115.4465675388529</v>
      </c>
      <c r="AD59">
        <f>(AVERAGE('2026_Fantasy_Starters'!Q$2:'2026_Fantasy_Starters'!Q$122)-'2026_Fantasy_Starters'!Q60)/AVERAGE('2026_Fantasy_Starters'!Q$2:'2026_Fantasy_Starters'!Q$122)*100+100</f>
        <v>71.71706287643137</v>
      </c>
      <c r="AE59">
        <f>('2026_Fantasy_Starters'!R60-AVERAGE('2026_Fantasy_Starters'!R$2:'2026_Fantasy_Starters'!R$122))/AVERAGE('2026_Fantasy_Starters'!R$2:'2026_Fantasy_Starters'!R$122)*100+100</f>
        <v>93.386617750894672</v>
      </c>
      <c r="AF59">
        <f>('2026_Fantasy_Starters'!T60-AVERAGE('2026_Fantasy_Starters'!T$2:'2026_Fantasy_Starters'!T$122))/AVERAGE('2026_Fantasy_Starters'!T$2:'2026_Fantasy_Starters'!T$122)*100+100</f>
        <v>87.585464811707268</v>
      </c>
      <c r="AG59">
        <f>(AVERAGE('2026_Fantasy_Starters'!U$2:'2026_Fantasy_Starters'!U$122)-'2026_Fantasy_Starters'!U60)/AVERAGE('2026_Fantasy_Starters'!U$2:'2026_Fantasy_Starters'!U$122)*100+100</f>
        <v>97.216282914002221</v>
      </c>
      <c r="AH59">
        <f>(AVERAGE('2026_Fantasy_Starters'!V$2:'2026_Fantasy_Starters'!V$122)-'2026_Fantasy_Starters'!V60)/AVERAGE('2026_Fantasy_Starters'!V$2:'2026_Fantasy_Starters'!V$122)*100+100</f>
        <v>94.720251101939155</v>
      </c>
    </row>
    <row r="60" spans="1:34">
      <c r="A60" t="s">
        <v>144</v>
      </c>
      <c r="B60" t="s">
        <v>145</v>
      </c>
      <c r="C60" t="s">
        <v>16</v>
      </c>
      <c r="D60">
        <v>29</v>
      </c>
      <c r="E60">
        <v>163.66999999999999</v>
      </c>
      <c r="F60" s="4">
        <f>H60*1.5+I60+J60+K60*1.5+L60+M60+N60+O60+P60+Q60</f>
        <v>-0.80488766759650332</v>
      </c>
      <c r="G60">
        <v>695</v>
      </c>
      <c r="H60">
        <f>(S60-S$123)/S$124</f>
        <v>0.61872655524043785</v>
      </c>
      <c r="I60">
        <f>(T60-T$123)/T$124</f>
        <v>0.17393087103277391</v>
      </c>
      <c r="J60">
        <f>(U60-U$123)/U$124</f>
        <v>-1.0348727566566092</v>
      </c>
      <c r="K60">
        <f>(V60-V$123)/V$124</f>
        <v>0.58699417890628658</v>
      </c>
      <c r="L60">
        <f>(Z60-Z$123)/Z$124</f>
        <v>-0.45436095585568587</v>
      </c>
      <c r="M60">
        <f>(AB60-AB$123)/AB$124</f>
        <v>-0.16515466712490792</v>
      </c>
      <c r="N60">
        <f>(AG60-AG$123)/AG$124</f>
        <v>0.29567215401083868</v>
      </c>
      <c r="O60">
        <f>(AH60-AH$123)/AH$124</f>
        <v>-1.0660869022694013</v>
      </c>
      <c r="P60">
        <f>(AE60-AE$123)/AE$124</f>
        <v>0.29935119637071222</v>
      </c>
      <c r="Q60">
        <f>(AF60-AF$123)/AF$124</f>
        <v>-0.6619477083243106</v>
      </c>
      <c r="S60">
        <f>(E60-AVERAGE(E$2:E$122))/AVERAGE(E$2:E$122)*100+100</f>
        <v>113.39478296519096</v>
      </c>
      <c r="T60">
        <f>('2026_Fantasy_Starters'!G49-AVERAGE('2026_Fantasy_Starters'!G$2:'2026_Fantasy_Starters'!G$122))/AVERAGE('2026_Fantasy_Starters'!G$2:'2026_Fantasy_Starters'!G$122)*100+100</f>
        <v>104.30830160716765</v>
      </c>
      <c r="U60">
        <f>(AVERAGE('2026_Fantasy_Starters'!H$2:'2026_Fantasy_Starters'!H$122)-'2026_Fantasy_Starters'!H49)/AVERAGE('2026_Fantasy_Starters'!H$2:'2026_Fantasy_Starters'!H$122)*100+100</f>
        <v>76.411240314014208</v>
      </c>
      <c r="V60">
        <f>('2026_Fantasy_Starters'!I49-AVERAGE('2026_Fantasy_Starters'!I$2:'2026_Fantasy_Starters'!I$122))/AVERAGE('2026_Fantasy_Starters'!I$2:'2026_Fantasy_Starters'!I$122)*100+100</f>
        <v>119.85203817293814</v>
      </c>
      <c r="W60">
        <f>(AVERAGE('2026_Fantasy_Starters'!J$2:'2026_Fantasy_Starters'!J$122)-'2026_Fantasy_Starters'!J49)/AVERAGE('2026_Fantasy_Starters'!J$2:'2026_Fantasy_Starters'!J$122)*100+100</f>
        <v>89.422226183632077</v>
      </c>
      <c r="X60">
        <f>(AVERAGE('2026_Fantasy_Starters'!K$2:'2026_Fantasy_Starters'!K$122)-'2026_Fantasy_Starters'!K49)/AVERAGE('2026_Fantasy_Starters'!K$2:'2026_Fantasy_Starters'!K$122)*100+100</f>
        <v>84.505968108410883</v>
      </c>
      <c r="Y60">
        <f>(AVERAGE('2026_Fantasy_Starters'!L$2:'2026_Fantasy_Starters'!L$122)-'2026_Fantasy_Starters'!L49)/AVERAGE('2026_Fantasy_Starters'!L$2:'2026_Fantasy_Starters'!L$122)*100+100</f>
        <v>89.26401109027897</v>
      </c>
      <c r="Z60">
        <f>(AVERAGE('2026_Fantasy_Starters'!M$2:'2026_Fantasy_Starters'!M$122)-'2026_Fantasy_Starters'!M49)/AVERAGE('2026_Fantasy_Starters'!M$2:'2026_Fantasy_Starters'!M$122)*100+100</f>
        <v>88.447132426265313</v>
      </c>
      <c r="AA60">
        <f>(AVERAGE('2026_Fantasy_Starters'!N$2:'2026_Fantasy_Starters'!N$122)-'2026_Fantasy_Starters'!N49)/AVERAGE('2026_Fantasy_Starters'!N$2:'2026_Fantasy_Starters'!N$122)*100+100</f>
        <v>82.498505566878549</v>
      </c>
      <c r="AB60">
        <f>(AVERAGE('2026_Fantasy_Starters'!O$2:'2026_Fantasy_Starters'!O$122)-'2026_Fantasy_Starters'!O49)/AVERAGE('2026_Fantasy_Starters'!O$2:'2026_Fantasy_Starters'!O$122)*100+100</f>
        <v>94.880399442635863</v>
      </c>
      <c r="AC60">
        <f>('2026_Fantasy_Starters'!P49-AVERAGE('2026_Fantasy_Starters'!P$2:'2026_Fantasy_Starters'!P$122))/AVERAGE('2026_Fantasy_Starters'!P$2:'2026_Fantasy_Starters'!P$122)*100+100</f>
        <v>117.3160102650956</v>
      </c>
      <c r="AD60">
        <f>(AVERAGE('2026_Fantasy_Starters'!Q$2:'2026_Fantasy_Starters'!Q$122)-'2026_Fantasy_Starters'!Q49)/AVERAGE('2026_Fantasy_Starters'!Q$2:'2026_Fantasy_Starters'!Q$122)*100+100</f>
        <v>46.792079187693915</v>
      </c>
      <c r="AE60">
        <f>('2026_Fantasy_Starters'!R49-AVERAGE('2026_Fantasy_Starters'!R$2:'2026_Fantasy_Starters'!R$122))/AVERAGE('2026_Fantasy_Starters'!R$2:'2026_Fantasy_Starters'!R$122)*100+100</f>
        <v>103.39897499858787</v>
      </c>
      <c r="AF60">
        <f>('2026_Fantasy_Starters'!T49-AVERAGE('2026_Fantasy_Starters'!T$2:'2026_Fantasy_Starters'!T$122))/AVERAGE('2026_Fantasy_Starters'!T$2:'2026_Fantasy_Starters'!T$122)*100+100</f>
        <v>86.9909258364587</v>
      </c>
      <c r="AG60">
        <f>(AVERAGE('2026_Fantasy_Starters'!U$2:'2026_Fantasy_Starters'!U$122)-'2026_Fantasy_Starters'!U49)/AVERAGE('2026_Fantasy_Starters'!U$2:'2026_Fantasy_Starters'!U$122)*100+100</f>
        <v>102.77627121544286</v>
      </c>
      <c r="AH60">
        <f>(AVERAGE('2026_Fantasy_Starters'!V$2:'2026_Fantasy_Starters'!V$122)-'2026_Fantasy_Starters'!V49)/AVERAGE('2026_Fantasy_Starters'!V$2:'2026_Fantasy_Starters'!V$122)*100+100</f>
        <v>93.093185205197017</v>
      </c>
    </row>
    <row r="61" spans="1:34">
      <c r="A61" t="s">
        <v>925</v>
      </c>
      <c r="B61" t="s">
        <v>104</v>
      </c>
      <c r="C61" t="s">
        <v>16</v>
      </c>
      <c r="D61">
        <v>33</v>
      </c>
      <c r="E61">
        <v>111</v>
      </c>
      <c r="F61" s="4">
        <f>H61*1.5+I61+J61+K61*1.5+L61+M61+N61+O61+P61+Q61</f>
        <v>-1.0527610596466381</v>
      </c>
      <c r="G61">
        <v>460</v>
      </c>
      <c r="H61">
        <f>(S61-S$123)/S$124</f>
        <v>-1.0668573854126395</v>
      </c>
      <c r="I61">
        <f>(T61-T$123)/T$124</f>
        <v>-0.37608368520053398</v>
      </c>
      <c r="J61">
        <f>(U61-U$123)/U$124</f>
        <v>0.97198139349551682</v>
      </c>
      <c r="K61">
        <f>(V61-V$123)/V$124</f>
        <v>-1.5990089998154731</v>
      </c>
      <c r="L61">
        <f>(Z61-Z$123)/Z$124</f>
        <v>0.28345815970109461</v>
      </c>
      <c r="M61">
        <f>(AB61-AB$123)/AB$124</f>
        <v>1.0409253472063442</v>
      </c>
      <c r="N61">
        <f>(AG61-AG$123)/AG$124</f>
        <v>-0.63274301036178315</v>
      </c>
      <c r="O61">
        <f>(AH61-AH$123)/AH$124</f>
        <v>0.68087824253510276</v>
      </c>
      <c r="P61">
        <f>(AE61-AE$123)/AE$124</f>
        <v>0.37401785396922332</v>
      </c>
      <c r="Q61">
        <f>(AF61-AF$123)/AF$124</f>
        <v>0.60360421685056587</v>
      </c>
      <c r="S61">
        <f>(E61-AVERAGE(E$2:E$122))/AVERAGE(E$2:E$122)*100+100</f>
        <v>76.903653138242788</v>
      </c>
      <c r="T61">
        <f>('2026_Fantasy_Starters'!G112-AVERAGE('2026_Fantasy_Starters'!G$2:'2026_Fantasy_Starters'!G$122))/AVERAGE('2026_Fantasy_Starters'!G$2:'2026_Fantasy_Starters'!G$122)*100+100</f>
        <v>90.684333748471445</v>
      </c>
      <c r="U61">
        <f>(AVERAGE('2026_Fantasy_Starters'!H$2:'2026_Fantasy_Starters'!H$122)-'2026_Fantasy_Starters'!H112)/AVERAGE('2026_Fantasy_Starters'!H$2:'2026_Fantasy_Starters'!H$122)*100+100</f>
        <v>122.15522185016155</v>
      </c>
      <c r="V61">
        <f>('2026_Fantasy_Starters'!I112-AVERAGE('2026_Fantasy_Starters'!I$2:'2026_Fantasy_Starters'!I$122))/AVERAGE('2026_Fantasy_Starters'!I$2:'2026_Fantasy_Starters'!I$122)*100+100</f>
        <v>45.921801537530712</v>
      </c>
      <c r="W61">
        <f>(AVERAGE('2026_Fantasy_Starters'!J$2:'2026_Fantasy_Starters'!J$122)-'2026_Fantasy_Starters'!J112)/AVERAGE('2026_Fantasy_Starters'!J$2:'2026_Fantasy_Starters'!J$122)*100+100</f>
        <v>124.80387141657209</v>
      </c>
      <c r="X61">
        <f>(AVERAGE('2026_Fantasy_Starters'!K$2:'2026_Fantasy_Starters'!K$122)-'2026_Fantasy_Starters'!K112)/AVERAGE('2026_Fantasy_Starters'!K$2:'2026_Fantasy_Starters'!K$122)*100+100</f>
        <v>120.1814077348471</v>
      </c>
      <c r="Y61">
        <f>(AVERAGE('2026_Fantasy_Starters'!L$2:'2026_Fantasy_Starters'!L$122)-'2026_Fantasy_Starters'!L112)/AVERAGE('2026_Fantasy_Starters'!L$2:'2026_Fantasy_Starters'!L$122)*100+100</f>
        <v>118.16566454865701</v>
      </c>
      <c r="Z61">
        <f>(AVERAGE('2026_Fantasy_Starters'!M$2:'2026_Fantasy_Starters'!M$122)-'2026_Fantasy_Starters'!M112)/AVERAGE('2026_Fantasy_Starters'!M$2:'2026_Fantasy_Starters'!M$122)*100+100</f>
        <v>107.20738553680081</v>
      </c>
      <c r="AA61">
        <f>(AVERAGE('2026_Fantasy_Starters'!N$2:'2026_Fantasy_Starters'!N$122)-'2026_Fantasy_Starters'!N112)/AVERAGE('2026_Fantasy_Starters'!N$2:'2026_Fantasy_Starters'!N$122)*100+100</f>
        <v>79.360959226616743</v>
      </c>
      <c r="AB61">
        <f>(AVERAGE('2026_Fantasy_Starters'!O$2:'2026_Fantasy_Starters'!O$122)-'2026_Fantasy_Starters'!O112)/AVERAGE('2026_Fantasy_Starters'!O$2:'2026_Fantasy_Starters'!O$122)*100+100</f>
        <v>132.26746225525412</v>
      </c>
      <c r="AC61">
        <f>('2026_Fantasy_Starters'!P112-AVERAGE('2026_Fantasy_Starters'!P$2:'2026_Fantasy_Starters'!P$122))/AVERAGE('2026_Fantasy_Starters'!P$2:'2026_Fantasy_Starters'!P$122)*100+100</f>
        <v>80.215367641062358</v>
      </c>
      <c r="AD61">
        <f>(AVERAGE('2026_Fantasy_Starters'!Q$2:'2026_Fantasy_Starters'!Q$122)-'2026_Fantasy_Starters'!Q112)/AVERAGE('2026_Fantasy_Starters'!Q$2:'2026_Fantasy_Starters'!Q$122)*100+100</f>
        <v>130.47644382829947</v>
      </c>
      <c r="AE61">
        <f>('2026_Fantasy_Starters'!R112-AVERAGE('2026_Fantasy_Starters'!R$2:'2026_Fantasy_Starters'!R$122))/AVERAGE('2026_Fantasy_Starters'!R$2:'2026_Fantasy_Starters'!R$122)*100+100</f>
        <v>104.24677552680483</v>
      </c>
      <c r="AF61">
        <f>('2026_Fantasy_Starters'!T112-AVERAGE('2026_Fantasy_Starters'!T$2:'2026_Fantasy_Starters'!T$122))/AVERAGE('2026_Fantasy_Starters'!T$2:'2026_Fantasy_Starters'!T$122)*100+100</f>
        <v>111.86246575626497</v>
      </c>
      <c r="AG61">
        <f>(AVERAGE('2026_Fantasy_Starters'!U$2:'2026_Fantasy_Starters'!U$122)-'2026_Fantasy_Starters'!U112)/AVERAGE('2026_Fantasy_Starters'!U$2:'2026_Fantasy_Starters'!U$122)*100+100</f>
        <v>94.058736399046737</v>
      </c>
      <c r="AH61">
        <f>(AVERAGE('2026_Fantasy_Starters'!V$2:'2026_Fantasy_Starters'!V$122)-'2026_Fantasy_Starters'!V112)/AVERAGE('2026_Fantasy_Starters'!V$2:'2026_Fantasy_Starters'!V$122)*100+100</f>
        <v>104.41117877819347</v>
      </c>
    </row>
    <row r="62" spans="1:34">
      <c r="A62" t="s">
        <v>985</v>
      </c>
      <c r="B62" t="s">
        <v>933</v>
      </c>
      <c r="C62" t="s">
        <v>16</v>
      </c>
      <c r="D62">
        <v>31</v>
      </c>
      <c r="E62">
        <v>126.33</v>
      </c>
      <c r="F62" s="4">
        <f>H62*1.5+I62+J62+K62*1.5+L62+M62+N62+O62+P62+Q62</f>
        <v>-1.1502250178375921</v>
      </c>
      <c r="G62">
        <v>526</v>
      </c>
      <c r="H62">
        <f>(S62-S$123)/S$124</f>
        <v>-0.57625549040197555</v>
      </c>
      <c r="I62">
        <f>(T62-T$123)/T$124</f>
        <v>-0.50416608409233599</v>
      </c>
      <c r="J62">
        <f>(U62-U$123)/U$124</f>
        <v>-1.1078704375207672E-3</v>
      </c>
      <c r="K62">
        <f>(V62-V$123)/V$124</f>
        <v>-1.1103191571956603</v>
      </c>
      <c r="L62">
        <f>(Z62-Z$123)/Z$124</f>
        <v>4.5120387119424607E-2</v>
      </c>
      <c r="M62">
        <f>(AB62-AB$123)/AB$124</f>
        <v>1.2102111279901715</v>
      </c>
      <c r="N62">
        <f>(AG62-AG$123)/AG$124</f>
        <v>-0.14591341016186277</v>
      </c>
      <c r="O62">
        <f>(AH62-AH$123)/AH$124</f>
        <v>0.1304612603369866</v>
      </c>
      <c r="P62">
        <f>(AE62-AE$123)/AE$124</f>
        <v>4.9306478208345349E-2</v>
      </c>
      <c r="Q62">
        <f>(AF62-AF$123)/AF$124</f>
        <v>0.59572506459565278</v>
      </c>
      <c r="S62">
        <f>(E62-AVERAGE(E$2:E$122))/AVERAGE(E$2:E$122)*100+100</f>
        <v>87.524671179767665</v>
      </c>
      <c r="T62">
        <f>('2026_Fantasy_Starters'!G119-AVERAGE('2026_Fantasy_Starters'!G$2:'2026_Fantasy_Starters'!G$122))/AVERAGE('2026_Fantasy_Starters'!G$2:'2026_Fantasy_Starters'!G$122)*100+100</f>
        <v>87.511707740685537</v>
      </c>
      <c r="U62">
        <f>(AVERAGE('2026_Fantasy_Starters'!H$2:'2026_Fantasy_Starters'!H$122)-'2026_Fantasy_Starters'!H119)/AVERAGE('2026_Fantasy_Starters'!H$2:'2026_Fantasy_Starters'!H$122)*100+100</f>
        <v>99.974747340341366</v>
      </c>
      <c r="V62">
        <f>('2026_Fantasy_Starters'!I119-AVERAGE('2026_Fantasy_Starters'!I$2:'2026_Fantasy_Starters'!I$122))/AVERAGE('2026_Fantasy_Starters'!I$2:'2026_Fantasy_Starters'!I$122)*100+100</f>
        <v>62.449204634597002</v>
      </c>
      <c r="W62">
        <f>(AVERAGE('2026_Fantasy_Starters'!J$2:'2026_Fantasy_Starters'!J$122)-'2026_Fantasy_Starters'!J119)/AVERAGE('2026_Fantasy_Starters'!J$2:'2026_Fantasy_Starters'!J$122)*100+100</f>
        <v>106.47546539350446</v>
      </c>
      <c r="X62">
        <f>(AVERAGE('2026_Fantasy_Starters'!K$2:'2026_Fantasy_Starters'!K$122)-'2026_Fantasy_Starters'!K119)/AVERAGE('2026_Fantasy_Starters'!K$2:'2026_Fantasy_Starters'!K$122)*100+100</f>
        <v>111.04758405216305</v>
      </c>
      <c r="Y62">
        <f>(AVERAGE('2026_Fantasy_Starters'!L$2:'2026_Fantasy_Starters'!L$122)-'2026_Fantasy_Starters'!L119)/AVERAGE('2026_Fantasy_Starters'!L$2:'2026_Fantasy_Starters'!L$122)*100+100</f>
        <v>110.88234953581187</v>
      </c>
      <c r="Z62">
        <f>(AVERAGE('2026_Fantasy_Starters'!M$2:'2026_Fantasy_Starters'!M$122)-'2026_Fantasy_Starters'!M119)/AVERAGE('2026_Fantasy_Starters'!M$2:'2026_Fantasy_Starters'!M$122)*100+100</f>
        <v>101.14725935525126</v>
      </c>
      <c r="AA62">
        <f>(AVERAGE('2026_Fantasy_Starters'!N$2:'2026_Fantasy_Starters'!N$122)-'2026_Fantasy_Starters'!N119)/AVERAGE('2026_Fantasy_Starters'!N$2:'2026_Fantasy_Starters'!N$122)*100+100</f>
        <v>77.172209385684184</v>
      </c>
      <c r="AB62">
        <f>(AVERAGE('2026_Fantasy_Starters'!O$2:'2026_Fantasy_Starters'!O$122)-'2026_Fantasy_Starters'!O119)/AVERAGE('2026_Fantasy_Starters'!O$2:'2026_Fantasy_Starters'!O$122)*100+100</f>
        <v>137.51512248031591</v>
      </c>
      <c r="AC62">
        <f>('2026_Fantasy_Starters'!P119-AVERAGE('2026_Fantasy_Starters'!P$2:'2026_Fantasy_Starters'!P$122))/AVERAGE('2026_Fantasy_Starters'!P$2:'2026_Fantasy_Starters'!P$122)*100+100</f>
        <v>88.064946953606182</v>
      </c>
      <c r="AD62">
        <f>(AVERAGE('2026_Fantasy_Starters'!Q$2:'2026_Fantasy_Starters'!Q$122)-'2026_Fantasy_Starters'!Q119)/AVERAGE('2026_Fantasy_Starters'!Q$2:'2026_Fantasy_Starters'!Q$122)*100+100</f>
        <v>131.56434334294562</v>
      </c>
      <c r="AE62">
        <f>('2026_Fantasy_Starters'!R119-AVERAGE('2026_Fantasy_Starters'!R$2:'2026_Fantasy_Starters'!R$122))/AVERAGE('2026_Fantasy_Starters'!R$2:'2026_Fantasy_Starters'!R$122)*100+100</f>
        <v>100.55984906267427</v>
      </c>
      <c r="AF62">
        <f>('2026_Fantasy_Starters'!T119-AVERAGE('2026_Fantasy_Starters'!T$2:'2026_Fantasy_Starters'!T$122))/AVERAGE('2026_Fantasy_Starters'!T$2:'2026_Fantasy_Starters'!T$122)*100+100</f>
        <v>111.70761896891152</v>
      </c>
      <c r="AG62">
        <f>(AVERAGE('2026_Fantasy_Starters'!U$2:'2026_Fantasy_Starters'!U$122)-'2026_Fantasy_Starters'!U119)/AVERAGE('2026_Fantasy_Starters'!U$2:'2026_Fantasy_Starters'!U$122)*100+100</f>
        <v>98.629917646676262</v>
      </c>
      <c r="AH62">
        <f>(AVERAGE('2026_Fantasy_Starters'!V$2:'2026_Fantasy_Starters'!V$122)-'2026_Fantasy_Starters'!V119)/AVERAGE('2026_Fantasy_Starters'!V$2:'2026_Fantasy_Starters'!V$122)*100+100</f>
        <v>100.84521417637337</v>
      </c>
    </row>
    <row r="63" spans="1:34">
      <c r="A63" t="s">
        <v>139</v>
      </c>
      <c r="B63" t="s">
        <v>140</v>
      </c>
      <c r="C63" t="s">
        <v>16</v>
      </c>
      <c r="D63">
        <v>30</v>
      </c>
      <c r="E63">
        <v>169</v>
      </c>
      <c r="F63" s="4">
        <f>H63*1.5+I63+J63+K63*1.5+L63+M63+N63+O63+P63+Q63</f>
        <v>-1.3399550182639244</v>
      </c>
      <c r="G63">
        <v>702</v>
      </c>
      <c r="H63">
        <f>(S63-S$123)/S$124</f>
        <v>0.78930112147702314</v>
      </c>
      <c r="I63">
        <f>(T63-T$123)/T$124</f>
        <v>0.54857666357729606</v>
      </c>
      <c r="J63">
        <f>(U63-U$123)/U$124</f>
        <v>-1.2773910593478202</v>
      </c>
      <c r="K63">
        <f>(V63-V$123)/V$124</f>
        <v>0.74537809352537143</v>
      </c>
      <c r="L63">
        <f>(Z63-Z$123)/Z$124</f>
        <v>-1.4366617125109629</v>
      </c>
      <c r="M63">
        <f>(AB63-AB$123)/AB$124</f>
        <v>-0.90516468784307402</v>
      </c>
      <c r="N63">
        <f>(AG63-AG$123)/AG$124</f>
        <v>-0.50935475835800936</v>
      </c>
      <c r="O63">
        <f>(AH63-AH$123)/AH$124</f>
        <v>1.6142653584957905E-2</v>
      </c>
      <c r="P63">
        <f>(AE63-AE$123)/AE$124</f>
        <v>8.6383396519297176E-2</v>
      </c>
      <c r="Q63">
        <f>(AF63-AF$123)/AF$124</f>
        <v>-0.16450433638920089</v>
      </c>
      <c r="S63">
        <f>(E63-AVERAGE(E$2:E$122))/AVERAGE(E$2:E$122)*100+100</f>
        <v>117.08754396723452</v>
      </c>
      <c r="T63">
        <f>('2026_Fantasy_Starters'!G47-AVERAGE('2026_Fantasy_Starters'!G$2:'2026_Fantasy_Starters'!G$122))/AVERAGE('2026_Fantasy_Starters'!G$2:'2026_Fantasy_Starters'!G$122)*100+100</f>
        <v>113.58835097709238</v>
      </c>
      <c r="U63">
        <f>(AVERAGE('2026_Fantasy_Starters'!H$2:'2026_Fantasy_Starters'!H$122)-'2026_Fantasy_Starters'!H47)/AVERAGE('2026_Fantasy_Starters'!H$2:'2026_Fantasy_Starters'!H$122)*100+100</f>
        <v>70.883308570871037</v>
      </c>
      <c r="V63">
        <f>('2026_Fantasy_Starters'!I47-AVERAGE('2026_Fantasy_Starters'!I$2:'2026_Fantasy_Starters'!I$122))/AVERAGE('2026_Fantasy_Starters'!I$2:'2026_Fantasy_Starters'!I$122)*100+100</f>
        <v>125.20855384547161</v>
      </c>
      <c r="W63">
        <f>(AVERAGE('2026_Fantasy_Starters'!J$2:'2026_Fantasy_Starters'!J$122)-'2026_Fantasy_Starters'!J47)/AVERAGE('2026_Fantasy_Starters'!J$2:'2026_Fantasy_Starters'!J$122)*100+100</f>
        <v>87.190481406850864</v>
      </c>
      <c r="X63">
        <f>(AVERAGE('2026_Fantasy_Starters'!K$2:'2026_Fantasy_Starters'!K$122)-'2026_Fantasy_Starters'!K47)/AVERAGE('2026_Fantasy_Starters'!K$2:'2026_Fantasy_Starters'!K$122)*100+100</f>
        <v>81.825141602682237</v>
      </c>
      <c r="Y63">
        <f>(AVERAGE('2026_Fantasy_Starters'!L$2:'2026_Fantasy_Starters'!L$122)-'2026_Fantasy_Starters'!L47)/AVERAGE('2026_Fantasy_Starters'!L$2:'2026_Fantasy_Starters'!L$122)*100+100</f>
        <v>76.767953015001979</v>
      </c>
      <c r="Z63">
        <f>(AVERAGE('2026_Fantasy_Starters'!M$2:'2026_Fantasy_Starters'!M$122)-'2026_Fantasy_Starters'!M47)/AVERAGE('2026_Fantasy_Starters'!M$2:'2026_Fantasy_Starters'!M$122)*100+100</f>
        <v>63.470535267194613</v>
      </c>
      <c r="AA63">
        <f>(AVERAGE('2026_Fantasy_Starters'!N$2:'2026_Fantasy_Starters'!N$122)-'2026_Fantasy_Starters'!N47)/AVERAGE('2026_Fantasy_Starters'!N$2:'2026_Fantasy_Starters'!N$122)*100+100</f>
        <v>138.58609007633743</v>
      </c>
      <c r="AB63">
        <f>(AVERAGE('2026_Fantasy_Starters'!O$2:'2026_Fantasy_Starters'!O$122)-'2026_Fantasy_Starters'!O47)/AVERAGE('2026_Fantasy_Starters'!O$2:'2026_Fantasy_Starters'!O$122)*100+100</f>
        <v>71.940958611342666</v>
      </c>
      <c r="AC63">
        <f>('2026_Fantasy_Starters'!P47-AVERAGE('2026_Fantasy_Starters'!P$2:'2026_Fantasy_Starters'!P$122))/AVERAGE('2026_Fantasy_Starters'!P$2:'2026_Fantasy_Starters'!P$122)*100+100</f>
        <v>118.30351366849379</v>
      </c>
      <c r="AD63">
        <f>(AVERAGE('2026_Fantasy_Starters'!Q$2:'2026_Fantasy_Starters'!Q$122)-'2026_Fantasy_Starters'!Q47)/AVERAGE('2026_Fantasy_Starters'!Q$2:'2026_Fantasy_Starters'!Q$122)*100+100</f>
        <v>69.749078659336348</v>
      </c>
      <c r="AE63">
        <f>('2026_Fantasy_Starters'!R47-AVERAGE('2026_Fantasy_Starters'!R$2:'2026_Fantasy_Starters'!R$122))/AVERAGE('2026_Fantasy_Starters'!R$2:'2026_Fantasy_Starters'!R$122)*100+100</f>
        <v>100.9808379208833</v>
      </c>
      <c r="AF63">
        <f>('2026_Fantasy_Starters'!T47-AVERAGE('2026_Fantasy_Starters'!T$2:'2026_Fantasy_Starters'!T$122))/AVERAGE('2026_Fantasy_Starters'!T$2:'2026_Fantasy_Starters'!T$122)*100+100</f>
        <v>96.767042040633811</v>
      </c>
      <c r="AG63">
        <f>(AVERAGE('2026_Fantasy_Starters'!U$2:'2026_Fantasy_Starters'!U$122)-'2026_Fantasy_Starters'!U47)/AVERAGE('2026_Fantasy_Starters'!U$2:'2026_Fantasy_Starters'!U$122)*100+100</f>
        <v>95.217314397397317</v>
      </c>
      <c r="AH63">
        <f>(AVERAGE('2026_Fantasy_Starters'!V$2:'2026_Fantasy_Starters'!V$122)-'2026_Fantasy_Starters'!V47)/AVERAGE('2026_Fantasy_Starters'!V$2:'2026_Fantasy_Starters'!V$122)*100+100</f>
        <v>100.10458276747474</v>
      </c>
    </row>
    <row r="64" spans="1:34">
      <c r="A64" t="s">
        <v>268</v>
      </c>
      <c r="B64" t="s">
        <v>170</v>
      </c>
      <c r="C64" t="s">
        <v>16</v>
      </c>
      <c r="D64">
        <v>6</v>
      </c>
      <c r="E64">
        <v>37.33</v>
      </c>
      <c r="F64" s="4">
        <f>H64*1.5+I64+J64+K64*1.5+L64+M64+N64+O64+P64+Q64</f>
        <v>-1.3492803672740263</v>
      </c>
      <c r="G64">
        <v>155</v>
      </c>
      <c r="H64">
        <f>(S64-S$123)/S$124</f>
        <v>-3.4244987164912848</v>
      </c>
      <c r="I64">
        <f>(T64-T$123)/T$124</f>
        <v>-2.8609979995764006</v>
      </c>
      <c r="J64">
        <f>(U64-U$123)/U$124</f>
        <v>3.3131339558786417</v>
      </c>
      <c r="K64">
        <f>(V64-V$123)/V$124</f>
        <v>-2.0800778119115519</v>
      </c>
      <c r="L64">
        <f>(Z64-Z$123)/Z$124</f>
        <v>3.1009262403561304</v>
      </c>
      <c r="M64">
        <f>(AB64-AB$123)/AB$124</f>
        <v>2.4968515309091743</v>
      </c>
      <c r="N64">
        <f>(AG64-AG$123)/AG$124</f>
        <v>1.3154618667995388</v>
      </c>
      <c r="O64">
        <f>(AH64-AH$123)/AH$124</f>
        <v>0.18998506074423235</v>
      </c>
      <c r="P64">
        <f>(AE64-AE$123)/AE$124</f>
        <v>-0.41832249011343597</v>
      </c>
      <c r="Q64">
        <f>(AF64-AF$123)/AF$124</f>
        <v>-0.22945373966765342</v>
      </c>
      <c r="S64">
        <f>(E64-AVERAGE(E$2:E$122))/AVERAGE(E$2:E$122)*100+100</f>
        <v>25.863183528383814</v>
      </c>
      <c r="T64">
        <f>('2026_Fantasy_Starters'!G104-AVERAGE('2026_Fantasy_Starters'!G$2:'2026_Fantasy_Starters'!G$122))/AVERAGE('2026_Fantasy_Starters'!G$2:'2026_Fantasy_Starters'!G$122)*100+100</f>
        <v>29.132521406416998</v>
      </c>
      <c r="U64">
        <f>(AVERAGE('2026_Fantasy_Starters'!H$2:'2026_Fantasy_Starters'!H$122)-'2026_Fantasy_Starters'!H104)/AVERAGE('2026_Fantasy_Starters'!H$2:'2026_Fantasy_Starters'!H$122)*100+100</f>
        <v>175.51915942322319</v>
      </c>
      <c r="V64">
        <f>('2026_Fantasy_Starters'!I104-AVERAGE('2026_Fantasy_Starters'!I$2:'2026_Fantasy_Starters'!I$122))/AVERAGE('2026_Fantasy_Starters'!I$2:'2026_Fantasy_Starters'!I$122)*100+100</f>
        <v>29.652140330096415</v>
      </c>
      <c r="W64">
        <f>(AVERAGE('2026_Fantasy_Starters'!J$2:'2026_Fantasy_Starters'!J$122)-'2026_Fantasy_Starters'!J104)/AVERAGE('2026_Fantasy_Starters'!J$2:'2026_Fantasy_Starters'!J$122)*100+100</f>
        <v>174.12176671149513</v>
      </c>
      <c r="X64">
        <f>(AVERAGE('2026_Fantasy_Starters'!K$2:'2026_Fantasy_Starters'!K$122)-'2026_Fantasy_Starters'!K104)/AVERAGE('2026_Fantasy_Starters'!K$2:'2026_Fantasy_Starters'!K$122)*100+100</f>
        <v>175.25801851363798</v>
      </c>
      <c r="Y64">
        <f>(AVERAGE('2026_Fantasy_Starters'!L$2:'2026_Fantasy_Starters'!L$122)-'2026_Fantasy_Starters'!L104)/AVERAGE('2026_Fantasy_Starters'!L$2:'2026_Fantasy_Starters'!L$122)*100+100</f>
        <v>177.23076194253474</v>
      </c>
      <c r="Z64">
        <f>(AVERAGE('2026_Fantasy_Starters'!M$2:'2026_Fantasy_Starters'!M$122)-'2026_Fantasy_Starters'!M104)/AVERAGE('2026_Fantasy_Starters'!M$2:'2026_Fantasy_Starters'!M$122)*100+100</f>
        <v>178.84610186913125</v>
      </c>
      <c r="AA64">
        <f>(AVERAGE('2026_Fantasy_Starters'!N$2:'2026_Fantasy_Starters'!N$122)-'2026_Fantasy_Starters'!N104)/AVERAGE('2026_Fantasy_Starters'!N$2:'2026_Fantasy_Starters'!N$122)*100+100</f>
        <v>200</v>
      </c>
      <c r="AB64">
        <f>(AVERAGE('2026_Fantasy_Starters'!O$2:'2026_Fantasy_Starters'!O$122)-'2026_Fantasy_Starters'!O104)/AVERAGE('2026_Fantasy_Starters'!O$2:'2026_Fantasy_Starters'!O$122)*100+100</f>
        <v>177.39946264812625</v>
      </c>
      <c r="AC64">
        <f>('2026_Fantasy_Starters'!P104-AVERAGE('2026_Fantasy_Starters'!P$2:'2026_Fantasy_Starters'!P$122))/AVERAGE('2026_Fantasy_Starters'!P$2:'2026_Fantasy_Starters'!P$122)*100+100</f>
        <v>24.648796102189166</v>
      </c>
      <c r="AD64">
        <f>(AVERAGE('2026_Fantasy_Starters'!Q$2:'2026_Fantasy_Starters'!Q$122)-'2026_Fantasy_Starters'!Q104)/AVERAGE('2026_Fantasy_Starters'!Q$2:'2026_Fantasy_Starters'!Q$122)*100+100</f>
        <v>175.11700202900721</v>
      </c>
      <c r="AE64">
        <f>('2026_Fantasy_Starters'!R104-AVERAGE('2026_Fantasy_Starters'!R$2:'2026_Fantasy_Starters'!R$122))/AVERAGE('2026_Fantasy_Starters'!R$2:'2026_Fantasy_Starters'!R$122)*100+100</f>
        <v>95.250168689882827</v>
      </c>
      <c r="AF64">
        <f>('2026_Fantasy_Starters'!T104-AVERAGE('2026_Fantasy_Starters'!T$2:'2026_Fantasy_Starters'!T$122))/AVERAGE('2026_Fantasy_Starters'!T$2:'2026_Fantasy_Starters'!T$122)*100+100</f>
        <v>95.490609486367489</v>
      </c>
      <c r="AG64">
        <f>(AVERAGE('2026_Fantasy_Starters'!U$2:'2026_Fantasy_Starters'!U$122)-'2026_Fantasy_Starters'!U104)/AVERAGE('2026_Fantasy_Starters'!U$2:'2026_Fantasy_Starters'!U$122)*100+100</f>
        <v>112.35178513183345</v>
      </c>
      <c r="AH64">
        <f>(AVERAGE('2026_Fantasy_Starters'!V$2:'2026_Fantasy_Starters'!V$122)-'2026_Fantasy_Starters'!V104)/AVERAGE('2026_Fantasy_Starters'!V$2:'2026_Fantasy_Starters'!V$122)*100+100</f>
        <v>101.23084865365708</v>
      </c>
    </row>
    <row r="65" spans="1:34">
      <c r="A65" t="s">
        <v>273</v>
      </c>
      <c r="B65" t="s">
        <v>40</v>
      </c>
      <c r="C65" t="s">
        <v>16</v>
      </c>
      <c r="D65">
        <v>28</v>
      </c>
      <c r="E65">
        <v>125.67</v>
      </c>
      <c r="F65" s="4">
        <f>H65*1.5+I65+J65+K65*1.5+L65+M65+N65+O65+P65+Q65</f>
        <v>-1.4727666284624541</v>
      </c>
      <c r="G65">
        <v>530</v>
      </c>
      <c r="H65">
        <f>(S65-S$123)/S$124</f>
        <v>-0.59737729410106422</v>
      </c>
      <c r="I65">
        <f>(T65-T$123)/T$124</f>
        <v>-1.019859462913236</v>
      </c>
      <c r="J65">
        <f>(U65-U$123)/U$124</f>
        <v>0.4491082860014996</v>
      </c>
      <c r="K65">
        <f>(V65-V$123)/V$124</f>
        <v>-0.90618274631711215</v>
      </c>
      <c r="L65">
        <f>(Z65-Z$123)/Z$124</f>
        <v>0.64044269261494013</v>
      </c>
      <c r="M65">
        <f>(AB65-AB$123)/AB$124</f>
        <v>1.0077097161935655</v>
      </c>
      <c r="N65">
        <f>(AG65-AG$123)/AG$124</f>
        <v>0.21880667796710612</v>
      </c>
      <c r="O65">
        <f>(AH65-AH$123)/AH$124</f>
        <v>-0.60796037696031846</v>
      </c>
      <c r="P65">
        <f>(AE65-AE$123)/AE$124</f>
        <v>0.21831284071076401</v>
      </c>
      <c r="Q65">
        <f>(AF65-AF$123)/AF$124</f>
        <v>-0.12398694144951053</v>
      </c>
      <c r="S65">
        <f>(E65-AVERAGE(E$2:E$122))/AVERAGE(E$2:E$122)*100+100</f>
        <v>87.06740621516191</v>
      </c>
      <c r="T65">
        <f>('2026_Fantasy_Starters'!G106-AVERAGE('2026_Fantasy_Starters'!G$2:'2026_Fantasy_Starters'!G$122))/AVERAGE('2026_Fantasy_Starters'!G$2:'2026_Fantasy_Starters'!G$122)*100+100</f>
        <v>74.737882142116916</v>
      </c>
      <c r="U65">
        <f>(AVERAGE('2026_Fantasy_Starters'!H$2:'2026_Fantasy_Starters'!H$122)-'2026_Fantasy_Starters'!H106)/AVERAGE('2026_Fantasy_Starters'!H$2:'2026_Fantasy_Starters'!H$122)*100+100</f>
        <v>110.23691788515183</v>
      </c>
      <c r="V65">
        <f>('2026_Fantasy_Starters'!I106-AVERAGE('2026_Fantasy_Starters'!I$2:'2026_Fantasy_Starters'!I$122))/AVERAGE('2026_Fantasy_Starters'!I$2:'2026_Fantasy_Starters'!I$122)*100+100</f>
        <v>69.353061549836539</v>
      </c>
      <c r="W65">
        <f>(AVERAGE('2026_Fantasy_Starters'!J$2:'2026_Fantasy_Starters'!J$122)-'2026_Fantasy_Starters'!J106)/AVERAGE('2026_Fantasy_Starters'!J$2:'2026_Fantasy_Starters'!J$122)*100+100</f>
        <v>111.31329954309176</v>
      </c>
      <c r="X65">
        <f>(AVERAGE('2026_Fantasy_Starters'!K$2:'2026_Fantasy_Starters'!K$122)-'2026_Fantasy_Starters'!K106)/AVERAGE('2026_Fantasy_Starters'!K$2:'2026_Fantasy_Starters'!K$122)*100+100</f>
        <v>110.29938345913394</v>
      </c>
      <c r="Y65">
        <f>(AVERAGE('2026_Fantasy_Starters'!L$2:'2026_Fantasy_Starters'!L$122)-'2026_Fantasy_Starters'!L106)/AVERAGE('2026_Fantasy_Starters'!L$2:'2026_Fantasy_Starters'!L$122)*100+100</f>
        <v>114.34289116056306</v>
      </c>
      <c r="Z65">
        <f>(AVERAGE('2026_Fantasy_Starters'!M$2:'2026_Fantasy_Starters'!M$122)-'2026_Fantasy_Starters'!M106)/AVERAGE('2026_Fantasy_Starters'!M$2:'2026_Fantasy_Starters'!M$122)*100+100</f>
        <v>116.28429890594846</v>
      </c>
      <c r="AA65">
        <f>(AVERAGE('2026_Fantasy_Starters'!N$2:'2026_Fantasy_Starters'!N$122)-'2026_Fantasy_Starters'!N106)/AVERAGE('2026_Fantasy_Starters'!N$2:'2026_Fantasy_Starters'!N$122)*100+100</f>
        <v>88.043614998928874</v>
      </c>
      <c r="AB65">
        <f>(AVERAGE('2026_Fantasy_Starters'!O$2:'2026_Fantasy_Starters'!O$122)-'2026_Fantasy_Starters'!O106)/AVERAGE('2026_Fantasy_Starters'!O$2:'2026_Fantasy_Starters'!O$122)*100+100</f>
        <v>131.23781673565392</v>
      </c>
      <c r="AC65">
        <f>('2026_Fantasy_Starters'!P106-AVERAGE('2026_Fantasy_Starters'!P$2:'2026_Fantasy_Starters'!P$122))/AVERAGE('2026_Fantasy_Starters'!P$2:'2026_Fantasy_Starters'!P$122)*100+100</f>
        <v>89.276618136902883</v>
      </c>
      <c r="AD65">
        <f>(AVERAGE('2026_Fantasy_Starters'!Q$2:'2026_Fantasy_Starters'!Q$122)-'2026_Fantasy_Starters'!Q106)/AVERAGE('2026_Fantasy_Starters'!Q$2:'2026_Fantasy_Starters'!Q$122)*100+100</f>
        <v>103.25867986030967</v>
      </c>
      <c r="AE65">
        <f>('2026_Fantasy_Starters'!R106-AVERAGE('2026_Fantasy_Starters'!R$2:'2026_Fantasy_Starters'!R$122))/AVERAGE('2026_Fantasy_Starters'!R$2:'2026_Fantasy_Starters'!R$122)*100+100</f>
        <v>102.47882719843099</v>
      </c>
      <c r="AF65">
        <f>('2026_Fantasy_Starters'!T106-AVERAGE('2026_Fantasy_Starters'!T$2:'2026_Fantasy_Starters'!T$122))/AVERAGE('2026_Fantasy_Starters'!T$2:'2026_Fantasy_Starters'!T$122)*100+100</f>
        <v>97.563319131792923</v>
      </c>
      <c r="AG65">
        <f>(AVERAGE('2026_Fantasy_Starters'!U$2:'2026_Fantasy_Starters'!U$122)-'2026_Fantasy_Starters'!U106)/AVERAGE('2026_Fantasy_Starters'!U$2:'2026_Fantasy_Starters'!U$122)*100+100</f>
        <v>102.05452787334342</v>
      </c>
      <c r="AH65">
        <f>(AVERAGE('2026_Fantasy_Starters'!V$2:'2026_Fantasy_Starters'!V$122)-'2026_Fantasy_Starters'!V106)/AVERAGE('2026_Fantasy_Starters'!V$2:'2026_Fantasy_Starters'!V$122)*100+100</f>
        <v>96.061231296149586</v>
      </c>
    </row>
    <row r="66" spans="1:34" s="5" customFormat="1">
      <c r="A66" s="5" t="s">
        <v>103</v>
      </c>
      <c r="B66" s="5" t="s">
        <v>104</v>
      </c>
      <c r="C66" s="5" t="s">
        <v>16</v>
      </c>
      <c r="D66" s="5">
        <v>32</v>
      </c>
      <c r="E66" s="5">
        <v>139.33000000000001</v>
      </c>
      <c r="F66" s="6">
        <f>H66*1.5+I66+J66+K66*1.5+L66+M66+N66+O66+P66+Q66</f>
        <v>-1.6735923954208731</v>
      </c>
      <c r="G66" s="5">
        <v>591</v>
      </c>
      <c r="H66" s="5">
        <f>(S66-S$123)/S$124</f>
        <v>-0.16021996299567134</v>
      </c>
      <c r="I66" s="5">
        <f>(T66-T$123)/T$124</f>
        <v>9.5623236814503978E-2</v>
      </c>
      <c r="J66" s="5">
        <f>(U66-U$123)/U$124</f>
        <v>-0.26689813146778868</v>
      </c>
      <c r="K66" s="5">
        <f>(V66-V$123)/V$124</f>
        <v>-0.45805682916072393</v>
      </c>
      <c r="L66" s="5">
        <f>(Z66-Z$123)/Z$124</f>
        <v>0.16737985292717109</v>
      </c>
      <c r="M66" s="5">
        <f>(AB66-AB$123)/AB$124</f>
        <v>-1.5193915401535492</v>
      </c>
      <c r="N66" s="5">
        <f>(AG66-AG$123)/AG$124</f>
        <v>-0.13253596525130695</v>
      </c>
      <c r="O66" s="5">
        <f>(AH66-AH$123)/AH$124</f>
        <v>-0.82187295687944417</v>
      </c>
      <c r="P66" s="5">
        <f>(AE66-AE$123)/AE$124</f>
        <v>1.6151959990564626</v>
      </c>
      <c r="Q66" s="5">
        <f>(AF66-AF$123)/AF$124</f>
        <v>0.11632229776767097</v>
      </c>
      <c r="S66" s="5">
        <f>(E66-AVERAGE(E$2:E$122))/AVERAGE(E$2:E$122)*100+100</f>
        <v>96.53140533109341</v>
      </c>
      <c r="T66" s="5">
        <f>('2026_Fantasy_Starters'!G32-AVERAGE('2026_Fantasy_Starters'!G$2:'2026_Fantasy_Starters'!G$122))/AVERAGE('2026_Fantasy_Starters'!G$2:'2026_Fantasy_Starters'!G$122)*100+100</f>
        <v>102.36860623076437</v>
      </c>
      <c r="U66" s="5">
        <f>(AVERAGE('2026_Fantasy_Starters'!H$2:'2026_Fantasy_Starters'!H$122)-'2026_Fantasy_Starters'!H32)/AVERAGE('2026_Fantasy_Starters'!H$2:'2026_Fantasy_Starters'!H$122)*100+100</f>
        <v>93.916357500633922</v>
      </c>
      <c r="V66" s="5">
        <f>('2026_Fantasy_Starters'!I32-AVERAGE('2026_Fantasy_Starters'!I$2:'2026_Fantasy_Starters'!I$122))/AVERAGE('2026_Fantasy_Starters'!I$2:'2026_Fantasy_Starters'!I$122)*100+100</f>
        <v>84.508599940774829</v>
      </c>
      <c r="W66" s="5">
        <f>(AVERAGE('2026_Fantasy_Starters'!J$2:'2026_Fantasy_Starters'!J$122)-'2026_Fantasy_Starters'!J32)/AVERAGE('2026_Fantasy_Starters'!J$2:'2026_Fantasy_Starters'!J$122)*100+100</f>
        <v>112.61945656009009</v>
      </c>
      <c r="X66" s="5">
        <f>(AVERAGE('2026_Fantasy_Starters'!K$2:'2026_Fantasy_Starters'!K$122)-'2026_Fantasy_Starters'!K32)/AVERAGE('2026_Fantasy_Starters'!K$2:'2026_Fantasy_Starters'!K$122)*100+100</f>
        <v>104.93374702705623</v>
      </c>
      <c r="Y66" s="5">
        <f>(AVERAGE('2026_Fantasy_Starters'!L$2:'2026_Fantasy_Starters'!L$122)-'2026_Fantasy_Starters'!L32)/AVERAGE('2026_Fantasy_Starters'!L$2:'2026_Fantasy_Starters'!L$122)*100+100</f>
        <v>101.83348113145435</v>
      </c>
      <c r="Z66" s="5">
        <f>(AVERAGE('2026_Fantasy_Starters'!M$2:'2026_Fantasy_Starters'!M$122)-'2026_Fantasy_Starters'!M32)/AVERAGE('2026_Fantasy_Starters'!M$2:'2026_Fantasy_Starters'!M$122)*100+100</f>
        <v>104.25590546559411</v>
      </c>
      <c r="AA66" s="5">
        <f>(AVERAGE('2026_Fantasy_Starters'!N$2:'2026_Fantasy_Starters'!N$122)-'2026_Fantasy_Starters'!N32)/AVERAGE('2026_Fantasy_Starters'!N$2:'2026_Fantasy_Starters'!N$122)*100+100</f>
        <v>78.093439648541846</v>
      </c>
      <c r="AB66" s="5">
        <f>(AVERAGE('2026_Fantasy_Starters'!O$2:'2026_Fantasy_Starters'!O$122)-'2026_Fantasy_Starters'!O32)/AVERAGE('2026_Fantasy_Starters'!O$2:'2026_Fantasy_Starters'!O$122)*100+100</f>
        <v>52.90064815460925</v>
      </c>
      <c r="AC66" s="5">
        <f>('2026_Fantasy_Starters'!P32-AVERAGE('2026_Fantasy_Starters'!P$2:'2026_Fantasy_Starters'!P$122))/AVERAGE('2026_Fantasy_Starters'!P$2:'2026_Fantasy_Starters'!P$122)*100+100</f>
        <v>114.30021993787912</v>
      </c>
      <c r="AD66" s="5">
        <f>(AVERAGE('2026_Fantasy_Starters'!Q$2:'2026_Fantasy_Starters'!Q$122)-'2026_Fantasy_Starters'!Q32)/AVERAGE('2026_Fantasy_Starters'!Q$2:'2026_Fantasy_Starters'!Q$122)*100+100</f>
        <v>56.116032878500981</v>
      </c>
      <c r="AE66" s="5">
        <f>('2026_Fantasy_Starters'!R32-AVERAGE('2026_Fantasy_Starters'!R$2:'2026_Fantasy_Starters'!R$122))/AVERAGE('2026_Fantasy_Starters'!R$2:'2026_Fantasy_Starters'!R$122)*100+100</f>
        <v>118.33969893948051</v>
      </c>
      <c r="AF66" s="5">
        <f>('2026_Fantasy_Starters'!T32-AVERAGE('2026_Fantasy_Starters'!T$2:'2026_Fantasy_Starters'!T$122))/AVERAGE('2026_Fantasy_Starters'!T$2:'2026_Fantasy_Starters'!T$122)*100+100</f>
        <v>102.28604975816569</v>
      </c>
      <c r="AG66" s="5">
        <f>(AVERAGE('2026_Fantasy_Starters'!U$2:'2026_Fantasy_Starters'!U$122)-'2026_Fantasy_Starters'!U32)/AVERAGE('2026_Fantasy_Starters'!U$2:'2026_Fantasy_Starters'!U$122)*100+100</f>
        <v>98.755527768351726</v>
      </c>
      <c r="AH66" s="5">
        <f>(AVERAGE('2026_Fantasy_Starters'!V$2:'2026_Fantasy_Starters'!V$122)-'2026_Fantasy_Starters'!V32)/AVERAGE('2026_Fantasy_Starters'!V$2:'2026_Fantasy_Starters'!V$122)*100+100</f>
        <v>94.675364376075066</v>
      </c>
    </row>
    <row r="67" spans="1:34">
      <c r="A67" t="s">
        <v>208</v>
      </c>
      <c r="B67" t="s">
        <v>63</v>
      </c>
      <c r="C67" t="s">
        <v>16</v>
      </c>
      <c r="D67">
        <v>28</v>
      </c>
      <c r="E67">
        <v>160.33000000000001</v>
      </c>
      <c r="F67" s="4">
        <f>H67*1.5+I67+J67+K67*1.5+L67+M67+N67+O67+P67+Q67</f>
        <v>-1.8713450439195032</v>
      </c>
      <c r="G67">
        <v>688</v>
      </c>
      <c r="H67">
        <f>(S67-S$123)/S$124</f>
        <v>0.51183742742989646</v>
      </c>
      <c r="I67">
        <f>(T67-T$123)/T$124</f>
        <v>0.21485632427350523</v>
      </c>
      <c r="J67">
        <f>(U67-U$123)/U$124</f>
        <v>-3.2344305055434112E-2</v>
      </c>
      <c r="K67">
        <f>(V67-V$123)/V$124</f>
        <v>0.69685839061712262</v>
      </c>
      <c r="L67">
        <f>(Z67-Z$123)/Z$124</f>
        <v>0.5144319858768458</v>
      </c>
      <c r="M67">
        <f>(AB67-AB$123)/AB$124</f>
        <v>-0.73193548368932637</v>
      </c>
      <c r="N67">
        <f>(AG67-AG$123)/AG$124</f>
        <v>-7.9800360980607804E-2</v>
      </c>
      <c r="O67">
        <f>(AH67-AH$123)/AH$124</f>
        <v>-1.4313993511269385</v>
      </c>
      <c r="P67">
        <f>(AE67-AE$123)/AE$124</f>
        <v>-0.86875151438718046</v>
      </c>
      <c r="Q67">
        <f>(AF67-AF$123)/AF$124</f>
        <v>-1.2694460659008955</v>
      </c>
      <c r="S67">
        <f>(E67-AVERAGE(E$2:E$122))/AVERAGE(E$2:E$122)*100+100</f>
        <v>111.08074511400422</v>
      </c>
      <c r="T67">
        <f>('2026_Fantasy_Starters'!G77-AVERAGE('2026_Fantasy_Starters'!G$2:'2026_Fantasy_Starters'!G$122))/AVERAGE('2026_Fantasy_Starters'!G$2:'2026_Fantasy_Starters'!G$122)*100+100</f>
        <v>105.32203306797246</v>
      </c>
      <c r="U67">
        <f>(AVERAGE('2026_Fantasy_Starters'!H$2:'2026_Fantasy_Starters'!H$122)-'2026_Fantasy_Starters'!H77)/AVERAGE('2026_Fantasy_Starters'!H$2:'2026_Fantasy_Starters'!H$122)*100+100</f>
        <v>99.262747971424304</v>
      </c>
      <c r="V67">
        <f>('2026_Fantasy_Starters'!I77-AVERAGE('2026_Fantasy_Starters'!I$2:'2026_Fantasy_Starters'!I$122))/AVERAGE('2026_Fantasy_Starters'!I$2:'2026_Fantasy_Starters'!I$122)*100+100</f>
        <v>123.56762616869486</v>
      </c>
      <c r="W67">
        <f>(AVERAGE('2026_Fantasy_Starters'!J$2:'2026_Fantasy_Starters'!J$122)-'2026_Fantasy_Starters'!J77)/AVERAGE('2026_Fantasy_Starters'!J$2:'2026_Fantasy_Starters'!J$122)*100+100</f>
        <v>81.410159501766813</v>
      </c>
      <c r="X67">
        <f>(AVERAGE('2026_Fantasy_Starters'!K$2:'2026_Fantasy_Starters'!K$122)-'2026_Fantasy_Starters'!K77)/AVERAGE('2026_Fantasy_Starters'!K$2:'2026_Fantasy_Starters'!K$122)*100+100</f>
        <v>88.877972540624484</v>
      </c>
      <c r="Y67">
        <f>(AVERAGE('2026_Fantasy_Starters'!L$2:'2026_Fantasy_Starters'!L$122)-'2026_Fantasy_Starters'!L77)/AVERAGE('2026_Fantasy_Starters'!L$2:'2026_Fantasy_Starters'!L$122)*100+100</f>
        <v>87.590176239003355</v>
      </c>
      <c r="Z67">
        <f>(AVERAGE('2026_Fantasy_Starters'!M$2:'2026_Fantasy_Starters'!M$122)-'2026_Fantasy_Starters'!M77)/AVERAGE('2026_Fantasy_Starters'!M$2:'2026_Fantasy_Starters'!M$122)*100+100</f>
        <v>113.0802713832132</v>
      </c>
      <c r="AA67">
        <f>(AVERAGE('2026_Fantasy_Starters'!N$2:'2026_Fantasy_Starters'!N$122)-'2026_Fantasy_Starters'!N77)/AVERAGE('2026_Fantasy_Starters'!N$2:'2026_Fantasy_Starters'!N$122)*100+100</f>
        <v>19.132696679680166</v>
      </c>
      <c r="AB67">
        <f>(AVERAGE('2026_Fantasy_Starters'!O$2:'2026_Fantasy_Starters'!O$122)-'2026_Fantasy_Starters'!O77)/AVERAGE('2026_Fantasy_Starters'!O$2:'2026_Fantasy_Starters'!O$122)*100+100</f>
        <v>77.310860325755158</v>
      </c>
      <c r="AC67">
        <f>('2026_Fantasy_Starters'!P77-AVERAGE('2026_Fantasy_Starters'!P$2:'2026_Fantasy_Starters'!P$122))/AVERAGE('2026_Fantasy_Starters'!P$2:'2026_Fantasy_Starters'!P$122)*100+100</f>
        <v>100.18068685900256</v>
      </c>
      <c r="AD67">
        <f>(AVERAGE('2026_Fantasy_Starters'!Q$2:'2026_Fantasy_Starters'!Q$122)-'2026_Fantasy_Starters'!Q77)/AVERAGE('2026_Fantasy_Starters'!Q$2:'2026_Fantasy_Starters'!Q$122)*100+100</f>
        <v>69.196656583561079</v>
      </c>
      <c r="AE67">
        <f>('2026_Fantasy_Starters'!R77-AVERAGE('2026_Fantasy_Starters'!R$2:'2026_Fantasy_Starters'!R$122))/AVERAGE('2026_Fantasy_Starters'!R$2:'2026_Fantasy_Starters'!R$122)*100+100</f>
        <v>90.135784612897695</v>
      </c>
      <c r="AF67">
        <f>('2026_Fantasy_Starters'!T77-AVERAGE('2026_Fantasy_Starters'!T$2:'2026_Fantasy_Starters'!T$122))/AVERAGE('2026_Fantasy_Starters'!T$2:'2026_Fantasy_Starters'!T$122)*100+100</f>
        <v>75.051929615821663</v>
      </c>
      <c r="AG67">
        <f>(AVERAGE('2026_Fantasy_Starters'!U$2:'2026_Fantasy_Starters'!U$122)-'2026_Fantasy_Starters'!U77)/AVERAGE('2026_Fantasy_Starters'!U$2:'2026_Fantasy_Starters'!U$122)*100+100</f>
        <v>99.250698984780712</v>
      </c>
      <c r="AH67">
        <f>(AVERAGE('2026_Fantasy_Starters'!V$2:'2026_Fantasy_Starters'!V$122)-'2026_Fantasy_Starters'!V77)/AVERAGE('2026_Fantasy_Starters'!V$2:'2026_Fantasy_Starters'!V$122)*100+100</f>
        <v>90.726449978337129</v>
      </c>
    </row>
    <row r="68" spans="1:34">
      <c r="A68" t="s">
        <v>247</v>
      </c>
      <c r="B68" t="s">
        <v>145</v>
      </c>
      <c r="C68" t="s">
        <v>118</v>
      </c>
      <c r="D68">
        <v>39</v>
      </c>
      <c r="E68">
        <v>126</v>
      </c>
      <c r="F68" s="4">
        <f>H68*1.5+I68+J68+K68*1.5+L68+M68+N68+O68+P68+Q68</f>
        <v>-2.033061368077389</v>
      </c>
      <c r="G68">
        <v>534</v>
      </c>
      <c r="H68">
        <f>(S68-S$123)/S$124</f>
        <v>-0.5868163922515196</v>
      </c>
      <c r="I68">
        <f>(T68-T$123)/T$124</f>
        <v>-1.2863801422687293</v>
      </c>
      <c r="J68">
        <f>(U68-U$123)/U$124</f>
        <v>0.53860908818515985</v>
      </c>
      <c r="K68">
        <f>(V68-V$123)/V$124</f>
        <v>-1.6246454939319668</v>
      </c>
      <c r="L68">
        <f>(Z68-Z$123)/Z$124</f>
        <v>0.85720131325178306</v>
      </c>
      <c r="M68">
        <f>(AB68-AB$123)/AB$124</f>
        <v>0.98145522487066206</v>
      </c>
      <c r="N68">
        <f>(AG68-AG$123)/AG$124</f>
        <v>0.38643279798915336</v>
      </c>
      <c r="O68">
        <f>(AH68-AH$123)/AH$124</f>
        <v>-0.83939595502661191</v>
      </c>
      <c r="P68">
        <f>(AE68-AE$123)/AE$124</f>
        <v>0.84664708438841041</v>
      </c>
      <c r="Q68">
        <f>(AF68-AF$123)/AF$124</f>
        <v>-0.20043795019198618</v>
      </c>
      <c r="S68">
        <f>(E68-AVERAGE(E$2:E$122))/AVERAGE(E$2:E$122)*100+100</f>
        <v>87.296038697464795</v>
      </c>
      <c r="T68">
        <f>('2026_Fantasy_Starters'!G95-AVERAGE('2026_Fantasy_Starters'!G$2:'2026_Fantasy_Starters'!G$122))/AVERAGE('2026_Fantasy_Starters'!G$2:'2026_Fantasy_Starters'!G$122)*100+100</f>
        <v>68.136112919709518</v>
      </c>
      <c r="U68">
        <f>(AVERAGE('2026_Fantasy_Starters'!H$2:'2026_Fantasy_Starters'!H$122)-'2026_Fantasy_Starters'!H95)/AVERAGE('2026_Fantasy_Starters'!H$2:'2026_Fantasy_Starters'!H$122)*100+100</f>
        <v>112.27698793321655</v>
      </c>
      <c r="V68">
        <f>('2026_Fantasy_Starters'!I95-AVERAGE('2026_Fantasy_Starters'!I$2:'2026_Fantasy_Starters'!I$122))/AVERAGE('2026_Fantasy_Starters'!I$2:'2026_Fantasy_Starters'!I$122)*100+100</f>
        <v>45.054779890452011</v>
      </c>
      <c r="W68">
        <f>(AVERAGE('2026_Fantasy_Starters'!J$2:'2026_Fantasy_Starters'!J$122)-'2026_Fantasy_Starters'!J95)/AVERAGE('2026_Fantasy_Starters'!J$2:'2026_Fantasy_Starters'!J$122)*100+100</f>
        <v>116.70333870716331</v>
      </c>
      <c r="X68">
        <f>(AVERAGE('2026_Fantasy_Starters'!K$2:'2026_Fantasy_Starters'!K$122)-'2026_Fantasy_Starters'!K95)/AVERAGE('2026_Fantasy_Starters'!K$2:'2026_Fantasy_Starters'!K$122)*100+100</f>
        <v>112.22668238062997</v>
      </c>
      <c r="Y68">
        <f>(AVERAGE('2026_Fantasy_Starters'!L$2:'2026_Fantasy_Starters'!L$122)-'2026_Fantasy_Starters'!L95)/AVERAGE('2026_Fantasy_Starters'!L$2:'2026_Fantasy_Starters'!L$122)*100+100</f>
        <v>115.49806385541693</v>
      </c>
      <c r="Z68">
        <f>(AVERAGE('2026_Fantasy_Starters'!M$2:'2026_Fantasy_Starters'!M$122)-'2026_Fantasy_Starters'!M95)/AVERAGE('2026_Fantasy_Starters'!M$2:'2026_Fantasy_Starters'!M$122)*100+100</f>
        <v>121.79573999130047</v>
      </c>
      <c r="AA68">
        <f>(AVERAGE('2026_Fantasy_Starters'!N$2:'2026_Fantasy_Starters'!N$122)-'2026_Fantasy_Starters'!N95)/AVERAGE('2026_Fantasy_Starters'!N$2:'2026_Fantasy_Starters'!N$122)*100+100</f>
        <v>87.021633660783209</v>
      </c>
      <c r="AB68">
        <f>(AVERAGE('2026_Fantasy_Starters'!O$2:'2026_Fantasy_Starters'!O$122)-'2026_Fantasy_Starters'!O95)/AVERAGE('2026_Fantasy_Starters'!O$2:'2026_Fantasy_Starters'!O$122)*100+100</f>
        <v>130.42395836428625</v>
      </c>
      <c r="AC68">
        <f>('2026_Fantasy_Starters'!P95-AVERAGE('2026_Fantasy_Starters'!P$2:'2026_Fantasy_Starters'!P$122))/AVERAGE('2026_Fantasy_Starters'!P$2:'2026_Fantasy_Starters'!P$122)*100+100</f>
        <v>95.74266111828878</v>
      </c>
      <c r="AD68">
        <f>(AVERAGE('2026_Fantasy_Starters'!Q$2:'2026_Fantasy_Starters'!Q$122)-'2026_Fantasy_Starters'!Q95)/AVERAGE('2026_Fantasy_Starters'!Q$2:'2026_Fantasy_Starters'!Q$122)*100+100</f>
        <v>81.775584613243268</v>
      </c>
      <c r="AE68">
        <f>('2026_Fantasy_Starters'!R95-AVERAGE('2026_Fantasy_Starters'!R$2:'2026_Fantasy_Starters'!R$122))/AVERAGE('2026_Fantasy_Starters'!R$2:'2026_Fantasy_Starters'!R$122)*100+100</f>
        <v>109.61323123926928</v>
      </c>
      <c r="AF68">
        <f>('2026_Fantasy_Starters'!T95-AVERAGE('2026_Fantasy_Starters'!T$2:'2026_Fantasy_Starters'!T$122))/AVERAGE('2026_Fantasy_Starters'!T$2:'2026_Fantasy_Starters'!T$122)*100+100</f>
        <v>96.060848724989825</v>
      </c>
      <c r="AG68">
        <f>(AVERAGE('2026_Fantasy_Starters'!U$2:'2026_Fantasy_Starters'!U$122)-'2026_Fantasy_Starters'!U95)/AVERAGE('2026_Fantasy_Starters'!U$2:'2026_Fantasy_Starters'!U$122)*100+100</f>
        <v>103.62848594027898</v>
      </c>
      <c r="AH68">
        <f>(AVERAGE('2026_Fantasy_Starters'!V$2:'2026_Fantasy_Starters'!V$122)-'2026_Fantasy_Starters'!V95)/AVERAGE('2026_Fantasy_Starters'!V$2:'2026_Fantasy_Starters'!V$122)*100+100</f>
        <v>94.561838825208127</v>
      </c>
    </row>
    <row r="69" spans="1:34" s="5" customFormat="1">
      <c r="A69" t="s">
        <v>137</v>
      </c>
      <c r="B69" t="s">
        <v>43</v>
      </c>
      <c r="C69" t="s">
        <v>16</v>
      </c>
      <c r="D69">
        <v>29</v>
      </c>
      <c r="E69">
        <v>171.33</v>
      </c>
      <c r="F69" s="4">
        <f>H69*1.5+I69+J69+K69*1.5+L69+M69+N69+O69+P69+Q69</f>
        <v>-2.1392780254681778</v>
      </c>
      <c r="G69">
        <v>725</v>
      </c>
      <c r="H69">
        <f>(S69-S$123)/S$124</f>
        <v>0.86386748908138355</v>
      </c>
      <c r="I69">
        <f>(T69-T$123)/T$124</f>
        <v>0.26515537427385111</v>
      </c>
      <c r="J69">
        <f>(U69-U$123)/U$124</f>
        <v>-1.2138743610239358</v>
      </c>
      <c r="K69">
        <f>(V69-V$123)/V$124</f>
        <v>0.7241659621031743</v>
      </c>
      <c r="L69">
        <f>(Z69-Z$123)/Z$124</f>
        <v>-1.5676801814145078</v>
      </c>
      <c r="M69">
        <f>(AB69-AB$123)/AB$124</f>
        <v>-0.35606394110549749</v>
      </c>
      <c r="N69">
        <f>(AG69-AG$123)/AG$124</f>
        <v>-0.56297605892929636</v>
      </c>
      <c r="O69">
        <f>(AH69-AH$123)/AH$124</f>
        <v>-0.9073236750342718</v>
      </c>
      <c r="P69">
        <f>(AE69-AE$123)/AE$124</f>
        <v>0.26146939173941353</v>
      </c>
      <c r="Q69">
        <f>(AF69-AF$123)/AF$124</f>
        <v>-0.44003475075076987</v>
      </c>
      <c r="R69"/>
      <c r="S69">
        <f>(E69-AVERAGE(E$2:E$122))/AVERAGE(E$2:E$122)*100+100</f>
        <v>118.70182785743367</v>
      </c>
      <c r="T69">
        <f>('2026_Fantasy_Starters'!G46-AVERAGE('2026_Fantasy_Starters'!G$2:'2026_Fantasy_Starters'!G$122))/AVERAGE('2026_Fantasy_Starters'!G$2:'2026_Fantasy_Starters'!G$122)*100+100</f>
        <v>106.56795034918161</v>
      </c>
      <c r="U69">
        <f>(AVERAGE('2026_Fantasy_Starters'!H$2:'2026_Fantasy_Starters'!H$122)-'2026_Fantasy_Starters'!H46)/AVERAGE('2026_Fantasy_Starters'!H$2:'2026_Fantasy_Starters'!H$122)*100+100</f>
        <v>72.331100217884625</v>
      </c>
      <c r="V69">
        <f>('2026_Fantasy_Starters'!I46-AVERAGE('2026_Fantasy_Starters'!I$2:'2026_Fantasy_Starters'!I$122))/AVERAGE('2026_Fantasy_Starters'!I$2:'2026_Fantasy_Starters'!I$122)*100+100</f>
        <v>124.49116335361451</v>
      </c>
      <c r="W69">
        <f>(AVERAGE('2026_Fantasy_Starters'!J$2:'2026_Fantasy_Starters'!J$122)-'2026_Fantasy_Starters'!J46)/AVERAGE('2026_Fantasy_Starters'!J$2:'2026_Fantasy_Starters'!J$122)*100+100</f>
        <v>81.778685669440463</v>
      </c>
      <c r="X69">
        <f>(AVERAGE('2026_Fantasy_Starters'!K$2:'2026_Fantasy_Starters'!K$122)-'2026_Fantasy_Starters'!K46)/AVERAGE('2026_Fantasy_Starters'!K$2:'2026_Fantasy_Starters'!K$122)*100+100</f>
        <v>74.139998278842626</v>
      </c>
      <c r="Y69">
        <f>(AVERAGE('2026_Fantasy_Starters'!L$2:'2026_Fantasy_Starters'!L$122)-'2026_Fantasy_Starters'!L46)/AVERAGE('2026_Fantasy_Starters'!L$2:'2026_Fantasy_Starters'!L$122)*100+100</f>
        <v>74.468653156272865</v>
      </c>
      <c r="Z69">
        <f>(AVERAGE('2026_Fantasy_Starters'!M$2:'2026_Fantasy_Starters'!M$122)-'2026_Fantasy_Starters'!M46)/AVERAGE('2026_Fantasy_Starters'!M$2:'2026_Fantasy_Starters'!M$122)*100+100</f>
        <v>60.13917723246751</v>
      </c>
      <c r="AA69">
        <f>(AVERAGE('2026_Fantasy_Starters'!N$2:'2026_Fantasy_Starters'!N$122)-'2026_Fantasy_Starters'!N46)/AVERAGE('2026_Fantasy_Starters'!N$2:'2026_Fantasy_Starters'!N$122)*100+100</f>
        <v>138.58613024101828</v>
      </c>
      <c r="AB69">
        <f>(AVERAGE('2026_Fantasy_Starters'!O$2:'2026_Fantasy_Starters'!O$122)-'2026_Fantasy_Starters'!O46)/AVERAGE('2026_Fantasy_Starters'!O$2:'2026_Fantasy_Starters'!O$122)*100+100</f>
        <v>88.962436344821597</v>
      </c>
      <c r="AC69">
        <f>('2026_Fantasy_Starters'!P46-AVERAGE('2026_Fantasy_Starters'!P$2:'2026_Fantasy_Starters'!P$122))/AVERAGE('2026_Fantasy_Starters'!P$2:'2026_Fantasy_Starters'!P$122)*100+100</f>
        <v>122.2957131272817</v>
      </c>
      <c r="AD69">
        <f>(AVERAGE('2026_Fantasy_Starters'!Q$2:'2026_Fantasy_Starters'!Q$122)-'2026_Fantasy_Starters'!Q46)/AVERAGE('2026_Fantasy_Starters'!Q$2:'2026_Fantasy_Starters'!Q$122)*100+100</f>
        <v>51.450650807208838</v>
      </c>
      <c r="AE69">
        <f>('2026_Fantasy_Starters'!R46-AVERAGE('2026_Fantasy_Starters'!R$2:'2026_Fantasy_Starters'!R$122))/AVERAGE('2026_Fantasy_Starters'!R$2:'2026_Fantasy_Starters'!R$122)*100+100</f>
        <v>102.96884708059645</v>
      </c>
      <c r="AF69">
        <f>('2026_Fantasy_Starters'!T46-AVERAGE('2026_Fantasy_Starters'!T$2:'2026_Fantasy_Starters'!T$122))/AVERAGE('2026_Fantasy_Starters'!T$2:'2026_Fantasy_Starters'!T$122)*100+100</f>
        <v>91.352119457376247</v>
      </c>
      <c r="AG69">
        <f>(AVERAGE('2026_Fantasy_Starters'!U$2:'2026_Fantasy_Starters'!U$122)-'2026_Fantasy_Starters'!U46)/AVERAGE('2026_Fantasy_Starters'!U$2:'2026_Fantasy_Starters'!U$122)*100+100</f>
        <v>94.713826763234735</v>
      </c>
      <c r="AH69">
        <f>(AVERAGE('2026_Fantasy_Starters'!V$2:'2026_Fantasy_Starters'!V$122)-'2026_Fantasy_Starters'!V46)/AVERAGE('2026_Fantasy_Starters'!V$2:'2026_Fantasy_Starters'!V$122)*100+100</f>
        <v>94.121758208395917</v>
      </c>
    </row>
    <row r="70" spans="1:34">
      <c r="A70" t="s">
        <v>271</v>
      </c>
      <c r="B70" t="s">
        <v>77</v>
      </c>
      <c r="C70" t="s">
        <v>16</v>
      </c>
      <c r="D70">
        <v>24</v>
      </c>
      <c r="E70">
        <v>138</v>
      </c>
      <c r="F70" s="4">
        <f>H70*1.5+I70+J70+K70*1.5+L70+M70+N70+O70+P70+Q70</f>
        <v>-2.1737444895404874</v>
      </c>
      <c r="G70">
        <v>576</v>
      </c>
      <c r="H70">
        <f>(S70-S$123)/S$124</f>
        <v>-0.20278359772262389</v>
      </c>
      <c r="I70">
        <f>(T70-T$123)/T$124</f>
        <v>-0.33152171568967381</v>
      </c>
      <c r="J70">
        <f>(U70-U$123)/U$124</f>
        <v>0.14224839280037838</v>
      </c>
      <c r="K70">
        <f>(V70-V$123)/V$124</f>
        <v>0.18073135709635563</v>
      </c>
      <c r="L70">
        <f>(Z70-Z$123)/Z$124</f>
        <v>-2.7952517331114694E-2</v>
      </c>
      <c r="M70">
        <f>(AB70-AB$123)/AB$124</f>
        <v>-1.4785494838490152</v>
      </c>
      <c r="N70">
        <f>(AG70-AG$123)/AG$124</f>
        <v>9.0648074361096148E-2</v>
      </c>
      <c r="O70">
        <f>(AH70-AH$123)/AH$124</f>
        <v>0.3486187381967264</v>
      </c>
      <c r="P70">
        <f>(AE70-AE$123)/AE$124</f>
        <v>-0.70733715961534116</v>
      </c>
      <c r="Q70">
        <f>(AF70-AF$123)/AF$124</f>
        <v>-0.17682045747414121</v>
      </c>
      <c r="S70">
        <f>(E70-AVERAGE(E$2:E$122))/AVERAGE(E$2:E$122)*100+100</f>
        <v>95.609947144842394</v>
      </c>
      <c r="T70">
        <f>('2026_Fantasy_Starters'!G105-AVERAGE('2026_Fantasy_Starters'!G$2:'2026_Fantasy_Starters'!G$122))/AVERAGE('2026_Fantasy_Starters'!G$2:'2026_Fantasy_Starters'!G$122)*100+100</f>
        <v>91.788142426725102</v>
      </c>
      <c r="U70">
        <f>(AVERAGE('2026_Fantasy_Starters'!H$2:'2026_Fantasy_Starters'!H$122)-'2026_Fantasy_Starters'!H105)/AVERAGE('2026_Fantasy_Starters'!H$2:'2026_Fantasy_Starters'!H$122)*100+100</f>
        <v>103.24239200607278</v>
      </c>
      <c r="V70">
        <f>('2026_Fantasy_Starters'!I105-AVERAGE('2026_Fantasy_Starters'!I$2:'2026_Fantasy_Starters'!I$122))/AVERAGE('2026_Fantasy_Starters'!I$2:'2026_Fantasy_Starters'!I$122)*100+100</f>
        <v>106.11230218127355</v>
      </c>
      <c r="W70">
        <f>(AVERAGE('2026_Fantasy_Starters'!J$2:'2026_Fantasy_Starters'!J$122)-'2026_Fantasy_Starters'!J105)/AVERAGE('2026_Fantasy_Starters'!J$2:'2026_Fantasy_Starters'!J$122)*100+100</f>
        <v>101.20328599966456</v>
      </c>
      <c r="X70">
        <f>(AVERAGE('2026_Fantasy_Starters'!K$2:'2026_Fantasy_Starters'!K$122)-'2026_Fantasy_Starters'!K105)/AVERAGE('2026_Fantasy_Starters'!K$2:'2026_Fantasy_Starters'!K$122)*100+100</f>
        <v>104.95787920494722</v>
      </c>
      <c r="Y70">
        <f>(AVERAGE('2026_Fantasy_Starters'!L$2:'2026_Fantasy_Starters'!L$122)-'2026_Fantasy_Starters'!L105)/AVERAGE('2026_Fantasy_Starters'!L$2:'2026_Fantasy_Starters'!L$122)*100+100</f>
        <v>104.78307182452782</v>
      </c>
      <c r="Z70">
        <f>(AVERAGE('2026_Fantasy_Starters'!M$2:'2026_Fantasy_Starters'!M$122)-'2026_Fantasy_Starters'!M105)/AVERAGE('2026_Fantasy_Starters'!M$2:'2026_Fantasy_Starters'!M$122)*100+100</f>
        <v>99.289261705001181</v>
      </c>
      <c r="AA70">
        <f>(AVERAGE('2026_Fantasy_Starters'!N$2:'2026_Fantasy_Starters'!N$122)-'2026_Fantasy_Starters'!N105)/AVERAGE('2026_Fantasy_Starters'!N$2:'2026_Fantasy_Starters'!N$122)*100+100</f>
        <v>85.630397653565836</v>
      </c>
      <c r="AB70">
        <f>(AVERAGE('2026_Fantasy_Starters'!O$2:'2026_Fantasy_Starters'!O$122)-'2026_Fantasy_Starters'!O105)/AVERAGE('2026_Fantasy_Starters'!O$2:'2026_Fantasy_Starters'!O$122)*100+100</f>
        <v>54.166703894120673</v>
      </c>
      <c r="AC70">
        <f>('2026_Fantasy_Starters'!P105-AVERAGE('2026_Fantasy_Starters'!P$2:'2026_Fantasy_Starters'!P$122))/AVERAGE('2026_Fantasy_Starters'!P$2:'2026_Fantasy_Starters'!P$122)*100+100</f>
        <v>87.981313113793661</v>
      </c>
      <c r="AD70">
        <f>(AVERAGE('2026_Fantasy_Starters'!Q$2:'2026_Fantasy_Starters'!Q$122)-'2026_Fantasy_Starters'!Q105)/AVERAGE('2026_Fantasy_Starters'!Q$2:'2026_Fantasy_Starters'!Q$122)*100+100</f>
        <v>120.82031604294727</v>
      </c>
      <c r="AE70">
        <f>('2026_Fantasy_Starters'!R105-AVERAGE('2026_Fantasy_Starters'!R$2:'2026_Fantasy_Starters'!R$122))/AVERAGE('2026_Fantasy_Starters'!R$2:'2026_Fantasy_Starters'!R$122)*100+100</f>
        <v>91.968559503843025</v>
      </c>
      <c r="AF70">
        <f>('2026_Fantasy_Starters'!T105-AVERAGE('2026_Fantasy_Starters'!T$2:'2026_Fantasy_Starters'!T$122))/AVERAGE('2026_Fantasy_Starters'!T$2:'2026_Fantasy_Starters'!T$122)*100+100</f>
        <v>96.524996739190385</v>
      </c>
      <c r="AG70">
        <f>(AVERAGE('2026_Fantasy_Starters'!U$2:'2026_Fantasy_Starters'!U$122)-'2026_Fantasy_Starters'!U105)/AVERAGE('2026_Fantasy_Starters'!U$2:'2026_Fantasy_Starters'!U$122)*100+100</f>
        <v>100.85115773051398</v>
      </c>
      <c r="AH70">
        <f>(AVERAGE('2026_Fantasy_Starters'!V$2:'2026_Fantasy_Starters'!V$122)-'2026_Fantasy_Starters'!V105)/AVERAGE('2026_Fantasy_Starters'!V$2:'2026_Fantasy_Starters'!V$122)*100+100</f>
        <v>102.25858234783392</v>
      </c>
    </row>
    <row r="71" spans="1:34">
      <c r="A71" t="s">
        <v>158</v>
      </c>
      <c r="B71" t="s">
        <v>51</v>
      </c>
      <c r="C71" t="s">
        <v>16</v>
      </c>
      <c r="D71">
        <v>28</v>
      </c>
      <c r="E71">
        <v>163.66999999999999</v>
      </c>
      <c r="F71" s="4">
        <f>H71*1.5+I71+J71+K71*1.5+L71+M71+N71+O71+P71+Q71</f>
        <v>-2.1937520165687272</v>
      </c>
      <c r="G71">
        <v>685</v>
      </c>
      <c r="H71">
        <f>(S71-S$123)/S$124</f>
        <v>0.61872655524043785</v>
      </c>
      <c r="I71">
        <f>(T71-T$123)/T$124</f>
        <v>-2.0833189703667536E-2</v>
      </c>
      <c r="J71">
        <f>(U71-U$123)/U$124</f>
        <v>-0.91500738865980213</v>
      </c>
      <c r="K71">
        <f>(V71-V$123)/V$124</f>
        <v>0.44289797579686002</v>
      </c>
      <c r="L71">
        <f>(Z71-Z$123)/Z$124</f>
        <v>-1.4540241104953213</v>
      </c>
      <c r="M71">
        <f>(AB71-AB$123)/AB$124</f>
        <v>0.88258219209516608</v>
      </c>
      <c r="N71">
        <f>(AG71-AG$123)/AG$124</f>
        <v>-0.39676773386761793</v>
      </c>
      <c r="O71">
        <f>(AH71-AH$123)/AH$124</f>
        <v>-0.40488761698268266</v>
      </c>
      <c r="P71">
        <f>(AE71-AE$123)/AE$124</f>
        <v>-0.81674498493828751</v>
      </c>
      <c r="Q71">
        <f>(AF71-AF$123)/AF$124</f>
        <v>-0.66050598057246113</v>
      </c>
      <c r="S71">
        <f>(E71-AVERAGE(E$2:E$122))/AVERAGE(E$2:E$122)*100+100</f>
        <v>113.39478296519096</v>
      </c>
      <c r="T71">
        <f>('2026_Fantasy_Starters'!G55-AVERAGE('2026_Fantasy_Starters'!G$2:'2026_Fantasy_Starters'!G$122))/AVERAGE('2026_Fantasy_Starters'!G$2:'2026_Fantasy_Starters'!G$122)*100+100</f>
        <v>99.483957826751634</v>
      </c>
      <c r="U71">
        <f>(AVERAGE('2026_Fantasy_Starters'!H$2:'2026_Fantasy_Starters'!H$122)-'2026_Fantasy_Starters'!H55)/AVERAGE('2026_Fantasy_Starters'!H$2:'2026_Fantasy_Starters'!H$122)*100+100</f>
        <v>79.143436462924086</v>
      </c>
      <c r="V71">
        <f>('2026_Fantasy_Starters'!I55-AVERAGE('2026_Fantasy_Starters'!I$2:'2026_Fantasy_Starters'!I$122))/AVERAGE('2026_Fantasy_Starters'!I$2:'2026_Fantasy_Starters'!I$122)*100+100</f>
        <v>114.9787303489427</v>
      </c>
      <c r="W71">
        <f>(AVERAGE('2026_Fantasy_Starters'!J$2:'2026_Fantasy_Starters'!J$122)-'2026_Fantasy_Starters'!J55)/AVERAGE('2026_Fantasy_Starters'!J$2:'2026_Fantasy_Starters'!J$122)*100+100</f>
        <v>81.497260293023601</v>
      </c>
      <c r="X71">
        <f>(AVERAGE('2026_Fantasy_Starters'!K$2:'2026_Fantasy_Starters'!K$122)-'2026_Fantasy_Starters'!K55)/AVERAGE('2026_Fantasy_Starters'!K$2:'2026_Fantasy_Starters'!K$122)*100+100</f>
        <v>72.303661979967586</v>
      </c>
      <c r="Y71">
        <f>(AVERAGE('2026_Fantasy_Starters'!L$2:'2026_Fantasy_Starters'!L$122)-'2026_Fantasy_Starters'!L55)/AVERAGE('2026_Fantasy_Starters'!L$2:'2026_Fantasy_Starters'!L$122)*100+100</f>
        <v>81.858584903161869</v>
      </c>
      <c r="Z71">
        <f>(AVERAGE('2026_Fantasy_Starters'!M$2:'2026_Fantasy_Starters'!M$122)-'2026_Fantasy_Starters'!M55)/AVERAGE('2026_Fantasy_Starters'!M$2:'2026_Fantasy_Starters'!M$122)*100+100</f>
        <v>63.02906801062101</v>
      </c>
      <c r="AA71">
        <f>(AVERAGE('2026_Fantasy_Starters'!N$2:'2026_Fantasy_Starters'!N$122)-'2026_Fantasy_Starters'!N55)/AVERAGE('2026_Fantasy_Starters'!N$2:'2026_Fantasy_Starters'!N$122)*100+100</f>
        <v>79.994859837692758</v>
      </c>
      <c r="AB71">
        <f>(AVERAGE('2026_Fantasy_Starters'!O$2:'2026_Fantasy_Starters'!O$122)-'2026_Fantasy_Starters'!O55)/AVERAGE('2026_Fantasy_Starters'!O$2:'2026_Fantasy_Starters'!O$122)*100+100</f>
        <v>127.35901056403503</v>
      </c>
      <c r="AC71">
        <f>('2026_Fantasy_Starters'!P55-AVERAGE('2026_Fantasy_Starters'!P$2:'2026_Fantasy_Starters'!P$122))/AVERAGE('2026_Fantasy_Starters'!P$2:'2026_Fantasy_Starters'!P$122)*100+100</f>
        <v>102.9376405865994</v>
      </c>
      <c r="AD71">
        <f>(AVERAGE('2026_Fantasy_Starters'!Q$2:'2026_Fantasy_Starters'!Q$122)-'2026_Fantasy_Starters'!Q55)/AVERAGE('2026_Fantasy_Starters'!Q$2:'2026_Fantasy_Starters'!Q$122)*100+100</f>
        <v>88.410980796794149</v>
      </c>
      <c r="AE71">
        <f>('2026_Fantasy_Starters'!R55-AVERAGE('2026_Fantasy_Starters'!R$2:'2026_Fantasy_Starters'!R$122))/AVERAGE('2026_Fantasy_Starters'!R$2:'2026_Fantasy_Starters'!R$122)*100+100</f>
        <v>90.726291333776828</v>
      </c>
      <c r="AF71">
        <f>('2026_Fantasy_Starters'!T55-AVERAGE('2026_Fantasy_Starters'!T$2:'2026_Fantasy_Starters'!T$122))/AVERAGE('2026_Fantasy_Starters'!T$2:'2026_Fantasy_Starters'!T$122)*100+100</f>
        <v>87.019259710889543</v>
      </c>
      <c r="AG71">
        <f>(AVERAGE('2026_Fantasy_Starters'!U$2:'2026_Fantasy_Starters'!U$122)-'2026_Fantasy_Starters'!U55)/AVERAGE('2026_Fantasy_Starters'!U$2:'2026_Fantasy_Starters'!U$122)*100+100</f>
        <v>96.27447216854668</v>
      </c>
      <c r="AH71">
        <f>(AVERAGE('2026_Fantasy_Starters'!V$2:'2026_Fantasy_Starters'!V$122)-'2026_Fantasy_Starters'!V55)/AVERAGE('2026_Fantasy_Starters'!V$2:'2026_Fantasy_Starters'!V$122)*100+100</f>
        <v>97.376870706078819</v>
      </c>
    </row>
    <row r="72" spans="1:34">
      <c r="A72" s="5" t="s">
        <v>115</v>
      </c>
      <c r="B72" s="5" t="s">
        <v>48</v>
      </c>
      <c r="C72" s="5" t="s">
        <v>16</v>
      </c>
      <c r="D72" s="5">
        <v>23</v>
      </c>
      <c r="E72" s="5">
        <v>130.66999999999999</v>
      </c>
      <c r="F72" s="6">
        <f>H72*1.5+I72+J72+K72*1.5+L72+M72+N72+O72+P72+Q72</f>
        <v>-2.2632909502029381</v>
      </c>
      <c r="G72" s="5">
        <v>551</v>
      </c>
      <c r="H72" s="5">
        <f>(S72-S$123)/S$124</f>
        <v>-0.43736362971402493</v>
      </c>
      <c r="I72" s="5">
        <f>(T72-T$123)/T$124</f>
        <v>-0.39383130942130645</v>
      </c>
      <c r="J72" s="5">
        <f>(U72-U$123)/U$124</f>
        <v>9.110507726685671E-2</v>
      </c>
      <c r="K72" s="5">
        <f>(V72-V$123)/V$124</f>
        <v>-0.15118799423553564</v>
      </c>
      <c r="L72" s="5">
        <f>(Z72-Z$123)/Z$124</f>
        <v>0.41265047557582496</v>
      </c>
      <c r="M72" s="5">
        <f>(AB72-AB$123)/AB$124</f>
        <v>-9.6698316423808231E-2</v>
      </c>
      <c r="N72" s="5">
        <f>(AG72-AG$123)/AG$124</f>
        <v>-0.35437119807818396</v>
      </c>
      <c r="O72" s="5">
        <f>(AH72-AH$123)/AH$124</f>
        <v>-0.60090110346627001</v>
      </c>
      <c r="P72" s="5">
        <f>(AE72-AE$123)/AE$124</f>
        <v>2.304762592892096E-2</v>
      </c>
      <c r="Q72" s="5">
        <f>(AF72-AF$123)/AF$124</f>
        <v>-0.46146476566063105</v>
      </c>
      <c r="R72" s="5"/>
      <c r="S72" s="5">
        <f>(E72-AVERAGE(E$2:E$122))/AVERAGE(E$2:E$122)*100+100</f>
        <v>90.531534734902564</v>
      </c>
      <c r="T72" s="5">
        <f>('2026_Fantasy_Starters'!G36-AVERAGE('2026_Fantasy_Starters'!G$2:'2026_Fantasy_Starters'!G$122))/AVERAGE('2026_Fantasy_Starters'!G$2:'2026_Fantasy_Starters'!G$122)*100+100</f>
        <v>90.244721634188679</v>
      </c>
      <c r="U72" s="5">
        <f>(AVERAGE('2026_Fantasy_Starters'!H$2:'2026_Fantasy_Starters'!H$122)-'2026_Fantasy_Starters'!H36)/AVERAGE('2026_Fantasy_Starters'!H$2:'2026_Fantasy_Starters'!H$122)*100+100</f>
        <v>102.0766376928929</v>
      </c>
      <c r="V72" s="5">
        <f>('2026_Fantasy_Starters'!I36-AVERAGE('2026_Fantasy_Starters'!I$2:'2026_Fantasy_Starters'!I$122))/AVERAGE('2026_Fantasy_Starters'!I$2:'2026_Fantasy_Starters'!I$122)*100+100</f>
        <v>94.88684906816944</v>
      </c>
      <c r="W72" s="5">
        <f>(AVERAGE('2026_Fantasy_Starters'!J$2:'2026_Fantasy_Starters'!J$122)-'2026_Fantasy_Starters'!J36)/AVERAGE('2026_Fantasy_Starters'!J$2:'2026_Fantasy_Starters'!J$122)*100+100</f>
        <v>110.11419838720006</v>
      </c>
      <c r="X72" s="5">
        <f>(AVERAGE('2026_Fantasy_Starters'!K$2:'2026_Fantasy_Starters'!K$122)-'2026_Fantasy_Starters'!K36)/AVERAGE('2026_Fantasy_Starters'!K$2:'2026_Fantasy_Starters'!K$122)*100+100</f>
        <v>108.74082105725813</v>
      </c>
      <c r="Y72" s="5">
        <f>(AVERAGE('2026_Fantasy_Starters'!L$2:'2026_Fantasy_Starters'!L$122)-'2026_Fantasy_Starters'!L36)/AVERAGE('2026_Fantasy_Starters'!L$2:'2026_Fantasy_Starters'!L$122)*100+100</f>
        <v>106.04087104613023</v>
      </c>
      <c r="Z72" s="5">
        <f>(AVERAGE('2026_Fantasy_Starters'!M$2:'2026_Fantasy_Starters'!M$122)-'2026_Fantasy_Starters'!M36)/AVERAGE('2026_Fantasy_Starters'!M$2:'2026_Fantasy_Starters'!M$122)*100+100</f>
        <v>110.49231065549635</v>
      </c>
      <c r="AA72" s="5">
        <f>(AVERAGE('2026_Fantasy_Starters'!N$2:'2026_Fantasy_Starters'!N$122)-'2026_Fantasy_Starters'!N36)/AVERAGE('2026_Fantasy_Starters'!N$2:'2026_Fantasy_Starters'!N$122)*100+100</f>
        <v>138.58611599299695</v>
      </c>
      <c r="AB72" s="5">
        <f>(AVERAGE('2026_Fantasy_Starters'!O$2:'2026_Fantasy_Starters'!O$122)-'2026_Fantasy_Starters'!O36)/AVERAGE('2026_Fantasy_Starters'!O$2:'2026_Fantasy_Starters'!O$122)*100+100</f>
        <v>97.002465850480093</v>
      </c>
      <c r="AC72" s="5">
        <f>('2026_Fantasy_Starters'!P36-AVERAGE('2026_Fantasy_Starters'!P$2:'2026_Fantasy_Starters'!P$122))/AVERAGE('2026_Fantasy_Starters'!P$2:'2026_Fantasy_Starters'!P$122)*100+100</f>
        <v>90.820292548099033</v>
      </c>
      <c r="AD72" s="5">
        <f>(AVERAGE('2026_Fantasy_Starters'!Q$2:'2026_Fantasy_Starters'!Q$122)-'2026_Fantasy_Starters'!Q36)/AVERAGE('2026_Fantasy_Starters'!Q$2:'2026_Fantasy_Starters'!Q$122)*100+100</f>
        <v>92.881324974900224</v>
      </c>
      <c r="AE72" s="5">
        <f>('2026_Fantasy_Starters'!R36-AVERAGE('2026_Fantasy_Starters'!R$2:'2026_Fantasy_Starters'!R$122))/AVERAGE('2026_Fantasy_Starters'!R$2:'2026_Fantasy_Starters'!R$122)*100+100</f>
        <v>100.26169364030928</v>
      </c>
      <c r="AF72" s="5">
        <f>('2026_Fantasy_Starters'!T36-AVERAGE('2026_Fantasy_Starters'!T$2:'2026_Fantasy_Starters'!T$122))/AVERAGE('2026_Fantasy_Starters'!T$2:'2026_Fantasy_Starters'!T$122)*100+100</f>
        <v>90.930961335998489</v>
      </c>
      <c r="AG72" s="5">
        <f>(AVERAGE('2026_Fantasy_Starters'!U$2:'2026_Fantasy_Starters'!U$122)-'2026_Fantasy_Starters'!U36)/AVERAGE('2026_Fantasy_Starters'!U$2:'2026_Fantasy_Starters'!U$122)*100+100</f>
        <v>96.672562689923211</v>
      </c>
      <c r="AH72" s="5">
        <f>(AVERAGE('2026_Fantasy_Starters'!V$2:'2026_Fantasy_Starters'!V$122)-'2026_Fantasy_Starters'!V36)/AVERAGE('2026_Fantasy_Starters'!V$2:'2026_Fantasy_Starters'!V$122)*100+100</f>
        <v>96.106965930451409</v>
      </c>
    </row>
    <row r="73" spans="1:34">
      <c r="A73" t="s">
        <v>132</v>
      </c>
      <c r="B73" t="s">
        <v>74</v>
      </c>
      <c r="C73" t="s">
        <v>16</v>
      </c>
      <c r="D73">
        <v>25</v>
      </c>
      <c r="E73">
        <v>146</v>
      </c>
      <c r="F73" s="4">
        <f>H73*1.5+I73+J73+K73*1.5+L73+M73+N73+O73+P73+Q73</f>
        <v>-2.4718156264342479</v>
      </c>
      <c r="G73">
        <v>616</v>
      </c>
      <c r="H73">
        <f>(S73-S$123)/S$124</f>
        <v>5.3238265296639692E-2</v>
      </c>
      <c r="I73">
        <f>(T73-T$123)/T$124</f>
        <v>-8.7922218023928078E-2</v>
      </c>
      <c r="J73">
        <f>(U73-U$123)/U$124</f>
        <v>-2.5934433280999172E-2</v>
      </c>
      <c r="K73">
        <f>(V73-V$123)/V$124</f>
        <v>9.1609325077078918E-2</v>
      </c>
      <c r="L73">
        <f>(Z73-Z$123)/Z$124</f>
        <v>0.25349623424644518</v>
      </c>
      <c r="M73">
        <f>(AB73-AB$123)/AB$124</f>
        <v>0.50633945998284391</v>
      </c>
      <c r="N73">
        <f>(AG73-AG$123)/AG$124</f>
        <v>-0.39590616975596654</v>
      </c>
      <c r="O73">
        <f>(AH73-AH$123)/AH$124</f>
        <v>-0.8577744692880217</v>
      </c>
      <c r="P73">
        <f>(AE73-AE$123)/AE$124</f>
        <v>-1.0491393502953286</v>
      </c>
      <c r="Q73">
        <f>(AF73-AF$123)/AF$124</f>
        <v>-1.0322460655798709</v>
      </c>
      <c r="S73">
        <f>(E73-AVERAGE(E$2:E$122))/AVERAGE(E$2:E$122)*100+100</f>
        <v>101.15255277642746</v>
      </c>
      <c r="T73">
        <f>('2026_Fantasy_Starters'!G44-AVERAGE('2026_Fantasy_Starters'!G$2:'2026_Fantasy_Starters'!G$122))/AVERAGE('2026_Fantasy_Starters'!G$2:'2026_Fantasy_Starters'!G$122)*100+100</f>
        <v>97.822149507048408</v>
      </c>
      <c r="U73">
        <f>(AVERAGE('2026_Fantasy_Starters'!H$2:'2026_Fantasy_Starters'!H$122)-'2026_Fantasy_Starters'!H44)/AVERAGE('2026_Fantasy_Starters'!H$2:'2026_Fantasy_Starters'!H$122)*100+100</f>
        <v>99.408853783885363</v>
      </c>
      <c r="V73">
        <f>('2026_Fantasy_Starters'!I44-AVERAGE('2026_Fantasy_Starters'!I$2:'2026_Fantasy_Starters'!I$122))/AVERAGE('2026_Fantasy_Starters'!I$2:'2026_Fantasy_Starters'!I$122)*100+100</f>
        <v>103.09821099387362</v>
      </c>
      <c r="W73">
        <f>(AVERAGE('2026_Fantasy_Starters'!J$2:'2026_Fantasy_Starters'!J$122)-'2026_Fantasy_Starters'!J44)/AVERAGE('2026_Fantasy_Starters'!J$2:'2026_Fantasy_Starters'!J$122)*100+100</f>
        <v>92.328648744435398</v>
      </c>
      <c r="X73">
        <f>(AVERAGE('2026_Fantasy_Starters'!K$2:'2026_Fantasy_Starters'!K$122)-'2026_Fantasy_Starters'!K44)/AVERAGE('2026_Fantasy_Starters'!K$2:'2026_Fantasy_Starters'!K$122)*100+100</f>
        <v>90.672707368262778</v>
      </c>
      <c r="Y73">
        <f>(AVERAGE('2026_Fantasy_Starters'!L$2:'2026_Fantasy_Starters'!L$122)-'2026_Fantasy_Starters'!L44)/AVERAGE('2026_Fantasy_Starters'!L$2:'2026_Fantasy_Starters'!L$122)*100+100</f>
        <v>94.621486299860052</v>
      </c>
      <c r="Z73">
        <f>(AVERAGE('2026_Fantasy_Starters'!M$2:'2026_Fantasy_Starters'!M$122)-'2026_Fantasy_Starters'!M44)/AVERAGE('2026_Fantasy_Starters'!M$2:'2026_Fantasy_Starters'!M$122)*100+100</f>
        <v>106.44555476641742</v>
      </c>
      <c r="AA73">
        <f>(AVERAGE('2026_Fantasy_Starters'!N$2:'2026_Fantasy_Starters'!N$122)-'2026_Fantasy_Starters'!N44)/AVERAGE('2026_Fantasy_Starters'!N$2:'2026_Fantasy_Starters'!N$122)*100+100</f>
        <v>79.475274049742907</v>
      </c>
      <c r="AB73">
        <f>(AVERAGE('2026_Fantasy_Starters'!O$2:'2026_Fantasy_Starters'!O$122)-'2026_Fantasy_Starters'!O44)/AVERAGE('2026_Fantasy_Starters'!O$2:'2026_Fantasy_Starters'!O$122)*100+100</f>
        <v>115.69592810588307</v>
      </c>
      <c r="AC73">
        <f>('2026_Fantasy_Starters'!P44-AVERAGE('2026_Fantasy_Starters'!P$2:'2026_Fantasy_Starters'!P$122))/AVERAGE('2026_Fantasy_Starters'!P$2:'2026_Fantasy_Starters'!P$122)*100+100</f>
        <v>89.153722872498122</v>
      </c>
      <c r="AD73">
        <f>(AVERAGE('2026_Fantasy_Starters'!Q$2:'2026_Fantasy_Starters'!Q$122)-'2026_Fantasy_Starters'!Q44)/AVERAGE('2026_Fantasy_Starters'!Q$2:'2026_Fantasy_Starters'!Q$122)*100+100</f>
        <v>94.568353139227582</v>
      </c>
      <c r="AE73">
        <f>('2026_Fantasy_Starters'!R44-AVERAGE('2026_Fantasy_Starters'!R$2:'2026_Fantasy_Starters'!R$122))/AVERAGE('2026_Fantasy_Starters'!R$2:'2026_Fantasy_Starters'!R$122)*100+100</f>
        <v>88.087575847625601</v>
      </c>
      <c r="AF73">
        <f>('2026_Fantasy_Starters'!T44-AVERAGE('2026_Fantasy_Starters'!T$2:'2026_Fantasy_Starters'!T$122))/AVERAGE('2026_Fantasy_Starters'!T$2:'2026_Fantasy_Starters'!T$122)*100+100</f>
        <v>79.713555235131764</v>
      </c>
      <c r="AG73">
        <f>(AVERAGE('2026_Fantasy_Starters'!U$2:'2026_Fantasy_Starters'!U$122)-'2026_Fantasy_Starters'!U44)/AVERAGE('2026_Fantasy_Starters'!U$2:'2026_Fantasy_Starters'!U$122)*100+100</f>
        <v>96.282561992397149</v>
      </c>
      <c r="AH73">
        <f>(AVERAGE('2026_Fantasy_Starters'!V$2:'2026_Fantasy_Starters'!V$122)-'2026_Fantasy_Starters'!V44)/AVERAGE('2026_Fantasy_Starters'!V$2:'2026_Fantasy_Starters'!V$122)*100+100</f>
        <v>94.442770676132298</v>
      </c>
    </row>
    <row r="74" spans="1:34">
      <c r="A74" t="s">
        <v>285</v>
      </c>
      <c r="B74" t="s">
        <v>33</v>
      </c>
      <c r="C74" t="s">
        <v>16</v>
      </c>
      <c r="D74">
        <v>25</v>
      </c>
      <c r="E74">
        <v>144.33000000000001</v>
      </c>
      <c r="F74" s="4">
        <f>H74*1.5+I74+J74+K74*1.5+L74+M74+N74+O74+P74+Q74</f>
        <v>-2.4890848885936858</v>
      </c>
      <c r="G74">
        <v>599</v>
      </c>
      <c r="H74">
        <f>(S74-S$123)/S$124</f>
        <v>-2.0629860863136487E-4</v>
      </c>
      <c r="I74">
        <f>(T74-T$123)/T$124</f>
        <v>-0.14816013728365823</v>
      </c>
      <c r="J74">
        <f>(U74-U$123)/U$124</f>
        <v>-0.20493603764832094</v>
      </c>
      <c r="K74">
        <f>(V74-V$123)/V$124</f>
        <v>3.9325151986578594E-3</v>
      </c>
      <c r="L74">
        <f>(Z74-Z$123)/Z$124</f>
        <v>-0.6494848596570495</v>
      </c>
      <c r="M74">
        <f>(AB74-AB$123)/AB$124</f>
        <v>0.49313571382395088</v>
      </c>
      <c r="N74">
        <f>(AG74-AG$123)/AG$124</f>
        <v>-0.56467898128381699</v>
      </c>
      <c r="O74">
        <f>(AH74-AH$123)/AH$124</f>
        <v>0.13976677633103937</v>
      </c>
      <c r="P74">
        <f>(AE74-AE$123)/AE$124</f>
        <v>-0.96083788282610783</v>
      </c>
      <c r="Q74">
        <f>(AF74-AF$123)/AF$124</f>
        <v>-0.59947880493476258</v>
      </c>
      <c r="S74">
        <f>(E74-AVERAGE(E$2:E$122))/AVERAGE(E$2:E$122)*100+100</f>
        <v>99.995533850834079</v>
      </c>
      <c r="T74">
        <f>('2026_Fantasy_Starters'!G111-AVERAGE('2026_Fantasy_Starters'!G$2:'2026_Fantasy_Starters'!G$122))/AVERAGE('2026_Fantasy_Starters'!G$2:'2026_Fantasy_Starters'!G$122)*100+100</f>
        <v>96.330044495338171</v>
      </c>
      <c r="U74">
        <f>(AVERAGE('2026_Fantasy_Starters'!H$2:'2026_Fantasy_Starters'!H$122)-'2026_Fantasy_Starters'!H111)/AVERAGE('2026_Fantasy_Starters'!H$2:'2026_Fantasy_Starters'!H$122)*100+100</f>
        <v>95.328713687755894</v>
      </c>
      <c r="V74">
        <f>('2026_Fantasy_Starters'!I111-AVERAGE('2026_Fantasy_Starters'!I$2:'2026_Fantasy_Starters'!I$122))/AVERAGE('2026_Fantasy_Starters'!I$2:'2026_Fantasy_Starters'!I$122)*100+100</f>
        <v>100.13299696086405</v>
      </c>
      <c r="W74">
        <f>(AVERAGE('2026_Fantasy_Starters'!J$2:'2026_Fantasy_Starters'!J$122)-'2026_Fantasy_Starters'!J111)/AVERAGE('2026_Fantasy_Starters'!J$2:'2026_Fantasy_Starters'!J$122)*100+100</f>
        <v>98.166518266995354</v>
      </c>
      <c r="X74">
        <f>(AVERAGE('2026_Fantasy_Starters'!K$2:'2026_Fantasy_Starters'!K$122)-'2026_Fantasy_Starters'!K111)/AVERAGE('2026_Fantasy_Starters'!K$2:'2026_Fantasy_Starters'!K$122)*100+100</f>
        <v>96.646412507004243</v>
      </c>
      <c r="Y74">
        <f>(AVERAGE('2026_Fantasy_Starters'!L$2:'2026_Fantasy_Starters'!L$122)-'2026_Fantasy_Starters'!L111)/AVERAGE('2026_Fantasy_Starters'!L$2:'2026_Fantasy_Starters'!L$122)*100+100</f>
        <v>94.235155079312108</v>
      </c>
      <c r="Z74">
        <f>(AVERAGE('2026_Fantasy_Starters'!M$2:'2026_Fantasy_Starters'!M$122)-'2026_Fantasy_Starters'!M111)/AVERAGE('2026_Fantasy_Starters'!M$2:'2026_Fantasy_Starters'!M$122)*100+100</f>
        <v>83.485789264985215</v>
      </c>
      <c r="AA74">
        <f>(AVERAGE('2026_Fantasy_Starters'!N$2:'2026_Fantasy_Starters'!N$122)-'2026_Fantasy_Starters'!N111)/AVERAGE('2026_Fantasy_Starters'!N$2:'2026_Fantasy_Starters'!N$122)*100+100</f>
        <v>138.5860811099102</v>
      </c>
      <c r="AB74">
        <f>(AVERAGE('2026_Fantasy_Starters'!O$2:'2026_Fantasy_Starters'!O$122)-'2026_Fantasy_Starters'!O111)/AVERAGE('2026_Fantasy_Starters'!O$2:'2026_Fantasy_Starters'!O$122)*100+100</f>
        <v>115.28662749469757</v>
      </c>
      <c r="AC74">
        <f>('2026_Fantasy_Starters'!P111-AVERAGE('2026_Fantasy_Starters'!P$2:'2026_Fantasy_Starters'!P$122))/AVERAGE('2026_Fantasy_Starters'!P$2:'2026_Fantasy_Starters'!P$122)*100+100</f>
        <v>89.13709528423496</v>
      </c>
      <c r="AD74">
        <f>(AVERAGE('2026_Fantasy_Starters'!Q$2:'2026_Fantasy_Starters'!Q$122)-'2026_Fantasy_Starters'!Q111)/AVERAGE('2026_Fantasy_Starters'!Q$2:'2026_Fantasy_Starters'!Q$122)*100+100</f>
        <v>107.64153025649588</v>
      </c>
      <c r="AE74">
        <f>('2026_Fantasy_Starters'!R111-AVERAGE('2026_Fantasy_Starters'!R$2:'2026_Fantasy_Starters'!R$122))/AVERAGE('2026_Fantasy_Starters'!R$2:'2026_Fantasy_Starters'!R$122)*100+100</f>
        <v>89.090192452821412</v>
      </c>
      <c r="AF74">
        <f>('2026_Fantasy_Starters'!T111-AVERAGE('2026_Fantasy_Starters'!T$2:'2026_Fantasy_Starters'!T$122))/AVERAGE('2026_Fantasy_Starters'!T$2:'2026_Fantasy_Starters'!T$122)*100+100</f>
        <v>88.218609816462106</v>
      </c>
      <c r="AG74">
        <f>(AVERAGE('2026_Fantasy_Starters'!U$2:'2026_Fantasy_Starters'!U$122)-'2026_Fantasy_Starters'!U111)/AVERAGE('2026_Fantasy_Starters'!U$2:'2026_Fantasy_Starters'!U$122)*100+100</f>
        <v>94.69783684246994</v>
      </c>
      <c r="AH74">
        <f>(AVERAGE('2026_Fantasy_Starters'!V$2:'2026_Fantasy_Starters'!V$122)-'2026_Fantasy_Starters'!V111)/AVERAGE('2026_Fantasy_Starters'!V$2:'2026_Fantasy_Starters'!V$122)*100+100</f>
        <v>100.90550145258339</v>
      </c>
    </row>
    <row r="75" spans="1:34">
      <c r="A75" t="s">
        <v>206</v>
      </c>
      <c r="B75" t="s">
        <v>15</v>
      </c>
      <c r="C75" t="s">
        <v>16</v>
      </c>
      <c r="D75">
        <v>26</v>
      </c>
      <c r="E75">
        <v>143</v>
      </c>
      <c r="F75" s="4">
        <f>H75*1.5+I75+J75+K75*1.5+L75+M75+N75+O75+P75+Q75</f>
        <v>-2.5333704424097054</v>
      </c>
      <c r="G75">
        <v>599</v>
      </c>
      <c r="H75">
        <f>(S75-S$123)/S$124</f>
        <v>-4.2769933335584556E-2</v>
      </c>
      <c r="I75">
        <f>(T75-T$123)/T$124</f>
        <v>-8.433589274647034E-2</v>
      </c>
      <c r="J75">
        <f>(U75-U$123)/U$124</f>
        <v>-0.31804144700130099</v>
      </c>
      <c r="K75">
        <f>(V75-V$123)/V$124</f>
        <v>-5.7248555380688411E-2</v>
      </c>
      <c r="L75">
        <f>(Z75-Z$123)/Z$124</f>
        <v>-0.11421949477026286</v>
      </c>
      <c r="M75">
        <f>(AB75-AB$123)/AB$124</f>
        <v>0.15842518675593753</v>
      </c>
      <c r="N75">
        <f>(AG75-AG$123)/AG$124</f>
        <v>-0.35551559106603048</v>
      </c>
      <c r="O75">
        <f>(AH75-AH$123)/AH$124</f>
        <v>-7.0896234153516716E-2</v>
      </c>
      <c r="P75">
        <f>(AE75-AE$123)/AE$124</f>
        <v>-1.0646924674581457</v>
      </c>
      <c r="Q75">
        <f>(AF75-AF$123)/AF$124</f>
        <v>-0.53406676889550653</v>
      </c>
      <c r="S75">
        <f>(E75-AVERAGE(E$2:E$122))/AVERAGE(E$2:E$122)*100+100</f>
        <v>99.074075664583049</v>
      </c>
      <c r="T75">
        <f>('2026_Fantasy_Starters'!G76-AVERAGE('2026_Fantasy_Starters'!G$2:'2026_Fantasy_Starters'!G$122))/AVERAGE('2026_Fantasy_Starters'!G$2:'2026_Fantasy_Starters'!G$122)*100+100</f>
        <v>97.910983483817176</v>
      </c>
      <c r="U75">
        <f>(AVERAGE('2026_Fantasy_Starters'!H$2:'2026_Fantasy_Starters'!H$122)-'2026_Fantasy_Starters'!H76)/AVERAGE('2026_Fantasy_Starters'!H$2:'2026_Fantasy_Starters'!H$122)*100+100</f>
        <v>92.75060318745426</v>
      </c>
      <c r="V75">
        <f>('2026_Fantasy_Starters'!I76-AVERAGE('2026_Fantasy_Starters'!I$2:'2026_Fantasy_Starters'!I$122))/AVERAGE('2026_Fantasy_Starters'!I$2:'2026_Fantasy_Starters'!I$122)*100+100</f>
        <v>98.063864093370469</v>
      </c>
      <c r="W75">
        <f>(AVERAGE('2026_Fantasy_Starters'!J$2:'2026_Fantasy_Starters'!J$122)-'2026_Fantasy_Starters'!J76)/AVERAGE('2026_Fantasy_Starters'!J$2:'2026_Fantasy_Starters'!J$122)*100+100</f>
        <v>94.489894849435913</v>
      </c>
      <c r="X75">
        <f>(AVERAGE('2026_Fantasy_Starters'!K$2:'2026_Fantasy_Starters'!K$122)-'2026_Fantasy_Starters'!K76)/AVERAGE('2026_Fantasy_Starters'!K$2:'2026_Fantasy_Starters'!K$122)*100+100</f>
        <v>96.311123805265268</v>
      </c>
      <c r="Y75">
        <f>(AVERAGE('2026_Fantasy_Starters'!L$2:'2026_Fantasy_Starters'!L$122)-'2026_Fantasy_Starters'!L76)/AVERAGE('2026_Fantasy_Starters'!L$2:'2026_Fantasy_Starters'!L$122)*100+100</f>
        <v>97.164209622125512</v>
      </c>
      <c r="Z75">
        <f>(AVERAGE('2026_Fantasy_Starters'!M$2:'2026_Fantasy_Starters'!M$122)-'2026_Fantasy_Starters'!M76)/AVERAGE('2026_Fantasy_Starters'!M$2:'2026_Fantasy_Starters'!M$122)*100+100</f>
        <v>97.095783252470184</v>
      </c>
      <c r="AA75">
        <f>(AVERAGE('2026_Fantasy_Starters'!N$2:'2026_Fantasy_Starters'!N$122)-'2026_Fantasy_Starters'!N76)/AVERAGE('2026_Fantasy_Starters'!N$2:'2026_Fantasy_Starters'!N$122)*100+100</f>
        <v>138.5860811099102</v>
      </c>
      <c r="AB75">
        <f>(AVERAGE('2026_Fantasy_Starters'!O$2:'2026_Fantasy_Starters'!O$122)-'2026_Fantasy_Starters'!O76)/AVERAGE('2026_Fantasy_Starters'!O$2:'2026_Fantasy_Starters'!O$122)*100+100</f>
        <v>104.91099457578625</v>
      </c>
      <c r="AC75">
        <f>('2026_Fantasy_Starters'!P76-AVERAGE('2026_Fantasy_Starters'!P$2:'2026_Fantasy_Starters'!P$122))/AVERAGE('2026_Fantasy_Starters'!P$2:'2026_Fantasy_Starters'!P$122)*100+100</f>
        <v>87.146734843947286</v>
      </c>
      <c r="AD75">
        <f>(AVERAGE('2026_Fantasy_Starters'!Q$2:'2026_Fantasy_Starters'!Q$122)-'2026_Fantasy_Starters'!Q76)/AVERAGE('2026_Fantasy_Starters'!Q$2:'2026_Fantasy_Starters'!Q$122)*100+100</f>
        <v>116.49416073429074</v>
      </c>
      <c r="AE75">
        <f>('2026_Fantasy_Starters'!R76-AVERAGE('2026_Fantasy_Starters'!R$2:'2026_Fantasy_Starters'!R$122))/AVERAGE('2026_Fantasy_Starters'!R$2:'2026_Fantasy_Starters'!R$122)*100+100</f>
        <v>87.910978402793418</v>
      </c>
      <c r="AF75">
        <f>('2026_Fantasy_Starters'!T76-AVERAGE('2026_Fantasy_Starters'!T$2:'2026_Fantasy_Starters'!T$122))/AVERAGE('2026_Fantasy_Starters'!T$2:'2026_Fantasy_Starters'!T$122)*100+100</f>
        <v>89.504134363676044</v>
      </c>
      <c r="AG75">
        <f>(AVERAGE('2026_Fantasy_Starters'!U$2:'2026_Fantasy_Starters'!U$122)-'2026_Fantasy_Starters'!U76)/AVERAGE('2026_Fantasy_Starters'!U$2:'2026_Fantasy_Starters'!U$122)*100+100</f>
        <v>96.661817189313112</v>
      </c>
      <c r="AH75">
        <f>(AVERAGE('2026_Fantasy_Starters'!V$2:'2026_Fantasy_Starters'!V$122)-'2026_Fantasy_Starters'!V76)/AVERAGE('2026_Fantasy_Starters'!V$2:'2026_Fantasy_Starters'!V$122)*100+100</f>
        <v>99.540687388706289</v>
      </c>
    </row>
    <row r="76" spans="1:34">
      <c r="A76" t="s">
        <v>222</v>
      </c>
      <c r="B76" t="s">
        <v>69</v>
      </c>
      <c r="C76" t="s">
        <v>16</v>
      </c>
      <c r="D76">
        <v>34</v>
      </c>
      <c r="E76">
        <v>137.66999999999999</v>
      </c>
      <c r="F76" s="4">
        <f>H76*1.5+I76+J76+K76*1.5+L76+M76+N76+O76+P76+Q76</f>
        <v>-2.5764919700168916</v>
      </c>
      <c r="G76">
        <v>579</v>
      </c>
      <c r="H76">
        <f>(S76-S$123)/S$124</f>
        <v>-0.21334449957216919</v>
      </c>
      <c r="I76">
        <f>(T76-T$123)/T$124</f>
        <v>-0.4052141361899711</v>
      </c>
      <c r="J76">
        <f>(U76-U$123)/U$124</f>
        <v>0.5294763532684702</v>
      </c>
      <c r="K76">
        <f>(V76-V$123)/V$124</f>
        <v>-1.3124583948127122</v>
      </c>
      <c r="L76">
        <f>(Z76-Z$123)/Z$124</f>
        <v>-0.11186483009294043</v>
      </c>
      <c r="M76">
        <f>(AB76-AB$123)/AB$124</f>
        <v>-0.18991076533134729</v>
      </c>
      <c r="N76">
        <f>(AG76-AG$123)/AG$124</f>
        <v>-0.5950133720600389</v>
      </c>
      <c r="O76">
        <f>(AH76-AH$123)/AH$124</f>
        <v>-0.22373470676752172</v>
      </c>
      <c r="P76">
        <f>(AE76-AE$123)/AE$124</f>
        <v>0.41660465411511927</v>
      </c>
      <c r="Q76">
        <f>(AF76-AF$123)/AF$124</f>
        <v>0.29186917461866069</v>
      </c>
      <c r="S76">
        <f>(E76-AVERAGE(E$2:E$122))/AVERAGE(E$2:E$122)*100+100</f>
        <v>95.381314662539495</v>
      </c>
      <c r="T76">
        <f>('2026_Fantasy_Starters'!G83-AVERAGE('2026_Fantasy_Starters'!G$2:'2026_Fantasy_Starters'!G$122))/AVERAGE('2026_Fantasy_Starters'!G$2:'2026_Fantasy_Starters'!G$122)*100+100</f>
        <v>89.962766794485105</v>
      </c>
      <c r="U76">
        <f>(AVERAGE('2026_Fantasy_Starters'!H$2:'2026_Fantasy_Starters'!H$122)-'2026_Fantasy_Starters'!H83)/AVERAGE('2026_Fantasy_Starters'!H$2:'2026_Fantasy_Starters'!H$122)*100+100</f>
        <v>112.06881752014895</v>
      </c>
      <c r="V76">
        <f>('2026_Fantasy_Starters'!I83-AVERAGE('2026_Fantasy_Starters'!I$2:'2026_Fantasy_Starters'!I$122))/AVERAGE('2026_Fantasy_Starters'!I$2:'2026_Fantasy_Starters'!I$122)*100+100</f>
        <v>55.612891761956099</v>
      </c>
      <c r="W76">
        <f>(AVERAGE('2026_Fantasy_Starters'!J$2:'2026_Fantasy_Starters'!J$122)-'2026_Fantasy_Starters'!J83)/AVERAGE('2026_Fantasy_Starters'!J$2:'2026_Fantasy_Starters'!J$122)*100+100</f>
        <v>102.8274554065493</v>
      </c>
      <c r="X76">
        <f>(AVERAGE('2026_Fantasy_Starters'!K$2:'2026_Fantasy_Starters'!K$122)-'2026_Fantasy_Starters'!K83)/AVERAGE('2026_Fantasy_Starters'!K$2:'2026_Fantasy_Starters'!K$122)*100+100</f>
        <v>101.78464395139659</v>
      </c>
      <c r="Y76">
        <f>(AVERAGE('2026_Fantasy_Starters'!L$2:'2026_Fantasy_Starters'!L$122)-'2026_Fantasy_Starters'!L83)/AVERAGE('2026_Fantasy_Starters'!L$2:'2026_Fantasy_Starters'!L$122)*100+100</f>
        <v>98.842713696838544</v>
      </c>
      <c r="Z76">
        <f>(AVERAGE('2026_Fantasy_Starters'!M$2:'2026_Fantasy_Starters'!M$122)-'2026_Fantasy_Starters'!M83)/AVERAGE('2026_Fantasy_Starters'!M$2:'2026_Fantasy_Starters'!M$122)*100+100</f>
        <v>97.155654438246756</v>
      </c>
      <c r="AA76">
        <f>(AVERAGE('2026_Fantasy_Starters'!N$2:'2026_Fantasy_Starters'!N$122)-'2026_Fantasy_Starters'!N83)/AVERAGE('2026_Fantasy_Starters'!N$2:'2026_Fantasy_Starters'!N$122)*100+100</f>
        <v>81.509652475123573</v>
      </c>
      <c r="AB76">
        <f>(AVERAGE('2026_Fantasy_Starters'!O$2:'2026_Fantasy_Starters'!O$122)-'2026_Fantasy_Starters'!O83)/AVERAGE('2026_Fantasy_Starters'!O$2:'2026_Fantasy_Starters'!O$122)*100+100</f>
        <v>94.112989496660845</v>
      </c>
      <c r="AC76">
        <f>('2026_Fantasy_Starters'!P83-AVERAGE('2026_Fantasy_Starters'!P$2:'2026_Fantasy_Starters'!P$122))/AVERAGE('2026_Fantasy_Starters'!P$2:'2026_Fantasy_Starters'!P$122)*100+100</f>
        <v>99.950216106625149</v>
      </c>
      <c r="AD76">
        <f>(AVERAGE('2026_Fantasy_Starters'!Q$2:'2026_Fantasy_Starters'!Q$122)-'2026_Fantasy_Starters'!Q83)/AVERAGE('2026_Fantasy_Starters'!Q$2:'2026_Fantasy_Starters'!Q$122)*100+100</f>
        <v>103.29037585711386</v>
      </c>
      <c r="AE76">
        <f>('2026_Fantasy_Starters'!R83-AVERAGE('2026_Fantasy_Starters'!R$2:'2026_Fantasy_Starters'!R$122))/AVERAGE('2026_Fantasy_Starters'!R$2:'2026_Fantasy_Starters'!R$122)*100+100</f>
        <v>104.73032618810402</v>
      </c>
      <c r="AF76">
        <f>('2026_Fantasy_Starters'!T83-AVERAGE('2026_Fantasy_Starters'!T$2:'2026_Fantasy_Starters'!T$122))/AVERAGE('2026_Fantasy_Starters'!T$2:'2026_Fantasy_Starters'!T$122)*100+100</f>
        <v>105.73602369328762</v>
      </c>
      <c r="AG76">
        <f>(AVERAGE('2026_Fantasy_Starters'!U$2:'2026_Fantasy_Starters'!U$122)-'2026_Fantasy_Starters'!U83)/AVERAGE('2026_Fantasy_Starters'!U$2:'2026_Fantasy_Starters'!U$122)*100+100</f>
        <v>94.413006178480757</v>
      </c>
      <c r="AH76">
        <f>(AVERAGE('2026_Fantasy_Starters'!V$2:'2026_Fantasy_Starters'!V$122)-'2026_Fantasy_Starters'!V83)/AVERAGE('2026_Fantasy_Starters'!V$2:'2026_Fantasy_Starters'!V$122)*100+100</f>
        <v>98.550498857528993</v>
      </c>
    </row>
    <row r="77" spans="1:34">
      <c r="A77" t="s">
        <v>283</v>
      </c>
      <c r="B77" t="s">
        <v>23</v>
      </c>
      <c r="C77" t="s">
        <v>16</v>
      </c>
      <c r="D77">
        <v>23</v>
      </c>
      <c r="E77">
        <v>54</v>
      </c>
      <c r="F77" s="4">
        <f>H77*1.5+I77+J77+K77*1.5+L77+M77+N77+O77+P77+Q77</f>
        <v>-2.7564923919632793</v>
      </c>
      <c r="G77">
        <v>227</v>
      </c>
      <c r="H77">
        <f>(S77-S$123)/S$124</f>
        <v>-2.8910131594248938</v>
      </c>
      <c r="I77">
        <f>(T77-T$123)/T$124</f>
        <v>-2.0016631790454018</v>
      </c>
      <c r="J77">
        <f>(U77-U$123)/U$124</f>
        <v>2.8556854113843806</v>
      </c>
      <c r="K77">
        <f>(V77-V$123)/V$124</f>
        <v>-2.5639239107371181</v>
      </c>
      <c r="L77">
        <f>(Z77-Z$123)/Z$124</f>
        <v>2.8325731164311567</v>
      </c>
      <c r="M77">
        <f>(AB77-AB$123)/AB$124</f>
        <v>1.5145833271219313</v>
      </c>
      <c r="N77">
        <f>(AG77-AG$123)/AG$124</f>
        <v>0.22846438104116348</v>
      </c>
      <c r="O77">
        <f>(AH77-AH$123)/AH$124</f>
        <v>-0.21476834216813784</v>
      </c>
      <c r="P77">
        <f>(AE77-AE$123)/AE$124</f>
        <v>0.34804072013267245</v>
      </c>
      <c r="Q77">
        <f>(AF77-AF$123)/AF$124</f>
        <v>-0.13700222161802586</v>
      </c>
      <c r="S77">
        <f>(E77-AVERAGE(E$2:E$122))/AVERAGE(E$2:E$122)*100+100</f>
        <v>37.412588013199198</v>
      </c>
      <c r="T77">
        <f>('2026_Fantasy_Starters'!G110-AVERAGE('2026_Fantasy_Starters'!G$2:'2026_Fantasy_Starters'!G$122))/AVERAGE('2026_Fantasy_Starters'!G$2:'2026_Fantasy_Starters'!G$122)*100+100</f>
        <v>50.418412556189821</v>
      </c>
      <c r="U77">
        <f>(AVERAGE('2026_Fantasy_Starters'!H$2:'2026_Fantasy_Starters'!H$122)-'2026_Fantasy_Starters'!H110)/AVERAGE('2026_Fantasy_Starters'!H$2:'2026_Fantasy_Starters'!H$122)*100+100</f>
        <v>165.09213473311468</v>
      </c>
      <c r="V77">
        <f>('2026_Fantasy_Starters'!I110-AVERAGE('2026_Fantasy_Starters'!I$2:'2026_Fantasy_Starters'!I$122))/AVERAGE('2026_Fantasy_Starters'!I$2:'2026_Fantasy_Starters'!I$122)*100+100</f>
        <v>13.288551782064474</v>
      </c>
      <c r="W77">
        <f>(AVERAGE('2026_Fantasy_Starters'!J$2:'2026_Fantasy_Starters'!J$122)-'2026_Fantasy_Starters'!J110)/AVERAGE('2026_Fantasy_Starters'!J$2:'2026_Fantasy_Starters'!J$122)*100+100</f>
        <v>163.93362282148451</v>
      </c>
      <c r="X77">
        <f>(AVERAGE('2026_Fantasy_Starters'!K$2:'2026_Fantasy_Starters'!K$122)-'2026_Fantasy_Starters'!K110)/AVERAGE('2026_Fantasy_Starters'!K$2:'2026_Fantasy_Starters'!K$122)*100+100</f>
        <v>164.00529515988734</v>
      </c>
      <c r="Y77">
        <f>(AVERAGE('2026_Fantasy_Starters'!L$2:'2026_Fantasy_Starters'!L$122)-'2026_Fantasy_Starters'!L110)/AVERAGE('2026_Fantasy_Starters'!L$2:'2026_Fantasy_Starters'!L$122)*100+100</f>
        <v>163.22748969574872</v>
      </c>
      <c r="Z77">
        <f>(AVERAGE('2026_Fantasy_Starters'!M$2:'2026_Fantasy_Starters'!M$122)-'2026_Fantasy_Starters'!M110)/AVERAGE('2026_Fantasy_Starters'!M$2:'2026_Fantasy_Starters'!M$122)*100+100</f>
        <v>172.02278647693473</v>
      </c>
      <c r="AA77">
        <f>(AVERAGE('2026_Fantasy_Starters'!N$2:'2026_Fantasy_Starters'!N$122)-'2026_Fantasy_Starters'!N110)/AVERAGE('2026_Fantasy_Starters'!N$2:'2026_Fantasy_Starters'!N$122)*100+100</f>
        <v>71.562316657128576</v>
      </c>
      <c r="AB77">
        <f>(AVERAGE('2026_Fantasy_Starters'!O$2:'2026_Fantasy_Starters'!O$122)-'2026_Fantasy_Starters'!O110)/AVERAGE('2026_Fantasy_Starters'!O$2:'2026_Fantasy_Starters'!O$122)*100+100</f>
        <v>146.95030289300487</v>
      </c>
      <c r="AC77">
        <f>('2026_Fantasy_Starters'!P110-AVERAGE('2026_Fantasy_Starters'!P$2:'2026_Fantasy_Starters'!P$122))/AVERAGE('2026_Fantasy_Starters'!P$2:'2026_Fantasy_Starters'!P$122)*100+100</f>
        <v>38.913278419549947</v>
      </c>
      <c r="AD77">
        <f>(AVERAGE('2026_Fantasy_Starters'!Q$2:'2026_Fantasy_Starters'!Q$122)-'2026_Fantasy_Starters'!Q110)/AVERAGE('2026_Fantasy_Starters'!Q$2:'2026_Fantasy_Starters'!Q$122)*100+100</f>
        <v>156.26756163560248</v>
      </c>
      <c r="AE77">
        <f>('2026_Fantasy_Starters'!R110-AVERAGE('2026_Fantasy_Starters'!R$2:'2026_Fantasy_Starters'!R$122))/AVERAGE('2026_Fantasy_Starters'!R$2:'2026_Fantasy_Starters'!R$122)*100+100</f>
        <v>103.95181886881952</v>
      </c>
      <c r="AF77">
        <f>('2026_Fantasy_Starters'!T110-AVERAGE('2026_Fantasy_Starters'!T$2:'2026_Fantasy_Starters'!T$122))/AVERAGE('2026_Fantasy_Starters'!T$2:'2026_Fantasy_Starters'!T$122)*100+100</f>
        <v>97.307533451380039</v>
      </c>
      <c r="AG77">
        <f>(AVERAGE('2026_Fantasy_Starters'!U$2:'2026_Fantasy_Starters'!U$122)-'2026_Fantasy_Starters'!U110)/AVERAGE('2026_Fantasy_Starters'!U$2:'2026_Fantasy_Starters'!U$122)*100+100</f>
        <v>102.14521075533986</v>
      </c>
      <c r="AH77">
        <f>(AVERAGE('2026_Fantasy_Starters'!V$2:'2026_Fantasy_Starters'!V$122)-'2026_Fantasy_Starters'!V110)/AVERAGE('2026_Fantasy_Starters'!V$2:'2026_Fantasy_Starters'!V$122)*100+100</f>
        <v>98.608588887092992</v>
      </c>
    </row>
    <row r="78" spans="1:34">
      <c r="A78" s="9" t="s">
        <v>1038</v>
      </c>
      <c r="B78" t="s">
        <v>74</v>
      </c>
      <c r="C78" t="s">
        <v>16</v>
      </c>
      <c r="D78">
        <v>27</v>
      </c>
      <c r="E78">
        <v>151.66999999999999</v>
      </c>
      <c r="F78" s="4">
        <f>H78*1.5+I78+J78+K78*1.5+L78+M78+N78+O78+P78+Q78</f>
        <v>-2.8670306183539145</v>
      </c>
      <c r="G78">
        <v>639</v>
      </c>
      <c r="H78">
        <f>(S78-S$123)/S$124</f>
        <v>0.23469376071154219</v>
      </c>
      <c r="I78">
        <f>(T78-T$123)/T$124</f>
        <v>0.37221016645582217</v>
      </c>
      <c r="J78">
        <f>(U78-U$123)/U$124</f>
        <v>-0.56097219578552626</v>
      </c>
      <c r="K78">
        <f>(V78-V$123)/V$124</f>
        <v>0.2652768523362618</v>
      </c>
      <c r="L78">
        <f>(Z78-Z$123)/Z$124</f>
        <v>-0.56211098545213378</v>
      </c>
      <c r="M78">
        <f>(AB78-AB$123)/AB$124</f>
        <v>-0.92615049162902296</v>
      </c>
      <c r="N78">
        <f>(AG78-AG$123)/AG$124</f>
        <v>-1.0200554439402356</v>
      </c>
      <c r="O78">
        <f>(AH78-AH$123)/AH$124</f>
        <v>-0.46783652597480813</v>
      </c>
      <c r="P78">
        <f>(AE78-AE$123)/AE$124</f>
        <v>-8.8055311384712093E-2</v>
      </c>
      <c r="Q78">
        <f>(AF78-AF$123)/AF$124</f>
        <v>-0.36401575021500376</v>
      </c>
      <c r="S78">
        <f>(E78-AVERAGE(E$2:E$122))/AVERAGE(E$2:E$122)*100+100</f>
        <v>105.08087451781336</v>
      </c>
      <c r="T78">
        <f>('2026_Fantasy_Starters'!G108-AVERAGE('2026_Fantasy_Starters'!G$2:'2026_Fantasy_Starters'!G$122))/AVERAGE('2026_Fantasy_Starters'!G$2:'2026_Fantasy_Starters'!G$122)*100+100</f>
        <v>109.21971843654819</v>
      </c>
      <c r="U78">
        <f>(AVERAGE('2026_Fantasy_Starters'!H$2:'2026_Fantasy_Starters'!H$122)-'2026_Fantasy_Starters'!H108)/AVERAGE('2026_Fantasy_Starters'!H$2:'2026_Fantasy_Starters'!H$122)*100+100</f>
        <v>87.213270199849916</v>
      </c>
      <c r="V78">
        <f>('2026_Fantasy_Starters'!I108-AVERAGE('2026_Fantasy_Starters'!I$2:'2026_Fantasy_Starters'!I$122))/AVERAGE('2026_Fantasy_Starters'!I$2:'2026_Fantasy_Starters'!I$122)*100+100</f>
        <v>108.97161571310421</v>
      </c>
      <c r="W78">
        <f>(AVERAGE('2026_Fantasy_Starters'!J$2:'2026_Fantasy_Starters'!J$122)-'2026_Fantasy_Starters'!J108)/AVERAGE('2026_Fantasy_Starters'!J$2:'2026_Fantasy_Starters'!J$122)*100+100</f>
        <v>94.038230185575642</v>
      </c>
      <c r="X78">
        <f>(AVERAGE('2026_Fantasy_Starters'!K$2:'2026_Fantasy_Starters'!K$122)-'2026_Fantasy_Starters'!K108)/AVERAGE('2026_Fantasy_Starters'!K$2:'2026_Fantasy_Starters'!K$122)*100+100</f>
        <v>86.750036676533142</v>
      </c>
      <c r="Y78">
        <f>(AVERAGE('2026_Fantasy_Starters'!L$2:'2026_Fantasy_Starters'!L$122)-'2026_Fantasy_Starters'!L108)/AVERAGE('2026_Fantasy_Starters'!L$2:'2026_Fantasy_Starters'!L$122)*100+100</f>
        <v>84.343372385062111</v>
      </c>
      <c r="Z78">
        <f>(AVERAGE('2026_Fantasy_Starters'!M$2:'2026_Fantasy_Starters'!M$122)-'2026_Fantasy_Starters'!M108)/AVERAGE('2026_Fantasy_Starters'!M$2:'2026_Fantasy_Starters'!M$122)*100+100</f>
        <v>85.707412371205976</v>
      </c>
      <c r="AA78">
        <f>(AVERAGE('2026_Fantasy_Starters'!N$2:'2026_Fantasy_Starters'!N$122)-'2026_Fantasy_Starters'!N108)/AVERAGE('2026_Fantasy_Starters'!N$2:'2026_Fantasy_Starters'!N$122)*100+100</f>
        <v>138.58608454908776</v>
      </c>
      <c r="AB78">
        <f>(AVERAGE('2026_Fantasy_Starters'!O$2:'2026_Fantasy_Starters'!O$122)-'2026_Fantasy_Starters'!O108)/AVERAGE('2026_Fantasy_Starters'!O$2:'2026_Fantasy_Starters'!O$122)*100+100</f>
        <v>71.290423360782526</v>
      </c>
      <c r="AC78">
        <f>('2026_Fantasy_Starters'!P108-AVERAGE('2026_Fantasy_Starters'!P$2:'2026_Fantasy_Starters'!P$122))/AVERAGE('2026_Fantasy_Starters'!P$2:'2026_Fantasy_Starters'!P$122)*100+100</f>
        <v>104.08967024688383</v>
      </c>
      <c r="AD78">
        <f>(AVERAGE('2026_Fantasy_Starters'!Q$2:'2026_Fantasy_Starters'!Q$122)-'2026_Fantasy_Starters'!Q108)/AVERAGE('2026_Fantasy_Starters'!Q$2:'2026_Fantasy_Starters'!Q$122)*100+100</f>
        <v>83.865657739371628</v>
      </c>
      <c r="AE78">
        <f>('2026_Fantasy_Starters'!R108-AVERAGE('2026_Fantasy_Starters'!R$2:'2026_Fantasy_Starters'!R$122))/AVERAGE('2026_Fantasy_Starters'!R$2:'2026_Fantasy_Starters'!R$122)*100+100</f>
        <v>99.000178367355218</v>
      </c>
      <c r="AF78">
        <f>('2026_Fantasy_Starters'!T108-AVERAGE('2026_Fantasy_Starters'!T$2:'2026_Fantasy_Starters'!T$122))/AVERAGE('2026_Fantasy_Starters'!T$2:'2026_Fantasy_Starters'!T$122)*100+100</f>
        <v>92.846099727073849</v>
      </c>
      <c r="AG78">
        <f>(AVERAGE('2026_Fantasy_Starters'!U$2:'2026_Fantasy_Starters'!U$122)-'2026_Fantasy_Starters'!U108)/AVERAGE('2026_Fantasy_Starters'!U$2:'2026_Fantasy_Starters'!U$122)*100+100</f>
        <v>90.42199094926201</v>
      </c>
      <c r="AH78">
        <f>(AVERAGE('2026_Fantasy_Starters'!V$2:'2026_Fantasy_Starters'!V$122)-'2026_Fantasy_Starters'!V108)/AVERAGE('2026_Fantasy_Starters'!V$2:'2026_Fantasy_Starters'!V$122)*100+100</f>
        <v>96.969046114089181</v>
      </c>
    </row>
    <row r="79" spans="1:34">
      <c r="A79" t="s">
        <v>266</v>
      </c>
      <c r="B79" t="s">
        <v>173</v>
      </c>
      <c r="C79" t="s">
        <v>16</v>
      </c>
      <c r="D79">
        <v>29</v>
      </c>
      <c r="E79">
        <v>169.67</v>
      </c>
      <c r="F79" s="4">
        <f>H79*1.5+I79+J79+K79*1.5+L79+M79+N79+O79+P79+Q79</f>
        <v>-2.8804163987646652</v>
      </c>
      <c r="G79">
        <v>721</v>
      </c>
      <c r="H79">
        <f>(S79-S$123)/S$124</f>
        <v>0.81074295250488571</v>
      </c>
      <c r="I79">
        <f>(T79-T$123)/T$124</f>
        <v>-0.13395182740587866</v>
      </c>
      <c r="J79">
        <f>(U79-U$123)/U$124</f>
        <v>-1.3928759653912619</v>
      </c>
      <c r="K79">
        <f>(V79-V$123)/V$124</f>
        <v>0.59547903147516446</v>
      </c>
      <c r="L79">
        <f>(Z79-Z$123)/Z$124</f>
        <v>-1.6563702990878768</v>
      </c>
      <c r="M79">
        <f>(AB79-AB$123)/AB$124</f>
        <v>0.33318443148290539</v>
      </c>
      <c r="N79">
        <f>(AG79-AG$123)/AG$124</f>
        <v>-0.86602180790479855</v>
      </c>
      <c r="O79">
        <f>(AH79-AH$123)/AH$124</f>
        <v>-1.0272996596872073</v>
      </c>
      <c r="P79">
        <f>(AE79-AE$123)/AE$124</f>
        <v>4.5607012573579422E-2</v>
      </c>
      <c r="Q79">
        <f>(AF79-AF$123)/AF$124</f>
        <v>-0.29202125931420192</v>
      </c>
      <c r="S79">
        <f>(E79-AVERAGE(E$2:E$122))/AVERAGE(E$2:E$122)*100+100</f>
        <v>117.55173718887976</v>
      </c>
      <c r="T79">
        <f>('2026_Fantasy_Starters'!G103-AVERAGE('2026_Fantasy_Starters'!G$2:'2026_Fantasy_Starters'!G$122))/AVERAGE('2026_Fantasy_Starters'!G$2:'2026_Fantasy_Starters'!G$122)*100+100</f>
        <v>96.681987102870096</v>
      </c>
      <c r="U79">
        <f>(AVERAGE('2026_Fantasy_Starters'!H$2:'2026_Fantasy_Starters'!H$122)-'2026_Fantasy_Starters'!H103)/AVERAGE('2026_Fantasy_Starters'!H$2:'2026_Fantasy_Starters'!H$122)*100+100</f>
        <v>68.250960121755057</v>
      </c>
      <c r="V79">
        <f>('2026_Fantasy_Starters'!I103-AVERAGE('2026_Fantasy_Starters'!I$2:'2026_Fantasy_Starters'!I$122))/AVERAGE('2026_Fantasy_Starters'!I$2:'2026_Fantasy_Starters'!I$122)*100+100</f>
        <v>120.13899436968094</v>
      </c>
      <c r="W79">
        <f>(AVERAGE('2026_Fantasy_Starters'!J$2:'2026_Fantasy_Starters'!J$122)-'2026_Fantasy_Starters'!J103)/AVERAGE('2026_Fantasy_Starters'!J$2:'2026_Fantasy_Starters'!J$122)*100+100</f>
        <v>75.697375669019721</v>
      </c>
      <c r="X79">
        <f>(AVERAGE('2026_Fantasy_Starters'!K$2:'2026_Fantasy_Starters'!K$122)-'2026_Fantasy_Starters'!K103)/AVERAGE('2026_Fantasy_Starters'!K$2:'2026_Fantasy_Starters'!K$122)*100+100</f>
        <v>74.328920892612643</v>
      </c>
      <c r="Y79">
        <f>(AVERAGE('2026_Fantasy_Starters'!L$2:'2026_Fantasy_Starters'!L$122)-'2026_Fantasy_Starters'!L103)/AVERAGE('2026_Fantasy_Starters'!L$2:'2026_Fantasy_Starters'!L$122)*100+100</f>
        <v>72.325124221860833</v>
      </c>
      <c r="Z79">
        <f>(AVERAGE('2026_Fantasy_Starters'!M$2:'2026_Fantasy_Starters'!M$122)-'2026_Fantasy_Starters'!M103)/AVERAGE('2026_Fantasy_Starters'!M$2:'2026_Fantasy_Starters'!M$122)*100+100</f>
        <v>57.884086491561469</v>
      </c>
      <c r="AA79">
        <f>(AVERAGE('2026_Fantasy_Starters'!N$2:'2026_Fantasy_Starters'!N$122)-'2026_Fantasy_Starters'!N103)/AVERAGE('2026_Fantasy_Starters'!N$2:'2026_Fantasy_Starters'!N$122)*100+100</f>
        <v>17.975133872616098</v>
      </c>
      <c r="AB79">
        <f>(AVERAGE('2026_Fantasy_Starters'!O$2:'2026_Fantasy_Starters'!O$122)-'2026_Fantasy_Starters'!O103)/AVERAGE('2026_Fantasy_Starters'!O$2:'2026_Fantasy_Starters'!O$122)*100+100</f>
        <v>110.32832574955228</v>
      </c>
      <c r="AC79">
        <f>('2026_Fantasy_Starters'!P103-AVERAGE('2026_Fantasy_Starters'!P$2:'2026_Fantasy_Starters'!P$122))/AVERAGE('2026_Fantasy_Starters'!P$2:'2026_Fantasy_Starters'!P$122)*100+100</f>
        <v>118.2279588550164</v>
      </c>
      <c r="AD79">
        <f>(AVERAGE('2026_Fantasy_Starters'!Q$2:'2026_Fantasy_Starters'!Q$122)-'2026_Fantasy_Starters'!Q103)/AVERAGE('2026_Fantasy_Starters'!Q$2:'2026_Fantasy_Starters'!Q$122)*100+100</f>
        <v>70.093756265390368</v>
      </c>
      <c r="AE79">
        <f>('2026_Fantasy_Starters'!R103-AVERAGE('2026_Fantasy_Starters'!R$2:'2026_Fantasy_Starters'!R$122))/AVERAGE('2026_Fantasy_Starters'!R$2:'2026_Fantasy_Starters'!R$122)*100+100</f>
        <v>100.51784358097534</v>
      </c>
      <c r="AF79">
        <f>('2026_Fantasy_Starters'!T103-AVERAGE('2026_Fantasy_Starters'!T$2:'2026_Fantasy_Starters'!T$122))/AVERAGE('2026_Fantasy_Starters'!T$2:'2026_Fantasy_Starters'!T$122)*100+100</f>
        <v>94.260987428499448</v>
      </c>
      <c r="AG79">
        <f>(AVERAGE('2026_Fantasy_Starters'!U$2:'2026_Fantasy_Starters'!U$122)-'2026_Fantasy_Starters'!U103)/AVERAGE('2026_Fantasy_Starters'!U$2:'2026_Fantasy_Starters'!U$122)*100+100</f>
        <v>91.86831974327994</v>
      </c>
      <c r="AH79">
        <f>(AVERAGE('2026_Fantasy_Starters'!V$2:'2026_Fantasy_Starters'!V$122)-'2026_Fantasy_Starters'!V103)/AVERAGE('2026_Fantasy_Starters'!V$2:'2026_Fantasy_Starters'!V$122)*100+100</f>
        <v>93.344474570394198</v>
      </c>
    </row>
    <row r="80" spans="1:34">
      <c r="A80" t="s">
        <v>228</v>
      </c>
      <c r="B80" t="s">
        <v>170</v>
      </c>
      <c r="C80" t="s">
        <v>16</v>
      </c>
      <c r="D80">
        <v>28</v>
      </c>
      <c r="E80">
        <v>163.66999999999999</v>
      </c>
      <c r="F80" s="4">
        <f>H80*1.5+I80+J80+K80*1.5+L80+M80+N80+O80+P80+Q80</f>
        <v>-2.9567179771965679</v>
      </c>
      <c r="G80">
        <v>690</v>
      </c>
      <c r="H80">
        <f>(S80-S$123)/S$124</f>
        <v>0.61872655524043785</v>
      </c>
      <c r="I80">
        <f>(T80-T$123)/T$124</f>
        <v>0.32102277201097551</v>
      </c>
      <c r="J80">
        <f>(U80-U$123)/U$124</f>
        <v>-0.9211798577759247</v>
      </c>
      <c r="K80">
        <f>(V80-V$123)/V$124</f>
        <v>0.48522471160023933</v>
      </c>
      <c r="L80">
        <f>(Z80-Z$123)/Z$124</f>
        <v>-1.1199280132287734</v>
      </c>
      <c r="M80">
        <f>(AB80-AB$123)/AB$124</f>
        <v>-0.59598104762797111</v>
      </c>
      <c r="N80">
        <f>(AG80-AG$123)/AG$124</f>
        <v>-0.81900825234667229</v>
      </c>
      <c r="O80">
        <f>(AH80-AH$123)/AH$124</f>
        <v>-0.35247198768442728</v>
      </c>
      <c r="P80">
        <f>(AE80-AE$123)/AE$124</f>
        <v>-0.93566946783841465</v>
      </c>
      <c r="Q80">
        <f>(AF80-AF$123)/AF$124</f>
        <v>-0.18942902296637584</v>
      </c>
      <c r="S80">
        <f>(E80-AVERAGE(E$2:E$122))/AVERAGE(E$2:E$122)*100+100</f>
        <v>113.39478296519096</v>
      </c>
      <c r="T80">
        <f>('2026_Fantasy_Starters'!G86-AVERAGE('2026_Fantasy_Starters'!G$2:'2026_Fantasy_Starters'!G$122))/AVERAGE('2026_Fantasy_Starters'!G$2:'2026_Fantasy_Starters'!G$122)*100+100</f>
        <v>107.95179669014412</v>
      </c>
      <c r="U80">
        <f>(AVERAGE('2026_Fantasy_Starters'!H$2:'2026_Fantasy_Starters'!H$122)-'2026_Fantasy_Starters'!H86)/AVERAGE('2026_Fantasy_Starters'!H$2:'2026_Fantasy_Starters'!H$122)*100+100</f>
        <v>79.002741976850473</v>
      </c>
      <c r="V80">
        <f>('2026_Fantasy_Starters'!I86-AVERAGE('2026_Fantasy_Starters'!I$2:'2026_Fantasy_Starters'!I$122))/AVERAGE('2026_Fantasy_Starters'!I$2:'2026_Fantasy_Starters'!I$122)*100+100</f>
        <v>116.41021298556814</v>
      </c>
      <c r="W80">
        <f>(AVERAGE('2026_Fantasy_Starters'!J$2:'2026_Fantasy_Starters'!J$122)-'2026_Fantasy_Starters'!J86)/AVERAGE('2026_Fantasy_Starters'!J$2:'2026_Fantasy_Starters'!J$122)*100+100</f>
        <v>72.089461145446052</v>
      </c>
      <c r="X80">
        <f>(AVERAGE('2026_Fantasy_Starters'!K$2:'2026_Fantasy_Starters'!K$122)-'2026_Fantasy_Starters'!K86)/AVERAGE('2026_Fantasy_Starters'!K$2:'2026_Fantasy_Starters'!K$122)*100+100</f>
        <v>75.383043880259905</v>
      </c>
      <c r="Y80">
        <f>(AVERAGE('2026_Fantasy_Starters'!L$2:'2026_Fantasy_Starters'!L$122)-'2026_Fantasy_Starters'!L86)/AVERAGE('2026_Fantasy_Starters'!L$2:'2026_Fantasy_Starters'!L$122)*100+100</f>
        <v>77.342855743787439</v>
      </c>
      <c r="Z80">
        <f>(AVERAGE('2026_Fantasy_Starters'!M$2:'2026_Fantasy_Starters'!M$122)-'2026_Fantasy_Starters'!M86)/AVERAGE('2026_Fantasy_Starters'!M$2:'2026_Fantasy_Starters'!M$122)*100+100</f>
        <v>71.524005612275189</v>
      </c>
      <c r="AA80">
        <f>(AVERAGE('2026_Fantasy_Starters'!N$2:'2026_Fantasy_Starters'!N$122)-'2026_Fantasy_Starters'!N86)/AVERAGE('2026_Fantasy_Starters'!N$2:'2026_Fantasy_Starters'!N$122)*100+100</f>
        <v>78.56404405545365</v>
      </c>
      <c r="AB80">
        <f>(AVERAGE('2026_Fantasy_Starters'!O$2:'2026_Fantasy_Starters'!O$122)-'2026_Fantasy_Starters'!O86)/AVERAGE('2026_Fantasy_Starters'!O$2:'2026_Fantasy_Starters'!O$122)*100+100</f>
        <v>81.525288042226663</v>
      </c>
      <c r="AC80">
        <f>('2026_Fantasy_Starters'!P86-AVERAGE('2026_Fantasy_Starters'!P$2:'2026_Fantasy_Starters'!P$122))/AVERAGE('2026_Fantasy_Starters'!P$2:'2026_Fantasy_Starters'!P$122)*100+100</f>
        <v>101.4055681652454</v>
      </c>
      <c r="AD80">
        <f>(AVERAGE('2026_Fantasy_Starters'!Q$2:'2026_Fantasy_Starters'!Q$122)-'2026_Fantasy_Starters'!Q86)/AVERAGE('2026_Fantasy_Starters'!Q$2:'2026_Fantasy_Starters'!Q$122)*100+100</f>
        <v>116.92107665948497</v>
      </c>
      <c r="AE80">
        <f>('2026_Fantasy_Starters'!R86-AVERAGE('2026_Fantasy_Starters'!R$2:'2026_Fantasy_Starters'!R$122))/AVERAGE('2026_Fantasy_Starters'!R$2:'2026_Fantasy_Starters'!R$122)*100+100</f>
        <v>89.375966534683826</v>
      </c>
      <c r="AF80">
        <f>('2026_Fantasy_Starters'!T86-AVERAGE('2026_Fantasy_Starters'!T$2:'2026_Fantasy_Starters'!T$122))/AVERAGE('2026_Fantasy_Starters'!T$2:'2026_Fantasy_Starters'!T$122)*100+100</f>
        <v>96.277204109165922</v>
      </c>
      <c r="AG80">
        <f>(AVERAGE('2026_Fantasy_Starters'!U$2:'2026_Fantasy_Starters'!U$122)-'2026_Fantasy_Starters'!U86)/AVERAGE('2026_Fantasy_Starters'!U$2:'2026_Fantasy_Starters'!U$122)*100+100</f>
        <v>92.309762670052351</v>
      </c>
      <c r="AH80">
        <f>(AVERAGE('2026_Fantasy_Starters'!V$2:'2026_Fantasy_Starters'!V$122)-'2026_Fantasy_Starters'!V86)/AVERAGE('2026_Fantasy_Starters'!V$2:'2026_Fantasy_Starters'!V$122)*100+100</f>
        <v>97.716453758028379</v>
      </c>
    </row>
    <row r="81" spans="1:34">
      <c r="A81" s="9" t="s">
        <v>1036</v>
      </c>
      <c r="B81" t="s">
        <v>111</v>
      </c>
      <c r="C81" t="s">
        <v>16</v>
      </c>
      <c r="D81">
        <v>28</v>
      </c>
      <c r="E81">
        <v>176.33</v>
      </c>
      <c r="F81" s="4">
        <f>H81*1.5+I81+J81+K81*1.5+L81+M81+N81+O81+P81+Q81</f>
        <v>-2.9721129822010104</v>
      </c>
      <c r="G81">
        <v>743</v>
      </c>
      <c r="H81">
        <f>(S81-S$123)/S$124</f>
        <v>1.0238811534684242</v>
      </c>
      <c r="I81">
        <f>(T81-T$123)/T$124</f>
        <v>0.55057149219966917</v>
      </c>
      <c r="J81">
        <f>(U81-U$123)/U$124</f>
        <v>-1.4910381355281708</v>
      </c>
      <c r="K81">
        <f>(V81-V$123)/V$124</f>
        <v>0.82457005083491208</v>
      </c>
      <c r="L81">
        <f>(Z81-Z$123)/Z$124</f>
        <v>-0.3535896713082014</v>
      </c>
      <c r="M81">
        <f>(AB81-AB$123)/AB$124</f>
        <v>-0.72930226492931916</v>
      </c>
      <c r="N81">
        <f>(AG81-AG$123)/AG$124</f>
        <v>-0.56884811707498006</v>
      </c>
      <c r="O81">
        <f>(AH81-AH$123)/AH$124</f>
        <v>-0.49220614113189082</v>
      </c>
      <c r="P81">
        <f>(AE81-AE$123)/AE$124</f>
        <v>-1.5156277037579433</v>
      </c>
      <c r="Q81">
        <f>(AF81-AF$123)/AF$124</f>
        <v>-1.1447492471251788</v>
      </c>
      <c r="S81">
        <f>(E81-AVERAGE(E$2:E$122))/AVERAGE(E$2:E$122)*100+100</f>
        <v>122.16595637717435</v>
      </c>
      <c r="T81">
        <f>('2026_Fantasy_Starters'!G53-AVERAGE('2026_Fantasy_Starters'!G$2:'2026_Fantasy_Starters'!G$122))/AVERAGE('2026_Fantasy_Starters'!G$2:'2026_Fantasy_Starters'!G$122)*100+100</f>
        <v>113.63776327123408</v>
      </c>
      <c r="U81">
        <f>(AVERAGE('2026_Fantasy_Starters'!H$2:'2026_Fantasy_Starters'!H$122)-'2026_Fantasy_Starters'!H53)/AVERAGE('2026_Fantasy_Starters'!H$2:'2026_Fantasy_Starters'!H$122)*100+100</f>
        <v>66.013463940006858</v>
      </c>
      <c r="V81">
        <f>('2026_Fantasy_Starters'!I53-AVERAGE('2026_Fantasy_Starters'!I$2:'2026_Fantasy_Starters'!I$122))/AVERAGE('2026_Fantasy_Starters'!I$2:'2026_Fantasy_Starters'!I$122)*100+100</f>
        <v>127.88681168173829</v>
      </c>
      <c r="W81">
        <f>(AVERAGE('2026_Fantasy_Starters'!J$2:'2026_Fantasy_Starters'!J$122)-'2026_Fantasy_Starters'!J53)/AVERAGE('2026_Fantasy_Starters'!J$2:'2026_Fantasy_Starters'!J$122)*100+100</f>
        <v>68.968554393110026</v>
      </c>
      <c r="X81">
        <f>(AVERAGE('2026_Fantasy_Starters'!K$2:'2026_Fantasy_Starters'!K$122)-'2026_Fantasy_Starters'!K53)/AVERAGE('2026_Fantasy_Starters'!K$2:'2026_Fantasy_Starters'!K$122)*100+100</f>
        <v>69.455944411744795</v>
      </c>
      <c r="Y81">
        <f>(AVERAGE('2026_Fantasy_Starters'!L$2:'2026_Fantasy_Starters'!L$122)-'2026_Fantasy_Starters'!L53)/AVERAGE('2026_Fantasy_Starters'!L$2:'2026_Fantasy_Starters'!L$122)*100+100</f>
        <v>70.737558307045745</v>
      </c>
      <c r="Z81">
        <f>(AVERAGE('2026_Fantasy_Starters'!M$2:'2026_Fantasy_Starters'!M$122)-'2026_Fantasy_Starters'!M53)/AVERAGE('2026_Fantasy_Starters'!M$2:'2026_Fantasy_Starters'!M$122)*100+100</f>
        <v>91.009406518280372</v>
      </c>
      <c r="AA81">
        <f>(AVERAGE('2026_Fantasy_Starters'!N$2:'2026_Fantasy_Starters'!N$122)-'2026_Fantasy_Starters'!N53)/AVERAGE('2026_Fantasy_Starters'!N$2:'2026_Fantasy_Starters'!N$122)*100+100</f>
        <v>81.189268519268921</v>
      </c>
      <c r="AB81">
        <f>(AVERAGE('2026_Fantasy_Starters'!O$2:'2026_Fantasy_Starters'!O$122)-'2026_Fantasy_Starters'!O53)/AVERAGE('2026_Fantasy_Starters'!O$2:'2026_Fantasy_Starters'!O$122)*100+100</f>
        <v>77.392487012218695</v>
      </c>
      <c r="AC81">
        <f>('2026_Fantasy_Starters'!P53-AVERAGE('2026_Fantasy_Starters'!P$2:'2026_Fantasy_Starters'!P$122))/AVERAGE('2026_Fantasy_Starters'!P$2:'2026_Fantasy_Starters'!P$122)*100+100</f>
        <v>101.19999703180973</v>
      </c>
      <c r="AD81">
        <f>(AVERAGE('2026_Fantasy_Starters'!Q$2:'2026_Fantasy_Starters'!Q$122)-'2026_Fantasy_Starters'!Q53)/AVERAGE('2026_Fantasy_Starters'!Q$2:'2026_Fantasy_Starters'!Q$122)*100+100</f>
        <v>86.751199141051558</v>
      </c>
      <c r="AE81">
        <f>('2026_Fantasy_Starters'!R53-AVERAGE('2026_Fantasy_Starters'!R$2:'2026_Fantasy_Starters'!R$122))/AVERAGE('2026_Fantasy_Starters'!R$2:'2026_Fantasy_Starters'!R$122)*100+100</f>
        <v>82.790846555158296</v>
      </c>
      <c r="AF81">
        <f>('2026_Fantasy_Starters'!T53-AVERAGE('2026_Fantasy_Starters'!T$2:'2026_Fantasy_Starters'!T$122))/AVERAGE('2026_Fantasy_Starters'!T$2:'2026_Fantasy_Starters'!T$122)*100+100</f>
        <v>77.502561505638852</v>
      </c>
      <c r="AG81">
        <f>(AVERAGE('2026_Fantasy_Starters'!U$2:'2026_Fantasy_Starters'!U$122)-'2026_Fantasy_Starters'!U53)/AVERAGE('2026_Fantasy_Starters'!U$2:'2026_Fantasy_Starters'!U$122)*100+100</f>
        <v>94.658689930820444</v>
      </c>
      <c r="AH81">
        <f>(AVERAGE('2026_Fantasy_Starters'!V$2:'2026_Fantasy_Starters'!V$122)-'2026_Fantasy_Starters'!V53)/AVERAGE('2026_Fantasy_Starters'!V$2:'2026_Fantasy_Starters'!V$122)*100+100</f>
        <v>96.811163658022707</v>
      </c>
    </row>
    <row r="82" spans="1:34">
      <c r="A82" t="s">
        <v>172</v>
      </c>
      <c r="B82" t="s">
        <v>173</v>
      </c>
      <c r="C82" t="s">
        <v>118</v>
      </c>
      <c r="D82">
        <v>33</v>
      </c>
      <c r="E82">
        <v>133.33000000000001</v>
      </c>
      <c r="F82" s="4">
        <f>H82*1.5+I82+J82+K82*1.5+L82+M82+N82+O82+P82+Q82</f>
        <v>-3.0786136470805552</v>
      </c>
      <c r="G82">
        <v>564</v>
      </c>
      <c r="H82">
        <f>(S82-S$123)/S$124</f>
        <v>-0.35223636026011917</v>
      </c>
      <c r="I82">
        <f>(T82-T$123)/T$124</f>
        <v>-1.0063460594071185</v>
      </c>
      <c r="J82">
        <f>(U82-U$123)/U$124</f>
        <v>-0.57751856257578582</v>
      </c>
      <c r="K82">
        <f>(V82-V$123)/V$124</f>
        <v>-0.81263216322788034</v>
      </c>
      <c r="L82">
        <f>(Z82-Z$123)/Z$124</f>
        <v>4.1405308033097402E-2</v>
      </c>
      <c r="M82">
        <f>(AB82-AB$123)/AB$124</f>
        <v>-0.29932888276956399</v>
      </c>
      <c r="N82">
        <f>(AG82-AG$123)/AG$124</f>
        <v>-0.67882505115303149</v>
      </c>
      <c r="O82">
        <f>(AH82-AH$123)/AH$124</f>
        <v>-0.4653192236951974</v>
      </c>
      <c r="P82">
        <f>(AE82-AE$123)/AE$124</f>
        <v>1.1364587289399664</v>
      </c>
      <c r="Q82">
        <f>(AF82-AF$123)/AF$124</f>
        <v>0.51816288077907735</v>
      </c>
      <c r="S82">
        <f>(E82-AVERAGE(E$2:E$122))/AVERAGE(E$2:E$122)*100+100</f>
        <v>92.37445110740461</v>
      </c>
      <c r="T82">
        <f>('2026_Fantasy_Starters'!G61-AVERAGE('2026_Fantasy_Starters'!G$2:'2026_Fantasy_Starters'!G$122))/AVERAGE('2026_Fantasy_Starters'!G$2:'2026_Fantasy_Starters'!G$122)*100+100</f>
        <v>75.072611783255439</v>
      </c>
      <c r="U82">
        <f>(AVERAGE('2026_Fantasy_Starters'!H$2:'2026_Fantasy_Starters'!H$122)-'2026_Fantasy_Starters'!H61)/AVERAGE('2026_Fantasy_Starters'!H$2:'2026_Fantasy_Starters'!H$122)*100+100</f>
        <v>86.836114392644603</v>
      </c>
      <c r="V82">
        <f>('2026_Fantasy_Starters'!I61-AVERAGE('2026_Fantasy_Starters'!I$2:'2026_Fantasy_Starters'!I$122))/AVERAGE('2026_Fantasy_Starters'!I$2:'2026_Fantasy_Starters'!I$122)*100+100</f>
        <v>72.516925542573929</v>
      </c>
      <c r="W82">
        <f>(AVERAGE('2026_Fantasy_Starters'!J$2:'2026_Fantasy_Starters'!J$122)-'2026_Fantasy_Starters'!J61)/AVERAGE('2026_Fantasy_Starters'!J$2:'2026_Fantasy_Starters'!J$122)*100+100</f>
        <v>108.63389141506889</v>
      </c>
      <c r="X82">
        <f>(AVERAGE('2026_Fantasy_Starters'!K$2:'2026_Fantasy_Starters'!K$122)-'2026_Fantasy_Starters'!K61)/AVERAGE('2026_Fantasy_Starters'!K$2:'2026_Fantasy_Starters'!K$122)*100+100</f>
        <v>105.76848594166719</v>
      </c>
      <c r="Y82">
        <f>(AVERAGE('2026_Fantasy_Starters'!L$2:'2026_Fantasy_Starters'!L$122)-'2026_Fantasy_Starters'!L61)/AVERAGE('2026_Fantasy_Starters'!L$2:'2026_Fantasy_Starters'!L$122)*100+100</f>
        <v>101.30148046786431</v>
      </c>
      <c r="Z82">
        <f>(AVERAGE('2026_Fantasy_Starters'!M$2:'2026_Fantasy_Starters'!M$122)-'2026_Fantasy_Starters'!M61)/AVERAGE('2026_Fantasy_Starters'!M$2:'2026_Fantasy_Starters'!M$122)*100+100</f>
        <v>101.05279741666004</v>
      </c>
      <c r="AA82">
        <f>(AVERAGE('2026_Fantasy_Starters'!N$2:'2026_Fantasy_Starters'!N$122)-'2026_Fantasy_Starters'!N61)/AVERAGE('2026_Fantasy_Starters'!N$2:'2026_Fantasy_Starters'!N$122)*100+100</f>
        <v>-39.134538957976304</v>
      </c>
      <c r="AB82">
        <f>(AVERAGE('2026_Fantasy_Starters'!O$2:'2026_Fantasy_Starters'!O$122)-'2026_Fantasy_Starters'!O61)/AVERAGE('2026_Fantasy_Starters'!O$2:'2026_Fantasy_Starters'!O$122)*100+100</f>
        <v>90.721156466603276</v>
      </c>
      <c r="AC82">
        <f>('2026_Fantasy_Starters'!P61-AVERAGE('2026_Fantasy_Starters'!P$2:'2026_Fantasy_Starters'!P$122))/AVERAGE('2026_Fantasy_Starters'!P$2:'2026_Fantasy_Starters'!P$122)*100+100</f>
        <v>104.35391623199824</v>
      </c>
      <c r="AD82">
        <f>(AVERAGE('2026_Fantasy_Starters'!Q$2:'2026_Fantasy_Starters'!Q$122)-'2026_Fantasy_Starters'!Q61)/AVERAGE('2026_Fantasy_Starters'!Q$2:'2026_Fantasy_Starters'!Q$122)*100+100</f>
        <v>92.848027475358649</v>
      </c>
      <c r="AE82">
        <f>('2026_Fantasy_Starters'!R61-AVERAGE('2026_Fantasy_Starters'!R$2:'2026_Fantasy_Starters'!R$122))/AVERAGE('2026_Fantasy_Starters'!R$2:'2026_Fantasy_Starters'!R$122)*100+100</f>
        <v>112.90388965678403</v>
      </c>
      <c r="AF82">
        <f>('2026_Fantasy_Starters'!T61-AVERAGE('2026_Fantasy_Starters'!T$2:'2026_Fantasy_Starters'!T$122))/AVERAGE('2026_Fantasy_Starters'!T$2:'2026_Fantasy_Starters'!T$122)*100+100</f>
        <v>110.18331094749648</v>
      </c>
      <c r="AG82">
        <f>(AVERAGE('2026_Fantasy_Starters'!U$2:'2026_Fantasy_Starters'!U$122)-'2026_Fantasy_Starters'!U61)/AVERAGE('2026_Fantasy_Starters'!U$2:'2026_Fantasy_Starters'!U$122)*100+100</f>
        <v>93.626040111411498</v>
      </c>
      <c r="AH82">
        <f>(AVERAGE('2026_Fantasy_Starters'!V$2:'2026_Fantasy_Starters'!V$122)-'2026_Fantasy_Starters'!V61)/AVERAGE('2026_Fantasy_Starters'!V$2:'2026_Fantasy_Starters'!V$122)*100+100</f>
        <v>96.985354860206215</v>
      </c>
    </row>
    <row r="83" spans="1:34">
      <c r="A83" t="s">
        <v>934</v>
      </c>
      <c r="B83" t="s">
        <v>933</v>
      </c>
      <c r="C83" t="s">
        <v>16</v>
      </c>
      <c r="D83">
        <v>28</v>
      </c>
      <c r="E83">
        <v>159.66999999999999</v>
      </c>
      <c r="F83" s="4">
        <f>H83*1.5+I83+J83+K83*1.5+L83+M83+N83+O83+P83+Q83</f>
        <v>-3.2560568596705788</v>
      </c>
      <c r="G83">
        <v>662</v>
      </c>
      <c r="H83">
        <f>(S83-S$123)/S$124</f>
        <v>0.49071562373080641</v>
      </c>
      <c r="I83">
        <f>(T83-T$123)/T$124</f>
        <v>-0.14866545696090153</v>
      </c>
      <c r="J83">
        <f>(U83-U$123)/U$124</f>
        <v>-0.80390294456975209</v>
      </c>
      <c r="K83">
        <f>(V83-V$123)/V$124</f>
        <v>0.33103445974508117</v>
      </c>
      <c r="L83">
        <f>(Z83-Z$123)/Z$124</f>
        <v>-1.7242081385969781</v>
      </c>
      <c r="M83">
        <f>(AB83-AB$123)/AB$124</f>
        <v>-5.0089032188804679E-2</v>
      </c>
      <c r="N83">
        <f>(AG83-AG$123)/AG$124</f>
        <v>-1.0763102082411593</v>
      </c>
      <c r="O83">
        <f>(AH83-AH$123)/AH$124</f>
        <v>0.2520568793543535</v>
      </c>
      <c r="P83">
        <f>(AE83-AE$123)/AE$124</f>
        <v>-0.81670603516308471</v>
      </c>
      <c r="Q83">
        <f>(AF83-AF$123)/AF$124</f>
        <v>-0.12085704851808309</v>
      </c>
      <c r="S83">
        <f>(E83-AVERAGE(E$2:E$122))/AVERAGE(E$2:E$122)*100+100</f>
        <v>110.62348014939843</v>
      </c>
      <c r="T83">
        <f>('2026_Fantasy_Starters'!G113-AVERAGE('2026_Fantasy_Starters'!G$2:'2026_Fantasy_Starters'!G$122))/AVERAGE('2026_Fantasy_Starters'!G$2:'2026_Fantasy_Starters'!G$122)*100+100</f>
        <v>96.317527628351456</v>
      </c>
      <c r="U83">
        <f>(AVERAGE('2026_Fantasy_Starters'!H$2:'2026_Fantasy_Starters'!H$122)-'2026_Fantasy_Starters'!H113)/AVERAGE('2026_Fantasy_Starters'!H$2:'2026_Fantasy_Starters'!H$122)*100+100</f>
        <v>81.675937212245557</v>
      </c>
      <c r="V83">
        <f>('2026_Fantasy_Starters'!I113-AVERAGE('2026_Fantasy_Starters'!I$2:'2026_Fantasy_Starters'!I$122))/AVERAGE('2026_Fantasy_Starters'!I$2:'2026_Fantasy_Starters'!I$122)*100+100</f>
        <v>111.19552623786151</v>
      </c>
      <c r="W83">
        <f>(AVERAGE('2026_Fantasy_Starters'!J$2:'2026_Fantasy_Starters'!J$122)-'2026_Fantasy_Starters'!J113)/AVERAGE('2026_Fantasy_Starters'!J$2:'2026_Fantasy_Starters'!J$122)*100+100</f>
        <v>82.907140382510534</v>
      </c>
      <c r="X83">
        <f>(AVERAGE('2026_Fantasy_Starters'!K$2:'2026_Fantasy_Starters'!K$122)-'2026_Fantasy_Starters'!K113)/AVERAGE('2026_Fantasy_Starters'!K$2:'2026_Fantasy_Starters'!K$122)*100+100</f>
        <v>75.135941322769085</v>
      </c>
      <c r="Y83">
        <f>(AVERAGE('2026_Fantasy_Starters'!L$2:'2026_Fantasy_Starters'!L$122)-'2026_Fantasy_Starters'!L113)/AVERAGE('2026_Fantasy_Starters'!L$2:'2026_Fantasy_Starters'!L$122)*100+100</f>
        <v>77.656013546326761</v>
      </c>
      <c r="Z83">
        <f>(AVERAGE('2026_Fantasy_Starters'!M$2:'2026_Fantasy_Starters'!M$122)-'2026_Fantasy_Starters'!M113)/AVERAGE('2026_Fantasy_Starters'!M$2:'2026_Fantasy_Starters'!M$122)*100+100</f>
        <v>56.15919889671752</v>
      </c>
      <c r="AA83">
        <f>(AVERAGE('2026_Fantasy_Starters'!N$2:'2026_Fantasy_Starters'!N$122)-'2026_Fantasy_Starters'!N113)/AVERAGE('2026_Fantasy_Starters'!N$2:'2026_Fantasy_Starters'!N$122)*100+100</f>
        <v>138.58611562451364</v>
      </c>
      <c r="AB83">
        <f>(AVERAGE('2026_Fantasy_Starters'!O$2:'2026_Fantasy_Starters'!O$122)-'2026_Fantasy_Starters'!O113)/AVERAGE('2026_Fantasy_Starters'!O$2:'2026_Fantasy_Starters'!O$122)*100+100</f>
        <v>98.447298877011491</v>
      </c>
      <c r="AC83">
        <f>('2026_Fantasy_Starters'!P113-AVERAGE('2026_Fantasy_Starters'!P$2:'2026_Fantasy_Starters'!P$122))/AVERAGE('2026_Fantasy_Starters'!P$2:'2026_Fantasy_Starters'!P$122)*100+100</f>
        <v>100.42239378998569</v>
      </c>
      <c r="AD83">
        <f>(AVERAGE('2026_Fantasy_Starters'!Q$2:'2026_Fantasy_Starters'!Q$122)-'2026_Fantasy_Starters'!Q113)/AVERAGE('2026_Fantasy_Starters'!Q$2:'2026_Fantasy_Starters'!Q$122)*100+100</f>
        <v>113.68868565867837</v>
      </c>
      <c r="AE83">
        <f>('2026_Fantasy_Starters'!R113-AVERAGE('2026_Fantasy_Starters'!R$2:'2026_Fantasy_Starters'!R$122))/AVERAGE('2026_Fantasy_Starters'!R$2:'2026_Fantasy_Starters'!R$122)*100+100</f>
        <v>90.726733587937559</v>
      </c>
      <c r="AF83">
        <f>('2026_Fantasy_Starters'!T113-AVERAGE('2026_Fantasy_Starters'!T$2:'2026_Fantasy_Starters'!T$122))/AVERAGE('2026_Fantasy_Starters'!T$2:'2026_Fantasy_Starters'!T$122)*100+100</f>
        <v>97.624830046864986</v>
      </c>
      <c r="AG83">
        <f>(AVERAGE('2026_Fantasy_Starters'!U$2:'2026_Fantasy_Starters'!U$122)-'2026_Fantasy_Starters'!U113)/AVERAGE('2026_Fantasy_Starters'!U$2:'2026_Fantasy_Starters'!U$122)*100+100</f>
        <v>89.89377589504879</v>
      </c>
      <c r="AH83">
        <f>(AVERAGE('2026_Fantasy_Starters'!V$2:'2026_Fantasy_Starters'!V$122)-'2026_Fantasy_Starters'!V113)/AVERAGE('2026_Fantasy_Starters'!V$2:'2026_Fantasy_Starters'!V$122)*100+100</f>
        <v>101.6329908750877</v>
      </c>
    </row>
    <row r="84" spans="1:34">
      <c r="A84" t="s">
        <v>281</v>
      </c>
      <c r="B84" t="s">
        <v>173</v>
      </c>
      <c r="C84" t="s">
        <v>16</v>
      </c>
      <c r="D84">
        <v>29</v>
      </c>
      <c r="E84">
        <v>168.33</v>
      </c>
      <c r="F84" s="4">
        <f>H84*1.5+I84+J84+K84*1.5+L84+M84+N84+O84+P84+Q84</f>
        <v>-3.2697336701744351</v>
      </c>
      <c r="G84">
        <v>722</v>
      </c>
      <c r="H84">
        <f>(S84-S$123)/S$124</f>
        <v>0.76785929044916001</v>
      </c>
      <c r="I84">
        <f>(T84-T$123)/T$124</f>
        <v>0.42569946475600123</v>
      </c>
      <c r="J84">
        <f>(U84-U$123)/U$124</f>
        <v>-1.2138743610239358</v>
      </c>
      <c r="K84">
        <f>(V84-V$123)/V$124</f>
        <v>0.75669123028387808</v>
      </c>
      <c r="L84">
        <f>(Z84-Z$123)/Z$124</f>
        <v>0.81257702181774949</v>
      </c>
      <c r="M84">
        <f>(AB84-AB$123)/AB$124</f>
        <v>-1.656814158281118</v>
      </c>
      <c r="N84">
        <f>(AG84-AG$123)/AG$124</f>
        <v>-0.10691163761665087</v>
      </c>
      <c r="O84">
        <f>(AH84-AH$123)/AH$124</f>
        <v>-1.6074352637803246</v>
      </c>
      <c r="P84">
        <f>(AE84-AE$123)/AE$124</f>
        <v>-0.71779110741161534</v>
      </c>
      <c r="Q84">
        <f>(AF84-AF$123)/AF$124</f>
        <v>-1.4920094097340986</v>
      </c>
      <c r="S84">
        <f>(E84-AVERAGE(E$2:E$122))/AVERAGE(E$2:E$122)*100+100</f>
        <v>116.62335074558928</v>
      </c>
      <c r="T84">
        <f>('2026_Fantasy_Starters'!G109-AVERAGE('2026_Fantasy_Starters'!G$2:'2026_Fantasy_Starters'!G$122))/AVERAGE('2026_Fantasy_Starters'!G$2:'2026_Fantasy_Starters'!G$122)*100+100</f>
        <v>110.54465879052081</v>
      </c>
      <c r="U84">
        <f>(AVERAGE('2026_Fantasy_Starters'!H$2:'2026_Fantasy_Starters'!H$122)-'2026_Fantasy_Starters'!H109)/AVERAGE('2026_Fantasy_Starters'!H$2:'2026_Fantasy_Starters'!H$122)*100+100</f>
        <v>72.331100217884625</v>
      </c>
      <c r="V84">
        <f>('2026_Fantasy_Starters'!I109-AVERAGE('2026_Fantasy_Starters'!I$2:'2026_Fantasy_Starters'!I$122))/AVERAGE('2026_Fantasy_Starters'!I$2:'2026_Fantasy_Starters'!I$122)*100+100</f>
        <v>125.59116210779545</v>
      </c>
      <c r="W84">
        <f>(AVERAGE('2026_Fantasy_Starters'!J$2:'2026_Fantasy_Starters'!J$122)-'2026_Fantasy_Starters'!J109)/AVERAGE('2026_Fantasy_Starters'!J$2:'2026_Fantasy_Starters'!J$122)*100+100</f>
        <v>79.713567826354478</v>
      </c>
      <c r="X84">
        <f>(AVERAGE('2026_Fantasy_Starters'!K$2:'2026_Fantasy_Starters'!K$122)-'2026_Fantasy_Starters'!K109)/AVERAGE('2026_Fantasy_Starters'!K$2:'2026_Fantasy_Starters'!K$122)*100+100</f>
        <v>85.182305156661855</v>
      </c>
      <c r="Y84">
        <f>(AVERAGE('2026_Fantasy_Starters'!L$2:'2026_Fantasy_Starters'!L$122)-'2026_Fantasy_Starters'!L109)/AVERAGE('2026_Fantasy_Starters'!L$2:'2026_Fantasy_Starters'!L$122)*100+100</f>
        <v>81.683051565638678</v>
      </c>
      <c r="Z84">
        <f>(AVERAGE('2026_Fantasy_Starters'!M$2:'2026_Fantasy_Starters'!M$122)-'2026_Fantasy_Starters'!M109)/AVERAGE('2026_Fantasy_Starters'!M$2:'2026_Fantasy_Starters'!M$122)*100+100</f>
        <v>120.66109467711797</v>
      </c>
      <c r="AA84">
        <f>(AVERAGE('2026_Fantasy_Starters'!N$2:'2026_Fantasy_Starters'!N$122)-'2026_Fantasy_Starters'!N109)/AVERAGE('2026_Fantasy_Starters'!N$2:'2026_Fantasy_Starters'!N$122)*100+100</f>
        <v>80.166082486352892</v>
      </c>
      <c r="AB84">
        <f>(AVERAGE('2026_Fantasy_Starters'!O$2:'2026_Fantasy_Starters'!O$122)-'2026_Fantasy_Starters'!O109)/AVERAGE('2026_Fantasy_Starters'!O$2:'2026_Fantasy_Starters'!O$122)*100+100</f>
        <v>48.640708519792653</v>
      </c>
      <c r="AC84">
        <f>('2026_Fantasy_Starters'!P109-AVERAGE('2026_Fantasy_Starters'!P$2:'2026_Fantasy_Starters'!P$122))/AVERAGE('2026_Fantasy_Starters'!P$2:'2026_Fantasy_Starters'!P$122)*100+100</f>
        <v>107.17956573420621</v>
      </c>
      <c r="AD84">
        <f>(AVERAGE('2026_Fantasy_Starters'!Q$2:'2026_Fantasy_Starters'!Q$122)-'2026_Fantasy_Starters'!Q109)/AVERAGE('2026_Fantasy_Starters'!Q$2:'2026_Fantasy_Starters'!Q$122)*100+100</f>
        <v>45.385302550768934</v>
      </c>
      <c r="AE84">
        <f>('2026_Fantasy_Starters'!R109-AVERAGE('2026_Fantasy_Starters'!R$2:'2026_Fantasy_Starters'!R$122))/AVERAGE('2026_Fantasy_Starters'!R$2:'2026_Fantasy_Starters'!R$122)*100+100</f>
        <v>91.849860438574964</v>
      </c>
      <c r="AF84">
        <f>('2026_Fantasy_Starters'!T109-AVERAGE('2026_Fantasy_Starters'!T$2:'2026_Fantasy_Starters'!T$122))/AVERAGE('2026_Fantasy_Starters'!T$2:'2026_Fantasy_Starters'!T$122)*100+100</f>
        <v>70.677954134674835</v>
      </c>
      <c r="AG84">
        <f>(AVERAGE('2026_Fantasy_Starters'!U$2:'2026_Fantasy_Starters'!U$122)-'2026_Fantasy_Starters'!U109)/AVERAGE('2026_Fantasy_Starters'!U$2:'2026_Fantasy_Starters'!U$122)*100+100</f>
        <v>98.996132378093108</v>
      </c>
      <c r="AH84">
        <f>(AVERAGE('2026_Fantasy_Starters'!V$2:'2026_Fantasy_Starters'!V$122)-'2026_Fantasy_Starters'!V109)/AVERAGE('2026_Fantasy_Starters'!V$2:'2026_Fantasy_Starters'!V$122)*100+100</f>
        <v>89.585973115388299</v>
      </c>
    </row>
    <row r="85" spans="1:34">
      <c r="A85" t="s">
        <v>250</v>
      </c>
      <c r="B85" t="s">
        <v>63</v>
      </c>
      <c r="C85" t="s">
        <v>16</v>
      </c>
      <c r="D85">
        <v>29</v>
      </c>
      <c r="E85">
        <v>120</v>
      </c>
      <c r="F85" s="4">
        <f>H85*1.5+I85+J85+K85*1.5+L85+M85+N85+O85+P85+Q85</f>
        <v>-3.3700072668333614</v>
      </c>
      <c r="G85">
        <v>509</v>
      </c>
      <c r="H85">
        <f>(S85-S$123)/S$124</f>
        <v>-0.77883278951596735</v>
      </c>
      <c r="I85">
        <f>(T85-T$123)/T$124</f>
        <v>-0.5105335132104345</v>
      </c>
      <c r="J85">
        <f>(U85-U$123)/U$124</f>
        <v>0.84291181560960704</v>
      </c>
      <c r="K85">
        <f>(V85-V$123)/V$124</f>
        <v>-1.2822188420179048</v>
      </c>
      <c r="L85">
        <f>(Z85-Z$123)/Z$124</f>
        <v>0.84541131030808347</v>
      </c>
      <c r="M85">
        <f>(AB85-AB$123)/AB$124</f>
        <v>0.51316712716925994</v>
      </c>
      <c r="N85">
        <f>(AG85-AG$123)/AG$124</f>
        <v>0.12980764515107868</v>
      </c>
      <c r="O85">
        <f>(AH85-AH$123)/AH$124</f>
        <v>-1.110880420234267</v>
      </c>
      <c r="P85">
        <f>(AE85-AE$123)/AE$124</f>
        <v>1.6385252574021556E-3</v>
      </c>
      <c r="Q85">
        <f>(AF85-AF$123)/AF$124</f>
        <v>-0.98995230958328317</v>
      </c>
      <c r="S85">
        <f>(E85-AVERAGE(E$2:E$122))/AVERAGE(E$2:E$122)*100+100</f>
        <v>83.139084473775995</v>
      </c>
      <c r="T85">
        <f>('2026_Fantasy_Starters'!G96-AVERAGE('2026_Fantasy_Starters'!G$2:'2026_Fantasy_Starters'!G$122))/AVERAGE('2026_Fantasy_Starters'!G$2:'2026_Fantasy_Starters'!G$122)*100+100</f>
        <v>87.35398527922635</v>
      </c>
      <c r="U85">
        <f>(AVERAGE('2026_Fantasy_Starters'!H$2:'2026_Fantasy_Starters'!H$122)-'2026_Fantasy_Starters'!H96)/AVERAGE('2026_Fantasy_Starters'!H$2:'2026_Fantasy_Starters'!H$122)*100+100</f>
        <v>119.21322609663665</v>
      </c>
      <c r="V85">
        <f>('2026_Fantasy_Starters'!I96-AVERAGE('2026_Fantasy_Starters'!I$2:'2026_Fantasy_Starters'!I$122))/AVERAGE('2026_Fantasy_Starters'!I$2:'2026_Fantasy_Starters'!I$122)*100+100</f>
        <v>56.635588030484065</v>
      </c>
      <c r="W85">
        <f>(AVERAGE('2026_Fantasy_Starters'!J$2:'2026_Fantasy_Starters'!J$122)-'2026_Fantasy_Starters'!J96)/AVERAGE('2026_Fantasy_Starters'!J$2:'2026_Fantasy_Starters'!J$122)*100+100</f>
        <v>119.60201012564008</v>
      </c>
      <c r="X85">
        <f>(AVERAGE('2026_Fantasy_Starters'!K$2:'2026_Fantasy_Starters'!K$122)-'2026_Fantasy_Starters'!K96)/AVERAGE('2026_Fantasy_Starters'!K$2:'2026_Fantasy_Starters'!K$122)*100+100</f>
        <v>115.3297228861655</v>
      </c>
      <c r="Y85">
        <f>(AVERAGE('2026_Fantasy_Starters'!L$2:'2026_Fantasy_Starters'!L$122)-'2026_Fantasy_Starters'!L96)/AVERAGE('2026_Fantasy_Starters'!L$2:'2026_Fantasy_Starters'!L$122)*100+100</f>
        <v>117.50972749023036</v>
      </c>
      <c r="Z85">
        <f>(AVERAGE('2026_Fantasy_Starters'!M$2:'2026_Fantasy_Starters'!M$122)-'2026_Fantasy_Starters'!M96)/AVERAGE('2026_Fantasy_Starters'!M$2:'2026_Fantasy_Starters'!M$122)*100+100</f>
        <v>121.49595995750336</v>
      </c>
      <c r="AA85">
        <f>(AVERAGE('2026_Fantasy_Starters'!N$2:'2026_Fantasy_Starters'!N$122)-'2026_Fantasy_Starters'!N96)/AVERAGE('2026_Fantasy_Starters'!N$2:'2026_Fantasy_Starters'!N$122)*100+100</f>
        <v>79.494106740440401</v>
      </c>
      <c r="AB85">
        <f>(AVERAGE('2026_Fantasy_Starters'!O$2:'2026_Fantasy_Starters'!O$122)-'2026_Fantasy_Starters'!O96)/AVERAGE('2026_Fantasy_Starters'!O$2:'2026_Fantasy_Starters'!O$122)*100+100</f>
        <v>115.90757776339251</v>
      </c>
      <c r="AC85">
        <f>('2026_Fantasy_Starters'!P96-AVERAGE('2026_Fantasy_Starters'!P$2:'2026_Fantasy_Starters'!P$122))/AVERAGE('2026_Fantasy_Starters'!P$2:'2026_Fantasy_Starters'!P$122)*100+100</f>
        <v>83.202046014357194</v>
      </c>
      <c r="AD85">
        <f>(AVERAGE('2026_Fantasy_Starters'!Q$2:'2026_Fantasy_Starters'!Q$122)-'2026_Fantasy_Starters'!Q96)/AVERAGE('2026_Fantasy_Starters'!Q$2:'2026_Fantasy_Starters'!Q$122)*100+100</f>
        <v>84.793401060872299</v>
      </c>
      <c r="AE85">
        <f>('2026_Fantasy_Starters'!R96-AVERAGE('2026_Fantasy_Starters'!R$2:'2026_Fantasy_Starters'!R$122))/AVERAGE('2026_Fantasy_Starters'!R$2:'2026_Fantasy_Starters'!R$122)*100+100</f>
        <v>100.01860459036732</v>
      </c>
      <c r="AF85">
        <f>('2026_Fantasy_Starters'!T96-AVERAGE('2026_Fantasy_Starters'!T$2:'2026_Fantasy_Starters'!T$122))/AVERAGE('2026_Fantasy_Starters'!T$2:'2026_Fantasy_Starters'!T$122)*100+100</f>
        <v>80.544742655973721</v>
      </c>
      <c r="AG85">
        <f>(AVERAGE('2026_Fantasy_Starters'!U$2:'2026_Fantasy_Starters'!U$122)-'2026_Fantasy_Starters'!U96)/AVERAGE('2026_Fantasy_Starters'!U$2:'2026_Fantasy_Starters'!U$122)*100+100</f>
        <v>101.21885413925099</v>
      </c>
      <c r="AH85">
        <f>(AVERAGE('2026_Fantasy_Starters'!V$2:'2026_Fantasy_Starters'!V$122)-'2026_Fantasy_Starters'!V96)/AVERAGE('2026_Fantasy_Starters'!V$2:'2026_Fantasy_Starters'!V$122)*100+100</f>
        <v>92.802983222664054</v>
      </c>
    </row>
    <row r="86" spans="1:34">
      <c r="A86" t="s">
        <v>951</v>
      </c>
      <c r="B86" t="s">
        <v>204</v>
      </c>
      <c r="C86" t="s">
        <v>16</v>
      </c>
      <c r="D86">
        <v>23</v>
      </c>
      <c r="E86">
        <v>128</v>
      </c>
      <c r="F86" s="4">
        <f>H86*1.5+I86+J86+K86*1.5+L86+M86+N86+O86+P86+Q86</f>
        <v>-3.3986967094752334</v>
      </c>
      <c r="G86">
        <v>545</v>
      </c>
      <c r="H86">
        <f>(S86-S$123)/S$124</f>
        <v>-0.5228109264967038</v>
      </c>
      <c r="I86">
        <f>(T86-T$123)/T$124</f>
        <v>-0.78792116342278717</v>
      </c>
      <c r="J86">
        <f>(U86-U$123)/U$124</f>
        <v>0.15077227872263374</v>
      </c>
      <c r="K86">
        <f>(V86-V$123)/V$124</f>
        <v>-0.34480761640109719</v>
      </c>
      <c r="L86">
        <f>(Z86-Z$123)/Z$124</f>
        <v>-4.8808738262557945E-2</v>
      </c>
      <c r="M86">
        <f>(AB86-AB$123)/AB$124</f>
        <v>-0.75680986966918418</v>
      </c>
      <c r="N86">
        <f>(AG86-AG$123)/AG$124</f>
        <v>-0.59412178618530775</v>
      </c>
      <c r="O86">
        <f>(AH86-AH$123)/AH$124</f>
        <v>-0.73386532939932891</v>
      </c>
      <c r="P86">
        <f>(AE86-AE$123)/AE$124</f>
        <v>0.71612641687114365</v>
      </c>
      <c r="Q86">
        <f>(AF86-AF$123)/AF$124</f>
        <v>-4.264070378314342E-2</v>
      </c>
      <c r="S86">
        <f>(E86-AVERAGE(E$2:E$122))/AVERAGE(E$2:E$122)*100+100</f>
        <v>88.681690105361056</v>
      </c>
      <c r="T86">
        <f>('2026_Fantasy_Starters'!G115-AVERAGE('2026_Fantasy_Starters'!G$2:'2026_Fantasy_Starters'!G$122))/AVERAGE('2026_Fantasy_Starters'!G$2:'2026_Fantasy_Starters'!G$122)*100+100</f>
        <v>80.483039068687674</v>
      </c>
      <c r="U86">
        <f>(AVERAGE('2026_Fantasy_Starters'!H$2:'2026_Fantasy_Starters'!H$122)-'2026_Fantasy_Starters'!H115)/AVERAGE('2026_Fantasy_Starters'!H$2:'2026_Fantasy_Starters'!H$122)*100+100</f>
        <v>103.4366843916028</v>
      </c>
      <c r="V86">
        <f>('2026_Fantasy_Starters'!I115-AVERAGE('2026_Fantasy_Starters'!I$2:'2026_Fantasy_Starters'!I$122))/AVERAGE('2026_Fantasy_Starters'!I$2:'2026_Fantasy_Starters'!I$122)*100+100</f>
        <v>88.338668066745512</v>
      </c>
      <c r="W86">
        <f>(AVERAGE('2026_Fantasy_Starters'!J$2:'2026_Fantasy_Starters'!J$122)-'2026_Fantasy_Starters'!J115)/AVERAGE('2026_Fantasy_Starters'!J$2:'2026_Fantasy_Starters'!J$122)*100+100</f>
        <v>112.43759978193553</v>
      </c>
      <c r="X86">
        <f>(AVERAGE('2026_Fantasy_Starters'!K$2:'2026_Fantasy_Starters'!K$122)-'2026_Fantasy_Starters'!K115)/AVERAGE('2026_Fantasy_Starters'!K$2:'2026_Fantasy_Starters'!K$122)*100+100</f>
        <v>102.09397767880063</v>
      </c>
      <c r="Y86">
        <f>(AVERAGE('2026_Fantasy_Starters'!L$2:'2026_Fantasy_Starters'!L$122)-'2026_Fantasy_Starters'!L115)/AVERAGE('2026_Fantasy_Starters'!L$2:'2026_Fantasy_Starters'!L$122)*100+100</f>
        <v>105.95550212151194</v>
      </c>
      <c r="Z86">
        <f>(AVERAGE('2026_Fantasy_Starters'!M$2:'2026_Fantasy_Starters'!M$122)-'2026_Fantasy_Starters'!M115)/AVERAGE('2026_Fantasy_Starters'!M$2:'2026_Fantasy_Starters'!M$122)*100+100</f>
        <v>98.758958307659867</v>
      </c>
      <c r="AA86">
        <f>(AVERAGE('2026_Fantasy_Starters'!N$2:'2026_Fantasy_Starters'!N$122)-'2026_Fantasy_Starters'!N115)/AVERAGE('2026_Fantasy_Starters'!N$2:'2026_Fantasy_Starters'!N$122)*100+100</f>
        <v>138.58612778446289</v>
      </c>
      <c r="AB86">
        <f>(AVERAGE('2026_Fantasy_Starters'!O$2:'2026_Fantasy_Starters'!O$122)-'2026_Fantasy_Starters'!O115)/AVERAGE('2026_Fantasy_Starters'!O$2:'2026_Fantasy_Starters'!O$122)*100+100</f>
        <v>76.539783597840128</v>
      </c>
      <c r="AC86">
        <f>('2026_Fantasy_Starters'!P115-AVERAGE('2026_Fantasy_Starters'!P$2:'2026_Fantasy_Starters'!P$122))/AVERAGE('2026_Fantasy_Starters'!P$2:'2026_Fantasy_Starters'!P$122)*100+100</f>
        <v>95.947378498143294</v>
      </c>
      <c r="AD86">
        <f>(AVERAGE('2026_Fantasy_Starters'!Q$2:'2026_Fantasy_Starters'!Q$122)-'2026_Fantasy_Starters'!Q115)/AVERAGE('2026_Fantasy_Starters'!Q$2:'2026_Fantasy_Starters'!Q$122)*100+100</f>
        <v>90.705952293369435</v>
      </c>
      <c r="AE86">
        <f>('2026_Fantasy_Starters'!R115-AVERAGE('2026_Fantasy_Starters'!R$2:'2026_Fantasy_Starters'!R$122))/AVERAGE('2026_Fantasy_Starters'!R$2:'2026_Fantasy_Starters'!R$122)*100+100</f>
        <v>108.13123787806418</v>
      </c>
      <c r="AF86">
        <f>('2026_Fantasy_Starters'!T115-AVERAGE('2026_Fantasy_Starters'!T$2:'2026_Fantasy_Starters'!T$122))/AVERAGE('2026_Fantasy_Starters'!T$2:'2026_Fantasy_Starters'!T$122)*100+100</f>
        <v>99.161994110826697</v>
      </c>
      <c r="AG86">
        <f>(AVERAGE('2026_Fantasy_Starters'!U$2:'2026_Fantasy_Starters'!U$122)-'2026_Fantasy_Starters'!U115)/AVERAGE('2026_Fantasy_Starters'!U$2:'2026_Fantasy_Starters'!U$122)*100+100</f>
        <v>94.421377897516635</v>
      </c>
      <c r="AH86">
        <f>(AVERAGE('2026_Fantasy_Starters'!V$2:'2026_Fantasy_Starters'!V$122)-'2026_Fantasy_Starters'!V115)/AVERAGE('2026_Fantasy_Starters'!V$2:'2026_Fantasy_Starters'!V$122)*100+100</f>
        <v>95.245535890462136</v>
      </c>
    </row>
    <row r="87" spans="1:34">
      <c r="A87" t="s">
        <v>163</v>
      </c>
      <c r="B87" t="s">
        <v>161</v>
      </c>
      <c r="C87" t="s">
        <v>16</v>
      </c>
      <c r="D87">
        <v>23</v>
      </c>
      <c r="E87">
        <v>126.67</v>
      </c>
      <c r="F87" s="4">
        <f>H87*1.5+I87+J87+K87*1.5+L87+M87+N87+O87+P87+Q87</f>
        <v>-3.4371132241429962</v>
      </c>
      <c r="G87">
        <v>530</v>
      </c>
      <c r="H87">
        <f>(S87-S$123)/S$124</f>
        <v>-0.56537456122365637</v>
      </c>
      <c r="I87">
        <f>(T87-T$123)/T$124</f>
        <v>-0.53593101639299123</v>
      </c>
      <c r="J87">
        <f>(U87-U$123)/U$124</f>
        <v>0.15823067890460268</v>
      </c>
      <c r="K87">
        <f>(V87-V$123)/V$124</f>
        <v>-0.34663421660689936</v>
      </c>
      <c r="L87">
        <f>(Z87-Z$123)/Z$124</f>
        <v>0.41702583828129464</v>
      </c>
      <c r="M87">
        <f>(AB87-AB$123)/AB$124</f>
        <v>0.36656342781385431</v>
      </c>
      <c r="N87">
        <f>(AG87-AG$123)/AG$124</f>
        <v>-0.52759515621190356</v>
      </c>
      <c r="O87">
        <f>(AH87-AH$123)/AH$124</f>
        <v>-0.11390708695679311</v>
      </c>
      <c r="P87">
        <f>(AE87-AE$123)/AE$124</f>
        <v>-1.0162079819227527</v>
      </c>
      <c r="Q87">
        <f>(AF87-AF$123)/AF$124</f>
        <v>-0.81727876091247387</v>
      </c>
      <c r="S87">
        <f>(E87-AVERAGE(E$2:E$122))/AVERAGE(E$2:E$122)*100+100</f>
        <v>87.760231919110041</v>
      </c>
      <c r="T87">
        <f>('2026_Fantasy_Starters'!G57-AVERAGE('2026_Fantasy_Starters'!G$2:'2026_Fantasy_Starters'!G$122))/AVERAGE('2026_Fantasy_Starters'!G$2:'2026_Fantasy_Starters'!G$122)*100+100</f>
        <v>86.724884170666755</v>
      </c>
      <c r="U87">
        <f>(AVERAGE('2026_Fantasy_Starters'!H$2:'2026_Fantasy_Starters'!H$122)-'2026_Fantasy_Starters'!H57)/AVERAGE('2026_Fantasy_Starters'!H$2:'2026_Fantasy_Starters'!H$122)*100+100</f>
        <v>103.60669022894146</v>
      </c>
      <c r="V87">
        <f>('2026_Fantasy_Starters'!I57-AVERAGE('2026_Fantasy_Starters'!I$2:'2026_Fantasy_Starters'!I$122))/AVERAGE('2026_Fantasy_Starters'!I$2:'2026_Fantasy_Starters'!I$122)*100+100</f>
        <v>88.276892774391087</v>
      </c>
      <c r="W87">
        <f>(AVERAGE('2026_Fantasy_Starters'!J$2:'2026_Fantasy_Starters'!J$122)-'2026_Fantasy_Starters'!J57)/AVERAGE('2026_Fantasy_Starters'!J$2:'2026_Fantasy_Starters'!J$122)*100+100</f>
        <v>110.37207446383852</v>
      </c>
      <c r="X87">
        <f>(AVERAGE('2026_Fantasy_Starters'!K$2:'2026_Fantasy_Starters'!K$122)-'2026_Fantasy_Starters'!K57)/AVERAGE('2026_Fantasy_Starters'!K$2:'2026_Fantasy_Starters'!K$122)*100+100</f>
        <v>106.85156766912321</v>
      </c>
      <c r="Y87">
        <f>(AVERAGE('2026_Fantasy_Starters'!L$2:'2026_Fantasy_Starters'!L$122)-'2026_Fantasy_Starters'!L57)/AVERAGE('2026_Fantasy_Starters'!L$2:'2026_Fantasy_Starters'!L$122)*100+100</f>
        <v>107.48332378476209</v>
      </c>
      <c r="Z87">
        <f>(AVERAGE('2026_Fantasy_Starters'!M$2:'2026_Fantasy_Starters'!M$122)-'2026_Fantasy_Starters'!M57)/AVERAGE('2026_Fantasy_Starters'!M$2:'2026_Fantasy_Starters'!M$122)*100+100</f>
        <v>110.60356138087647</v>
      </c>
      <c r="AA87">
        <f>(AVERAGE('2026_Fantasy_Starters'!N$2:'2026_Fantasy_Starters'!N$122)-'2026_Fantasy_Starters'!N57)/AVERAGE('2026_Fantasy_Starters'!N$2:'2026_Fantasy_Starters'!N$122)*100+100</f>
        <v>138.58612962687945</v>
      </c>
      <c r="AB87">
        <f>(AVERAGE('2026_Fantasy_Starters'!O$2:'2026_Fantasy_Starters'!O$122)-'2026_Fantasy_Starters'!O57)/AVERAGE('2026_Fantasy_Starters'!O$2:'2026_Fantasy_Starters'!O$122)*100+100</f>
        <v>111.36303540199545</v>
      </c>
      <c r="AC87">
        <f>('2026_Fantasy_Starters'!P57-AVERAGE('2026_Fantasy_Starters'!P$2:'2026_Fantasy_Starters'!P$122))/AVERAGE('2026_Fantasy_Starters'!P$2:'2026_Fantasy_Starters'!P$122)*100+100</f>
        <v>77.678353233976594</v>
      </c>
      <c r="AD87">
        <f>(AVERAGE('2026_Fantasy_Starters'!Q$2:'2026_Fantasy_Starters'!Q$122)-'2026_Fantasy_Starters'!Q57)/AVERAGE('2026_Fantasy_Starters'!Q$2:'2026_Fantasy_Starters'!Q$122)*100+100</f>
        <v>114.07292482093844</v>
      </c>
      <c r="AE87">
        <f>('2026_Fantasy_Starters'!R57-AVERAGE('2026_Fantasy_Starters'!R$2:'2026_Fantasy_Starters'!R$122))/AVERAGE('2026_Fantasy_Starters'!R$2:'2026_Fantasy_Starters'!R$122)*100+100</f>
        <v>88.461494172071042</v>
      </c>
      <c r="AF87">
        <f>('2026_Fantasy_Starters'!T57-AVERAGE('2026_Fantasy_Starters'!T$2:'2026_Fantasy_Starters'!T$122))/AVERAGE('2026_Fantasy_Starters'!T$2:'2026_Fantasy_Starters'!T$122)*100+100</f>
        <v>83.938247871705741</v>
      </c>
      <c r="AG87">
        <f>(AVERAGE('2026_Fantasy_Starters'!U$2:'2026_Fantasy_Starters'!U$122)-'2026_Fantasy_Starters'!U57)/AVERAGE('2026_Fantasy_Starters'!U$2:'2026_Fantasy_Starters'!U$122)*100+100</f>
        <v>95.046042632934387</v>
      </c>
      <c r="AH87">
        <f>(AVERAGE('2026_Fantasy_Starters'!V$2:'2026_Fantasy_Starters'!V$122)-'2026_Fantasy_Starters'!V57)/AVERAGE('2026_Fantasy_Starters'!V$2:'2026_Fantasy_Starters'!V$122)*100+100</f>
        <v>99.262034688024585</v>
      </c>
    </row>
    <row r="88" spans="1:34">
      <c r="A88" t="s">
        <v>183</v>
      </c>
      <c r="B88" t="s">
        <v>104</v>
      </c>
      <c r="C88" t="s">
        <v>118</v>
      </c>
      <c r="D88">
        <v>28</v>
      </c>
      <c r="E88">
        <v>166.33</v>
      </c>
      <c r="F88" s="4">
        <f>H88*1.5+I88+J88+K88*1.5+L88+M88+N88+O88+P88+Q88</f>
        <v>-3.4987694292391947</v>
      </c>
      <c r="G88">
        <v>707</v>
      </c>
      <c r="H88">
        <f>(S88-S$123)/S$124</f>
        <v>0.70385382469434421</v>
      </c>
      <c r="I88">
        <f>(T88-T$123)/T$124</f>
        <v>0.37410599587971149</v>
      </c>
      <c r="J88">
        <f>(U88-U$123)/U$124</f>
        <v>-0.91500738865980213</v>
      </c>
      <c r="K88">
        <f>(V88-V$123)/V$124</f>
        <v>0.61220491901037033</v>
      </c>
      <c r="L88">
        <f>(Z88-Z$123)/Z$124</f>
        <v>-0.31366912926032381</v>
      </c>
      <c r="M88">
        <f>(AB88-AB$123)/AB$124</f>
        <v>-0.59374895048115206</v>
      </c>
      <c r="N88">
        <f>(AG88-AG$123)/AG$124</f>
        <v>-0.67149062852143748</v>
      </c>
      <c r="O88">
        <f>(AH88-AH$123)/AH$124</f>
        <v>-0.75370546546049499</v>
      </c>
      <c r="P88">
        <f>(AE88-AE$123)/AE$124</f>
        <v>-1.3942031474584922</v>
      </c>
      <c r="Q88">
        <f>(AF88-AF$123)/AF$124</f>
        <v>-1.2051388308342752</v>
      </c>
      <c r="S88">
        <f>(E88-AVERAGE(E$2:E$122))/AVERAGE(E$2:E$122)*100+100</f>
        <v>115.23769933769302</v>
      </c>
      <c r="T88">
        <f>('2026_Fantasy_Starters'!G66-AVERAGE('2026_Fantasy_Starters'!G$2:'2026_Fantasy_Starters'!G$122))/AVERAGE('2026_Fantasy_Starters'!G$2:'2026_Fantasy_Starters'!G$122)*100+100</f>
        <v>109.26667850122998</v>
      </c>
      <c r="U88">
        <f>(AVERAGE('2026_Fantasy_Starters'!H$2:'2026_Fantasy_Starters'!H$122)-'2026_Fantasy_Starters'!H66)/AVERAGE('2026_Fantasy_Starters'!H$2:'2026_Fantasy_Starters'!H$122)*100+100</f>
        <v>79.143436462924086</v>
      </c>
      <c r="V88">
        <f>('2026_Fantasy_Starters'!I66-AVERAGE('2026_Fantasy_Starters'!I$2:'2026_Fantasy_Starters'!I$122))/AVERAGE('2026_Fantasy_Starters'!I$2:'2026_Fantasy_Starters'!I$122)*100+100</f>
        <v>120.70466089544421</v>
      </c>
      <c r="W88">
        <f>(AVERAGE('2026_Fantasy_Starters'!J$2:'2026_Fantasy_Starters'!J$122)-'2026_Fantasy_Starters'!J66)/AVERAGE('2026_Fantasy_Starters'!J$2:'2026_Fantasy_Starters'!J$122)*100+100</f>
        <v>75.916757667306712</v>
      </c>
      <c r="X88">
        <f>(AVERAGE('2026_Fantasy_Starters'!K$2:'2026_Fantasy_Starters'!K$122)-'2026_Fantasy_Starters'!K66)/AVERAGE('2026_Fantasy_Starters'!K$2:'2026_Fantasy_Starters'!K$122)*100+100</f>
        <v>78.416800181178033</v>
      </c>
      <c r="Y88">
        <f>(AVERAGE('2026_Fantasy_Starters'!L$2:'2026_Fantasy_Starters'!L$122)-'2026_Fantasy_Starters'!L66)/AVERAGE('2026_Fantasy_Starters'!L$2:'2026_Fantasy_Starters'!L$122)*100+100</f>
        <v>76.952700320827077</v>
      </c>
      <c r="Z88">
        <f>(AVERAGE('2026_Fantasy_Starters'!M$2:'2026_Fantasy_Starters'!M$122)-'2026_Fantasy_Starters'!M66)/AVERAGE('2026_Fantasy_Starters'!M$2:'2026_Fantasy_Starters'!M$122)*100+100</f>
        <v>92.024451340699756</v>
      </c>
      <c r="AA88">
        <f>(AVERAGE('2026_Fantasy_Starters'!N$2:'2026_Fantasy_Starters'!N$122)-'2026_Fantasy_Starters'!N66)/AVERAGE('2026_Fantasy_Starters'!N$2:'2026_Fantasy_Starters'!N$122)*100+100</f>
        <v>79.990176537641858</v>
      </c>
      <c r="AB88">
        <f>(AVERAGE('2026_Fantasy_Starters'!O$2:'2026_Fantasy_Starters'!O$122)-'2026_Fantasy_Starters'!O66)/AVERAGE('2026_Fantasy_Starters'!O$2:'2026_Fantasy_Starters'!O$122)*100+100</f>
        <v>81.59448043016144</v>
      </c>
      <c r="AC88">
        <f>('2026_Fantasy_Starters'!P66-AVERAGE('2026_Fantasy_Starters'!P$2:'2026_Fantasy_Starters'!P$122))/AVERAGE('2026_Fantasy_Starters'!P$2:'2026_Fantasy_Starters'!P$122)*100+100</f>
        <v>97.050461491714131</v>
      </c>
      <c r="AD88">
        <f>(AVERAGE('2026_Fantasy_Starters'!Q$2:'2026_Fantasy_Starters'!Q$122)-'2026_Fantasy_Starters'!Q66)/AVERAGE('2026_Fantasy_Starters'!Q$2:'2026_Fantasy_Starters'!Q$122)*100+100</f>
        <v>86.979169102204423</v>
      </c>
      <c r="AE88">
        <f>('2026_Fantasy_Starters'!R66-AVERAGE('2026_Fantasy_Starters'!R$2:'2026_Fantasy_Starters'!R$122))/AVERAGE('2026_Fantasy_Starters'!R$2:'2026_Fantasy_Starters'!R$122)*100+100</f>
        <v>84.169558369509502</v>
      </c>
      <c r="AF88">
        <f>('2026_Fantasy_Starters'!T66-AVERAGE('2026_Fantasy_Starters'!T$2:'2026_Fantasy_Starters'!T$122))/AVERAGE('2026_Fantasy_Starters'!T$2:'2026_Fantasy_Starters'!T$122)*100+100</f>
        <v>76.31574181686652</v>
      </c>
      <c r="AG88">
        <f>(AVERAGE('2026_Fantasy_Starters'!U$2:'2026_Fantasy_Starters'!U$122)-'2026_Fantasy_Starters'!U66)/AVERAGE('2026_Fantasy_Starters'!U$2:'2026_Fantasy_Starters'!U$122)*100+100</f>
        <v>93.694908099680831</v>
      </c>
      <c r="AH88">
        <f>(AVERAGE('2026_Fantasy_Starters'!V$2:'2026_Fantasy_Starters'!V$122)-'2026_Fantasy_Starters'!V66)/AVERAGE('2026_Fantasy_Starters'!V$2:'2026_Fantasy_Starters'!V$122)*100+100</f>
        <v>95.116998390389242</v>
      </c>
    </row>
    <row r="89" spans="1:34">
      <c r="A89" t="s">
        <v>255</v>
      </c>
      <c r="B89" t="s">
        <v>145</v>
      </c>
      <c r="C89" t="s">
        <v>16</v>
      </c>
      <c r="D89">
        <v>22</v>
      </c>
      <c r="E89">
        <v>117.33</v>
      </c>
      <c r="F89" s="4">
        <f>H89*1.5+I89+J89+K89*1.5+L89+M89+N89+O89+P89+Q89</f>
        <v>-3.5540946740166222</v>
      </c>
      <c r="G89">
        <v>496</v>
      </c>
      <c r="H89">
        <f>(S89-S$123)/S$124</f>
        <v>-0.86428008629864694</v>
      </c>
      <c r="I89">
        <f>(T89-T$123)/T$124</f>
        <v>-1.0169762804529419</v>
      </c>
      <c r="J89">
        <f>(U89-U$123)/U$124</f>
        <v>0.33236810924020349</v>
      </c>
      <c r="K89">
        <f>(V89-V$123)/V$124</f>
        <v>-0.4370906354941495</v>
      </c>
      <c r="L89">
        <f>(Z89-Z$123)/Z$124</f>
        <v>0.67441759032458792</v>
      </c>
      <c r="M89">
        <f>(AB89-AB$123)/AB$124</f>
        <v>0.22052705363200659</v>
      </c>
      <c r="N89">
        <f>(AG89-AG$123)/AG$124</f>
        <v>-0.1680134429275166</v>
      </c>
      <c r="O89">
        <f>(AH89-AH$123)/AH$124</f>
        <v>-0.57096413386906619</v>
      </c>
      <c r="P89">
        <f>(AE89-AE$123)/AE$124</f>
        <v>-0.55513981254374922</v>
      </c>
      <c r="Q89">
        <f>(AF89-AF$123)/AF$124</f>
        <v>-0.51825767473095152</v>
      </c>
      <c r="S89">
        <f>(E89-AVERAGE(E$2:E$122))/AVERAGE(E$2:E$122)*100+100</f>
        <v>81.289239844234473</v>
      </c>
      <c r="T89">
        <f>('2026_Fantasy_Starters'!G98-AVERAGE('2026_Fantasy_Starters'!G$2:'2026_Fantasy_Starters'!G$122))/AVERAGE('2026_Fantasy_Starters'!G$2:'2026_Fantasy_Starters'!G$122)*100+100</f>
        <v>74.809299134130384</v>
      </c>
      <c r="U89">
        <f>(AVERAGE('2026_Fantasy_Starters'!H$2:'2026_Fantasy_Starters'!H$122)-'2026_Fantasy_Starters'!H98)/AVERAGE('2026_Fantasy_Starters'!H$2:'2026_Fantasy_Starters'!H$122)*100+100</f>
        <v>107.57595695289349</v>
      </c>
      <c r="V89">
        <f>('2026_Fantasy_Starters'!I98-AVERAGE('2026_Fantasy_Starters'!I$2:'2026_Fantasy_Starters'!I$122))/AVERAGE('2026_Fantasy_Starters'!I$2:'2026_Fantasy_Starters'!I$122)*100+100</f>
        <v>85.217672861711748</v>
      </c>
      <c r="W89">
        <f>(AVERAGE('2026_Fantasy_Starters'!J$2:'2026_Fantasy_Starters'!J$122)-'2026_Fantasy_Starters'!J98)/AVERAGE('2026_Fantasy_Starters'!J$2:'2026_Fantasy_Starters'!J$122)*100+100</f>
        <v>114.27163289648792</v>
      </c>
      <c r="X89">
        <f>(AVERAGE('2026_Fantasy_Starters'!K$2:'2026_Fantasy_Starters'!K$122)-'2026_Fantasy_Starters'!K98)/AVERAGE('2026_Fantasy_Starters'!K$2:'2026_Fantasy_Starters'!K$122)*100+100</f>
        <v>115.38975885883124</v>
      </c>
      <c r="Y89">
        <f>(AVERAGE('2026_Fantasy_Starters'!L$2:'2026_Fantasy_Starters'!L$122)-'2026_Fantasy_Starters'!L98)/AVERAGE('2026_Fantasy_Starters'!L$2:'2026_Fantasy_Starters'!L$122)*100+100</f>
        <v>117.06183375238334</v>
      </c>
      <c r="Z89">
        <f>(AVERAGE('2026_Fantasy_Starters'!M$2:'2026_Fantasy_Starters'!M$122)-'2026_Fantasy_Starters'!M98)/AVERAGE('2026_Fantasy_Starters'!M$2:'2026_Fantasy_Starters'!M$122)*100+100</f>
        <v>117.1481660340813</v>
      </c>
      <c r="AA89">
        <f>(AVERAGE('2026_Fantasy_Starters'!N$2:'2026_Fantasy_Starters'!N$122)-'2026_Fantasy_Starters'!N98)/AVERAGE('2026_Fantasy_Starters'!N$2:'2026_Fantasy_Starters'!N$122)*100+100</f>
        <v>138.58608540888216</v>
      </c>
      <c r="AB89">
        <f>(AVERAGE('2026_Fantasy_Starters'!O$2:'2026_Fantasy_Starters'!O$122)-'2026_Fantasy_Starters'!O98)/AVERAGE('2026_Fantasy_Starters'!O$2:'2026_Fantasy_Starters'!O$122)*100+100</f>
        <v>106.83607945414222</v>
      </c>
      <c r="AC89">
        <f>('2026_Fantasy_Starters'!P98-AVERAGE('2026_Fantasy_Starters'!P$2:'2026_Fantasy_Starters'!P$122))/AVERAGE('2026_Fantasy_Starters'!P$2:'2026_Fantasy_Starters'!P$122)*100+100</f>
        <v>76.208820981571208</v>
      </c>
      <c r="AD89">
        <f>(AVERAGE('2026_Fantasy_Starters'!Q$2:'2026_Fantasy_Starters'!Q$122)-'2026_Fantasy_Starters'!Q98)/AVERAGE('2026_Fantasy_Starters'!Q$2:'2026_Fantasy_Starters'!Q$122)*100+100</f>
        <v>118.84126454772364</v>
      </c>
      <c r="AE89">
        <f>('2026_Fantasy_Starters'!R98-AVERAGE('2026_Fantasy_Starters'!R$2:'2026_Fantasy_Starters'!R$122))/AVERAGE('2026_Fantasy_Starters'!R$2:'2026_Fantasy_Starters'!R$122)*100+100</f>
        <v>93.696680132120449</v>
      </c>
      <c r="AF89">
        <f>('2026_Fantasy_Starters'!T98-AVERAGE('2026_Fantasy_Starters'!T$2:'2026_Fantasy_Starters'!T$122))/AVERAGE('2026_Fantasy_Starters'!T$2:'2026_Fantasy_Starters'!T$122)*100+100</f>
        <v>89.814826093338084</v>
      </c>
      <c r="AG89">
        <f>(AVERAGE('2026_Fantasy_Starters'!U$2:'2026_Fantasy_Starters'!U$122)-'2026_Fantasy_Starters'!U98)/AVERAGE('2026_Fantasy_Starters'!U$2:'2026_Fantasy_Starters'!U$122)*100+100</f>
        <v>98.422405089286841</v>
      </c>
      <c r="AH89">
        <f>(AVERAGE('2026_Fantasy_Starters'!V$2:'2026_Fantasy_Starters'!V$122)-'2026_Fantasy_Starters'!V98)/AVERAGE('2026_Fantasy_Starters'!V$2:'2026_Fantasy_Starters'!V$122)*100+100</f>
        <v>96.300917384207551</v>
      </c>
    </row>
    <row r="90" spans="1:34">
      <c r="A90" t="s">
        <v>191</v>
      </c>
      <c r="B90" t="s">
        <v>63</v>
      </c>
      <c r="C90" t="s">
        <v>118</v>
      </c>
      <c r="D90">
        <v>33</v>
      </c>
      <c r="E90">
        <v>130.66999999999999</v>
      </c>
      <c r="F90" s="4">
        <f>H90*1.5+I90+J90+K90*1.5+L90+M90+N90+O90+P90+Q90</f>
        <v>-3.6394929615323837</v>
      </c>
      <c r="G90">
        <v>542</v>
      </c>
      <c r="H90">
        <f>(S90-S$123)/S$124</f>
        <v>-0.43736362971402493</v>
      </c>
      <c r="I90">
        <f>(T90-T$123)/T$124</f>
        <v>-0.74169102490529415</v>
      </c>
      <c r="J90">
        <f>(U90-U$123)/U$124</f>
        <v>0.42413131795025139</v>
      </c>
      <c r="K90">
        <f>(V90-V$123)/V$124</f>
        <v>-1.3338054301556759</v>
      </c>
      <c r="L90">
        <f>(Z90-Z$123)/Z$124</f>
        <v>-5.5332818442473099E-2</v>
      </c>
      <c r="M90">
        <f>(AB90-AB$123)/AB$124</f>
        <v>-0.36655173509008832</v>
      </c>
      <c r="N90">
        <f>(AG90-AG$123)/AG$124</f>
        <v>-1.0275538481418243</v>
      </c>
      <c r="O90">
        <f>(AH90-AH$123)/AH$124</f>
        <v>0.26961134318647395</v>
      </c>
      <c r="P90">
        <f>(AE90-AE$123)/AE$124</f>
        <v>0.29116109920715549</v>
      </c>
      <c r="Q90">
        <f>(AF90-AF$123)/AF$124</f>
        <v>0.22348629450796575</v>
      </c>
      <c r="S90">
        <f>(E90-AVERAGE(E$2:E$122))/AVERAGE(E$2:E$122)*100+100</f>
        <v>90.531534734902564</v>
      </c>
      <c r="T90">
        <f>('2026_Fantasy_Starters'!G70-AVERAGE('2026_Fantasy_Starters'!G$2:'2026_Fantasy_Starters'!G$122))/AVERAGE('2026_Fantasy_Starters'!G$2:'2026_Fantasy_Starters'!G$122)*100+100</f>
        <v>81.628168618674039</v>
      </c>
      <c r="U90">
        <f>(AVERAGE('2026_Fantasy_Starters'!H$2:'2026_Fantasy_Starters'!H$122)-'2026_Fantasy_Starters'!H70)/AVERAGE('2026_Fantasy_Starters'!H$2:'2026_Fantasy_Starters'!H$122)*100+100</f>
        <v>109.66759601127343</v>
      </c>
      <c r="V90">
        <f>('2026_Fantasy_Starters'!I70-AVERAGE('2026_Fantasy_Starters'!I$2:'2026_Fantasy_Starters'!I$122))/AVERAGE('2026_Fantasy_Starters'!I$2:'2026_Fantasy_Starters'!I$122)*100+100</f>
        <v>54.890938843620212</v>
      </c>
      <c r="W90">
        <f>(AVERAGE('2026_Fantasy_Starters'!J$2:'2026_Fantasy_Starters'!J$122)-'2026_Fantasy_Starters'!J70)/AVERAGE('2026_Fantasy_Starters'!J$2:'2026_Fantasy_Starters'!J$122)*100+100</f>
        <v>112.14083350835068</v>
      </c>
      <c r="X90">
        <f>(AVERAGE('2026_Fantasy_Starters'!K$2:'2026_Fantasy_Starters'!K$122)-'2026_Fantasy_Starters'!K70)/AVERAGE('2026_Fantasy_Starters'!K$2:'2026_Fantasy_Starters'!K$122)*100+100</f>
        <v>108.415596951217</v>
      </c>
      <c r="Y90">
        <f>(AVERAGE('2026_Fantasy_Starters'!L$2:'2026_Fantasy_Starters'!L$122)-'2026_Fantasy_Starters'!L70)/AVERAGE('2026_Fantasy_Starters'!L$2:'2026_Fantasy_Starters'!L$122)*100+100</f>
        <v>100.29299090701232</v>
      </c>
      <c r="Z90">
        <f>(AVERAGE('2026_Fantasy_Starters'!M$2:'2026_Fantasy_Starters'!M$122)-'2026_Fantasy_Starters'!M70)/AVERAGE('2026_Fantasy_Starters'!M$2:'2026_Fantasy_Starters'!M$122)*100+100</f>
        <v>98.593072939677398</v>
      </c>
      <c r="AA90">
        <f>(AVERAGE('2026_Fantasy_Starters'!N$2:'2026_Fantasy_Starters'!N$122)-'2026_Fantasy_Starters'!N70)/AVERAGE('2026_Fantasy_Starters'!N$2:'2026_Fantasy_Starters'!N$122)*100+100</f>
        <v>80.393244340751039</v>
      </c>
      <c r="AB90">
        <f>(AVERAGE('2026_Fantasy_Starters'!O$2:'2026_Fantasy_Starters'!O$122)-'2026_Fantasy_Starters'!O70)/AVERAGE('2026_Fantasy_Starters'!O$2:'2026_Fantasy_Starters'!O$122)*100+100</f>
        <v>88.637327058697565</v>
      </c>
      <c r="AC90">
        <f>('2026_Fantasy_Starters'!P70-AVERAGE('2026_Fantasy_Starters'!P$2:'2026_Fantasy_Starters'!P$122))/AVERAGE('2026_Fantasy_Starters'!P$2:'2026_Fantasy_Starters'!P$122)*100+100</f>
        <v>93.577906519102314</v>
      </c>
      <c r="AD90">
        <f>(AVERAGE('2026_Fantasy_Starters'!Q$2:'2026_Fantasy_Starters'!Q$122)-'2026_Fantasy_Starters'!Q70)/AVERAGE('2026_Fantasy_Starters'!Q$2:'2026_Fantasy_Starters'!Q$122)*100+100</f>
        <v>106.88794653066151</v>
      </c>
      <c r="AE90">
        <f>('2026_Fantasy_Starters'!R70-AVERAGE('2026_Fantasy_Starters'!R$2:'2026_Fantasy_Starters'!R$122))/AVERAGE('2026_Fantasy_Starters'!R$2:'2026_Fantasy_Starters'!R$122)*100+100</f>
        <v>103.30598076361424</v>
      </c>
      <c r="AF90">
        <f>('2026_Fantasy_Starters'!T70-AVERAGE('2026_Fantasy_Starters'!T$2:'2026_Fantasy_Starters'!T$122))/AVERAGE('2026_Fantasy_Starters'!T$2:'2026_Fantasy_Starters'!T$122)*100+100</f>
        <v>104.39211397400095</v>
      </c>
      <c r="AG90">
        <f>(AVERAGE('2026_Fantasy_Starters'!U$2:'2026_Fantasy_Starters'!U$122)-'2026_Fantasy_Starters'!U70)/AVERAGE('2026_Fantasy_Starters'!U$2:'2026_Fantasy_Starters'!U$122)*100+100</f>
        <v>90.3515832241373</v>
      </c>
      <c r="AH90">
        <f>(AVERAGE('2026_Fantasy_Starters'!V$2:'2026_Fantasy_Starters'!V$122)-'2026_Fantasy_Starters'!V70)/AVERAGE('2026_Fantasy_Starters'!V$2:'2026_Fantasy_Starters'!V$122)*100+100</f>
        <v>101.74672028143574</v>
      </c>
    </row>
    <row r="91" spans="1:34">
      <c r="A91" t="s">
        <v>179</v>
      </c>
      <c r="B91" t="s">
        <v>170</v>
      </c>
      <c r="C91" t="s">
        <v>118</v>
      </c>
      <c r="D91">
        <v>32</v>
      </c>
      <c r="E91">
        <v>159</v>
      </c>
      <c r="F91" s="4">
        <f>H91*1.5+I91+J91+K91*1.5+L91+M91+N91+O91+P91+Q91</f>
        <v>-3.6575695312056569</v>
      </c>
      <c r="G91">
        <v>668</v>
      </c>
      <c r="H91">
        <f>(S91-S$123)/S$124</f>
        <v>0.46927379270294323</v>
      </c>
      <c r="I91">
        <f>(T91-T$123)/T$124</f>
        <v>-0.16622534602623951</v>
      </c>
      <c r="J91">
        <f>(U91-U$123)/U$124</f>
        <v>-0.34226722804349646</v>
      </c>
      <c r="K91">
        <f>(V91-V$123)/V$124</f>
        <v>-0.20887010634836944</v>
      </c>
      <c r="L91">
        <f>(Z91-Z$123)/Z$124</f>
        <v>-0.62791311162512664</v>
      </c>
      <c r="M91">
        <f>(AB91-AB$123)/AB$124</f>
        <v>0.33889281861374321</v>
      </c>
      <c r="N91">
        <f>(AG91-AG$123)/AG$124</f>
        <v>-0.46917884250916164</v>
      </c>
      <c r="O91">
        <f>(AH91-AH$123)/AH$124</f>
        <v>-0.46618604930304586</v>
      </c>
      <c r="P91">
        <f>(AE91-AE$123)/AE$124</f>
        <v>-1.4275660411152791</v>
      </c>
      <c r="Q91">
        <f>(AF91-AF$123)/AF$124</f>
        <v>-0.88773126072891195</v>
      </c>
      <c r="S91">
        <f>(E91-AVERAGE(E$2:E$122))/AVERAGE(E$2:E$122)*100+100</f>
        <v>110.15928692775319</v>
      </c>
      <c r="T91">
        <f>('2026_Fantasy_Starters'!G64-AVERAGE('2026_Fantasy_Starters'!G$2:'2026_Fantasy_Starters'!G$122))/AVERAGE('2026_Fantasy_Starters'!G$2:'2026_Fantasy_Starters'!G$122)*100+100</f>
        <v>95.882565750493526</v>
      </c>
      <c r="U91">
        <f>(AVERAGE('2026_Fantasy_Starters'!H$2:'2026_Fantasy_Starters'!H$122)-'2026_Fantasy_Starters'!H64)/AVERAGE('2026_Fantasy_Starters'!H$2:'2026_Fantasy_Starters'!H$122)*100+100</f>
        <v>92.19840377594798</v>
      </c>
      <c r="V91">
        <f>('2026_Fantasy_Starters'!I64-AVERAGE('2026_Fantasy_Starters'!I$2:'2026_Fantasy_Starters'!I$122))/AVERAGE('2026_Fantasy_Starters'!I$2:'2026_Fantasy_Starters'!I$122)*100+100</f>
        <v>92.936050350380981</v>
      </c>
      <c r="W91">
        <f>(AVERAGE('2026_Fantasy_Starters'!J$2:'2026_Fantasy_Starters'!J$122)-'2026_Fantasy_Starters'!J64)/AVERAGE('2026_Fantasy_Starters'!J$2:'2026_Fantasy_Starters'!J$122)*100+100</f>
        <v>79.381662318357542</v>
      </c>
      <c r="X91">
        <f>(AVERAGE('2026_Fantasy_Starters'!K$2:'2026_Fantasy_Starters'!K$122)-'2026_Fantasy_Starters'!K64)/AVERAGE('2026_Fantasy_Starters'!K$2:'2026_Fantasy_Starters'!K$122)*100+100</f>
        <v>81.373155500364689</v>
      </c>
      <c r="Y91">
        <f>(AVERAGE('2026_Fantasy_Starters'!L$2:'2026_Fantasy_Starters'!L$122)-'2026_Fantasy_Starters'!L64)/AVERAGE('2026_Fantasy_Starters'!L$2:'2026_Fantasy_Starters'!L$122)*100+100</f>
        <v>84.477199113585996</v>
      </c>
      <c r="Z91">
        <f>(AVERAGE('2026_Fantasy_Starters'!M$2:'2026_Fantasy_Starters'!M$122)-'2026_Fantasy_Starters'!M64)/AVERAGE('2026_Fantasy_Starters'!M$2:'2026_Fantasy_Starters'!M$122)*100+100</f>
        <v>84.03428610463429</v>
      </c>
      <c r="AA91">
        <f>(AVERAGE('2026_Fantasy_Starters'!N$2:'2026_Fantasy_Starters'!N$122)-'2026_Fantasy_Starters'!N64)/AVERAGE('2026_Fantasy_Starters'!N$2:'2026_Fantasy_Starters'!N$122)*100+100</f>
        <v>79.811825579336713</v>
      </c>
      <c r="AB91">
        <f>(AVERAGE('2026_Fantasy_Starters'!O$2:'2026_Fantasy_Starters'!O$122)-'2026_Fantasy_Starters'!O64)/AVERAGE('2026_Fantasy_Starters'!O$2:'2026_Fantasy_Starters'!O$122)*100+100</f>
        <v>110.5052790409454</v>
      </c>
      <c r="AC91">
        <f>('2026_Fantasy_Starters'!P64-AVERAGE('2026_Fantasy_Starters'!P$2:'2026_Fantasy_Starters'!P$122))/AVERAGE('2026_Fantasy_Starters'!P$2:'2026_Fantasy_Starters'!P$122)*100+100</f>
        <v>92.356001195326243</v>
      </c>
      <c r="AD91">
        <f>(AVERAGE('2026_Fantasy_Starters'!Q$2:'2026_Fantasy_Starters'!Q$122)-'2026_Fantasy_Starters'!Q64)/AVERAGE('2026_Fantasy_Starters'!Q$2:'2026_Fantasy_Starters'!Q$122)*100+100</f>
        <v>105.68055388945969</v>
      </c>
      <c r="AE91">
        <f>('2026_Fantasy_Starters'!R64-AVERAGE('2026_Fantasy_Starters'!R$2:'2026_Fantasy_Starters'!R$122))/AVERAGE('2026_Fantasy_Starters'!R$2:'2026_Fantasy_Starters'!R$122)*100+100</f>
        <v>83.790740302988283</v>
      </c>
      <c r="AF91">
        <f>('2026_Fantasy_Starters'!T64-AVERAGE('2026_Fantasy_Starters'!T$2:'2026_Fantasy_Starters'!T$122))/AVERAGE('2026_Fantasy_Starters'!T$2:'2026_Fantasy_Starters'!T$122)*100+100</f>
        <v>82.553664492092494</v>
      </c>
      <c r="AG91">
        <f>(AVERAGE('2026_Fantasy_Starters'!U$2:'2026_Fantasy_Starters'!U$122)-'2026_Fantasy_Starters'!U64)/AVERAGE('2026_Fantasy_Starters'!U$2:'2026_Fantasy_Starters'!U$122)*100+100</f>
        <v>95.594553975802526</v>
      </c>
      <c r="AH91">
        <f>(AVERAGE('2026_Fantasy_Starters'!V$2:'2026_Fantasy_Starters'!V$122)-'2026_Fantasy_Starters'!V64)/AVERAGE('2026_Fantasy_Starters'!V$2:'2026_Fantasy_Starters'!V$122)*100+100</f>
        <v>96.979738991631095</v>
      </c>
    </row>
    <row r="92" spans="1:34">
      <c r="A92" t="s">
        <v>126</v>
      </c>
      <c r="B92" t="s">
        <v>51</v>
      </c>
      <c r="C92" t="s">
        <v>16</v>
      </c>
      <c r="D92">
        <v>26</v>
      </c>
      <c r="E92">
        <v>149</v>
      </c>
      <c r="F92" s="4">
        <f>H92*1.5+I92+J92+K92*1.5+L92+M92+N92+O92+P92+Q92</f>
        <v>-3.6612792460419739</v>
      </c>
      <c r="G92">
        <v>624</v>
      </c>
      <c r="H92">
        <f>(S92-S$123)/S$124</f>
        <v>0.14924646392886329</v>
      </c>
      <c r="I92">
        <f>(T92-T$123)/T$124</f>
        <v>-0.13359712383625238</v>
      </c>
      <c r="J92">
        <f>(U92-U$123)/U$124</f>
        <v>-0.49704305136861776</v>
      </c>
      <c r="K92">
        <f>(V92-V$123)/V$124</f>
        <v>0.19951924492744577</v>
      </c>
      <c r="L92">
        <f>(Z92-Z$123)/Z$124</f>
        <v>-0.5324114198080816</v>
      </c>
      <c r="M92">
        <f>(AB92-AB$123)/AB$124</f>
        <v>-3.4665169342603486</v>
      </c>
      <c r="N92">
        <f>(AG92-AG$123)/AG$124</f>
        <v>-0.71297768808100559</v>
      </c>
      <c r="O92">
        <f>(AH92-AH$123)/AH$124</f>
        <v>0.46335267326937069</v>
      </c>
      <c r="P92">
        <f>(AE92-AE$123)/AE$124</f>
        <v>0.17829603897611307</v>
      </c>
      <c r="Q92">
        <f>(AF92-AF$123)/AF$124</f>
        <v>0.51646969578238455</v>
      </c>
      <c r="S92">
        <f>(E92-AVERAGE(E$2:E$122))/AVERAGE(E$2:E$122)*100+100</f>
        <v>103.23102988827185</v>
      </c>
      <c r="T92">
        <f>('2026_Fantasy_Starters'!G41-AVERAGE('2026_Fantasy_Starters'!G$2:'2026_Fantasy_Starters'!G$122))/AVERAGE('2026_Fantasy_Starters'!G$2:'2026_Fantasy_Starters'!G$122)*100+100</f>
        <v>96.690773179487863</v>
      </c>
      <c r="U92">
        <f>(AVERAGE('2026_Fantasy_Starters'!H$2:'2026_Fantasy_Starters'!H$122)-'2026_Fantasy_Starters'!H41)/AVERAGE('2026_Fantasy_Starters'!H$2:'2026_Fantasy_Starters'!H$122)*100+100</f>
        <v>88.670463091324905</v>
      </c>
      <c r="V92">
        <f>('2026_Fantasy_Starters'!I41-AVERAGE('2026_Fantasy_Starters'!I$2:'2026_Fantasy_Starters'!I$122))/AVERAGE('2026_Fantasy_Starters'!I$2:'2026_Fantasy_Starters'!I$122)*100+100</f>
        <v>106.74770518834703</v>
      </c>
      <c r="W92">
        <f>(AVERAGE('2026_Fantasy_Starters'!J$2:'2026_Fantasy_Starters'!J$122)-'2026_Fantasy_Starters'!J41)/AVERAGE('2026_Fantasy_Starters'!J$2:'2026_Fantasy_Starters'!J$122)*100+100</f>
        <v>95.026286182716433</v>
      </c>
      <c r="X92">
        <f>(AVERAGE('2026_Fantasy_Starters'!K$2:'2026_Fantasy_Starters'!K$122)-'2026_Fantasy_Starters'!K41)/AVERAGE('2026_Fantasy_Starters'!K$2:'2026_Fantasy_Starters'!K$122)*100+100</f>
        <v>94.490225520656608</v>
      </c>
      <c r="Y92">
        <f>(AVERAGE('2026_Fantasy_Starters'!L$2:'2026_Fantasy_Starters'!L$122)-'2026_Fantasy_Starters'!L41)/AVERAGE('2026_Fantasy_Starters'!L$2:'2026_Fantasy_Starters'!L$122)*100+100</f>
        <v>89.369133368262027</v>
      </c>
      <c r="Z92">
        <f>(AVERAGE('2026_Fantasy_Starters'!M$2:'2026_Fantasy_Starters'!M$122)-'2026_Fantasy_Starters'!M41)/AVERAGE('2026_Fantasy_Starters'!M$2:'2026_Fantasy_Starters'!M$122)*100+100</f>
        <v>86.462572215953188</v>
      </c>
      <c r="AA92">
        <f>(AVERAGE('2026_Fantasy_Starters'!N$2:'2026_Fantasy_Starters'!N$122)-'2026_Fantasy_Starters'!N41)/AVERAGE('2026_Fantasy_Starters'!N$2:'2026_Fantasy_Starters'!N$122)*100+100</f>
        <v>79.809652510425892</v>
      </c>
      <c r="AB92">
        <f>(AVERAGE('2026_Fantasy_Starters'!O$2:'2026_Fantasy_Starters'!O$122)-'2026_Fantasy_Starters'!O41)/AVERAGE('2026_Fantasy_Starters'!O$2:'2026_Fantasy_Starters'!O$122)*100+100</f>
        <v>-7.4579504031155182</v>
      </c>
      <c r="AC92">
        <f>('2026_Fantasy_Starters'!P41-AVERAGE('2026_Fantasy_Starters'!P$2:'2026_Fantasy_Starters'!P$122))/AVERAGE('2026_Fantasy_Starters'!P$2:'2026_Fantasy_Starters'!P$122)*100+100</f>
        <v>105.38105242788528</v>
      </c>
      <c r="AD92">
        <f>(AVERAGE('2026_Fantasy_Starters'!Q$2:'2026_Fantasy_Starters'!Q$122)-'2026_Fantasy_Starters'!Q41)/AVERAGE('2026_Fantasy_Starters'!Q$2:'2026_Fantasy_Starters'!Q$122)*100+100</f>
        <v>112.61239233795189</v>
      </c>
      <c r="AE92">
        <f>('2026_Fantasy_Starters'!R41-AVERAGE('2026_Fantasy_Starters'!R$2:'2026_Fantasy_Starters'!R$122))/AVERAGE('2026_Fantasy_Starters'!R$2:'2026_Fantasy_Starters'!R$122)*100+100</f>
        <v>102.02445751403164</v>
      </c>
      <c r="AF92">
        <f>('2026_Fantasy_Starters'!T41-AVERAGE('2026_Fantasy_Starters'!T$2:'2026_Fantasy_Starters'!T$122))/AVERAGE('2026_Fantasy_Starters'!T$2:'2026_Fantasy_Starters'!T$122)*100+100</f>
        <v>110.15003525378597</v>
      </c>
      <c r="AG92">
        <f>(AVERAGE('2026_Fantasy_Starters'!U$2:'2026_Fantasy_Starters'!U$122)-'2026_Fantasy_Starters'!U41)/AVERAGE('2026_Fantasy_Starters'!U$2:'2026_Fantasy_Starters'!U$122)*100+100</f>
        <v>93.305357282310425</v>
      </c>
      <c r="AH92">
        <f>(AVERAGE('2026_Fantasy_Starters'!V$2:'2026_Fantasy_Starters'!V$122)-'2026_Fantasy_Starters'!V41)/AVERAGE('2026_Fantasy_Starters'!V$2:'2026_Fantasy_Starters'!V$122)*100+100</f>
        <v>103.00190452779768</v>
      </c>
    </row>
    <row r="93" spans="1:34">
      <c r="A93" s="9" t="s">
        <v>1037</v>
      </c>
      <c r="B93" t="s">
        <v>20</v>
      </c>
      <c r="C93" t="s">
        <v>118</v>
      </c>
      <c r="D93">
        <v>37</v>
      </c>
      <c r="E93">
        <v>133.33000000000001</v>
      </c>
      <c r="F93" s="4">
        <f>H93*1.5+I93+J93+K93*1.5+L93+M93+N93+O93+P93+Q93</f>
        <v>-3.7393783106092697</v>
      </c>
      <c r="G93">
        <v>564</v>
      </c>
      <c r="H93">
        <f>(S93-S$123)/S$124</f>
        <v>-0.35223636026011917</v>
      </c>
      <c r="I93">
        <f>(T93-T$123)/T$124</f>
        <v>-0.84450978269137722</v>
      </c>
      <c r="J93">
        <f>(U93-U$123)/U$124</f>
        <v>0.19850603988724702</v>
      </c>
      <c r="K93">
        <f>(V93-V$123)/V$124</f>
        <v>-1.1692131759523845</v>
      </c>
      <c r="L93">
        <f>(Z93-Z$123)/Z$124</f>
        <v>0.95718170890544285</v>
      </c>
      <c r="M93">
        <f>(AB93-AB$123)/AB$124</f>
        <v>1.5232652332641738E-2</v>
      </c>
      <c r="N93">
        <f>(AG93-AG$123)/AG$124</f>
        <v>0.36061981163878393</v>
      </c>
      <c r="O93">
        <f>(AH93-AH$123)/AH$124</f>
        <v>-0.71372759174302314</v>
      </c>
      <c r="P93">
        <f>(AE93-AE$123)/AE$124</f>
        <v>-0.75947477010702225</v>
      </c>
      <c r="Q93">
        <f>(AF93-AF$123)/AF$124</f>
        <v>-0.67103207451320712</v>
      </c>
      <c r="S93">
        <f>(E93-AVERAGE(E$2:E$122))/AVERAGE(E$2:E$122)*100+100</f>
        <v>92.37445110740461</v>
      </c>
      <c r="T93">
        <f>('2026_Fantasy_Starters'!G72-AVERAGE('2026_Fantasy_Starters'!G$2:'2026_Fantasy_Starters'!G$122))/AVERAGE('2026_Fantasy_Starters'!G$2:'2026_Fantasy_Starters'!G$122)*100+100</f>
        <v>79.081327929689678</v>
      </c>
      <c r="U93">
        <f>(AVERAGE('2026_Fantasy_Starters'!H$2:'2026_Fantasy_Starters'!H$122)-'2026_Fantasy_Starters'!H72)/AVERAGE('2026_Fantasy_Starters'!H$2:'2026_Fantasy_Starters'!H$122)*100+100</f>
        <v>104.52472175057052</v>
      </c>
      <c r="V93">
        <f>('2026_Fantasy_Starters'!I72-AVERAGE('2026_Fantasy_Starters'!I$2:'2026_Fantasy_Starters'!I$122))/AVERAGE('2026_Fantasy_Starters'!I$2:'2026_Fantasy_Starters'!I$122)*100+100</f>
        <v>60.457419450807507</v>
      </c>
      <c r="W93">
        <f>(AVERAGE('2026_Fantasy_Starters'!J$2:'2026_Fantasy_Starters'!J$122)-'2026_Fantasy_Starters'!J72)/AVERAGE('2026_Fantasy_Starters'!J$2:'2026_Fantasy_Starters'!J$122)*100+100</f>
        <v>101.12441250535012</v>
      </c>
      <c r="X93">
        <f>(AVERAGE('2026_Fantasy_Starters'!K$2:'2026_Fantasy_Starters'!K$122)-'2026_Fantasy_Starters'!K72)/AVERAGE('2026_Fantasy_Starters'!K$2:'2026_Fantasy_Starters'!K$122)*100+100</f>
        <v>106.6989649950398</v>
      </c>
      <c r="Y93">
        <f>(AVERAGE('2026_Fantasy_Starters'!L$2:'2026_Fantasy_Starters'!L$122)-'2026_Fantasy_Starters'!L72)/AVERAGE('2026_Fantasy_Starters'!L$2:'2026_Fantasy_Starters'!L$122)*100+100</f>
        <v>110.35730990184823</v>
      </c>
      <c r="Z93">
        <f>(AVERAGE('2026_Fantasy_Starters'!M$2:'2026_Fantasy_Starters'!M$122)-'2026_Fantasy_Starters'!M72)/AVERAGE('2026_Fantasy_Starters'!M$2:'2026_Fantasy_Starters'!M$122)*100+100</f>
        <v>124.33790444462818</v>
      </c>
      <c r="AA93">
        <f>(AVERAGE('2026_Fantasy_Starters'!N$2:'2026_Fantasy_Starters'!N$122)-'2026_Fantasy_Starters'!N72)/AVERAGE('2026_Fantasy_Starters'!N$2:'2026_Fantasy_Starters'!N$122)*100+100</f>
        <v>21.395341918079936</v>
      </c>
      <c r="AB93">
        <f>(AVERAGE('2026_Fantasy_Starters'!O$2:'2026_Fantasy_Starters'!O$122)-'2026_Fantasy_Starters'!O72)/AVERAGE('2026_Fantasy_Starters'!O$2:'2026_Fantasy_Starters'!O$122)*100+100</f>
        <v>100.47219431778662</v>
      </c>
      <c r="AC93">
        <f>('2026_Fantasy_Starters'!P72-AVERAGE('2026_Fantasy_Starters'!P$2:'2026_Fantasy_Starters'!P$122))/AVERAGE('2026_Fantasy_Starters'!P$2:'2026_Fantasy_Starters'!P$122)*100+100</f>
        <v>84.456809935892011</v>
      </c>
      <c r="AD93">
        <f>(AVERAGE('2026_Fantasy_Starters'!Q$2:'2026_Fantasy_Starters'!Q$122)-'2026_Fantasy_Starters'!Q72)/AVERAGE('2026_Fantasy_Starters'!Q$2:'2026_Fantasy_Starters'!Q$122)*100+100</f>
        <v>108.63902189736758</v>
      </c>
      <c r="AE93">
        <f>('2026_Fantasy_Starters'!R72-AVERAGE('2026_Fantasy_Starters'!R$2:'2026_Fantasy_Starters'!R$122))/AVERAGE('2026_Fantasy_Starters'!R$2:'2026_Fantasy_Starters'!R$122)*100+100</f>
        <v>91.37656442683695</v>
      </c>
      <c r="AF93">
        <f>('2026_Fantasy_Starters'!T72-AVERAGE('2026_Fantasy_Starters'!T$2:'2026_Fantasy_Starters'!T$122))/AVERAGE('2026_Fantasy_Starters'!T$2:'2026_Fantasy_Starters'!T$122)*100+100</f>
        <v>86.81239331494082</v>
      </c>
      <c r="AG93">
        <f>(AVERAGE('2026_Fantasy_Starters'!U$2:'2026_Fantasy_Starters'!U$122)-'2026_Fantasy_Starters'!U72)/AVERAGE('2026_Fantasy_Starters'!U$2:'2026_Fantasy_Starters'!U$122)*100+100</f>
        <v>103.38610988282136</v>
      </c>
      <c r="AH93">
        <f>(AVERAGE('2026_Fantasy_Starters'!V$2:'2026_Fantasy_Starters'!V$122)-'2026_Fantasy_Starters'!V72)/AVERAGE('2026_Fantasy_Starters'!V$2:'2026_Fantasy_Starters'!V$122)*100+100</f>
        <v>95.376001450148081</v>
      </c>
    </row>
    <row r="94" spans="1:34">
      <c r="A94" t="s">
        <v>253</v>
      </c>
      <c r="B94" t="s">
        <v>37</v>
      </c>
      <c r="C94" t="s">
        <v>118</v>
      </c>
      <c r="D94">
        <v>29</v>
      </c>
      <c r="E94">
        <v>126.33</v>
      </c>
      <c r="F94" s="4">
        <f>H94*1.5+I94+J94+K94*1.5+L94+M94+N94+O94+P94+Q94</f>
        <v>-3.9434578767815029</v>
      </c>
      <c r="G94">
        <v>531</v>
      </c>
      <c r="H94">
        <f>(S94-S$123)/S$124</f>
        <v>-0.57625549040197555</v>
      </c>
      <c r="I94">
        <f>(T94-T$123)/T$124</f>
        <v>-1.2713401207975934</v>
      </c>
      <c r="J94">
        <f>(U94-U$123)/U$124</f>
        <v>0.14901736103276622</v>
      </c>
      <c r="K94">
        <f>(V94-V$123)/V$124</f>
        <v>-0.94027928349205148</v>
      </c>
      <c r="L94">
        <f>(Z94-Z$123)/Z$124</f>
        <v>-9.4977659038952125E-2</v>
      </c>
      <c r="M94">
        <f>(AB94-AB$123)/AB$124</f>
        <v>0.40740540716420165</v>
      </c>
      <c r="N94">
        <f>(AG94-AG$123)/AG$124</f>
        <v>-0.51795438842548325</v>
      </c>
      <c r="O94">
        <f>(AH94-AH$123)/AH$124</f>
        <v>-0.35244193717563799</v>
      </c>
      <c r="P94">
        <f>(AE94-AE$123)/AE$124</f>
        <v>0.10424687974034484</v>
      </c>
      <c r="Q94">
        <f>(AF94-AF$123)/AF$124</f>
        <v>-9.2611258440108535E-2</v>
      </c>
      <c r="S94">
        <f>(E94-AVERAGE(E$2:E$122))/AVERAGE(E$2:E$122)*100+100</f>
        <v>87.524671179767665</v>
      </c>
      <c r="T94">
        <f>('2026_Fantasy_Starters'!G97-AVERAGE('2026_Fantasy_Starters'!G$2:'2026_Fantasy_Starters'!G$122))/AVERAGE('2026_Fantasy_Starters'!G$2:'2026_Fantasy_Starters'!G$122)*100+100</f>
        <v>68.508657185665157</v>
      </c>
      <c r="U94">
        <f>(AVERAGE('2026_Fantasy_Starters'!H$2:'2026_Fantasy_Starters'!H$122)-'2026_Fantasy_Starters'!H97)/AVERAGE('2026_Fantasy_Starters'!H$2:'2026_Fantasy_Starters'!H$122)*100+100</f>
        <v>103.39668301811152</v>
      </c>
      <c r="V94">
        <f>('2026_Fantasy_Starters'!I97-AVERAGE('2026_Fantasy_Starters'!I$2:'2026_Fantasy_Starters'!I$122))/AVERAGE('2026_Fantasy_Starters'!I$2:'2026_Fantasy_Starters'!I$122)*100+100</f>
        <v>68.199922759221778</v>
      </c>
      <c r="W94">
        <f>(AVERAGE('2026_Fantasy_Starters'!J$2:'2026_Fantasy_Starters'!J$122)-'2026_Fantasy_Starters'!J97)/AVERAGE('2026_Fantasy_Starters'!J$2:'2026_Fantasy_Starters'!J$122)*100+100</f>
        <v>111.39610310749282</v>
      </c>
      <c r="X94">
        <f>(AVERAGE('2026_Fantasy_Starters'!K$2:'2026_Fantasy_Starters'!K$122)-'2026_Fantasy_Starters'!K97)/AVERAGE('2026_Fantasy_Starters'!K$2:'2026_Fantasy_Starters'!K$122)*100+100</f>
        <v>107.10653936592408</v>
      </c>
      <c r="Y94">
        <f>(AVERAGE('2026_Fantasy_Starters'!L$2:'2026_Fantasy_Starters'!L$122)-'2026_Fantasy_Starters'!L97)/AVERAGE('2026_Fantasy_Starters'!L$2:'2026_Fantasy_Starters'!L$122)*100+100</f>
        <v>107.81123388303629</v>
      </c>
      <c r="Z94">
        <f>(AVERAGE('2026_Fantasy_Starters'!M$2:'2026_Fantasy_Starters'!M$122)-'2026_Fantasy_Starters'!M97)/AVERAGE('2026_Fantasy_Starters'!M$2:'2026_Fantasy_Starters'!M$122)*100+100</f>
        <v>97.585038275848547</v>
      </c>
      <c r="AA94">
        <f>(AVERAGE('2026_Fantasy_Starters'!N$2:'2026_Fantasy_Starters'!N$122)-'2026_Fantasy_Starters'!N97)/AVERAGE('2026_Fantasy_Starters'!N$2:'2026_Fantasy_Starters'!N$122)*100+100</f>
        <v>83.9616734468283</v>
      </c>
      <c r="AB94">
        <f>(AVERAGE('2026_Fantasy_Starters'!O$2:'2026_Fantasy_Starters'!O$122)-'2026_Fantasy_Starters'!O97)/AVERAGE('2026_Fantasy_Starters'!O$2:'2026_Fantasy_Starters'!O$122)*100+100</f>
        <v>112.62908875601754</v>
      </c>
      <c r="AC94">
        <f>('2026_Fantasy_Starters'!P97-AVERAGE('2026_Fantasy_Starters'!P$2:'2026_Fantasy_Starters'!P$122))/AVERAGE('2026_Fantasy_Starters'!P$2:'2026_Fantasy_Starters'!P$122)*100+100</f>
        <v>88.61125458357688</v>
      </c>
      <c r="AD94">
        <f>(AVERAGE('2026_Fantasy_Starters'!Q$2:'2026_Fantasy_Starters'!Q$122)-'2026_Fantasy_Starters'!Q97)/AVERAGE('2026_Fantasy_Starters'!Q$2:'2026_Fantasy_Starters'!Q$122)*100+100</f>
        <v>106.80158417725445</v>
      </c>
      <c r="AE94">
        <f>('2026_Fantasy_Starters'!R97-AVERAGE('2026_Fantasy_Starters'!R$2:'2026_Fantasy_Starters'!R$122))/AVERAGE('2026_Fantasy_Starters'!R$2:'2026_Fantasy_Starters'!R$122)*100+100</f>
        <v>101.18366835414085</v>
      </c>
      <c r="AF94">
        <f>('2026_Fantasy_Starters'!T97-AVERAGE('2026_Fantasy_Starters'!T$2:'2026_Fantasy_Starters'!T$122))/AVERAGE('2026_Fantasy_Starters'!T$2:'2026_Fantasy_Starters'!T$122)*100+100</f>
        <v>98.179936701531673</v>
      </c>
      <c r="AG94">
        <f>(AVERAGE('2026_Fantasy_Starters'!U$2:'2026_Fantasy_Starters'!U$122)-'2026_Fantasy_Starters'!U97)/AVERAGE('2026_Fantasy_Starters'!U$2:'2026_Fantasy_Starters'!U$122)*100+100</f>
        <v>95.136566497752668</v>
      </c>
      <c r="AH94">
        <f>(AVERAGE('2026_Fantasy_Starters'!V$2:'2026_Fantasy_Starters'!V$122)-'2026_Fantasy_Starters'!V97)/AVERAGE('2026_Fantasy_Starters'!V$2:'2026_Fantasy_Starters'!V$122)*100+100</f>
        <v>97.716648445063981</v>
      </c>
    </row>
    <row r="95" spans="1:34">
      <c r="A95" t="s">
        <v>181</v>
      </c>
      <c r="B95" t="s">
        <v>26</v>
      </c>
      <c r="C95" t="s">
        <v>16</v>
      </c>
      <c r="D95">
        <v>33</v>
      </c>
      <c r="E95">
        <v>114</v>
      </c>
      <c r="F95" s="4">
        <f>H95*1.5+I95+J95+K95*1.5+L95+M95+N95+O95+P95+Q95</f>
        <v>-4.2093576838349831</v>
      </c>
      <c r="G95">
        <v>489</v>
      </c>
      <c r="H95">
        <f>(S95-S$123)/S$124</f>
        <v>-0.97084918678041521</v>
      </c>
      <c r="I95">
        <f>(T95-T$123)/T$124</f>
        <v>-0.81372824164150692</v>
      </c>
      <c r="J95">
        <f>(U95-U$123)/U$124</f>
        <v>1.2306030953124942</v>
      </c>
      <c r="K95">
        <f>(V95-V$123)/V$124</f>
        <v>-1.4695478309288801</v>
      </c>
      <c r="L95">
        <f>(Z95-Z$123)/Z$124</f>
        <v>0.84503762013413797</v>
      </c>
      <c r="M95">
        <f>(AB95-AB$123)/AB$124</f>
        <v>-0.31370835927755097</v>
      </c>
      <c r="N95">
        <f>(AG95-AG$123)/AG$124</f>
        <v>-0.79524895043639832</v>
      </c>
      <c r="O95">
        <f>(AH95-AH$123)/AH$124</f>
        <v>-1.139609342395645</v>
      </c>
      <c r="P95">
        <f>(AE95-AE$123)/AE$124</f>
        <v>0.57120496052663949</v>
      </c>
      <c r="Q95">
        <f>(AF95-AF$123)/AF$124</f>
        <v>-0.13331293949321008</v>
      </c>
      <c r="S95">
        <f>(E95-AVERAGE(E$2:E$122))/AVERAGE(E$2:E$122)*100+100</f>
        <v>78.982130250087195</v>
      </c>
      <c r="T95">
        <f>('2026_Fantasy_Starters'!G65-AVERAGE('2026_Fantasy_Starters'!G$2:'2026_Fantasy_Starters'!G$122))/AVERAGE('2026_Fantasy_Starters'!G$2:'2026_Fantasy_Starters'!G$122)*100+100</f>
        <v>79.843792706579478</v>
      </c>
      <c r="U95">
        <f>(AVERAGE('2026_Fantasy_Starters'!H$2:'2026_Fantasy_Starters'!H$122)-'2026_Fantasy_Starters'!H65)/AVERAGE('2026_Fantasy_Starters'!H$2:'2026_Fantasy_Starters'!H$122)*100+100</f>
        <v>128.05021245118058</v>
      </c>
      <c r="V95">
        <f>('2026_Fantasy_Starters'!I65-AVERAGE('2026_Fantasy_Starters'!I$2:'2026_Fantasy_Starters'!I$122))/AVERAGE('2026_Fantasy_Starters'!I$2:'2026_Fantasy_Starters'!I$122)*100+100</f>
        <v>50.300155120931656</v>
      </c>
      <c r="W95">
        <f>(AVERAGE('2026_Fantasy_Starters'!J$2:'2026_Fantasy_Starters'!J$122)-'2026_Fantasy_Starters'!J65)/AVERAGE('2026_Fantasy_Starters'!J$2:'2026_Fantasy_Starters'!J$122)*100+100</f>
        <v>118.42573636389838</v>
      </c>
      <c r="X95">
        <f>(AVERAGE('2026_Fantasy_Starters'!K$2:'2026_Fantasy_Starters'!K$122)-'2026_Fantasy_Starters'!K65)/AVERAGE('2026_Fantasy_Starters'!K$2:'2026_Fantasy_Starters'!K$122)*100+100</f>
        <v>113.8140586715123</v>
      </c>
      <c r="Y95">
        <f>(AVERAGE('2026_Fantasy_Starters'!L$2:'2026_Fantasy_Starters'!L$122)-'2026_Fantasy_Starters'!L65)/AVERAGE('2026_Fantasy_Starters'!L$2:'2026_Fantasy_Starters'!L$122)*100+100</f>
        <v>114.74340290895505</v>
      </c>
      <c r="Z95">
        <f>(AVERAGE('2026_Fantasy_Starters'!M$2:'2026_Fantasy_Starters'!M$122)-'2026_Fantasy_Starters'!M65)/AVERAGE('2026_Fantasy_Starters'!M$2:'2026_Fantasy_Starters'!M$122)*100+100</f>
        <v>121.48645827599319</v>
      </c>
      <c r="AA95">
        <f>(AVERAGE('2026_Fantasy_Starters'!N$2:'2026_Fantasy_Starters'!N$122)-'2026_Fantasy_Starters'!N65)/AVERAGE('2026_Fantasy_Starters'!N$2:'2026_Fantasy_Starters'!N$122)*100+100</f>
        <v>84.082679312737469</v>
      </c>
      <c r="AB95">
        <f>(AVERAGE('2026_Fantasy_Starters'!O$2:'2026_Fantasy_Starters'!O$122)-'2026_Fantasy_Starters'!O65)/AVERAGE('2026_Fantasy_Starters'!O$2:'2026_Fantasy_Starters'!O$122)*100+100</f>
        <v>90.275409596554383</v>
      </c>
      <c r="AC95">
        <f>('2026_Fantasy_Starters'!P65-AVERAGE('2026_Fantasy_Starters'!P$2:'2026_Fantasy_Starters'!P$122))/AVERAGE('2026_Fantasy_Starters'!P$2:'2026_Fantasy_Starters'!P$122)*100+100</f>
        <v>84.152735409068399</v>
      </c>
      <c r="AD95">
        <f>(AVERAGE('2026_Fantasy_Starters'!Q$2:'2026_Fantasy_Starters'!Q$122)-'2026_Fantasy_Starters'!Q65)/AVERAGE('2026_Fantasy_Starters'!Q$2:'2026_Fantasy_Starters'!Q$122)*100+100</f>
        <v>104.90389100871627</v>
      </c>
      <c r="AE95">
        <f>('2026_Fantasy_Starters'!R65-AVERAGE('2026_Fantasy_Starters'!R$2:'2026_Fantasy_Starters'!R$122))/AVERAGE('2026_Fantasy_Starters'!R$2:'2026_Fantasy_Starters'!R$122)*100+100</f>
        <v>106.48573115269966</v>
      </c>
      <c r="AF95">
        <f>('2026_Fantasy_Starters'!T65-AVERAGE('2026_Fantasy_Starters'!T$2:'2026_Fantasy_Starters'!T$122))/AVERAGE('2026_Fantasy_Starters'!T$2:'2026_Fantasy_Starters'!T$122)*100+100</f>
        <v>97.380037886652502</v>
      </c>
      <c r="AG95">
        <f>(AVERAGE('2026_Fantasy_Starters'!U$2:'2026_Fantasy_Starters'!U$122)-'2026_Fantasy_Starters'!U65)/AVERAGE('2026_Fantasy_Starters'!U$2:'2026_Fantasy_Starters'!U$122)*100+100</f>
        <v>92.532855257899129</v>
      </c>
      <c r="AH95">
        <f>(AVERAGE('2026_Fantasy_Starters'!V$2:'2026_Fantasy_Starters'!V$122)-'2026_Fantasy_Starters'!V65)/AVERAGE('2026_Fantasy_Starters'!V$2:'2026_Fantasy_Starters'!V$122)*100+100</f>
        <v>92.616858297762946</v>
      </c>
    </row>
    <row r="96" spans="1:34">
      <c r="A96" t="s">
        <v>263</v>
      </c>
      <c r="B96" t="s">
        <v>57</v>
      </c>
      <c r="C96" t="s">
        <v>16</v>
      </c>
      <c r="D96">
        <v>29</v>
      </c>
      <c r="E96">
        <v>163</v>
      </c>
      <c r="F96" s="4">
        <f>H96*1.5+I96+J96+K96*1.5+L96+M96+N96+O96+P96+Q96</f>
        <v>-4.2667700975472975</v>
      </c>
      <c r="G96">
        <v>691</v>
      </c>
      <c r="H96">
        <f>(S96-S$123)/S$124</f>
        <v>0.59728472421257539</v>
      </c>
      <c r="I96">
        <f>(T96-T$123)/T$124</f>
        <v>0.37770807178508453</v>
      </c>
      <c r="J96">
        <f>(U96-U$123)/U$124</f>
        <v>-1.2258352977212947</v>
      </c>
      <c r="K96">
        <f>(V96-V$123)/V$124</f>
        <v>0.30441828531769938</v>
      </c>
      <c r="L96">
        <f>(Z96-Z$123)/Z$124</f>
        <v>-0.97553560741558132</v>
      </c>
      <c r="M96">
        <f>(AB96-AB$123)/AB$124</f>
        <v>-0.69897798504798525</v>
      </c>
      <c r="N96">
        <f>(AG96-AG$123)/AG$124</f>
        <v>-0.93471278926512114</v>
      </c>
      <c r="O96">
        <f>(AH96-AH$123)/AH$124</f>
        <v>-0.89348186030293075</v>
      </c>
      <c r="P96">
        <f>(AE96-AE$123)/AE$124</f>
        <v>-0.32069654633194022</v>
      </c>
      <c r="Q96">
        <f>(AF96-AF$123)/AF$124</f>
        <v>-0.94779259754294087</v>
      </c>
      <c r="S96">
        <f>(E96-AVERAGE(E$2:E$122))/AVERAGE(E$2:E$122)*100+100</f>
        <v>112.93058974354572</v>
      </c>
      <c r="T96">
        <f>('2026_Fantasy_Starters'!G102-AVERAGE('2026_Fantasy_Starters'!G$2:'2026_Fantasy_Starters'!G$122))/AVERAGE('2026_Fantasy_Starters'!G$2:'2026_Fantasy_Starters'!G$122)*100+100</f>
        <v>109.35590262412495</v>
      </c>
      <c r="U96">
        <f>(AVERAGE('2026_Fantasy_Starters'!H$2:'2026_Fantasy_Starters'!H$122)-'2026_Fantasy_Starters'!H102)/AVERAGE('2026_Fantasy_Starters'!H$2:'2026_Fantasy_Starters'!H$122)*100+100</f>
        <v>72.058464128511844</v>
      </c>
      <c r="V96">
        <f>('2026_Fantasy_Starters'!I102-AVERAGE('2026_Fantasy_Starters'!I$2:'2026_Fantasy_Starters'!I$122))/AVERAGE('2026_Fantasy_Starters'!I$2:'2026_Fantasy_Starters'!I$122)*100+100</f>
        <v>110.29537197784062</v>
      </c>
      <c r="W96">
        <f>(AVERAGE('2026_Fantasy_Starters'!J$2:'2026_Fantasy_Starters'!J$122)-'2026_Fantasy_Starters'!J102)/AVERAGE('2026_Fantasy_Starters'!J$2:'2026_Fantasy_Starters'!J$122)*100+100</f>
        <v>87.822220908783166</v>
      </c>
      <c r="X96">
        <f>(AVERAGE('2026_Fantasy_Starters'!K$2:'2026_Fantasy_Starters'!K$122)-'2026_Fantasy_Starters'!K102)/AVERAGE('2026_Fantasy_Starters'!K$2:'2026_Fantasy_Starters'!K$122)*100+100</f>
        <v>75.967586473312309</v>
      </c>
      <c r="Y96">
        <f>(AVERAGE('2026_Fantasy_Starters'!L$2:'2026_Fantasy_Starters'!L$122)-'2026_Fantasy_Starters'!L102)/AVERAGE('2026_Fantasy_Starters'!L$2:'2026_Fantasy_Starters'!L$122)*100+100</f>
        <v>76.612607389775945</v>
      </c>
      <c r="Z96">
        <f>(AVERAGE('2026_Fantasy_Starters'!M$2:'2026_Fantasy_Starters'!M$122)-'2026_Fantasy_Starters'!M102)/AVERAGE('2026_Fantasy_Starters'!M$2:'2026_Fantasy_Starters'!M$122)*100+100</f>
        <v>75.195417782520295</v>
      </c>
      <c r="AA96">
        <f>(AVERAGE('2026_Fantasy_Starters'!N$2:'2026_Fantasy_Starters'!N$122)-'2026_Fantasy_Starters'!N102)/AVERAGE('2026_Fantasy_Starters'!N$2:'2026_Fantasy_Starters'!N$122)*100+100</f>
        <v>138.58611501037478</v>
      </c>
      <c r="AB96">
        <f>(AVERAGE('2026_Fantasy_Starters'!O$2:'2026_Fantasy_Starters'!O$122)-'2026_Fantasy_Starters'!O102)/AVERAGE('2026_Fantasy_Starters'!O$2:'2026_Fantasy_Starters'!O$122)*100+100</f>
        <v>78.332504045250687</v>
      </c>
      <c r="AC96">
        <f>('2026_Fantasy_Starters'!P102-AVERAGE('2026_Fantasy_Starters'!P$2:'2026_Fantasy_Starters'!P$122))/AVERAGE('2026_Fantasy_Starters'!P$2:'2026_Fantasy_Starters'!P$122)*100+100</f>
        <v>108.8805545927262</v>
      </c>
      <c r="AD96">
        <f>(AVERAGE('2026_Fantasy_Starters'!Q$2:'2026_Fantasy_Starters'!Q$122)-'2026_Fantasy_Starters'!Q102)/AVERAGE('2026_Fantasy_Starters'!Q$2:'2026_Fantasy_Starters'!Q$122)*100+100</f>
        <v>58.217317300803892</v>
      </c>
      <c r="AE96">
        <f>('2026_Fantasy_Starters'!R102-AVERAGE('2026_Fantasy_Starters'!R$2:'2026_Fantasy_Starters'!R$122))/AVERAGE('2026_Fantasy_Starters'!R$2:'2026_Fantasy_Starters'!R$122)*100+100</f>
        <v>96.358659807172117</v>
      </c>
      <c r="AF96">
        <f>('2026_Fantasy_Starters'!T102-AVERAGE('2026_Fantasy_Starters'!T$2:'2026_Fantasy_Starters'!T$122))/AVERAGE('2026_Fantasy_Starters'!T$2:'2026_Fantasy_Starters'!T$122)*100+100</f>
        <v>81.37329574823346</v>
      </c>
      <c r="AG96">
        <f>(AVERAGE('2026_Fantasy_Starters'!U$2:'2026_Fantasy_Starters'!U$122)-'2026_Fantasy_Starters'!U102)/AVERAGE('2026_Fantasy_Starters'!U$2:'2026_Fantasy_Starters'!U$122)*100+100</f>
        <v>91.223332409423023</v>
      </c>
      <c r="AH96">
        <f>(AVERAGE('2026_Fantasy_Starters'!V$2:'2026_Fantasy_Starters'!V$122)-'2026_Fantasy_Starters'!V102)/AVERAGE('2026_Fantasy_Starters'!V$2:'2026_Fantasy_Starters'!V$122)*100+100</f>
        <v>94.211434622738722</v>
      </c>
    </row>
    <row r="97" spans="1:34">
      <c r="A97" t="s">
        <v>261</v>
      </c>
      <c r="B97" t="s">
        <v>54</v>
      </c>
      <c r="C97" t="s">
        <v>16</v>
      </c>
      <c r="D97">
        <v>25</v>
      </c>
      <c r="E97">
        <v>146.66999999999999</v>
      </c>
      <c r="F97" s="4">
        <f>H97*1.5+I97+J97+K97*1.5+L97+M97+N97+O97+P97+Q97</f>
        <v>-4.3424056804889224</v>
      </c>
      <c r="G97">
        <v>621</v>
      </c>
      <c r="H97">
        <f>(S97-S$123)/S$124</f>
        <v>7.4680096324502884E-2</v>
      </c>
      <c r="I97">
        <f>(T97-T$123)/T$124</f>
        <v>-0.179146721265007</v>
      </c>
      <c r="J97">
        <f>(U97-U$123)/U$124</f>
        <v>-0.20493603764832094</v>
      </c>
      <c r="K97">
        <f>(V97-V$123)/V$124</f>
        <v>5.6186076963183652E-3</v>
      </c>
      <c r="L97">
        <f>(Z97-Z$123)/Z$124</f>
        <v>-0.3908958705344141</v>
      </c>
      <c r="M97">
        <f>(AB97-AB$123)/AB$124</f>
        <v>0.31843574747850917</v>
      </c>
      <c r="N97">
        <f>(AG97-AG$123)/AG$124</f>
        <v>-0.74819250109612045</v>
      </c>
      <c r="O97">
        <f>(AH97-AH$123)/AH$124</f>
        <v>-1.0040419047796332</v>
      </c>
      <c r="P97">
        <f>(AE97-AE$123)/AE$124</f>
        <v>-1.1508487600250596</v>
      </c>
      <c r="Q97">
        <f>(AF97-AF$123)/AF$124</f>
        <v>-1.103227688650108</v>
      </c>
      <c r="S97">
        <f>(E97-AVERAGE(E$2:E$122))/AVERAGE(E$2:E$122)*100+100</f>
        <v>101.6167459980727</v>
      </c>
      <c r="T97">
        <f>('2026_Fantasy_Starters'!G101-AVERAGE('2026_Fantasy_Starters'!G$2:'2026_Fantasy_Starters'!G$122))/AVERAGE('2026_Fantasy_Starters'!G$2:'2026_Fantasy_Starters'!G$122)*100+100</f>
        <v>95.5625007650344</v>
      </c>
      <c r="U97">
        <f>(AVERAGE('2026_Fantasy_Starters'!H$2:'2026_Fantasy_Starters'!H$122)-'2026_Fantasy_Starters'!H101)/AVERAGE('2026_Fantasy_Starters'!H$2:'2026_Fantasy_Starters'!H$122)*100+100</f>
        <v>95.328713687755894</v>
      </c>
      <c r="V97">
        <f>('2026_Fantasy_Starters'!I101-AVERAGE('2026_Fantasy_Starters'!I$2:'2026_Fantasy_Starters'!I$122))/AVERAGE('2026_Fantasy_Starters'!I$2:'2026_Fantasy_Starters'!I$122)*100+100</f>
        <v>100.19002030765265</v>
      </c>
      <c r="W97">
        <f>(AVERAGE('2026_Fantasy_Starters'!J$2:'2026_Fantasy_Starters'!J$122)-'2026_Fantasy_Starters'!J101)/AVERAGE('2026_Fantasy_Starters'!J$2:'2026_Fantasy_Starters'!J$122)*100+100</f>
        <v>90.105007718414811</v>
      </c>
      <c r="X97">
        <f>(AVERAGE('2026_Fantasy_Starters'!K$2:'2026_Fantasy_Starters'!K$122)-'2026_Fantasy_Starters'!K101)/AVERAGE('2026_Fantasy_Starters'!K$2:'2026_Fantasy_Starters'!K$122)*100+100</f>
        <v>84.984761540545918</v>
      </c>
      <c r="Y97">
        <f>(AVERAGE('2026_Fantasy_Starters'!L$2:'2026_Fantasy_Starters'!L$122)-'2026_Fantasy_Starters'!L101)/AVERAGE('2026_Fantasy_Starters'!L$2:'2026_Fantasy_Starters'!L$122)*100+100</f>
        <v>90.761639199271315</v>
      </c>
      <c r="Z97">
        <f>(AVERAGE('2026_Fantasy_Starters'!M$2:'2026_Fantasy_Starters'!M$122)-'2026_Fantasy_Starters'!M101)/AVERAGE('2026_Fantasy_Starters'!M$2:'2026_Fantasy_Starters'!M$122)*100+100</f>
        <v>90.060835621540093</v>
      </c>
      <c r="AA97">
        <f>(AVERAGE('2026_Fantasy_Starters'!N$2:'2026_Fantasy_Starters'!N$122)-'2026_Fantasy_Starters'!N101)/AVERAGE('2026_Fantasy_Starters'!N$2:'2026_Fantasy_Starters'!N$122)*100+100</f>
        <v>78.71483332191471</v>
      </c>
      <c r="AB97">
        <f>(AVERAGE('2026_Fantasy_Starters'!O$2:'2026_Fantasy_Starters'!O$122)-'2026_Fantasy_Starters'!O101)/AVERAGE('2026_Fantasy_Starters'!O$2:'2026_Fantasy_Starters'!O$122)*100+100</f>
        <v>109.87113388108278</v>
      </c>
      <c r="AC97">
        <f>('2026_Fantasy_Starters'!P101-AVERAGE('2026_Fantasy_Starters'!P$2:'2026_Fantasy_Starters'!P$122))/AVERAGE('2026_Fantasy_Starters'!P$2:'2026_Fantasy_Starters'!P$122)*100+100</f>
        <v>88.388654888449608</v>
      </c>
      <c r="AD97">
        <f>(AVERAGE('2026_Fantasy_Starters'!Q$2:'2026_Fantasy_Starters'!Q$122)-'2026_Fantasy_Starters'!Q101)/AVERAGE('2026_Fantasy_Starters'!Q$2:'2026_Fantasy_Starters'!Q$122)*100+100</f>
        <v>95.311752426735012</v>
      </c>
      <c r="AE97">
        <f>('2026_Fantasy_Starters'!R101-AVERAGE('2026_Fantasy_Starters'!R$2:'2026_Fantasy_Starters'!R$122))/AVERAGE('2026_Fantasy_Starters'!R$2:'2026_Fantasy_Starters'!R$122)*100+100</f>
        <v>86.932719127546306</v>
      </c>
      <c r="AF97">
        <f>('2026_Fantasy_Starters'!T101-AVERAGE('2026_Fantasy_Starters'!T$2:'2026_Fantasy_Starters'!T$122))/AVERAGE('2026_Fantasy_Starters'!T$2:'2026_Fantasy_Starters'!T$122)*100+100</f>
        <v>78.318573143409139</v>
      </c>
      <c r="AG97">
        <f>(AVERAGE('2026_Fantasy_Starters'!U$2:'2026_Fantasy_Starters'!U$122)-'2026_Fantasy_Starters'!U101)/AVERAGE('2026_Fantasy_Starters'!U$2:'2026_Fantasy_Starters'!U$122)*100+100</f>
        <v>92.974700944184377</v>
      </c>
      <c r="AH97">
        <f>(AVERAGE('2026_Fantasy_Starters'!V$2:'2026_Fantasy_Starters'!V$122)-'2026_Fantasy_Starters'!V101)/AVERAGE('2026_Fantasy_Starters'!V$2:'2026_Fantasy_Starters'!V$122)*100+100</f>
        <v>93.495153661702403</v>
      </c>
    </row>
    <row r="98" spans="1:34">
      <c r="A98" t="s">
        <v>130</v>
      </c>
      <c r="B98" t="s">
        <v>20</v>
      </c>
      <c r="C98" t="s">
        <v>16</v>
      </c>
      <c r="D98">
        <v>30</v>
      </c>
      <c r="E98">
        <v>140.66999999999999</v>
      </c>
      <c r="F98" s="4">
        <f>H98*1.5+I98+J98+K98*1.5+L98+M98+N98+O98+P98+Q98</f>
        <v>-4.4183380828453584</v>
      </c>
      <c r="G98">
        <v>598</v>
      </c>
      <c r="H98">
        <f>(S98-S$123)/S$124</f>
        <v>-0.11733630093994496</v>
      </c>
      <c r="I98">
        <f>(T98-T$123)/T$124</f>
        <v>-0.37702162186287258</v>
      </c>
      <c r="J98">
        <f>(U98-U$123)/U$124</f>
        <v>-0.32656533292356321</v>
      </c>
      <c r="K98">
        <f>(V98-V$123)/V$124</f>
        <v>-0.56034644068555628</v>
      </c>
      <c r="L98">
        <f>(Z98-Z$123)/Z$124</f>
        <v>0.3358014780730782</v>
      </c>
      <c r="M98">
        <f>(AB98-AB$123)/AB$124</f>
        <v>-0.61298183852832222</v>
      </c>
      <c r="N98">
        <f>(AG98-AG$123)/AG$124</f>
        <v>-0.29030816903879297</v>
      </c>
      <c r="O98">
        <f>(AH98-AH$123)/AH$124</f>
        <v>-0.78904502206206262</v>
      </c>
      <c r="P98">
        <f>(AE98-AE$123)/AE$124</f>
        <v>-0.53557881606424229</v>
      </c>
      <c r="Q98">
        <f>(AF98-AF$123)/AF$124</f>
        <v>-0.80611464800032906</v>
      </c>
      <c r="S98">
        <f>(E98-AVERAGE(E$2:E$122))/AVERAGE(E$2:E$122)*100+100</f>
        <v>97.459791774383902</v>
      </c>
      <c r="T98">
        <f>('2026_Fantasy_Starters'!G43-AVERAGE('2026_Fantasy_Starters'!G$2:'2026_Fantasy_Starters'!G$122))/AVERAGE('2026_Fantasy_Starters'!G$2:'2026_Fantasy_Starters'!G$122)*100+100</f>
        <v>90.661100874365886</v>
      </c>
      <c r="U98">
        <f>(AVERAGE('2026_Fantasy_Starters'!H$2:'2026_Fantasy_Starters'!H$122)-'2026_Fantasy_Starters'!H43)/AVERAGE('2026_Fantasy_Starters'!H$2:'2026_Fantasy_Starters'!H$122)*100+100</f>
        <v>92.556310801924084</v>
      </c>
      <c r="V98">
        <f>('2026_Fantasy_Starters'!I43-AVERAGE('2026_Fantasy_Starters'!I$2:'2026_Fantasy_Starters'!I$122))/AVERAGE('2026_Fantasy_Starters'!I$2:'2026_Fantasy_Starters'!I$122)*100+100</f>
        <v>81.049183568930061</v>
      </c>
      <c r="W98">
        <f>(AVERAGE('2026_Fantasy_Starters'!J$2:'2026_Fantasy_Starters'!J$122)-'2026_Fantasy_Starters'!J43)/AVERAGE('2026_Fantasy_Starters'!J$2:'2026_Fantasy_Starters'!J$122)*100+100</f>
        <v>99.329353071822126</v>
      </c>
      <c r="X98">
        <f>(AVERAGE('2026_Fantasy_Starters'!K$2:'2026_Fantasy_Starters'!K$122)-'2026_Fantasy_Starters'!K43)/AVERAGE('2026_Fantasy_Starters'!K$2:'2026_Fantasy_Starters'!K$122)*100+100</f>
        <v>96.722875361450363</v>
      </c>
      <c r="Y98">
        <f>(AVERAGE('2026_Fantasy_Starters'!L$2:'2026_Fantasy_Starters'!L$122)-'2026_Fantasy_Starters'!L43)/AVERAGE('2026_Fantasy_Starters'!L$2:'2026_Fantasy_Starters'!L$122)*100+100</f>
        <v>99.439159119005666</v>
      </c>
      <c r="Z98">
        <f>(AVERAGE('2026_Fantasy_Starters'!M$2:'2026_Fantasy_Starters'!M$122)-'2026_Fantasy_Starters'!M43)/AVERAGE('2026_Fantasy_Starters'!M$2:'2026_Fantasy_Starters'!M$122)*100+100</f>
        <v>108.53829968716506</v>
      </c>
      <c r="AA98">
        <f>(AVERAGE('2026_Fantasy_Starters'!N$2:'2026_Fantasy_Starters'!N$122)-'2026_Fantasy_Starters'!N43)/AVERAGE('2026_Fantasy_Starters'!N$2:'2026_Fantasy_Starters'!N$122)*100+100</f>
        <v>85.74365394696818</v>
      </c>
      <c r="AB98">
        <f>(AVERAGE('2026_Fantasy_Starters'!O$2:'2026_Fantasy_Starters'!O$122)-'2026_Fantasy_Starters'!O43)/AVERAGE('2026_Fantasy_Starters'!O$2:'2026_Fantasy_Starters'!O$122)*100+100</f>
        <v>80.998283507118728</v>
      </c>
      <c r="AC98">
        <f>('2026_Fantasy_Starters'!P43-AVERAGE('2026_Fantasy_Starters'!P$2:'2026_Fantasy_Starters'!P$122))/AVERAGE('2026_Fantasy_Starters'!P$2:'2026_Fantasy_Starters'!P$122)*100+100</f>
        <v>91.585331481216514</v>
      </c>
      <c r="AD98">
        <f>(AVERAGE('2026_Fantasy_Starters'!Q$2:'2026_Fantasy_Starters'!Q$122)-'2026_Fantasy_Starters'!Q43)/AVERAGE('2026_Fantasy_Starters'!Q$2:'2026_Fantasy_Starters'!Q$122)*100+100</f>
        <v>91.286949469661636</v>
      </c>
      <c r="AE98">
        <f>('2026_Fantasy_Starters'!R43-AVERAGE('2026_Fantasy_Starters'!R$2:'2026_Fantasy_Starters'!R$122))/AVERAGE('2026_Fantasy_Starters'!R$2:'2026_Fantasy_Starters'!R$122)*100+100</f>
        <v>93.918784933395315</v>
      </c>
      <c r="AF98">
        <f>('2026_Fantasy_Starters'!T43-AVERAGE('2026_Fantasy_Starters'!T$2:'2026_Fantasy_Starters'!T$122))/AVERAGE('2026_Fantasy_Starters'!T$2:'2026_Fantasy_Starters'!T$122)*100+100</f>
        <v>84.157653077007978</v>
      </c>
      <c r="AG98">
        <f>(AVERAGE('2026_Fantasy_Starters'!U$2:'2026_Fantasy_Starters'!U$122)-'2026_Fantasy_Starters'!U43)/AVERAGE('2026_Fantasy_Starters'!U$2:'2026_Fantasy_Starters'!U$122)*100+100</f>
        <v>97.274094965057984</v>
      </c>
      <c r="AH98">
        <f>(AVERAGE('2026_Fantasy_Starters'!V$2:'2026_Fantasy_Starters'!V$122)-'2026_Fantasy_Starters'!V43)/AVERAGE('2026_Fantasy_Starters'!V$2:'2026_Fantasy_Starters'!V$122)*100+100</f>
        <v>94.888045411173479</v>
      </c>
    </row>
    <row r="99" spans="1:34">
      <c r="A99" t="s">
        <v>257</v>
      </c>
      <c r="B99" t="s">
        <v>48</v>
      </c>
      <c r="C99" t="s">
        <v>16</v>
      </c>
      <c r="D99">
        <v>33</v>
      </c>
      <c r="E99">
        <v>126.33</v>
      </c>
      <c r="F99" s="4">
        <f>H99*1.5+I99+J99+K99*1.5+L99+M99+N99+O99+P99+Q99</f>
        <v>-4.6715495475832789</v>
      </c>
      <c r="G99">
        <v>531</v>
      </c>
      <c r="H99">
        <f>(S99-S$123)/S$124</f>
        <v>-0.57625549040197555</v>
      </c>
      <c r="I99">
        <f>(T99-T$123)/T$124</f>
        <v>-0.63142927546072747</v>
      </c>
      <c r="J99">
        <f>(U99-U$123)/U$124</f>
        <v>0.69359828221053454</v>
      </c>
      <c r="K99">
        <f>(V99-V$123)/V$124</f>
        <v>-1.3551402863314261</v>
      </c>
      <c r="L99">
        <f>(Z99-Z$123)/Z$124</f>
        <v>0.25493721666846964</v>
      </c>
      <c r="M99">
        <f>(AB99-AB$123)/AB$124</f>
        <v>0.49311372645111662</v>
      </c>
      <c r="N99">
        <f>(AG99-AG$123)/AG$124</f>
        <v>-0.88990950081781361</v>
      </c>
      <c r="O99">
        <f>(AH99-AH$123)/AH$124</f>
        <v>-0.2830991026804961</v>
      </c>
      <c r="P99">
        <f>(AE99-AE$123)/AE$124</f>
        <v>-0.66611978621649137</v>
      </c>
      <c r="Q99">
        <f>(AF99-AF$123)/AF$124</f>
        <v>-0.74554744263776884</v>
      </c>
      <c r="S99">
        <f>(E99-AVERAGE(E$2:E$122))/AVERAGE(E$2:E$122)*100+100</f>
        <v>87.524671179767665</v>
      </c>
      <c r="T99">
        <f>('2026_Fantasy_Starters'!G99-AVERAGE('2026_Fantasy_Starters'!G$2:'2026_Fantasy_Starters'!G$122))/AVERAGE('2026_Fantasy_Starters'!G$2:'2026_Fantasy_Starters'!G$122)*100+100</f>
        <v>84.359373663071409</v>
      </c>
      <c r="U99">
        <f>(AVERAGE('2026_Fantasy_Starters'!H$2:'2026_Fantasy_Starters'!H$122)-'2026_Fantasy_Starters'!H99)/AVERAGE('2026_Fantasy_Starters'!H$2:'2026_Fantasy_Starters'!H$122)*100+100</f>
        <v>115.80979216279231</v>
      </c>
      <c r="V99">
        <f>('2026_Fantasy_Starters'!I99-AVERAGE('2026_Fantasy_Starters'!I$2:'2026_Fantasy_Starters'!I$122))/AVERAGE('2026_Fantasy_Starters'!I$2:'2026_Fantasy_Starters'!I$122)*100+100</f>
        <v>54.169397822541775</v>
      </c>
      <c r="W99">
        <f>(AVERAGE('2026_Fantasy_Starters'!J$2:'2026_Fantasy_Starters'!J$122)-'2026_Fantasy_Starters'!J99)/AVERAGE('2026_Fantasy_Starters'!J$2:'2026_Fantasy_Starters'!J$122)*100+100</f>
        <v>111.91968348648459</v>
      </c>
      <c r="X99">
        <f>(AVERAGE('2026_Fantasy_Starters'!K$2:'2026_Fantasy_Starters'!K$122)-'2026_Fantasy_Starters'!K99)/AVERAGE('2026_Fantasy_Starters'!K$2:'2026_Fantasy_Starters'!K$122)*100+100</f>
        <v>110.73023608557348</v>
      </c>
      <c r="Y99">
        <f>(AVERAGE('2026_Fantasy_Starters'!L$2:'2026_Fantasy_Starters'!L$122)-'2026_Fantasy_Starters'!L99)/AVERAGE('2026_Fantasy_Starters'!L$2:'2026_Fantasy_Starters'!L$122)*100+100</f>
        <v>104.74082703395911</v>
      </c>
      <c r="Z99">
        <f>(AVERAGE('2026_Fantasy_Starters'!M$2:'2026_Fantasy_Starters'!M$122)-'2026_Fantasy_Starters'!M99)/AVERAGE('2026_Fantasy_Starters'!M$2:'2026_Fantasy_Starters'!M$122)*100+100</f>
        <v>106.48219409222915</v>
      </c>
      <c r="AA99">
        <f>(AVERAGE('2026_Fantasy_Starters'!N$2:'2026_Fantasy_Starters'!N$122)-'2026_Fantasy_Starters'!N99)/AVERAGE('2026_Fantasy_Starters'!N$2:'2026_Fantasy_Starters'!N$122)*100+100</f>
        <v>78.529436102915071</v>
      </c>
      <c r="AB99">
        <f>(AVERAGE('2026_Fantasy_Starters'!O$2:'2026_Fantasy_Starters'!O$122)-'2026_Fantasy_Starters'!O99)/AVERAGE('2026_Fantasy_Starters'!O$2:'2026_Fantasy_Starters'!O$122)*100+100</f>
        <v>115.28594591198376</v>
      </c>
      <c r="AC99">
        <f>('2026_Fantasy_Starters'!P99-AVERAGE('2026_Fantasy_Starters'!P$2:'2026_Fantasy_Starters'!P$122))/AVERAGE('2026_Fantasy_Starters'!P$2:'2026_Fantasy_Starters'!P$122)*100+100</f>
        <v>80.951005008550041</v>
      </c>
      <c r="AD99">
        <f>(AVERAGE('2026_Fantasy_Starters'!Q$2:'2026_Fantasy_Starters'!Q$122)-'2026_Fantasy_Starters'!Q99)/AVERAGE('2026_Fantasy_Starters'!Q$2:'2026_Fantasy_Starters'!Q$122)*100+100</f>
        <v>106.82495373792329</v>
      </c>
      <c r="AE99">
        <f>('2026_Fantasy_Starters'!R99-AVERAGE('2026_Fantasy_Starters'!R$2:'2026_Fantasy_Starters'!R$122))/AVERAGE('2026_Fantasy_Starters'!R$2:'2026_Fantasy_Starters'!R$122)*100+100</f>
        <v>92.436561046474779</v>
      </c>
      <c r="AF99">
        <f>('2026_Fantasy_Starters'!T99-AVERAGE('2026_Fantasy_Starters'!T$2:'2026_Fantasy_Starters'!T$122))/AVERAGE('2026_Fantasy_Starters'!T$2:'2026_Fantasy_Starters'!T$122)*100+100</f>
        <v>85.34796351472302</v>
      </c>
      <c r="AG99">
        <f>(AVERAGE('2026_Fantasy_Starters'!U$2:'2026_Fantasy_Starters'!U$122)-'2026_Fantasy_Starters'!U99)/AVERAGE('2026_Fantasy_Starters'!U$2:'2026_Fantasy_Starters'!U$122)*100+100</f>
        <v>91.644021603133439</v>
      </c>
      <c r="AH99">
        <f>(AVERAGE('2026_Fantasy_Starters'!V$2:'2026_Fantasy_Starters'!V$122)-'2026_Fantasy_Starters'!V99)/AVERAGE('2026_Fantasy_Starters'!V$2:'2026_Fantasy_Starters'!V$122)*100+100</f>
        <v>98.165897107799722</v>
      </c>
    </row>
    <row r="100" spans="1:34">
      <c r="A100" t="s">
        <v>211</v>
      </c>
      <c r="B100" t="s">
        <v>161</v>
      </c>
      <c r="C100" t="s">
        <v>16</v>
      </c>
      <c r="D100">
        <v>27</v>
      </c>
      <c r="E100">
        <v>156.33000000000001</v>
      </c>
      <c r="F100" s="4">
        <f>H100*1.5+I100+J100+K100*1.5+L100+M100+N100+O100+P100+Q100</f>
        <v>-4.6773194509797662</v>
      </c>
      <c r="G100">
        <v>652</v>
      </c>
      <c r="H100">
        <f>(S100-S$123)/S$124</f>
        <v>0.3838264959202643</v>
      </c>
      <c r="I100">
        <f>(T100-T$123)/T$124</f>
        <v>0.12311276277501061</v>
      </c>
      <c r="J100">
        <f>(U100-U$123)/U$124</f>
        <v>-0.56097219578552626</v>
      </c>
      <c r="K100">
        <f>(V100-V$123)/V$124</f>
        <v>0.26997382429403727</v>
      </c>
      <c r="L100">
        <f>(Z100-Z$123)/Z$124</f>
        <v>-1.519936340636391</v>
      </c>
      <c r="M100">
        <f>(AB100-AB$123)/AB$124</f>
        <v>0.69831672451556315</v>
      </c>
      <c r="N100">
        <f>(AG100-AG$123)/AG$124</f>
        <v>-1.2801777482178551</v>
      </c>
      <c r="O100">
        <f>(AH100-AH$123)/AH$124</f>
        <v>-0.11049692774477259</v>
      </c>
      <c r="P100">
        <f>(AE100-AE$123)/AE$124</f>
        <v>-1.9492997601241671</v>
      </c>
      <c r="Q100">
        <f>(AF100-AF$123)/AF$124</f>
        <v>-1.0585664460830801</v>
      </c>
      <c r="S100">
        <f>(E100-AVERAGE(E$2:E$122))/AVERAGE(E$2:E$122)*100+100</f>
        <v>108.30944229821168</v>
      </c>
      <c r="T100">
        <f>('2026_Fantasy_Starters'!G78-AVERAGE('2026_Fantasy_Starters'!G$2:'2026_Fantasy_Starters'!G$122))/AVERAGE('2026_Fantasy_Starters'!G$2:'2026_Fantasy_Starters'!G$122)*100+100</f>
        <v>103.04952715166064</v>
      </c>
      <c r="U100">
        <f>(AVERAGE('2026_Fantasy_Starters'!H$2:'2026_Fantasy_Starters'!H$122)-'2026_Fantasy_Starters'!H78)/AVERAGE('2026_Fantasy_Starters'!H$2:'2026_Fantasy_Starters'!H$122)*100+100</f>
        <v>87.213270199849916</v>
      </c>
      <c r="V100">
        <f>('2026_Fantasy_Starters'!I78-AVERAGE('2026_Fantasy_Starters'!I$2:'2026_Fantasy_Starters'!I$122))/AVERAGE('2026_Fantasy_Starters'!I$2:'2026_Fantasy_Starters'!I$122)*100+100</f>
        <v>109.13046646487268</v>
      </c>
      <c r="W100">
        <f>(AVERAGE('2026_Fantasy_Starters'!J$2:'2026_Fantasy_Starters'!J$122)-'2026_Fantasy_Starters'!J78)/AVERAGE('2026_Fantasy_Starters'!J$2:'2026_Fantasy_Starters'!J$122)*100+100</f>
        <v>80.983731136247911</v>
      </c>
      <c r="X100">
        <f>(AVERAGE('2026_Fantasy_Starters'!K$2:'2026_Fantasy_Starters'!K$122)-'2026_Fantasy_Starters'!K78)/AVERAGE('2026_Fantasy_Starters'!K$2:'2026_Fantasy_Starters'!K$122)*100+100</f>
        <v>75.24912801055828</v>
      </c>
      <c r="Y100">
        <f>(AVERAGE('2026_Fantasy_Starters'!L$2:'2026_Fantasy_Starters'!L$122)-'2026_Fantasy_Starters'!L78)/AVERAGE('2026_Fantasy_Starters'!L$2:'2026_Fantasy_Starters'!L$122)*100+100</f>
        <v>78.132702023005137</v>
      </c>
      <c r="Z100">
        <f>(AVERAGE('2026_Fantasy_Starters'!M$2:'2026_Fantasy_Starters'!M$122)-'2026_Fantasy_Starters'!M78)/AVERAGE('2026_Fantasy_Starters'!M$2:'2026_Fantasy_Starters'!M$122)*100+100</f>
        <v>61.353142171273227</v>
      </c>
      <c r="AA100">
        <f>(AVERAGE('2026_Fantasy_Starters'!N$2:'2026_Fantasy_Starters'!N$122)-'2026_Fantasy_Starters'!N78)/AVERAGE('2026_Fantasy_Starters'!N$2:'2026_Fantasy_Starters'!N$122)*100+100</f>
        <v>138.5861281529462</v>
      </c>
      <c r="AB100">
        <f>(AVERAGE('2026_Fantasy_Starters'!O$2:'2026_Fantasy_Starters'!O$122)-'2026_Fantasy_Starters'!O78)/AVERAGE('2026_Fantasy_Starters'!O$2:'2026_Fantasy_Starters'!O$122)*100+100</f>
        <v>121.64699765549265</v>
      </c>
      <c r="AC100">
        <f>('2026_Fantasy_Starters'!P78-AVERAGE('2026_Fantasy_Starters'!P$2:'2026_Fantasy_Starters'!P$122))/AVERAGE('2026_Fantasy_Starters'!P$2:'2026_Fantasy_Starters'!P$122)*100+100</f>
        <v>84.38518915317097</v>
      </c>
      <c r="AD100">
        <f>(AVERAGE('2026_Fantasy_Starters'!Q$2:'2026_Fantasy_Starters'!Q$122)-'2026_Fantasy_Starters'!Q78)/AVERAGE('2026_Fantasy_Starters'!Q$2:'2026_Fantasy_Starters'!Q$122)*100+100</f>
        <v>118.17196594218582</v>
      </c>
      <c r="AE100">
        <f>('2026_Fantasy_Starters'!R78-AVERAGE('2026_Fantasy_Starters'!R$2:'2026_Fantasy_Starters'!R$122))/AVERAGE('2026_Fantasy_Starters'!R$2:'2026_Fantasy_Starters'!R$122)*100+100</f>
        <v>77.866729013467946</v>
      </c>
      <c r="AF100">
        <f>('2026_Fantasy_Starters'!T78-AVERAGE('2026_Fantasy_Starters'!T$2:'2026_Fantasy_Starters'!T$122))/AVERAGE('2026_Fantasy_Starters'!T$2:'2026_Fantasy_Starters'!T$122)*100+100</f>
        <v>79.196288119205562</v>
      </c>
      <c r="AG100">
        <f>(AVERAGE('2026_Fantasy_Starters'!U$2:'2026_Fantasy_Starters'!U$122)-'2026_Fantasy_Starters'!U78)/AVERAGE('2026_Fantasy_Starters'!U$2:'2026_Fantasy_Starters'!U$122)*100+100</f>
        <v>87.979521964393925</v>
      </c>
      <c r="AH100">
        <f>(AVERAGE('2026_Fantasy_Starters'!V$2:'2026_Fantasy_Starters'!V$122)-'2026_Fantasy_Starters'!V78)/AVERAGE('2026_Fantasy_Starters'!V$2:'2026_Fantasy_Starters'!V$122)*100+100</f>
        <v>99.284127950823404</v>
      </c>
    </row>
    <row r="101" spans="1:34">
      <c r="A101" t="s">
        <v>943</v>
      </c>
      <c r="B101" t="s">
        <v>104</v>
      </c>
      <c r="C101" t="s">
        <v>16</v>
      </c>
      <c r="D101">
        <v>24</v>
      </c>
      <c r="E101">
        <v>128.33000000000001</v>
      </c>
      <c r="F101" s="4">
        <f>H101*1.5+I101+J101+K101*1.5+L101+M101+N101+O101+P101+Q101</f>
        <v>-4.8851604500332417</v>
      </c>
      <c r="G101">
        <v>543</v>
      </c>
      <c r="H101">
        <f>(S101-S$123)/S$124</f>
        <v>-0.51225002464715852</v>
      </c>
      <c r="I101">
        <f>(T101-T$123)/T$124</f>
        <v>-0.98846001153401097</v>
      </c>
      <c r="J101">
        <f>(U101-U$123)/U$124</f>
        <v>-0.30820619401409238</v>
      </c>
      <c r="K101">
        <f>(V101-V$123)/V$124</f>
        <v>-0.31979724435244566</v>
      </c>
      <c r="L101">
        <f>(Z101-Z$123)/Z$124</f>
        <v>-0.37554501765701481</v>
      </c>
      <c r="M101">
        <f>(AB101-AB$123)/AB$124</f>
        <v>0.41731517942380814</v>
      </c>
      <c r="N101">
        <f>(AG101-AG$123)/AG$124</f>
        <v>-1.4083368409610779</v>
      </c>
      <c r="O101">
        <f>(AH101-AH$123)/AH$124</f>
        <v>-0.36240921635567108</v>
      </c>
      <c r="P101">
        <f>(AE101-AE$123)/AE$124</f>
        <v>-0.31698880309540717</v>
      </c>
      <c r="Q101">
        <f>(AF101-AF$123)/AF$124</f>
        <v>-0.29445864234036873</v>
      </c>
      <c r="S101">
        <f>(E101-AVERAGE(E$2:E$122))/AVERAGE(E$2:E$122)*100+100</f>
        <v>88.910322587663956</v>
      </c>
      <c r="T101">
        <f>('2026_Fantasy_Starters'!G114-AVERAGE('2026_Fantasy_Starters'!G$2:'2026_Fantasy_Starters'!G$122))/AVERAGE('2026_Fantasy_Starters'!G$2:'2026_Fantasy_Starters'!G$122)*100+100</f>
        <v>75.515652678411229</v>
      </c>
      <c r="U101">
        <f>(AVERAGE('2026_Fantasy_Starters'!H$2:'2026_Fantasy_Starters'!H$122)-'2026_Fantasy_Starters'!H114)/AVERAGE('2026_Fantasy_Starters'!H$2:'2026_Fantasy_Starters'!H$122)*100+100</f>
        <v>92.974786709219458</v>
      </c>
      <c r="V101">
        <f>('2026_Fantasy_Starters'!I114-AVERAGE('2026_Fantasy_Starters'!I$2:'2026_Fantasy_Starters'!I$122))/AVERAGE('2026_Fantasy_Starters'!I$2:'2026_Fantasy_Starters'!I$122)*100+100</f>
        <v>89.184514377443733</v>
      </c>
      <c r="W101">
        <f>(AVERAGE('2026_Fantasy_Starters'!J$2:'2026_Fantasy_Starters'!J$122)-'2026_Fantasy_Starters'!J114)/AVERAGE('2026_Fantasy_Starters'!J$2:'2026_Fantasy_Starters'!J$122)*100+100</f>
        <v>107.50577138448398</v>
      </c>
      <c r="X101">
        <f>(AVERAGE('2026_Fantasy_Starters'!K$2:'2026_Fantasy_Starters'!K$122)-'2026_Fantasy_Starters'!K114)/AVERAGE('2026_Fantasy_Starters'!K$2:'2026_Fantasy_Starters'!K$122)*100+100</f>
        <v>102.01783969967335</v>
      </c>
      <c r="Y101">
        <f>(AVERAGE('2026_Fantasy_Starters'!L$2:'2026_Fantasy_Starters'!L$122)-'2026_Fantasy_Starters'!L114)/AVERAGE('2026_Fantasy_Starters'!L$2:'2026_Fantasy_Starters'!L$122)*100+100</f>
        <v>98.885472727471864</v>
      </c>
      <c r="Z101">
        <f>(AVERAGE('2026_Fantasy_Starters'!M$2:'2026_Fantasy_Starters'!M$122)-'2026_Fantasy_Starters'!M114)/AVERAGE('2026_Fantasy_Starters'!M$2:'2026_Fantasy_Starters'!M$122)*100+100</f>
        <v>90.451156066443829</v>
      </c>
      <c r="AA101">
        <f>(AVERAGE('2026_Fantasy_Starters'!N$2:'2026_Fantasy_Starters'!N$122)-'2026_Fantasy_Starters'!N114)/AVERAGE('2026_Fantasy_Starters'!N$2:'2026_Fantasy_Starters'!N$122)*100+100</f>
        <v>84.799433150563132</v>
      </c>
      <c r="AB101">
        <f>(AVERAGE('2026_Fantasy_Starters'!O$2:'2026_Fantasy_Starters'!O$122)-'2026_Fantasy_Starters'!O114)/AVERAGE('2026_Fantasy_Starters'!O$2:'2026_Fantasy_Starters'!O$122)*100+100</f>
        <v>112.93628004807628</v>
      </c>
      <c r="AC101">
        <f>('2026_Fantasy_Starters'!P114-AVERAGE('2026_Fantasy_Starters'!P$2:'2026_Fantasy_Starters'!P$122))/AVERAGE('2026_Fantasy_Starters'!P$2:'2026_Fantasy_Starters'!P$122)*100+100</f>
        <v>85.759179581528102</v>
      </c>
      <c r="AD101">
        <f>(AVERAGE('2026_Fantasy_Starters'!Q$2:'2026_Fantasy_Starters'!Q$122)-'2026_Fantasy_Starters'!Q114)/AVERAGE('2026_Fantasy_Starters'!Q$2:'2026_Fantasy_Starters'!Q$122)*100+100</f>
        <v>112.24638256661513</v>
      </c>
      <c r="AE101">
        <f>('2026_Fantasy_Starters'!R114-AVERAGE('2026_Fantasy_Starters'!R$2:'2026_Fantasy_Starters'!R$122))/AVERAGE('2026_Fantasy_Starters'!R$2:'2026_Fantasy_Starters'!R$122)*100+100</f>
        <v>96.400759276674663</v>
      </c>
      <c r="AF101">
        <f>('2026_Fantasy_Starters'!T114-AVERAGE('2026_Fantasy_Starters'!T$2:'2026_Fantasy_Starters'!T$122))/AVERAGE('2026_Fantasy_Starters'!T$2:'2026_Fantasy_Starters'!T$122)*100+100</f>
        <v>94.213086217945175</v>
      </c>
      <c r="AG101">
        <f>(AVERAGE('2026_Fantasy_Starters'!U$2:'2026_Fantasy_Starters'!U$122)-'2026_Fantasy_Starters'!U114)/AVERAGE('2026_Fantasy_Starters'!U$2:'2026_Fantasy_Starters'!U$122)*100+100</f>
        <v>86.776147228715459</v>
      </c>
      <c r="AH101">
        <f>(AVERAGE('2026_Fantasy_Starters'!V$2:'2026_Fantasy_Starters'!V$122)-'2026_Fantasy_Starters'!V114)/AVERAGE('2026_Fantasy_Starters'!V$2:'2026_Fantasy_Starters'!V$122)*100+100</f>
        <v>97.652073830032094</v>
      </c>
    </row>
    <row r="102" spans="1:34">
      <c r="A102" t="s">
        <v>276</v>
      </c>
      <c r="B102" t="s">
        <v>277</v>
      </c>
      <c r="C102" t="s">
        <v>16</v>
      </c>
      <c r="D102">
        <v>28</v>
      </c>
      <c r="E102">
        <v>156.33000000000001</v>
      </c>
      <c r="F102" s="4">
        <f>H102*1.5+I102+J102+K102*1.5+L102+M102+N102+O102+P102+Q102</f>
        <v>-4.8916282261833537</v>
      </c>
      <c r="G102">
        <v>662</v>
      </c>
      <c r="H102">
        <f>(S102-S$123)/S$124</f>
        <v>0.3838264959202643</v>
      </c>
      <c r="I102">
        <f>(T102-T$123)/T$124</f>
        <v>-0.39029242432305233</v>
      </c>
      <c r="J102">
        <f>(U102-U$123)/U$124</f>
        <v>-1.0940089930271364</v>
      </c>
      <c r="K102">
        <f>(V102-V$123)/V$124</f>
        <v>0.35370949678260355</v>
      </c>
      <c r="L102">
        <f>(Z102-Z$123)/Z$124</f>
        <v>-0.53411178099247669</v>
      </c>
      <c r="M102">
        <f>(AB102-AB$123)/AB$124</f>
        <v>-1.5691440591039125</v>
      </c>
      <c r="N102">
        <f>(AG102-AG$123)/AG$124</f>
        <v>-0.77009048701692995</v>
      </c>
      <c r="O102">
        <f>(AH102-AH$123)/AH$124</f>
        <v>-0.71699905227828353</v>
      </c>
      <c r="P102">
        <f>(AE102-AE$123)/AE$124</f>
        <v>-0.29907007715399209</v>
      </c>
      <c r="Q102">
        <f>(AF102-AF$123)/AF$124</f>
        <v>-0.62421534134187184</v>
      </c>
      <c r="S102">
        <f>(E102-AVERAGE(E$2:E$122))/AVERAGE(E$2:E$122)*100+100</f>
        <v>108.30944229821168</v>
      </c>
      <c r="T102">
        <f>('2026_Fantasy_Starters'!G107-AVERAGE('2026_Fantasy_Starters'!G$2:'2026_Fantasy_Starters'!G$122))/AVERAGE('2026_Fantasy_Starters'!G$2:'2026_Fantasy_Starters'!G$122)*100+100</f>
        <v>90.332380508463601</v>
      </c>
      <c r="U102">
        <f>(AVERAGE('2026_Fantasy_Starters'!H$2:'2026_Fantasy_Starters'!H$122)-'2026_Fantasy_Starters'!H107)/AVERAGE('2026_Fantasy_Starters'!H$2:'2026_Fantasy_Starters'!H$122)*100+100</f>
        <v>75.063296366794333</v>
      </c>
      <c r="V102">
        <f>('2026_Fantasy_Starters'!I107-AVERAGE('2026_Fantasy_Starters'!I$2:'2026_Fantasy_Starters'!I$122))/AVERAGE('2026_Fantasy_Starters'!I$2:'2026_Fantasy_Starters'!I$122)*100+100</f>
        <v>111.96239193605363</v>
      </c>
      <c r="W102">
        <f>(AVERAGE('2026_Fantasy_Starters'!J$2:'2026_Fantasy_Starters'!J$122)-'2026_Fantasy_Starters'!J107)/AVERAGE('2026_Fantasy_Starters'!J$2:'2026_Fantasy_Starters'!J$122)*100+100</f>
        <v>89.340839239185357</v>
      </c>
      <c r="X102">
        <f>(AVERAGE('2026_Fantasy_Starters'!K$2:'2026_Fantasy_Starters'!K$122)-'2026_Fantasy_Starters'!K107)/AVERAGE('2026_Fantasy_Starters'!K$2:'2026_Fantasy_Starters'!K$122)*100+100</f>
        <v>81.756649686411052</v>
      </c>
      <c r="Y102">
        <f>(AVERAGE('2026_Fantasy_Starters'!L$2:'2026_Fantasy_Starters'!L$122)-'2026_Fantasy_Starters'!L107)/AVERAGE('2026_Fantasy_Starters'!L$2:'2026_Fantasy_Starters'!L$122)*100+100</f>
        <v>83.343277645315951</v>
      </c>
      <c r="Z102">
        <f>(AVERAGE('2026_Fantasy_Starters'!M$2:'2026_Fantasy_Starters'!M$122)-'2026_Fantasy_Starters'!M107)/AVERAGE('2026_Fantasy_Starters'!M$2:'2026_Fantasy_Starters'!M$122)*100+100</f>
        <v>86.419337762513322</v>
      </c>
      <c r="AA102">
        <f>(AVERAGE('2026_Fantasy_Starters'!N$2:'2026_Fantasy_Starters'!N$122)-'2026_Fantasy_Starters'!N107)/AVERAGE('2026_Fantasy_Starters'!N$2:'2026_Fantasy_Starters'!N$122)*100+100</f>
        <v>82.431409054976655</v>
      </c>
      <c r="AB102">
        <f>(AVERAGE('2026_Fantasy_Starters'!O$2:'2026_Fantasy_Starters'!O$122)-'2026_Fantasy_Starters'!O107)/AVERAGE('2026_Fantasy_Starters'!O$2:'2026_Fantasy_Starters'!O$122)*100+100</f>
        <v>51.35837854647334</v>
      </c>
      <c r="AC102">
        <f>('2026_Fantasy_Starters'!P107-AVERAGE('2026_Fantasy_Starters'!P$2:'2026_Fantasy_Starters'!P$122))/AVERAGE('2026_Fantasy_Starters'!P$2:'2026_Fantasy_Starters'!P$122)*100+100</f>
        <v>104.69124906882209</v>
      </c>
      <c r="AD102">
        <f>(AVERAGE('2026_Fantasy_Starters'!Q$2:'2026_Fantasy_Starters'!Q$122)-'2026_Fantasy_Starters'!Q107)/AVERAGE('2026_Fantasy_Starters'!Q$2:'2026_Fantasy_Starters'!Q$122)*100+100</f>
        <v>77.648421474586186</v>
      </c>
      <c r="AE102">
        <f>('2026_Fantasy_Starters'!R107-AVERAGE('2026_Fantasy_Starters'!R$2:'2026_Fantasy_Starters'!R$122))/AVERAGE('2026_Fantasy_Starters'!R$2:'2026_Fantasy_Starters'!R$122)*100+100</f>
        <v>96.60421696189465</v>
      </c>
      <c r="AF102">
        <f>('2026_Fantasy_Starters'!T107-AVERAGE('2026_Fantasy_Starters'!T$2:'2026_Fantasy_Starters'!T$122))/AVERAGE('2026_Fantasy_Starters'!T$2:'2026_Fantasy_Starters'!T$122)*100+100</f>
        <v>87.73246954794476</v>
      </c>
      <c r="AG102">
        <f>(AVERAGE('2026_Fantasy_Starters'!U$2:'2026_Fantasy_Starters'!U$122)-'2026_Fantasy_Starters'!U107)/AVERAGE('2026_Fantasy_Starters'!U$2:'2026_Fantasy_Starters'!U$122)*100+100</f>
        <v>92.769085544954436</v>
      </c>
      <c r="AH102">
        <f>(AVERAGE('2026_Fantasy_Starters'!V$2:'2026_Fantasy_Starters'!V$122)-'2026_Fantasy_Starters'!V107)/AVERAGE('2026_Fantasy_Starters'!V$2:'2026_Fantasy_Starters'!V$122)*100+100</f>
        <v>95.354806768947654</v>
      </c>
    </row>
    <row r="103" spans="1:34">
      <c r="A103" t="s">
        <v>243</v>
      </c>
      <c r="B103" t="s">
        <v>20</v>
      </c>
      <c r="C103" t="s">
        <v>16</v>
      </c>
      <c r="D103">
        <v>30</v>
      </c>
      <c r="E103">
        <v>177.33</v>
      </c>
      <c r="F103" s="4">
        <f>H103*1.5+I103+J103+K103*1.5+L103+M103+N103+O103+P103+Q103</f>
        <v>-4.9133636674951617</v>
      </c>
      <c r="G103">
        <v>754</v>
      </c>
      <c r="H103">
        <f>(S103-S$123)/S$124</f>
        <v>1.055883886345832</v>
      </c>
      <c r="I103">
        <f>(T103-T$123)/T$124</f>
        <v>0.42530562148213086</v>
      </c>
      <c r="J103">
        <f>(U103-U$123)/U$124</f>
        <v>-1.8086216271476134</v>
      </c>
      <c r="K103">
        <f>(V103-V$123)/V$124</f>
        <v>0.83446904549860668</v>
      </c>
      <c r="L103">
        <f>(Z103-Z$123)/Z$124</f>
        <v>-0.77321986737954851</v>
      </c>
      <c r="M103">
        <f>(AB103-AB$123)/AB$124</f>
        <v>-2.0457371316343167</v>
      </c>
      <c r="N103">
        <f>(AG103-AG$123)/AG$124</f>
        <v>-0.64719504805347783</v>
      </c>
      <c r="O103">
        <f>(AH103-AH$123)/AH$124</f>
        <v>-0.87671769819937506</v>
      </c>
      <c r="P103">
        <f>(AE103-AE$123)/AE$124</f>
        <v>-1.123320806688098</v>
      </c>
      <c r="Q103">
        <f>(AF103-AF$123)/AF$124</f>
        <v>-0.89938650764152139</v>
      </c>
      <c r="S103">
        <f>(E103-AVERAGE(E$2:E$122))/AVERAGE(E$2:E$122)*100+100</f>
        <v>122.85878208112248</v>
      </c>
      <c r="T103">
        <f>('2026_Fantasy_Starters'!G93-AVERAGE('2026_Fantasy_Starters'!G$2:'2026_Fantasy_Starters'!G$122))/AVERAGE('2026_Fantasy_Starters'!G$2:'2026_Fantasy_Starters'!G$122)*100+100</f>
        <v>110.53490321579326</v>
      </c>
      <c r="U103">
        <f>(AVERAGE('2026_Fantasy_Starters'!H$2:'2026_Fantasy_Starters'!H$122)-'2026_Fantasy_Starters'!H93)/AVERAGE('2026_Fantasy_Starters'!H$2:'2026_Fantasy_Starters'!H$122)*100+100</f>
        <v>58.774505704938427</v>
      </c>
      <c r="V103">
        <f>('2026_Fantasy_Starters'!I93-AVERAGE('2026_Fantasy_Starters'!I$2:'2026_Fantasy_Starters'!I$122))/AVERAGE('2026_Fantasy_Starters'!I$2:'2026_Fantasy_Starters'!I$122)*100+100</f>
        <v>128.2215939112717</v>
      </c>
      <c r="W103">
        <f>(AVERAGE('2026_Fantasy_Starters'!J$2:'2026_Fantasy_Starters'!J$122)-'2026_Fantasy_Starters'!J93)/AVERAGE('2026_Fantasy_Starters'!J$2:'2026_Fantasy_Starters'!J$122)*100+100</f>
        <v>64.952264755034804</v>
      </c>
      <c r="X103">
        <f>(AVERAGE('2026_Fantasy_Starters'!K$2:'2026_Fantasy_Starters'!K$122)-'2026_Fantasy_Starters'!K93)/AVERAGE('2026_Fantasy_Starters'!K$2:'2026_Fantasy_Starters'!K$122)*100+100</f>
        <v>65.635117582612978</v>
      </c>
      <c r="Y103">
        <f>(AVERAGE('2026_Fantasy_Starters'!L$2:'2026_Fantasy_Starters'!L$122)-'2026_Fantasy_Starters'!L93)/AVERAGE('2026_Fantasy_Starters'!L$2:'2026_Fantasy_Starters'!L$122)*100+100</f>
        <v>69.096660112484415</v>
      </c>
      <c r="Z103">
        <f>(AVERAGE('2026_Fantasy_Starters'!M$2:'2026_Fantasy_Starters'!M$122)-'2026_Fantasy_Starters'!M93)/AVERAGE('2026_Fantasy_Starters'!M$2:'2026_Fantasy_Starters'!M$122)*100+100</f>
        <v>80.339625097421703</v>
      </c>
      <c r="AA103">
        <f>(AVERAGE('2026_Fantasy_Starters'!N$2:'2026_Fantasy_Starters'!N$122)-'2026_Fantasy_Starters'!N93)/AVERAGE('2026_Fantasy_Starters'!N$2:'2026_Fantasy_Starters'!N$122)*100+100</f>
        <v>78.526399554779587</v>
      </c>
      <c r="AB103">
        <f>(AVERAGE('2026_Fantasy_Starters'!O$2:'2026_Fantasy_Starters'!O$122)-'2026_Fantasy_Starters'!O93)/AVERAGE('2026_Fantasy_Starters'!O$2:'2026_Fantasy_Starters'!O$122)*100+100</f>
        <v>36.584553487583761</v>
      </c>
      <c r="AC103">
        <f>('2026_Fantasy_Starters'!P93-AVERAGE('2026_Fantasy_Starters'!P$2:'2026_Fantasy_Starters'!P$122))/AVERAGE('2026_Fantasy_Starters'!P$2:'2026_Fantasy_Starters'!P$122)*100+100</f>
        <v>107.24971486701293</v>
      </c>
      <c r="AD103">
        <f>(AVERAGE('2026_Fantasy_Starters'!Q$2:'2026_Fantasy_Starters'!Q$122)-'2026_Fantasy_Starters'!Q93)/AVERAGE('2026_Fantasy_Starters'!Q$2:'2026_Fantasy_Starters'!Q$122)*100+100</f>
        <v>83.623548169342399</v>
      </c>
      <c r="AE103">
        <f>('2026_Fantasy_Starters'!R93-AVERAGE('2026_Fantasy_Starters'!R$2:'2026_Fantasy_Starters'!R$122))/AVERAGE('2026_Fantasy_Starters'!R$2:'2026_Fantasy_Starters'!R$122)*100+100</f>
        <v>87.24528452327219</v>
      </c>
      <c r="AF103">
        <f>('2026_Fantasy_Starters'!T93-AVERAGE('2026_Fantasy_Starters'!T$2:'2026_Fantasy_Starters'!T$122))/AVERAGE('2026_Fantasy_Starters'!T$2:'2026_Fantasy_Starters'!T$122)*100+100</f>
        <v>82.324607166908379</v>
      </c>
      <c r="AG103">
        <f>(AVERAGE('2026_Fantasy_Starters'!U$2:'2026_Fantasy_Starters'!U$122)-'2026_Fantasy_Starters'!U93)/AVERAGE('2026_Fantasy_Starters'!U$2:'2026_Fantasy_Starters'!U$122)*100+100</f>
        <v>93.923036179382237</v>
      </c>
      <c r="AH103">
        <f>(AVERAGE('2026_Fantasy_Starters'!V$2:'2026_Fantasy_Starters'!V$122)-'2026_Fantasy_Starters'!V93)/AVERAGE('2026_Fantasy_Starters'!V$2:'2026_Fantasy_Starters'!V$122)*100+100</f>
        <v>94.320043932723522</v>
      </c>
    </row>
    <row r="104" spans="1:34">
      <c r="A104" t="s">
        <v>226</v>
      </c>
      <c r="B104" t="s">
        <v>48</v>
      </c>
      <c r="C104" t="s">
        <v>16</v>
      </c>
      <c r="D104">
        <v>35</v>
      </c>
      <c r="E104">
        <v>123</v>
      </c>
      <c r="F104" s="4">
        <f>H104*1.5+I104+J104+K104*1.5+L104+M104+N104+O104+P104+Q104</f>
        <v>-4.935108036916688</v>
      </c>
      <c r="G104">
        <v>524</v>
      </c>
      <c r="H104">
        <f>(S104-S$123)/S$124</f>
        <v>-0.68282459088374381</v>
      </c>
      <c r="I104">
        <f>(T104-T$123)/T$124</f>
        <v>-0.65467637337629081</v>
      </c>
      <c r="J104">
        <f>(U104-U$123)/U$124</f>
        <v>0.40933015169765613</v>
      </c>
      <c r="K104">
        <f>(V104-V$123)/V$124</f>
        <v>-1.4078889361769769</v>
      </c>
      <c r="L104">
        <f>(Z104-Z$123)/Z$124</f>
        <v>0.38218966924844144</v>
      </c>
      <c r="M104">
        <f>(AB104-AB$123)/AB$124</f>
        <v>0.37920491178276999</v>
      </c>
      <c r="N104">
        <f>(AG104-AG$123)/AG$124</f>
        <v>-1.1423317672150561</v>
      </c>
      <c r="O104">
        <f>(AH104-AH$123)/AH$124</f>
        <v>-0.71267336056332731</v>
      </c>
      <c r="P104">
        <f>(AE104-AE$123)/AE$124</f>
        <v>-6.5427290803524621E-2</v>
      </c>
      <c r="Q104">
        <f>(AF104-AF$123)/AF$124</f>
        <v>-0.39465368709627452</v>
      </c>
      <c r="S104">
        <f>(E104-AVERAGE(E$2:E$122))/AVERAGE(E$2:E$122)*100+100</f>
        <v>85.217561585620388</v>
      </c>
      <c r="T104">
        <f>('2026_Fantasy_Starters'!G85-AVERAGE('2026_Fantasy_Starters'!G$2:'2026_Fantasy_Starters'!G$122))/AVERAGE('2026_Fantasy_Starters'!G$2:'2026_Fantasy_Starters'!G$122)*100+100</f>
        <v>83.783538512491774</v>
      </c>
      <c r="U104">
        <f>(AVERAGE('2026_Fantasy_Starters'!H$2:'2026_Fantasy_Starters'!H$122)-'2026_Fantasy_Starters'!H85)/AVERAGE('2026_Fantasy_Starters'!H$2:'2026_Fantasy_Starters'!H$122)*100+100</f>
        <v>109.33022008601208</v>
      </c>
      <c r="V104">
        <f>('2026_Fantasy_Starters'!I85-AVERAGE('2026_Fantasy_Starters'!I$2:'2026_Fantasy_Starters'!I$122))/AVERAGE('2026_Fantasy_Starters'!I$2:'2026_Fantasy_Starters'!I$122)*100+100</f>
        <v>52.385447916503615</v>
      </c>
      <c r="W104">
        <f>(AVERAGE('2026_Fantasy_Starters'!J$2:'2026_Fantasy_Starters'!J$122)-'2026_Fantasy_Starters'!J85)/AVERAGE('2026_Fantasy_Starters'!J$2:'2026_Fantasy_Starters'!J$122)*100+100</f>
        <v>112.20745428394758</v>
      </c>
      <c r="X104">
        <f>(AVERAGE('2026_Fantasy_Starters'!K$2:'2026_Fantasy_Starters'!K$122)-'2026_Fantasy_Starters'!K85)/AVERAGE('2026_Fantasy_Starters'!K$2:'2026_Fantasy_Starters'!K$122)*100+100</f>
        <v>110.80861642270135</v>
      </c>
      <c r="Y104">
        <f>(AVERAGE('2026_Fantasy_Starters'!L$2:'2026_Fantasy_Starters'!L$122)-'2026_Fantasy_Starters'!L85)/AVERAGE('2026_Fantasy_Starters'!L$2:'2026_Fantasy_Starters'!L$122)*100+100</f>
        <v>105.22304983596095</v>
      </c>
      <c r="Z104">
        <f>(AVERAGE('2026_Fantasy_Starters'!M$2:'2026_Fantasy_Starters'!M$122)-'2026_Fantasy_Starters'!M85)/AVERAGE('2026_Fantasy_Starters'!M$2:'2026_Fantasy_Starters'!M$122)*100+100</f>
        <v>109.71779502611817</v>
      </c>
      <c r="AA104">
        <f>(AVERAGE('2026_Fantasy_Starters'!N$2:'2026_Fantasy_Starters'!N$122)-'2026_Fantasy_Starters'!N85)/AVERAGE('2026_Fantasy_Starters'!N$2:'2026_Fantasy_Starters'!N$122)*100+100</f>
        <v>83.387383240714513</v>
      </c>
      <c r="AB104">
        <f>(AVERAGE('2026_Fantasy_Starters'!O$2:'2026_Fantasy_Starters'!O$122)-'2026_Fantasy_Starters'!O85)/AVERAGE('2026_Fantasy_Starters'!O$2:'2026_Fantasy_Starters'!O$122)*100+100</f>
        <v>111.75490654617705</v>
      </c>
      <c r="AC104">
        <f>('2026_Fantasy_Starters'!P85-AVERAGE('2026_Fantasy_Starters'!P$2:'2026_Fantasy_Starters'!P$122))/AVERAGE('2026_Fantasy_Starters'!P$2:'2026_Fantasy_Starters'!P$122)*100+100</f>
        <v>84.632797369735684</v>
      </c>
      <c r="AD104">
        <f>(AVERAGE('2026_Fantasy_Starters'!Q$2:'2026_Fantasy_Starters'!Q$122)-'2026_Fantasy_Starters'!Q85)/AVERAGE('2026_Fantasy_Starters'!Q$2:'2026_Fantasy_Starters'!Q$122)*100+100</f>
        <v>105.91226365713484</v>
      </c>
      <c r="AE104">
        <f>('2026_Fantasy_Starters'!R85-AVERAGE('2026_Fantasy_Starters'!R$2:'2026_Fantasy_Starters'!R$122))/AVERAGE('2026_Fantasy_Starters'!R$2:'2026_Fantasy_Starters'!R$122)*100+100</f>
        <v>99.257107610182572</v>
      </c>
      <c r="AF104">
        <f>('2026_Fantasy_Starters'!T85-AVERAGE('2026_Fantasy_Starters'!T$2:'2026_Fantasy_Starters'!T$122))/AVERAGE('2026_Fantasy_Starters'!T$2:'2026_Fantasy_Starters'!T$122)*100+100</f>
        <v>92.243980876756638</v>
      </c>
      <c r="AG104">
        <f>(AVERAGE('2026_Fantasy_Starters'!U$2:'2026_Fantasy_Starters'!U$122)-'2026_Fantasy_Starters'!U85)/AVERAGE('2026_Fantasy_Starters'!U$2:'2026_Fantasy_Starters'!U$122)*100+100</f>
        <v>89.273853622046474</v>
      </c>
      <c r="AH104">
        <f>(AVERAGE('2026_Fantasy_Starters'!V$2:'2026_Fantasy_Starters'!V$122)-'2026_Fantasy_Starters'!V85)/AVERAGE('2026_Fantasy_Starters'!V$2:'2026_Fantasy_Starters'!V$122)*100+100</f>
        <v>95.382831455744778</v>
      </c>
    </row>
    <row r="105" spans="1:34">
      <c r="A105" t="s">
        <v>967</v>
      </c>
      <c r="B105" t="s">
        <v>140</v>
      </c>
      <c r="C105" t="s">
        <v>118</v>
      </c>
      <c r="D105">
        <v>32</v>
      </c>
      <c r="E105">
        <v>92.67</v>
      </c>
      <c r="F105" s="4">
        <f>H105*1.5+I105+J105+K105*1.5+L105+M105+N105+O105+P105+Q105</f>
        <v>-4.9573810345652269</v>
      </c>
      <c r="G105">
        <v>386</v>
      </c>
      <c r="H105">
        <f>(S105-S$123)/S$124</f>
        <v>-1.653467479055527</v>
      </c>
      <c r="I105">
        <f>(T105-T$123)/T$124</f>
        <v>-1.6315335674143325</v>
      </c>
      <c r="J105">
        <f>(U105-U$123)/U$124</f>
        <v>1.4008729141009173</v>
      </c>
      <c r="K105">
        <f>(V105-V$123)/V$124</f>
        <v>-2.0683162886351854</v>
      </c>
      <c r="L105">
        <f>(Z105-Z$123)/Z$124</f>
        <v>1.2298078499758087</v>
      </c>
      <c r="M105">
        <f>(AB105-AB$123)/AB$124</f>
        <v>0.68480836162885939</v>
      </c>
      <c r="N105">
        <f>(AG105-AG$123)/AG$124</f>
        <v>-0.8629968149466839</v>
      </c>
      <c r="O105">
        <f>(AH105-AH$123)/AH$124</f>
        <v>0.14608411119930706</v>
      </c>
      <c r="P105">
        <f>(AE105-AE$123)/AE$124</f>
        <v>-0.22831216667740772</v>
      </c>
      <c r="Q105">
        <f>(AF105-AF$123)/AF$124</f>
        <v>-0.1134360708956265</v>
      </c>
      <c r="S105">
        <f>(E105-AVERAGE(E$2:E$122))/AVERAGE(E$2:E$122)*100+100</f>
        <v>64.204157984873518</v>
      </c>
      <c r="T105">
        <f>('2026_Fantasy_Starters'!G117-AVERAGE('2026_Fantasy_Starters'!G$2:'2026_Fantasy_Starters'!G$122))/AVERAGE('2026_Fantasy_Starters'!G$2:'2026_Fantasy_Starters'!G$122)*100+100</f>
        <v>59.586595243839255</v>
      </c>
      <c r="U105">
        <f>(AVERAGE('2026_Fantasy_Starters'!H$2:'2026_Fantasy_Starters'!H$122)-'2026_Fantasy_Starters'!H117)/AVERAGE('2026_Fantasy_Starters'!H$2:'2026_Fantasy_Starters'!H$122)*100+100</f>
        <v>131.93132132310851</v>
      </c>
      <c r="V105">
        <f>('2026_Fantasy_Starters'!I117-AVERAGE('2026_Fantasy_Starters'!I$2:'2026_Fantasy_Starters'!I$122))/AVERAGE('2026_Fantasy_Starters'!I$2:'2026_Fantasy_Starters'!I$122)*100+100</f>
        <v>30.049912944280393</v>
      </c>
      <c r="W105">
        <f>(AVERAGE('2026_Fantasy_Starters'!J$2:'2026_Fantasy_Starters'!J$122)-'2026_Fantasy_Starters'!J117)/AVERAGE('2026_Fantasy_Starters'!J$2:'2026_Fantasy_Starters'!J$122)*100+100</f>
        <v>135.79951595889366</v>
      </c>
      <c r="X105">
        <f>(AVERAGE('2026_Fantasy_Starters'!K$2:'2026_Fantasy_Starters'!K$122)-'2026_Fantasy_Starters'!K117)/AVERAGE('2026_Fantasy_Starters'!K$2:'2026_Fantasy_Starters'!K$122)*100+100</f>
        <v>133.38960080768038</v>
      </c>
      <c r="Y105">
        <f>(AVERAGE('2026_Fantasy_Starters'!L$2:'2026_Fantasy_Starters'!L$122)-'2026_Fantasy_Starters'!L117)/AVERAGE('2026_Fantasy_Starters'!L$2:'2026_Fantasy_Starters'!L$122)*100+100</f>
        <v>130.28512503610062</v>
      </c>
      <c r="Z105">
        <f>(AVERAGE('2026_Fantasy_Starters'!M$2:'2026_Fantasy_Starters'!M$122)-'2026_Fantasy_Starters'!M117)/AVERAGE('2026_Fantasy_Starters'!M$2:'2026_Fantasy_Starters'!M$122)*100+100</f>
        <v>131.26986825959256</v>
      </c>
      <c r="AA105">
        <f>(AVERAGE('2026_Fantasy_Starters'!N$2:'2026_Fantasy_Starters'!N$122)-'2026_Fantasy_Starters'!N117)/AVERAGE('2026_Fantasy_Starters'!N$2:'2026_Fantasy_Starters'!N$122)*100+100</f>
        <v>78.873856470780566</v>
      </c>
      <c r="AB105">
        <f>(AVERAGE('2026_Fantasy_Starters'!O$2:'2026_Fantasy_Starters'!O$122)-'2026_Fantasy_Starters'!O117)/AVERAGE('2026_Fantasy_Starters'!O$2:'2026_Fantasy_Starters'!O$122)*100+100</f>
        <v>121.22825428379284</v>
      </c>
      <c r="AC105">
        <f>('2026_Fantasy_Starters'!P117-AVERAGE('2026_Fantasy_Starters'!P$2:'2026_Fantasy_Starters'!P$122))/AVERAGE('2026_Fantasy_Starters'!P$2:'2026_Fantasy_Starters'!P$122)*100+100</f>
        <v>62.575472010626633</v>
      </c>
      <c r="AD105">
        <f>(AVERAGE('2026_Fantasy_Starters'!Q$2:'2026_Fantasy_Starters'!Q$122)-'2026_Fantasy_Starters'!Q117)/AVERAGE('2026_Fantasy_Starters'!Q$2:'2026_Fantasy_Starters'!Q$122)*100+100</f>
        <v>137.40218627696186</v>
      </c>
      <c r="AE105">
        <f>('2026_Fantasy_Starters'!R117-AVERAGE('2026_Fantasy_Starters'!R$2:'2026_Fantasy_Starters'!R$122))/AVERAGE('2026_Fantasy_Starters'!R$2:'2026_Fantasy_Starters'!R$122)*100+100</f>
        <v>97.407635727471913</v>
      </c>
      <c r="AF105">
        <f>('2026_Fantasy_Starters'!T117-AVERAGE('2026_Fantasy_Starters'!T$2:'2026_Fantasy_Starters'!T$122))/AVERAGE('2026_Fantasy_Starters'!T$2:'2026_Fantasy_Starters'!T$122)*100+100</f>
        <v>97.770672455627007</v>
      </c>
      <c r="AG105">
        <f>(AVERAGE('2026_Fantasy_Starters'!U$2:'2026_Fantasy_Starters'!U$122)-'2026_Fantasy_Starters'!U117)/AVERAGE('2026_Fantasy_Starters'!U$2:'2026_Fantasy_Starters'!U$122)*100+100</f>
        <v>91.896723503196483</v>
      </c>
      <c r="AH105">
        <f>(AVERAGE('2026_Fantasy_Starters'!V$2:'2026_Fantasy_Starters'!V$122)-'2026_Fantasy_Starters'!V117)/AVERAGE('2026_Fantasy_Starters'!V$2:'2026_Fantasy_Starters'!V$122)*100+100</f>
        <v>100.94642931863164</v>
      </c>
    </row>
    <row r="106" spans="1:34">
      <c r="A106" t="s">
        <v>203</v>
      </c>
      <c r="B106" t="s">
        <v>204</v>
      </c>
      <c r="C106" t="s">
        <v>16</v>
      </c>
      <c r="D106">
        <v>29</v>
      </c>
      <c r="E106">
        <v>164.33</v>
      </c>
      <c r="F106" s="4">
        <f>H106*1.5+I106+J106+K106*1.5+L106+M106+N106+O106+P106+Q106</f>
        <v>-5.1994402601852361</v>
      </c>
      <c r="G106">
        <v>696</v>
      </c>
      <c r="H106">
        <f>(S106-S$123)/S$124</f>
        <v>0.63984835893952785</v>
      </c>
      <c r="I106">
        <f>(T106-T$123)/T$124</f>
        <v>0.22341201899612367</v>
      </c>
      <c r="J106">
        <f>(U106-U$123)/U$124</f>
        <v>-1.2138743610239358</v>
      </c>
      <c r="K106">
        <f>(V106-V$123)/V$124</f>
        <v>0.34659002278802847</v>
      </c>
      <c r="L106">
        <f>(Z106-Z$123)/Z$124</f>
        <v>-1.793393241474625</v>
      </c>
      <c r="M106">
        <f>(AB106-AB$123)/AB$124</f>
        <v>0.74485753009224054</v>
      </c>
      <c r="N106">
        <f>(AG106-AG$123)/AG$124</f>
        <v>-1.1700033026184937</v>
      </c>
      <c r="O106">
        <f>(AH106-AH$123)/AH$124</f>
        <v>-1.1345659861577242</v>
      </c>
      <c r="P106">
        <f>(AE106-AE$123)/AE$124</f>
        <v>-1.217606971074829</v>
      </c>
      <c r="Q106">
        <f>(AF106-AF$123)/AF$124</f>
        <v>-1.1179235195153265</v>
      </c>
      <c r="S106">
        <f>(E106-AVERAGE(E$2:E$122))/AVERAGE(E$2:E$122)*100+100</f>
        <v>113.85204792979674</v>
      </c>
      <c r="T106">
        <f>('2026_Fantasy_Starters'!G75-AVERAGE('2026_Fantasy_Starters'!G$2:'2026_Fantasy_Starters'!G$122))/AVERAGE('2026_Fantasy_Starters'!G$2:'2026_Fantasy_Starters'!G$122)*100+100</f>
        <v>105.5339592953582</v>
      </c>
      <c r="U106">
        <f>(AVERAGE('2026_Fantasy_Starters'!H$2:'2026_Fantasy_Starters'!H$122)-'2026_Fantasy_Starters'!H75)/AVERAGE('2026_Fantasy_Starters'!H$2:'2026_Fantasy_Starters'!H$122)*100+100</f>
        <v>72.331100217884625</v>
      </c>
      <c r="V106">
        <f>('2026_Fantasy_Starters'!I75-AVERAGE('2026_Fantasy_Starters'!I$2:'2026_Fantasy_Starters'!I$122))/AVERAGE('2026_Fantasy_Starters'!I$2:'2026_Fantasy_Starters'!I$122)*100+100</f>
        <v>111.72161259855682</v>
      </c>
      <c r="W106">
        <f>(AVERAGE('2026_Fantasy_Starters'!J$2:'2026_Fantasy_Starters'!J$122)-'2026_Fantasy_Starters'!J75)/AVERAGE('2026_Fantasy_Starters'!J$2:'2026_Fantasy_Starters'!J$122)*100+100</f>
        <v>74.860829465068079</v>
      </c>
      <c r="X106">
        <f>(AVERAGE('2026_Fantasy_Starters'!K$2:'2026_Fantasy_Starters'!K$122)-'2026_Fantasy_Starters'!K75)/AVERAGE('2026_Fantasy_Starters'!K$2:'2026_Fantasy_Starters'!K$122)*100+100</f>
        <v>64.038867851949846</v>
      </c>
      <c r="Y106">
        <f>(AVERAGE('2026_Fantasy_Starters'!L$2:'2026_Fantasy_Starters'!L$122)-'2026_Fantasy_Starters'!L75)/AVERAGE('2026_Fantasy_Starters'!L$2:'2026_Fantasy_Starters'!L$122)*100+100</f>
        <v>73.079321776734929</v>
      </c>
      <c r="Z106">
        <f>(AVERAGE('2026_Fantasy_Starters'!M$2:'2026_Fantasy_Starters'!M$122)-'2026_Fantasy_Starters'!M75)/AVERAGE('2026_Fantasy_Starters'!M$2:'2026_Fantasy_Starters'!M$122)*100+100</f>
        <v>54.400054935689028</v>
      </c>
      <c r="AA106">
        <f>(AVERAGE('2026_Fantasy_Starters'!N$2:'2026_Fantasy_Starters'!N$122)-'2026_Fantasy_Starters'!N75)/AVERAGE('2026_Fantasy_Starters'!N$2:'2026_Fantasy_Starters'!N$122)*100+100</f>
        <v>138.58609818297026</v>
      </c>
      <c r="AB106">
        <f>(AVERAGE('2026_Fantasy_Starters'!O$2:'2026_Fantasy_Starters'!O$122)-'2026_Fantasy_Starters'!O75)/AVERAGE('2026_Fantasy_Starters'!O$2:'2026_Fantasy_Starters'!O$122)*100+100</f>
        <v>123.08970792410605</v>
      </c>
      <c r="AC106">
        <f>('2026_Fantasy_Starters'!P75-AVERAGE('2026_Fantasy_Starters'!P$2:'2026_Fantasy_Starters'!P$122))/AVERAGE('2026_Fantasy_Starters'!P$2:'2026_Fantasy_Starters'!P$122)*100+100</f>
        <v>98.167714283532931</v>
      </c>
      <c r="AD106">
        <f>(AVERAGE('2026_Fantasy_Starters'!Q$2:'2026_Fantasy_Starters'!Q$122)-'2026_Fantasy_Starters'!Q75)/AVERAGE('2026_Fantasy_Starters'!Q$2:'2026_Fantasy_Starters'!Q$122)*100+100</f>
        <v>84.746020296567039</v>
      </c>
      <c r="AE106">
        <f>('2026_Fantasy_Starters'!R75-AVERAGE('2026_Fantasy_Starters'!R$2:'2026_Fantasy_Starters'!R$122))/AVERAGE('2026_Fantasy_Starters'!R$2:'2026_Fantasy_Starters'!R$122)*100+100</f>
        <v>86.17471484007514</v>
      </c>
      <c r="AF106">
        <f>('2026_Fantasy_Starters'!T75-AVERAGE('2026_Fantasy_Starters'!T$2:'2026_Fantasy_Starters'!T$122))/AVERAGE('2026_Fantasy_Starters'!T$2:'2026_Fantasy_Starters'!T$122)*100+100</f>
        <v>78.02976006766869</v>
      </c>
      <c r="AG106">
        <f>(AVERAGE('2026_Fantasy_Starters'!U$2:'2026_Fantasy_Starters'!U$122)-'2026_Fantasy_Starters'!U75)/AVERAGE('2026_Fantasy_Starters'!U$2:'2026_Fantasy_Starters'!U$122)*100+100</f>
        <v>89.014026356659642</v>
      </c>
      <c r="AH106">
        <f>(AVERAGE('2026_Fantasy_Starters'!V$2:'2026_Fantasy_Starters'!V$122)-'2026_Fantasy_Starters'!V75)/AVERAGE('2026_Fantasy_Starters'!V$2:'2026_Fantasy_Starters'!V$122)*100+100</f>
        <v>92.649532489149578</v>
      </c>
    </row>
    <row r="107" spans="1:34">
      <c r="A107" t="s">
        <v>241</v>
      </c>
      <c r="B107" t="s">
        <v>54</v>
      </c>
      <c r="C107" t="s">
        <v>16</v>
      </c>
      <c r="D107">
        <v>28</v>
      </c>
      <c r="E107">
        <v>165.67</v>
      </c>
      <c r="F107" s="4">
        <f>H107*1.5+I107+J107+K107*1.5+L107+M107+N107+O107+P107+Q107</f>
        <v>-5.2574323914868284</v>
      </c>
      <c r="G107">
        <v>701</v>
      </c>
      <c r="H107">
        <f>(S107-S$123)/S$124</f>
        <v>0.68273202099525365</v>
      </c>
      <c r="I107">
        <f>(T107-T$123)/T$124</f>
        <v>0.42541977895281136</v>
      </c>
      <c r="J107">
        <f>(U107-U$123)/U$124</f>
        <v>-1.2730105973944557</v>
      </c>
      <c r="K107">
        <f>(V107-V$123)/V$124</f>
        <v>0.4020829091293196</v>
      </c>
      <c r="L107">
        <f>(Z107-Z$123)/Z$124</f>
        <v>-0.78999736268614684</v>
      </c>
      <c r="M107">
        <f>(AB107-AB$123)/AB$124</f>
        <v>0.14520211102636385</v>
      </c>
      <c r="N107">
        <f>(AG107-AG$123)/AG$124</f>
        <v>-1.0241926098508565</v>
      </c>
      <c r="O107">
        <f>(AH107-AH$123)/AH$124</f>
        <v>-0.8245637640528436</v>
      </c>
      <c r="P107">
        <f>(AE107-AE$123)/AE$124</f>
        <v>-1.9745544785297144</v>
      </c>
      <c r="Q107">
        <f>(AF107-AF$123)/AF$124</f>
        <v>-1.5689578641388469</v>
      </c>
      <c r="S107">
        <f>(E107-AVERAGE(E$2:E$122))/AVERAGE(E$2:E$122)*100+100</f>
        <v>114.78043437308722</v>
      </c>
      <c r="T107">
        <f>('2026_Fantasy_Starters'!G92-AVERAGE('2026_Fantasy_Starters'!G$2:'2026_Fantasy_Starters'!G$122))/AVERAGE('2026_Fantasy_Starters'!G$2:'2026_Fantasy_Starters'!G$122)*100+100</f>
        <v>110.53773091861268</v>
      </c>
      <c r="U107">
        <f>(AVERAGE('2026_Fantasy_Starters'!H$2:'2026_Fantasy_Starters'!H$122)-'2026_Fantasy_Starters'!H92)/AVERAGE('2026_Fantasy_Starters'!H$2:'2026_Fantasy_Starters'!H$122)*100+100</f>
        <v>70.983156270664921</v>
      </c>
      <c r="V107">
        <f>('2026_Fantasy_Starters'!I92-AVERAGE('2026_Fantasy_Starters'!I$2:'2026_Fantasy_Starters'!I$122))/AVERAGE('2026_Fantasy_Starters'!I$2:'2026_Fantasy_Starters'!I$122)*100+100</f>
        <v>113.59837209219688</v>
      </c>
      <c r="W107">
        <f>(AVERAGE('2026_Fantasy_Starters'!J$2:'2026_Fantasy_Starters'!J$122)-'2026_Fantasy_Starters'!J92)/AVERAGE('2026_Fantasy_Starters'!J$2:'2026_Fantasy_Starters'!J$122)*100+100</f>
        <v>73.899057156496099</v>
      </c>
      <c r="X107">
        <f>(AVERAGE('2026_Fantasy_Starters'!K$2:'2026_Fantasy_Starters'!K$122)-'2026_Fantasy_Starters'!K92)/AVERAGE('2026_Fantasy_Starters'!K$2:'2026_Fantasy_Starters'!K$122)*100+100</f>
        <v>66.071128082090354</v>
      </c>
      <c r="Y107">
        <f>(AVERAGE('2026_Fantasy_Starters'!L$2:'2026_Fantasy_Starters'!L$122)-'2026_Fantasy_Starters'!L92)/AVERAGE('2026_Fantasy_Starters'!L$2:'2026_Fantasy_Starters'!L$122)*100+100</f>
        <v>73.622824268070474</v>
      </c>
      <c r="Z107">
        <f>(AVERAGE('2026_Fantasy_Starters'!M$2:'2026_Fantasy_Starters'!M$122)-'2026_Fantasy_Starters'!M92)/AVERAGE('2026_Fantasy_Starters'!M$2:'2026_Fantasy_Starters'!M$122)*100+100</f>
        <v>79.913029944387361</v>
      </c>
      <c r="AA107">
        <f>(AVERAGE('2026_Fantasy_Starters'!N$2:'2026_Fantasy_Starters'!N$122)-'2026_Fantasy_Starters'!N92)/AVERAGE('2026_Fantasy_Starters'!N$2:'2026_Fantasy_Starters'!N$122)*100+100</f>
        <v>138.58609437530941</v>
      </c>
      <c r="AB107">
        <f>(AVERAGE('2026_Fantasy_Starters'!O$2:'2026_Fantasy_Starters'!O$122)-'2026_Fantasy_Starters'!O92)/AVERAGE('2026_Fantasy_Starters'!O$2:'2026_Fantasy_Starters'!O$122)*100+100</f>
        <v>104.50109477062971</v>
      </c>
      <c r="AC107">
        <f>('2026_Fantasy_Starters'!P92-AVERAGE('2026_Fantasy_Starters'!P$2:'2026_Fantasy_Starters'!P$122))/AVERAGE('2026_Fantasy_Starters'!P$2:'2026_Fantasy_Starters'!P$122)*100+100</f>
        <v>89.097491419000946</v>
      </c>
      <c r="AD107">
        <f>(AVERAGE('2026_Fantasy_Starters'!Q$2:'2026_Fantasy_Starters'!Q$122)-'2026_Fantasy_Starters'!Q92)/AVERAGE('2026_Fantasy_Starters'!Q$2:'2026_Fantasy_Starters'!Q$122)*100+100</f>
        <v>92.589297698463469</v>
      </c>
      <c r="AE107">
        <f>('2026_Fantasy_Starters'!R92-AVERAGE('2026_Fantasy_Starters'!R$2:'2026_Fantasy_Starters'!R$122))/AVERAGE('2026_Fantasy_Starters'!R$2:'2026_Fantasy_Starters'!R$122)*100+100</f>
        <v>77.579975001800221</v>
      </c>
      <c r="AF107">
        <f>('2026_Fantasy_Starters'!T92-AVERAGE('2026_Fantasy_Starters'!T$2:'2026_Fantasy_Starters'!T$122))/AVERAGE('2026_Fantasy_Starters'!T$2:'2026_Fantasy_Starters'!T$122)*100+100</f>
        <v>69.165707566656195</v>
      </c>
      <c r="AG107">
        <f>(AVERAGE('2026_Fantasy_Starters'!U$2:'2026_Fantasy_Starters'!U$122)-'2026_Fantasy_Starters'!U92)/AVERAGE('2026_Fantasy_Starters'!U$2:'2026_Fantasy_Starters'!U$122)*100+100</f>
        <v>90.383144225025859</v>
      </c>
      <c r="AH107">
        <f>(AVERAGE('2026_Fantasy_Starters'!V$2:'2026_Fantasy_Starters'!V$122)-'2026_Fantasy_Starters'!V92)/AVERAGE('2026_Fantasy_Starters'!V$2:'2026_Fantasy_Starters'!V$122)*100+100</f>
        <v>94.657931550706294</v>
      </c>
    </row>
    <row r="108" spans="1:34">
      <c r="A108" t="s">
        <v>215</v>
      </c>
      <c r="B108" t="s">
        <v>63</v>
      </c>
      <c r="C108" t="s">
        <v>16</v>
      </c>
      <c r="D108">
        <v>28</v>
      </c>
      <c r="E108">
        <v>144</v>
      </c>
      <c r="F108" s="4">
        <f>H108*1.5+I108+J108+K108*1.5+L108+M108+N108+O108+P108+Q108</f>
        <v>-5.2921467375444475</v>
      </c>
      <c r="G108">
        <v>619</v>
      </c>
      <c r="H108">
        <f>(S108-S$123)/S$124</f>
        <v>-1.0767200458176038E-2</v>
      </c>
      <c r="I108">
        <f>(T108-T$123)/T$124</f>
        <v>0.58113056896777293</v>
      </c>
      <c r="J108">
        <f>(U108-U$123)/U$124</f>
        <v>-0.62490134020241783</v>
      </c>
      <c r="K108">
        <f>(V108-V$123)/V$124</f>
        <v>0.15568083998823357</v>
      </c>
      <c r="L108">
        <f>(Z108-Z$123)/Z$124</f>
        <v>1.1706705526805168</v>
      </c>
      <c r="M108">
        <f>(AB108-AB$123)/AB$124</f>
        <v>-1.4460206933063746</v>
      </c>
      <c r="N108">
        <f>(AG108-AG$123)/AG$124</f>
        <v>4.5945703346668802E-2</v>
      </c>
      <c r="O108">
        <f>(AH108-AH$123)/AH$124</f>
        <v>-1.4864856832827018</v>
      </c>
      <c r="P108">
        <f>(AE108-AE$123)/AE$124</f>
        <v>-1.7309033133606837</v>
      </c>
      <c r="Q108">
        <f>(AF108-AF$123)/AF$124</f>
        <v>-2.0189529916823146</v>
      </c>
      <c r="S108">
        <f>(E108-AVERAGE(E$2:E$122))/AVERAGE(E$2:E$122)*100+100</f>
        <v>99.766901368531194</v>
      </c>
      <c r="T108">
        <f>('2026_Fantasy_Starters'!G80-AVERAGE('2026_Fantasy_Starters'!G$2:'2026_Fantasy_Starters'!G$122))/AVERAGE('2026_Fantasy_Starters'!G$2:'2026_Fantasy_Starters'!G$122)*100+100</f>
        <v>114.39471756446459</v>
      </c>
      <c r="U108">
        <f>(AVERAGE('2026_Fantasy_Starters'!H$2:'2026_Fantasy_Starters'!H$122)-'2026_Fantasy_Starters'!H80)/AVERAGE('2026_Fantasy_Starters'!H$2:'2026_Fantasy_Starters'!H$122)*100+100</f>
        <v>85.756077308375311</v>
      </c>
      <c r="V108">
        <f>('2026_Fantasy_Starters'!I80-AVERAGE('2026_Fantasy_Starters'!I$2:'2026_Fantasy_Starters'!I$122))/AVERAGE('2026_Fantasy_Starters'!I$2:'2026_Fantasy_Starters'!I$122)*100+100</f>
        <v>105.26509817184218</v>
      </c>
      <c r="W108">
        <f>(AVERAGE('2026_Fantasy_Starters'!J$2:'2026_Fantasy_Starters'!J$122)-'2026_Fantasy_Starters'!J80)/AVERAGE('2026_Fantasy_Starters'!J$2:'2026_Fantasy_Starters'!J$122)*100+100</f>
        <v>93.41524721013252</v>
      </c>
      <c r="X108">
        <f>(AVERAGE('2026_Fantasy_Starters'!K$2:'2026_Fantasy_Starters'!K$122)-'2026_Fantasy_Starters'!K80)/AVERAGE('2026_Fantasy_Starters'!K$2:'2026_Fantasy_Starters'!K$122)*100+100</f>
        <v>99.894718441436737</v>
      </c>
      <c r="Y108">
        <f>(AVERAGE('2026_Fantasy_Starters'!L$2:'2026_Fantasy_Starters'!L$122)-'2026_Fantasy_Starters'!L80)/AVERAGE('2026_Fantasy_Starters'!L$2:'2026_Fantasy_Starters'!L$122)*100+100</f>
        <v>100.222583416525</v>
      </c>
      <c r="Z108">
        <f>(AVERAGE('2026_Fantasy_Starters'!M$2:'2026_Fantasy_Starters'!M$122)-'2026_Fantasy_Starters'!M80)/AVERAGE('2026_Fantasy_Starters'!M$2:'2026_Fantasy_Starters'!M$122)*100+100</f>
        <v>129.76620612596045</v>
      </c>
      <c r="AA108">
        <f>(AVERAGE('2026_Fantasy_Starters'!N$2:'2026_Fantasy_Starters'!N$122)-'2026_Fantasy_Starters'!N80)/AVERAGE('2026_Fantasy_Starters'!N$2:'2026_Fantasy_Starters'!N$122)*100+100</f>
        <v>77.172221054322335</v>
      </c>
      <c r="AB108">
        <f>(AVERAGE('2026_Fantasy_Starters'!O$2:'2026_Fantasy_Starters'!O$122)-'2026_Fantasy_Starters'!O80)/AVERAGE('2026_Fantasy_Starters'!O$2:'2026_Fantasy_Starters'!O$122)*100+100</f>
        <v>55.175058166461831</v>
      </c>
      <c r="AC108">
        <f>('2026_Fantasy_Starters'!P80-AVERAGE('2026_Fantasy_Starters'!P$2:'2026_Fantasy_Starters'!P$122))/AVERAGE('2026_Fantasy_Starters'!P$2:'2026_Fantasy_Starters'!P$122)*100+100</f>
        <v>80.205001974896604</v>
      </c>
      <c r="AD108">
        <f>(AVERAGE('2026_Fantasy_Starters'!Q$2:'2026_Fantasy_Starters'!Q$122)-'2026_Fantasy_Starters'!Q80)/AVERAGE('2026_Fantasy_Starters'!Q$2:'2026_Fantasy_Starters'!Q$122)*100+100</f>
        <v>81.347976678922848</v>
      </c>
      <c r="AE108">
        <f>('2026_Fantasy_Starters'!R80-AVERAGE('2026_Fantasy_Starters'!R$2:'2026_Fantasy_Starters'!R$122))/AVERAGE('2026_Fantasy_Starters'!R$2:'2026_Fantasy_Starters'!R$122)*100+100</f>
        <v>80.346505514545427</v>
      </c>
      <c r="AF108">
        <f>('2026_Fantasy_Starters'!T80-AVERAGE('2026_Fantasy_Starters'!T$2:'2026_Fantasy_Starters'!T$122))/AVERAGE('2026_Fantasy_Starters'!T$2:'2026_Fantasy_Starters'!T$122)*100+100</f>
        <v>60.322078509816727</v>
      </c>
      <c r="AG108">
        <f>(AVERAGE('2026_Fantasy_Starters'!U$2:'2026_Fantasy_Starters'!U$122)-'2026_Fantasy_Starters'!U80)/AVERAGE('2026_Fantasy_Starters'!U$2:'2026_Fantasy_Starters'!U$122)*100+100</f>
        <v>100.43141612067387</v>
      </c>
      <c r="AH108">
        <f>(AVERAGE('2026_Fantasy_Starters'!V$2:'2026_Fantasy_Starters'!V$122)-'2026_Fantasy_Starters'!V80)/AVERAGE('2026_Fantasy_Starters'!V$2:'2026_Fantasy_Starters'!V$122)*100+100</f>
        <v>90.369564350050226</v>
      </c>
    </row>
    <row r="109" spans="1:34">
      <c r="A109" t="s">
        <v>1003</v>
      </c>
      <c r="B109" t="s">
        <v>1002</v>
      </c>
      <c r="C109" t="s">
        <v>16</v>
      </c>
      <c r="D109">
        <v>40</v>
      </c>
      <c r="E109">
        <v>94.67</v>
      </c>
      <c r="F109" s="4">
        <f>H109*1.5+I109+J109+K109*1.5+L109+M109+N109+O109+P109+Q109</f>
        <v>-5.6348788203683267</v>
      </c>
      <c r="G109">
        <v>403</v>
      </c>
      <c r="H109">
        <f>(S109-S$123)/S$124</f>
        <v>-1.5894620133007114</v>
      </c>
      <c r="I109">
        <f>(T109-T$123)/T$124</f>
        <v>-1.1714324836830532</v>
      </c>
      <c r="J109">
        <f>(U109-U$123)/U$124</f>
        <v>1.5919646831159557</v>
      </c>
      <c r="K109">
        <f>(V109-V$123)/V$124</f>
        <v>-2.1205440369811601</v>
      </c>
      <c r="L109">
        <f>(Z109-Z$123)/Z$124</f>
        <v>1.5185574397048978</v>
      </c>
      <c r="M109">
        <f>(AB109-AB$123)/AB$124</f>
        <v>-0.35936422797559853</v>
      </c>
      <c r="N109">
        <f>(AG109-AG$123)/AG$124</f>
        <v>-0.65515726472514568</v>
      </c>
      <c r="O109">
        <f>(AH109-AH$123)/AH$124</f>
        <v>-0.57952749230359257</v>
      </c>
      <c r="P109">
        <f>(AE109-AE$123)/AE$124</f>
        <v>6.7257252002201409E-2</v>
      </c>
      <c r="Q109">
        <f>(AF109-AF$123)/AF$124</f>
        <v>-0.48216765108118376</v>
      </c>
      <c r="S109">
        <f>(E109-AVERAGE(E$2:E$122))/AVERAGE(E$2:E$122)*100+100</f>
        <v>65.58980939276978</v>
      </c>
      <c r="T109">
        <f>('2026_Fantasy_Starters'!G121-AVERAGE('2026_Fantasy_Starters'!G$2:'2026_Fantasy_Starters'!G$122))/AVERAGE('2026_Fantasy_Starters'!G$2:'2026_Fantasy_Starters'!G$122)*100+100</f>
        <v>70.983388847693035</v>
      </c>
      <c r="U109">
        <f>(AVERAGE('2026_Fantasy_Starters'!H$2:'2026_Fantasy_Starters'!H$122)-'2026_Fantasy_Starters'!H121)/AVERAGE('2026_Fantasy_Starters'!H$2:'2026_Fantasy_Starters'!H$122)*100+100</f>
        <v>136.28704311428652</v>
      </c>
      <c r="V109">
        <f>('2026_Fantasy_Starters'!I121-AVERAGE('2026_Fantasy_Starters'!I$2:'2026_Fantasy_Starters'!I$122))/AVERAGE('2026_Fantasy_Starters'!I$2:'2026_Fantasy_Starters'!I$122)*100+100</f>
        <v>28.283579833817939</v>
      </c>
      <c r="W109">
        <f>(AVERAGE('2026_Fantasy_Starters'!J$2:'2026_Fantasy_Starters'!J$122)-'2026_Fantasy_Starters'!J121)/AVERAGE('2026_Fantasy_Starters'!J$2:'2026_Fantasy_Starters'!J$122)*100+100</f>
        <v>135.13611008643471</v>
      </c>
      <c r="X109">
        <f>(AVERAGE('2026_Fantasy_Starters'!K$2:'2026_Fantasy_Starters'!K$122)-'2026_Fantasy_Starters'!K121)/AVERAGE('2026_Fantasy_Starters'!K$2:'2026_Fantasy_Starters'!K$122)*100+100</f>
        <v>130.75502908590261</v>
      </c>
      <c r="Y109">
        <f>(AVERAGE('2026_Fantasy_Starters'!L$2:'2026_Fantasy_Starters'!L$122)-'2026_Fantasy_Starters'!L121)/AVERAGE('2026_Fantasy_Starters'!L$2:'2026_Fantasy_Starters'!L$122)*100+100</f>
        <v>130.06624105002987</v>
      </c>
      <c r="Z109">
        <f>(AVERAGE('2026_Fantasy_Starters'!M$2:'2026_Fantasy_Starters'!M$122)-'2026_Fantasy_Starters'!M121)/AVERAGE('2026_Fantasy_Starters'!M$2:'2026_Fantasy_Starters'!M$122)*100+100</f>
        <v>138.61179702595848</v>
      </c>
      <c r="AA109">
        <f>(AVERAGE('2026_Fantasy_Starters'!N$2:'2026_Fantasy_Starters'!N$122)-'2026_Fantasy_Starters'!N121)/AVERAGE('2026_Fantasy_Starters'!N$2:'2026_Fantasy_Starters'!N$122)*100+100</f>
        <v>81.820517524441328</v>
      </c>
      <c r="AB109">
        <f>(AVERAGE('2026_Fantasy_Starters'!O$2:'2026_Fantasy_Starters'!O$122)-'2026_Fantasy_Starters'!O121)/AVERAGE('2026_Fantasy_Starters'!O$2:'2026_Fantasy_Starters'!O$122)*100+100</f>
        <v>88.860131331019886</v>
      </c>
      <c r="AC109">
        <f>('2026_Fantasy_Starters'!P121-AVERAGE('2026_Fantasy_Starters'!P$2:'2026_Fantasy_Starters'!P$122))/AVERAGE('2026_Fantasy_Starters'!P$2:'2026_Fantasy_Starters'!P$122)*100+100</f>
        <v>66.128447314182338</v>
      </c>
      <c r="AD109">
        <f>(AVERAGE('2026_Fantasy_Starters'!Q$2:'2026_Fantasy_Starters'!Q$122)-'2026_Fantasy_Starters'!Q121)/AVERAGE('2026_Fantasy_Starters'!Q$2:'2026_Fantasy_Starters'!Q$122)*100+100</f>
        <v>122.00442957379371</v>
      </c>
      <c r="AE109">
        <f>('2026_Fantasy_Starters'!R121-AVERAGE('2026_Fantasy_Starters'!R$2:'2026_Fantasy_Starters'!R$122))/AVERAGE('2026_Fantasy_Starters'!R$2:'2026_Fantasy_Starters'!R$122)*100+100</f>
        <v>100.76367063436115</v>
      </c>
      <c r="AF109">
        <f>('2026_Fantasy_Starters'!T121-AVERAGE('2026_Fantasy_Starters'!T$2:'2026_Fantasy_Starters'!T$122))/AVERAGE('2026_Fantasy_Starters'!T$2:'2026_Fantasy_Starters'!T$122)*100+100</f>
        <v>90.524093288192944</v>
      </c>
      <c r="AG109">
        <f>(AVERAGE('2026_Fantasy_Starters'!U$2:'2026_Fantasy_Starters'!U$122)-'2026_Fantasy_Starters'!U121)/AVERAGE('2026_Fantasy_Starters'!U$2:'2026_Fantasy_Starters'!U$122)*100+100</f>
        <v>93.848273396831331</v>
      </c>
      <c r="AH109">
        <f>(AVERAGE('2026_Fantasy_Starters'!V$2:'2026_Fantasy_Starters'!V$122)-'2026_Fantasy_Starters'!V121)/AVERAGE('2026_Fantasy_Starters'!V$2:'2026_Fantasy_Starters'!V$122)*100+100</f>
        <v>96.245438294648451</v>
      </c>
    </row>
    <row r="110" spans="1:34">
      <c r="A110" t="s">
        <v>235</v>
      </c>
      <c r="B110" t="s">
        <v>51</v>
      </c>
      <c r="C110" t="s">
        <v>16</v>
      </c>
      <c r="D110">
        <v>29</v>
      </c>
      <c r="E110">
        <v>168</v>
      </c>
      <c r="F110" s="4">
        <f>H110*1.5+I110+J110+K110*1.5+L110+M110+N110+O110+P110+Q110</f>
        <v>-5.6411335972604135</v>
      </c>
      <c r="G110">
        <v>715</v>
      </c>
      <c r="H110">
        <f>(S110-S$123)/S$124</f>
        <v>0.75729838859961529</v>
      </c>
      <c r="I110">
        <f>(T110-T$123)/T$124</f>
        <v>0.37256487002545874</v>
      </c>
      <c r="J110">
        <f>(U110-U$123)/U$124</f>
        <v>-1.3928759653912619</v>
      </c>
      <c r="K110">
        <f>(V110-V$123)/V$124</f>
        <v>0.51345878997599448</v>
      </c>
      <c r="L110">
        <f>(Z110-Z$123)/Z$124</f>
        <v>-1.2327979948338743</v>
      </c>
      <c r="M110">
        <f>(AB110-AB$123)/AB$124</f>
        <v>-1.9851904628665984</v>
      </c>
      <c r="N110">
        <f>(AG110-AG$123)/AG$124</f>
        <v>-1.3131632914263083</v>
      </c>
      <c r="O110">
        <f>(AH110-AH$123)/AH$124</f>
        <v>-0.96788221088564985</v>
      </c>
      <c r="P110">
        <f>(AE110-AE$123)/AE$124</f>
        <v>-0.47257337458508036</v>
      </c>
      <c r="Q110">
        <f>(AF110-AF$123)/AF$124</f>
        <v>-0.55535093516051393</v>
      </c>
      <c r="S110">
        <f>(E110-AVERAGE(E$2:E$122))/AVERAGE(E$2:E$122)*100+100</f>
        <v>116.39471826328639</v>
      </c>
      <c r="T110">
        <f>('2026_Fantasy_Starters'!G89-AVERAGE('2026_Fantasy_Starters'!G$2:'2026_Fantasy_Starters'!G$122))/AVERAGE('2026_Fantasy_Starters'!G$2:'2026_Fantasy_Starters'!G$122)*100+100</f>
        <v>109.22850451316621</v>
      </c>
      <c r="U110">
        <f>(AVERAGE('2026_Fantasy_Starters'!H$2:'2026_Fantasy_Starters'!H$122)-'2026_Fantasy_Starters'!H89)/AVERAGE('2026_Fantasy_Starters'!H$2:'2026_Fantasy_Starters'!H$122)*100+100</f>
        <v>68.250960121755057</v>
      </c>
      <c r="V110">
        <f>('2026_Fantasy_Starters'!I89-AVERAGE('2026_Fantasy_Starters'!I$2:'2026_Fantasy_Starters'!I$122))/AVERAGE('2026_Fantasy_Starters'!I$2:'2026_Fantasy_Starters'!I$122)*100+100</f>
        <v>117.36508446783321</v>
      </c>
      <c r="W110">
        <f>(AVERAGE('2026_Fantasy_Starters'!J$2:'2026_Fantasy_Starters'!J$122)-'2026_Fantasy_Starters'!J89)/AVERAGE('2026_Fantasy_Starters'!J$2:'2026_Fantasy_Starters'!J$122)*100+100</f>
        <v>74.489990396767908</v>
      </c>
      <c r="X110">
        <f>(AVERAGE('2026_Fantasy_Starters'!K$2:'2026_Fantasy_Starters'!K$122)-'2026_Fantasy_Starters'!K89)/AVERAGE('2026_Fantasy_Starters'!K$2:'2026_Fantasy_Starters'!K$122)*100+100</f>
        <v>69.332216573084111</v>
      </c>
      <c r="Y110">
        <f>(AVERAGE('2026_Fantasy_Starters'!L$2:'2026_Fantasy_Starters'!L$122)-'2026_Fantasy_Starters'!L89)/AVERAGE('2026_Fantasy_Starters'!L$2:'2026_Fantasy_Starters'!L$122)*100+100</f>
        <v>68.673232376206798</v>
      </c>
      <c r="Z110">
        <f>(AVERAGE('2026_Fantasy_Starters'!M$2:'2026_Fantasy_Starters'!M$122)-'2026_Fantasy_Starters'!M89)/AVERAGE('2026_Fantasy_Starters'!M$2:'2026_Fantasy_Starters'!M$122)*100+100</f>
        <v>68.654102435674417</v>
      </c>
      <c r="AA110">
        <f>(AVERAGE('2026_Fantasy_Starters'!N$2:'2026_Fantasy_Starters'!N$122)-'2026_Fantasy_Starters'!N89)/AVERAGE('2026_Fantasy_Starters'!N$2:'2026_Fantasy_Starters'!N$122)*100+100</f>
        <v>138.5860884795764</v>
      </c>
      <c r="AB110">
        <f>(AVERAGE('2026_Fantasy_Starters'!O$2:'2026_Fantasy_Starters'!O$122)-'2026_Fantasy_Starters'!O89)/AVERAGE('2026_Fantasy_Starters'!O$2:'2026_Fantasy_Starters'!O$122)*100+100</f>
        <v>38.461429052567432</v>
      </c>
      <c r="AC110">
        <f>('2026_Fantasy_Starters'!P89-AVERAGE('2026_Fantasy_Starters'!P$2:'2026_Fantasy_Starters'!P$122))/AVERAGE('2026_Fantasy_Starters'!P$2:'2026_Fantasy_Starters'!P$122)*100+100</f>
        <v>110.2120973292465</v>
      </c>
      <c r="AD110">
        <f>(AVERAGE('2026_Fantasy_Starters'!Q$2:'2026_Fantasy_Starters'!Q$122)-'2026_Fantasy_Starters'!Q89)/AVERAGE('2026_Fantasy_Starters'!Q$2:'2026_Fantasy_Starters'!Q$122)*100+100</f>
        <v>80.092499109136185</v>
      </c>
      <c r="AE110">
        <f>('2026_Fantasy_Starters'!R89-AVERAGE('2026_Fantasy_Starters'!R$2:'2026_Fantasy_Starters'!R$122))/AVERAGE('2026_Fantasy_Starters'!R$2:'2026_Fantasy_Starters'!R$122)*100+100</f>
        <v>94.634178501081152</v>
      </c>
      <c r="AF110">
        <f>('2026_Fantasy_Starters'!T89-AVERAGE('2026_Fantasy_Starters'!T$2:'2026_Fantasy_Starters'!T$122))/AVERAGE('2026_Fantasy_Starters'!T$2:'2026_Fantasy_Starters'!T$122)*100+100</f>
        <v>89.08584256514176</v>
      </c>
      <c r="AG110">
        <f>(AVERAGE('2026_Fantasy_Starters'!U$2:'2026_Fantasy_Starters'!U$122)-'2026_Fantasy_Starters'!U89)/AVERAGE('2026_Fantasy_Starters'!U$2:'2026_Fantasy_Starters'!U$122)*100+100</f>
        <v>87.669797788839617</v>
      </c>
      <c r="AH110">
        <f>(AVERAGE('2026_Fantasy_Starters'!V$2:'2026_Fantasy_Starters'!V$122)-'2026_Fantasy_Starters'!V89)/AVERAGE('2026_Fantasy_Starters'!V$2:'2026_Fantasy_Starters'!V$122)*100+100</f>
        <v>93.729420031761791</v>
      </c>
    </row>
    <row r="111" spans="1:34">
      <c r="A111" t="s">
        <v>185</v>
      </c>
      <c r="B111" t="s">
        <v>74</v>
      </c>
      <c r="C111" t="s">
        <v>16</v>
      </c>
      <c r="D111">
        <v>29</v>
      </c>
      <c r="E111">
        <v>140.66999999999999</v>
      </c>
      <c r="F111" s="4">
        <f>H111*1.5+I111+J111+K111*1.5+L111+M111+N111+O111+P111+Q111</f>
        <v>-5.7110760216415395</v>
      </c>
      <c r="G111">
        <v>586</v>
      </c>
      <c r="H111">
        <f>(S111-S$123)/S$124</f>
        <v>-0.11733630093994496</v>
      </c>
      <c r="I111">
        <f>(T111-T$123)/T$124</f>
        <v>-0.12578431533081991</v>
      </c>
      <c r="J111">
        <f>(U111-U$123)/U$124</f>
        <v>4.6354676175025027E-2</v>
      </c>
      <c r="K111">
        <f>(V111-V$123)/V$124</f>
        <v>-0.61636218033010071</v>
      </c>
      <c r="L111">
        <f>(Z111-Z$123)/Z$124</f>
        <v>-0.81643744333003254</v>
      </c>
      <c r="M111">
        <f>(AB111-AB$123)/AB$124</f>
        <v>0.71784861195800964</v>
      </c>
      <c r="N111">
        <f>(AG111-AG$123)/AG$124</f>
        <v>-1.3069101305059316</v>
      </c>
      <c r="O111">
        <f>(AH111-AH$123)/AH$124</f>
        <v>-0.13523100666413612</v>
      </c>
      <c r="P111">
        <f>(AE111-AE$123)/AE$124</f>
        <v>-2.1270987137856761</v>
      </c>
      <c r="Q111">
        <f>(AF111-AF$123)/AF$124</f>
        <v>-0.86326997825290985</v>
      </c>
      <c r="S111">
        <f>(E111-AVERAGE(E$2:E$122))/AVERAGE(E$2:E$122)*100+100</f>
        <v>97.459791774383902</v>
      </c>
      <c r="T111">
        <f>('2026_Fantasy_Starters'!G67-AVERAGE('2026_Fantasy_Starters'!G$2:'2026_Fantasy_Starters'!G$122))/AVERAGE('2026_Fantasy_Starters'!G$2:'2026_Fantasy_Starters'!G$122)*100+100</f>
        <v>96.884297970346324</v>
      </c>
      <c r="U111">
        <f>(AVERAGE('2026_Fantasy_Starters'!H$2:'2026_Fantasy_Starters'!H$122)-'2026_Fantasy_Starters'!H67)/AVERAGE('2026_Fantasy_Starters'!H$2:'2026_Fantasy_Starters'!H$122)*100+100</f>
        <v>101.05660266886051</v>
      </c>
      <c r="V111">
        <f>('2026_Fantasy_Starters'!I67-AVERAGE('2026_Fantasy_Starters'!I$2:'2026_Fantasy_Starters'!I$122))/AVERAGE('2026_Fantasy_Starters'!I$2:'2026_Fantasy_Starters'!I$122)*100+100</f>
        <v>79.154741270062914</v>
      </c>
      <c r="W111">
        <f>(AVERAGE('2026_Fantasy_Starters'!J$2:'2026_Fantasy_Starters'!J$122)-'2026_Fantasy_Starters'!J67)/AVERAGE('2026_Fantasy_Starters'!J$2:'2026_Fantasy_Starters'!J$122)*100+100</f>
        <v>87.907598193186089</v>
      </c>
      <c r="X111">
        <f>(AVERAGE('2026_Fantasy_Starters'!K$2:'2026_Fantasy_Starters'!K$122)-'2026_Fantasy_Starters'!K67)/AVERAGE('2026_Fantasy_Starters'!K$2:'2026_Fantasy_Starters'!K$122)*100+100</f>
        <v>89.174959533794691</v>
      </c>
      <c r="Y111">
        <f>(AVERAGE('2026_Fantasy_Starters'!L$2:'2026_Fantasy_Starters'!L$122)-'2026_Fantasy_Starters'!L67)/AVERAGE('2026_Fantasy_Starters'!L$2:'2026_Fantasy_Starters'!L$122)*100+100</f>
        <v>90.094761104169649</v>
      </c>
      <c r="Z111">
        <f>(AVERAGE('2026_Fantasy_Starters'!M$2:'2026_Fantasy_Starters'!M$122)-'2026_Fantasy_Starters'!M67)/AVERAGE('2026_Fantasy_Starters'!M$2:'2026_Fantasy_Starters'!M$122)*100+100</f>
        <v>79.240747816310545</v>
      </c>
      <c r="AA111">
        <f>(AVERAGE('2026_Fantasy_Starters'!N$2:'2026_Fantasy_Starters'!N$122)-'2026_Fantasy_Starters'!N67)/AVERAGE('2026_Fantasy_Starters'!N$2:'2026_Fantasy_Starters'!N$122)*100+100</f>
        <v>81.18816478892569</v>
      </c>
      <c r="AB111">
        <f>(AVERAGE('2026_Fantasy_Starters'!O$2:'2026_Fantasy_Starters'!O$122)-'2026_Fantasy_Starters'!O67)/AVERAGE('2026_Fantasy_Starters'!O$2:'2026_Fantasy_Starters'!O$122)*100+100</f>
        <v>122.25246320834376</v>
      </c>
      <c r="AC111">
        <f>('2026_Fantasy_Starters'!P67-AVERAGE('2026_Fantasy_Starters'!P$2:'2026_Fantasy_Starters'!P$122))/AVERAGE('2026_Fantasy_Starters'!P$2:'2026_Fantasy_Starters'!P$122)*100+100</f>
        <v>73.963440871545288</v>
      </c>
      <c r="AD111">
        <f>(AVERAGE('2026_Fantasy_Starters'!Q$2:'2026_Fantasy_Starters'!Q$122)-'2026_Fantasy_Starters'!Q67)/AVERAGE('2026_Fantasy_Starters'!Q$2:'2026_Fantasy_Starters'!Q$122)*100+100</f>
        <v>140.11530657963675</v>
      </c>
      <c r="AE111">
        <f>('2026_Fantasy_Starters'!R67-AVERAGE('2026_Fantasy_Starters'!R$2:'2026_Fantasy_Starters'!R$122))/AVERAGE('2026_Fantasy_Starters'!R$2:'2026_Fantasy_Starters'!R$122)*100+100</f>
        <v>75.847915641089884</v>
      </c>
      <c r="AF111">
        <f>('2026_Fantasy_Starters'!T67-AVERAGE('2026_Fantasy_Starters'!T$2:'2026_Fantasy_Starters'!T$122))/AVERAGE('2026_Fantasy_Starters'!T$2:'2026_Fantasy_Starters'!T$122)*100+100</f>
        <v>83.034395271675066</v>
      </c>
      <c r="AG111">
        <f>(AVERAGE('2026_Fantasy_Starters'!U$2:'2026_Fantasy_Starters'!U$122)-'2026_Fantasy_Starters'!U67)/AVERAGE('2026_Fantasy_Starters'!U$2:'2026_Fantasy_Starters'!U$122)*100+100</f>
        <v>87.728513059903449</v>
      </c>
      <c r="AH111">
        <f>(AVERAGE('2026_Fantasy_Starters'!V$2:'2026_Fantasy_Starters'!V$122)-'2026_Fantasy_Starters'!V67)/AVERAGE('2026_Fantasy_Starters'!V$2:'2026_Fantasy_Starters'!V$122)*100+100</f>
        <v>99.123884257882025</v>
      </c>
    </row>
    <row r="112" spans="1:34">
      <c r="A112" t="s">
        <v>200</v>
      </c>
      <c r="B112" t="s">
        <v>23</v>
      </c>
      <c r="C112" t="s">
        <v>16</v>
      </c>
      <c r="D112">
        <v>28</v>
      </c>
      <c r="E112">
        <v>160.33000000000001</v>
      </c>
      <c r="F112" s="4">
        <f>H112*1.5+I112+J112+K112*1.5+L112+M112+N112+O112+P112+Q112</f>
        <v>-6.2290951219274122</v>
      </c>
      <c r="G112">
        <v>689</v>
      </c>
      <c r="H112">
        <f>(S112-S$123)/S$124</f>
        <v>0.51183742742989646</v>
      </c>
      <c r="I112">
        <f>(T112-T$123)/T$124</f>
        <v>0.4172575197988096</v>
      </c>
      <c r="J112">
        <f>(U112-U$123)/U$124</f>
        <v>-0.9829045489370708</v>
      </c>
      <c r="K112">
        <f>(V112-V$123)/V$124</f>
        <v>0.37487286468429293</v>
      </c>
      <c r="L112">
        <f>(Z112-Z$123)/Z$124</f>
        <v>2.9533785351687288E-3</v>
      </c>
      <c r="M112">
        <f>(AB112-AB$123)/AB$124</f>
        <v>-1.3957925622285634</v>
      </c>
      <c r="N112">
        <f>(AG112-AG$123)/AG$124</f>
        <v>-0.73253724317292934</v>
      </c>
      <c r="O112">
        <f>(AH112-AH$123)/AH$124</f>
        <v>-1.6488123638399406</v>
      </c>
      <c r="P112">
        <f>(AE112-AE$123)/AE$124</f>
        <v>-1.5302651876457736</v>
      </c>
      <c r="Q112">
        <f>(AF112-AF$123)/AF$124</f>
        <v>-1.6890595526083965</v>
      </c>
      <c r="S112">
        <f>(E112-AVERAGE(E$2:E$122))/AVERAGE(E$2:E$122)*100+100</f>
        <v>111.08074511400422</v>
      </c>
      <c r="T112">
        <f>('2026_Fantasy_Starters'!G74-AVERAGE('2026_Fantasy_Starters'!G$2:'2026_Fantasy_Starters'!G$122))/AVERAGE('2026_Fantasy_Starters'!G$2:'2026_Fantasy_Starters'!G$122)*100+100</f>
        <v>110.33555016701581</v>
      </c>
      <c r="U112">
        <f>(AVERAGE('2026_Fantasy_Starters'!H$2:'2026_Fantasy_Starters'!H$122)-'2026_Fantasy_Starters'!H74)/AVERAGE('2026_Fantasy_Starters'!H$2:'2026_Fantasy_Starters'!H$122)*100+100</f>
        <v>77.595797116116159</v>
      </c>
      <c r="V112">
        <f>('2026_Fantasy_Starters'!I74-AVERAGE('2026_Fantasy_Starters'!I$2:'2026_Fantasy_Starters'!I$122))/AVERAGE('2026_Fantasy_Starters'!I$2:'2026_Fantasy_Starters'!I$122)*100+100</f>
        <v>112.67813325436634</v>
      </c>
      <c r="W112">
        <f>(AVERAGE('2026_Fantasy_Starters'!J$2:'2026_Fantasy_Starters'!J$122)-'2026_Fantasy_Starters'!J74)/AVERAGE('2026_Fantasy_Starters'!J$2:'2026_Fantasy_Starters'!J$122)*100+100</f>
        <v>77.079751933117251</v>
      </c>
      <c r="X112">
        <f>(AVERAGE('2026_Fantasy_Starters'!K$2:'2026_Fantasy_Starters'!K$122)-'2026_Fantasy_Starters'!K74)/AVERAGE('2026_Fantasy_Starters'!K$2:'2026_Fantasy_Starters'!K$122)*100+100</f>
        <v>74.409348029094545</v>
      </c>
      <c r="Y112">
        <f>(AVERAGE('2026_Fantasy_Starters'!L$2:'2026_Fantasy_Starters'!L$122)-'2026_Fantasy_Starters'!L74)/AVERAGE('2026_Fantasy_Starters'!L$2:'2026_Fantasy_Starters'!L$122)*100+100</f>
        <v>80.751818083449933</v>
      </c>
      <c r="Z112">
        <f>(AVERAGE('2026_Fantasy_Starters'!M$2:'2026_Fantasy_Starters'!M$122)-'2026_Fantasy_Starters'!M74)/AVERAGE('2026_Fantasy_Starters'!M$2:'2026_Fantasy_Starters'!M$122)*100+100</f>
        <v>100.07509446107147</v>
      </c>
      <c r="AA112">
        <f>(AVERAGE('2026_Fantasy_Starters'!N$2:'2026_Fantasy_Starters'!N$122)-'2026_Fantasy_Starters'!N74)/AVERAGE('2026_Fantasy_Starters'!N$2:'2026_Fantasy_Starters'!N$122)*100+100</f>
        <v>138.58614915649491</v>
      </c>
      <c r="AB112">
        <f>(AVERAGE('2026_Fantasy_Starters'!O$2:'2026_Fantasy_Starters'!O$122)-'2026_Fantasy_Starters'!O74)/AVERAGE('2026_Fantasy_Starters'!O$2:'2026_Fantasy_Starters'!O$122)*100+100</f>
        <v>56.732071191512084</v>
      </c>
      <c r="AC112">
        <f>('2026_Fantasy_Starters'!P74-AVERAGE('2026_Fantasy_Starters'!P$2:'2026_Fantasy_Starters'!P$122))/AVERAGE('2026_Fantasy_Starters'!P$2:'2026_Fantasy_Starters'!P$122)*100+100</f>
        <v>91.832492362324942</v>
      </c>
      <c r="AD112">
        <f>(AVERAGE('2026_Fantasy_Starters'!Q$2:'2026_Fantasy_Starters'!Q$122)-'2026_Fantasy_Starters'!Q74)/AVERAGE('2026_Fantasy_Starters'!Q$2:'2026_Fantasy_Starters'!Q$122)*100+100</f>
        <v>75.555987175429166</v>
      </c>
      <c r="AE112">
        <f>('2026_Fantasy_Starters'!R74-AVERAGE('2026_Fantasy_Starters'!R$2:'2026_Fantasy_Starters'!R$122))/AVERAGE('2026_Fantasy_Starters'!R$2:'2026_Fantasy_Starters'!R$122)*100+100</f>
        <v>82.624645643385904</v>
      </c>
      <c r="AF112">
        <f>('2026_Fantasy_Starters'!T74-AVERAGE('2026_Fantasy_Starters'!T$2:'2026_Fantasy_Starters'!T$122))/AVERAGE('2026_Fantasy_Starters'!T$2:'2026_Fantasy_Starters'!T$122)*100+100</f>
        <v>66.8053824944204</v>
      </c>
      <c r="AG112">
        <f>(AVERAGE('2026_Fantasy_Starters'!U$2:'2026_Fantasy_Starters'!U$122)-'2026_Fantasy_Starters'!U74)/AVERAGE('2026_Fantasy_Starters'!U$2:'2026_Fantasy_Starters'!U$122)*100+100</f>
        <v>93.121699034308534</v>
      </c>
      <c r="AH112">
        <f>(AVERAGE('2026_Fantasy_Starters'!V$2:'2026_Fantasy_Starters'!V$122)-'2026_Fantasy_Starters'!V74)/AVERAGE('2026_Fantasy_Starters'!V$2:'2026_Fantasy_Starters'!V$122)*100+100</f>
        <v>89.317904943600951</v>
      </c>
    </row>
    <row r="113" spans="1:34">
      <c r="A113" t="s">
        <v>1010</v>
      </c>
      <c r="B113" t="s">
        <v>111</v>
      </c>
      <c r="C113" t="s">
        <v>16</v>
      </c>
      <c r="D113">
        <v>27</v>
      </c>
      <c r="E113">
        <v>125</v>
      </c>
      <c r="F113" s="4">
        <f>H113*1.5+I113+J113+K113*1.5+L113+M113+N113+O113+P113+Q113</f>
        <v>-6.2707383010130675</v>
      </c>
      <c r="G113">
        <v>531</v>
      </c>
      <c r="H113">
        <f>(S113-S$123)/S$124</f>
        <v>-0.61881912512892812</v>
      </c>
      <c r="I113">
        <f>(T113-T$123)/T$124</f>
        <v>-0.87316241248071103</v>
      </c>
      <c r="J113">
        <f>(U113-U$123)/U$124</f>
        <v>-0.11422029244859701</v>
      </c>
      <c r="K113">
        <f>(V113-V$123)/V$124</f>
        <v>-0.8268151765905688</v>
      </c>
      <c r="L113">
        <f>(Z113-Z$123)/Z$124</f>
        <v>0.31808572579393335</v>
      </c>
      <c r="M113">
        <f>(AB113-AB$123)/AB$124</f>
        <v>0.46006306483128057</v>
      </c>
      <c r="N113">
        <f>(AG113-AG$123)/AG$124</f>
        <v>-1.1216320214045596</v>
      </c>
      <c r="O113">
        <f>(AH113-AH$123)/AH$124</f>
        <v>-0.90554288693637808</v>
      </c>
      <c r="P113">
        <f>(AE113-AE$123)/AE$124</f>
        <v>-0.93305908095084156</v>
      </c>
      <c r="Q113">
        <f>(AF113-AF$123)/AF$124</f>
        <v>-0.93281894483794858</v>
      </c>
      <c r="S113">
        <f>(E113-AVERAGE(E$2:E$122))/AVERAGE(E$2:E$122)*100+100</f>
        <v>86.603212993516649</v>
      </c>
      <c r="T113">
        <f>('2026_Fantasy_Starters'!G122-AVERAGE('2026_Fantasy_Starters'!G$2:'2026_Fantasy_Starters'!G$122))/AVERAGE('2026_Fantasy_Starters'!G$2:'2026_Fantasy_Starters'!G$122)*100+100</f>
        <v>78.371596700046695</v>
      </c>
      <c r="U113">
        <f>(AVERAGE('2026_Fantasy_Starters'!H$2:'2026_Fantasy_Starters'!H$122)-'2026_Fantasy_Starters'!H122)/AVERAGE('2026_Fantasy_Starters'!H$2:'2026_Fantasy_Starters'!H$122)*100+100</f>
        <v>97.396476994391534</v>
      </c>
      <c r="V113">
        <f>('2026_Fantasy_Starters'!I122-AVERAGE('2026_Fantasy_Starters'!I$2:'2026_Fantasy_Starters'!I$122))/AVERAGE('2026_Fantasy_Starters'!I$2:'2026_Fantasy_Starters'!I$122)*100+100</f>
        <v>72.037258566645818</v>
      </c>
      <c r="W113">
        <f>(AVERAGE('2026_Fantasy_Starters'!J$2:'2026_Fantasy_Starters'!J$122)-'2026_Fantasy_Starters'!J122)/AVERAGE('2026_Fantasy_Starters'!J$2:'2026_Fantasy_Starters'!J$122)*100+100</f>
        <v>107.07984976209184</v>
      </c>
      <c r="X113">
        <f>(AVERAGE('2026_Fantasy_Starters'!K$2:'2026_Fantasy_Starters'!K$122)-'2026_Fantasy_Starters'!K122)/AVERAGE('2026_Fantasy_Starters'!K$2:'2026_Fantasy_Starters'!K$122)*100+100</f>
        <v>106.8958821983684</v>
      </c>
      <c r="Y113">
        <f>(AVERAGE('2026_Fantasy_Starters'!L$2:'2026_Fantasy_Starters'!L$122)-'2026_Fantasy_Starters'!L122)/AVERAGE('2026_Fantasy_Starters'!L$2:'2026_Fantasy_Starters'!L$122)*100+100</f>
        <v>103.8510340847477</v>
      </c>
      <c r="Z113">
        <f>(AVERAGE('2026_Fantasy_Starters'!M$2:'2026_Fantasy_Starters'!M$122)-'2026_Fantasy_Starters'!M122)/AVERAGE('2026_Fantasy_Starters'!M$2:'2026_Fantasy_Starters'!M$122)*100+100</f>
        <v>108.0878478219413</v>
      </c>
      <c r="AA113">
        <f>(AVERAGE('2026_Fantasy_Starters'!N$2:'2026_Fantasy_Starters'!N$122)-'2026_Fantasy_Starters'!N122)/AVERAGE('2026_Fantasy_Starters'!N$2:'2026_Fantasy_Starters'!N$122)*100+100</f>
        <v>86.986779192909808</v>
      </c>
      <c r="AB113">
        <f>(AVERAGE('2026_Fantasy_Starters'!O$2:'2026_Fantasy_Starters'!O$122)-'2026_Fantasy_Starters'!O122)/AVERAGE('2026_Fantasy_Starters'!O$2:'2026_Fantasy_Starters'!O$122)*100+100</f>
        <v>114.26141424965905</v>
      </c>
      <c r="AC113">
        <f>('2026_Fantasy_Starters'!P122-AVERAGE('2026_Fantasy_Starters'!P$2:'2026_Fantasy_Starters'!P$122))/AVERAGE('2026_Fantasy_Starters'!P$2:'2026_Fantasy_Starters'!P$122)*100+100</f>
        <v>77.472350678104902</v>
      </c>
      <c r="AD113">
        <f>(AVERAGE('2026_Fantasy_Starters'!Q$2:'2026_Fantasy_Starters'!Q$122)-'2026_Fantasy_Starters'!Q122)/AVERAGE('2026_Fantasy_Starters'!Q$2:'2026_Fantasy_Starters'!Q$122)*100+100</f>
        <v>110.80524872654111</v>
      </c>
      <c r="AE113">
        <f>('2026_Fantasy_Starters'!R122-AVERAGE('2026_Fantasy_Starters'!R$2:'2026_Fantasy_Starters'!R$122))/AVERAGE('2026_Fantasy_Starters'!R$2:'2026_Fantasy_Starters'!R$122)*100+100</f>
        <v>89.405606101437101</v>
      </c>
      <c r="AF113">
        <f>('2026_Fantasy_Starters'!T122-AVERAGE('2026_Fantasy_Starters'!T$2:'2026_Fantasy_Starters'!T$122))/AVERAGE('2026_Fantasy_Starters'!T$2:'2026_Fantasy_Starters'!T$122)*100+100</f>
        <v>81.667568779303338</v>
      </c>
      <c r="AG113">
        <f>(AVERAGE('2026_Fantasy_Starters'!U$2:'2026_Fantasy_Starters'!U$122)-'2026_Fantasy_Starters'!U122)/AVERAGE('2026_Fantasy_Starters'!U$2:'2026_Fantasy_Starters'!U$122)*100+100</f>
        <v>89.468217912633534</v>
      </c>
      <c r="AH113">
        <f>(AVERAGE('2026_Fantasy_Starters'!V$2:'2026_Fantasy_Starters'!V$122)-'2026_Fantasy_Starters'!V122)/AVERAGE('2026_Fantasy_Starters'!V$2:'2026_Fantasy_Starters'!V$122)*100+100</f>
        <v>94.133295329389298</v>
      </c>
    </row>
    <row r="114" spans="1:34">
      <c r="A114" t="s">
        <v>231</v>
      </c>
      <c r="B114" t="s">
        <v>74</v>
      </c>
      <c r="C114" t="s">
        <v>16</v>
      </c>
      <c r="D114">
        <v>33</v>
      </c>
      <c r="E114">
        <v>168.33</v>
      </c>
      <c r="F114" s="4">
        <f>H114*1.5+I114+J114+K114*1.5+L114+M114+N114+O114+P114+Q114</f>
        <v>-6.3165064227427985</v>
      </c>
      <c r="G114">
        <v>722</v>
      </c>
      <c r="H114">
        <f>(S114-S$123)/S$124</f>
        <v>0.76785929044916001</v>
      </c>
      <c r="I114">
        <f>(T114-T$123)/T$124</f>
        <v>0.78243848717765263</v>
      </c>
      <c r="J114">
        <f>(U114-U$123)/U$124</f>
        <v>-1.037981965665467</v>
      </c>
      <c r="K114">
        <f>(V114-V$123)/V$124</f>
        <v>0.12870336002564198</v>
      </c>
      <c r="L114">
        <f>(Z114-Z$123)/Z$124</f>
        <v>-0.98246079444351597</v>
      </c>
      <c r="M114">
        <f>(AB114-AB$123)/AB$124</f>
        <v>-2.6817026325087987</v>
      </c>
      <c r="N114">
        <f>(AG114-AG$123)/AG$124</f>
        <v>-0.62681831054211878</v>
      </c>
      <c r="O114">
        <f>(AH114-AH$123)/AH$124</f>
        <v>-1.195107764851937</v>
      </c>
      <c r="P114">
        <f>(AE114-AE$123)/AE$124</f>
        <v>-0.85125595487030947</v>
      </c>
      <c r="Q114">
        <f>(AF114-AF$123)/AF$124</f>
        <v>-1.0684614627505076</v>
      </c>
      <c r="S114">
        <f>(E114-AVERAGE(E$2:E$122))/AVERAGE(E$2:E$122)*100+100</f>
        <v>116.62335074558928</v>
      </c>
      <c r="T114">
        <f>('2026_Fantasy_Starters'!G87-AVERAGE('2026_Fantasy_Starters'!G$2:'2026_Fantasy_Starters'!G$122))/AVERAGE('2026_Fantasy_Starters'!G$2:'2026_Fantasy_Starters'!G$122)*100+100</f>
        <v>119.38115397112047</v>
      </c>
      <c r="U114">
        <f>(AVERAGE('2026_Fantasy_Starters'!H$2:'2026_Fantasy_Starters'!H$122)-'2026_Fantasy_Starters'!H87)/AVERAGE('2026_Fantasy_Starters'!H$2:'2026_Fantasy_Starters'!H$122)*100+100</f>
        <v>76.340369394230407</v>
      </c>
      <c r="V114">
        <f>('2026_Fantasy_Starters'!I87-AVERAGE('2026_Fantasy_Starters'!I$2:'2026_Fantasy_Starters'!I$122))/AVERAGE('2026_Fantasy_Starters'!I$2:'2026_Fantasy_Starters'!I$122)*100+100</f>
        <v>104.35272462322384</v>
      </c>
      <c r="W114">
        <f>(AVERAGE('2026_Fantasy_Starters'!J$2:'2026_Fantasy_Starters'!J$122)-'2026_Fantasy_Starters'!J87)/AVERAGE('2026_Fantasy_Starters'!J$2:'2026_Fantasy_Starters'!J$122)*100+100</f>
        <v>74.729011110302125</v>
      </c>
      <c r="X114">
        <f>(AVERAGE('2026_Fantasy_Starters'!K$2:'2026_Fantasy_Starters'!K$122)-'2026_Fantasy_Starters'!K87)/AVERAGE('2026_Fantasy_Starters'!K$2:'2026_Fantasy_Starters'!K$122)*100+100</f>
        <v>71.111460389889956</v>
      </c>
      <c r="Y114">
        <f>(AVERAGE('2026_Fantasy_Starters'!L$2:'2026_Fantasy_Starters'!L$122)-'2026_Fantasy_Starters'!L87)/AVERAGE('2026_Fantasy_Starters'!L$2:'2026_Fantasy_Starters'!L$122)*100+100</f>
        <v>75.964503013984029</v>
      </c>
      <c r="Z114">
        <f>(AVERAGE('2026_Fantasy_Starters'!M$2:'2026_Fantasy_Starters'!M$122)-'2026_Fantasy_Starters'!M87)/AVERAGE('2026_Fantasy_Starters'!M$2:'2026_Fantasy_Starters'!M$122)*100+100</f>
        <v>75.019333619420493</v>
      </c>
      <c r="AA114">
        <f>(AVERAGE('2026_Fantasy_Starters'!N$2:'2026_Fantasy_Starters'!N$122)-'2026_Fantasy_Starters'!N87)/AVERAGE('2026_Fantasy_Starters'!N$2:'2026_Fantasy_Starters'!N$122)*100+100</f>
        <v>81.738940232568766</v>
      </c>
      <c r="AB114">
        <f>(AVERAGE('2026_Fantasy_Starters'!O$2:'2026_Fantasy_Starters'!O$122)-'2026_Fantasy_Starters'!O87)/AVERAGE('2026_Fantasy_Starters'!O$2:'2026_Fantasy_Starters'!O$122)*100+100</f>
        <v>16.870370477067411</v>
      </c>
      <c r="AC114">
        <f>('2026_Fantasy_Starters'!P87-AVERAGE('2026_Fantasy_Starters'!P$2:'2026_Fantasy_Starters'!P$122))/AVERAGE('2026_Fantasy_Starters'!P$2:'2026_Fantasy_Starters'!P$122)*100+100</f>
        <v>105.41121926882705</v>
      </c>
      <c r="AD114">
        <f>(AVERAGE('2026_Fantasy_Starters'!Q$2:'2026_Fantasy_Starters'!Q$122)-'2026_Fantasy_Starters'!Q87)/AVERAGE('2026_Fantasy_Starters'!Q$2:'2026_Fantasy_Starters'!Q$122)*100+100</f>
        <v>71.796031957715442</v>
      </c>
      <c r="AE114">
        <f>('2026_Fantasy_Starters'!R87-AVERAGE('2026_Fantasy_Starters'!R$2:'2026_Fantasy_Starters'!R$122))/AVERAGE('2026_Fantasy_Starters'!R$2:'2026_Fantasy_Starters'!R$122)*100+100</f>
        <v>90.334437466486122</v>
      </c>
      <c r="AF114">
        <f>('2026_Fantasy_Starters'!T87-AVERAGE('2026_Fantasy_Starters'!T$2:'2026_Fantasy_Starters'!T$122))/AVERAGE('2026_Fantasy_Starters'!T$2:'2026_Fantasy_Starters'!T$122)*100+100</f>
        <v>79.001824109349101</v>
      </c>
      <c r="AG114">
        <f>(AVERAGE('2026_Fantasy_Starters'!U$2:'2026_Fantasy_Starters'!U$122)-'2026_Fantasy_Starters'!U87)/AVERAGE('2026_Fantasy_Starters'!U$2:'2026_Fantasy_Starters'!U$122)*100+100</f>
        <v>94.114367520700725</v>
      </c>
      <c r="AH114">
        <f>(AVERAGE('2026_Fantasy_Starters'!V$2:'2026_Fantasy_Starters'!V$122)-'2026_Fantasy_Starters'!V87)/AVERAGE('2026_Fantasy_Starters'!V$2:'2026_Fantasy_Starters'!V$122)*100+100</f>
        <v>92.257302876442822</v>
      </c>
    </row>
    <row r="115" spans="1:34">
      <c r="A115" t="s">
        <v>960</v>
      </c>
      <c r="B115" t="s">
        <v>54</v>
      </c>
      <c r="C115" t="s">
        <v>16</v>
      </c>
      <c r="D115">
        <v>26</v>
      </c>
      <c r="E115">
        <v>156</v>
      </c>
      <c r="F115" s="4">
        <f>H115*1.5+I115+J115+K115*1.5+L115+M115+N115+O115+P115+Q115</f>
        <v>-6.3755213769275194</v>
      </c>
      <c r="G115">
        <v>665</v>
      </c>
      <c r="H115">
        <f>(S115-S$123)/S$124</f>
        <v>0.37326559407071963</v>
      </c>
      <c r="I115">
        <f>(T115-T$123)/T$124</f>
        <v>-0.24443489593457199</v>
      </c>
      <c r="J115">
        <f>(U115-U$123)/U$124</f>
        <v>-0.67604465573594885</v>
      </c>
      <c r="K115">
        <f>(V115-V$123)/V$124</f>
        <v>0.29658999872141278</v>
      </c>
      <c r="L115">
        <f>(Z115-Z$123)/Z$124</f>
        <v>-0.99686610459922342</v>
      </c>
      <c r="M115">
        <f>(AB115-AB$123)/AB$124</f>
        <v>-0.19271127926745193</v>
      </c>
      <c r="N115">
        <f>(AG115-AG$123)/AG$124</f>
        <v>-1.2341527730681559</v>
      </c>
      <c r="O115">
        <f>(AH115-AH$123)/AH$124</f>
        <v>-1.2438725581034467</v>
      </c>
      <c r="P115">
        <f>(AE115-AE$123)/AE$124</f>
        <v>-1.4402652745509188</v>
      </c>
      <c r="Q115">
        <f>(AF115-AF$123)/AF$124</f>
        <v>-1.3519572248560006</v>
      </c>
      <c r="S115">
        <f>(E115-AVERAGE(E$2:E$122))/AVERAGE(E$2:E$122)*100+100</f>
        <v>108.08080981590879</v>
      </c>
      <c r="T115">
        <f>('2026_Fantasy_Starters'!G116-AVERAGE('2026_Fantasy_Starters'!G$2:'2026_Fantasy_Starters'!G$122))/AVERAGE('2026_Fantasy_Starters'!G$2:'2026_Fantasy_Starters'!G$122)*100+100</f>
        <v>93.945299941582391</v>
      </c>
      <c r="U115">
        <f>(AVERAGE('2026_Fantasy_Starters'!H$2:'2026_Fantasy_Starters'!H$122)-'2026_Fantasy_Starters'!H116)/AVERAGE('2026_Fantasy_Starters'!H$2:'2026_Fantasy_Starters'!H$122)*100+100</f>
        <v>84.590322995195223</v>
      </c>
      <c r="V115">
        <f>('2026_Fantasy_Starters'!I116-AVERAGE('2026_Fantasy_Starters'!I$2:'2026_Fantasy_Starters'!I$122))/AVERAGE('2026_Fantasy_Starters'!I$2:'2026_Fantasy_Starters'!I$122)*100+100</f>
        <v>110.03062072489337</v>
      </c>
      <c r="W115">
        <f>(AVERAGE('2026_Fantasy_Starters'!J$2:'2026_Fantasy_Starters'!J$122)-'2026_Fantasy_Starters'!J116)/AVERAGE('2026_Fantasy_Starters'!J$2:'2026_Fantasy_Starters'!J$122)*100+100</f>
        <v>80.521218842369819</v>
      </c>
      <c r="X115">
        <f>(AVERAGE('2026_Fantasy_Starters'!K$2:'2026_Fantasy_Starters'!K$122)-'2026_Fantasy_Starters'!K116)/AVERAGE('2026_Fantasy_Starters'!K$2:'2026_Fantasy_Starters'!K$122)*100+100</f>
        <v>73.417203020565012</v>
      </c>
      <c r="Y115">
        <f>(AVERAGE('2026_Fantasy_Starters'!L$2:'2026_Fantasy_Starters'!L$122)-'2026_Fantasy_Starters'!L116)/AVERAGE('2026_Fantasy_Starters'!L$2:'2026_Fantasy_Starters'!L$122)*100+100</f>
        <v>78.859109809848462</v>
      </c>
      <c r="Z115">
        <f>(AVERAGE('2026_Fantasy_Starters'!M$2:'2026_Fantasy_Starters'!M$122)-'2026_Fantasy_Starters'!M116)/AVERAGE('2026_Fantasy_Starters'!M$2:'2026_Fantasy_Starters'!M$122)*100+100</f>
        <v>74.65305513874857</v>
      </c>
      <c r="AA115">
        <f>(AVERAGE('2026_Fantasy_Starters'!N$2:'2026_Fantasy_Starters'!N$122)-'2026_Fantasy_Starters'!N116)/AVERAGE('2026_Fantasy_Starters'!N$2:'2026_Fantasy_Starters'!N$122)*100+100</f>
        <v>80.159480370875542</v>
      </c>
      <c r="AB115">
        <f>(AVERAGE('2026_Fantasy_Starters'!O$2:'2026_Fantasy_Starters'!O$122)-'2026_Fantasy_Starters'!O116)/AVERAGE('2026_Fantasy_Starters'!O$2:'2026_Fantasy_Starters'!O$122)*100+100</f>
        <v>94.026176856377759</v>
      </c>
      <c r="AC115">
        <f>('2026_Fantasy_Starters'!P116-AVERAGE('2026_Fantasy_Starters'!P$2:'2026_Fantasy_Starters'!P$122))/AVERAGE('2026_Fantasy_Starters'!P$2:'2026_Fantasy_Starters'!P$122)*100+100</f>
        <v>90.457501053859659</v>
      </c>
      <c r="AD115">
        <f>(AVERAGE('2026_Fantasy_Starters'!Q$2:'2026_Fantasy_Starters'!Q$122)-'2026_Fantasy_Starters'!Q116)/AVERAGE('2026_Fantasy_Starters'!Q$2:'2026_Fantasy_Starters'!Q$122)*100+100</f>
        <v>89.577514635681695</v>
      </c>
      <c r="AE115">
        <f>('2026_Fantasy_Starters'!R116-AVERAGE('2026_Fantasy_Starters'!R$2:'2026_Fantasy_Starters'!R$122))/AVERAGE('2026_Fantasy_Starters'!R$2:'2026_Fantasy_Starters'!R$122)*100+100</f>
        <v>83.646547203136706</v>
      </c>
      <c r="AF115">
        <f>('2026_Fantasy_Starters'!T116-AVERAGE('2026_Fantasy_Starters'!T$2:'2026_Fantasy_Starters'!T$122))/AVERAGE('2026_Fantasy_Starters'!T$2:'2026_Fantasy_Starters'!T$122)*100+100</f>
        <v>73.4303607627714</v>
      </c>
      <c r="AG115">
        <f>(AVERAGE('2026_Fantasy_Starters'!U$2:'2026_Fantasy_Starters'!U$122)-'2026_Fantasy_Starters'!U116)/AVERAGE('2026_Fantasy_Starters'!U$2:'2026_Fantasy_Starters'!U$122)*100+100</f>
        <v>88.411682423085267</v>
      </c>
      <c r="AH115">
        <f>(AVERAGE('2026_Fantasy_Starters'!V$2:'2026_Fantasy_Starters'!V$122)-'2026_Fantasy_Starters'!V116)/AVERAGE('2026_Fantasy_Starters'!V$2:'2026_Fantasy_Starters'!V$122)*100+100</f>
        <v>91.941372350724833</v>
      </c>
    </row>
    <row r="116" spans="1:34">
      <c r="A116" t="s">
        <v>194</v>
      </c>
      <c r="B116" t="s">
        <v>37</v>
      </c>
      <c r="C116" t="s">
        <v>16</v>
      </c>
      <c r="D116">
        <v>27</v>
      </c>
      <c r="E116">
        <v>155</v>
      </c>
      <c r="F116" s="4">
        <f>H116*1.5+I116+J116+K116*1.5+L116+M116+N116+O116+P116+Q116</f>
        <v>-6.979130518352795</v>
      </c>
      <c r="G116">
        <v>664</v>
      </c>
      <c r="H116">
        <f>(S116-S$123)/S$124</f>
        <v>0.34126286119331112</v>
      </c>
      <c r="I116">
        <f>(T116-T$123)/T$124</f>
        <v>-1.2128782315497879</v>
      </c>
      <c r="J116">
        <f>(U116-U$123)/U$124</f>
        <v>-0.5078618296545564</v>
      </c>
      <c r="K116">
        <f>(V116-V$123)/V$124</f>
        <v>0.30742916477780974</v>
      </c>
      <c r="L116">
        <f>(Z116-Z$123)/Z$124</f>
        <v>-0.43301047467989973</v>
      </c>
      <c r="M116">
        <f>(AB116-AB$123)/AB$124</f>
        <v>-1.184606215579036</v>
      </c>
      <c r="N116">
        <f>(AG116-AG$123)/AG$124</f>
        <v>-1.8320942934789146</v>
      </c>
      <c r="O116">
        <f>(AH116-AH$123)/AH$124</f>
        <v>-1.6194482890876729</v>
      </c>
      <c r="P116">
        <f>(AE116-AE$123)/AE$124</f>
        <v>-0.15899633017593712</v>
      </c>
      <c r="Q116">
        <f>(AF116-AF$123)/AF$124</f>
        <v>-1.0032728931036705</v>
      </c>
      <c r="S116">
        <f>(E116-AVERAGE(E$2:E$122))/AVERAGE(E$2:E$122)*100+100</f>
        <v>107.38798411196065</v>
      </c>
      <c r="T116">
        <f>('2026_Fantasy_Starters'!G71-AVERAGE('2026_Fantasy_Starters'!G$2:'2026_Fantasy_Starters'!G$122))/AVERAGE('2026_Fantasy_Starters'!G$2:'2026_Fantasy_Starters'!G$122)*100+100</f>
        <v>69.956769587499309</v>
      </c>
      <c r="U116">
        <f>(AVERAGE('2026_Fantasy_Starters'!H$2:'2026_Fantasy_Starters'!H$122)-'2026_Fantasy_Starters'!H71)/AVERAGE('2026_Fantasy_Starters'!H$2:'2026_Fantasy_Starters'!H$122)*100+100</f>
        <v>88.423861217382978</v>
      </c>
      <c r="V116">
        <f>('2026_Fantasy_Starters'!I71-AVERAGE('2026_Fantasy_Starters'!I$2:'2026_Fantasy_Starters'!I$122))/AVERAGE('2026_Fantasy_Starters'!I$2:'2026_Fantasy_Starters'!I$122)*100+100</f>
        <v>110.39719938282033</v>
      </c>
      <c r="W116">
        <f>(AVERAGE('2026_Fantasy_Starters'!J$2:'2026_Fantasy_Starters'!J$122)-'2026_Fantasy_Starters'!J71)/AVERAGE('2026_Fantasy_Starters'!J$2:'2026_Fantasy_Starters'!J$122)*100+100</f>
        <v>88.823652592822896</v>
      </c>
      <c r="X116">
        <f>(AVERAGE('2026_Fantasy_Starters'!K$2:'2026_Fantasy_Starters'!K$122)-'2026_Fantasy_Starters'!K71)/AVERAGE('2026_Fantasy_Starters'!K$2:'2026_Fantasy_Starters'!K$122)*100+100</f>
        <v>80.920715621976711</v>
      </c>
      <c r="Y116">
        <f>(AVERAGE('2026_Fantasy_Starters'!L$2:'2026_Fantasy_Starters'!L$122)-'2026_Fantasy_Starters'!L71)/AVERAGE('2026_Fantasy_Starters'!L$2:'2026_Fantasy_Starters'!L$122)*100+100</f>
        <v>73.579605997533122</v>
      </c>
      <c r="Z116">
        <f>(AVERAGE('2026_Fantasy_Starters'!M$2:'2026_Fantasy_Starters'!M$122)-'2026_Fantasy_Starters'!M71)/AVERAGE('2026_Fantasy_Starters'!M$2:'2026_Fantasy_Starters'!M$122)*100+100</f>
        <v>88.990003195596373</v>
      </c>
      <c r="AA116">
        <f>(AVERAGE('2026_Fantasy_Starters'!N$2:'2026_Fantasy_Starters'!N$122)-'2026_Fantasy_Starters'!N71)/AVERAGE('2026_Fantasy_Starters'!N$2:'2026_Fantasy_Starters'!N$122)*100+100</f>
        <v>77.079588157679595</v>
      </c>
      <c r="AB116">
        <f>(AVERAGE('2026_Fantasy_Starters'!O$2:'2026_Fantasy_Starters'!O$122)-'2026_Fantasy_Starters'!O71)/AVERAGE('2026_Fantasy_Starters'!O$2:'2026_Fantasy_Starters'!O$122)*100+100</f>
        <v>63.278599708304753</v>
      </c>
      <c r="AC116">
        <f>('2026_Fantasy_Starters'!P71-AVERAGE('2026_Fantasy_Starters'!P$2:'2026_Fantasy_Starters'!P$122))/AVERAGE('2026_Fantasy_Starters'!P$2:'2026_Fantasy_Starters'!P$122)*100+100</f>
        <v>105.50951542598446</v>
      </c>
      <c r="AD116">
        <f>(AVERAGE('2026_Fantasy_Starters'!Q$2:'2026_Fantasy_Starters'!Q$122)-'2026_Fantasy_Starters'!Q71)/AVERAGE('2026_Fantasy_Starters'!Q$2:'2026_Fantasy_Starters'!Q$122)*100+100</f>
        <v>58.497370563229751</v>
      </c>
      <c r="AE116">
        <f>('2026_Fantasy_Starters'!R71-AVERAGE('2026_Fantasy_Starters'!R$2:'2026_Fantasy_Starters'!R$122))/AVERAGE('2026_Fantasy_Starters'!R$2:'2026_Fantasy_Starters'!R$122)*100+100</f>
        <v>98.194680503411078</v>
      </c>
      <c r="AF116">
        <f>('2026_Fantasy_Starters'!T71-AVERAGE('2026_Fantasy_Starters'!T$2:'2026_Fantasy_Starters'!T$122))/AVERAGE('2026_Fantasy_Starters'!T$2:'2026_Fantasy_Starters'!T$122)*100+100</f>
        <v>80.282956933719262</v>
      </c>
      <c r="AG116">
        <f>(AVERAGE('2026_Fantasy_Starters'!U$2:'2026_Fantasy_Starters'!U$122)-'2026_Fantasy_Starters'!U71)/AVERAGE('2026_Fantasy_Starters'!U$2:'2026_Fantasy_Starters'!U$122)*100+100</f>
        <v>82.797194182932458</v>
      </c>
      <c r="AH116">
        <f>(AVERAGE('2026_Fantasy_Starters'!V$2:'2026_Fantasy_Starters'!V$122)-'2026_Fantasy_Starters'!V71)/AVERAGE('2026_Fantasy_Starters'!V$2:'2026_Fantasy_Starters'!V$122)*100+100</f>
        <v>89.508144806320331</v>
      </c>
    </row>
    <row r="117" spans="1:34">
      <c r="A117" t="s">
        <v>189</v>
      </c>
      <c r="B117" t="s">
        <v>15</v>
      </c>
      <c r="C117" t="s">
        <v>16</v>
      </c>
      <c r="D117">
        <v>23</v>
      </c>
      <c r="E117">
        <v>129.66999999999999</v>
      </c>
      <c r="F117" s="4">
        <f>H117*1.5+I117+J117+K117*1.5+L117+M117+N117+O117+P117+Q117</f>
        <v>-7.1383360276600438</v>
      </c>
      <c r="G117">
        <v>551</v>
      </c>
      <c r="H117">
        <f>(S117-S$123)/S$124</f>
        <v>-0.46936636259143277</v>
      </c>
      <c r="I117">
        <f>(T117-T$123)/T$124</f>
        <v>-0.87870708252069352</v>
      </c>
      <c r="J117">
        <f>(U117-U$123)/U$124</f>
        <v>-0.23935942310357622</v>
      </c>
      <c r="K117">
        <f>(V117-V$123)/V$124</f>
        <v>-0.28944757939452925</v>
      </c>
      <c r="L117">
        <f>(Z117-Z$123)/Z$124</f>
        <v>-0.16675322437768847</v>
      </c>
      <c r="M117">
        <f>(AB117-AB$123)/AB$124</f>
        <v>0.21941956304771532</v>
      </c>
      <c r="N117">
        <f>(AG117-AG$123)/AG$124</f>
        <v>-1.1002225676473441</v>
      </c>
      <c r="O117">
        <f>(AH117-AH$123)/AH$124</f>
        <v>-0.80960823642216018</v>
      </c>
      <c r="P117">
        <f>(AE117-AE$123)/AE$124</f>
        <v>-1.5415815475383323</v>
      </c>
      <c r="Q117">
        <f>(AF117-AF$123)/AF$124</f>
        <v>-1.4833025961190205</v>
      </c>
      <c r="S117">
        <f>(E117-AVERAGE(E$2:E$122))/AVERAGE(E$2:E$122)*100+100</f>
        <v>89.838709030954433</v>
      </c>
      <c r="T117">
        <f>('2026_Fantasy_Starters'!G69-AVERAGE('2026_Fantasy_Starters'!G$2:'2026_Fantasy_Starters'!G$122))/AVERAGE('2026_Fantasy_Starters'!G$2:'2026_Fantasy_Starters'!G$122)*100+100</f>
        <v>78.234254141462202</v>
      </c>
      <c r="U117">
        <f>(AVERAGE('2026_Fantasy_Starters'!H$2:'2026_Fantasy_Starters'!H$122)-'2026_Fantasy_Starters'!H69)/AVERAGE('2026_Fantasy_Starters'!H$2:'2026_Fantasy_Starters'!H$122)*100+100</f>
        <v>94.544071361577124</v>
      </c>
      <c r="V117">
        <f>('2026_Fantasy_Starters'!I69-AVERAGE('2026_Fantasy_Starters'!I$2:'2026_Fantasy_Starters'!I$122))/AVERAGE('2026_Fantasy_Starters'!I$2:'2026_Fantasy_Starters'!I$122)*100+100</f>
        <v>90.210934619639403</v>
      </c>
      <c r="W117">
        <f>(AVERAGE('2026_Fantasy_Starters'!J$2:'2026_Fantasy_Starters'!J$122)-'2026_Fantasy_Starters'!J69)/AVERAGE('2026_Fantasy_Starters'!J$2:'2026_Fantasy_Starters'!J$122)*100+100</f>
        <v>104.87002105973708</v>
      </c>
      <c r="X117">
        <f>(AVERAGE('2026_Fantasy_Starters'!K$2:'2026_Fantasy_Starters'!K$122)-'2026_Fantasy_Starters'!K69)/AVERAGE('2026_Fantasy_Starters'!K$2:'2026_Fantasy_Starters'!K$122)*100+100</f>
        <v>98.730129539470127</v>
      </c>
      <c r="Y117">
        <f>(AVERAGE('2026_Fantasy_Starters'!L$2:'2026_Fantasy_Starters'!L$122)-'2026_Fantasy_Starters'!L69)/AVERAGE('2026_Fantasy_Starters'!L$2:'2026_Fantasy_Starters'!L$122)*100+100</f>
        <v>100.4403115219705</v>
      </c>
      <c r="Z117">
        <f>(AVERAGE('2026_Fantasy_Starters'!M$2:'2026_Fantasy_Starters'!M$122)-'2026_Fantasy_Starters'!M69)/AVERAGE('2026_Fantasy_Starters'!M$2:'2026_Fantasy_Starters'!M$122)*100+100</f>
        <v>95.760027586215841</v>
      </c>
      <c r="AA117">
        <f>(AVERAGE('2026_Fantasy_Starters'!N$2:'2026_Fantasy_Starters'!N$122)-'2026_Fantasy_Starters'!N69)/AVERAGE('2026_Fantasy_Starters'!N$2:'2026_Fantasy_Starters'!N$122)*100+100</f>
        <v>138.58611599299695</v>
      </c>
      <c r="AB117">
        <f>(AVERAGE('2026_Fantasy_Starters'!O$2:'2026_Fantasy_Starters'!O$122)-'2026_Fantasy_Starters'!O69)/AVERAGE('2026_Fantasy_Starters'!O$2:'2026_Fantasy_Starters'!O$122)*100+100</f>
        <v>106.8017485477784</v>
      </c>
      <c r="AC117">
        <f>('2026_Fantasy_Starters'!P69-AVERAGE('2026_Fantasy_Starters'!P$2:'2026_Fantasy_Starters'!P$122))/AVERAGE('2026_Fantasy_Starters'!P$2:'2026_Fantasy_Starters'!P$122)*100+100</f>
        <v>74.15581009416465</v>
      </c>
      <c r="AD117">
        <f>(AVERAGE('2026_Fantasy_Starters'!Q$2:'2026_Fantasy_Starters'!Q$122)-'2026_Fantasy_Starters'!Q69)/AVERAGE('2026_Fantasy_Starters'!Q$2:'2026_Fantasy_Starters'!Q$122)*100+100</f>
        <v>106.01822654671608</v>
      </c>
      <c r="AE117">
        <f>('2026_Fantasy_Starters'!R69-AVERAGE('2026_Fantasy_Starters'!R$2:'2026_Fantasy_Starters'!R$122))/AVERAGE('2026_Fantasy_Starters'!R$2:'2026_Fantasy_Starters'!R$122)*100+100</f>
        <v>82.496154343480768</v>
      </c>
      <c r="AF117">
        <f>('2026_Fantasy_Starters'!T69-AVERAGE('2026_Fantasy_Starters'!T$2:'2026_Fantasy_Starters'!T$122))/AVERAGE('2026_Fantasy_Starters'!T$2:'2026_Fantasy_Starters'!T$122)*100+100</f>
        <v>70.849066720491336</v>
      </c>
      <c r="AG117">
        <f>(AVERAGE('2026_Fantasy_Starters'!U$2:'2026_Fantasy_Starters'!U$122)-'2026_Fantasy_Starters'!U69)/AVERAGE('2026_Fantasy_Starters'!U$2:'2026_Fantasy_Starters'!U$122)*100+100</f>
        <v>89.66924614406561</v>
      </c>
      <c r="AH117">
        <f>(AVERAGE('2026_Fantasy_Starters'!V$2:'2026_Fantasy_Starters'!V$122)-'2026_Fantasy_Starters'!V69)/AVERAGE('2026_Fantasy_Starters'!V$2:'2026_Fantasy_Starters'!V$122)*100+100</f>
        <v>94.75482333249613</v>
      </c>
    </row>
    <row r="118" spans="1:34">
      <c r="A118" t="s">
        <v>976</v>
      </c>
      <c r="B118" t="s">
        <v>975</v>
      </c>
      <c r="C118" t="s">
        <v>16</v>
      </c>
      <c r="D118">
        <v>24</v>
      </c>
      <c r="E118">
        <v>132.66999999999999</v>
      </c>
      <c r="F118" s="4">
        <f>H118*1.5+I118+J118+K118*1.5+L118+M118+N118+O118+P118+Q118</f>
        <v>-7.3239883732865501</v>
      </c>
      <c r="G118">
        <v>571</v>
      </c>
      <c r="H118">
        <f>(S118-S$123)/S$124</f>
        <v>-0.37335816395920918</v>
      </c>
      <c r="I118">
        <f>(T118-T$123)/T$124</f>
        <v>-0.84094301368071256</v>
      </c>
      <c r="J118">
        <f>(U118-U$123)/U$124</f>
        <v>-0.48720779838141415</v>
      </c>
      <c r="K118">
        <f>(V118-V$123)/V$124</f>
        <v>-0.10734958964703674</v>
      </c>
      <c r="L118">
        <f>(Z118-Z$123)/Z$124</f>
        <v>0.71340189195626447</v>
      </c>
      <c r="M118">
        <f>(AB118-AB$123)/AB$124</f>
        <v>-0.83345455919410161</v>
      </c>
      <c r="N118">
        <f>(AG118-AG$123)/AG$124</f>
        <v>-1.0753667926450088</v>
      </c>
      <c r="O118">
        <f>(AH118-AH$123)/AH$124</f>
        <v>-1.3389600322523143</v>
      </c>
      <c r="P118">
        <f>(AE118-AE$123)/AE$124</f>
        <v>-1.2817486580199473</v>
      </c>
      <c r="Q118">
        <f>(AF118-AF$123)/AF$124</f>
        <v>-1.4586477806599476</v>
      </c>
      <c r="S118">
        <f>(E118-AVERAGE(E$2:E$122))/AVERAGE(E$2:E$122)*100+100</f>
        <v>91.917186142798826</v>
      </c>
      <c r="T118">
        <f>('2026_Fantasy_Starters'!G118-AVERAGE('2026_Fantasy_Starters'!G$2:'2026_Fantasy_Starters'!G$122))/AVERAGE('2026_Fantasy_Starters'!G$2:'2026_Fantasy_Starters'!G$122)*100+100</f>
        <v>79.169677493914804</v>
      </c>
      <c r="U118">
        <f>(AVERAGE('2026_Fantasy_Starters'!H$2:'2026_Fantasy_Starters'!H$122)-'2026_Fantasy_Starters'!H118)/AVERAGE('2026_Fantasy_Starters'!H$2:'2026_Fantasy_Starters'!H$122)*100+100</f>
        <v>88.894646613089989</v>
      </c>
      <c r="V118">
        <f>('2026_Fantasy_Starters'!I118-AVERAGE('2026_Fantasy_Starters'!I$2:'2026_Fantasy_Starters'!I$122))/AVERAGE('2026_Fantasy_Starters'!I$2:'2026_Fantasy_Starters'!I$122)*100+100</f>
        <v>96.369456072813222</v>
      </c>
      <c r="W118">
        <f>(AVERAGE('2026_Fantasy_Starters'!J$2:'2026_Fantasy_Starters'!J$122)-'2026_Fantasy_Starters'!J118)/AVERAGE('2026_Fantasy_Starters'!J$2:'2026_Fantasy_Starters'!J$122)*100+100</f>
        <v>100.37748462459503</v>
      </c>
      <c r="X118">
        <f>(AVERAGE('2026_Fantasy_Starters'!K$2:'2026_Fantasy_Starters'!K$122)-'2026_Fantasy_Starters'!K118)/AVERAGE('2026_Fantasy_Starters'!K$2:'2026_Fantasy_Starters'!K$122)*100+100</f>
        <v>101.0424684399826</v>
      </c>
      <c r="Y118">
        <f>(AVERAGE('2026_Fantasy_Starters'!L$2:'2026_Fantasy_Starters'!L$122)-'2026_Fantasy_Starters'!L118)/AVERAGE('2026_Fantasy_Starters'!L$2:'2026_Fantasy_Starters'!L$122)*100+100</f>
        <v>98.352409227496096</v>
      </c>
      <c r="Z118">
        <f>(AVERAGE('2026_Fantasy_Starters'!M$2:'2026_Fantasy_Starters'!M$122)-'2026_Fantasy_Starters'!M118)/AVERAGE('2026_Fantasy_Starters'!M$2:'2026_Fantasy_Starters'!M$122)*100+100</f>
        <v>118.13940541854183</v>
      </c>
      <c r="AA118">
        <f>(AVERAGE('2026_Fantasy_Starters'!N$2:'2026_Fantasy_Starters'!N$122)-'2026_Fantasy_Starters'!N118)/AVERAGE('2026_Fantasy_Starters'!N$2:'2026_Fantasy_Starters'!N$122)*100+100</f>
        <v>84.469844972918921</v>
      </c>
      <c r="AB118">
        <f>(AVERAGE('2026_Fantasy_Starters'!O$2:'2026_Fantasy_Starters'!O$122)-'2026_Fantasy_Starters'!O118)/AVERAGE('2026_Fantasy_Starters'!O$2:'2026_Fantasy_Starters'!O$122)*100+100</f>
        <v>74.163888311066316</v>
      </c>
      <c r="AC118">
        <f>('2026_Fantasy_Starters'!P118-AVERAGE('2026_Fantasy_Starters'!P$2:'2026_Fantasy_Starters'!P$122))/AVERAGE('2026_Fantasy_Starters'!P$2:'2026_Fantasy_Starters'!P$122)*100+100</f>
        <v>78.584802957931373</v>
      </c>
      <c r="AD118">
        <f>(AVERAGE('2026_Fantasy_Starters'!Q$2:'2026_Fantasy_Starters'!Q$122)-'2026_Fantasy_Starters'!Q118)/AVERAGE('2026_Fantasy_Starters'!Q$2:'2026_Fantasy_Starters'!Q$122)*100+100</f>
        <v>98.183759064773895</v>
      </c>
      <c r="AE118">
        <f>('2026_Fantasy_Starters'!R118-AVERAGE('2026_Fantasy_Starters'!R$2:'2026_Fantasy_Starters'!R$122))/AVERAGE('2026_Fantasy_Starters'!R$2:'2026_Fantasy_Starters'!R$122)*100+100</f>
        <v>85.44641980422125</v>
      </c>
      <c r="AF118">
        <f>('2026_Fantasy_Starters'!T118-AVERAGE('2026_Fantasy_Starters'!T$2:'2026_Fantasy_Starters'!T$122))/AVERAGE('2026_Fantasy_Starters'!T$2:'2026_Fantasy_Starters'!T$122)*100+100</f>
        <v>71.333600949950991</v>
      </c>
      <c r="AG118">
        <f>(AVERAGE('2026_Fantasy_Starters'!U$2:'2026_Fantasy_Starters'!U$122)-'2026_Fantasy_Starters'!U118)/AVERAGE('2026_Fantasy_Starters'!U$2:'2026_Fantasy_Starters'!U$122)*100+100</f>
        <v>89.902634279337818</v>
      </c>
      <c r="AH118">
        <f>(AVERAGE('2026_Fantasy_Starters'!V$2:'2026_Fantasy_Starters'!V$122)-'2026_Fantasy_Starters'!V118)/AVERAGE('2026_Fantasy_Starters'!V$2:'2026_Fantasy_Starters'!V$122)*100+100</f>
        <v>91.32533291542758</v>
      </c>
    </row>
    <row r="119" spans="1:34">
      <c r="A119" t="s">
        <v>993</v>
      </c>
      <c r="B119" t="s">
        <v>23</v>
      </c>
      <c r="C119" t="s">
        <v>16</v>
      </c>
      <c r="D119">
        <v>38</v>
      </c>
      <c r="E119">
        <v>102</v>
      </c>
      <c r="F119" s="4">
        <f>H119*1.5+I119+J119+K119*1.5+L119+M119+N119+O119+P119+Q119</f>
        <v>-7.6241161859828477</v>
      </c>
      <c r="G119">
        <v>438</v>
      </c>
      <c r="H119">
        <f>(S119-S$123)/S$124</f>
        <v>-1.3548819813093109</v>
      </c>
      <c r="I119">
        <f>(T119-T$123)/T$124</f>
        <v>-0.92749465338164316</v>
      </c>
      <c r="J119">
        <f>(U119-U$123)/U$124</f>
        <v>1.3734074794618543</v>
      </c>
      <c r="K119">
        <f>(V119-V$123)/V$124</f>
        <v>-2.0442100259724905</v>
      </c>
      <c r="L119">
        <f>(Z119-Z$123)/Z$124</f>
        <v>1.231716352768816</v>
      </c>
      <c r="M119">
        <f>(AB119-AB$123)/AB$124</f>
        <v>9.3244252048656578E-2</v>
      </c>
      <c r="N119">
        <f>(AG119-AG$123)/AG$124</f>
        <v>-1.0742485645654292</v>
      </c>
      <c r="O119">
        <f>(AH119-AH$123)/AH$124</f>
        <v>-1.6078137662314862</v>
      </c>
      <c r="P119">
        <f>(AE119-AE$123)/AE$124</f>
        <v>-0.31579106892372344</v>
      </c>
      <c r="Q119">
        <f>(AF119-AF$123)/AF$124</f>
        <v>-1.2984982062371904</v>
      </c>
      <c r="S119">
        <f>(E119-AVERAGE(E$2:E$122))/AVERAGE(E$2:E$122)*100+100</f>
        <v>70.668221802709596</v>
      </c>
      <c r="T119">
        <f>('2026_Fantasy_Starters'!G120-AVERAGE('2026_Fantasy_Starters'!G$2:'2026_Fantasy_Starters'!G$122))/AVERAGE('2026_Fantasy_Starters'!G$2:'2026_Fantasy_Starters'!G$122)*100+100</f>
        <v>77.025776493406113</v>
      </c>
      <c r="U119">
        <f>(AVERAGE('2026_Fantasy_Starters'!H$2:'2026_Fantasy_Starters'!H$122)-'2026_Fantasy_Starters'!H120)/AVERAGE('2026_Fantasy_Starters'!H$2:'2026_Fantasy_Starters'!H$122)*100+100</f>
        <v>131.30527765425677</v>
      </c>
      <c r="V119">
        <f>('2026_Fantasy_Starters'!I120-AVERAGE('2026_Fantasy_Starters'!I$2:'2026_Fantasy_Starters'!I$122))/AVERAGE('2026_Fantasy_Starters'!I$2:'2026_Fantasy_Starters'!I$122)*100+100</f>
        <v>30.865182437205121</v>
      </c>
      <c r="W119">
        <f>(AVERAGE('2026_Fantasy_Starters'!J$2:'2026_Fantasy_Starters'!J$122)-'2026_Fantasy_Starters'!J120)/AVERAGE('2026_Fantasy_Starters'!J$2:'2026_Fantasy_Starters'!J$122)*100+100</f>
        <v>128.53160497260518</v>
      </c>
      <c r="X119">
        <f>(AVERAGE('2026_Fantasy_Starters'!K$2:'2026_Fantasy_Starters'!K$122)-'2026_Fantasy_Starters'!K120)/AVERAGE('2026_Fantasy_Starters'!K$2:'2026_Fantasy_Starters'!K$122)*100+100</f>
        <v>121.69374202976593</v>
      </c>
      <c r="Y119">
        <f>(AVERAGE('2026_Fantasy_Starters'!L$2:'2026_Fantasy_Starters'!L$122)-'2026_Fantasy_Starters'!L120)/AVERAGE('2026_Fantasy_Starters'!L$2:'2026_Fantasy_Starters'!L$122)*100+100</f>
        <v>121.85825376452257</v>
      </c>
      <c r="Z119">
        <f>(AVERAGE('2026_Fantasy_Starters'!M$2:'2026_Fantasy_Starters'!M$122)-'2026_Fantasy_Starters'!M120)/AVERAGE('2026_Fantasy_Starters'!M$2:'2026_Fantasy_Starters'!M$122)*100+100</f>
        <v>131.31839505254771</v>
      </c>
      <c r="AA119">
        <f>(AVERAGE('2026_Fantasy_Starters'!N$2:'2026_Fantasy_Starters'!N$122)-'2026_Fantasy_Starters'!N120)/AVERAGE('2026_Fantasy_Starters'!N$2:'2026_Fantasy_Starters'!N$122)*100+100</f>
        <v>34.325333590627849</v>
      </c>
      <c r="AB119">
        <f>(AVERAGE('2026_Fantasy_Starters'!O$2:'2026_Fantasy_Starters'!O$122)-'2026_Fantasy_Starters'!O120)/AVERAGE('2026_Fantasy_Starters'!O$2:'2026_Fantasy_Starters'!O$122)*100+100</f>
        <v>102.89046221381231</v>
      </c>
      <c r="AC119">
        <f>('2026_Fantasy_Starters'!P120-AVERAGE('2026_Fantasy_Starters'!P$2:'2026_Fantasy_Starters'!P$122))/AVERAGE('2026_Fantasy_Starters'!P$2:'2026_Fantasy_Starters'!P$122)*100+100</f>
        <v>68.173228029939821</v>
      </c>
      <c r="AD119">
        <f>(AVERAGE('2026_Fantasy_Starters'!Q$2:'2026_Fantasy_Starters'!Q$122)-'2026_Fantasy_Starters'!Q120)/AVERAGE('2026_Fantasy_Starters'!Q$2:'2026_Fantasy_Starters'!Q$122)*100+100</f>
        <v>102.22800515619802</v>
      </c>
      <c r="AE119">
        <f>('2026_Fantasy_Starters'!R120-AVERAGE('2026_Fantasy_Starters'!R$2:'2026_Fantasy_Starters'!R$122))/AVERAGE('2026_Fantasy_Starters'!R$2:'2026_Fantasy_Starters'!R$122)*100+100</f>
        <v>96.414358916675653</v>
      </c>
      <c r="AF119">
        <f>('2026_Fantasy_Starters'!T120-AVERAGE('2026_Fantasy_Starters'!T$2:'2026_Fantasy_Starters'!T$122))/AVERAGE('2026_Fantasy_Starters'!T$2:'2026_Fantasy_Starters'!T$122)*100+100</f>
        <v>74.480975983847912</v>
      </c>
      <c r="AG119">
        <f>(AVERAGE('2026_Fantasy_Starters'!U$2:'2026_Fantasy_Starters'!U$122)-'2026_Fantasy_Starters'!U120)/AVERAGE('2026_Fantasy_Starters'!U$2:'2026_Fantasy_Starters'!U$122)*100+100</f>
        <v>89.913134099451156</v>
      </c>
      <c r="AH119">
        <f>(AVERAGE('2026_Fantasy_Starters'!V$2:'2026_Fantasy_Starters'!V$122)-'2026_Fantasy_Starters'!V120)/AVERAGE('2026_Fantasy_Starters'!V$2:'2026_Fantasy_Starters'!V$122)*100+100</f>
        <v>89.583520926618334</v>
      </c>
    </row>
    <row r="120" spans="1:34">
      <c r="A120" t="s">
        <v>197</v>
      </c>
      <c r="B120" t="s">
        <v>48</v>
      </c>
      <c r="C120" t="s">
        <v>16</v>
      </c>
      <c r="D120">
        <v>36</v>
      </c>
      <c r="E120">
        <v>94.67</v>
      </c>
      <c r="F120" s="4">
        <f>H120*1.5+I120+J120+K120*1.5+L120+M120+N120+O120+P120+Q120</f>
        <v>-7.6824435463563887</v>
      </c>
      <c r="G120">
        <v>406</v>
      </c>
      <c r="H120">
        <f>(S120-S$123)/S$124</f>
        <v>-1.5894620133007114</v>
      </c>
      <c r="I120">
        <f>(T120-T$123)/T$124</f>
        <v>-1.2299441277302054</v>
      </c>
      <c r="J120">
        <f>(U120-U$123)/U$124</f>
        <v>1.660001492015738</v>
      </c>
      <c r="K120">
        <f>(V120-V$123)/V$124</f>
        <v>-2.1548609742893041</v>
      </c>
      <c r="L120">
        <f>(Z120-Z$123)/Z$124</f>
        <v>1.1705181680814916</v>
      </c>
      <c r="M120">
        <f>(AB120-AB$123)/AB$124</f>
        <v>0.9072512541501363</v>
      </c>
      <c r="N120">
        <f>(AG120-AG$123)/AG$124</f>
        <v>-1.7149073283079193</v>
      </c>
      <c r="O120">
        <f>(AH120-AH$123)/AH$124</f>
        <v>-1.5339881707271685</v>
      </c>
      <c r="P120">
        <f>(AE120-AE$123)/AE$124</f>
        <v>4.8043370309593103E-2</v>
      </c>
      <c r="Q120">
        <f>(AF120-AF$123)/AF$124</f>
        <v>-1.3729337227630301</v>
      </c>
      <c r="S120">
        <f>(E120-AVERAGE(E$2:E$122))/AVERAGE(E$2:E$122)*100+100</f>
        <v>65.58980939276978</v>
      </c>
      <c r="T120">
        <f>('2026_Fantasy_Starters'!G73-AVERAGE('2026_Fantasy_Starters'!G$2:'2026_Fantasy_Starters'!G$122))/AVERAGE('2026_Fantasy_Starters'!G$2:'2026_Fantasy_Starters'!G$122)*100+100</f>
        <v>69.534044009772543</v>
      </c>
      <c r="U120">
        <f>(AVERAGE('2026_Fantasy_Starters'!H$2:'2026_Fantasy_Starters'!H$122)-'2026_Fantasy_Starters'!H73)/AVERAGE('2026_Fantasy_Starters'!H$2:'2026_Fantasy_Starters'!H$122)*100+100</f>
        <v>137.83786559426301</v>
      </c>
      <c r="V120">
        <f>('2026_Fantasy_Starters'!I73-AVERAGE('2026_Fantasy_Starters'!I$2:'2026_Fantasy_Starters'!I$122))/AVERAGE('2026_Fantasy_Starters'!I$2:'2026_Fantasy_Starters'!I$122)*100+100</f>
        <v>27.122987150106908</v>
      </c>
      <c r="W120">
        <f>(AVERAGE('2026_Fantasy_Starters'!J$2:'2026_Fantasy_Starters'!J$122)-'2026_Fantasy_Starters'!J73)/AVERAGE('2026_Fantasy_Starters'!J$2:'2026_Fantasy_Starters'!J$122)*100+100</f>
        <v>137.7866888592163</v>
      </c>
      <c r="X120">
        <f>(AVERAGE('2026_Fantasy_Starters'!K$2:'2026_Fantasy_Starters'!K$122)-'2026_Fantasy_Starters'!K73)/AVERAGE('2026_Fantasy_Starters'!K$2:'2026_Fantasy_Starters'!K$122)*100+100</f>
        <v>126.55756752520284</v>
      </c>
      <c r="Y120">
        <f>(AVERAGE('2026_Fantasy_Starters'!L$2:'2026_Fantasy_Starters'!L$122)-'2026_Fantasy_Starters'!L73)/AVERAGE('2026_Fantasy_Starters'!L$2:'2026_Fantasy_Starters'!L$122)*100+100</f>
        <v>123.51060664031996</v>
      </c>
      <c r="Z120">
        <f>(AVERAGE('2026_Fantasy_Starters'!M$2:'2026_Fantasy_Starters'!M$122)-'2026_Fantasy_Starters'!M73)/AVERAGE('2026_Fantasy_Starters'!M$2:'2026_Fantasy_Starters'!M$122)*100+100</f>
        <v>129.76233149925645</v>
      </c>
      <c r="AA120">
        <f>(AVERAGE('2026_Fantasy_Starters'!N$2:'2026_Fantasy_Starters'!N$122)-'2026_Fantasy_Starters'!N73)/AVERAGE('2026_Fantasy_Starters'!N$2:'2026_Fantasy_Starters'!N$122)*100+100</f>
        <v>82.174256343922707</v>
      </c>
      <c r="AB120">
        <f>(AVERAGE('2026_Fantasy_Starters'!O$2:'2026_Fantasy_Starters'!O$122)-'2026_Fantasy_Starters'!O73)/AVERAGE('2026_Fantasy_Starters'!O$2:'2026_Fantasy_Starters'!O$122)*100+100</f>
        <v>128.12372249161717</v>
      </c>
      <c r="AC120">
        <f>('2026_Fantasy_Starters'!P73-AVERAGE('2026_Fantasy_Starters'!P$2:'2026_Fantasy_Starters'!P$122))/AVERAGE('2026_Fantasy_Starters'!P$2:'2026_Fantasy_Starters'!P$122)*100+100</f>
        <v>65.985272565257503</v>
      </c>
      <c r="AD120">
        <f>(AVERAGE('2026_Fantasy_Starters'!Q$2:'2026_Fantasy_Starters'!Q$122)-'2026_Fantasy_Starters'!Q73)/AVERAGE('2026_Fantasy_Starters'!Q$2:'2026_Fantasy_Starters'!Q$122)*100+100</f>
        <v>98.643997265571031</v>
      </c>
      <c r="AE120">
        <f>('2026_Fantasy_Starters'!R73-AVERAGE('2026_Fantasy_Starters'!R$2:'2026_Fantasy_Starters'!R$122))/AVERAGE('2026_Fantasy_Starters'!R$2:'2026_Fantasy_Starters'!R$122)*100+100</f>
        <v>100.54550713847144</v>
      </c>
      <c r="AF120">
        <f>('2026_Fantasy_Starters'!T73-AVERAGE('2026_Fantasy_Starters'!T$2:'2026_Fantasy_Starters'!T$122))/AVERAGE('2026_Fantasy_Starters'!T$2:'2026_Fantasy_Starters'!T$122)*100+100</f>
        <v>73.018115484885769</v>
      </c>
      <c r="AG120">
        <f>(AVERAGE('2026_Fantasy_Starters'!U$2:'2026_Fantasy_Starters'!U$122)-'2026_Fantasy_Starters'!U73)/AVERAGE('2026_Fantasy_Starters'!U$2:'2026_Fantasy_Starters'!U$122)*100+100</f>
        <v>83.897543992057223</v>
      </c>
      <c r="AH120">
        <f>(AVERAGE('2026_Fantasy_Starters'!V$2:'2026_Fantasy_Starters'!V$122)-'2026_Fantasy_Starters'!V73)/AVERAGE('2026_Fantasy_Starters'!V$2:'2026_Fantasy_Starters'!V$122)*100+100</f>
        <v>90.06181187473797</v>
      </c>
    </row>
    <row r="121" spans="1:34">
      <c r="A121" t="s">
        <v>245</v>
      </c>
      <c r="B121" t="s">
        <v>29</v>
      </c>
      <c r="C121" t="s">
        <v>16</v>
      </c>
      <c r="D121">
        <v>24</v>
      </c>
      <c r="E121">
        <v>93.67</v>
      </c>
      <c r="F121" s="4">
        <f>H121*1.5+I121+J121+K121*1.5+L121+M121+N121+O121+P121+Q121</f>
        <v>-8.1118654265446999</v>
      </c>
      <c r="G121">
        <v>405</v>
      </c>
      <c r="H121">
        <f>(S121-S$123)/S$124</f>
        <v>-1.6214647461781191</v>
      </c>
      <c r="I121">
        <f>(T121-T$123)/T$124</f>
        <v>-1.7826140190451416</v>
      </c>
      <c r="J121">
        <f>(U121-U$123)/U$124</f>
        <v>1.2690511189098834</v>
      </c>
      <c r="K121">
        <f>(V121-V$123)/V$124</f>
        <v>-1.7378554249667391</v>
      </c>
      <c r="L121">
        <f>(Z121-Z$123)/Z$124</f>
        <v>0.93722387774565263</v>
      </c>
      <c r="M121">
        <f>(AB121-AB$123)/AB$124</f>
        <v>1.5096091137379342</v>
      </c>
      <c r="N121">
        <f>(AG121-AG$123)/AG$124</f>
        <v>-2.3281534129405643</v>
      </c>
      <c r="O121">
        <f>(AH121-AH$123)/AH$124</f>
        <v>-1.3481361458599743</v>
      </c>
      <c r="P121">
        <f>(AE121-AE$123)/AE$124</f>
        <v>-0.57536769876724936</v>
      </c>
      <c r="Q121">
        <f>(AF121-AF$123)/AF$124</f>
        <v>-0.75449800360795283</v>
      </c>
      <c r="S121">
        <f>(E121-AVERAGE(E$2:E$122))/AVERAGE(E$2:E$122)*100+100</f>
        <v>64.896983688821649</v>
      </c>
      <c r="T121">
        <f>('2026_Fantasy_Starters'!G94-AVERAGE('2026_Fantasy_Starters'!G$2:'2026_Fantasy_Starters'!G$122))/AVERAGE('2026_Fantasy_Starters'!G$2:'2026_Fantasy_Starters'!G$122)*100+100</f>
        <v>55.844302983082535</v>
      </c>
      <c r="U121">
        <f>(AVERAGE('2026_Fantasy_Starters'!H$2:'2026_Fantasy_Starters'!H$122)-'2026_Fantasy_Starters'!H94)/AVERAGE('2026_Fantasy_Starters'!H$2:'2026_Fantasy_Starters'!H$122)*100+100</f>
        <v>128.92659187387406</v>
      </c>
      <c r="V121">
        <f>('2026_Fantasy_Starters'!I94-AVERAGE('2026_Fantasy_Starters'!I$2:'2026_Fantasy_Starters'!I$122))/AVERAGE('2026_Fantasy_Starters'!I$2:'2026_Fantasy_Starters'!I$122)*100+100</f>
        <v>41.226040265392129</v>
      </c>
      <c r="W121">
        <f>(AVERAGE('2026_Fantasy_Starters'!J$2:'2026_Fantasy_Starters'!J$122)-'2026_Fantasy_Starters'!J94)/AVERAGE('2026_Fantasy_Starters'!J$2:'2026_Fantasy_Starters'!J$122)*100+100</f>
        <v>128.27714786115129</v>
      </c>
      <c r="X121">
        <f>(AVERAGE('2026_Fantasy_Starters'!K$2:'2026_Fantasy_Starters'!K$122)-'2026_Fantasy_Starters'!K94)/AVERAGE('2026_Fantasy_Starters'!K$2:'2026_Fantasy_Starters'!K$122)*100+100</f>
        <v>122.43549269844701</v>
      </c>
      <c r="Y121">
        <f>(AVERAGE('2026_Fantasy_Starters'!L$2:'2026_Fantasy_Starters'!L$122)-'2026_Fantasy_Starters'!L94)/AVERAGE('2026_Fantasy_Starters'!L$2:'2026_Fantasy_Starters'!L$122)*100+100</f>
        <v>120.56508391193549</v>
      </c>
      <c r="Z121">
        <f>(AVERAGE('2026_Fantasy_Starters'!M$2:'2026_Fantasy_Starters'!M$122)-'2026_Fantasy_Starters'!M94)/AVERAGE('2026_Fantasy_Starters'!M$2:'2026_Fantasy_Starters'!M$122)*100+100</f>
        <v>123.83044407093963</v>
      </c>
      <c r="AA121">
        <f>(AVERAGE('2026_Fantasy_Starters'!N$2:'2026_Fantasy_Starters'!N$122)-'2026_Fantasy_Starters'!N94)/AVERAGE('2026_Fantasy_Starters'!N$2:'2026_Fantasy_Starters'!N$122)*100+100</f>
        <v>88.540600722812883</v>
      </c>
      <c r="AB121">
        <f>(AVERAGE('2026_Fantasy_Starters'!O$2:'2026_Fantasy_Starters'!O$122)-'2026_Fantasy_Starters'!O94)/AVERAGE('2026_Fantasy_Starters'!O$2:'2026_Fantasy_Starters'!O$122)*100+100</f>
        <v>146.79610812481283</v>
      </c>
      <c r="AC121">
        <f>('2026_Fantasy_Starters'!P94-AVERAGE('2026_Fantasy_Starters'!P$2:'2026_Fantasy_Starters'!P$122))/AVERAGE('2026_Fantasy_Starters'!P$2:'2026_Fantasy_Starters'!P$122)*100+100</f>
        <v>60.691910281966955</v>
      </c>
      <c r="AD121">
        <f>(AVERAGE('2026_Fantasy_Starters'!Q$2:'2026_Fantasy_Starters'!Q$122)-'2026_Fantasy_Starters'!Q94)/AVERAGE('2026_Fantasy_Starters'!Q$2:'2026_Fantasy_Starters'!Q$122)*100+100</f>
        <v>131.94294787803281</v>
      </c>
      <c r="AE121">
        <f>('2026_Fantasy_Starters'!R94-AVERAGE('2026_Fantasy_Starters'!R$2:'2026_Fantasy_Starters'!R$122))/AVERAGE('2026_Fantasy_Starters'!R$2:'2026_Fantasy_Starters'!R$122)*100+100</f>
        <v>93.46700314942747</v>
      </c>
      <c r="AF121">
        <f>('2026_Fantasy_Starters'!T94-AVERAGE('2026_Fantasy_Starters'!T$2:'2026_Fantasy_Starters'!T$122))/AVERAGE('2026_Fantasy_Starters'!T$2:'2026_Fantasy_Starters'!T$122)*100+100</f>
        <v>85.172060629945037</v>
      </c>
      <c r="AG121">
        <f>(AVERAGE('2026_Fantasy_Starters'!U$2:'2026_Fantasy_Starters'!U$122)-'2026_Fantasy_Starters'!U94)/AVERAGE('2026_Fantasy_Starters'!U$2:'2026_Fantasy_Starters'!U$122)*100+100</f>
        <v>78.139350568518893</v>
      </c>
      <c r="AH121">
        <f>(AVERAGE('2026_Fantasy_Starters'!V$2:'2026_Fantasy_Starters'!V$122)-'2026_Fantasy_Starters'!V94)/AVERAGE('2026_Fantasy_Starters'!V$2:'2026_Fantasy_Starters'!V$122)*100+100</f>
        <v>91.265883993309444</v>
      </c>
    </row>
    <row r="122" spans="1:34">
      <c r="A122" t="s">
        <v>233</v>
      </c>
      <c r="B122" t="s">
        <v>40</v>
      </c>
      <c r="C122" t="s">
        <v>16</v>
      </c>
      <c r="D122">
        <v>11</v>
      </c>
      <c r="E122">
        <v>62</v>
      </c>
      <c r="F122" s="4">
        <f>H122*1.5+I122+J122+K122*1.5+L122+M122+N122+O122+P122+Q122</f>
        <v>-8.6083858763950616</v>
      </c>
      <c r="G122">
        <v>271</v>
      </c>
      <c r="H122">
        <f>(S122-S$123)/S$124</f>
        <v>-2.6349912964056301</v>
      </c>
      <c r="I122">
        <f>(T122-T$123)/T$124</f>
        <v>-2.2490219282183359</v>
      </c>
      <c r="J122">
        <f>(U122-U$123)/U$124</f>
        <v>2.3492791631315311</v>
      </c>
      <c r="K122">
        <f>(V122-V$123)/V$124</f>
        <v>-1.7630924223511004</v>
      </c>
      <c r="L122">
        <f>(Z122-Z$123)/Z$124</f>
        <v>2.4446538122742401</v>
      </c>
      <c r="M122">
        <f>(AB122-AB$123)/AB$124</f>
        <v>1.6509294379321031</v>
      </c>
      <c r="N122">
        <f>(AG122-AG$123)/AG$124</f>
        <v>-1.1837989797265447</v>
      </c>
      <c r="O122">
        <f>(AH122-AH$123)/AH$124</f>
        <v>-2.3782501709610879</v>
      </c>
      <c r="P122">
        <f>(AE122-AE$123)/AE$124</f>
        <v>-0.90199269592223508</v>
      </c>
      <c r="Q122">
        <f>(AF122-AF$123)/AF$124</f>
        <v>-1.743058936769637</v>
      </c>
      <c r="S122">
        <f>(E122-AVERAGE(E$2:E$122))/AVERAGE(E$2:E$122)*100+100</f>
        <v>42.955193644784259</v>
      </c>
      <c r="T122">
        <f>('2026_Fantasy_Starters'!G88-AVERAGE('2026_Fantasy_Starters'!G$2:'2026_Fantasy_Starters'!G$122))/AVERAGE('2026_Fantasy_Starters'!G$2:'2026_Fantasy_Starters'!G$122)*100+100</f>
        <v>44.291288082651626</v>
      </c>
      <c r="U122">
        <f>(AVERAGE('2026_Fantasy_Starters'!H$2:'2026_Fantasy_Starters'!H$122)-'2026_Fantasy_Starters'!H88)/AVERAGE('2026_Fantasy_Starters'!H$2:'2026_Fantasy_Starters'!H$122)*100+100</f>
        <v>153.5491742902185</v>
      </c>
      <c r="V122">
        <f>('2026_Fantasy_Starters'!I88-AVERAGE('2026_Fantasy_Starters'!I$2:'2026_Fantasy_Starters'!I$122))/AVERAGE('2026_Fantasy_Starters'!I$2:'2026_Fantasy_Starters'!I$122)*100+100</f>
        <v>40.372529526362008</v>
      </c>
      <c r="W122">
        <f>(AVERAGE('2026_Fantasy_Starters'!J$2:'2026_Fantasy_Starters'!J$122)-'2026_Fantasy_Starters'!J88)/AVERAGE('2026_Fantasy_Starters'!J$2:'2026_Fantasy_Starters'!J$122)*100+100</f>
        <v>153.01109619023697</v>
      </c>
      <c r="X122">
        <f>(AVERAGE('2026_Fantasy_Starters'!K$2:'2026_Fantasy_Starters'!K$122)-'2026_Fantasy_Starters'!K88)/AVERAGE('2026_Fantasy_Starters'!K$2:'2026_Fantasy_Starters'!K$122)*100+100</f>
        <v>152.01232141678412</v>
      </c>
      <c r="Y122">
        <f>(AVERAGE('2026_Fantasy_Starters'!L$2:'2026_Fantasy_Starters'!L$122)-'2026_Fantasy_Starters'!L88)/AVERAGE('2026_Fantasy_Starters'!L$2:'2026_Fantasy_Starters'!L$122)*100+100</f>
        <v>152.05825812122416</v>
      </c>
      <c r="Z122">
        <f>(AVERAGE('2026_Fantasy_Starters'!M$2:'2026_Fantasy_Starters'!M$122)-'2026_Fantasy_Starters'!M88)/AVERAGE('2026_Fantasy_Starters'!M$2:'2026_Fantasy_Starters'!M$122)*100+100</f>
        <v>162.15930614821653</v>
      </c>
      <c r="AA122">
        <f>(AVERAGE('2026_Fantasy_Starters'!N$2:'2026_Fantasy_Starters'!N$122)-'2026_Fantasy_Starters'!N88)/AVERAGE('2026_Fantasy_Starters'!N$2:'2026_Fantasy_Starters'!N$122)*100+100</f>
        <v>138.586129872535</v>
      </c>
      <c r="AB122">
        <f>(AVERAGE('2026_Fantasy_Starters'!O$2:'2026_Fantasy_Starters'!O$122)-'2026_Fantasy_Starters'!O88)/AVERAGE('2026_Fantasy_Starters'!O$2:'2026_Fantasy_Starters'!O$122)*100+100</f>
        <v>151.17687206631351</v>
      </c>
      <c r="AC122">
        <f>('2026_Fantasy_Starters'!P88-AVERAGE('2026_Fantasy_Starters'!P$2:'2026_Fantasy_Starters'!P$122))/AVERAGE('2026_Fantasy_Starters'!P$2:'2026_Fantasy_Starters'!P$122)*100+100</f>
        <v>38.577893668306181</v>
      </c>
      <c r="AD122">
        <f>(AVERAGE('2026_Fantasy_Starters'!Q$2:'2026_Fantasy_Starters'!Q$122)-'2026_Fantasy_Starters'!Q88)/AVERAGE('2026_Fantasy_Starters'!Q$2:'2026_Fantasy_Starters'!Q$122)*100+100</f>
        <v>142.43062987955545</v>
      </c>
      <c r="AE122">
        <f>('2026_Fantasy_Starters'!R88-AVERAGE('2026_Fantasy_Starters'!R$2:'2026_Fantasy_Starters'!R$122))/AVERAGE('2026_Fantasy_Starters'!R$2:'2026_Fantasy_Starters'!R$122)*100+100</f>
        <v>89.758348523344694</v>
      </c>
      <c r="AF122">
        <f>('2026_Fantasy_Starters'!T88-AVERAGE('2026_Fantasy_Starters'!T$2:'2026_Fantasy_Starters'!T$122))/AVERAGE('2026_Fantasy_Starters'!T$2:'2026_Fantasy_Starters'!T$122)*100+100</f>
        <v>65.744147619663551</v>
      </c>
      <c r="AG122">
        <f>(AVERAGE('2026_Fantasy_Starters'!U$2:'2026_Fantasy_Starters'!U$122)-'2026_Fantasy_Starters'!U88)/AVERAGE('2026_Fantasy_Starters'!U$2:'2026_Fantasy_Starters'!U$122)*100+100</f>
        <v>88.884489162395411</v>
      </c>
      <c r="AH122">
        <f>(AVERAGE('2026_Fantasy_Starters'!V$2:'2026_Fantasy_Starters'!V$122)-'2026_Fantasy_Starters'!V88)/AVERAGE('2026_Fantasy_Starters'!V$2:'2026_Fantasy_Starters'!V$122)*100+100</f>
        <v>84.59212524647846</v>
      </c>
    </row>
    <row r="123" spans="1:34" s="2" customFormat="1">
      <c r="B123" s="2" t="s">
        <v>310</v>
      </c>
      <c r="F123" s="4"/>
      <c r="H123"/>
      <c r="I123"/>
      <c r="J123"/>
      <c r="K123"/>
      <c r="L123"/>
      <c r="M123"/>
      <c r="N123"/>
      <c r="O123"/>
      <c r="P123"/>
      <c r="Q123"/>
      <c r="S123" s="2">
        <f>AVERAGE(S2:S122)</f>
        <v>100.00000000000003</v>
      </c>
      <c r="T123" s="2">
        <f>AVERAGE(T2:T122)</f>
        <v>100.00000000000003</v>
      </c>
      <c r="U123" s="2">
        <f>AVERAGE(U2:U122)</f>
        <v>100.00000000000004</v>
      </c>
      <c r="V123" s="2">
        <f t="shared" ref="V123:AF123" si="0">AVERAGE(V2:V122)</f>
        <v>100.00000000000001</v>
      </c>
      <c r="W123" s="2">
        <f t="shared" si="0"/>
        <v>99.999999999999943</v>
      </c>
      <c r="X123" s="2">
        <f t="shared" si="0"/>
        <v>100.00000000000003</v>
      </c>
      <c r="Y123" s="2">
        <f t="shared" si="0"/>
        <v>99.999999999999943</v>
      </c>
      <c r="Z123" s="2">
        <f t="shared" si="0"/>
        <v>99.999999999999972</v>
      </c>
      <c r="AA123" s="2">
        <f t="shared" si="0"/>
        <v>100.00000000000001</v>
      </c>
      <c r="AB123" s="2">
        <f t="shared" si="0"/>
        <v>99.999999999999972</v>
      </c>
      <c r="AC123" s="2">
        <f t="shared" si="0"/>
        <v>99.999999999999972</v>
      </c>
      <c r="AD123" s="2">
        <f t="shared" si="0"/>
        <v>99.999999999999972</v>
      </c>
      <c r="AE123" s="2">
        <f t="shared" si="0"/>
        <v>99.999999999999929</v>
      </c>
      <c r="AF123" s="2">
        <f t="shared" si="0"/>
        <v>99.999999999999943</v>
      </c>
      <c r="AG123" s="2">
        <f t="shared" ref="AG123" si="1">AVERAGE(AG2:AG122)</f>
        <v>100.00000000000004</v>
      </c>
      <c r="AH123" s="2">
        <f t="shared" ref="AH123" si="2">AVERAGE(AH2:AH122)</f>
        <v>99.999999999999943</v>
      </c>
    </row>
    <row r="124" spans="1:34" s="2" customFormat="1">
      <c r="B124" s="2" t="s">
        <v>311</v>
      </c>
      <c r="F124" s="4"/>
      <c r="H124"/>
      <c r="I124"/>
      <c r="J124"/>
      <c r="K124"/>
      <c r="L124"/>
      <c r="M124"/>
      <c r="N124"/>
      <c r="O124"/>
      <c r="P124"/>
      <c r="Q124"/>
      <c r="S124" s="2">
        <f>STDEV(S2:S122)</f>
        <v>21.648954375306712</v>
      </c>
      <c r="T124" s="2">
        <f>STDEV(T2:T122)</f>
        <v>24.770195087195333</v>
      </c>
      <c r="U124" s="2">
        <f t="shared" ref="U124:AH124" si="3">STDEV(U2:U122)</f>
        <v>22.793874449062383</v>
      </c>
      <c r="V124" s="2">
        <f t="shared" si="3"/>
        <v>33.819821194696196</v>
      </c>
      <c r="W124" s="2">
        <f t="shared" si="3"/>
        <v>22.497806887026183</v>
      </c>
      <c r="X124" s="2">
        <f t="shared" si="3"/>
        <v>22.147166507848187</v>
      </c>
      <c r="Y124" s="2">
        <f t="shared" si="3"/>
        <v>21.395874369088009</v>
      </c>
      <c r="Z124" s="2">
        <f t="shared" si="3"/>
        <v>25.426629257739481</v>
      </c>
      <c r="AA124" s="2">
        <f t="shared" si="3"/>
        <v>42.57662395557179</v>
      </c>
      <c r="AB124" s="2">
        <f t="shared" si="3"/>
        <v>30.998824595687086</v>
      </c>
      <c r="AC124" s="2">
        <f t="shared" si="3"/>
        <v>24.740345102515619</v>
      </c>
      <c r="AD124" s="2">
        <f t="shared" si="3"/>
        <v>24.898709804403193</v>
      </c>
      <c r="AE124" s="2">
        <f t="shared" si="3"/>
        <v>11.354472739032262</v>
      </c>
      <c r="AF124" s="2">
        <f t="shared" si="3"/>
        <v>19.652721808604944</v>
      </c>
      <c r="AG124" s="2">
        <f t="shared" si="3"/>
        <v>9.3896945579158153</v>
      </c>
      <c r="AH124" s="2">
        <f t="shared" si="3"/>
        <v>6.4786602106265887</v>
      </c>
    </row>
  </sheetData>
  <sortState xmlns:xlrd2="http://schemas.microsoft.com/office/spreadsheetml/2017/richdata2" ref="A2:AH122">
    <sortCondition descending="1" ref="F2:F12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BE7F-05BF-CF4A-B8E8-F2D898B6C7B0}">
  <dimension ref="A1:BH114"/>
  <sheetViews>
    <sheetView zoomScaleNormal="100" workbookViewId="0">
      <selection activeCell="P2" sqref="P2"/>
    </sheetView>
  </sheetViews>
  <sheetFormatPr baseColWidth="10" defaultColWidth="10.83203125" defaultRowHeight="15"/>
  <cols>
    <col min="7" max="13" width="10.83203125" style="3"/>
    <col min="14" max="14" width="10.83203125" style="4"/>
  </cols>
  <sheetData>
    <row r="1" spans="1:60">
      <c r="A1" t="str">
        <f>'2026_Fantasy_Starters'!A1</f>
        <v>Team</v>
      </c>
      <c r="B1" t="s">
        <v>0</v>
      </c>
      <c r="C1" t="str">
        <f>'2026_Fantasy_Starters'!C1</f>
        <v>Position</v>
      </c>
      <c r="D1" t="str">
        <f>'2026_Fantasy_Starters'!W1</f>
        <v>W%</v>
      </c>
      <c r="E1" t="str">
        <f>'2026_Fantasy_Starters'!X1</f>
        <v>L%</v>
      </c>
      <c r="F1" t="str">
        <f>'2026_Fantasy_Starters'!Y1</f>
        <v>QS%</v>
      </c>
      <c r="G1" s="3" t="s">
        <v>302</v>
      </c>
      <c r="H1" s="3" t="s">
        <v>303</v>
      </c>
      <c r="I1" s="3" t="s">
        <v>304</v>
      </c>
      <c r="J1" s="3" t="s">
        <v>305</v>
      </c>
      <c r="K1" s="3" t="s">
        <v>306</v>
      </c>
      <c r="L1" s="3" t="s">
        <v>307</v>
      </c>
      <c r="M1" s="3" t="s">
        <v>308</v>
      </c>
      <c r="N1" s="4" t="s">
        <v>309</v>
      </c>
      <c r="P1" t="s">
        <v>287</v>
      </c>
      <c r="Q1" t="s">
        <v>288</v>
      </c>
      <c r="R1" t="s">
        <v>289</v>
      </c>
      <c r="S1" t="s">
        <v>290</v>
      </c>
      <c r="T1" t="s">
        <v>291</v>
      </c>
      <c r="U1" t="s">
        <v>292</v>
      </c>
      <c r="V1" t="s">
        <v>293</v>
      </c>
      <c r="W1" t="s">
        <v>294</v>
      </c>
      <c r="X1" t="s">
        <v>295</v>
      </c>
      <c r="Y1" t="s">
        <v>296</v>
      </c>
      <c r="Z1" t="s">
        <v>297</v>
      </c>
      <c r="AA1" t="s">
        <v>298</v>
      </c>
      <c r="AB1" t="s">
        <v>299</v>
      </c>
      <c r="AC1" t="s">
        <v>300</v>
      </c>
      <c r="AD1" t="s">
        <v>301</v>
      </c>
      <c r="AE1" t="s">
        <v>312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312</v>
      </c>
      <c r="AX1" t="str">
        <f>'2026_Fantasy_Starters'!Z1</f>
        <v>H%</v>
      </c>
      <c r="AY1" t="str">
        <f>'2026_Fantasy_Starters'!AA1</f>
        <v>R%</v>
      </c>
      <c r="AZ1" t="str">
        <f>'2026_Fantasy_Starters'!AB1</f>
        <v>ER%</v>
      </c>
      <c r="BA1" t="str">
        <f>'2026_Fantasy_Starters'!AC1</f>
        <v>HR%</v>
      </c>
      <c r="BB1" t="str">
        <f>'2026_Fantasy_Starters'!AD1</f>
        <v>IBB%</v>
      </c>
      <c r="BC1" t="str">
        <f>'2026_Fantasy_Starters'!AE1</f>
        <v>HBP%</v>
      </c>
      <c r="BD1" t="str">
        <f>'2026_Fantasy_Starters'!AF1</f>
        <v>K%</v>
      </c>
      <c r="BE1" t="str">
        <f>'2026_Fantasy_Starters'!AG1</f>
        <v>BB%</v>
      </c>
      <c r="BF1">
        <f>'2026_Fantasy_Starters'!AH1</f>
        <v>0</v>
      </c>
      <c r="BG1" t="e">
        <f>'2026_Fantasy_Starters'!#REF!</f>
        <v>#REF!</v>
      </c>
      <c r="BH1" t="str">
        <f>'2026_Fantasy_Starters'!D1</f>
        <v>G</v>
      </c>
    </row>
    <row r="2" spans="1:60" s="5" customFormat="1">
      <c r="A2" s="5" t="str">
        <f>'2026_Fantasy_Starters'!A2</f>
        <v xml:space="preserve">DET </v>
      </c>
      <c r="B2" s="5" t="s">
        <v>14</v>
      </c>
      <c r="C2" s="5" t="str">
        <f>'2026_Fantasy_Starters'!C2</f>
        <v>SP</v>
      </c>
      <c r="D2" s="5">
        <f>'2026_Fantasy_Starters'!W2</f>
        <v>0.45648749999999999</v>
      </c>
      <c r="E2" s="5">
        <f>'2026_Fantasy_Starters'!X2</f>
        <v>0.26015624999999998</v>
      </c>
      <c r="F2" s="5" t="str">
        <f>'2026_Fantasy_Starters'!Y2</f>
        <v>0.6263888888888889</v>
      </c>
      <c r="G2" s="6">
        <f>(P2-P$113)/P$114</f>
        <v>1.1516321791176276</v>
      </c>
      <c r="H2" s="6">
        <f t="shared" ref="H2:H33" si="0">(AC2-AC$113)/AC$114</f>
        <v>-1.0615719100773771</v>
      </c>
      <c r="I2" s="6">
        <f t="shared" ref="I2:I33" si="1">(AD2-AD$113)/AD$114</f>
        <v>-2.0328646404624346</v>
      </c>
      <c r="J2" s="6" t="e">
        <f t="shared" ref="J2:J33" si="2">(AA2-AA$113)/AA$114</f>
        <v>#REF!</v>
      </c>
      <c r="K2" s="6">
        <f t="shared" ref="K2:K33" si="3">(AB2-AB$113)/AB$114</f>
        <v>-2.033680138327477</v>
      </c>
      <c r="L2" s="6">
        <f t="shared" ref="L2:L33" si="4">(R2-R$113)/R$114</f>
        <v>3.2939102121300058E-2</v>
      </c>
      <c r="M2" s="6" t="e">
        <f t="shared" ref="M2:M33" si="5">(AE2-AE$113)/AE$114</f>
        <v>#REF!</v>
      </c>
      <c r="N2" s="6" t="e">
        <f t="shared" ref="N2:N33" si="6">G2+H2+I2+J2+K2+L2+M2*2</f>
        <v>#REF!</v>
      </c>
      <c r="P2" s="5">
        <f t="shared" ref="P2:P33" si="7">(AG2-AVERAGE(AG$2:AG$112))/AVERAGE(AG$2:AG$112)*100+100</f>
        <v>123.86950933122309</v>
      </c>
      <c r="Q2" s="5">
        <f t="shared" ref="Q2:Q33" si="8">(AVERAGE(AH$2:AH$112)-AH2)/AVERAGE(AH$2:AH$112)*100+100</f>
        <v>97.200360806322749</v>
      </c>
      <c r="R2" s="5">
        <f t="shared" ref="R2:R33" si="9">(AI2-AVERAGE(AI$2:AI$112))/AVERAGE(AI$2:AI$112)*100+100</f>
        <v>100.57517190335267</v>
      </c>
      <c r="S2" s="5">
        <f t="shared" ref="S2:S33" si="10">(AVERAGE(AJ$2:AJ$112)-AJ2)/AVERAGE(AJ$2:AJ$112)*100+100</f>
        <v>80.116833679670265</v>
      </c>
      <c r="T2" s="5">
        <f t="shared" ref="T2:T33" si="11">(AVERAGE(AK$2:AK$112)-AK2)/AVERAGE(AK$2:AK$112)*100+100</f>
        <v>122.69073407730252</v>
      </c>
      <c r="U2" s="5">
        <f t="shared" ref="U2:U33" si="12">(AVERAGE(AL$2:AL$112)-AL2)/AVERAGE(AL$2:AL$112)*100+100</f>
        <v>68.363613750775301</v>
      </c>
      <c r="V2" s="5">
        <f t="shared" ref="V2:V33" si="13">(AVERAGE(AM$2:AM$112)-AM2)/AVERAGE(AM$2:AM$112)*100+100</f>
        <v>11.707500985396919</v>
      </c>
      <c r="W2" s="5">
        <f t="shared" ref="W2:W33" si="14">(AVERAGE(AN$2:AN$112)-AN2)/AVERAGE(AN$2:AN$112)*100+100</f>
        <v>97.554633762996971</v>
      </c>
      <c r="X2" s="5" t="e">
        <f t="shared" ref="X2:X33" si="15">(AVERAGE(AO$2:AO$112)-AO2)/AVERAGE(AO$2:AO$112)*100+100</f>
        <v>#DIV/0!</v>
      </c>
      <c r="Y2" s="5" t="e">
        <f t="shared" ref="Y2:Y33" si="16">(AP2-AVERAGE(AP$2:AP$112))/AVERAGE(AP$2:AP$112)*100+100</f>
        <v>#REF!</v>
      </c>
      <c r="Z2" s="5">
        <f t="shared" ref="Z2:Z33" si="17">(AVERAGE(AQ$2:AQ$112)-AQ2)/AVERAGE(AQ$2:AQ$112)*100+100</f>
        <v>36.966191081875913</v>
      </c>
      <c r="AA2" s="5" t="e">
        <f t="shared" ref="AA2:AA33" si="18">(AR2-AVERAGE(AR$2:AR$112))/AVERAGE(AR$2:AR$112)*100+100</f>
        <v>#REF!</v>
      </c>
      <c r="AB2" s="5">
        <f t="shared" ref="AB2:AB33" si="19">(AVERAGE(AS$2:AS$112)-AS2)/AVERAGE(AS$2:AS$112)*100+100</f>
        <v>17.214421020116177</v>
      </c>
      <c r="AC2" s="5">
        <f t="shared" ref="AC2:AC33" si="20">(AVERAGE(AT$2:AT$112)-AT2)/AVERAGE(AT$2:AT$112)*100+100</f>
        <v>52.657367364545607</v>
      </c>
      <c r="AD2" s="5">
        <f t="shared" ref="AD2:AD33" si="21">(AVERAGE(AU$2:AU$112)-AU2)/AVERAGE(AU$2:AU$112)*100+100</f>
        <v>17.269491359716397</v>
      </c>
      <c r="AE2" s="5" t="e">
        <f t="shared" ref="AE2:AE33" si="22">(AV2-AVERAGE(AV$2:AV$112))/AVERAGE(AV$2:AV$112)*100+100</f>
        <v>#REF!</v>
      </c>
      <c r="AG2" s="5">
        <f t="shared" ref="AG2:AG33" si="23">$D2*AX2</f>
        <v>8.9650643041159092E-2</v>
      </c>
      <c r="AH2" s="5">
        <f t="shared" ref="AH2:AH33" si="24">$D2*AY2</f>
        <v>3.7447507900162498E-2</v>
      </c>
      <c r="AI2" s="5">
        <f t="shared" ref="AI2:AI33" si="25">$D2*AZ2</f>
        <v>3.3847768900837502E-2</v>
      </c>
      <c r="AJ2" s="5">
        <f t="shared" ref="AJ2:AJ33" si="26">$F2*BA2</f>
        <v>1.5797722584722198E-2</v>
      </c>
      <c r="AK2" s="5">
        <f t="shared" ref="AK2:AK33" si="27">$F2*BB2</f>
        <v>4.1648221388888829E-4</v>
      </c>
      <c r="AL2" s="5">
        <f t="shared" ref="AL2:AL33" si="28">$F2*BC2</f>
        <v>5.4269193305555479E-3</v>
      </c>
      <c r="AM2" s="5">
        <f t="shared" ref="AM2:AM33" si="29">$F2*BD2</f>
        <v>0.19452086315301939</v>
      </c>
      <c r="AN2" s="5">
        <f t="shared" ref="AN2:AN33" si="30">$F2*BE2</f>
        <v>3.3211135862363829E-2</v>
      </c>
      <c r="AO2" s="5">
        <f t="shared" ref="AO2:AO33" si="31">$F2*BF2</f>
        <v>0</v>
      </c>
      <c r="AP2" s="5" t="e">
        <f t="shared" ref="AP2:AP33" si="32">$F2*BG2</f>
        <v>#REF!</v>
      </c>
      <c r="AQ2" s="5">
        <f t="shared" ref="AQ2:AQ33" si="33">$F2*BH2</f>
        <v>18.791666666666639</v>
      </c>
      <c r="AR2" s="5" t="e">
        <f t="shared" ref="AR2:AR33" si="34">AP2/$E2*9</f>
        <v>#REF!</v>
      </c>
      <c r="AS2" s="5">
        <f t="shared" ref="AS2:AS33" si="35">AQ2/$E2*9</f>
        <v>650.09009009008923</v>
      </c>
      <c r="AT2" s="5">
        <f t="shared" ref="AT2:AT33" si="36">AL2/$E2*9</f>
        <v>0.1877420741381379</v>
      </c>
      <c r="AU2" s="5">
        <f t="shared" ref="AU2:AU33" si="37">(AQ2+AJ2)/$E2</f>
        <v>72.292956210936168</v>
      </c>
      <c r="AV2" s="5" t="e">
        <f t="shared" ref="AV2:AV33" si="38">BG2-BH2</f>
        <v>#REF!</v>
      </c>
      <c r="AX2" s="5" t="str">
        <f>'2026_Fantasy_Starters'!Z2</f>
        <v>0.19639232846717486</v>
      </c>
      <c r="AY2" s="5">
        <f>'2026_Fantasy_Starters'!AA2</f>
        <v>8.2034026999999995E-2</v>
      </c>
      <c r="AZ2" s="5">
        <f>'2026_Fantasy_Starters'!AB2</f>
        <v>7.4148293000000004E-2</v>
      </c>
      <c r="BA2" s="5">
        <f>'2026_Fantasy_Starters'!AC2</f>
        <v>2.5220310999999999E-2</v>
      </c>
      <c r="BB2" s="5">
        <f>'2026_Fantasy_Starters'!AD2</f>
        <v>6.6489399999999997E-4</v>
      </c>
      <c r="BC2" s="5">
        <f>'2026_Fantasy_Starters'!AE2</f>
        <v>8.6638180000000002E-3</v>
      </c>
      <c r="BD2" s="5" t="str">
        <f>'2026_Fantasy_Starters'!AF2</f>
        <v>0.31054328485626237</v>
      </c>
      <c r="BE2" s="5" t="str">
        <f>'2026_Fantasy_Starters'!AG2</f>
        <v>0.053019995168297196</v>
      </c>
      <c r="BF2" s="5">
        <f>'2026_Fantasy_Starters'!AH2</f>
        <v>0</v>
      </c>
      <c r="BG2" s="5" t="e">
        <f>'2026_Fantasy_Starters'!#REF!</f>
        <v>#REF!</v>
      </c>
      <c r="BH2" s="5">
        <f>'2026_Fantasy_Starters'!D2</f>
        <v>30</v>
      </c>
    </row>
    <row r="3" spans="1:60" s="5" customFormat="1">
      <c r="A3" s="5" t="str">
        <f>'2026_Fantasy_Starters'!A4</f>
        <v xml:space="preserve">BOS </v>
      </c>
      <c r="B3" s="5" t="s">
        <v>22</v>
      </c>
      <c r="C3" s="5" t="str">
        <f>'2026_Fantasy_Starters'!C4</f>
        <v>SP</v>
      </c>
      <c r="D3" s="5" t="str">
        <f>'2026_Fantasy_Starters'!W4</f>
        <v>0.46146336206896554</v>
      </c>
      <c r="E3" s="5">
        <f>'2026_Fantasy_Starters'!X3</f>
        <v>0.27125624999999998</v>
      </c>
      <c r="F3" s="5" t="str">
        <f>'2026_Fantasy_Starters'!Y4</f>
        <v>0.5919540229885057</v>
      </c>
      <c r="G3" s="6">
        <f t="shared" ref="G3:G34" si="39">(P3-$P$113)/$P$114</f>
        <v>1.3999892868816897</v>
      </c>
      <c r="H3" s="6">
        <f t="shared" si="0"/>
        <v>-0.22980242544333193</v>
      </c>
      <c r="I3" s="6">
        <f t="shared" si="1"/>
        <v>-1.476984616285776</v>
      </c>
      <c r="J3" s="6" t="e">
        <f t="shared" si="2"/>
        <v>#REF!</v>
      </c>
      <c r="K3" s="6">
        <f t="shared" si="3"/>
        <v>-1.4775337707527851</v>
      </c>
      <c r="L3" s="6">
        <f t="shared" si="4"/>
        <v>0.46314500943596226</v>
      </c>
      <c r="M3" s="6" t="e">
        <f t="shared" si="5"/>
        <v>#REF!</v>
      </c>
      <c r="N3" s="6" t="e">
        <f t="shared" si="6"/>
        <v>#REF!</v>
      </c>
      <c r="P3" s="5">
        <f t="shared" si="7"/>
        <v>129.01712712859305</v>
      </c>
      <c r="Q3" s="5">
        <f t="shared" si="8"/>
        <v>88.100711059685111</v>
      </c>
      <c r="R3" s="5">
        <f t="shared" si="9"/>
        <v>108.08728773554802</v>
      </c>
      <c r="S3" s="5">
        <f t="shared" si="10"/>
        <v>82.337759476612788</v>
      </c>
      <c r="T3" s="5">
        <f t="shared" si="11"/>
        <v>48.856765123545522</v>
      </c>
      <c r="U3" s="5">
        <f t="shared" si="12"/>
        <v>97.301180152735199</v>
      </c>
      <c r="V3" s="5">
        <f t="shared" si="13"/>
        <v>24.980677088677751</v>
      </c>
      <c r="W3" s="5">
        <f t="shared" si="14"/>
        <v>84.713708832517128</v>
      </c>
      <c r="X3" s="5" t="e">
        <f t="shared" si="15"/>
        <v>#DIV/0!</v>
      </c>
      <c r="Y3" s="5" t="e">
        <f t="shared" si="16"/>
        <v>#REF!</v>
      </c>
      <c r="Z3" s="5">
        <f t="shared" si="17"/>
        <v>51.064458371913233</v>
      </c>
      <c r="AA3" s="5" t="e">
        <f t="shared" si="18"/>
        <v>#REF!</v>
      </c>
      <c r="AB3" s="5">
        <f t="shared" si="19"/>
        <v>39.853624781576322</v>
      </c>
      <c r="AC3" s="5">
        <f t="shared" si="20"/>
        <v>89.751563974872809</v>
      </c>
      <c r="AD3" s="5">
        <f t="shared" si="21"/>
        <v>39.891871732590964</v>
      </c>
      <c r="AE3" s="5" t="e">
        <f t="shared" si="22"/>
        <v>#REF!</v>
      </c>
      <c r="AG3" s="5">
        <f t="shared" si="23"/>
        <v>9.3376234981870906E-2</v>
      </c>
      <c r="AH3" s="5">
        <f t="shared" si="24"/>
        <v>4.0762297800678832E-2</v>
      </c>
      <c r="AI3" s="5">
        <f t="shared" si="25"/>
        <v>3.637591134228229E-2</v>
      </c>
      <c r="AJ3" s="5">
        <f t="shared" si="26"/>
        <v>1.5505057895439619E-2</v>
      </c>
      <c r="AK3" s="5">
        <f t="shared" si="27"/>
        <v>8.1424222988505637E-4</v>
      </c>
      <c r="AL3" s="5">
        <f t="shared" si="28"/>
        <v>4.2339221436781555E-3</v>
      </c>
      <c r="AM3" s="5">
        <f t="shared" si="29"/>
        <v>0.18080863517843621</v>
      </c>
      <c r="AN3" s="5">
        <f t="shared" si="30"/>
        <v>3.7373956672413743E-2</v>
      </c>
      <c r="AO3" s="5">
        <f t="shared" si="31"/>
        <v>0</v>
      </c>
      <c r="AP3" s="5" t="e">
        <f t="shared" si="32"/>
        <v>#REF!</v>
      </c>
      <c r="AQ3" s="5">
        <f t="shared" si="33"/>
        <v>17.166666666666643</v>
      </c>
      <c r="AR3" s="5" t="e">
        <f t="shared" si="34"/>
        <v>#REF!</v>
      </c>
      <c r="AS3" s="5">
        <f t="shared" si="35"/>
        <v>569.5721296744307</v>
      </c>
      <c r="AT3" s="5">
        <f t="shared" si="36"/>
        <v>0.14047712925731076</v>
      </c>
      <c r="AU3" s="5">
        <f t="shared" si="37"/>
        <v>63.342952372754851</v>
      </c>
      <c r="AV3" s="5" t="e">
        <f t="shared" si="38"/>
        <v>#REF!</v>
      </c>
      <c r="AX3" s="5" t="str">
        <f>'2026_Fantasy_Starters'!Z4</f>
        <v>0.2023481009699661</v>
      </c>
      <c r="AY3" s="5">
        <f>'2026_Fantasy_Starters'!AA4</f>
        <v>8.8332684999999994E-2</v>
      </c>
      <c r="AZ3" s="5">
        <f>'2026_Fantasy_Starters'!AB4</f>
        <v>7.8827301000000002E-2</v>
      </c>
      <c r="BA3" s="5" t="str">
        <f>'2026_Fantasy_Starters'!AC4</f>
        <v>0.026193010425305842</v>
      </c>
      <c r="BB3" s="5">
        <f>'2026_Fantasy_Starters'!AD4</f>
        <v>1.375516E-3</v>
      </c>
      <c r="BC3" s="5">
        <f>'2026_Fantasy_Starters'!AE4</f>
        <v>7.1524509999999998E-3</v>
      </c>
      <c r="BD3" s="5" t="str">
        <f>'2026_Fantasy_Starters'!AF4</f>
        <v>0.3054437137965822</v>
      </c>
      <c r="BE3" s="5">
        <f>'2026_Fantasy_Starters'!AG4</f>
        <v>6.3136586999999994E-2</v>
      </c>
      <c r="BF3" s="5">
        <f>'2026_Fantasy_Starters'!AH4</f>
        <v>0</v>
      </c>
      <c r="BG3" s="5" t="e">
        <f>'2026_Fantasy_Starters'!#REF!</f>
        <v>#REF!</v>
      </c>
      <c r="BH3" s="5">
        <f>'2026_Fantasy_Starters'!D4</f>
        <v>29</v>
      </c>
    </row>
    <row r="4" spans="1:60" s="5" customFormat="1">
      <c r="A4" s="5" t="str">
        <f>'2026_Fantasy_Starters'!A3</f>
        <v xml:space="preserve">PIT </v>
      </c>
      <c r="B4" s="5" t="s">
        <v>19</v>
      </c>
      <c r="C4" s="5" t="str">
        <f>'2026_Fantasy_Starters'!C3</f>
        <v>SP</v>
      </c>
      <c r="D4" s="5">
        <f>'2026_Fantasy_Starters'!W3</f>
        <v>0.42596250000000002</v>
      </c>
      <c r="E4" s="5" t="str">
        <f>'2026_Fantasy_Starters'!X4</f>
        <v>0.2773803879310345</v>
      </c>
      <c r="F4" s="5">
        <f>'2026_Fantasy_Starters'!Y3</f>
        <v>0.6</v>
      </c>
      <c r="G4" s="6">
        <f t="shared" si="39"/>
        <v>0.78754641239415857</v>
      </c>
      <c r="H4" s="6">
        <f t="shared" si="0"/>
        <v>-0.91469840709142347</v>
      </c>
      <c r="I4" s="6">
        <f t="shared" si="1"/>
        <v>-1.5761056463274585</v>
      </c>
      <c r="J4" s="6" t="e">
        <f t="shared" si="2"/>
        <v>#REF!</v>
      </c>
      <c r="K4" s="6">
        <f t="shared" si="3"/>
        <v>-1.5774340134952722</v>
      </c>
      <c r="L4" s="6">
        <f t="shared" si="4"/>
        <v>-8.3908836847069485E-2</v>
      </c>
      <c r="M4" s="6" t="e">
        <f t="shared" si="5"/>
        <v>#REF!</v>
      </c>
      <c r="N4" s="6" t="e">
        <f t="shared" si="6"/>
        <v>#REF!</v>
      </c>
      <c r="P4" s="5">
        <f t="shared" si="7"/>
        <v>116.32322088621802</v>
      </c>
      <c r="Q4" s="5">
        <f t="shared" si="8"/>
        <v>100.23479380071022</v>
      </c>
      <c r="R4" s="5">
        <f t="shared" si="9"/>
        <v>98.534811142704953</v>
      </c>
      <c r="S4" s="5">
        <f t="shared" si="10"/>
        <v>103.12049339439017</v>
      </c>
      <c r="T4" s="5">
        <f t="shared" si="11"/>
        <v>54.402931092478681</v>
      </c>
      <c r="U4" s="5">
        <f t="shared" si="12"/>
        <v>65.887671177315994</v>
      </c>
      <c r="V4" s="5">
        <f t="shared" si="13"/>
        <v>30.976204786217835</v>
      </c>
      <c r="W4" s="5">
        <f t="shared" si="14"/>
        <v>84.241865107067909</v>
      </c>
      <c r="X4" s="5" t="e">
        <f t="shared" si="15"/>
        <v>#DIV/0!</v>
      </c>
      <c r="Y4" s="5" t="e">
        <f t="shared" si="16"/>
        <v>#REF!</v>
      </c>
      <c r="Z4" s="5">
        <f t="shared" si="17"/>
        <v>43.834577710355418</v>
      </c>
      <c r="AA4" s="5" t="e">
        <f t="shared" si="18"/>
        <v>#REF!</v>
      </c>
      <c r="AB4" s="5">
        <f t="shared" si="19"/>
        <v>35.786958013384677</v>
      </c>
      <c r="AC4" s="5">
        <f t="shared" si="20"/>
        <v>59.207444876712898</v>
      </c>
      <c r="AD4" s="5">
        <f t="shared" si="21"/>
        <v>35.857991134209456</v>
      </c>
      <c r="AE4" s="5" t="e">
        <f t="shared" si="22"/>
        <v>#REF!</v>
      </c>
      <c r="AG4" s="5">
        <f t="shared" si="23"/>
        <v>8.4189011560406604E-2</v>
      </c>
      <c r="AH4" s="5">
        <f t="shared" si="24"/>
        <v>3.6342134822775006E-2</v>
      </c>
      <c r="AI4" s="5">
        <f t="shared" si="25"/>
        <v>3.3161101821937503E-2</v>
      </c>
      <c r="AJ4" s="5">
        <f t="shared" si="26"/>
        <v>1.276639261771524E-2</v>
      </c>
      <c r="AK4" s="5">
        <f t="shared" si="27"/>
        <v>7.843638E-4</v>
      </c>
      <c r="AL4" s="5">
        <f t="shared" si="28"/>
        <v>5.5289939999999997E-3</v>
      </c>
      <c r="AM4" s="5">
        <f t="shared" si="29"/>
        <v>0.17461478662426261</v>
      </c>
      <c r="AN4" s="5">
        <f t="shared" si="30"/>
        <v>3.7526920800000002E-2</v>
      </c>
      <c r="AO4" s="5">
        <f t="shared" si="31"/>
        <v>0</v>
      </c>
      <c r="AP4" s="5" t="e">
        <f t="shared" si="32"/>
        <v>#REF!</v>
      </c>
      <c r="AQ4" s="5">
        <f t="shared" si="33"/>
        <v>18</v>
      </c>
      <c r="AR4" s="5" t="e">
        <f t="shared" si="34"/>
        <v>#REF!</v>
      </c>
      <c r="AS4" s="5">
        <f t="shared" si="35"/>
        <v>584.03552323345446</v>
      </c>
      <c r="AT4" s="5">
        <f t="shared" si="36"/>
        <v>0.17939605020803501</v>
      </c>
      <c r="AU4" s="5">
        <f t="shared" si="37"/>
        <v>64.938860771570802</v>
      </c>
      <c r="AV4" s="5" t="e">
        <f t="shared" si="38"/>
        <v>#REF!</v>
      </c>
      <c r="AX4" s="5" t="str">
        <f>'2026_Fantasy_Starters'!Z3</f>
        <v>0.19764418595629166</v>
      </c>
      <c r="AY4" s="5">
        <f>'2026_Fantasy_Starters'!AA3</f>
        <v>8.5317686000000004E-2</v>
      </c>
      <c r="AZ4" s="5">
        <f>'2026_Fantasy_Starters'!AB3</f>
        <v>7.7849815000000003E-2</v>
      </c>
      <c r="BA4" s="5" t="str">
        <f>'2026_Fantasy_Starters'!AC3</f>
        <v>0.021277321029525426</v>
      </c>
      <c r="BB4" s="5">
        <f>'2026_Fantasy_Starters'!AD3</f>
        <v>1.3072730000000001E-3</v>
      </c>
      <c r="BC4" s="5">
        <f>'2026_Fantasy_Starters'!AE3</f>
        <v>9.2149899999999993E-3</v>
      </c>
      <c r="BD4" s="5" t="str">
        <f>'2026_Fantasy_Starters'!AF3</f>
        <v>0.2910246443737717</v>
      </c>
      <c r="BE4" s="5">
        <f>'2026_Fantasy_Starters'!AG3</f>
        <v>6.2544868000000003E-2</v>
      </c>
      <c r="BF4" s="5">
        <f>'2026_Fantasy_Starters'!AH3</f>
        <v>0</v>
      </c>
      <c r="BG4" s="5" t="e">
        <f>'2026_Fantasy_Starters'!#REF!</f>
        <v>#REF!</v>
      </c>
      <c r="BH4" s="5">
        <f>'2026_Fantasy_Starters'!D3</f>
        <v>30</v>
      </c>
    </row>
    <row r="5" spans="1:60" s="7" customFormat="1">
      <c r="A5" s="7" t="str">
        <f>'2026_Fantasy_Starters'!A9</f>
        <v xml:space="preserve">ATL </v>
      </c>
      <c r="B5" s="7" t="s">
        <v>39</v>
      </c>
      <c r="C5" s="7" t="str">
        <f>'2026_Fantasy_Starters'!C9</f>
        <v>SP</v>
      </c>
      <c r="D5" s="7" t="str">
        <f>'2026_Fantasy_Starters'!W9</f>
        <v>0.4254615584415584</v>
      </c>
      <c r="E5" s="7" t="str">
        <f>'2026_Fantasy_Starters'!X5</f>
        <v>0.2561538461538461</v>
      </c>
      <c r="F5" s="7" t="str">
        <f>'2026_Fantasy_Starters'!Y9</f>
        <v>0.5747619047619047</v>
      </c>
      <c r="G5" s="8">
        <f t="shared" si="39"/>
        <v>0.98154068693227514</v>
      </c>
      <c r="H5" s="8">
        <f t="shared" si="0"/>
        <v>-2.470555369113796</v>
      </c>
      <c r="I5" s="8">
        <f t="shared" si="1"/>
        <v>-1.0306250704647553</v>
      </c>
      <c r="J5" s="8" t="e">
        <f t="shared" si="2"/>
        <v>#REF!</v>
      </c>
      <c r="K5" s="8">
        <f t="shared" si="3"/>
        <v>-1.0305491613663189</v>
      </c>
      <c r="L5" s="8">
        <f t="shared" si="4"/>
        <v>0.42681051371386497</v>
      </c>
      <c r="M5" s="8" t="e">
        <f t="shared" si="5"/>
        <v>#REF!</v>
      </c>
      <c r="N5" s="8" t="e">
        <f t="shared" si="6"/>
        <v>#REF!</v>
      </c>
      <c r="P5" s="7">
        <f t="shared" si="7"/>
        <v>120.34407774508013</v>
      </c>
      <c r="Q5" s="7">
        <f t="shared" si="8"/>
        <v>93.074428356718158</v>
      </c>
      <c r="R5" s="7">
        <f t="shared" si="9"/>
        <v>107.45282657188677</v>
      </c>
      <c r="S5" s="7">
        <f t="shared" si="10"/>
        <v>81.593309527177539</v>
      </c>
      <c r="T5" s="7">
        <f t="shared" si="11"/>
        <v>37.697440122396422</v>
      </c>
      <c r="U5" s="7">
        <f t="shared" si="12"/>
        <v>15.114517819015546</v>
      </c>
      <c r="V5" s="7">
        <f t="shared" si="13"/>
        <v>35.420605659816871</v>
      </c>
      <c r="W5" s="7">
        <f t="shared" si="14"/>
        <v>82.035906779526101</v>
      </c>
      <c r="X5" s="7" t="e">
        <f t="shared" si="15"/>
        <v>#DIV/0!</v>
      </c>
      <c r="Y5" s="7" t="e">
        <f t="shared" si="16"/>
        <v>#REF!</v>
      </c>
      <c r="Z5" s="7">
        <f t="shared" si="17"/>
        <v>75.336200592856628</v>
      </c>
      <c r="AA5" s="7" t="e">
        <f t="shared" si="18"/>
        <v>#REF!</v>
      </c>
      <c r="AB5" s="7">
        <f t="shared" si="19"/>
        <v>58.049150708081299</v>
      </c>
      <c r="AC5" s="7">
        <f t="shared" si="20"/>
        <v>-10.178683266947559</v>
      </c>
      <c r="AD5" s="7">
        <f t="shared" si="21"/>
        <v>58.057150190982938</v>
      </c>
      <c r="AE5" s="7" t="e">
        <f t="shared" si="22"/>
        <v>#REF!</v>
      </c>
      <c r="AG5" s="7">
        <f t="shared" si="23"/>
        <v>8.7099109492655216E-2</v>
      </c>
      <c r="AH5" s="7">
        <f t="shared" si="24"/>
        <v>3.8950488739531122E-2</v>
      </c>
      <c r="AI5" s="7">
        <f t="shared" si="25"/>
        <v>3.6162388517138142E-2</v>
      </c>
      <c r="AJ5" s="7">
        <f t="shared" si="26"/>
        <v>1.5603158522411415E-2</v>
      </c>
      <c r="AK5" s="7">
        <f t="shared" si="27"/>
        <v>8.7435999619047506E-4</v>
      </c>
      <c r="AL5" s="7">
        <f t="shared" si="28"/>
        <v>7.6221979786609143E-3</v>
      </c>
      <c r="AM5" s="7">
        <f t="shared" si="29"/>
        <v>0.17002337327187267</v>
      </c>
      <c r="AN5" s="7">
        <f t="shared" si="30"/>
        <v>3.8242056919999948E-2</v>
      </c>
      <c r="AO5" s="7">
        <f t="shared" si="31"/>
        <v>0</v>
      </c>
      <c r="AP5" s="7" t="e">
        <f t="shared" si="32"/>
        <v>#REF!</v>
      </c>
      <c r="AQ5" s="7">
        <f t="shared" si="33"/>
        <v>14.369047619047601</v>
      </c>
      <c r="AR5" s="7" t="e">
        <f t="shared" si="34"/>
        <v>#REF!</v>
      </c>
      <c r="AS5" s="7">
        <f t="shared" si="35"/>
        <v>504.85842985842953</v>
      </c>
      <c r="AT5" s="7">
        <f t="shared" si="36"/>
        <v>0.26780695600700527</v>
      </c>
      <c r="AU5" s="7">
        <f t="shared" si="37"/>
        <v>56.156294326849931</v>
      </c>
      <c r="AV5" s="7" t="e">
        <f t="shared" si="38"/>
        <v>#REF!</v>
      </c>
      <c r="AX5" s="7" t="str">
        <f>'2026_Fantasy_Starters'!Z9</f>
        <v>0.20471675469740397</v>
      </c>
      <c r="AY5" s="7">
        <f>'2026_Fantasy_Starters'!AA9</f>
        <v>9.1548784999999994E-2</v>
      </c>
      <c r="AZ5" s="7">
        <f>'2026_Fantasy_Starters'!AB9</f>
        <v>8.4995665999999997E-2</v>
      </c>
      <c r="BA5" s="7" t="str">
        <f>'2026_Fantasy_Starters'!AC9</f>
        <v>0.027147168928802055</v>
      </c>
      <c r="BB5" s="7">
        <f>'2026_Fantasy_Starters'!AD9</f>
        <v>1.5212559999999999E-3</v>
      </c>
      <c r="BC5" s="7" t="str">
        <f>'2026_Fantasy_Starters'!AE9</f>
        <v>0.013261487783917137</v>
      </c>
      <c r="BD5" s="7" t="str">
        <f>'2026_Fantasy_Starters'!AF9</f>
        <v>0.29581531389472593</v>
      </c>
      <c r="BE5" s="7">
        <f>'2026_Fantasy_Starters'!AG9</f>
        <v>6.6535475999999996E-2</v>
      </c>
      <c r="BF5" s="7">
        <f>'2026_Fantasy_Starters'!AH9</f>
        <v>0</v>
      </c>
      <c r="BG5" s="7" t="e">
        <f>'2026_Fantasy_Starters'!#REF!</f>
        <v>#REF!</v>
      </c>
      <c r="BH5" s="7">
        <f>'2026_Fantasy_Starters'!D9</f>
        <v>25</v>
      </c>
    </row>
    <row r="6" spans="1:60" s="5" customFormat="1">
      <c r="A6" s="5" t="str">
        <f>'2026_Fantasy_Starters'!A7</f>
        <v xml:space="preserve">SEA </v>
      </c>
      <c r="B6" s="5" t="s">
        <v>32</v>
      </c>
      <c r="C6" s="5" t="str">
        <f>'2026_Fantasy_Starters'!C7</f>
        <v>SP</v>
      </c>
      <c r="D6" s="5" t="str">
        <f>'2026_Fantasy_Starters'!W7</f>
        <v>0.4110964285714286</v>
      </c>
      <c r="E6" s="5">
        <f>'2026_Fantasy_Starters'!X6</f>
        <v>0.27125624999999998</v>
      </c>
      <c r="F6" s="5" t="str">
        <f>'2026_Fantasy_Starters'!Y7</f>
        <v>0.5628472222222222</v>
      </c>
      <c r="G6" s="6">
        <f t="shared" si="39"/>
        <v>1.0048328380868901</v>
      </c>
      <c r="H6" s="6">
        <f t="shared" si="0"/>
        <v>-0.92250411277802447</v>
      </c>
      <c r="I6" s="6">
        <f t="shared" si="1"/>
        <v>-1.4131838089969324</v>
      </c>
      <c r="J6" s="6" t="e">
        <f t="shared" si="2"/>
        <v>#REF!</v>
      </c>
      <c r="K6" s="6">
        <f t="shared" si="3"/>
        <v>-1.4130795107407275</v>
      </c>
      <c r="L6" s="6">
        <f t="shared" si="4"/>
        <v>0.90831155566595656</v>
      </c>
      <c r="M6" s="6" t="e">
        <f t="shared" si="5"/>
        <v>#REF!</v>
      </c>
      <c r="N6" s="6" t="e">
        <f t="shared" si="6"/>
        <v>#REF!</v>
      </c>
      <c r="P6" s="5">
        <f t="shared" si="7"/>
        <v>120.82684666158897</v>
      </c>
      <c r="Q6" s="5">
        <f t="shared" si="8"/>
        <v>86.641569625731933</v>
      </c>
      <c r="R6" s="5">
        <f t="shared" si="9"/>
        <v>115.86064138559932</v>
      </c>
      <c r="S6" s="5">
        <f t="shared" si="10"/>
        <v>62.553913090398112</v>
      </c>
      <c r="T6" s="5">
        <f t="shared" si="11"/>
        <v>64.284510007354356</v>
      </c>
      <c r="U6" s="5">
        <f t="shared" si="12"/>
        <v>68.52439678192809</v>
      </c>
      <c r="V6" s="5">
        <f t="shared" si="13"/>
        <v>61.640676479282178</v>
      </c>
      <c r="W6" s="5">
        <f t="shared" si="14"/>
        <v>113.04494659456554</v>
      </c>
      <c r="X6" s="5" t="e">
        <f t="shared" si="15"/>
        <v>#DIV/0!</v>
      </c>
      <c r="Y6" s="5" t="e">
        <f t="shared" si="16"/>
        <v>#REF!</v>
      </c>
      <c r="Z6" s="5">
        <f t="shared" si="17"/>
        <v>53.504543095188779</v>
      </c>
      <c r="AA6" s="5" t="e">
        <f t="shared" si="18"/>
        <v>#REF!</v>
      </c>
      <c r="AB6" s="5">
        <f t="shared" si="19"/>
        <v>42.477382142557609</v>
      </c>
      <c r="AC6" s="5">
        <f t="shared" si="20"/>
        <v>58.859335951379435</v>
      </c>
      <c r="AD6" s="5">
        <f t="shared" si="21"/>
        <v>42.488342315829627</v>
      </c>
      <c r="AE6" s="5" t="e">
        <f t="shared" si="22"/>
        <v>#REF!</v>
      </c>
      <c r="AG6" s="5">
        <f t="shared" si="23"/>
        <v>8.7448513829840174E-2</v>
      </c>
      <c r="AH6" s="5">
        <f t="shared" si="24"/>
        <v>4.1293828950048635E-2</v>
      </c>
      <c r="AI6" s="5">
        <f t="shared" si="25"/>
        <v>3.8991971279860656E-2</v>
      </c>
      <c r="AJ6" s="5">
        <f t="shared" si="26"/>
        <v>1.8112093782638887E-2</v>
      </c>
      <c r="AK6" s="5">
        <f t="shared" si="27"/>
        <v>7.3112953611111087E-4</v>
      </c>
      <c r="AL6" s="5">
        <f t="shared" si="28"/>
        <v>5.4202907944444429E-3</v>
      </c>
      <c r="AM6" s="5">
        <f t="shared" si="29"/>
        <v>0.14293599148859659</v>
      </c>
      <c r="AN6" s="5">
        <f t="shared" si="30"/>
        <v>2.8189426214612841E-2</v>
      </c>
      <c r="AO6" s="5">
        <f t="shared" si="31"/>
        <v>0</v>
      </c>
      <c r="AP6" s="5" t="e">
        <f t="shared" si="32"/>
        <v>#REF!</v>
      </c>
      <c r="AQ6" s="5">
        <f t="shared" si="33"/>
        <v>16.885416666666661</v>
      </c>
      <c r="AR6" s="5" t="e">
        <f t="shared" si="34"/>
        <v>#REF!</v>
      </c>
      <c r="AS6" s="5">
        <f t="shared" si="35"/>
        <v>560.24054745282353</v>
      </c>
      <c r="AT6" s="5">
        <f t="shared" si="36"/>
        <v>0.17983960609202548</v>
      </c>
      <c r="AU6" s="5">
        <f t="shared" si="37"/>
        <v>62.315720874447315</v>
      </c>
      <c r="AV6" s="5" t="e">
        <f t="shared" si="38"/>
        <v>#REF!</v>
      </c>
      <c r="AX6" s="5" t="str">
        <f>'2026_Fantasy_Starters'!Z7</f>
        <v>0.21272019835766143</v>
      </c>
      <c r="AY6" s="5" t="str">
        <f>'2026_Fantasy_Starters'!AA7</f>
        <v>0.1004480362272818</v>
      </c>
      <c r="AZ6" s="5">
        <f>'2026_Fantasy_Starters'!AB7</f>
        <v>9.4848722999999996E-2</v>
      </c>
      <c r="BA6" s="5">
        <f>'2026_Fantasy_Starters'!AC7</f>
        <v>3.2179414000000003E-2</v>
      </c>
      <c r="BB6" s="5">
        <f>'2026_Fantasy_Starters'!AD7</f>
        <v>1.298984E-3</v>
      </c>
      <c r="BC6" s="5">
        <f>'2026_Fantasy_Starters'!AE7</f>
        <v>9.630128E-3</v>
      </c>
      <c r="BD6" s="5" t="str">
        <f>'2026_Fantasy_Starters'!AF7</f>
        <v>0.25395166902354027</v>
      </c>
      <c r="BE6" s="5" t="str">
        <f>'2026_Fantasy_Starters'!AG7</f>
        <v>0.050083619678029045</v>
      </c>
      <c r="BF6" s="5">
        <f>'2026_Fantasy_Starters'!AH7</f>
        <v>0</v>
      </c>
      <c r="BG6" s="5" t="e">
        <f>'2026_Fantasy_Starters'!#REF!</f>
        <v>#REF!</v>
      </c>
      <c r="BH6" s="5">
        <f>'2026_Fantasy_Starters'!D7</f>
        <v>30</v>
      </c>
    </row>
    <row r="7" spans="1:60" s="7" customFormat="1">
      <c r="A7" s="7" t="str">
        <f>'2026_Fantasy_Starters'!A11</f>
        <v xml:space="preserve">SEA </v>
      </c>
      <c r="B7" s="7" t="s">
        <v>45</v>
      </c>
      <c r="C7" s="7" t="str">
        <f>'2026_Fantasy_Starters'!C11</f>
        <v>SP</v>
      </c>
      <c r="D7" s="7" t="str">
        <f>'2026_Fantasy_Starters'!W11</f>
        <v>0.36892463054187186</v>
      </c>
      <c r="E7" s="7">
        <f>'2026_Fantasy_Starters'!X7</f>
        <v>0.28166249999999998</v>
      </c>
      <c r="F7" s="7" t="str">
        <f>'2026_Fantasy_Starters'!Y11</f>
        <v>0.5250410509031198</v>
      </c>
      <c r="G7" s="8">
        <f t="shared" si="39"/>
        <v>0.28709537556907055</v>
      </c>
      <c r="H7" s="8">
        <f t="shared" si="0"/>
        <v>-0.26068182934522499</v>
      </c>
      <c r="I7" s="8">
        <f t="shared" si="1"/>
        <v>-0.78832704295242295</v>
      </c>
      <c r="J7" s="8" t="e">
        <f t="shared" si="2"/>
        <v>#REF!</v>
      </c>
      <c r="K7" s="8">
        <f t="shared" si="3"/>
        <v>-0.78803632238866106</v>
      </c>
      <c r="L7" s="8">
        <f t="shared" si="4"/>
        <v>0.16988544758706467</v>
      </c>
      <c r="M7" s="8" t="e">
        <f t="shared" si="5"/>
        <v>#REF!</v>
      </c>
      <c r="N7" s="8" t="e">
        <f t="shared" si="6"/>
        <v>#REF!</v>
      </c>
      <c r="P7" s="7">
        <f t="shared" si="7"/>
        <v>105.95053339977659</v>
      </c>
      <c r="Q7" s="7">
        <f t="shared" si="8"/>
        <v>101.055930982091</v>
      </c>
      <c r="R7" s="7">
        <f t="shared" si="9"/>
        <v>102.96648451074141</v>
      </c>
      <c r="S7" s="7">
        <f t="shared" si="10"/>
        <v>69.727977608075179</v>
      </c>
      <c r="T7" s="7">
        <f t="shared" si="11"/>
        <v>54.292846961862843</v>
      </c>
      <c r="U7" s="7">
        <f t="shared" si="12"/>
        <v>92.029297176558387</v>
      </c>
      <c r="V7" s="7">
        <f t="shared" si="13"/>
        <v>59.288953645238159</v>
      </c>
      <c r="W7" s="7">
        <f t="shared" si="14"/>
        <v>107.85567643461714</v>
      </c>
      <c r="X7" s="7" t="e">
        <f t="shared" si="15"/>
        <v>#DIV/0!</v>
      </c>
      <c r="Y7" s="7" t="e">
        <f t="shared" si="16"/>
        <v>#REF!</v>
      </c>
      <c r="Z7" s="7">
        <f t="shared" si="17"/>
        <v>72.454932880935431</v>
      </c>
      <c r="AA7" s="7" t="e">
        <f t="shared" si="18"/>
        <v>#REF!</v>
      </c>
      <c r="AB7" s="7">
        <f t="shared" si="19"/>
        <v>67.921187812860211</v>
      </c>
      <c r="AC7" s="7">
        <f t="shared" si="20"/>
        <v>88.374443629984839</v>
      </c>
      <c r="AD7" s="7">
        <f t="shared" si="21"/>
        <v>67.917835777049675</v>
      </c>
      <c r="AE7" s="7" t="e">
        <f t="shared" si="22"/>
        <v>#REF!</v>
      </c>
      <c r="AG7" s="7">
        <f t="shared" si="23"/>
        <v>7.6681771818801689E-2</v>
      </c>
      <c r="AH7" s="7">
        <f t="shared" si="24"/>
        <v>3.6043013723439814E-2</v>
      </c>
      <c r="AI7" s="7">
        <f t="shared" si="25"/>
        <v>3.4652546014043266E-2</v>
      </c>
      <c r="AJ7" s="7">
        <f t="shared" si="26"/>
        <v>1.7166724348932648E-2</v>
      </c>
      <c r="AK7" s="7">
        <f t="shared" si="27"/>
        <v>7.8495684770114827E-4</v>
      </c>
      <c r="AL7" s="7">
        <f t="shared" si="28"/>
        <v>4.4512639018883344E-3</v>
      </c>
      <c r="AM7" s="7">
        <f t="shared" si="29"/>
        <v>0.14536550492099004</v>
      </c>
      <c r="AN7" s="7">
        <f t="shared" si="30"/>
        <v>2.9871703926518837E-2</v>
      </c>
      <c r="AO7" s="7">
        <f t="shared" si="31"/>
        <v>0</v>
      </c>
      <c r="AP7" s="7" t="e">
        <f t="shared" si="32"/>
        <v>#REF!</v>
      </c>
      <c r="AQ7" s="7">
        <f t="shared" si="33"/>
        <v>14.701149425287333</v>
      </c>
      <c r="AR7" s="7" t="e">
        <f t="shared" si="34"/>
        <v>#REF!</v>
      </c>
      <c r="AS7" s="7">
        <f t="shared" si="35"/>
        <v>469.74781814258557</v>
      </c>
      <c r="AT7" s="7">
        <f t="shared" si="36"/>
        <v>0.14223183816445217</v>
      </c>
      <c r="AU7" s="7">
        <f t="shared" si="37"/>
        <v>52.255149867789527</v>
      </c>
      <c r="AV7" s="7" t="e">
        <f t="shared" si="38"/>
        <v>#REF!</v>
      </c>
      <c r="AX7" s="7" t="str">
        <f>'2026_Fantasy_Starters'!Z11</f>
        <v>0.20785213420468282</v>
      </c>
      <c r="AY7" s="7">
        <f>'2026_Fantasy_Starters'!AA11</f>
        <v>9.7697498999999993E-2</v>
      </c>
      <c r="AZ7" s="7">
        <f>'2026_Fantasy_Starters'!AB11</f>
        <v>9.3928523999999999E-2</v>
      </c>
      <c r="BA7" s="7">
        <f>'2026_Fantasy_Starters'!AC11</f>
        <v>3.2695966E-2</v>
      </c>
      <c r="BB7" s="7">
        <f>'2026_Fantasy_Starters'!AD11</f>
        <v>1.4950390000000001E-3</v>
      </c>
      <c r="BC7" s="7">
        <f>'2026_Fantasy_Starters'!AE11</f>
        <v>8.4779350000000007E-3</v>
      </c>
      <c r="BD7" s="7" t="str">
        <f>'2026_Fantasy_Starters'!AF11</f>
        <v>0.27686502735538165</v>
      </c>
      <c r="BE7" s="7">
        <f>'2026_Fantasy_Starters'!AG11</f>
        <v>5.6894035000000003E-2</v>
      </c>
      <c r="BF7" s="7">
        <f>'2026_Fantasy_Starters'!AH11</f>
        <v>0</v>
      </c>
      <c r="BG7" s="7" t="e">
        <f>'2026_Fantasy_Starters'!#REF!</f>
        <v>#REF!</v>
      </c>
      <c r="BH7" s="7">
        <f>'2026_Fantasy_Starters'!D11</f>
        <v>28</v>
      </c>
    </row>
    <row r="8" spans="1:60" s="7" customFormat="1">
      <c r="A8" s="7" t="str">
        <f>'2026_Fantasy_Starters'!A15</f>
        <v xml:space="preserve">TEX </v>
      </c>
      <c r="B8" s="7" t="s">
        <v>56</v>
      </c>
      <c r="C8" s="7" t="str">
        <f>'2026_Fantasy_Starters'!C15</f>
        <v>SP</v>
      </c>
      <c r="D8" s="7" t="str">
        <f>'2026_Fantasy_Starters'!W15</f>
        <v>0.38246419098143236</v>
      </c>
      <c r="E8" s="7" t="str">
        <f>'2026_Fantasy_Starters'!X8</f>
        <v>0.30721935483870966</v>
      </c>
      <c r="F8" s="7" t="str">
        <f>'2026_Fantasy_Starters'!Y15</f>
        <v>0.5238726790450928</v>
      </c>
      <c r="G8" s="8">
        <f t="shared" si="39"/>
        <v>0.43928726581214106</v>
      </c>
      <c r="H8" s="8">
        <f t="shared" si="0"/>
        <v>0.45473010130541636</v>
      </c>
      <c r="I8" s="8">
        <f t="shared" si="1"/>
        <v>-0.30012982059851118</v>
      </c>
      <c r="J8" s="8" t="e">
        <f t="shared" si="2"/>
        <v>#REF!</v>
      </c>
      <c r="K8" s="8">
        <f t="shared" si="3"/>
        <v>-0.29950119567804917</v>
      </c>
      <c r="L8" s="8">
        <f t="shared" si="4"/>
        <v>0.57298022698778828</v>
      </c>
      <c r="M8" s="8" t="e">
        <f t="shared" si="5"/>
        <v>#REF!</v>
      </c>
      <c r="N8" s="8" t="e">
        <f t="shared" si="6"/>
        <v>#REF!</v>
      </c>
      <c r="P8" s="7">
        <f t="shared" si="7"/>
        <v>109.10496570044123</v>
      </c>
      <c r="Q8" s="7">
        <f t="shared" si="8"/>
        <v>91.473822638438406</v>
      </c>
      <c r="R8" s="7">
        <f t="shared" si="9"/>
        <v>110.00519463239637</v>
      </c>
      <c r="S8" s="7">
        <f t="shared" si="10"/>
        <v>61.304539656094633</v>
      </c>
      <c r="T8" s="7">
        <f t="shared" si="11"/>
        <v>121.19644630583812</v>
      </c>
      <c r="U8" s="7">
        <f t="shared" si="12"/>
        <v>115.89302962069536</v>
      </c>
      <c r="V8" s="7">
        <f t="shared" si="13"/>
        <v>61.582139256901321</v>
      </c>
      <c r="W8" s="7">
        <f t="shared" si="14"/>
        <v>102.65002410562855</v>
      </c>
      <c r="X8" s="7" t="e">
        <f t="shared" si="15"/>
        <v>#DIV/0!</v>
      </c>
      <c r="Y8" s="7" t="e">
        <f t="shared" si="16"/>
        <v>#REF!</v>
      </c>
      <c r="Z8" s="7">
        <f t="shared" si="17"/>
        <v>81.828847117989426</v>
      </c>
      <c r="AA8" s="7" t="e">
        <f t="shared" si="18"/>
        <v>#REF!</v>
      </c>
      <c r="AB8" s="7">
        <f t="shared" si="19"/>
        <v>87.808122122013813</v>
      </c>
      <c r="AC8" s="7">
        <f t="shared" si="20"/>
        <v>120.27947417411987</v>
      </c>
      <c r="AD8" s="7">
        <f t="shared" si="21"/>
        <v>87.785761913501688</v>
      </c>
      <c r="AE8" s="7" t="e">
        <f t="shared" si="22"/>
        <v>#REF!</v>
      </c>
      <c r="AG8" s="7">
        <f t="shared" si="23"/>
        <v>7.896479437787389E-2</v>
      </c>
      <c r="AH8" s="7">
        <f t="shared" si="24"/>
        <v>3.9533552024095767E-2</v>
      </c>
      <c r="AI8" s="7">
        <f t="shared" si="25"/>
        <v>3.7021367553684313E-2</v>
      </c>
      <c r="AJ8" s="7">
        <f t="shared" si="26"/>
        <v>1.8276731200265225E-2</v>
      </c>
      <c r="AK8" s="7">
        <f t="shared" si="27"/>
        <v>4.2453227453580835E-4</v>
      </c>
      <c r="AL8" s="7">
        <f t="shared" si="28"/>
        <v>3.4674435875331512E-3</v>
      </c>
      <c r="AM8" s="7">
        <f t="shared" si="29"/>
        <v>0.14299646501294672</v>
      </c>
      <c r="AN8" s="7">
        <f t="shared" si="30"/>
        <v>3.1559292473474755E-2</v>
      </c>
      <c r="AO8" s="7">
        <f t="shared" si="31"/>
        <v>0</v>
      </c>
      <c r="AP8" s="7" t="e">
        <f t="shared" si="32"/>
        <v>#REF!</v>
      </c>
      <c r="AQ8" s="7">
        <f t="shared" si="33"/>
        <v>13.620689655172393</v>
      </c>
      <c r="AR8" s="7" t="e">
        <f t="shared" si="34"/>
        <v>#REF!</v>
      </c>
      <c r="AS8" s="7">
        <f t="shared" si="35"/>
        <v>399.01850246677861</v>
      </c>
      <c r="AT8" s="7">
        <f t="shared" si="36"/>
        <v>0.10157886147564536</v>
      </c>
      <c r="AU8" s="7">
        <f t="shared" si="37"/>
        <v>44.394879982523086</v>
      </c>
      <c r="AV8" s="7" t="e">
        <f t="shared" si="38"/>
        <v>#REF!</v>
      </c>
      <c r="AX8" s="7" t="str">
        <f>'2026_Fantasy_Starters'!Z15</f>
        <v>0.20646323561754726</v>
      </c>
      <c r="AY8" s="7" t="str">
        <f>'2026_Fantasy_Starters'!AA15</f>
        <v>0.10336536846142315</v>
      </c>
      <c r="AZ8" s="7">
        <f>'2026_Fantasy_Starters'!AB15</f>
        <v>9.6796951000000006E-2</v>
      </c>
      <c r="BA8" s="7">
        <f>'2026_Fantasy_Starters'!AC15</f>
        <v>3.4887735000000003E-2</v>
      </c>
      <c r="BB8" s="7">
        <f>'2026_Fantasy_Starters'!AD15</f>
        <v>8.1037299999999997E-4</v>
      </c>
      <c r="BC8" s="7">
        <f>'2026_Fantasy_Starters'!AE15</f>
        <v>6.6188669999999996E-3</v>
      </c>
      <c r="BD8" s="7" t="str">
        <f>'2026_Fantasy_Starters'!AF15</f>
        <v>0.2729603408095245</v>
      </c>
      <c r="BE8" s="7">
        <f>'2026_Fantasy_Starters'!AG15</f>
        <v>6.0242295000000001E-2</v>
      </c>
      <c r="BF8" s="7">
        <f>'2026_Fantasy_Starters'!AH15</f>
        <v>0</v>
      </c>
      <c r="BG8" s="7" t="e">
        <f>'2026_Fantasy_Starters'!#REF!</f>
        <v>#REF!</v>
      </c>
      <c r="BH8" s="7">
        <f>'2026_Fantasy_Starters'!D15</f>
        <v>26</v>
      </c>
    </row>
    <row r="9" spans="1:60" s="7" customFormat="1">
      <c r="A9" s="7" t="str">
        <f>'2026_Fantasy_Starters'!A16</f>
        <v xml:space="preserve">MIN </v>
      </c>
      <c r="B9" s="7" t="s">
        <v>59</v>
      </c>
      <c r="C9" s="7" t="str">
        <f>'2026_Fantasy_Starters'!C16</f>
        <v>SP</v>
      </c>
      <c r="D9" s="7" t="str">
        <f>'2026_Fantasy_Starters'!W16</f>
        <v>0.38795320197044336</v>
      </c>
      <c r="E9" s="7" t="str">
        <f>'2026_Fantasy_Starters'!X9</f>
        <v>0.2816228571428572</v>
      </c>
      <c r="F9" s="7">
        <f>'2026_Fantasy_Starters'!Y16</f>
        <v>0.51375205300000004</v>
      </c>
      <c r="G9" s="8">
        <f t="shared" si="39"/>
        <v>0.65083922784561454</v>
      </c>
      <c r="H9" s="8">
        <f t="shared" si="0"/>
        <v>-0.9566711327150007</v>
      </c>
      <c r="I9" s="8">
        <f t="shared" si="1"/>
        <v>-0.71937873461309776</v>
      </c>
      <c r="J9" s="8" t="e">
        <f t="shared" si="2"/>
        <v>#REF!</v>
      </c>
      <c r="K9" s="8">
        <f t="shared" si="3"/>
        <v>-0.71872053675621361</v>
      </c>
      <c r="L9" s="8">
        <f t="shared" si="4"/>
        <v>1.0708785308160627</v>
      </c>
      <c r="M9" s="8" t="e">
        <f t="shared" si="5"/>
        <v>#REF!</v>
      </c>
      <c r="N9" s="8" t="e">
        <f t="shared" si="6"/>
        <v>#REF!</v>
      </c>
      <c r="P9" s="7">
        <f t="shared" si="7"/>
        <v>113.48973509414256</v>
      </c>
      <c r="Q9" s="7">
        <f t="shared" si="8"/>
        <v>83.766290843034795</v>
      </c>
      <c r="R9" s="7">
        <f t="shared" si="9"/>
        <v>118.69933310752398</v>
      </c>
      <c r="S9" s="7">
        <f t="shared" si="10"/>
        <v>59.193244150445437</v>
      </c>
      <c r="T9" s="7">
        <f t="shared" si="11"/>
        <v>129.87874461602374</v>
      </c>
      <c r="U9" s="7">
        <f t="shared" si="12"/>
        <v>62.026150757678316</v>
      </c>
      <c r="V9" s="7">
        <f t="shared" si="13"/>
        <v>66.454426674045237</v>
      </c>
      <c r="W9" s="7">
        <f t="shared" si="14"/>
        <v>109.44980777268626</v>
      </c>
      <c r="X9" s="7" t="e">
        <f t="shared" si="15"/>
        <v>#DIV/0!</v>
      </c>
      <c r="Y9" s="7" t="e">
        <f t="shared" si="16"/>
        <v>#REF!</v>
      </c>
      <c r="Z9" s="7">
        <f t="shared" si="17"/>
        <v>75.197301297240415</v>
      </c>
      <c r="AA9" s="7" t="e">
        <f t="shared" si="18"/>
        <v>#REF!</v>
      </c>
      <c r="AB9" s="7">
        <f t="shared" si="19"/>
        <v>70.742844639752846</v>
      </c>
      <c r="AC9" s="7">
        <f t="shared" si="20"/>
        <v>57.33559869178427</v>
      </c>
      <c r="AD9" s="7">
        <f t="shared" si="21"/>
        <v>70.723791719842751</v>
      </c>
      <c r="AE9" s="7" t="e">
        <f t="shared" si="22"/>
        <v>#REF!</v>
      </c>
      <c r="AG9" s="7">
        <f t="shared" si="23"/>
        <v>8.2138274258878249E-2</v>
      </c>
      <c r="AH9" s="7">
        <f t="shared" si="24"/>
        <v>4.2341225864811767E-2</v>
      </c>
      <c r="AI9" s="7">
        <f t="shared" si="25"/>
        <v>3.994731025235336E-2</v>
      </c>
      <c r="AJ9" s="7">
        <f t="shared" si="26"/>
        <v>1.8554949249690908E-2</v>
      </c>
      <c r="AK9" s="7">
        <f t="shared" si="27"/>
        <v>3.7775880205858205E-4</v>
      </c>
      <c r="AL9" s="7">
        <f t="shared" si="28"/>
        <v>5.6881913192806336E-3</v>
      </c>
      <c r="AM9" s="7">
        <f t="shared" si="29"/>
        <v>0.13796301142944031</v>
      </c>
      <c r="AN9" s="7">
        <f t="shared" si="30"/>
        <v>2.9354912251153213E-2</v>
      </c>
      <c r="AO9" s="7">
        <f t="shared" si="31"/>
        <v>0</v>
      </c>
      <c r="AP9" s="7" t="e">
        <f t="shared" si="32"/>
        <v>#REF!</v>
      </c>
      <c r="AQ9" s="7">
        <f t="shared" si="33"/>
        <v>14.385057484000001</v>
      </c>
      <c r="AR9" s="7" t="e">
        <f t="shared" si="34"/>
        <v>#REF!</v>
      </c>
      <c r="AS9" s="7">
        <f t="shared" si="35"/>
        <v>459.71239220233775</v>
      </c>
      <c r="AT9" s="7">
        <f t="shared" si="36"/>
        <v>0.18178113237292026</v>
      </c>
      <c r="AU9" s="7">
        <f t="shared" si="37"/>
        <v>51.145040496280686</v>
      </c>
      <c r="AV9" s="7" t="e">
        <f t="shared" si="38"/>
        <v>#REF!</v>
      </c>
      <c r="AX9" s="7" t="str">
        <f>'2026_Fantasy_Starters'!Z16</f>
        <v>0.21172211968271487</v>
      </c>
      <c r="AY9" s="7" t="str">
        <f>'2026_Fantasy_Starters'!AA16</f>
        <v>0.10914003454477993</v>
      </c>
      <c r="AZ9" s="7" t="str">
        <f>'2026_Fantasy_Starters'!AB16</f>
        <v>0.10296940468452964</v>
      </c>
      <c r="BA9" s="7" t="str">
        <f>'2026_Fantasy_Starters'!AC16</f>
        <v>0.036116545211530196</v>
      </c>
      <c r="BB9" s="7">
        <f>'2026_Fantasy_Starters'!AD16</f>
        <v>7.3529400000000005E-4</v>
      </c>
      <c r="BC9" s="7">
        <f>'2026_Fantasy_Starters'!AE16</f>
        <v>1.1071861000000001E-2</v>
      </c>
      <c r="BD9" s="7" t="str">
        <f>'2026_Fantasy_Starters'!AF16</f>
        <v>0.2685400683536352</v>
      </c>
      <c r="BE9" s="7">
        <f>'2026_Fantasy_Starters'!AG16</f>
        <v>5.7138287000000003E-2</v>
      </c>
      <c r="BF9" s="7">
        <f>'2026_Fantasy_Starters'!AH16</f>
        <v>0</v>
      </c>
      <c r="BG9" s="7" t="e">
        <f>'2026_Fantasy_Starters'!#REF!</f>
        <v>#REF!</v>
      </c>
      <c r="BH9" s="7">
        <f>'2026_Fantasy_Starters'!D16</f>
        <v>28</v>
      </c>
    </row>
    <row r="10" spans="1:60" s="7" customFormat="1">
      <c r="A10" s="7" t="str">
        <f>'2026_Fantasy_Starters'!A18</f>
        <v xml:space="preserve">SEA </v>
      </c>
      <c r="B10" s="7" t="s">
        <v>66</v>
      </c>
      <c r="C10" s="7" t="str">
        <f>'2026_Fantasy_Starters'!C18</f>
        <v>SP</v>
      </c>
      <c r="D10" s="7" t="str">
        <f>'2026_Fantasy_Starters'!W18</f>
        <v>0.39539132104454683</v>
      </c>
      <c r="E10" s="7" t="str">
        <f>'2026_Fantasy_Starters'!X10</f>
        <v>0.31496250000000003</v>
      </c>
      <c r="F10" s="7" t="str">
        <f>'2026_Fantasy_Starters'!Y18</f>
        <v>0.5284178187403994</v>
      </c>
      <c r="G10" s="8">
        <f t="shared" si="39"/>
        <v>1.0756617236638963</v>
      </c>
      <c r="H10" s="8">
        <f t="shared" si="0"/>
        <v>-0.31094592191308873</v>
      </c>
      <c r="I10" s="8">
        <f t="shared" si="1"/>
        <v>-0.46353159104318786</v>
      </c>
      <c r="J10" s="8" t="e">
        <f t="shared" si="2"/>
        <v>#REF!</v>
      </c>
      <c r="K10" s="8">
        <f t="shared" si="3"/>
        <v>-0.46365613990605092</v>
      </c>
      <c r="L10" s="8">
        <f t="shared" si="4"/>
        <v>0.67992740391611661</v>
      </c>
      <c r="M10" s="8" t="e">
        <f t="shared" si="5"/>
        <v>#REF!</v>
      </c>
      <c r="N10" s="8" t="e">
        <f t="shared" si="6"/>
        <v>#REF!</v>
      </c>
      <c r="P10" s="7">
        <f t="shared" si="7"/>
        <v>122.29489416482551</v>
      </c>
      <c r="Q10" s="7">
        <f t="shared" si="8"/>
        <v>90.604484866560725</v>
      </c>
      <c r="R10" s="7">
        <f t="shared" si="9"/>
        <v>111.87267150184871</v>
      </c>
      <c r="S10" s="7">
        <f t="shared" si="10"/>
        <v>81.253449904163929</v>
      </c>
      <c r="T10" s="7">
        <f t="shared" si="11"/>
        <v>127.01838025411735</v>
      </c>
      <c r="U10" s="7">
        <f t="shared" si="12"/>
        <v>76.839727931295457</v>
      </c>
      <c r="V10" s="7">
        <f t="shared" si="13"/>
        <v>77.498114988263524</v>
      </c>
      <c r="W10" s="7">
        <f t="shared" si="14"/>
        <v>122.47637990135456</v>
      </c>
      <c r="X10" s="7" t="e">
        <f t="shared" si="15"/>
        <v>#DIV/0!</v>
      </c>
      <c r="Y10" s="7" t="e">
        <f t="shared" si="16"/>
        <v>#REF!</v>
      </c>
      <c r="Z10" s="7">
        <f t="shared" si="17"/>
        <v>71.634634963828702</v>
      </c>
      <c r="AA10" s="7" t="e">
        <f t="shared" si="18"/>
        <v>#REF!</v>
      </c>
      <c r="AB10" s="7">
        <f t="shared" si="19"/>
        <v>81.125821476887793</v>
      </c>
      <c r="AC10" s="7">
        <f t="shared" si="20"/>
        <v>86.132829617212593</v>
      </c>
      <c r="AD10" s="7">
        <f t="shared" si="21"/>
        <v>81.135879126157903</v>
      </c>
      <c r="AE10" s="7" t="e">
        <f t="shared" si="22"/>
        <v>#REF!</v>
      </c>
      <c r="AG10" s="7">
        <f t="shared" si="23"/>
        <v>8.8511014225544485E-2</v>
      </c>
      <c r="AH10" s="7">
        <f t="shared" si="24"/>
        <v>3.9850231472930854E-2</v>
      </c>
      <c r="AI10" s="7">
        <f t="shared" si="25"/>
        <v>3.7649851943108215E-2</v>
      </c>
      <c r="AJ10" s="7">
        <f t="shared" si="26"/>
        <v>1.5647943859727009E-2</v>
      </c>
      <c r="AK10" s="7">
        <f t="shared" si="27"/>
        <v>3.9316822119815636E-4</v>
      </c>
      <c r="AL10" s="7">
        <f t="shared" si="28"/>
        <v>5.0774780460829446E-3</v>
      </c>
      <c r="AM10" s="7">
        <f t="shared" si="29"/>
        <v>0.12655401853531525</v>
      </c>
      <c r="AN10" s="7">
        <f t="shared" si="30"/>
        <v>2.5131907612903202E-2</v>
      </c>
      <c r="AO10" s="7">
        <f t="shared" si="31"/>
        <v>0</v>
      </c>
      <c r="AP10" s="7" t="e">
        <f t="shared" si="32"/>
        <v>#REF!</v>
      </c>
      <c r="AQ10" s="7">
        <f t="shared" si="33"/>
        <v>14.79569892473117</v>
      </c>
      <c r="AR10" s="7" t="e">
        <f t="shared" si="34"/>
        <v>#REF!</v>
      </c>
      <c r="AS10" s="7">
        <f t="shared" si="35"/>
        <v>422.78458649071092</v>
      </c>
      <c r="AT10" s="7">
        <f t="shared" si="36"/>
        <v>0.14508807370638255</v>
      </c>
      <c r="AU10" s="7">
        <f t="shared" si="37"/>
        <v>47.025747092402739</v>
      </c>
      <c r="AV10" s="7" t="e">
        <f t="shared" si="38"/>
        <v>#REF!</v>
      </c>
      <c r="AX10" s="7" t="str">
        <f>'2026_Fantasy_Starters'!Z18</f>
        <v>0.2238567452409323</v>
      </c>
      <c r="AY10" s="7" t="str">
        <f>'2026_Fantasy_Starters'!AA18</f>
        <v>0.10078681385229835</v>
      </c>
      <c r="AZ10" s="7">
        <f>'2026_Fantasy_Starters'!AB18</f>
        <v>9.5221745999999996E-2</v>
      </c>
      <c r="BA10" s="7" t="str">
        <f>'2026_Fantasy_Starters'!AC18</f>
        <v>0.029612823990355586</v>
      </c>
      <c r="BB10" s="7">
        <f>'2026_Fantasy_Starters'!AD18</f>
        <v>7.4404799999999998E-4</v>
      </c>
      <c r="BC10" s="7">
        <f>'2026_Fantasy_Starters'!AE18</f>
        <v>9.6088319999999994E-3</v>
      </c>
      <c r="BD10" s="7" t="str">
        <f>'2026_Fantasy_Starters'!AF18</f>
        <v>0.23949612228630993</v>
      </c>
      <c r="BE10" s="7">
        <f>'2026_Fantasy_Starters'!AG18</f>
        <v>4.7560673999999997E-2</v>
      </c>
      <c r="BF10" s="7">
        <f>'2026_Fantasy_Starters'!AH18</f>
        <v>0</v>
      </c>
      <c r="BG10" s="7" t="e">
        <f>'2026_Fantasy_Starters'!#REF!</f>
        <v>#REF!</v>
      </c>
      <c r="BH10" s="7">
        <f>'2026_Fantasy_Starters'!D18</f>
        <v>28</v>
      </c>
    </row>
    <row r="11" spans="1:60" s="7" customFormat="1">
      <c r="A11" s="7" t="str">
        <f>'2026_Fantasy_Starters'!A14</f>
        <v xml:space="preserve">KC </v>
      </c>
      <c r="B11" s="7" t="s">
        <v>53</v>
      </c>
      <c r="C11" s="7" t="str">
        <f>'2026_Fantasy_Starters'!C14</f>
        <v>SP</v>
      </c>
      <c r="D11" s="7" t="str">
        <f>'2026_Fantasy_Starters'!W14</f>
        <v>0.38967771883289126</v>
      </c>
      <c r="E11" s="7" t="str">
        <f>'2026_Fantasy_Starters'!X11</f>
        <v>0.29363054187192117</v>
      </c>
      <c r="F11" s="7" t="str">
        <f>'2026_Fantasy_Starters'!Y14</f>
        <v>0.5232095490716181</v>
      </c>
      <c r="G11" s="8">
        <f t="shared" si="39"/>
        <v>0.21448100105351267</v>
      </c>
      <c r="H11" s="8">
        <f t="shared" si="0"/>
        <v>-5.3194590335133914E-2</v>
      </c>
      <c r="I11" s="8">
        <f t="shared" si="1"/>
        <v>-0.4230966240031574</v>
      </c>
      <c r="J11" s="8" t="e">
        <f t="shared" si="2"/>
        <v>#REF!</v>
      </c>
      <c r="K11" s="8">
        <f t="shared" si="3"/>
        <v>-0.42339788458366423</v>
      </c>
      <c r="L11" s="8">
        <f t="shared" si="4"/>
        <v>0.38679229263248588</v>
      </c>
      <c r="M11" s="8" t="e">
        <f t="shared" si="5"/>
        <v>#REF!</v>
      </c>
      <c r="N11" s="8" t="e">
        <f t="shared" si="6"/>
        <v>#REF!</v>
      </c>
      <c r="P11" s="7">
        <f t="shared" si="7"/>
        <v>104.44547864226881</v>
      </c>
      <c r="Q11" s="7">
        <f t="shared" si="8"/>
        <v>94.869652300415311</v>
      </c>
      <c r="R11" s="7">
        <f t="shared" si="9"/>
        <v>106.75404139239402</v>
      </c>
      <c r="S11" s="7">
        <f t="shared" si="10"/>
        <v>96.902268285254621</v>
      </c>
      <c r="T11" s="7">
        <f t="shared" si="11"/>
        <v>-23.940270441812842</v>
      </c>
      <c r="U11" s="7">
        <f t="shared" si="12"/>
        <v>96.772129336891211</v>
      </c>
      <c r="V11" s="7">
        <f t="shared" si="13"/>
        <v>46.93254352079299</v>
      </c>
      <c r="W11" s="7">
        <f t="shared" si="14"/>
        <v>60.453356806076144</v>
      </c>
      <c r="X11" s="7" t="e">
        <f t="shared" si="15"/>
        <v>#DIV/0!</v>
      </c>
      <c r="Y11" s="7" t="e">
        <f t="shared" si="16"/>
        <v>#REF!</v>
      </c>
      <c r="Z11" s="7">
        <f t="shared" si="17"/>
        <v>81.978430855814594</v>
      </c>
      <c r="AA11" s="7" t="e">
        <f t="shared" si="18"/>
        <v>#REF!</v>
      </c>
      <c r="AB11" s="7">
        <f t="shared" si="19"/>
        <v>82.764625393380143</v>
      </c>
      <c r="AC11" s="7">
        <f t="shared" si="20"/>
        <v>97.627695378407111</v>
      </c>
      <c r="AD11" s="7">
        <f t="shared" si="21"/>
        <v>82.78144141470942</v>
      </c>
      <c r="AE11" s="7" t="e">
        <f t="shared" si="22"/>
        <v>#REF!</v>
      </c>
      <c r="AG11" s="7">
        <f t="shared" si="23"/>
        <v>7.5592487397225974E-2</v>
      </c>
      <c r="AH11" s="7">
        <f t="shared" si="24"/>
        <v>3.8296530580324908E-2</v>
      </c>
      <c r="AI11" s="7">
        <f t="shared" si="25"/>
        <v>3.5927217959442946E-2</v>
      </c>
      <c r="AJ11" s="7">
        <f t="shared" si="26"/>
        <v>1.3585805369802509E-2</v>
      </c>
      <c r="AK11" s="7">
        <f t="shared" si="27"/>
        <v>1.2064160550397877E-3</v>
      </c>
      <c r="AL11" s="7">
        <f t="shared" si="28"/>
        <v>4.2557331047745357E-3</v>
      </c>
      <c r="AM11" s="7">
        <f t="shared" si="29"/>
        <v>0.1581306420106697</v>
      </c>
      <c r="AN11" s="7">
        <f t="shared" si="30"/>
        <v>4.5238771615384615E-2</v>
      </c>
      <c r="AO11" s="7">
        <f t="shared" si="31"/>
        <v>0</v>
      </c>
      <c r="AP11" s="7" t="e">
        <f t="shared" si="32"/>
        <v>#REF!</v>
      </c>
      <c r="AQ11" s="7">
        <f t="shared" si="33"/>
        <v>13.603448275862068</v>
      </c>
      <c r="AR11" s="7" t="e">
        <f t="shared" si="34"/>
        <v>#REF!</v>
      </c>
      <c r="AS11" s="7">
        <f t="shared" si="35"/>
        <v>416.95606220745907</v>
      </c>
      <c r="AT11" s="7">
        <f t="shared" si="36"/>
        <v>0.13044146463373565</v>
      </c>
      <c r="AU11" s="7">
        <f t="shared" si="37"/>
        <v>46.374719722349241</v>
      </c>
      <c r="AV11" s="7" t="e">
        <f t="shared" si="38"/>
        <v>#REF!</v>
      </c>
      <c r="AX11" s="7" t="str">
        <f>'2026_Fantasy_Starters'!Z14</f>
        <v>0.19398719440164605</v>
      </c>
      <c r="AY11" s="7">
        <f>'2026_Fantasy_Starters'!AA14</f>
        <v>9.8277445000000005E-2</v>
      </c>
      <c r="AZ11" s="7">
        <f>'2026_Fantasy_Starters'!AB14</f>
        <v>9.2197260000000003E-2</v>
      </c>
      <c r="BA11" s="7" t="str">
        <f>'2026_Fantasy_Starters'!AC14</f>
        <v>0.025966279464717648</v>
      </c>
      <c r="BB11" s="7">
        <f>'2026_Fantasy_Starters'!AD14</f>
        <v>2.3057989999999999E-3</v>
      </c>
      <c r="BC11" s="7">
        <f>'2026_Fantasy_Starters'!AE14</f>
        <v>8.1338980000000005E-3</v>
      </c>
      <c r="BD11" s="7" t="str">
        <f>'2026_Fantasy_Starters'!AF14</f>
        <v>0.30223194949567844</v>
      </c>
      <c r="BE11" s="7">
        <f>'2026_Fantasy_Starters'!AG14</f>
        <v>8.6463964000000004E-2</v>
      </c>
      <c r="BF11" s="7">
        <f>'2026_Fantasy_Starters'!AH14</f>
        <v>0</v>
      </c>
      <c r="BG11" s="7" t="e">
        <f>'2026_Fantasy_Starters'!#REF!</f>
        <v>#REF!</v>
      </c>
      <c r="BH11" s="7">
        <f>'2026_Fantasy_Starters'!D14</f>
        <v>26</v>
      </c>
    </row>
    <row r="12" spans="1:60" s="7" customFormat="1">
      <c r="A12" s="7" t="str">
        <f>'2026_Fantasy_Starters'!A13</f>
        <v xml:space="preserve">CIN </v>
      </c>
      <c r="B12" s="7" t="s">
        <v>50</v>
      </c>
      <c r="C12" s="7" t="str">
        <f>'2026_Fantasy_Starters'!C13</f>
        <v>SP</v>
      </c>
      <c r="D12" s="7" t="str">
        <f>'2026_Fantasy_Starters'!W13</f>
        <v>0.3480898617511521</v>
      </c>
      <c r="E12" s="7" t="str">
        <f>'2026_Fantasy_Starters'!X12</f>
        <v>0.2804015572858732</v>
      </c>
      <c r="F12" s="7" t="str">
        <f>'2026_Fantasy_Starters'!Y13</f>
        <v>0.5230414746543779</v>
      </c>
      <c r="G12" s="8">
        <f t="shared" si="39"/>
        <v>-0.23469425448032255</v>
      </c>
      <c r="H12" s="8">
        <f t="shared" si="0"/>
        <v>-1.752534298833839</v>
      </c>
      <c r="I12" s="8">
        <f t="shared" si="1"/>
        <v>-0.79077754686930679</v>
      </c>
      <c r="J12" s="8" t="e">
        <f t="shared" si="2"/>
        <v>#REF!</v>
      </c>
      <c r="K12" s="8">
        <f t="shared" si="3"/>
        <v>-0.79021465777872157</v>
      </c>
      <c r="L12" s="8">
        <f t="shared" si="4"/>
        <v>0.20749884089488968</v>
      </c>
      <c r="M12" s="8" t="e">
        <f t="shared" si="5"/>
        <v>#REF!</v>
      </c>
      <c r="N12" s="8" t="e">
        <f t="shared" si="6"/>
        <v>#REF!</v>
      </c>
      <c r="P12" s="7">
        <f t="shared" si="7"/>
        <v>95.13556776296862</v>
      </c>
      <c r="Q12" s="7">
        <f t="shared" si="8"/>
        <v>99.677002680640015</v>
      </c>
      <c r="R12" s="7">
        <f t="shared" si="9"/>
        <v>103.62327736868707</v>
      </c>
      <c r="S12" s="7">
        <f t="shared" si="10"/>
        <v>60.921263423649485</v>
      </c>
      <c r="T12" s="7">
        <f t="shared" si="11"/>
        <v>129.13192332918345</v>
      </c>
      <c r="U12" s="7">
        <f t="shared" si="12"/>
        <v>28.447405653543754</v>
      </c>
      <c r="V12" s="7">
        <f t="shared" si="13"/>
        <v>53.918267047083475</v>
      </c>
      <c r="W12" s="7">
        <f t="shared" si="14"/>
        <v>74.097547071454983</v>
      </c>
      <c r="X12" s="7" t="e">
        <f t="shared" si="15"/>
        <v>#DIV/0!</v>
      </c>
      <c r="Y12" s="7" t="e">
        <f t="shared" si="16"/>
        <v>#REF!</v>
      </c>
      <c r="Z12" s="7">
        <f t="shared" si="17"/>
        <v>72.940677922045666</v>
      </c>
      <c r="AA12" s="7" t="e">
        <f t="shared" si="18"/>
        <v>#REF!</v>
      </c>
      <c r="AB12" s="7">
        <f t="shared" si="19"/>
        <v>67.832513712602321</v>
      </c>
      <c r="AC12" s="7">
        <f t="shared" si="20"/>
        <v>21.842706364869329</v>
      </c>
      <c r="AD12" s="7">
        <f t="shared" si="21"/>
        <v>67.818108804858014</v>
      </c>
      <c r="AE12" s="7" t="e">
        <f t="shared" si="22"/>
        <v>#REF!</v>
      </c>
      <c r="AG12" s="7">
        <f t="shared" si="23"/>
        <v>6.8854432960008941E-2</v>
      </c>
      <c r="AH12" s="7">
        <f t="shared" si="24"/>
        <v>3.6545325101839277E-2</v>
      </c>
      <c r="AI12" s="7">
        <f t="shared" si="25"/>
        <v>3.4873584392111641E-2</v>
      </c>
      <c r="AJ12" s="7">
        <f t="shared" si="26"/>
        <v>1.8327237804147436E-2</v>
      </c>
      <c r="AK12" s="7">
        <f t="shared" si="27"/>
        <v>3.8178209447004545E-4</v>
      </c>
      <c r="AL12" s="7">
        <f t="shared" si="28"/>
        <v>7.0725284778259487E-3</v>
      </c>
      <c r="AM12" s="7">
        <f t="shared" si="29"/>
        <v>0.15091384379940909</v>
      </c>
      <c r="AN12" s="7">
        <f t="shared" si="30"/>
        <v>4.0815545135944632E-2</v>
      </c>
      <c r="AO12" s="7">
        <f t="shared" si="31"/>
        <v>0</v>
      </c>
      <c r="AP12" s="7" t="e">
        <f t="shared" si="32"/>
        <v>#REF!</v>
      </c>
      <c r="AQ12" s="7">
        <f t="shared" si="33"/>
        <v>14.645161290322555</v>
      </c>
      <c r="AR12" s="7" t="e">
        <f t="shared" si="34"/>
        <v>#REF!</v>
      </c>
      <c r="AS12" s="7">
        <f t="shared" si="35"/>
        <v>470.06319397336517</v>
      </c>
      <c r="AT12" s="7">
        <f t="shared" si="36"/>
        <v>0.22700571607574463</v>
      </c>
      <c r="AU12" s="7">
        <f t="shared" si="37"/>
        <v>52.294604459621766</v>
      </c>
      <c r="AV12" s="7" t="e">
        <f t="shared" si="38"/>
        <v>#REF!</v>
      </c>
      <c r="AX12" s="7" t="str">
        <f>'2026_Fantasy_Starters'!Z13</f>
        <v>0.1978064877087199</v>
      </c>
      <c r="AY12" s="7" t="str">
        <f>'2026_Fantasy_Starters'!AA13</f>
        <v>0.10498819160658443</v>
      </c>
      <c r="AZ12" s="7" t="str">
        <f>'2026_Fantasy_Starters'!AB13</f>
        <v>0.10018557913945442</v>
      </c>
      <c r="BA12" s="7">
        <f>'2026_Fantasy_Starters'!AC13</f>
        <v>3.5039740999999999E-2</v>
      </c>
      <c r="BB12" s="7">
        <f>'2026_Fantasy_Starters'!AD13</f>
        <v>7.2992700000000001E-4</v>
      </c>
      <c r="BC12" s="7" t="str">
        <f>'2026_Fantasy_Starters'!AE13</f>
        <v>0.013521926693288422</v>
      </c>
      <c r="BD12" s="7" t="str">
        <f>'2026_Fantasy_Starters'!AF13</f>
        <v>0.28853131369578733</v>
      </c>
      <c r="BE12" s="7">
        <f>'2026_Fantasy_Starters'!AG13</f>
        <v>7.8035007000000003E-2</v>
      </c>
      <c r="BF12" s="7">
        <f>'2026_Fantasy_Starters'!AH13</f>
        <v>0</v>
      </c>
      <c r="BG12" s="7" t="e">
        <f>'2026_Fantasy_Starters'!#REF!</f>
        <v>#REF!</v>
      </c>
      <c r="BH12" s="7">
        <f>'2026_Fantasy_Starters'!D13</f>
        <v>28</v>
      </c>
    </row>
    <row r="13" spans="1:60" s="5" customFormat="1">
      <c r="A13" s="5" t="str">
        <f>'2026_Fantasy_Starters'!A10</f>
        <v xml:space="preserve">SF </v>
      </c>
      <c r="B13" s="5" t="s">
        <v>42</v>
      </c>
      <c r="C13" s="5" t="str">
        <f>'2026_Fantasy_Starters'!C10</f>
        <v>SP</v>
      </c>
      <c r="D13" s="5">
        <f>'2026_Fantasy_Starters'!W10</f>
        <v>0.45718124999999998</v>
      </c>
      <c r="E13" s="5" t="str">
        <f>'2026_Fantasy_Starters'!X13</f>
        <v>0.33223271889400924</v>
      </c>
      <c r="F13" s="5" t="str">
        <f>'2026_Fantasy_Starters'!Y10</f>
        <v>0.5899305555555555</v>
      </c>
      <c r="G13" s="6">
        <f t="shared" si="39"/>
        <v>2.1715041052563513</v>
      </c>
      <c r="H13" s="6">
        <f t="shared" si="0"/>
        <v>0.17701514551915518</v>
      </c>
      <c r="I13" s="6">
        <f t="shared" si="1"/>
        <v>-0.85349188866871717</v>
      </c>
      <c r="J13" s="6" t="e">
        <f t="shared" si="2"/>
        <v>#REF!</v>
      </c>
      <c r="K13" s="6">
        <f t="shared" si="3"/>
        <v>-0.85488970899846406</v>
      </c>
      <c r="L13" s="6">
        <f t="shared" si="4"/>
        <v>0.84574339171466129</v>
      </c>
      <c r="M13" s="6" t="e">
        <f t="shared" si="5"/>
        <v>#REF!</v>
      </c>
      <c r="N13" s="6" t="e">
        <f t="shared" si="6"/>
        <v>#REF!</v>
      </c>
      <c r="P13" s="5">
        <f t="shared" si="7"/>
        <v>145.00806632801766</v>
      </c>
      <c r="Q13" s="5">
        <f t="shared" si="8"/>
        <v>79.252877738000947</v>
      </c>
      <c r="R13" s="5">
        <f t="shared" si="9"/>
        <v>114.76809642743319</v>
      </c>
      <c r="S13" s="5">
        <f t="shared" si="10"/>
        <v>112.50146246052471</v>
      </c>
      <c r="T13" s="5">
        <f t="shared" si="11"/>
        <v>66.432622472385361</v>
      </c>
      <c r="U13" s="5">
        <f t="shared" si="12"/>
        <v>94.91464678653594</v>
      </c>
      <c r="V13" s="5">
        <f t="shared" si="13"/>
        <v>68.520431030249497</v>
      </c>
      <c r="W13" s="5">
        <f t="shared" si="14"/>
        <v>96.18898767937003</v>
      </c>
      <c r="X13" s="5" t="e">
        <f t="shared" si="15"/>
        <v>#DIV/0!</v>
      </c>
      <c r="Y13" s="5" t="e">
        <f t="shared" si="16"/>
        <v>#REF!</v>
      </c>
      <c r="Z13" s="5">
        <f t="shared" si="17"/>
        <v>46.455409450170194</v>
      </c>
      <c r="AA13" s="5" t="e">
        <f t="shared" si="18"/>
        <v>#REF!</v>
      </c>
      <c r="AB13" s="5">
        <f t="shared" si="19"/>
        <v>65.199768542959589</v>
      </c>
      <c r="AC13" s="5">
        <f t="shared" si="20"/>
        <v>107.89429611472482</v>
      </c>
      <c r="AD13" s="5">
        <f t="shared" si="21"/>
        <v>65.265853581939894</v>
      </c>
      <c r="AE13" s="5" t="e">
        <f t="shared" si="22"/>
        <v>#REF!</v>
      </c>
      <c r="AG13" s="5">
        <f t="shared" si="23"/>
        <v>0.10494968828608235</v>
      </c>
      <c r="AH13" s="5">
        <f t="shared" si="24"/>
        <v>4.3985356858199993E-2</v>
      </c>
      <c r="AI13" s="5">
        <f t="shared" si="25"/>
        <v>3.8624284021087502E-2</v>
      </c>
      <c r="AJ13" s="5">
        <f t="shared" si="26"/>
        <v>1.1530206158586636E-2</v>
      </c>
      <c r="AK13" s="5">
        <f t="shared" si="27"/>
        <v>7.1955717638888821E-4</v>
      </c>
      <c r="AL13" s="5">
        <f t="shared" si="28"/>
        <v>4.3323107763888844E-3</v>
      </c>
      <c r="AM13" s="5">
        <f t="shared" si="29"/>
        <v>0.13582866750841358</v>
      </c>
      <c r="AN13" s="5">
        <f t="shared" si="30"/>
        <v>3.3653856302430521E-2</v>
      </c>
      <c r="AO13" s="5">
        <f t="shared" si="31"/>
        <v>0</v>
      </c>
      <c r="AP13" s="5" t="e">
        <f t="shared" si="32"/>
        <v>#REF!</v>
      </c>
      <c r="AQ13" s="5">
        <f t="shared" si="33"/>
        <v>17.69791666666665</v>
      </c>
      <c r="AR13" s="5" t="e">
        <f t="shared" si="34"/>
        <v>#REF!</v>
      </c>
      <c r="AS13" s="5">
        <f t="shared" si="35"/>
        <v>479.42674198447855</v>
      </c>
      <c r="AT13" s="5">
        <f t="shared" si="36"/>
        <v>0.11735989494743006</v>
      </c>
      <c r="AU13" s="5">
        <f t="shared" si="37"/>
        <v>53.3043432079157</v>
      </c>
      <c r="AV13" s="5" t="e">
        <f t="shared" si="38"/>
        <v>#REF!</v>
      </c>
      <c r="AX13" s="5" t="str">
        <f>'2026_Fantasy_Starters'!Z10</f>
        <v>0.2295581638268903</v>
      </c>
      <c r="AY13" s="5">
        <f>'2026_Fantasy_Starters'!AA10</f>
        <v>9.6209887999999993E-2</v>
      </c>
      <c r="AZ13" s="5">
        <f>'2026_Fantasy_Starters'!AB10</f>
        <v>8.4483526000000003E-2</v>
      </c>
      <c r="BA13" s="5" t="str">
        <f>'2026_Fantasy_Starters'!AC10</f>
        <v>0.019545022799723158</v>
      </c>
      <c r="BB13" s="5">
        <f>'2026_Fantasy_Starters'!AD10</f>
        <v>1.2197320000000001E-3</v>
      </c>
      <c r="BC13" s="5">
        <f>'2026_Fantasy_Starters'!AE10</f>
        <v>7.343764E-3</v>
      </c>
      <c r="BD13" s="5" t="str">
        <f>'2026_Fantasy_Starters'!AF10</f>
        <v>0.23024518094422106</v>
      </c>
      <c r="BE13" s="5">
        <f>'2026_Fantasy_Starters'!AG10</f>
        <v>5.7047148999999998E-2</v>
      </c>
      <c r="BF13" s="5">
        <f>'2026_Fantasy_Starters'!AH10</f>
        <v>0</v>
      </c>
      <c r="BG13" s="5" t="e">
        <f>'2026_Fantasy_Starters'!#REF!</f>
        <v>#REF!</v>
      </c>
      <c r="BH13" s="5">
        <f>'2026_Fantasy_Starters'!D10</f>
        <v>30</v>
      </c>
    </row>
    <row r="14" spans="1:60" s="5" customFormat="1">
      <c r="A14" s="5" t="str">
        <f>'2026_Fantasy_Starters'!A5</f>
        <v xml:space="preserve">LAD </v>
      </c>
      <c r="B14" s="5" t="s">
        <v>25</v>
      </c>
      <c r="C14" s="5" t="str">
        <f>'2026_Fantasy_Starters'!C5</f>
        <v>SP</v>
      </c>
      <c r="D14" s="5" t="str">
        <f>'2026_Fantasy_Starters'!W5</f>
        <v>0.4619917582417582</v>
      </c>
      <c r="E14" s="5" t="str">
        <f>'2026_Fantasy_Starters'!X14</f>
        <v>0.3082679045092839</v>
      </c>
      <c r="F14" s="5" t="str">
        <f>'2026_Fantasy_Starters'!Y5</f>
        <v>0.5448717948717948</v>
      </c>
      <c r="G14" s="6">
        <f t="shared" si="39"/>
        <v>1.5762997198418465</v>
      </c>
      <c r="H14" s="6">
        <f t="shared" si="0"/>
        <v>8.8603106842947615E-2</v>
      </c>
      <c r="I14" s="6">
        <f t="shared" si="1"/>
        <v>-0.39979556884926737</v>
      </c>
      <c r="J14" s="6" t="e">
        <f t="shared" si="2"/>
        <v>#REF!</v>
      </c>
      <c r="K14" s="6">
        <f t="shared" si="3"/>
        <v>-0.40022603911074267</v>
      </c>
      <c r="L14" s="6">
        <f t="shared" si="4"/>
        <v>1.564962849791516</v>
      </c>
      <c r="M14" s="6" t="e">
        <f t="shared" si="5"/>
        <v>#REF!</v>
      </c>
      <c r="N14" s="6" t="e">
        <f t="shared" si="6"/>
        <v>#REF!</v>
      </c>
      <c r="P14" s="5">
        <f t="shared" si="7"/>
        <v>132.6714566975696</v>
      </c>
      <c r="Q14" s="5">
        <f t="shared" si="8"/>
        <v>74.129748800147567</v>
      </c>
      <c r="R14" s="5">
        <f t="shared" si="9"/>
        <v>127.32687301784929</v>
      </c>
      <c r="S14" s="5">
        <f t="shared" si="10"/>
        <v>97.394857967187505</v>
      </c>
      <c r="T14" s="5">
        <f t="shared" si="11"/>
        <v>122.43751187868413</v>
      </c>
      <c r="U14" s="5">
        <f t="shared" si="12"/>
        <v>98.320694159172788</v>
      </c>
      <c r="V14" s="5">
        <f t="shared" si="13"/>
        <v>59.197700030185061</v>
      </c>
      <c r="W14" s="5">
        <f t="shared" si="14"/>
        <v>76.194621056448312</v>
      </c>
      <c r="X14" s="5" t="e">
        <f t="shared" si="15"/>
        <v>#DIV/0!</v>
      </c>
      <c r="Y14" s="5" t="e">
        <f t="shared" si="16"/>
        <v>#REF!</v>
      </c>
      <c r="Z14" s="5">
        <f t="shared" si="17"/>
        <v>77.092028753520651</v>
      </c>
      <c r="AA14" s="5" t="e">
        <f t="shared" si="18"/>
        <v>#REF!</v>
      </c>
      <c r="AB14" s="5">
        <f t="shared" si="19"/>
        <v>83.707888105817233</v>
      </c>
      <c r="AC14" s="5">
        <f t="shared" si="20"/>
        <v>103.95140856479503</v>
      </c>
      <c r="AD14" s="5">
        <f t="shared" si="21"/>
        <v>83.729713181735733</v>
      </c>
      <c r="AE14" s="5" t="e">
        <f t="shared" si="22"/>
        <v>#REF!</v>
      </c>
      <c r="AG14" s="5">
        <f t="shared" si="23"/>
        <v>9.6021058534590753E-2</v>
      </c>
      <c r="AH14" s="5">
        <f t="shared" si="24"/>
        <v>4.5851593090920302E-2</v>
      </c>
      <c r="AI14" s="5">
        <f t="shared" si="25"/>
        <v>4.2850839737225255E-2</v>
      </c>
      <c r="AJ14" s="5">
        <f t="shared" si="26"/>
        <v>1.3520893878205107E-2</v>
      </c>
      <c r="AK14" s="5">
        <f t="shared" si="27"/>
        <v>4.1784637820512757E-4</v>
      </c>
      <c r="AL14" s="5">
        <f t="shared" si="28"/>
        <v>4.1918910576923011E-3</v>
      </c>
      <c r="AM14" s="5">
        <f t="shared" si="29"/>
        <v>0.14545977703516802</v>
      </c>
      <c r="AN14" s="5">
        <f t="shared" si="30"/>
        <v>4.01357075641025E-2</v>
      </c>
      <c r="AO14" s="5">
        <f t="shared" si="31"/>
        <v>0</v>
      </c>
      <c r="AP14" s="5" t="e">
        <f t="shared" si="32"/>
        <v>#REF!</v>
      </c>
      <c r="AQ14" s="5">
        <f t="shared" si="33"/>
        <v>14.166666666666645</v>
      </c>
      <c r="AR14" s="5" t="e">
        <f t="shared" si="34"/>
        <v>#REF!</v>
      </c>
      <c r="AS14" s="5">
        <f t="shared" si="35"/>
        <v>413.6012803634585</v>
      </c>
      <c r="AT14" s="5">
        <f t="shared" si="36"/>
        <v>0.1223838711956944</v>
      </c>
      <c r="AU14" s="5">
        <f t="shared" si="37"/>
        <v>45.999558673218402</v>
      </c>
      <c r="AV14" s="5" t="e">
        <f t="shared" si="38"/>
        <v>#REF!</v>
      </c>
      <c r="AX14" s="5" t="str">
        <f>'2026_Fantasy_Starters'!Z5</f>
        <v>0.20784149678346364</v>
      </c>
      <c r="AY14" s="5">
        <f>'2026_Fantasy_Starters'!AA5</f>
        <v>9.9247642999999997E-2</v>
      </c>
      <c r="AZ14" s="5">
        <f>'2026_Fantasy_Starters'!AB5</f>
        <v>9.2752390000000004E-2</v>
      </c>
      <c r="BA14" s="5">
        <f>'2026_Fantasy_Starters'!AC5</f>
        <v>2.4814816999999999E-2</v>
      </c>
      <c r="BB14" s="5">
        <f>'2026_Fantasy_Starters'!AD5</f>
        <v>7.6687100000000002E-4</v>
      </c>
      <c r="BC14" s="5">
        <f>'2026_Fantasy_Starters'!AE5</f>
        <v>7.693353E-3</v>
      </c>
      <c r="BD14" s="5" t="str">
        <f>'2026_Fantasy_Starters'!AF5</f>
        <v>0.26696147314689755</v>
      </c>
      <c r="BE14" s="5">
        <f>'2026_Fantasy_Starters'!AG5</f>
        <v>7.3660827999999998E-2</v>
      </c>
      <c r="BF14" s="5">
        <f>'2026_Fantasy_Starters'!AH5</f>
        <v>0</v>
      </c>
      <c r="BG14" s="5" t="e">
        <f>'2026_Fantasy_Starters'!#REF!</f>
        <v>#REF!</v>
      </c>
      <c r="BH14" s="5">
        <f>'2026_Fantasy_Starters'!D5</f>
        <v>26</v>
      </c>
    </row>
    <row r="15" spans="1:60" s="7" customFormat="1">
      <c r="A15" s="7" t="str">
        <f>'2026_Fantasy_Starters'!A6</f>
        <v xml:space="preserve">PHI </v>
      </c>
      <c r="B15" s="7" t="s">
        <v>28</v>
      </c>
      <c r="C15" s="7" t="str">
        <f>'2026_Fantasy_Starters'!C6</f>
        <v>SP</v>
      </c>
      <c r="D15" s="7" t="str">
        <f>'2026_Fantasy_Starters'!W6</f>
        <v>0.41591508620689654</v>
      </c>
      <c r="E15" s="7" t="str">
        <f>'2026_Fantasy_Starters'!X15</f>
        <v>0.2954602122015915</v>
      </c>
      <c r="F15" s="7" t="str">
        <f>'2026_Fantasy_Starters'!Y6</f>
        <v>0.5951388888888889</v>
      </c>
      <c r="G15" s="8">
        <f t="shared" si="39"/>
        <v>1.3458535974463544</v>
      </c>
      <c r="H15" s="8">
        <f t="shared" si="0"/>
        <v>-0.31315598702176739</v>
      </c>
      <c r="I15" s="8">
        <f t="shared" si="1"/>
        <v>-1.2985879680594079</v>
      </c>
      <c r="J15" s="8" t="e">
        <f t="shared" si="2"/>
        <v>#REF!</v>
      </c>
      <c r="K15" s="8">
        <f t="shared" si="3"/>
        <v>-1.2999024201868492</v>
      </c>
      <c r="L15" s="8">
        <f t="shared" si="4"/>
        <v>0.47193009945424791</v>
      </c>
      <c r="M15" s="8" t="e">
        <f t="shared" si="5"/>
        <v>#REF!</v>
      </c>
      <c r="N15" s="8" t="e">
        <f t="shared" si="6"/>
        <v>#REF!</v>
      </c>
      <c r="P15" s="7">
        <f t="shared" si="7"/>
        <v>127.89507412628896</v>
      </c>
      <c r="Q15" s="7">
        <f t="shared" si="8"/>
        <v>92.966345586534928</v>
      </c>
      <c r="R15" s="7">
        <f t="shared" si="9"/>
        <v>108.24069012424501</v>
      </c>
      <c r="S15" s="7">
        <f t="shared" si="10"/>
        <v>105.08908556095943</v>
      </c>
      <c r="T15" s="7">
        <f t="shared" si="11"/>
        <v>57.822031564290775</v>
      </c>
      <c r="U15" s="7">
        <f t="shared" si="12"/>
        <v>84.365732923534225</v>
      </c>
      <c r="V15" s="7">
        <f t="shared" si="13"/>
        <v>63.97172846504197</v>
      </c>
      <c r="W15" s="7">
        <f t="shared" si="14"/>
        <v>88.882575920776461</v>
      </c>
      <c r="X15" s="7" t="e">
        <f t="shared" si="15"/>
        <v>#DIV/0!</v>
      </c>
      <c r="Y15" s="7" t="e">
        <f t="shared" si="16"/>
        <v>#REF!</v>
      </c>
      <c r="Z15" s="7">
        <f t="shared" si="17"/>
        <v>45.09980682612823</v>
      </c>
      <c r="AA15" s="7" t="e">
        <f t="shared" si="18"/>
        <v>#REF!</v>
      </c>
      <c r="AB15" s="7">
        <f t="shared" si="19"/>
        <v>47.084513220932159</v>
      </c>
      <c r="AC15" s="7">
        <f t="shared" si="20"/>
        <v>86.03426794696928</v>
      </c>
      <c r="AD15" s="7">
        <f t="shared" si="21"/>
        <v>47.151993805515524</v>
      </c>
      <c r="AE15" s="7" t="e">
        <f t="shared" si="22"/>
        <v>#REF!</v>
      </c>
      <c r="AG15" s="7">
        <f t="shared" si="23"/>
        <v>9.2564148345490982E-2</v>
      </c>
      <c r="AH15" s="7">
        <f t="shared" si="24"/>
        <v>3.8989860768674944E-2</v>
      </c>
      <c r="AI15" s="7">
        <f t="shared" si="25"/>
        <v>3.642753768806116E-2</v>
      </c>
      <c r="AJ15" s="7">
        <f t="shared" si="26"/>
        <v>1.2506979441666647E-2</v>
      </c>
      <c r="AK15" s="7">
        <f t="shared" si="27"/>
        <v>7.659443451388878E-4</v>
      </c>
      <c r="AL15" s="7">
        <f t="shared" si="28"/>
        <v>4.7672065236111045E-3</v>
      </c>
      <c r="AM15" s="7">
        <f t="shared" si="29"/>
        <v>0.14052783265753563</v>
      </c>
      <c r="AN15" s="7">
        <f t="shared" si="30"/>
        <v>3.6022477182946031E-2</v>
      </c>
      <c r="AO15" s="7">
        <f t="shared" si="31"/>
        <v>0</v>
      </c>
      <c r="AP15" s="7" t="e">
        <f t="shared" si="32"/>
        <v>#REF!</v>
      </c>
      <c r="AQ15" s="7">
        <f t="shared" si="33"/>
        <v>17.854166666666639</v>
      </c>
      <c r="AR15" s="7" t="e">
        <f t="shared" si="34"/>
        <v>#REF!</v>
      </c>
      <c r="AS15" s="7">
        <f t="shared" si="35"/>
        <v>543.85495360831692</v>
      </c>
      <c r="AT15" s="7">
        <f t="shared" si="36"/>
        <v>0.14521365971004641</v>
      </c>
      <c r="AU15" s="7">
        <f t="shared" si="37"/>
        <v>60.470658681846359</v>
      </c>
      <c r="AV15" s="7" t="e">
        <f t="shared" si="38"/>
        <v>#REF!</v>
      </c>
      <c r="AX15" s="7" t="str">
        <f>'2026_Fantasy_Starters'!Z6</f>
        <v>0.22255539992469836</v>
      </c>
      <c r="AY15" s="7">
        <f>'2026_Fantasy_Starters'!AA6</f>
        <v>9.3744761999999995E-2</v>
      </c>
      <c r="AZ15" s="7">
        <f>'2026_Fantasy_Starters'!AB6</f>
        <v>8.7584073999999998E-2</v>
      </c>
      <c r="BA15" s="7">
        <f>'2026_Fantasy_Starters'!AC6</f>
        <v>2.1015228E-2</v>
      </c>
      <c r="BB15" s="7">
        <f>'2026_Fantasy_Starters'!AD6</f>
        <v>1.2870010000000001E-3</v>
      </c>
      <c r="BC15" s="7">
        <f>'2026_Fantasy_Starters'!AE6</f>
        <v>8.0102420000000008E-3</v>
      </c>
      <c r="BD15" s="7" t="str">
        <f>'2026_Fantasy_Starters'!AF6</f>
        <v>0.2361261132168638</v>
      </c>
      <c r="BE15" s="7" t="str">
        <f>'2026_Fantasy_Starters'!AG6</f>
        <v>0.060527849642289806</v>
      </c>
      <c r="BF15" s="7">
        <f>'2026_Fantasy_Starters'!AH6</f>
        <v>0</v>
      </c>
      <c r="BG15" s="7" t="e">
        <f>'2026_Fantasy_Starters'!#REF!</f>
        <v>#REF!</v>
      </c>
      <c r="BH15" s="7">
        <f>'2026_Fantasy_Starters'!D6</f>
        <v>30</v>
      </c>
    </row>
    <row r="16" spans="1:60" s="7" customFormat="1">
      <c r="A16" s="7" t="str">
        <f>'2026_Fantasy_Starters'!A42</f>
        <v xml:space="preserve">PHI </v>
      </c>
      <c r="B16" s="7" t="s">
        <v>128</v>
      </c>
      <c r="C16" s="7" t="str">
        <f>'2026_Fantasy_Starters'!C42</f>
        <v>SP</v>
      </c>
      <c r="D16" s="7" t="str">
        <f>'2026_Fantasy_Starters'!W42</f>
        <v>0.44003571428571425</v>
      </c>
      <c r="E16" s="7" t="str">
        <f>'2026_Fantasy_Starters'!X16</f>
        <v>0.34079187192118227</v>
      </c>
      <c r="F16" s="7" t="str">
        <f>'2026_Fantasy_Starters'!Y42</f>
        <v>0.5902777777777778</v>
      </c>
      <c r="G16" s="8">
        <f t="shared" si="39"/>
        <v>1.1139416021381288</v>
      </c>
      <c r="H16" s="8">
        <f t="shared" si="0"/>
        <v>-0.56176648380898997</v>
      </c>
      <c r="I16" s="8">
        <f t="shared" si="1"/>
        <v>0.19497130495158932</v>
      </c>
      <c r="J16" s="8" t="e">
        <f t="shared" si="2"/>
        <v>#REF!</v>
      </c>
      <c r="K16" s="8">
        <f t="shared" si="3"/>
        <v>0.19543423600774415</v>
      </c>
      <c r="L16" s="8">
        <f t="shared" si="4"/>
        <v>1.1516063248225896</v>
      </c>
      <c r="M16" s="8" t="e">
        <f t="shared" si="5"/>
        <v>#REF!</v>
      </c>
      <c r="N16" s="8" t="e">
        <f t="shared" si="6"/>
        <v>#REF!</v>
      </c>
      <c r="P16" s="7">
        <f t="shared" si="7"/>
        <v>123.08830887918236</v>
      </c>
      <c r="Q16" s="7">
        <f t="shared" si="8"/>
        <v>83.504554321718643</v>
      </c>
      <c r="R16" s="7">
        <f t="shared" si="9"/>
        <v>120.10897562786965</v>
      </c>
      <c r="S16" s="7">
        <f t="shared" si="10"/>
        <v>71.118955194505389</v>
      </c>
      <c r="T16" s="7">
        <f t="shared" si="11"/>
        <v>97.598211474821426</v>
      </c>
      <c r="U16" s="7">
        <f t="shared" si="12"/>
        <v>53.648755698972693</v>
      </c>
      <c r="V16" s="7">
        <f t="shared" si="13"/>
        <v>45.613630327607012</v>
      </c>
      <c r="W16" s="7">
        <f t="shared" si="14"/>
        <v>76.063599932029675</v>
      </c>
      <c r="X16" s="7" t="e">
        <f t="shared" si="15"/>
        <v>#DIV/0!</v>
      </c>
      <c r="Y16" s="7" t="e">
        <f t="shared" si="16"/>
        <v>#REF!</v>
      </c>
      <c r="Z16" s="7">
        <f t="shared" si="17"/>
        <v>92.455525159330534</v>
      </c>
      <c r="AA16" s="7" t="e">
        <f t="shared" si="18"/>
        <v>#REF!</v>
      </c>
      <c r="AB16" s="7">
        <f t="shared" si="19"/>
        <v>107.95559541319926</v>
      </c>
      <c r="AC16" s="7">
        <f t="shared" si="20"/>
        <v>74.94705349923828</v>
      </c>
      <c r="AD16" s="7">
        <f t="shared" si="21"/>
        <v>107.93465285776995</v>
      </c>
      <c r="AE16" s="7" t="e">
        <f t="shared" si="22"/>
        <v>#REF!</v>
      </c>
      <c r="AG16" s="7">
        <f t="shared" si="23"/>
        <v>8.9085248673750853E-2</v>
      </c>
      <c r="AH16" s="7">
        <f t="shared" si="24"/>
        <v>4.2436570367249966E-2</v>
      </c>
      <c r="AI16" s="7">
        <f t="shared" si="25"/>
        <v>4.0421714156999973E-2</v>
      </c>
      <c r="AJ16" s="7">
        <f t="shared" si="26"/>
        <v>1.698342690437504E-2</v>
      </c>
      <c r="AK16" s="7">
        <f t="shared" si="27"/>
        <v>5.5166121527777711E-4</v>
      </c>
      <c r="AL16" s="7">
        <f t="shared" si="28"/>
        <v>6.0335627509888468E-3</v>
      </c>
      <c r="AM16" s="7">
        <f t="shared" si="29"/>
        <v>0.15949318238856625</v>
      </c>
      <c r="AN16" s="7">
        <f t="shared" si="30"/>
        <v>4.0178182499999944E-2</v>
      </c>
      <c r="AO16" s="7">
        <f t="shared" si="31"/>
        <v>0</v>
      </c>
      <c r="AP16" s="7" t="e">
        <f t="shared" si="32"/>
        <v>#REF!</v>
      </c>
      <c r="AQ16" s="7">
        <f t="shared" si="33"/>
        <v>12.395833333333318</v>
      </c>
      <c r="AR16" s="7" t="e">
        <f t="shared" si="34"/>
        <v>#REF!</v>
      </c>
      <c r="AS16" s="7">
        <f t="shared" si="35"/>
        <v>327.36256111707365</v>
      </c>
      <c r="AT16" s="7">
        <f t="shared" si="36"/>
        <v>0.15934084475893412</v>
      </c>
      <c r="AU16" s="7">
        <f t="shared" si="37"/>
        <v>36.423453089598674</v>
      </c>
      <c r="AV16" s="7" t="e">
        <f t="shared" si="38"/>
        <v>#REF!</v>
      </c>
      <c r="AX16" s="7" t="str">
        <f>'2026_Fantasy_Starters'!Z42</f>
        <v>0.20245004162527688</v>
      </c>
      <c r="AY16" s="7">
        <f>'2026_Fantasy_Starters'!AA42</f>
        <v>9.6438922999999996E-2</v>
      </c>
      <c r="AZ16" s="7">
        <f>'2026_Fantasy_Starters'!AB42</f>
        <v>9.1860075999999999E-2</v>
      </c>
      <c r="BA16" s="7" t="str">
        <f>'2026_Fantasy_Starters'!AC42</f>
        <v>0.028771923226235417</v>
      </c>
      <c r="BB16" s="7">
        <f>'2026_Fantasy_Starters'!AD42</f>
        <v>9.3457900000000005E-4</v>
      </c>
      <c r="BC16" s="7" t="str">
        <f>'2026_Fantasy_Starters'!AE42</f>
        <v>0.010221565131087086</v>
      </c>
      <c r="BD16" s="7" t="str">
        <f>'2026_Fantasy_Starters'!AF42</f>
        <v>0.2702002148700426</v>
      </c>
      <c r="BE16" s="7">
        <f>'2026_Fantasy_Starters'!AG42</f>
        <v>6.8066567999999994E-2</v>
      </c>
      <c r="BF16" s="7">
        <f>'2026_Fantasy_Starters'!AH42</f>
        <v>0</v>
      </c>
      <c r="BG16" s="7" t="e">
        <f>'2026_Fantasy_Starters'!#REF!</f>
        <v>#REF!</v>
      </c>
      <c r="BH16" s="7">
        <f>'2026_Fantasy_Starters'!D42</f>
        <v>21</v>
      </c>
    </row>
    <row r="17" spans="1:60" s="7" customFormat="1">
      <c r="A17" s="7" t="str">
        <f>'2026_Fantasy_Starters'!A8</f>
        <v xml:space="preserve">HOU </v>
      </c>
      <c r="B17" s="7" t="s">
        <v>36</v>
      </c>
      <c r="C17" s="7" t="str">
        <f>'2026_Fantasy_Starters'!C8</f>
        <v>SP</v>
      </c>
      <c r="D17" s="7" t="str">
        <f>'2026_Fantasy_Starters'!W8</f>
        <v>0.4064032258064516</v>
      </c>
      <c r="E17" s="7" t="str">
        <f>'2026_Fantasy_Starters'!X17</f>
        <v>0.3100344827586207</v>
      </c>
      <c r="F17" s="7" t="str">
        <f>'2026_Fantasy_Starters'!Y8</f>
        <v>0.5510752688172043</v>
      </c>
      <c r="G17" s="8">
        <f t="shared" si="39"/>
        <v>0.80283510564581828</v>
      </c>
      <c r="H17" s="8">
        <f t="shared" si="0"/>
        <v>-0.35055669114046795</v>
      </c>
      <c r="I17" s="8">
        <f t="shared" si="1"/>
        <v>-0.85757914461792939</v>
      </c>
      <c r="J17" s="8" t="e">
        <f t="shared" si="2"/>
        <v>#REF!</v>
      </c>
      <c r="K17" s="8">
        <f t="shared" si="3"/>
        <v>-0.85826491836866636</v>
      </c>
      <c r="L17" s="8">
        <f t="shared" si="4"/>
        <v>0.30034252948496376</v>
      </c>
      <c r="M17" s="8" t="e">
        <f t="shared" si="5"/>
        <v>#REF!</v>
      </c>
      <c r="N17" s="8" t="e">
        <f t="shared" si="6"/>
        <v>#REF!</v>
      </c>
      <c r="P17" s="7">
        <f t="shared" si="7"/>
        <v>116.64010470802327</v>
      </c>
      <c r="Q17" s="7">
        <f t="shared" si="8"/>
        <v>88.237001076246145</v>
      </c>
      <c r="R17" s="7">
        <f t="shared" si="9"/>
        <v>105.24448370527691</v>
      </c>
      <c r="S17" s="7">
        <f t="shared" si="10"/>
        <v>91.262897625721351</v>
      </c>
      <c r="T17" s="7">
        <f t="shared" si="11"/>
        <v>-2.2713586018870302</v>
      </c>
      <c r="U17" s="7">
        <f t="shared" si="12"/>
        <v>76.885951501253842</v>
      </c>
      <c r="V17" s="7">
        <f t="shared" si="13"/>
        <v>61.503204572324712</v>
      </c>
      <c r="W17" s="7">
        <f t="shared" si="14"/>
        <v>63.312707176506443</v>
      </c>
      <c r="X17" s="7" t="e">
        <f t="shared" si="15"/>
        <v>#DIV/0!</v>
      </c>
      <c r="Y17" s="7" t="e">
        <f t="shared" si="16"/>
        <v>#REF!</v>
      </c>
      <c r="Z17" s="7">
        <f t="shared" si="17"/>
        <v>56.568496552969869</v>
      </c>
      <c r="AA17" s="7" t="e">
        <f t="shared" si="18"/>
        <v>#REF!</v>
      </c>
      <c r="AB17" s="7">
        <f t="shared" si="19"/>
        <v>65.062372963082254</v>
      </c>
      <c r="AC17" s="7">
        <f t="shared" si="20"/>
        <v>84.366318956806282</v>
      </c>
      <c r="AD17" s="7">
        <f t="shared" si="21"/>
        <v>65.099516504256044</v>
      </c>
      <c r="AE17" s="7" t="e">
        <f t="shared" si="22"/>
        <v>#REF!</v>
      </c>
      <c r="AG17" s="7">
        <f t="shared" si="23"/>
        <v>8.4418356445581016E-2</v>
      </c>
      <c r="AH17" s="7">
        <f t="shared" si="24"/>
        <v>4.0712650530397396E-2</v>
      </c>
      <c r="AI17" s="7">
        <f t="shared" si="25"/>
        <v>3.5419188405338656E-2</v>
      </c>
      <c r="AJ17" s="7">
        <f t="shared" si="26"/>
        <v>1.4328939005376337E-2</v>
      </c>
      <c r="AK17" s="7">
        <f t="shared" si="27"/>
        <v>1.0896808064516123E-3</v>
      </c>
      <c r="AL17" s="7">
        <f t="shared" si="28"/>
        <v>5.0755724059139756E-3</v>
      </c>
      <c r="AM17" s="7">
        <f t="shared" si="29"/>
        <v>0.14307801070943971</v>
      </c>
      <c r="AN17" s="7">
        <f t="shared" si="30"/>
        <v>4.431181633064514E-2</v>
      </c>
      <c r="AO17" s="7">
        <f t="shared" si="31"/>
        <v>0</v>
      </c>
      <c r="AP17" s="7" t="e">
        <f t="shared" si="32"/>
        <v>#REF!</v>
      </c>
      <c r="AQ17" s="7">
        <f t="shared" si="33"/>
        <v>16.532258064516121</v>
      </c>
      <c r="AR17" s="7" t="e">
        <f t="shared" si="34"/>
        <v>#REF!</v>
      </c>
      <c r="AS17" s="7">
        <f t="shared" si="35"/>
        <v>479.91539927023882</v>
      </c>
      <c r="AT17" s="7">
        <f t="shared" si="36"/>
        <v>0.14733893871021586</v>
      </c>
      <c r="AU17" s="7">
        <f t="shared" si="37"/>
        <v>53.370150495175679</v>
      </c>
      <c r="AV17" s="7" t="e">
        <f t="shared" si="38"/>
        <v>#REF!</v>
      </c>
      <c r="AX17" s="7" t="str">
        <f>'2026_Fantasy_Starters'!Z8</f>
        <v>0.20772068498734197</v>
      </c>
      <c r="AY17" s="7" t="str">
        <f>'2026_Fantasy_Starters'!AA8</f>
        <v>0.10017797090465749</v>
      </c>
      <c r="AZ17" s="7">
        <f>'2026_Fantasy_Starters'!AB8</f>
        <v>8.7152823000000004E-2</v>
      </c>
      <c r="BA17" s="7">
        <f>'2026_Fantasy_Starters'!AC8</f>
        <v>2.6001782000000001E-2</v>
      </c>
      <c r="BB17" s="7">
        <f>'2026_Fantasy_Starters'!AD8</f>
        <v>1.9773719999999998E-3</v>
      </c>
      <c r="BC17" s="7">
        <f>'2026_Fantasy_Starters'!AE8</f>
        <v>9.2103069999999992E-3</v>
      </c>
      <c r="BD17" s="7" t="str">
        <f>'2026_Fantasy_Starters'!AF8</f>
        <v>0.2596342438239594</v>
      </c>
      <c r="BE17" s="7">
        <f>'2026_Fantasy_Starters'!AG8</f>
        <v>8.0409734999999996E-2</v>
      </c>
      <c r="BF17" s="7">
        <f>'2026_Fantasy_Starters'!AH8</f>
        <v>0</v>
      </c>
      <c r="BG17" s="7" t="e">
        <f>'2026_Fantasy_Starters'!#REF!</f>
        <v>#REF!</v>
      </c>
      <c r="BH17" s="7">
        <f>'2026_Fantasy_Starters'!D8</f>
        <v>30</v>
      </c>
    </row>
    <row r="18" spans="1:60" s="5" customFormat="1">
      <c r="A18" s="5" t="str">
        <f>'2026_Fantasy_Starters'!A25</f>
        <v xml:space="preserve">LAD </v>
      </c>
      <c r="B18" s="5" t="s">
        <v>86</v>
      </c>
      <c r="C18" s="5" t="str">
        <f>'2026_Fantasy_Starters'!C25</f>
        <v>SP</v>
      </c>
      <c r="D18" s="5" t="str">
        <f>'2026_Fantasy_Starters'!W25</f>
        <v>0.37708113354037265</v>
      </c>
      <c r="E18" s="5" t="str">
        <f>'2026_Fantasy_Starters'!X18</f>
        <v>0.32149078341013826</v>
      </c>
      <c r="F18" s="5" t="str">
        <f>'2026_Fantasy_Starters'!Y25</f>
        <v>0.44271911663216007</v>
      </c>
      <c r="G18" s="6">
        <f t="shared" si="39"/>
        <v>0.12051934447172132</v>
      </c>
      <c r="H18" s="6">
        <f t="shared" si="0"/>
        <v>3.7718831844139537E-2</v>
      </c>
      <c r="I18" s="6">
        <f t="shared" si="1"/>
        <v>0.65853729428475194</v>
      </c>
      <c r="J18" s="6" t="e">
        <f t="shared" si="2"/>
        <v>#REF!</v>
      </c>
      <c r="K18" s="6">
        <f t="shared" si="3"/>
        <v>0.65886049607901676</v>
      </c>
      <c r="L18" s="6">
        <f t="shared" si="4"/>
        <v>0.45505121715778329</v>
      </c>
      <c r="M18" s="6" t="e">
        <f t="shared" si="5"/>
        <v>#REF!</v>
      </c>
      <c r="N18" s="6" t="e">
        <f t="shared" si="6"/>
        <v>#REF!</v>
      </c>
      <c r="P18" s="5">
        <f t="shared" si="7"/>
        <v>102.49796564356581</v>
      </c>
      <c r="Q18" s="5">
        <f t="shared" si="8"/>
        <v>97.005660996990059</v>
      </c>
      <c r="R18" s="5">
        <f t="shared" si="9"/>
        <v>107.9459565634706</v>
      </c>
      <c r="S18" s="5">
        <f t="shared" si="10"/>
        <v>99.869646253498431</v>
      </c>
      <c r="T18" s="5">
        <f t="shared" si="11"/>
        <v>108.0766683836261</v>
      </c>
      <c r="U18" s="5">
        <f t="shared" si="12"/>
        <v>91.453900563752754</v>
      </c>
      <c r="V18" s="5">
        <f t="shared" si="13"/>
        <v>74.233914217889023</v>
      </c>
      <c r="W18" s="5">
        <f t="shared" si="14"/>
        <v>89.825554672330625</v>
      </c>
      <c r="X18" s="5" t="e">
        <f t="shared" si="15"/>
        <v>#DIV/0!</v>
      </c>
      <c r="Y18" s="5" t="e">
        <f t="shared" si="16"/>
        <v>#REF!</v>
      </c>
      <c r="Z18" s="5">
        <f t="shared" si="17"/>
        <v>119.33967922801371</v>
      </c>
      <c r="AA18" s="5" t="e">
        <f t="shared" si="18"/>
        <v>#REF!</v>
      </c>
      <c r="AB18" s="5">
        <f t="shared" si="19"/>
        <v>126.82041615439724</v>
      </c>
      <c r="AC18" s="5">
        <f t="shared" si="20"/>
        <v>101.68213644547679</v>
      </c>
      <c r="AD18" s="5">
        <f t="shared" si="21"/>
        <v>126.80017362217497</v>
      </c>
      <c r="AE18" s="5" t="e">
        <f t="shared" si="22"/>
        <v>#REF!</v>
      </c>
      <c r="AG18" s="5">
        <f t="shared" si="23"/>
        <v>7.4182973517600628E-2</v>
      </c>
      <c r="AH18" s="5">
        <f t="shared" si="24"/>
        <v>3.7518432493919188E-2</v>
      </c>
      <c r="AI18" s="5">
        <f t="shared" si="25"/>
        <v>3.6328347467814763E-2</v>
      </c>
      <c r="AJ18" s="5">
        <f t="shared" si="26"/>
        <v>1.3194776208785241E-2</v>
      </c>
      <c r="AK18" s="5">
        <f t="shared" si="27"/>
        <v>4.9521143685300197E-4</v>
      </c>
      <c r="AL18" s="5">
        <f t="shared" si="28"/>
        <v>4.4749855421562391E-3</v>
      </c>
      <c r="AM18" s="5">
        <f t="shared" si="29"/>
        <v>0.12992619296967101</v>
      </c>
      <c r="AN18" s="5">
        <f t="shared" si="30"/>
        <v>3.5716778676673562E-2</v>
      </c>
      <c r="AO18" s="5">
        <f t="shared" si="31"/>
        <v>0</v>
      </c>
      <c r="AP18" s="5" t="e">
        <f t="shared" si="32"/>
        <v>#REF!</v>
      </c>
      <c r="AQ18" s="5">
        <f t="shared" si="33"/>
        <v>9.2971014492753596</v>
      </c>
      <c r="AR18" s="5" t="e">
        <f t="shared" si="34"/>
        <v>#REF!</v>
      </c>
      <c r="AS18" s="5">
        <f t="shared" si="35"/>
        <v>260.26846603789647</v>
      </c>
      <c r="AT18" s="5">
        <f t="shared" si="36"/>
        <v>0.12527534833876086</v>
      </c>
      <c r="AU18" s="5">
        <f t="shared" si="37"/>
        <v>28.959760919822845</v>
      </c>
      <c r="AV18" s="5" t="e">
        <f t="shared" si="38"/>
        <v>#REF!</v>
      </c>
      <c r="AX18" s="5" t="str">
        <f>'2026_Fantasy_Starters'!Z25</f>
        <v>0.19672947522222997</v>
      </c>
      <c r="AY18" s="5">
        <f>'2026_Fantasy_Starters'!AA25</f>
        <v>9.9496976000000001E-2</v>
      </c>
      <c r="AZ18" s="5">
        <f>'2026_Fantasy_Starters'!AB25</f>
        <v>9.6340931000000005E-2</v>
      </c>
      <c r="BA18" s="5" t="str">
        <f>'2026_Fantasy_Starters'!AC25</f>
        <v>0.029803945014076197</v>
      </c>
      <c r="BB18" s="5">
        <f>'2026_Fantasy_Starters'!AD25</f>
        <v>1.1185679999999999E-3</v>
      </c>
      <c r="BC18" s="5" t="str">
        <f>'2026_Fantasy_Starters'!AE25</f>
        <v>0.010107956431152676</v>
      </c>
      <c r="BD18" s="5" t="str">
        <f>'2026_Fantasy_Starters'!AF25</f>
        <v>0.29347319347319345</v>
      </c>
      <c r="BE18" s="5">
        <f>'2026_Fantasy_Starters'!AG25</f>
        <v>8.0675935000000004E-2</v>
      </c>
      <c r="BF18" s="5">
        <f>'2026_Fantasy_Starters'!AH25</f>
        <v>0</v>
      </c>
      <c r="BG18" s="5" t="e">
        <f>'2026_Fantasy_Starters'!#REF!</f>
        <v>#REF!</v>
      </c>
      <c r="BH18" s="5">
        <f>'2026_Fantasy_Starters'!D25</f>
        <v>21</v>
      </c>
    </row>
    <row r="19" spans="1:60" s="7" customFormat="1">
      <c r="A19" s="7" t="str">
        <f>'2026_Fantasy_Starters'!A24</f>
        <v xml:space="preserve">PHI </v>
      </c>
      <c r="B19" s="7" t="s">
        <v>84</v>
      </c>
      <c r="C19" s="7" t="str">
        <f>'2026_Fantasy_Starters'!C24</f>
        <v>SP</v>
      </c>
      <c r="D19" s="7" t="str">
        <f>'2026_Fantasy_Starters'!W24</f>
        <v>0.39751775782615606</v>
      </c>
      <c r="E19" s="7" t="str">
        <f>'2026_Fantasy_Starters'!X19</f>
        <v>0.31496250000000003</v>
      </c>
      <c r="F19" s="7" t="str">
        <f>'2026_Fantasy_Starters'!Y24</f>
        <v>0.5266963292547274</v>
      </c>
      <c r="G19" s="8">
        <f t="shared" si="39"/>
        <v>0.75771246693214578</v>
      </c>
      <c r="H19" s="8">
        <f t="shared" si="0"/>
        <v>0.32205725435449467</v>
      </c>
      <c r="I19" s="8">
        <f t="shared" si="1"/>
        <v>-0.55787908658582674</v>
      </c>
      <c r="J19" s="8" t="e">
        <f t="shared" si="2"/>
        <v>#REF!</v>
      </c>
      <c r="K19" s="8">
        <f t="shared" si="3"/>
        <v>-0.55809637566138548</v>
      </c>
      <c r="L19" s="8">
        <f t="shared" si="4"/>
        <v>1.2315132808837268</v>
      </c>
      <c r="M19" s="8" t="e">
        <f t="shared" si="5"/>
        <v>#REF!</v>
      </c>
      <c r="N19" s="8" t="e">
        <f t="shared" si="6"/>
        <v>#REF!</v>
      </c>
      <c r="P19" s="7">
        <f t="shared" si="7"/>
        <v>115.70486230566991</v>
      </c>
      <c r="Q19" s="7">
        <f t="shared" si="8"/>
        <v>85.65963762773579</v>
      </c>
      <c r="R19" s="7">
        <f t="shared" si="9"/>
        <v>121.50428494260288</v>
      </c>
      <c r="S19" s="7">
        <f t="shared" si="10"/>
        <v>81.635386488334632</v>
      </c>
      <c r="T19" s="7">
        <f t="shared" si="11"/>
        <v>67.100655321947983</v>
      </c>
      <c r="U19" s="7">
        <f t="shared" si="12"/>
        <v>107.3735370739506</v>
      </c>
      <c r="V19" s="7">
        <f t="shared" si="13"/>
        <v>63.482091083365951</v>
      </c>
      <c r="W19" s="7">
        <f t="shared" si="14"/>
        <v>77.611249309715021</v>
      </c>
      <c r="X19" s="7" t="e">
        <f t="shared" si="15"/>
        <v>#DIV/0!</v>
      </c>
      <c r="Y19" s="7" t="e">
        <f t="shared" si="16"/>
        <v>#REF!</v>
      </c>
      <c r="Z19" s="7">
        <f t="shared" si="17"/>
        <v>67.483284132353688</v>
      </c>
      <c r="AA19" s="7" t="e">
        <f t="shared" si="18"/>
        <v>#REF!</v>
      </c>
      <c r="AB19" s="7">
        <f t="shared" si="19"/>
        <v>77.281416720871462</v>
      </c>
      <c r="AC19" s="7">
        <f t="shared" si="20"/>
        <v>114.36269944197805</v>
      </c>
      <c r="AD19" s="7">
        <f t="shared" si="21"/>
        <v>77.29626475153637</v>
      </c>
      <c r="AE19" s="7" t="e">
        <f t="shared" si="22"/>
        <v>#REF!</v>
      </c>
      <c r="AG19" s="7">
        <f t="shared" si="23"/>
        <v>8.3741474110105393E-2</v>
      </c>
      <c r="AH19" s="7">
        <f t="shared" si="24"/>
        <v>4.1651523846069675E-2</v>
      </c>
      <c r="AI19" s="7">
        <f t="shared" si="25"/>
        <v>4.0891294336049128E-2</v>
      </c>
      <c r="AJ19" s="7">
        <f t="shared" si="26"/>
        <v>1.55976137893186E-2</v>
      </c>
      <c r="AK19" s="7">
        <f t="shared" si="27"/>
        <v>7.1595833481646214E-4</v>
      </c>
      <c r="AL19" s="7">
        <f t="shared" si="28"/>
        <v>3.8186732141268038E-3</v>
      </c>
      <c r="AM19" s="7">
        <f t="shared" si="29"/>
        <v>0.14103366632915851</v>
      </c>
      <c r="AN19" s="7">
        <f t="shared" si="30"/>
        <v>3.9676459526696295E-2</v>
      </c>
      <c r="AO19" s="7">
        <f t="shared" si="31"/>
        <v>0</v>
      </c>
      <c r="AP19" s="7" t="e">
        <f t="shared" si="32"/>
        <v>#REF!</v>
      </c>
      <c r="AQ19" s="7">
        <f t="shared" si="33"/>
        <v>15.274193548387082</v>
      </c>
      <c r="AR19" s="7" t="e">
        <f t="shared" si="34"/>
        <v>#REF!</v>
      </c>
      <c r="AS19" s="7">
        <f t="shared" si="35"/>
        <v>436.45748917881889</v>
      </c>
      <c r="AT19" s="7">
        <f t="shared" si="36"/>
        <v>0.1091179392059094</v>
      </c>
      <c r="AU19" s="7">
        <f t="shared" si="37"/>
        <v>48.544798705167764</v>
      </c>
      <c r="AV19" s="7" t="e">
        <f t="shared" si="38"/>
        <v>#REF!</v>
      </c>
      <c r="AX19" s="7" t="str">
        <f>'2026_Fantasy_Starters'!Z24</f>
        <v>0.2106609640989362</v>
      </c>
      <c r="AY19" s="7" t="str">
        <f>'2026_Fantasy_Starters'!AA24</f>
        <v>0.10477902691402555</v>
      </c>
      <c r="AZ19" s="7" t="str">
        <f>'2026_Fantasy_Starters'!AB24</f>
        <v>0.1028665852807813</v>
      </c>
      <c r="BA19" s="7" t="str">
        <f>'2026_Fantasy_Starters'!AC24</f>
        <v>0.029614054480670487</v>
      </c>
      <c r="BB19" s="7">
        <f>'2026_Fantasy_Starters'!AD24</f>
        <v>1.3593380000000001E-3</v>
      </c>
      <c r="BC19" s="7">
        <f>'2026_Fantasy_Starters'!AE24</f>
        <v>7.2502369999999997E-3</v>
      </c>
      <c r="BD19" s="7" t="str">
        <f>'2026_Fantasy_Starters'!AF24</f>
        <v>0.2677703612036192</v>
      </c>
      <c r="BE19" s="7">
        <f>'2026_Fantasy_Starters'!AG24</f>
        <v>7.5330807E-2</v>
      </c>
      <c r="BF19" s="7">
        <f>'2026_Fantasy_Starters'!AH24</f>
        <v>0</v>
      </c>
      <c r="BG19" s="7" t="e">
        <f>'2026_Fantasy_Starters'!#REF!</f>
        <v>#REF!</v>
      </c>
      <c r="BH19" s="7">
        <f>'2026_Fantasy_Starters'!D24</f>
        <v>29</v>
      </c>
    </row>
    <row r="20" spans="1:60" s="7" customFormat="1">
      <c r="A20" s="7" t="str">
        <f>'2026_Fantasy_Starters'!A19</f>
        <v xml:space="preserve">TOR </v>
      </c>
      <c r="B20" s="7" t="s">
        <v>68</v>
      </c>
      <c r="C20" s="7" t="str">
        <f>'2026_Fantasy_Starters'!C19</f>
        <v>SP</v>
      </c>
      <c r="D20" s="7" t="str">
        <f>'2026_Fantasy_Starters'!W19</f>
        <v>0.38017500000000004</v>
      </c>
      <c r="E20" s="7" t="str">
        <f>'2026_Fantasy_Starters'!X20</f>
        <v>0.32559176863181316</v>
      </c>
      <c r="F20" s="7" t="str">
        <f>'2026_Fantasy_Starters'!Y19</f>
        <v>0.5031249999999999</v>
      </c>
      <c r="G20" s="8">
        <f t="shared" si="39"/>
        <v>0.17237879296117264</v>
      </c>
      <c r="H20" s="8">
        <f t="shared" si="0"/>
        <v>0.38072579441107274</v>
      </c>
      <c r="I20" s="8">
        <f t="shared" si="1"/>
        <v>-0.42486080310296298</v>
      </c>
      <c r="J20" s="8" t="e">
        <f t="shared" si="2"/>
        <v>#REF!</v>
      </c>
      <c r="K20" s="8">
        <f t="shared" si="3"/>
        <v>-0.42522840532891459</v>
      </c>
      <c r="L20" s="8">
        <f t="shared" si="4"/>
        <v>0.41919516629326736</v>
      </c>
      <c r="M20" s="8" t="e">
        <f t="shared" si="5"/>
        <v>#REF!</v>
      </c>
      <c r="N20" s="8" t="e">
        <f t="shared" si="6"/>
        <v>#REF!</v>
      </c>
      <c r="P20" s="7">
        <f t="shared" si="7"/>
        <v>103.57283973277325</v>
      </c>
      <c r="Q20" s="7">
        <f t="shared" si="8"/>
        <v>93.310495769835114</v>
      </c>
      <c r="R20" s="7">
        <f t="shared" si="9"/>
        <v>107.31984984852417</v>
      </c>
      <c r="S20" s="7">
        <f t="shared" si="10"/>
        <v>88.255542904094085</v>
      </c>
      <c r="T20" s="7">
        <f t="shared" si="11"/>
        <v>11.538483942816029</v>
      </c>
      <c r="U20" s="7">
        <f t="shared" si="12"/>
        <v>107.17306970896369</v>
      </c>
      <c r="V20" s="7">
        <f t="shared" si="13"/>
        <v>62.665889207808448</v>
      </c>
      <c r="W20" s="7">
        <f t="shared" si="14"/>
        <v>60.666056281830215</v>
      </c>
      <c r="X20" s="7" t="e">
        <f t="shared" si="15"/>
        <v>#DIV/0!</v>
      </c>
      <c r="Y20" s="7" t="e">
        <f t="shared" si="16"/>
        <v>#REF!</v>
      </c>
      <c r="Z20" s="7">
        <f t="shared" si="17"/>
        <v>69.048786517537863</v>
      </c>
      <c r="AA20" s="7" t="e">
        <f t="shared" si="18"/>
        <v>#REF!</v>
      </c>
      <c r="AB20" s="7">
        <f t="shared" si="19"/>
        <v>82.690109879915539</v>
      </c>
      <c r="AC20" s="7">
        <f t="shared" si="20"/>
        <v>116.97912430475967</v>
      </c>
      <c r="AD20" s="7">
        <f t="shared" si="21"/>
        <v>82.709645471509646</v>
      </c>
      <c r="AE20" s="7" t="e">
        <f t="shared" si="22"/>
        <v>#REF!</v>
      </c>
      <c r="AG20" s="7">
        <f t="shared" si="23"/>
        <v>7.4960914382999996E-2</v>
      </c>
      <c r="AH20" s="7">
        <f t="shared" si="24"/>
        <v>3.8864494893764666E-2</v>
      </c>
      <c r="AI20" s="7">
        <f t="shared" si="25"/>
        <v>3.6117636265499999E-2</v>
      </c>
      <c r="AJ20" s="7">
        <f t="shared" si="26"/>
        <v>1.4725236142533828E-2</v>
      </c>
      <c r="AK20" s="7">
        <f t="shared" si="27"/>
        <v>1.015284112499998E-3</v>
      </c>
      <c r="AL20" s="7">
        <f t="shared" si="28"/>
        <v>3.8269377999999928E-3</v>
      </c>
      <c r="AM20" s="7">
        <f t="shared" si="29"/>
        <v>0.14187686663810042</v>
      </c>
      <c r="AN20" s="7">
        <f t="shared" si="30"/>
        <v>4.5169817874999914E-2</v>
      </c>
      <c r="AO20" s="7">
        <f t="shared" si="31"/>
        <v>0</v>
      </c>
      <c r="AP20" s="7" t="e">
        <f t="shared" si="32"/>
        <v>#REF!</v>
      </c>
      <c r="AQ20" s="7">
        <f t="shared" si="33"/>
        <v>15.093749999999972</v>
      </c>
      <c r="AR20" s="7" t="e">
        <f t="shared" si="34"/>
        <v>#REF!</v>
      </c>
      <c r="AS20" s="7">
        <f t="shared" si="35"/>
        <v>417.22108200350459</v>
      </c>
      <c r="AT20" s="7">
        <f t="shared" si="36"/>
        <v>0.10578412453340696</v>
      </c>
      <c r="AU20" s="7">
        <f t="shared" si="37"/>
        <v>46.403124070459938</v>
      </c>
      <c r="AV20" s="7" t="e">
        <f t="shared" si="38"/>
        <v>#REF!</v>
      </c>
      <c r="AX20" s="7">
        <f>'2026_Fantasy_Starters'!Z19</f>
        <v>0.19717476</v>
      </c>
      <c r="AY20" s="7" t="str">
        <f>'2026_Fantasy_Starters'!AA19</f>
        <v>0.10222790792073395</v>
      </c>
      <c r="AZ20" s="7">
        <f>'2026_Fantasy_Starters'!AB19</f>
        <v>9.5002660000000003E-2</v>
      </c>
      <c r="BA20" s="7" t="str">
        <f>'2026_Fantasy_Starters'!AC19</f>
        <v>0.029267550096961796</v>
      </c>
      <c r="BB20" s="7">
        <f>'2026_Fantasy_Starters'!AD19</f>
        <v>2.017956E-3</v>
      </c>
      <c r="BC20" s="7">
        <f>'2026_Fantasy_Starters'!AE19</f>
        <v>7.606336E-3</v>
      </c>
      <c r="BD20" s="7" t="str">
        <f>'2026_Fantasy_Starters'!AF19</f>
        <v>0.2819912877279023</v>
      </c>
      <c r="BE20" s="7">
        <f>'2026_Fantasy_Starters'!AG19</f>
        <v>8.9778520000000001E-2</v>
      </c>
      <c r="BF20" s="7">
        <f>'2026_Fantasy_Starters'!AH19</f>
        <v>0</v>
      </c>
      <c r="BG20" s="7" t="e">
        <f>'2026_Fantasy_Starters'!#REF!</f>
        <v>#REF!</v>
      </c>
      <c r="BH20" s="7">
        <f>'2026_Fantasy_Starters'!D19</f>
        <v>30</v>
      </c>
    </row>
    <row r="21" spans="1:60" s="7" customFormat="1">
      <c r="A21" s="7" t="str">
        <f>'2026_Fantasy_Starters'!A35</f>
        <v xml:space="preserve">ATL </v>
      </c>
      <c r="B21" s="7" t="s">
        <v>113</v>
      </c>
      <c r="C21" s="7" t="str">
        <f>'2026_Fantasy_Starters'!C35</f>
        <v>SP</v>
      </c>
      <c r="D21" s="7" t="str">
        <f>'2026_Fantasy_Starters'!W35</f>
        <v>0.4054183516483516</v>
      </c>
      <c r="E21" s="7" t="str">
        <f>'2026_Fantasy_Starters'!X21</f>
        <v>0.3105865384615385</v>
      </c>
      <c r="F21" s="7" t="str">
        <f>'2026_Fantasy_Starters'!Y35</f>
        <v>0.4922161172161172</v>
      </c>
      <c r="G21" s="8">
        <f t="shared" si="39"/>
        <v>0.77243104906613969</v>
      </c>
      <c r="H21" s="8">
        <f t="shared" si="0"/>
        <v>-0.3215684818919477</v>
      </c>
      <c r="I21" s="8">
        <f t="shared" si="1"/>
        <v>-0.10512170394229585</v>
      </c>
      <c r="J21" s="8" t="e">
        <f t="shared" si="2"/>
        <v>#REF!</v>
      </c>
      <c r="K21" s="8">
        <f t="shared" si="3"/>
        <v>-0.10488386089101792</v>
      </c>
      <c r="L21" s="8">
        <f t="shared" si="4"/>
        <v>1.298139744601422</v>
      </c>
      <c r="M21" s="8" t="e">
        <f t="shared" si="5"/>
        <v>#REF!</v>
      </c>
      <c r="N21" s="8" t="e">
        <f t="shared" si="6"/>
        <v>#REF!</v>
      </c>
      <c r="P21" s="7">
        <f t="shared" si="7"/>
        <v>116.00992961792487</v>
      </c>
      <c r="Q21" s="7">
        <f t="shared" si="8"/>
        <v>78.375374739804258</v>
      </c>
      <c r="R21" s="7">
        <f t="shared" si="9"/>
        <v>122.66769461324417</v>
      </c>
      <c r="S21" s="7">
        <f t="shared" si="10"/>
        <v>81.090037017363969</v>
      </c>
      <c r="T21" s="7">
        <f t="shared" si="11"/>
        <v>60.615579074843325</v>
      </c>
      <c r="U21" s="7">
        <f t="shared" si="12"/>
        <v>78.045591619421032</v>
      </c>
      <c r="V21" s="7">
        <f t="shared" si="13"/>
        <v>65.597219057629005</v>
      </c>
      <c r="W21" s="7">
        <f t="shared" si="14"/>
        <v>74.481645867788075</v>
      </c>
      <c r="X21" s="7" t="e">
        <f t="shared" si="15"/>
        <v>#DIV/0!</v>
      </c>
      <c r="Y21" s="7" t="e">
        <f t="shared" si="16"/>
        <v>#REF!</v>
      </c>
      <c r="Z21" s="7">
        <f t="shared" si="17"/>
        <v>88.969689840365163</v>
      </c>
      <c r="AA21" s="7" t="e">
        <f t="shared" si="18"/>
        <v>#REF!</v>
      </c>
      <c r="AB21" s="7">
        <f t="shared" si="19"/>
        <v>95.730463711638905</v>
      </c>
      <c r="AC21" s="7">
        <f t="shared" si="20"/>
        <v>85.65909821008583</v>
      </c>
      <c r="AD21" s="7">
        <f t="shared" si="21"/>
        <v>95.721912879402936</v>
      </c>
      <c r="AE21" s="7" t="e">
        <f t="shared" si="22"/>
        <v>#REF!</v>
      </c>
      <c r="AG21" s="7">
        <f t="shared" si="23"/>
        <v>8.3962266788321013E-2</v>
      </c>
      <c r="AH21" s="7">
        <f t="shared" si="24"/>
        <v>4.4305010708302298E-2</v>
      </c>
      <c r="AI21" s="7">
        <f t="shared" si="25"/>
        <v>4.1282830546464026E-2</v>
      </c>
      <c r="AJ21" s="7">
        <f t="shared" si="26"/>
        <v>1.5669477754198368E-2</v>
      </c>
      <c r="AK21" s="7">
        <f t="shared" si="27"/>
        <v>7.5089488324175794E-4</v>
      </c>
      <c r="AL21" s="7">
        <f t="shared" si="28"/>
        <v>5.0277643981656139E-3</v>
      </c>
      <c r="AM21" s="7">
        <f t="shared" si="29"/>
        <v>0.13884857387255015</v>
      </c>
      <c r="AN21" s="7">
        <f t="shared" si="30"/>
        <v>4.0691026499542107E-2</v>
      </c>
      <c r="AO21" s="7">
        <f t="shared" si="31"/>
        <v>0</v>
      </c>
      <c r="AP21" s="7" t="e">
        <f t="shared" si="32"/>
        <v>#REF!</v>
      </c>
      <c r="AQ21" s="7">
        <f t="shared" si="33"/>
        <v>12.797619047619042</v>
      </c>
      <c r="AR21" s="7" t="e">
        <f t="shared" si="34"/>
        <v>#REF!</v>
      </c>
      <c r="AS21" s="7">
        <f t="shared" si="35"/>
        <v>370.8421234194434</v>
      </c>
      <c r="AT21" s="7">
        <f t="shared" si="36"/>
        <v>0.14569169612962515</v>
      </c>
      <c r="AU21" s="7">
        <f t="shared" si="37"/>
        <v>41.2551316256097</v>
      </c>
      <c r="AV21" s="7" t="e">
        <f t="shared" si="38"/>
        <v>#REF!</v>
      </c>
      <c r="AX21" s="7" t="str">
        <f>'2026_Fantasy_Starters'!Z35</f>
        <v>0.20710031118953365</v>
      </c>
      <c r="AY21" s="7" t="str">
        <f>'2026_Fantasy_Starters'!AA35</f>
        <v>0.10928220325539569</v>
      </c>
      <c r="AZ21" s="7" t="str">
        <f>'2026_Fantasy_Starters'!AB35</f>
        <v>0.10182773024116068</v>
      </c>
      <c r="BA21" s="7" t="str">
        <f>'2026_Fantasy_Starters'!AC35</f>
        <v>0.031834548293180776</v>
      </c>
      <c r="BB21" s="7">
        <f>'2026_Fantasy_Starters'!AD35</f>
        <v>1.525539E-3</v>
      </c>
      <c r="BC21" s="7" t="str">
        <f>'2026_Fantasy_Starters'!AE35</f>
        <v>0.010214546461017418</v>
      </c>
      <c r="BD21" s="7" t="str">
        <f>'2026_Fantasy_Starters'!AF35</f>
        <v>0.28208863752339547</v>
      </c>
      <c r="BE21" s="7">
        <f>'2026_Fantasy_Starters'!AG35</f>
        <v>8.2669024999999993E-2</v>
      </c>
      <c r="BF21" s="7">
        <f>'2026_Fantasy_Starters'!AH35</f>
        <v>0</v>
      </c>
      <c r="BG21" s="7" t="e">
        <f>'2026_Fantasy_Starters'!#REF!</f>
        <v>#REF!</v>
      </c>
      <c r="BH21" s="7">
        <f>'2026_Fantasy_Starters'!D35</f>
        <v>26</v>
      </c>
    </row>
    <row r="22" spans="1:60" s="7" customFormat="1">
      <c r="A22" s="7" t="str">
        <f>'2026_Fantasy_Starters'!A29</f>
        <v xml:space="preserve">BOS </v>
      </c>
      <c r="B22" s="7" t="s">
        <v>96</v>
      </c>
      <c r="C22" s="7" t="str">
        <f>'2026_Fantasy_Starters'!C29</f>
        <v>SP</v>
      </c>
      <c r="D22" s="7" t="str">
        <f>'2026_Fantasy_Starters'!W29</f>
        <v>0.39539132104454683</v>
      </c>
      <c r="E22" s="7" t="str">
        <f>'2026_Fantasy_Starters'!X22</f>
        <v>0.34079187192118227</v>
      </c>
      <c r="F22" s="7" t="str">
        <f>'2026_Fantasy_Starters'!Y29</f>
        <v>0.5117127496159753</v>
      </c>
      <c r="G22" s="8">
        <f t="shared" si="39"/>
        <v>1.069095733668987</v>
      </c>
      <c r="H22" s="8">
        <f t="shared" si="0"/>
        <v>0.37062870194168374</v>
      </c>
      <c r="I22" s="8">
        <f t="shared" si="1"/>
        <v>-0.15688980640263889</v>
      </c>
      <c r="J22" s="8" t="e">
        <f t="shared" si="2"/>
        <v>#REF!</v>
      </c>
      <c r="K22" s="8">
        <f t="shared" si="3"/>
        <v>-0.15700523351096987</v>
      </c>
      <c r="L22" s="8">
        <f t="shared" si="4"/>
        <v>0.91176693601202363</v>
      </c>
      <c r="M22" s="8" t="e">
        <f t="shared" si="5"/>
        <v>#REF!</v>
      </c>
      <c r="N22" s="8" t="e">
        <f t="shared" si="6"/>
        <v>#REF!</v>
      </c>
      <c r="P22" s="7">
        <f t="shared" si="7"/>
        <v>122.15880300456261</v>
      </c>
      <c r="Q22" s="7">
        <f t="shared" si="8"/>
        <v>84.030011317518344</v>
      </c>
      <c r="R22" s="7">
        <f t="shared" si="9"/>
        <v>115.92097811497148</v>
      </c>
      <c r="S22" s="7">
        <f t="shared" si="10"/>
        <v>82.332267548556686</v>
      </c>
      <c r="T22" s="7">
        <f t="shared" si="11"/>
        <v>69.12187911253379</v>
      </c>
      <c r="U22" s="7">
        <f t="shared" si="12"/>
        <v>102.31249747047168</v>
      </c>
      <c r="V22" s="7">
        <f t="shared" si="13"/>
        <v>77.240760954236151</v>
      </c>
      <c r="W22" s="7">
        <f t="shared" si="14"/>
        <v>98.446527837984249</v>
      </c>
      <c r="X22" s="7" t="e">
        <f t="shared" si="15"/>
        <v>#DIV/0!</v>
      </c>
      <c r="Y22" s="7" t="e">
        <f t="shared" si="16"/>
        <v>#REF!</v>
      </c>
      <c r="Z22" s="7">
        <f t="shared" si="17"/>
        <v>75.692697012573916</v>
      </c>
      <c r="AA22" s="7" t="e">
        <f t="shared" si="18"/>
        <v>#REF!</v>
      </c>
      <c r="AB22" s="7">
        <f t="shared" si="19"/>
        <v>93.608744603383457</v>
      </c>
      <c r="AC22" s="7">
        <f t="shared" si="20"/>
        <v>116.52882702868568</v>
      </c>
      <c r="AD22" s="7">
        <f t="shared" si="21"/>
        <v>93.615131462361688</v>
      </c>
      <c r="AE22" s="7" t="e">
        <f t="shared" si="22"/>
        <v>#REF!</v>
      </c>
      <c r="AG22" s="7">
        <f t="shared" si="23"/>
        <v>8.8412518154189573E-2</v>
      </c>
      <c r="AH22" s="7">
        <f t="shared" si="24"/>
        <v>4.2245158654565518E-2</v>
      </c>
      <c r="AI22" s="7">
        <f t="shared" si="25"/>
        <v>3.901227712307595E-2</v>
      </c>
      <c r="AJ22" s="7">
        <f t="shared" si="26"/>
        <v>1.5505781599680577E-2</v>
      </c>
      <c r="AK22" s="7">
        <f t="shared" si="27"/>
        <v>7.0506955261136661E-4</v>
      </c>
      <c r="AL22" s="7">
        <f t="shared" si="28"/>
        <v>4.027322619047616E-3</v>
      </c>
      <c r="AM22" s="7">
        <f t="shared" si="29"/>
        <v>0.12681988536005284</v>
      </c>
      <c r="AN22" s="7">
        <f t="shared" si="30"/>
        <v>3.2921998184523786E-2</v>
      </c>
      <c r="AO22" s="7">
        <f t="shared" si="31"/>
        <v>0</v>
      </c>
      <c r="AP22" s="7" t="e">
        <f t="shared" si="32"/>
        <v>#REF!</v>
      </c>
      <c r="AQ22" s="7">
        <f t="shared" si="33"/>
        <v>14.327956989247301</v>
      </c>
      <c r="AR22" s="7" t="e">
        <f t="shared" si="34"/>
        <v>#REF!</v>
      </c>
      <c r="AS22" s="7">
        <f t="shared" si="35"/>
        <v>378.38817039935009</v>
      </c>
      <c r="AT22" s="7">
        <f t="shared" si="36"/>
        <v>0.10635788749037847</v>
      </c>
      <c r="AU22" s="7">
        <f t="shared" si="37"/>
        <v>42.088629314974753</v>
      </c>
      <c r="AV22" s="7" t="e">
        <f t="shared" si="38"/>
        <v>#REF!</v>
      </c>
      <c r="AX22" s="7" t="str">
        <f>'2026_Fantasy_Starters'!Z29</f>
        <v>0.22360763488844718</v>
      </c>
      <c r="AY22" s="7" t="str">
        <f>'2026_Fantasy_Starters'!AA29</f>
        <v>0.1068439199498927</v>
      </c>
      <c r="AZ22" s="7">
        <f>'2026_Fantasy_Starters'!AB29</f>
        <v>9.866751E-2</v>
      </c>
      <c r="BA22" s="7" t="str">
        <f>'2026_Fantasy_Starters'!AC29</f>
        <v>0.030301730045454674</v>
      </c>
      <c r="BB22" s="7">
        <f>'2026_Fantasy_Starters'!AD29</f>
        <v>1.3778620000000001E-3</v>
      </c>
      <c r="BC22" s="7">
        <f>'2026_Fantasy_Starters'!AE29</f>
        <v>7.8702800000000003E-3</v>
      </c>
      <c r="BD22" s="7" t="str">
        <f>'2026_Fantasy_Starters'!AF29</f>
        <v>0.24783413244095992</v>
      </c>
      <c r="BE22" s="7">
        <f>'2026_Fantasy_Starters'!AG29</f>
        <v>6.4336873000000003E-2</v>
      </c>
      <c r="BF22" s="7">
        <f>'2026_Fantasy_Starters'!AH29</f>
        <v>0</v>
      </c>
      <c r="BG22" s="7" t="e">
        <f>'2026_Fantasy_Starters'!#REF!</f>
        <v>#REF!</v>
      </c>
      <c r="BH22" s="7">
        <f>'2026_Fantasy_Starters'!D29</f>
        <v>28</v>
      </c>
    </row>
    <row r="23" spans="1:60" s="7" customFormat="1">
      <c r="A23" s="7" t="str">
        <f>'2026_Fantasy_Starters'!A22</f>
        <v xml:space="preserve">SD </v>
      </c>
      <c r="B23" s="7" t="s">
        <v>76</v>
      </c>
      <c r="C23" s="7" t="str">
        <f>'2026_Fantasy_Starters'!C22</f>
        <v>SP</v>
      </c>
      <c r="D23" s="7" t="str">
        <f>'2026_Fantasy_Starters'!W22</f>
        <v>0.3526847290640394</v>
      </c>
      <c r="E23" s="7" t="str">
        <f>'2026_Fantasy_Starters'!X23</f>
        <v>0.2787613636363636</v>
      </c>
      <c r="F23" s="7" t="str">
        <f>'2026_Fantasy_Starters'!Y22</f>
        <v>0.5139573070607554</v>
      </c>
      <c r="G23" s="8">
        <f t="shared" si="39"/>
        <v>0.15100809413539804</v>
      </c>
      <c r="H23" s="8">
        <f t="shared" si="0"/>
        <v>0.17733031436561036</v>
      </c>
      <c r="I23" s="8">
        <f t="shared" si="1"/>
        <v>-0.75353063691026223</v>
      </c>
      <c r="J23" s="8" t="e">
        <f t="shared" si="2"/>
        <v>#REF!</v>
      </c>
      <c r="K23" s="8">
        <f t="shared" si="3"/>
        <v>-0.75259652805263755</v>
      </c>
      <c r="L23" s="8">
        <f t="shared" si="4"/>
        <v>0.61490323906654343</v>
      </c>
      <c r="M23" s="8" t="e">
        <f t="shared" si="5"/>
        <v>#REF!</v>
      </c>
      <c r="N23" s="8" t="e">
        <f t="shared" si="6"/>
        <v>#REF!</v>
      </c>
      <c r="P23" s="7">
        <f t="shared" si="7"/>
        <v>103.12989613994361</v>
      </c>
      <c r="Q23" s="7">
        <f t="shared" si="8"/>
        <v>91.586863374941672</v>
      </c>
      <c r="R23" s="7">
        <f t="shared" si="9"/>
        <v>110.73724065365145</v>
      </c>
      <c r="S23" s="7">
        <f t="shared" si="10"/>
        <v>50.214773492572931</v>
      </c>
      <c r="T23" s="7">
        <f t="shared" si="11"/>
        <v>65.35323005810281</v>
      </c>
      <c r="U23" s="7">
        <f t="shared" si="12"/>
        <v>111.84111492777816</v>
      </c>
      <c r="V23" s="7">
        <f t="shared" si="13"/>
        <v>69.591264563863561</v>
      </c>
      <c r="W23" s="7">
        <f t="shared" si="14"/>
        <v>86.702565604697497</v>
      </c>
      <c r="X23" s="7" t="e">
        <f t="shared" si="15"/>
        <v>#DIV/0!</v>
      </c>
      <c r="Y23" s="7" t="e">
        <f t="shared" si="16"/>
        <v>#REF!</v>
      </c>
      <c r="Z23" s="7">
        <f t="shared" si="17"/>
        <v>75.147440161791238</v>
      </c>
      <c r="AA23" s="7" t="e">
        <f t="shared" si="18"/>
        <v>#REF!</v>
      </c>
      <c r="AB23" s="7">
        <f t="shared" si="19"/>
        <v>69.363845307390591</v>
      </c>
      <c r="AC23" s="7">
        <f t="shared" si="20"/>
        <v>107.90835161372044</v>
      </c>
      <c r="AD23" s="7">
        <f t="shared" si="21"/>
        <v>69.333928276974774</v>
      </c>
      <c r="AE23" s="7" t="e">
        <f t="shared" si="22"/>
        <v>#REF!</v>
      </c>
      <c r="AG23" s="7">
        <f t="shared" si="23"/>
        <v>7.4640333651369309E-2</v>
      </c>
      <c r="AH23" s="7">
        <f t="shared" si="24"/>
        <v>3.9492373923603892E-2</v>
      </c>
      <c r="AI23" s="7">
        <f t="shared" si="25"/>
        <v>3.7267731781388841E-2</v>
      </c>
      <c r="AJ23" s="7">
        <f t="shared" si="26"/>
        <v>1.9738096083743831E-2</v>
      </c>
      <c r="AK23" s="7">
        <f t="shared" si="27"/>
        <v>7.2537210344827551E-4</v>
      </c>
      <c r="AL23" s="7">
        <f t="shared" si="28"/>
        <v>3.634490213464694E-3</v>
      </c>
      <c r="AM23" s="7">
        <f t="shared" si="29"/>
        <v>0.13472241280181663</v>
      </c>
      <c r="AN23" s="7">
        <f t="shared" si="30"/>
        <v>3.6729201376026248E-2</v>
      </c>
      <c r="AO23" s="7">
        <f t="shared" si="31"/>
        <v>0</v>
      </c>
      <c r="AP23" s="7" t="e">
        <f t="shared" si="32"/>
        <v>#REF!</v>
      </c>
      <c r="AQ23" s="7">
        <f t="shared" si="33"/>
        <v>14.390804597701141</v>
      </c>
      <c r="AR23" s="7" t="e">
        <f t="shared" si="34"/>
        <v>#REF!</v>
      </c>
      <c r="AS23" s="7">
        <f t="shared" si="35"/>
        <v>464.61690275077774</v>
      </c>
      <c r="AT23" s="7">
        <f t="shared" si="36"/>
        <v>0.11734198561265517</v>
      </c>
      <c r="AU23" s="7">
        <f t="shared" si="37"/>
        <v>51.694906732423171</v>
      </c>
      <c r="AV23" s="7" t="e">
        <f t="shared" si="38"/>
        <v>#REF!</v>
      </c>
      <c r="AX23" s="7" t="str">
        <f>'2026_Fantasy_Starters'!Z22</f>
        <v>0.2116347193411276</v>
      </c>
      <c r="AY23" s="7" t="str">
        <f>'2026_Fantasy_Starters'!AA22</f>
        <v>0.1119764216284882</v>
      </c>
      <c r="AZ23" s="7" t="str">
        <f>'2026_Fantasy_Starters'!AB22</f>
        <v>0.10566868568506149</v>
      </c>
      <c r="BA23" s="7">
        <f>'2026_Fantasy_Starters'!AC22</f>
        <v>3.8404155000000002E-2</v>
      </c>
      <c r="BB23" s="7">
        <f>'2026_Fantasy_Starters'!AD22</f>
        <v>1.4113470000000001E-3</v>
      </c>
      <c r="BC23" s="7">
        <f>'2026_Fantasy_Starters'!AE22</f>
        <v>7.0715800000000001E-3</v>
      </c>
      <c r="BD23" s="7" t="str">
        <f>'2026_Fantasy_Starters'!AF22</f>
        <v>0.2621276338540141</v>
      </c>
      <c r="BE23" s="7">
        <f>'2026_Fantasy_Starters'!AG22</f>
        <v>7.1463525999999999E-2</v>
      </c>
      <c r="BF23" s="7">
        <f>'2026_Fantasy_Starters'!AH22</f>
        <v>0</v>
      </c>
      <c r="BG23" s="7" t="e">
        <f>'2026_Fantasy_Starters'!#REF!</f>
        <v>#REF!</v>
      </c>
      <c r="BH23" s="7">
        <f>'2026_Fantasy_Starters'!D22</f>
        <v>28</v>
      </c>
    </row>
    <row r="24" spans="1:60" s="7" customFormat="1">
      <c r="A24" s="7" t="str">
        <f>'2026_Fantasy_Starters'!A37</f>
        <v xml:space="preserve">CIN </v>
      </c>
      <c r="B24" s="7" t="s">
        <v>117</v>
      </c>
      <c r="C24" s="7" t="str">
        <f>'2026_Fantasy_Starters'!C37</f>
        <v>SP,RP</v>
      </c>
      <c r="D24" s="7" t="str">
        <f>'2026_Fantasy_Starters'!W37</f>
        <v>0.2641308861698183</v>
      </c>
      <c r="E24" s="7" t="str">
        <f>'2026_Fantasy_Starters'!X24</f>
        <v>0.31410901001112346</v>
      </c>
      <c r="F24" s="7" t="str">
        <f>'2026_Fantasy_Starters'!Y37</f>
        <v>0.3146088246199481</v>
      </c>
      <c r="G24" s="8">
        <f t="shared" si="39"/>
        <v>-1.1441107370286769</v>
      </c>
      <c r="H24" s="8">
        <f t="shared" si="0"/>
        <v>0.97283947959788686</v>
      </c>
      <c r="I24" s="8">
        <f t="shared" si="1"/>
        <v>0.65109913827247934</v>
      </c>
      <c r="J24" s="8" t="e">
        <f t="shared" si="2"/>
        <v>#REF!</v>
      </c>
      <c r="K24" s="8">
        <f t="shared" si="3"/>
        <v>0.65093914126854258</v>
      </c>
      <c r="L24" s="8">
        <f t="shared" si="4"/>
        <v>-1.2223142327645236</v>
      </c>
      <c r="M24" s="8" t="e">
        <f t="shared" si="5"/>
        <v>#REF!</v>
      </c>
      <c r="N24" s="8" t="e">
        <f t="shared" si="6"/>
        <v>#REF!</v>
      </c>
      <c r="P24" s="7">
        <f t="shared" si="7"/>
        <v>76.286385176921044</v>
      </c>
      <c r="Q24" s="7">
        <f t="shared" si="8"/>
        <v>127.45717647243642</v>
      </c>
      <c r="R24" s="7">
        <f t="shared" si="9"/>
        <v>78.656345848008016</v>
      </c>
      <c r="S24" s="7">
        <f t="shared" si="10"/>
        <v>120.44653077846787</v>
      </c>
      <c r="T24" s="7">
        <f t="shared" si="11"/>
        <v>90.455009534166038</v>
      </c>
      <c r="U24" s="7">
        <f t="shared" si="12"/>
        <v>138.93087959882902</v>
      </c>
      <c r="V24" s="7">
        <f t="shared" si="13"/>
        <v>114.13750493889873</v>
      </c>
      <c r="W24" s="7">
        <f t="shared" si="14"/>
        <v>127.1907215118292</v>
      </c>
      <c r="X24" s="7" t="e">
        <f t="shared" si="15"/>
        <v>#DIV/0!</v>
      </c>
      <c r="Y24" s="7" t="e">
        <f t="shared" si="16"/>
        <v>#REF!</v>
      </c>
      <c r="Z24" s="7">
        <f t="shared" si="17"/>
        <v>120.8444678537853</v>
      </c>
      <c r="AA24" s="7" t="e">
        <f t="shared" si="18"/>
        <v>#REF!</v>
      </c>
      <c r="AB24" s="7">
        <f t="shared" si="19"/>
        <v>126.49795937669103</v>
      </c>
      <c r="AC24" s="7">
        <f t="shared" si="20"/>
        <v>143.38545665974934</v>
      </c>
      <c r="AD24" s="7">
        <f t="shared" si="21"/>
        <v>126.49746658600894</v>
      </c>
      <c r="AE24" s="7" t="e">
        <f t="shared" si="22"/>
        <v>#REF!</v>
      </c>
      <c r="AG24" s="7">
        <f t="shared" si="23"/>
        <v>5.5212324028094124E-2</v>
      </c>
      <c r="AH24" s="7">
        <f t="shared" si="24"/>
        <v>2.6425656533973652E-2</v>
      </c>
      <c r="AI24" s="7">
        <f t="shared" si="25"/>
        <v>2.6471163473686055E-2</v>
      </c>
      <c r="AJ24" s="7">
        <f t="shared" si="26"/>
        <v>1.0483236938002688E-2</v>
      </c>
      <c r="AK24" s="7">
        <f t="shared" si="27"/>
        <v>5.9014323322209843E-4</v>
      </c>
      <c r="AL24" s="7">
        <f t="shared" si="28"/>
        <v>2.5176715910270662E-3</v>
      </c>
      <c r="AM24" s="7">
        <f t="shared" si="29"/>
        <v>8.8702666007220765E-2</v>
      </c>
      <c r="AN24" s="7">
        <f t="shared" si="30"/>
        <v>2.3603594078791239E-2</v>
      </c>
      <c r="AO24" s="7">
        <f t="shared" si="31"/>
        <v>0</v>
      </c>
      <c r="AP24" s="7" t="e">
        <f t="shared" si="32"/>
        <v>#REF!</v>
      </c>
      <c r="AQ24" s="7">
        <f t="shared" si="33"/>
        <v>9.1236559139784923</v>
      </c>
      <c r="AR24" s="7" t="e">
        <f t="shared" si="34"/>
        <v>#REF!</v>
      </c>
      <c r="AS24" s="7">
        <f t="shared" si="35"/>
        <v>261.41530681625056</v>
      </c>
      <c r="AT24" s="7">
        <f t="shared" si="36"/>
        <v>7.2137517858660627E-2</v>
      </c>
      <c r="AU24" s="7">
        <f t="shared" si="37"/>
        <v>29.07951972021765</v>
      </c>
      <c r="AV24" s="7" t="e">
        <f t="shared" si="38"/>
        <v>#REF!</v>
      </c>
      <c r="AX24" s="7" t="str">
        <f>'2026_Fantasy_Starters'!Z37</f>
        <v>0.20903395596301627</v>
      </c>
      <c r="AY24" s="7" t="str">
        <f>'2026_Fantasy_Starters'!AA37</f>
        <v>0.10004758215585523</v>
      </c>
      <c r="AZ24" s="7" t="str">
        <f>'2026_Fantasy_Starters'!AB37</f>
        <v>0.10021987150971462</v>
      </c>
      <c r="BA24" s="7" t="str">
        <f>'2026_Fantasy_Starters'!AC37</f>
        <v>0.033321496784670994</v>
      </c>
      <c r="BB24" s="7">
        <f>'2026_Fantasy_Starters'!AD37</f>
        <v>1.8758E-3</v>
      </c>
      <c r="BC24" s="7">
        <f>'2026_Fantasy_Starters'!AE37</f>
        <v>8.0025459999999993E-3</v>
      </c>
      <c r="BD24" s="7" t="str">
        <f>'2026_Fantasy_Starters'!AF37</f>
        <v>0.28194589301293477</v>
      </c>
      <c r="BE24" s="7">
        <f>'2026_Fantasy_Starters'!AG37</f>
        <v>7.5025212999999993E-2</v>
      </c>
      <c r="BF24" s="7">
        <f>'2026_Fantasy_Starters'!AH37</f>
        <v>0</v>
      </c>
      <c r="BG24" s="7" t="e">
        <f>'2026_Fantasy_Starters'!#REF!</f>
        <v>#REF!</v>
      </c>
      <c r="BH24" s="7">
        <f>'2026_Fantasy_Starters'!D37</f>
        <v>29</v>
      </c>
    </row>
    <row r="25" spans="1:60" s="7" customFormat="1">
      <c r="A25" s="7" t="str">
        <f>'2026_Fantasy_Starters'!A38</f>
        <v xml:space="preserve">MIL </v>
      </c>
      <c r="B25" s="7" t="s">
        <v>120</v>
      </c>
      <c r="C25" s="7" t="str">
        <f>'2026_Fantasy_Starters'!C38</f>
        <v>SP</v>
      </c>
      <c r="D25" s="7" t="str">
        <f>'2026_Fantasy_Starters'!W38</f>
        <v>0.3553585714285714</v>
      </c>
      <c r="E25" s="7" t="str">
        <f>'2026_Fantasy_Starters'!X25</f>
        <v>0.2454409937888198</v>
      </c>
      <c r="F25" s="7" t="str">
        <f>'2026_Fantasy_Starters'!Y38</f>
        <v>0.4878571428571428</v>
      </c>
      <c r="G25" s="8">
        <f t="shared" si="39"/>
        <v>0.15717474853061753</v>
      </c>
      <c r="H25" s="8">
        <f t="shared" si="0"/>
        <v>-0.8081822835639535</v>
      </c>
      <c r="I25" s="8">
        <f t="shared" si="1"/>
        <v>-0.63340927784402556</v>
      </c>
      <c r="J25" s="8" t="e">
        <f t="shared" si="2"/>
        <v>#REF!</v>
      </c>
      <c r="K25" s="8">
        <f t="shared" si="3"/>
        <v>-0.63248306723848635</v>
      </c>
      <c r="L25" s="8">
        <f t="shared" si="4"/>
        <v>0.30961658967331057</v>
      </c>
      <c r="M25" s="8" t="e">
        <f t="shared" si="5"/>
        <v>#REF!</v>
      </c>
      <c r="N25" s="8" t="e">
        <f t="shared" si="6"/>
        <v>#REF!</v>
      </c>
      <c r="P25" s="7">
        <f t="shared" si="7"/>
        <v>103.25771039982466</v>
      </c>
      <c r="Q25" s="7">
        <f t="shared" si="8"/>
        <v>91.37975216538149</v>
      </c>
      <c r="R25" s="7">
        <f t="shared" si="9"/>
        <v>105.40642433227684</v>
      </c>
      <c r="S25" s="7">
        <f t="shared" si="10"/>
        <v>71.514096214292167</v>
      </c>
      <c r="T25" s="7">
        <f t="shared" si="11"/>
        <v>200</v>
      </c>
      <c r="U25" s="7">
        <f t="shared" si="12"/>
        <v>85.334101205788812</v>
      </c>
      <c r="V25" s="7">
        <f t="shared" si="13"/>
        <v>77.740322238430466</v>
      </c>
      <c r="W25" s="7">
        <f t="shared" si="14"/>
        <v>99.934502884588809</v>
      </c>
      <c r="X25" s="7" t="e">
        <f t="shared" si="15"/>
        <v>#DIV/0!</v>
      </c>
      <c r="Y25" s="7" t="e">
        <f t="shared" si="16"/>
        <v>#REF!</v>
      </c>
      <c r="Z25" s="7">
        <f t="shared" si="17"/>
        <v>94.185532317631882</v>
      </c>
      <c r="AA25" s="7" t="e">
        <f t="shared" si="18"/>
        <v>#REF!</v>
      </c>
      <c r="AB25" s="7">
        <f t="shared" si="19"/>
        <v>74.253337125388526</v>
      </c>
      <c r="AC25" s="7">
        <f t="shared" si="20"/>
        <v>63.95771535584241</v>
      </c>
      <c r="AD25" s="7">
        <f t="shared" si="21"/>
        <v>74.222449104338509</v>
      </c>
      <c r="AE25" s="7" t="e">
        <f t="shared" si="22"/>
        <v>#REF!</v>
      </c>
      <c r="AG25" s="7">
        <f t="shared" si="23"/>
        <v>7.4732839310348922E-2</v>
      </c>
      <c r="AH25" s="7">
        <f t="shared" si="24"/>
        <v>3.9567819700622668E-2</v>
      </c>
      <c r="AI25" s="7">
        <f t="shared" si="25"/>
        <v>3.5473688226861387E-2</v>
      </c>
      <c r="AJ25" s="7">
        <f t="shared" si="26"/>
        <v>1.6931356806428544E-2</v>
      </c>
      <c r="AK25" s="7">
        <f t="shared" si="27"/>
        <v>0</v>
      </c>
      <c r="AL25" s="7">
        <f t="shared" si="28"/>
        <v>4.727284001428563E-3</v>
      </c>
      <c r="AM25" s="7">
        <f t="shared" si="29"/>
        <v>0.12630379952175413</v>
      </c>
      <c r="AN25" s="7">
        <f t="shared" si="30"/>
        <v>3.2439620667142802E-2</v>
      </c>
      <c r="AO25" s="7">
        <f t="shared" si="31"/>
        <v>0</v>
      </c>
      <c r="AP25" s="7" t="e">
        <f t="shared" si="32"/>
        <v>#REF!</v>
      </c>
      <c r="AQ25" s="7">
        <f t="shared" si="33"/>
        <v>12.19642857142855</v>
      </c>
      <c r="AR25" s="7" t="e">
        <f t="shared" si="34"/>
        <v>#REF!</v>
      </c>
      <c r="AS25" s="7">
        <f t="shared" si="35"/>
        <v>447.22707257819695</v>
      </c>
      <c r="AT25" s="7">
        <f t="shared" si="36"/>
        <v>0.17334331708852141</v>
      </c>
      <c r="AU25" s="7">
        <f t="shared" si="37"/>
        <v>49.760880363544857</v>
      </c>
      <c r="AV25" s="7" t="e">
        <f t="shared" si="38"/>
        <v>#REF!</v>
      </c>
      <c r="AX25" s="7" t="str">
        <f>'2026_Fantasy_Starters'!Z38</f>
        <v>0.2103026219683316</v>
      </c>
      <c r="AY25" s="7" t="str">
        <f>'2026_Fantasy_Starters'!AA38</f>
        <v>0.1113461806804232</v>
      </c>
      <c r="AZ25" s="7">
        <f>'2026_Fantasy_Starters'!AB38</f>
        <v>9.9825052999999997E-2</v>
      </c>
      <c r="BA25" s="7">
        <f>'2026_Fantasy_Starters'!AC38</f>
        <v>3.4705563000000002E-2</v>
      </c>
      <c r="BB25" s="7">
        <f>'2026_Fantasy_Starters'!AD38</f>
        <v>0</v>
      </c>
      <c r="BC25" s="7">
        <f>'2026_Fantasy_Starters'!AE38</f>
        <v>9.6898939999999992E-3</v>
      </c>
      <c r="BD25" s="7" t="str">
        <f>'2026_Fantasy_Starters'!AF38</f>
        <v>0.25889505026421167</v>
      </c>
      <c r="BE25" s="7">
        <f>'2026_Fantasy_Starters'!AG38</f>
        <v>6.6494098000000001E-2</v>
      </c>
      <c r="BF25" s="7">
        <f>'2026_Fantasy_Starters'!AH38</f>
        <v>0</v>
      </c>
      <c r="BG25" s="7" t="e">
        <f>'2026_Fantasy_Starters'!#REF!</f>
        <v>#REF!</v>
      </c>
      <c r="BH25" s="7">
        <f>'2026_Fantasy_Starters'!D38</f>
        <v>25</v>
      </c>
    </row>
    <row r="26" spans="1:60" s="7" customFormat="1">
      <c r="A26" s="7" t="str">
        <f>'2026_Fantasy_Starters'!A12</f>
        <v xml:space="preserve">NYY </v>
      </c>
      <c r="B26" s="7" t="s">
        <v>47</v>
      </c>
      <c r="C26" s="7" t="str">
        <f>'2026_Fantasy_Starters'!C12</f>
        <v>SP</v>
      </c>
      <c r="D26" s="7">
        <f>'2026_Fantasy_Starters'!W12</f>
        <v>0.443528166</v>
      </c>
      <c r="E26" s="7" t="str">
        <f>'2026_Fantasy_Starters'!X26</f>
        <v>0.3073846153846154</v>
      </c>
      <c r="F26" s="7" t="str">
        <f>'2026_Fantasy_Starters'!Y12</f>
        <v>0.5704486466444197</v>
      </c>
      <c r="G26" s="8">
        <f t="shared" si="39"/>
        <v>1.5111679692026523</v>
      </c>
      <c r="H26" s="8">
        <f t="shared" si="0"/>
        <v>-0.47156688930716367</v>
      </c>
      <c r="I26" s="8">
        <f t="shared" si="1"/>
        <v>-0.88802754585742905</v>
      </c>
      <c r="J26" s="8" t="e">
        <f t="shared" si="2"/>
        <v>#REF!</v>
      </c>
      <c r="K26" s="8">
        <f t="shared" si="3"/>
        <v>-0.88901559547625597</v>
      </c>
      <c r="L26" s="8">
        <f t="shared" si="4"/>
        <v>1.0537446377576793</v>
      </c>
      <c r="M26" s="8" t="e">
        <f t="shared" si="5"/>
        <v>#REF!</v>
      </c>
      <c r="N26" s="8" t="e">
        <f t="shared" si="6"/>
        <v>#REF!</v>
      </c>
      <c r="P26" s="7">
        <f t="shared" si="7"/>
        <v>131.32149187561376</v>
      </c>
      <c r="Q26" s="7">
        <f t="shared" si="8"/>
        <v>81.064519150074389</v>
      </c>
      <c r="R26" s="7">
        <f t="shared" si="9"/>
        <v>118.40014663164679</v>
      </c>
      <c r="S26" s="7">
        <f t="shared" si="10"/>
        <v>102.53203782830603</v>
      </c>
      <c r="T26" s="7">
        <f t="shared" si="11"/>
        <v>61.638719330835059</v>
      </c>
      <c r="U26" s="7">
        <f t="shared" si="12"/>
        <v>72.241547695686222</v>
      </c>
      <c r="V26" s="7">
        <f t="shared" si="13"/>
        <v>75.76138622694674</v>
      </c>
      <c r="W26" s="7">
        <f t="shared" si="14"/>
        <v>70.670207803726015</v>
      </c>
      <c r="X26" s="7" t="e">
        <f t="shared" si="15"/>
        <v>#DIV/0!</v>
      </c>
      <c r="Y26" s="7" t="e">
        <f t="shared" si="16"/>
        <v>#REF!</v>
      </c>
      <c r="Z26" s="7">
        <f t="shared" si="17"/>
        <v>56.47520777024021</v>
      </c>
      <c r="AA26" s="7" t="e">
        <f t="shared" si="18"/>
        <v>#REF!</v>
      </c>
      <c r="AB26" s="7">
        <f t="shared" si="19"/>
        <v>63.810596658442286</v>
      </c>
      <c r="AC26" s="7">
        <f t="shared" si="20"/>
        <v>78.969660188271391</v>
      </c>
      <c r="AD26" s="7">
        <f t="shared" si="21"/>
        <v>63.860372651936281</v>
      </c>
      <c r="AE26" s="7" t="e">
        <f t="shared" si="22"/>
        <v>#REF!</v>
      </c>
      <c r="AG26" s="7">
        <f t="shared" si="23"/>
        <v>9.5044020561124112E-2</v>
      </c>
      <c r="AH26" s="7">
        <f t="shared" si="24"/>
        <v>4.3325418198657942E-2</v>
      </c>
      <c r="AI26" s="7">
        <f t="shared" si="25"/>
        <v>3.9846621439179088E-2</v>
      </c>
      <c r="AJ26" s="7">
        <f t="shared" si="26"/>
        <v>1.2843936930830836E-2</v>
      </c>
      <c r="AK26" s="7">
        <f t="shared" si="27"/>
        <v>7.453829990730431E-4</v>
      </c>
      <c r="AL26" s="7">
        <f t="shared" si="28"/>
        <v>5.2670453375973239E-3</v>
      </c>
      <c r="AM26" s="7">
        <f t="shared" si="29"/>
        <v>0.12834819503986</v>
      </c>
      <c r="AN26" s="7">
        <f t="shared" si="30"/>
        <v>4.1926633262699242E-2</v>
      </c>
      <c r="AO26" s="7">
        <f t="shared" si="31"/>
        <v>0</v>
      </c>
      <c r="AP26" s="7" t="e">
        <f t="shared" si="32"/>
        <v>#REF!</v>
      </c>
      <c r="AQ26" s="7">
        <f t="shared" si="33"/>
        <v>16.543010752688151</v>
      </c>
      <c r="AR26" s="7" t="e">
        <f t="shared" si="34"/>
        <v>#REF!</v>
      </c>
      <c r="AS26" s="7">
        <f t="shared" si="35"/>
        <v>484.36743194807713</v>
      </c>
      <c r="AT26" s="7">
        <f t="shared" si="36"/>
        <v>0.15421529141613807</v>
      </c>
      <c r="AU26" s="7">
        <f t="shared" si="37"/>
        <v>53.860388129391154</v>
      </c>
      <c r="AV26" s="7" t="e">
        <f t="shared" si="38"/>
        <v>#REF!</v>
      </c>
      <c r="AX26" s="7" t="str">
        <f>'2026_Fantasy_Starters'!Z12</f>
        <v>0.2142908339244556</v>
      </c>
      <c r="AY26" s="7">
        <f>'2026_Fantasy_Starters'!AA12</f>
        <v>9.7683577999999993E-2</v>
      </c>
      <c r="AZ26" s="7">
        <f>'2026_Fantasy_Starters'!AB12</f>
        <v>8.9840114999999998E-2</v>
      </c>
      <c r="BA26" s="7" t="str">
        <f>'2026_Fantasy_Starters'!AC12</f>
        <v>0.022515500749074338</v>
      </c>
      <c r="BB26" s="7">
        <f>'2026_Fantasy_Starters'!AD12</f>
        <v>1.306661E-3</v>
      </c>
      <c r="BC26" s="7">
        <f>'2026_Fantasy_Starters'!AE12</f>
        <v>9.2331630000000008E-3</v>
      </c>
      <c r="BD26" s="7" t="str">
        <f>'2026_Fantasy_Starters'!AF12</f>
        <v>0.2249951784351669</v>
      </c>
      <c r="BE26" s="7">
        <f>'2026_Fantasy_Starters'!AG12</f>
        <v>7.3497646999999999E-2</v>
      </c>
      <c r="BF26" s="7">
        <f>'2026_Fantasy_Starters'!AH12</f>
        <v>0</v>
      </c>
      <c r="BG26" s="7" t="e">
        <f>'2026_Fantasy_Starters'!#REF!</f>
        <v>#REF!</v>
      </c>
      <c r="BH26" s="7">
        <f>'2026_Fantasy_Starters'!D12</f>
        <v>29</v>
      </c>
    </row>
    <row r="27" spans="1:60" s="7" customFormat="1">
      <c r="A27" s="7" t="str">
        <f>'2026_Fantasy_Starters'!A23</f>
        <v xml:space="preserve">LAD </v>
      </c>
      <c r="B27" s="7" t="s">
        <v>80</v>
      </c>
      <c r="C27" s="7" t="str">
        <f>'2026_Fantasy_Starters'!C23</f>
        <v>SP</v>
      </c>
      <c r="D27" s="7" t="str">
        <f>'2026_Fantasy_Starters'!W23</f>
        <v>0.4169707792207792</v>
      </c>
      <c r="E27" s="7" t="str">
        <f>'2026_Fantasy_Starters'!X27</f>
        <v>0.3370745272525028</v>
      </c>
      <c r="F27" s="7" t="str">
        <f>'2026_Fantasy_Starters'!Y23</f>
        <v>0.5334595959595959</v>
      </c>
      <c r="G27" s="8">
        <f t="shared" si="39"/>
        <v>0.56194610820261004</v>
      </c>
      <c r="H27" s="8">
        <f t="shared" si="0"/>
        <v>0.75721625452518104</v>
      </c>
      <c r="I27" s="8">
        <f t="shared" si="1"/>
        <v>0.29207542635363515</v>
      </c>
      <c r="J27" s="8" t="e">
        <f t="shared" si="2"/>
        <v>#REF!</v>
      </c>
      <c r="K27" s="8">
        <f t="shared" si="3"/>
        <v>0.29216526691509775</v>
      </c>
      <c r="L27" s="8">
        <f t="shared" si="4"/>
        <v>0.98077377397551713</v>
      </c>
      <c r="M27" s="8" t="e">
        <f t="shared" si="5"/>
        <v>#REF!</v>
      </c>
      <c r="N27" s="8" t="e">
        <f t="shared" si="6"/>
        <v>#REF!</v>
      </c>
      <c r="P27" s="7">
        <f t="shared" si="7"/>
        <v>111.64727602841381</v>
      </c>
      <c r="Q27" s="7">
        <f t="shared" si="8"/>
        <v>85.902411856460972</v>
      </c>
      <c r="R27" s="7">
        <f t="shared" si="9"/>
        <v>117.12595310760015</v>
      </c>
      <c r="S27" s="7">
        <f t="shared" si="10"/>
        <v>91.383682719564391</v>
      </c>
      <c r="T27" s="7">
        <f t="shared" si="11"/>
        <v>24.89800459222586</v>
      </c>
      <c r="U27" s="7">
        <f t="shared" si="12"/>
        <v>123.33482966377599</v>
      </c>
      <c r="V27" s="7">
        <f t="shared" si="13"/>
        <v>47.932358471082082</v>
      </c>
      <c r="W27" s="7">
        <f t="shared" si="14"/>
        <v>35.283496162581486</v>
      </c>
      <c r="X27" s="7" t="e">
        <f t="shared" si="15"/>
        <v>#DIV/0!</v>
      </c>
      <c r="Y27" s="7" t="e">
        <f t="shared" si="16"/>
        <v>#REF!</v>
      </c>
      <c r="Z27" s="7">
        <f t="shared" si="17"/>
        <v>98.179180683063692</v>
      </c>
      <c r="AA27" s="7" t="e">
        <f t="shared" si="18"/>
        <v>#REF!</v>
      </c>
      <c r="AB27" s="7">
        <f t="shared" si="19"/>
        <v>111.89325220005864</v>
      </c>
      <c r="AC27" s="7">
        <f t="shared" si="20"/>
        <v>133.76936656224012</v>
      </c>
      <c r="AD27" s="7">
        <f t="shared" si="21"/>
        <v>111.88645230115623</v>
      </c>
      <c r="AE27" s="7" t="e">
        <f t="shared" si="22"/>
        <v>#REF!</v>
      </c>
      <c r="AG27" s="7">
        <f t="shared" si="23"/>
        <v>8.0804793235893679E-2</v>
      </c>
      <c r="AH27" s="7">
        <f t="shared" si="24"/>
        <v>4.1563086863999982E-2</v>
      </c>
      <c r="AI27" s="7">
        <f t="shared" si="25"/>
        <v>3.9417801809834396E-2</v>
      </c>
      <c r="AJ27" s="7">
        <f t="shared" si="26"/>
        <v>1.4313022430401971E-2</v>
      </c>
      <c r="AK27" s="7">
        <f t="shared" si="27"/>
        <v>9.4331340277777607E-4</v>
      </c>
      <c r="AL27" s="7">
        <f t="shared" si="28"/>
        <v>3.1606435479797921E-3</v>
      </c>
      <c r="AM27" s="7">
        <f t="shared" si="29"/>
        <v>0.15709775504947193</v>
      </c>
      <c r="AN27" s="7">
        <f t="shared" si="30"/>
        <v>5.3398434586709259E-2</v>
      </c>
      <c r="AO27" s="7">
        <f t="shared" si="31"/>
        <v>0</v>
      </c>
      <c r="AP27" s="7" t="e">
        <f t="shared" si="32"/>
        <v>#REF!</v>
      </c>
      <c r="AQ27" s="7">
        <f t="shared" si="33"/>
        <v>11.736111111111091</v>
      </c>
      <c r="AR27" s="7" t="e">
        <f t="shared" si="34"/>
        <v>#REF!</v>
      </c>
      <c r="AS27" s="7">
        <f t="shared" si="35"/>
        <v>313.35800085800105</v>
      </c>
      <c r="AT27" s="7">
        <f t="shared" si="36"/>
        <v>8.4390215314340364E-2</v>
      </c>
      <c r="AU27" s="7">
        <f t="shared" si="37"/>
        <v>34.86001813699577</v>
      </c>
      <c r="AV27" s="7" t="e">
        <f t="shared" si="38"/>
        <v>#REF!</v>
      </c>
      <c r="AX27" s="7" t="str">
        <f>'2026_Fantasy_Starters'!Z23</f>
        <v>0.19379006218828887</v>
      </c>
      <c r="AY27" s="7">
        <f>'2026_Fantasy_Starters'!AA23</f>
        <v>9.9678656000000004E-2</v>
      </c>
      <c r="AZ27" s="7">
        <f>'2026_Fantasy_Starters'!AB23</f>
        <v>9.4533726999999998E-2</v>
      </c>
      <c r="BA27" s="7" t="str">
        <f>'2026_Fantasy_Starters'!AC23</f>
        <v>0.026830565123972548</v>
      </c>
      <c r="BB27" s="7">
        <f>'2026_Fantasy_Starters'!AD23</f>
        <v>1.7682939999999999E-3</v>
      </c>
      <c r="BC27" s="7">
        <f>'2026_Fantasy_Starters'!AE23</f>
        <v>5.9248039999999997E-3</v>
      </c>
      <c r="BD27" s="7" t="str">
        <f>'2026_Fantasy_Starters'!AF23</f>
        <v>0.2944885727791291</v>
      </c>
      <c r="BE27" s="7" t="str">
        <f>'2026_Fantasy_Starters'!AG23</f>
        <v>0.10009836731993856</v>
      </c>
      <c r="BF27" s="7">
        <f>'2026_Fantasy_Starters'!AH23</f>
        <v>0</v>
      </c>
      <c r="BG27" s="7" t="e">
        <f>'2026_Fantasy_Starters'!#REF!</f>
        <v>#REF!</v>
      </c>
      <c r="BH27" s="7">
        <f>'2026_Fantasy_Starters'!D23</f>
        <v>22</v>
      </c>
    </row>
    <row r="28" spans="1:60" s="7" customFormat="1">
      <c r="A28" s="7" t="str">
        <f>'2026_Fantasy_Starters'!A83</f>
        <v xml:space="preserve">TOR </v>
      </c>
      <c r="B28" s="7" t="s">
        <v>220</v>
      </c>
      <c r="C28" s="7" t="str">
        <f>'2026_Fantasy_Starters'!C83</f>
        <v>SP</v>
      </c>
      <c r="D28" s="7" t="str">
        <f>'2026_Fantasy_Starters'!W83</f>
        <v>0.23106991492249074</v>
      </c>
      <c r="E28" s="7">
        <f>'2026_Fantasy_Starters'!X28</f>
        <v>0.28305000000000002</v>
      </c>
      <c r="F28" s="7" t="str">
        <f>'2026_Fantasy_Starters'!Y83</f>
        <v>0.18387354941976786</v>
      </c>
      <c r="G28" s="8">
        <f t="shared" si="39"/>
        <v>-1.4267638378730123</v>
      </c>
      <c r="H28" s="8">
        <f t="shared" si="0"/>
        <v>1.1438076630697791</v>
      </c>
      <c r="I28" s="8">
        <f t="shared" si="1"/>
        <v>1.0840748712671036</v>
      </c>
      <c r="J28" s="8" t="e">
        <f t="shared" si="2"/>
        <v>#REF!</v>
      </c>
      <c r="K28" s="8">
        <f t="shared" si="3"/>
        <v>1.0835527593510801</v>
      </c>
      <c r="L28" s="8">
        <f t="shared" si="4"/>
        <v>-1.4892330623345791</v>
      </c>
      <c r="M28" s="8" t="e">
        <f t="shared" si="5"/>
        <v>#REF!</v>
      </c>
      <c r="N28" s="8" t="e">
        <f t="shared" si="6"/>
        <v>#REF!</v>
      </c>
      <c r="P28" s="7">
        <f t="shared" si="7"/>
        <v>70.427925374875272</v>
      </c>
      <c r="Q28" s="7">
        <f t="shared" si="8"/>
        <v>128.20687237919469</v>
      </c>
      <c r="R28" s="7">
        <f t="shared" si="9"/>
        <v>73.995495935369149</v>
      </c>
      <c r="S28" s="7">
        <f t="shared" si="10"/>
        <v>153.95562433316343</v>
      </c>
      <c r="T28" s="7">
        <f t="shared" si="11"/>
        <v>143.13275466730579</v>
      </c>
      <c r="U28" s="7">
        <f t="shared" si="12"/>
        <v>152.38068225949365</v>
      </c>
      <c r="V28" s="7">
        <f t="shared" si="13"/>
        <v>156.39476891429803</v>
      </c>
      <c r="W28" s="7">
        <f t="shared" si="14"/>
        <v>156.63591109266648</v>
      </c>
      <c r="X28" s="7" t="e">
        <f t="shared" si="15"/>
        <v>#DIV/0!</v>
      </c>
      <c r="Y28" s="7" t="e">
        <f t="shared" si="16"/>
        <v>#REF!</v>
      </c>
      <c r="Z28" s="7">
        <f t="shared" si="17"/>
        <v>145.76114017982513</v>
      </c>
      <c r="AA28" s="7" t="e">
        <f t="shared" si="18"/>
        <v>#REF!</v>
      </c>
      <c r="AB28" s="7">
        <f t="shared" si="19"/>
        <v>144.108481391721</v>
      </c>
      <c r="AC28" s="7">
        <f t="shared" si="20"/>
        <v>151.01007805903899</v>
      </c>
      <c r="AD28" s="7">
        <f t="shared" si="21"/>
        <v>144.11807048976738</v>
      </c>
      <c r="AE28" s="7" t="e">
        <f t="shared" si="22"/>
        <v>#REF!</v>
      </c>
      <c r="AG28" s="7">
        <f t="shared" si="23"/>
        <v>5.0972259694911232E-2</v>
      </c>
      <c r="AH28" s="7">
        <f t="shared" si="24"/>
        <v>2.6152559822630553E-2</v>
      </c>
      <c r="AI28" s="7">
        <f t="shared" si="25"/>
        <v>2.490259175027814E-2</v>
      </c>
      <c r="AJ28" s="7">
        <f t="shared" si="26"/>
        <v>6.0675430562770021E-3</v>
      </c>
      <c r="AK28" s="7">
        <f t="shared" si="27"/>
        <v>3.0635650140055869E-4</v>
      </c>
      <c r="AL28" s="7">
        <f t="shared" si="28"/>
        <v>1.9631820905851006E-3</v>
      </c>
      <c r="AM28" s="7">
        <f t="shared" si="29"/>
        <v>4.5047610675769845E-2</v>
      </c>
      <c r="AN28" s="7">
        <f t="shared" si="30"/>
        <v>1.4057938403161194E-2</v>
      </c>
      <c r="AO28" s="7">
        <f t="shared" si="31"/>
        <v>0</v>
      </c>
      <c r="AP28" s="7" t="e">
        <f t="shared" si="32"/>
        <v>#REF!</v>
      </c>
      <c r="AQ28" s="7">
        <f t="shared" si="33"/>
        <v>6.2517006802720783</v>
      </c>
      <c r="AR28" s="7" t="e">
        <f t="shared" si="34"/>
        <v>#REF!</v>
      </c>
      <c r="AS28" s="7">
        <f t="shared" si="35"/>
        <v>198.78221558893731</v>
      </c>
      <c r="AT28" s="7">
        <f t="shared" si="36"/>
        <v>6.2422324024963449E-2</v>
      </c>
      <c r="AU28" s="7">
        <f t="shared" si="37"/>
        <v>22.108349137355077</v>
      </c>
      <c r="AV28" s="7" t="e">
        <f t="shared" si="38"/>
        <v>#REF!</v>
      </c>
      <c r="AX28" s="7" t="str">
        <f>'2026_Fantasy_Starters'!Z83</f>
        <v>0.22059236795066728</v>
      </c>
      <c r="AY28" s="7" t="str">
        <f>'2026_Fantasy_Starters'!AA83</f>
        <v>0.11318028931374896</v>
      </c>
      <c r="AZ28" s="7" t="str">
        <f>'2026_Fantasy_Starters'!AB83</f>
        <v>0.10777080936145036</v>
      </c>
      <c r="BA28" s="7" t="str">
        <f>'2026_Fantasy_Starters'!AC83</f>
        <v>0.032998455054703626</v>
      </c>
      <c r="BB28" s="7">
        <f>'2026_Fantasy_Starters'!AD83</f>
        <v>1.666126E-3</v>
      </c>
      <c r="BC28" s="7" t="str">
        <f>'2026_Fantasy_Starters'!AE83</f>
        <v>0.010676805319634887</v>
      </c>
      <c r="BD28" s="7" t="str">
        <f>'2026_Fantasy_Starters'!AF83</f>
        <v>0.24499233749455884</v>
      </c>
      <c r="BE28" s="7">
        <f>'2026_Fantasy_Starters'!AG83</f>
        <v>7.6454381000000002E-2</v>
      </c>
      <c r="BF28" s="7">
        <f>'2026_Fantasy_Starters'!AH83</f>
        <v>0</v>
      </c>
      <c r="BG28" s="7" t="e">
        <f>'2026_Fantasy_Starters'!#REF!</f>
        <v>#REF!</v>
      </c>
      <c r="BH28" s="7">
        <f>'2026_Fantasy_Starters'!D83</f>
        <v>34</v>
      </c>
    </row>
    <row r="29" spans="1:60" s="7" customFormat="1">
      <c r="A29" s="7" t="str">
        <f>'2026_Fantasy_Starters'!A31</f>
        <v xml:space="preserve">LAD </v>
      </c>
      <c r="B29" s="7" t="s">
        <v>100</v>
      </c>
      <c r="C29" s="7" t="str">
        <f>'2026_Fantasy_Starters'!C31</f>
        <v>SP</v>
      </c>
      <c r="D29" s="7" t="str">
        <f>'2026_Fantasy_Starters'!W31</f>
        <v>0.3628183229813664</v>
      </c>
      <c r="E29" s="7" t="str">
        <f>'2026_Fantasy_Starters'!X29</f>
        <v>0.32149078341013826</v>
      </c>
      <c r="F29" s="7">
        <f>'2026_Fantasy_Starters'!Y31</f>
        <v>0.50241545899999995</v>
      </c>
      <c r="G29" s="8">
        <f t="shared" si="39"/>
        <v>6.2098724751551232E-2</v>
      </c>
      <c r="H29" s="8">
        <f t="shared" si="0"/>
        <v>0.6150627943996072</v>
      </c>
      <c r="I29" s="8">
        <f t="shared" si="1"/>
        <v>0.22175808390643328</v>
      </c>
      <c r="J29" s="8" t="e">
        <f t="shared" si="2"/>
        <v>#REF!</v>
      </c>
      <c r="K29" s="8">
        <f t="shared" si="3"/>
        <v>0.22216210467150857</v>
      </c>
      <c r="L29" s="8">
        <f t="shared" si="4"/>
        <v>0.45450850947719235</v>
      </c>
      <c r="M29" s="8" t="e">
        <f t="shared" si="5"/>
        <v>#REF!</v>
      </c>
      <c r="N29" s="8" t="e">
        <f t="shared" si="6"/>
        <v>#REF!</v>
      </c>
      <c r="P29" s="7">
        <f t="shared" si="7"/>
        <v>101.28710027106912</v>
      </c>
      <c r="Q29" s="7">
        <f t="shared" si="8"/>
        <v>96.504764390105493</v>
      </c>
      <c r="R29" s="7">
        <f t="shared" si="9"/>
        <v>107.93647997821154</v>
      </c>
      <c r="S29" s="7">
        <f t="shared" si="10"/>
        <v>81.652919023125477</v>
      </c>
      <c r="T29" s="7">
        <f t="shared" si="11"/>
        <v>200</v>
      </c>
      <c r="U29" s="7">
        <f t="shared" si="12"/>
        <v>119.88013962106609</v>
      </c>
      <c r="V29" s="7">
        <f t="shared" si="13"/>
        <v>63.389943944229586</v>
      </c>
      <c r="W29" s="7">
        <f t="shared" si="14"/>
        <v>64.483936610573636</v>
      </c>
      <c r="X29" s="7" t="e">
        <f t="shared" si="15"/>
        <v>#DIV/0!</v>
      </c>
      <c r="Y29" s="7" t="e">
        <f t="shared" si="16"/>
        <v>#REF!</v>
      </c>
      <c r="Z29" s="7">
        <f t="shared" si="17"/>
        <v>99.745654813869223</v>
      </c>
      <c r="AA29" s="7" t="e">
        <f t="shared" si="18"/>
        <v>#REF!</v>
      </c>
      <c r="AB29" s="7">
        <f t="shared" si="19"/>
        <v>109.04361414364119</v>
      </c>
      <c r="AC29" s="7">
        <f t="shared" si="20"/>
        <v>127.42978751281593</v>
      </c>
      <c r="AD29" s="7">
        <f t="shared" si="21"/>
        <v>109.02478143970296</v>
      </c>
      <c r="AE29" s="7" t="e">
        <f t="shared" si="22"/>
        <v>#REF!</v>
      </c>
      <c r="AG29" s="7">
        <f t="shared" si="23"/>
        <v>7.3306608866875095E-2</v>
      </c>
      <c r="AH29" s="7">
        <f t="shared" si="24"/>
        <v>3.7700897430475389E-2</v>
      </c>
      <c r="AI29" s="7">
        <f t="shared" si="25"/>
        <v>3.6325158198915214E-2</v>
      </c>
      <c r="AJ29" s="7">
        <f t="shared" si="26"/>
        <v>1.5595303422239266E-2</v>
      </c>
      <c r="AK29" s="7">
        <f t="shared" si="27"/>
        <v>0</v>
      </c>
      <c r="AL29" s="7">
        <f t="shared" si="28"/>
        <v>3.3030686380940426E-3</v>
      </c>
      <c r="AM29" s="7">
        <f t="shared" si="29"/>
        <v>0.14112886152352733</v>
      </c>
      <c r="AN29" s="7">
        <f t="shared" si="30"/>
        <v>4.3932122633510838E-2</v>
      </c>
      <c r="AO29" s="7">
        <f t="shared" si="31"/>
        <v>0</v>
      </c>
      <c r="AP29" s="7" t="e">
        <f t="shared" si="32"/>
        <v>#REF!</v>
      </c>
      <c r="AQ29" s="7">
        <f t="shared" si="33"/>
        <v>11.555555556999998</v>
      </c>
      <c r="AR29" s="7" t="e">
        <f t="shared" si="34"/>
        <v>#REF!</v>
      </c>
      <c r="AS29" s="7">
        <f t="shared" si="35"/>
        <v>323.49294405844051</v>
      </c>
      <c r="AT29" s="7">
        <f t="shared" si="36"/>
        <v>9.2468024829569478E-2</v>
      </c>
      <c r="AU29" s="7">
        <f t="shared" si="37"/>
        <v>35.992169783792782</v>
      </c>
      <c r="AV29" s="7" t="e">
        <f t="shared" si="38"/>
        <v>#REF!</v>
      </c>
      <c r="AX29" s="7" t="str">
        <f>'2026_Fantasy_Starters'!Z31</f>
        <v>0.20204770328162386</v>
      </c>
      <c r="AY29" s="7" t="str">
        <f>'2026_Fantasy_Starters'!AA31</f>
        <v>0.10391122785827936</v>
      </c>
      <c r="AZ29" s="7" t="str">
        <f>'2026_Fantasy_Starters'!AB31</f>
        <v>0.10011941486422965</v>
      </c>
      <c r="BA29" s="7">
        <f>'2026_Fantasy_Starters'!AC31</f>
        <v>3.1040651999999998E-2</v>
      </c>
      <c r="BB29" s="7">
        <f>'2026_Fantasy_Starters'!AD31</f>
        <v>0</v>
      </c>
      <c r="BC29" s="7">
        <f>'2026_Fantasy_Starters'!AE31</f>
        <v>6.5743770000000002E-3</v>
      </c>
      <c r="BD29" s="7" t="str">
        <f>'2026_Fantasy_Starters'!AF31</f>
        <v>0.28090071472806266</v>
      </c>
      <c r="BE29" s="7">
        <f>'2026_Fantasy_Starters'!AG31</f>
        <v>8.7441821000000003E-2</v>
      </c>
      <c r="BF29" s="7">
        <f>'2026_Fantasy_Starters'!AH31</f>
        <v>0</v>
      </c>
      <c r="BG29" s="7" t="e">
        <f>'2026_Fantasy_Starters'!#REF!</f>
        <v>#REF!</v>
      </c>
      <c r="BH29" s="7">
        <f>'2026_Fantasy_Starters'!D31</f>
        <v>23</v>
      </c>
    </row>
    <row r="30" spans="1:60" s="7" customFormat="1">
      <c r="A30" s="7" t="str">
        <f>'2026_Fantasy_Starters'!A17</f>
        <v xml:space="preserve">NYM </v>
      </c>
      <c r="B30" s="7" t="s">
        <v>62</v>
      </c>
      <c r="C30" s="7" t="str">
        <f>'2026_Fantasy_Starters'!C17</f>
        <v>SP</v>
      </c>
      <c r="D30" s="7" t="str">
        <f>'2026_Fantasy_Starters'!W17</f>
        <v>0.38582068965517247</v>
      </c>
      <c r="E30" s="7">
        <f>'2026_Fantasy_Starters'!X30</f>
        <v>0.24049999999999999</v>
      </c>
      <c r="F30" s="7" t="str">
        <f>'2026_Fantasy_Starters'!Y17</f>
        <v>0.48275862068965525</v>
      </c>
      <c r="G30" s="8">
        <f t="shared" si="39"/>
        <v>0.27873066670429303</v>
      </c>
      <c r="H30" s="8">
        <f t="shared" si="0"/>
        <v>-1.40548403004578</v>
      </c>
      <c r="I30" s="8">
        <f t="shared" si="1"/>
        <v>-1.1622370108818545</v>
      </c>
      <c r="J30" s="8" t="e">
        <f t="shared" si="2"/>
        <v>#REF!</v>
      </c>
      <c r="K30" s="8">
        <f t="shared" si="3"/>
        <v>-1.1621302465456185</v>
      </c>
      <c r="L30" s="8">
        <f t="shared" si="4"/>
        <v>0.974739737161325</v>
      </c>
      <c r="M30" s="8" t="e">
        <f t="shared" si="5"/>
        <v>#REF!</v>
      </c>
      <c r="N30" s="8" t="e">
        <f t="shared" si="6"/>
        <v>#REF!</v>
      </c>
      <c r="P30" s="7">
        <f t="shared" si="7"/>
        <v>105.77716077271631</v>
      </c>
      <c r="Q30" s="7">
        <f t="shared" si="8"/>
        <v>85.189721682204279</v>
      </c>
      <c r="R30" s="7">
        <f t="shared" si="9"/>
        <v>117.02058871647201</v>
      </c>
      <c r="S30" s="7">
        <f t="shared" si="10"/>
        <v>84.532069828075535</v>
      </c>
      <c r="T30" s="7">
        <f t="shared" si="11"/>
        <v>135.15789814526946</v>
      </c>
      <c r="U30" s="7">
        <f t="shared" si="12"/>
        <v>65.642327047746221</v>
      </c>
      <c r="V30" s="7">
        <f t="shared" si="13"/>
        <v>77.366576856322297</v>
      </c>
      <c r="W30" s="7">
        <f t="shared" si="14"/>
        <v>67.987760643009707</v>
      </c>
      <c r="X30" s="7" t="e">
        <f t="shared" si="15"/>
        <v>#DIV/0!</v>
      </c>
      <c r="Y30" s="7" t="e">
        <f t="shared" si="16"/>
        <v>#REF!</v>
      </c>
      <c r="Z30" s="7">
        <f t="shared" si="17"/>
        <v>78.538004885832009</v>
      </c>
      <c r="AA30" s="7" t="e">
        <f t="shared" si="18"/>
        <v>#REF!</v>
      </c>
      <c r="AB30" s="7">
        <f t="shared" si="19"/>
        <v>52.692843138333252</v>
      </c>
      <c r="AC30" s="7">
        <f t="shared" si="20"/>
        <v>37.320012447762188</v>
      </c>
      <c r="AD30" s="7">
        <f t="shared" si="21"/>
        <v>52.7010027342765</v>
      </c>
      <c r="AE30" s="7" t="e">
        <f t="shared" si="22"/>
        <v>#REF!</v>
      </c>
      <c r="AG30" s="7">
        <f t="shared" si="23"/>
        <v>7.6556293260069949E-2</v>
      </c>
      <c r="AH30" s="7">
        <f t="shared" si="24"/>
        <v>4.1822703251179746E-2</v>
      </c>
      <c r="AI30" s="7">
        <f t="shared" si="25"/>
        <v>3.9382342267545868E-2</v>
      </c>
      <c r="AJ30" s="7">
        <f t="shared" si="26"/>
        <v>1.5215900482758617E-2</v>
      </c>
      <c r="AK30" s="7">
        <f t="shared" si="27"/>
        <v>3.4931882758620675E-4</v>
      </c>
      <c r="AL30" s="7">
        <f t="shared" si="28"/>
        <v>5.5391087018490746E-3</v>
      </c>
      <c r="AM30" s="7">
        <f t="shared" si="29"/>
        <v>0.12668990770294886</v>
      </c>
      <c r="AN30" s="7">
        <f t="shared" si="30"/>
        <v>4.2796239379310333E-2</v>
      </c>
      <c r="AO30" s="7">
        <f t="shared" si="31"/>
        <v>0</v>
      </c>
      <c r="AP30" s="7" t="e">
        <f t="shared" si="32"/>
        <v>#REF!</v>
      </c>
      <c r="AQ30" s="7">
        <f t="shared" si="33"/>
        <v>13.999999999999996</v>
      </c>
      <c r="AR30" s="7" t="e">
        <f t="shared" si="34"/>
        <v>#REF!</v>
      </c>
      <c r="AS30" s="7">
        <f t="shared" si="35"/>
        <v>523.90852390852388</v>
      </c>
      <c r="AT30" s="7">
        <f t="shared" si="36"/>
        <v>0.20728473312532919</v>
      </c>
      <c r="AU30" s="7">
        <f t="shared" si="37"/>
        <v>58.275325989533286</v>
      </c>
      <c r="AV30" s="7" t="e">
        <f t="shared" si="38"/>
        <v>#REF!</v>
      </c>
      <c r="AX30" s="7" t="str">
        <f>'2026_Fantasy_Starters'!Z17</f>
        <v>0.19842454101798532</v>
      </c>
      <c r="AY30" s="7" t="str">
        <f>'2026_Fantasy_Starters'!AA17</f>
        <v>0.10839932738847943</v>
      </c>
      <c r="AZ30" s="7" t="str">
        <f>'2026_Fantasy_Starters'!AB17</f>
        <v>0.10207421043890645</v>
      </c>
      <c r="BA30" s="7">
        <f>'2026_Fantasy_Starters'!AC17</f>
        <v>3.1518651000000002E-2</v>
      </c>
      <c r="BB30" s="7">
        <f>'2026_Fantasy_Starters'!AD17</f>
        <v>7.2358899999999996E-4</v>
      </c>
      <c r="BC30" s="7" t="str">
        <f>'2026_Fantasy_Starters'!AE17</f>
        <v>0.011473868025258897</v>
      </c>
      <c r="BD30" s="7" t="str">
        <f>'2026_Fantasy_Starters'!AF17</f>
        <v>0.2624290945275374</v>
      </c>
      <c r="BE30" s="7">
        <f>'2026_Fantasy_Starters'!AG17</f>
        <v>8.8649353E-2</v>
      </c>
      <c r="BF30" s="7">
        <f>'2026_Fantasy_Starters'!AH17</f>
        <v>0</v>
      </c>
      <c r="BG30" s="7" t="e">
        <f>'2026_Fantasy_Starters'!#REF!</f>
        <v>#REF!</v>
      </c>
      <c r="BH30" s="7">
        <f>'2026_Fantasy_Starters'!D17</f>
        <v>29</v>
      </c>
    </row>
    <row r="31" spans="1:60" s="7" customFormat="1">
      <c r="A31" s="7" t="str">
        <f>'2026_Fantasy_Starters'!A54</f>
        <v xml:space="preserve">DET </v>
      </c>
      <c r="B31" s="7" t="s">
        <v>156</v>
      </c>
      <c r="C31" s="7" t="str">
        <f>'2026_Fantasy_Starters'!C54</f>
        <v>SP</v>
      </c>
      <c r="D31" s="7" t="str">
        <f>'2026_Fantasy_Starters'!W54</f>
        <v>0.35708949096880127</v>
      </c>
      <c r="E31" s="7" t="str">
        <f>'2026_Fantasy_Starters'!X31</f>
        <v>0.27086413043478264</v>
      </c>
      <c r="F31" s="7" t="str">
        <f>'2026_Fantasy_Starters'!Y54</f>
        <v>0.47290640394088673</v>
      </c>
      <c r="G31" s="8">
        <f t="shared" si="39"/>
        <v>0.23784687754164688</v>
      </c>
      <c r="H31" s="8">
        <f t="shared" si="0"/>
        <v>-0.61521883412599698</v>
      </c>
      <c r="I31" s="8">
        <f t="shared" si="1"/>
        <v>-0.58259636055028341</v>
      </c>
      <c r="J31" s="8" t="e">
        <f t="shared" si="2"/>
        <v>#REF!</v>
      </c>
      <c r="K31" s="8">
        <f t="shared" si="3"/>
        <v>-0.58236589184152376</v>
      </c>
      <c r="L31" s="8">
        <f t="shared" si="4"/>
        <v>0.6835638146365951</v>
      </c>
      <c r="M31" s="8" t="e">
        <f t="shared" si="5"/>
        <v>#REF!</v>
      </c>
      <c r="N31" s="8" t="e">
        <f t="shared" si="6"/>
        <v>#REF!</v>
      </c>
      <c r="P31" s="7">
        <f t="shared" si="7"/>
        <v>104.92977564002469</v>
      </c>
      <c r="Q31" s="7">
        <f t="shared" si="8"/>
        <v>92.549067608646027</v>
      </c>
      <c r="R31" s="7">
        <f t="shared" si="9"/>
        <v>111.93616932482419</v>
      </c>
      <c r="S31" s="7">
        <f t="shared" si="10"/>
        <v>82.685096556436449</v>
      </c>
      <c r="T31" s="7">
        <f t="shared" si="11"/>
        <v>71.223695346465675</v>
      </c>
      <c r="U31" s="7">
        <f t="shared" si="12"/>
        <v>81.461498248485682</v>
      </c>
      <c r="V31" s="7">
        <f t="shared" si="13"/>
        <v>80.908995037384955</v>
      </c>
      <c r="W31" s="7">
        <f t="shared" si="14"/>
        <v>86.034498951501888</v>
      </c>
      <c r="X31" s="7" t="e">
        <f t="shared" si="15"/>
        <v>#DIV/0!</v>
      </c>
      <c r="Y31" s="7" t="e">
        <f t="shared" si="16"/>
        <v>#REF!</v>
      </c>
      <c r="Z31" s="7">
        <f t="shared" si="17"/>
        <v>85.119689350146672</v>
      </c>
      <c r="AA31" s="7" t="e">
        <f t="shared" si="18"/>
        <v>#REF!</v>
      </c>
      <c r="AB31" s="7">
        <f t="shared" si="19"/>
        <v>76.293470823840295</v>
      </c>
      <c r="AC31" s="7">
        <f t="shared" si="20"/>
        <v>72.563253626109358</v>
      </c>
      <c r="AD31" s="7">
        <f t="shared" si="21"/>
        <v>76.290357812835538</v>
      </c>
      <c r="AE31" s="7" t="e">
        <f t="shared" si="22"/>
        <v>#REF!</v>
      </c>
      <c r="AG31" s="7">
        <f t="shared" si="23"/>
        <v>7.5942997684270222E-2</v>
      </c>
      <c r="AH31" s="7">
        <f t="shared" si="24"/>
        <v>3.9141865391416064E-2</v>
      </c>
      <c r="AI31" s="7">
        <f t="shared" si="25"/>
        <v>3.7671221627068041E-2</v>
      </c>
      <c r="AJ31" s="7">
        <f t="shared" si="26"/>
        <v>1.5459287208871499E-2</v>
      </c>
      <c r="AK31" s="7">
        <f t="shared" si="27"/>
        <v>6.9374660098522065E-4</v>
      </c>
      <c r="AL31" s="7">
        <f t="shared" si="28"/>
        <v>4.8869382159461598E-3</v>
      </c>
      <c r="AM31" s="7">
        <f t="shared" si="29"/>
        <v>0.12303031294566744</v>
      </c>
      <c r="AN31" s="7">
        <f t="shared" si="30"/>
        <v>3.6945777812807827E-2</v>
      </c>
      <c r="AO31" s="7">
        <f t="shared" si="31"/>
        <v>0</v>
      </c>
      <c r="AP31" s="7" t="e">
        <f t="shared" si="32"/>
        <v>#REF!</v>
      </c>
      <c r="AQ31" s="7">
        <f t="shared" si="33"/>
        <v>13.241379310344808</v>
      </c>
      <c r="AR31" s="7" t="e">
        <f t="shared" si="34"/>
        <v>#REF!</v>
      </c>
      <c r="AS31" s="7">
        <f t="shared" si="35"/>
        <v>439.97118999039009</v>
      </c>
      <c r="AT31" s="7">
        <f t="shared" si="36"/>
        <v>0.16237825168255499</v>
      </c>
      <c r="AU31" s="7">
        <f t="shared" si="37"/>
        <v>48.942761731773956</v>
      </c>
      <c r="AV31" s="7" t="e">
        <f t="shared" si="38"/>
        <v>#REF!</v>
      </c>
      <c r="AX31" s="7" t="str">
        <f>'2026_Fantasy_Starters'!Z54</f>
        <v>0.21267217211638834</v>
      </c>
      <c r="AY31" s="7" t="str">
        <f>'2026_Fantasy_Starters'!AA54</f>
        <v>0.10961360213996332</v>
      </c>
      <c r="AZ31" s="7" t="str">
        <f>'2026_Fantasy_Starters'!AB54</f>
        <v>0.10549518420400558</v>
      </c>
      <c r="BA31" s="7" t="str">
        <f>'2026_Fantasy_Starters'!AC54</f>
        <v>0.032689951077092994</v>
      </c>
      <c r="BB31" s="7">
        <f>'2026_Fantasy_Starters'!AD54</f>
        <v>1.4669850000000001E-3</v>
      </c>
      <c r="BC31" s="7" t="str">
        <f>'2026_Fantasy_Starters'!AE54</f>
        <v>0.010333838102469513</v>
      </c>
      <c r="BD31" s="7" t="str">
        <f>'2026_Fantasy_Starters'!AF54</f>
        <v>0.26015784924969365</v>
      </c>
      <c r="BE31" s="7">
        <f>'2026_Fantasy_Starters'!AG54</f>
        <v>7.8124925999999997E-2</v>
      </c>
      <c r="BF31" s="7">
        <f>'2026_Fantasy_Starters'!AH54</f>
        <v>0</v>
      </c>
      <c r="BG31" s="7" t="e">
        <f>'2026_Fantasy_Starters'!#REF!</f>
        <v>#REF!</v>
      </c>
      <c r="BH31" s="7">
        <f>'2026_Fantasy_Starters'!D54</f>
        <v>28</v>
      </c>
    </row>
    <row r="32" spans="1:60" s="7" customFormat="1">
      <c r="A32" s="7" t="str">
        <f>'2026_Fantasy_Starters'!A40</f>
        <v xml:space="preserve">TEX </v>
      </c>
      <c r="B32" s="7" t="s">
        <v>124</v>
      </c>
      <c r="C32" s="7" t="str">
        <f>'2026_Fantasy_Starters'!C40</f>
        <v>SP</v>
      </c>
      <c r="D32" s="7" t="str">
        <f>'2026_Fantasy_Starters'!W40</f>
        <v>0.3705103448275862</v>
      </c>
      <c r="E32" s="7">
        <f>'2026_Fantasy_Starters'!X32</f>
        <v>0.27056249999999998</v>
      </c>
      <c r="F32" s="7" t="str">
        <f>'2026_Fantasy_Starters'!Y40</f>
        <v>0.5340229885057471</v>
      </c>
      <c r="G32" s="8">
        <f t="shared" si="39"/>
        <v>0.65639848203211093</v>
      </c>
      <c r="H32" s="8">
        <f t="shared" si="0"/>
        <v>-0.73297534965688049</v>
      </c>
      <c r="I32" s="8">
        <f t="shared" si="1"/>
        <v>-0.61120323292213752</v>
      </c>
      <c r="J32" s="8" t="e">
        <f t="shared" si="2"/>
        <v>#REF!</v>
      </c>
      <c r="K32" s="8">
        <f t="shared" si="3"/>
        <v>-0.61084232487582768</v>
      </c>
      <c r="L32" s="8">
        <f t="shared" si="4"/>
        <v>0.77754313345523973</v>
      </c>
      <c r="M32" s="8" t="e">
        <f t="shared" si="5"/>
        <v>#REF!</v>
      </c>
      <c r="N32" s="8" t="e">
        <f t="shared" si="6"/>
        <v>#REF!</v>
      </c>
      <c r="P32" s="7">
        <f t="shared" si="7"/>
        <v>113.60495996549071</v>
      </c>
      <c r="Q32" s="7">
        <f t="shared" si="8"/>
        <v>90.283273776343279</v>
      </c>
      <c r="R32" s="7">
        <f t="shared" si="9"/>
        <v>113.57720566763783</v>
      </c>
      <c r="S32" s="7">
        <f t="shared" si="10"/>
        <v>77.678212390331183</v>
      </c>
      <c r="T32" s="7">
        <f t="shared" si="11"/>
        <v>52.99351723760963</v>
      </c>
      <c r="U32" s="7">
        <f t="shared" si="12"/>
        <v>76.714074340150887</v>
      </c>
      <c r="V32" s="7">
        <f t="shared" si="13"/>
        <v>81.868205922392065</v>
      </c>
      <c r="W32" s="7">
        <f t="shared" si="14"/>
        <v>96.831968590139468</v>
      </c>
      <c r="X32" s="7" t="e">
        <f t="shared" si="15"/>
        <v>#DIV/0!</v>
      </c>
      <c r="Y32" s="7" t="e">
        <f t="shared" si="16"/>
        <v>#REF!</v>
      </c>
      <c r="Z32" s="7">
        <f t="shared" si="17"/>
        <v>84.172325677252772</v>
      </c>
      <c r="AA32" s="7" t="e">
        <f t="shared" si="18"/>
        <v>#REF!</v>
      </c>
      <c r="AB32" s="7">
        <f t="shared" si="19"/>
        <v>75.134272800710889</v>
      </c>
      <c r="AC32" s="7">
        <f t="shared" si="20"/>
        <v>67.311698453739126</v>
      </c>
      <c r="AD32" s="7">
        <f t="shared" si="21"/>
        <v>75.126157769790467</v>
      </c>
      <c r="AE32" s="7" t="e">
        <f t="shared" si="22"/>
        <v>#REF!</v>
      </c>
      <c r="AG32" s="7">
        <f t="shared" si="23"/>
        <v>8.2221668339200901E-2</v>
      </c>
      <c r="AH32" s="7">
        <f t="shared" si="24"/>
        <v>3.9967241171922845E-2</v>
      </c>
      <c r="AI32" s="7">
        <f t="shared" si="25"/>
        <v>3.822349927013096E-2</v>
      </c>
      <c r="AJ32" s="7">
        <f t="shared" si="26"/>
        <v>1.611907431241379E-2</v>
      </c>
      <c r="AK32" s="7">
        <f t="shared" si="27"/>
        <v>7.9195662597701135E-4</v>
      </c>
      <c r="AL32" s="7">
        <f t="shared" si="28"/>
        <v>5.0826583151724128E-3</v>
      </c>
      <c r="AM32" s="7">
        <f t="shared" si="29"/>
        <v>0.12203937315638309</v>
      </c>
      <c r="AN32" s="7">
        <f t="shared" si="30"/>
        <v>3.3445412258850567E-2</v>
      </c>
      <c r="AO32" s="7">
        <f t="shared" si="31"/>
        <v>0</v>
      </c>
      <c r="AP32" s="7" t="e">
        <f t="shared" si="32"/>
        <v>#REF!</v>
      </c>
      <c r="AQ32" s="7">
        <f t="shared" si="33"/>
        <v>13.350574712643676</v>
      </c>
      <c r="AR32" s="7" t="e">
        <f t="shared" si="34"/>
        <v>#REF!</v>
      </c>
      <c r="AS32" s="7">
        <f t="shared" si="35"/>
        <v>444.09396133534057</v>
      </c>
      <c r="AT32" s="7">
        <f t="shared" si="36"/>
        <v>0.1690697152656104</v>
      </c>
      <c r="AU32" s="7">
        <f t="shared" si="37"/>
        <v>49.40334963993935</v>
      </c>
      <c r="AV32" s="7" t="e">
        <f t="shared" si="38"/>
        <v>#REF!</v>
      </c>
      <c r="AX32" s="7" t="str">
        <f>'2026_Fantasy_Starters'!Z40</f>
        <v>0.22191463608785952</v>
      </c>
      <c r="AY32" s="7" t="str">
        <f>'2026_Fantasy_Starters'!AA40</f>
        <v>0.10787078344741342</v>
      </c>
      <c r="AZ32" s="7" t="str">
        <f>'2026_Fantasy_Starters'!AB40</f>
        <v>0.10316445897865079</v>
      </c>
      <c r="BA32" s="7">
        <f>'2026_Fantasy_Starters'!AC40</f>
        <v>3.0184233000000001E-2</v>
      </c>
      <c r="BB32" s="7">
        <f>'2026_Fantasy_Starters'!AD40</f>
        <v>1.4830010000000001E-3</v>
      </c>
      <c r="BC32" s="7">
        <f>'2026_Fantasy_Starters'!AE40</f>
        <v>9.5176770000000004E-3</v>
      </c>
      <c r="BD32" s="7" t="str">
        <f>'2026_Fantasy_Starters'!AF40</f>
        <v>0.22852831391746392</v>
      </c>
      <c r="BE32" s="7">
        <f>'2026_Fantasy_Starters'!AG40</f>
        <v>6.2629162000000002E-2</v>
      </c>
      <c r="BF32" s="7">
        <f>'2026_Fantasy_Starters'!AH40</f>
        <v>0</v>
      </c>
      <c r="BG32" s="7" t="e">
        <f>'2026_Fantasy_Starters'!#REF!</f>
        <v>#REF!</v>
      </c>
      <c r="BH32" s="7">
        <f>'2026_Fantasy_Starters'!D40</f>
        <v>25</v>
      </c>
    </row>
    <row r="33" spans="1:60" s="7" customFormat="1">
      <c r="A33" s="7" t="str">
        <f>'2026_Fantasy_Starters'!A45</f>
        <v xml:space="preserve">TEX </v>
      </c>
      <c r="B33" s="7" t="s">
        <v>134</v>
      </c>
      <c r="C33" s="7" t="str">
        <f>'2026_Fantasy_Starters'!C45</f>
        <v>SP</v>
      </c>
      <c r="D33" s="7" t="str">
        <f>'2026_Fantasy_Starters'!W45</f>
        <v>0.36006650246305416</v>
      </c>
      <c r="E33" s="7" t="str">
        <f>'2026_Fantasy_Starters'!X33</f>
        <v>0.3370745272525028</v>
      </c>
      <c r="F33" s="7" t="str">
        <f>'2026_Fantasy_Starters'!Y45</f>
        <v>0.4786535303776683</v>
      </c>
      <c r="G33" s="8">
        <f t="shared" si="39"/>
        <v>0.12658346851307437</v>
      </c>
      <c r="H33" s="8">
        <f t="shared" si="0"/>
        <v>0.13756064145628891</v>
      </c>
      <c r="I33" s="8">
        <f t="shared" si="1"/>
        <v>-1.4911865631022732E-2</v>
      </c>
      <c r="J33" s="8" t="e">
        <f t="shared" si="2"/>
        <v>#REF!</v>
      </c>
      <c r="K33" s="8">
        <f t="shared" si="3"/>
        <v>-1.5116541051256864E-2</v>
      </c>
      <c r="L33" s="8">
        <f t="shared" si="4"/>
        <v>0.38215322253566592</v>
      </c>
      <c r="M33" s="8" t="e">
        <f t="shared" si="5"/>
        <v>#REF!</v>
      </c>
      <c r="N33" s="8" t="e">
        <f t="shared" si="6"/>
        <v>#REF!</v>
      </c>
      <c r="P33" s="7">
        <f t="shared" si="7"/>
        <v>102.6236547898188</v>
      </c>
      <c r="Q33" s="7">
        <f t="shared" si="8"/>
        <v>93.026874002637229</v>
      </c>
      <c r="R33" s="7">
        <f t="shared" si="9"/>
        <v>106.67303545703038</v>
      </c>
      <c r="S33" s="7">
        <f t="shared" si="10"/>
        <v>92.415696239571304</v>
      </c>
      <c r="T33" s="7">
        <f t="shared" si="11"/>
        <v>133.89149891402678</v>
      </c>
      <c r="U33" s="7">
        <f t="shared" si="12"/>
        <v>91.346425794043824</v>
      </c>
      <c r="V33" s="7">
        <f t="shared" si="13"/>
        <v>75.143993237995545</v>
      </c>
      <c r="W33" s="7">
        <f t="shared" si="14"/>
        <v>67.758150620423308</v>
      </c>
      <c r="X33" s="7" t="e">
        <f t="shared" si="15"/>
        <v>#DIV/0!</v>
      </c>
      <c r="Y33" s="7" t="e">
        <f t="shared" si="16"/>
        <v>#REF!</v>
      </c>
      <c r="Z33" s="7">
        <f t="shared" si="17"/>
        <v>83.723574463776842</v>
      </c>
      <c r="AA33" s="7" t="e">
        <f t="shared" si="18"/>
        <v>#REF!</v>
      </c>
      <c r="AB33" s="7">
        <f t="shared" si="19"/>
        <v>99.38464678908133</v>
      </c>
      <c r="AC33" s="7">
        <f t="shared" si="20"/>
        <v>106.13475436919562</v>
      </c>
      <c r="AD33" s="7">
        <f t="shared" si="21"/>
        <v>99.393139019748247</v>
      </c>
      <c r="AE33" s="7" t="e">
        <f t="shared" si="22"/>
        <v>#REF!</v>
      </c>
      <c r="AG33" s="7">
        <f t="shared" si="23"/>
        <v>7.4273941124122306E-2</v>
      </c>
      <c r="AH33" s="7">
        <f t="shared" si="24"/>
        <v>3.8967811680196092E-2</v>
      </c>
      <c r="AI33" s="7">
        <f t="shared" si="25"/>
        <v>3.5899956060428555E-2</v>
      </c>
      <c r="AJ33" s="7">
        <f t="shared" si="26"/>
        <v>1.4177027830049252E-2</v>
      </c>
      <c r="AK33" s="7">
        <f t="shared" si="27"/>
        <v>3.5614120197044311E-4</v>
      </c>
      <c r="AL33" s="7">
        <f t="shared" si="28"/>
        <v>4.479416360426927E-3</v>
      </c>
      <c r="AM33" s="7">
        <f t="shared" si="29"/>
        <v>0.12898601023560019</v>
      </c>
      <c r="AN33" s="7">
        <f t="shared" si="30"/>
        <v>4.287067524630539E-2</v>
      </c>
      <c r="AO33" s="7">
        <f t="shared" si="31"/>
        <v>0</v>
      </c>
      <c r="AP33" s="7" t="e">
        <f t="shared" si="32"/>
        <v>#REF!</v>
      </c>
      <c r="AQ33" s="7">
        <f t="shared" si="33"/>
        <v>13.402298850574704</v>
      </c>
      <c r="AR33" s="7" t="e">
        <f t="shared" si="34"/>
        <v>#REF!</v>
      </c>
      <c r="AS33" s="7">
        <f t="shared" si="35"/>
        <v>357.8457578457585</v>
      </c>
      <c r="AT33" s="7">
        <f t="shared" si="36"/>
        <v>0.11960188025018761</v>
      </c>
      <c r="AU33" s="7">
        <f t="shared" si="37"/>
        <v>39.802698791162271</v>
      </c>
      <c r="AV33" s="7" t="e">
        <f t="shared" si="38"/>
        <v>#REF!</v>
      </c>
      <c r="AX33" s="7" t="str">
        <f>'2026_Fantasy_Starters'!Z45</f>
        <v>0.20627839750725918</v>
      </c>
      <c r="AY33" s="7" t="str">
        <f>'2026_Fantasy_Starters'!AA45</f>
        <v>0.10822392922872573</v>
      </c>
      <c r="AZ33" s="7">
        <f>'2026_Fantasy_Starters'!AB45</f>
        <v>9.9703682000000002E-2</v>
      </c>
      <c r="BA33" s="7">
        <f>'2026_Fantasy_Starters'!AC45</f>
        <v>2.9618558999999999E-2</v>
      </c>
      <c r="BB33" s="7">
        <f>'2026_Fantasy_Starters'!AD45</f>
        <v>7.4404799999999998E-4</v>
      </c>
      <c r="BC33" s="7">
        <f>'2026_Fantasy_Starters'!AE45</f>
        <v>9.3583690000000001E-3</v>
      </c>
      <c r="BD33" s="7" t="str">
        <f>'2026_Fantasy_Starters'!AF45</f>
        <v>0.26947677610113496</v>
      </c>
      <c r="BE33" s="7">
        <f>'2026_Fantasy_Starters'!AG45</f>
        <v>8.9565149999999996E-2</v>
      </c>
      <c r="BF33" s="7">
        <f>'2026_Fantasy_Starters'!AH45</f>
        <v>0</v>
      </c>
      <c r="BG33" s="7" t="e">
        <f>'2026_Fantasy_Starters'!#REF!</f>
        <v>#REF!</v>
      </c>
      <c r="BH33" s="7">
        <f>'2026_Fantasy_Starters'!D45</f>
        <v>28</v>
      </c>
    </row>
    <row r="34" spans="1:60" s="7" customFormat="1">
      <c r="A34" s="7" t="str">
        <f>'2026_Fantasy_Starters'!A28</f>
        <v xml:space="preserve">ATL </v>
      </c>
      <c r="B34" s="7" t="s">
        <v>93</v>
      </c>
      <c r="C34" s="7" t="str">
        <f>'2026_Fantasy_Starters'!C28</f>
        <v>SP</v>
      </c>
      <c r="D34" s="7">
        <f>'2026_Fantasy_Starters'!W28</f>
        <v>0.40515000000000001</v>
      </c>
      <c r="E34" s="7" t="str">
        <f>'2026_Fantasy_Starters'!X34</f>
        <v>0.3532619047619047</v>
      </c>
      <c r="F34" s="7" t="str">
        <f>'2026_Fantasy_Starters'!Y28</f>
        <v>0.5111111111111112</v>
      </c>
      <c r="G34" s="8">
        <f t="shared" si="39"/>
        <v>1.3269468516201719</v>
      </c>
      <c r="H34" s="8">
        <f t="shared" ref="H34:H65" si="40">(AC34-AC$113)/AC$114</f>
        <v>0.50883280338806902</v>
      </c>
      <c r="I34" s="8">
        <f t="shared" ref="I34:I65" si="41">(AD34-AD$113)/AD$114</f>
        <v>1.3762401799282393</v>
      </c>
      <c r="J34" s="8" t="e">
        <f t="shared" ref="J34:J65" si="42">(AA34-AA$113)/AA$114</f>
        <v>#REF!</v>
      </c>
      <c r="K34" s="8">
        <f t="shared" ref="K34:K65" si="43">(AB34-AB$113)/AB$114</f>
        <v>1.3772721467714899</v>
      </c>
      <c r="L34" s="8">
        <f t="shared" ref="L34:L65" si="44">(R34-R$113)/R$114</f>
        <v>0.82016331065140258</v>
      </c>
      <c r="M34" s="8" t="e">
        <f t="shared" ref="M34:M65" si="45">(AE34-AE$113)/AE$114</f>
        <v>#REF!</v>
      </c>
      <c r="N34" s="8" t="e">
        <f t="shared" ref="N34:N65" si="46">G34+H34+I34+J34+K34+L34+M34*2</f>
        <v>#REF!</v>
      </c>
      <c r="P34" s="7">
        <f t="shared" ref="P34:P65" si="47">(AG34-AVERAGE(AG$2:AG$112))/AVERAGE(AG$2:AG$112)*100+100</f>
        <v>127.50320009384667</v>
      </c>
      <c r="Q34" s="7">
        <f t="shared" ref="Q34:Q65" si="48">(AVERAGE(AH$2:AH$112)-AH34)/AVERAGE(AH$2:AH$112)*100+100</f>
        <v>82.660721892760051</v>
      </c>
      <c r="R34" s="7">
        <f t="shared" ref="R34:R65" si="49">(AI34-AVERAGE(AI$2:AI$112))/AVERAGE(AI$2:AI$112)*100+100</f>
        <v>114.32142535974933</v>
      </c>
      <c r="S34" s="7">
        <f t="shared" ref="S34:S65" si="50">(AVERAGE(AJ$2:AJ$112)-AJ34)/AVERAGE(AJ$2:AJ$112)*100+100</f>
        <v>86.573807739594542</v>
      </c>
      <c r="T34" s="7">
        <f t="shared" ref="T34:T65" si="51">(AVERAGE(AK$2:AK$112)-AK34)/AVERAGE(AK$2:AK$112)*100+100</f>
        <v>29.362065959082628</v>
      </c>
      <c r="U34" s="7">
        <f t="shared" ref="U34:U65" si="52">(AVERAGE(AL$2:AL$112)-AL34)/AVERAGE(AL$2:AL$112)*100+100</f>
        <v>106.21509412509694</v>
      </c>
      <c r="V34" s="7">
        <f t="shared" ref="V34:V65" si="53">(AVERAGE(AM$2:AM$112)-AM34)/AVERAGE(AM$2:AM$112)*100+100</f>
        <v>80.783154458270246</v>
      </c>
      <c r="W34" s="7">
        <f t="shared" ref="W34:W65" si="54">(AVERAGE(AN$2:AN$112)-AN34)/AVERAGE(AN$2:AN$112)*100+100</f>
        <v>119.14977589759346</v>
      </c>
      <c r="X34" s="7" t="e">
        <f t="shared" ref="X34:X65" si="55">(AVERAGE(AO$2:AO$112)-AO34)/AVERAGE(AO$2:AO$112)*100+100</f>
        <v>#DIV/0!</v>
      </c>
      <c r="Y34" s="7" t="e">
        <f t="shared" ref="Y34:Y65" si="56">(AP34-AVERAGE(AP$2:AP$112))/AVERAGE(AP$2:AP$112)*100+100</f>
        <v>#REF!</v>
      </c>
      <c r="Z34" s="7">
        <f t="shared" ref="Z34:Z65" si="57">(AVERAGE(AQ$2:AQ$112)-AQ34)/AVERAGE(AQ$2:AQ$112)*100+100</f>
        <v>146.78807833093595</v>
      </c>
      <c r="AA34" s="7" t="e">
        <f t="shared" ref="AA34:AA65" si="58">(AR34-AVERAGE(AR$2:AR$112))/AVERAGE(AR$2:AR$112)*100+100</f>
        <v>#REF!</v>
      </c>
      <c r="AB34" s="7">
        <f t="shared" ref="AB34:AB65" si="59">(AVERAGE(AS$2:AS$112)-AS34)/AVERAGE(AS$2:AS$112)*100+100</f>
        <v>156.06499760435068</v>
      </c>
      <c r="AC34" s="7">
        <f t="shared" ref="AC34:AC65" si="60">(AVERAGE(AT$2:AT$112)-AT34)/AVERAGE(AT$2:AT$112)*100+100</f>
        <v>122.69227760737741</v>
      </c>
      <c r="AD34" s="7">
        <f t="shared" ref="AD34:AD65" si="61">(AVERAGE(AU$2:AU$112)-AU34)/AVERAGE(AU$2:AU$112)*100+100</f>
        <v>156.00818068770107</v>
      </c>
      <c r="AE34" s="7" t="e">
        <f t="shared" ref="AE34:AE65" si="62">(AV34-AVERAGE(AV$2:AV$112))/AVERAGE(AV$2:AV$112)*100+100</f>
        <v>#REF!</v>
      </c>
      <c r="AG34" s="7">
        <f t="shared" ref="AG34:AG65" si="63">$D34*AX34</f>
        <v>9.2280529243508089E-2</v>
      </c>
      <c r="AH34" s="7">
        <f t="shared" ref="AH34:AH65" si="64">$D34*AY34</f>
        <v>4.2743958815280467E-2</v>
      </c>
      <c r="AI34" s="7">
        <f t="shared" ref="AI34:AI65" si="65">$D34*AZ34</f>
        <v>3.8473960449300001E-2</v>
      </c>
      <c r="AJ34" s="7">
        <f t="shared" ref="AJ34:AJ65" si="66">$F34*BA34</f>
        <v>1.4946848453963333E-2</v>
      </c>
      <c r="AK34" s="7">
        <f t="shared" ref="AK34:AK65" si="67">$F34*BB34</f>
        <v>9.1926451111111083E-4</v>
      </c>
      <c r="AL34" s="7">
        <f t="shared" ref="AL34:AL65" si="68">$F34*BC34</f>
        <v>3.8664318666666656E-3</v>
      </c>
      <c r="AM34" s="7">
        <f t="shared" ref="AM34:AM65" si="69">$F34*BD34</f>
        <v>0.12316031609606999</v>
      </c>
      <c r="AN34" s="7">
        <f t="shared" ref="AN34:AN65" si="70">$F34*BE34</f>
        <v>2.6210338991376699E-2</v>
      </c>
      <c r="AO34" s="7">
        <f t="shared" ref="AO34:AO65" si="71">$F34*BF34</f>
        <v>0</v>
      </c>
      <c r="AP34" s="7" t="e">
        <f t="shared" ref="AP34:AP65" si="72">$F34*BG34</f>
        <v>#REF!</v>
      </c>
      <c r="AQ34" s="7">
        <f t="shared" ref="AQ34:AQ65" si="73">$F34*BH34</f>
        <v>6.1333333333333311</v>
      </c>
      <c r="AR34" s="7" t="e">
        <f t="shared" ref="AR34:AR65" si="74">AP34/$E34*9</f>
        <v>#REF!</v>
      </c>
      <c r="AS34" s="7">
        <f t="shared" ref="AS34:AS65" si="75">AQ34/$E34*9</f>
        <v>156.25800363955005</v>
      </c>
      <c r="AT34" s="7">
        <f t="shared" ref="AT34:AT65" si="76">AL34/$E34*9</f>
        <v>9.8504498591359624E-2</v>
      </c>
      <c r="AU34" s="7">
        <f t="shared" ref="AU34:AU65" si="77">(AQ34+AJ34)/$E34</f>
        <v>17.404311359106753</v>
      </c>
      <c r="AV34" s="7" t="e">
        <f t="shared" ref="AV34:AV65" si="78">BG34-BH34</f>
        <v>#REF!</v>
      </c>
      <c r="AX34" s="7" t="str">
        <f>'2026_Fantasy_Starters'!Z28</f>
        <v>0.22776879981120107</v>
      </c>
      <c r="AY34" s="7" t="str">
        <f>'2026_Fantasy_Starters'!AA28</f>
        <v>0.10550156439659525</v>
      </c>
      <c r="AZ34" s="7">
        <f>'2026_Fantasy_Starters'!AB28</f>
        <v>9.4962262000000006E-2</v>
      </c>
      <c r="BA34" s="7" t="str">
        <f>'2026_Fantasy_Starters'!AC28</f>
        <v>0.029243833931667428</v>
      </c>
      <c r="BB34" s="7">
        <f>'2026_Fantasy_Starters'!AD28</f>
        <v>1.798561E-3</v>
      </c>
      <c r="BC34" s="7">
        <f>'2026_Fantasy_Starters'!AE28</f>
        <v>7.5647580000000004E-3</v>
      </c>
      <c r="BD34" s="7" t="str">
        <f>'2026_Fantasy_Starters'!AF28</f>
        <v>0.24096583584013753</v>
      </c>
      <c r="BE34" s="7" t="str">
        <f>'2026_Fantasy_Starters'!AG28</f>
        <v>0.051281098026606624</v>
      </c>
      <c r="BF34" s="7">
        <f>'2026_Fantasy_Starters'!AH28</f>
        <v>0</v>
      </c>
      <c r="BG34" s="7" t="e">
        <f>'2026_Fantasy_Starters'!#REF!</f>
        <v>#REF!</v>
      </c>
      <c r="BH34" s="7">
        <f>'2026_Fantasy_Starters'!D28</f>
        <v>12</v>
      </c>
    </row>
    <row r="35" spans="1:60" s="7" customFormat="1">
      <c r="A35" s="7" t="str">
        <f>'2026_Fantasy_Starters'!A50</f>
        <v xml:space="preserve">LAD </v>
      </c>
      <c r="B35" s="7" t="s">
        <v>148</v>
      </c>
      <c r="C35" s="7" t="str">
        <f>'2026_Fantasy_Starters'!C50</f>
        <v>SP</v>
      </c>
      <c r="D35" s="7" t="str">
        <f>'2026_Fantasy_Starters'!W50</f>
        <v>0.23680777310924364</v>
      </c>
      <c r="E35" s="7" t="str">
        <f>'2026_Fantasy_Starters'!X35</f>
        <v>0.33757417582417576</v>
      </c>
      <c r="F35" s="7" t="str">
        <f>'2026_Fantasy_Starters'!Y50</f>
        <v>0.21055088702147517</v>
      </c>
      <c r="G35" s="8">
        <f t="shared" ref="G35:G66" si="79">(P35-$P$113)/$P$114</f>
        <v>-1.63150494698287</v>
      </c>
      <c r="H35" s="8">
        <f t="shared" si="40"/>
        <v>1.2755058622313107</v>
      </c>
      <c r="I35" s="8">
        <f t="shared" si="41"/>
        <v>1.1387701369262677</v>
      </c>
      <c r="J35" s="8" t="e">
        <f t="shared" si="42"/>
        <v>#REF!</v>
      </c>
      <c r="K35" s="8">
        <f t="shared" si="43"/>
        <v>1.1382894704207667</v>
      </c>
      <c r="L35" s="8">
        <f t="shared" si="44"/>
        <v>-1.4605382762973242</v>
      </c>
      <c r="M35" s="8" t="e">
        <f t="shared" si="45"/>
        <v>#REF!</v>
      </c>
      <c r="N35" s="8" t="e">
        <f t="shared" si="46"/>
        <v>#REF!</v>
      </c>
      <c r="P35" s="7">
        <f t="shared" si="47"/>
        <v>66.184322336510064</v>
      </c>
      <c r="Q35" s="7">
        <f t="shared" si="48"/>
        <v>129.80681036169008</v>
      </c>
      <c r="R35" s="7">
        <f t="shared" si="49"/>
        <v>74.496554969721871</v>
      </c>
      <c r="S35" s="7">
        <f t="shared" si="50"/>
        <v>145.3563602362583</v>
      </c>
      <c r="T35" s="7">
        <f t="shared" si="51"/>
        <v>133.59709518453673</v>
      </c>
      <c r="U35" s="7">
        <f t="shared" si="52"/>
        <v>150.01644757136322</v>
      </c>
      <c r="V35" s="7">
        <f t="shared" si="53"/>
        <v>143.41063626628537</v>
      </c>
      <c r="W35" s="7">
        <f t="shared" si="54"/>
        <v>146.32539207858019</v>
      </c>
      <c r="X35" s="7" t="e">
        <f t="shared" si="55"/>
        <v>#DIV/0!</v>
      </c>
      <c r="Y35" s="7" t="e">
        <f t="shared" si="56"/>
        <v>#REF!</v>
      </c>
      <c r="Z35" s="7">
        <f t="shared" si="57"/>
        <v>137.89188231690508</v>
      </c>
      <c r="AA35" s="7" t="e">
        <f t="shared" si="58"/>
        <v>#REF!</v>
      </c>
      <c r="AB35" s="7">
        <f t="shared" si="59"/>
        <v>146.33666380446036</v>
      </c>
      <c r="AC35" s="7">
        <f t="shared" si="60"/>
        <v>156.88338668982297</v>
      </c>
      <c r="AD35" s="7">
        <f t="shared" si="61"/>
        <v>146.34397725115841</v>
      </c>
      <c r="AE35" s="7" t="e">
        <f t="shared" si="62"/>
        <v>#REF!</v>
      </c>
      <c r="AG35" s="7">
        <f t="shared" si="63"/>
        <v>4.7900949061205816E-2</v>
      </c>
      <c r="AH35" s="7">
        <f t="shared" si="64"/>
        <v>2.556973977861866E-2</v>
      </c>
      <c r="AI35" s="7">
        <f t="shared" si="65"/>
        <v>2.5071219156818838E-2</v>
      </c>
      <c r="AJ35" s="7">
        <f t="shared" si="66"/>
        <v>7.2007195714240777E-3</v>
      </c>
      <c r="AK35" s="7">
        <f t="shared" si="67"/>
        <v>3.577272203548082E-4</v>
      </c>
      <c r="AL35" s="7">
        <f t="shared" si="68"/>
        <v>2.0606514248365988E-3</v>
      </c>
      <c r="AM35" s="7">
        <f t="shared" si="69"/>
        <v>5.8461234177515635E-2</v>
      </c>
      <c r="AN35" s="7">
        <f t="shared" si="70"/>
        <v>1.740044241643322E-2</v>
      </c>
      <c r="AO35" s="7">
        <f t="shared" si="71"/>
        <v>0</v>
      </c>
      <c r="AP35" s="7" t="e">
        <f t="shared" si="72"/>
        <v>#REF!</v>
      </c>
      <c r="AQ35" s="7">
        <f t="shared" si="73"/>
        <v>7.1587301587301502</v>
      </c>
      <c r="AR35" s="7" t="e">
        <f t="shared" si="74"/>
        <v>#REF!</v>
      </c>
      <c r="AS35" s="7">
        <f t="shared" si="75"/>
        <v>190.85752419085776</v>
      </c>
      <c r="AT35" s="7">
        <f t="shared" si="76"/>
        <v>5.4938630238081293E-2</v>
      </c>
      <c r="AU35" s="7">
        <f t="shared" si="77"/>
        <v>21.227722354075858</v>
      </c>
      <c r="AV35" s="7" t="e">
        <f t="shared" si="78"/>
        <v>#REF!</v>
      </c>
      <c r="AX35" s="7" t="str">
        <f>'2026_Fantasy_Starters'!Z50</f>
        <v>0.20227777336983113</v>
      </c>
      <c r="AY35" s="7" t="str">
        <f>'2026_Fantasy_Starters'!AA50</f>
        <v>0.10797677560534702</v>
      </c>
      <c r="AZ35" s="7" t="str">
        <f>'2026_Fantasy_Starters'!AB50</f>
        <v>0.1058716055965491</v>
      </c>
      <c r="BA35" s="7" t="str">
        <f>'2026_Fantasy_Starters'!AC50</f>
        <v>0.034199426434568504</v>
      </c>
      <c r="BB35" s="7">
        <f>'2026_Fantasy_Starters'!AD50</f>
        <v>1.6990060000000001E-3</v>
      </c>
      <c r="BC35" s="7">
        <f>'2026_Fantasy_Starters'!AE50</f>
        <v>9.7869519999999998E-3</v>
      </c>
      <c r="BD35" s="7" t="str">
        <f>'2026_Fantasy_Starters'!AF50</f>
        <v>0.27765845589409954</v>
      </c>
      <c r="BE35" s="7">
        <f>'2026_Fantasy_Starters'!AG50</f>
        <v>8.2642456000000003E-2</v>
      </c>
      <c r="BF35" s="7">
        <f>'2026_Fantasy_Starters'!AH50</f>
        <v>0</v>
      </c>
      <c r="BG35" s="7" t="e">
        <f>'2026_Fantasy_Starters'!#REF!</f>
        <v>#REF!</v>
      </c>
      <c r="BH35" s="7">
        <f>'2026_Fantasy_Starters'!D50</f>
        <v>34</v>
      </c>
    </row>
    <row r="36" spans="1:60" s="7" customFormat="1">
      <c r="A36" s="7" t="str">
        <f>'2026_Fantasy_Starters'!A27</f>
        <v xml:space="preserve">TOR </v>
      </c>
      <c r="B36" s="7" t="s">
        <v>91</v>
      </c>
      <c r="C36" s="7" t="str">
        <f>'2026_Fantasy_Starters'!C27</f>
        <v>SP</v>
      </c>
      <c r="D36" s="7" t="str">
        <f>'2026_Fantasy_Starters'!W27</f>
        <v>0.37529306372159543</v>
      </c>
      <c r="E36" s="7" t="str">
        <f>'2026_Fantasy_Starters'!X36</f>
        <v>0.3474782608695651</v>
      </c>
      <c r="F36" s="7" t="str">
        <f>'2026_Fantasy_Starters'!Y27</f>
        <v>0.5270671116054876</v>
      </c>
      <c r="G36" s="8">
        <f t="shared" si="79"/>
        <v>0.77479685868398229</v>
      </c>
      <c r="H36" s="8">
        <f t="shared" si="40"/>
        <v>0.88420646688601334</v>
      </c>
      <c r="I36" s="8">
        <f t="shared" si="41"/>
        <v>-0.27796950983805579</v>
      </c>
      <c r="J36" s="8" t="e">
        <f t="shared" si="42"/>
        <v>#REF!</v>
      </c>
      <c r="K36" s="8">
        <f t="shared" si="43"/>
        <v>-0.27791907067123472</v>
      </c>
      <c r="L36" s="8">
        <f t="shared" si="44"/>
        <v>0.78613884145437485</v>
      </c>
      <c r="M36" s="8" t="e">
        <f t="shared" si="45"/>
        <v>#REF!</v>
      </c>
      <c r="N36" s="8" t="e">
        <f t="shared" si="46"/>
        <v>#REF!</v>
      </c>
      <c r="P36" s="7">
        <f t="shared" si="47"/>
        <v>116.05896499204255</v>
      </c>
      <c r="Q36" s="7">
        <f t="shared" si="48"/>
        <v>84.351743135936132</v>
      </c>
      <c r="R36" s="7">
        <f t="shared" si="49"/>
        <v>113.72730112902349</v>
      </c>
      <c r="S36" s="7">
        <f t="shared" si="50"/>
        <v>68.480119994413755</v>
      </c>
      <c r="T36" s="7">
        <f t="shared" si="51"/>
        <v>72.213174212454263</v>
      </c>
      <c r="U36" s="7">
        <f t="shared" si="52"/>
        <v>127.72651245444986</v>
      </c>
      <c r="V36" s="7">
        <f t="shared" si="53"/>
        <v>82.04884370184547</v>
      </c>
      <c r="W36" s="7">
        <f t="shared" si="54"/>
        <v>85.579856822084508</v>
      </c>
      <c r="X36" s="7" t="e">
        <f t="shared" si="55"/>
        <v>#DIV/0!</v>
      </c>
      <c r="Y36" s="7" t="e">
        <f t="shared" si="56"/>
        <v>#REF!</v>
      </c>
      <c r="Z36" s="7">
        <f t="shared" si="57"/>
        <v>67.389995349623916</v>
      </c>
      <c r="AA36" s="7" t="e">
        <f t="shared" si="58"/>
        <v>#REF!</v>
      </c>
      <c r="AB36" s="7">
        <f t="shared" si="59"/>
        <v>88.686671644444985</v>
      </c>
      <c r="AC36" s="7">
        <f t="shared" si="60"/>
        <v>139.43271439108292</v>
      </c>
      <c r="AD36" s="7">
        <f t="shared" si="61"/>
        <v>88.687609357914994</v>
      </c>
      <c r="AE36" s="7" t="e">
        <f t="shared" si="62"/>
        <v>#REF!</v>
      </c>
      <c r="AG36" s="7">
        <f t="shared" si="63"/>
        <v>8.3997756174249386E-2</v>
      </c>
      <c r="AH36" s="7">
        <f t="shared" si="64"/>
        <v>4.2127959266450597E-2</v>
      </c>
      <c r="AI36" s="7">
        <f t="shared" si="65"/>
        <v>3.8274012695998415E-2</v>
      </c>
      <c r="AJ36" s="7">
        <f t="shared" si="66"/>
        <v>1.7331162017797535E-2</v>
      </c>
      <c r="AK36" s="7">
        <f t="shared" si="67"/>
        <v>6.8841605821282829E-4</v>
      </c>
      <c r="AL36" s="7">
        <f t="shared" si="68"/>
        <v>2.9795894419725592E-3</v>
      </c>
      <c r="AM36" s="7">
        <f t="shared" si="69"/>
        <v>0.12185276021661538</v>
      </c>
      <c r="AN36" s="7">
        <f t="shared" si="70"/>
        <v>3.7093165460326247E-2</v>
      </c>
      <c r="AO36" s="7">
        <f t="shared" si="71"/>
        <v>0</v>
      </c>
      <c r="AP36" s="7" t="e">
        <f t="shared" si="72"/>
        <v>#REF!</v>
      </c>
      <c r="AQ36" s="7">
        <f t="shared" si="73"/>
        <v>15.284946236559124</v>
      </c>
      <c r="AR36" s="7" t="e">
        <f t="shared" si="74"/>
        <v>#REF!</v>
      </c>
      <c r="AS36" s="7">
        <f t="shared" si="75"/>
        <v>395.89387774871625</v>
      </c>
      <c r="AT36" s="7">
        <f t="shared" si="76"/>
        <v>7.7174050861901905E-2</v>
      </c>
      <c r="AU36" s="7">
        <f t="shared" si="77"/>
        <v>44.038085606515189</v>
      </c>
      <c r="AV36" s="7" t="e">
        <f t="shared" si="78"/>
        <v>#REF!</v>
      </c>
      <c r="AX36" s="7" t="str">
        <f>'2026_Fantasy_Starters'!Z27</f>
        <v>0.22381910110803904</v>
      </c>
      <c r="AY36" s="7" t="str">
        <f>'2026_Fantasy_Starters'!AA27</f>
        <v>0.11225349823598861</v>
      </c>
      <c r="AZ36" s="7" t="str">
        <f>'2026_Fantasy_Starters'!AB27</f>
        <v>0.10198433276771504</v>
      </c>
      <c r="BA36" s="7">
        <f>'2026_Fantasy_Starters'!AC27</f>
        <v>3.2882267999999999E-2</v>
      </c>
      <c r="BB36" s="7">
        <f>'2026_Fantasy_Starters'!AD27</f>
        <v>1.3061259999999999E-3</v>
      </c>
      <c r="BC36" s="7">
        <f>'2026_Fantasy_Starters'!AE27</f>
        <v>5.65315E-3</v>
      </c>
      <c r="BD36" s="7" t="str">
        <f>'2026_Fantasy_Starters'!AF27</f>
        <v>0.23119021759001923</v>
      </c>
      <c r="BE36" s="7">
        <f>'2026_Fantasy_Starters'!AG27</f>
        <v>7.0376550999999996E-2</v>
      </c>
      <c r="BF36" s="7">
        <f>'2026_Fantasy_Starters'!AH27</f>
        <v>0</v>
      </c>
      <c r="BG36" s="7" t="e">
        <f>'2026_Fantasy_Starters'!#REF!</f>
        <v>#REF!</v>
      </c>
      <c r="BH36" s="7">
        <f>'2026_Fantasy_Starters'!D27</f>
        <v>29</v>
      </c>
    </row>
    <row r="37" spans="1:60" s="7" customFormat="1">
      <c r="A37" s="7" t="str">
        <f>'2026_Fantasy_Starters'!A56</f>
        <v xml:space="preserve">CHC </v>
      </c>
      <c r="B37" s="7" t="s">
        <v>160</v>
      </c>
      <c r="C37" s="7" t="str">
        <f>'2026_Fantasy_Starters'!C56</f>
        <v>SP</v>
      </c>
      <c r="D37" s="7" t="str">
        <f>'2026_Fantasy_Starters'!W56</f>
        <v>0.3499061538461538</v>
      </c>
      <c r="E37" s="7" t="str">
        <f>'2026_Fantasy_Starters'!X37</f>
        <v>0.27040044493882087</v>
      </c>
      <c r="F37" s="7" t="str">
        <f>'2026_Fantasy_Starters'!Y56</f>
        <v>0.4807692307692308</v>
      </c>
      <c r="G37" s="8">
        <f t="shared" si="79"/>
        <v>0.51851909170361643</v>
      </c>
      <c r="H37" s="8">
        <f t="shared" si="40"/>
        <v>0.47017365788403487</v>
      </c>
      <c r="I37" s="8">
        <f t="shared" si="41"/>
        <v>-0.41884584921579199</v>
      </c>
      <c r="J37" s="8" t="e">
        <f t="shared" si="42"/>
        <v>#REF!</v>
      </c>
      <c r="K37" s="8">
        <f t="shared" si="43"/>
        <v>-0.41713692861879104</v>
      </c>
      <c r="L37" s="8">
        <f t="shared" si="44"/>
        <v>0.73278955547057112</v>
      </c>
      <c r="M37" s="8" t="e">
        <f t="shared" si="45"/>
        <v>#REF!</v>
      </c>
      <c r="N37" s="8" t="e">
        <f t="shared" si="46"/>
        <v>#REF!</v>
      </c>
      <c r="P37" s="7">
        <f t="shared" si="47"/>
        <v>110.74717824168461</v>
      </c>
      <c r="Q37" s="7">
        <f t="shared" si="48"/>
        <v>84.471565061651276</v>
      </c>
      <c r="R37" s="7">
        <f t="shared" si="49"/>
        <v>112.79573322383868</v>
      </c>
      <c r="S37" s="7">
        <f t="shared" si="50"/>
        <v>38.827769491106523</v>
      </c>
      <c r="T37" s="7">
        <f t="shared" si="51"/>
        <v>129.28486325304135</v>
      </c>
      <c r="U37" s="7">
        <f t="shared" si="52"/>
        <v>126.61243077198556</v>
      </c>
      <c r="V37" s="7">
        <f t="shared" si="53"/>
        <v>95.794321983838074</v>
      </c>
      <c r="W37" s="7">
        <f t="shared" si="54"/>
        <v>119.54337983251796</v>
      </c>
      <c r="X37" s="7" t="e">
        <f t="shared" si="55"/>
        <v>#DIV/0!</v>
      </c>
      <c r="Y37" s="7" t="e">
        <f t="shared" si="56"/>
        <v>#REF!</v>
      </c>
      <c r="Z37" s="7">
        <f t="shared" si="57"/>
        <v>91.551790076635868</v>
      </c>
      <c r="AA37" s="7" t="e">
        <f t="shared" si="58"/>
        <v>#REF!</v>
      </c>
      <c r="AB37" s="7">
        <f t="shared" si="59"/>
        <v>83.019491856768951</v>
      </c>
      <c r="AC37" s="7">
        <f t="shared" si="60"/>
        <v>120.96820625034172</v>
      </c>
      <c r="AD37" s="7">
        <f t="shared" si="61"/>
        <v>82.954433139428502</v>
      </c>
      <c r="AE37" s="7" t="e">
        <f t="shared" si="62"/>
        <v>#REF!</v>
      </c>
      <c r="AG37" s="7">
        <f t="shared" si="63"/>
        <v>8.0153346840280512E-2</v>
      </c>
      <c r="AH37" s="7">
        <f t="shared" si="64"/>
        <v>4.2084310937088497E-2</v>
      </c>
      <c r="AI37" s="7">
        <f t="shared" si="65"/>
        <v>3.7960500975626386E-2</v>
      </c>
      <c r="AJ37" s="7">
        <f t="shared" si="66"/>
        <v>2.123862977673641E-2</v>
      </c>
      <c r="AK37" s="7">
        <f t="shared" si="67"/>
        <v>3.8095817307692246E-4</v>
      </c>
      <c r="AL37" s="7">
        <f t="shared" si="68"/>
        <v>3.0255192307692262E-3</v>
      </c>
      <c r="AM37" s="7">
        <f t="shared" si="69"/>
        <v>0.1076526071895056</v>
      </c>
      <c r="AN37" s="7">
        <f t="shared" si="70"/>
        <v>2.608273894230765E-2</v>
      </c>
      <c r="AO37" s="7">
        <f t="shared" si="71"/>
        <v>0</v>
      </c>
      <c r="AP37" s="7" t="e">
        <f t="shared" si="72"/>
        <v>#REF!</v>
      </c>
      <c r="AQ37" s="7">
        <f t="shared" si="73"/>
        <v>12.49999999999998</v>
      </c>
      <c r="AR37" s="7" t="e">
        <f t="shared" si="74"/>
        <v>#REF!</v>
      </c>
      <c r="AS37" s="7">
        <f t="shared" si="75"/>
        <v>416.04961125509152</v>
      </c>
      <c r="AT37" s="7">
        <f t="shared" si="76"/>
        <v>0.10070128798450736</v>
      </c>
      <c r="AU37" s="7">
        <f t="shared" si="77"/>
        <v>46.306279683118625</v>
      </c>
      <c r="AV37" s="7" t="e">
        <f t="shared" si="78"/>
        <v>#REF!</v>
      </c>
      <c r="AX37" s="7" t="str">
        <f>'2026_Fantasy_Starters'!Z56</f>
        <v>0.22907098363157818</v>
      </c>
      <c r="AY37" s="7" t="str">
        <f>'2026_Fantasy_Starters'!AA56</f>
        <v>0.12027313745271377</v>
      </c>
      <c r="AZ37" s="7" t="str">
        <f>'2026_Fantasy_Starters'!AB56</f>
        <v>0.10848766321588398</v>
      </c>
      <c r="BA37" s="7" t="str">
        <f>'2026_Fantasy_Starters'!AC56</f>
        <v>0.044176349935611814</v>
      </c>
      <c r="BB37" s="7">
        <f>'2026_Fantasy_Starters'!AD56</f>
        <v>7.9239299999999996E-4</v>
      </c>
      <c r="BC37" s="7">
        <f>'2026_Fantasy_Starters'!AE56</f>
        <v>6.2930800000000004E-3</v>
      </c>
      <c r="BD37" s="7" t="str">
        <f>'2026_Fantasy_Starters'!AF56</f>
        <v>0.22391742295417294</v>
      </c>
      <c r="BE37" s="7">
        <f>'2026_Fantasy_Starters'!AG56</f>
        <v>5.4252096999999999E-2</v>
      </c>
      <c r="BF37" s="7">
        <f>'2026_Fantasy_Starters'!AH56</f>
        <v>0</v>
      </c>
      <c r="BG37" s="7" t="e">
        <f>'2026_Fantasy_Starters'!#REF!</f>
        <v>#REF!</v>
      </c>
      <c r="BH37" s="7">
        <f>'2026_Fantasy_Starters'!D56</f>
        <v>26</v>
      </c>
    </row>
    <row r="38" spans="1:60" s="7" customFormat="1">
      <c r="A38" s="7" t="str">
        <f>'2026_Fantasy_Starters'!A21</f>
        <v xml:space="preserve">BAL </v>
      </c>
      <c r="B38" s="7" t="s">
        <v>73</v>
      </c>
      <c r="C38" s="7" t="str">
        <f>'2026_Fantasy_Starters'!C21</f>
        <v>SP</v>
      </c>
      <c r="D38" s="7" t="str">
        <f>'2026_Fantasy_Starters'!W21</f>
        <v>0.33620192307692304</v>
      </c>
      <c r="E38" s="7" t="str">
        <f>'2026_Fantasy_Starters'!X38</f>
        <v>0.3068357142857143</v>
      </c>
      <c r="F38" s="7" t="str">
        <f>'2026_Fantasy_Starters'!Y21</f>
        <v>0.47702991452991456</v>
      </c>
      <c r="G38" s="8">
        <f t="shared" si="79"/>
        <v>-4.7571584753193411E-2</v>
      </c>
      <c r="H38" s="8">
        <f t="shared" si="40"/>
        <v>-0.33208306821253297</v>
      </c>
      <c r="I38" s="8">
        <f t="shared" si="41"/>
        <v>0.13714016438689156</v>
      </c>
      <c r="J38" s="8" t="e">
        <f t="shared" si="42"/>
        <v>#REF!</v>
      </c>
      <c r="K38" s="8">
        <f t="shared" si="43"/>
        <v>0.13708774396414164</v>
      </c>
      <c r="L38" s="8">
        <f t="shared" si="44"/>
        <v>-0.24589065323519407</v>
      </c>
      <c r="M38" s="8" t="e">
        <f t="shared" si="45"/>
        <v>#REF!</v>
      </c>
      <c r="N38" s="8" t="e">
        <f t="shared" si="46"/>
        <v>#REF!</v>
      </c>
      <c r="P38" s="7">
        <f t="shared" si="47"/>
        <v>99.013999081688198</v>
      </c>
      <c r="Q38" s="7">
        <f t="shared" si="48"/>
        <v>103.79758442760551</v>
      </c>
      <c r="R38" s="7">
        <f t="shared" si="49"/>
        <v>95.70633727303543</v>
      </c>
      <c r="S38" s="7">
        <f t="shared" si="50"/>
        <v>101.36275751481986</v>
      </c>
      <c r="T38" s="7">
        <f t="shared" si="51"/>
        <v>120.08268069144088</v>
      </c>
      <c r="U38" s="7">
        <f t="shared" si="52"/>
        <v>79.024284756486082</v>
      </c>
      <c r="V38" s="7">
        <f t="shared" si="53"/>
        <v>82.770219671848366</v>
      </c>
      <c r="W38" s="7">
        <f t="shared" si="54"/>
        <v>84.351373151673002</v>
      </c>
      <c r="X38" s="7" t="e">
        <f t="shared" si="55"/>
        <v>#DIV/0!</v>
      </c>
      <c r="Y38" s="7" t="e">
        <f t="shared" si="56"/>
        <v>#REF!</v>
      </c>
      <c r="Z38" s="7">
        <f t="shared" si="57"/>
        <v>100.67256260352389</v>
      </c>
      <c r="AA38" s="7" t="e">
        <f t="shared" si="58"/>
        <v>#REF!</v>
      </c>
      <c r="AB38" s="7">
        <f t="shared" si="59"/>
        <v>105.58046864953461</v>
      </c>
      <c r="AC38" s="7">
        <f t="shared" si="60"/>
        <v>85.190182074717328</v>
      </c>
      <c r="AD38" s="7">
        <f t="shared" si="61"/>
        <v>105.5811269126894</v>
      </c>
      <c r="AE38" s="7" t="e">
        <f t="shared" si="62"/>
        <v>#REF!</v>
      </c>
      <c r="AG38" s="7">
        <f t="shared" si="63"/>
        <v>7.1661450309084176E-2</v>
      </c>
      <c r="AH38" s="7">
        <f t="shared" si="64"/>
        <v>3.5044293398488253E-2</v>
      </c>
      <c r="AI38" s="7">
        <f t="shared" si="65"/>
        <v>3.2209201585817297E-2</v>
      </c>
      <c r="AJ38" s="7">
        <f t="shared" si="66"/>
        <v>1.2998019998397422E-2</v>
      </c>
      <c r="AK38" s="7">
        <f t="shared" si="67"/>
        <v>4.3053237767093968E-4</v>
      </c>
      <c r="AL38" s="7">
        <f t="shared" si="68"/>
        <v>4.9874162174265548E-3</v>
      </c>
      <c r="AM38" s="7">
        <f t="shared" si="69"/>
        <v>0.12110752247704974</v>
      </c>
      <c r="AN38" s="7">
        <f t="shared" si="70"/>
        <v>3.7491420057692265E-2</v>
      </c>
      <c r="AO38" s="7">
        <f t="shared" si="71"/>
        <v>0</v>
      </c>
      <c r="AP38" s="7" t="e">
        <f t="shared" si="72"/>
        <v>#REF!</v>
      </c>
      <c r="AQ38" s="7">
        <f t="shared" si="73"/>
        <v>11.448717948717936</v>
      </c>
      <c r="AR38" s="7" t="e">
        <f t="shared" si="74"/>
        <v>#REF!</v>
      </c>
      <c r="AS38" s="7">
        <f t="shared" si="75"/>
        <v>335.80987069359156</v>
      </c>
      <c r="AT38" s="7">
        <f t="shared" si="76"/>
        <v>0.14628918299596025</v>
      </c>
      <c r="AU38" s="7">
        <f t="shared" si="77"/>
        <v>37.354569351218387</v>
      </c>
      <c r="AV38" s="7" t="e">
        <f t="shared" si="78"/>
        <v>#REF!</v>
      </c>
      <c r="AX38" s="7" t="str">
        <f>'2026_Fantasy_Starters'!Z21</f>
        <v>0.21315003094937196</v>
      </c>
      <c r="AY38" s="7" t="str">
        <f>'2026_Fantasy_Starters'!AA21</f>
        <v>0.10423585052031481</v>
      </c>
      <c r="AZ38" s="7">
        <f>'2026_Fantasy_Starters'!AB21</f>
        <v>9.5803145000000006E-2</v>
      </c>
      <c r="BA38" s="7">
        <f>'2026_Fantasy_Starters'!AC21</f>
        <v>2.7247809000000001E-2</v>
      </c>
      <c r="BB38" s="7">
        <f>'2026_Fantasy_Starters'!AD21</f>
        <v>9.0252699999999997E-4</v>
      </c>
      <c r="BC38" s="7" t="str">
        <f>'2026_Fantasy_Starters'!AE21</f>
        <v>0.010455143515142833</v>
      </c>
      <c r="BD38" s="7" t="str">
        <f>'2026_Fantasy_Starters'!AF21</f>
        <v>0.25387825540541775</v>
      </c>
      <c r="BE38" s="7">
        <f>'2026_Fantasy_Starters'!AG21</f>
        <v>7.8593436000000003E-2</v>
      </c>
      <c r="BF38" s="7">
        <f>'2026_Fantasy_Starters'!AH21</f>
        <v>0</v>
      </c>
      <c r="BG38" s="7" t="e">
        <f>'2026_Fantasy_Starters'!#REF!</f>
        <v>#REF!</v>
      </c>
      <c r="BH38" s="7">
        <f>'2026_Fantasy_Starters'!D21</f>
        <v>24</v>
      </c>
    </row>
    <row r="39" spans="1:60" s="7" customFormat="1">
      <c r="A39" s="7" t="str">
        <f>'2026_Fantasy_Starters'!A20</f>
        <v xml:space="preserve">DET </v>
      </c>
      <c r="B39" s="7" t="s">
        <v>71</v>
      </c>
      <c r="C39" s="7" t="str">
        <f>'2026_Fantasy_Starters'!C20</f>
        <v>SP</v>
      </c>
      <c r="D39" s="7" t="str">
        <f>'2026_Fantasy_Starters'!W20</f>
        <v>0.4270296625880608</v>
      </c>
      <c r="E39" s="7" t="str">
        <f>'2026_Fantasy_Starters'!X39</f>
        <v>0.32449425287356326</v>
      </c>
      <c r="F39" s="7">
        <f>'2026_Fantasy_Starters'!Y20</f>
        <v>0.582313682</v>
      </c>
      <c r="G39" s="8">
        <f t="shared" si="79"/>
        <v>1.4191983531620791</v>
      </c>
      <c r="H39" s="8">
        <f t="shared" si="40"/>
        <v>-0.7688916014585786</v>
      </c>
      <c r="I39" s="8">
        <f t="shared" si="41"/>
        <v>-0.77738807253380093</v>
      </c>
      <c r="J39" s="8" t="e">
        <f t="shared" si="42"/>
        <v>#REF!</v>
      </c>
      <c r="K39" s="8">
        <f t="shared" si="43"/>
        <v>-0.77853017734295626</v>
      </c>
      <c r="L39" s="8">
        <f t="shared" si="44"/>
        <v>0.86700042187401061</v>
      </c>
      <c r="M39" s="8" t="e">
        <f t="shared" si="45"/>
        <v>#REF!</v>
      </c>
      <c r="N39" s="8" t="e">
        <f t="shared" si="46"/>
        <v>#REF!</v>
      </c>
      <c r="P39" s="7">
        <f t="shared" si="47"/>
        <v>129.41526725973731</v>
      </c>
      <c r="Q39" s="7">
        <f t="shared" si="48"/>
        <v>81.235389825747475</v>
      </c>
      <c r="R39" s="7">
        <f t="shared" si="49"/>
        <v>115.13927978426401</v>
      </c>
      <c r="S39" s="7">
        <f t="shared" si="50"/>
        <v>107.05587923401404</v>
      </c>
      <c r="T39" s="7">
        <f t="shared" si="51"/>
        <v>130.71045182183693</v>
      </c>
      <c r="U39" s="7">
        <f t="shared" si="52"/>
        <v>50.354347845325449</v>
      </c>
      <c r="V39" s="7">
        <f t="shared" si="53"/>
        <v>75.786306919796729</v>
      </c>
      <c r="W39" s="7">
        <f t="shared" si="54"/>
        <v>56.37198709538071</v>
      </c>
      <c r="X39" s="7" t="e">
        <f t="shared" si="55"/>
        <v>#DIV/0!</v>
      </c>
      <c r="Y39" s="7" t="e">
        <f t="shared" si="56"/>
        <v>#REF!</v>
      </c>
      <c r="Z39" s="7">
        <f t="shared" si="57"/>
        <v>53.489966689862975</v>
      </c>
      <c r="AA39" s="7" t="e">
        <f t="shared" si="58"/>
        <v>#REF!</v>
      </c>
      <c r="AB39" s="7">
        <f t="shared" si="59"/>
        <v>68.308157084302593</v>
      </c>
      <c r="AC39" s="7">
        <f t="shared" si="60"/>
        <v>65.709951178261264</v>
      </c>
      <c r="AD39" s="7">
        <f t="shared" si="61"/>
        <v>68.363013763188363</v>
      </c>
      <c r="AE39" s="7" t="e">
        <f t="shared" si="62"/>
        <v>#REF!</v>
      </c>
      <c r="AG39" s="7">
        <f t="shared" si="63"/>
        <v>9.3664389177122706E-2</v>
      </c>
      <c r="AH39" s="7">
        <f t="shared" si="64"/>
        <v>4.3263174001816757E-2</v>
      </c>
      <c r="AI39" s="7">
        <f t="shared" si="65"/>
        <v>3.8749202808140829E-2</v>
      </c>
      <c r="AJ39" s="7">
        <f t="shared" si="66"/>
        <v>1.2247803263876334E-2</v>
      </c>
      <c r="AK39" s="7">
        <f t="shared" si="67"/>
        <v>3.7327821031773203E-4</v>
      </c>
      <c r="AL39" s="7">
        <f t="shared" si="68"/>
        <v>6.1693799530035181E-3</v>
      </c>
      <c r="AM39" s="7">
        <f t="shared" si="69"/>
        <v>0.12832245001704221</v>
      </c>
      <c r="AN39" s="7">
        <f t="shared" si="70"/>
        <v>4.6561885865890204E-2</v>
      </c>
      <c r="AO39" s="7">
        <f t="shared" si="71"/>
        <v>0</v>
      </c>
      <c r="AP39" s="7" t="e">
        <f t="shared" si="72"/>
        <v>#REF!</v>
      </c>
      <c r="AQ39" s="7">
        <f t="shared" si="73"/>
        <v>16.887096778</v>
      </c>
      <c r="AR39" s="7" t="e">
        <f t="shared" si="74"/>
        <v>#REF!</v>
      </c>
      <c r="AS39" s="7">
        <f t="shared" si="75"/>
        <v>468.37153402904642</v>
      </c>
      <c r="AT39" s="7">
        <f t="shared" si="76"/>
        <v>0.17111064089836556</v>
      </c>
      <c r="AU39" s="7">
        <f t="shared" si="77"/>
        <v>52.079025842866287</v>
      </c>
      <c r="AV39" s="7" t="e">
        <f t="shared" si="78"/>
        <v>#REF!</v>
      </c>
      <c r="AX39" s="7" t="str">
        <f>'2026_Fantasy_Starters'!Z20</f>
        <v>0.21933930446297226</v>
      </c>
      <c r="AY39" s="7" t="str">
        <f>'2026_Fantasy_Starters'!AA20</f>
        <v>0.10131187079514775</v>
      </c>
      <c r="AZ39" s="7">
        <f>'2026_Fantasy_Starters'!AB20</f>
        <v>9.0741243999999999E-2</v>
      </c>
      <c r="BA39" s="7" t="str">
        <f>'2026_Fantasy_Starters'!AC20</f>
        <v>0.021032999296548137</v>
      </c>
      <c r="BB39" s="7">
        <f>'2026_Fantasy_Starters'!AD20</f>
        <v>6.4102600000000005E-4</v>
      </c>
      <c r="BC39" s="7">
        <f>'2026_Fantasy_Starters'!AE20</f>
        <v>1.0594599E-2</v>
      </c>
      <c r="BD39" s="7" t="str">
        <f>'2026_Fantasy_Starters'!AF20</f>
        <v>0.22036653780194487</v>
      </c>
      <c r="BE39" s="7">
        <f>'2026_Fantasy_Starters'!AG20</f>
        <v>7.9960143999999997E-2</v>
      </c>
      <c r="BF39" s="7">
        <f>'2026_Fantasy_Starters'!AH20</f>
        <v>0</v>
      </c>
      <c r="BG39" s="7" t="e">
        <f>'2026_Fantasy_Starters'!#REF!</f>
        <v>#REF!</v>
      </c>
      <c r="BH39" s="7">
        <f>'2026_Fantasy_Starters'!D20</f>
        <v>29</v>
      </c>
    </row>
    <row r="40" spans="1:60" s="7" customFormat="1">
      <c r="A40" s="7" t="str">
        <f>'2026_Fantasy_Starters'!A41</f>
        <v xml:space="preserve">CIN </v>
      </c>
      <c r="B40" s="7" t="s">
        <v>126</v>
      </c>
      <c r="C40" s="7" t="str">
        <f>'2026_Fantasy_Starters'!C41</f>
        <v>SP</v>
      </c>
      <c r="D40" s="7" t="str">
        <f>'2026_Fantasy_Starters'!W41</f>
        <v>0.3247664835164835</v>
      </c>
      <c r="E40" s="7" t="str">
        <f>'2026_Fantasy_Starters'!X40</f>
        <v>0.3164648275862069</v>
      </c>
      <c r="F40" s="7" t="str">
        <f>'2026_Fantasy_Starters'!Y41</f>
        <v>0.4615384615384615</v>
      </c>
      <c r="G40" s="8">
        <f t="shared" si="79"/>
        <v>-3.7583807120443326E-2</v>
      </c>
      <c r="H40" s="8">
        <f t="shared" si="40"/>
        <v>-2.241124194163683</v>
      </c>
      <c r="I40" s="8">
        <f t="shared" si="41"/>
        <v>9.902765379110233E-2</v>
      </c>
      <c r="J40" s="8" t="e">
        <f t="shared" si="42"/>
        <v>#REF!</v>
      </c>
      <c r="K40" s="8">
        <f t="shared" si="43"/>
        <v>9.9372979116027299E-2</v>
      </c>
      <c r="L40" s="8">
        <f t="shared" si="44"/>
        <v>0.31711471344856118</v>
      </c>
      <c r="M40" s="8" t="e">
        <f t="shared" si="45"/>
        <v>#REF!</v>
      </c>
      <c r="N40" s="8" t="e">
        <f t="shared" si="46"/>
        <v>#REF!</v>
      </c>
      <c r="P40" s="7">
        <f t="shared" si="47"/>
        <v>99.22101253244621</v>
      </c>
      <c r="Q40" s="7">
        <f t="shared" si="48"/>
        <v>99.418537679315065</v>
      </c>
      <c r="R40" s="7">
        <f t="shared" si="49"/>
        <v>105.53735413441603</v>
      </c>
      <c r="S40" s="7">
        <f t="shared" si="50"/>
        <v>81.609233282412731</v>
      </c>
      <c r="T40" s="7">
        <f t="shared" si="51"/>
        <v>65.651933217800575</v>
      </c>
      <c r="U40" s="7">
        <f t="shared" si="52"/>
        <v>-17.296723155384967</v>
      </c>
      <c r="V40" s="7">
        <f t="shared" si="53"/>
        <v>92.922062109187934</v>
      </c>
      <c r="W40" s="7">
        <f t="shared" si="54"/>
        <v>108.73736719114753</v>
      </c>
      <c r="X40" s="7" t="e">
        <f t="shared" si="55"/>
        <v>#DIV/0!</v>
      </c>
      <c r="Y40" s="7" t="e">
        <f t="shared" si="56"/>
        <v>#REF!</v>
      </c>
      <c r="Z40" s="7">
        <f t="shared" si="57"/>
        <v>95.889718473570397</v>
      </c>
      <c r="AA40" s="7" t="e">
        <f t="shared" si="58"/>
        <v>#REF!</v>
      </c>
      <c r="AB40" s="7">
        <f t="shared" si="59"/>
        <v>104.04520330214862</v>
      </c>
      <c r="AC40" s="7">
        <f t="shared" si="60"/>
        <v>5.3196201295108381E-2</v>
      </c>
      <c r="AD40" s="7">
        <f t="shared" si="61"/>
        <v>104.03008051029313</v>
      </c>
      <c r="AE40" s="7" t="e">
        <f t="shared" si="62"/>
        <v>#REF!</v>
      </c>
      <c r="AG40" s="7">
        <f t="shared" si="63"/>
        <v>7.1811276437231661E-2</v>
      </c>
      <c r="AH40" s="7">
        <f t="shared" si="64"/>
        <v>3.6639477865943793E-2</v>
      </c>
      <c r="AI40" s="7">
        <f t="shared" si="65"/>
        <v>3.5517751603549405E-2</v>
      </c>
      <c r="AJ40" s="7">
        <f t="shared" si="66"/>
        <v>1.5601060153846137E-2</v>
      </c>
      <c r="AK40" s="7">
        <f t="shared" si="67"/>
        <v>7.2376292307692227E-4</v>
      </c>
      <c r="AL40" s="7">
        <f t="shared" si="68"/>
        <v>8.9584029230769125E-3</v>
      </c>
      <c r="AM40" s="7">
        <f t="shared" si="69"/>
        <v>0.1106198760554491</v>
      </c>
      <c r="AN40" s="7">
        <f t="shared" si="70"/>
        <v>2.9585873999999967E-2</v>
      </c>
      <c r="AO40" s="7">
        <f t="shared" si="71"/>
        <v>0</v>
      </c>
      <c r="AP40" s="7" t="e">
        <f t="shared" si="72"/>
        <v>#REF!</v>
      </c>
      <c r="AQ40" s="7">
        <f t="shared" si="73"/>
        <v>11.999999999999986</v>
      </c>
      <c r="AR40" s="7" t="e">
        <f t="shared" si="74"/>
        <v>#REF!</v>
      </c>
      <c r="AS40" s="7">
        <f t="shared" si="75"/>
        <v>341.27015259090791</v>
      </c>
      <c r="AT40" s="7">
        <f t="shared" si="76"/>
        <v>0.25476962771077477</v>
      </c>
      <c r="AU40" s="7">
        <f t="shared" si="77"/>
        <v>37.968203771020164</v>
      </c>
      <c r="AV40" s="7" t="e">
        <f t="shared" si="78"/>
        <v>#REF!</v>
      </c>
      <c r="AX40" s="7" t="str">
        <f>'2026_Fantasy_Starters'!Z41</f>
        <v>0.2211166486753155</v>
      </c>
      <c r="AY40" s="7" t="str">
        <f>'2026_Fantasy_Starters'!AA41</f>
        <v>0.11281791602760735</v>
      </c>
      <c r="AZ40" s="7" t="str">
        <f>'2026_Fantasy_Starters'!AB41</f>
        <v>0.10936396890151096</v>
      </c>
      <c r="BA40" s="7">
        <f>'2026_Fantasy_Starters'!AC41</f>
        <v>3.3802297000000002E-2</v>
      </c>
      <c r="BB40" s="7">
        <f>'2026_Fantasy_Starters'!AD41</f>
        <v>1.5681530000000001E-3</v>
      </c>
      <c r="BC40" s="7">
        <f>'2026_Fantasy_Starters'!AE41</f>
        <v>1.9409873000000001E-2</v>
      </c>
      <c r="BD40" s="7" t="str">
        <f>'2026_Fantasy_Starters'!AF41</f>
        <v>0.2396763981201409</v>
      </c>
      <c r="BE40" s="7">
        <f>'2026_Fantasy_Starters'!AG41</f>
        <v>6.4102726999999998E-2</v>
      </c>
      <c r="BF40" s="7">
        <f>'2026_Fantasy_Starters'!AH41</f>
        <v>0</v>
      </c>
      <c r="BG40" s="7" t="e">
        <f>'2026_Fantasy_Starters'!#REF!</f>
        <v>#REF!</v>
      </c>
      <c r="BH40" s="7">
        <f>'2026_Fantasy_Starters'!D41</f>
        <v>26</v>
      </c>
    </row>
    <row r="41" spans="1:60" s="7" customFormat="1">
      <c r="A41" s="7" t="str">
        <f>'2026_Fantasy_Starters'!A34</f>
        <v xml:space="preserve">MIA </v>
      </c>
      <c r="B41" s="7" t="s">
        <v>110</v>
      </c>
      <c r="C41" s="7" t="str">
        <f>'2026_Fantasy_Starters'!C34</f>
        <v>SP</v>
      </c>
      <c r="D41" s="7" t="str">
        <f>'2026_Fantasy_Starters'!W34</f>
        <v>0.2953562271062271</v>
      </c>
      <c r="E41" s="7" t="str">
        <f>'2026_Fantasy_Starters'!X41</f>
        <v>0.34946703296703296</v>
      </c>
      <c r="F41" s="7" t="str">
        <f>'2026_Fantasy_Starters'!Y34</f>
        <v>0.43496472663139335</v>
      </c>
      <c r="G41" s="8">
        <f t="shared" si="79"/>
        <v>-0.79338027743378714</v>
      </c>
      <c r="H41" s="8">
        <f t="shared" si="40"/>
        <v>0.62223106826184615</v>
      </c>
      <c r="I41" s="8">
        <f t="shared" si="41"/>
        <v>0.36732483120098736</v>
      </c>
      <c r="J41" s="8" t="e">
        <f t="shared" si="42"/>
        <v>#REF!</v>
      </c>
      <c r="K41" s="8">
        <f t="shared" si="43"/>
        <v>0.36750556330542672</v>
      </c>
      <c r="L41" s="8">
        <f t="shared" si="44"/>
        <v>-0.24325038201509405</v>
      </c>
      <c r="M41" s="8" t="e">
        <f t="shared" si="45"/>
        <v>#REF!</v>
      </c>
      <c r="N41" s="8" t="e">
        <f t="shared" si="46"/>
        <v>#REF!</v>
      </c>
      <c r="P41" s="7">
        <f t="shared" si="47"/>
        <v>83.555862471710398</v>
      </c>
      <c r="Q41" s="7">
        <f t="shared" si="48"/>
        <v>109.93132654981227</v>
      </c>
      <c r="R41" s="7">
        <f t="shared" si="49"/>
        <v>95.752440831579307</v>
      </c>
      <c r="S41" s="7">
        <f t="shared" si="50"/>
        <v>86.330422814504757</v>
      </c>
      <c r="T41" s="7">
        <f t="shared" si="51"/>
        <v>131.34348762055055</v>
      </c>
      <c r="U41" s="7">
        <f t="shared" si="52"/>
        <v>113.29173070265306</v>
      </c>
      <c r="V41" s="7">
        <f t="shared" si="53"/>
        <v>91.807825240086245</v>
      </c>
      <c r="W41" s="7">
        <f t="shared" si="54"/>
        <v>93.248083821799923</v>
      </c>
      <c r="X41" s="7" t="e">
        <f t="shared" si="55"/>
        <v>#DIV/0!</v>
      </c>
      <c r="Y41" s="7" t="e">
        <f t="shared" si="56"/>
        <v>#REF!</v>
      </c>
      <c r="Z41" s="7">
        <f t="shared" si="57"/>
        <v>98.110324676763042</v>
      </c>
      <c r="AA41" s="7" t="e">
        <f t="shared" si="58"/>
        <v>#REF!</v>
      </c>
      <c r="AB41" s="7">
        <f t="shared" si="59"/>
        <v>114.9601504500061</v>
      </c>
      <c r="AC41" s="7">
        <f t="shared" si="60"/>
        <v>127.74946906511471</v>
      </c>
      <c r="AD41" s="7">
        <f t="shared" si="61"/>
        <v>114.94884091965466</v>
      </c>
      <c r="AE41" s="7" t="e">
        <f t="shared" si="62"/>
        <v>#REF!</v>
      </c>
      <c r="AG41" s="7">
        <f t="shared" si="63"/>
        <v>6.0473613247447627E-2</v>
      </c>
      <c r="AH41" s="7">
        <f t="shared" si="64"/>
        <v>3.2809914383342603E-2</v>
      </c>
      <c r="AI41" s="7">
        <f t="shared" si="65"/>
        <v>3.2224717369340877E-2</v>
      </c>
      <c r="AJ41" s="7">
        <f t="shared" si="66"/>
        <v>1.4978920742724859E-2</v>
      </c>
      <c r="AK41" s="7">
        <f t="shared" si="67"/>
        <v>3.6986790564373873E-4</v>
      </c>
      <c r="AL41" s="7">
        <f t="shared" si="68"/>
        <v>3.5746862716049357E-3</v>
      </c>
      <c r="AM41" s="7">
        <f t="shared" si="69"/>
        <v>0.11177096979879449</v>
      </c>
      <c r="AN41" s="7">
        <f t="shared" si="70"/>
        <v>3.4607249912698396E-2</v>
      </c>
      <c r="AO41" s="7">
        <f t="shared" si="71"/>
        <v>0</v>
      </c>
      <c r="AP41" s="7" t="e">
        <f t="shared" si="72"/>
        <v>#REF!</v>
      </c>
      <c r="AQ41" s="7">
        <f t="shared" si="73"/>
        <v>11.744047619047612</v>
      </c>
      <c r="AR41" s="7" t="e">
        <f t="shared" si="74"/>
        <v>#REF!</v>
      </c>
      <c r="AS41" s="7">
        <f t="shared" si="75"/>
        <v>302.45035611527817</v>
      </c>
      <c r="AT41" s="7">
        <f t="shared" si="76"/>
        <v>9.206069073611152E-2</v>
      </c>
      <c r="AU41" s="7">
        <f t="shared" si="77"/>
        <v>33.648457309275457</v>
      </c>
      <c r="AV41" s="7" t="e">
        <f t="shared" si="78"/>
        <v>#REF!</v>
      </c>
      <c r="AX41" s="7" t="str">
        <f>'2026_Fantasy_Starters'!Z34</f>
        <v>0.20474805572898286</v>
      </c>
      <c r="AY41" s="7" t="str">
        <f>'2026_Fantasy_Starters'!AA34</f>
        <v>0.11108590702420623</v>
      </c>
      <c r="AZ41" s="7" t="str">
        <f>'2026_Fantasy_Starters'!AB34</f>
        <v>0.10910458088209299</v>
      </c>
      <c r="BA41" s="7">
        <f>'2026_Fantasy_Starters'!AC34</f>
        <v>3.4437093000000002E-2</v>
      </c>
      <c r="BB41" s="7">
        <f>'2026_Fantasy_Starters'!AD34</f>
        <v>8.5033999999999999E-4</v>
      </c>
      <c r="BC41" s="7">
        <f>'2026_Fantasy_Starters'!AE34</f>
        <v>8.2183359999999997E-3</v>
      </c>
      <c r="BD41" s="7" t="str">
        <f>'2026_Fantasy_Starters'!AF34</f>
        <v>0.25696559503666105</v>
      </c>
      <c r="BE41" s="7">
        <f>'2026_Fantasy_Starters'!AG34</f>
        <v>7.9563348000000006E-2</v>
      </c>
      <c r="BF41" s="7">
        <f>'2026_Fantasy_Starters'!AH34</f>
        <v>0</v>
      </c>
      <c r="BG41" s="7" t="e">
        <f>'2026_Fantasy_Starters'!#REF!</f>
        <v>#REF!</v>
      </c>
      <c r="BH41" s="7">
        <f>'2026_Fantasy_Starters'!D34</f>
        <v>27</v>
      </c>
    </row>
    <row r="42" spans="1:60" s="7" customFormat="1">
      <c r="A42" s="7" t="str">
        <f>'2026_Fantasy_Starters'!A63</f>
        <v xml:space="preserve">PHI </v>
      </c>
      <c r="B42" s="7" t="s">
        <v>177</v>
      </c>
      <c r="C42" s="7" t="str">
        <f>'2026_Fantasy_Starters'!C63</f>
        <v>SP</v>
      </c>
      <c r="D42" s="7" t="str">
        <f>'2026_Fantasy_Starters'!W63</f>
        <v>0.3619648617511521</v>
      </c>
      <c r="E42" s="7" t="str">
        <f>'2026_Fantasy_Starters'!X42</f>
        <v>0.2874107142857143</v>
      </c>
      <c r="F42" s="7" t="str">
        <f>'2026_Fantasy_Starters'!Y63</f>
        <v>0.4961597542242704</v>
      </c>
      <c r="G42" s="8">
        <f t="shared" si="79"/>
        <v>0.66719757527456169</v>
      </c>
      <c r="H42" s="8">
        <f t="shared" si="40"/>
        <v>0.22646765480503456</v>
      </c>
      <c r="I42" s="8">
        <f t="shared" si="41"/>
        <v>-0.54882702302320452</v>
      </c>
      <c r="J42" s="8" t="e">
        <f t="shared" si="42"/>
        <v>#REF!</v>
      </c>
      <c r="K42" s="8">
        <f t="shared" si="43"/>
        <v>-0.54823595151131255</v>
      </c>
      <c r="L42" s="8">
        <f t="shared" si="44"/>
        <v>1.1080748948948695</v>
      </c>
      <c r="M42" s="8" t="e">
        <f t="shared" si="45"/>
        <v>#REF!</v>
      </c>
      <c r="N42" s="8" t="e">
        <f t="shared" si="46"/>
        <v>#REF!</v>
      </c>
      <c r="P42" s="7">
        <f t="shared" si="47"/>
        <v>113.82878929363342</v>
      </c>
      <c r="Q42" s="7">
        <f t="shared" si="48"/>
        <v>84.318011423350526</v>
      </c>
      <c r="R42" s="7">
        <f t="shared" si="49"/>
        <v>119.34884393651437</v>
      </c>
      <c r="S42" s="7">
        <f t="shared" si="50"/>
        <v>63.906498019831879</v>
      </c>
      <c r="T42" s="7">
        <f t="shared" si="51"/>
        <v>73.463212311996088</v>
      </c>
      <c r="U42" s="7">
        <f t="shared" si="52"/>
        <v>111.26861120208078</v>
      </c>
      <c r="V42" s="7">
        <f t="shared" si="53"/>
        <v>86.742912845971887</v>
      </c>
      <c r="W42" s="7">
        <f t="shared" si="54"/>
        <v>97.735973707538662</v>
      </c>
      <c r="X42" s="7" t="e">
        <f t="shared" si="55"/>
        <v>#DIV/0!</v>
      </c>
      <c r="Y42" s="7" t="e">
        <f t="shared" si="56"/>
        <v>#REF!</v>
      </c>
      <c r="Z42" s="7">
        <f t="shared" si="57"/>
        <v>79.470892713129842</v>
      </c>
      <c r="AA42" s="7" t="e">
        <f t="shared" si="58"/>
        <v>#REF!</v>
      </c>
      <c r="AB42" s="7">
        <f t="shared" si="59"/>
        <v>77.682807729647479</v>
      </c>
      <c r="AC42" s="7">
        <f t="shared" si="60"/>
        <v>110.09971616945492</v>
      </c>
      <c r="AD42" s="7">
        <f t="shared" si="61"/>
        <v>77.664652202365147</v>
      </c>
      <c r="AE42" s="7" t="e">
        <f t="shared" si="62"/>
        <v>#REF!</v>
      </c>
      <c r="AG42" s="7">
        <f t="shared" si="63"/>
        <v>8.238366497023468E-2</v>
      </c>
      <c r="AH42" s="7">
        <f t="shared" si="64"/>
        <v>4.2140246941616027E-2</v>
      </c>
      <c r="AI42" s="7">
        <f t="shared" si="65"/>
        <v>4.016589792187665E-2</v>
      </c>
      <c r="AJ42" s="7">
        <f t="shared" si="66"/>
        <v>1.7933855568356361E-2</v>
      </c>
      <c r="AK42" s="7">
        <f t="shared" si="67"/>
        <v>6.8168182488479215E-4</v>
      </c>
      <c r="AL42" s="7">
        <f t="shared" si="68"/>
        <v>3.6580925898617488E-3</v>
      </c>
      <c r="AM42" s="7">
        <f t="shared" si="69"/>
        <v>0.11700342003368749</v>
      </c>
      <c r="AN42" s="7">
        <f t="shared" si="70"/>
        <v>3.3152348376344065E-2</v>
      </c>
      <c r="AO42" s="7">
        <f t="shared" si="71"/>
        <v>0</v>
      </c>
      <c r="AP42" s="7" t="e">
        <f t="shared" si="72"/>
        <v>#REF!</v>
      </c>
      <c r="AQ42" s="7">
        <f t="shared" si="73"/>
        <v>13.892473118279559</v>
      </c>
      <c r="AR42" s="7" t="e">
        <f t="shared" si="74"/>
        <v>#REF!</v>
      </c>
      <c r="AS42" s="7">
        <f t="shared" si="75"/>
        <v>435.02991311667631</v>
      </c>
      <c r="AT42" s="7">
        <f t="shared" si="76"/>
        <v>0.11454977727805674</v>
      </c>
      <c r="AU42" s="7">
        <f t="shared" si="77"/>
        <v>48.399055019290714</v>
      </c>
      <c r="AV42" s="7" t="e">
        <f t="shared" si="78"/>
        <v>#REF!</v>
      </c>
      <c r="AX42" s="7" t="str">
        <f>'2026_Fantasy_Starters'!Z63</f>
        <v>0.2276012775706191</v>
      </c>
      <c r="AY42" s="7" t="str">
        <f>'2026_Fantasy_Starters'!AA63</f>
        <v>0.11642082255649214</v>
      </c>
      <c r="AZ42" s="7" t="str">
        <f>'2026_Fantasy_Starters'!AB63</f>
        <v>0.11096629028452634</v>
      </c>
      <c r="BA42" s="7">
        <f>'2026_Fantasy_Starters'!AC63</f>
        <v>3.6145324999999999E-2</v>
      </c>
      <c r="BB42" s="7">
        <f>'2026_Fantasy_Starters'!AD63</f>
        <v>1.373916E-3</v>
      </c>
      <c r="BC42" s="7">
        <f>'2026_Fantasy_Starters'!AE63</f>
        <v>7.3728120000000003E-3</v>
      </c>
      <c r="BD42" s="7" t="str">
        <f>'2026_Fantasy_Starters'!AF63</f>
        <v>0.23581803851990912</v>
      </c>
      <c r="BE42" s="7">
        <f>'2026_Fantasy_Starters'!AG63</f>
        <v>6.6817891000000004E-2</v>
      </c>
      <c r="BF42" s="7">
        <f>'2026_Fantasy_Starters'!AH63</f>
        <v>0</v>
      </c>
      <c r="BG42" s="7" t="e">
        <f>'2026_Fantasy_Starters'!#REF!</f>
        <v>#REF!</v>
      </c>
      <c r="BH42" s="7">
        <f>'2026_Fantasy_Starters'!D63</f>
        <v>28</v>
      </c>
    </row>
    <row r="43" spans="1:60" s="7" customFormat="1">
      <c r="A43" s="7" t="str">
        <f>'2026_Fantasy_Starters'!A33</f>
        <v xml:space="preserve">SEA </v>
      </c>
      <c r="B43" s="7" t="s">
        <v>108</v>
      </c>
      <c r="C43" s="7" t="str">
        <f>'2026_Fantasy_Starters'!C33</f>
        <v>SP</v>
      </c>
      <c r="D43" s="7" t="str">
        <f>'2026_Fantasy_Starters'!W33</f>
        <v>0.35929922135706344</v>
      </c>
      <c r="E43" s="7">
        <f>'2026_Fantasy_Starters'!X43</f>
        <v>0.2923</v>
      </c>
      <c r="F43" s="7" t="str">
        <f>'2026_Fantasy_Starters'!Y33</f>
        <v>0.5101965146459028</v>
      </c>
      <c r="G43" s="8">
        <f t="shared" si="79"/>
        <v>0.48134429175948718</v>
      </c>
      <c r="H43" s="8">
        <f t="shared" si="40"/>
        <v>-0.35816482381436421</v>
      </c>
      <c r="I43" s="8">
        <f t="shared" si="41"/>
        <v>-0.69032163954029324</v>
      </c>
      <c r="J43" s="8" t="e">
        <f t="shared" si="42"/>
        <v>#REF!</v>
      </c>
      <c r="K43" s="8">
        <f t="shared" si="43"/>
        <v>-0.69006555732774111</v>
      </c>
      <c r="L43" s="8">
        <f t="shared" si="44"/>
        <v>0.46738207808249832</v>
      </c>
      <c r="M43" s="8" t="e">
        <f t="shared" si="45"/>
        <v>#REF!</v>
      </c>
      <c r="N43" s="8" t="e">
        <f t="shared" si="46"/>
        <v>#REF!</v>
      </c>
      <c r="P43" s="7">
        <f t="shared" si="47"/>
        <v>109.97666813416693</v>
      </c>
      <c r="Q43" s="7">
        <f t="shared" si="48"/>
        <v>91.681776379859528</v>
      </c>
      <c r="R43" s="7">
        <f t="shared" si="49"/>
        <v>108.16127405214795</v>
      </c>
      <c r="S43" s="7">
        <f t="shared" si="50"/>
        <v>69.113286907711341</v>
      </c>
      <c r="T43" s="7">
        <f t="shared" si="51"/>
        <v>73.072667477598443</v>
      </c>
      <c r="U43" s="7">
        <f t="shared" si="52"/>
        <v>83.587694595345525</v>
      </c>
      <c r="V43" s="7">
        <f t="shared" si="53"/>
        <v>90.576425050039077</v>
      </c>
      <c r="W43" s="7">
        <f t="shared" si="54"/>
        <v>92.890992792941859</v>
      </c>
      <c r="X43" s="7" t="e">
        <f t="shared" si="55"/>
        <v>#DIV/0!</v>
      </c>
      <c r="Y43" s="7" t="e">
        <f t="shared" si="56"/>
        <v>#REF!</v>
      </c>
      <c r="Z43" s="7">
        <f t="shared" si="57"/>
        <v>71.634634963828802</v>
      </c>
      <c r="AA43" s="7" t="e">
        <f t="shared" si="58"/>
        <v>#REF!</v>
      </c>
      <c r="AB43" s="7">
        <f t="shared" si="59"/>
        <v>71.909310800254218</v>
      </c>
      <c r="AC43" s="7">
        <f t="shared" si="60"/>
        <v>84.027021141177556</v>
      </c>
      <c r="AD43" s="7">
        <f t="shared" si="61"/>
        <v>71.906314258301265</v>
      </c>
      <c r="AE43" s="7" t="e">
        <f t="shared" si="62"/>
        <v>#REF!</v>
      </c>
      <c r="AG43" s="7">
        <f t="shared" si="63"/>
        <v>7.9595689617113802E-2</v>
      </c>
      <c r="AH43" s="7">
        <f t="shared" si="64"/>
        <v>3.9457799332395516E-2</v>
      </c>
      <c r="AI43" s="7">
        <f t="shared" si="65"/>
        <v>3.6400810844800714E-2</v>
      </c>
      <c r="AJ43" s="7">
        <f t="shared" si="66"/>
        <v>1.7247725822766007E-2</v>
      </c>
      <c r="AK43" s="7">
        <f t="shared" si="67"/>
        <v>6.8378577678902363E-4</v>
      </c>
      <c r="AL43" s="7">
        <f t="shared" si="68"/>
        <v>4.7992823908045894E-3</v>
      </c>
      <c r="AM43" s="7">
        <f t="shared" si="69"/>
        <v>0.11304310240688202</v>
      </c>
      <c r="AN43" s="7">
        <f t="shared" si="70"/>
        <v>3.4723013066369983E-2</v>
      </c>
      <c r="AO43" s="7">
        <f t="shared" si="71"/>
        <v>0</v>
      </c>
      <c r="AP43" s="7" t="e">
        <f t="shared" si="72"/>
        <v>#REF!</v>
      </c>
      <c r="AQ43" s="7">
        <f t="shared" si="73"/>
        <v>14.795698924731157</v>
      </c>
      <c r="AR43" s="7" t="e">
        <f t="shared" si="74"/>
        <v>#REF!</v>
      </c>
      <c r="AS43" s="7">
        <f t="shared" si="75"/>
        <v>455.56377120280678</v>
      </c>
      <c r="AT43" s="7">
        <f t="shared" si="76"/>
        <v>0.1477712675923411</v>
      </c>
      <c r="AU43" s="7">
        <f t="shared" si="77"/>
        <v>50.677203730940555</v>
      </c>
      <c r="AV43" s="7" t="e">
        <f t="shared" si="78"/>
        <v>#REF!</v>
      </c>
      <c r="AX43" s="7" t="str">
        <f>'2026_Fantasy_Starters'!Z33</f>
        <v>0.22153037047083884</v>
      </c>
      <c r="AY43" s="7" t="str">
        <f>'2026_Fantasy_Starters'!AA33</f>
        <v>0.10981877217369035</v>
      </c>
      <c r="AZ43" s="7" t="str">
        <f>'2026_Fantasy_Starters'!AB33</f>
        <v>0.10131057536756169</v>
      </c>
      <c r="BA43" s="7">
        <f>'2026_Fantasy_Starters'!AC33</f>
        <v>3.3806044E-2</v>
      </c>
      <c r="BB43" s="7">
        <f>'2026_Fantasy_Starters'!AD33</f>
        <v>1.3402399999999999E-3</v>
      </c>
      <c r="BC43" s="7">
        <f>'2026_Fantasy_Starters'!AE33</f>
        <v>9.4067330000000005E-3</v>
      </c>
      <c r="BD43" s="7" t="str">
        <f>'2026_Fantasy_Starters'!AF33</f>
        <v>0.22156776685418744</v>
      </c>
      <c r="BE43" s="7">
        <f>'2026_Fantasy_Starters'!AG33</f>
        <v>6.8058115000000002E-2</v>
      </c>
      <c r="BF43" s="7">
        <f>'2026_Fantasy_Starters'!AH33</f>
        <v>0</v>
      </c>
      <c r="BG43" s="7" t="e">
        <f>'2026_Fantasy_Starters'!#REF!</f>
        <v>#REF!</v>
      </c>
      <c r="BH43" s="7">
        <f>'2026_Fantasy_Starters'!D33</f>
        <v>29</v>
      </c>
    </row>
    <row r="44" spans="1:60" s="7" customFormat="1">
      <c r="A44" s="7" t="str">
        <f>'2026_Fantasy_Starters'!A62</f>
        <v xml:space="preserve">TB </v>
      </c>
      <c r="B44" s="7" t="s">
        <v>175</v>
      </c>
      <c r="C44" s="7" t="str">
        <f>'2026_Fantasy_Starters'!C62</f>
        <v>SP</v>
      </c>
      <c r="D44" s="7" t="str">
        <f>'2026_Fantasy_Starters'!W62</f>
        <v>0.3133681868743048</v>
      </c>
      <c r="E44" s="7" t="str">
        <f>'2026_Fantasy_Starters'!X44</f>
        <v>0.32838923076923077</v>
      </c>
      <c r="F44" s="7" t="str">
        <f>'2026_Fantasy_Starters'!Y62</f>
        <v>0.44697812384130514</v>
      </c>
      <c r="G44" s="8">
        <f t="shared" si="79"/>
        <v>-0.10665427526260898</v>
      </c>
      <c r="H44" s="8">
        <f t="shared" si="40"/>
        <v>0.50497235160666198</v>
      </c>
      <c r="I44" s="8">
        <f t="shared" si="41"/>
        <v>3.2208498312879131E-3</v>
      </c>
      <c r="J44" s="8" t="e">
        <f t="shared" si="42"/>
        <v>#REF!</v>
      </c>
      <c r="K44" s="8">
        <f t="shared" si="43"/>
        <v>2.7912708042743483E-3</v>
      </c>
      <c r="L44" s="8">
        <f t="shared" si="44"/>
        <v>-0.46293558752133596</v>
      </c>
      <c r="M44" s="8" t="e">
        <f t="shared" si="45"/>
        <v>#REF!</v>
      </c>
      <c r="N44" s="8" t="e">
        <f t="shared" si="46"/>
        <v>#REF!</v>
      </c>
      <c r="P44" s="7">
        <f t="shared" si="47"/>
        <v>97.789411181140991</v>
      </c>
      <c r="Q44" s="7">
        <f t="shared" si="48"/>
        <v>108.66530154295739</v>
      </c>
      <c r="R44" s="7">
        <f t="shared" si="49"/>
        <v>91.916369121909682</v>
      </c>
      <c r="S44" s="7">
        <f t="shared" si="50"/>
        <v>104.84169729802328</v>
      </c>
      <c r="T44" s="7">
        <f t="shared" si="51"/>
        <v>75.862283547316565</v>
      </c>
      <c r="U44" s="7">
        <f t="shared" si="52"/>
        <v>112.62420484265688</v>
      </c>
      <c r="V44" s="7">
        <f t="shared" si="53"/>
        <v>107.53466578529165</v>
      </c>
      <c r="W44" s="7">
        <f t="shared" si="54"/>
        <v>113.72750152508098</v>
      </c>
      <c r="X44" s="7" t="e">
        <f t="shared" si="55"/>
        <v>#DIV/0!</v>
      </c>
      <c r="Y44" s="7" t="e">
        <f t="shared" si="56"/>
        <v>#REF!</v>
      </c>
      <c r="Z44" s="7">
        <f t="shared" si="57"/>
        <v>87.540372419255391</v>
      </c>
      <c r="AA44" s="7" t="e">
        <f t="shared" si="58"/>
        <v>#REF!</v>
      </c>
      <c r="AB44" s="7">
        <f t="shared" si="59"/>
        <v>100.11362503142293</v>
      </c>
      <c r="AC44" s="7">
        <f t="shared" si="60"/>
        <v>122.52011409329128</v>
      </c>
      <c r="AD44" s="7">
        <f t="shared" si="61"/>
        <v>100.13107736712648</v>
      </c>
      <c r="AE44" s="7" t="e">
        <f t="shared" si="62"/>
        <v>#REF!</v>
      </c>
      <c r="AG44" s="7">
        <f t="shared" si="63"/>
        <v>7.0775153969192192E-2</v>
      </c>
      <c r="AH44" s="7">
        <f t="shared" si="64"/>
        <v>3.3271097728127308E-2</v>
      </c>
      <c r="AI44" s="7">
        <f t="shared" si="65"/>
        <v>3.0933718146981013E-2</v>
      </c>
      <c r="AJ44" s="7">
        <f t="shared" si="66"/>
        <v>1.253957927422478E-2</v>
      </c>
      <c r="AK44" s="7">
        <f t="shared" si="67"/>
        <v>6.687574944382645E-4</v>
      </c>
      <c r="AL44" s="7">
        <f t="shared" si="68"/>
        <v>3.602206086577677E-3</v>
      </c>
      <c r="AM44" s="7">
        <f t="shared" si="69"/>
        <v>9.552391474597477E-2</v>
      </c>
      <c r="AN44" s="7">
        <f t="shared" si="70"/>
        <v>2.796815291193918E-2</v>
      </c>
      <c r="AO44" s="7">
        <f t="shared" si="71"/>
        <v>0</v>
      </c>
      <c r="AP44" s="7" t="e">
        <f t="shared" si="72"/>
        <v>#REF!</v>
      </c>
      <c r="AQ44" s="7">
        <f t="shared" si="73"/>
        <v>12.962365591397845</v>
      </c>
      <c r="AR44" s="7" t="e">
        <f t="shared" si="74"/>
        <v>#REF!</v>
      </c>
      <c r="AS44" s="7">
        <f t="shared" si="75"/>
        <v>355.25309416910312</v>
      </c>
      <c r="AT44" s="7">
        <f t="shared" si="76"/>
        <v>9.8723867111164806E-2</v>
      </c>
      <c r="AU44" s="7">
        <f t="shared" si="77"/>
        <v>39.510751129929609</v>
      </c>
      <c r="AV44" s="7" t="e">
        <f t="shared" si="78"/>
        <v>#REF!</v>
      </c>
      <c r="AX44" s="7" t="str">
        <f>'2026_Fantasy_Starters'!Z62</f>
        <v>0.22585302827048315</v>
      </c>
      <c r="AY44" s="7" t="str">
        <f>'2026_Fantasy_Starters'!AA62</f>
        <v>0.10617254437979393</v>
      </c>
      <c r="AZ44" s="7">
        <f>'2026_Fantasy_Starters'!AB62</f>
        <v>9.8713651999999999E-2</v>
      </c>
      <c r="BA44" s="7" t="str">
        <f>'2026_Fantasy_Starters'!AC62</f>
        <v>0.028054123021637706</v>
      </c>
      <c r="BB44" s="7">
        <f>'2026_Fantasy_Starters'!AD62</f>
        <v>1.496175E-3</v>
      </c>
      <c r="BC44" s="7">
        <f>'2026_Fantasy_Starters'!AE62</f>
        <v>8.0590209999999995E-3</v>
      </c>
      <c r="BD44" s="7" t="str">
        <f>'2026_Fantasy_Starters'!AF62</f>
        <v>0.2137104919700495</v>
      </c>
      <c r="BE44" s="7">
        <f>'2026_Fantasy_Starters'!AG62</f>
        <v>6.2571636999999999E-2</v>
      </c>
      <c r="BF44" s="7">
        <f>'2026_Fantasy_Starters'!AH62</f>
        <v>0</v>
      </c>
      <c r="BG44" s="7" t="e">
        <f>'2026_Fantasy_Starters'!#REF!</f>
        <v>#REF!</v>
      </c>
      <c r="BH44" s="7">
        <f>'2026_Fantasy_Starters'!D62</f>
        <v>29</v>
      </c>
    </row>
    <row r="45" spans="1:60" s="7" customFormat="1">
      <c r="A45" s="7" t="str">
        <f>'2026_Fantasy_Starters'!A39</f>
        <v xml:space="preserve">SD </v>
      </c>
      <c r="B45" s="7" t="s">
        <v>122</v>
      </c>
      <c r="C45" s="7" t="str">
        <f>'2026_Fantasy_Starters'!C39</f>
        <v>SP</v>
      </c>
      <c r="D45" s="7" t="str">
        <f>'2026_Fantasy_Starters'!W39</f>
        <v>0.35398700649675163</v>
      </c>
      <c r="E45" s="7" t="str">
        <f>'2026_Fantasy_Starters'!X45</f>
        <v>0.34120197044334977</v>
      </c>
      <c r="F45" s="7" t="str">
        <f>'2026_Fantasy_Starters'!Y39</f>
        <v>0.47381864623243936</v>
      </c>
      <c r="G45" s="8">
        <f t="shared" si="79"/>
        <v>0.17729429745554875</v>
      </c>
      <c r="H45" s="8">
        <f t="shared" si="40"/>
        <v>-6.568736220452244E-2</v>
      </c>
      <c r="I45" s="8">
        <f t="shared" si="41"/>
        <v>0.12585387923311714</v>
      </c>
      <c r="J45" s="8" t="e">
        <f t="shared" si="42"/>
        <v>#REF!</v>
      </c>
      <c r="K45" s="8">
        <f t="shared" si="43"/>
        <v>0.12577283318613183</v>
      </c>
      <c r="L45" s="8">
        <f t="shared" si="44"/>
        <v>3.2838382998138897E-2</v>
      </c>
      <c r="M45" s="8" t="e">
        <f t="shared" si="45"/>
        <v>#REF!</v>
      </c>
      <c r="N45" s="8" t="e">
        <f t="shared" si="46"/>
        <v>#REF!</v>
      </c>
      <c r="P45" s="7">
        <f t="shared" si="47"/>
        <v>103.67472181155128</v>
      </c>
      <c r="Q45" s="7">
        <f t="shared" si="48"/>
        <v>96.319139848018452</v>
      </c>
      <c r="R45" s="7">
        <f t="shared" si="49"/>
        <v>100.57341317873536</v>
      </c>
      <c r="S45" s="7">
        <f t="shared" si="50"/>
        <v>91.094898316619165</v>
      </c>
      <c r="T45" s="7">
        <f t="shared" si="51"/>
        <v>1.5063301353033012</v>
      </c>
      <c r="U45" s="7">
        <f t="shared" si="52"/>
        <v>79.395251221278087</v>
      </c>
      <c r="V45" s="7">
        <f t="shared" si="53"/>
        <v>86.901353178430725</v>
      </c>
      <c r="W45" s="7">
        <f t="shared" si="54"/>
        <v>78.761880680558363</v>
      </c>
      <c r="X45" s="7" t="e">
        <f t="shared" si="55"/>
        <v>#DIV/0!</v>
      </c>
      <c r="Y45" s="7" t="e">
        <f t="shared" si="56"/>
        <v>#REF!</v>
      </c>
      <c r="Z45" s="7">
        <f t="shared" si="57"/>
        <v>89.008866533605158</v>
      </c>
      <c r="AA45" s="7" t="e">
        <f t="shared" si="58"/>
        <v>#REF!</v>
      </c>
      <c r="AB45" s="7">
        <f t="shared" si="59"/>
        <v>105.11986945194711</v>
      </c>
      <c r="AC45" s="7">
        <f t="shared" si="60"/>
        <v>97.070558642217577</v>
      </c>
      <c r="AD45" s="7">
        <f t="shared" si="61"/>
        <v>105.12181442682775</v>
      </c>
      <c r="AE45" s="7" t="e">
        <f t="shared" si="62"/>
        <v>#REF!</v>
      </c>
      <c r="AG45" s="7">
        <f t="shared" si="63"/>
        <v>7.5034651607972749E-2</v>
      </c>
      <c r="AH45" s="7">
        <f t="shared" si="64"/>
        <v>3.7768516116307271E-2</v>
      </c>
      <c r="AI45" s="7">
        <f t="shared" si="65"/>
        <v>3.3847177016147874E-2</v>
      </c>
      <c r="AJ45" s="7">
        <f t="shared" si="66"/>
        <v>1.4351077280174067E-2</v>
      </c>
      <c r="AK45" s="7">
        <f t="shared" si="67"/>
        <v>1.069329556832694E-3</v>
      </c>
      <c r="AL45" s="7">
        <f t="shared" si="68"/>
        <v>4.9721225350631082E-3</v>
      </c>
      <c r="AM45" s="7">
        <f t="shared" si="69"/>
        <v>0.11683973879099628</v>
      </c>
      <c r="AN45" s="7">
        <f t="shared" si="70"/>
        <v>3.9303443389527432E-2</v>
      </c>
      <c r="AO45" s="7">
        <f t="shared" si="71"/>
        <v>0</v>
      </c>
      <c r="AP45" s="7" t="e">
        <f t="shared" si="72"/>
        <v>#REF!</v>
      </c>
      <c r="AQ45" s="7">
        <f t="shared" si="73"/>
        <v>12.793103448275854</v>
      </c>
      <c r="AR45" s="7" t="e">
        <f t="shared" si="74"/>
        <v>#REF!</v>
      </c>
      <c r="AS45" s="7">
        <f t="shared" si="75"/>
        <v>337.44802494802553</v>
      </c>
      <c r="AT45" s="7">
        <f t="shared" si="76"/>
        <v>0.13115136104701317</v>
      </c>
      <c r="AU45" s="7">
        <f t="shared" si="77"/>
        <v>37.536285352966615</v>
      </c>
      <c r="AV45" s="7" t="e">
        <f t="shared" si="78"/>
        <v>#REF!</v>
      </c>
      <c r="AX45" s="7" t="str">
        <f>'2026_Fantasy_Starters'!Z39</f>
        <v>0.21197007299944948</v>
      </c>
      <c r="AY45" s="7" t="str">
        <f>'2026_Fantasy_Starters'!AA39</f>
        <v>0.10669463969902568</v>
      </c>
      <c r="AZ45" s="7">
        <f>'2026_Fantasy_Starters'!AB39</f>
        <v>9.5617004000000005E-2</v>
      </c>
      <c r="BA45" s="7" t="str">
        <f>'2026_Fantasy_Starters'!AC39</f>
        <v>0.030288122669477918</v>
      </c>
      <c r="BB45" s="7">
        <f>'2026_Fantasy_Starters'!AD39</f>
        <v>2.2568330000000002E-3</v>
      </c>
      <c r="BC45" s="7" t="str">
        <f>'2026_Fantasy_Starters'!AE39</f>
        <v>0.010493724919014671</v>
      </c>
      <c r="BD45" s="7" t="str">
        <f>'2026_Fantasy_Starters'!AF39</f>
        <v>0.24659168591199587</v>
      </c>
      <c r="BE45" s="7">
        <f>'2026_Fantasy_Starters'!AG39</f>
        <v>8.2950393999999997E-2</v>
      </c>
      <c r="BF45" s="7">
        <f>'2026_Fantasy_Starters'!AH39</f>
        <v>0</v>
      </c>
      <c r="BG45" s="7" t="e">
        <f>'2026_Fantasy_Starters'!#REF!</f>
        <v>#REF!</v>
      </c>
      <c r="BH45" s="7">
        <f>'2026_Fantasy_Starters'!D39</f>
        <v>27</v>
      </c>
    </row>
    <row r="46" spans="1:60" s="7" customFormat="1">
      <c r="A46" s="7" t="str">
        <f>'2026_Fantasy_Starters'!A51</f>
        <v xml:space="preserve">CLE </v>
      </c>
      <c r="B46" s="7" t="s">
        <v>150</v>
      </c>
      <c r="C46" s="7" t="str">
        <f>'2026_Fantasy_Starters'!C51</f>
        <v>SP</v>
      </c>
      <c r="D46" s="7" t="str">
        <f>'2026_Fantasy_Starters'!W51</f>
        <v>0.3530683696170348</v>
      </c>
      <c r="E46" s="7" t="str">
        <f>'2026_Fantasy_Starters'!X46</f>
        <v>0.35929922135706344</v>
      </c>
      <c r="F46" s="7" t="str">
        <f>'2026_Fantasy_Starters'!Y51</f>
        <v>0.5044493882091212</v>
      </c>
      <c r="G46" s="8">
        <f t="shared" si="79"/>
        <v>0.3933499789478081</v>
      </c>
      <c r="H46" s="8">
        <f t="shared" si="40"/>
        <v>-0.11119004381659234</v>
      </c>
      <c r="I46" s="8">
        <f t="shared" si="41"/>
        <v>-7.4383406435669638E-2</v>
      </c>
      <c r="J46" s="8" t="e">
        <f t="shared" si="42"/>
        <v>#REF!</v>
      </c>
      <c r="K46" s="8">
        <f t="shared" si="43"/>
        <v>-7.4471831005614927E-2</v>
      </c>
      <c r="L46" s="8">
        <f t="shared" si="44"/>
        <v>0.39185575374397136</v>
      </c>
      <c r="M46" s="8" t="e">
        <f t="shared" si="45"/>
        <v>#REF!</v>
      </c>
      <c r="N46" s="8" t="e">
        <f t="shared" si="46"/>
        <v>#REF!</v>
      </c>
      <c r="P46" s="7">
        <f t="shared" si="47"/>
        <v>108.15283834819982</v>
      </c>
      <c r="Q46" s="7">
        <f t="shared" si="48"/>
        <v>90.83389856183004</v>
      </c>
      <c r="R46" s="7">
        <f t="shared" si="49"/>
        <v>106.84245790582295</v>
      </c>
      <c r="S46" s="7">
        <f t="shared" si="50"/>
        <v>77.933899494503194</v>
      </c>
      <c r="T46" s="7">
        <f t="shared" si="51"/>
        <v>76.750134296622733</v>
      </c>
      <c r="U46" s="7">
        <f t="shared" si="52"/>
        <v>70.494554290968765</v>
      </c>
      <c r="V46" s="7">
        <f t="shared" si="53"/>
        <v>92.283743008934493</v>
      </c>
      <c r="W46" s="7">
        <f t="shared" si="54"/>
        <v>91.128334183754205</v>
      </c>
      <c r="X46" s="7" t="e">
        <f t="shared" si="55"/>
        <v>#DIV/0!</v>
      </c>
      <c r="Y46" s="7" t="e">
        <f t="shared" si="56"/>
        <v>#REF!</v>
      </c>
      <c r="Z46" s="7">
        <f t="shared" si="57"/>
        <v>73.08061109614016</v>
      </c>
      <c r="AA46" s="7" t="e">
        <f t="shared" si="58"/>
        <v>#REF!</v>
      </c>
      <c r="AB46" s="7">
        <f t="shared" si="59"/>
        <v>96.968454610289854</v>
      </c>
      <c r="AC46" s="7">
        <f t="shared" si="60"/>
        <v>95.041287973845002</v>
      </c>
      <c r="AD46" s="7">
        <f t="shared" si="61"/>
        <v>96.972854499835208</v>
      </c>
      <c r="AE46" s="7" t="e">
        <f t="shared" si="62"/>
        <v>#REF!</v>
      </c>
      <c r="AG46" s="7">
        <f t="shared" si="63"/>
        <v>7.827569154823992E-2</v>
      </c>
      <c r="AH46" s="7">
        <f t="shared" si="64"/>
        <v>3.9766661421193436E-2</v>
      </c>
      <c r="AI46" s="7">
        <f t="shared" si="65"/>
        <v>3.5956973829176252E-2</v>
      </c>
      <c r="AJ46" s="7">
        <f t="shared" si="66"/>
        <v>1.6085380891859586E-2</v>
      </c>
      <c r="AK46" s="7">
        <f t="shared" si="67"/>
        <v>6.639744449388205E-4</v>
      </c>
      <c r="AL46" s="7">
        <f t="shared" si="68"/>
        <v>5.3390679185003308E-3</v>
      </c>
      <c r="AM46" s="7">
        <f t="shared" si="69"/>
        <v>0.11127930955916358</v>
      </c>
      <c r="AN46" s="7">
        <f t="shared" si="70"/>
        <v>3.5294438565628458E-2</v>
      </c>
      <c r="AO46" s="7">
        <f t="shared" si="71"/>
        <v>0</v>
      </c>
      <c r="AP46" s="7" t="e">
        <f t="shared" si="72"/>
        <v>#REF!</v>
      </c>
      <c r="AQ46" s="7">
        <f t="shared" si="73"/>
        <v>14.629032258064509</v>
      </c>
      <c r="AR46" s="7" t="e">
        <f t="shared" si="74"/>
        <v>#REF!</v>
      </c>
      <c r="AS46" s="7">
        <f t="shared" si="75"/>
        <v>366.43911953190326</v>
      </c>
      <c r="AT46" s="7">
        <f t="shared" si="76"/>
        <v>0.13373703144975768</v>
      </c>
      <c r="AU46" s="7">
        <f t="shared" si="77"/>
        <v>40.760226486553947</v>
      </c>
      <c r="AV46" s="7" t="e">
        <f t="shared" si="78"/>
        <v>#REF!</v>
      </c>
      <c r="AX46" s="7" t="str">
        <f>'2026_Fantasy_Starters'!Z51</f>
        <v>0.22170122923541402</v>
      </c>
      <c r="AY46" s="7" t="str">
        <f>'2026_Fantasy_Starters'!AA51</f>
        <v>0.11263161711236735</v>
      </c>
      <c r="AZ46" s="7" t="str">
        <f>'2026_Fantasy_Starters'!AB51</f>
        <v>0.10184139085633279</v>
      </c>
      <c r="BA46" s="7" t="str">
        <f>'2026_Fantasy_Starters'!AC51</f>
        <v>0.031887006442738224</v>
      </c>
      <c r="BB46" s="7">
        <f>'2026_Fantasy_Starters'!AD51</f>
        <v>1.3162359999999999E-3</v>
      </c>
      <c r="BC46" s="7" t="str">
        <f>'2026_Fantasy_Starters'!AE51</f>
        <v>0.010583951617931272</v>
      </c>
      <c r="BD46" s="7" t="str">
        <f>'2026_Fantasy_Starters'!AF51</f>
        <v>0.22059558829920295</v>
      </c>
      <c r="BE46" s="7">
        <f>'2026_Fantasy_Starters'!AG51</f>
        <v>6.9966263000000001E-2</v>
      </c>
      <c r="BF46" s="7">
        <f>'2026_Fantasy_Starters'!AH51</f>
        <v>0</v>
      </c>
      <c r="BG46" s="7" t="e">
        <f>'2026_Fantasy_Starters'!#REF!</f>
        <v>#REF!</v>
      </c>
      <c r="BH46" s="7">
        <f>'2026_Fantasy_Starters'!D51</f>
        <v>29</v>
      </c>
    </row>
    <row r="47" spans="1:60" s="7" customFormat="1">
      <c r="A47" s="7" t="str">
        <f>'2026_Fantasy_Starters'!A47</f>
        <v xml:space="preserve">TB </v>
      </c>
      <c r="B47" s="7" t="s">
        <v>139</v>
      </c>
      <c r="C47" s="7" t="str">
        <f>'2026_Fantasy_Starters'!C47</f>
        <v>SP</v>
      </c>
      <c r="D47" s="7" t="str">
        <f>'2026_Fantasy_Starters'!W47</f>
        <v>0.33065268817204296</v>
      </c>
      <c r="E47" s="7" t="str">
        <f>'2026_Fantasy_Starters'!X47</f>
        <v>0.35126129032258063</v>
      </c>
      <c r="F47" s="7" t="str">
        <f>'2026_Fantasy_Starters'!Y47</f>
        <v>0.46917562724014333</v>
      </c>
      <c r="G47" s="8">
        <f t="shared" si="79"/>
        <v>-0.16897322583422344</v>
      </c>
      <c r="H47" s="8">
        <f t="shared" si="40"/>
        <v>-1.0686251976990829E-2</v>
      </c>
      <c r="I47" s="8">
        <f t="shared" si="41"/>
        <v>-3.4551674447469441E-2</v>
      </c>
      <c r="J47" s="8" t="e">
        <f t="shared" si="42"/>
        <v>#REF!</v>
      </c>
      <c r="K47" s="8">
        <f t="shared" si="43"/>
        <v>-3.4388118162720999E-2</v>
      </c>
      <c r="L47" s="8">
        <f t="shared" si="44"/>
        <v>0.36595933304070455</v>
      </c>
      <c r="M47" s="8" t="e">
        <f t="shared" si="45"/>
        <v>#REF!</v>
      </c>
      <c r="N47" s="8" t="e">
        <f t="shared" si="46"/>
        <v>#REF!</v>
      </c>
      <c r="P47" s="7">
        <f t="shared" si="47"/>
        <v>96.497746360415931</v>
      </c>
      <c r="Q47" s="7">
        <f t="shared" si="48"/>
        <v>98.047313603659603</v>
      </c>
      <c r="R47" s="7">
        <f t="shared" si="49"/>
        <v>106.39026301808536</v>
      </c>
      <c r="S47" s="7">
        <f t="shared" si="50"/>
        <v>71.358767462012864</v>
      </c>
      <c r="T47" s="7">
        <f t="shared" si="51"/>
        <v>137.96974005750218</v>
      </c>
      <c r="U47" s="7">
        <f t="shared" si="52"/>
        <v>78.798397081626462</v>
      </c>
      <c r="V47" s="7">
        <f t="shared" si="53"/>
        <v>91.379916139488216</v>
      </c>
      <c r="W47" s="7">
        <f t="shared" si="54"/>
        <v>77.086674199390387</v>
      </c>
      <c r="X47" s="7" t="e">
        <f t="shared" si="55"/>
        <v>#DIV/0!</v>
      </c>
      <c r="Y47" s="7" t="e">
        <f t="shared" si="56"/>
        <v>#REF!</v>
      </c>
      <c r="Z47" s="7">
        <f t="shared" si="57"/>
        <v>77.884983406723649</v>
      </c>
      <c r="AA47" s="7" t="e">
        <f t="shared" si="58"/>
        <v>#REF!</v>
      </c>
      <c r="AB47" s="7">
        <f t="shared" si="59"/>
        <v>98.600153377870598</v>
      </c>
      <c r="AC47" s="7">
        <f t="shared" si="60"/>
        <v>99.523428138222201</v>
      </c>
      <c r="AD47" s="7">
        <f t="shared" si="61"/>
        <v>98.593867223366885</v>
      </c>
      <c r="AE47" s="7" t="e">
        <f t="shared" si="62"/>
        <v>#REF!</v>
      </c>
      <c r="AG47" s="7">
        <f t="shared" si="63"/>
        <v>6.9840310661934038E-2</v>
      </c>
      <c r="AH47" s="7">
        <f t="shared" si="64"/>
        <v>3.7138982774801092E-2</v>
      </c>
      <c r="AI47" s="7">
        <f t="shared" si="65"/>
        <v>3.5804791259973281E-2</v>
      </c>
      <c r="AJ47" s="7">
        <f t="shared" si="66"/>
        <v>1.6951825406093177E-2</v>
      </c>
      <c r="AK47" s="7">
        <f t="shared" si="67"/>
        <v>3.3417080967741909E-4</v>
      </c>
      <c r="AL47" s="7">
        <f t="shared" si="68"/>
        <v>4.9967287959936154E-3</v>
      </c>
      <c r="AM47" s="7">
        <f t="shared" si="69"/>
        <v>0.11221303333310928</v>
      </c>
      <c r="AN47" s="7">
        <f t="shared" si="70"/>
        <v>3.9846518318996389E-2</v>
      </c>
      <c r="AO47" s="7">
        <f t="shared" si="71"/>
        <v>0</v>
      </c>
      <c r="AP47" s="7" t="e">
        <f t="shared" si="72"/>
        <v>#REF!</v>
      </c>
      <c r="AQ47" s="7">
        <f t="shared" si="73"/>
        <v>14.075268817204289</v>
      </c>
      <c r="AR47" s="7" t="e">
        <f t="shared" si="74"/>
        <v>#REF!</v>
      </c>
      <c r="AS47" s="7">
        <f t="shared" si="75"/>
        <v>360.63586522302148</v>
      </c>
      <c r="AT47" s="7">
        <f t="shared" si="76"/>
        <v>0.12802594650450644</v>
      </c>
      <c r="AU47" s="7">
        <f t="shared" si="77"/>
        <v>40.118911564860511</v>
      </c>
      <c r="AV47" s="7" t="e">
        <f t="shared" si="78"/>
        <v>#REF!</v>
      </c>
      <c r="AX47" s="7" t="str">
        <f>'2026_Fantasy_Starters'!Z47</f>
        <v>0.2112195459472432</v>
      </c>
      <c r="AY47" s="7" t="str">
        <f>'2026_Fantasy_Starters'!AA47</f>
        <v>0.11232022028950613</v>
      </c>
      <c r="AZ47" s="7" t="str">
        <f>'2026_Fantasy_Starters'!AB47</f>
        <v>0.1082851963427676</v>
      </c>
      <c r="BA47" s="7">
        <f>'2026_Fantasy_Starters'!AC47</f>
        <v>3.6131086999999999E-2</v>
      </c>
      <c r="BB47" s="7">
        <f>'2026_Fantasy_Starters'!AD47</f>
        <v>7.1225100000000001E-4</v>
      </c>
      <c r="BC47" s="7" t="str">
        <f>'2026_Fantasy_Starters'!AE47</f>
        <v>0.010650017831033056</v>
      </c>
      <c r="BD47" s="7" t="str">
        <f>'2026_Fantasy_Starters'!AF47</f>
        <v>0.23917063636315977</v>
      </c>
      <c r="BE47" s="7">
        <f>'2026_Fantasy_Starters'!AG47</f>
        <v>8.4928790000000004E-2</v>
      </c>
      <c r="BF47" s="7">
        <f>'2026_Fantasy_Starters'!AH47</f>
        <v>0</v>
      </c>
      <c r="BG47" s="7" t="e">
        <f>'2026_Fantasy_Starters'!#REF!</f>
        <v>#REF!</v>
      </c>
      <c r="BH47" s="7">
        <f>'2026_Fantasy_Starters'!D47</f>
        <v>30</v>
      </c>
    </row>
    <row r="48" spans="1:60" s="7" customFormat="1">
      <c r="A48" s="7" t="str">
        <f>'2026_Fantasy_Starters'!A48</f>
        <v xml:space="preserve">BOS </v>
      </c>
      <c r="B48" s="7" t="s">
        <v>142</v>
      </c>
      <c r="C48" s="7" t="str">
        <f>'2026_Fantasy_Starters'!C48</f>
        <v>SP</v>
      </c>
      <c r="D48" s="7" t="str">
        <f>'2026_Fantasy_Starters'!W48</f>
        <v>0.4046912972085386</v>
      </c>
      <c r="E48" s="7" t="str">
        <f>'2026_Fantasy_Starters'!X48</f>
        <v>0.33682758620689657</v>
      </c>
      <c r="F48" s="7" t="str">
        <f>'2026_Fantasy_Starters'!Y48</f>
        <v>0.5227756492124308</v>
      </c>
      <c r="G48" s="8">
        <f t="shared" si="79"/>
        <v>1.3943002836428056</v>
      </c>
      <c r="H48" s="8">
        <f t="shared" si="40"/>
        <v>0.38093933195322494</v>
      </c>
      <c r="I48" s="8">
        <f t="shared" si="41"/>
        <v>-0.1478597633716667</v>
      </c>
      <c r="J48" s="8" t="e">
        <f t="shared" si="42"/>
        <v>#REF!</v>
      </c>
      <c r="K48" s="8">
        <f t="shared" si="43"/>
        <v>-0.14845220647040069</v>
      </c>
      <c r="L48" s="8">
        <f t="shared" si="44"/>
        <v>0.71967407479103085</v>
      </c>
      <c r="M48" s="8" t="e">
        <f t="shared" si="45"/>
        <v>#REF!</v>
      </c>
      <c r="N48" s="8" t="e">
        <f t="shared" si="46"/>
        <v>#REF!</v>
      </c>
      <c r="P48" s="7">
        <f t="shared" si="47"/>
        <v>128.89921299041748</v>
      </c>
      <c r="Q48" s="7">
        <f t="shared" si="48"/>
        <v>78.352780979227546</v>
      </c>
      <c r="R48" s="7">
        <f t="shared" si="49"/>
        <v>112.56671495982967</v>
      </c>
      <c r="S48" s="7">
        <f t="shared" si="50"/>
        <v>103.64089324419936</v>
      </c>
      <c r="T48" s="7">
        <f t="shared" si="51"/>
        <v>62.977300727939117</v>
      </c>
      <c r="U48" s="7">
        <f t="shared" si="52"/>
        <v>103.98072871949694</v>
      </c>
      <c r="V48" s="7">
        <f t="shared" si="53"/>
        <v>94.904263529514978</v>
      </c>
      <c r="W48" s="7">
        <f t="shared" si="54"/>
        <v>90.536881977817671</v>
      </c>
      <c r="X48" s="7" t="e">
        <f t="shared" si="55"/>
        <v>#DIV/0!</v>
      </c>
      <c r="Y48" s="7" t="e">
        <f t="shared" si="56"/>
        <v>#REF!</v>
      </c>
      <c r="Z48" s="7">
        <f t="shared" si="57"/>
        <v>77.540779966996638</v>
      </c>
      <c r="AA48" s="7" t="e">
        <f t="shared" si="58"/>
        <v>#REF!</v>
      </c>
      <c r="AB48" s="7">
        <f t="shared" si="59"/>
        <v>93.956915036992768</v>
      </c>
      <c r="AC48" s="7">
        <f t="shared" si="60"/>
        <v>116.98864738022542</v>
      </c>
      <c r="AD48" s="7">
        <f t="shared" si="61"/>
        <v>93.982622754268874</v>
      </c>
      <c r="AE48" s="7" t="e">
        <f t="shared" si="62"/>
        <v>#REF!</v>
      </c>
      <c r="AG48" s="7">
        <f t="shared" si="63"/>
        <v>9.3290894542822134E-2</v>
      </c>
      <c r="AH48" s="7">
        <f t="shared" si="64"/>
        <v>4.431324108765311E-2</v>
      </c>
      <c r="AI48" s="7">
        <f t="shared" si="65"/>
        <v>3.7883426712390755E-2</v>
      </c>
      <c r="AJ48" s="7">
        <f t="shared" si="66"/>
        <v>1.2697816413793084E-2</v>
      </c>
      <c r="AK48" s="7">
        <f t="shared" si="67"/>
        <v>7.3817176330353228E-4</v>
      </c>
      <c r="AL48" s="7">
        <f t="shared" si="68"/>
        <v>3.9585471332481848E-3</v>
      </c>
      <c r="AM48" s="7">
        <f t="shared" si="69"/>
        <v>0.10857210711487514</v>
      </c>
      <c r="AN48" s="7">
        <f t="shared" si="70"/>
        <v>3.5486177833971844E-2</v>
      </c>
      <c r="AO48" s="7">
        <f t="shared" si="71"/>
        <v>0</v>
      </c>
      <c r="AP48" s="7" t="e">
        <f t="shared" si="72"/>
        <v>#REF!</v>
      </c>
      <c r="AQ48" s="7">
        <f t="shared" si="73"/>
        <v>14.114942528735611</v>
      </c>
      <c r="AR48" s="7" t="e">
        <f t="shared" si="74"/>
        <v>#REF!</v>
      </c>
      <c r="AS48" s="7">
        <f t="shared" si="75"/>
        <v>377.14987714987717</v>
      </c>
      <c r="AT48" s="7">
        <f t="shared" si="76"/>
        <v>0.10577199035399036</v>
      </c>
      <c r="AU48" s="7">
        <f t="shared" si="77"/>
        <v>41.943240172945679</v>
      </c>
      <c r="AV48" s="7" t="e">
        <f t="shared" si="78"/>
        <v>#REF!</v>
      </c>
      <c r="AX48" s="7" t="str">
        <f>'2026_Fantasy_Starters'!Z48</f>
        <v>0.23052359955926982</v>
      </c>
      <c r="AY48" s="7" t="str">
        <f>'2026_Fantasy_Starters'!AA48</f>
        <v>0.10949887332224652</v>
      </c>
      <c r="AZ48" s="7">
        <f>'2026_Fantasy_Starters'!AB48</f>
        <v>9.3610678000000003E-2</v>
      </c>
      <c r="BA48" s="7">
        <f>'2026_Fantasy_Starters'!AC48</f>
        <v>2.4289227E-2</v>
      </c>
      <c r="BB48" s="7">
        <f>'2026_Fantasy_Starters'!AD48</f>
        <v>1.412024E-3</v>
      </c>
      <c r="BC48" s="7">
        <f>'2026_Fantasy_Starters'!AE48</f>
        <v>7.5721720000000003E-3</v>
      </c>
      <c r="BD48" s="7" t="str">
        <f>'2026_Fantasy_Starters'!AF48</f>
        <v>0.20768394105280324</v>
      </c>
      <c r="BE48" s="7">
        <f>'2026_Fantasy_Starters'!AG48</f>
        <v>6.7880318999999995E-2</v>
      </c>
      <c r="BF48" s="7">
        <f>'2026_Fantasy_Starters'!AH48</f>
        <v>0</v>
      </c>
      <c r="BG48" s="7" t="e">
        <f>'2026_Fantasy_Starters'!#REF!</f>
        <v>#REF!</v>
      </c>
      <c r="BH48" s="7">
        <f>'2026_Fantasy_Starters'!D48</f>
        <v>27</v>
      </c>
    </row>
    <row r="49" spans="1:60" s="7" customFormat="1">
      <c r="A49" s="7" t="str">
        <f>'2026_Fantasy_Starters'!A68</f>
        <v xml:space="preserve">CHC </v>
      </c>
      <c r="B49" s="7" t="s">
        <v>187</v>
      </c>
      <c r="C49" s="7" t="str">
        <f>'2026_Fantasy_Starters'!C68</f>
        <v>SP</v>
      </c>
      <c r="D49" s="7" t="str">
        <f>'2026_Fantasy_Starters'!W68</f>
        <v>0.37772060123784257</v>
      </c>
      <c r="E49" s="7" t="str">
        <f>'2026_Fantasy_Starters'!X49</f>
        <v>0.3478164627363738</v>
      </c>
      <c r="F49" s="7" t="str">
        <f>'2026_Fantasy_Starters'!Y68</f>
        <v>0.49233716475095785</v>
      </c>
      <c r="G49" s="8">
        <f t="shared" si="79"/>
        <v>0.71176229014665227</v>
      </c>
      <c r="H49" s="8">
        <f t="shared" si="40"/>
        <v>-5.9794666836865906E-2</v>
      </c>
      <c r="I49" s="8">
        <f t="shared" si="41"/>
        <v>8.0678906761717781E-2</v>
      </c>
      <c r="J49" s="8" t="e">
        <f t="shared" si="42"/>
        <v>#REF!</v>
      </c>
      <c r="K49" s="8">
        <f t="shared" si="43"/>
        <v>8.0734720121944242E-2</v>
      </c>
      <c r="L49" s="8">
        <f t="shared" si="44"/>
        <v>0.88185391473392372</v>
      </c>
      <c r="M49" s="8" t="e">
        <f t="shared" si="45"/>
        <v>#REF!</v>
      </c>
      <c r="N49" s="8" t="e">
        <f t="shared" si="46"/>
        <v>#REF!</v>
      </c>
      <c r="P49" s="7">
        <f t="shared" si="47"/>
        <v>114.75246778818338</v>
      </c>
      <c r="Q49" s="7">
        <f t="shared" si="48"/>
        <v>81.970146280953074</v>
      </c>
      <c r="R49" s="7">
        <f t="shared" si="49"/>
        <v>115.3986466524989</v>
      </c>
      <c r="S49" s="7">
        <f t="shared" si="50"/>
        <v>81.489217947304013</v>
      </c>
      <c r="T49" s="7">
        <f t="shared" si="51"/>
        <v>130.66027661376796</v>
      </c>
      <c r="U49" s="7">
        <f t="shared" si="52"/>
        <v>77.371117009581752</v>
      </c>
      <c r="V49" s="7">
        <f t="shared" si="53"/>
        <v>97.705251785056447</v>
      </c>
      <c r="W49" s="7">
        <f t="shared" si="54"/>
        <v>95.350825436816393</v>
      </c>
      <c r="X49" s="7" t="e">
        <f t="shared" si="55"/>
        <v>#DIV/0!</v>
      </c>
      <c r="Y49" s="7" t="e">
        <f t="shared" si="56"/>
        <v>#REF!</v>
      </c>
      <c r="Z49" s="7">
        <f t="shared" si="57"/>
        <v>84.670938136670713</v>
      </c>
      <c r="AA49" s="7" t="e">
        <f t="shared" si="58"/>
        <v>#REF!</v>
      </c>
      <c r="AB49" s="7">
        <f t="shared" si="59"/>
        <v>103.28649054642925</v>
      </c>
      <c r="AC49" s="7">
        <f t="shared" si="60"/>
        <v>97.333353568661394</v>
      </c>
      <c r="AD49" s="7">
        <f t="shared" si="61"/>
        <v>103.28335043075987</v>
      </c>
      <c r="AE49" s="7" t="e">
        <f t="shared" si="62"/>
        <v>#REF!</v>
      </c>
      <c r="AG49" s="7">
        <f t="shared" si="63"/>
        <v>8.3052177919440501E-2</v>
      </c>
      <c r="AH49" s="7">
        <f t="shared" si="64"/>
        <v>4.299551938379647E-2</v>
      </c>
      <c r="AI49" s="7">
        <f t="shared" si="65"/>
        <v>3.8836490651158233E-2</v>
      </c>
      <c r="AJ49" s="7">
        <f t="shared" si="66"/>
        <v>1.5616875293103421E-2</v>
      </c>
      <c r="AK49" s="7">
        <f t="shared" si="67"/>
        <v>3.7354851532566985E-4</v>
      </c>
      <c r="AL49" s="7">
        <f t="shared" si="68"/>
        <v>5.0555706863994439E-3</v>
      </c>
      <c r="AM49" s="7">
        <f t="shared" si="69"/>
        <v>0.10567846740006556</v>
      </c>
      <c r="AN49" s="7">
        <f t="shared" si="70"/>
        <v>3.3925574986589983E-2</v>
      </c>
      <c r="AO49" s="7">
        <f t="shared" si="71"/>
        <v>0</v>
      </c>
      <c r="AP49" s="7" t="e">
        <f t="shared" si="72"/>
        <v>#REF!</v>
      </c>
      <c r="AQ49" s="7">
        <f t="shared" si="73"/>
        <v>13.29310344827584</v>
      </c>
      <c r="AR49" s="7" t="e">
        <f t="shared" si="74"/>
        <v>#REF!</v>
      </c>
      <c r="AS49" s="7">
        <f t="shared" si="75"/>
        <v>343.96856920818595</v>
      </c>
      <c r="AT49" s="7">
        <f t="shared" si="76"/>
        <v>0.13081651115543014</v>
      </c>
      <c r="AU49" s="7">
        <f t="shared" si="77"/>
        <v>38.263629670848182</v>
      </c>
      <c r="AV49" s="7" t="e">
        <f t="shared" si="78"/>
        <v>#REF!</v>
      </c>
      <c r="AX49" s="7" t="str">
        <f>'2026_Fantasy_Starters'!Z68</f>
        <v>0.21987727872736418</v>
      </c>
      <c r="AY49" s="7" t="str">
        <f>'2026_Fantasy_Starters'!AA68</f>
        <v>0.11382889692247267</v>
      </c>
      <c r="AZ49" s="7" t="str">
        <f>'2026_Fantasy_Starters'!AB68</f>
        <v>0.10281803672843345</v>
      </c>
      <c r="BA49" s="7">
        <f>'2026_Fantasy_Starters'!AC68</f>
        <v>3.1719878999999999E-2</v>
      </c>
      <c r="BB49" s="7">
        <f>'2026_Fantasy_Starters'!AD68</f>
        <v>7.5872500000000002E-4</v>
      </c>
      <c r="BC49" s="7" t="str">
        <f>'2026_Fantasy_Starters'!AE68</f>
        <v>0.010268513222959292</v>
      </c>
      <c r="BD49" s="7" t="str">
        <f>'2026_Fantasy_Starters'!AF68</f>
        <v>0.21464653689818863</v>
      </c>
      <c r="BE49" s="7">
        <f>'2026_Fantasy_Starters'!AG68</f>
        <v>6.8907199000000002E-2</v>
      </c>
      <c r="BF49" s="7">
        <f>'2026_Fantasy_Starters'!AH68</f>
        <v>0</v>
      </c>
      <c r="BG49" s="7" t="e">
        <f>'2026_Fantasy_Starters'!#REF!</f>
        <v>#REF!</v>
      </c>
      <c r="BH49" s="7">
        <f>'2026_Fantasy_Starters'!D68</f>
        <v>27</v>
      </c>
    </row>
    <row r="50" spans="1:60" s="7" customFormat="1">
      <c r="A50" s="7" t="str">
        <f>'2026_Fantasy_Starters'!A106</f>
        <v xml:space="preserve">ATL </v>
      </c>
      <c r="B50" s="7" t="s">
        <v>271</v>
      </c>
      <c r="C50" s="7" t="str">
        <f>'2026_Fantasy_Starters'!C106</f>
        <v>SP</v>
      </c>
      <c r="D50" s="7" t="str">
        <f>'2026_Fantasy_Starters'!W106</f>
        <v>0.23310000000000003</v>
      </c>
      <c r="E50" s="7" t="str">
        <f>'2026_Fantasy_Starters'!X50</f>
        <v>0.19075210084033606</v>
      </c>
      <c r="F50" s="7" t="str">
        <f>'2026_Fantasy_Starters'!Y106</f>
        <v>0.27843915343915343</v>
      </c>
      <c r="G50" s="8">
        <f t="shared" si="79"/>
        <v>-1.4070176110536763</v>
      </c>
      <c r="H50" s="8">
        <f t="shared" si="40"/>
        <v>0.49118737676545859</v>
      </c>
      <c r="I50" s="8">
        <f t="shared" si="41"/>
        <v>-8.394573338175941E-2</v>
      </c>
      <c r="J50" s="8" t="e">
        <f t="shared" si="42"/>
        <v>#REF!</v>
      </c>
      <c r="K50" s="8">
        <f t="shared" si="43"/>
        <v>-8.4162852798455368E-2</v>
      </c>
      <c r="L50" s="8">
        <f t="shared" si="44"/>
        <v>-1.772367423743187</v>
      </c>
      <c r="M50" s="8" t="e">
        <f t="shared" si="45"/>
        <v>#REF!</v>
      </c>
      <c r="N50" s="8" t="e">
        <f t="shared" si="46"/>
        <v>#REF!</v>
      </c>
      <c r="P50" s="7">
        <f t="shared" si="47"/>
        <v>70.837199059535351</v>
      </c>
      <c r="Q50" s="7">
        <f t="shared" si="48"/>
        <v>127.73958200832951</v>
      </c>
      <c r="R50" s="7">
        <f t="shared" si="49"/>
        <v>69.051495672210436</v>
      </c>
      <c r="S50" s="7">
        <f t="shared" si="50"/>
        <v>137.99641118543747</v>
      </c>
      <c r="T50" s="7">
        <f t="shared" si="51"/>
        <v>111.11226817907473</v>
      </c>
      <c r="U50" s="7">
        <f t="shared" si="52"/>
        <v>148.84314015004662</v>
      </c>
      <c r="V50" s="7">
        <f t="shared" si="53"/>
        <v>135.56730086899529</v>
      </c>
      <c r="W50" s="7">
        <f t="shared" si="54"/>
        <v>128.23936394578379</v>
      </c>
      <c r="X50" s="7" t="e">
        <f t="shared" si="55"/>
        <v>#DIV/0!</v>
      </c>
      <c r="Y50" s="7" t="e">
        <f t="shared" si="56"/>
        <v>#REF!</v>
      </c>
      <c r="Z50" s="7">
        <f t="shared" si="57"/>
        <v>132.36044981076105</v>
      </c>
      <c r="AA50" s="7" t="e">
        <f t="shared" si="58"/>
        <v>#REF!</v>
      </c>
      <c r="AB50" s="7">
        <f t="shared" si="59"/>
        <v>96.573959510049178</v>
      </c>
      <c r="AC50" s="7">
        <f t="shared" si="60"/>
        <v>121.9053493339746</v>
      </c>
      <c r="AD50" s="7">
        <f t="shared" si="61"/>
        <v>96.583701106988187</v>
      </c>
      <c r="AE50" s="7" t="e">
        <f t="shared" si="62"/>
        <v>#REF!</v>
      </c>
      <c r="AG50" s="7">
        <f t="shared" si="63"/>
        <v>5.1268471807219586E-2</v>
      </c>
      <c r="AH50" s="7">
        <f t="shared" si="64"/>
        <v>2.632278279220417E-2</v>
      </c>
      <c r="AI50" s="7">
        <f t="shared" si="65"/>
        <v>2.3238728043299999E-2</v>
      </c>
      <c r="AJ50" s="7">
        <f t="shared" si="66"/>
        <v>8.1705841229815553E-3</v>
      </c>
      <c r="AK50" s="7">
        <f t="shared" si="67"/>
        <v>4.7885798544973469E-4</v>
      </c>
      <c r="AL50" s="7">
        <f t="shared" si="68"/>
        <v>2.1090228888888856E-3</v>
      </c>
      <c r="AM50" s="7">
        <f t="shared" si="69"/>
        <v>6.6564012458455932E-2</v>
      </c>
      <c r="AN50" s="7">
        <f t="shared" si="70"/>
        <v>2.32636411104497E-2</v>
      </c>
      <c r="AO50" s="7">
        <f t="shared" si="71"/>
        <v>0</v>
      </c>
      <c r="AP50" s="7" t="e">
        <f t="shared" si="72"/>
        <v>#REF!</v>
      </c>
      <c r="AQ50" s="7">
        <f t="shared" si="73"/>
        <v>7.7962962962962834</v>
      </c>
      <c r="AR50" s="7" t="e">
        <f t="shared" si="74"/>
        <v>#REF!</v>
      </c>
      <c r="AS50" s="7">
        <f t="shared" si="75"/>
        <v>367.84216979815966</v>
      </c>
      <c r="AT50" s="7">
        <f t="shared" si="76"/>
        <v>9.9507192405118974E-2</v>
      </c>
      <c r="AU50" s="7">
        <f t="shared" si="77"/>
        <v>40.914185720826147</v>
      </c>
      <c r="AV50" s="7" t="e">
        <f t="shared" si="78"/>
        <v>#REF!</v>
      </c>
      <c r="AX50" s="7" t="str">
        <f>'2026_Fantasy_Starters'!Z106</f>
        <v>0.21994196399493676</v>
      </c>
      <c r="AY50" s="7" t="str">
        <f>'2026_Fantasy_Starters'!AA106</f>
        <v>0.11292485110340769</v>
      </c>
      <c r="AZ50" s="7">
        <f>'2026_Fantasy_Starters'!AB106</f>
        <v>9.9694243000000002E-2</v>
      </c>
      <c r="BA50" s="7" t="str">
        <f>'2026_Fantasy_Starters'!AC106</f>
        <v>0.029344235615078797</v>
      </c>
      <c r="BB50" s="7">
        <f>'2026_Fantasy_Starters'!AD106</f>
        <v>1.719794E-3</v>
      </c>
      <c r="BC50" s="7">
        <f>'2026_Fantasy_Starters'!AE106</f>
        <v>7.5744480000000001E-3</v>
      </c>
      <c r="BD50" s="7" t="str">
        <f>'2026_Fantasy_Starters'!AF106</f>
        <v>0.23906125139474022</v>
      </c>
      <c r="BE50" s="7">
        <f>'2026_Fantasy_Starters'!AG106</f>
        <v>8.3550179000000002E-2</v>
      </c>
      <c r="BF50" s="7">
        <f>'2026_Fantasy_Starters'!AH106</f>
        <v>0</v>
      </c>
      <c r="BG50" s="7" t="e">
        <f>'2026_Fantasy_Starters'!#REF!</f>
        <v>#REF!</v>
      </c>
      <c r="BH50" s="7">
        <f>'2026_Fantasy_Starters'!D106</f>
        <v>28</v>
      </c>
    </row>
    <row r="51" spans="1:60" s="7" customFormat="1">
      <c r="A51" s="7" t="str">
        <f>'2026_Fantasy_Starters'!A91</f>
        <v xml:space="preserve">KC </v>
      </c>
      <c r="B51" s="7" t="s">
        <v>237</v>
      </c>
      <c r="C51" s="7" t="str">
        <f>'2026_Fantasy_Starters'!C91</f>
        <v>SP</v>
      </c>
      <c r="D51" s="7" t="str">
        <f>'2026_Fantasy_Starters'!W91</f>
        <v>0.2958352147455684</v>
      </c>
      <c r="E51" s="7" t="str">
        <f>'2026_Fantasy_Starters'!X51</f>
        <v>0.35929922135706344</v>
      </c>
      <c r="F51" s="7" t="str">
        <f>'2026_Fantasy_Starters'!Y91</f>
        <v>0.3078093306288032</v>
      </c>
      <c r="G51" s="8">
        <f t="shared" si="79"/>
        <v>-0.44797847162939447</v>
      </c>
      <c r="H51" s="8">
        <f t="shared" si="40"/>
        <v>1.1653988749878854</v>
      </c>
      <c r="I51" s="8">
        <f t="shared" si="41"/>
        <v>0.91281817816628341</v>
      </c>
      <c r="J51" s="8" t="e">
        <f t="shared" si="42"/>
        <v>#REF!</v>
      </c>
      <c r="K51" s="8">
        <f t="shared" si="43"/>
        <v>0.91215418647535451</v>
      </c>
      <c r="L51" s="8">
        <f t="shared" si="44"/>
        <v>-0.86299855569898698</v>
      </c>
      <c r="M51" s="8" t="e">
        <f t="shared" si="45"/>
        <v>#REF!</v>
      </c>
      <c r="N51" s="8" t="e">
        <f t="shared" si="46"/>
        <v>#REF!</v>
      </c>
      <c r="P51" s="7">
        <f t="shared" si="47"/>
        <v>90.714894475302188</v>
      </c>
      <c r="Q51" s="7">
        <f t="shared" si="48"/>
        <v>109.67851420504064</v>
      </c>
      <c r="R51" s="7">
        <f t="shared" si="49"/>
        <v>84.930599503167002</v>
      </c>
      <c r="S51" s="7">
        <f t="shared" si="50"/>
        <v>141.18232063996999</v>
      </c>
      <c r="T51" s="7">
        <f t="shared" si="51"/>
        <v>53.310198924916733</v>
      </c>
      <c r="U51" s="7">
        <f t="shared" si="52"/>
        <v>140.74087704203168</v>
      </c>
      <c r="V51" s="7">
        <f t="shared" si="53"/>
        <v>131.15119189738422</v>
      </c>
      <c r="W51" s="7">
        <f t="shared" si="54"/>
        <v>125.27302576041743</v>
      </c>
      <c r="X51" s="7" t="e">
        <f t="shared" si="55"/>
        <v>#DIV/0!</v>
      </c>
      <c r="Y51" s="7" t="e">
        <f t="shared" si="56"/>
        <v>#REF!</v>
      </c>
      <c r="Z51" s="7">
        <f t="shared" si="57"/>
        <v>122.5552195017858</v>
      </c>
      <c r="AA51" s="7" t="e">
        <f t="shared" si="58"/>
        <v>#REF!</v>
      </c>
      <c r="AB51" s="7">
        <f t="shared" si="59"/>
        <v>137.131312354946</v>
      </c>
      <c r="AC51" s="7">
        <f t="shared" si="60"/>
        <v>151.97297544195735</v>
      </c>
      <c r="AD51" s="7">
        <f t="shared" si="61"/>
        <v>137.14851971581086</v>
      </c>
      <c r="AE51" s="7" t="e">
        <f t="shared" si="62"/>
        <v>#REF!</v>
      </c>
      <c r="AG51" s="7">
        <f t="shared" si="63"/>
        <v>6.5654967610917797E-2</v>
      </c>
      <c r="AH51" s="7">
        <f t="shared" si="64"/>
        <v>3.290200801667003E-2</v>
      </c>
      <c r="AI51" s="7">
        <f t="shared" si="65"/>
        <v>2.8582713309754263E-2</v>
      </c>
      <c r="AJ51" s="7">
        <f t="shared" si="66"/>
        <v>7.7507577596348824E-3</v>
      </c>
      <c r="AK51" s="7">
        <f t="shared" si="67"/>
        <v>7.9025059127788987E-4</v>
      </c>
      <c r="AL51" s="7">
        <f t="shared" si="68"/>
        <v>2.4430515684584161E-3</v>
      </c>
      <c r="AM51" s="7">
        <f t="shared" si="69"/>
        <v>7.1126198065589202E-2</v>
      </c>
      <c r="AN51" s="7">
        <f t="shared" si="70"/>
        <v>2.4225280119675438E-2</v>
      </c>
      <c r="AO51" s="7">
        <f t="shared" si="71"/>
        <v>0</v>
      </c>
      <c r="AP51" s="7" t="e">
        <f t="shared" si="72"/>
        <v>#REF!</v>
      </c>
      <c r="AQ51" s="7">
        <f t="shared" si="73"/>
        <v>8.9264705882352864</v>
      </c>
      <c r="AR51" s="7" t="e">
        <f t="shared" si="74"/>
        <v>#REF!</v>
      </c>
      <c r="AS51" s="7">
        <f t="shared" si="75"/>
        <v>223.59702030714772</v>
      </c>
      <c r="AT51" s="7">
        <f t="shared" si="76"/>
        <v>6.1195412650992431E-2</v>
      </c>
      <c r="AU51" s="7">
        <f t="shared" si="77"/>
        <v>24.865685242096042</v>
      </c>
      <c r="AV51" s="7" t="e">
        <f t="shared" si="78"/>
        <v>#REF!</v>
      </c>
      <c r="AX51" s="7" t="str">
        <f>'2026_Fantasy_Starters'!Z91</f>
        <v>0.22193087346746168</v>
      </c>
      <c r="AY51" s="7" t="str">
        <f>'2026_Fantasy_Starters'!AA91</f>
        <v>0.11121734795827952</v>
      </c>
      <c r="AZ51" s="7">
        <f>'2026_Fantasy_Starters'!AB91</f>
        <v>9.6617008000000004E-2</v>
      </c>
      <c r="BA51" s="7">
        <f>'2026_Fantasy_Starters'!AC91</f>
        <v>2.5180385999999999E-2</v>
      </c>
      <c r="BB51" s="7">
        <f>'2026_Fantasy_Starters'!AD91</f>
        <v>2.5673380000000002E-3</v>
      </c>
      <c r="BC51" s="7">
        <f>'2026_Fantasy_Starters'!AE91</f>
        <v>7.9368990000000007E-3</v>
      </c>
      <c r="BD51" s="7" t="str">
        <f>'2026_Fantasy_Starters'!AF91</f>
        <v>0.23107226126086033</v>
      </c>
      <c r="BE51" s="7">
        <f>'2026_Fantasy_Starters'!AG91</f>
        <v>7.8702227999999999E-2</v>
      </c>
      <c r="BF51" s="7">
        <f>'2026_Fantasy_Starters'!AH91</f>
        <v>0</v>
      </c>
      <c r="BG51" s="7" t="e">
        <f>'2026_Fantasy_Starters'!#REF!</f>
        <v>#REF!</v>
      </c>
      <c r="BH51" s="7">
        <f>'2026_Fantasy_Starters'!D91</f>
        <v>29</v>
      </c>
    </row>
    <row r="52" spans="1:60" s="7" customFormat="1">
      <c r="A52" s="7" t="str">
        <f>'2026_Fantasy_Starters'!A58</f>
        <v xml:space="preserve">NYY </v>
      </c>
      <c r="B52" s="7" t="s">
        <v>165</v>
      </c>
      <c r="C52" s="7" t="str">
        <f>'2026_Fantasy_Starters'!C58</f>
        <v>SP</v>
      </c>
      <c r="D52" s="7" t="str">
        <f>'2026_Fantasy_Starters'!W58</f>
        <v>0.36801029748283753</v>
      </c>
      <c r="E52" s="7" t="str">
        <f>'2026_Fantasy_Starters'!X52</f>
        <v>0.2958498985801217</v>
      </c>
      <c r="F52" s="7" t="str">
        <f>'2026_Fantasy_Starters'!Y58</f>
        <v>0.5088566827697262</v>
      </c>
      <c r="G52" s="8">
        <f t="shared" si="79"/>
        <v>0.45145809083157318</v>
      </c>
      <c r="H52" s="8">
        <f t="shared" si="40"/>
        <v>-0.16390787403881557</v>
      </c>
      <c r="I52" s="8">
        <f t="shared" si="41"/>
        <v>0.53061195440093112</v>
      </c>
      <c r="J52" s="8" t="e">
        <f t="shared" si="42"/>
        <v>#REF!</v>
      </c>
      <c r="K52" s="8">
        <f t="shared" si="43"/>
        <v>0.5319857505640132</v>
      </c>
      <c r="L52" s="8">
        <f t="shared" si="44"/>
        <v>0.88611202677618373</v>
      </c>
      <c r="M52" s="8" t="e">
        <f t="shared" si="45"/>
        <v>#REF!</v>
      </c>
      <c r="N52" s="8" t="e">
        <f t="shared" si="46"/>
        <v>#REF!</v>
      </c>
      <c r="P52" s="7">
        <f t="shared" si="47"/>
        <v>109.35722647140423</v>
      </c>
      <c r="Q52" s="7">
        <f t="shared" si="48"/>
        <v>89.153958317751758</v>
      </c>
      <c r="R52" s="7">
        <f t="shared" si="49"/>
        <v>115.47300042204053</v>
      </c>
      <c r="S52" s="7">
        <f t="shared" si="50"/>
        <v>65.857721611811442</v>
      </c>
      <c r="T52" s="7">
        <f t="shared" si="51"/>
        <v>95.512999104587266</v>
      </c>
      <c r="U52" s="7">
        <f t="shared" si="52"/>
        <v>90.975553876553334</v>
      </c>
      <c r="V52" s="7">
        <f t="shared" si="53"/>
        <v>83.175573927072634</v>
      </c>
      <c r="W52" s="7">
        <f t="shared" si="54"/>
        <v>88.594190165215764</v>
      </c>
      <c r="X52" s="7" t="e">
        <f t="shared" si="55"/>
        <v>#DIV/0!</v>
      </c>
      <c r="Y52" s="7" t="e">
        <f t="shared" si="56"/>
        <v>#REF!</v>
      </c>
      <c r="Z52" s="7">
        <f t="shared" si="57"/>
        <v>120.53418125035803</v>
      </c>
      <c r="AA52" s="7" t="e">
        <f t="shared" si="58"/>
        <v>#REF!</v>
      </c>
      <c r="AB52" s="7">
        <f t="shared" si="59"/>
        <v>121.65569085299211</v>
      </c>
      <c r="AC52" s="7">
        <f t="shared" si="60"/>
        <v>92.690245292839009</v>
      </c>
      <c r="AD52" s="7">
        <f t="shared" si="61"/>
        <v>121.59405796355337</v>
      </c>
      <c r="AE52" s="7" t="e">
        <f t="shared" si="62"/>
        <v>#REF!</v>
      </c>
      <c r="AG52" s="7">
        <f t="shared" si="63"/>
        <v>7.9147368285310785E-2</v>
      </c>
      <c r="AH52" s="7">
        <f t="shared" si="64"/>
        <v>4.0378624420824197E-2</v>
      </c>
      <c r="AI52" s="7">
        <f t="shared" si="65"/>
        <v>3.8861513817022367E-2</v>
      </c>
      <c r="AJ52" s="7">
        <f t="shared" si="66"/>
        <v>1.7676731153369742E-2</v>
      </c>
      <c r="AK52" s="7">
        <f t="shared" si="67"/>
        <v>5.6289471819645693E-4</v>
      </c>
      <c r="AL52" s="7">
        <f t="shared" si="68"/>
        <v>4.4947061449275337E-3</v>
      </c>
      <c r="AM52" s="7">
        <f t="shared" si="69"/>
        <v>0.12068875986026138</v>
      </c>
      <c r="AN52" s="7">
        <f t="shared" si="70"/>
        <v>3.6115967194846998E-2</v>
      </c>
      <c r="AO52" s="7">
        <f t="shared" si="71"/>
        <v>0</v>
      </c>
      <c r="AP52" s="7" t="e">
        <f t="shared" si="72"/>
        <v>#REF!</v>
      </c>
      <c r="AQ52" s="7">
        <f t="shared" si="73"/>
        <v>9.159420289855067</v>
      </c>
      <c r="AR52" s="7" t="e">
        <f t="shared" si="74"/>
        <v>#REF!</v>
      </c>
      <c r="AS52" s="7">
        <f t="shared" si="75"/>
        <v>278.6371839379587</v>
      </c>
      <c r="AT52" s="7">
        <f t="shared" si="76"/>
        <v>0.13673269958344314</v>
      </c>
      <c r="AU52" s="7">
        <f t="shared" si="77"/>
        <v>31.019436089220523</v>
      </c>
      <c r="AV52" s="7" t="e">
        <f t="shared" si="78"/>
        <v>#REF!</v>
      </c>
      <c r="AX52" s="7" t="str">
        <f>'2026_Fantasy_Starters'!Z58</f>
        <v>0.21506835223544846</v>
      </c>
      <c r="AY52" s="7" t="str">
        <f>'2026_Fantasy_Starters'!AA58</f>
        <v>0.10972145262513389</v>
      </c>
      <c r="AZ52" s="7" t="str">
        <f>'2026_Fantasy_Starters'!AB58</f>
        <v>0.1055989848187194</v>
      </c>
      <c r="BA52" s="7" t="str">
        <f>'2026_Fantasy_Starters'!AC58</f>
        <v>0.034738133057729874</v>
      </c>
      <c r="BB52" s="7">
        <f>'2026_Fantasy_Starters'!AD58</f>
        <v>1.1061949999999999E-3</v>
      </c>
      <c r="BC52" s="7">
        <f>'2026_Fantasy_Starters'!AE58</f>
        <v>8.8329510000000003E-3</v>
      </c>
      <c r="BD52" s="7" t="str">
        <f>'2026_Fantasy_Starters'!AF58</f>
        <v>0.23717632871272995</v>
      </c>
      <c r="BE52" s="7">
        <f>'2026_Fantasy_Starters'!AG58</f>
        <v>7.0974732999999998E-2</v>
      </c>
      <c r="BF52" s="7">
        <f>'2026_Fantasy_Starters'!AH58</f>
        <v>0</v>
      </c>
      <c r="BG52" s="7" t="e">
        <f>'2026_Fantasy_Starters'!#REF!</f>
        <v>#REF!</v>
      </c>
      <c r="BH52" s="7">
        <f>'2026_Fantasy_Starters'!D58</f>
        <v>18</v>
      </c>
    </row>
    <row r="53" spans="1:60" s="7" customFormat="1">
      <c r="A53" s="7" t="str">
        <f>'2026_Fantasy_Starters'!A59</f>
        <v xml:space="preserve">NYY </v>
      </c>
      <c r="B53" s="7" t="s">
        <v>167</v>
      </c>
      <c r="C53" s="7" t="str">
        <f>'2026_Fantasy_Starters'!C59</f>
        <v>SP</v>
      </c>
      <c r="D53" s="7" t="str">
        <f>'2026_Fantasy_Starters'!W59</f>
        <v>0.3825535714285715</v>
      </c>
      <c r="E53" s="7" t="str">
        <f>'2026_Fantasy_Starters'!X53</f>
        <v>0.3905460829493087</v>
      </c>
      <c r="F53" s="7" t="str">
        <f>'2026_Fantasy_Starters'!Y59</f>
        <v>0.49107142857142855</v>
      </c>
      <c r="G53" s="8">
        <f t="shared" si="79"/>
        <v>0.4155426456344265</v>
      </c>
      <c r="H53" s="8">
        <f t="shared" si="40"/>
        <v>0.25993281819736375</v>
      </c>
      <c r="I53" s="8">
        <f t="shared" si="41"/>
        <v>0.58023423692984499</v>
      </c>
      <c r="J53" s="8" t="e">
        <f t="shared" si="42"/>
        <v>#REF!</v>
      </c>
      <c r="K53" s="8">
        <f t="shared" si="43"/>
        <v>0.58060804758622919</v>
      </c>
      <c r="L53" s="8">
        <f t="shared" si="44"/>
        <v>1.1635445693222253</v>
      </c>
      <c r="M53" s="8" t="e">
        <f t="shared" si="45"/>
        <v>#REF!</v>
      </c>
      <c r="N53" s="8" t="e">
        <f t="shared" si="46"/>
        <v>#REF!</v>
      </c>
      <c r="P53" s="7">
        <f t="shared" si="47"/>
        <v>108.61281860419339</v>
      </c>
      <c r="Q53" s="7">
        <f t="shared" si="48"/>
        <v>82.71078120223487</v>
      </c>
      <c r="R53" s="7">
        <f t="shared" si="49"/>
        <v>120.31743737604536</v>
      </c>
      <c r="S53" s="7">
        <f t="shared" si="50"/>
        <v>72.672617812879651</v>
      </c>
      <c r="T53" s="7">
        <f t="shared" si="51"/>
        <v>124.91365759986387</v>
      </c>
      <c r="U53" s="7">
        <f t="shared" si="52"/>
        <v>81.429578658769529</v>
      </c>
      <c r="V53" s="7">
        <f t="shared" si="53"/>
        <v>83.104631625879591</v>
      </c>
      <c r="W53" s="7">
        <f t="shared" si="54"/>
        <v>67.435609009677279</v>
      </c>
      <c r="X53" s="7" t="e">
        <f t="shared" si="55"/>
        <v>#DIV/0!</v>
      </c>
      <c r="Y53" s="7" t="e">
        <f t="shared" si="56"/>
        <v>#REF!</v>
      </c>
      <c r="Z53" s="7">
        <f t="shared" si="57"/>
        <v>97.74883064368521</v>
      </c>
      <c r="AA53" s="7" t="e">
        <f t="shared" si="58"/>
        <v>#REF!</v>
      </c>
      <c r="AB53" s="7">
        <f t="shared" si="59"/>
        <v>123.63497212464107</v>
      </c>
      <c r="AC53" s="7">
        <f t="shared" si="60"/>
        <v>111.59215292435456</v>
      </c>
      <c r="AD53" s="7">
        <f t="shared" si="61"/>
        <v>123.613511985133</v>
      </c>
      <c r="AE53" s="7" t="e">
        <f t="shared" si="62"/>
        <v>#REF!</v>
      </c>
      <c r="AG53" s="7">
        <f t="shared" si="63"/>
        <v>7.8608602576617309E-2</v>
      </c>
      <c r="AH53" s="7">
        <f t="shared" si="64"/>
        <v>4.2725723377863192E-2</v>
      </c>
      <c r="AI53" s="7">
        <f t="shared" si="65"/>
        <v>4.0491870289407046E-2</v>
      </c>
      <c r="AJ53" s="7">
        <f t="shared" si="66"/>
        <v>1.6778691479138217E-2</v>
      </c>
      <c r="AK53" s="7">
        <f t="shared" si="67"/>
        <v>4.0450683035714237E-4</v>
      </c>
      <c r="AL53" s="7">
        <f t="shared" si="68"/>
        <v>4.888254151785708E-3</v>
      </c>
      <c r="AM53" s="7">
        <f t="shared" si="69"/>
        <v>0.1207620488002582</v>
      </c>
      <c r="AN53" s="7">
        <f t="shared" si="70"/>
        <v>4.2975238035714236E-2</v>
      </c>
      <c r="AO53" s="7">
        <f t="shared" si="71"/>
        <v>0</v>
      </c>
      <c r="AP53" s="7" t="e">
        <f t="shared" si="72"/>
        <v>#REF!</v>
      </c>
      <c r="AQ53" s="7">
        <f t="shared" si="73"/>
        <v>11.785714285714272</v>
      </c>
      <c r="AR53" s="7" t="e">
        <f t="shared" si="74"/>
        <v>#REF!</v>
      </c>
      <c r="AS53" s="7">
        <f t="shared" si="75"/>
        <v>271.59772739340542</v>
      </c>
      <c r="AT53" s="7">
        <f t="shared" si="76"/>
        <v>0.11264813369484422</v>
      </c>
      <c r="AU53" s="7">
        <f t="shared" si="77"/>
        <v>30.220487395658626</v>
      </c>
      <c r="AV53" s="7" t="e">
        <f t="shared" si="78"/>
        <v>#REF!</v>
      </c>
      <c r="AX53" s="7" t="str">
        <f>'2026_Fantasy_Starters'!Z59</f>
        <v>0.20548390721610343</v>
      </c>
      <c r="AY53" s="7" t="str">
        <f>'2026_Fantasy_Starters'!AA59</f>
        <v>0.1116855953489407</v>
      </c>
      <c r="AZ53" s="7" t="str">
        <f>'2026_Fantasy_Starters'!AB59</f>
        <v>0.10584627438765823</v>
      </c>
      <c r="BA53" s="7" t="str">
        <f>'2026_Fantasy_Starters'!AC59</f>
        <v>0.034167517193881544</v>
      </c>
      <c r="BB53" s="7">
        <f>'2026_Fantasy_Starters'!AD59</f>
        <v>8.2372299999999995E-4</v>
      </c>
      <c r="BC53" s="7">
        <f>'2026_Fantasy_Starters'!AE59</f>
        <v>9.9542629999999997E-3</v>
      </c>
      <c r="BD53" s="7" t="str">
        <f>'2026_Fantasy_Starters'!AF59</f>
        <v>0.24591544482961722</v>
      </c>
      <c r="BE53" s="7">
        <f>'2026_Fantasy_Starters'!AG59</f>
        <v>8.7513212000000007E-2</v>
      </c>
      <c r="BF53" s="7">
        <f>'2026_Fantasy_Starters'!AH59</f>
        <v>0</v>
      </c>
      <c r="BG53" s="7" t="e">
        <f>'2026_Fantasy_Starters'!#REF!</f>
        <v>#REF!</v>
      </c>
      <c r="BH53" s="7">
        <f>'2026_Fantasy_Starters'!D59</f>
        <v>24</v>
      </c>
    </row>
    <row r="54" spans="1:60">
      <c r="A54" t="str">
        <f>'2026_Fantasy_Starters'!A87</f>
        <v xml:space="preserve">BAL </v>
      </c>
      <c r="B54" t="s">
        <v>228</v>
      </c>
      <c r="C54" t="str">
        <f>'2026_Fantasy_Starters'!C87</f>
        <v>SP</v>
      </c>
      <c r="D54" t="str">
        <f>'2026_Fantasy_Starters'!W87</f>
        <v>0.3159230769230769</v>
      </c>
      <c r="E54" t="str">
        <f>'2026_Fantasy_Starters'!X54</f>
        <v>0.3526847290640394</v>
      </c>
      <c r="F54" t="str">
        <f>'2026_Fantasy_Starters'!Y87</f>
        <v>0.3554778554778555</v>
      </c>
      <c r="G54" s="3">
        <f t="shared" si="79"/>
        <v>-2.1823138991931019E-2</v>
      </c>
      <c r="H54" s="3">
        <f t="shared" si="40"/>
        <v>-0.12159251477899523</v>
      </c>
      <c r="I54" s="3">
        <f t="shared" si="41"/>
        <v>0.38935486210099585</v>
      </c>
      <c r="J54" s="3" t="e">
        <f t="shared" si="42"/>
        <v>#REF!</v>
      </c>
      <c r="K54" s="3">
        <f t="shared" si="43"/>
        <v>0.3889053852674631</v>
      </c>
      <c r="L54" s="3">
        <f t="shared" si="44"/>
        <v>-2.9810436621767897E-2</v>
      </c>
      <c r="M54" s="3" t="e">
        <f t="shared" si="45"/>
        <v>#REF!</v>
      </c>
      <c r="N54" s="4" t="e">
        <f t="shared" si="46"/>
        <v>#REF!</v>
      </c>
      <c r="P54">
        <f t="shared" si="47"/>
        <v>99.547678825539961</v>
      </c>
      <c r="Q54">
        <f t="shared" si="48"/>
        <v>96.700767860385568</v>
      </c>
      <c r="R54">
        <f t="shared" si="49"/>
        <v>99.479459837479112</v>
      </c>
      <c r="S54">
        <f t="shared" si="50"/>
        <v>113.24916500836352</v>
      </c>
      <c r="T54">
        <f t="shared" si="51"/>
        <v>112.00547673371072</v>
      </c>
      <c r="U54">
        <f t="shared" si="52"/>
        <v>72.316800540940719</v>
      </c>
      <c r="V54">
        <f t="shared" si="53"/>
        <v>128.70216380570903</v>
      </c>
      <c r="W54">
        <f t="shared" si="54"/>
        <v>110.87559242553742</v>
      </c>
      <c r="X54" t="e">
        <f t="shared" si="55"/>
        <v>#DIV/0!</v>
      </c>
      <c r="Y54" t="e">
        <f t="shared" si="56"/>
        <v>#REF!</v>
      </c>
      <c r="Z54">
        <f t="shared" si="57"/>
        <v>98.225526071919802</v>
      </c>
      <c r="AA54" t="e">
        <f t="shared" si="58"/>
        <v>#REF!</v>
      </c>
      <c r="AB54">
        <f t="shared" si="59"/>
        <v>115.83127891205156</v>
      </c>
      <c r="AC54">
        <f t="shared" si="60"/>
        <v>94.577371816494789</v>
      </c>
      <c r="AD54">
        <f t="shared" si="61"/>
        <v>115.84538642762526</v>
      </c>
      <c r="AE54" t="e">
        <f t="shared" si="62"/>
        <v>#REF!</v>
      </c>
      <c r="AG54">
        <f t="shared" si="63"/>
        <v>7.2047701392766256E-2</v>
      </c>
      <c r="AH54">
        <f t="shared" si="64"/>
        <v>3.7629497943479681E-2</v>
      </c>
      <c r="AI54">
        <f t="shared" si="65"/>
        <v>3.3479015777321229E-2</v>
      </c>
      <c r="AJ54">
        <f t="shared" si="66"/>
        <v>1.1431676917249401E-2</v>
      </c>
      <c r="AK54">
        <f t="shared" si="67"/>
        <v>4.7404607226107158E-4</v>
      </c>
      <c r="AL54">
        <f t="shared" si="68"/>
        <v>5.2639429193964953E-3</v>
      </c>
      <c r="AM54">
        <f t="shared" si="69"/>
        <v>7.3656235431770745E-2</v>
      </c>
      <c r="AN54">
        <f t="shared" si="70"/>
        <v>2.8892695856643318E-2</v>
      </c>
      <c r="AO54">
        <f t="shared" si="71"/>
        <v>0</v>
      </c>
      <c r="AP54" t="e">
        <f t="shared" si="72"/>
        <v>#REF!</v>
      </c>
      <c r="AQ54">
        <f t="shared" si="73"/>
        <v>11.730769230769214</v>
      </c>
      <c r="AR54" t="e">
        <f t="shared" si="74"/>
        <v>#REF!</v>
      </c>
      <c r="AS54">
        <f t="shared" si="75"/>
        <v>299.35212493352014</v>
      </c>
      <c r="AT54">
        <f t="shared" si="76"/>
        <v>0.13432814740886106</v>
      </c>
      <c r="AU54">
        <f t="shared" si="77"/>
        <v>33.293760517638866</v>
      </c>
      <c r="AV54" t="e">
        <f t="shared" si="78"/>
        <v>#REF!</v>
      </c>
      <c r="AX54" t="str">
        <f>'2026_Fantasy_Starters'!Z87</f>
        <v>0.22805456978474942</v>
      </c>
      <c r="AY54" t="str">
        <f>'2026_Fantasy_Starters'!AA87</f>
        <v>0.11910968426229343</v>
      </c>
      <c r="AZ54" t="str">
        <f>'2026_Fantasy_Starters'!AB87</f>
        <v>0.10597204896644208</v>
      </c>
      <c r="BA54">
        <f>'2026_Fantasy_Starters'!AC87</f>
        <v>3.2158618999999999E-2</v>
      </c>
      <c r="BB54">
        <f>'2026_Fantasy_Starters'!AD87</f>
        <v>1.3335459999999999E-3</v>
      </c>
      <c r="BC54" t="str">
        <f>'2026_Fantasy_Starters'!AE87</f>
        <v>0.014808075491285991</v>
      </c>
      <c r="BD54" t="str">
        <f>'2026_Fantasy_Starters'!AF87</f>
        <v>0.2072034426244574</v>
      </c>
      <c r="BE54">
        <f>'2026_Fantasy_Starters'!AG87</f>
        <v>8.1278469000000006E-2</v>
      </c>
      <c r="BF54">
        <f>'2026_Fantasy_Starters'!AH87</f>
        <v>0</v>
      </c>
      <c r="BG54" t="e">
        <f>'2026_Fantasy_Starters'!#REF!</f>
        <v>#REF!</v>
      </c>
      <c r="BH54">
        <f>'2026_Fantasy_Starters'!D87</f>
        <v>33</v>
      </c>
    </row>
    <row r="55" spans="1:60" s="7" customFormat="1">
      <c r="A55" s="7" t="str">
        <f>'2026_Fantasy_Starters'!A85</f>
        <v xml:space="preserve">NYY </v>
      </c>
      <c r="B55" s="7" t="s">
        <v>224</v>
      </c>
      <c r="C55" s="7" t="str">
        <f>'2026_Fantasy_Starters'!C85</f>
        <v>SP</v>
      </c>
      <c r="D55" s="7" t="str">
        <f>'2026_Fantasy_Starters'!W85</f>
        <v>0.20904999999999996</v>
      </c>
      <c r="E55" s="7" t="str">
        <f>'2026_Fantasy_Starters'!X55</f>
        <v>0.3522746305418719</v>
      </c>
      <c r="F55" s="7" t="str">
        <f>'2026_Fantasy_Starters'!Y85</f>
        <v>0.16825396825396824</v>
      </c>
      <c r="G55" s="8">
        <f t="shared" si="79"/>
        <v>-1.7557958200370805</v>
      </c>
      <c r="H55" s="8">
        <f t="shared" si="40"/>
        <v>1.4985673867487477</v>
      </c>
      <c r="I55" s="8">
        <f t="shared" si="41"/>
        <v>1.4179943877783878</v>
      </c>
      <c r="J55" s="8" t="e">
        <f t="shared" si="42"/>
        <v>#REF!</v>
      </c>
      <c r="K55" s="8">
        <f t="shared" si="43"/>
        <v>1.4173831377742554</v>
      </c>
      <c r="L55" s="8">
        <f t="shared" si="44"/>
        <v>-1.7578467370202617</v>
      </c>
      <c r="M55" s="8" t="e">
        <f t="shared" si="45"/>
        <v>#REF!</v>
      </c>
      <c r="N55" s="8" t="e">
        <f t="shared" si="46"/>
        <v>#REF!</v>
      </c>
      <c r="P55" s="7">
        <f t="shared" si="47"/>
        <v>63.608185434512023</v>
      </c>
      <c r="Q55" s="7">
        <f t="shared" si="48"/>
        <v>134.82509253102427</v>
      </c>
      <c r="R55" s="7">
        <f t="shared" si="49"/>
        <v>69.305051187769294</v>
      </c>
      <c r="S55" s="7">
        <f t="shared" si="50"/>
        <v>159.13122127386305</v>
      </c>
      <c r="T55" s="7">
        <f t="shared" si="51"/>
        <v>143.41281472713891</v>
      </c>
      <c r="U55" s="7">
        <f t="shared" si="52"/>
        <v>159.87413736647034</v>
      </c>
      <c r="V55" s="7">
        <f t="shared" si="53"/>
        <v>162.66751633612142</v>
      </c>
      <c r="W55" s="7">
        <f t="shared" si="54"/>
        <v>157.34333643410937</v>
      </c>
      <c r="X55" s="7" t="e">
        <f t="shared" si="55"/>
        <v>#DIV/0!</v>
      </c>
      <c r="Y55" s="7" t="e">
        <f t="shared" si="56"/>
        <v>#REF!</v>
      </c>
      <c r="Z55" s="7">
        <f t="shared" si="57"/>
        <v>148.90884332499292</v>
      </c>
      <c r="AA55" s="7" t="e">
        <f t="shared" si="58"/>
        <v>#REF!</v>
      </c>
      <c r="AB55" s="7">
        <f t="shared" si="59"/>
        <v>157.69780679151802</v>
      </c>
      <c r="AC55" s="7">
        <f t="shared" si="60"/>
        <v>166.83120059680897</v>
      </c>
      <c r="AD55" s="7">
        <f t="shared" si="61"/>
        <v>157.70743148116713</v>
      </c>
      <c r="AE55" s="7" t="e">
        <f t="shared" si="62"/>
        <v>#REF!</v>
      </c>
      <c r="AG55" s="7">
        <f t="shared" si="63"/>
        <v>4.6036468196842137E-2</v>
      </c>
      <c r="AH55" s="7">
        <f t="shared" si="64"/>
        <v>2.3741696775205625E-2</v>
      </c>
      <c r="AI55" s="7">
        <f t="shared" si="65"/>
        <v>2.3324060122099886E-2</v>
      </c>
      <c r="AJ55" s="7">
        <f t="shared" si="66"/>
        <v>5.3855236603174523E-3</v>
      </c>
      <c r="AK55" s="7">
        <f t="shared" si="67"/>
        <v>3.048477555555551E-4</v>
      </c>
      <c r="AL55" s="7">
        <f t="shared" si="68"/>
        <v>1.6542524888888863E-3</v>
      </c>
      <c r="AM55" s="7">
        <f t="shared" si="69"/>
        <v>3.8567372486678048E-2</v>
      </c>
      <c r="AN55" s="7">
        <f t="shared" si="70"/>
        <v>1.3828602514285693E-2</v>
      </c>
      <c r="AO55" s="7">
        <f t="shared" si="71"/>
        <v>0</v>
      </c>
      <c r="AP55" s="7" t="e">
        <f t="shared" si="72"/>
        <v>#REF!</v>
      </c>
      <c r="AQ55" s="7">
        <f t="shared" si="73"/>
        <v>5.8888888888888795</v>
      </c>
      <c r="AR55" s="7" t="e">
        <f t="shared" si="74"/>
        <v>#REF!</v>
      </c>
      <c r="AS55" s="7">
        <f t="shared" si="75"/>
        <v>150.45080004334966</v>
      </c>
      <c r="AT55" s="7">
        <f t="shared" si="76"/>
        <v>4.2263254600817396E-2</v>
      </c>
      <c r="AU55" s="7">
        <f t="shared" si="77"/>
        <v>16.732043415907036</v>
      </c>
      <c r="AV55" s="7" t="e">
        <f t="shared" si="78"/>
        <v>#REF!</v>
      </c>
      <c r="AX55" s="7" t="str">
        <f>'2026_Fantasy_Starters'!Z85</f>
        <v>0.22021749914777544</v>
      </c>
      <c r="AY55" s="7" t="str">
        <f>'2026_Fantasy_Starters'!AA85</f>
        <v>0.11356946555946354</v>
      </c>
      <c r="AZ55" s="7">
        <f>'2026_Fantasy_Starters'!AB85</f>
        <v>0.11157168200000001</v>
      </c>
      <c r="BA55" s="7">
        <f>'2026_Fantasy_Starters'!AC85</f>
        <v>3.2008301000000003E-2</v>
      </c>
      <c r="BB55" s="7">
        <f>'2026_Fantasy_Starters'!AD85</f>
        <v>1.8118310000000001E-3</v>
      </c>
      <c r="BC55" s="7">
        <f>'2026_Fantasy_Starters'!AE85</f>
        <v>9.8318780000000005E-3</v>
      </c>
      <c r="BD55" s="7" t="str">
        <f>'2026_Fantasy_Starters'!AF85</f>
        <v>0.22922117610006815</v>
      </c>
      <c r="BE55" s="7">
        <f>'2026_Fantasy_Starters'!AG85</f>
        <v>8.2188864E-2</v>
      </c>
      <c r="BF55" s="7">
        <f>'2026_Fantasy_Starters'!AH85</f>
        <v>0</v>
      </c>
      <c r="BG55" s="7" t="e">
        <f>'2026_Fantasy_Starters'!#REF!</f>
        <v>#REF!</v>
      </c>
      <c r="BH55" s="7">
        <f>'2026_Fantasy_Starters'!D85</f>
        <v>35</v>
      </c>
    </row>
    <row r="56" spans="1:60">
      <c r="A56" t="str">
        <f>'2026_Fantasy_Starters'!A61</f>
        <v xml:space="preserve">LAA </v>
      </c>
      <c r="B56" t="s">
        <v>172</v>
      </c>
      <c r="C56" t="str">
        <f>'2026_Fantasy_Starters'!C61</f>
        <v>SP,RP</v>
      </c>
      <c r="D56" t="str">
        <f>'2026_Fantasy_Starters'!W61</f>
        <v>0.1986676264911559</v>
      </c>
      <c r="E56" t="str">
        <f>'2026_Fantasy_Starters'!X56</f>
        <v>0.33299999999999996</v>
      </c>
      <c r="F56" t="str">
        <f>'2026_Fantasy_Starters'!Y61</f>
        <v>0.24702911467617347</v>
      </c>
      <c r="G56" s="3">
        <f t="shared" si="79"/>
        <v>-2.0047595924062738</v>
      </c>
      <c r="H56" s="3">
        <f t="shared" si="40"/>
        <v>0.91325749678872081</v>
      </c>
      <c r="I56" s="3">
        <f t="shared" si="41"/>
        <v>0.93524867550343393</v>
      </c>
      <c r="J56" s="3" t="e">
        <f t="shared" si="42"/>
        <v>#REF!</v>
      </c>
      <c r="K56" s="3">
        <f t="shared" si="43"/>
        <v>0.93476637664925477</v>
      </c>
      <c r="L56" s="3">
        <f t="shared" si="44"/>
        <v>-2.0774732915744734</v>
      </c>
      <c r="M56" s="3" t="e">
        <f t="shared" si="45"/>
        <v>#REF!</v>
      </c>
      <c r="N56" s="4" t="e">
        <f t="shared" si="46"/>
        <v>#REF!</v>
      </c>
      <c r="P56">
        <f t="shared" si="47"/>
        <v>58.447993495227934</v>
      </c>
      <c r="Q56">
        <f t="shared" si="48"/>
        <v>139.20290815390814</v>
      </c>
      <c r="R56">
        <f t="shared" si="49"/>
        <v>63.723836099756696</v>
      </c>
      <c r="S56">
        <f t="shared" si="50"/>
        <v>138.90185397336415</v>
      </c>
      <c r="T56">
        <f t="shared" si="51"/>
        <v>41.711316371648763</v>
      </c>
      <c r="U56">
        <f t="shared" si="52"/>
        <v>132.21947722244485</v>
      </c>
      <c r="V56">
        <f t="shared" si="53"/>
        <v>137.20978804818762</v>
      </c>
      <c r="W56">
        <f t="shared" si="54"/>
        <v>133.73426139401317</v>
      </c>
      <c r="X56" t="e">
        <f t="shared" si="55"/>
        <v>#DIV/0!</v>
      </c>
      <c r="Y56" t="e">
        <f t="shared" si="56"/>
        <v>#REF!</v>
      </c>
      <c r="Z56">
        <f t="shared" si="57"/>
        <v>129.27475564605706</v>
      </c>
      <c r="AA56" t="e">
        <f t="shared" si="58"/>
        <v>#REF!</v>
      </c>
      <c r="AB56">
        <f t="shared" si="59"/>
        <v>138.05179302458026</v>
      </c>
      <c r="AC56">
        <f t="shared" si="60"/>
        <v>140.7282952399255</v>
      </c>
      <c r="AD56">
        <f t="shared" si="61"/>
        <v>138.06136281260203</v>
      </c>
      <c r="AE56" t="e">
        <f t="shared" si="62"/>
        <v>#REF!</v>
      </c>
      <c r="AG56">
        <f t="shared" si="63"/>
        <v>4.2301775712224252E-2</v>
      </c>
      <c r="AH56">
        <f t="shared" si="64"/>
        <v>2.2146960777985489E-2</v>
      </c>
      <c r="AI56">
        <f t="shared" si="65"/>
        <v>2.1445746867348982E-2</v>
      </c>
      <c r="AJ56">
        <f t="shared" si="66"/>
        <v>8.0512685057932097E-3</v>
      </c>
      <c r="AK56">
        <f t="shared" si="67"/>
        <v>8.5273635190136481E-4</v>
      </c>
      <c r="AL56">
        <f t="shared" si="68"/>
        <v>2.7943598254076287E-3</v>
      </c>
      <c r="AM56">
        <f t="shared" si="69"/>
        <v>6.486719487152974E-2</v>
      </c>
      <c r="AN56">
        <f t="shared" si="70"/>
        <v>2.1482283959744459E-2</v>
      </c>
      <c r="AO56">
        <f t="shared" si="71"/>
        <v>0</v>
      </c>
      <c r="AP56" t="e">
        <f t="shared" si="72"/>
        <v>#REF!</v>
      </c>
      <c r="AQ56">
        <f t="shared" si="73"/>
        <v>8.1519607843137099</v>
      </c>
      <c r="AR56" t="e">
        <f t="shared" si="74"/>
        <v>#REF!</v>
      </c>
      <c r="AS56">
        <f t="shared" si="75"/>
        <v>220.32326444091174</v>
      </c>
      <c r="AT56">
        <f t="shared" si="76"/>
        <v>7.5523238524530717E-2</v>
      </c>
      <c r="AU56">
        <f t="shared" si="77"/>
        <v>24.50454069915774</v>
      </c>
      <c r="AV56" t="e">
        <f t="shared" si="78"/>
        <v>#REF!</v>
      </c>
      <c r="AX56" t="str">
        <f>'2026_Fantasy_Starters'!Z61</f>
        <v>0.21292737251334581</v>
      </c>
      <c r="AY56" t="str">
        <f>'2026_Fantasy_Starters'!AA61</f>
        <v>0.11147745190871101</v>
      </c>
      <c r="AZ56" t="str">
        <f>'2026_Fantasy_Starters'!AB61</f>
        <v>0.10794786873997224</v>
      </c>
      <c r="BA56">
        <f>'2026_Fantasy_Starters'!AC61</f>
        <v>3.2592387E-2</v>
      </c>
      <c r="BB56">
        <f>'2026_Fantasy_Starters'!AD61</f>
        <v>3.4519669999999998E-3</v>
      </c>
      <c r="BC56" t="str">
        <f>'2026_Fantasy_Starters'!AE61</f>
        <v>0.011311864308264773</v>
      </c>
      <c r="BD56" t="str">
        <f>'2026_Fantasy_Starters'!AF61</f>
        <v>0.26258926991890535</v>
      </c>
      <c r="BE56">
        <f>'2026_Fantasy_Starters'!AG61</f>
        <v>8.6962558999999995E-2</v>
      </c>
      <c r="BF56">
        <f>'2026_Fantasy_Starters'!AH61</f>
        <v>0</v>
      </c>
      <c r="BG56" t="e">
        <f>'2026_Fantasy_Starters'!#REF!</f>
        <v>#REF!</v>
      </c>
      <c r="BH56">
        <f>'2026_Fantasy_Starters'!D61</f>
        <v>33</v>
      </c>
    </row>
    <row r="57" spans="1:60" s="7" customFormat="1">
      <c r="A57" s="7" t="str">
        <f>'2026_Fantasy_Starters'!A60</f>
        <v xml:space="preserve">AZ </v>
      </c>
      <c r="B57" s="7" t="s">
        <v>169</v>
      </c>
      <c r="C57" s="7" t="str">
        <f>'2026_Fantasy_Starters'!C60</f>
        <v>SP</v>
      </c>
      <c r="D57" s="7" t="str">
        <f>'2026_Fantasy_Starters'!W60</f>
        <v>0.38838887652947723</v>
      </c>
      <c r="E57" s="7" t="str">
        <f>'2026_Fantasy_Starters'!X57</f>
        <v>0.34204891304347823</v>
      </c>
      <c r="F57" s="7" t="str">
        <f>'2026_Fantasy_Starters'!Y60</f>
        <v>0.5051909529106414</v>
      </c>
      <c r="G57" s="8">
        <f t="shared" si="79"/>
        <v>1.105753825900107</v>
      </c>
      <c r="H57" s="8">
        <f t="shared" si="40"/>
        <v>0.31685600389823482</v>
      </c>
      <c r="I57" s="8">
        <f t="shared" si="41"/>
        <v>-0.2058893163884733</v>
      </c>
      <c r="J57" s="8" t="e">
        <f t="shared" si="42"/>
        <v>#REF!</v>
      </c>
      <c r="K57" s="8">
        <f t="shared" si="43"/>
        <v>-0.20602610375217634</v>
      </c>
      <c r="L57" s="8">
        <f t="shared" si="44"/>
        <v>1.1791529314501148</v>
      </c>
      <c r="M57" s="8" t="e">
        <f t="shared" si="45"/>
        <v>#REF!</v>
      </c>
      <c r="N57" s="8" t="e">
        <f t="shared" si="46"/>
        <v>#REF!</v>
      </c>
      <c r="P57" s="7">
        <f t="shared" si="47"/>
        <v>122.91860347770151</v>
      </c>
      <c r="Q57" s="7">
        <f t="shared" si="48"/>
        <v>74.926732982951435</v>
      </c>
      <c r="R57" s="7">
        <f t="shared" si="49"/>
        <v>120.58998552627287</v>
      </c>
      <c r="S57" s="7">
        <f t="shared" si="50"/>
        <v>80.99442348854285</v>
      </c>
      <c r="T57" s="7">
        <f t="shared" si="51"/>
        <v>78.529990079203799</v>
      </c>
      <c r="U57" s="7">
        <f t="shared" si="52"/>
        <v>99.135301763096294</v>
      </c>
      <c r="V57" s="7">
        <f t="shared" si="53"/>
        <v>93.596534643619194</v>
      </c>
      <c r="W57" s="7">
        <f t="shared" si="54"/>
        <v>78.479564295944655</v>
      </c>
      <c r="X57" s="7" t="e">
        <f t="shared" si="55"/>
        <v>#DIV/0!</v>
      </c>
      <c r="Y57" s="7" t="e">
        <f t="shared" si="56"/>
        <v>#REF!</v>
      </c>
      <c r="Z57" s="7">
        <f t="shared" si="57"/>
        <v>72.894033530680673</v>
      </c>
      <c r="AA57" s="7" t="e">
        <f t="shared" si="58"/>
        <v>#REF!</v>
      </c>
      <c r="AB57" s="7">
        <f t="shared" si="59"/>
        <v>91.61323850164537</v>
      </c>
      <c r="AC57" s="7">
        <f t="shared" si="60"/>
        <v>114.13074069546435</v>
      </c>
      <c r="AD57" s="7">
        <f t="shared" si="61"/>
        <v>91.621022113629749</v>
      </c>
      <c r="AE57" s="7" t="e">
        <f t="shared" si="62"/>
        <v>#REF!</v>
      </c>
      <c r="AG57" s="7">
        <f t="shared" si="63"/>
        <v>8.8962424272068324E-2</v>
      </c>
      <c r="AH57" s="7">
        <f t="shared" si="64"/>
        <v>4.5561270364926847E-2</v>
      </c>
      <c r="AI57" s="7">
        <f t="shared" si="65"/>
        <v>4.0583594187349935E-2</v>
      </c>
      <c r="AJ57" s="7">
        <f t="shared" si="66"/>
        <v>1.5682077321343819E-2</v>
      </c>
      <c r="AK57" s="7">
        <f t="shared" si="67"/>
        <v>6.5438596588802316E-4</v>
      </c>
      <c r="AL57" s="7">
        <f t="shared" si="68"/>
        <v>4.1583075639599516E-3</v>
      </c>
      <c r="AM57" s="7">
        <f t="shared" si="69"/>
        <v>0.10992309322948852</v>
      </c>
      <c r="AN57" s="7">
        <f t="shared" si="70"/>
        <v>3.9394965809232449E-2</v>
      </c>
      <c r="AO57" s="7">
        <f t="shared" si="71"/>
        <v>0</v>
      </c>
      <c r="AP57" s="7" t="e">
        <f t="shared" si="72"/>
        <v>#REF!</v>
      </c>
      <c r="AQ57" s="7">
        <f t="shared" si="73"/>
        <v>14.650537634408588</v>
      </c>
      <c r="AR57" s="7" t="e">
        <f t="shared" si="74"/>
        <v>#REF!</v>
      </c>
      <c r="AS57" s="7">
        <f t="shared" si="75"/>
        <v>385.48533172189076</v>
      </c>
      <c r="AT57" s="7">
        <f t="shared" si="76"/>
        <v>0.10941349803641237</v>
      </c>
      <c r="AU57" s="7">
        <f t="shared" si="77"/>
        <v>42.877550994777465</v>
      </c>
      <c r="AV57" s="7" t="e">
        <f t="shared" si="78"/>
        <v>#REF!</v>
      </c>
      <c r="AX57" s="7" t="str">
        <f>'2026_Fantasy_Starters'!Z60</f>
        <v>0.22905502615576756</v>
      </c>
      <c r="AY57" s="7" t="str">
        <f>'2026_Fantasy_Starters'!AA60</f>
        <v>0.11730838115666015</v>
      </c>
      <c r="AZ57" s="7" t="str">
        <f>'2026_Fantasy_Starters'!AB60</f>
        <v>0.1044921640135337</v>
      </c>
      <c r="BA57" s="7" t="str">
        <f>'2026_Fantasy_Starters'!AC60</f>
        <v>0.031041880760120696</v>
      </c>
      <c r="BB57" s="7">
        <f>'2026_Fantasy_Starters'!AD60</f>
        <v>1.295324E-3</v>
      </c>
      <c r="BC57" s="7">
        <f>'2026_Fantasy_Starters'!AE60</f>
        <v>8.2311599999999995E-3</v>
      </c>
      <c r="BD57" s="7" t="str">
        <f>'2026_Fantasy_Starters'!AF60</f>
        <v>0.21758721646967444</v>
      </c>
      <c r="BE57" s="7">
        <f>'2026_Fantasy_Starters'!AG60</f>
        <v>7.7980347000000005E-2</v>
      </c>
      <c r="BF57" s="7">
        <f>'2026_Fantasy_Starters'!AH60</f>
        <v>0</v>
      </c>
      <c r="BG57" s="7" t="e">
        <f>'2026_Fantasy_Starters'!#REF!</f>
        <v>#REF!</v>
      </c>
      <c r="BH57" s="7">
        <f>'2026_Fantasy_Starters'!D60</f>
        <v>29</v>
      </c>
    </row>
    <row r="58" spans="1:60" s="7" customFormat="1">
      <c r="A58" s="7" t="str">
        <f>'2026_Fantasy_Starters'!A30</f>
        <v xml:space="preserve">TOR </v>
      </c>
      <c r="B58" s="7" t="s">
        <v>98</v>
      </c>
      <c r="C58" s="7" t="str">
        <f>'2026_Fantasy_Starters'!C30</f>
        <v>SP</v>
      </c>
      <c r="D58" s="7" t="str">
        <f>'2026_Fantasy_Starters'!W30</f>
        <v>0.23997142857142856</v>
      </c>
      <c r="E58" s="7" t="str">
        <f>'2026_Fantasy_Starters'!X58</f>
        <v>0.31932608695652176</v>
      </c>
      <c r="F58" s="7" t="str">
        <f>'2026_Fantasy_Starters'!Y30</f>
        <v>0.2972222222222222</v>
      </c>
      <c r="G58" s="8">
        <f t="shared" si="79"/>
        <v>-1.6258921452207868</v>
      </c>
      <c r="H58" s="8">
        <f t="shared" si="40"/>
        <v>0.83606041052126467</v>
      </c>
      <c r="I58" s="8">
        <f t="shared" si="41"/>
        <v>0.72113928683346318</v>
      </c>
      <c r="J58" s="8" t="e">
        <f t="shared" si="42"/>
        <v>#REF!</v>
      </c>
      <c r="K58" s="8">
        <f t="shared" si="43"/>
        <v>0.72073411740762705</v>
      </c>
      <c r="L58" s="8">
        <f t="shared" si="44"/>
        <v>-1.5606182036301888</v>
      </c>
      <c r="M58" s="8" t="e">
        <f t="shared" si="45"/>
        <v>#REF!</v>
      </c>
      <c r="N58" s="8" t="e">
        <f t="shared" si="46"/>
        <v>#REF!</v>
      </c>
      <c r="P58" s="7">
        <f t="shared" si="47"/>
        <v>66.300657071214161</v>
      </c>
      <c r="Q58" s="7">
        <f t="shared" si="48"/>
        <v>131.44916129053672</v>
      </c>
      <c r="R58" s="7">
        <f t="shared" si="49"/>
        <v>72.748991782375214</v>
      </c>
      <c r="S58" s="7">
        <f t="shared" si="50"/>
        <v>131.07871994115118</v>
      </c>
      <c r="T58" s="7">
        <f t="shared" si="51"/>
        <v>108.96719132384207</v>
      </c>
      <c r="U58" s="7">
        <f t="shared" si="52"/>
        <v>131.22743463818861</v>
      </c>
      <c r="V58" s="7">
        <f t="shared" si="53"/>
        <v>124.98685054326668</v>
      </c>
      <c r="W58" s="7">
        <f t="shared" si="54"/>
        <v>114.42747394857466</v>
      </c>
      <c r="X58" s="7" t="e">
        <f t="shared" si="55"/>
        <v>#DIV/0!</v>
      </c>
      <c r="Y58" s="7" t="e">
        <f t="shared" si="56"/>
        <v>#REF!</v>
      </c>
      <c r="Z58" s="7">
        <f t="shared" si="57"/>
        <v>122.64027692133352</v>
      </c>
      <c r="AA58" s="7" t="e">
        <f t="shared" si="58"/>
        <v>#REF!</v>
      </c>
      <c r="AB58" s="7">
        <f t="shared" si="59"/>
        <v>129.33912274386302</v>
      </c>
      <c r="AC58" s="7">
        <f t="shared" si="60"/>
        <v>137.28555786057899</v>
      </c>
      <c r="AD58" s="7">
        <f t="shared" si="61"/>
        <v>129.34785662199928</v>
      </c>
      <c r="AE58" s="7" t="e">
        <f t="shared" si="62"/>
        <v>#REF!</v>
      </c>
      <c r="AG58" s="7">
        <f t="shared" si="63"/>
        <v>4.7985146405899883E-2</v>
      </c>
      <c r="AH58" s="7">
        <f t="shared" si="64"/>
        <v>2.4971469688711515E-2</v>
      </c>
      <c r="AI58" s="7">
        <f t="shared" si="65"/>
        <v>2.4483090757080571E-2</v>
      </c>
      <c r="AJ58" s="7">
        <f t="shared" si="66"/>
        <v>9.0821697155074373E-3</v>
      </c>
      <c r="AK58" s="7">
        <f t="shared" si="67"/>
        <v>4.904139916666663E-4</v>
      </c>
      <c r="AL58" s="7">
        <f t="shared" si="68"/>
        <v>2.8352583583333311E-3</v>
      </c>
      <c r="AM58" s="7">
        <f t="shared" si="69"/>
        <v>7.7494444316757172E-2</v>
      </c>
      <c r="AN58" s="7">
        <f t="shared" si="70"/>
        <v>2.774123313888887E-2</v>
      </c>
      <c r="AO58" s="7">
        <f t="shared" si="71"/>
        <v>0</v>
      </c>
      <c r="AP58" s="7" t="e">
        <f t="shared" si="72"/>
        <v>#REF!</v>
      </c>
      <c r="AQ58" s="7">
        <f t="shared" si="73"/>
        <v>8.9166666666666607</v>
      </c>
      <c r="AR58" s="7" t="e">
        <f t="shared" si="74"/>
        <v>#REF!</v>
      </c>
      <c r="AS58" s="7">
        <f t="shared" si="75"/>
        <v>251.3105044591195</v>
      </c>
      <c r="AT58" s="7">
        <f t="shared" si="76"/>
        <v>7.9909929903329152E-2</v>
      </c>
      <c r="AU58" s="7">
        <f t="shared" si="77"/>
        <v>27.951831062262965</v>
      </c>
      <c r="AV58" s="7" t="e">
        <f t="shared" si="78"/>
        <v>#REF!</v>
      </c>
      <c r="AX58" s="7" t="str">
        <f>'2026_Fantasy_Starters'!Z30</f>
        <v>0.19996191501446647</v>
      </c>
      <c r="AY58" s="7" t="str">
        <f>'2026_Fantasy_Starters'!AA30</f>
        <v>0.10406017848611819</v>
      </c>
      <c r="AZ58" s="7" t="str">
        <f>'2026_Fantasy_Starters'!AB30</f>
        <v>0.10202502399069241</v>
      </c>
      <c r="BA58" s="7" t="str">
        <f>'2026_Fantasy_Starters'!AC30</f>
        <v>0.030556832687688638</v>
      </c>
      <c r="BB58" s="7">
        <f>'2026_Fantasy_Starters'!AD30</f>
        <v>1.649991E-3</v>
      </c>
      <c r="BC58" s="7">
        <f>'2026_Fantasy_Starters'!AE30</f>
        <v>9.5391869999999993E-3</v>
      </c>
      <c r="BD58" s="7" t="str">
        <f>'2026_Fantasy_Starters'!AF30</f>
        <v>0.26072897153301544</v>
      </c>
      <c r="BE58" s="7">
        <f>'2026_Fantasy_Starters'!AG30</f>
        <v>9.3334990000000007E-2</v>
      </c>
      <c r="BF58" s="7">
        <f>'2026_Fantasy_Starters'!AH30</f>
        <v>0</v>
      </c>
      <c r="BG58" s="7" t="e">
        <f>'2026_Fantasy_Starters'!#REF!</f>
        <v>#REF!</v>
      </c>
      <c r="BH58" s="7">
        <f>'2026_Fantasy_Starters'!D30</f>
        <v>30</v>
      </c>
    </row>
    <row r="59" spans="1:60" s="7" customFormat="1">
      <c r="A59" s="7" t="str">
        <f>'2026_Fantasy_Starters'!A101</f>
        <v xml:space="preserve">KC </v>
      </c>
      <c r="B59" s="7" t="s">
        <v>259</v>
      </c>
      <c r="C59" s="7" t="str">
        <f>'2026_Fantasy_Starters'!C101</f>
        <v>SP</v>
      </c>
      <c r="D59" s="7" t="str">
        <f>'2026_Fantasy_Starters'!W101</f>
        <v>0.3338158974358974</v>
      </c>
      <c r="E59" s="7" t="str">
        <f>'2026_Fantasy_Starters'!X59</f>
        <v>0.3429107142857143</v>
      </c>
      <c r="F59" s="7" t="str">
        <f>'2026_Fantasy_Starters'!Y101</f>
        <v>0.45051282051282054</v>
      </c>
      <c r="G59" s="8">
        <f t="shared" si="79"/>
        <v>0.3513696352250037</v>
      </c>
      <c r="H59" s="8">
        <f t="shared" si="40"/>
        <v>0.47919672806475161</v>
      </c>
      <c r="I59" s="8">
        <f t="shared" si="41"/>
        <v>0.41455825933973006</v>
      </c>
      <c r="J59" s="8" t="e">
        <f t="shared" si="42"/>
        <v>#REF!</v>
      </c>
      <c r="K59" s="8">
        <f t="shared" si="43"/>
        <v>0.41480203413312772</v>
      </c>
      <c r="L59" s="8">
        <f t="shared" si="44"/>
        <v>0.43696436566496522</v>
      </c>
      <c r="M59" s="8" t="e">
        <f t="shared" si="45"/>
        <v>#REF!</v>
      </c>
      <c r="N59" s="8" t="e">
        <f t="shared" si="46"/>
        <v>#REF!</v>
      </c>
      <c r="P59" s="7">
        <f t="shared" si="47"/>
        <v>107.2827252822492</v>
      </c>
      <c r="Q59" s="7">
        <f t="shared" si="48"/>
        <v>86.757503049927223</v>
      </c>
      <c r="R59" s="7">
        <f t="shared" si="49"/>
        <v>107.63012983691107</v>
      </c>
      <c r="S59" s="7">
        <f t="shared" si="50"/>
        <v>87.559320947010747</v>
      </c>
      <c r="T59" s="7">
        <f t="shared" si="51"/>
        <v>67.027520816552496</v>
      </c>
      <c r="U59" s="7">
        <f t="shared" si="52"/>
        <v>107.40676715296875</v>
      </c>
      <c r="V59" s="7">
        <f t="shared" si="53"/>
        <v>111.91007542575278</v>
      </c>
      <c r="W59" s="7">
        <f t="shared" si="54"/>
        <v>92.765799260159071</v>
      </c>
      <c r="X59" s="7" t="e">
        <f t="shared" si="55"/>
        <v>#DIV/0!</v>
      </c>
      <c r="Y59" s="7" t="e">
        <f t="shared" si="56"/>
        <v>#REF!</v>
      </c>
      <c r="Z59" s="7">
        <f t="shared" si="57"/>
        <v>102.28538213571751</v>
      </c>
      <c r="AA59" s="7" t="e">
        <f t="shared" si="58"/>
        <v>#REF!</v>
      </c>
      <c r="AB59" s="7">
        <f t="shared" si="59"/>
        <v>116.88546094863571</v>
      </c>
      <c r="AC59" s="7">
        <f t="shared" si="60"/>
        <v>121.37060564764535</v>
      </c>
      <c r="AD59" s="7">
        <f t="shared" si="61"/>
        <v>116.87107689000119</v>
      </c>
      <c r="AE59" s="7" t="e">
        <f t="shared" si="62"/>
        <v>#REF!</v>
      </c>
      <c r="AG59" s="7">
        <f t="shared" si="63"/>
        <v>7.7645946615026357E-2</v>
      </c>
      <c r="AH59" s="7">
        <f t="shared" si="64"/>
        <v>4.125159711098287E-2</v>
      </c>
      <c r="AI59" s="7">
        <f t="shared" si="65"/>
        <v>3.6222058511494931E-2</v>
      </c>
      <c r="AJ59" s="7">
        <f t="shared" si="66"/>
        <v>1.4816981478205111E-2</v>
      </c>
      <c r="AK59" s="7">
        <f t="shared" si="67"/>
        <v>7.163523266666659E-4</v>
      </c>
      <c r="AL59" s="7">
        <f t="shared" si="68"/>
        <v>3.817303251282047E-3</v>
      </c>
      <c r="AM59" s="7">
        <f t="shared" si="69"/>
        <v>9.100377472783984E-2</v>
      </c>
      <c r="AN59" s="7">
        <f t="shared" si="70"/>
        <v>3.4763598791025599E-2</v>
      </c>
      <c r="AO59" s="7">
        <f t="shared" si="71"/>
        <v>0</v>
      </c>
      <c r="AP59" s="7" t="e">
        <f t="shared" si="72"/>
        <v>#REF!</v>
      </c>
      <c r="AQ59" s="7">
        <f t="shared" si="73"/>
        <v>11.2628205128205</v>
      </c>
      <c r="AR59" s="7" t="e">
        <f t="shared" si="74"/>
        <v>#REF!</v>
      </c>
      <c r="AS59" s="7">
        <f t="shared" si="75"/>
        <v>295.60285051614522</v>
      </c>
      <c r="AT59" s="7">
        <f t="shared" si="76"/>
        <v>0.10018855588429688</v>
      </c>
      <c r="AU59" s="7">
        <f t="shared" si="77"/>
        <v>32.887970612962974</v>
      </c>
      <c r="AV59" s="7" t="e">
        <f t="shared" si="78"/>
        <v>#REF!</v>
      </c>
      <c r="AX59" s="7" t="str">
        <f>'2026_Fantasy_Starters'!Z101</f>
        <v>0.23260110501458903</v>
      </c>
      <c r="AY59" s="7" t="str">
        <f>'2026_Fantasy_Starters'!AA101</f>
        <v>0.12357589146545846</v>
      </c>
      <c r="AZ59" s="7" t="str">
        <f>'2026_Fantasy_Starters'!AB101</f>
        <v>0.10850908776281626</v>
      </c>
      <c r="BA59" s="7">
        <f>'2026_Fantasy_Starters'!AC101</f>
        <v>3.2889145000000002E-2</v>
      </c>
      <c r="BB59" s="7">
        <f>'2026_Fantasy_Starters'!AD101</f>
        <v>1.590082E-3</v>
      </c>
      <c r="BC59" s="7">
        <f>'2026_Fantasy_Starters'!AE101</f>
        <v>8.4732399999999999E-3</v>
      </c>
      <c r="BD59" s="7" t="str">
        <f>'2026_Fantasy_Starters'!AF101</f>
        <v>0.2020004106081822</v>
      </c>
      <c r="BE59" s="7">
        <f>'2026_Fantasy_Starters'!AG101</f>
        <v>7.7164504999999994E-2</v>
      </c>
      <c r="BF59" s="7">
        <f>'2026_Fantasy_Starters'!AH101</f>
        <v>0</v>
      </c>
      <c r="BG59" s="7" t="e">
        <f>'2026_Fantasy_Starters'!#REF!</f>
        <v>#REF!</v>
      </c>
      <c r="BH59" s="7">
        <f>'2026_Fantasy_Starters'!D101</f>
        <v>25</v>
      </c>
    </row>
    <row r="60" spans="1:60" s="7" customFormat="1">
      <c r="A60" s="7" t="str">
        <f>'2026_Fantasy_Starters'!A80</f>
        <v xml:space="preserve">NYM </v>
      </c>
      <c r="B60" s="7" t="s">
        <v>213</v>
      </c>
      <c r="C60" s="7" t="str">
        <f>'2026_Fantasy_Starters'!C80</f>
        <v>SP</v>
      </c>
      <c r="D60" s="7" t="str">
        <f>'2026_Fantasy_Starters'!W80</f>
        <v>0.35678571428571426</v>
      </c>
      <c r="E60" s="7" t="str">
        <f>'2026_Fantasy_Starters'!X60</f>
        <v>0.3707819799777531</v>
      </c>
      <c r="F60" s="7" t="str">
        <f>'2026_Fantasy_Starters'!Y80</f>
        <v>0.4226190476190476</v>
      </c>
      <c r="G60" s="8">
        <f t="shared" si="79"/>
        <v>0.55822937609735301</v>
      </c>
      <c r="H60" s="8">
        <f t="shared" si="40"/>
        <v>-0.22353323036939518</v>
      </c>
      <c r="I60" s="8">
        <f t="shared" si="41"/>
        <v>0.47352579499135561</v>
      </c>
      <c r="J60" s="8" t="e">
        <f t="shared" si="42"/>
        <v>#REF!</v>
      </c>
      <c r="K60" s="8">
        <f t="shared" si="43"/>
        <v>0.47262879180584194</v>
      </c>
      <c r="L60" s="8">
        <f t="shared" si="44"/>
        <v>0.30996764559050194</v>
      </c>
      <c r="M60" s="8" t="e">
        <f t="shared" si="45"/>
        <v>#REF!</v>
      </c>
      <c r="N60" s="8" t="e">
        <f t="shared" si="46"/>
        <v>#REF!</v>
      </c>
      <c r="P60" s="7">
        <f t="shared" si="47"/>
        <v>111.57024051891975</v>
      </c>
      <c r="Q60" s="7">
        <f t="shared" si="48"/>
        <v>94.315222662198082</v>
      </c>
      <c r="R60" s="7">
        <f t="shared" si="49"/>
        <v>105.41255435668766</v>
      </c>
      <c r="S60" s="7">
        <f t="shared" si="50"/>
        <v>132.39792594922963</v>
      </c>
      <c r="T60" s="7">
        <f t="shared" si="51"/>
        <v>73.265884259788777</v>
      </c>
      <c r="U60" s="7">
        <f t="shared" si="52"/>
        <v>59.976294431995385</v>
      </c>
      <c r="V60" s="7">
        <f t="shared" si="53"/>
        <v>124.77295010300531</v>
      </c>
      <c r="W60" s="7">
        <f t="shared" si="54"/>
        <v>85.619128485628096</v>
      </c>
      <c r="X60" s="7" t="e">
        <f t="shared" si="55"/>
        <v>#DIV/0!</v>
      </c>
      <c r="Y60" s="7" t="e">
        <f t="shared" si="56"/>
        <v>#REF!</v>
      </c>
      <c r="Z60" s="7">
        <f t="shared" si="57"/>
        <v>97.33569460588194</v>
      </c>
      <c r="AA60" s="7" t="e">
        <f t="shared" si="58"/>
        <v>#REF!</v>
      </c>
      <c r="AB60" s="7">
        <f t="shared" si="59"/>
        <v>119.23943074174298</v>
      </c>
      <c r="AC60" s="7">
        <f t="shared" si="60"/>
        <v>90.031149555922852</v>
      </c>
      <c r="AD60" s="7">
        <f t="shared" si="61"/>
        <v>119.27085015607231</v>
      </c>
      <c r="AE60" s="7" t="e">
        <f t="shared" si="62"/>
        <v>#REF!</v>
      </c>
      <c r="AG60" s="7">
        <f t="shared" si="63"/>
        <v>8.0749038732622999E-2</v>
      </c>
      <c r="AH60" s="7">
        <f t="shared" si="64"/>
        <v>3.8498496350050107E-2</v>
      </c>
      <c r="AI60" s="7">
        <f t="shared" si="65"/>
        <v>3.5475751237499971E-2</v>
      </c>
      <c r="AJ60" s="7">
        <f t="shared" si="66"/>
        <v>8.9083300415365614E-3</v>
      </c>
      <c r="AK60" s="7">
        <f t="shared" si="67"/>
        <v>6.8274487499999899E-4</v>
      </c>
      <c r="AL60" s="7">
        <f t="shared" si="68"/>
        <v>5.772699905665318E-3</v>
      </c>
      <c r="AM60" s="7">
        <f t="shared" si="69"/>
        <v>7.7715420184017961E-2</v>
      </c>
      <c r="AN60" s="7">
        <f t="shared" si="70"/>
        <v>3.7080434220238045E-2</v>
      </c>
      <c r="AO60" s="7">
        <f t="shared" si="71"/>
        <v>0</v>
      </c>
      <c r="AP60" s="7" t="e">
        <f t="shared" si="72"/>
        <v>#REF!</v>
      </c>
      <c r="AQ60" s="7">
        <f t="shared" si="73"/>
        <v>11.833333333333316</v>
      </c>
      <c r="AR60" s="7" t="e">
        <f t="shared" si="74"/>
        <v>#REF!</v>
      </c>
      <c r="AS60" s="7">
        <f t="shared" si="75"/>
        <v>287.23078723078686</v>
      </c>
      <c r="AT60" s="7">
        <f t="shared" si="76"/>
        <v>0.14012088493109923</v>
      </c>
      <c r="AU60" s="7">
        <f t="shared" si="77"/>
        <v>31.938557704679692</v>
      </c>
      <c r="AV60" s="7" t="e">
        <f t="shared" si="78"/>
        <v>#REF!</v>
      </c>
      <c r="AX60" s="7" t="str">
        <f>'2026_Fantasy_Starters'!Z80</f>
        <v>0.22632363208342804</v>
      </c>
      <c r="AY60" s="7" t="str">
        <f>'2026_Fantasy_Starters'!AA80</f>
        <v>0.10790369347361409</v>
      </c>
      <c r="AZ60" s="7">
        <f>'2026_Fantasy_Starters'!AB80</f>
        <v>9.9431535000000001E-2</v>
      </c>
      <c r="BA60" s="7" t="str">
        <f>'2026_Fantasy_Starters'!AC80</f>
        <v>0.021078865450396424</v>
      </c>
      <c r="BB60" s="7">
        <f>'2026_Fantasy_Starters'!AD80</f>
        <v>1.615509E-3</v>
      </c>
      <c r="BC60" s="7" t="str">
        <f>'2026_Fantasy_Starters'!AE80</f>
        <v>0.013659346255658834</v>
      </c>
      <c r="BD60" s="7" t="str">
        <f>'2026_Fantasy_Starters'!AF80</f>
        <v>0.18389000832274732</v>
      </c>
      <c r="BE60" s="7">
        <f>'2026_Fantasy_Starters'!AG80</f>
        <v>8.7739619000000005E-2</v>
      </c>
      <c r="BF60" s="7">
        <f>'2026_Fantasy_Starters'!AH80</f>
        <v>0</v>
      </c>
      <c r="BG60" s="7" t="e">
        <f>'2026_Fantasy_Starters'!#REF!</f>
        <v>#REF!</v>
      </c>
      <c r="BH60" s="7">
        <f>'2026_Fantasy_Starters'!D80</f>
        <v>28</v>
      </c>
    </row>
    <row r="61" spans="1:60" s="7" customFormat="1">
      <c r="A61" s="7" t="str">
        <f>'2026_Fantasy_Starters'!A26</f>
        <v xml:space="preserve">NYM </v>
      </c>
      <c r="B61" s="7" t="s">
        <v>88</v>
      </c>
      <c r="C61" s="7" t="str">
        <f>'2026_Fantasy_Starters'!C26</f>
        <v>SP</v>
      </c>
      <c r="D61" s="7" t="str">
        <f>'2026_Fantasy_Starters'!W26</f>
        <v>0.37508241758241756</v>
      </c>
      <c r="E61" s="7" t="str">
        <f>'2026_Fantasy_Starters'!X61</f>
        <v>0.2798743315508021</v>
      </c>
      <c r="F61" s="7">
        <f>'2026_Fantasy_Starters'!Y26</f>
        <v>0.5</v>
      </c>
      <c r="G61" s="8">
        <f t="shared" si="79"/>
        <v>0.50417403174453501</v>
      </c>
      <c r="H61" s="8">
        <f t="shared" si="40"/>
        <v>-1.4339696819871819</v>
      </c>
      <c r="I61" s="8">
        <f t="shared" si="41"/>
        <v>-0.43052218924256752</v>
      </c>
      <c r="J61" s="8" t="e">
        <f t="shared" si="42"/>
        <v>#REF!</v>
      </c>
      <c r="K61" s="8">
        <f t="shared" si="43"/>
        <v>-0.43091769462558549</v>
      </c>
      <c r="L61" s="8">
        <f t="shared" si="44"/>
        <v>0.62500500788240565</v>
      </c>
      <c r="M61" s="8" t="e">
        <f t="shared" si="45"/>
        <v>#REF!</v>
      </c>
      <c r="N61" s="8" t="e">
        <f t="shared" si="46"/>
        <v>#REF!</v>
      </c>
      <c r="P61" s="7">
        <f t="shared" si="47"/>
        <v>110.4498528032685</v>
      </c>
      <c r="Q61" s="7">
        <f t="shared" si="48"/>
        <v>91.289183190152443</v>
      </c>
      <c r="R61" s="7">
        <f t="shared" si="49"/>
        <v>110.91363445988367</v>
      </c>
      <c r="S61" s="7">
        <f t="shared" si="50"/>
        <v>104.72952036734917</v>
      </c>
      <c r="T61" s="7">
        <f t="shared" si="51"/>
        <v>54.977772770527586</v>
      </c>
      <c r="U61" s="7">
        <f t="shared" si="52"/>
        <v>42.424500951354524</v>
      </c>
      <c r="V61" s="7">
        <f t="shared" si="53"/>
        <v>90.918582407601335</v>
      </c>
      <c r="W61" s="7">
        <f t="shared" si="54"/>
        <v>65.312411293426919</v>
      </c>
      <c r="X61" s="7" t="e">
        <f t="shared" si="55"/>
        <v>#DIV/0!</v>
      </c>
      <c r="Y61" s="7" t="e">
        <f t="shared" si="56"/>
        <v>#REF!</v>
      </c>
      <c r="Z61" s="7">
        <f t="shared" si="57"/>
        <v>87.213861679701125</v>
      </c>
      <c r="AA61" s="7" t="e">
        <f t="shared" si="58"/>
        <v>#REF!</v>
      </c>
      <c r="AB61" s="7">
        <f t="shared" si="59"/>
        <v>82.458514409451681</v>
      </c>
      <c r="AC61" s="7">
        <f t="shared" si="60"/>
        <v>36.049645605496259</v>
      </c>
      <c r="AD61" s="7">
        <f t="shared" si="61"/>
        <v>82.479246779134343</v>
      </c>
      <c r="AE61" s="7" t="e">
        <f t="shared" si="62"/>
        <v>#REF!</v>
      </c>
      <c r="AG61" s="7">
        <f t="shared" si="63"/>
        <v>7.9938157348609706E-2</v>
      </c>
      <c r="AH61" s="7">
        <f t="shared" si="64"/>
        <v>3.9600811863260608E-2</v>
      </c>
      <c r="AI61" s="7">
        <f t="shared" si="65"/>
        <v>3.7327095704670271E-2</v>
      </c>
      <c r="AJ61" s="7">
        <f t="shared" si="66"/>
        <v>1.25543615E-2</v>
      </c>
      <c r="AK61" s="7">
        <f t="shared" si="67"/>
        <v>7.8126699999999999E-4</v>
      </c>
      <c r="AL61" s="7">
        <f t="shared" si="68"/>
        <v>6.4963004999999997E-3</v>
      </c>
      <c r="AM61" s="7">
        <f t="shared" si="69"/>
        <v>0.11268962712307901</v>
      </c>
      <c r="AN61" s="7">
        <f t="shared" si="70"/>
        <v>4.3663544499999998E-2</v>
      </c>
      <c r="AO61" s="7">
        <f t="shared" si="71"/>
        <v>0</v>
      </c>
      <c r="AP61" s="7" t="e">
        <f t="shared" si="72"/>
        <v>#REF!</v>
      </c>
      <c r="AQ61" s="7">
        <f t="shared" si="73"/>
        <v>13</v>
      </c>
      <c r="AR61" s="7" t="e">
        <f t="shared" si="74"/>
        <v>#REF!</v>
      </c>
      <c r="AS61" s="7">
        <f t="shared" si="75"/>
        <v>418.04476799174591</v>
      </c>
      <c r="AT61" s="7">
        <f t="shared" si="76"/>
        <v>0.20890341810208948</v>
      </c>
      <c r="AU61" s="7">
        <f t="shared" si="77"/>
        <v>46.494275803702983</v>
      </c>
      <c r="AV61" s="7" t="e">
        <f t="shared" si="78"/>
        <v>#REF!</v>
      </c>
      <c r="AX61" s="7" t="str">
        <f>'2026_Fantasy_Starters'!Z26</f>
        <v>0.21312157968866913</v>
      </c>
      <c r="AY61" s="7" t="str">
        <f>'2026_Fantasy_Starters'!AA26</f>
        <v>0.10557896080148604</v>
      </c>
      <c r="AZ61" s="7">
        <f>'2026_Fantasy_Starters'!AB26</f>
        <v>9.9517049999999996E-2</v>
      </c>
      <c r="BA61" s="7">
        <f>'2026_Fantasy_Starters'!AC26</f>
        <v>2.5108722999999999E-2</v>
      </c>
      <c r="BB61" s="7">
        <f>'2026_Fantasy_Starters'!AD26</f>
        <v>1.562534E-3</v>
      </c>
      <c r="BC61" s="7">
        <f>'2026_Fantasy_Starters'!AE26</f>
        <v>1.2992600999999999E-2</v>
      </c>
      <c r="BD61" s="7" t="str">
        <f>'2026_Fantasy_Starters'!AF26</f>
        <v>0.22537925424615868</v>
      </c>
      <c r="BE61" s="7">
        <f>'2026_Fantasy_Starters'!AG26</f>
        <v>8.7327088999999997E-2</v>
      </c>
      <c r="BF61" s="7">
        <f>'2026_Fantasy_Starters'!AH26</f>
        <v>0</v>
      </c>
      <c r="BG61" s="7" t="e">
        <f>'2026_Fantasy_Starters'!#REF!</f>
        <v>#REF!</v>
      </c>
      <c r="BH61" s="7">
        <f>'2026_Fantasy_Starters'!D26</f>
        <v>26</v>
      </c>
    </row>
    <row r="62" spans="1:60" s="7" customFormat="1">
      <c r="A62" s="7" t="str">
        <f>'2026_Fantasy_Starters'!A92</f>
        <v xml:space="preserve">KC </v>
      </c>
      <c r="B62" s="7" t="s">
        <v>239</v>
      </c>
      <c r="C62" s="7" t="str">
        <f>'2026_Fantasy_Starters'!C92</f>
        <v>SP</v>
      </c>
      <c r="D62" s="7" t="str">
        <f>'2026_Fantasy_Starters'!W92</f>
        <v>0.34475615763546796</v>
      </c>
      <c r="E62" s="7" t="str">
        <f>'2026_Fantasy_Starters'!X62</f>
        <v>0.31410901001112346</v>
      </c>
      <c r="F62" s="7" t="str">
        <f>'2026_Fantasy_Starters'!Y92</f>
        <v>0.45607553366174053</v>
      </c>
      <c r="G62" s="8">
        <f t="shared" si="79"/>
        <v>0.60929380877746897</v>
      </c>
      <c r="H62" s="8">
        <f t="shared" si="40"/>
        <v>0.41328927681286376</v>
      </c>
      <c r="I62" s="8">
        <f t="shared" si="41"/>
        <v>-7.0720455984187081E-2</v>
      </c>
      <c r="J62" s="8" t="e">
        <f t="shared" si="42"/>
        <v>#REF!</v>
      </c>
      <c r="K62" s="8">
        <f t="shared" si="43"/>
        <v>-7.0716138415391677E-2</v>
      </c>
      <c r="L62" s="8">
        <f t="shared" si="44"/>
        <v>0.79726386644490221</v>
      </c>
      <c r="M62" s="8" t="e">
        <f t="shared" si="45"/>
        <v>#REF!</v>
      </c>
      <c r="N62" s="8" t="e">
        <f t="shared" si="46"/>
        <v>#REF!</v>
      </c>
      <c r="P62" s="7">
        <f t="shared" si="47"/>
        <v>112.62863657145584</v>
      </c>
      <c r="Q62" s="7">
        <f t="shared" si="48"/>
        <v>79.355684970989898</v>
      </c>
      <c r="R62" s="7">
        <f t="shared" si="49"/>
        <v>113.9215627022468</v>
      </c>
      <c r="S62" s="7">
        <f t="shared" si="50"/>
        <v>89.853648030376959</v>
      </c>
      <c r="T62" s="7">
        <f t="shared" si="51"/>
        <v>139.61570550108337</v>
      </c>
      <c r="U62" s="7">
        <f t="shared" si="52"/>
        <v>112.01331897037997</v>
      </c>
      <c r="V62" s="7">
        <f t="shared" si="53"/>
        <v>120.36602535838681</v>
      </c>
      <c r="W62" s="7">
        <f t="shared" si="54"/>
        <v>101.32976828449777</v>
      </c>
      <c r="X62" s="7" t="e">
        <f t="shared" si="55"/>
        <v>#DIV/0!</v>
      </c>
      <c r="Y62" s="7" t="e">
        <f t="shared" si="56"/>
        <v>#REF!</v>
      </c>
      <c r="Z62" s="7">
        <f t="shared" si="57"/>
        <v>89.208311517372337</v>
      </c>
      <c r="AA62" s="7" t="e">
        <f t="shared" si="58"/>
        <v>#REF!</v>
      </c>
      <c r="AB62" s="7">
        <f t="shared" si="59"/>
        <v>97.12133862567282</v>
      </c>
      <c r="AC62" s="7">
        <f t="shared" si="60"/>
        <v>118.43134903870794</v>
      </c>
      <c r="AD62" s="7">
        <f t="shared" si="61"/>
        <v>97.121923821984652</v>
      </c>
      <c r="AE62" s="7" t="e">
        <f t="shared" si="62"/>
        <v>#REF!</v>
      </c>
      <c r="AG62" s="7">
        <f t="shared" si="63"/>
        <v>8.1515053607585999E-2</v>
      </c>
      <c r="AH62" s="7">
        <f t="shared" si="64"/>
        <v>4.3947906584057547E-2</v>
      </c>
      <c r="AI62" s="7">
        <f t="shared" si="65"/>
        <v>3.8339389873211636E-2</v>
      </c>
      <c r="AJ62" s="7">
        <f t="shared" si="66"/>
        <v>1.4514644261945852E-2</v>
      </c>
      <c r="AK62" s="7">
        <f t="shared" si="67"/>
        <v>3.2530362766830826E-4</v>
      </c>
      <c r="AL62" s="7">
        <f t="shared" si="68"/>
        <v>3.6273908279967114E-3</v>
      </c>
      <c r="AM62" s="7">
        <f t="shared" si="69"/>
        <v>8.2268117767085813E-2</v>
      </c>
      <c r="AN62" s="7">
        <f t="shared" si="70"/>
        <v>3.1987298122331649E-2</v>
      </c>
      <c r="AO62" s="7">
        <f t="shared" si="71"/>
        <v>0</v>
      </c>
      <c r="AP62" s="7" t="e">
        <f t="shared" si="72"/>
        <v>#REF!</v>
      </c>
      <c r="AQ62" s="7">
        <f t="shared" si="73"/>
        <v>12.770114942528719</v>
      </c>
      <c r="AR62" s="7" t="e">
        <f t="shared" si="74"/>
        <v>#REF!</v>
      </c>
      <c r="AS62" s="7">
        <f t="shared" si="75"/>
        <v>365.89537650858415</v>
      </c>
      <c r="AT62" s="7">
        <f t="shared" si="76"/>
        <v>0.10393371858646891</v>
      </c>
      <c r="AU62" s="7">
        <f t="shared" si="77"/>
        <v>40.701250773856962</v>
      </c>
      <c r="AV62" s="7" t="e">
        <f t="shared" si="78"/>
        <v>#REF!</v>
      </c>
      <c r="AX62" s="7" t="str">
        <f>'2026_Fantasy_Starters'!Z92</f>
        <v>0.2364426328645221</v>
      </c>
      <c r="AY62" s="7" t="str">
        <f>'2026_Fantasy_Starters'!AA92</f>
        <v>0.1274753346988125</v>
      </c>
      <c r="AZ62" s="7" t="str">
        <f>'2026_Fantasy_Starters'!AB92</f>
        <v>0.11120726642321696</v>
      </c>
      <c r="BA62" s="7" t="str">
        <f>'2026_Fantasy_Starters'!AC92</f>
        <v>0.031825088588749016</v>
      </c>
      <c r="BB62" s="7">
        <f>'2026_Fantasy_Starters'!AD92</f>
        <v>7.1326699999999996E-4</v>
      </c>
      <c r="BC62" s="7">
        <f>'2026_Fantasy_Starters'!AE92</f>
        <v>7.9534870000000004E-3</v>
      </c>
      <c r="BD62" s="7" t="str">
        <f>'2026_Fantasy_Starters'!AF92</f>
        <v>0.1803826596585255</v>
      </c>
      <c r="BE62" s="7">
        <f>'2026_Fantasy_Starters'!AG92</f>
        <v>7.0135965999999994E-2</v>
      </c>
      <c r="BF62" s="7">
        <f>'2026_Fantasy_Starters'!AH92</f>
        <v>0</v>
      </c>
      <c r="BG62" s="7" t="e">
        <f>'2026_Fantasy_Starters'!#REF!</f>
        <v>#REF!</v>
      </c>
      <c r="BH62" s="7">
        <f>'2026_Fantasy_Starters'!D92</f>
        <v>28</v>
      </c>
    </row>
    <row r="63" spans="1:60" s="7" customFormat="1">
      <c r="A63" s="7" t="str">
        <f>'2026_Fantasy_Starters'!A52</f>
        <v xml:space="preserve">TOR </v>
      </c>
      <c r="B63" s="7" t="s">
        <v>152</v>
      </c>
      <c r="C63" s="7" t="str">
        <f>'2026_Fantasy_Starters'!C52</f>
        <v>SP</v>
      </c>
      <c r="D63" s="7" t="str">
        <f>'2026_Fantasy_Starters'!W52</f>
        <v>0.33413761076118287</v>
      </c>
      <c r="E63" s="7" t="str">
        <f>'2026_Fantasy_Starters'!X63</f>
        <v>0.3333836405529954</v>
      </c>
      <c r="F63" s="7" t="str">
        <f>'2026_Fantasy_Starters'!Y52</f>
        <v>0.41514536849222444</v>
      </c>
      <c r="G63" s="8">
        <f t="shared" si="79"/>
        <v>0.30495869498673878</v>
      </c>
      <c r="H63" s="8">
        <f t="shared" si="40"/>
        <v>0.81868272968005029</v>
      </c>
      <c r="I63" s="8">
        <f t="shared" si="41"/>
        <v>1.1399000602298588</v>
      </c>
      <c r="J63" s="8" t="e">
        <f t="shared" si="42"/>
        <v>#REF!</v>
      </c>
      <c r="K63" s="8">
        <f t="shared" si="43"/>
        <v>1.1406002721858837</v>
      </c>
      <c r="L63" s="8">
        <f t="shared" si="44"/>
        <v>-8.3902963784233467E-2</v>
      </c>
      <c r="M63" s="8" t="e">
        <f t="shared" si="45"/>
        <v>#REF!</v>
      </c>
      <c r="N63" s="8" t="e">
        <f t="shared" si="46"/>
        <v>#REF!</v>
      </c>
      <c r="P63" s="7">
        <f t="shared" si="47"/>
        <v>106.32078066905083</v>
      </c>
      <c r="Q63" s="7">
        <f t="shared" si="48"/>
        <v>98.950039112769801</v>
      </c>
      <c r="R63" s="7">
        <f t="shared" si="49"/>
        <v>98.534913696220755</v>
      </c>
      <c r="S63" s="7">
        <f t="shared" si="50"/>
        <v>98.016089685343601</v>
      </c>
      <c r="T63" s="7">
        <f t="shared" si="51"/>
        <v>200</v>
      </c>
      <c r="U63" s="7">
        <f t="shared" si="52"/>
        <v>127.31262691480023</v>
      </c>
      <c r="V63" s="7">
        <f t="shared" si="53"/>
        <v>111.21169667509734</v>
      </c>
      <c r="W63" s="7">
        <f t="shared" si="54"/>
        <v>121.92447299825857</v>
      </c>
      <c r="X63" s="7" t="e">
        <f t="shared" si="55"/>
        <v>#DIV/0!</v>
      </c>
      <c r="Y63" s="7" t="e">
        <f t="shared" si="56"/>
        <v>#REF!</v>
      </c>
      <c r="Z63" s="7">
        <f t="shared" si="57"/>
        <v>138.77038998349829</v>
      </c>
      <c r="AA63" s="7" t="e">
        <f t="shared" si="58"/>
        <v>#REF!</v>
      </c>
      <c r="AB63" s="7">
        <f t="shared" si="59"/>
        <v>146.43073025002749</v>
      </c>
      <c r="AC63" s="7">
        <f t="shared" si="60"/>
        <v>136.51057017268715</v>
      </c>
      <c r="AD63" s="7">
        <f t="shared" si="61"/>
        <v>146.389961193114</v>
      </c>
      <c r="AE63" s="7" t="e">
        <f t="shared" si="62"/>
        <v>#REF!</v>
      </c>
      <c r="AG63" s="7">
        <f t="shared" si="63"/>
        <v>7.6949738535985593E-2</v>
      </c>
      <c r="AH63" s="7">
        <f t="shared" si="64"/>
        <v>3.6810140952988922E-2</v>
      </c>
      <c r="AI63" s="7">
        <f t="shared" si="65"/>
        <v>3.3161136335502203E-2</v>
      </c>
      <c r="AJ63" s="7">
        <f t="shared" si="66"/>
        <v>1.3439030455295195E-2</v>
      </c>
      <c r="AK63" s="7">
        <f t="shared" si="67"/>
        <v>0</v>
      </c>
      <c r="AL63" s="7">
        <f t="shared" si="68"/>
        <v>2.9966525314401586E-3</v>
      </c>
      <c r="AM63" s="7">
        <f t="shared" si="69"/>
        <v>9.1725254543000651E-2</v>
      </c>
      <c r="AN63" s="7">
        <f t="shared" si="70"/>
        <v>2.5310826931710585E-2</v>
      </c>
      <c r="AO63" s="7">
        <f t="shared" si="71"/>
        <v>0</v>
      </c>
      <c r="AP63" s="7" t="e">
        <f t="shared" si="72"/>
        <v>#REF!</v>
      </c>
      <c r="AQ63" s="7">
        <f t="shared" si="73"/>
        <v>7.0574712643678081</v>
      </c>
      <c r="AR63" s="7" t="e">
        <f t="shared" si="74"/>
        <v>#REF!</v>
      </c>
      <c r="AS63" s="7">
        <f t="shared" si="75"/>
        <v>190.52297009520927</v>
      </c>
      <c r="AT63" s="7">
        <f t="shared" si="76"/>
        <v>8.0897409177683594E-2</v>
      </c>
      <c r="AU63" s="7">
        <f t="shared" si="77"/>
        <v>21.209529907029449</v>
      </c>
      <c r="AV63" s="7" t="e">
        <f t="shared" si="78"/>
        <v>#REF!</v>
      </c>
      <c r="AX63" s="7" t="str">
        <f>'2026_Fantasy_Starters'!Z52</f>
        <v>0.23029355588163364</v>
      </c>
      <c r="AY63" s="7" t="str">
        <f>'2026_Fantasy_Starters'!AA52</f>
        <v>0.11016461412151062</v>
      </c>
      <c r="AZ63" s="7">
        <f>'2026_Fantasy_Starters'!AB52</f>
        <v>9.9243949999999997E-2</v>
      </c>
      <c r="BA63" s="7" t="str">
        <f>'2026_Fantasy_Starters'!AC52</f>
        <v>0.032371866520165514</v>
      </c>
      <c r="BB63" s="7">
        <f>'2026_Fantasy_Starters'!AD52</f>
        <v>0</v>
      </c>
      <c r="BC63" s="7">
        <f>'2026_Fantasy_Starters'!AE52</f>
        <v>7.2183209999999998E-3</v>
      </c>
      <c r="BD63" s="7" t="str">
        <f>'2026_Fantasy_Starters'!AF52</f>
        <v>0.22094731509625123</v>
      </c>
      <c r="BE63" s="7">
        <f>'2026_Fantasy_Starters'!AG52</f>
        <v>6.0968587999999997E-2</v>
      </c>
      <c r="BF63" s="7">
        <f>'2026_Fantasy_Starters'!AH52</f>
        <v>0</v>
      </c>
      <c r="BG63" s="7" t="e">
        <f>'2026_Fantasy_Starters'!#REF!</f>
        <v>#REF!</v>
      </c>
      <c r="BH63" s="7">
        <f>'2026_Fantasy_Starters'!D52</f>
        <v>17</v>
      </c>
    </row>
    <row r="64" spans="1:60" s="7" customFormat="1">
      <c r="A64" s="7" t="str">
        <f>'2026_Fantasy_Starters'!A84</f>
        <v xml:space="preserve">CHC </v>
      </c>
      <c r="B64" s="7" t="s">
        <v>222</v>
      </c>
      <c r="C64" s="7" t="str">
        <f>'2026_Fantasy_Starters'!C84</f>
        <v>SP</v>
      </c>
      <c r="D64" s="7" t="str">
        <f>'2026_Fantasy_Starters'!W84</f>
        <v>0.34170923076923077</v>
      </c>
      <c r="E64" s="7" t="str">
        <f>'2026_Fantasy_Starters'!X64</f>
        <v>0.2749440789473684</v>
      </c>
      <c r="F64" s="7" t="str">
        <f>'2026_Fantasy_Starters'!Y84</f>
        <v>0.44974358974358974</v>
      </c>
      <c r="G64" s="8">
        <f t="shared" si="79"/>
        <v>-0.16515222737574511</v>
      </c>
      <c r="H64" s="8">
        <f t="shared" si="40"/>
        <v>-0.89676851565993743</v>
      </c>
      <c r="I64" s="8">
        <f t="shared" si="41"/>
        <v>-8.5594109415257844E-2</v>
      </c>
      <c r="J64" s="8" t="e">
        <f t="shared" si="42"/>
        <v>#REF!</v>
      </c>
      <c r="K64" s="8">
        <f t="shared" si="43"/>
        <v>-8.5576739771532503E-2</v>
      </c>
      <c r="L64" s="8">
        <f t="shared" si="44"/>
        <v>0.30001967602233937</v>
      </c>
      <c r="M64" s="8" t="e">
        <f t="shared" si="45"/>
        <v>#REF!</v>
      </c>
      <c r="N64" s="8" t="e">
        <f t="shared" si="46"/>
        <v>#REF!</v>
      </c>
      <c r="P64" s="7">
        <f t="shared" si="47"/>
        <v>96.576942965037659</v>
      </c>
      <c r="Q64" s="7">
        <f t="shared" si="48"/>
        <v>96.863118657810915</v>
      </c>
      <c r="R64" s="7">
        <f t="shared" si="49"/>
        <v>105.2388461429682</v>
      </c>
      <c r="S64" s="7">
        <f t="shared" si="50"/>
        <v>102.71110934533273</v>
      </c>
      <c r="T64" s="7">
        <f t="shared" si="51"/>
        <v>126.89718582218742</v>
      </c>
      <c r="U64" s="7">
        <f t="shared" si="52"/>
        <v>67.820601932520646</v>
      </c>
      <c r="V64" s="7">
        <f t="shared" si="53"/>
        <v>89.718888978868748</v>
      </c>
      <c r="W64" s="7">
        <f t="shared" si="54"/>
        <v>71.261996721064392</v>
      </c>
      <c r="X64" s="7" t="e">
        <f t="shared" si="55"/>
        <v>#DIV/0!</v>
      </c>
      <c r="Y64" s="7" t="e">
        <f t="shared" si="56"/>
        <v>#REF!</v>
      </c>
      <c r="Z64" s="7">
        <f t="shared" si="57"/>
        <v>102.45222553559967</v>
      </c>
      <c r="AA64" s="7" t="e">
        <f t="shared" si="58"/>
        <v>#REF!</v>
      </c>
      <c r="AB64" s="7">
        <f t="shared" si="59"/>
        <v>96.516404022599431</v>
      </c>
      <c r="AC64" s="7">
        <f t="shared" si="60"/>
        <v>60.007059349530437</v>
      </c>
      <c r="AD64" s="7">
        <f t="shared" si="61"/>
        <v>96.51661794514483</v>
      </c>
      <c r="AE64" s="7" t="e">
        <f t="shared" si="62"/>
        <v>#REF!</v>
      </c>
      <c r="AG64" s="7">
        <f t="shared" si="63"/>
        <v>6.9897629259297892E-2</v>
      </c>
      <c r="AH64" s="7">
        <f t="shared" si="64"/>
        <v>3.7570357339321243E-2</v>
      </c>
      <c r="AI64" s="7">
        <f t="shared" si="65"/>
        <v>3.5417291128877898E-2</v>
      </c>
      <c r="AJ64" s="7">
        <f t="shared" si="66"/>
        <v>1.2820339604903908E-2</v>
      </c>
      <c r="AK64" s="7">
        <f t="shared" si="67"/>
        <v>3.9382112256410192E-4</v>
      </c>
      <c r="AL64" s="7">
        <f t="shared" si="68"/>
        <v>5.4493058561748938E-3</v>
      </c>
      <c r="AM64" s="7">
        <f t="shared" si="69"/>
        <v>0.11392900416941568</v>
      </c>
      <c r="AN64" s="7">
        <f t="shared" si="70"/>
        <v>4.1734784837948652E-2</v>
      </c>
      <c r="AO64" s="7">
        <f t="shared" si="71"/>
        <v>0</v>
      </c>
      <c r="AP64" s="7" t="e">
        <f t="shared" si="72"/>
        <v>#REF!</v>
      </c>
      <c r="AQ64" s="7">
        <f t="shared" si="73"/>
        <v>11.243589743589725</v>
      </c>
      <c r="AR64" s="7" t="e">
        <f t="shared" si="74"/>
        <v>#REF!</v>
      </c>
      <c r="AS64" s="7">
        <f t="shared" si="75"/>
        <v>368.04687003890183</v>
      </c>
      <c r="AT64" s="7">
        <f t="shared" si="76"/>
        <v>0.1783771918032917</v>
      </c>
      <c r="AU64" s="7">
        <f t="shared" si="77"/>
        <v>40.940725569687288</v>
      </c>
      <c r="AV64" s="7" t="e">
        <f t="shared" si="78"/>
        <v>#REF!</v>
      </c>
      <c r="AX64" s="7" t="str">
        <f>'2026_Fantasy_Starters'!Z84</f>
        <v>0.2045529443320855</v>
      </c>
      <c r="AY64" s="7" t="str">
        <f>'2026_Fantasy_Starters'!AA84</f>
        <v>0.10994832435385421</v>
      </c>
      <c r="AZ64" s="7" t="str">
        <f>'2026_Fantasy_Starters'!AB84</f>
        <v>0.1036474521017452</v>
      </c>
      <c r="BA64" s="7" t="str">
        <f>'2026_Fantasy_Starters'!AC84</f>
        <v>0.028505886236673505</v>
      </c>
      <c r="BB64" s="7">
        <f>'2026_Fantasy_Starters'!AD84</f>
        <v>8.7565699999999995E-4</v>
      </c>
      <c r="BC64" s="7" t="str">
        <f>'2026_Fantasy_Starters'!AE84</f>
        <v>0.012116472542236155</v>
      </c>
      <c r="BD64" s="7" t="str">
        <f>'2026_Fantasy_Starters'!AF84</f>
        <v>0.2533199066480749</v>
      </c>
      <c r="BE64" s="7">
        <f>'2026_Fantasy_Starters'!AG84</f>
        <v>9.2796842000000004E-2</v>
      </c>
      <c r="BF64" s="7">
        <f>'2026_Fantasy_Starters'!AH84</f>
        <v>0</v>
      </c>
      <c r="BG64" s="7" t="e">
        <f>'2026_Fantasy_Starters'!#REF!</f>
        <v>#REF!</v>
      </c>
      <c r="BH64" s="7">
        <f>'2026_Fantasy_Starters'!D84</f>
        <v>25</v>
      </c>
    </row>
    <row r="65" spans="1:60" s="7" customFormat="1">
      <c r="A65" s="7" t="str">
        <f>'2026_Fantasy_Starters'!A32</f>
        <v xml:space="preserve">MIL </v>
      </c>
      <c r="B65" s="7" t="s">
        <v>103</v>
      </c>
      <c r="C65" s="7" t="str">
        <f>'2026_Fantasy_Starters'!C32</f>
        <v>SP</v>
      </c>
      <c r="D65" s="7" t="str">
        <f>'2026_Fantasy_Starters'!W32</f>
        <v>0.2793677884615385</v>
      </c>
      <c r="E65" s="7" t="str">
        <f>'2026_Fantasy_Starters'!X65</f>
        <v>0.17794456762749444</v>
      </c>
      <c r="F65" s="7">
        <f>'2026_Fantasy_Starters'!Y32</f>
        <v>0.296875</v>
      </c>
      <c r="G65" s="8">
        <f t="shared" si="79"/>
        <v>-1.2055182913859153</v>
      </c>
      <c r="H65" s="8">
        <f t="shared" si="40"/>
        <v>-1.5973689620470595</v>
      </c>
      <c r="I65" s="8">
        <f t="shared" si="41"/>
        <v>-0.86176989068144083</v>
      </c>
      <c r="J65" s="8" t="e">
        <f t="shared" si="42"/>
        <v>#REF!</v>
      </c>
      <c r="K65" s="8">
        <f t="shared" si="43"/>
        <v>-0.86221102949334305</v>
      </c>
      <c r="L65" s="8">
        <f t="shared" si="44"/>
        <v>-0.85592297511366167</v>
      </c>
      <c r="M65" s="8" t="e">
        <f t="shared" si="45"/>
        <v>#REF!</v>
      </c>
      <c r="N65" s="8" t="e">
        <f t="shared" si="46"/>
        <v>#REF!</v>
      </c>
      <c r="P65" s="7">
        <f t="shared" si="47"/>
        <v>75.013610572046119</v>
      </c>
      <c r="Q65" s="7">
        <f t="shared" si="48"/>
        <v>117.6897609608333</v>
      </c>
      <c r="R65" s="7">
        <f t="shared" si="49"/>
        <v>85.054150993356373</v>
      </c>
      <c r="S65" s="7">
        <f t="shared" si="50"/>
        <v>132.19626525851621</v>
      </c>
      <c r="T65" s="7">
        <f t="shared" si="51"/>
        <v>107.45525864127802</v>
      </c>
      <c r="U65" s="7">
        <f t="shared" si="52"/>
        <v>95.360250557077507</v>
      </c>
      <c r="V65" s="7">
        <f t="shared" si="53"/>
        <v>121.12354724613694</v>
      </c>
      <c r="W65" s="7">
        <f t="shared" si="54"/>
        <v>97.948736878162492</v>
      </c>
      <c r="X65" s="7" t="e">
        <f t="shared" si="55"/>
        <v>#DIV/0!</v>
      </c>
      <c r="Y65" s="7" t="e">
        <f t="shared" si="56"/>
        <v>#REF!</v>
      </c>
      <c r="Z65" s="7">
        <f t="shared" si="57"/>
        <v>117.57936045824313</v>
      </c>
      <c r="AA65" s="7" t="e">
        <f t="shared" si="58"/>
        <v>#REF!</v>
      </c>
      <c r="AB65" s="7">
        <f t="shared" si="59"/>
        <v>64.901737527834314</v>
      </c>
      <c r="AC65" s="7">
        <f t="shared" si="60"/>
        <v>28.762572525153871</v>
      </c>
      <c r="AD65" s="7">
        <f t="shared" si="61"/>
        <v>64.928967739465833</v>
      </c>
      <c r="AE65" s="7" t="e">
        <f t="shared" si="62"/>
        <v>#REF!</v>
      </c>
      <c r="AG65" s="7">
        <f t="shared" si="63"/>
        <v>5.429115252762115E-2</v>
      </c>
      <c r="AH65" s="7">
        <f t="shared" si="64"/>
        <v>2.9983697908475132E-2</v>
      </c>
      <c r="AI65" s="7">
        <f t="shared" si="65"/>
        <v>2.862429357462622E-2</v>
      </c>
      <c r="AJ65" s="7">
        <f t="shared" si="66"/>
        <v>8.934904078125E-3</v>
      </c>
      <c r="AK65" s="7">
        <f t="shared" si="67"/>
        <v>4.9855910937500003E-4</v>
      </c>
      <c r="AL65" s="7">
        <f t="shared" si="68"/>
        <v>4.3139400524194339E-3</v>
      </c>
      <c r="AM65" s="7">
        <f t="shared" si="69"/>
        <v>8.1485538470334157E-2</v>
      </c>
      <c r="AN65" s="7">
        <f t="shared" si="70"/>
        <v>3.3083373987109629E-2</v>
      </c>
      <c r="AO65" s="7">
        <f t="shared" si="71"/>
        <v>0</v>
      </c>
      <c r="AP65" s="7" t="e">
        <f t="shared" si="72"/>
        <v>#REF!</v>
      </c>
      <c r="AQ65" s="7">
        <f t="shared" si="73"/>
        <v>9.5</v>
      </c>
      <c r="AR65" s="7" t="e">
        <f t="shared" si="74"/>
        <v>#REF!</v>
      </c>
      <c r="AS65" s="7">
        <f t="shared" si="75"/>
        <v>480.48671077716841</v>
      </c>
      <c r="AT65" s="7">
        <f t="shared" si="76"/>
        <v>0.21818851223967362</v>
      </c>
      <c r="AU65" s="7">
        <f t="shared" si="77"/>
        <v>53.437624035727573</v>
      </c>
      <c r="AV65" s="7" t="e">
        <f t="shared" si="78"/>
        <v>#REF!</v>
      </c>
      <c r="AX65" s="7" t="str">
        <f>'2026_Fantasy_Starters'!Z32</f>
        <v>0.1943357637134886</v>
      </c>
      <c r="AY65" s="7" t="str">
        <f>'2026_Fantasy_Starters'!AA32</f>
        <v>0.10732696877329273</v>
      </c>
      <c r="AZ65" s="7" t="str">
        <f>'2026_Fantasy_Starters'!AB32</f>
        <v>0.1024609663564247</v>
      </c>
      <c r="BA65" s="7">
        <f>'2026_Fantasy_Starters'!AC32</f>
        <v>3.0096518999999999E-2</v>
      </c>
      <c r="BB65" s="7">
        <f>'2026_Fantasy_Starters'!AD32</f>
        <v>1.679357E-3</v>
      </c>
      <c r="BC65" s="7" t="str">
        <f>'2026_Fantasy_Starters'!AE32</f>
        <v>0.014531166492360236</v>
      </c>
      <c r="BD65" s="7" t="str">
        <f>'2026_Fantasy_Starters'!AF32</f>
        <v>0.27447760326849496</v>
      </c>
      <c r="BE65" s="7" t="str">
        <f>'2026_Fantasy_Starters'!AG32</f>
        <v>0.11143873343026463</v>
      </c>
      <c r="BF65" s="7">
        <f>'2026_Fantasy_Starters'!AH32</f>
        <v>0</v>
      </c>
      <c r="BG65" s="7" t="e">
        <f>'2026_Fantasy_Starters'!#REF!</f>
        <v>#REF!</v>
      </c>
      <c r="BH65" s="7">
        <f>'2026_Fantasy_Starters'!D32</f>
        <v>32</v>
      </c>
    </row>
    <row r="66" spans="1:60" s="7" customFormat="1">
      <c r="A66" s="7" t="str">
        <f>'2026_Fantasy_Starters'!A70</f>
        <v xml:space="preserve">NYM </v>
      </c>
      <c r="B66" s="7" t="s">
        <v>191</v>
      </c>
      <c r="C66" s="7" t="str">
        <f>'2026_Fantasy_Starters'!C70</f>
        <v>SP,RP</v>
      </c>
      <c r="D66" s="7" t="str">
        <f>'2026_Fantasy_Starters'!W70</f>
        <v>0.21601585623678643</v>
      </c>
      <c r="E66" s="7" t="str">
        <f>'2026_Fantasy_Starters'!X66</f>
        <v>0.3522746305418719</v>
      </c>
      <c r="F66" s="7" t="str">
        <f>'2026_Fantasy_Starters'!Y70</f>
        <v>0.18698614047451254</v>
      </c>
      <c r="G66" s="8">
        <f t="shared" si="79"/>
        <v>-1.756524309824558</v>
      </c>
      <c r="H66" s="8">
        <f t="shared" ref="H66:H97" si="80">(AC66-AC$113)/AC$114</f>
        <v>1.2338726492410428</v>
      </c>
      <c r="I66" s="8">
        <f t="shared" ref="I66:I97" si="81">(AD66-AD$113)/AD$114</f>
        <v>1.368139691720768</v>
      </c>
      <c r="J66" s="8" t="e">
        <f t="shared" ref="J66:J97" si="82">(AA66-AA$113)/AA$114</f>
        <v>#REF!</v>
      </c>
      <c r="K66" s="8">
        <f t="shared" ref="K66:K97" si="83">(AB66-AB$113)/AB$114</f>
        <v>1.3676812351741638</v>
      </c>
      <c r="L66" s="8">
        <f t="shared" ref="L66:L97" si="84">(R66-R$113)/R$114</f>
        <v>-1.555546834842453</v>
      </c>
      <c r="M66" s="8" t="e">
        <f t="shared" ref="M66:M97" si="85">(AE66-AE$113)/AE$114</f>
        <v>#REF!</v>
      </c>
      <c r="N66" s="8" t="e">
        <f t="shared" ref="N66:N97" si="86">G66+H66+I66+J66+K66+L66+M66*2</f>
        <v>#REF!</v>
      </c>
      <c r="P66" s="7">
        <f t="shared" ref="P66:P97" si="87">(AG66-AVERAGE(AG$2:AG$112))/AVERAGE(AG$2:AG$112)*100+100</f>
        <v>63.593086261273207</v>
      </c>
      <c r="Q66" s="7">
        <f t="shared" ref="Q66:Q97" si="88">(AVERAGE(AH$2:AH$112)-AH66)/AVERAGE(AH$2:AH$112)*100+100</f>
        <v>133.14305916260997</v>
      </c>
      <c r="R66" s="7">
        <f t="shared" ref="R66:R97" si="89">(AI66-AVERAGE(AI$2:AI$112))/AVERAGE(AI$2:AI$112)*100+100</f>
        <v>72.837546377078596</v>
      </c>
      <c r="S66" s="7">
        <f t="shared" ref="S66:S97" si="90">(AVERAGE(AJ$2:AJ$112)-AJ66)/AVERAGE(AJ$2:AJ$112)*100+100</f>
        <v>150.6788462564719</v>
      </c>
      <c r="T66" s="7">
        <f t="shared" ref="T66:T97" si="91">(AVERAGE(AK$2:AK$112)-AK66)/AVERAGE(AK$2:AK$112)*100+100</f>
        <v>137.64025026446473</v>
      </c>
      <c r="U66" s="7">
        <f t="shared" ref="U66:U97" si="92">(AVERAGE(AL$2:AL$112)-AL66)/AVERAGE(AL$2:AL$112)*100+100</f>
        <v>145.59365347943941</v>
      </c>
      <c r="V66" s="7">
        <f t="shared" ref="V66:V97" si="93">(AVERAGE(AM$2:AM$112)-AM66)/AVERAGE(AM$2:AM$112)*100+100</f>
        <v>155.64959243544044</v>
      </c>
      <c r="W66" s="7">
        <f t="shared" ref="W66:W97" si="94">(AVERAGE(AN$2:AN$112)-AN66)/AVERAGE(AN$2:AN$112)*100+100</f>
        <v>154.6438826306084</v>
      </c>
      <c r="X66" s="7" t="e">
        <f t="shared" ref="X66:X97" si="95">(AVERAGE(AO$2:AO$112)-AO66)/AVERAGE(AO$2:AO$112)*100+100</f>
        <v>#DIV/0!</v>
      </c>
      <c r="Y66" s="7" t="e">
        <f t="shared" ref="Y66:Y97" si="96">(AP66-AVERAGE(AP$2:AP$112))/AVERAGE(AP$2:AP$112)*100+100</f>
        <v>#REF!</v>
      </c>
      <c r="Z66" s="7">
        <f t="shared" ref="Z66:Z97" si="97">(AVERAGE(AQ$2:AQ$112)-AQ66)/AVERAGE(AQ$2:AQ$112)*100+100</f>
        <v>146.46525575255956</v>
      </c>
      <c r="AA66" s="7" t="e">
        <f t="shared" ref="AA66:AA97" si="98">(AR66-AVERAGE(AR$2:AR$112))/AVERAGE(AR$2:AR$112)*100+100</f>
        <v>#REF!</v>
      </c>
      <c r="AB66" s="7">
        <f t="shared" ref="AB66:AB97" si="99">(AVERAGE(AS$2:AS$112)-AS66)/AVERAGE(AS$2:AS$112)*100+100</f>
        <v>155.67457771748366</v>
      </c>
      <c r="AC66" s="7">
        <f t="shared" ref="AC66:AC97" si="100">(AVERAGE(AT$2:AT$112)-AT66)/AVERAGE(AT$2:AT$112)*100+100</f>
        <v>155.02668165710577</v>
      </c>
      <c r="AD66" s="7">
        <f t="shared" ref="AD66:AD97" si="101">(AVERAGE(AU$2:AU$112)-AU66)/AVERAGE(AU$2:AU$112)*100+100</f>
        <v>155.67851903866659</v>
      </c>
      <c r="AE66" s="7" t="e">
        <f t="shared" ref="AE66:AE97" si="102">(AV66-AVERAGE(AV$2:AV$112))/AVERAGE(AV$2:AV$112)*100+100</f>
        <v>#REF!</v>
      </c>
      <c r="AG66" s="7">
        <f t="shared" ref="AG66:AG97" si="103">$D66*AX66</f>
        <v>4.6025540159768626E-2</v>
      </c>
      <c r="AH66" s="7">
        <f t="shared" ref="AH66:AH97" si="104">$D66*AY66</f>
        <v>2.4354422251151694E-2</v>
      </c>
      <c r="AI66" s="7">
        <f t="shared" ref="AI66:AI97" si="105">$D66*AZ66</f>
        <v>2.4512893096961304E-2</v>
      </c>
      <c r="AJ66" s="7">
        <f t="shared" ref="AJ66:AJ97" si="106">$F66*BA66</f>
        <v>6.4993437220097804E-3</v>
      </c>
      <c r="AK66" s="7">
        <f t="shared" ref="AK66:AK97" si="107">$F66*BB66</f>
        <v>3.3594584449142491E-4</v>
      </c>
      <c r="AL66" s="7">
        <f t="shared" ref="AL66:AL97" si="108">$F66*BC66</f>
        <v>2.2429881437061468E-3</v>
      </c>
      <c r="AM66" s="7">
        <f t="shared" ref="AM66:AM97" si="109">$F66*BD66</f>
        <v>4.581743620056395E-2</v>
      </c>
      <c r="AN66" s="7">
        <f t="shared" ref="AN66:AN97" si="110">$F66*BE66</f>
        <v>1.4703721910265402E-2</v>
      </c>
      <c r="AO66" s="7">
        <f t="shared" ref="AO66:AO97" si="111">$F66*BF66</f>
        <v>0</v>
      </c>
      <c r="AP66" s="7" t="e">
        <f t="shared" ref="AP66:AP97" si="112">$F66*BG66</f>
        <v>#REF!</v>
      </c>
      <c r="AQ66" s="7">
        <f t="shared" ref="AQ66:AQ97" si="113">$F66*BH66</f>
        <v>6.1705426356588964</v>
      </c>
      <c r="AR66" s="7" t="e">
        <f t="shared" ref="AR66:AR97" si="114">AP66/$E66*9</f>
        <v>#REF!</v>
      </c>
      <c r="AS66" s="7">
        <f t="shared" ref="AS66:AS97" si="115">AQ66/$E66*9</f>
        <v>157.646560115629</v>
      </c>
      <c r="AT66" s="7">
        <f t="shared" ref="AT66:AT97" si="116">AL66/$E66*9</f>
        <v>5.7304419742925335E-2</v>
      </c>
      <c r="AU66" s="7">
        <f t="shared" ref="AU66:AU97" si="117">(AQ66+AJ66)/$E66</f>
        <v>17.534734107532358</v>
      </c>
      <c r="AV66" s="7" t="e">
        <f t="shared" ref="AV66:AV97" si="118">BG66-BH66</f>
        <v>#REF!</v>
      </c>
      <c r="AX66" s="7" t="str">
        <f>'2026_Fantasy_Starters'!Z70</f>
        <v>0.21306556361917156</v>
      </c>
      <c r="AY66" s="7" t="str">
        <f>'2026_Fantasy_Starters'!AA70</f>
        <v>0.11274367852170811</v>
      </c>
      <c r="AZ66" s="7" t="str">
        <f>'2026_Fantasy_Starters'!AB70</f>
        <v>0.11347728599187454</v>
      </c>
      <c r="BA66" s="7" t="str">
        <f>'2026_Fantasy_Starters'!AC70</f>
        <v>0.034758424905271076</v>
      </c>
      <c r="BB66" s="7">
        <f>'2026_Fantasy_Starters'!AD70</f>
        <v>1.796635E-3</v>
      </c>
      <c r="BC66" s="7" t="str">
        <f>'2026_Fantasy_Starters'!AE70</f>
        <v>0.011995478049946186</v>
      </c>
      <c r="BD66" s="7" t="str">
        <f>'2026_Fantasy_Starters'!AF70</f>
        <v>0.24503118832387125</v>
      </c>
      <c r="BE66" s="7">
        <f>'2026_Fantasy_Starters'!AG70</f>
        <v>7.8635357000000003E-2</v>
      </c>
      <c r="BF66" s="7">
        <f>'2026_Fantasy_Starters'!AH70</f>
        <v>0</v>
      </c>
      <c r="BG66" s="7" t="e">
        <f>'2026_Fantasy_Starters'!#REF!</f>
        <v>#REF!</v>
      </c>
      <c r="BH66" s="7">
        <f>'2026_Fantasy_Starters'!D70</f>
        <v>33</v>
      </c>
    </row>
    <row r="67" spans="1:60" s="7" customFormat="1">
      <c r="A67" s="7" t="str">
        <f>'2026_Fantasy_Starters'!A77</f>
        <v xml:space="preserve">NYM </v>
      </c>
      <c r="B67" s="7" t="s">
        <v>206</v>
      </c>
      <c r="C67" s="7" t="str">
        <f>'2026_Fantasy_Starters'!C77</f>
        <v>SP</v>
      </c>
      <c r="D67" s="7" t="str">
        <f>'2026_Fantasy_Starters'!W77</f>
        <v>0.3284889162561576</v>
      </c>
      <c r="E67" s="7" t="str">
        <f>'2026_Fantasy_Starters'!X67</f>
        <v>0.2784568965517241</v>
      </c>
      <c r="F67" s="7" t="str">
        <f>'2026_Fantasy_Starters'!Y77</f>
        <v>0.4961001642036124</v>
      </c>
      <c r="G67" s="8">
        <f t="shared" ref="G67:G98" si="119">(P67-$P$113)/$P$114</f>
        <v>0.13649799997640066</v>
      </c>
      <c r="H67" s="8">
        <f t="shared" si="80"/>
        <v>-0.69541794510980748</v>
      </c>
      <c r="I67" s="8">
        <f t="shared" si="81"/>
        <v>-0.64371145147703823</v>
      </c>
      <c r="J67" s="8" t="e">
        <f t="shared" si="82"/>
        <v>#REF!</v>
      </c>
      <c r="K67" s="8">
        <f t="shared" si="83"/>
        <v>-0.64448317372887898</v>
      </c>
      <c r="L67" s="8">
        <f t="shared" si="84"/>
        <v>-9.3124794127533286E-2</v>
      </c>
      <c r="M67" s="8" t="e">
        <f t="shared" si="85"/>
        <v>#REF!</v>
      </c>
      <c r="N67" s="8" t="e">
        <f t="shared" si="86"/>
        <v>#REF!</v>
      </c>
      <c r="P67" s="7">
        <f t="shared" si="87"/>
        <v>102.82915009080969</v>
      </c>
      <c r="Q67" s="7">
        <f t="shared" si="88"/>
        <v>102.82130198147425</v>
      </c>
      <c r="R67" s="7">
        <f t="shared" si="89"/>
        <v>98.373885089811935</v>
      </c>
      <c r="S67" s="7">
        <f t="shared" si="90"/>
        <v>111.64019108474857</v>
      </c>
      <c r="T67" s="7">
        <f t="shared" si="91"/>
        <v>2.9032249620249218</v>
      </c>
      <c r="U67" s="7">
        <f t="shared" si="92"/>
        <v>74.718530308789894</v>
      </c>
      <c r="V67" s="7">
        <f t="shared" si="93"/>
        <v>100.76175013949644</v>
      </c>
      <c r="W67" s="7">
        <f t="shared" si="94"/>
        <v>66.82594847683751</v>
      </c>
      <c r="X67" s="7" t="e">
        <f t="shared" si="95"/>
        <v>#DIV/0!</v>
      </c>
      <c r="Y67" s="7" t="e">
        <f t="shared" si="96"/>
        <v>#REF!</v>
      </c>
      <c r="Z67" s="7">
        <f t="shared" si="97"/>
        <v>79.485368558725838</v>
      </c>
      <c r="AA67" s="7" t="e">
        <f t="shared" si="98"/>
        <v>#REF!</v>
      </c>
      <c r="AB67" s="7">
        <f t="shared" si="99"/>
        <v>73.764845476724233</v>
      </c>
      <c r="AC67" s="7">
        <f t="shared" si="100"/>
        <v>68.986635770122732</v>
      </c>
      <c r="AD67" s="7">
        <f t="shared" si="101"/>
        <v>73.803186528859911</v>
      </c>
      <c r="AE67" s="7" t="e">
        <f t="shared" si="102"/>
        <v>#REF!</v>
      </c>
      <c r="AG67" s="7">
        <f t="shared" si="103"/>
        <v>7.4422668490325944E-2</v>
      </c>
      <c r="AH67" s="7">
        <f t="shared" si="104"/>
        <v>3.53999302946977E-2</v>
      </c>
      <c r="AI67" s="7">
        <f t="shared" si="105"/>
        <v>3.3106943447207791E-2</v>
      </c>
      <c r="AJ67" s="7">
        <f t="shared" si="106"/>
        <v>1.1643701044334964E-2</v>
      </c>
      <c r="AK67" s="7">
        <f t="shared" si="107"/>
        <v>1.0618041736453192E-3</v>
      </c>
      <c r="AL67" s="7">
        <f t="shared" si="108"/>
        <v>5.1649277908648265E-3</v>
      </c>
      <c r="AM67" s="7">
        <f t="shared" si="109"/>
        <v>0.10252086578957688</v>
      </c>
      <c r="AN67" s="7">
        <f t="shared" si="110"/>
        <v>4.3172880150041018E-2</v>
      </c>
      <c r="AO67" s="7">
        <f t="shared" si="111"/>
        <v>0</v>
      </c>
      <c r="AP67" s="7" t="e">
        <f t="shared" si="112"/>
        <v>#REF!</v>
      </c>
      <c r="AQ67" s="7">
        <f t="shared" si="113"/>
        <v>13.890804597701138</v>
      </c>
      <c r="AR67" s="7" t="e">
        <f t="shared" si="114"/>
        <v>#REF!</v>
      </c>
      <c r="AS67" s="7">
        <f t="shared" si="115"/>
        <v>448.96442834587145</v>
      </c>
      <c r="AT67" s="7">
        <f t="shared" si="116"/>
        <v>0.16693553183068269</v>
      </c>
      <c r="AU67" s="7">
        <f t="shared" si="117"/>
        <v>49.926751575941168</v>
      </c>
      <c r="AV67" s="7" t="e">
        <f t="shared" si="118"/>
        <v>#REF!</v>
      </c>
      <c r="AX67" s="7" t="str">
        <f>'2026_Fantasy_Starters'!Z77</f>
        <v>0.2265606685867324</v>
      </c>
      <c r="AY67" s="7" t="str">
        <f>'2026_Fantasy_Starters'!AA77</f>
        <v>0.10776598095959196</v>
      </c>
      <c r="AZ67" s="7" t="str">
        <f>'2026_Fantasy_Starters'!AB77</f>
        <v>0.10078557238561797</v>
      </c>
      <c r="BA67" s="7">
        <f>'2026_Fantasy_Starters'!AC77</f>
        <v>2.3470464E-2</v>
      </c>
      <c r="BB67" s="7">
        <f>'2026_Fantasy_Starters'!AD77</f>
        <v>2.1403020000000002E-3</v>
      </c>
      <c r="BC67" s="7" t="str">
        <f>'2026_Fantasy_Starters'!AE77</f>
        <v>0.010411058418325809</v>
      </c>
      <c r="BD67" s="7" t="str">
        <f>'2026_Fantasy_Starters'!AF77</f>
        <v>0.20665356149227115</v>
      </c>
      <c r="BE67" s="7">
        <f>'2026_Fantasy_Starters'!AG77</f>
        <v>8.7024523000000006E-2</v>
      </c>
      <c r="BF67" s="7">
        <f>'2026_Fantasy_Starters'!AH77</f>
        <v>0</v>
      </c>
      <c r="BG67" s="7" t="e">
        <f>'2026_Fantasy_Starters'!#REF!</f>
        <v>#REF!</v>
      </c>
      <c r="BH67" s="7">
        <f>'2026_Fantasy_Starters'!D77</f>
        <v>28</v>
      </c>
    </row>
    <row r="68" spans="1:60" s="7" customFormat="1">
      <c r="A68" s="7" t="str">
        <f>'2026_Fantasy_Starters'!A112</f>
        <v xml:space="preserve">MIL </v>
      </c>
      <c r="B68" s="7" t="s">
        <v>285</v>
      </c>
      <c r="C68" s="7" t="str">
        <f>'2026_Fantasy_Starters'!C112</f>
        <v>SP</v>
      </c>
      <c r="D68" s="7" t="str">
        <f>'2026_Fantasy_Starters'!W112</f>
        <v>0.2399815447710184</v>
      </c>
      <c r="E68" s="7" t="str">
        <f>'2026_Fantasy_Starters'!X68</f>
        <v>0.33682758620689657</v>
      </c>
      <c r="F68" s="7" t="str">
        <f>'2026_Fantasy_Starters'!Y112</f>
        <v>0.15643274853801167</v>
      </c>
      <c r="G68" s="8">
        <f t="shared" si="119"/>
        <v>-1.3873615686671164</v>
      </c>
      <c r="H68" s="8">
        <f t="shared" si="80"/>
        <v>1.6099880560064124</v>
      </c>
      <c r="I68" s="8">
        <f t="shared" si="81"/>
        <v>1.5042307355376741</v>
      </c>
      <c r="J68" s="8" t="e">
        <f t="shared" si="82"/>
        <v>#REF!</v>
      </c>
      <c r="K68" s="8">
        <f t="shared" si="83"/>
        <v>1.5038267666742859</v>
      </c>
      <c r="L68" s="8">
        <f t="shared" si="84"/>
        <v>-1.2454353276797645</v>
      </c>
      <c r="M68" s="8" t="e">
        <f t="shared" si="85"/>
        <v>#REF!</v>
      </c>
      <c r="N68" s="8" t="e">
        <f t="shared" si="86"/>
        <v>#REF!</v>
      </c>
      <c r="P68" s="7">
        <f t="shared" si="87"/>
        <v>71.244603520498217</v>
      </c>
      <c r="Q68" s="7">
        <f t="shared" si="88"/>
        <v>123.72842505489852</v>
      </c>
      <c r="R68" s="7">
        <f t="shared" si="89"/>
        <v>78.252612797816695</v>
      </c>
      <c r="S68" s="7">
        <f t="shared" si="90"/>
        <v>155.51242539206558</v>
      </c>
      <c r="T68" s="7">
        <f t="shared" si="91"/>
        <v>137.99935008732749</v>
      </c>
      <c r="U68" s="7">
        <f t="shared" si="92"/>
        <v>167.38127526395766</v>
      </c>
      <c r="V68" s="7">
        <f t="shared" si="93"/>
        <v>162.52500516912195</v>
      </c>
      <c r="W68" s="7">
        <f t="shared" si="94"/>
        <v>166.61728478145091</v>
      </c>
      <c r="X68" s="7" t="e">
        <f t="shared" si="95"/>
        <v>#DIV/0!</v>
      </c>
      <c r="Y68" s="7" t="e">
        <f t="shared" si="96"/>
        <v>#REF!</v>
      </c>
      <c r="Z68" s="7">
        <f t="shared" si="97"/>
        <v>155.21279190182486</v>
      </c>
      <c r="AA68" s="7" t="e">
        <f t="shared" si="98"/>
        <v>#REF!</v>
      </c>
      <c r="AB68" s="7">
        <f t="shared" si="99"/>
        <v>161.21669146405884</v>
      </c>
      <c r="AC68" s="7">
        <f t="shared" si="100"/>
        <v>171.80019776279238</v>
      </c>
      <c r="AD68" s="7">
        <f t="shared" si="101"/>
        <v>161.21695039915235</v>
      </c>
      <c r="AE68" s="7" t="e">
        <f t="shared" si="102"/>
        <v>#REF!</v>
      </c>
      <c r="AG68" s="7">
        <f t="shared" si="103"/>
        <v>5.1563331067584407E-2</v>
      </c>
      <c r="AH68" s="7">
        <f t="shared" si="104"/>
        <v>2.7783953598644485E-2</v>
      </c>
      <c r="AI68" s="7">
        <f t="shared" si="105"/>
        <v>2.6335290347924579E-2</v>
      </c>
      <c r="AJ68" s="7">
        <f t="shared" si="106"/>
        <v>5.8623940599414944E-3</v>
      </c>
      <c r="AK68" s="7">
        <f t="shared" si="107"/>
        <v>3.3401129385964766E-4</v>
      </c>
      <c r="AL68" s="7">
        <f t="shared" si="108"/>
        <v>1.3447587923976548E-3</v>
      </c>
      <c r="AM68" s="7">
        <f t="shared" si="109"/>
        <v>3.8714597656872067E-2</v>
      </c>
      <c r="AN68" s="7">
        <f t="shared" si="110"/>
        <v>1.0822137997075976E-2</v>
      </c>
      <c r="AO68" s="7">
        <f t="shared" si="111"/>
        <v>0</v>
      </c>
      <c r="AP68" s="7" t="e">
        <f t="shared" si="112"/>
        <v>#REF!</v>
      </c>
      <c r="AQ68" s="7">
        <f t="shared" si="113"/>
        <v>5.162280701754363</v>
      </c>
      <c r="AR68" s="7" t="e">
        <f t="shared" si="114"/>
        <v>#REF!</v>
      </c>
      <c r="AS68" s="7">
        <f t="shared" si="115"/>
        <v>137.9356330014221</v>
      </c>
      <c r="AT68" s="7">
        <f t="shared" si="116"/>
        <v>3.5931822769839118E-2</v>
      </c>
      <c r="AU68" s="7">
        <f t="shared" si="117"/>
        <v>15.343586177171895</v>
      </c>
      <c r="AV68" s="7" t="e">
        <f t="shared" si="118"/>
        <v>#REF!</v>
      </c>
      <c r="AX68" s="7" t="str">
        <f>'2026_Fantasy_Starters'!Z112</f>
        <v>0.2148637351125669</v>
      </c>
      <c r="AY68" s="7" t="str">
        <f>'2026_Fantasy_Starters'!AA112</f>
        <v>0.11577537608216909</v>
      </c>
      <c r="AZ68" s="7" t="str">
        <f>'2026_Fantasy_Starters'!AB112</f>
        <v>0.10973881501201652</v>
      </c>
      <c r="BA68" s="7">
        <f>'2026_Fantasy_Starters'!AC112</f>
        <v>3.7475491E-2</v>
      </c>
      <c r="BB68" s="7">
        <f>'2026_Fantasy_Starters'!AD112</f>
        <v>2.135175E-3</v>
      </c>
      <c r="BC68" s="7">
        <f>'2026_Fantasy_Starters'!AE112</f>
        <v>8.5964019999999995E-3</v>
      </c>
      <c r="BD68" s="7" t="str">
        <f>'2026_Fantasy_Starters'!AF112</f>
        <v>0.24748397006823075</v>
      </c>
      <c r="BE68" s="7">
        <f>'2026_Fantasy_Starters'!AG112</f>
        <v>6.9180770000000003E-2</v>
      </c>
      <c r="BF68" s="7">
        <f>'2026_Fantasy_Starters'!AH112</f>
        <v>0</v>
      </c>
      <c r="BG68" s="7" t="e">
        <f>'2026_Fantasy_Starters'!#REF!</f>
        <v>#REF!</v>
      </c>
      <c r="BH68" s="7">
        <f>'2026_Fantasy_Starters'!D112</f>
        <v>33</v>
      </c>
    </row>
    <row r="69" spans="1:60" s="7" customFormat="1">
      <c r="A69" s="7" t="str">
        <f>'2026_Fantasy_Starters'!A109</f>
        <v xml:space="preserve">LAA </v>
      </c>
      <c r="B69" s="7" t="s">
        <v>279</v>
      </c>
      <c r="C69" s="7" t="str">
        <f>'2026_Fantasy_Starters'!C109</f>
        <v>SP</v>
      </c>
      <c r="D69" s="7" t="str">
        <f>'2026_Fantasy_Starters'!W109</f>
        <v>0.33288887652947724</v>
      </c>
      <c r="E69" s="7" t="str">
        <f>'2026_Fantasy_Starters'!X69</f>
        <v>0.37420735785953174</v>
      </c>
      <c r="F69" s="7" t="str">
        <f>'2026_Fantasy_Starters'!Y109</f>
        <v>0.48683722654801626</v>
      </c>
      <c r="G69" s="8">
        <f t="shared" si="119"/>
        <v>3.4732148361682126E-2</v>
      </c>
      <c r="H69" s="8">
        <f t="shared" si="80"/>
        <v>-0.27957729567300482</v>
      </c>
      <c r="I69" s="8">
        <f t="shared" si="81"/>
        <v>0.11226641466284822</v>
      </c>
      <c r="J69" s="8" t="e">
        <f t="shared" si="82"/>
        <v>#REF!</v>
      </c>
      <c r="K69" s="8">
        <f t="shared" si="83"/>
        <v>0.11120981886644987</v>
      </c>
      <c r="L69" s="8">
        <f t="shared" si="84"/>
        <v>-6.2869450917480872E-4</v>
      </c>
      <c r="M69" s="8" t="e">
        <f t="shared" si="85"/>
        <v>#REF!</v>
      </c>
      <c r="N69" s="8" t="e">
        <f t="shared" si="86"/>
        <v>#REF!</v>
      </c>
      <c r="P69" s="7">
        <f t="shared" si="87"/>
        <v>100.71988205474409</v>
      </c>
      <c r="Q69" s="7">
        <f t="shared" si="88"/>
        <v>103.03621794471428</v>
      </c>
      <c r="R69" s="7">
        <f t="shared" si="89"/>
        <v>99.989021940666859</v>
      </c>
      <c r="S69" s="7">
        <f t="shared" si="90"/>
        <v>124.5796992566611</v>
      </c>
      <c r="T69" s="7">
        <f t="shared" si="91"/>
        <v>77.886167534137869</v>
      </c>
      <c r="U69" s="7">
        <f t="shared" si="92"/>
        <v>55.470848166629679</v>
      </c>
      <c r="V69" s="7">
        <f t="shared" si="93"/>
        <v>100.71749320808597</v>
      </c>
      <c r="W69" s="7">
        <f t="shared" si="94"/>
        <v>52.796820066113625</v>
      </c>
      <c r="X69" s="7" t="e">
        <f t="shared" si="95"/>
        <v>#DIV/0!</v>
      </c>
      <c r="Y69" s="7" t="e">
        <f t="shared" si="96"/>
        <v>#REF!</v>
      </c>
      <c r="Z69" s="7">
        <f t="shared" si="97"/>
        <v>77.511828275804532</v>
      </c>
      <c r="AA69" s="7" t="e">
        <f t="shared" si="98"/>
        <v>#REF!</v>
      </c>
      <c r="AB69" s="7">
        <f t="shared" si="99"/>
        <v>104.52704880654379</v>
      </c>
      <c r="AC69" s="7">
        <f t="shared" si="100"/>
        <v>87.531767677145737</v>
      </c>
      <c r="AD69" s="7">
        <f t="shared" si="101"/>
        <v>104.56885195571385</v>
      </c>
      <c r="AE69" s="7" t="e">
        <f t="shared" si="102"/>
        <v>#REF!</v>
      </c>
      <c r="AG69" s="7">
        <f t="shared" si="103"/>
        <v>7.2896084290546767E-2</v>
      </c>
      <c r="AH69" s="7">
        <f t="shared" si="104"/>
        <v>3.5321641428176107E-2</v>
      </c>
      <c r="AI69" s="7">
        <f t="shared" si="105"/>
        <v>3.3650504823602927E-2</v>
      </c>
      <c r="AJ69" s="7">
        <f t="shared" si="106"/>
        <v>9.9385845817248526E-3</v>
      </c>
      <c r="AK69" s="7">
        <f t="shared" si="107"/>
        <v>6.5785438116425612E-4</v>
      </c>
      <c r="AL69" s="7">
        <f t="shared" si="108"/>
        <v>5.9584440918054662E-3</v>
      </c>
      <c r="AM69" s="7">
        <f t="shared" si="109"/>
        <v>0.10256658665760679</v>
      </c>
      <c r="AN69" s="7">
        <f t="shared" si="110"/>
        <v>4.7720897369299187E-2</v>
      </c>
      <c r="AO69" s="7">
        <f t="shared" si="111"/>
        <v>0</v>
      </c>
      <c r="AP69" s="7" t="e">
        <f t="shared" si="112"/>
        <v>#REF!</v>
      </c>
      <c r="AQ69" s="7">
        <f t="shared" si="113"/>
        <v>14.118279569892463</v>
      </c>
      <c r="AR69" s="7" t="e">
        <f t="shared" si="114"/>
        <v>#REF!</v>
      </c>
      <c r="AS69" s="7">
        <f t="shared" si="115"/>
        <v>339.55643431449926</v>
      </c>
      <c r="AT69" s="7">
        <f t="shared" si="116"/>
        <v>0.14330556494931129</v>
      </c>
      <c r="AU69" s="7">
        <f t="shared" si="117"/>
        <v>37.75505173198011</v>
      </c>
      <c r="AV69" s="7" t="e">
        <f t="shared" si="118"/>
        <v>#REF!</v>
      </c>
      <c r="AX69" s="7" t="str">
        <f>'2026_Fantasy_Starters'!Z109</f>
        <v>0.2189802346372241</v>
      </c>
      <c r="AY69" s="7" t="str">
        <f>'2026_Fantasy_Starters'!AA109</f>
        <v>0.10610640342333133</v>
      </c>
      <c r="AZ69" s="7" t="str">
        <f>'2026_Fantasy_Starters'!AB109</f>
        <v>0.10108629995218094</v>
      </c>
      <c r="BA69" s="7" t="str">
        <f>'2026_Fantasy_Starters'!AC109</f>
        <v>0.020414594529255155</v>
      </c>
      <c r="BB69" s="7">
        <f>'2026_Fantasy_Starters'!AD109</f>
        <v>1.3512820000000001E-3</v>
      </c>
      <c r="BC69" s="7" t="str">
        <f>'2026_Fantasy_Starters'!AE109</f>
        <v>0.012239088892307294</v>
      </c>
      <c r="BD69" s="7" t="str">
        <f>'2026_Fantasy_Starters'!AF109</f>
        <v>0.21067942438352366</v>
      </c>
      <c r="BE69" s="7">
        <f>'2026_Fantasy_Starters'!AG109</f>
        <v>9.8022285000000001E-2</v>
      </c>
      <c r="BF69" s="7">
        <f>'2026_Fantasy_Starters'!AH109</f>
        <v>0</v>
      </c>
      <c r="BG69" s="7" t="e">
        <f>'2026_Fantasy_Starters'!#REF!</f>
        <v>#REF!</v>
      </c>
      <c r="BH69" s="7">
        <f>'2026_Fantasy_Starters'!D109</f>
        <v>29</v>
      </c>
    </row>
    <row r="70" spans="1:60" s="7" customFormat="1">
      <c r="A70" s="7" t="str">
        <f>'2026_Fantasy_Starters'!A104</f>
        <v xml:space="preserve">AZ </v>
      </c>
      <c r="B70" s="7" t="s">
        <v>266</v>
      </c>
      <c r="C70" s="7" t="str">
        <f>'2026_Fantasy_Starters'!C104</f>
        <v>SP</v>
      </c>
      <c r="D70" s="7" t="str">
        <f>'2026_Fantasy_Starters'!W104</f>
        <v>0.42402000000000006</v>
      </c>
      <c r="E70" s="7" t="str">
        <f>'2026_Fantasy_Starters'!X70</f>
        <v>0.22340803382663846</v>
      </c>
      <c r="F70" s="7" t="str">
        <f>'2026_Fantasy_Starters'!Y104</f>
        <v>0.5555555555555555</v>
      </c>
      <c r="G70" s="8">
        <f t="shared" si="119"/>
        <v>1.3782182470894073</v>
      </c>
      <c r="H70" s="8">
        <f t="shared" si="80"/>
        <v>-1.110418631796263</v>
      </c>
      <c r="I70" s="8">
        <f t="shared" si="81"/>
        <v>1.5265997399147226</v>
      </c>
      <c r="J70" s="8" t="e">
        <f t="shared" si="82"/>
        <v>#REF!</v>
      </c>
      <c r="K70" s="8">
        <f t="shared" si="83"/>
        <v>1.5290528421114384</v>
      </c>
      <c r="L70" s="8">
        <f t="shared" si="84"/>
        <v>0.81140735341357795</v>
      </c>
      <c r="M70" s="8" t="e">
        <f t="shared" si="85"/>
        <v>#REF!</v>
      </c>
      <c r="N70" s="8" t="e">
        <f t="shared" si="86"/>
        <v>#REF!</v>
      </c>
      <c r="P70" s="7">
        <f t="shared" si="87"/>
        <v>128.56588579746727</v>
      </c>
      <c r="Q70" s="7">
        <f t="shared" si="88"/>
        <v>76.026815084714215</v>
      </c>
      <c r="R70" s="7">
        <f t="shared" si="89"/>
        <v>114.16853167820307</v>
      </c>
      <c r="S70" s="7">
        <f t="shared" si="90"/>
        <v>93.108867320881487</v>
      </c>
      <c r="T70" s="7">
        <f t="shared" si="91"/>
        <v>200</v>
      </c>
      <c r="U70" s="7">
        <f t="shared" si="92"/>
        <v>85.286548327564773</v>
      </c>
      <c r="V70" s="7">
        <f t="shared" si="93"/>
        <v>78.631588431940344</v>
      </c>
      <c r="W70" s="7">
        <f t="shared" si="94"/>
        <v>74.073151185231566</v>
      </c>
      <c r="X70" s="7" t="e">
        <f t="shared" si="95"/>
        <v>#DIV/0!</v>
      </c>
      <c r="Y70" s="7" t="e">
        <f t="shared" si="96"/>
        <v>#REF!</v>
      </c>
      <c r="Z70" s="7">
        <f t="shared" si="97"/>
        <v>171.08047735376954</v>
      </c>
      <c r="AA70" s="7" t="e">
        <f t="shared" si="98"/>
        <v>#REF!</v>
      </c>
      <c r="AB70" s="7">
        <f t="shared" si="99"/>
        <v>162.24357628291358</v>
      </c>
      <c r="AC70" s="7">
        <f t="shared" si="100"/>
        <v>50.478963452544079</v>
      </c>
      <c r="AD70" s="7">
        <f t="shared" si="101"/>
        <v>162.12729094670055</v>
      </c>
      <c r="AE70" s="7" t="e">
        <f t="shared" si="102"/>
        <v>#REF!</v>
      </c>
      <c r="AG70" s="7">
        <f t="shared" si="103"/>
        <v>9.3049648756410044E-2</v>
      </c>
      <c r="AH70" s="7">
        <f t="shared" si="104"/>
        <v>4.5160536145237844E-2</v>
      </c>
      <c r="AI70" s="7">
        <f t="shared" si="105"/>
        <v>3.8422505304840003E-2</v>
      </c>
      <c r="AJ70" s="7">
        <f t="shared" si="106"/>
        <v>1.4085684526544653E-2</v>
      </c>
      <c r="AK70" s="7">
        <f t="shared" si="107"/>
        <v>0</v>
      </c>
      <c r="AL70" s="7">
        <f t="shared" si="108"/>
        <v>4.7292444444444401E-3</v>
      </c>
      <c r="AM70" s="7">
        <f t="shared" si="109"/>
        <v>0.12538305190744156</v>
      </c>
      <c r="AN70" s="7">
        <f t="shared" si="110"/>
        <v>4.0823453888888854E-2</v>
      </c>
      <c r="AO70" s="7">
        <f t="shared" si="111"/>
        <v>0</v>
      </c>
      <c r="AP70" s="7" t="e">
        <f t="shared" si="112"/>
        <v>#REF!</v>
      </c>
      <c r="AQ70" s="7">
        <f t="shared" si="113"/>
        <v>3.3333333333333304</v>
      </c>
      <c r="AR70" s="7" t="e">
        <f t="shared" si="114"/>
        <v>#REF!</v>
      </c>
      <c r="AS70" s="7">
        <f t="shared" si="115"/>
        <v>134.2834431069727</v>
      </c>
      <c r="AT70" s="7">
        <f t="shared" si="116"/>
        <v>0.19051776818835667</v>
      </c>
      <c r="AU70" s="7">
        <f t="shared" si="117"/>
        <v>14.983431707999511</v>
      </c>
      <c r="AV70" s="7" t="e">
        <f t="shared" si="118"/>
        <v>#REF!</v>
      </c>
      <c r="AX70" s="7" t="str">
        <f>'2026_Fantasy_Starters'!Z104</f>
        <v>0.21944636752136748</v>
      </c>
      <c r="AY70" s="7" t="str">
        <f>'2026_Fantasy_Starters'!AA104</f>
        <v>0.10650567460317457</v>
      </c>
      <c r="AZ70" s="7">
        <f>'2026_Fantasy_Starters'!AB104</f>
        <v>9.0614842000000001E-2</v>
      </c>
      <c r="BA70" s="7" t="str">
        <f>'2026_Fantasy_Starters'!AC104</f>
        <v>0.025354232147780497</v>
      </c>
      <c r="BB70" s="7">
        <f>'2026_Fantasy_Starters'!AD104</f>
        <v>0</v>
      </c>
      <c r="BC70" s="7">
        <f>'2026_Fantasy_Starters'!AE104</f>
        <v>8.5126400000000001E-3</v>
      </c>
      <c r="BD70" s="7" t="str">
        <f>'2026_Fantasy_Starters'!AF104</f>
        <v>0.2256894934333958</v>
      </c>
      <c r="BE70" s="7">
        <f>'2026_Fantasy_Starters'!AG104</f>
        <v>7.3482217000000002E-2</v>
      </c>
      <c r="BF70" s="7">
        <f>'2026_Fantasy_Starters'!AH104</f>
        <v>0</v>
      </c>
      <c r="BG70" s="7" t="e">
        <f>'2026_Fantasy_Starters'!#REF!</f>
        <v>#REF!</v>
      </c>
      <c r="BH70" s="7">
        <f>'2026_Fantasy_Starters'!D104</f>
        <v>6</v>
      </c>
    </row>
    <row r="71" spans="1:60" s="7" customFormat="1">
      <c r="A71" s="7" t="str">
        <f>'2026_Fantasy_Starters'!A46</f>
        <v xml:space="preserve">SF </v>
      </c>
      <c r="B71" s="7" t="s">
        <v>137</v>
      </c>
      <c r="C71" s="7" t="str">
        <f>'2026_Fantasy_Starters'!C46</f>
        <v>SP</v>
      </c>
      <c r="D71" s="7" t="str">
        <f>'2026_Fantasy_Starters'!W46</f>
        <v>0.3209136077122729</v>
      </c>
      <c r="E71" s="7" t="str">
        <f>'2026_Fantasy_Starters'!X71</f>
        <v>0.3372692307692307</v>
      </c>
      <c r="F71" s="7" t="str">
        <f>'2026_Fantasy_Starters'!Y46</f>
        <v>0.4825732295142751</v>
      </c>
      <c r="G71" s="8">
        <f t="shared" si="119"/>
        <v>-0.23955891290218742</v>
      </c>
      <c r="H71" s="8">
        <f t="shared" si="80"/>
        <v>0.2160253527001052</v>
      </c>
      <c r="I71" s="8">
        <f t="shared" si="81"/>
        <v>-0.12313782872018278</v>
      </c>
      <c r="J71" s="8" t="e">
        <f t="shared" si="82"/>
        <v>#REF!</v>
      </c>
      <c r="K71" s="8">
        <f t="shared" si="83"/>
        <v>-0.12286436512185454</v>
      </c>
      <c r="L71" s="8">
        <f t="shared" si="84"/>
        <v>0.10573888746834648</v>
      </c>
      <c r="M71" s="8" t="e">
        <f t="shared" si="85"/>
        <v>#REF!</v>
      </c>
      <c r="N71" s="8" t="e">
        <f t="shared" si="86"/>
        <v>#REF!</v>
      </c>
      <c r="P71" s="7">
        <f t="shared" si="87"/>
        <v>95.034739554362218</v>
      </c>
      <c r="Q71" s="7">
        <f t="shared" si="88"/>
        <v>97.958579179873851</v>
      </c>
      <c r="R71" s="7">
        <f t="shared" si="89"/>
        <v>101.84637811132779</v>
      </c>
      <c r="S71" s="7">
        <f t="shared" si="90"/>
        <v>68.756811769890561</v>
      </c>
      <c r="T71" s="7">
        <f t="shared" si="91"/>
        <v>138.22251764119989</v>
      </c>
      <c r="U71" s="7">
        <f t="shared" si="92"/>
        <v>95.336578155904235</v>
      </c>
      <c r="V71" s="7">
        <f t="shared" si="93"/>
        <v>88.171985962344763</v>
      </c>
      <c r="W71" s="7">
        <f t="shared" si="94"/>
        <v>60.390231242401541</v>
      </c>
      <c r="X71" s="7" t="e">
        <f t="shared" si="95"/>
        <v>#DIV/0!</v>
      </c>
      <c r="Y71" s="7" t="e">
        <f t="shared" si="96"/>
        <v>#REF!</v>
      </c>
      <c r="Z71" s="7">
        <f t="shared" si="97"/>
        <v>78.584649277196917</v>
      </c>
      <c r="AA71" s="7" t="e">
        <f t="shared" si="98"/>
        <v>#REF!</v>
      </c>
      <c r="AB71" s="7">
        <f t="shared" si="99"/>
        <v>94.998526360702172</v>
      </c>
      <c r="AC71" s="7">
        <f t="shared" si="100"/>
        <v>109.63402367351645</v>
      </c>
      <c r="AD71" s="7">
        <f t="shared" si="101"/>
        <v>94.988719366694511</v>
      </c>
      <c r="AE71" s="7" t="e">
        <f t="shared" si="102"/>
        <v>#REF!</v>
      </c>
      <c r="AG71" s="7">
        <f t="shared" si="103"/>
        <v>6.8781458474301713E-2</v>
      </c>
      <c r="AH71" s="7">
        <f t="shared" si="104"/>
        <v>3.7171306653190128E-2</v>
      </c>
      <c r="AI71" s="7">
        <f t="shared" si="105"/>
        <v>3.4275583172874734E-2</v>
      </c>
      <c r="AJ71" s="7">
        <f t="shared" si="106"/>
        <v>1.7294700685947347E-2</v>
      </c>
      <c r="AK71" s="7">
        <f t="shared" si="107"/>
        <v>3.328090406006673E-4</v>
      </c>
      <c r="AL71" s="7">
        <f t="shared" si="108"/>
        <v>4.3149159847979228E-3</v>
      </c>
      <c r="AM71" s="7">
        <f t="shared" si="109"/>
        <v>0.11552707584812295</v>
      </c>
      <c r="AN71" s="7">
        <f t="shared" si="110"/>
        <v>4.5259235905265094E-2</v>
      </c>
      <c r="AO71" s="7">
        <f t="shared" si="111"/>
        <v>0</v>
      </c>
      <c r="AP71" s="7" t="e">
        <f t="shared" si="112"/>
        <v>#REF!</v>
      </c>
      <c r="AQ71" s="7">
        <f t="shared" si="113"/>
        <v>13.994623655913975</v>
      </c>
      <c r="AR71" s="7" t="e">
        <f t="shared" si="114"/>
        <v>#REF!</v>
      </c>
      <c r="AS71" s="7">
        <f t="shared" si="115"/>
        <v>373.44531137916272</v>
      </c>
      <c r="AT71" s="7">
        <f t="shared" si="116"/>
        <v>0.11514315662478233</v>
      </c>
      <c r="AU71" s="7">
        <f t="shared" si="117"/>
        <v>41.54520210646583</v>
      </c>
      <c r="AV71" s="7" t="e">
        <f t="shared" si="118"/>
        <v>#REF!</v>
      </c>
      <c r="AX71" s="7" t="str">
        <f>'2026_Fantasy_Starters'!Z46</f>
        <v>0.2143301400169066</v>
      </c>
      <c r="AY71" s="7" t="str">
        <f>'2026_Fantasy_Starters'!AA46</f>
        <v>0.11582963688631626</v>
      </c>
      <c r="AZ71" s="7" t="str">
        <f>'2026_Fantasy_Starters'!AB46</f>
        <v>0.10680626296036053</v>
      </c>
      <c r="BA71" s="7">
        <f>'2026_Fantasy_Starters'!AC46</f>
        <v>3.5838500000000002E-2</v>
      </c>
      <c r="BB71" s="7">
        <f>'2026_Fantasy_Starters'!AD46</f>
        <v>6.8965499999999996E-4</v>
      </c>
      <c r="BC71" s="7">
        <f>'2026_Fantasy_Starters'!AE46</f>
        <v>8.9414739999999996E-3</v>
      </c>
      <c r="BD71" s="7" t="str">
        <f>'2026_Fantasy_Starters'!AF46</f>
        <v>0.23939802040905706</v>
      </c>
      <c r="BE71" s="7">
        <f>'2026_Fantasy_Starters'!AG46</f>
        <v>9.3787290999999995E-2</v>
      </c>
      <c r="BF71" s="7">
        <f>'2026_Fantasy_Starters'!AH46</f>
        <v>0</v>
      </c>
      <c r="BG71" s="7" t="e">
        <f>'2026_Fantasy_Starters'!#REF!</f>
        <v>#REF!</v>
      </c>
      <c r="BH71" s="7">
        <f>'2026_Fantasy_Starters'!D46</f>
        <v>29</v>
      </c>
    </row>
    <row r="72" spans="1:60">
      <c r="A72" t="str">
        <f>'2026_Fantasy_Starters'!A90</f>
        <v xml:space="preserve">LAA </v>
      </c>
      <c r="B72" t="s">
        <v>235</v>
      </c>
      <c r="C72" t="str">
        <f>'2026_Fantasy_Starters'!C90</f>
        <v>SP</v>
      </c>
      <c r="D72" t="str">
        <f>'2026_Fantasy_Starters'!W90</f>
        <v>0.3144576659038901</v>
      </c>
      <c r="E72">
        <f>'2026_Fantasy_Starters'!X72</f>
        <v>0.21060000000000001</v>
      </c>
      <c r="F72" t="str">
        <f>'2026_Fantasy_Starters'!Y90</f>
        <v>0.4824016563146998</v>
      </c>
      <c r="G72" s="3">
        <f t="shared" si="119"/>
        <v>-0.27814500110431373</v>
      </c>
      <c r="H72" s="3">
        <f t="shared" si="80"/>
        <v>-1.2928319401460895</v>
      </c>
      <c r="I72" s="3">
        <f t="shared" si="81"/>
        <v>-0.5349264506574104</v>
      </c>
      <c r="J72" s="3" t="e">
        <f t="shared" si="82"/>
        <v>#REF!</v>
      </c>
      <c r="K72" s="3">
        <f t="shared" si="83"/>
        <v>-0.53369407024694027</v>
      </c>
      <c r="L72" s="3">
        <f t="shared" si="84"/>
        <v>-8.4244935152160222E-2</v>
      </c>
      <c r="M72" s="3" t="e">
        <f t="shared" si="85"/>
        <v>#REF!</v>
      </c>
      <c r="N72" s="4" t="e">
        <f t="shared" si="86"/>
        <v>#REF!</v>
      </c>
      <c r="P72">
        <f t="shared" si="87"/>
        <v>94.234978129580099</v>
      </c>
      <c r="Q72">
        <f t="shared" si="88"/>
        <v>108.1017655191724</v>
      </c>
      <c r="R72">
        <f t="shared" si="89"/>
        <v>98.528942303258731</v>
      </c>
      <c r="S72">
        <f t="shared" si="90"/>
        <v>84.103898641336343</v>
      </c>
      <c r="T72">
        <f t="shared" si="91"/>
        <v>110.27502713025061</v>
      </c>
      <c r="U72">
        <f t="shared" si="92"/>
        <v>85.979659447746172</v>
      </c>
      <c r="V72">
        <f t="shared" si="93"/>
        <v>84.243945289806192</v>
      </c>
      <c r="W72">
        <f t="shared" si="94"/>
        <v>84.952538624752648</v>
      </c>
      <c r="X72" t="e">
        <f t="shared" si="95"/>
        <v>#DIV/0!</v>
      </c>
      <c r="Y72" t="e">
        <f t="shared" si="96"/>
        <v>#REF!</v>
      </c>
      <c r="Z72">
        <f t="shared" si="97"/>
        <v>112.10979856645621</v>
      </c>
      <c r="AA72" t="e">
        <f t="shared" si="98"/>
        <v>#REF!</v>
      </c>
      <c r="AB72">
        <f t="shared" si="99"/>
        <v>78.274768105932537</v>
      </c>
      <c r="AC72">
        <f t="shared" si="100"/>
        <v>42.343926943906396</v>
      </c>
      <c r="AD72">
        <f t="shared" si="101"/>
        <v>78.230357069931543</v>
      </c>
      <c r="AE72" t="e">
        <f t="shared" si="102"/>
        <v>#REF!</v>
      </c>
      <c r="AG72">
        <f t="shared" si="103"/>
        <v>6.8202630590035951E-2</v>
      </c>
      <c r="AH72">
        <f t="shared" si="104"/>
        <v>3.3476380741455362E-2</v>
      </c>
      <c r="AI72">
        <f t="shared" si="105"/>
        <v>3.3159126711007708E-2</v>
      </c>
      <c r="AJ72">
        <f t="shared" si="106"/>
        <v>1.5272323163561051E-2</v>
      </c>
      <c r="AK72">
        <f t="shared" si="107"/>
        <v>4.8336838923395363E-4</v>
      </c>
      <c r="AL72">
        <f t="shared" si="108"/>
        <v>4.7006698364389157E-3</v>
      </c>
      <c r="AM72">
        <f t="shared" si="109"/>
        <v>0.11958504876855836</v>
      </c>
      <c r="AN72">
        <f t="shared" si="110"/>
        <v>3.7296531904761843E-2</v>
      </c>
      <c r="AO72">
        <f t="shared" si="111"/>
        <v>0</v>
      </c>
      <c r="AP72" t="e">
        <f t="shared" si="112"/>
        <v>#REF!</v>
      </c>
      <c r="AQ72">
        <f t="shared" si="113"/>
        <v>10.130434782608679</v>
      </c>
      <c r="AR72" t="e">
        <f t="shared" si="114"/>
        <v>#REF!</v>
      </c>
      <c r="AS72">
        <f t="shared" si="115"/>
        <v>432.92456335934526</v>
      </c>
      <c r="AT72">
        <f t="shared" si="116"/>
        <v>0.20088332634354339</v>
      </c>
      <c r="AU72">
        <f t="shared" si="117"/>
        <v>48.175247415822604</v>
      </c>
      <c r="AV72" t="e">
        <f t="shared" si="118"/>
        <v>#REF!</v>
      </c>
      <c r="AX72" t="str">
        <f>'2026_Fantasy_Starters'!Z90</f>
        <v>0.21688970562696122</v>
      </c>
      <c r="AY72">
        <f>'2026_Fantasy_Starters'!AA90</f>
        <v>0.106457512</v>
      </c>
      <c r="AZ72" t="str">
        <f>'2026_Fantasy_Starters'!AB90</f>
        <v>0.10544861934179203</v>
      </c>
      <c r="BA72">
        <f>'2026_Fantasy_Starters'!AC90</f>
        <v>3.1658935999999999E-2</v>
      </c>
      <c r="BB72">
        <f>'2026_Fantasy_Starters'!AD90</f>
        <v>1.0020039999999999E-3</v>
      </c>
      <c r="BC72">
        <f>'2026_Fantasy_Starters'!AE90</f>
        <v>9.7443070000000007E-3</v>
      </c>
      <c r="BD72" t="str">
        <f>'2026_Fantasy_Starters'!AF90</f>
        <v>0.24789518693224807</v>
      </c>
      <c r="BE72">
        <f>'2026_Fantasy_Starters'!AG90</f>
        <v>7.7314270000000004E-2</v>
      </c>
      <c r="BF72">
        <f>'2026_Fantasy_Starters'!AH90</f>
        <v>0</v>
      </c>
      <c r="BG72" t="e">
        <f>'2026_Fantasy_Starters'!#REF!</f>
        <v>#REF!</v>
      </c>
      <c r="BH72">
        <f>'2026_Fantasy_Starters'!D90</f>
        <v>21</v>
      </c>
    </row>
    <row r="73" spans="1:60" s="7" customFormat="1">
      <c r="A73" s="7" t="str">
        <f>'2026_Fantasy_Starters'!A53</f>
        <v xml:space="preserve">MIA </v>
      </c>
      <c r="B73" s="7" t="s">
        <v>154</v>
      </c>
      <c r="C73" s="7" t="str">
        <f>'2026_Fantasy_Starters'!C53</f>
        <v>SP</v>
      </c>
      <c r="D73" s="7" t="str">
        <f>'2026_Fantasy_Starters'!W53</f>
        <v>0.35442484934420415</v>
      </c>
      <c r="E73" s="7" t="str">
        <f>'2026_Fantasy_Starters'!X73</f>
        <v>0.14092647058823526</v>
      </c>
      <c r="F73" s="7" t="str">
        <f>'2026_Fantasy_Starters'!Y53</f>
        <v>0.5134408602150538</v>
      </c>
      <c r="G73" s="8">
        <f t="shared" si="119"/>
        <v>0.65198387943994118</v>
      </c>
      <c r="H73" s="8">
        <f t="shared" si="80"/>
        <v>-3.3168491859999207</v>
      </c>
      <c r="I73" s="8">
        <f t="shared" si="81"/>
        <v>-3.8849328396030773</v>
      </c>
      <c r="J73" s="8" t="e">
        <f t="shared" si="82"/>
        <v>#REF!</v>
      </c>
      <c r="K73" s="8">
        <f t="shared" si="83"/>
        <v>-3.8849766600498392</v>
      </c>
      <c r="L73" s="8">
        <f t="shared" si="84"/>
        <v>0.74556848878056714</v>
      </c>
      <c r="M73" s="8" t="e">
        <f t="shared" si="85"/>
        <v>#REF!</v>
      </c>
      <c r="N73" s="8" t="e">
        <f t="shared" si="86"/>
        <v>#REF!</v>
      </c>
      <c r="P73" s="7">
        <f t="shared" si="87"/>
        <v>113.51345991914069</v>
      </c>
      <c r="Q73" s="7">
        <f t="shared" si="88"/>
        <v>85.940598660032606</v>
      </c>
      <c r="R73" s="7">
        <f t="shared" si="89"/>
        <v>113.01887480698383</v>
      </c>
      <c r="S73" s="7">
        <f t="shared" si="90"/>
        <v>93.819172694673938</v>
      </c>
      <c r="T73" s="7">
        <f t="shared" si="91"/>
        <v>75.921708274154554</v>
      </c>
      <c r="U73" s="7">
        <f t="shared" si="92"/>
        <v>80.017340925696928</v>
      </c>
      <c r="V73" s="7">
        <f t="shared" si="93"/>
        <v>103.92812374742766</v>
      </c>
      <c r="W73" s="7">
        <f t="shared" si="94"/>
        <v>89.501836346398207</v>
      </c>
      <c r="X73" s="7" t="e">
        <f t="shared" si="95"/>
        <v>#DIV/0!</v>
      </c>
      <c r="Y73" s="7" t="e">
        <f t="shared" si="96"/>
        <v>#REF!</v>
      </c>
      <c r="Z73" s="7">
        <f t="shared" si="97"/>
        <v>75.272897490290035</v>
      </c>
      <c r="AA73" s="7" t="e">
        <f t="shared" si="98"/>
        <v>#REF!</v>
      </c>
      <c r="AB73" s="7">
        <f t="shared" si="99"/>
        <v>-58.146817714444296</v>
      </c>
      <c r="AC73" s="7">
        <f t="shared" si="100"/>
        <v>-47.92061755717944</v>
      </c>
      <c r="AD73" s="7">
        <f t="shared" si="101"/>
        <v>-58.103231989214692</v>
      </c>
      <c r="AE73" s="7" t="e">
        <f t="shared" si="102"/>
        <v>#REF!</v>
      </c>
      <c r="AG73" s="7">
        <f t="shared" si="103"/>
        <v>8.2155445117377685E-2</v>
      </c>
      <c r="AH73" s="7">
        <f t="shared" si="104"/>
        <v>4.1549176303227131E-2</v>
      </c>
      <c r="AI73" s="7">
        <f t="shared" si="105"/>
        <v>3.80355974889659E-2</v>
      </c>
      <c r="AJ73" s="7">
        <f t="shared" si="106"/>
        <v>1.3992083334734059E-2</v>
      </c>
      <c r="AK73" s="7">
        <f t="shared" si="107"/>
        <v>6.684373602150528E-4</v>
      </c>
      <c r="AL73" s="7">
        <f t="shared" si="108"/>
        <v>4.946475897849455E-3</v>
      </c>
      <c r="AM73" s="7">
        <f t="shared" si="109"/>
        <v>9.9249754457457623E-2</v>
      </c>
      <c r="AN73" s="7">
        <f t="shared" si="110"/>
        <v>3.5821722938171992E-2</v>
      </c>
      <c r="AO73" s="7">
        <f t="shared" si="111"/>
        <v>0</v>
      </c>
      <c r="AP73" s="7" t="e">
        <f t="shared" si="112"/>
        <v>#REF!</v>
      </c>
      <c r="AQ73" s="7">
        <f t="shared" si="113"/>
        <v>14.376344086021483</v>
      </c>
      <c r="AR73" s="7" t="e">
        <f t="shared" si="114"/>
        <v>#REF!</v>
      </c>
      <c r="AS73" s="7">
        <f t="shared" si="115"/>
        <v>918.11776903320117</v>
      </c>
      <c r="AT73" s="7">
        <f t="shared" si="116"/>
        <v>0.31589723985013807</v>
      </c>
      <c r="AU73" s="7">
        <f t="shared" si="117"/>
        <v>102.11237185810549</v>
      </c>
      <c r="AV73" s="7" t="e">
        <f t="shared" si="118"/>
        <v>#REF!</v>
      </c>
      <c r="AX73" s="7" t="str">
        <f>'2026_Fantasy_Starters'!Z53</f>
        <v>0.23179933706508188</v>
      </c>
      <c r="AY73" s="7" t="str">
        <f>'2026_Fantasy_Starters'!AA53</f>
        <v>0.11722986235334829</v>
      </c>
      <c r="AZ73" s="7" t="str">
        <f>'2026_Fantasy_Starters'!AB53</f>
        <v>0.10731639601270512</v>
      </c>
      <c r="BA73" s="7" t="str">
        <f>'2026_Fantasy_Starters'!AC53</f>
        <v>0.027251596861366963</v>
      </c>
      <c r="BB73" s="7">
        <f>'2026_Fantasy_Starters'!AD53</f>
        <v>1.301878E-3</v>
      </c>
      <c r="BC73" s="7">
        <f>'2026_Fantasy_Starters'!AE53</f>
        <v>9.633974E-3</v>
      </c>
      <c r="BD73" s="7" t="str">
        <f>'2026_Fantasy_Starters'!AF53</f>
        <v>0.19330318669201266</v>
      </c>
      <c r="BE73" s="7">
        <f>'2026_Fantasy_Starters'!AG53</f>
        <v>6.9767963000000002E-2</v>
      </c>
      <c r="BF73" s="7">
        <f>'2026_Fantasy_Starters'!AH53</f>
        <v>0</v>
      </c>
      <c r="BG73" s="7" t="e">
        <f>'2026_Fantasy_Starters'!#REF!</f>
        <v>#REF!</v>
      </c>
      <c r="BH73" s="7">
        <f>'2026_Fantasy_Starters'!D53</f>
        <v>28</v>
      </c>
    </row>
    <row r="74" spans="1:60" s="7" customFormat="1">
      <c r="A74" s="7" t="str">
        <f>'2026_Fantasy_Starters'!A94</f>
        <v xml:space="preserve">PHI </v>
      </c>
      <c r="B74" s="7" t="s">
        <v>243</v>
      </c>
      <c r="C74" s="7" t="str">
        <f>'2026_Fantasy_Starters'!C94</f>
        <v>SP</v>
      </c>
      <c r="D74" s="7" t="str">
        <f>'2026_Fantasy_Starters'!W94</f>
        <v>0.20320161290322578</v>
      </c>
      <c r="E74" s="7" t="str">
        <f>'2026_Fantasy_Starters'!X74</f>
        <v>0.35678571428571426</v>
      </c>
      <c r="F74" s="7" t="str">
        <f>'2026_Fantasy_Starters'!Y94</f>
        <v>0.19310035842293904</v>
      </c>
      <c r="G74" s="8">
        <f t="shared" si="119"/>
        <v>-1.6716091820797472</v>
      </c>
      <c r="H74" s="8">
        <f t="shared" si="80"/>
        <v>1.5848900168269735</v>
      </c>
      <c r="I74" s="8">
        <f t="shared" si="81"/>
        <v>1.6492776380554561</v>
      </c>
      <c r="J74" s="8" t="e">
        <f t="shared" si="82"/>
        <v>#REF!</v>
      </c>
      <c r="K74" s="8">
        <f t="shared" si="83"/>
        <v>1.6490945529734811</v>
      </c>
      <c r="L74" s="8">
        <f t="shared" si="84"/>
        <v>-1.5433161865989264</v>
      </c>
      <c r="M74" s="8" t="e">
        <f t="shared" si="85"/>
        <v>#REF!</v>
      </c>
      <c r="N74" s="8" t="e">
        <f t="shared" si="86"/>
        <v>#REF!</v>
      </c>
      <c r="P74" s="7">
        <f t="shared" si="87"/>
        <v>65.353094769909831</v>
      </c>
      <c r="Q74" s="7">
        <f t="shared" si="88"/>
        <v>128.71899681989223</v>
      </c>
      <c r="R74" s="7">
        <f t="shared" si="89"/>
        <v>73.051113984463882</v>
      </c>
      <c r="S74" s="7">
        <f t="shared" si="90"/>
        <v>148.80059026840615</v>
      </c>
      <c r="T74" s="7">
        <f t="shared" si="91"/>
        <v>119.68747558751151</v>
      </c>
      <c r="U74" s="7">
        <f t="shared" si="92"/>
        <v>164.07711196115315</v>
      </c>
      <c r="V74" s="7">
        <f t="shared" si="93"/>
        <v>160.2467149435453</v>
      </c>
      <c r="W74" s="7">
        <f t="shared" si="94"/>
        <v>154.18359329009638</v>
      </c>
      <c r="X74" s="7" t="e">
        <f t="shared" si="95"/>
        <v>#DIV/0!</v>
      </c>
      <c r="Y74" s="7" t="e">
        <f t="shared" si="96"/>
        <v>#REF!</v>
      </c>
      <c r="Z74" s="7">
        <f t="shared" si="97"/>
        <v>159.79253464346667</v>
      </c>
      <c r="AA74" s="7" t="e">
        <f t="shared" si="98"/>
        <v>#REF!</v>
      </c>
      <c r="AB74" s="7">
        <f t="shared" si="99"/>
        <v>167.1301473557977</v>
      </c>
      <c r="AC74" s="7">
        <f t="shared" si="100"/>
        <v>170.68090736196046</v>
      </c>
      <c r="AD74" s="7">
        <f t="shared" si="101"/>
        <v>167.11985400775859</v>
      </c>
      <c r="AE74" s="7" t="e">
        <f t="shared" si="102"/>
        <v>#REF!</v>
      </c>
      <c r="AG74" s="7">
        <f t="shared" si="103"/>
        <v>4.7299347535038602E-2</v>
      </c>
      <c r="AH74" s="7">
        <f t="shared" si="104"/>
        <v>2.5966004848417507E-2</v>
      </c>
      <c r="AI74" s="7">
        <f t="shared" si="105"/>
        <v>2.458476756540794E-2</v>
      </c>
      <c r="AJ74" s="7">
        <f t="shared" si="106"/>
        <v>6.7468527589605708E-3</v>
      </c>
      <c r="AK74" s="7">
        <f t="shared" si="107"/>
        <v>4.3266143548387084E-4</v>
      </c>
      <c r="AL74" s="7">
        <f t="shared" si="108"/>
        <v>1.4809781783154115E-3</v>
      </c>
      <c r="AM74" s="7">
        <f t="shared" si="109"/>
        <v>4.1068249467281603E-2</v>
      </c>
      <c r="AN74" s="7">
        <f t="shared" si="110"/>
        <v>1.4852940292562717E-2</v>
      </c>
      <c r="AO74" s="7">
        <f t="shared" si="111"/>
        <v>0</v>
      </c>
      <c r="AP74" s="7" t="e">
        <f t="shared" si="112"/>
        <v>#REF!</v>
      </c>
      <c r="AQ74" s="7">
        <f t="shared" si="113"/>
        <v>4.6344086021505362</v>
      </c>
      <c r="AR74" s="7" t="e">
        <f t="shared" si="114"/>
        <v>#REF!</v>
      </c>
      <c r="AS74" s="7">
        <f t="shared" si="115"/>
        <v>116.90400077496858</v>
      </c>
      <c r="AT74" s="7">
        <f t="shared" si="116"/>
        <v>3.7358008101650055E-2</v>
      </c>
      <c r="AU74" s="7">
        <f t="shared" si="117"/>
        <v>13.008243517263868</v>
      </c>
      <c r="AV74" s="7" t="e">
        <f t="shared" si="118"/>
        <v>#REF!</v>
      </c>
      <c r="AX74" s="7" t="str">
        <f>'2026_Fantasy_Starters'!Z94</f>
        <v>0.23277053198177622</v>
      </c>
      <c r="AY74" s="7" t="str">
        <f>'2026_Fantasy_Starters'!AA94</f>
        <v>0.12778444264014738</v>
      </c>
      <c r="AZ74" s="7" t="str">
        <f>'2026_Fantasy_Starters'!AB94</f>
        <v>0.12098706902054208</v>
      </c>
      <c r="BA74" s="7">
        <f>'2026_Fantasy_Starters'!AC94</f>
        <v>3.4939617999999999E-2</v>
      </c>
      <c r="BB74" s="7">
        <f>'2026_Fantasy_Starters'!AD94</f>
        <v>2.2406040000000002E-3</v>
      </c>
      <c r="BC74" s="7">
        <f>'2026_Fantasy_Starters'!AE94</f>
        <v>7.6694739999999999E-3</v>
      </c>
      <c r="BD74" s="7" t="str">
        <f>'2026_Fantasy_Starters'!AF94</f>
        <v>0.21267826638276718</v>
      </c>
      <c r="BE74" s="7">
        <f>'2026_Fantasy_Starters'!AG94</f>
        <v>7.6918242999999997E-2</v>
      </c>
      <c r="BF74" s="7">
        <f>'2026_Fantasy_Starters'!AH94</f>
        <v>0</v>
      </c>
      <c r="BG74" s="7" t="e">
        <f>'2026_Fantasy_Starters'!#REF!</f>
        <v>#REF!</v>
      </c>
      <c r="BH74" s="7">
        <f>'2026_Fantasy_Starters'!D94</f>
        <v>24</v>
      </c>
    </row>
    <row r="75" spans="1:60" s="7" customFormat="1">
      <c r="A75" s="7" t="str">
        <f>'2026_Fantasy_Starters'!A49</f>
        <v xml:space="preserve">CLE </v>
      </c>
      <c r="B75" s="7" t="s">
        <v>144</v>
      </c>
      <c r="C75" s="7" t="str">
        <f>'2026_Fantasy_Starters'!C49</f>
        <v>SP</v>
      </c>
      <c r="D75" s="7" t="str">
        <f>'2026_Fantasy_Starters'!W49</f>
        <v>0.31410901001112346</v>
      </c>
      <c r="E75" s="7" t="str">
        <f>'2026_Fantasy_Starters'!X75</f>
        <v>0.35929922135706344</v>
      </c>
      <c r="F75" s="7" t="str">
        <f>'2026_Fantasy_Starters'!Y49</f>
        <v>0.46459028550241005</v>
      </c>
      <c r="G75" s="8">
        <f t="shared" si="119"/>
        <v>-0.445747578267504</v>
      </c>
      <c r="H75" s="8">
        <f t="shared" si="80"/>
        <v>0.43390958916369343</v>
      </c>
      <c r="I75" s="8">
        <f t="shared" si="81"/>
        <v>0.1258169513395708</v>
      </c>
      <c r="J75" s="8" t="e">
        <f t="shared" si="82"/>
        <v>#REF!</v>
      </c>
      <c r="K75" s="8">
        <f t="shared" si="83"/>
        <v>0.12551808075396817</v>
      </c>
      <c r="L75" s="8">
        <f t="shared" si="84"/>
        <v>-0.47341195719407103</v>
      </c>
      <c r="M75" s="8" t="e">
        <f t="shared" si="85"/>
        <v>#REF!</v>
      </c>
      <c r="N75" s="8" t="e">
        <f t="shared" si="86"/>
        <v>#REF!</v>
      </c>
      <c r="P75" s="7">
        <f t="shared" si="87"/>
        <v>90.7611334836281</v>
      </c>
      <c r="Q75" s="7">
        <f t="shared" si="88"/>
        <v>104.39210208864922</v>
      </c>
      <c r="R75" s="7">
        <f t="shared" si="89"/>
        <v>91.733434157176802</v>
      </c>
      <c r="S75" s="7">
        <f t="shared" si="90"/>
        <v>94.871242292026494</v>
      </c>
      <c r="T75" s="7">
        <f t="shared" si="91"/>
        <v>81.295486503803204</v>
      </c>
      <c r="U75" s="7">
        <f t="shared" si="92"/>
        <v>100.48952305952014</v>
      </c>
      <c r="V75" s="7">
        <f t="shared" si="93"/>
        <v>92.265012929475901</v>
      </c>
      <c r="W75" s="7">
        <f t="shared" si="94"/>
        <v>55.393979851845131</v>
      </c>
      <c r="X75" s="7" t="e">
        <f t="shared" si="95"/>
        <v>#DIV/0!</v>
      </c>
      <c r="Y75" s="7" t="e">
        <f t="shared" si="96"/>
        <v>#REF!</v>
      </c>
      <c r="Z75" s="7">
        <f t="shared" si="97"/>
        <v>83.109155239591018</v>
      </c>
      <c r="AA75" s="7" t="e">
        <f t="shared" si="98"/>
        <v>#REF!</v>
      </c>
      <c r="AB75" s="7">
        <f t="shared" si="99"/>
        <v>105.10949917434262</v>
      </c>
      <c r="AC75" s="7">
        <f t="shared" si="100"/>
        <v>119.35094747870669</v>
      </c>
      <c r="AD75" s="7">
        <f t="shared" si="101"/>
        <v>105.12031159021222</v>
      </c>
      <c r="AE75" s="7" t="e">
        <f t="shared" si="102"/>
        <v>#REF!</v>
      </c>
      <c r="AG75" s="7">
        <f t="shared" si="103"/>
        <v>6.5688433125170531E-2</v>
      </c>
      <c r="AH75" s="7">
        <f t="shared" si="104"/>
        <v>3.4827724498214432E-2</v>
      </c>
      <c r="AI75" s="7">
        <f t="shared" si="105"/>
        <v>3.0872152849174595E-2</v>
      </c>
      <c r="AJ75" s="7">
        <f t="shared" si="106"/>
        <v>1.3853445824990727E-2</v>
      </c>
      <c r="AK75" s="7">
        <f t="shared" si="107"/>
        <v>6.3948762143121974E-4</v>
      </c>
      <c r="AL75" s="7">
        <f t="shared" si="108"/>
        <v>4.1024776377456421E-3</v>
      </c>
      <c r="AM75" s="7">
        <f t="shared" si="109"/>
        <v>0.11129865919466303</v>
      </c>
      <c r="AN75" s="7">
        <f t="shared" si="110"/>
        <v>4.6878940044449077E-2</v>
      </c>
      <c r="AO75" s="7">
        <f t="shared" si="111"/>
        <v>0</v>
      </c>
      <c r="AP75" s="7" t="e">
        <f t="shared" si="112"/>
        <v>#REF!</v>
      </c>
      <c r="AQ75" s="7">
        <f t="shared" si="113"/>
        <v>13.47311827956989</v>
      </c>
      <c r="AR75" s="7" t="e">
        <f t="shared" si="114"/>
        <v>#REF!</v>
      </c>
      <c r="AS75" s="7">
        <f t="shared" si="115"/>
        <v>337.48490758800068</v>
      </c>
      <c r="AT75" s="7">
        <f t="shared" si="116"/>
        <v>0.10276197816476278</v>
      </c>
      <c r="AU75" s="7">
        <f t="shared" si="117"/>
        <v>37.536879914337057</v>
      </c>
      <c r="AV75" s="7" t="e">
        <f t="shared" si="118"/>
        <v>#REF!</v>
      </c>
      <c r="AX75" s="7" t="str">
        <f>'2026_Fantasy_Starters'!Z49</f>
        <v>0.20912623016717824</v>
      </c>
      <c r="AY75" s="7" t="str">
        <f>'2026_Fantasy_Starters'!AA49</f>
        <v>0.11087782708614875</v>
      </c>
      <c r="AZ75" s="7">
        <f>'2026_Fantasy_Starters'!AB49</f>
        <v>9.8284837E-2</v>
      </c>
      <c r="BA75" s="7">
        <f>'2026_Fantasy_Starters'!AC49</f>
        <v>2.9818629999999999E-2</v>
      </c>
      <c r="BB75" s="7">
        <f>'2026_Fantasy_Starters'!AD49</f>
        <v>1.376455E-3</v>
      </c>
      <c r="BC75" s="7">
        <f>'2026_Fantasy_Starters'!AE49</f>
        <v>8.8303129999999994E-3</v>
      </c>
      <c r="BD75" s="7" t="str">
        <f>'2026_Fantasy_Starters'!AF49</f>
        <v>0.2395630357925036</v>
      </c>
      <c r="BE75" s="7" t="str">
        <f>'2026_Fantasy_Starters'!AG49</f>
        <v>0.10090383184347956</v>
      </c>
      <c r="BF75" s="7">
        <f>'2026_Fantasy_Starters'!AH49</f>
        <v>0</v>
      </c>
      <c r="BG75" s="7" t="e">
        <f>'2026_Fantasy_Starters'!#REF!</f>
        <v>#REF!</v>
      </c>
      <c r="BH75" s="7">
        <f>'2026_Fantasy_Starters'!D49</f>
        <v>29</v>
      </c>
    </row>
    <row r="76" spans="1:60" s="7" customFormat="1">
      <c r="A76" s="7" t="str">
        <f>'2026_Fantasy_Starters'!A36</f>
        <v xml:space="preserve">NYY </v>
      </c>
      <c r="B76" s="7" t="s">
        <v>115</v>
      </c>
      <c r="C76" s="7" t="str">
        <f>'2026_Fantasy_Starters'!C36</f>
        <v>SP</v>
      </c>
      <c r="D76" s="7" t="str">
        <f>'2026_Fantasy_Starters'!W36</f>
        <v>0.3426521739130434</v>
      </c>
      <c r="E76" s="7" t="str">
        <f>'2026_Fantasy_Starters'!X76</f>
        <v>0.33665934065934067</v>
      </c>
      <c r="F76" s="7">
        <f>'2026_Fantasy_Starters'!Y36</f>
        <v>0.46376811600000001</v>
      </c>
      <c r="G76" s="8">
        <f t="shared" si="119"/>
        <v>7.3085730395970952E-2</v>
      </c>
      <c r="H76" s="8">
        <f t="shared" si="80"/>
        <v>-0.13873555419753369</v>
      </c>
      <c r="I76" s="8">
        <f t="shared" si="81"/>
        <v>0.48676300019532498</v>
      </c>
      <c r="J76" s="8" t="e">
        <f t="shared" si="82"/>
        <v>#REF!</v>
      </c>
      <c r="K76" s="8">
        <f t="shared" si="83"/>
        <v>0.48696841564024201</v>
      </c>
      <c r="L76" s="8">
        <f t="shared" si="84"/>
        <v>0.40652958617527546</v>
      </c>
      <c r="M76" s="8" t="e">
        <f t="shared" si="85"/>
        <v>#REF!</v>
      </c>
      <c r="N76" s="8" t="e">
        <f t="shared" si="86"/>
        <v>#REF!</v>
      </c>
      <c r="P76" s="7">
        <f t="shared" si="87"/>
        <v>101.51482439905642</v>
      </c>
      <c r="Q76" s="7">
        <f t="shared" si="88"/>
        <v>96.051772761014661</v>
      </c>
      <c r="R76" s="7">
        <f t="shared" si="89"/>
        <v>107.0986876020032</v>
      </c>
      <c r="S76" s="7">
        <f t="shared" si="90"/>
        <v>93.790073462395</v>
      </c>
      <c r="T76" s="7">
        <f t="shared" si="91"/>
        <v>121.88141367274658</v>
      </c>
      <c r="U76" s="7">
        <f t="shared" si="92"/>
        <v>77.234622929431481</v>
      </c>
      <c r="V76" s="7">
        <f t="shared" si="93"/>
        <v>94.986207178658788</v>
      </c>
      <c r="W76" s="7">
        <f t="shared" si="94"/>
        <v>72.698267024547306</v>
      </c>
      <c r="X76" s="7" t="e">
        <f t="shared" si="95"/>
        <v>#DIV/0!</v>
      </c>
      <c r="Y76" s="7" t="e">
        <f t="shared" si="96"/>
        <v>#REF!</v>
      </c>
      <c r="Z76" s="7">
        <f t="shared" si="97"/>
        <v>107.45752752049466</v>
      </c>
      <c r="AA76" s="7" t="e">
        <f t="shared" si="98"/>
        <v>#REF!</v>
      </c>
      <c r="AB76" s="7">
        <f t="shared" si="99"/>
        <v>119.82315776897394</v>
      </c>
      <c r="AC76" s="7">
        <f t="shared" si="100"/>
        <v>93.812848368066483</v>
      </c>
      <c r="AD76" s="7">
        <f t="shared" si="101"/>
        <v>119.80955829123427</v>
      </c>
      <c r="AE76" s="7" t="e">
        <f t="shared" si="102"/>
        <v>#REF!</v>
      </c>
      <c r="AG76" s="7">
        <f t="shared" si="103"/>
        <v>7.3471424361989862E-2</v>
      </c>
      <c r="AH76" s="7">
        <f t="shared" si="104"/>
        <v>3.786591170233608E-2</v>
      </c>
      <c r="AI76" s="7">
        <f t="shared" si="105"/>
        <v>3.6043205882054813E-2</v>
      </c>
      <c r="AJ76" s="7">
        <f t="shared" si="106"/>
        <v>1.3995917914792969E-2</v>
      </c>
      <c r="AK76" s="7">
        <f t="shared" si="107"/>
        <v>4.2084220295115604E-4</v>
      </c>
      <c r="AL76" s="7">
        <f t="shared" si="108"/>
        <v>5.0611978718850094E-3</v>
      </c>
      <c r="AM76" s="7">
        <f t="shared" si="109"/>
        <v>0.10848745292288778</v>
      </c>
      <c r="AN76" s="7">
        <f t="shared" si="110"/>
        <v>4.1269169164578935E-2</v>
      </c>
      <c r="AO76" s="7">
        <f t="shared" si="111"/>
        <v>0</v>
      </c>
      <c r="AP76" s="7" t="e">
        <f t="shared" si="112"/>
        <v>#REF!</v>
      </c>
      <c r="AQ76" s="7">
        <f t="shared" si="113"/>
        <v>10.666666668</v>
      </c>
      <c r="AR76" s="7" t="e">
        <f t="shared" si="114"/>
        <v>#REF!</v>
      </c>
      <c r="AS76" s="7">
        <f t="shared" si="115"/>
        <v>285.15471997297351</v>
      </c>
      <c r="AT76" s="7">
        <f t="shared" si="116"/>
        <v>0.13530229328482279</v>
      </c>
      <c r="AU76" s="7">
        <f t="shared" si="117"/>
        <v>31.725430712829613</v>
      </c>
      <c r="AV76" s="7" t="e">
        <f t="shared" si="118"/>
        <v>#REF!</v>
      </c>
      <c r="AX76" s="7" t="str">
        <f>'2026_Fantasy_Starters'!Z36</f>
        <v>0.2144198401631486</v>
      </c>
      <c r="AY76" s="7" t="str">
        <f>'2026_Fantasy_Starters'!AA36</f>
        <v>0.11050830721402541</v>
      </c>
      <c r="AZ76" s="7" t="str">
        <f>'2026_Fantasy_Starters'!AB36</f>
        <v>0.10518890182556383</v>
      </c>
      <c r="BA76" s="7">
        <f>'2026_Fantasy_Starters'!AC36</f>
        <v>3.0178698E-2</v>
      </c>
      <c r="BB76" s="7">
        <f>'2026_Fantasy_Starters'!AD36</f>
        <v>9.0744100000000004E-4</v>
      </c>
      <c r="BC76" s="7" t="str">
        <f>'2026_Fantasy_Starters'!AE36</f>
        <v>0.010913207909887972</v>
      </c>
      <c r="BD76" s="7" t="str">
        <f>'2026_Fantasy_Starters'!AF36</f>
        <v>0.23392607033573648</v>
      </c>
      <c r="BE76" s="7">
        <f>'2026_Fantasy_Starters'!AG36</f>
        <v>8.8986646000000003E-2</v>
      </c>
      <c r="BF76" s="7">
        <f>'2026_Fantasy_Starters'!AH36</f>
        <v>0</v>
      </c>
      <c r="BG76" s="7" t="e">
        <f>'2026_Fantasy_Starters'!#REF!</f>
        <v>#REF!</v>
      </c>
      <c r="BH76" s="7">
        <f>'2026_Fantasy_Starters'!D36</f>
        <v>23</v>
      </c>
    </row>
    <row r="77" spans="1:60" s="7" customFormat="1">
      <c r="A77" s="7" t="str">
        <f>'2026_Fantasy_Starters'!A55</f>
        <v xml:space="preserve">CIN </v>
      </c>
      <c r="B77" s="7" t="s">
        <v>158</v>
      </c>
      <c r="C77" s="7" t="str">
        <f>'2026_Fantasy_Starters'!C55</f>
        <v>SP</v>
      </c>
      <c r="D77" s="7" t="str">
        <f>'2026_Fantasy_Starters'!W55</f>
        <v>0.31028054187192117</v>
      </c>
      <c r="E77" s="7" t="str">
        <f>'2026_Fantasy_Starters'!X77</f>
        <v>0.29363054187192117</v>
      </c>
      <c r="F77" s="7" t="str">
        <f>'2026_Fantasy_Starters'!Y55</f>
        <v>0.4616174055829228</v>
      </c>
      <c r="G77" s="8">
        <f t="shared" si="119"/>
        <v>-0.12143819263440209</v>
      </c>
      <c r="H77" s="8">
        <f t="shared" si="80"/>
        <v>0.70077394099041357</v>
      </c>
      <c r="I77" s="8">
        <f t="shared" si="81"/>
        <v>-0.28040378491638801</v>
      </c>
      <c r="J77" s="8" t="e">
        <f t="shared" si="82"/>
        <v>#REF!</v>
      </c>
      <c r="K77" s="8">
        <f t="shared" si="83"/>
        <v>-0.27982567588612506</v>
      </c>
      <c r="L77" s="8">
        <f t="shared" si="84"/>
        <v>-0.10958058360668615</v>
      </c>
      <c r="M77" s="8" t="e">
        <f t="shared" si="85"/>
        <v>#REF!</v>
      </c>
      <c r="N77" s="8" t="e">
        <f t="shared" si="86"/>
        <v>#REF!</v>
      </c>
      <c r="P77" s="7">
        <f t="shared" si="87"/>
        <v>97.482989686451234</v>
      </c>
      <c r="Q77" s="7">
        <f t="shared" si="88"/>
        <v>94.054857315622044</v>
      </c>
      <c r="R77" s="7">
        <f t="shared" si="89"/>
        <v>98.086539438402269</v>
      </c>
      <c r="S77" s="7">
        <f t="shared" si="90"/>
        <v>69.870581548650719</v>
      </c>
      <c r="T77" s="7">
        <f t="shared" si="91"/>
        <v>77.783462638059063</v>
      </c>
      <c r="U77" s="7">
        <f t="shared" si="92"/>
        <v>130.67767162633027</v>
      </c>
      <c r="V77" s="7">
        <f t="shared" si="93"/>
        <v>104.70283674906209</v>
      </c>
      <c r="W77" s="7">
        <f t="shared" si="94"/>
        <v>93.822401190978226</v>
      </c>
      <c r="X77" s="7" t="e">
        <f t="shared" si="95"/>
        <v>#DIV/0!</v>
      </c>
      <c r="Y77" s="7" t="e">
        <f t="shared" si="96"/>
        <v>#REF!</v>
      </c>
      <c r="Z77" s="7">
        <f t="shared" si="97"/>
        <v>87.862057876944419</v>
      </c>
      <c r="AA77" s="7" t="e">
        <f t="shared" si="98"/>
        <v>#REF!</v>
      </c>
      <c r="AB77" s="7">
        <f t="shared" si="99"/>
        <v>88.609058939464461</v>
      </c>
      <c r="AC77" s="7">
        <f t="shared" si="100"/>
        <v>131.25222411583076</v>
      </c>
      <c r="AD77" s="7">
        <f t="shared" si="101"/>
        <v>88.588542842913299</v>
      </c>
      <c r="AE77" s="7" t="e">
        <f t="shared" si="102"/>
        <v>#REF!</v>
      </c>
      <c r="AG77" s="7">
        <f t="shared" si="103"/>
        <v>7.055338120050289E-2</v>
      </c>
      <c r="AH77" s="7">
        <f t="shared" si="104"/>
        <v>3.8593341365551238E-2</v>
      </c>
      <c r="AI77" s="7">
        <f t="shared" si="105"/>
        <v>3.301023956871061E-2</v>
      </c>
      <c r="AJ77" s="7">
        <f t="shared" si="106"/>
        <v>1.7147932573891595E-2</v>
      </c>
      <c r="AK77" s="7">
        <f t="shared" si="107"/>
        <v>6.5840767528735518E-4</v>
      </c>
      <c r="AL77" s="7">
        <f t="shared" si="108"/>
        <v>2.8579232126436731E-3</v>
      </c>
      <c r="AM77" s="7">
        <f t="shared" si="109"/>
        <v>9.8449415396887258E-2</v>
      </c>
      <c r="AN77" s="7">
        <f t="shared" si="110"/>
        <v>3.4421065482142799E-2</v>
      </c>
      <c r="AO77" s="7">
        <f t="shared" si="111"/>
        <v>0</v>
      </c>
      <c r="AP77" s="7" t="e">
        <f t="shared" si="112"/>
        <v>#REF!</v>
      </c>
      <c r="AQ77" s="7">
        <f t="shared" si="113"/>
        <v>12.925287356321817</v>
      </c>
      <c r="AR77" s="7" t="e">
        <f t="shared" si="114"/>
        <v>#REF!</v>
      </c>
      <c r="AS77" s="7">
        <f t="shared" si="115"/>
        <v>396.16991292968902</v>
      </c>
      <c r="AT77" s="7">
        <f t="shared" si="116"/>
        <v>8.7597525617796462E-2</v>
      </c>
      <c r="AU77" s="7">
        <f t="shared" si="117"/>
        <v>44.077278904253369</v>
      </c>
      <c r="AV77" s="7" t="e">
        <f t="shared" si="118"/>
        <v>#REF!</v>
      </c>
      <c r="AX77" s="7" t="str">
        <f>'2026_Fantasy_Starters'!Z55</f>
        <v>0.22738577409609662</v>
      </c>
      <c r="AY77" s="7" t="str">
        <f>'2026_Fantasy_Starters'!AA55</f>
        <v>0.1243820870387745</v>
      </c>
      <c r="AZ77" s="7" t="str">
        <f>'2026_Fantasy_Starters'!AB55</f>
        <v>0.10638836508909097</v>
      </c>
      <c r="BA77" s="7">
        <f>'2026_Fantasy_Starters'!AC55</f>
        <v>3.71475E-2</v>
      </c>
      <c r="BB77" s="7">
        <f>'2026_Fantasy_Starters'!AD55</f>
        <v>1.426306E-3</v>
      </c>
      <c r="BC77" s="7">
        <f>'2026_Fantasy_Starters'!AE55</f>
        <v>6.1911079999999999E-3</v>
      </c>
      <c r="BD77" s="7" t="str">
        <f>'2026_Fantasy_Starters'!AF55</f>
        <v>0.21327058773394264</v>
      </c>
      <c r="BE77" s="7">
        <f>'2026_Fantasy_Starters'!AG55</f>
        <v>7.4566221000000002E-2</v>
      </c>
      <c r="BF77" s="7">
        <f>'2026_Fantasy_Starters'!AH55</f>
        <v>0</v>
      </c>
      <c r="BG77" s="7" t="e">
        <f>'2026_Fantasy_Starters'!#REF!</f>
        <v>#REF!</v>
      </c>
      <c r="BH77" s="7">
        <f>'2026_Fantasy_Starters'!D55</f>
        <v>28</v>
      </c>
    </row>
    <row r="78" spans="1:60">
      <c r="A78" t="str">
        <f>'2026_Fantasy_Starters'!A107</f>
        <v xml:space="preserve">CWS </v>
      </c>
      <c r="B78" t="s">
        <v>273</v>
      </c>
      <c r="C78" t="str">
        <f>'2026_Fantasy_Starters'!C107</f>
        <v>SP</v>
      </c>
      <c r="D78">
        <f>'2026_Fantasy_Starters'!W107</f>
        <v>0.28173768500000002</v>
      </c>
      <c r="E78" t="str">
        <f>'2026_Fantasy_Starters'!X78</f>
        <v>0.3409285714285714</v>
      </c>
      <c r="F78" t="str">
        <f>'2026_Fantasy_Starters'!Y107</f>
        <v>0.44950738916256155</v>
      </c>
      <c r="G78" s="3">
        <f t="shared" si="119"/>
        <v>-0.69820692915367122</v>
      </c>
      <c r="H78" s="3">
        <f t="shared" si="80"/>
        <v>-0.49509026330544664</v>
      </c>
      <c r="I78" s="3">
        <f t="shared" si="81"/>
        <v>0.16168044420058758</v>
      </c>
      <c r="J78" s="3" t="e">
        <f t="shared" si="82"/>
        <v>#REF!</v>
      </c>
      <c r="K78" s="3">
        <f t="shared" si="83"/>
        <v>0.16162866755330396</v>
      </c>
      <c r="L78" s="3">
        <f t="shared" si="84"/>
        <v>-0.51543121188222873</v>
      </c>
      <c r="M78" s="3" t="e">
        <f t="shared" si="85"/>
        <v>#REF!</v>
      </c>
      <c r="N78" s="4" t="e">
        <f t="shared" si="86"/>
        <v>#REF!</v>
      </c>
      <c r="P78">
        <f t="shared" si="87"/>
        <v>85.528489814059029</v>
      </c>
      <c r="Q78">
        <f t="shared" si="88"/>
        <v>107.82729854356788</v>
      </c>
      <c r="R78">
        <f t="shared" si="89"/>
        <v>90.999707578733791</v>
      </c>
      <c r="S78">
        <f t="shared" si="90"/>
        <v>91.272671797979484</v>
      </c>
      <c r="T78">
        <f t="shared" si="91"/>
        <v>79.355179583868278</v>
      </c>
      <c r="U78">
        <f t="shared" si="92"/>
        <v>57.071424344471083</v>
      </c>
      <c r="V78">
        <f t="shared" si="93"/>
        <v>102.34299831735858</v>
      </c>
      <c r="W78">
        <f t="shared" si="94"/>
        <v>82.697232774845205</v>
      </c>
      <c r="X78" t="e">
        <f t="shared" si="95"/>
        <v>#DIV/0!</v>
      </c>
      <c r="Y78" t="e">
        <f t="shared" si="96"/>
        <v>#REF!</v>
      </c>
      <c r="Z78">
        <f t="shared" si="97"/>
        <v>90.80387138750919</v>
      </c>
      <c r="AA78" t="e">
        <f t="shared" si="98"/>
        <v>#REF!</v>
      </c>
      <c r="AB78">
        <f t="shared" si="99"/>
        <v>106.5794628029125</v>
      </c>
      <c r="AC78">
        <f t="shared" si="100"/>
        <v>77.920594700596666</v>
      </c>
      <c r="AD78">
        <f t="shared" si="101"/>
        <v>106.57983080607805</v>
      </c>
      <c r="AE78" t="e">
        <f t="shared" si="102"/>
        <v>#REF!</v>
      </c>
      <c r="AG78">
        <f t="shared" si="103"/>
        <v>6.1901303650654466E-2</v>
      </c>
      <c r="AH78">
        <f t="shared" si="104"/>
        <v>3.3576362651099229E-2</v>
      </c>
      <c r="AI78">
        <f t="shared" si="105"/>
        <v>3.0625223043402986E-2</v>
      </c>
      <c r="AJ78">
        <f t="shared" si="106"/>
        <v>1.4327651004178432E-2</v>
      </c>
      <c r="AK78">
        <f t="shared" si="107"/>
        <v>6.4994048645320118E-4</v>
      </c>
      <c r="AL78">
        <f t="shared" si="108"/>
        <v>5.8924577938900191E-3</v>
      </c>
      <c r="AM78">
        <f t="shared" si="109"/>
        <v>0.10088731287575088</v>
      </c>
      <c r="AN78">
        <f t="shared" si="110"/>
        <v>3.8027665695812764E-2</v>
      </c>
      <c r="AO78">
        <f t="shared" si="111"/>
        <v>0</v>
      </c>
      <c r="AP78" t="e">
        <f t="shared" si="112"/>
        <v>#REF!</v>
      </c>
      <c r="AQ78">
        <f t="shared" si="113"/>
        <v>12.586206896551708</v>
      </c>
      <c r="AR78" t="e">
        <f t="shared" si="114"/>
        <v>#REF!</v>
      </c>
      <c r="AS78">
        <f t="shared" si="115"/>
        <v>332.25687596176766</v>
      </c>
      <c r="AT78">
        <f t="shared" si="116"/>
        <v>0.15555199707314965</v>
      </c>
      <c r="AU78">
        <f t="shared" si="117"/>
        <v>36.959456037247563</v>
      </c>
      <c r="AV78" t="e">
        <f t="shared" si="118"/>
        <v>#REF!</v>
      </c>
      <c r="AX78" t="str">
        <f>'2026_Fantasy_Starters'!Z107</f>
        <v>0.21971254449206779</v>
      </c>
      <c r="AY78" t="str">
        <f>'2026_Fantasy_Starters'!AA107</f>
        <v>0.11917597268217531</v>
      </c>
      <c r="AZ78" t="str">
        <f>'2026_Fantasy_Starters'!AB107</f>
        <v>0.1087011950261576</v>
      </c>
      <c r="BA78" t="str">
        <f>'2026_Fantasy_Starters'!AC107</f>
        <v>0.031874116754501185</v>
      </c>
      <c r="BB78">
        <f>'2026_Fantasy_Starters'!AD107</f>
        <v>1.445895E-3</v>
      </c>
      <c r="BC78" t="str">
        <f>'2026_Fantasy_Starters'!AE107</f>
        <v>0.013108700626407411</v>
      </c>
      <c r="BD78" t="str">
        <f>'2026_Fantasy_Starters'!AF107</f>
        <v>0.22443972069893148</v>
      </c>
      <c r="BE78">
        <f>'2026_Fantasy_Starters'!AG107</f>
        <v>8.4598533000000004E-2</v>
      </c>
      <c r="BF78">
        <f>'2026_Fantasy_Starters'!AH107</f>
        <v>0</v>
      </c>
      <c r="BG78" t="e">
        <f>'2026_Fantasy_Starters'!#REF!</f>
        <v>#REF!</v>
      </c>
      <c r="BH78">
        <f>'2026_Fantasy_Starters'!D107</f>
        <v>28</v>
      </c>
    </row>
    <row r="79" spans="1:60">
      <c r="A79" t="str">
        <f>'2026_Fantasy_Starters'!A108</f>
        <v xml:space="preserve">BAL </v>
      </c>
      <c r="B79" t="s">
        <v>276</v>
      </c>
      <c r="C79" t="str">
        <f>'2026_Fantasy_Starters'!C108</f>
        <v>SP</v>
      </c>
      <c r="D79" t="str">
        <f>'2026_Fantasy_Starters'!W108</f>
        <v>0.3532619047619047</v>
      </c>
      <c r="E79" t="str">
        <f>'2026_Fantasy_Starters'!X79</f>
        <v>0.32110714285714287</v>
      </c>
      <c r="F79" t="str">
        <f>'2026_Fantasy_Starters'!Y108</f>
        <v>0.45370370370370366</v>
      </c>
      <c r="G79" s="3">
        <f t="shared" si="119"/>
        <v>0.30807165567884764</v>
      </c>
      <c r="H79" s="3">
        <f t="shared" si="80"/>
        <v>-0.38925887124203656</v>
      </c>
      <c r="I79" s="3">
        <f t="shared" si="81"/>
        <v>8.4866312665202531E-2</v>
      </c>
      <c r="J79" s="3" t="e">
        <f t="shared" si="82"/>
        <v>#REF!</v>
      </c>
      <c r="K79" s="3">
        <f t="shared" si="83"/>
        <v>8.505322361918527E-2</v>
      </c>
      <c r="L79" s="3">
        <f t="shared" si="84"/>
        <v>0.98473822916863496</v>
      </c>
      <c r="M79" s="3" t="e">
        <f t="shared" si="85"/>
        <v>#REF!</v>
      </c>
      <c r="N79" s="4" t="e">
        <f t="shared" si="86"/>
        <v>#REF!</v>
      </c>
      <c r="P79">
        <f t="shared" si="87"/>
        <v>106.38530200288935</v>
      </c>
      <c r="Q79">
        <f t="shared" si="88"/>
        <v>85.323968417228187</v>
      </c>
      <c r="R79">
        <f t="shared" si="89"/>
        <v>117.19517913661529</v>
      </c>
      <c r="S79">
        <f t="shared" si="90"/>
        <v>85.594999964069672</v>
      </c>
      <c r="T79">
        <f t="shared" si="91"/>
        <v>134.10131089604482</v>
      </c>
      <c r="U79">
        <f t="shared" si="92"/>
        <v>70.585745753879834</v>
      </c>
      <c r="V79">
        <f t="shared" si="93"/>
        <v>98.470263717200638</v>
      </c>
      <c r="W79">
        <f t="shared" si="94"/>
        <v>83.573466782602651</v>
      </c>
      <c r="X79" t="e">
        <f t="shared" si="95"/>
        <v>#DIV/0!</v>
      </c>
      <c r="Y79" t="e">
        <f t="shared" si="96"/>
        <v>#REF!</v>
      </c>
      <c r="Z79">
        <f t="shared" si="97"/>
        <v>93.720754275103161</v>
      </c>
      <c r="AA79" t="e">
        <f t="shared" si="98"/>
        <v>#REF!</v>
      </c>
      <c r="AB79">
        <f t="shared" si="99"/>
        <v>103.46228506082116</v>
      </c>
      <c r="AC79">
        <f t="shared" si="100"/>
        <v>82.640328397573981</v>
      </c>
      <c r="AD79">
        <f t="shared" si="101"/>
        <v>103.45376326267366</v>
      </c>
      <c r="AE79" t="e">
        <f t="shared" si="102"/>
        <v>#REF!</v>
      </c>
      <c r="AG79">
        <f t="shared" si="103"/>
        <v>7.6996435895971327E-2</v>
      </c>
      <c r="AH79">
        <f t="shared" si="104"/>
        <v>4.1773800300645966E-2</v>
      </c>
      <c r="AI79">
        <f t="shared" si="105"/>
        <v>3.9441099275676947E-2</v>
      </c>
      <c r="AJ79">
        <f t="shared" si="106"/>
        <v>1.5075831814814793E-2</v>
      </c>
      <c r="AK79">
        <f t="shared" si="107"/>
        <v>3.550108981481476E-4</v>
      </c>
      <c r="AL79">
        <f t="shared" si="108"/>
        <v>5.3353084054435325E-3</v>
      </c>
      <c r="AM79">
        <f t="shared" si="109"/>
        <v>0.10488815030224265</v>
      </c>
      <c r="AN79">
        <f t="shared" si="110"/>
        <v>3.7743604759259197E-2</v>
      </c>
      <c r="AO79">
        <f t="shared" si="111"/>
        <v>0</v>
      </c>
      <c r="AP79" t="e">
        <f t="shared" si="112"/>
        <v>#REF!</v>
      </c>
      <c r="AQ79">
        <f t="shared" si="113"/>
        <v>12.24999999999998</v>
      </c>
      <c r="AR79" t="e">
        <f t="shared" si="114"/>
        <v>#REF!</v>
      </c>
      <c r="AS79">
        <f t="shared" si="115"/>
        <v>343.34334334334375</v>
      </c>
      <c r="AT79">
        <f t="shared" si="116"/>
        <v>0.14953817352594526</v>
      </c>
      <c r="AU79">
        <f t="shared" si="117"/>
        <v>38.196209908888356</v>
      </c>
      <c r="AV79" t="e">
        <f t="shared" si="118"/>
        <v>#REF!</v>
      </c>
      <c r="AX79" t="str">
        <f>'2026_Fantasy_Starters'!Z108</f>
        <v>0.21795850290697674</v>
      </c>
      <c r="AY79" t="str">
        <f>'2026_Fantasy_Starters'!AA108</f>
        <v>0.11825164201840956</v>
      </c>
      <c r="AZ79" t="str">
        <f>'2026_Fantasy_Starters'!AB108</f>
        <v>0.11164832308272832</v>
      </c>
      <c r="BA79">
        <f>'2026_Fantasy_Starters'!AC108</f>
        <v>3.3228364000000003E-2</v>
      </c>
      <c r="BB79">
        <f>'2026_Fantasy_Starters'!AD108</f>
        <v>7.82473E-4</v>
      </c>
      <c r="BC79" t="str">
        <f>'2026_Fantasy_Starters'!AE108</f>
        <v>0.011759455260977603</v>
      </c>
      <c r="BD79" t="str">
        <f>'2026_Fantasy_Starters'!AF108</f>
        <v>0.23118204556412725</v>
      </c>
      <c r="BE79">
        <f>'2026_Fantasy_Starters'!AG108</f>
        <v>8.3189985999999994E-2</v>
      </c>
      <c r="BF79">
        <f>'2026_Fantasy_Starters'!AH108</f>
        <v>0</v>
      </c>
      <c r="BG79" t="e">
        <f>'2026_Fantasy_Starters'!#REF!</f>
        <v>#REF!</v>
      </c>
      <c r="BH79">
        <f>'2026_Fantasy_Starters'!D108</f>
        <v>27</v>
      </c>
    </row>
    <row r="80" spans="1:60">
      <c r="A80" t="str">
        <f>'2026_Fantasy_Starters'!A98</f>
        <v xml:space="preserve">CLE </v>
      </c>
      <c r="B80" t="s">
        <v>253</v>
      </c>
      <c r="C80" t="str">
        <f>'2026_Fantasy_Starters'!C98</f>
        <v>SP</v>
      </c>
      <c r="D80" t="str">
        <f>'2026_Fantasy_Starters'!W98</f>
        <v>0.29695621769534813</v>
      </c>
      <c r="E80" t="str">
        <f>'2026_Fantasy_Starters'!X80</f>
        <v>0.33299999999999996</v>
      </c>
      <c r="F80" t="str">
        <f>'2026_Fantasy_Starters'!Y98</f>
        <v>0.43544137022397894</v>
      </c>
      <c r="G80" s="3">
        <f t="shared" si="119"/>
        <v>-0.32750113397501596</v>
      </c>
      <c r="H80" s="3">
        <f t="shared" si="80"/>
        <v>-2.87767784209314E-2</v>
      </c>
      <c r="I80" s="3">
        <f t="shared" si="81"/>
        <v>0.66793345955056704</v>
      </c>
      <c r="J80" s="3" t="e">
        <f t="shared" si="82"/>
        <v>#REF!</v>
      </c>
      <c r="K80" s="3">
        <f t="shared" si="83"/>
        <v>0.66823607552530351</v>
      </c>
      <c r="L80" s="3">
        <f t="shared" si="84"/>
        <v>-0.51460973237833296</v>
      </c>
      <c r="M80" s="3" t="e">
        <f t="shared" si="85"/>
        <v>#REF!</v>
      </c>
      <c r="N80" s="4" t="e">
        <f t="shared" si="86"/>
        <v>#REF!</v>
      </c>
      <c r="P80">
        <f t="shared" si="87"/>
        <v>93.211989457091832</v>
      </c>
      <c r="Q80">
        <f t="shared" si="88"/>
        <v>107.21616550556408</v>
      </c>
      <c r="R80">
        <f t="shared" si="89"/>
        <v>91.014051987032502</v>
      </c>
      <c r="S80">
        <f t="shared" si="90"/>
        <v>97.457096245901866</v>
      </c>
      <c r="T80">
        <f t="shared" si="91"/>
        <v>118.51956959597244</v>
      </c>
      <c r="U80">
        <f t="shared" si="92"/>
        <v>84.176801590425043</v>
      </c>
      <c r="V80">
        <f t="shared" si="93"/>
        <v>108.08901651952657</v>
      </c>
      <c r="W80">
        <f t="shared" si="94"/>
        <v>99.398810015879263</v>
      </c>
      <c r="X80" t="e">
        <f t="shared" si="95"/>
        <v>#DIV/0!</v>
      </c>
      <c r="Y80" t="e">
        <f t="shared" si="96"/>
        <v>#REF!</v>
      </c>
      <c r="Z80">
        <f t="shared" si="97"/>
        <v>116.88780665583346</v>
      </c>
      <c r="AA80" t="e">
        <f t="shared" si="98"/>
        <v>#REF!</v>
      </c>
      <c r="AB80">
        <f t="shared" si="99"/>
        <v>127.20207045592917</v>
      </c>
      <c r="AC80">
        <f t="shared" si="100"/>
        <v>98.716649869611999</v>
      </c>
      <c r="AD80">
        <f t="shared" si="101"/>
        <v>127.18256481351972</v>
      </c>
      <c r="AE80" t="e">
        <f t="shared" si="102"/>
        <v>#REF!</v>
      </c>
      <c r="AG80">
        <f t="shared" si="103"/>
        <v>6.7462241830868741E-2</v>
      </c>
      <c r="AH80">
        <f t="shared" si="104"/>
        <v>3.3798984145184251E-2</v>
      </c>
      <c r="AI80">
        <f t="shared" si="105"/>
        <v>3.0630050539174808E-2</v>
      </c>
      <c r="AJ80">
        <f t="shared" si="106"/>
        <v>1.3512692367588904E-2</v>
      </c>
      <c r="AK80">
        <f t="shared" si="107"/>
        <v>4.3895320487483439E-4</v>
      </c>
      <c r="AL80">
        <f t="shared" si="108"/>
        <v>4.7749955182273549E-3</v>
      </c>
      <c r="AM80">
        <f t="shared" si="109"/>
        <v>9.4951227124974419E-2</v>
      </c>
      <c r="AN80">
        <f t="shared" si="110"/>
        <v>3.2613283657443932E-2</v>
      </c>
      <c r="AO80">
        <f t="shared" si="111"/>
        <v>0</v>
      </c>
      <c r="AP80" t="e">
        <f t="shared" si="112"/>
        <v>#REF!</v>
      </c>
      <c r="AQ80">
        <f t="shared" si="113"/>
        <v>9.5797101449275157</v>
      </c>
      <c r="AR80" t="e">
        <f t="shared" si="114"/>
        <v>#REF!</v>
      </c>
      <c r="AS80">
        <f t="shared" si="115"/>
        <v>258.91108499804176</v>
      </c>
      <c r="AT80">
        <f t="shared" si="116"/>
        <v>0.12905393292506404</v>
      </c>
      <c r="AU80">
        <f t="shared" si="117"/>
        <v>28.808476988874276</v>
      </c>
      <c r="AV80" t="e">
        <f t="shared" si="118"/>
        <v>#REF!</v>
      </c>
      <c r="AX80" t="str">
        <f>'2026_Fantasy_Starters'!Z98</f>
        <v>0.22717908503293097</v>
      </c>
      <c r="AY80" t="str">
        <f>'2026_Fantasy_Starters'!AA98</f>
        <v>0.11381807192823015</v>
      </c>
      <c r="AZ80" t="str">
        <f>'2026_Fantasy_Starters'!AB98</f>
        <v>0.10314668868324103</v>
      </c>
      <c r="BA80">
        <f>'2026_Fantasy_Starters'!AC98</f>
        <v>3.1032173999999999E-2</v>
      </c>
      <c r="BB80">
        <f>'2026_Fantasy_Starters'!AD98</f>
        <v>1.008065E-3</v>
      </c>
      <c r="BC80" t="str">
        <f>'2026_Fantasy_Starters'!AE98</f>
        <v>0.010965874730210575</v>
      </c>
      <c r="BD80" t="str">
        <f>'2026_Fantasy_Starters'!AF98</f>
        <v>0.21805743233844496</v>
      </c>
      <c r="BE80">
        <f>'2026_Fantasy_Starters'!AG98</f>
        <v>7.4897071999999995E-2</v>
      </c>
      <c r="BF80">
        <f>'2026_Fantasy_Starters'!AH98</f>
        <v>0</v>
      </c>
      <c r="BG80" t="e">
        <f>'2026_Fantasy_Starters'!#REF!</f>
        <v>#REF!</v>
      </c>
      <c r="BH80">
        <f>'2026_Fantasy_Starters'!D98</f>
        <v>22</v>
      </c>
    </row>
    <row r="81" spans="1:60" s="7" customFormat="1">
      <c r="A81" s="7" t="str">
        <f>'2026_Fantasy_Starters'!A66</f>
        <v xml:space="preserve">MIL </v>
      </c>
      <c r="B81" s="7" t="s">
        <v>183</v>
      </c>
      <c r="C81" s="7" t="str">
        <f>'2026_Fantasy_Starters'!C66</f>
        <v>SP,RP</v>
      </c>
      <c r="D81" s="7" t="str">
        <f>'2026_Fantasy_Starters'!W66</f>
        <v>0.34079187192118227</v>
      </c>
      <c r="E81" s="7" t="str">
        <f>'2026_Fantasy_Starters'!X81</f>
        <v>0.13661538461538458</v>
      </c>
      <c r="F81" s="7" t="str">
        <f>'2026_Fantasy_Starters'!Y66</f>
        <v>0.4846059113300492</v>
      </c>
      <c r="G81" s="8">
        <f t="shared" si="119"/>
        <v>0.41600531030703009</v>
      </c>
      <c r="H81" s="8">
        <f t="shared" si="80"/>
        <v>-3.2508799227602254</v>
      </c>
      <c r="I81" s="8">
        <f t="shared" si="81"/>
        <v>-3.7178990152283413</v>
      </c>
      <c r="J81" s="8" t="e">
        <f t="shared" si="82"/>
        <v>#REF!</v>
      </c>
      <c r="K81" s="8">
        <f t="shared" si="83"/>
        <v>-3.7177118556642128</v>
      </c>
      <c r="L81" s="8">
        <f t="shared" si="84"/>
        <v>0.49903144688910506</v>
      </c>
      <c r="M81" s="8" t="e">
        <f t="shared" si="85"/>
        <v>#REF!</v>
      </c>
      <c r="N81" s="8" t="e">
        <f t="shared" si="86"/>
        <v>#REF!</v>
      </c>
      <c r="P81" s="7">
        <f t="shared" si="87"/>
        <v>108.62240810587647</v>
      </c>
      <c r="Q81" s="7">
        <f t="shared" si="88"/>
        <v>92.654950502068971</v>
      </c>
      <c r="R81" s="7">
        <f t="shared" si="89"/>
        <v>108.71392505123616</v>
      </c>
      <c r="S81" s="7">
        <f t="shared" si="90"/>
        <v>95.660155067160488</v>
      </c>
      <c r="T81" s="7">
        <f t="shared" si="91"/>
        <v>75.684691273992883</v>
      </c>
      <c r="U81" s="7">
        <f t="shared" si="92"/>
        <v>85.067983279375227</v>
      </c>
      <c r="V81" s="7">
        <f t="shared" si="93"/>
        <v>108.61370770637748</v>
      </c>
      <c r="W81" s="7">
        <f t="shared" si="94"/>
        <v>90.617555634713938</v>
      </c>
      <c r="X81" s="7" t="e">
        <f t="shared" si="95"/>
        <v>#DIV/0!</v>
      </c>
      <c r="Y81" s="7" t="e">
        <f t="shared" si="96"/>
        <v>#REF!</v>
      </c>
      <c r="Z81" s="7">
        <f t="shared" si="97"/>
        <v>82.277598331465299</v>
      </c>
      <c r="AA81" s="7" t="e">
        <f t="shared" si="98"/>
        <v>#REF!</v>
      </c>
      <c r="AB81" s="7">
        <f t="shared" si="99"/>
        <v>-51.337923133111957</v>
      </c>
      <c r="AC81" s="7">
        <f t="shared" si="100"/>
        <v>-44.978604335898126</v>
      </c>
      <c r="AD81" s="7">
        <f t="shared" si="101"/>
        <v>-51.305537260504053</v>
      </c>
      <c r="AE81" s="7" t="e">
        <f t="shared" si="102"/>
        <v>#REF!</v>
      </c>
      <c r="AG81" s="7">
        <f t="shared" si="103"/>
        <v>7.8615542985092116E-2</v>
      </c>
      <c r="AH81" s="7">
        <f t="shared" si="104"/>
        <v>3.9103294726002762E-2</v>
      </c>
      <c r="AI81" s="7">
        <f t="shared" si="105"/>
        <v>3.6586801114028691E-2</v>
      </c>
      <c r="AJ81" s="7">
        <f t="shared" si="106"/>
        <v>1.3749486065270928E-2</v>
      </c>
      <c r="AK81" s="7">
        <f t="shared" si="107"/>
        <v>6.697142235221671E-4</v>
      </c>
      <c r="AL81" s="7">
        <f t="shared" si="108"/>
        <v>4.7382551360837409E-3</v>
      </c>
      <c r="AM81" s="7">
        <f t="shared" si="109"/>
        <v>9.4409180133781703E-2</v>
      </c>
      <c r="AN81" s="7">
        <f t="shared" si="110"/>
        <v>3.5460024735221654E-2</v>
      </c>
      <c r="AO81" s="7">
        <f t="shared" si="111"/>
        <v>0</v>
      </c>
      <c r="AP81" s="7" t="e">
        <f t="shared" si="112"/>
        <v>#REF!</v>
      </c>
      <c r="AQ81" s="7">
        <f t="shared" si="113"/>
        <v>13.568965517241372</v>
      </c>
      <c r="AR81" s="7" t="e">
        <f t="shared" si="114"/>
        <v>#REF!</v>
      </c>
      <c r="AS81" s="7">
        <f t="shared" si="115"/>
        <v>893.90144454799986</v>
      </c>
      <c r="AT81" s="7">
        <f t="shared" si="116"/>
        <v>0.31214856470822078</v>
      </c>
      <c r="AU81" s="7">
        <f t="shared" si="117"/>
        <v>99.423026488168432</v>
      </c>
      <c r="AV81" s="7" t="e">
        <f t="shared" si="118"/>
        <v>#REF!</v>
      </c>
      <c r="AX81" s="7" t="str">
        <f>'2026_Fantasy_Starters'!Z66</f>
        <v>0.23068491200187563</v>
      </c>
      <c r="AY81" s="7" t="str">
        <f>'2026_Fantasy_Starters'!AA66</f>
        <v>0.11474245117866705</v>
      </c>
      <c r="AZ81" s="7" t="str">
        <f>'2026_Fantasy_Starters'!AB66</f>
        <v>0.10735819756432022</v>
      </c>
      <c r="BA81" s="7">
        <f>'2026_Fantasy_Starters'!AC66</f>
        <v>2.837251E-2</v>
      </c>
      <c r="BB81" s="7">
        <f>'2026_Fantasy_Starters'!AD66</f>
        <v>1.3819769999999999E-3</v>
      </c>
      <c r="BC81" s="7">
        <f>'2026_Fantasy_Starters'!AE66</f>
        <v>9.7775429999999997E-3</v>
      </c>
      <c r="BD81" s="7" t="str">
        <f>'2026_Fantasy_Starters'!AF66</f>
        <v>0.19481640220744834</v>
      </c>
      <c r="BE81" s="7">
        <f>'2026_Fantasy_Starters'!AG66</f>
        <v>7.3172909999999994E-2</v>
      </c>
      <c r="BF81" s="7">
        <f>'2026_Fantasy_Starters'!AH66</f>
        <v>0</v>
      </c>
      <c r="BG81" s="7" t="e">
        <f>'2026_Fantasy_Starters'!#REF!</f>
        <v>#REF!</v>
      </c>
      <c r="BH81" s="7">
        <f>'2026_Fantasy_Starters'!D66</f>
        <v>28</v>
      </c>
    </row>
    <row r="82" spans="1:60" s="7" customFormat="1">
      <c r="A82" s="7" t="str">
        <f>'2026_Fantasy_Starters'!A99</f>
        <v xml:space="preserve">NYY </v>
      </c>
      <c r="B82" s="7" t="s">
        <v>255</v>
      </c>
      <c r="C82" s="7" t="str">
        <f>'2026_Fantasy_Starters'!C99</f>
        <v>SP</v>
      </c>
      <c r="D82" s="7" t="str">
        <f>'2026_Fantasy_Starters'!W99</f>
        <v>0.22324355233982962</v>
      </c>
      <c r="E82" s="7">
        <f>'2026_Fantasy_Starters'!X82</f>
        <v>0.32745000000000002</v>
      </c>
      <c r="F82" s="7" t="str">
        <f>'2026_Fantasy_Starters'!Y99</f>
        <v>0.1845282089184528</v>
      </c>
      <c r="G82" s="8">
        <f t="shared" si="119"/>
        <v>-1.580033459824054</v>
      </c>
      <c r="H82" s="8">
        <f t="shared" si="80"/>
        <v>1.411008458946198</v>
      </c>
      <c r="I82" s="8">
        <f t="shared" si="81"/>
        <v>1.3010474868840627</v>
      </c>
      <c r="J82" s="8" t="e">
        <f t="shared" si="82"/>
        <v>#REF!</v>
      </c>
      <c r="K82" s="8">
        <f t="shared" si="83"/>
        <v>1.3005294089773571</v>
      </c>
      <c r="L82" s="8">
        <f t="shared" si="84"/>
        <v>-1.5229641627335271</v>
      </c>
      <c r="M82" s="8" t="e">
        <f t="shared" si="85"/>
        <v>#REF!</v>
      </c>
      <c r="N82" s="8" t="e">
        <f t="shared" si="86"/>
        <v>#REF!</v>
      </c>
      <c r="P82" s="7">
        <f t="shared" si="87"/>
        <v>67.251155276147642</v>
      </c>
      <c r="Q82" s="7">
        <f t="shared" si="88"/>
        <v>131.2571668434677</v>
      </c>
      <c r="R82" s="7">
        <f t="shared" si="89"/>
        <v>73.406494415315706</v>
      </c>
      <c r="S82" s="7">
        <f t="shared" si="90"/>
        <v>154.18390949231809</v>
      </c>
      <c r="T82" s="7">
        <f t="shared" si="91"/>
        <v>136.2062965528342</v>
      </c>
      <c r="U82" s="7">
        <f t="shared" si="92"/>
        <v>158.31080616280039</v>
      </c>
      <c r="V82" s="7">
        <f t="shared" si="93"/>
        <v>161.3539911278221</v>
      </c>
      <c r="W82" s="7">
        <f t="shared" si="94"/>
        <v>154.28195011018045</v>
      </c>
      <c r="X82" s="7" t="e">
        <f t="shared" si="95"/>
        <v>#DIV/0!</v>
      </c>
      <c r="Y82" s="7" t="e">
        <f t="shared" si="96"/>
        <v>#REF!</v>
      </c>
      <c r="Z82" s="7">
        <f t="shared" si="97"/>
        <v>147.16896960481336</v>
      </c>
      <c r="AA82" s="7" t="e">
        <f t="shared" si="98"/>
        <v>#REF!</v>
      </c>
      <c r="AB82" s="7">
        <f t="shared" si="99"/>
        <v>152.94100978490252</v>
      </c>
      <c r="AC82" s="7">
        <f t="shared" si="100"/>
        <v>162.92635899958901</v>
      </c>
      <c r="AD82" s="7">
        <f t="shared" si="101"/>
        <v>152.9481000420156</v>
      </c>
      <c r="AE82" s="7" t="e">
        <f t="shared" si="102"/>
        <v>#REF!</v>
      </c>
      <c r="AG82" s="7">
        <f t="shared" si="103"/>
        <v>4.8673070139043102E-2</v>
      </c>
      <c r="AH82" s="7">
        <f t="shared" si="104"/>
        <v>2.5041408782173293E-2</v>
      </c>
      <c r="AI82" s="7">
        <f t="shared" si="105"/>
        <v>2.4704368004241008E-2</v>
      </c>
      <c r="AJ82" s="7">
        <f t="shared" si="106"/>
        <v>6.0374605540773323E-3</v>
      </c>
      <c r="AK82" s="7">
        <f t="shared" si="107"/>
        <v>3.4367087213599257E-4</v>
      </c>
      <c r="AL82" s="7">
        <f t="shared" si="108"/>
        <v>1.7187033035230277E-3</v>
      </c>
      <c r="AM82" s="7">
        <f t="shared" si="109"/>
        <v>3.992434665521262E-2</v>
      </c>
      <c r="AN82" s="7">
        <f t="shared" si="110"/>
        <v>1.4821054597437726E-2</v>
      </c>
      <c r="AO82" s="7">
        <f t="shared" si="111"/>
        <v>0</v>
      </c>
      <c r="AP82" s="7" t="e">
        <f t="shared" si="112"/>
        <v>#REF!</v>
      </c>
      <c r="AQ82" s="7">
        <f t="shared" si="113"/>
        <v>6.0894308943089159</v>
      </c>
      <c r="AR82" s="7" t="e">
        <f t="shared" si="114"/>
        <v>#REF!</v>
      </c>
      <c r="AS82" s="7">
        <f t="shared" si="115"/>
        <v>167.36869155223772</v>
      </c>
      <c r="AT82" s="7">
        <f t="shared" si="116"/>
        <v>4.7238753188905934E-2</v>
      </c>
      <c r="AU82" s="7">
        <f t="shared" si="117"/>
        <v>18.614959092572892</v>
      </c>
      <c r="AV82" s="7" t="e">
        <f t="shared" si="118"/>
        <v>#REF!</v>
      </c>
      <c r="AX82" s="7" t="str">
        <f>'2026_Fantasy_Starters'!Z99</f>
        <v>0.21802676775610252</v>
      </c>
      <c r="AY82" s="7" t="str">
        <f>'2026_Fantasy_Starters'!AA99</f>
        <v>0.11217080412720964</v>
      </c>
      <c r="AZ82" s="7" t="str">
        <f>'2026_Fantasy_Starters'!AB99</f>
        <v>0.11066105939147271</v>
      </c>
      <c r="BA82" s="7">
        <f>'2026_Fantasy_Starters'!AC99</f>
        <v>3.2718361000000001E-2</v>
      </c>
      <c r="BB82" s="7">
        <f>'2026_Fantasy_Starters'!AD99</f>
        <v>1.86243E-3</v>
      </c>
      <c r="BC82" s="7">
        <f>'2026_Fantasy_Starters'!AE99</f>
        <v>9.3140410000000003E-3</v>
      </c>
      <c r="BD82" s="7" t="str">
        <f>'2026_Fantasy_Starters'!AF99</f>
        <v>0.21635904282177498</v>
      </c>
      <c r="BE82" s="7">
        <f>'2026_Fantasy_Starters'!AG99</f>
        <v>8.0318638999999997E-2</v>
      </c>
      <c r="BF82" s="7">
        <f>'2026_Fantasy_Starters'!AH99</f>
        <v>0</v>
      </c>
      <c r="BG82" s="7" t="e">
        <f>'2026_Fantasy_Starters'!#REF!</f>
        <v>#REF!</v>
      </c>
      <c r="BH82" s="7">
        <f>'2026_Fantasy_Starters'!D99</f>
        <v>33</v>
      </c>
    </row>
    <row r="83" spans="1:60">
      <c r="A83" t="str">
        <f>'2026_Fantasy_Starters'!A79</f>
        <v xml:space="preserve">AZ </v>
      </c>
      <c r="B83" t="s">
        <v>211</v>
      </c>
      <c r="C83" t="str">
        <f>'2026_Fantasy_Starters'!C79</f>
        <v>SP</v>
      </c>
      <c r="D83" t="str">
        <f>'2026_Fantasy_Starters'!W79</f>
        <v>0.3611904761904762</v>
      </c>
      <c r="E83" t="str">
        <f>'2026_Fantasy_Starters'!X83</f>
        <v>0.21107322929171665</v>
      </c>
      <c r="F83">
        <f>'2026_Fantasy_Starters'!Y79</f>
        <v>0.5</v>
      </c>
      <c r="G83" s="3">
        <f t="shared" si="119"/>
        <v>0.73963926753360354</v>
      </c>
      <c r="H83" s="3">
        <f t="shared" si="80"/>
        <v>-6.1127821018065888E-2</v>
      </c>
      <c r="I83" s="3">
        <f t="shared" si="81"/>
        <v>-1.6671294107635823</v>
      </c>
      <c r="J83" s="3" t="e">
        <f t="shared" si="82"/>
        <v>#REF!</v>
      </c>
      <c r="K83" s="3">
        <f t="shared" si="83"/>
        <v>-1.6666303442971693</v>
      </c>
      <c r="L83" s="3">
        <f t="shared" si="84"/>
        <v>0.58726220165821241</v>
      </c>
      <c r="M83" s="3" t="e">
        <f t="shared" si="85"/>
        <v>#REF!</v>
      </c>
      <c r="N83" s="4" t="e">
        <f t="shared" si="86"/>
        <v>#REF!</v>
      </c>
      <c r="P83">
        <f t="shared" si="87"/>
        <v>115.33026492161704</v>
      </c>
      <c r="Q83">
        <f t="shared" si="88"/>
        <v>83.394769031850316</v>
      </c>
      <c r="R83">
        <f t="shared" si="89"/>
        <v>110.25458183562283</v>
      </c>
      <c r="S83">
        <f t="shared" si="90"/>
        <v>77.133988141768356</v>
      </c>
      <c r="T83">
        <f t="shared" si="91"/>
        <v>66.893189379813606</v>
      </c>
      <c r="U83">
        <f t="shared" si="92"/>
        <v>125.53928188469445</v>
      </c>
      <c r="V83">
        <f t="shared" si="93"/>
        <v>99.069648490779585</v>
      </c>
      <c r="W83">
        <f t="shared" si="94"/>
        <v>91.647493458178673</v>
      </c>
      <c r="X83" t="e">
        <f t="shared" si="95"/>
        <v>#DIV/0!</v>
      </c>
      <c r="Y83" t="e">
        <f t="shared" si="96"/>
        <v>#REF!</v>
      </c>
      <c r="Z83">
        <f t="shared" si="97"/>
        <v>78.538004885831981</v>
      </c>
      <c r="AA83" t="e">
        <f t="shared" si="98"/>
        <v>#REF!</v>
      </c>
      <c r="AB83">
        <f t="shared" si="99"/>
        <v>32.156018344381891</v>
      </c>
      <c r="AC83">
        <f t="shared" si="100"/>
        <v>97.273899255630099</v>
      </c>
      <c r="AD83">
        <f t="shared" si="101"/>
        <v>32.153641036191686</v>
      </c>
      <c r="AE83" t="e">
        <f t="shared" si="102"/>
        <v>#REF!</v>
      </c>
      <c r="AG83">
        <f t="shared" si="103"/>
        <v>8.3470358994342117E-2</v>
      </c>
      <c r="AH83">
        <f t="shared" si="104"/>
        <v>4.2476562584556489E-2</v>
      </c>
      <c r="AI83">
        <f t="shared" si="105"/>
        <v>3.7105296820340174E-2</v>
      </c>
      <c r="AJ83">
        <f t="shared" si="106"/>
        <v>1.619079E-2</v>
      </c>
      <c r="AK83">
        <f t="shared" si="107"/>
        <v>7.1707599999999998E-4</v>
      </c>
      <c r="AL83">
        <f t="shared" si="108"/>
        <v>3.0697615E-3</v>
      </c>
      <c r="AM83">
        <f t="shared" si="109"/>
        <v>0.104268939</v>
      </c>
      <c r="AN83">
        <f t="shared" si="110"/>
        <v>3.5126135500000003E-2</v>
      </c>
      <c r="AO83">
        <f t="shared" si="111"/>
        <v>0</v>
      </c>
      <c r="AP83" t="e">
        <f t="shared" si="112"/>
        <v>#REF!</v>
      </c>
      <c r="AQ83">
        <f t="shared" si="113"/>
        <v>14</v>
      </c>
      <c r="AR83" t="e">
        <f t="shared" si="114"/>
        <v>#REF!</v>
      </c>
      <c r="AS83">
        <f t="shared" si="115"/>
        <v>596.9492219492239</v>
      </c>
      <c r="AT83">
        <f t="shared" si="116"/>
        <v>0.13089226707104873</v>
      </c>
      <c r="AU83">
        <f t="shared" si="117"/>
        <v>66.40439830779664</v>
      </c>
      <c r="AV83" t="e">
        <f t="shared" si="118"/>
        <v>#REF!</v>
      </c>
      <c r="AX83" t="str">
        <f>'2026_Fantasy_Starters'!Z79</f>
        <v>0.23109789569956318</v>
      </c>
      <c r="AY83" t="str">
        <f>'2026_Fantasy_Starters'!AA79</f>
        <v>0.11760155758413846</v>
      </c>
      <c r="AZ83" t="str">
        <f>'2026_Fantasy_Starters'!AB79</f>
        <v>0.10273055151313751</v>
      </c>
      <c r="BA83">
        <f>'2026_Fantasy_Starters'!AC79</f>
        <v>3.238158E-2</v>
      </c>
      <c r="BB83">
        <f>'2026_Fantasy_Starters'!AD79</f>
        <v>1.434152E-3</v>
      </c>
      <c r="BC83">
        <f>'2026_Fantasy_Starters'!AE79</f>
        <v>6.139523E-3</v>
      </c>
      <c r="BD83">
        <f>'2026_Fantasy_Starters'!AF79</f>
        <v>0.20853787800000001</v>
      </c>
      <c r="BE83">
        <f>'2026_Fantasy_Starters'!AG79</f>
        <v>7.0252271000000005E-2</v>
      </c>
      <c r="BF83">
        <f>'2026_Fantasy_Starters'!AH79</f>
        <v>0</v>
      </c>
      <c r="BG83" t="e">
        <f>'2026_Fantasy_Starters'!#REF!</f>
        <v>#REF!</v>
      </c>
      <c r="BH83">
        <f>'2026_Fantasy_Starters'!D79</f>
        <v>28</v>
      </c>
    </row>
    <row r="84" spans="1:60" s="7" customFormat="1">
      <c r="A84" s="7" t="str">
        <f>'2026_Fantasy_Starters'!A64</f>
        <v xml:space="preserve">AZ </v>
      </c>
      <c r="B84" s="7" t="s">
        <v>179</v>
      </c>
      <c r="C84" s="7" t="str">
        <f>'2026_Fantasy_Starters'!C64</f>
        <v>SP,RP</v>
      </c>
      <c r="D84" s="7" t="str">
        <f>'2026_Fantasy_Starters'!W64</f>
        <v>0.26166713929219604</v>
      </c>
      <c r="E84" s="7" t="str">
        <f>'2026_Fantasy_Starters'!X84</f>
        <v>0.31506923076923077</v>
      </c>
      <c r="F84" s="7" t="str">
        <f>'2026_Fantasy_Starters'!Y64</f>
        <v>0.32648026315789475</v>
      </c>
      <c r="G84" s="8">
        <f t="shared" si="119"/>
        <v>-0.68477132906963767</v>
      </c>
      <c r="H84" s="8">
        <f t="shared" si="80"/>
        <v>0.95864098960507838</v>
      </c>
      <c r="I84" s="8">
        <f t="shared" si="81"/>
        <v>0.39565152436694873</v>
      </c>
      <c r="J84" s="8" t="e">
        <f t="shared" si="82"/>
        <v>#REF!</v>
      </c>
      <c r="K84" s="8">
        <f t="shared" si="83"/>
        <v>0.39527010351802666</v>
      </c>
      <c r="L84" s="8">
        <f t="shared" si="84"/>
        <v>-0.97678154065262057</v>
      </c>
      <c r="M84" s="8" t="e">
        <f t="shared" si="85"/>
        <v>#REF!</v>
      </c>
      <c r="N84" s="8" t="e">
        <f t="shared" si="86"/>
        <v>#REF!</v>
      </c>
      <c r="P84" s="7">
        <f t="shared" si="87"/>
        <v>85.806965170506729</v>
      </c>
      <c r="Q84" s="7">
        <f t="shared" si="88"/>
        <v>114.88730550611896</v>
      </c>
      <c r="R84" s="7">
        <f t="shared" si="89"/>
        <v>82.943757974095547</v>
      </c>
      <c r="S84" s="7">
        <f t="shared" si="90"/>
        <v>120.09654674045865</v>
      </c>
      <c r="T84" s="7">
        <f t="shared" si="91"/>
        <v>111.22703402942113</v>
      </c>
      <c r="U84" s="7">
        <f t="shared" si="92"/>
        <v>138.05907687772387</v>
      </c>
      <c r="V84" s="7">
        <f t="shared" si="93"/>
        <v>137.9902830334108</v>
      </c>
      <c r="W84" s="7">
        <f t="shared" si="94"/>
        <v>134.91190722741101</v>
      </c>
      <c r="X84" s="7" t="e">
        <f t="shared" si="95"/>
        <v>#DIV/0!</v>
      </c>
      <c r="Y84" s="7" t="e">
        <f t="shared" si="96"/>
        <v>#REF!</v>
      </c>
      <c r="Z84" s="7">
        <f t="shared" si="97"/>
        <v>109.36012770615677</v>
      </c>
      <c r="AA84" s="7" t="e">
        <f t="shared" si="98"/>
        <v>#REF!</v>
      </c>
      <c r="AB84" s="7">
        <f t="shared" si="99"/>
        <v>116.09036925545732</v>
      </c>
      <c r="AC84" s="7">
        <f t="shared" si="100"/>
        <v>142.7522504781175</v>
      </c>
      <c r="AD84" s="7">
        <f t="shared" si="101"/>
        <v>116.1016386451265</v>
      </c>
      <c r="AE84" s="7" t="e">
        <f t="shared" si="102"/>
        <v>#REF!</v>
      </c>
      <c r="AG84" s="7">
        <f t="shared" si="103"/>
        <v>6.2102850382464755E-2</v>
      </c>
      <c r="AH84" s="7">
        <f t="shared" si="104"/>
        <v>3.1004566985481808E-2</v>
      </c>
      <c r="AI84" s="7">
        <f t="shared" si="105"/>
        <v>2.7914057699767129E-2</v>
      </c>
      <c r="AJ84" s="7">
        <f t="shared" si="106"/>
        <v>1.052935643009866E-2</v>
      </c>
      <c r="AK84" s="7">
        <f t="shared" si="107"/>
        <v>4.7823971628289372E-4</v>
      </c>
      <c r="AL84" s="7">
        <f t="shared" si="108"/>
        <v>2.553613044407889E-3</v>
      </c>
      <c r="AM84" s="7">
        <f t="shared" si="109"/>
        <v>6.4060882570154187E-2</v>
      </c>
      <c r="AN84" s="7">
        <f t="shared" si="110"/>
        <v>2.1100510169407848E-2</v>
      </c>
      <c r="AO84" s="7">
        <f t="shared" si="111"/>
        <v>0</v>
      </c>
      <c r="AP84" s="7" t="e">
        <f t="shared" si="112"/>
        <v>#REF!</v>
      </c>
      <c r="AQ84" s="7">
        <f t="shared" si="113"/>
        <v>10.447368421052609</v>
      </c>
      <c r="AR84" s="7" t="e">
        <f t="shared" si="114"/>
        <v>#REF!</v>
      </c>
      <c r="AS84" s="7">
        <f t="shared" si="115"/>
        <v>298.43065144733959</v>
      </c>
      <c r="AT84" s="7">
        <f t="shared" si="116"/>
        <v>7.2944340974077426E-2</v>
      </c>
      <c r="AU84" s="7">
        <f t="shared" si="117"/>
        <v>33.192380455400652</v>
      </c>
      <c r="AV84" s="7" t="e">
        <f t="shared" si="118"/>
        <v>#REF!</v>
      </c>
      <c r="AX84" s="7" t="str">
        <f>'2026_Fantasy_Starters'!Z64</f>
        <v>0.23733530526779806</v>
      </c>
      <c r="AY84" s="7" t="str">
        <f>'2026_Fantasy_Starters'!AA64</f>
        <v>0.11848857701180437</v>
      </c>
      <c r="AZ84" s="7" t="str">
        <f>'2026_Fantasy_Starters'!AB64</f>
        <v>0.10667773483240615</v>
      </c>
      <c r="BA84" s="7">
        <f>'2026_Fantasy_Starters'!AC64</f>
        <v>3.2251126999999997E-2</v>
      </c>
      <c r="BB84" s="7">
        <f>'2026_Fantasy_Starters'!AD64</f>
        <v>1.4648350000000001E-3</v>
      </c>
      <c r="BC84" s="7">
        <f>'2026_Fantasy_Starters'!AE64</f>
        <v>7.8216459999999998E-3</v>
      </c>
      <c r="BD84" s="7" t="str">
        <f>'2026_Fantasy_Starters'!AF64</f>
        <v>0.19621670832571275</v>
      </c>
      <c r="BE84" s="7">
        <f>'2026_Fantasy_Starters'!AG64</f>
        <v>6.4630277999999999E-2</v>
      </c>
      <c r="BF84" s="7">
        <f>'2026_Fantasy_Starters'!AH64</f>
        <v>0</v>
      </c>
      <c r="BG84" s="7" t="e">
        <f>'2026_Fantasy_Starters'!#REF!</f>
        <v>#REF!</v>
      </c>
      <c r="BH84" s="7">
        <f>'2026_Fantasy_Starters'!D64</f>
        <v>32</v>
      </c>
    </row>
    <row r="85" spans="1:60" s="7" customFormat="1">
      <c r="A85" s="7" t="str">
        <f>'2026_Fantasy_Starters'!A57</f>
        <v xml:space="preserve">CHC </v>
      </c>
      <c r="B85" s="7" t="s">
        <v>163</v>
      </c>
      <c r="C85" s="7" t="str">
        <f>'2026_Fantasy_Starters'!C57</f>
        <v>SP</v>
      </c>
      <c r="D85" s="7" t="str">
        <f>'2026_Fantasy_Starters'!W57</f>
        <v>0.3292876254180602</v>
      </c>
      <c r="E85" s="7" t="str">
        <f>'2026_Fantasy_Starters'!X85</f>
        <v>0.21142857142857138</v>
      </c>
      <c r="F85" s="7" t="str">
        <f>'2026_Fantasy_Starters'!Y57</f>
        <v>0.4314613526570048</v>
      </c>
      <c r="G85" s="8">
        <f t="shared" si="119"/>
        <v>5.4511887951870674E-2</v>
      </c>
      <c r="H85" s="8">
        <f t="shared" si="80"/>
        <v>-0.91341973415770972</v>
      </c>
      <c r="I85" s="8">
        <f t="shared" si="81"/>
        <v>-0.46192901414213239</v>
      </c>
      <c r="J85" s="8" t="e">
        <f t="shared" si="82"/>
        <v>#REF!</v>
      </c>
      <c r="K85" s="8">
        <f t="shared" si="83"/>
        <v>-0.46116543619893374</v>
      </c>
      <c r="L85" s="8">
        <f t="shared" si="84"/>
        <v>0.30677837785313061</v>
      </c>
      <c r="M85" s="8" t="e">
        <f t="shared" si="85"/>
        <v>#REF!</v>
      </c>
      <c r="N85" s="8" t="e">
        <f t="shared" si="86"/>
        <v>#REF!</v>
      </c>
      <c r="P85" s="7">
        <f t="shared" si="87"/>
        <v>101.12985034781394</v>
      </c>
      <c r="Q85" s="7">
        <f t="shared" si="88"/>
        <v>93.998080818905123</v>
      </c>
      <c r="R85" s="7">
        <f t="shared" si="89"/>
        <v>105.35686439926108</v>
      </c>
      <c r="S85" s="7">
        <f t="shared" si="90"/>
        <v>97.401331997278788</v>
      </c>
      <c r="T85" s="7">
        <f t="shared" si="91"/>
        <v>124.44364101673784</v>
      </c>
      <c r="U85" s="7">
        <f t="shared" si="92"/>
        <v>97.816519312850701</v>
      </c>
      <c r="V85" s="7">
        <f t="shared" si="93"/>
        <v>113.12792398050092</v>
      </c>
      <c r="W85" s="7">
        <f t="shared" si="94"/>
        <v>101.23208285626761</v>
      </c>
      <c r="X85" s="7" t="e">
        <f t="shared" si="95"/>
        <v>#DIV/0!</v>
      </c>
      <c r="Y85" s="7" t="e">
        <f t="shared" si="96"/>
        <v>#REF!</v>
      </c>
      <c r="Z85" s="7">
        <f t="shared" si="97"/>
        <v>113.90417112195149</v>
      </c>
      <c r="AA85" s="7" t="e">
        <f t="shared" si="98"/>
        <v>#REF!</v>
      </c>
      <c r="AB85" s="7">
        <f t="shared" si="99"/>
        <v>81.22721124048681</v>
      </c>
      <c r="AC85" s="7">
        <f t="shared" si="100"/>
        <v>59.26446950442493</v>
      </c>
      <c r="AD85" s="7">
        <f t="shared" si="101"/>
        <v>81.201098422868839</v>
      </c>
      <c r="AE85" s="7" t="e">
        <f t="shared" si="102"/>
        <v>#REF!</v>
      </c>
      <c r="AG85" s="7">
        <f t="shared" si="103"/>
        <v>7.3192799126172048E-2</v>
      </c>
      <c r="AH85" s="7">
        <f t="shared" si="104"/>
        <v>3.861402371741577E-2</v>
      </c>
      <c r="AI85" s="7">
        <f t="shared" si="105"/>
        <v>3.5457009228180972E-2</v>
      </c>
      <c r="AJ85" s="7">
        <f t="shared" si="106"/>
        <v>1.3520040756498979E-2</v>
      </c>
      <c r="AK85" s="7">
        <f t="shared" si="107"/>
        <v>4.0703891425120694E-4</v>
      </c>
      <c r="AL85" s="7">
        <f t="shared" si="108"/>
        <v>4.2126764673912961E-3</v>
      </c>
      <c r="AM85" s="7">
        <f t="shared" si="109"/>
        <v>8.9745642017832666E-2</v>
      </c>
      <c r="AN85" s="7">
        <f t="shared" si="110"/>
        <v>3.2018966163043415E-2</v>
      </c>
      <c r="AO85" s="7">
        <f t="shared" si="111"/>
        <v>0</v>
      </c>
      <c r="AP85" s="7" t="e">
        <f t="shared" si="112"/>
        <v>#REF!</v>
      </c>
      <c r="AQ85" s="7">
        <f t="shared" si="113"/>
        <v>9.923611111111093</v>
      </c>
      <c r="AR85" s="7" t="e">
        <f t="shared" si="114"/>
        <v>#REF!</v>
      </c>
      <c r="AS85" s="7">
        <f t="shared" si="115"/>
        <v>422.42398648648657</v>
      </c>
      <c r="AT85" s="7">
        <f t="shared" si="116"/>
        <v>0.1793233901659812</v>
      </c>
      <c r="AU85" s="7">
        <f t="shared" si="117"/>
        <v>46.999944637211676</v>
      </c>
      <c r="AV85" s="7" t="e">
        <f t="shared" si="118"/>
        <v>#REF!</v>
      </c>
      <c r="AX85" s="7" t="str">
        <f>'2026_Fantasy_Starters'!Z57</f>
        <v>0.22227619101461052</v>
      </c>
      <c r="AY85" s="7" t="str">
        <f>'2026_Fantasy_Starters'!AA57</f>
        <v>0.11726533503465875</v>
      </c>
      <c r="AZ85" s="7" t="str">
        <f>'2026_Fantasy_Starters'!AB57</f>
        <v>0.10767792802163506</v>
      </c>
      <c r="BA85" s="7" t="str">
        <f>'2026_Fantasy_Starters'!AC57</f>
        <v>0.031335461851311947</v>
      </c>
      <c r="BB85" s="7">
        <f>'2026_Fantasy_Starters'!AD57</f>
        <v>9.4339599999999999E-4</v>
      </c>
      <c r="BC85" s="7">
        <f>'2026_Fantasy_Starters'!AE57</f>
        <v>9.7637399999999999E-3</v>
      </c>
      <c r="BD85" s="7" t="str">
        <f>'2026_Fantasy_Starters'!AF57</f>
        <v>0.2080038952855588</v>
      </c>
      <c r="BE85" s="7">
        <f>'2026_Fantasy_Starters'!AG57</f>
        <v>7.4210507999999994E-2</v>
      </c>
      <c r="BF85" s="7">
        <f>'2026_Fantasy_Starters'!AH57</f>
        <v>0</v>
      </c>
      <c r="BG85" s="7" t="e">
        <f>'2026_Fantasy_Starters'!#REF!</f>
        <v>#REF!</v>
      </c>
      <c r="BH85" s="7">
        <f>'2026_Fantasy_Starters'!D57</f>
        <v>23</v>
      </c>
    </row>
    <row r="86" spans="1:60">
      <c r="A86" t="str">
        <f>'2026_Fantasy_Starters'!A82</f>
        <v xml:space="preserve">TB </v>
      </c>
      <c r="B86" t="s">
        <v>218</v>
      </c>
      <c r="C86" t="str">
        <f>'2026_Fantasy_Starters'!C82</f>
        <v>SP</v>
      </c>
      <c r="D86">
        <f>'2026_Fantasy_Starters'!W82</f>
        <v>0.37462499999999999</v>
      </c>
      <c r="E86" t="str">
        <f>'2026_Fantasy_Starters'!X86</f>
        <v>0.3526847290640394</v>
      </c>
      <c r="F86" t="str">
        <f>'2026_Fantasy_Starters'!Y82</f>
        <v>0.5097222222222223</v>
      </c>
      <c r="G86" s="3">
        <f t="shared" si="119"/>
        <v>0.5376627737612425</v>
      </c>
      <c r="H86" s="3">
        <f t="shared" si="80"/>
        <v>0.78101172862418045</v>
      </c>
      <c r="I86" s="3">
        <f t="shared" si="81"/>
        <v>0.65911263970380152</v>
      </c>
      <c r="J86" s="3" t="e">
        <f t="shared" si="82"/>
        <v>#REF!</v>
      </c>
      <c r="K86" s="3">
        <f t="shared" si="83"/>
        <v>0.65969701181803109</v>
      </c>
      <c r="L86" s="3">
        <f t="shared" si="84"/>
        <v>7.4285185590284519E-2</v>
      </c>
      <c r="M86" s="3" t="e">
        <f t="shared" si="85"/>
        <v>#REF!</v>
      </c>
      <c r="N86" s="4" t="e">
        <f t="shared" si="86"/>
        <v>#REF!</v>
      </c>
      <c r="P86">
        <f t="shared" si="87"/>
        <v>111.14396317509849</v>
      </c>
      <c r="Q86">
        <f t="shared" si="88"/>
        <v>92.072117690150478</v>
      </c>
      <c r="R86">
        <f t="shared" si="89"/>
        <v>101.29714378459755</v>
      </c>
      <c r="S86">
        <f t="shared" si="90"/>
        <v>78.93145806871506</v>
      </c>
      <c r="T86">
        <f t="shared" si="91"/>
        <v>101.8497393356123</v>
      </c>
      <c r="U86">
        <f t="shared" si="92"/>
        <v>121.06968040690039</v>
      </c>
      <c r="V86">
        <f t="shared" si="93"/>
        <v>72.254181090903387</v>
      </c>
      <c r="W86">
        <f t="shared" si="94"/>
        <v>89.423477410597116</v>
      </c>
      <c r="X86" t="e">
        <f t="shared" si="95"/>
        <v>#DIV/0!</v>
      </c>
      <c r="Y86" t="e">
        <f t="shared" si="96"/>
        <v>#REF!</v>
      </c>
      <c r="Z86">
        <f t="shared" si="97"/>
        <v>111.55445990694516</v>
      </c>
      <c r="AA86" t="e">
        <f t="shared" si="98"/>
        <v>#REF!</v>
      </c>
      <c r="AB86">
        <f t="shared" si="99"/>
        <v>126.85446843158427</v>
      </c>
      <c r="AC86">
        <f t="shared" si="100"/>
        <v>134.8305668238157</v>
      </c>
      <c r="AD86">
        <f t="shared" si="101"/>
        <v>126.82358817630436</v>
      </c>
      <c r="AE86" t="e">
        <f t="shared" si="102"/>
        <v>#REF!</v>
      </c>
      <c r="AG86">
        <f t="shared" si="103"/>
        <v>8.0440520210237759E-2</v>
      </c>
      <c r="AH86">
        <f t="shared" si="104"/>
        <v>3.9315607108614065E-2</v>
      </c>
      <c r="AI86">
        <f t="shared" si="105"/>
        <v>3.4090742757375003E-2</v>
      </c>
      <c r="AJ86">
        <f t="shared" si="106"/>
        <v>1.5953926626001265E-2</v>
      </c>
      <c r="AK86">
        <f t="shared" si="107"/>
        <v>5.2875728888888854E-4</v>
      </c>
      <c r="AL86">
        <f t="shared" si="108"/>
        <v>3.2540279277777761E-3</v>
      </c>
      <c r="AM86">
        <f t="shared" si="109"/>
        <v>0.13197141197037057</v>
      </c>
      <c r="AN86">
        <f t="shared" si="110"/>
        <v>3.5847125641666651E-2</v>
      </c>
      <c r="AO86">
        <f t="shared" si="111"/>
        <v>0</v>
      </c>
      <c r="AP86" t="e">
        <f t="shared" si="112"/>
        <v>#REF!</v>
      </c>
      <c r="AQ86">
        <f t="shared" si="113"/>
        <v>10.194444444444439</v>
      </c>
      <c r="AR86" t="e">
        <f t="shared" si="114"/>
        <v>#REF!</v>
      </c>
      <c r="AS86">
        <f t="shared" si="115"/>
        <v>260.14735665898468</v>
      </c>
      <c r="AT86">
        <f t="shared" si="116"/>
        <v>8.3038047685592614E-2</v>
      </c>
      <c r="AU86">
        <f t="shared" si="117"/>
        <v>28.950497511380703</v>
      </c>
      <c r="AV86" t="e">
        <f t="shared" si="118"/>
        <v>#REF!</v>
      </c>
      <c r="AX86" t="str">
        <f>'2026_Fantasy_Starters'!Z82</f>
        <v>0.21472277667063855</v>
      </c>
      <c r="AY86" t="str">
        <f>'2026_Fantasy_Starters'!AA82</f>
        <v>0.10494656552182649</v>
      </c>
      <c r="AZ86">
        <f>'2026_Fantasy_Starters'!AB82</f>
        <v>9.0999647000000003E-2</v>
      </c>
      <c r="BA86" t="str">
        <f>'2026_Fantasy_Starters'!AC82</f>
        <v>0.031299256595969854</v>
      </c>
      <c r="BB86">
        <f>'2026_Fantasy_Starters'!AD82</f>
        <v>1.0373439999999999E-3</v>
      </c>
      <c r="BC86">
        <f>'2026_Fantasy_Starters'!AE82</f>
        <v>6.383924E-3</v>
      </c>
      <c r="BD86" t="str">
        <f>'2026_Fantasy_Starters'!AF82</f>
        <v>0.25890849214895695</v>
      </c>
      <c r="BE86">
        <f>'2026_Fantasy_Starters'!AG82</f>
        <v>7.0326786000000002E-2</v>
      </c>
      <c r="BF86">
        <f>'2026_Fantasy_Starters'!AH82</f>
        <v>0</v>
      </c>
      <c r="BG86" t="e">
        <f>'2026_Fantasy_Starters'!#REF!</f>
        <v>#REF!</v>
      </c>
      <c r="BH86">
        <f>'2026_Fantasy_Starters'!D82</f>
        <v>20</v>
      </c>
    </row>
    <row r="87" spans="1:60" s="7" customFormat="1">
      <c r="A87" s="7" t="str">
        <f>'2026_Fantasy_Starters'!A67</f>
        <v xml:space="preserve">BAL </v>
      </c>
      <c r="B87" s="7" t="s">
        <v>185</v>
      </c>
      <c r="C87" s="7" t="str">
        <f>'2026_Fantasy_Starters'!C67</f>
        <v>SP</v>
      </c>
      <c r="D87" s="7">
        <f>'2026_Fantasy_Starters'!W67</f>
        <v>0.29175272200000002</v>
      </c>
      <c r="E87" s="7" t="str">
        <f>'2026_Fantasy_Starters'!X87</f>
        <v>0.3058321678321678</v>
      </c>
      <c r="F87" s="7" t="str">
        <f>'2026_Fantasy_Starters'!Y67</f>
        <v>0.3068326947637292</v>
      </c>
      <c r="G87" s="8">
        <f t="shared" si="119"/>
        <v>6.520327478974991E-2</v>
      </c>
      <c r="H87" s="8">
        <f t="shared" si="80"/>
        <v>1.0115069791945661</v>
      </c>
      <c r="I87" s="8">
        <f t="shared" si="81"/>
        <v>0.64775997791902395</v>
      </c>
      <c r="J87" s="8" t="e">
        <f t="shared" si="82"/>
        <v>#REF!</v>
      </c>
      <c r="K87" s="8">
        <f t="shared" si="83"/>
        <v>0.64791001377178525</v>
      </c>
      <c r="L87" s="8">
        <f t="shared" si="84"/>
        <v>1.6889999090729569E-2</v>
      </c>
      <c r="M87" s="8" t="e">
        <f t="shared" si="85"/>
        <v>#REF!</v>
      </c>
      <c r="N87" s="8" t="e">
        <f t="shared" si="86"/>
        <v>#REF!</v>
      </c>
      <c r="P87" s="7">
        <f t="shared" si="87"/>
        <v>101.35144727999241</v>
      </c>
      <c r="Q87" s="7">
        <f t="shared" si="88"/>
        <v>98.936615877765917</v>
      </c>
      <c r="R87" s="7">
        <f t="shared" si="89"/>
        <v>100.29492767862541</v>
      </c>
      <c r="S87" s="7">
        <f t="shared" si="90"/>
        <v>110.85850631894751</v>
      </c>
      <c r="T87" s="7">
        <f t="shared" si="91"/>
        <v>105.98389717427843</v>
      </c>
      <c r="U87" s="7">
        <f t="shared" si="92"/>
        <v>142.35117729053621</v>
      </c>
      <c r="V87" s="7">
        <f t="shared" si="93"/>
        <v>146.79710262290865</v>
      </c>
      <c r="W87" s="7">
        <f t="shared" si="94"/>
        <v>155.72692534919858</v>
      </c>
      <c r="X87" s="7" t="e">
        <f t="shared" si="95"/>
        <v>#DIV/0!</v>
      </c>
      <c r="Y87" s="7" t="e">
        <f t="shared" si="96"/>
        <v>#REF!</v>
      </c>
      <c r="Z87" s="7">
        <f t="shared" si="97"/>
        <v>122.80094093603482</v>
      </c>
      <c r="AA87" s="7" t="e">
        <f t="shared" si="98"/>
        <v>#REF!</v>
      </c>
      <c r="AB87" s="7">
        <f t="shared" si="99"/>
        <v>126.37465184720452</v>
      </c>
      <c r="AC87" s="7">
        <f t="shared" si="100"/>
        <v>145.10990058197382</v>
      </c>
      <c r="AD87" s="7">
        <f t="shared" si="101"/>
        <v>126.36157439280812</v>
      </c>
      <c r="AE87" s="7" t="e">
        <f t="shared" si="102"/>
        <v>#REF!</v>
      </c>
      <c r="AG87" s="7">
        <f t="shared" si="103"/>
        <v>7.3353180059082881E-2</v>
      </c>
      <c r="AH87" s="7">
        <f t="shared" si="104"/>
        <v>3.6815030724030889E-2</v>
      </c>
      <c r="AI87" s="7">
        <f t="shared" si="105"/>
        <v>3.3753454950636377E-2</v>
      </c>
      <c r="AJ87" s="7">
        <f t="shared" si="106"/>
        <v>1.1746708325989773E-2</v>
      </c>
      <c r="AK87" s="7">
        <f t="shared" si="107"/>
        <v>5.0648566091953979E-4</v>
      </c>
      <c r="AL87" s="7">
        <f t="shared" si="108"/>
        <v>2.3766643802681973E-3</v>
      </c>
      <c r="AM87" s="7">
        <f t="shared" si="109"/>
        <v>5.496274983970921E-2</v>
      </c>
      <c r="AN87" s="7">
        <f t="shared" si="110"/>
        <v>1.4352616924329488E-2</v>
      </c>
      <c r="AO87" s="7">
        <f t="shared" si="111"/>
        <v>0</v>
      </c>
      <c r="AP87" s="7" t="e">
        <f t="shared" si="112"/>
        <v>#REF!</v>
      </c>
      <c r="AQ87" s="7">
        <f t="shared" si="113"/>
        <v>8.8981481481481399</v>
      </c>
      <c r="AR87" s="7" t="e">
        <f t="shared" si="114"/>
        <v>#REF!</v>
      </c>
      <c r="AS87" s="7">
        <f t="shared" si="115"/>
        <v>261.85385893507771</v>
      </c>
      <c r="AT87" s="7">
        <f t="shared" si="116"/>
        <v>6.9940253747774697E-2</v>
      </c>
      <c r="AU87" s="7">
        <f t="shared" si="117"/>
        <v>29.133282216943435</v>
      </c>
      <c r="AV87" s="7" t="e">
        <f t="shared" si="118"/>
        <v>#REF!</v>
      </c>
      <c r="AX87" s="7" t="str">
        <f>'2026_Fantasy_Starters'!Z67</f>
        <v>0.25142243594588687</v>
      </c>
      <c r="AY87" s="7" t="str">
        <f>'2026_Fantasy_Starters'!AA67</f>
        <v>0.12618573177881412</v>
      </c>
      <c r="AZ87" s="7" t="str">
        <f>'2026_Fantasy_Starters'!AB67</f>
        <v>0.11569199669930216</v>
      </c>
      <c r="BA87" s="7">
        <f>'2026_Fantasy_Starters'!AC67</f>
        <v>3.8283757000000002E-2</v>
      </c>
      <c r="BB87" s="7">
        <f>'2026_Fantasy_Starters'!AD67</f>
        <v>1.65069E-3</v>
      </c>
      <c r="BC87" s="7">
        <f>'2026_Fantasy_Starters'!AE67</f>
        <v>7.7457990000000003E-3</v>
      </c>
      <c r="BD87" s="7" t="str">
        <f>'2026_Fantasy_Starters'!AF67</f>
        <v>0.17912937824970832</v>
      </c>
      <c r="BE87" s="7">
        <f>'2026_Fantasy_Starters'!AG67</f>
        <v>4.6776686999999997E-2</v>
      </c>
      <c r="BF87" s="7">
        <f>'2026_Fantasy_Starters'!AH67</f>
        <v>0</v>
      </c>
      <c r="BG87" s="7" t="e">
        <f>'2026_Fantasy_Starters'!#REF!</f>
        <v>#REF!</v>
      </c>
      <c r="BH87" s="7">
        <f>'2026_Fantasy_Starters'!D67</f>
        <v>29</v>
      </c>
    </row>
    <row r="88" spans="1:60">
      <c r="A88" t="str">
        <f>'2026_Fantasy_Starters'!A105</f>
        <v xml:space="preserve">SD </v>
      </c>
      <c r="B88" t="s">
        <v>268</v>
      </c>
      <c r="C88" t="str">
        <f>'2026_Fantasy_Starters'!C105</f>
        <v>SP</v>
      </c>
      <c r="D88" t="str">
        <f>'2026_Fantasy_Starters'!W105</f>
        <v>0.33399107142857143</v>
      </c>
      <c r="E88" t="str">
        <f>'2026_Fantasy_Starters'!X88</f>
        <v>0.34464335664335666</v>
      </c>
      <c r="F88" t="str">
        <f>'2026_Fantasy_Starters'!Y105</f>
        <v>0.4970238095238095</v>
      </c>
      <c r="G88" s="3">
        <f t="shared" si="119"/>
        <v>0.19481395990968989</v>
      </c>
      <c r="H88" s="3">
        <f t="shared" si="80"/>
        <v>-1.1338585881224561</v>
      </c>
      <c r="I88" s="3">
        <f t="shared" si="81"/>
        <v>0.30461070269190793</v>
      </c>
      <c r="J88" s="3" t="e">
        <f t="shared" si="82"/>
        <v>#REF!</v>
      </c>
      <c r="K88" s="3">
        <f t="shared" si="83"/>
        <v>0.30498390653037477</v>
      </c>
      <c r="L88" s="3">
        <f t="shared" si="84"/>
        <v>6.8579166292959653E-2</v>
      </c>
      <c r="M88" s="3" t="e">
        <f t="shared" si="85"/>
        <v>#REF!</v>
      </c>
      <c r="N88" s="4" t="e">
        <f t="shared" si="86"/>
        <v>#REF!</v>
      </c>
      <c r="P88">
        <f t="shared" si="87"/>
        <v>104.03784621360595</v>
      </c>
      <c r="Q88">
        <f t="shared" si="88"/>
        <v>99.059109983695635</v>
      </c>
      <c r="R88">
        <f t="shared" si="89"/>
        <v>101.19750712881613</v>
      </c>
      <c r="S88">
        <f t="shared" si="90"/>
        <v>77.485931079011166</v>
      </c>
      <c r="T88">
        <f t="shared" si="91"/>
        <v>50.856667199490524</v>
      </c>
      <c r="U88">
        <f t="shared" si="92"/>
        <v>21.798568685741088</v>
      </c>
      <c r="V88">
        <f t="shared" si="93"/>
        <v>95.706003709782252</v>
      </c>
      <c r="W88">
        <f t="shared" si="94"/>
        <v>103.53088171484541</v>
      </c>
      <c r="X88" t="e">
        <f t="shared" si="95"/>
        <v>#DIV/0!</v>
      </c>
      <c r="Y88" t="e">
        <f t="shared" si="96"/>
        <v>#REF!</v>
      </c>
      <c r="Z88">
        <f t="shared" si="97"/>
        <v>96.509422530275316</v>
      </c>
      <c r="AA88" t="e">
        <f t="shared" si="98"/>
        <v>#REF!</v>
      </c>
      <c r="AB88">
        <f t="shared" si="99"/>
        <v>112.41506410267078</v>
      </c>
      <c r="AC88">
        <f t="shared" si="100"/>
        <v>49.433618120016234</v>
      </c>
      <c r="AD88">
        <f t="shared" si="101"/>
        <v>112.39659437690993</v>
      </c>
      <c r="AE88" t="e">
        <f t="shared" si="102"/>
        <v>#REF!</v>
      </c>
      <c r="AG88">
        <f t="shared" si="103"/>
        <v>7.5297463145080623E-2</v>
      </c>
      <c r="AH88">
        <f t="shared" si="104"/>
        <v>3.6770408981819477E-2</v>
      </c>
      <c r="AI88">
        <f t="shared" si="105"/>
        <v>3.405721083856126E-2</v>
      </c>
      <c r="AJ88">
        <f t="shared" si="106"/>
        <v>1.6144412372023791E-2</v>
      </c>
      <c r="AK88">
        <f t="shared" si="107"/>
        <v>8.0346831249999918E-4</v>
      </c>
      <c r="AL88">
        <f t="shared" si="108"/>
        <v>7.3466373537560883E-3</v>
      </c>
      <c r="AM88">
        <f t="shared" si="109"/>
        <v>0.10774384686708931</v>
      </c>
      <c r="AN88">
        <f t="shared" si="110"/>
        <v>3.1273732639880918E-2</v>
      </c>
      <c r="AO88">
        <f t="shared" si="111"/>
        <v>0</v>
      </c>
      <c r="AP88" t="e">
        <f t="shared" si="112"/>
        <v>#REF!</v>
      </c>
      <c r="AQ88">
        <f t="shared" si="113"/>
        <v>11.928571428571416</v>
      </c>
      <c r="AR88" t="e">
        <f t="shared" si="114"/>
        <v>#REF!</v>
      </c>
      <c r="AS88">
        <f t="shared" si="115"/>
        <v>311.50213920484214</v>
      </c>
      <c r="AT88">
        <f t="shared" si="116"/>
        <v>0.19184973367186314</v>
      </c>
      <c r="AU88">
        <f t="shared" si="117"/>
        <v>34.658192623466341</v>
      </c>
      <c r="AV88" t="e">
        <f t="shared" si="118"/>
        <v>#REF!</v>
      </c>
      <c r="AX88" t="str">
        <f>'2026_Fantasy_Starters'!Z105</f>
        <v>0.22544753314216776</v>
      </c>
      <c r="AY88" t="str">
        <f>'2026_Fantasy_Starters'!AA105</f>
        <v>0.11009398791573226</v>
      </c>
      <c r="AZ88" t="str">
        <f>'2026_Fantasy_Starters'!AB105</f>
        <v>0.1019704230202605</v>
      </c>
      <c r="BA88">
        <f>'2026_Fantasy_Starters'!AC105</f>
        <v>3.2482170999999997E-2</v>
      </c>
      <c r="BB88">
        <f>'2026_Fantasy_Starters'!AD105</f>
        <v>1.6165590000000001E-3</v>
      </c>
      <c r="BC88" t="str">
        <f>'2026_Fantasy_Starters'!AE105</f>
        <v>0.014781258388395595</v>
      </c>
      <c r="BD88" t="str">
        <f>'2026_Fantasy_Starters'!AF105</f>
        <v>0.21677803920564107</v>
      </c>
      <c r="BE88">
        <f>'2026_Fantasy_Starters'!AG105</f>
        <v>6.2922001000000005E-2</v>
      </c>
      <c r="BF88">
        <f>'2026_Fantasy_Starters'!AH105</f>
        <v>0</v>
      </c>
      <c r="BG88" t="e">
        <f>'2026_Fantasy_Starters'!#REF!</f>
        <v>#REF!</v>
      </c>
      <c r="BH88">
        <f>'2026_Fantasy_Starters'!D105</f>
        <v>24</v>
      </c>
    </row>
    <row r="89" spans="1:60" s="7" customFormat="1">
      <c r="A89" s="7" t="str">
        <f>'2026_Fantasy_Starters'!A103</f>
        <v xml:space="preserve">LAA </v>
      </c>
      <c r="B89" s="7" t="s">
        <v>263</v>
      </c>
      <c r="C89" s="7" t="str">
        <f>'2026_Fantasy_Starters'!C103</f>
        <v>SP</v>
      </c>
      <c r="D89" s="7" t="str">
        <f>'2026_Fantasy_Starters'!W103</f>
        <v>0.29114349276974416</v>
      </c>
      <c r="E89" s="7" t="str">
        <f>'2026_Fantasy_Starters'!X89</f>
        <v>0.3707819799777531</v>
      </c>
      <c r="F89" s="7" t="str">
        <f>'2026_Fantasy_Starters'!Y103</f>
        <v>0.4657026325546904</v>
      </c>
      <c r="G89" s="8">
        <f t="shared" si="119"/>
        <v>-0.42666262722173448</v>
      </c>
      <c r="H89" s="8">
        <f t="shared" si="80"/>
        <v>0.79789658359094939</v>
      </c>
      <c r="I89" s="8">
        <f t="shared" si="81"/>
        <v>0.19207848957514762</v>
      </c>
      <c r="J89" s="8" t="e">
        <f t="shared" si="82"/>
        <v>#REF!</v>
      </c>
      <c r="K89" s="8">
        <f t="shared" si="83"/>
        <v>0.19230001973830974</v>
      </c>
      <c r="L89" s="8">
        <f t="shared" si="84"/>
        <v>-0.31511590701102293</v>
      </c>
      <c r="M89" s="8" t="e">
        <f t="shared" si="85"/>
        <v>#REF!</v>
      </c>
      <c r="N89" s="8" t="e">
        <f t="shared" si="86"/>
        <v>#REF!</v>
      </c>
      <c r="P89" s="7">
        <f t="shared" si="87"/>
        <v>91.156701118271627</v>
      </c>
      <c r="Q89" s="7">
        <f t="shared" si="88"/>
        <v>107.05076820426896</v>
      </c>
      <c r="R89" s="7">
        <f t="shared" si="89"/>
        <v>94.497548374428362</v>
      </c>
      <c r="S89" s="7">
        <f t="shared" si="90"/>
        <v>70.588874887473409</v>
      </c>
      <c r="T89" s="7">
        <f t="shared" si="91"/>
        <v>22.318312235894481</v>
      </c>
      <c r="U89" s="7">
        <f t="shared" si="92"/>
        <v>117.97835169877587</v>
      </c>
      <c r="V89" s="7">
        <f t="shared" si="93"/>
        <v>95.09220013827516</v>
      </c>
      <c r="W89" s="7">
        <f t="shared" si="94"/>
        <v>81.525935433197247</v>
      </c>
      <c r="X89" s="7" t="e">
        <f t="shared" si="95"/>
        <v>#DIV/0!</v>
      </c>
      <c r="Y89" s="7" t="e">
        <f t="shared" si="96"/>
        <v>#REF!</v>
      </c>
      <c r="Z89" s="7">
        <f t="shared" si="97"/>
        <v>82.82928889140176</v>
      </c>
      <c r="AA89" s="7" t="e">
        <f t="shared" si="98"/>
        <v>#REF!</v>
      </c>
      <c r="AB89" s="7">
        <f t="shared" si="99"/>
        <v>107.82801000602373</v>
      </c>
      <c r="AC89" s="7">
        <f t="shared" si="100"/>
        <v>135.58357609073988</v>
      </c>
      <c r="AD89" s="7">
        <f t="shared" si="101"/>
        <v>107.81692535012782</v>
      </c>
      <c r="AE89" s="7" t="e">
        <f t="shared" si="102"/>
        <v>#REF!</v>
      </c>
      <c r="AG89" s="7">
        <f t="shared" si="103"/>
        <v>6.5974725474300902E-2</v>
      </c>
      <c r="AH89" s="7">
        <f t="shared" si="104"/>
        <v>3.3859234519558086E-2</v>
      </c>
      <c r="AI89" s="7">
        <f t="shared" si="105"/>
        <v>3.1802393359535892E-2</v>
      </c>
      <c r="AJ89" s="7">
        <f t="shared" si="106"/>
        <v>1.7053278760103808E-2</v>
      </c>
      <c r="AK89" s="7">
        <f t="shared" si="107"/>
        <v>9.5721077938450052E-4</v>
      </c>
      <c r="AL89" s="7">
        <f t="shared" si="108"/>
        <v>3.3814728691138277E-3</v>
      </c>
      <c r="AM89" s="7">
        <f t="shared" si="109"/>
        <v>0.10837795391416134</v>
      </c>
      <c r="AN89" s="7">
        <f t="shared" si="110"/>
        <v>3.8407381407489775E-2</v>
      </c>
      <c r="AO89" s="7">
        <f t="shared" si="111"/>
        <v>0</v>
      </c>
      <c r="AP89" s="7" t="e">
        <f t="shared" si="112"/>
        <v>#REF!</v>
      </c>
      <c r="AQ89" s="7">
        <f t="shared" si="113"/>
        <v>13.505376344086011</v>
      </c>
      <c r="AR89" s="7" t="e">
        <f t="shared" si="114"/>
        <v>#REF!</v>
      </c>
      <c r="AS89" s="7">
        <f t="shared" si="115"/>
        <v>327.8163278163276</v>
      </c>
      <c r="AT89" s="7">
        <f t="shared" si="116"/>
        <v>8.207857303057299E-2</v>
      </c>
      <c r="AU89" s="7">
        <f t="shared" si="117"/>
        <v>36.470029162845144</v>
      </c>
      <c r="AV89" s="7" t="e">
        <f t="shared" si="118"/>
        <v>#REF!</v>
      </c>
      <c r="AX89" s="7" t="str">
        <f>'2026_Fantasy_Starters'!Z103</f>
        <v>0.2266055299627745</v>
      </c>
      <c r="AY89" s="7" t="str">
        <f>'2026_Fantasy_Starters'!AA103</f>
        <v>0.11629741127800683</v>
      </c>
      <c r="AZ89" s="7" t="str">
        <f>'2026_Fantasy_Starters'!AB103</f>
        <v>0.10923271221688469</v>
      </c>
      <c r="BA89" s="7">
        <f>'2026_Fantasy_Starters'!AC103</f>
        <v>3.6618386000000003E-2</v>
      </c>
      <c r="BB89" s="7">
        <f>'2026_Fantasy_Starters'!AD103</f>
        <v>2.055412E-3</v>
      </c>
      <c r="BC89" s="7">
        <f>'2026_Fantasy_Starters'!AE103</f>
        <v>7.2610130000000002E-3</v>
      </c>
      <c r="BD89" s="7" t="str">
        <f>'2026_Fantasy_Starters'!AF103</f>
        <v>0.2327192211038965</v>
      </c>
      <c r="BE89" s="7">
        <f>'2026_Fantasy_Starters'!AG103</f>
        <v>8.2471901E-2</v>
      </c>
      <c r="BF89" s="7">
        <f>'2026_Fantasy_Starters'!AH103</f>
        <v>0</v>
      </c>
      <c r="BG89" s="7" t="e">
        <f>'2026_Fantasy_Starters'!#REF!</f>
        <v>#REF!</v>
      </c>
      <c r="BH89" s="7">
        <f>'2026_Fantasy_Starters'!D103</f>
        <v>29</v>
      </c>
    </row>
    <row r="90" spans="1:60" s="7" customFormat="1">
      <c r="A90" s="7" t="str">
        <f>'2026_Fantasy_Starters'!A73</f>
        <v xml:space="preserve">NYY </v>
      </c>
      <c r="B90" s="7" t="s">
        <v>196</v>
      </c>
      <c r="C90" s="7" t="str">
        <f>'2026_Fantasy_Starters'!C73</f>
        <v>SP</v>
      </c>
      <c r="D90" s="7" t="str">
        <f>'2026_Fantasy_Starters'!W73</f>
        <v>0.16867647058823532</v>
      </c>
      <c r="E90" s="7" t="str">
        <f>'2026_Fantasy_Starters'!X90</f>
        <v>0.3536832298136645</v>
      </c>
      <c r="F90" s="7">
        <f>'2026_Fantasy_Starters'!Y73</f>
        <v>8.4694988999999998E-2</v>
      </c>
      <c r="G90" s="8">
        <f t="shared" si="119"/>
        <v>-2.5599587152461294</v>
      </c>
      <c r="H90" s="8">
        <f t="shared" si="80"/>
        <v>1.8503167854126754</v>
      </c>
      <c r="I90" s="8">
        <f t="shared" si="81"/>
        <v>1.9213036789102811</v>
      </c>
      <c r="J90" s="8" t="e">
        <f t="shared" si="82"/>
        <v>#REF!</v>
      </c>
      <c r="K90" s="8">
        <f t="shared" si="83"/>
        <v>1.9206622471337338</v>
      </c>
      <c r="L90" s="8">
        <f t="shared" si="84"/>
        <v>-2.391126846568794</v>
      </c>
      <c r="M90" s="8" t="e">
        <f t="shared" si="85"/>
        <v>#REF!</v>
      </c>
      <c r="N90" s="8" t="e">
        <f t="shared" si="86"/>
        <v>#REF!</v>
      </c>
      <c r="P90" s="7">
        <f t="shared" si="87"/>
        <v>46.940560059782733</v>
      </c>
      <c r="Q90" s="7">
        <f t="shared" si="88"/>
        <v>144.11256707419676</v>
      </c>
      <c r="R90" s="7">
        <f t="shared" si="89"/>
        <v>58.246919590161177</v>
      </c>
      <c r="S90" s="7">
        <f t="shared" si="90"/>
        <v>179.3434759432958</v>
      </c>
      <c r="T90" s="7">
        <f t="shared" si="91"/>
        <v>162.85414200334287</v>
      </c>
      <c r="U90" s="7">
        <f t="shared" si="92"/>
        <v>178.766722040714</v>
      </c>
      <c r="V90" s="7">
        <f t="shared" si="93"/>
        <v>181.08994219599859</v>
      </c>
      <c r="W90" s="7">
        <f t="shared" si="94"/>
        <v>170.14610563345832</v>
      </c>
      <c r="X90" s="7" t="e">
        <f t="shared" si="95"/>
        <v>#DIV/0!</v>
      </c>
      <c r="Y90" s="7" t="e">
        <f t="shared" si="96"/>
        <v>#REF!</v>
      </c>
      <c r="Z90" s="7">
        <f t="shared" si="97"/>
        <v>173.54714255399639</v>
      </c>
      <c r="AA90" s="7" t="e">
        <f t="shared" si="98"/>
        <v>#REF!</v>
      </c>
      <c r="AB90" s="7">
        <f t="shared" si="99"/>
        <v>178.18492847382441</v>
      </c>
      <c r="AC90" s="7">
        <f t="shared" si="100"/>
        <v>182.51807249178452</v>
      </c>
      <c r="AD90" s="7">
        <f t="shared" si="101"/>
        <v>178.19036616847129</v>
      </c>
      <c r="AE90" s="7" t="e">
        <f t="shared" si="102"/>
        <v>#REF!</v>
      </c>
      <c r="AG90" s="7">
        <f t="shared" si="103"/>
        <v>3.3973262805287639E-2</v>
      </c>
      <c r="AH90" s="7">
        <f t="shared" si="104"/>
        <v>2.0358486687544135E-2</v>
      </c>
      <c r="AI90" s="7">
        <f t="shared" si="105"/>
        <v>1.960253446415158E-2</v>
      </c>
      <c r="AJ90" s="7">
        <f t="shared" si="106"/>
        <v>2.7220338486931947E-3</v>
      </c>
      <c r="AK90" s="7">
        <f t="shared" si="107"/>
        <v>2.0011300056476099E-4</v>
      </c>
      <c r="AL90" s="7">
        <f t="shared" si="108"/>
        <v>8.7537564568312487E-4</v>
      </c>
      <c r="AM90" s="7">
        <f t="shared" si="109"/>
        <v>1.9535567192310546E-2</v>
      </c>
      <c r="AN90" s="7">
        <f t="shared" si="110"/>
        <v>9.678151177029545E-3</v>
      </c>
      <c r="AO90" s="7">
        <f t="shared" si="111"/>
        <v>0</v>
      </c>
      <c r="AP90" s="7" t="e">
        <f t="shared" si="112"/>
        <v>#REF!</v>
      </c>
      <c r="AQ90" s="7">
        <f t="shared" si="113"/>
        <v>3.0490196039999997</v>
      </c>
      <c r="AR90" s="7" t="e">
        <f t="shared" si="114"/>
        <v>#REF!</v>
      </c>
      <c r="AS90" s="7">
        <f t="shared" si="115"/>
        <v>77.586874702702829</v>
      </c>
      <c r="AT90" s="7">
        <f t="shared" si="116"/>
        <v>2.2275245606920076E-2</v>
      </c>
      <c r="AU90" s="7">
        <f t="shared" si="117"/>
        <v>8.6284601038519284</v>
      </c>
      <c r="AV90" s="7" t="e">
        <f t="shared" si="118"/>
        <v>#REF!</v>
      </c>
      <c r="AX90" s="7" t="str">
        <f>'2026_Fantasy_Starters'!Z73</f>
        <v>0.2014107995431182</v>
      </c>
      <c r="AY90" s="7" t="str">
        <f>'2026_Fantasy_Starters'!AA73</f>
        <v>0.12069547469511872</v>
      </c>
      <c r="AZ90" s="7" t="str">
        <f>'2026_Fantasy_Starters'!AB73</f>
        <v>0.11621380501851089</v>
      </c>
      <c r="BA90" s="7">
        <f>'2026_Fantasy_Starters'!AC73</f>
        <v>3.2139254999999999E-2</v>
      </c>
      <c r="BB90" s="7">
        <f>'2026_Fantasy_Starters'!AD73</f>
        <v>2.3627489999999999E-3</v>
      </c>
      <c r="BC90" s="7">
        <f>'2026_Fantasy_Starters'!AE73</f>
        <v>1.0335624999999999E-2</v>
      </c>
      <c r="BD90" s="7" t="str">
        <f>'2026_Fantasy_Starters'!AF73</f>
        <v>0.23065788688290112</v>
      </c>
      <c r="BE90" s="7" t="str">
        <f>'2026_Fantasy_Starters'!AG73</f>
        <v>0.11427064683873596</v>
      </c>
      <c r="BF90" s="7">
        <f>'2026_Fantasy_Starters'!AH73</f>
        <v>0</v>
      </c>
      <c r="BG90" s="7" t="e">
        <f>'2026_Fantasy_Starters'!#REF!</f>
        <v>#REF!</v>
      </c>
      <c r="BH90" s="7">
        <f>'2026_Fantasy_Starters'!D73</f>
        <v>36</v>
      </c>
    </row>
    <row r="91" spans="1:60" s="7" customFormat="1">
      <c r="A91" s="7" t="str">
        <f>'2026_Fantasy_Starters'!A78</f>
        <v xml:space="preserve">CHC </v>
      </c>
      <c r="B91" s="7" t="s">
        <v>208</v>
      </c>
      <c r="C91" s="7" t="str">
        <f>'2026_Fantasy_Starters'!C78</f>
        <v>SP</v>
      </c>
      <c r="D91" s="7">
        <f>'2026_Fantasy_Starters'!W78</f>
        <v>0.33330494500000002</v>
      </c>
      <c r="E91" s="7" t="str">
        <f>'2026_Fantasy_Starters'!X91</f>
        <v>0.28335395537525354</v>
      </c>
      <c r="F91" s="7" t="str">
        <f>'2026_Fantasy_Starters'!Y78</f>
        <v>0.45436507936507936</v>
      </c>
      <c r="G91" s="8">
        <f t="shared" si="119"/>
        <v>0.50628283691384113</v>
      </c>
      <c r="H91" s="8">
        <f t="shared" si="80"/>
        <v>0.46048298450581565</v>
      </c>
      <c r="I91" s="8">
        <f t="shared" si="81"/>
        <v>-0.23576178093963354</v>
      </c>
      <c r="J91" s="8" t="e">
        <f t="shared" si="82"/>
        <v>#REF!</v>
      </c>
      <c r="K91" s="8">
        <f t="shared" si="83"/>
        <v>-0.23483691167475698</v>
      </c>
      <c r="L91" s="8">
        <f t="shared" si="84"/>
        <v>0.81258477993099654</v>
      </c>
      <c r="M91" s="8" t="e">
        <f t="shared" si="85"/>
        <v>#REF!</v>
      </c>
      <c r="N91" s="8" t="e">
        <f t="shared" si="86"/>
        <v>#REF!</v>
      </c>
      <c r="P91" s="7">
        <f t="shared" si="87"/>
        <v>110.49356132894121</v>
      </c>
      <c r="Q91" s="7">
        <f t="shared" si="88"/>
        <v>83.190977760137713</v>
      </c>
      <c r="R91" s="7">
        <f t="shared" si="89"/>
        <v>114.18909151764822</v>
      </c>
      <c r="S91" s="7">
        <f t="shared" si="90"/>
        <v>63.785652145210712</v>
      </c>
      <c r="T91" s="7">
        <f t="shared" si="91"/>
        <v>135.32114085793907</v>
      </c>
      <c r="U91" s="7">
        <f t="shared" si="92"/>
        <v>122.67627305596181</v>
      </c>
      <c r="V91" s="7">
        <f t="shared" si="93"/>
        <v>119.2136963803713</v>
      </c>
      <c r="W91" s="7">
        <f t="shared" si="94"/>
        <v>119.48453558779111</v>
      </c>
      <c r="X91" s="7" t="e">
        <f t="shared" si="95"/>
        <v>#DIV/0!</v>
      </c>
      <c r="Y91" s="7" t="e">
        <f t="shared" si="96"/>
        <v>#REF!</v>
      </c>
      <c r="Z91" s="7">
        <f t="shared" si="97"/>
        <v>93.565828260926835</v>
      </c>
      <c r="AA91" s="7" t="e">
        <f t="shared" si="98"/>
        <v>#REF!</v>
      </c>
      <c r="AB91" s="7">
        <f t="shared" si="99"/>
        <v>90.440428987603198</v>
      </c>
      <c r="AC91" s="7">
        <f t="shared" si="100"/>
        <v>120.53603393551307</v>
      </c>
      <c r="AD91" s="7">
        <f t="shared" si="101"/>
        <v>90.405316878039571</v>
      </c>
      <c r="AE91" s="7" t="e">
        <f t="shared" si="102"/>
        <v>#REF!</v>
      </c>
      <c r="AG91" s="7">
        <f t="shared" si="103"/>
        <v>7.9969791424292211E-2</v>
      </c>
      <c r="AH91" s="7">
        <f t="shared" si="104"/>
        <v>4.25507989857472E-2</v>
      </c>
      <c r="AI91" s="7">
        <f t="shared" si="105"/>
        <v>3.842942455420352E-2</v>
      </c>
      <c r="AJ91" s="7">
        <f t="shared" si="106"/>
        <v>1.7949780152777765E-2</v>
      </c>
      <c r="AK91" s="7">
        <f t="shared" si="107"/>
        <v>3.4843940277777752E-4</v>
      </c>
      <c r="AL91" s="7">
        <f t="shared" si="108"/>
        <v>3.187793591269839E-3</v>
      </c>
      <c r="AM91" s="7">
        <f t="shared" si="109"/>
        <v>8.3458563635152125E-2</v>
      </c>
      <c r="AN91" s="7">
        <f t="shared" si="110"/>
        <v>2.6101815297619027E-2</v>
      </c>
      <c r="AO91" s="7">
        <f t="shared" si="111"/>
        <v>0</v>
      </c>
      <c r="AP91" s="7" t="e">
        <f t="shared" si="112"/>
        <v>#REF!</v>
      </c>
      <c r="AQ91" s="7">
        <f t="shared" si="113"/>
        <v>12.267857142857133</v>
      </c>
      <c r="AR91" s="7" t="e">
        <f t="shared" si="114"/>
        <v>#REF!</v>
      </c>
      <c r="AS91" s="7">
        <f t="shared" si="115"/>
        <v>389.6565133156318</v>
      </c>
      <c r="AT91" s="7">
        <f t="shared" si="116"/>
        <v>0.10125195635061261</v>
      </c>
      <c r="AU91" s="7">
        <f t="shared" si="117"/>
        <v>43.358515700758431</v>
      </c>
      <c r="AV91" s="7" t="e">
        <f t="shared" si="118"/>
        <v>#REF!</v>
      </c>
      <c r="AX91" s="7" t="str">
        <f>'2026_Fantasy_Starters'!Z78</f>
        <v>0.23992980789496648</v>
      </c>
      <c r="AY91" s="7" t="str">
        <f>'2026_Fantasy_Starters'!AA78</f>
        <v>0.12766326939958061</v>
      </c>
      <c r="AZ91" s="7" t="str">
        <f>'2026_Fantasy_Starters'!AB78</f>
        <v>0.11529809302470347</v>
      </c>
      <c r="BA91" s="7">
        <f>'2026_Fantasy_Starters'!AC78</f>
        <v>3.9505193000000001E-2</v>
      </c>
      <c r="BB91" s="7">
        <f>'2026_Fantasy_Starters'!AD78</f>
        <v>7.6687100000000002E-4</v>
      </c>
      <c r="BC91" s="7">
        <f>'2026_Fantasy_Starters'!AE78</f>
        <v>7.0159300000000001E-3</v>
      </c>
      <c r="BD91" s="7" t="str">
        <f>'2026_Fantasy_Starters'!AF78</f>
        <v>0.18368172957256296</v>
      </c>
      <c r="BE91" s="7">
        <f>'2026_Fantasy_Starters'!AG78</f>
        <v>5.7446789999999998E-2</v>
      </c>
      <c r="BF91" s="7">
        <f>'2026_Fantasy_Starters'!AH78</f>
        <v>0</v>
      </c>
      <c r="BG91" s="7" t="e">
        <f>'2026_Fantasy_Starters'!#REF!</f>
        <v>#REF!</v>
      </c>
      <c r="BH91" s="7">
        <f>'2026_Fantasy_Starters'!D78</f>
        <v>27</v>
      </c>
    </row>
    <row r="92" spans="1:60" s="7" customFormat="1">
      <c r="A92" s="7" t="str">
        <f>'2026_Fantasy_Starters'!A44</f>
        <v xml:space="preserve">BAL </v>
      </c>
      <c r="B92" s="7" t="s">
        <v>132</v>
      </c>
      <c r="C92" s="7" t="str">
        <f>'2026_Fantasy_Starters'!C44</f>
        <v>SP</v>
      </c>
      <c r="D92" s="7" t="str">
        <f>'2026_Fantasy_Starters'!W44</f>
        <v>0.34170923076923077</v>
      </c>
      <c r="E92" s="7" t="str">
        <f>'2026_Fantasy_Starters'!X92</f>
        <v>0.3760603448275862</v>
      </c>
      <c r="F92" s="7" t="str">
        <f>'2026_Fantasy_Starters'!Y44</f>
        <v>0.4635897435897436</v>
      </c>
      <c r="G92" s="8">
        <f t="shared" si="119"/>
        <v>0.40868824038811763</v>
      </c>
      <c r="H92" s="8">
        <f t="shared" si="80"/>
        <v>0.68230603828287395</v>
      </c>
      <c r="I92" s="8">
        <f t="shared" si="81"/>
        <v>0.54091059538616848</v>
      </c>
      <c r="J92" s="8" t="e">
        <f t="shared" si="82"/>
        <v>#REF!</v>
      </c>
      <c r="K92" s="8">
        <f t="shared" si="83"/>
        <v>0.54074136917744409</v>
      </c>
      <c r="L92" s="8">
        <f t="shared" si="84"/>
        <v>0.40917380051370772</v>
      </c>
      <c r="M92" s="8" t="e">
        <f t="shared" si="85"/>
        <v>#REF!</v>
      </c>
      <c r="N92" s="8" t="e">
        <f t="shared" si="86"/>
        <v>#REF!</v>
      </c>
      <c r="P92" s="7">
        <f t="shared" si="87"/>
        <v>108.47074955388941</v>
      </c>
      <c r="Q92" s="7">
        <f t="shared" si="88"/>
        <v>88.918117927125707</v>
      </c>
      <c r="R92" s="7">
        <f t="shared" si="89"/>
        <v>107.14486001399875</v>
      </c>
      <c r="S92" s="7">
        <f t="shared" si="90"/>
        <v>100.74028851256368</v>
      </c>
      <c r="T92" s="7">
        <f t="shared" si="91"/>
        <v>62.921992881839394</v>
      </c>
      <c r="U92" s="7">
        <f t="shared" si="92"/>
        <v>110.15344192658999</v>
      </c>
      <c r="V92" s="7">
        <f t="shared" si="93"/>
        <v>107.82635773021207</v>
      </c>
      <c r="W92" s="7">
        <f t="shared" si="94"/>
        <v>87.967524558276523</v>
      </c>
      <c r="X92" s="7" t="e">
        <f t="shared" si="95"/>
        <v>#DIV/0!</v>
      </c>
      <c r="Y92" s="7" t="e">
        <f t="shared" si="96"/>
        <v>#REF!</v>
      </c>
      <c r="Z92" s="7">
        <f t="shared" si="97"/>
        <v>99.449044337721844</v>
      </c>
      <c r="AA92" s="7" t="e">
        <f t="shared" si="98"/>
        <v>#REF!</v>
      </c>
      <c r="AB92" s="7">
        <f t="shared" si="99"/>
        <v>122.01210823770239</v>
      </c>
      <c r="AC92" s="7">
        <f t="shared" si="100"/>
        <v>130.4286161010269</v>
      </c>
      <c r="AD92" s="7">
        <f t="shared" si="101"/>
        <v>122.01317677257478</v>
      </c>
      <c r="AE92" s="7" t="e">
        <f t="shared" si="102"/>
        <v>#REF!</v>
      </c>
      <c r="AG92" s="7">
        <f t="shared" si="103"/>
        <v>7.8505780003211109E-2</v>
      </c>
      <c r="AH92" s="7">
        <f t="shared" si="104"/>
        <v>4.0464535567598818E-2</v>
      </c>
      <c r="AI92" s="7">
        <f t="shared" si="105"/>
        <v>3.6058744837656316E-2</v>
      </c>
      <c r="AJ92" s="7">
        <f t="shared" si="106"/>
        <v>1.3080046465641008E-2</v>
      </c>
      <c r="AK92" s="7">
        <f t="shared" si="107"/>
        <v>7.3846971897435798E-4</v>
      </c>
      <c r="AL92" s="7">
        <f t="shared" si="108"/>
        <v>3.7040672164102514E-3</v>
      </c>
      <c r="AM92" s="7">
        <f t="shared" si="109"/>
        <v>9.5222574176394778E-2</v>
      </c>
      <c r="AN92" s="7">
        <f t="shared" si="110"/>
        <v>3.6319122079999946E-2</v>
      </c>
      <c r="AO92" s="7">
        <f t="shared" si="111"/>
        <v>0</v>
      </c>
      <c r="AP92" s="7" t="e">
        <f t="shared" si="112"/>
        <v>#REF!</v>
      </c>
      <c r="AQ92" s="7">
        <f t="shared" si="113"/>
        <v>11.589743589743575</v>
      </c>
      <c r="AR92" s="7" t="e">
        <f t="shared" si="114"/>
        <v>#REF!</v>
      </c>
      <c r="AS92" s="7">
        <f t="shared" si="115"/>
        <v>277.36955981230773</v>
      </c>
      <c r="AT92" s="7">
        <f t="shared" si="116"/>
        <v>8.8646956282976974E-2</v>
      </c>
      <c r="AU92" s="7">
        <f t="shared" si="117"/>
        <v>30.853621754585191</v>
      </c>
      <c r="AV92" s="7" t="e">
        <f t="shared" si="118"/>
        <v>#REF!</v>
      </c>
      <c r="AX92" s="7" t="str">
        <f>'2026_Fantasy_Starters'!Z44</f>
        <v>0.22974439357837909</v>
      </c>
      <c r="AY92" s="7" t="str">
        <f>'2026_Fantasy_Starters'!AA44</f>
        <v>0.11841803476162571</v>
      </c>
      <c r="AZ92" s="7" t="str">
        <f>'2026_Fantasy_Starters'!AB44</f>
        <v>0.10552464373433401</v>
      </c>
      <c r="BA92" s="7">
        <f>'2026_Fantasy_Starters'!AC44</f>
        <v>2.8214702000000001E-2</v>
      </c>
      <c r="BB92" s="7">
        <f>'2026_Fantasy_Starters'!AD44</f>
        <v>1.5929379999999999E-3</v>
      </c>
      <c r="BC92" s="7">
        <f>'2026_Fantasy_Starters'!AE44</f>
        <v>7.9899680000000001E-3</v>
      </c>
      <c r="BD92" s="7" t="str">
        <f>'2026_Fantasy_Starters'!AF44</f>
        <v>0.20540267659731276</v>
      </c>
      <c r="BE92" s="7">
        <f>'2026_Fantasy_Starters'!AG44</f>
        <v>7.8343238999999995E-2</v>
      </c>
      <c r="BF92" s="7">
        <f>'2026_Fantasy_Starters'!AH44</f>
        <v>0</v>
      </c>
      <c r="BG92" s="7" t="e">
        <f>'2026_Fantasy_Starters'!#REF!</f>
        <v>#REF!</v>
      </c>
      <c r="BH92" s="7">
        <f>'2026_Fantasy_Starters'!D44</f>
        <v>25</v>
      </c>
    </row>
    <row r="93" spans="1:60" s="7" customFormat="1">
      <c r="A93" s="7" t="str">
        <f>'2026_Fantasy_Starters'!A96</f>
        <v xml:space="preserve">NYM </v>
      </c>
      <c r="B93" s="7" t="s">
        <v>247</v>
      </c>
      <c r="C93" s="7" t="str">
        <f>'2026_Fantasy_Starters'!C96</f>
        <v>SP</v>
      </c>
      <c r="D93" s="7" t="str">
        <f>'2026_Fantasy_Starters'!W96</f>
        <v>0.26305359605911327</v>
      </c>
      <c r="E93" s="7" t="str">
        <f>'2026_Fantasy_Starters'!X93</f>
        <v>0.3842032258064516</v>
      </c>
      <c r="F93" s="7" t="str">
        <f>'2026_Fantasy_Starters'!Y96</f>
        <v>0.21954022988505742</v>
      </c>
      <c r="G93" s="8">
        <f t="shared" si="119"/>
        <v>-1.1840540238962538</v>
      </c>
      <c r="H93" s="8">
        <f t="shared" si="80"/>
        <v>1.3693944466670442</v>
      </c>
      <c r="I93" s="8">
        <f t="shared" si="81"/>
        <v>1.4269741526593698</v>
      </c>
      <c r="J93" s="8" t="e">
        <f t="shared" si="82"/>
        <v>#REF!</v>
      </c>
      <c r="K93" s="8">
        <f t="shared" si="83"/>
        <v>1.4264382193825869</v>
      </c>
      <c r="L93" s="8">
        <f t="shared" si="84"/>
        <v>-1.2518940859737748</v>
      </c>
      <c r="M93" s="8" t="e">
        <f t="shared" si="85"/>
        <v>#REF!</v>
      </c>
      <c r="N93" s="8" t="e">
        <f t="shared" si="86"/>
        <v>#REF!</v>
      </c>
      <c r="P93" s="7">
        <f t="shared" si="87"/>
        <v>75.458493532441423</v>
      </c>
      <c r="Q93" s="7">
        <f t="shared" si="88"/>
        <v>119.85137440226603</v>
      </c>
      <c r="R93" s="7">
        <f t="shared" si="89"/>
        <v>78.139832058148073</v>
      </c>
      <c r="S93" s="7">
        <f t="shared" si="90"/>
        <v>152.26424306943912</v>
      </c>
      <c r="T93" s="7">
        <f t="shared" si="91"/>
        <v>121.45055137064872</v>
      </c>
      <c r="U93" s="7">
        <f t="shared" si="92"/>
        <v>148.63669268748745</v>
      </c>
      <c r="V93" s="7">
        <f t="shared" si="93"/>
        <v>150.70027491816424</v>
      </c>
      <c r="W93" s="7">
        <f t="shared" si="94"/>
        <v>129.8393630676577</v>
      </c>
      <c r="X93" s="7" t="e">
        <f t="shared" si="95"/>
        <v>#DIV/0!</v>
      </c>
      <c r="Y93" s="7" t="e">
        <f t="shared" si="96"/>
        <v>#REF!</v>
      </c>
      <c r="Z93" s="7">
        <f t="shared" si="97"/>
        <v>144.76371174569991</v>
      </c>
      <c r="AA93" s="7" t="e">
        <f t="shared" si="98"/>
        <v>#REF!</v>
      </c>
      <c r="AB93" s="7">
        <f t="shared" si="99"/>
        <v>158.06641449905669</v>
      </c>
      <c r="AC93" s="7">
        <f t="shared" si="100"/>
        <v>161.07051025574305</v>
      </c>
      <c r="AD93" s="7">
        <f t="shared" si="101"/>
        <v>158.07287662753203</v>
      </c>
      <c r="AE93" s="7" t="e">
        <f t="shared" si="102"/>
        <v>#REF!</v>
      </c>
      <c r="AG93" s="7">
        <f t="shared" si="103"/>
        <v>5.4613136877868673E-2</v>
      </c>
      <c r="AH93" s="7">
        <f t="shared" si="104"/>
        <v>2.9196272611459802E-2</v>
      </c>
      <c r="AI93" s="7">
        <f t="shared" si="105"/>
        <v>2.6297334892909922E-2</v>
      </c>
      <c r="AJ93" s="7">
        <f t="shared" si="106"/>
        <v>6.2904264919540097E-3</v>
      </c>
      <c r="AK93" s="7">
        <f t="shared" si="107"/>
        <v>4.2316335402298758E-4</v>
      </c>
      <c r="AL93" s="7">
        <f t="shared" si="108"/>
        <v>2.117534013793099E-3</v>
      </c>
      <c r="AM93" s="7">
        <f t="shared" si="109"/>
        <v>5.0930467896023353E-2</v>
      </c>
      <c r="AN93" s="7">
        <f t="shared" si="110"/>
        <v>2.2744947194189152E-2</v>
      </c>
      <c r="AO93" s="7">
        <f t="shared" si="111"/>
        <v>0</v>
      </c>
      <c r="AP93" s="7" t="e">
        <f t="shared" si="112"/>
        <v>#REF!</v>
      </c>
      <c r="AQ93" s="7">
        <f t="shared" si="113"/>
        <v>6.3666666666666529</v>
      </c>
      <c r="AR93" s="7" t="e">
        <f t="shared" si="114"/>
        <v>#REF!</v>
      </c>
      <c r="AS93" s="7">
        <f t="shared" si="115"/>
        <v>149.1398201556635</v>
      </c>
      <c r="AT93" s="7">
        <f t="shared" si="116"/>
        <v>4.9603451621560796E-2</v>
      </c>
      <c r="AU93" s="7">
        <f t="shared" si="117"/>
        <v>16.587463782433449</v>
      </c>
      <c r="AV93" s="7" t="e">
        <f t="shared" si="118"/>
        <v>#REF!</v>
      </c>
      <c r="AX93" s="7" t="str">
        <f>'2026_Fantasy_Starters'!Z96</f>
        <v>0.2076122041137055</v>
      </c>
      <c r="AY93" s="7" t="str">
        <f>'2026_Fantasy_Starters'!AA96</f>
        <v>0.11098982507313473</v>
      </c>
      <c r="AZ93" s="7">
        <f>'2026_Fantasy_Starters'!AB96</f>
        <v>9.9969494000000006E-2</v>
      </c>
      <c r="BA93" s="7">
        <f>'2026_Fantasy_Starters'!AC96</f>
        <v>2.8652727999999999E-2</v>
      </c>
      <c r="BB93" s="7">
        <f>'2026_Fantasy_Starters'!AD96</f>
        <v>1.9274979999999999E-3</v>
      </c>
      <c r="BC93" s="7">
        <f>'2026_Fantasy_Starters'!AE96</f>
        <v>9.6453119999999996E-3</v>
      </c>
      <c r="BD93" s="7" t="str">
        <f>'2026_Fantasy_Starters'!AF96</f>
        <v>0.23198694800806557</v>
      </c>
      <c r="BE93" s="7" t="str">
        <f>'2026_Fantasy_Starters'!AG96</f>
        <v>0.10360263905206638</v>
      </c>
      <c r="BF93" s="7">
        <f>'2026_Fantasy_Starters'!AH96</f>
        <v>0</v>
      </c>
      <c r="BG93" s="7" t="e">
        <f>'2026_Fantasy_Starters'!#REF!</f>
        <v>#REF!</v>
      </c>
      <c r="BH93" s="7">
        <f>'2026_Fantasy_Starters'!D96</f>
        <v>29</v>
      </c>
    </row>
    <row r="94" spans="1:60">
      <c r="A94" t="str">
        <f>'2026_Fantasy_Starters'!A88</f>
        <v xml:space="preserve">ATL </v>
      </c>
      <c r="B94" t="s">
        <v>231</v>
      </c>
      <c r="C94" t="str">
        <f>'2026_Fantasy_Starters'!C88</f>
        <v>SP</v>
      </c>
      <c r="D94" t="str">
        <f>'2026_Fantasy_Starters'!W88</f>
        <v>0.3516293706293706</v>
      </c>
      <c r="E94" t="str">
        <f>'2026_Fantasy_Starters'!X94</f>
        <v>0.24169354838709678</v>
      </c>
      <c r="F94" t="str">
        <f>'2026_Fantasy_Starters'!Y88</f>
        <v>0.41258741258741255</v>
      </c>
      <c r="G94" s="3">
        <f t="shared" si="119"/>
        <v>0.51747312243343335</v>
      </c>
      <c r="H94" s="3">
        <f t="shared" si="80"/>
        <v>-0.60142871376474616</v>
      </c>
      <c r="I94" s="3">
        <f t="shared" si="81"/>
        <v>1.288186133365312</v>
      </c>
      <c r="J94" s="3" t="e">
        <f t="shared" si="82"/>
        <v>#REF!</v>
      </c>
      <c r="K94" s="3">
        <f t="shared" si="83"/>
        <v>1.2892633784793801</v>
      </c>
      <c r="L94" s="3">
        <f t="shared" si="84"/>
        <v>0.80277940765320976</v>
      </c>
      <c r="M94" s="3" t="e">
        <f t="shared" si="85"/>
        <v>#REF!</v>
      </c>
      <c r="N94" s="4" t="e">
        <f t="shared" si="86"/>
        <v>#REF!</v>
      </c>
      <c r="P94">
        <f t="shared" si="87"/>
        <v>110.7254987734416</v>
      </c>
      <c r="Q94">
        <f t="shared" si="88"/>
        <v>85.9529040124565</v>
      </c>
      <c r="R94">
        <f t="shared" si="89"/>
        <v>114.01787329150086</v>
      </c>
      <c r="S94">
        <f t="shared" si="90"/>
        <v>118.7803248451948</v>
      </c>
      <c r="T94">
        <f t="shared" si="91"/>
        <v>58.696905838566863</v>
      </c>
      <c r="U94">
        <f t="shared" si="92"/>
        <v>94.737890573315667</v>
      </c>
      <c r="V94">
        <f t="shared" si="93"/>
        <v>119.31378297041256</v>
      </c>
      <c r="W94">
        <f t="shared" si="94"/>
        <v>76.246355976975721</v>
      </c>
      <c r="X94" t="e">
        <f t="shared" si="95"/>
        <v>#DIV/0!</v>
      </c>
      <c r="Y94" t="e">
        <f t="shared" si="96"/>
        <v>#REF!</v>
      </c>
      <c r="Z94">
        <f t="shared" si="97"/>
        <v>160.6249576278247</v>
      </c>
      <c r="AA94" t="e">
        <f t="shared" si="98"/>
        <v>#REF!</v>
      </c>
      <c r="AB94">
        <f t="shared" si="99"/>
        <v>152.48240037037232</v>
      </c>
      <c r="AC94">
        <f t="shared" si="100"/>
        <v>73.178247858778732</v>
      </c>
      <c r="AD94">
        <f t="shared" si="101"/>
        <v>152.42468776102541</v>
      </c>
      <c r="AE94" t="e">
        <f t="shared" si="102"/>
        <v>#REF!</v>
      </c>
      <c r="AG94">
        <f t="shared" si="103"/>
        <v>8.0137656310147076E-2</v>
      </c>
      <c r="AH94">
        <f t="shared" si="104"/>
        <v>4.1544693750703382E-2</v>
      </c>
      <c r="AI94">
        <f t="shared" si="105"/>
        <v>3.8371802430964039E-2</v>
      </c>
      <c r="AJ94">
        <f t="shared" si="106"/>
        <v>1.0702802869657618E-2</v>
      </c>
      <c r="AK94">
        <f t="shared" si="107"/>
        <v>7.6123120279720168E-4</v>
      </c>
      <c r="AL94">
        <f t="shared" si="108"/>
        <v>4.3395978323287577E-3</v>
      </c>
      <c r="AM94">
        <f t="shared" si="109"/>
        <v>8.3355166367673303E-2</v>
      </c>
      <c r="AN94">
        <f t="shared" si="110"/>
        <v>4.011893593706288E-2</v>
      </c>
      <c r="AO94">
        <f t="shared" si="111"/>
        <v>0</v>
      </c>
      <c r="AP94" t="e">
        <f t="shared" si="112"/>
        <v>#REF!</v>
      </c>
      <c r="AQ94">
        <f t="shared" si="113"/>
        <v>4.5384615384615321</v>
      </c>
      <c r="AR94" t="e">
        <f t="shared" si="114"/>
        <v>#REF!</v>
      </c>
      <c r="AS94">
        <f t="shared" si="115"/>
        <v>168.99976899976929</v>
      </c>
      <c r="AT94">
        <f t="shared" si="116"/>
        <v>0.16159463399662694</v>
      </c>
      <c r="AU94">
        <f t="shared" si="117"/>
        <v>18.822034645481125</v>
      </c>
      <c r="AV94" t="e">
        <f t="shared" si="118"/>
        <v>#REF!</v>
      </c>
      <c r="AX94" t="str">
        <f>'2026_Fantasy_Starters'!Z88</f>
        <v>0.22790376175548588</v>
      </c>
      <c r="AY94" t="str">
        <f>'2026_Fantasy_Starters'!AA88</f>
        <v>0.11814910021976824</v>
      </c>
      <c r="AZ94" t="str">
        <f>'2026_Fantasy_Starters'!AB88</f>
        <v>0.10912570347091262</v>
      </c>
      <c r="BA94" t="str">
        <f>'2026_Fantasy_Starters'!AC88</f>
        <v>0.025940691701034642</v>
      </c>
      <c r="BB94">
        <f>'2026_Fantasy_Starters'!AD88</f>
        <v>1.8450179999999999E-3</v>
      </c>
      <c r="BC94" t="str">
        <f>'2026_Fantasy_Starters'!AE88</f>
        <v>0.010518008305474884</v>
      </c>
      <c r="BD94" t="str">
        <f>'2026_Fantasy_Starters'!AF88</f>
        <v>0.20203031848436107</v>
      </c>
      <c r="BE94">
        <f>'2026_Fantasy_Starters'!AG88</f>
        <v>9.7237421000000004E-2</v>
      </c>
      <c r="BF94">
        <f>'2026_Fantasy_Starters'!AH88</f>
        <v>0</v>
      </c>
      <c r="BG94" t="e">
        <f>'2026_Fantasy_Starters'!#REF!</f>
        <v>#REF!</v>
      </c>
      <c r="BH94">
        <f>'2026_Fantasy_Starters'!D88</f>
        <v>11</v>
      </c>
    </row>
    <row r="95" spans="1:60" s="7" customFormat="1">
      <c r="A95" s="7" t="str">
        <f>'2026_Fantasy_Starters'!A65</f>
        <v xml:space="preserve">LAD </v>
      </c>
      <c r="B95" s="7" t="s">
        <v>181</v>
      </c>
      <c r="C95" s="7" t="str">
        <f>'2026_Fantasy_Starters'!C65</f>
        <v>SP</v>
      </c>
      <c r="D95" s="7" t="str">
        <f>'2026_Fantasy_Starters'!W65</f>
        <v>0.21129379157427935</v>
      </c>
      <c r="E95" s="7" t="str">
        <f>'2026_Fantasy_Starters'!X95</f>
        <v>0.18357692307692308</v>
      </c>
      <c r="F95" s="7" t="str">
        <f>'2026_Fantasy_Starters'!Y65</f>
        <v>0.17134762256713476</v>
      </c>
      <c r="G95" s="8">
        <f t="shared" si="119"/>
        <v>-1.7362694433650121</v>
      </c>
      <c r="H95" s="8">
        <f t="shared" si="80"/>
        <v>0.30572274842506975</v>
      </c>
      <c r="I95" s="8">
        <f t="shared" si="81"/>
        <v>0.54240953230965705</v>
      </c>
      <c r="J95" s="8" t="e">
        <f t="shared" si="82"/>
        <v>#REF!</v>
      </c>
      <c r="K95" s="8">
        <f t="shared" si="83"/>
        <v>0.54181016589292019</v>
      </c>
      <c r="L95" s="8">
        <f t="shared" si="84"/>
        <v>-1.8599247357343802</v>
      </c>
      <c r="M95" s="8" t="e">
        <f t="shared" si="85"/>
        <v>#REF!</v>
      </c>
      <c r="N95" s="8" t="e">
        <f t="shared" si="86"/>
        <v>#REF!</v>
      </c>
      <c r="P95" s="7">
        <f t="shared" si="87"/>
        <v>64.01290235596521</v>
      </c>
      <c r="Q95" s="7">
        <f t="shared" si="88"/>
        <v>131.78923126289055</v>
      </c>
      <c r="R95" s="7">
        <f t="shared" si="89"/>
        <v>67.522598326892435</v>
      </c>
      <c r="S95" s="7">
        <f t="shared" si="90"/>
        <v>161.21451144207833</v>
      </c>
      <c r="T95" s="7">
        <f t="shared" si="91"/>
        <v>138.61587345840337</v>
      </c>
      <c r="U95" s="7">
        <f t="shared" si="92"/>
        <v>145.55312252221398</v>
      </c>
      <c r="V95" s="7">
        <f t="shared" si="93"/>
        <v>159.49099086252224</v>
      </c>
      <c r="W95" s="7">
        <f t="shared" si="94"/>
        <v>152.95084735374593</v>
      </c>
      <c r="X95" s="7" t="e">
        <f t="shared" si="95"/>
        <v>#DIV/0!</v>
      </c>
      <c r="Y95" s="7" t="e">
        <f t="shared" si="96"/>
        <v>#REF!</v>
      </c>
      <c r="Z95" s="7">
        <f t="shared" si="97"/>
        <v>150.94261463304093</v>
      </c>
      <c r="AA95" s="7" t="e">
        <f t="shared" si="98"/>
        <v>#REF!</v>
      </c>
      <c r="AB95" s="7">
        <f t="shared" si="99"/>
        <v>122.0556160407413</v>
      </c>
      <c r="AC95" s="7">
        <f t="shared" si="100"/>
        <v>113.63423394081191</v>
      </c>
      <c r="AD95" s="7">
        <f t="shared" si="101"/>
        <v>122.07417828326646</v>
      </c>
      <c r="AE95" s="7" t="e">
        <f t="shared" si="102"/>
        <v>#REF!</v>
      </c>
      <c r="AG95" s="7">
        <f t="shared" si="103"/>
        <v>4.6329382348628247E-2</v>
      </c>
      <c r="AH95" s="7">
        <f t="shared" si="104"/>
        <v>2.4847590139364693E-2</v>
      </c>
      <c r="AI95" s="7">
        <f t="shared" si="105"/>
        <v>2.2724189882061197E-2</v>
      </c>
      <c r="AJ95" s="7">
        <f t="shared" si="106"/>
        <v>5.1109960418776346E-3</v>
      </c>
      <c r="AK95" s="7">
        <f t="shared" si="107"/>
        <v>3.3068994530672434E-4</v>
      </c>
      <c r="AL95" s="7">
        <f t="shared" si="108"/>
        <v>2.2446590968637037E-3</v>
      </c>
      <c r="AM95" s="7">
        <f t="shared" si="109"/>
        <v>4.184897148921795E-2</v>
      </c>
      <c r="AN95" s="7">
        <f t="shared" si="110"/>
        <v>1.5252576647819592E-2</v>
      </c>
      <c r="AO95" s="7">
        <f t="shared" si="111"/>
        <v>0</v>
      </c>
      <c r="AP95" s="7" t="e">
        <f t="shared" si="112"/>
        <v>#REF!</v>
      </c>
      <c r="AQ95" s="7">
        <f t="shared" si="113"/>
        <v>5.6544715447154221</v>
      </c>
      <c r="AR95" s="7" t="e">
        <f t="shared" si="114"/>
        <v>#REF!</v>
      </c>
      <c r="AS95" s="7">
        <f t="shared" si="115"/>
        <v>277.21482117398057</v>
      </c>
      <c r="AT95" s="7">
        <f t="shared" si="116"/>
        <v>0.11004614051248834</v>
      </c>
      <c r="AU95" s="7">
        <f t="shared" si="117"/>
        <v>30.82948796557508</v>
      </c>
      <c r="AV95" s="7" t="e">
        <f t="shared" si="118"/>
        <v>#REF!</v>
      </c>
      <c r="AX95" s="7" t="str">
        <f>'2026_Fantasy_Starters'!Z65</f>
        <v>0.21926523256288646</v>
      </c>
      <c r="AY95" s="7" t="str">
        <f>'2026_Fantasy_Starters'!AA65</f>
        <v>0.11759735084610798</v>
      </c>
      <c r="AZ95" s="7" t="str">
        <f>'2026_Fantasy_Starters'!AB65</f>
        <v>0.10754783523335479</v>
      </c>
      <c r="BA95" s="7" t="str">
        <f>'2026_Fantasy_Starters'!AC65</f>
        <v>0.029828228517586576</v>
      </c>
      <c r="BB95" s="7">
        <f>'2026_Fantasy_Starters'!AD65</f>
        <v>1.9299359999999999E-3</v>
      </c>
      <c r="BC95" s="7" t="str">
        <f>'2026_Fantasy_Starters'!AE65</f>
        <v>0.013100030588310392</v>
      </c>
      <c r="BD95" s="7" t="str">
        <f>'2026_Fantasy_Starters'!AF65</f>
        <v>0.24423432821673147</v>
      </c>
      <c r="BE95" s="7">
        <f>'2026_Fantasy_Starters'!AG65</f>
        <v>8.9015396999999996E-2</v>
      </c>
      <c r="BF95" s="7">
        <f>'2026_Fantasy_Starters'!AH65</f>
        <v>0</v>
      </c>
      <c r="BG95" s="7" t="e">
        <f>'2026_Fantasy_Starters'!#REF!</f>
        <v>#REF!</v>
      </c>
      <c r="BH95" s="7">
        <f>'2026_Fantasy_Starters'!D65</f>
        <v>33</v>
      </c>
    </row>
    <row r="96" spans="1:60" s="7" customFormat="1">
      <c r="A96" s="7" t="str">
        <f>'2026_Fantasy_Starters'!A43</f>
        <v xml:space="preserve">PIT </v>
      </c>
      <c r="B96" s="7" t="s">
        <v>130</v>
      </c>
      <c r="C96" s="7" t="str">
        <f>'2026_Fantasy_Starters'!C43</f>
        <v>SP</v>
      </c>
      <c r="D96" s="7" t="str">
        <f>'2026_Fantasy_Starters'!W43</f>
        <v>0.2639120689655172</v>
      </c>
      <c r="E96" s="7" t="str">
        <f>'2026_Fantasy_Starters'!X96</f>
        <v>0.22735862068965518</v>
      </c>
      <c r="F96" s="7" t="str">
        <f>'2026_Fantasy_Starters'!Y43</f>
        <v>0.30370370370370364</v>
      </c>
      <c r="G96" s="8">
        <f t="shared" si="119"/>
        <v>-0.93184951743000277</v>
      </c>
      <c r="H96" s="8">
        <f t="shared" si="80"/>
        <v>-0.21563975519442602</v>
      </c>
      <c r="I96" s="8">
        <f t="shared" si="81"/>
        <v>-3.4103689336149205E-2</v>
      </c>
      <c r="J96" s="8" t="e">
        <f t="shared" si="82"/>
        <v>#REF!</v>
      </c>
      <c r="K96" s="8">
        <f t="shared" si="83"/>
        <v>-3.4580334551426763E-2</v>
      </c>
      <c r="L96" s="8">
        <f t="shared" si="84"/>
        <v>-1.0683463599499492</v>
      </c>
      <c r="M96" s="8" t="e">
        <f t="shared" si="85"/>
        <v>#REF!</v>
      </c>
      <c r="N96" s="8" t="e">
        <f t="shared" si="86"/>
        <v>#REF!</v>
      </c>
      <c r="P96" s="7">
        <f t="shared" si="87"/>
        <v>80.68585512378317</v>
      </c>
      <c r="Q96" s="7">
        <f t="shared" si="88"/>
        <v>116.5164625885656</v>
      </c>
      <c r="R96" s="7">
        <f t="shared" si="89"/>
        <v>81.344882837747264</v>
      </c>
      <c r="S96" s="7">
        <f t="shared" si="90"/>
        <v>134.51472602292915</v>
      </c>
      <c r="T96" s="7">
        <f t="shared" si="91"/>
        <v>112.30642856831054</v>
      </c>
      <c r="U96" s="7">
        <f t="shared" si="92"/>
        <v>114.41416032633904</v>
      </c>
      <c r="V96" s="7">
        <f t="shared" si="93"/>
        <v>136.10174694912061</v>
      </c>
      <c r="W96" s="7">
        <f t="shared" si="94"/>
        <v>122.0438430173399</v>
      </c>
      <c r="X96" s="7" t="e">
        <f t="shared" si="95"/>
        <v>#DIV/0!</v>
      </c>
      <c r="Y96" s="7" t="e">
        <f t="shared" si="96"/>
        <v>#REF!</v>
      </c>
      <c r="Z96" s="7">
        <f t="shared" si="97"/>
        <v>120.95330476697021</v>
      </c>
      <c r="AA96" s="7" t="e">
        <f t="shared" si="98"/>
        <v>#REF!</v>
      </c>
      <c r="AB96" s="7">
        <f t="shared" si="99"/>
        <v>98.59232877225611</v>
      </c>
      <c r="AC96" s="7">
        <f t="shared" si="100"/>
        <v>90.383172713165592</v>
      </c>
      <c r="AD96" s="7">
        <f t="shared" si="101"/>
        <v>98.612098656677844</v>
      </c>
      <c r="AE96" s="7" t="e">
        <f t="shared" si="102"/>
        <v>#REF!</v>
      </c>
      <c r="AG96" s="7">
        <f t="shared" si="103"/>
        <v>5.8396443444614858E-2</v>
      </c>
      <c r="AH96" s="7">
        <f t="shared" si="104"/>
        <v>3.0411103105705092E-2</v>
      </c>
      <c r="AI96" s="7">
        <f t="shared" si="105"/>
        <v>2.7375969073198173E-2</v>
      </c>
      <c r="AJ96" s="7">
        <f t="shared" si="106"/>
        <v>8.6293866222222019E-3</v>
      </c>
      <c r="AK96" s="7">
        <f t="shared" si="107"/>
        <v>4.7242477777777663E-4</v>
      </c>
      <c r="AL96" s="7">
        <f t="shared" si="108"/>
        <v>3.5284123256578248E-3</v>
      </c>
      <c r="AM96" s="7">
        <f t="shared" si="109"/>
        <v>6.6011887900341348E-2</v>
      </c>
      <c r="AN96" s="7">
        <f t="shared" si="110"/>
        <v>2.5272129096296232E-2</v>
      </c>
      <c r="AO96" s="7">
        <f t="shared" si="111"/>
        <v>0</v>
      </c>
      <c r="AP96" s="7" t="e">
        <f t="shared" si="112"/>
        <v>#REF!</v>
      </c>
      <c r="AQ96" s="7">
        <f t="shared" si="113"/>
        <v>9.1111111111110894</v>
      </c>
      <c r="AR96" s="7" t="e">
        <f t="shared" si="114"/>
        <v>#REF!</v>
      </c>
      <c r="AS96" s="7">
        <f t="shared" si="115"/>
        <v>360.66369399702671</v>
      </c>
      <c r="AT96" s="7">
        <f t="shared" si="116"/>
        <v>0.13967234158350667</v>
      </c>
      <c r="AU96" s="7">
        <f t="shared" si="117"/>
        <v>40.111698734229108</v>
      </c>
      <c r="AV96" s="7" t="e">
        <f t="shared" si="118"/>
        <v>#REF!</v>
      </c>
      <c r="AX96" s="7" t="str">
        <f>'2026_Fantasy_Starters'!Z43</f>
        <v>0.22127234905746285</v>
      </c>
      <c r="AY96" s="7" t="str">
        <f>'2026_Fantasy_Starters'!AA43</f>
        <v>0.11523195291867769</v>
      </c>
      <c r="AZ96" s="7" t="str">
        <f>'2026_Fantasy_Starters'!AB43</f>
        <v>0.10373140258612175</v>
      </c>
      <c r="BA96" s="7">
        <f>'2026_Fantasy_Starters'!AC43</f>
        <v>2.8413833999999999E-2</v>
      </c>
      <c r="BB96" s="7">
        <f>'2026_Fantasy_Starters'!AD43</f>
        <v>1.555545E-3</v>
      </c>
      <c r="BC96" s="7" t="str">
        <f>'2026_Fantasy_Starters'!AE43</f>
        <v>0.011617943023507563</v>
      </c>
      <c r="BD96" s="7" t="str">
        <f>'2026_Fantasy_Starters'!AF43</f>
        <v>0.21735621625722265</v>
      </c>
      <c r="BE96" s="7">
        <f>'2026_Fantasy_Starters'!AG43</f>
        <v>8.3213107999999994E-2</v>
      </c>
      <c r="BF96" s="7">
        <f>'2026_Fantasy_Starters'!AH43</f>
        <v>0</v>
      </c>
      <c r="BG96" s="7" t="e">
        <f>'2026_Fantasy_Starters'!#REF!</f>
        <v>#REF!</v>
      </c>
      <c r="BH96" s="7">
        <f>'2026_Fantasy_Starters'!D43</f>
        <v>30</v>
      </c>
    </row>
    <row r="97" spans="1:60">
      <c r="A97" t="str">
        <f>'2026_Fantasy_Starters'!A86</f>
        <v xml:space="preserve">AZ </v>
      </c>
      <c r="B97" t="s">
        <v>226</v>
      </c>
      <c r="C97" t="str">
        <f>'2026_Fantasy_Starters'!C86</f>
        <v>SP</v>
      </c>
      <c r="D97" t="str">
        <f>'2026_Fantasy_Starters'!W86</f>
        <v>0.3366908866995074</v>
      </c>
      <c r="E97" t="str">
        <f>'2026_Fantasy_Starters'!X97</f>
        <v>0.2718711967545639</v>
      </c>
      <c r="F97" t="str">
        <f>'2026_Fantasy_Starters'!Y86</f>
        <v>0.4673645320197044</v>
      </c>
      <c r="G97" s="3">
        <f t="shared" si="119"/>
        <v>0.64414218124465605</v>
      </c>
      <c r="H97" s="3">
        <f t="shared" si="80"/>
        <v>-0.48699168262553533</v>
      </c>
      <c r="I97" s="3">
        <f t="shared" si="81"/>
        <v>-0.53604846698262609</v>
      </c>
      <c r="J97" s="3" t="e">
        <f t="shared" si="82"/>
        <v>#REF!</v>
      </c>
      <c r="K97" s="3">
        <f t="shared" si="83"/>
        <v>-0.53562854332997134</v>
      </c>
      <c r="L97" s="3">
        <f t="shared" si="84"/>
        <v>0.55567246879377619</v>
      </c>
      <c r="M97" s="3" t="e">
        <f t="shared" si="85"/>
        <v>#REF!</v>
      </c>
      <c r="N97" s="4" t="e">
        <f t="shared" si="86"/>
        <v>#REF!</v>
      </c>
      <c r="P97">
        <f t="shared" si="87"/>
        <v>113.35092756580856</v>
      </c>
      <c r="Q97">
        <f t="shared" si="88"/>
        <v>88.622350829058547</v>
      </c>
      <c r="R97">
        <f t="shared" si="89"/>
        <v>109.70297217998836</v>
      </c>
      <c r="S97">
        <f t="shared" si="90"/>
        <v>77.317075022428583</v>
      </c>
      <c r="T97">
        <f t="shared" si="91"/>
        <v>75.693889283633098</v>
      </c>
      <c r="U97">
        <f t="shared" si="92"/>
        <v>86.359769065536653</v>
      </c>
      <c r="V97">
        <f t="shared" si="93"/>
        <v>105.64115375402464</v>
      </c>
      <c r="W97">
        <f t="shared" si="94"/>
        <v>120.54570933839037</v>
      </c>
      <c r="X97" t="e">
        <f t="shared" si="95"/>
        <v>#DIV/0!</v>
      </c>
      <c r="Y97" t="e">
        <f t="shared" si="96"/>
        <v>#REF!</v>
      </c>
      <c r="Z97">
        <f t="shared" si="97"/>
        <v>86.46594299057459</v>
      </c>
      <c r="AA97" t="e">
        <f t="shared" si="98"/>
        <v>#REF!</v>
      </c>
      <c r="AB97">
        <f t="shared" si="99"/>
        <v>78.196020975948059</v>
      </c>
      <c r="AC97">
        <f t="shared" si="100"/>
        <v>78.281764892043881</v>
      </c>
      <c r="AD97">
        <f t="shared" si="101"/>
        <v>78.184694914448983</v>
      </c>
      <c r="AE97" t="e">
        <f t="shared" si="102"/>
        <v>#REF!</v>
      </c>
      <c r="AG97">
        <f t="shared" si="103"/>
        <v>8.2037812214253353E-2</v>
      </c>
      <c r="AH97">
        <f t="shared" si="104"/>
        <v>4.0572276614438595E-2</v>
      </c>
      <c r="AI97">
        <f t="shared" si="105"/>
        <v>3.6919657006914575E-2</v>
      </c>
      <c r="AJ97">
        <f t="shared" si="106"/>
        <v>1.6166663545566489E-2</v>
      </c>
      <c r="AK97">
        <f t="shared" si="107"/>
        <v>6.6966467179802893E-4</v>
      </c>
      <c r="AL97">
        <f t="shared" si="108"/>
        <v>4.6849992130551061E-3</v>
      </c>
      <c r="AM97">
        <f t="shared" si="109"/>
        <v>9.7480060618169717E-2</v>
      </c>
      <c r="AN97">
        <f t="shared" si="110"/>
        <v>2.5757799878481438E-2</v>
      </c>
      <c r="AO97">
        <f t="shared" si="111"/>
        <v>0</v>
      </c>
      <c r="AP97" t="e">
        <f t="shared" si="112"/>
        <v>#REF!</v>
      </c>
      <c r="AQ97">
        <f t="shared" si="113"/>
        <v>13.086206896551712</v>
      </c>
      <c r="AR97" t="e">
        <f t="shared" si="114"/>
        <v>#REF!</v>
      </c>
      <c r="AS97">
        <f t="shared" si="115"/>
        <v>433.20463320463421</v>
      </c>
      <c r="AT97">
        <f t="shared" si="116"/>
        <v>0.15509179869304515</v>
      </c>
      <c r="AU97">
        <f t="shared" si="117"/>
        <v>48.193312555745656</v>
      </c>
      <c r="AV97" t="e">
        <f t="shared" si="118"/>
        <v>#REF!</v>
      </c>
      <c r="AX97" t="str">
        <f>'2026_Fantasy_Starters'!Z86</f>
        <v>0.24365914093621266</v>
      </c>
      <c r="AY97" t="str">
        <f>'2026_Fantasy_Starters'!AA86</f>
        <v>0.12050304364385431</v>
      </c>
      <c r="AZ97" t="str">
        <f>'2026_Fantasy_Starters'!AB86</f>
        <v>0.10965445892767857</v>
      </c>
      <c r="BA97">
        <f>'2026_Fantasy_Starters'!AC86</f>
        <v>3.4591122000000002E-2</v>
      </c>
      <c r="BB97">
        <f>'2026_Fantasy_Starters'!AD86</f>
        <v>1.432853E-3</v>
      </c>
      <c r="BC97" t="str">
        <f>'2026_Fantasy_Starters'!AE86</f>
        <v>0.010024293441372293</v>
      </c>
      <c r="BD97" t="str">
        <f>'2026_Fantasy_Starters'!AF86</f>
        <v>0.20857393734375207</v>
      </c>
      <c r="BE97" t="str">
        <f>'2026_Fantasy_Starters'!AG86</f>
        <v>0.055112868251190994</v>
      </c>
      <c r="BF97">
        <f>'2026_Fantasy_Starters'!AH86</f>
        <v>0</v>
      </c>
      <c r="BG97" t="e">
        <f>'2026_Fantasy_Starters'!#REF!</f>
        <v>#REF!</v>
      </c>
      <c r="BH97">
        <f>'2026_Fantasy_Starters'!D86</f>
        <v>28</v>
      </c>
    </row>
    <row r="98" spans="1:60">
      <c r="A98" t="str">
        <f>'2026_Fantasy_Starters'!A110</f>
        <v xml:space="preserve">BOS </v>
      </c>
      <c r="B98" t="s">
        <v>281</v>
      </c>
      <c r="C98" t="str">
        <f>'2026_Fantasy_Starters'!C110</f>
        <v>SP</v>
      </c>
      <c r="D98" t="str">
        <f>'2026_Fantasy_Starters'!W110</f>
        <v>0.19143478260869562</v>
      </c>
      <c r="E98" t="str">
        <f>'2026_Fantasy_Starters'!X98</f>
        <v>0.3428715415019763</v>
      </c>
      <c r="F98">
        <f>'2026_Fantasy_Starters'!Y110</f>
        <v>6.4949007000000003E-2</v>
      </c>
      <c r="G98" s="3">
        <f t="shared" si="119"/>
        <v>-2.1596564077243285</v>
      </c>
      <c r="H98" s="3">
        <f t="shared" ref="H98:H112" si="120">(AC98-AC$113)/AC$114</f>
        <v>1.832979397579005</v>
      </c>
      <c r="I98" s="3">
        <f t="shared" ref="I98:I112" si="121">(AD98-AD$113)/AD$114</f>
        <v>2.1863440532365623</v>
      </c>
      <c r="J98" s="3" t="e">
        <f t="shared" ref="J98:J112" si="122">(AA98-AA$113)/AA$114</f>
        <v>#REF!</v>
      </c>
      <c r="K98" s="3">
        <f t="shared" ref="K98:K112" si="123">(AB98-AB$113)/AB$114</f>
        <v>2.1857264306231579</v>
      </c>
      <c r="L98" s="3">
        <f t="shared" ref="L98:L112" si="124">(R98-R$113)/R$114</f>
        <v>-2.4716426709228583</v>
      </c>
      <c r="M98" s="3" t="e">
        <f t="shared" ref="M98:M112" si="125">(AE98-AE$113)/AE$114</f>
        <v>#REF!</v>
      </c>
      <c r="N98" s="4" t="e">
        <f t="shared" ref="N98:N112" si="126">G98+H98+I98+J98+K98+L98+M98*2</f>
        <v>#REF!</v>
      </c>
      <c r="P98">
        <f t="shared" ref="P98:P112" si="127">(AG98-AVERAGE(AG$2:AG$112))/AVERAGE(AG$2:AG$112)*100+100</f>
        <v>55.237497083566439</v>
      </c>
      <c r="Q98">
        <f t="shared" ref="Q98:Q112" si="128">(AVERAGE(AH$2:AH$112)-AH98)/AVERAGE(AH$2:AH$112)*100+100</f>
        <v>144.40032585376093</v>
      </c>
      <c r="R98">
        <f t="shared" ref="R98:R112" si="129">(AI98-AVERAGE(AI$2:AI$112))/AVERAGE(AI$2:AI$112)*100+100</f>
        <v>56.840978415043772</v>
      </c>
      <c r="S98">
        <f t="shared" ref="S98:S112" si="130">(AVERAGE(AJ$2:AJ$112)-AJ98)/AVERAGE(AJ$2:AJ$112)*100+100</f>
        <v>188.71486939650839</v>
      </c>
      <c r="T98">
        <f t="shared" ref="T98:T112" si="131">(AVERAGE(AK$2:AK$112)-AK98)/AVERAGE(AK$2:AK$112)*100+100</f>
        <v>144.46361025103016</v>
      </c>
      <c r="U98">
        <f t="shared" ref="U98:U112" si="132">(AVERAGE(AL$2:AL$112)-AL98)/AVERAGE(AL$2:AL$112)*100+100</f>
        <v>178.50540073120663</v>
      </c>
      <c r="V98">
        <f t="shared" ref="V98:V112" si="133">(AVERAGE(AM$2:AM$112)-AM98)/AVERAGE(AM$2:AM$112)*100+100</f>
        <v>184.70467748801417</v>
      </c>
      <c r="W98">
        <f t="shared" ref="W98:W112" si="134">(AVERAGE(AN$2:AN$112)-AN98)/AVERAGE(AN$2:AN$112)*100+100</f>
        <v>182.33269990569664</v>
      </c>
      <c r="X98" t="e">
        <f t="shared" ref="X98:X112" si="135">(AVERAGE(AO$2:AO$112)-AO98)/AVERAGE(AO$2:AO$112)*100+100</f>
        <v>#DIV/0!</v>
      </c>
      <c r="Y98" t="e">
        <f t="shared" ref="Y98:Y112" si="136">(AP98-AVERAGE(AP$2:AP$112))/AVERAGE(AP$2:AP$112)*100+100</f>
        <v>#REF!</v>
      </c>
      <c r="Z98">
        <f t="shared" ref="Z98:Z112" si="137">(AVERAGE(AQ$2:AQ$112)-AQ98)/AVERAGE(AQ$2:AQ$112)*100+100</f>
        <v>187.03976947637187</v>
      </c>
      <c r="AA98" t="e">
        <f t="shared" ref="AA98:AA112" si="138">(AR98-AVERAGE(AR$2:AR$112))/AVERAGE(AR$2:AR$112)*100+100</f>
        <v>#REF!</v>
      </c>
      <c r="AB98">
        <f t="shared" ref="AB98:AB112" si="139">(AVERAGE(AS$2:AS$112)-AS98)/AVERAGE(AS$2:AS$112)*100+100</f>
        <v>188.97496938706692</v>
      </c>
      <c r="AC98">
        <f t="shared" ref="AC98:AC112" si="140">(AVERAGE(AT$2:AT$112)-AT98)/AVERAGE(AT$2:AT$112)*100+100</f>
        <v>181.74488174014903</v>
      </c>
      <c r="AD98">
        <f t="shared" ref="AD98:AD112" si="141">(AVERAGE(AU$2:AU$112)-AU98)/AVERAGE(AU$2:AU$112)*100+100</f>
        <v>188.97658603859333</v>
      </c>
      <c r="AE98" t="e">
        <f t="shared" ref="AE98:AE112" si="142">(AV98-AVERAGE(AV$2:AV$112))/AVERAGE(AV$2:AV$112)*100+100</f>
        <v>#REF!</v>
      </c>
      <c r="AG98">
        <f t="shared" ref="AG98:AG112" si="143">$D98*AX98</f>
        <v>3.9978176714046604E-2</v>
      </c>
      <c r="AH98">
        <f t="shared" ref="AH98:AH112" si="144">$D98*AY98</f>
        <v>2.0253662884118433E-2</v>
      </c>
      <c r="AI98">
        <f t="shared" ref="AI98:AI112" si="145">$D98*AZ98</f>
        <v>1.9129376217608633E-2</v>
      </c>
      <c r="AJ98">
        <f t="shared" ref="AJ98:AJ112" si="146">$F98*BA98</f>
        <v>1.4871092254099621E-3</v>
      </c>
      <c r="AK98">
        <f t="shared" ref="AK98:AK112" si="147">$F98*BB98</f>
        <v>2.9918688630642301E-4</v>
      </c>
      <c r="AL98">
        <f t="shared" ref="AL98:AL112" si="148">$F98*BC98</f>
        <v>8.8614903217951895E-4</v>
      </c>
      <c r="AM98">
        <f t="shared" ref="AM98:AM112" si="149">$F98*BD98</f>
        <v>1.5801263209133689E-2</v>
      </c>
      <c r="AN98">
        <f t="shared" ref="AN98:AN112" si="150">$F98*BE98</f>
        <v>5.7274538156819859E-3</v>
      </c>
      <c r="AO98">
        <f t="shared" ref="AO98:AO112" si="151">$F98*BF98</f>
        <v>0</v>
      </c>
      <c r="AP98" t="e">
        <f t="shared" ref="AP98:AP112" si="152">$F98*BG98</f>
        <v>#REF!</v>
      </c>
      <c r="AQ98">
        <f t="shared" ref="AQ98:AQ112" si="153">$F98*BH98</f>
        <v>1.493827161</v>
      </c>
      <c r="AR98" t="e">
        <f t="shared" ref="AR98:AR112" si="154">AP98/$E98*9</f>
        <v>#REF!</v>
      </c>
      <c r="AS98">
        <f t="shared" ref="AS98:AS112" si="155">AQ98/$E98*9</f>
        <v>39.211316255952717</v>
      </c>
      <c r="AT98">
        <f t="shared" ref="AT98:AT112" si="156">AL98/$E98*9</f>
        <v>2.3260435248370438E-2</v>
      </c>
      <c r="AU98">
        <f t="shared" ref="AU98:AU112" si="157">(AQ98+AJ98)/$E98</f>
        <v>4.3611501370894397</v>
      </c>
      <c r="AV98" t="e">
        <f t="shared" ref="AV98:AV112" si="158">BG98-BH98</f>
        <v>#REF!</v>
      </c>
      <c r="AX98" t="str">
        <f>'2026_Fantasy_Starters'!Z110</f>
        <v>0.20883444570135745</v>
      </c>
      <c r="AY98" t="str">
        <f>'2026_Fantasy_Starters'!AA110</f>
        <v>0.10579928374624789</v>
      </c>
      <c r="AZ98">
        <f>'2026_Fantasy_Starters'!AB110</f>
        <v>9.9926335000000005E-2</v>
      </c>
      <c r="BA98">
        <f>'2026_Fantasy_Starters'!AC110</f>
        <v>2.2896566E-2</v>
      </c>
      <c r="BB98">
        <f>'2026_Fantasy_Starters'!AD110</f>
        <v>4.6064890000000001E-3</v>
      </c>
      <c r="BC98" t="str">
        <f>'2026_Fantasy_Starters'!AE110</f>
        <v>0.013643765672653317</v>
      </c>
      <c r="BD98" t="str">
        <f>'2026_Fantasy_Starters'!AF110</f>
        <v>0.24328721775736695</v>
      </c>
      <c r="BE98">
        <f>'2026_Fantasy_Starters'!AG110</f>
        <v>8.8183855000000005E-2</v>
      </c>
      <c r="BF98">
        <f>'2026_Fantasy_Starters'!AH110</f>
        <v>0</v>
      </c>
      <c r="BG98" t="e">
        <f>'2026_Fantasy_Starters'!#REF!</f>
        <v>#REF!</v>
      </c>
      <c r="BH98">
        <f>'2026_Fantasy_Starters'!D110</f>
        <v>23</v>
      </c>
    </row>
    <row r="99" spans="1:60" s="7" customFormat="1">
      <c r="A99" s="7" t="str">
        <f>'2026_Fantasy_Starters'!A111</f>
        <v xml:space="preserve">SEA </v>
      </c>
      <c r="B99" s="7" t="s">
        <v>283</v>
      </c>
      <c r="C99" s="7" t="str">
        <f>'2026_Fantasy_Starters'!C111</f>
        <v>SP</v>
      </c>
      <c r="D99" s="7" t="str">
        <f>'2026_Fantasy_Starters'!W111</f>
        <v>0.33649705685618725</v>
      </c>
      <c r="E99" s="7" t="str">
        <f>'2026_Fantasy_Starters'!X99</f>
        <v>0.20821729490022173</v>
      </c>
      <c r="F99" s="7" t="str">
        <f>'2026_Fantasy_Starters'!Y111</f>
        <v>0.4502564102564102</v>
      </c>
      <c r="G99" s="8">
        <f t="shared" ref="G99:G112" si="159">(P99-$P$113)/$P$114</f>
        <v>0.18777054030197976</v>
      </c>
      <c r="H99" s="8">
        <f t="shared" si="120"/>
        <v>-0.58550317103582195</v>
      </c>
      <c r="I99" s="8">
        <f t="shared" si="121"/>
        <v>-0.90533339447951533</v>
      </c>
      <c r="J99" s="8" t="e">
        <f t="shared" si="122"/>
        <v>#REF!</v>
      </c>
      <c r="K99" s="8">
        <f t="shared" si="123"/>
        <v>-0.90407648394186924</v>
      </c>
      <c r="L99" s="8">
        <f t="shared" si="124"/>
        <v>0.50984817440634378</v>
      </c>
      <c r="M99" s="8" t="e">
        <f t="shared" si="125"/>
        <v>#REF!</v>
      </c>
      <c r="N99" s="8" t="e">
        <f t="shared" si="126"/>
        <v>#REF!</v>
      </c>
      <c r="P99" s="7">
        <f t="shared" si="127"/>
        <v>103.89185952349906</v>
      </c>
      <c r="Q99" s="7">
        <f t="shared" si="128"/>
        <v>93.654616670658228</v>
      </c>
      <c r="R99" s="7">
        <f t="shared" si="129"/>
        <v>108.90280323410909</v>
      </c>
      <c r="S99" s="7">
        <f t="shared" si="130"/>
        <v>76.528292652393645</v>
      </c>
      <c r="T99" s="7">
        <f t="shared" si="131"/>
        <v>130.2348687636493</v>
      </c>
      <c r="U99" s="7">
        <f t="shared" si="132"/>
        <v>109.82527226997917</v>
      </c>
      <c r="V99" s="7">
        <f t="shared" si="133"/>
        <v>107.95383076678436</v>
      </c>
      <c r="W99" s="7">
        <f t="shared" si="134"/>
        <v>101.97662630732587</v>
      </c>
      <c r="X99" s="7" t="e">
        <f t="shared" si="135"/>
        <v>#DIV/0!</v>
      </c>
      <c r="Y99" s="7" t="e">
        <f t="shared" si="136"/>
        <v>#REF!</v>
      </c>
      <c r="Z99" s="7">
        <f t="shared" si="137"/>
        <v>102.34099660234482</v>
      </c>
      <c r="AA99" s="7" t="e">
        <f t="shared" si="138"/>
        <v>#REF!</v>
      </c>
      <c r="AB99" s="7">
        <f t="shared" si="139"/>
        <v>63.197508912695476</v>
      </c>
      <c r="AC99" s="7">
        <f t="shared" si="140"/>
        <v>73.888474939750324</v>
      </c>
      <c r="AD99" s="7">
        <f t="shared" si="141"/>
        <v>63.156084904262507</v>
      </c>
      <c r="AE99" s="7" t="e">
        <f t="shared" si="142"/>
        <v>#REF!</v>
      </c>
      <c r="AG99" s="7">
        <f t="shared" si="143"/>
        <v>7.5191805177157817E-2</v>
      </c>
      <c r="AH99" s="7">
        <f t="shared" si="144"/>
        <v>3.8739139685776962E-2</v>
      </c>
      <c r="AI99" s="7">
        <f t="shared" si="145"/>
        <v>3.6650366554318831E-2</v>
      </c>
      <c r="AJ99" s="7">
        <f t="shared" si="146"/>
        <v>1.627060612102563E-2</v>
      </c>
      <c r="AK99" s="7">
        <f t="shared" si="147"/>
        <v>3.7584028205128186E-4</v>
      </c>
      <c r="AL99" s="7">
        <f t="shared" si="148"/>
        <v>3.7175965323076902E-3</v>
      </c>
      <c r="AM99" s="7">
        <f t="shared" si="149"/>
        <v>9.5090884569891357E-2</v>
      </c>
      <c r="AN99" s="7">
        <f t="shared" si="150"/>
        <v>3.1777597181538442E-2</v>
      </c>
      <c r="AO99" s="7">
        <f t="shared" si="151"/>
        <v>0</v>
      </c>
      <c r="AP99" s="7" t="e">
        <f t="shared" si="152"/>
        <v>#REF!</v>
      </c>
      <c r="AQ99" s="7">
        <f t="shared" si="153"/>
        <v>11.25641025641025</v>
      </c>
      <c r="AR99" s="7" t="e">
        <f t="shared" si="154"/>
        <v>#REF!</v>
      </c>
      <c r="AS99" s="7">
        <f t="shared" si="155"/>
        <v>486.54792271813693</v>
      </c>
      <c r="AT99" s="7">
        <f t="shared" si="156"/>
        <v>0.16068967184883784</v>
      </c>
      <c r="AU99" s="7">
        <f t="shared" si="157"/>
        <v>54.139022735518743</v>
      </c>
      <c r="AV99" s="7" t="e">
        <f t="shared" si="158"/>
        <v>#REF!</v>
      </c>
      <c r="AX99" s="7" t="str">
        <f>'2026_Fantasy_Starters'!Z111</f>
        <v>0.2234545700924025</v>
      </c>
      <c r="AY99" s="7" t="str">
        <f>'2026_Fantasy_Starters'!AA111</f>
        <v>0.11512475041448483</v>
      </c>
      <c r="AZ99" s="7" t="str">
        <f>'2026_Fantasy_Starters'!AB111</f>
        <v>0.10891734654898537</v>
      </c>
      <c r="BA99" s="7">
        <f>'2026_Fantasy_Starters'!AC111</f>
        <v>3.6136311999999997E-2</v>
      </c>
      <c r="BB99" s="7">
        <f>'2026_Fantasy_Starters'!AD111</f>
        <v>8.3472500000000003E-4</v>
      </c>
      <c r="BC99" s="7">
        <f>'2026_Fantasy_Starters'!AE111</f>
        <v>8.2566210000000004E-3</v>
      </c>
      <c r="BD99" s="7" t="str">
        <f>'2026_Fantasy_Starters'!AF111</f>
        <v>0.21119273907891667</v>
      </c>
      <c r="BE99" s="7">
        <f>'2026_Fantasy_Starters'!AG111</f>
        <v>7.0576667999999995E-2</v>
      </c>
      <c r="BF99" s="7">
        <f>'2026_Fantasy_Starters'!AH111</f>
        <v>0</v>
      </c>
      <c r="BG99" s="7" t="e">
        <f>'2026_Fantasy_Starters'!#REF!</f>
        <v>#REF!</v>
      </c>
      <c r="BH99" s="7">
        <f>'2026_Fantasy_Starters'!D111</f>
        <v>25</v>
      </c>
    </row>
    <row r="100" spans="1:60" s="7" customFormat="1">
      <c r="A100" s="7" t="str">
        <f>'2026_Fantasy_Starters'!A100</f>
        <v xml:space="preserve">CHC </v>
      </c>
      <c r="B100" s="7" t="s">
        <v>257</v>
      </c>
      <c r="C100" s="7" t="str">
        <f>'2026_Fantasy_Starters'!C100</f>
        <v>SP</v>
      </c>
      <c r="D100" s="7" t="str">
        <f>'2026_Fantasy_Starters'!W100</f>
        <v>0.37569230769230766</v>
      </c>
      <c r="E100" s="7">
        <f>'2026_Fantasy_Starters'!X100</f>
        <v>0.315923077</v>
      </c>
      <c r="F100" s="7" t="str">
        <f>'2026_Fantasy_Starters'!Y100</f>
        <v>0.47179487179487173</v>
      </c>
      <c r="G100" s="8">
        <f t="shared" si="159"/>
        <v>0.7372046512047834</v>
      </c>
      <c r="H100" s="8">
        <f t="shared" si="120"/>
        <v>-4.1136149741050836E-2</v>
      </c>
      <c r="I100" s="8">
        <f t="shared" si="121"/>
        <v>1.2490267374902431</v>
      </c>
      <c r="J100" s="8" t="e">
        <f t="shared" si="122"/>
        <v>#REF!</v>
      </c>
      <c r="K100" s="8">
        <f t="shared" si="123"/>
        <v>1.2497111395465268</v>
      </c>
      <c r="L100" s="8">
        <f t="shared" si="124"/>
        <v>0.32824269549411977</v>
      </c>
      <c r="M100" s="8" t="e">
        <f t="shared" si="125"/>
        <v>#REF!</v>
      </c>
      <c r="N100" s="8" t="e">
        <f t="shared" si="126"/>
        <v>#REF!</v>
      </c>
      <c r="P100" s="7">
        <f t="shared" si="127"/>
        <v>115.27980341295788</v>
      </c>
      <c r="Q100" s="7">
        <f t="shared" si="128"/>
        <v>90.639099292965696</v>
      </c>
      <c r="R100" s="7">
        <f t="shared" si="129"/>
        <v>105.73166734277392</v>
      </c>
      <c r="S100" s="7">
        <f t="shared" si="130"/>
        <v>107.66088577576967</v>
      </c>
      <c r="T100" s="7">
        <f t="shared" si="131"/>
        <v>200</v>
      </c>
      <c r="U100" s="7">
        <f t="shared" si="132"/>
        <v>89.518462684568476</v>
      </c>
      <c r="V100" s="7">
        <f t="shared" si="133"/>
        <v>96.547350991249417</v>
      </c>
      <c r="W100" s="7">
        <f t="shared" si="134"/>
        <v>108.20864898256983</v>
      </c>
      <c r="X100" s="7" t="e">
        <f t="shared" si="135"/>
        <v>#DIV/0!</v>
      </c>
      <c r="Y100" s="7" t="e">
        <f t="shared" si="136"/>
        <v>#REF!</v>
      </c>
      <c r="Z100" s="7">
        <f t="shared" si="137"/>
        <v>146.788078330936</v>
      </c>
      <c r="AA100" s="7" t="e">
        <f t="shared" si="138"/>
        <v>#REF!</v>
      </c>
      <c r="AB100" s="7">
        <f t="shared" si="139"/>
        <v>150.87233645801103</v>
      </c>
      <c r="AC100" s="7">
        <f t="shared" si="140"/>
        <v>98.165462361296207</v>
      </c>
      <c r="AD100" s="7">
        <f t="shared" si="141"/>
        <v>150.83103677496973</v>
      </c>
      <c r="AE100" s="7" t="e">
        <f t="shared" si="142"/>
        <v>#REF!</v>
      </c>
      <c r="AG100" s="7">
        <f t="shared" si="143"/>
        <v>8.3433837442553088E-2</v>
      </c>
      <c r="AH100" s="7">
        <f t="shared" si="144"/>
        <v>3.9837622245734852E-2</v>
      </c>
      <c r="AI100" s="7">
        <f t="shared" si="145"/>
        <v>3.5583146158153778E-2</v>
      </c>
      <c r="AJ100" s="7">
        <f t="shared" si="146"/>
        <v>1.2168077929603303E-2</v>
      </c>
      <c r="AK100" s="7">
        <f t="shared" si="147"/>
        <v>0</v>
      </c>
      <c r="AL100" s="7">
        <f t="shared" si="148"/>
        <v>4.5547770461538389E-3</v>
      </c>
      <c r="AM100" s="7">
        <f t="shared" si="149"/>
        <v>0.10687466938918166</v>
      </c>
      <c r="AN100" s="7">
        <f t="shared" si="150"/>
        <v>2.9757275917948668E-2</v>
      </c>
      <c r="AO100" s="7">
        <f t="shared" si="151"/>
        <v>0</v>
      </c>
      <c r="AP100" s="7" t="e">
        <f t="shared" si="152"/>
        <v>#REF!</v>
      </c>
      <c r="AQ100" s="7">
        <f t="shared" si="153"/>
        <v>6.1333333333333231</v>
      </c>
      <c r="AR100" s="7" t="e">
        <f t="shared" si="154"/>
        <v>#REF!</v>
      </c>
      <c r="AS100" s="7">
        <f t="shared" si="155"/>
        <v>174.72607738623637</v>
      </c>
      <c r="AT100" s="7">
        <f t="shared" si="156"/>
        <v>0.12975624890923859</v>
      </c>
      <c r="AU100" s="7">
        <f t="shared" si="157"/>
        <v>19.452524550028127</v>
      </c>
      <c r="AV100" s="7" t="e">
        <f t="shared" si="158"/>
        <v>#REF!</v>
      </c>
      <c r="AX100" s="7" t="str">
        <f>'2026_Fantasy_Starters'!Z100</f>
        <v>0.22208023889295564</v>
      </c>
      <c r="AY100" s="7" t="str">
        <f>'2026_Fantasy_Starters'!AA100</f>
        <v>0.10603789705048211</v>
      </c>
      <c r="AZ100" s="7">
        <f>'2026_Fantasy_Starters'!AB100</f>
        <v>9.4713534000000002E-2</v>
      </c>
      <c r="BA100" s="7" t="str">
        <f>'2026_Fantasy_Starters'!AC100</f>
        <v>0.025791034742094016</v>
      </c>
      <c r="BB100" s="7">
        <f>'2026_Fantasy_Starters'!AD100</f>
        <v>0</v>
      </c>
      <c r="BC100" s="7">
        <f>'2026_Fantasy_Starters'!AE100</f>
        <v>9.6541470000000001E-3</v>
      </c>
      <c r="BD100" s="7" t="str">
        <f>'2026_Fantasy_Starters'!AF100</f>
        <v>0.22652783185750586</v>
      </c>
      <c r="BE100" s="7">
        <f>'2026_Fantasy_Starters'!AG100</f>
        <v>6.3072486999999997E-2</v>
      </c>
      <c r="BF100" s="7">
        <f>'2026_Fantasy_Starters'!AH100</f>
        <v>0</v>
      </c>
      <c r="BG100" s="7" t="e">
        <f>'2026_Fantasy_Starters'!#REF!</f>
        <v>#REF!</v>
      </c>
      <c r="BH100" s="7">
        <f>'2026_Fantasy_Starters'!D100</f>
        <v>13</v>
      </c>
    </row>
    <row r="101" spans="1:60" s="7" customFormat="1">
      <c r="A101" s="7" t="str">
        <f>'2026_Fantasy_Starters'!A76</f>
        <v xml:space="preserve">DET </v>
      </c>
      <c r="B101" s="7" t="s">
        <v>203</v>
      </c>
      <c r="C101" s="7" t="str">
        <f>'2026_Fantasy_Starters'!C76</f>
        <v>SP</v>
      </c>
      <c r="D101" s="7">
        <f>'2026_Fantasy_Starters'!W76</f>
        <v>0.32886494500000002</v>
      </c>
      <c r="E101" s="7" t="str">
        <f>'2026_Fantasy_Starters'!X101</f>
        <v>0.34170923076923077</v>
      </c>
      <c r="F101" s="7">
        <f>'2026_Fantasy_Starters'!Y76</f>
        <v>0.42399267400000001</v>
      </c>
      <c r="G101" s="8">
        <f t="shared" si="159"/>
        <v>0.25094932097771</v>
      </c>
      <c r="H101" s="8">
        <f t="shared" si="120"/>
        <v>0.42098693460257414</v>
      </c>
      <c r="I101" s="8">
        <f t="shared" si="121"/>
        <v>0.45105259424320981</v>
      </c>
      <c r="J101" s="8" t="e">
        <f t="shared" si="122"/>
        <v>#REF!</v>
      </c>
      <c r="K101" s="8">
        <f t="shared" si="123"/>
        <v>0.45110404763708639</v>
      </c>
      <c r="L101" s="8">
        <f t="shared" si="124"/>
        <v>0.19959250366327008</v>
      </c>
      <c r="M101" s="8" t="e">
        <f t="shared" si="125"/>
        <v>#REF!</v>
      </c>
      <c r="N101" s="8" t="e">
        <f t="shared" si="126"/>
        <v>#REF!</v>
      </c>
      <c r="P101" s="7">
        <f t="shared" si="127"/>
        <v>105.20134576591207</v>
      </c>
      <c r="Q101" s="7">
        <f t="shared" si="128"/>
        <v>95.729473770138441</v>
      </c>
      <c r="R101" s="7">
        <f t="shared" si="129"/>
        <v>103.48521947575144</v>
      </c>
      <c r="S101" s="7">
        <f t="shared" si="130"/>
        <v>97.311886501821803</v>
      </c>
      <c r="T101" s="7">
        <f t="shared" si="131"/>
        <v>134.30431222952222</v>
      </c>
      <c r="U101" s="7">
        <f t="shared" si="132"/>
        <v>104.68491904305235</v>
      </c>
      <c r="V101" s="7">
        <f t="shared" si="133"/>
        <v>115.25837081336627</v>
      </c>
      <c r="W101" s="7">
        <f t="shared" si="134"/>
        <v>116.54195439024757</v>
      </c>
      <c r="X101" s="7" t="e">
        <f t="shared" si="135"/>
        <v>#DIV/0!</v>
      </c>
      <c r="Y101" s="7" t="e">
        <f t="shared" si="136"/>
        <v>#REF!</v>
      </c>
      <c r="Z101" s="7">
        <f t="shared" si="137"/>
        <v>104.35900724688523</v>
      </c>
      <c r="AA101" s="7" t="e">
        <f t="shared" si="138"/>
        <v>#REF!</v>
      </c>
      <c r="AB101" s="7">
        <f t="shared" si="139"/>
        <v>118.36321703693206</v>
      </c>
      <c r="AC101" s="7">
        <f t="shared" si="140"/>
        <v>118.77463938148381</v>
      </c>
      <c r="AD101" s="7">
        <f t="shared" si="141"/>
        <v>118.35626917922657</v>
      </c>
      <c r="AE101" s="7" t="e">
        <f t="shared" si="142"/>
        <v>#REF!</v>
      </c>
      <c r="AG101" s="7">
        <f t="shared" si="143"/>
        <v>7.6139546750687126E-2</v>
      </c>
      <c r="AH101" s="7">
        <f t="shared" si="144"/>
        <v>3.7983317698132547E-2</v>
      </c>
      <c r="AI101" s="7">
        <f t="shared" si="145"/>
        <v>3.4827122113533462E-2</v>
      </c>
      <c r="AJ101" s="7">
        <f t="shared" si="146"/>
        <v>1.3531827524959086E-2</v>
      </c>
      <c r="AK101" s="7">
        <f t="shared" si="147"/>
        <v>3.5391728480465E-4</v>
      </c>
      <c r="AL101" s="7">
        <f t="shared" si="148"/>
        <v>3.9295157674671642E-3</v>
      </c>
      <c r="AM101" s="7">
        <f t="shared" si="149"/>
        <v>8.7544723983394954E-2</v>
      </c>
      <c r="AN101" s="7">
        <f t="shared" si="150"/>
        <v>2.705575267446016E-2</v>
      </c>
      <c r="AO101" s="7">
        <f t="shared" si="151"/>
        <v>0</v>
      </c>
      <c r="AP101" s="7" t="e">
        <f t="shared" si="152"/>
        <v>#REF!</v>
      </c>
      <c r="AQ101" s="7">
        <f t="shared" si="153"/>
        <v>11.023809524000001</v>
      </c>
      <c r="AR101" s="7" t="e">
        <f t="shared" si="154"/>
        <v>#REF!</v>
      </c>
      <c r="AS101" s="7">
        <f t="shared" si="155"/>
        <v>290.34710444507539</v>
      </c>
      <c r="AT101" s="7">
        <f t="shared" si="156"/>
        <v>0.10349630247796356</v>
      </c>
      <c r="AU101" s="7">
        <f t="shared" si="157"/>
        <v>32.300389798304636</v>
      </c>
      <c r="AV101" s="7" t="e">
        <f t="shared" si="158"/>
        <v>#REF!</v>
      </c>
      <c r="AX101" s="7">
        <f>'2026_Fantasy_Starters'!Z76</f>
        <v>0.23152223399999999</v>
      </c>
      <c r="AY101" s="7" t="str">
        <f>'2026_Fantasy_Starters'!AA76</f>
        <v>0.11549822586938491</v>
      </c>
      <c r="AZ101" s="7" t="str">
        <f>'2026_Fantasy_Starters'!AB76</f>
        <v>0.1059009865388161</v>
      </c>
      <c r="BA101" s="7">
        <f>'2026_Fantasy_Starters'!AC76</f>
        <v>3.1915238999999998E-2</v>
      </c>
      <c r="BB101" s="7">
        <f>'2026_Fantasy_Starters'!AD76</f>
        <v>8.3472500000000003E-4</v>
      </c>
      <c r="BC101" s="7">
        <f>'2026_Fantasy_Starters'!AE76</f>
        <v>9.2678859999999995E-3</v>
      </c>
      <c r="BD101" s="7" t="str">
        <f>'2026_Fantasy_Starters'!AF76</f>
        <v>0.20647697319269037</v>
      </c>
      <c r="BE101" s="7">
        <f>'2026_Fantasy_Starters'!AG76</f>
        <v>6.3811839999999995E-2</v>
      </c>
      <c r="BF101" s="7">
        <f>'2026_Fantasy_Starters'!AH76</f>
        <v>0</v>
      </c>
      <c r="BG101" s="7" t="e">
        <f>'2026_Fantasy_Starters'!#REF!</f>
        <v>#REF!</v>
      </c>
      <c r="BH101" s="7">
        <f>'2026_Fantasy_Starters'!D76</f>
        <v>26</v>
      </c>
    </row>
    <row r="102" spans="1:60" s="7" customFormat="1">
      <c r="A102" s="7" t="str">
        <f>'2026_Fantasy_Starters'!A102</f>
        <v xml:space="preserve">TEX </v>
      </c>
      <c r="B102" s="7" t="s">
        <v>261</v>
      </c>
      <c r="C102" s="7" t="str">
        <f>'2026_Fantasy_Starters'!C102</f>
        <v>SP</v>
      </c>
      <c r="D102" s="7" t="str">
        <f>'2026_Fantasy_Starters'!W102</f>
        <v>0.3293091133004926</v>
      </c>
      <c r="E102" s="7" t="str">
        <f>'2026_Fantasy_Starters'!X102</f>
        <v>0.3600665024630542</v>
      </c>
      <c r="F102" s="7" t="str">
        <f>'2026_Fantasy_Starters'!Y102</f>
        <v>0.4275451559934318</v>
      </c>
      <c r="G102" s="8">
        <f t="shared" si="159"/>
        <v>-0.14045789567832739</v>
      </c>
      <c r="H102" s="8">
        <f t="shared" si="120"/>
        <v>0.30910569889219486</v>
      </c>
      <c r="I102" s="8">
        <f t="shared" si="121"/>
        <v>0.31601238363045892</v>
      </c>
      <c r="J102" s="8" t="e">
        <f t="shared" si="122"/>
        <v>#REF!</v>
      </c>
      <c r="K102" s="8">
        <f t="shared" si="123"/>
        <v>0.31596034678183454</v>
      </c>
      <c r="L102" s="8">
        <f t="shared" si="124"/>
        <v>0.44556968618965986</v>
      </c>
      <c r="M102" s="8" t="e">
        <f t="shared" si="125"/>
        <v>#REF!</v>
      </c>
      <c r="N102" s="8" t="e">
        <f t="shared" si="126"/>
        <v>#REF!</v>
      </c>
      <c r="P102" s="7">
        <f t="shared" si="127"/>
        <v>97.088774426130954</v>
      </c>
      <c r="Q102" s="7">
        <f t="shared" si="128"/>
        <v>91.73214460369536</v>
      </c>
      <c r="R102" s="7">
        <f t="shared" si="129"/>
        <v>107.78039314909611</v>
      </c>
      <c r="S102" s="7">
        <f t="shared" si="130"/>
        <v>91.134581219470377</v>
      </c>
      <c r="T102" s="7">
        <f t="shared" si="131"/>
        <v>142.57393785569579</v>
      </c>
      <c r="U102" s="7">
        <f t="shared" si="132"/>
        <v>93.39482222834198</v>
      </c>
      <c r="V102" s="7">
        <f t="shared" si="133"/>
        <v>107.45170413176743</v>
      </c>
      <c r="W102" s="7">
        <f t="shared" si="134"/>
        <v>76.135467658723854</v>
      </c>
      <c r="X102" s="7" t="e">
        <f t="shared" si="135"/>
        <v>#DIV/0!</v>
      </c>
      <c r="Y102" s="7" t="e">
        <f t="shared" si="136"/>
        <v>#REF!</v>
      </c>
      <c r="Z102" s="7">
        <f t="shared" si="137"/>
        <v>92.429704156967915</v>
      </c>
      <c r="AA102" s="7" t="e">
        <f t="shared" si="138"/>
        <v>#REF!</v>
      </c>
      <c r="AB102" s="7">
        <f t="shared" si="139"/>
        <v>112.86188508706734</v>
      </c>
      <c r="AC102" s="7">
        <f t="shared" si="140"/>
        <v>113.78510245915596</v>
      </c>
      <c r="AD102" s="7">
        <f t="shared" si="141"/>
        <v>112.86060306918861</v>
      </c>
      <c r="AE102" s="7" t="e">
        <f t="shared" si="142"/>
        <v>#REF!</v>
      </c>
      <c r="AG102" s="7">
        <f t="shared" si="143"/>
        <v>7.0268067633224213E-2</v>
      </c>
      <c r="AH102" s="7">
        <f t="shared" si="144"/>
        <v>3.9439451364690535E-2</v>
      </c>
      <c r="AI102" s="7">
        <f t="shared" si="145"/>
        <v>3.6272628426205107E-2</v>
      </c>
      <c r="AJ102" s="7">
        <f t="shared" si="146"/>
        <v>1.4345848026477806E-2</v>
      </c>
      <c r="AK102" s="7">
        <f t="shared" si="147"/>
        <v>3.0936697188013073E-4</v>
      </c>
      <c r="AL102" s="7">
        <f t="shared" si="148"/>
        <v>4.3949679603858694E-3</v>
      </c>
      <c r="AM102" s="7">
        <f t="shared" si="149"/>
        <v>9.5609620616025834E-2</v>
      </c>
      <c r="AN102" s="7">
        <f t="shared" si="150"/>
        <v>4.0154884141830792E-2</v>
      </c>
      <c r="AO102" s="7">
        <f t="shared" si="151"/>
        <v>0</v>
      </c>
      <c r="AP102" s="7" t="e">
        <f t="shared" si="152"/>
        <v>#REF!</v>
      </c>
      <c r="AQ102" s="7">
        <f t="shared" si="153"/>
        <v>12.398809523809499</v>
      </c>
      <c r="AR102" s="7" t="e">
        <f t="shared" si="154"/>
        <v>#REF!</v>
      </c>
      <c r="AS102" s="7">
        <f t="shared" si="155"/>
        <v>309.91298815900137</v>
      </c>
      <c r="AT102" s="7">
        <f t="shared" si="156"/>
        <v>0.1098539058004472</v>
      </c>
      <c r="AU102" s="7">
        <f t="shared" si="157"/>
        <v>34.474618679946978</v>
      </c>
      <c r="AV102" s="7" t="e">
        <f t="shared" si="158"/>
        <v>#REF!</v>
      </c>
      <c r="AX102" s="7" t="str">
        <f>'2026_Fantasy_Starters'!Z102</f>
        <v>0.21338027037564924</v>
      </c>
      <c r="AY102" s="7" t="str">
        <f>'2026_Fantasy_Starters'!AA102</f>
        <v>0.1197642268973664</v>
      </c>
      <c r="AZ102" s="7" t="str">
        <f>'2026_Fantasy_Starters'!AB102</f>
        <v>0.11014766054502317</v>
      </c>
      <c r="BA102" s="7">
        <f>'2026_Fantasy_Starters'!AC102</f>
        <v>3.3553995000000003E-2</v>
      </c>
      <c r="BB102" s="7">
        <f>'2026_Fantasy_Starters'!AD102</f>
        <v>7.2358899999999996E-4</v>
      </c>
      <c r="BC102" s="7">
        <f>'2026_Fantasy_Starters'!AE102</f>
        <v>1.0279541E-2</v>
      </c>
      <c r="BD102" s="7" t="str">
        <f>'2026_Fantasy_Starters'!AF102</f>
        <v>0.2236246143261063</v>
      </c>
      <c r="BE102" s="7">
        <f>'2026_Fantasy_Starters'!AG102</f>
        <v>9.3919633000000002E-2</v>
      </c>
      <c r="BF102" s="7">
        <f>'2026_Fantasy_Starters'!AH102</f>
        <v>0</v>
      </c>
      <c r="BG102" s="7" t="e">
        <f>'2026_Fantasy_Starters'!#REF!</f>
        <v>#REF!</v>
      </c>
      <c r="BH102" s="7">
        <f>'2026_Fantasy_Starters'!D102</f>
        <v>29</v>
      </c>
    </row>
    <row r="103" spans="1:60" s="7" customFormat="1">
      <c r="A103" s="7" t="str">
        <f>'2026_Fantasy_Starters'!A72</f>
        <v xml:space="preserve">PIT </v>
      </c>
      <c r="B103" s="7" t="s">
        <v>194</v>
      </c>
      <c r="C103" s="7" t="str">
        <f>'2026_Fantasy_Starters'!C72</f>
        <v>SP,RP</v>
      </c>
      <c r="D103" s="7" t="str">
        <f>'2026_Fantasy_Starters'!W72</f>
        <v>0.1866516129032258</v>
      </c>
      <c r="E103" s="7" t="str">
        <f>'2026_Fantasy_Starters'!X103</f>
        <v>0.3707819799777531</v>
      </c>
      <c r="F103" s="7" t="str">
        <f>'2026_Fantasy_Starters'!Y72</f>
        <v>0.18368368368368362</v>
      </c>
      <c r="G103" s="8">
        <f t="shared" si="159"/>
        <v>-1.957562486285779</v>
      </c>
      <c r="H103" s="8">
        <f t="shared" si="120"/>
        <v>1.4339644510526277</v>
      </c>
      <c r="I103" s="8">
        <f t="shared" si="121"/>
        <v>1.3180023282213078</v>
      </c>
      <c r="J103" s="8" t="e">
        <f t="shared" si="122"/>
        <v>#REF!</v>
      </c>
      <c r="K103" s="8">
        <f t="shared" si="123"/>
        <v>1.3171204695741257</v>
      </c>
      <c r="L103" s="8">
        <f t="shared" si="124"/>
        <v>-2.612782336943972</v>
      </c>
      <c r="M103" s="8" t="e">
        <f t="shared" si="125"/>
        <v>#REF!</v>
      </c>
      <c r="N103" s="8" t="e">
        <f t="shared" si="126"/>
        <v>#REF!</v>
      </c>
      <c r="P103" s="7">
        <f t="shared" si="127"/>
        <v>59.426232715508355</v>
      </c>
      <c r="Q103" s="7">
        <f t="shared" si="128"/>
        <v>143.44412290370769</v>
      </c>
      <c r="R103" s="7">
        <f t="shared" si="129"/>
        <v>54.376443406014999</v>
      </c>
      <c r="S103" s="7">
        <f t="shared" si="130"/>
        <v>165.26035984219845</v>
      </c>
      <c r="T103" s="7">
        <f t="shared" si="131"/>
        <v>112.09313747913049</v>
      </c>
      <c r="U103" s="7">
        <f t="shared" si="132"/>
        <v>154.09756847689854</v>
      </c>
      <c r="V103" s="7">
        <f t="shared" si="133"/>
        <v>162.21318313036869</v>
      </c>
      <c r="W103" s="7">
        <f t="shared" si="134"/>
        <v>157.98812625240907</v>
      </c>
      <c r="X103" s="7" t="e">
        <f t="shared" si="135"/>
        <v>#DIV/0!</v>
      </c>
      <c r="Y103" s="7" t="e">
        <f t="shared" si="136"/>
        <v>#REF!</v>
      </c>
      <c r="Z103" s="7">
        <f t="shared" si="137"/>
        <v>141.03630660463028</v>
      </c>
      <c r="AA103" s="7" t="e">
        <f t="shared" si="138"/>
        <v>#REF!</v>
      </c>
      <c r="AB103" s="7">
        <f t="shared" si="139"/>
        <v>153.61638667014043</v>
      </c>
      <c r="AC103" s="7">
        <f t="shared" si="140"/>
        <v>163.95012111194359</v>
      </c>
      <c r="AD103" s="7">
        <f t="shared" si="141"/>
        <v>153.63810301605844</v>
      </c>
      <c r="AE103" s="7" t="e">
        <f t="shared" si="142"/>
        <v>#REF!</v>
      </c>
      <c r="AG103" s="7">
        <f t="shared" si="143"/>
        <v>4.3009777024409279E-2</v>
      </c>
      <c r="AH103" s="7">
        <f t="shared" si="144"/>
        <v>2.0601985288818861E-2</v>
      </c>
      <c r="AI103" s="7">
        <f t="shared" si="145"/>
        <v>1.8299956691348308E-2</v>
      </c>
      <c r="AJ103" s="7">
        <f t="shared" si="146"/>
        <v>4.5778503750860426E-3</v>
      </c>
      <c r="AK103" s="7">
        <f t="shared" si="147"/>
        <v>4.7357382432432259E-4</v>
      </c>
      <c r="AL103" s="7">
        <f t="shared" si="148"/>
        <v>1.8924007263507567E-3</v>
      </c>
      <c r="AM103" s="7">
        <f t="shared" si="149"/>
        <v>3.9036734186186042E-2</v>
      </c>
      <c r="AN103" s="7">
        <f t="shared" si="150"/>
        <v>1.3619572052052002E-2</v>
      </c>
      <c r="AO103" s="7">
        <f t="shared" si="151"/>
        <v>0</v>
      </c>
      <c r="AP103" s="7" t="e">
        <f t="shared" si="152"/>
        <v>#REF!</v>
      </c>
      <c r="AQ103" s="7">
        <f t="shared" si="153"/>
        <v>6.7962962962962719</v>
      </c>
      <c r="AR103" s="7" t="e">
        <f t="shared" si="154"/>
        <v>#REF!</v>
      </c>
      <c r="AS103" s="7">
        <f t="shared" si="155"/>
        <v>164.96666496666441</v>
      </c>
      <c r="AT103" s="7">
        <f t="shared" si="156"/>
        <v>4.5934288765000698E-2</v>
      </c>
      <c r="AU103" s="7">
        <f t="shared" si="157"/>
        <v>18.341975915548574</v>
      </c>
      <c r="AV103" s="7" t="e">
        <f t="shared" si="158"/>
        <v>#REF!</v>
      </c>
      <c r="AX103" s="7" t="str">
        <f>'2026_Fantasy_Starters'!Z72</f>
        <v>0.23042810268512914</v>
      </c>
      <c r="AY103" s="7" t="str">
        <f>'2026_Fantasy_Starters'!AA72</f>
        <v>0.11037667967809406</v>
      </c>
      <c r="AZ103" s="7">
        <f>'2026_Fantasy_Starters'!AB72</f>
        <v>9.8043388999999995E-2</v>
      </c>
      <c r="BA103" s="7" t="str">
        <f>'2026_Fantasy_Starters'!AC72</f>
        <v>0.024922466074719294</v>
      </c>
      <c r="BB103" s="7">
        <f>'2026_Fantasy_Starters'!AD72</f>
        <v>2.5782029999999998E-3</v>
      </c>
      <c r="BC103" s="7" t="str">
        <f>'2026_Fantasy_Starters'!AE72</f>
        <v>0.010302497687326509</v>
      </c>
      <c r="BD103" s="7">
        <f>'2026_Fantasy_Starters'!AF72</f>
        <v>0.212521512</v>
      </c>
      <c r="BE103" s="7">
        <f>'2026_Fantasy_Starters'!AG72</f>
        <v>7.4146879999999998E-2</v>
      </c>
      <c r="BF103" s="7">
        <f>'2026_Fantasy_Starters'!AH72</f>
        <v>0</v>
      </c>
      <c r="BG103" s="7" t="e">
        <f>'2026_Fantasy_Starters'!#REF!</f>
        <v>#REF!</v>
      </c>
      <c r="BH103" s="7">
        <f>'2026_Fantasy_Starters'!D72</f>
        <v>37</v>
      </c>
    </row>
    <row r="104" spans="1:60">
      <c r="A104" t="str">
        <f>'2026_Fantasy_Starters'!A93</f>
        <v xml:space="preserve">PIT </v>
      </c>
      <c r="B104" t="s">
        <v>241</v>
      </c>
      <c r="C104" t="str">
        <f>'2026_Fantasy_Starters'!C93</f>
        <v>SP</v>
      </c>
      <c r="D104" t="str">
        <f>'2026_Fantasy_Starters'!W93</f>
        <v>0.32176418242491656</v>
      </c>
      <c r="E104">
        <f>'2026_Fantasy_Starters'!X104</f>
        <v>0.33300000000000002</v>
      </c>
      <c r="F104" t="str">
        <f>'2026_Fantasy_Starters'!Y93</f>
        <v>0.48046594982078855</v>
      </c>
      <c r="G104" s="3">
        <f t="shared" si="159"/>
        <v>0.22494038665730889</v>
      </c>
      <c r="H104" s="3">
        <f t="shared" si="120"/>
        <v>-0.649186183519747</v>
      </c>
      <c r="I104" s="3">
        <f t="shared" si="121"/>
        <v>-0.23385155359624041</v>
      </c>
      <c r="J104" s="3" t="e">
        <f t="shared" si="122"/>
        <v>#REF!</v>
      </c>
      <c r="K104" s="3">
        <f t="shared" si="123"/>
        <v>-0.23421853906093784</v>
      </c>
      <c r="L104" s="3">
        <f t="shared" si="124"/>
        <v>0.13690913128560567</v>
      </c>
      <c r="M104" s="3" t="e">
        <f t="shared" si="125"/>
        <v>#REF!</v>
      </c>
      <c r="N104" s="4" t="e">
        <f t="shared" si="126"/>
        <v>#REF!</v>
      </c>
      <c r="P104">
        <f t="shared" si="127"/>
        <v>104.66226695957683</v>
      </c>
      <c r="Q104">
        <f t="shared" si="128"/>
        <v>94.975465236268917</v>
      </c>
      <c r="R104">
        <f t="shared" si="129"/>
        <v>102.39066278546119</v>
      </c>
      <c r="S104">
        <f t="shared" si="130"/>
        <v>92.502812406110863</v>
      </c>
      <c r="T104">
        <f t="shared" si="131"/>
        <v>83.019978856949592</v>
      </c>
      <c r="U104">
        <f t="shared" si="132"/>
        <v>52.536628199086657</v>
      </c>
      <c r="V104">
        <f t="shared" si="133"/>
        <v>106.11384044374688</v>
      </c>
      <c r="W104">
        <f t="shared" si="134"/>
        <v>95.292879600215969</v>
      </c>
      <c r="X104" t="e">
        <f t="shared" si="135"/>
        <v>#DIV/0!</v>
      </c>
      <c r="Y104" t="e">
        <f t="shared" si="136"/>
        <v>#REF!</v>
      </c>
      <c r="Z104">
        <f t="shared" si="137"/>
        <v>74.946386750735769</v>
      </c>
      <c r="AA104" t="e">
        <f t="shared" si="138"/>
        <v>#REF!</v>
      </c>
      <c r="AB104">
        <f t="shared" si="139"/>
        <v>90.465601252353949</v>
      </c>
      <c r="AC104">
        <f t="shared" si="140"/>
        <v>71.048421019214913</v>
      </c>
      <c r="AD104">
        <f t="shared" si="141"/>
        <v>90.483056475940955</v>
      </c>
      <c r="AE104" t="e">
        <f t="shared" si="142"/>
        <v>#REF!</v>
      </c>
      <c r="AG104">
        <f t="shared" si="143"/>
        <v>7.5749388091798889E-2</v>
      </c>
      <c r="AH104">
        <f t="shared" si="144"/>
        <v>3.8257985398820409E-2</v>
      </c>
      <c r="AI104">
        <f t="shared" si="145"/>
        <v>3.4458757822419833E-2</v>
      </c>
      <c r="AJ104">
        <f t="shared" si="146"/>
        <v>1.4165548011206636E-2</v>
      </c>
      <c r="AK104">
        <f t="shared" si="147"/>
        <v>6.3019739749103866E-4</v>
      </c>
      <c r="AL104">
        <f t="shared" si="148"/>
        <v>6.0794119755014919E-3</v>
      </c>
      <c r="AM104">
        <f t="shared" si="149"/>
        <v>9.699173833572669E-2</v>
      </c>
      <c r="AN104">
        <f t="shared" si="150"/>
        <v>3.3944360092473085E-2</v>
      </c>
      <c r="AO104">
        <f t="shared" si="151"/>
        <v>0</v>
      </c>
      <c r="AP104" t="e">
        <f t="shared" si="152"/>
        <v>#REF!</v>
      </c>
      <c r="AQ104">
        <f t="shared" si="153"/>
        <v>14.41397849462364</v>
      </c>
      <c r="AR104" t="e">
        <f t="shared" si="154"/>
        <v>#REF!</v>
      </c>
      <c r="AS104">
        <f t="shared" si="155"/>
        <v>389.56698634117947</v>
      </c>
      <c r="AT104">
        <f t="shared" si="156"/>
        <v>0.1643084317703106</v>
      </c>
      <c r="AU104">
        <f t="shared" si="157"/>
        <v>43.327759887792332</v>
      </c>
      <c r="AV104" t="e">
        <f t="shared" si="158"/>
        <v>#REF!</v>
      </c>
      <c r="AX104" t="str">
        <f>'2026_Fantasy_Starters'!Z93</f>
        <v>0.23541895658158085</v>
      </c>
      <c r="AY104" t="str">
        <f>'2026_Fantasy_Starters'!AA93</f>
        <v>0.11890069649920734</v>
      </c>
      <c r="AZ104" t="str">
        <f>'2026_Fantasy_Starters'!AB93</f>
        <v>0.1070932058463685</v>
      </c>
      <c r="BA104" t="str">
        <f>'2026_Fantasy_Starters'!AC93</f>
        <v>0.029482938419445454</v>
      </c>
      <c r="BB104">
        <f>'2026_Fantasy_Starters'!AD93</f>
        <v>1.311638E-3</v>
      </c>
      <c r="BC104" t="str">
        <f>'2026_Fantasy_Starters'!AE93</f>
        <v>0.012653158830025586</v>
      </c>
      <c r="BD104" t="str">
        <f>'2026_Fantasy_Starters'!AF93</f>
        <v>0.20187016035559785</v>
      </c>
      <c r="BE104">
        <f>'2026_Fantasy_Starters'!AG93</f>
        <v>7.0648836000000007E-2</v>
      </c>
      <c r="BF104">
        <f>'2026_Fantasy_Starters'!AH93</f>
        <v>0</v>
      </c>
      <c r="BG104" t="e">
        <f>'2026_Fantasy_Starters'!#REF!</f>
        <v>#REF!</v>
      </c>
      <c r="BH104">
        <f>'2026_Fantasy_Starters'!D93</f>
        <v>30</v>
      </c>
    </row>
    <row r="105" spans="1:60" s="7" customFormat="1">
      <c r="A105" s="7" t="str">
        <f>'2026_Fantasy_Starters'!A97</f>
        <v xml:space="preserve">HOU </v>
      </c>
      <c r="B105" s="7" t="s">
        <v>250</v>
      </c>
      <c r="C105" s="7" t="str">
        <f>'2026_Fantasy_Starters'!C97</f>
        <v>SP,RP</v>
      </c>
      <c r="D105" s="7" t="str">
        <f>'2026_Fantasy_Starters'!W97</f>
        <v>0.2063036800927267</v>
      </c>
      <c r="E105" s="7" t="str">
        <f>'2026_Fantasy_Starters'!X105</f>
        <v>0.32903571428571426</v>
      </c>
      <c r="F105" s="7" t="str">
        <f>'2026_Fantasy_Starters'!Y97</f>
        <v>0.26436781609195403</v>
      </c>
      <c r="G105" s="8">
        <f t="shared" si="159"/>
        <v>-1.8084170525839474</v>
      </c>
      <c r="H105" s="8">
        <f t="shared" si="120"/>
        <v>1.0198942676760403</v>
      </c>
      <c r="I105" s="8">
        <f t="shared" si="121"/>
        <v>1.0082486028795434</v>
      </c>
      <c r="J105" s="8" t="e">
        <f t="shared" si="122"/>
        <v>#REF!</v>
      </c>
      <c r="K105" s="8">
        <f t="shared" si="123"/>
        <v>1.00811701187747</v>
      </c>
      <c r="L105" s="8">
        <f t="shared" si="124"/>
        <v>-1.967173864913681</v>
      </c>
      <c r="M105" s="8" t="e">
        <f t="shared" si="125"/>
        <v>#REF!</v>
      </c>
      <c r="N105" s="8" t="e">
        <f t="shared" si="126"/>
        <v>#REF!</v>
      </c>
      <c r="P105" s="7">
        <f t="shared" si="127"/>
        <v>62.517522092454087</v>
      </c>
      <c r="Q105" s="7">
        <f t="shared" si="128"/>
        <v>133.89470712079932</v>
      </c>
      <c r="R105" s="7">
        <f t="shared" si="129"/>
        <v>65.649848865300996</v>
      </c>
      <c r="S105" s="7">
        <f t="shared" si="130"/>
        <v>128.11588287815701</v>
      </c>
      <c r="T105" s="7">
        <f t="shared" si="131"/>
        <v>112.69199963073206</v>
      </c>
      <c r="U105" s="7">
        <f t="shared" si="132"/>
        <v>138.39999982018543</v>
      </c>
      <c r="V105" s="7">
        <f t="shared" si="133"/>
        <v>139.39379272029186</v>
      </c>
      <c r="W105" s="7">
        <f t="shared" si="134"/>
        <v>134.48474624074635</v>
      </c>
      <c r="X105" s="7" t="e">
        <f t="shared" si="135"/>
        <v>#DIV/0!</v>
      </c>
      <c r="Y105" s="7" t="e">
        <f t="shared" si="136"/>
        <v>#REF!</v>
      </c>
      <c r="Z105" s="7">
        <f t="shared" si="137"/>
        <v>133.4850979136699</v>
      </c>
      <c r="AA105" s="7" t="e">
        <f t="shared" si="138"/>
        <v>#REF!</v>
      </c>
      <c r="AB105" s="7">
        <f t="shared" si="139"/>
        <v>141.03769758816816</v>
      </c>
      <c r="AC105" s="7">
        <f t="shared" si="140"/>
        <v>145.48394619642218</v>
      </c>
      <c r="AD105" s="7">
        <f t="shared" si="141"/>
        <v>141.03220553489734</v>
      </c>
      <c r="AE105" s="7" t="e">
        <f t="shared" si="142"/>
        <v>#REF!</v>
      </c>
      <c r="AG105" s="7">
        <f t="shared" si="143"/>
        <v>4.5247099848773072E-2</v>
      </c>
      <c r="AH105" s="7">
        <f t="shared" si="144"/>
        <v>2.4080614453058109E-2</v>
      </c>
      <c r="AI105" s="7">
        <f t="shared" si="145"/>
        <v>2.2093931043965172E-2</v>
      </c>
      <c r="AJ105" s="7">
        <f t="shared" si="146"/>
        <v>9.4726004942528707E-3</v>
      </c>
      <c r="AK105" s="7">
        <f t="shared" si="147"/>
        <v>4.7034762068965508E-4</v>
      </c>
      <c r="AL105" s="7">
        <f t="shared" si="148"/>
        <v>2.5395579540229882E-3</v>
      </c>
      <c r="AM105" s="7">
        <f t="shared" si="149"/>
        <v>6.2610947404576761E-2</v>
      </c>
      <c r="AN105" s="7">
        <f t="shared" si="150"/>
        <v>2.1238988873563215E-2</v>
      </c>
      <c r="AO105" s="7">
        <f t="shared" si="151"/>
        <v>0</v>
      </c>
      <c r="AP105" s="7" t="e">
        <f t="shared" si="152"/>
        <v>#REF!</v>
      </c>
      <c r="AQ105" s="7">
        <f t="shared" si="153"/>
        <v>7.6666666666666652</v>
      </c>
      <c r="AR105" s="7" t="e">
        <f t="shared" si="154"/>
        <v>#REF!</v>
      </c>
      <c r="AS105" s="7">
        <f t="shared" si="155"/>
        <v>209.70367958319778</v>
      </c>
      <c r="AT105" s="7">
        <f t="shared" si="156"/>
        <v>6.9463649670443245E-2</v>
      </c>
      <c r="AU105" s="7">
        <f t="shared" si="157"/>
        <v>23.329197816184294</v>
      </c>
      <c r="AV105" s="7" t="e">
        <f t="shared" si="158"/>
        <v>#REF!</v>
      </c>
      <c r="AX105" s="7" t="str">
        <f>'2026_Fantasy_Starters'!Z97</f>
        <v>0.21932279554313447</v>
      </c>
      <c r="AY105" s="7" t="str">
        <f>'2026_Fantasy_Starters'!AA97</f>
        <v>0.11672411486908493</v>
      </c>
      <c r="AZ105" s="7" t="str">
        <f>'2026_Fantasy_Starters'!AB97</f>
        <v>0.10709421680715929</v>
      </c>
      <c r="BA105" s="7">
        <f>'2026_Fantasy_Starters'!AC97</f>
        <v>3.5831140999999997E-2</v>
      </c>
      <c r="BB105" s="7">
        <f>'2026_Fantasy_Starters'!AD97</f>
        <v>1.7791409999999999E-3</v>
      </c>
      <c r="BC105" s="7">
        <f>'2026_Fantasy_Starters'!AE97</f>
        <v>9.6061540000000004E-3</v>
      </c>
      <c r="BD105" s="7" t="str">
        <f>'2026_Fantasy_Starters'!AF97</f>
        <v>0.2368327140955736</v>
      </c>
      <c r="BE105" s="7">
        <f>'2026_Fantasy_Starters'!AG97</f>
        <v>8.0338783999999996E-2</v>
      </c>
      <c r="BF105" s="7">
        <f>'2026_Fantasy_Starters'!AH97</f>
        <v>0</v>
      </c>
      <c r="BG105" s="7" t="e">
        <f>'2026_Fantasy_Starters'!#REF!</f>
        <v>#REF!</v>
      </c>
      <c r="BH105" s="7">
        <f>'2026_Fantasy_Starters'!D97</f>
        <v>29</v>
      </c>
    </row>
    <row r="106" spans="1:60" s="7" customFormat="1">
      <c r="A106" s="7" t="str">
        <f>'2026_Fantasy_Starters'!A75</f>
        <v xml:space="preserve">ATH </v>
      </c>
      <c r="B106" s="7" t="s">
        <v>200</v>
      </c>
      <c r="C106" s="7" t="str">
        <f>'2026_Fantasy_Starters'!C75</f>
        <v>SP</v>
      </c>
      <c r="D106" s="7" t="str">
        <f>'2026_Fantasy_Starters'!W75</f>
        <v>0.31779989671063086</v>
      </c>
      <c r="E106" s="7" t="str">
        <f>'2026_Fantasy_Starters'!X106</f>
        <v>0.2616428571428571</v>
      </c>
      <c r="F106" s="7" t="str">
        <f>'2026_Fantasy_Starters'!Y75</f>
        <v>0.4330737856878013</v>
      </c>
      <c r="G106" s="8">
        <f t="shared" si="159"/>
        <v>0.18191938859247223</v>
      </c>
      <c r="H106" s="8">
        <f t="shared" si="120"/>
        <v>0.55105159178247687</v>
      </c>
      <c r="I106" s="8">
        <f t="shared" si="121"/>
        <v>-0.52810436802000993</v>
      </c>
      <c r="J106" s="8" t="e">
        <f t="shared" si="122"/>
        <v>#REF!</v>
      </c>
      <c r="K106" s="8">
        <f t="shared" si="123"/>
        <v>-0.5273751631177559</v>
      </c>
      <c r="L106" s="8">
        <f t="shared" si="124"/>
        <v>0.35640298939070486</v>
      </c>
      <c r="M106" s="8" t="e">
        <f t="shared" si="125"/>
        <v>#REF!</v>
      </c>
      <c r="N106" s="8" t="e">
        <f t="shared" si="126"/>
        <v>#REF!</v>
      </c>
      <c r="P106" s="7">
        <f t="shared" si="127"/>
        <v>103.77058458618748</v>
      </c>
      <c r="Q106" s="7">
        <f t="shared" si="128"/>
        <v>86.290193155581605</v>
      </c>
      <c r="R106" s="7">
        <f t="shared" si="129"/>
        <v>106.22339324895745</v>
      </c>
      <c r="S106" s="7">
        <f t="shared" si="130"/>
        <v>72.27693213414706</v>
      </c>
      <c r="T106" s="7">
        <f t="shared" si="131"/>
        <v>142.24921800120708</v>
      </c>
      <c r="U106" s="7">
        <f t="shared" si="132"/>
        <v>132.23009088508272</v>
      </c>
      <c r="V106" s="7">
        <f t="shared" si="133"/>
        <v>116.085792988984</v>
      </c>
      <c r="W106" s="7">
        <f t="shared" si="134"/>
        <v>98.742215232528949</v>
      </c>
      <c r="X106" s="7" t="e">
        <f t="shared" si="135"/>
        <v>#DIV/0!</v>
      </c>
      <c r="Y106" s="7" t="e">
        <f t="shared" si="136"/>
        <v>#REF!</v>
      </c>
      <c r="Z106" s="7">
        <f t="shared" si="137"/>
        <v>91.038701771622002</v>
      </c>
      <c r="AA106" s="7" t="e">
        <f t="shared" si="138"/>
        <v>#REF!</v>
      </c>
      <c r="AB106" s="7">
        <f t="shared" si="139"/>
        <v>78.531993603369841</v>
      </c>
      <c r="AC106" s="7">
        <f t="shared" si="140"/>
        <v>124.57509738651488</v>
      </c>
      <c r="AD106" s="7">
        <f t="shared" si="141"/>
        <v>78.507992066056914</v>
      </c>
      <c r="AE106" s="7" t="e">
        <f t="shared" si="142"/>
        <v>#REF!</v>
      </c>
      <c r="AG106" s="7">
        <f t="shared" si="143"/>
        <v>7.5104032357410172E-2</v>
      </c>
      <c r="AH106" s="7">
        <f t="shared" si="144"/>
        <v>4.1421827192504479E-2</v>
      </c>
      <c r="AI106" s="7">
        <f t="shared" si="145"/>
        <v>3.5748632575130015E-2</v>
      </c>
      <c r="AJ106" s="7">
        <f t="shared" si="146"/>
        <v>1.6830833350054957E-2</v>
      </c>
      <c r="AK106" s="7">
        <f t="shared" si="147"/>
        <v>3.1111630997404508E-4</v>
      </c>
      <c r="AL106" s="7">
        <f t="shared" si="148"/>
        <v>2.7939222602892089E-3</v>
      </c>
      <c r="AM106" s="7">
        <f t="shared" si="149"/>
        <v>8.6689932227826269E-2</v>
      </c>
      <c r="AN106" s="7">
        <f t="shared" si="150"/>
        <v>3.2826141098998868E-2</v>
      </c>
      <c r="AO106" s="7">
        <f t="shared" si="151"/>
        <v>0</v>
      </c>
      <c r="AP106" s="7" t="e">
        <f t="shared" si="152"/>
        <v>#REF!</v>
      </c>
      <c r="AQ106" s="7">
        <f t="shared" si="153"/>
        <v>12.559139784946229</v>
      </c>
      <c r="AR106" s="7" t="e">
        <f t="shared" si="154"/>
        <v>#REF!</v>
      </c>
      <c r="AS106" s="7">
        <f t="shared" si="155"/>
        <v>432.00972233230294</v>
      </c>
      <c r="AT106" s="7">
        <f t="shared" si="156"/>
        <v>9.6105434014862268E-2</v>
      </c>
      <c r="AU106" s="7">
        <f t="shared" si="157"/>
        <v>48.06540776853619</v>
      </c>
      <c r="AV106" s="7" t="e">
        <f t="shared" si="158"/>
        <v>#REF!</v>
      </c>
      <c r="AX106" s="7" t="str">
        <f>'2026_Fantasy_Starters'!Z75</f>
        <v>0.2363249111619305</v>
      </c>
      <c r="AY106" s="7" t="str">
        <f>'2026_Fantasy_Starters'!AA75</f>
        <v>0.13033933497536937</v>
      </c>
      <c r="AZ106" s="7" t="str">
        <f>'2026_Fantasy_Starters'!AB75</f>
        <v>0.1124878671929867</v>
      </c>
      <c r="BA106" s="7" t="str">
        <f>'2026_Fantasy_Starters'!AC75</f>
        <v>0.038863662281762294</v>
      </c>
      <c r="BB106" s="7">
        <f>'2026_Fantasy_Starters'!AD75</f>
        <v>7.1839099999999997E-4</v>
      </c>
      <c r="BC106" s="7">
        <f>'2026_Fantasy_Starters'!AE75</f>
        <v>6.4513770000000003E-3</v>
      </c>
      <c r="BD106" s="7" t="str">
        <f>'2026_Fantasy_Starters'!AF75</f>
        <v>0.20017358494730153</v>
      </c>
      <c r="BE106" s="7">
        <f>'2026_Fantasy_Starters'!AG75</f>
        <v>7.5798033000000001E-2</v>
      </c>
      <c r="BF106" s="7">
        <f>'2026_Fantasy_Starters'!AH75</f>
        <v>0</v>
      </c>
      <c r="BG106" s="7" t="e">
        <f>'2026_Fantasy_Starters'!#REF!</f>
        <v>#REF!</v>
      </c>
      <c r="BH106" s="7">
        <f>'2026_Fantasy_Starters'!D75</f>
        <v>29</v>
      </c>
    </row>
    <row r="107" spans="1:60" s="7" customFormat="1">
      <c r="A107" s="7" t="str">
        <f>'2026_Fantasy_Starters'!A81</f>
        <v xml:space="preserve">NYM </v>
      </c>
      <c r="B107" s="7" t="s">
        <v>215</v>
      </c>
      <c r="C107" s="7" t="str">
        <f>'2026_Fantasy_Starters'!C81</f>
        <v>SP</v>
      </c>
      <c r="D107" s="7" t="str">
        <f>'2026_Fantasy_Starters'!W81</f>
        <v>0.22199999999999995</v>
      </c>
      <c r="E107" s="7" t="str">
        <f>'2026_Fantasy_Starters'!X107</f>
        <v>0.36416748768472906</v>
      </c>
      <c r="F107" s="7">
        <f>'2026_Fantasy_Starters'!Y81</f>
        <v>9.1880342000000004E-2</v>
      </c>
      <c r="G107" s="8">
        <f t="shared" si="159"/>
        <v>-1.9462112506590687</v>
      </c>
      <c r="H107" s="8">
        <f t="shared" si="120"/>
        <v>1.9274908209952972</v>
      </c>
      <c r="I107" s="8">
        <f t="shared" si="121"/>
        <v>2.268793142410193</v>
      </c>
      <c r="J107" s="8" t="e">
        <f t="shared" si="122"/>
        <v>#REF!</v>
      </c>
      <c r="K107" s="8">
        <f t="shared" si="123"/>
        <v>2.2683537903261599</v>
      </c>
      <c r="L107" s="8">
        <f t="shared" si="124"/>
        <v>-2.0209796845273105</v>
      </c>
      <c r="M107" s="8" t="e">
        <f t="shared" si="125"/>
        <v>#REF!</v>
      </c>
      <c r="N107" s="8" t="e">
        <f t="shared" si="126"/>
        <v>#REF!</v>
      </c>
      <c r="P107" s="7">
        <f t="shared" si="127"/>
        <v>59.66150612105028</v>
      </c>
      <c r="Q107" s="7">
        <f t="shared" si="128"/>
        <v>140.09422770038424</v>
      </c>
      <c r="R107" s="7">
        <f t="shared" si="129"/>
        <v>64.710309118144167</v>
      </c>
      <c r="S107" s="7">
        <f t="shared" si="130"/>
        <v>183.30579389012917</v>
      </c>
      <c r="T107" s="7">
        <f t="shared" si="131"/>
        <v>200</v>
      </c>
      <c r="U107" s="7">
        <f t="shared" si="132"/>
        <v>182.44146463094933</v>
      </c>
      <c r="V107" s="7">
        <f t="shared" si="133"/>
        <v>175.97733612164501</v>
      </c>
      <c r="W107" s="7">
        <f t="shared" si="134"/>
        <v>171.9310138073277</v>
      </c>
      <c r="X107" s="7" t="e">
        <f t="shared" si="135"/>
        <v>#DIV/0!</v>
      </c>
      <c r="Y107" s="7" t="e">
        <f t="shared" si="136"/>
        <v>#REF!</v>
      </c>
      <c r="Z107" s="7">
        <f t="shared" si="137"/>
        <v>190.43431172763536</v>
      </c>
      <c r="AA107" s="7" t="e">
        <f t="shared" si="138"/>
        <v>#REF!</v>
      </c>
      <c r="AB107" s="7">
        <f t="shared" si="139"/>
        <v>192.33850413556368</v>
      </c>
      <c r="AC107" s="7">
        <f t="shared" si="140"/>
        <v>185.95978188603294</v>
      </c>
      <c r="AD107" s="7">
        <f t="shared" si="141"/>
        <v>192.33197672644104</v>
      </c>
      <c r="AE107" s="7" t="e">
        <f t="shared" si="142"/>
        <v>#REF!</v>
      </c>
      <c r="AG107" s="7">
        <f t="shared" si="143"/>
        <v>4.3180056314374951E-2</v>
      </c>
      <c r="AH107" s="7">
        <f t="shared" si="144"/>
        <v>2.18222738819999E-2</v>
      </c>
      <c r="AI107" s="7">
        <f t="shared" si="145"/>
        <v>2.17777364639999E-2</v>
      </c>
      <c r="AJ107" s="7">
        <f t="shared" si="146"/>
        <v>2.1998954898406827E-3</v>
      </c>
      <c r="AK107" s="7">
        <f t="shared" si="147"/>
        <v>0</v>
      </c>
      <c r="AL107" s="7">
        <f t="shared" si="148"/>
        <v>7.2387853940426416E-4</v>
      </c>
      <c r="AM107" s="7">
        <f t="shared" si="149"/>
        <v>2.4817288725293648E-2</v>
      </c>
      <c r="AN107" s="7">
        <f t="shared" si="150"/>
        <v>9.0995127276624933E-3</v>
      </c>
      <c r="AO107" s="7">
        <f t="shared" si="151"/>
        <v>0</v>
      </c>
      <c r="AP107" s="7" t="e">
        <f t="shared" si="152"/>
        <v>#REF!</v>
      </c>
      <c r="AQ107" s="7">
        <f t="shared" si="153"/>
        <v>1.102564104</v>
      </c>
      <c r="AR107" s="7" t="e">
        <f t="shared" si="154"/>
        <v>#REF!</v>
      </c>
      <c r="AS107" s="7">
        <f t="shared" si="155"/>
        <v>27.248662419284155</v>
      </c>
      <c r="AT107" s="7">
        <f t="shared" si="156"/>
        <v>1.7889864073419241E-2</v>
      </c>
      <c r="AU107" s="7">
        <f t="shared" si="157"/>
        <v>3.0336700470259141</v>
      </c>
      <c r="AV107" s="7" t="e">
        <f t="shared" si="158"/>
        <v>#REF!</v>
      </c>
      <c r="AX107" s="7" t="str">
        <f>'2026_Fantasy_Starters'!Z81</f>
        <v>0.1945047581728616</v>
      </c>
      <c r="AY107" s="7">
        <f>'2026_Fantasy_Starters'!AA81</f>
        <v>9.8298530999999995E-2</v>
      </c>
      <c r="AZ107" s="7">
        <f>'2026_Fantasy_Starters'!AB81</f>
        <v>9.8097911999999995E-2</v>
      </c>
      <c r="BA107" s="7" t="str">
        <f>'2026_Fantasy_Starters'!AC81</f>
        <v>0.023943048555921644</v>
      </c>
      <c r="BB107" s="7">
        <f>'2026_Fantasy_Starters'!AD81</f>
        <v>0</v>
      </c>
      <c r="BC107" s="7">
        <f>'2026_Fantasy_Starters'!AE81</f>
        <v>7.8784920000000008E-3</v>
      </c>
      <c r="BD107" s="7" t="str">
        <f>'2026_Fantasy_Starters'!AF81</f>
        <v>0.2701044443793396</v>
      </c>
      <c r="BE107" s="7">
        <f>'2026_Fantasy_Starters'!AG81</f>
        <v>9.9036556999999997E-2</v>
      </c>
      <c r="BF107" s="7">
        <f>'2026_Fantasy_Starters'!AH81</f>
        <v>0</v>
      </c>
      <c r="BG107" s="7" t="e">
        <f>'2026_Fantasy_Starters'!#REF!</f>
        <v>#REF!</v>
      </c>
      <c r="BH107" s="7">
        <f>'2026_Fantasy_Starters'!D81</f>
        <v>12</v>
      </c>
    </row>
    <row r="108" spans="1:60">
      <c r="A108" t="str">
        <f>'2026_Fantasy_Starters'!A71</f>
        <v xml:space="preserve">HOU </v>
      </c>
      <c r="B108" t="s">
        <v>193</v>
      </c>
      <c r="C108" t="str">
        <f>'2026_Fantasy_Starters'!C71</f>
        <v>SP</v>
      </c>
      <c r="D108" t="str">
        <f>'2026_Fantasy_Starters'!W71</f>
        <v>0.22626923076923075</v>
      </c>
      <c r="E108" t="str">
        <f>'2026_Fantasy_Starters'!X108</f>
        <v>0.3409285714285714</v>
      </c>
      <c r="F108" t="str">
        <f>'2026_Fantasy_Starters'!Y71</f>
        <v>0.4596391263057929</v>
      </c>
      <c r="G108" s="3">
        <f t="shared" si="159"/>
        <v>-1.5051698130388609</v>
      </c>
      <c r="H108" s="3">
        <f t="shared" si="120"/>
        <v>-0.32456286863039702</v>
      </c>
      <c r="I108" s="3">
        <f t="shared" si="121"/>
        <v>0.1937440747914734</v>
      </c>
      <c r="J108" s="3" t="e">
        <f t="shared" si="122"/>
        <v>#REF!</v>
      </c>
      <c r="K108" s="3">
        <f t="shared" si="123"/>
        <v>0.193710999048335</v>
      </c>
      <c r="L108" s="3">
        <f t="shared" si="124"/>
        <v>-1.2048131226962331</v>
      </c>
      <c r="M108" s="3" t="e">
        <f t="shared" si="125"/>
        <v>#REF!</v>
      </c>
      <c r="N108" s="4" t="e">
        <f t="shared" si="126"/>
        <v>#REF!</v>
      </c>
      <c r="P108">
        <f t="shared" si="127"/>
        <v>68.802829975683835</v>
      </c>
      <c r="Q108">
        <f t="shared" si="128"/>
        <v>125.67545238710707</v>
      </c>
      <c r="R108">
        <f t="shared" si="129"/>
        <v>78.961944548048265</v>
      </c>
      <c r="S108">
        <f t="shared" si="130"/>
        <v>91.6655768889554</v>
      </c>
      <c r="T108">
        <f t="shared" si="131"/>
        <v>71.408743465276501</v>
      </c>
      <c r="U108">
        <f t="shared" si="132"/>
        <v>65.975191703166161</v>
      </c>
      <c r="V108">
        <f t="shared" si="133"/>
        <v>99.664481664374435</v>
      </c>
      <c r="W108">
        <f t="shared" si="134"/>
        <v>61.696472846200791</v>
      </c>
      <c r="X108" t="e">
        <f t="shared" si="135"/>
        <v>#DIV/0!</v>
      </c>
      <c r="Y108" t="e">
        <f t="shared" si="136"/>
        <v>#REF!</v>
      </c>
      <c r="Z108">
        <f t="shared" si="137"/>
        <v>92.330392609419064</v>
      </c>
      <c r="AA108" t="e">
        <f t="shared" si="138"/>
        <v>#REF!</v>
      </c>
      <c r="AB108">
        <f t="shared" si="139"/>
        <v>107.88544713043069</v>
      </c>
      <c r="AC108">
        <f t="shared" si="140"/>
        <v>85.525558362260966</v>
      </c>
      <c r="AD108">
        <f t="shared" si="141"/>
        <v>107.88470886575777</v>
      </c>
      <c r="AE108" t="e">
        <f t="shared" si="142"/>
        <v>#REF!</v>
      </c>
      <c r="AG108">
        <f t="shared" si="143"/>
        <v>4.9796095775902174E-2</v>
      </c>
      <c r="AH108">
        <f t="shared" si="144"/>
        <v>2.707469701003579E-2</v>
      </c>
      <c r="AI108">
        <f t="shared" si="145"/>
        <v>2.6574010269566236E-2</v>
      </c>
      <c r="AJ108">
        <f t="shared" si="146"/>
        <v>1.4275875547958186E-2</v>
      </c>
      <c r="AK108">
        <f t="shared" si="147"/>
        <v>6.9274970560303747E-4</v>
      </c>
      <c r="AL108">
        <f t="shared" si="148"/>
        <v>5.5253858271604823E-3</v>
      </c>
      <c r="AM108">
        <f t="shared" si="149"/>
        <v>0.10365442985616657</v>
      </c>
      <c r="AN108">
        <f t="shared" si="150"/>
        <v>4.4835773439696011E-2</v>
      </c>
      <c r="AO108">
        <f t="shared" si="151"/>
        <v>0</v>
      </c>
      <c r="AP108" t="e">
        <f t="shared" si="152"/>
        <v>#REF!</v>
      </c>
      <c r="AQ108">
        <f t="shared" si="153"/>
        <v>12.410256410256384</v>
      </c>
      <c r="AR108" t="e">
        <f t="shared" si="154"/>
        <v>#REF!</v>
      </c>
      <c r="AS108">
        <f t="shared" si="155"/>
        <v>327.61204854228077</v>
      </c>
      <c r="AT108">
        <f t="shared" si="156"/>
        <v>0.14586185087412981</v>
      </c>
      <c r="AU108">
        <f t="shared" si="157"/>
        <v>36.443212235755503</v>
      </c>
      <c r="AV108" t="e">
        <f t="shared" si="158"/>
        <v>#REF!</v>
      </c>
      <c r="AX108" t="str">
        <f>'2026_Fantasy_Starters'!Z71</f>
        <v>0.22007453513062475</v>
      </c>
      <c r="AY108" t="str">
        <f>'2026_Fantasy_Starters'!AA71</f>
        <v>0.11965699851452269</v>
      </c>
      <c r="AZ108" t="str">
        <f>'2026_Fantasy_Starters'!AB71</f>
        <v>0.11744420652876528</v>
      </c>
      <c r="BA108">
        <f>'2026_Fantasy_Starters'!AC71</f>
        <v>3.1058878000000002E-2</v>
      </c>
      <c r="BB108">
        <f>'2026_Fantasy_Starters'!AD71</f>
        <v>1.50716E-3</v>
      </c>
      <c r="BC108">
        <f>'2026_Fantasy_Starters'!AE71</f>
        <v>1.2021139E-2</v>
      </c>
      <c r="BD108" t="str">
        <f>'2026_Fantasy_Starters'!AF71</f>
        <v>0.22551263355071008</v>
      </c>
      <c r="BE108">
        <f>'2026_Fantasy_Starters'!AG71</f>
        <v>9.7545597999999997E-2</v>
      </c>
      <c r="BF108">
        <f>'2026_Fantasy_Starters'!AH71</f>
        <v>0</v>
      </c>
      <c r="BG108" t="e">
        <f>'2026_Fantasy_Starters'!#REF!</f>
        <v>#REF!</v>
      </c>
      <c r="BH108">
        <f>'2026_Fantasy_Starters'!D71</f>
        <v>27</v>
      </c>
    </row>
    <row r="109" spans="1:60">
      <c r="A109" t="str">
        <f>'2026_Fantasy_Starters'!A69</f>
        <v xml:space="preserve">DET </v>
      </c>
      <c r="B109" t="s">
        <v>189</v>
      </c>
      <c r="C109" t="str">
        <f>'2026_Fantasy_Starters'!C69</f>
        <v>SP</v>
      </c>
      <c r="D109">
        <f>'2026_Fantasy_Starters'!W69</f>
        <v>0.29704936500000001</v>
      </c>
      <c r="E109" t="str">
        <f>'2026_Fantasy_Starters'!X109</f>
        <v>0.35929922135706344</v>
      </c>
      <c r="F109" t="str">
        <f>'2026_Fantasy_Starters'!Y69</f>
        <v>0.4409141583054626</v>
      </c>
      <c r="G109" s="3">
        <f t="shared" si="159"/>
        <v>-0.33102950049555541</v>
      </c>
      <c r="H109" s="3">
        <f t="shared" si="120"/>
        <v>0.32304084884282908</v>
      </c>
      <c r="I109" s="3">
        <f t="shared" si="121"/>
        <v>0.70152785893466751</v>
      </c>
      <c r="J109" s="3" t="e">
        <f t="shared" si="122"/>
        <v>#REF!</v>
      </c>
      <c r="K109" s="3">
        <f t="shared" si="123"/>
        <v>0.70201851690673267</v>
      </c>
      <c r="L109" s="3">
        <f t="shared" si="124"/>
        <v>-9.2813332672926518E-2</v>
      </c>
      <c r="M109" s="3" t="e">
        <f t="shared" si="125"/>
        <v>#REF!</v>
      </c>
      <c r="N109" s="4" t="e">
        <f t="shared" si="126"/>
        <v>#REF!</v>
      </c>
      <c r="P109">
        <f t="shared" si="127"/>
        <v>93.138858140415252</v>
      </c>
      <c r="Q109">
        <f t="shared" si="128"/>
        <v>100.00093914388088</v>
      </c>
      <c r="R109">
        <f t="shared" si="129"/>
        <v>98.379323728576509</v>
      </c>
      <c r="S109">
        <f t="shared" si="130"/>
        <v>82.404092627514814</v>
      </c>
      <c r="T109">
        <f t="shared" si="131"/>
        <v>125.73100747940698</v>
      </c>
      <c r="U109">
        <f t="shared" si="132"/>
        <v>94.388795408776645</v>
      </c>
      <c r="V109">
        <f t="shared" si="133"/>
        <v>118.48044719622287</v>
      </c>
      <c r="W109">
        <f t="shared" si="134"/>
        <v>93.814328747586273</v>
      </c>
      <c r="X109" t="e">
        <f t="shared" si="135"/>
        <v>#DIV/0!</v>
      </c>
      <c r="Y109" t="e">
        <f t="shared" si="136"/>
        <v>#REF!</v>
      </c>
      <c r="Z109">
        <f t="shared" si="137"/>
        <v>112.01791379550663</v>
      </c>
      <c r="AA109" t="e">
        <f t="shared" si="138"/>
        <v>#REF!</v>
      </c>
      <c r="AB109">
        <f t="shared" si="139"/>
        <v>128.57726162606846</v>
      </c>
      <c r="AC109">
        <f t="shared" si="140"/>
        <v>114.40656453682601</v>
      </c>
      <c r="AD109">
        <f t="shared" si="141"/>
        <v>128.54973983009103</v>
      </c>
      <c r="AE109" t="e">
        <f t="shared" si="142"/>
        <v>#REF!</v>
      </c>
      <c r="AG109">
        <f t="shared" si="143"/>
        <v>6.7409312989849673E-2</v>
      </c>
      <c r="AH109">
        <f t="shared" si="144"/>
        <v>3.6427322613099909E-2</v>
      </c>
      <c r="AI109">
        <f t="shared" si="145"/>
        <v>3.3108773777542351E-2</v>
      </c>
      <c r="AJ109">
        <f t="shared" si="146"/>
        <v>1.5496316778998629E-2</v>
      </c>
      <c r="AK109">
        <f t="shared" si="147"/>
        <v>4.0010358472686677E-4</v>
      </c>
      <c r="AL109">
        <f t="shared" si="148"/>
        <v>4.3539898355629807E-3</v>
      </c>
      <c r="AM109">
        <f t="shared" si="149"/>
        <v>8.4216067332608169E-2</v>
      </c>
      <c r="AN109">
        <f t="shared" si="150"/>
        <v>3.4423682438127039E-2</v>
      </c>
      <c r="AO109">
        <f t="shared" si="151"/>
        <v>0</v>
      </c>
      <c r="AP109" t="e">
        <f t="shared" si="152"/>
        <v>#REF!</v>
      </c>
      <c r="AQ109">
        <f t="shared" si="153"/>
        <v>10.141025641025626</v>
      </c>
      <c r="AR109" t="e">
        <f t="shared" si="154"/>
        <v>#REF!</v>
      </c>
      <c r="AS109">
        <f t="shared" si="155"/>
        <v>254.02011845310807</v>
      </c>
      <c r="AT109">
        <f t="shared" si="156"/>
        <v>0.10906204687019014</v>
      </c>
      <c r="AU109">
        <f t="shared" si="157"/>
        <v>28.267586886060393</v>
      </c>
      <c r="AV109" t="e">
        <f t="shared" si="158"/>
        <v>#REF!</v>
      </c>
      <c r="AX109" t="str">
        <f>'2026_Fantasy_Starters'!Z69</f>
        <v>0.22692966534316505</v>
      </c>
      <c r="AY109" t="str">
        <f>'2026_Fantasy_Starters'!AA69</f>
        <v>0.12263053520784373</v>
      </c>
      <c r="AZ109" t="str">
        <f>'2026_Fantasy_Starters'!AB69</f>
        <v>0.11145882697827898</v>
      </c>
      <c r="BA109" t="str">
        <f>'2026_Fantasy_Starters'!AC69</f>
        <v>0.035145881544277655</v>
      </c>
      <c r="BB109">
        <f>'2026_Fantasy_Starters'!AD69</f>
        <v>9.0744100000000004E-4</v>
      </c>
      <c r="BC109">
        <f>'2026_Fantasy_Starters'!AE69</f>
        <v>9.8749149999999997E-3</v>
      </c>
      <c r="BD109" t="str">
        <f>'2026_Fantasy_Starters'!AF69</f>
        <v>0.19100331832452544</v>
      </c>
      <c r="BE109">
        <f>'2026_Fantasy_Starters'!AG69</f>
        <v>7.8073433999999997E-2</v>
      </c>
      <c r="BF109">
        <f>'2026_Fantasy_Starters'!AH69</f>
        <v>0</v>
      </c>
      <c r="BG109" t="e">
        <f>'2026_Fantasy_Starters'!#REF!</f>
        <v>#REF!</v>
      </c>
      <c r="BH109">
        <f>'2026_Fantasy_Starters'!D69</f>
        <v>23</v>
      </c>
    </row>
    <row r="110" spans="1:60" s="7" customFormat="1" ht="16.25" customHeight="1">
      <c r="A110" s="7" t="str">
        <f>'2026_Fantasy_Starters'!A95</f>
        <v xml:space="preserve">CLE </v>
      </c>
      <c r="B110" s="7" t="s">
        <v>245</v>
      </c>
      <c r="C110" s="7" t="str">
        <f>'2026_Fantasy_Starters'!C95</f>
        <v>SP,RP</v>
      </c>
      <c r="D110" s="7" t="str">
        <f>'2026_Fantasy_Starters'!W95</f>
        <v>0.15257109557109555</v>
      </c>
      <c r="E110" s="7" t="str">
        <f>'2026_Fantasy_Starters'!X110</f>
        <v>0.12386956521739126</v>
      </c>
      <c r="F110" s="7" t="str">
        <f>'2026_Fantasy_Starters'!Y95</f>
        <v>0.12986704653371314</v>
      </c>
      <c r="G110" s="8">
        <f t="shared" si="159"/>
        <v>-2.7394150253061005</v>
      </c>
      <c r="H110" s="8">
        <f t="shared" si="120"/>
        <v>0.97922105608708765</v>
      </c>
      <c r="I110" s="8">
        <f t="shared" si="121"/>
        <v>-8.4109049286244519E-2</v>
      </c>
      <c r="J110" s="8" t="e">
        <f t="shared" si="122"/>
        <v>#REF!</v>
      </c>
      <c r="K110" s="8">
        <f t="shared" si="123"/>
        <v>-8.5215829181192068E-2</v>
      </c>
      <c r="L110" s="8">
        <f t="shared" si="124"/>
        <v>-3.192544829777173</v>
      </c>
      <c r="M110" s="8" t="e">
        <f t="shared" si="125"/>
        <v>#REF!</v>
      </c>
      <c r="N110" s="8" t="e">
        <f t="shared" si="126"/>
        <v>#REF!</v>
      </c>
      <c r="P110" s="7">
        <f t="shared" si="127"/>
        <v>43.221026909184815</v>
      </c>
      <c r="Q110" s="7">
        <f t="shared" si="128"/>
        <v>154.06622284475853</v>
      </c>
      <c r="R110" s="7">
        <f t="shared" si="129"/>
        <v>44.252819050155544</v>
      </c>
      <c r="S110" s="7">
        <f t="shared" si="130"/>
        <v>173.18711215880245</v>
      </c>
      <c r="T110" s="7">
        <f t="shared" si="131"/>
        <v>158.47673264496282</v>
      </c>
      <c r="U110" s="7">
        <f t="shared" si="132"/>
        <v>176.03832300184703</v>
      </c>
      <c r="V110" s="7">
        <f t="shared" si="133"/>
        <v>168.01271645004815</v>
      </c>
      <c r="W110" s="7">
        <f t="shared" si="134"/>
        <v>159.40386231446055</v>
      </c>
      <c r="X110" s="7" t="e">
        <f t="shared" si="135"/>
        <v>#DIV/0!</v>
      </c>
      <c r="Y110" s="7" t="e">
        <f t="shared" si="136"/>
        <v>#REF!</v>
      </c>
      <c r="Z110" s="7">
        <f t="shared" si="137"/>
        <v>156.05839197919988</v>
      </c>
      <c r="AA110" s="7" t="e">
        <f t="shared" si="138"/>
        <v>#REF!</v>
      </c>
      <c r="AB110" s="7">
        <f t="shared" si="139"/>
        <v>96.531095709663788</v>
      </c>
      <c r="AC110" s="7">
        <f t="shared" si="140"/>
        <v>143.6700540840927</v>
      </c>
      <c r="AD110" s="7">
        <f t="shared" si="141"/>
        <v>96.577054718646252</v>
      </c>
      <c r="AE110" s="7" t="e">
        <f t="shared" si="142"/>
        <v>#REF!</v>
      </c>
      <c r="AG110" s="7">
        <f t="shared" si="143"/>
        <v>3.1281248115277403E-2</v>
      </c>
      <c r="AH110" s="7">
        <f t="shared" si="144"/>
        <v>1.6732602335933149E-2</v>
      </c>
      <c r="AI110" s="7">
        <f t="shared" si="145"/>
        <v>1.4892931963960316E-2</v>
      </c>
      <c r="AJ110" s="7">
        <f t="shared" si="146"/>
        <v>3.5332947636592281E-3</v>
      </c>
      <c r="AK110" s="7">
        <f t="shared" si="147"/>
        <v>2.2369507858499492E-4</v>
      </c>
      <c r="AL110" s="7">
        <f t="shared" si="148"/>
        <v>9.8785823433048285E-4</v>
      </c>
      <c r="AM110" s="7">
        <f t="shared" si="149"/>
        <v>3.3045363137776659E-2</v>
      </c>
      <c r="AN110" s="7">
        <f t="shared" si="150"/>
        <v>1.316061324865171E-2</v>
      </c>
      <c r="AO110" s="7">
        <f t="shared" si="151"/>
        <v>0</v>
      </c>
      <c r="AP110" s="7" t="e">
        <f t="shared" si="152"/>
        <v>#REF!</v>
      </c>
      <c r="AQ110" s="7">
        <f t="shared" si="153"/>
        <v>5.0648148148148069</v>
      </c>
      <c r="AR110" s="7" t="e">
        <f t="shared" si="154"/>
        <v>#REF!</v>
      </c>
      <c r="AS110" s="7">
        <f t="shared" si="155"/>
        <v>367.99461799461835</v>
      </c>
      <c r="AT110" s="7">
        <f t="shared" si="156"/>
        <v>7.1774887506637575E-2</v>
      </c>
      <c r="AU110" s="7">
        <f t="shared" si="157"/>
        <v>40.916815205442262</v>
      </c>
      <c r="AV110" s="7" t="e">
        <f t="shared" si="158"/>
        <v>#REF!</v>
      </c>
      <c r="AX110" s="7" t="str">
        <f>'2026_Fantasy_Starters'!Z95</f>
        <v>0.20502735461253274</v>
      </c>
      <c r="AY110" s="7" t="str">
        <f>'2026_Fantasy_Starters'!AA95</f>
        <v>0.10967085392748066</v>
      </c>
      <c r="AZ110" s="7">
        <f>'2026_Fantasy_Starters'!AB95</f>
        <v>9.7613063E-2</v>
      </c>
      <c r="BA110" s="7" t="str">
        <f>'2026_Fantasy_Starters'!AC95</f>
        <v>0.027207015620717978</v>
      </c>
      <c r="BB110" s="7">
        <f>'2026_Fantasy_Starters'!AD95</f>
        <v>1.7224930000000001E-3</v>
      </c>
      <c r="BC110" s="7">
        <f>'2026_Fantasy_Starters'!AE95</f>
        <v>7.6066889999999998E-3</v>
      </c>
      <c r="BD110" s="7" t="str">
        <f>'2026_Fantasy_Starters'!AF95</f>
        <v>0.2544553373607234</v>
      </c>
      <c r="BE110" s="7" t="str">
        <f>'2026_Fantasy_Starters'!AG95</f>
        <v>0.10133912797682136</v>
      </c>
      <c r="BF110" s="7">
        <f>'2026_Fantasy_Starters'!AH95</f>
        <v>0</v>
      </c>
      <c r="BG110" s="7" t="e">
        <f>'2026_Fantasy_Starters'!#REF!</f>
        <v>#REF!</v>
      </c>
      <c r="BH110" s="7">
        <f>'2026_Fantasy_Starters'!D95</f>
        <v>39</v>
      </c>
    </row>
    <row r="111" spans="1:60" s="7" customFormat="1">
      <c r="A111" s="7" t="str">
        <f>'2026_Fantasy_Starters'!A74</f>
        <v xml:space="preserve">BOS </v>
      </c>
      <c r="B111" s="7" t="s">
        <v>197</v>
      </c>
      <c r="C111" s="7" t="str">
        <f>'2026_Fantasy_Starters'!C74</f>
        <v>SP</v>
      </c>
      <c r="D111" s="7" t="str">
        <f>'2026_Fantasy_Starters'!W74</f>
        <v>0.34412557603686633</v>
      </c>
      <c r="E111" s="7" t="str">
        <f>'2026_Fantasy_Starters'!X111</f>
        <v>0.34170923076923077</v>
      </c>
      <c r="F111" s="7" t="str">
        <f>'2026_Fantasy_Starters'!Y74</f>
        <v>0.45238095238095233</v>
      </c>
      <c r="G111" s="8">
        <f t="shared" si="159"/>
        <v>0.55462705241694454</v>
      </c>
      <c r="H111" s="8">
        <f t="shared" si="120"/>
        <v>-0.30311145108084686</v>
      </c>
      <c r="I111" s="8">
        <f t="shared" si="121"/>
        <v>0.1526891032548445</v>
      </c>
      <c r="J111" s="8" t="e">
        <f t="shared" si="122"/>
        <v>#REF!</v>
      </c>
      <c r="K111" s="8">
        <f t="shared" si="123"/>
        <v>0.15223431254921563</v>
      </c>
      <c r="L111" s="8">
        <f t="shared" si="124"/>
        <v>0.52499834174720084</v>
      </c>
      <c r="M111" s="8" t="e">
        <f t="shared" si="125"/>
        <v>#REF!</v>
      </c>
      <c r="N111" s="8" t="e">
        <f t="shared" si="126"/>
        <v>#REF!</v>
      </c>
      <c r="P111" s="7">
        <f t="shared" si="127"/>
        <v>111.49557631600604</v>
      </c>
      <c r="Q111" s="7">
        <f t="shared" si="128"/>
        <v>85.106970295471868</v>
      </c>
      <c r="R111" s="7">
        <f t="shared" si="129"/>
        <v>109.16735053577693</v>
      </c>
      <c r="S111" s="7">
        <f t="shared" si="130"/>
        <v>107.50584081488323</v>
      </c>
      <c r="T111" s="7">
        <f t="shared" si="131"/>
        <v>139.06175524096352</v>
      </c>
      <c r="U111" s="7">
        <f t="shared" si="132"/>
        <v>66.790911392595646</v>
      </c>
      <c r="V111" s="7">
        <f t="shared" si="133"/>
        <v>117.16848226948485</v>
      </c>
      <c r="W111" s="7">
        <f t="shared" si="134"/>
        <v>84.633708984058231</v>
      </c>
      <c r="X111" s="7" t="e">
        <f t="shared" si="135"/>
        <v>#DIV/0!</v>
      </c>
      <c r="Y111" s="7" t="e">
        <f t="shared" si="136"/>
        <v>#REF!</v>
      </c>
      <c r="Z111" s="7">
        <f t="shared" si="137"/>
        <v>90.105813944324268</v>
      </c>
      <c r="AA111" s="7" t="e">
        <f t="shared" si="138"/>
        <v>#REF!</v>
      </c>
      <c r="AB111" s="7">
        <f t="shared" si="139"/>
        <v>106.19704419956437</v>
      </c>
      <c r="AC111" s="7">
        <f t="shared" si="140"/>
        <v>86.482221373892529</v>
      </c>
      <c r="AD111" s="7">
        <f t="shared" si="141"/>
        <v>106.21391455420684</v>
      </c>
      <c r="AE111" s="7" t="e">
        <f t="shared" si="142"/>
        <v>#REF!</v>
      </c>
      <c r="AG111" s="7">
        <f t="shared" si="143"/>
        <v>8.0695000464129724E-2</v>
      </c>
      <c r="AH111" s="7">
        <f t="shared" si="144"/>
        <v>4.1852847648890842E-2</v>
      </c>
      <c r="AI111" s="7">
        <f t="shared" si="145"/>
        <v>3.6739397830733628E-2</v>
      </c>
      <c r="AJ111" s="7">
        <f t="shared" si="146"/>
        <v>1.2188509132376997E-2</v>
      </c>
      <c r="AK111" s="7">
        <f t="shared" si="147"/>
        <v>3.2828788095238067E-4</v>
      </c>
      <c r="AL111" s="7">
        <f t="shared" si="148"/>
        <v>5.4917564859348856E-3</v>
      </c>
      <c r="AM111" s="7">
        <f t="shared" si="149"/>
        <v>8.5571429608381946E-2</v>
      </c>
      <c r="AN111" s="7">
        <f t="shared" si="150"/>
        <v>3.7399891333333303E-2</v>
      </c>
      <c r="AO111" s="7">
        <f t="shared" si="151"/>
        <v>0</v>
      </c>
      <c r="AP111" s="7" t="e">
        <f t="shared" si="152"/>
        <v>#REF!</v>
      </c>
      <c r="AQ111" s="7">
        <f t="shared" si="153"/>
        <v>12.666666666666655</v>
      </c>
      <c r="AR111" s="7" t="e">
        <f t="shared" si="154"/>
        <v>#REF!</v>
      </c>
      <c r="AS111" s="7">
        <f t="shared" si="155"/>
        <v>333.61697529613622</v>
      </c>
      <c r="AT111" s="7">
        <f t="shared" si="156"/>
        <v>0.1446428832553055</v>
      </c>
      <c r="AU111" s="7">
        <f t="shared" si="157"/>
        <v>37.104222052349456</v>
      </c>
      <c r="AV111" s="7" t="e">
        <f t="shared" si="158"/>
        <v>#REF!</v>
      </c>
      <c r="AX111" s="7" t="str">
        <f>'2026_Fantasy_Starters'!Z74</f>
        <v>0.2344928888850888</v>
      </c>
      <c r="AY111" s="7" t="str">
        <f>'2026_Fantasy_Starters'!AA74</f>
        <v>0.12162085751047827</v>
      </c>
      <c r="AZ111" s="7" t="str">
        <f>'2026_Fantasy_Starters'!AB74</f>
        <v>0.10676160212746871</v>
      </c>
      <c r="BA111" s="7" t="str">
        <f>'2026_Fantasy_Starters'!AC74</f>
        <v>0.026943020187359765</v>
      </c>
      <c r="BB111" s="7">
        <f>'2026_Fantasy_Starters'!AD74</f>
        <v>7.2568899999999996E-4</v>
      </c>
      <c r="BC111" s="7" t="str">
        <f>'2026_Fantasy_Starters'!AE74</f>
        <v>0.012139672232066677</v>
      </c>
      <c r="BD111" s="7" t="str">
        <f>'2026_Fantasy_Starters'!AF74</f>
        <v>0.1891578970290554</v>
      </c>
      <c r="BE111" s="7">
        <f>'2026_Fantasy_Starters'!AG74</f>
        <v>8.2673443999999999E-2</v>
      </c>
      <c r="BF111" s="7">
        <f>'2026_Fantasy_Starters'!AH74</f>
        <v>0</v>
      </c>
      <c r="BG111" s="7" t="e">
        <f>'2026_Fantasy_Starters'!#REF!</f>
        <v>#REF!</v>
      </c>
      <c r="BH111" s="7">
        <f>'2026_Fantasy_Starters'!D74</f>
        <v>28</v>
      </c>
    </row>
    <row r="112" spans="1:60">
      <c r="A112" t="str">
        <f>'2026_Fantasy_Starters'!A89</f>
        <v xml:space="preserve">CIN </v>
      </c>
      <c r="B112" t="s">
        <v>233</v>
      </c>
      <c r="C112" t="str">
        <f>'2026_Fantasy_Starters'!C89</f>
        <v>SP</v>
      </c>
      <c r="D112" t="str">
        <f>'2026_Fantasy_Starters'!W89</f>
        <v>0.3289254727474972</v>
      </c>
      <c r="E112" t="str">
        <f>'2026_Fantasy_Starters'!X112</f>
        <v>0.19252392344497604</v>
      </c>
      <c r="F112" t="str">
        <f>'2026_Fantasy_Starters'!Y89</f>
        <v>0.4549499443826474</v>
      </c>
      <c r="G112" s="3">
        <f t="shared" si="159"/>
        <v>0.23443910898299397</v>
      </c>
      <c r="H112" s="3">
        <f t="shared" si="120"/>
        <v>-2.6943364716911917</v>
      </c>
      <c r="I112" s="3">
        <f t="shared" si="121"/>
        <v>-1.8041208229854813</v>
      </c>
      <c r="J112" s="3" t="e">
        <f t="shared" si="122"/>
        <v>#REF!</v>
      </c>
      <c r="K112" s="3">
        <f t="shared" si="123"/>
        <v>-1.8034971450830619</v>
      </c>
      <c r="L112" s="3">
        <f t="shared" si="124"/>
        <v>0.61481996973708342</v>
      </c>
      <c r="M112" s="3" t="e">
        <f t="shared" si="125"/>
        <v>#REF!</v>
      </c>
      <c r="N112" s="4" t="e">
        <f t="shared" si="126"/>
        <v>#REF!</v>
      </c>
      <c r="P112">
        <f t="shared" si="127"/>
        <v>104.85914391846951</v>
      </c>
      <c r="Q112">
        <f t="shared" si="128"/>
        <v>89.897133162278067</v>
      </c>
      <c r="R112">
        <f t="shared" si="129"/>
        <v>110.73578663166445</v>
      </c>
      <c r="S112">
        <f t="shared" si="130"/>
        <v>82.177139884253663</v>
      </c>
      <c r="T112">
        <f t="shared" si="131"/>
        <v>140.94415938659529</v>
      </c>
      <c r="U112">
        <f t="shared" si="132"/>
        <v>54.442832113807867</v>
      </c>
      <c r="V112">
        <f t="shared" si="133"/>
        <v>103.66125142870563</v>
      </c>
      <c r="W112">
        <f t="shared" si="134"/>
        <v>92.273199642934131</v>
      </c>
      <c r="X112" t="e">
        <f t="shared" si="135"/>
        <v>#DIV/0!</v>
      </c>
      <c r="Y112" t="e">
        <f t="shared" si="136"/>
        <v>#REF!</v>
      </c>
      <c r="Z112">
        <f t="shared" si="137"/>
        <v>85.534663590565259</v>
      </c>
      <c r="AA112" t="e">
        <f t="shared" si="138"/>
        <v>#REF!</v>
      </c>
      <c r="AB112">
        <f t="shared" si="139"/>
        <v>26.584543689816513</v>
      </c>
      <c r="AC112">
        <f t="shared" si="140"/>
        <v>-20.158588000208979</v>
      </c>
      <c r="AD112">
        <f t="shared" si="141"/>
        <v>26.57856781838494</v>
      </c>
      <c r="AE112" t="e">
        <f t="shared" si="142"/>
        <v>#REF!</v>
      </c>
      <c r="AG112">
        <f t="shared" si="143"/>
        <v>7.5891877926948889E-2</v>
      </c>
      <c r="AH112">
        <f t="shared" si="144"/>
        <v>4.0107903180167229E-2</v>
      </c>
      <c r="AI112">
        <f t="shared" si="145"/>
        <v>3.7267242441929992E-2</v>
      </c>
      <c r="AJ112">
        <f t="shared" si="146"/>
        <v>1.5526223700778632E-2</v>
      </c>
      <c r="AK112">
        <f t="shared" si="147"/>
        <v>3.1814695105672946E-4</v>
      </c>
      <c r="AL112">
        <f t="shared" si="148"/>
        <v>6.0008256881721239E-3</v>
      </c>
      <c r="AM112">
        <f t="shared" si="149"/>
        <v>9.9525454413967485E-2</v>
      </c>
      <c r="AN112">
        <f t="shared" si="150"/>
        <v>3.4923291644048921E-2</v>
      </c>
      <c r="AO112">
        <f t="shared" si="151"/>
        <v>0</v>
      </c>
      <c r="AP112" t="e">
        <f t="shared" si="152"/>
        <v>#REF!</v>
      </c>
      <c r="AQ112">
        <f t="shared" si="153"/>
        <v>13.193548387096763</v>
      </c>
      <c r="AR112" t="e">
        <f t="shared" si="154"/>
        <v>#REF!</v>
      </c>
      <c r="AS112">
        <f t="shared" si="155"/>
        <v>616.76457324955629</v>
      </c>
      <c r="AT112">
        <f t="shared" si="156"/>
        <v>0.28052322135947239</v>
      </c>
      <c r="AU112">
        <f t="shared" si="157"/>
        <v>68.610042712809886</v>
      </c>
      <c r="AV112" t="e">
        <f t="shared" si="158"/>
        <v>#REF!</v>
      </c>
      <c r="AX112" t="str">
        <f>'2026_Fantasy_Starters'!Z89</f>
        <v>0.23072666672188102</v>
      </c>
      <c r="AY112" t="str">
        <f>'2026_Fantasy_Starters'!AA89</f>
        <v>0.12193614208455214</v>
      </c>
      <c r="AZ112" t="str">
        <f>'2026_Fantasy_Starters'!AB89</f>
        <v>0.1132999585913454</v>
      </c>
      <c r="BA112">
        <f>'2026_Fantasy_Starters'!AC89</f>
        <v>3.4127323000000001E-2</v>
      </c>
      <c r="BB112">
        <f>'2026_Fantasy_Starters'!AD89</f>
        <v>6.9930100000000005E-4</v>
      </c>
      <c r="BC112" t="str">
        <f>'2026_Fantasy_Starters'!AE89</f>
        <v>0.013190078957620442</v>
      </c>
      <c r="BD112" t="str">
        <f>'2026_Fantasy_Starters'!AF89</f>
        <v>0.21876132889524935</v>
      </c>
      <c r="BE112">
        <f>'2026_Fantasy_Starters'!AG89</f>
        <v>7.6762932000000006E-2</v>
      </c>
      <c r="BF112">
        <f>'2026_Fantasy_Starters'!AH89</f>
        <v>0</v>
      </c>
      <c r="BG112" t="e">
        <f>'2026_Fantasy_Starters'!#REF!</f>
        <v>#REF!</v>
      </c>
      <c r="BH112">
        <f>'2026_Fantasy_Starters'!D89</f>
        <v>29</v>
      </c>
    </row>
    <row r="113" spans="2:31" s="2" customFormat="1">
      <c r="B113" s="2" t="s">
        <v>310</v>
      </c>
      <c r="G113" s="3"/>
      <c r="H113" s="3"/>
      <c r="I113" s="3"/>
      <c r="J113" s="3"/>
      <c r="K113" s="3"/>
      <c r="L113" s="3"/>
      <c r="M113" s="3"/>
      <c r="N113" s="4">
        <f t="shared" ref="N113:N114" si="160">G113+H113+I113+J113+K113+L113+M113*2</f>
        <v>0</v>
      </c>
      <c r="P113" s="2">
        <f>AVERAGE(P2:P112)</f>
        <v>100.00000000000001</v>
      </c>
      <c r="Q113" s="2">
        <f t="shared" ref="Q113:AE113" si="161">AVERAGE(Q2:Q112)</f>
        <v>99.999999999999986</v>
      </c>
      <c r="R113" s="2">
        <f t="shared" si="161"/>
        <v>100.00000000000004</v>
      </c>
      <c r="S113" s="2">
        <f t="shared" si="161"/>
        <v>100.00000000000009</v>
      </c>
      <c r="T113" s="2">
        <f t="shared" si="161"/>
        <v>100.00000000000003</v>
      </c>
      <c r="U113" s="2">
        <f t="shared" si="161"/>
        <v>99.999999999999986</v>
      </c>
      <c r="V113" s="2">
        <f t="shared" si="161"/>
        <v>99.999999999999972</v>
      </c>
      <c r="W113" s="2">
        <f t="shared" si="161"/>
        <v>99.999999999999957</v>
      </c>
      <c r="X113" s="2" t="e">
        <f t="shared" si="161"/>
        <v>#DIV/0!</v>
      </c>
      <c r="Y113" s="2" t="e">
        <f t="shared" si="161"/>
        <v>#REF!</v>
      </c>
      <c r="Z113" s="2">
        <f t="shared" si="161"/>
        <v>100.00000000000001</v>
      </c>
      <c r="AA113" s="2" t="e">
        <f t="shared" si="161"/>
        <v>#REF!</v>
      </c>
      <c r="AB113" s="2">
        <f t="shared" si="161"/>
        <v>100.00000000000007</v>
      </c>
      <c r="AC113" s="2">
        <f t="shared" si="161"/>
        <v>99.999999999999986</v>
      </c>
      <c r="AD113" s="2">
        <f t="shared" si="161"/>
        <v>99.999999999999957</v>
      </c>
      <c r="AE113" s="2" t="e">
        <f t="shared" si="161"/>
        <v>#REF!</v>
      </c>
    </row>
    <row r="114" spans="2:31" s="2" customFormat="1">
      <c r="B114" s="2" t="s">
        <v>311</v>
      </c>
      <c r="G114" s="3"/>
      <c r="H114" s="3"/>
      <c r="I114" s="3"/>
      <c r="J114" s="3"/>
      <c r="K114" s="3"/>
      <c r="L114" s="3"/>
      <c r="M114" s="3"/>
      <c r="N114" s="4">
        <f t="shared" si="160"/>
        <v>0</v>
      </c>
      <c r="P114" s="2">
        <f>STDEV(P2:P112)</f>
        <v>20.726677982818888</v>
      </c>
      <c r="Q114" s="2">
        <f t="shared" ref="Q114:AE114" si="162">STDEV(Q2:Q112)</f>
        <v>18.314725903535841</v>
      </c>
      <c r="R114" s="2">
        <f t="shared" si="162"/>
        <v>17.46167522218801</v>
      </c>
      <c r="S114" s="2">
        <f t="shared" si="162"/>
        <v>30.913333572921783</v>
      </c>
      <c r="T114" s="2">
        <f t="shared" si="162"/>
        <v>45.948521754704771</v>
      </c>
      <c r="U114" s="2">
        <f t="shared" si="162"/>
        <v>36.566699542932092</v>
      </c>
      <c r="V114" s="2">
        <f t="shared" si="162"/>
        <v>34.815684966005101</v>
      </c>
      <c r="W114" s="2">
        <f t="shared" si="162"/>
        <v>30.196403295547167</v>
      </c>
      <c r="X114" s="2" t="e">
        <f t="shared" si="162"/>
        <v>#DIV/0!</v>
      </c>
      <c r="Y114" s="2" t="e">
        <f t="shared" si="162"/>
        <v>#REF!</v>
      </c>
      <c r="Z114" s="2">
        <f t="shared" si="162"/>
        <v>32.083933865340569</v>
      </c>
      <c r="AA114" s="2" t="e">
        <f t="shared" si="162"/>
        <v>#REF!</v>
      </c>
      <c r="AB114" s="2">
        <f t="shared" si="162"/>
        <v>40.707276144206112</v>
      </c>
      <c r="AC114" s="2">
        <f t="shared" si="162"/>
        <v>44.596726972554897</v>
      </c>
      <c r="AD114" s="2">
        <f t="shared" si="162"/>
        <v>40.696516134721136</v>
      </c>
      <c r="AE114" s="2" t="e">
        <f t="shared" si="162"/>
        <v>#REF!</v>
      </c>
    </row>
  </sheetData>
  <sortState xmlns:xlrd2="http://schemas.microsoft.com/office/spreadsheetml/2017/richdata2" ref="B2:BH112">
    <sortCondition descending="1" ref="N2:N11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2026_Fantasy_Starters</vt:lpstr>
      <vt:lpstr>CKBT_Rank</vt:lpstr>
      <vt:lpstr>P14_Rank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2026-02-28T01:26:27Z</dcterms:created>
  <dcterms:modified xsi:type="dcterms:W3CDTF">2026-03-15T14:18:24Z</dcterms:modified>
</cp:coreProperties>
</file>