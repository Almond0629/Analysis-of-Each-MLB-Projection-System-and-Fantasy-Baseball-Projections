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mon\Desktop\Baseball\Projection_model\Starters\Fantasy\"/>
    </mc:Choice>
  </mc:AlternateContent>
  <xr:revisionPtr revIDLastSave="0" documentId="13_ncr:1_{28326EAB-4546-45BA-AC01-5514CCA9D258}" xr6:coauthVersionLast="47" xr6:coauthVersionMax="47" xr10:uidLastSave="{00000000-0000-0000-0000-000000000000}"/>
  <bookViews>
    <workbookView xWindow="2391" yWindow="471" windowWidth="28835" windowHeight="17589" xr2:uid="{3473CD7E-06B9-46D4-8B6D-B7EA8297756C}"/>
  </bookViews>
  <sheets>
    <sheet name="2025_Fantasy_Starte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27" i="1" l="1"/>
  <c r="L127" i="1"/>
  <c r="W34" i="1"/>
  <c r="U34" i="1"/>
  <c r="X34" i="1" s="1"/>
  <c r="T34" i="1"/>
  <c r="V34" i="1" s="1"/>
  <c r="U127" i="1"/>
  <c r="X127" i="1" s="1"/>
  <c r="T127" i="1"/>
  <c r="V127" i="1" s="1"/>
  <c r="V21" i="1"/>
  <c r="V61" i="1"/>
  <c r="V22" i="1"/>
  <c r="V29" i="1"/>
  <c r="V53" i="1"/>
  <c r="V48" i="1"/>
  <c r="V36" i="1"/>
  <c r="V33" i="1"/>
  <c r="V95" i="1"/>
  <c r="V15" i="1"/>
  <c r="V58" i="1"/>
  <c r="V82" i="1"/>
  <c r="V111" i="1"/>
  <c r="V64" i="1"/>
  <c r="V108" i="1"/>
  <c r="V67" i="1"/>
  <c r="V70" i="1"/>
  <c r="V92" i="1"/>
  <c r="V77" i="1"/>
  <c r="V32" i="1"/>
  <c r="V84" i="1"/>
  <c r="V69" i="1"/>
  <c r="V125" i="1"/>
  <c r="V104" i="1"/>
  <c r="V71" i="1"/>
  <c r="V87" i="1"/>
  <c r="V56" i="1"/>
  <c r="V96" i="1"/>
  <c r="V76" i="1"/>
  <c r="V124" i="1"/>
  <c r="V114" i="1"/>
  <c r="V126" i="1"/>
  <c r="V63" i="1"/>
  <c r="V23" i="1"/>
  <c r="L71" i="1"/>
  <c r="L75" i="1"/>
  <c r="L43" i="1"/>
  <c r="L34" i="1"/>
  <c r="L76" i="1"/>
  <c r="L115" i="1"/>
  <c r="L114" i="1"/>
  <c r="H95" i="1"/>
  <c r="T27" i="1"/>
  <c r="V27" i="1" s="1"/>
  <c r="T126" i="1"/>
  <c r="T104" i="1"/>
  <c r="T54" i="1"/>
  <c r="V54" i="1" s="1"/>
  <c r="T75" i="1"/>
  <c r="V75" i="1" s="1"/>
  <c r="T93" i="1"/>
  <c r="V93" i="1" s="1"/>
  <c r="T103" i="1"/>
  <c r="V103" i="1" s="1"/>
  <c r="T12" i="1"/>
  <c r="V12" i="1" s="1"/>
  <c r="T73" i="1"/>
  <c r="V73" i="1" s="1"/>
  <c r="T47" i="1"/>
  <c r="V47" i="1" s="1"/>
  <c r="T7" i="1"/>
  <c r="V7" i="1" s="1"/>
  <c r="T120" i="1"/>
  <c r="V120" i="1" s="1"/>
  <c r="T109" i="1"/>
  <c r="V109" i="1" s="1"/>
  <c r="T28" i="1"/>
  <c r="V28" i="1" s="1"/>
  <c r="T66" i="1"/>
  <c r="V66" i="1" s="1"/>
  <c r="T89" i="1"/>
  <c r="V89" i="1" s="1"/>
  <c r="T5" i="1"/>
  <c r="V5" i="1" s="1"/>
  <c r="T106" i="1"/>
  <c r="V106" i="1" s="1"/>
  <c r="T121" i="1"/>
  <c r="V121" i="1" s="1"/>
  <c r="T70" i="1"/>
  <c r="T128" i="1"/>
  <c r="V128" i="1" s="1"/>
  <c r="T23" i="1"/>
  <c r="T118" i="1"/>
  <c r="V118" i="1" s="1"/>
  <c r="T35" i="1"/>
  <c r="V35" i="1" s="1"/>
  <c r="T76" i="1"/>
  <c r="T58" i="1"/>
  <c r="T125" i="1"/>
  <c r="T111" i="1"/>
  <c r="T48" i="1"/>
  <c r="T80" i="1"/>
  <c r="V80" i="1" s="1"/>
  <c r="T100" i="1"/>
  <c r="V100" i="1" s="1"/>
  <c r="T129" i="1"/>
  <c r="V129" i="1" s="1"/>
  <c r="T42" i="1"/>
  <c r="V42" i="1" s="1"/>
  <c r="T94" i="1"/>
  <c r="V94" i="1" s="1"/>
  <c r="T39" i="1"/>
  <c r="V39" i="1" s="1"/>
  <c r="T33" i="1"/>
  <c r="T64" i="1"/>
  <c r="T107" i="1"/>
  <c r="V107" i="1" s="1"/>
  <c r="T44" i="1"/>
  <c r="V44" i="1" s="1"/>
  <c r="T3" i="1"/>
  <c r="V3" i="1" s="1"/>
  <c r="T14" i="1"/>
  <c r="V14" i="1" s="1"/>
  <c r="T37" i="1"/>
  <c r="V37" i="1" s="1"/>
  <c r="T112" i="1"/>
  <c r="V112" i="1" s="1"/>
  <c r="T92" i="1"/>
  <c r="T21" i="1"/>
  <c r="T91" i="1"/>
  <c r="V91" i="1" s="1"/>
  <c r="T90" i="1"/>
  <c r="V90" i="1" s="1"/>
  <c r="T82" i="1"/>
  <c r="T71" i="1"/>
  <c r="T88" i="1"/>
  <c r="V88" i="1" s="1"/>
  <c r="T61" i="1"/>
  <c r="T13" i="1"/>
  <c r="V13" i="1" s="1"/>
  <c r="T63" i="1"/>
  <c r="T10" i="1"/>
  <c r="V10" i="1" s="1"/>
  <c r="T115" i="1"/>
  <c r="V115" i="1" s="1"/>
  <c r="T6" i="1"/>
  <c r="V6" i="1" s="1"/>
  <c r="T18" i="1"/>
  <c r="V18" i="1" s="1"/>
  <c r="T122" i="1"/>
  <c r="V122" i="1" s="1"/>
  <c r="T105" i="1"/>
  <c r="V105" i="1" s="1"/>
  <c r="T51" i="1"/>
  <c r="V51" i="1" s="1"/>
  <c r="T98" i="1"/>
  <c r="V98" i="1" s="1"/>
  <c r="T24" i="1"/>
  <c r="V24" i="1" s="1"/>
  <c r="T40" i="1"/>
  <c r="V40" i="1" s="1"/>
  <c r="T69" i="1"/>
  <c r="T99" i="1"/>
  <c r="V99" i="1" s="1"/>
  <c r="T86" i="1"/>
  <c r="V86" i="1" s="1"/>
  <c r="T55" i="1"/>
  <c r="V55" i="1" s="1"/>
  <c r="T36" i="1"/>
  <c r="T41" i="1"/>
  <c r="V41" i="1" s="1"/>
  <c r="T19" i="1"/>
  <c r="V19" i="1" s="1"/>
  <c r="T60" i="1"/>
  <c r="V60" i="1" s="1"/>
  <c r="T78" i="1"/>
  <c r="V78" i="1" s="1"/>
  <c r="T68" i="1"/>
  <c r="V68" i="1" s="1"/>
  <c r="T43" i="1"/>
  <c r="V43" i="1" s="1"/>
  <c r="T22" i="1"/>
  <c r="T59" i="1"/>
  <c r="V59" i="1" s="1"/>
  <c r="T124" i="1"/>
  <c r="T17" i="1"/>
  <c r="V17" i="1" s="1"/>
  <c r="T53" i="1"/>
  <c r="T45" i="1"/>
  <c r="V45" i="1" s="1"/>
  <c r="T52" i="1"/>
  <c r="V52" i="1" s="1"/>
  <c r="T81" i="1"/>
  <c r="V81" i="1" s="1"/>
  <c r="T74" i="1"/>
  <c r="V74" i="1" s="1"/>
  <c r="T11" i="1"/>
  <c r="V11" i="1" s="1"/>
  <c r="T102" i="1"/>
  <c r="V102" i="1" s="1"/>
  <c r="T50" i="1"/>
  <c r="V50" i="1" s="1"/>
  <c r="T97" i="1"/>
  <c r="V97" i="1" s="1"/>
  <c r="T2" i="1"/>
  <c r="V2" i="1" s="1"/>
  <c r="T20" i="1"/>
  <c r="V20" i="1" s="1"/>
  <c r="T49" i="1"/>
  <c r="V49" i="1" s="1"/>
  <c r="T85" i="1"/>
  <c r="V85" i="1" s="1"/>
  <c r="T16" i="1"/>
  <c r="V16" i="1" s="1"/>
  <c r="T30" i="1"/>
  <c r="V30" i="1" s="1"/>
  <c r="T15" i="1"/>
  <c r="T8" i="1"/>
  <c r="V8" i="1" s="1"/>
  <c r="T29" i="1"/>
  <c r="T87" i="1"/>
  <c r="T96" i="1"/>
  <c r="T84" i="1"/>
  <c r="T26" i="1"/>
  <c r="V26" i="1" s="1"/>
  <c r="T65" i="1"/>
  <c r="V65" i="1" s="1"/>
  <c r="T119" i="1"/>
  <c r="V119" i="1" s="1"/>
  <c r="T62" i="1"/>
  <c r="V62" i="1" s="1"/>
  <c r="T31" i="1"/>
  <c r="V31" i="1" s="1"/>
  <c r="T9" i="1"/>
  <c r="V9" i="1" s="1"/>
  <c r="T38" i="1"/>
  <c r="V38" i="1" s="1"/>
  <c r="T83" i="1"/>
  <c r="V83" i="1" s="1"/>
  <c r="T32" i="1"/>
  <c r="T46" i="1"/>
  <c r="V46" i="1" s="1"/>
  <c r="T113" i="1"/>
  <c r="V113" i="1" s="1"/>
  <c r="T110" i="1"/>
  <c r="V110" i="1" s="1"/>
  <c r="T4" i="1"/>
  <c r="V4" i="1" s="1"/>
  <c r="T117" i="1"/>
  <c r="V117" i="1" s="1"/>
  <c r="T25" i="1"/>
  <c r="V25" i="1" s="1"/>
  <c r="T57" i="1"/>
  <c r="V57" i="1" s="1"/>
  <c r="T79" i="1"/>
  <c r="V79" i="1" s="1"/>
  <c r="T101" i="1"/>
  <c r="V101" i="1" s="1"/>
  <c r="T108" i="1"/>
  <c r="T72" i="1"/>
  <c r="V72" i="1" s="1"/>
  <c r="T56" i="1"/>
  <c r="T114" i="1"/>
  <c r="T116" i="1"/>
  <c r="V116" i="1" s="1"/>
  <c r="T95" i="1"/>
  <c r="T123" i="1"/>
  <c r="V123" i="1" s="1"/>
  <c r="T77" i="1"/>
  <c r="T67" i="1"/>
  <c r="U27" i="1"/>
  <c r="U126" i="1"/>
  <c r="U104" i="1"/>
  <c r="U54" i="1"/>
  <c r="U75" i="1"/>
  <c r="U93" i="1"/>
  <c r="U103" i="1"/>
  <c r="U12" i="1"/>
  <c r="U73" i="1"/>
  <c r="U47" i="1"/>
  <c r="U7" i="1"/>
  <c r="U120" i="1"/>
  <c r="U109" i="1"/>
  <c r="U28" i="1"/>
  <c r="U66" i="1"/>
  <c r="U89" i="1"/>
  <c r="U5" i="1"/>
  <c r="U106" i="1"/>
  <c r="U121" i="1"/>
  <c r="U70" i="1"/>
  <c r="U128" i="1"/>
  <c r="U23" i="1"/>
  <c r="U118" i="1"/>
  <c r="U35" i="1"/>
  <c r="U76" i="1"/>
  <c r="U58" i="1"/>
  <c r="U125" i="1"/>
  <c r="U111" i="1"/>
  <c r="U48" i="1"/>
  <c r="U80" i="1"/>
  <c r="U100" i="1"/>
  <c r="U129" i="1"/>
  <c r="U42" i="1"/>
  <c r="U94" i="1"/>
  <c r="U39" i="1"/>
  <c r="U33" i="1"/>
  <c r="U64" i="1"/>
  <c r="U107" i="1"/>
  <c r="U44" i="1"/>
  <c r="U3" i="1"/>
  <c r="U14" i="1"/>
  <c r="U37" i="1"/>
  <c r="U112" i="1"/>
  <c r="U92" i="1"/>
  <c r="U21" i="1"/>
  <c r="U91" i="1"/>
  <c r="U90" i="1"/>
  <c r="U82" i="1"/>
  <c r="U71" i="1"/>
  <c r="U88" i="1"/>
  <c r="U61" i="1"/>
  <c r="U13" i="1"/>
  <c r="U63" i="1"/>
  <c r="U10" i="1"/>
  <c r="U115" i="1"/>
  <c r="U6" i="1"/>
  <c r="U18" i="1"/>
  <c r="U122" i="1"/>
  <c r="U105" i="1"/>
  <c r="U51" i="1"/>
  <c r="U98" i="1"/>
  <c r="U24" i="1"/>
  <c r="U40" i="1"/>
  <c r="U69" i="1"/>
  <c r="U99" i="1"/>
  <c r="U86" i="1"/>
  <c r="U55" i="1"/>
  <c r="U36" i="1"/>
  <c r="U41" i="1"/>
  <c r="U19" i="1"/>
  <c r="U60" i="1"/>
  <c r="U78" i="1"/>
  <c r="U68" i="1"/>
  <c r="U43" i="1"/>
  <c r="U22" i="1"/>
  <c r="U59" i="1"/>
  <c r="U124" i="1"/>
  <c r="U17" i="1"/>
  <c r="U53" i="1"/>
  <c r="U45" i="1"/>
  <c r="U52" i="1"/>
  <c r="U81" i="1"/>
  <c r="U74" i="1"/>
  <c r="U11" i="1"/>
  <c r="U102" i="1"/>
  <c r="U50" i="1"/>
  <c r="U97" i="1"/>
  <c r="U2" i="1"/>
  <c r="U20" i="1"/>
  <c r="U49" i="1"/>
  <c r="U85" i="1"/>
  <c r="U16" i="1"/>
  <c r="U30" i="1"/>
  <c r="U15" i="1"/>
  <c r="U8" i="1"/>
  <c r="U29" i="1"/>
  <c r="U87" i="1"/>
  <c r="U96" i="1"/>
  <c r="U84" i="1"/>
  <c r="U26" i="1"/>
  <c r="U65" i="1"/>
  <c r="U119" i="1"/>
  <c r="U62" i="1"/>
  <c r="U31" i="1"/>
  <c r="U9" i="1"/>
  <c r="U38" i="1"/>
  <c r="U83" i="1"/>
  <c r="U32" i="1"/>
  <c r="U46" i="1"/>
  <c r="U113" i="1"/>
  <c r="U110" i="1"/>
  <c r="U4" i="1"/>
  <c r="U117" i="1"/>
  <c r="U25" i="1"/>
  <c r="U57" i="1"/>
  <c r="U79" i="1"/>
  <c r="U101" i="1"/>
  <c r="U108" i="1"/>
  <c r="U72" i="1"/>
  <c r="U56" i="1"/>
  <c r="U114" i="1"/>
  <c r="U116" i="1"/>
  <c r="U95" i="1"/>
  <c r="U123" i="1"/>
  <c r="U77" i="1"/>
  <c r="U67" i="1"/>
  <c r="S27" i="1"/>
  <c r="S126" i="1"/>
  <c r="S104" i="1"/>
  <c r="S54" i="1"/>
  <c r="S75" i="1"/>
  <c r="S93" i="1"/>
  <c r="S103" i="1"/>
  <c r="S12" i="1"/>
  <c r="S73" i="1"/>
  <c r="S47" i="1"/>
  <c r="S7" i="1"/>
  <c r="S120" i="1"/>
  <c r="S109" i="1"/>
  <c r="S28" i="1"/>
  <c r="S66" i="1"/>
  <c r="S89" i="1"/>
  <c r="S5" i="1"/>
  <c r="S106" i="1"/>
  <c r="S121" i="1"/>
  <c r="S70" i="1"/>
  <c r="S128" i="1"/>
  <c r="S23" i="1"/>
  <c r="S118" i="1"/>
  <c r="S35" i="1"/>
  <c r="S76" i="1"/>
  <c r="S58" i="1"/>
  <c r="S125" i="1"/>
  <c r="S111" i="1"/>
  <c r="S48" i="1"/>
  <c r="S80" i="1"/>
  <c r="S100" i="1"/>
  <c r="S129" i="1"/>
  <c r="S42" i="1"/>
  <c r="S94" i="1"/>
  <c r="S39" i="1"/>
  <c r="S33" i="1"/>
  <c r="S64" i="1"/>
  <c r="S107" i="1"/>
  <c r="S44" i="1"/>
  <c r="S3" i="1"/>
  <c r="S14" i="1"/>
  <c r="S37" i="1"/>
  <c r="S112" i="1"/>
  <c r="S92" i="1"/>
  <c r="S21" i="1"/>
  <c r="S91" i="1"/>
  <c r="S90" i="1"/>
  <c r="S82" i="1"/>
  <c r="S71" i="1"/>
  <c r="S88" i="1"/>
  <c r="S61" i="1"/>
  <c r="S13" i="1"/>
  <c r="S63" i="1"/>
  <c r="S10" i="1"/>
  <c r="S115" i="1"/>
  <c r="S6" i="1"/>
  <c r="S18" i="1"/>
  <c r="S122" i="1"/>
  <c r="S105" i="1"/>
  <c r="S51" i="1"/>
  <c r="S98" i="1"/>
  <c r="S24" i="1"/>
  <c r="S40" i="1"/>
  <c r="S69" i="1"/>
  <c r="S99" i="1"/>
  <c r="S86" i="1"/>
  <c r="S55" i="1"/>
  <c r="S36" i="1"/>
  <c r="S41" i="1"/>
  <c r="S19" i="1"/>
  <c r="S60" i="1"/>
  <c r="S78" i="1"/>
  <c r="S68" i="1"/>
  <c r="S43" i="1"/>
  <c r="S22" i="1"/>
  <c r="S59" i="1"/>
  <c r="S124" i="1"/>
  <c r="S17" i="1"/>
  <c r="S53" i="1"/>
  <c r="S45" i="1"/>
  <c r="S52" i="1"/>
  <c r="S81" i="1"/>
  <c r="S74" i="1"/>
  <c r="S11" i="1"/>
  <c r="S102" i="1"/>
  <c r="S50" i="1"/>
  <c r="S97" i="1"/>
  <c r="S2" i="1"/>
  <c r="S20" i="1"/>
  <c r="S49" i="1"/>
  <c r="S85" i="1"/>
  <c r="S16" i="1"/>
  <c r="S30" i="1"/>
  <c r="S15" i="1"/>
  <c r="S8" i="1"/>
  <c r="S29" i="1"/>
  <c r="S87" i="1"/>
  <c r="S96" i="1"/>
  <c r="S84" i="1"/>
  <c r="S26" i="1"/>
  <c r="S65" i="1"/>
  <c r="S119" i="1"/>
  <c r="S62" i="1"/>
  <c r="S31" i="1"/>
  <c r="S9" i="1"/>
  <c r="S38" i="1"/>
  <c r="S83" i="1"/>
  <c r="S32" i="1"/>
  <c r="S46" i="1"/>
  <c r="S113" i="1"/>
  <c r="S110" i="1"/>
  <c r="S4" i="1"/>
  <c r="S117" i="1"/>
  <c r="S25" i="1"/>
  <c r="S57" i="1"/>
  <c r="S79" i="1"/>
  <c r="S101" i="1"/>
  <c r="S108" i="1"/>
  <c r="S72" i="1"/>
  <c r="S56" i="1"/>
  <c r="S114" i="1"/>
  <c r="S116" i="1"/>
  <c r="S95" i="1"/>
  <c r="S123" i="1"/>
  <c r="S77" i="1"/>
  <c r="Q27" i="1"/>
  <c r="Q126" i="1"/>
  <c r="Q104" i="1"/>
  <c r="Q54" i="1"/>
  <c r="Q75" i="1"/>
  <c r="Q93" i="1"/>
  <c r="Q103" i="1"/>
  <c r="Q12" i="1"/>
  <c r="Q73" i="1"/>
  <c r="Q47" i="1"/>
  <c r="Q7" i="1"/>
  <c r="Q120" i="1"/>
  <c r="Q109" i="1"/>
  <c r="Q28" i="1"/>
  <c r="Q66" i="1"/>
  <c r="Q89" i="1"/>
  <c r="Q5" i="1"/>
  <c r="Q106" i="1"/>
  <c r="Q121" i="1"/>
  <c r="Q70" i="1"/>
  <c r="Q128" i="1"/>
  <c r="Q23" i="1"/>
  <c r="Q118" i="1"/>
  <c r="Q35" i="1"/>
  <c r="Q76" i="1"/>
  <c r="Q58" i="1"/>
  <c r="Q125" i="1"/>
  <c r="Q111" i="1"/>
  <c r="Q48" i="1"/>
  <c r="Q80" i="1"/>
  <c r="Q100" i="1"/>
  <c r="Q129" i="1"/>
  <c r="Q42" i="1"/>
  <c r="Q94" i="1"/>
  <c r="Q39" i="1"/>
  <c r="Q33" i="1"/>
  <c r="Q64" i="1"/>
  <c r="Q107" i="1"/>
  <c r="Q44" i="1"/>
  <c r="Q3" i="1"/>
  <c r="Q14" i="1"/>
  <c r="Q37" i="1"/>
  <c r="Q112" i="1"/>
  <c r="Q92" i="1"/>
  <c r="Q21" i="1"/>
  <c r="Q91" i="1"/>
  <c r="Q90" i="1"/>
  <c r="Q82" i="1"/>
  <c r="Q71" i="1"/>
  <c r="Q88" i="1"/>
  <c r="Q61" i="1"/>
  <c r="Q13" i="1"/>
  <c r="Q63" i="1"/>
  <c r="Q10" i="1"/>
  <c r="Q115" i="1"/>
  <c r="Q6" i="1"/>
  <c r="Q18" i="1"/>
  <c r="Q122" i="1"/>
  <c r="Q105" i="1"/>
  <c r="Q51" i="1"/>
  <c r="Q98" i="1"/>
  <c r="Q24" i="1"/>
  <c r="Q40" i="1"/>
  <c r="Q69" i="1"/>
  <c r="Q99" i="1"/>
  <c r="Q86" i="1"/>
  <c r="Q55" i="1"/>
  <c r="Q36" i="1"/>
  <c r="Q41" i="1"/>
  <c r="Q19" i="1"/>
  <c r="Q60" i="1"/>
  <c r="Q78" i="1"/>
  <c r="Q68" i="1"/>
  <c r="Q43" i="1"/>
  <c r="Q22" i="1"/>
  <c r="Q59" i="1"/>
  <c r="Q124" i="1"/>
  <c r="Q17" i="1"/>
  <c r="Q53" i="1"/>
  <c r="Q45" i="1"/>
  <c r="Q52" i="1"/>
  <c r="Q81" i="1"/>
  <c r="Q74" i="1"/>
  <c r="Q11" i="1"/>
  <c r="Q102" i="1"/>
  <c r="Q50" i="1"/>
  <c r="Q97" i="1"/>
  <c r="Q2" i="1"/>
  <c r="Q20" i="1"/>
  <c r="Q49" i="1"/>
  <c r="Q85" i="1"/>
  <c r="Q16" i="1"/>
  <c r="Q30" i="1"/>
  <c r="Q15" i="1"/>
  <c r="Q8" i="1"/>
  <c r="Q29" i="1"/>
  <c r="Q87" i="1"/>
  <c r="Q96" i="1"/>
  <c r="Q84" i="1"/>
  <c r="Q26" i="1"/>
  <c r="Q65" i="1"/>
  <c r="Q119" i="1"/>
  <c r="Q62" i="1"/>
  <c r="Q31" i="1"/>
  <c r="Q9" i="1"/>
  <c r="Q38" i="1"/>
  <c r="Q83" i="1"/>
  <c r="Q32" i="1"/>
  <c r="Q46" i="1"/>
  <c r="Q113" i="1"/>
  <c r="Q110" i="1"/>
  <c r="Q4" i="1"/>
  <c r="Q117" i="1"/>
  <c r="Q25" i="1"/>
  <c r="Q57" i="1"/>
  <c r="Q79" i="1"/>
  <c r="Q101" i="1"/>
  <c r="Q108" i="1"/>
  <c r="Q72" i="1"/>
  <c r="Q56" i="1"/>
  <c r="Q114" i="1"/>
  <c r="Q116" i="1"/>
  <c r="Q95" i="1"/>
  <c r="Q123" i="1"/>
  <c r="Q77" i="1"/>
  <c r="P27" i="1"/>
  <c r="W27" i="1" s="1"/>
  <c r="P126" i="1"/>
  <c r="W126" i="1" s="1"/>
  <c r="P104" i="1"/>
  <c r="W104" i="1" s="1"/>
  <c r="P54" i="1"/>
  <c r="W54" i="1" s="1"/>
  <c r="P75" i="1"/>
  <c r="W75" i="1" s="1"/>
  <c r="P93" i="1"/>
  <c r="W93" i="1" s="1"/>
  <c r="P103" i="1"/>
  <c r="W103" i="1" s="1"/>
  <c r="P12" i="1"/>
  <c r="W12" i="1" s="1"/>
  <c r="P73" i="1"/>
  <c r="W73" i="1" s="1"/>
  <c r="P47" i="1"/>
  <c r="W47" i="1" s="1"/>
  <c r="P7" i="1"/>
  <c r="W7" i="1" s="1"/>
  <c r="P120" i="1"/>
  <c r="W120" i="1" s="1"/>
  <c r="P109" i="1"/>
  <c r="W109" i="1" s="1"/>
  <c r="P28" i="1"/>
  <c r="W28" i="1" s="1"/>
  <c r="P66" i="1"/>
  <c r="W66" i="1" s="1"/>
  <c r="P89" i="1"/>
  <c r="W89" i="1" s="1"/>
  <c r="P5" i="1"/>
  <c r="W5" i="1" s="1"/>
  <c r="P106" i="1"/>
  <c r="W106" i="1" s="1"/>
  <c r="P121" i="1"/>
  <c r="W121" i="1" s="1"/>
  <c r="P70" i="1"/>
  <c r="W70" i="1" s="1"/>
  <c r="P128" i="1"/>
  <c r="W128" i="1" s="1"/>
  <c r="P23" i="1"/>
  <c r="W23" i="1" s="1"/>
  <c r="P118" i="1"/>
  <c r="W118" i="1" s="1"/>
  <c r="P35" i="1"/>
  <c r="W35" i="1" s="1"/>
  <c r="P76" i="1"/>
  <c r="W76" i="1" s="1"/>
  <c r="P58" i="1"/>
  <c r="W58" i="1" s="1"/>
  <c r="P125" i="1"/>
  <c r="W125" i="1" s="1"/>
  <c r="P111" i="1"/>
  <c r="W111" i="1" s="1"/>
  <c r="P48" i="1"/>
  <c r="W48" i="1" s="1"/>
  <c r="P80" i="1"/>
  <c r="W80" i="1" s="1"/>
  <c r="P100" i="1"/>
  <c r="W100" i="1" s="1"/>
  <c r="P129" i="1"/>
  <c r="W129" i="1" s="1"/>
  <c r="P42" i="1"/>
  <c r="W42" i="1" s="1"/>
  <c r="P94" i="1"/>
  <c r="W94" i="1" s="1"/>
  <c r="P39" i="1"/>
  <c r="W39" i="1" s="1"/>
  <c r="P33" i="1"/>
  <c r="W33" i="1" s="1"/>
  <c r="P64" i="1"/>
  <c r="W64" i="1" s="1"/>
  <c r="P107" i="1"/>
  <c r="W107" i="1" s="1"/>
  <c r="P44" i="1"/>
  <c r="W44" i="1" s="1"/>
  <c r="P3" i="1"/>
  <c r="W3" i="1" s="1"/>
  <c r="P14" i="1"/>
  <c r="W14" i="1" s="1"/>
  <c r="P37" i="1"/>
  <c r="W37" i="1" s="1"/>
  <c r="P112" i="1"/>
  <c r="W112" i="1" s="1"/>
  <c r="P92" i="1"/>
  <c r="W92" i="1" s="1"/>
  <c r="P21" i="1"/>
  <c r="W21" i="1" s="1"/>
  <c r="P91" i="1"/>
  <c r="W91" i="1" s="1"/>
  <c r="P90" i="1"/>
  <c r="W90" i="1" s="1"/>
  <c r="P82" i="1"/>
  <c r="W82" i="1" s="1"/>
  <c r="P71" i="1"/>
  <c r="W71" i="1" s="1"/>
  <c r="P88" i="1"/>
  <c r="W88" i="1" s="1"/>
  <c r="P61" i="1"/>
  <c r="W61" i="1" s="1"/>
  <c r="P13" i="1"/>
  <c r="W13" i="1" s="1"/>
  <c r="P63" i="1"/>
  <c r="W63" i="1" s="1"/>
  <c r="P10" i="1"/>
  <c r="W10" i="1" s="1"/>
  <c r="P115" i="1"/>
  <c r="W115" i="1" s="1"/>
  <c r="P6" i="1"/>
  <c r="W6" i="1" s="1"/>
  <c r="P18" i="1"/>
  <c r="W18" i="1" s="1"/>
  <c r="P122" i="1"/>
  <c r="W122" i="1" s="1"/>
  <c r="P105" i="1"/>
  <c r="W105" i="1" s="1"/>
  <c r="P51" i="1"/>
  <c r="W51" i="1" s="1"/>
  <c r="P98" i="1"/>
  <c r="W98" i="1" s="1"/>
  <c r="P24" i="1"/>
  <c r="W24" i="1" s="1"/>
  <c r="P40" i="1"/>
  <c r="W40" i="1" s="1"/>
  <c r="P69" i="1"/>
  <c r="W69" i="1" s="1"/>
  <c r="P99" i="1"/>
  <c r="W99" i="1" s="1"/>
  <c r="P86" i="1"/>
  <c r="W86" i="1" s="1"/>
  <c r="P55" i="1"/>
  <c r="W55" i="1" s="1"/>
  <c r="P36" i="1"/>
  <c r="W36" i="1" s="1"/>
  <c r="P41" i="1"/>
  <c r="W41" i="1" s="1"/>
  <c r="P19" i="1"/>
  <c r="W19" i="1" s="1"/>
  <c r="P60" i="1"/>
  <c r="W60" i="1" s="1"/>
  <c r="P78" i="1"/>
  <c r="W78" i="1" s="1"/>
  <c r="P68" i="1"/>
  <c r="W68" i="1" s="1"/>
  <c r="P43" i="1"/>
  <c r="W43" i="1" s="1"/>
  <c r="P22" i="1"/>
  <c r="W22" i="1" s="1"/>
  <c r="P59" i="1"/>
  <c r="W59" i="1" s="1"/>
  <c r="P124" i="1"/>
  <c r="W124" i="1" s="1"/>
  <c r="P17" i="1"/>
  <c r="W17" i="1" s="1"/>
  <c r="P53" i="1"/>
  <c r="W53" i="1" s="1"/>
  <c r="P45" i="1"/>
  <c r="W45" i="1" s="1"/>
  <c r="P52" i="1"/>
  <c r="W52" i="1" s="1"/>
  <c r="P81" i="1"/>
  <c r="W81" i="1" s="1"/>
  <c r="P74" i="1"/>
  <c r="W74" i="1" s="1"/>
  <c r="P11" i="1"/>
  <c r="W11" i="1" s="1"/>
  <c r="P102" i="1"/>
  <c r="W102" i="1" s="1"/>
  <c r="P50" i="1"/>
  <c r="W50" i="1" s="1"/>
  <c r="P97" i="1"/>
  <c r="W97" i="1" s="1"/>
  <c r="P2" i="1"/>
  <c r="W2" i="1" s="1"/>
  <c r="P20" i="1"/>
  <c r="W20" i="1" s="1"/>
  <c r="P49" i="1"/>
  <c r="W49" i="1" s="1"/>
  <c r="P85" i="1"/>
  <c r="W85" i="1" s="1"/>
  <c r="P16" i="1"/>
  <c r="W16" i="1" s="1"/>
  <c r="P30" i="1"/>
  <c r="W30" i="1" s="1"/>
  <c r="P15" i="1"/>
  <c r="W15" i="1" s="1"/>
  <c r="P8" i="1"/>
  <c r="W8" i="1" s="1"/>
  <c r="P29" i="1"/>
  <c r="W29" i="1" s="1"/>
  <c r="P87" i="1"/>
  <c r="W87" i="1" s="1"/>
  <c r="P96" i="1"/>
  <c r="W96" i="1" s="1"/>
  <c r="P84" i="1"/>
  <c r="W84" i="1" s="1"/>
  <c r="P26" i="1"/>
  <c r="W26" i="1" s="1"/>
  <c r="P65" i="1"/>
  <c r="W65" i="1" s="1"/>
  <c r="P119" i="1"/>
  <c r="W119" i="1" s="1"/>
  <c r="P62" i="1"/>
  <c r="W62" i="1" s="1"/>
  <c r="P31" i="1"/>
  <c r="W31" i="1" s="1"/>
  <c r="P9" i="1"/>
  <c r="W9" i="1" s="1"/>
  <c r="P38" i="1"/>
  <c r="W38" i="1" s="1"/>
  <c r="P83" i="1"/>
  <c r="W83" i="1" s="1"/>
  <c r="P32" i="1"/>
  <c r="W32" i="1" s="1"/>
  <c r="P46" i="1"/>
  <c r="W46" i="1" s="1"/>
  <c r="P113" i="1"/>
  <c r="W113" i="1" s="1"/>
  <c r="P110" i="1"/>
  <c r="W110" i="1" s="1"/>
  <c r="P4" i="1"/>
  <c r="W4" i="1" s="1"/>
  <c r="P117" i="1"/>
  <c r="W117" i="1" s="1"/>
  <c r="P25" i="1"/>
  <c r="W25" i="1" s="1"/>
  <c r="P57" i="1"/>
  <c r="W57" i="1" s="1"/>
  <c r="P79" i="1"/>
  <c r="W79" i="1" s="1"/>
  <c r="P101" i="1"/>
  <c r="W101" i="1" s="1"/>
  <c r="P108" i="1"/>
  <c r="W108" i="1" s="1"/>
  <c r="P72" i="1"/>
  <c r="W72" i="1" s="1"/>
  <c r="P56" i="1"/>
  <c r="W56" i="1" s="1"/>
  <c r="P114" i="1"/>
  <c r="W114" i="1" s="1"/>
  <c r="P116" i="1"/>
  <c r="W116" i="1" s="1"/>
  <c r="P95" i="1"/>
  <c r="W95" i="1" s="1"/>
  <c r="P123" i="1"/>
  <c r="W123" i="1" s="1"/>
  <c r="P77" i="1"/>
  <c r="W77" i="1" s="1"/>
  <c r="O27" i="1"/>
  <c r="O126" i="1"/>
  <c r="O104" i="1"/>
  <c r="O54" i="1"/>
  <c r="O75" i="1"/>
  <c r="O93" i="1"/>
  <c r="O103" i="1"/>
  <c r="O12" i="1"/>
  <c r="O73" i="1"/>
  <c r="O47" i="1"/>
  <c r="O7" i="1"/>
  <c r="O120" i="1"/>
  <c r="O109" i="1"/>
  <c r="O28" i="1"/>
  <c r="O66" i="1"/>
  <c r="O89" i="1"/>
  <c r="O5" i="1"/>
  <c r="O106" i="1"/>
  <c r="O121" i="1"/>
  <c r="O70" i="1"/>
  <c r="O128" i="1"/>
  <c r="O23" i="1"/>
  <c r="O118" i="1"/>
  <c r="O35" i="1"/>
  <c r="O76" i="1"/>
  <c r="O58" i="1"/>
  <c r="O125" i="1"/>
  <c r="O111" i="1"/>
  <c r="O48" i="1"/>
  <c r="O80" i="1"/>
  <c r="O100" i="1"/>
  <c r="O129" i="1"/>
  <c r="O42" i="1"/>
  <c r="O94" i="1"/>
  <c r="O39" i="1"/>
  <c r="O33" i="1"/>
  <c r="O64" i="1"/>
  <c r="O107" i="1"/>
  <c r="O44" i="1"/>
  <c r="O3" i="1"/>
  <c r="O14" i="1"/>
  <c r="O37" i="1"/>
  <c r="O112" i="1"/>
  <c r="O92" i="1"/>
  <c r="O21" i="1"/>
  <c r="O91" i="1"/>
  <c r="O90" i="1"/>
  <c r="O82" i="1"/>
  <c r="O71" i="1"/>
  <c r="O88" i="1"/>
  <c r="O61" i="1"/>
  <c r="O13" i="1"/>
  <c r="O63" i="1"/>
  <c r="O10" i="1"/>
  <c r="O115" i="1"/>
  <c r="O6" i="1"/>
  <c r="O18" i="1"/>
  <c r="O122" i="1"/>
  <c r="O105" i="1"/>
  <c r="O51" i="1"/>
  <c r="O98" i="1"/>
  <c r="O24" i="1"/>
  <c r="O40" i="1"/>
  <c r="O69" i="1"/>
  <c r="O99" i="1"/>
  <c r="O86" i="1"/>
  <c r="O55" i="1"/>
  <c r="O36" i="1"/>
  <c r="O41" i="1"/>
  <c r="O19" i="1"/>
  <c r="O60" i="1"/>
  <c r="O78" i="1"/>
  <c r="O68" i="1"/>
  <c r="O43" i="1"/>
  <c r="O22" i="1"/>
  <c r="O59" i="1"/>
  <c r="O124" i="1"/>
  <c r="O17" i="1"/>
  <c r="O53" i="1"/>
  <c r="O45" i="1"/>
  <c r="O52" i="1"/>
  <c r="O81" i="1"/>
  <c r="O74" i="1"/>
  <c r="O11" i="1"/>
  <c r="O102" i="1"/>
  <c r="O50" i="1"/>
  <c r="O97" i="1"/>
  <c r="O2" i="1"/>
  <c r="O20" i="1"/>
  <c r="O49" i="1"/>
  <c r="O85" i="1"/>
  <c r="O16" i="1"/>
  <c r="O30" i="1"/>
  <c r="O15" i="1"/>
  <c r="O8" i="1"/>
  <c r="O29" i="1"/>
  <c r="O87" i="1"/>
  <c r="O96" i="1"/>
  <c r="O84" i="1"/>
  <c r="O26" i="1"/>
  <c r="O65" i="1"/>
  <c r="O119" i="1"/>
  <c r="O62" i="1"/>
  <c r="O31" i="1"/>
  <c r="O9" i="1"/>
  <c r="O38" i="1"/>
  <c r="O83" i="1"/>
  <c r="O32" i="1"/>
  <c r="O46" i="1"/>
  <c r="O113" i="1"/>
  <c r="O110" i="1"/>
  <c r="O4" i="1"/>
  <c r="O117" i="1"/>
  <c r="O25" i="1"/>
  <c r="O57" i="1"/>
  <c r="O79" i="1"/>
  <c r="O101" i="1"/>
  <c r="O108" i="1"/>
  <c r="O72" i="1"/>
  <c r="O56" i="1"/>
  <c r="O114" i="1"/>
  <c r="O116" i="1"/>
  <c r="O95" i="1"/>
  <c r="O123" i="1"/>
  <c r="O77" i="1"/>
  <c r="N27" i="1"/>
  <c r="N126" i="1"/>
  <c r="N104" i="1"/>
  <c r="N54" i="1"/>
  <c r="N75" i="1"/>
  <c r="N93" i="1"/>
  <c r="N103" i="1"/>
  <c r="N12" i="1"/>
  <c r="N73" i="1"/>
  <c r="N47" i="1"/>
  <c r="N7" i="1"/>
  <c r="N120" i="1"/>
  <c r="N109" i="1"/>
  <c r="N28" i="1"/>
  <c r="N66" i="1"/>
  <c r="N89" i="1"/>
  <c r="N5" i="1"/>
  <c r="N106" i="1"/>
  <c r="N121" i="1"/>
  <c r="N70" i="1"/>
  <c r="N128" i="1"/>
  <c r="N23" i="1"/>
  <c r="N118" i="1"/>
  <c r="N35" i="1"/>
  <c r="N76" i="1"/>
  <c r="N58" i="1"/>
  <c r="N125" i="1"/>
  <c r="N111" i="1"/>
  <c r="N48" i="1"/>
  <c r="N80" i="1"/>
  <c r="N100" i="1"/>
  <c r="N129" i="1"/>
  <c r="N42" i="1"/>
  <c r="N94" i="1"/>
  <c r="N39" i="1"/>
  <c r="N33" i="1"/>
  <c r="N64" i="1"/>
  <c r="N107" i="1"/>
  <c r="N44" i="1"/>
  <c r="N3" i="1"/>
  <c r="N14" i="1"/>
  <c r="N37" i="1"/>
  <c r="N112" i="1"/>
  <c r="N92" i="1"/>
  <c r="N21" i="1"/>
  <c r="N91" i="1"/>
  <c r="N90" i="1"/>
  <c r="N82" i="1"/>
  <c r="N71" i="1"/>
  <c r="N88" i="1"/>
  <c r="N61" i="1"/>
  <c r="N13" i="1"/>
  <c r="N63" i="1"/>
  <c r="N10" i="1"/>
  <c r="N115" i="1"/>
  <c r="N6" i="1"/>
  <c r="N18" i="1"/>
  <c r="N122" i="1"/>
  <c r="N105" i="1"/>
  <c r="N51" i="1"/>
  <c r="N98" i="1"/>
  <c r="N24" i="1"/>
  <c r="N40" i="1"/>
  <c r="N69" i="1"/>
  <c r="N99" i="1"/>
  <c r="N86" i="1"/>
  <c r="N55" i="1"/>
  <c r="N36" i="1"/>
  <c r="N41" i="1"/>
  <c r="N19" i="1"/>
  <c r="N60" i="1"/>
  <c r="N78" i="1"/>
  <c r="N68" i="1"/>
  <c r="N43" i="1"/>
  <c r="N22" i="1"/>
  <c r="N59" i="1"/>
  <c r="N124" i="1"/>
  <c r="N17" i="1"/>
  <c r="N53" i="1"/>
  <c r="N45" i="1"/>
  <c r="N52" i="1"/>
  <c r="N81" i="1"/>
  <c r="N74" i="1"/>
  <c r="N11" i="1"/>
  <c r="N102" i="1"/>
  <c r="N50" i="1"/>
  <c r="N97" i="1"/>
  <c r="N2" i="1"/>
  <c r="N20" i="1"/>
  <c r="N49" i="1"/>
  <c r="N85" i="1"/>
  <c r="N16" i="1"/>
  <c r="N30" i="1"/>
  <c r="N15" i="1"/>
  <c r="N8" i="1"/>
  <c r="N29" i="1"/>
  <c r="N87" i="1"/>
  <c r="N96" i="1"/>
  <c r="N84" i="1"/>
  <c r="N26" i="1"/>
  <c r="N65" i="1"/>
  <c r="N119" i="1"/>
  <c r="N62" i="1"/>
  <c r="N31" i="1"/>
  <c r="N9" i="1"/>
  <c r="N38" i="1"/>
  <c r="N83" i="1"/>
  <c r="N32" i="1"/>
  <c r="N46" i="1"/>
  <c r="N113" i="1"/>
  <c r="N110" i="1"/>
  <c r="N4" i="1"/>
  <c r="N117" i="1"/>
  <c r="N25" i="1"/>
  <c r="N57" i="1"/>
  <c r="N79" i="1"/>
  <c r="N101" i="1"/>
  <c r="N108" i="1"/>
  <c r="N72" i="1"/>
  <c r="N56" i="1"/>
  <c r="N114" i="1"/>
  <c r="N116" i="1"/>
  <c r="N95" i="1"/>
  <c r="N123" i="1"/>
  <c r="N77" i="1"/>
  <c r="O67" i="1"/>
  <c r="P67" i="1"/>
  <c r="W67" i="1" s="1"/>
  <c r="Q67" i="1"/>
  <c r="R67" i="1"/>
  <c r="S67" i="1"/>
  <c r="N67" i="1"/>
  <c r="K27" i="1"/>
  <c r="L27" i="1" s="1"/>
  <c r="K126" i="1"/>
  <c r="L126" i="1" s="1"/>
  <c r="K104" i="1"/>
  <c r="K54" i="1"/>
  <c r="L54" i="1" s="1"/>
  <c r="K75" i="1"/>
  <c r="K93" i="1"/>
  <c r="K103" i="1"/>
  <c r="K12" i="1"/>
  <c r="K73" i="1"/>
  <c r="K47" i="1"/>
  <c r="K7" i="1"/>
  <c r="K120" i="1"/>
  <c r="K109" i="1"/>
  <c r="K28" i="1"/>
  <c r="K66" i="1"/>
  <c r="K89" i="1"/>
  <c r="K5" i="1"/>
  <c r="K106" i="1"/>
  <c r="K121" i="1"/>
  <c r="K70" i="1"/>
  <c r="K128" i="1"/>
  <c r="K23" i="1"/>
  <c r="K118" i="1"/>
  <c r="K35" i="1"/>
  <c r="L35" i="1" s="1"/>
  <c r="K76" i="1"/>
  <c r="K58" i="1"/>
  <c r="K125" i="1"/>
  <c r="L125" i="1" s="1"/>
  <c r="K111" i="1"/>
  <c r="L111" i="1" s="1"/>
  <c r="K48" i="1"/>
  <c r="K80" i="1"/>
  <c r="K100" i="1"/>
  <c r="K129" i="1"/>
  <c r="K42" i="1"/>
  <c r="K94" i="1"/>
  <c r="K39" i="1"/>
  <c r="K33" i="1"/>
  <c r="K64" i="1"/>
  <c r="K107" i="1"/>
  <c r="K44" i="1"/>
  <c r="K3" i="1"/>
  <c r="K14" i="1"/>
  <c r="K37" i="1"/>
  <c r="K112" i="1"/>
  <c r="K92" i="1"/>
  <c r="K21" i="1"/>
  <c r="K91" i="1"/>
  <c r="L91" i="1" s="1"/>
  <c r="K90" i="1"/>
  <c r="K82" i="1"/>
  <c r="K71" i="1"/>
  <c r="K88" i="1"/>
  <c r="L88" i="1" s="1"/>
  <c r="K61" i="1"/>
  <c r="K13" i="1"/>
  <c r="K63" i="1"/>
  <c r="K10" i="1"/>
  <c r="K115" i="1"/>
  <c r="K6" i="1"/>
  <c r="K18" i="1"/>
  <c r="L18" i="1" s="1"/>
  <c r="K122" i="1"/>
  <c r="K105" i="1"/>
  <c r="K51" i="1"/>
  <c r="K98" i="1"/>
  <c r="K24" i="1"/>
  <c r="K40" i="1"/>
  <c r="K69" i="1"/>
  <c r="K99" i="1"/>
  <c r="K86" i="1"/>
  <c r="K55" i="1"/>
  <c r="K36" i="1"/>
  <c r="L36" i="1" s="1"/>
  <c r="K41" i="1"/>
  <c r="K19" i="1"/>
  <c r="K60" i="1"/>
  <c r="K78" i="1"/>
  <c r="K68" i="1"/>
  <c r="L68" i="1" s="1"/>
  <c r="K43" i="1"/>
  <c r="K22" i="1"/>
  <c r="K59" i="1"/>
  <c r="K124" i="1"/>
  <c r="K17" i="1"/>
  <c r="K53" i="1"/>
  <c r="K45" i="1"/>
  <c r="K52" i="1"/>
  <c r="K81" i="1"/>
  <c r="K74" i="1"/>
  <c r="K11" i="1"/>
  <c r="K102" i="1"/>
  <c r="K50" i="1"/>
  <c r="K97" i="1"/>
  <c r="K2" i="1"/>
  <c r="K20" i="1"/>
  <c r="K49" i="1"/>
  <c r="K85" i="1"/>
  <c r="K16" i="1"/>
  <c r="K30" i="1"/>
  <c r="K15" i="1"/>
  <c r="K8" i="1"/>
  <c r="K29" i="1"/>
  <c r="K87" i="1"/>
  <c r="K96" i="1"/>
  <c r="K84" i="1"/>
  <c r="L84" i="1" s="1"/>
  <c r="K26" i="1"/>
  <c r="K65" i="1"/>
  <c r="K119" i="1"/>
  <c r="K62" i="1"/>
  <c r="L62" i="1" s="1"/>
  <c r="K31" i="1"/>
  <c r="K9" i="1"/>
  <c r="K38" i="1"/>
  <c r="K83" i="1"/>
  <c r="K32" i="1"/>
  <c r="K46" i="1"/>
  <c r="K113" i="1"/>
  <c r="K110" i="1"/>
  <c r="K4" i="1"/>
  <c r="K117" i="1"/>
  <c r="K25" i="1"/>
  <c r="K57" i="1"/>
  <c r="K79" i="1"/>
  <c r="L79" i="1" s="1"/>
  <c r="K101" i="1"/>
  <c r="K108" i="1"/>
  <c r="L108" i="1" s="1"/>
  <c r="K72" i="1"/>
  <c r="K56" i="1"/>
  <c r="L56" i="1" s="1"/>
  <c r="K114" i="1"/>
  <c r="K116" i="1"/>
  <c r="L116" i="1" s="1"/>
  <c r="K95" i="1"/>
  <c r="L95" i="1" s="1"/>
  <c r="K123" i="1"/>
  <c r="K77" i="1"/>
  <c r="J27" i="1"/>
  <c r="J126" i="1"/>
  <c r="J104" i="1"/>
  <c r="J54" i="1"/>
  <c r="J75" i="1"/>
  <c r="J93" i="1"/>
  <c r="L93" i="1" s="1"/>
  <c r="J103" i="1"/>
  <c r="J12" i="1"/>
  <c r="L12" i="1" s="1"/>
  <c r="J73" i="1"/>
  <c r="J47" i="1"/>
  <c r="J7" i="1"/>
  <c r="J120" i="1"/>
  <c r="L120" i="1" s="1"/>
  <c r="J109" i="1"/>
  <c r="L109" i="1" s="1"/>
  <c r="J28" i="1"/>
  <c r="L28" i="1" s="1"/>
  <c r="J66" i="1"/>
  <c r="L66" i="1" s="1"/>
  <c r="J89" i="1"/>
  <c r="J5" i="1"/>
  <c r="L5" i="1" s="1"/>
  <c r="J106" i="1"/>
  <c r="L106" i="1" s="1"/>
  <c r="J121" i="1"/>
  <c r="L121" i="1" s="1"/>
  <c r="J70" i="1"/>
  <c r="J128" i="1"/>
  <c r="J23" i="1"/>
  <c r="J118" i="1"/>
  <c r="J35" i="1"/>
  <c r="J76" i="1"/>
  <c r="J58" i="1"/>
  <c r="J125" i="1"/>
  <c r="J111" i="1"/>
  <c r="J48" i="1"/>
  <c r="L48" i="1" s="1"/>
  <c r="J80" i="1"/>
  <c r="L80" i="1" s="1"/>
  <c r="J100" i="1"/>
  <c r="J129" i="1"/>
  <c r="L129" i="1" s="1"/>
  <c r="J42" i="1"/>
  <c r="L42" i="1" s="1"/>
  <c r="J94" i="1"/>
  <c r="J39" i="1"/>
  <c r="J33" i="1"/>
  <c r="L33" i="1" s="1"/>
  <c r="J64" i="1"/>
  <c r="L64" i="1" s="1"/>
  <c r="J107" i="1"/>
  <c r="L107" i="1" s="1"/>
  <c r="J44" i="1"/>
  <c r="L44" i="1" s="1"/>
  <c r="J3" i="1"/>
  <c r="J14" i="1"/>
  <c r="L14" i="1" s="1"/>
  <c r="J37" i="1"/>
  <c r="L37" i="1" s="1"/>
  <c r="J112" i="1"/>
  <c r="L112" i="1" s="1"/>
  <c r="J92" i="1"/>
  <c r="J21" i="1"/>
  <c r="J91" i="1"/>
  <c r="J90" i="1"/>
  <c r="J82" i="1"/>
  <c r="J71" i="1"/>
  <c r="J88" i="1"/>
  <c r="J61" i="1"/>
  <c r="J13" i="1"/>
  <c r="J63" i="1"/>
  <c r="L63" i="1" s="1"/>
  <c r="J10" i="1"/>
  <c r="L10" i="1" s="1"/>
  <c r="J115" i="1"/>
  <c r="J6" i="1"/>
  <c r="L6" i="1" s="1"/>
  <c r="J18" i="1"/>
  <c r="J122" i="1"/>
  <c r="J105" i="1"/>
  <c r="J51" i="1"/>
  <c r="L51" i="1" s="1"/>
  <c r="J98" i="1"/>
  <c r="J24" i="1"/>
  <c r="L24" i="1" s="1"/>
  <c r="J40" i="1"/>
  <c r="L40" i="1" s="1"/>
  <c r="J69" i="1"/>
  <c r="J99" i="1"/>
  <c r="L99" i="1" s="1"/>
  <c r="J86" i="1"/>
  <c r="L86" i="1" s="1"/>
  <c r="J55" i="1"/>
  <c r="L55" i="1" s="1"/>
  <c r="J36" i="1"/>
  <c r="J41" i="1"/>
  <c r="L41" i="1" s="1"/>
  <c r="J19" i="1"/>
  <c r="J60" i="1"/>
  <c r="L60" i="1" s="1"/>
  <c r="J78" i="1"/>
  <c r="J68" i="1"/>
  <c r="J43" i="1"/>
  <c r="J22" i="1"/>
  <c r="J59" i="1"/>
  <c r="J124" i="1"/>
  <c r="L124" i="1" s="1"/>
  <c r="J17" i="1"/>
  <c r="L17" i="1" s="1"/>
  <c r="J53" i="1"/>
  <c r="J45" i="1"/>
  <c r="L45" i="1" s="1"/>
  <c r="J52" i="1"/>
  <c r="L52" i="1" s="1"/>
  <c r="J81" i="1"/>
  <c r="J74" i="1"/>
  <c r="J11" i="1"/>
  <c r="J102" i="1"/>
  <c r="L102" i="1" s="1"/>
  <c r="J50" i="1"/>
  <c r="L50" i="1" s="1"/>
  <c r="J97" i="1"/>
  <c r="L97" i="1" s="1"/>
  <c r="J2" i="1"/>
  <c r="J20" i="1"/>
  <c r="L20" i="1" s="1"/>
  <c r="J49" i="1"/>
  <c r="L49" i="1" s="1"/>
  <c r="J85" i="1"/>
  <c r="L85" i="1" s="1"/>
  <c r="J16" i="1"/>
  <c r="J30" i="1"/>
  <c r="J15" i="1"/>
  <c r="J8" i="1"/>
  <c r="J29" i="1"/>
  <c r="J87" i="1"/>
  <c r="J96" i="1"/>
  <c r="J84" i="1"/>
  <c r="J26" i="1"/>
  <c r="J65" i="1"/>
  <c r="L65" i="1" s="1"/>
  <c r="J119" i="1"/>
  <c r="L119" i="1" s="1"/>
  <c r="J62" i="1"/>
  <c r="J31" i="1"/>
  <c r="L31" i="1" s="1"/>
  <c r="J9" i="1"/>
  <c r="J38" i="1"/>
  <c r="J83" i="1"/>
  <c r="J32" i="1"/>
  <c r="L32" i="1" s="1"/>
  <c r="J46" i="1"/>
  <c r="L46" i="1" s="1"/>
  <c r="J113" i="1"/>
  <c r="L113" i="1" s="1"/>
  <c r="J110" i="1"/>
  <c r="L110" i="1" s="1"/>
  <c r="J4" i="1"/>
  <c r="J117" i="1"/>
  <c r="L117" i="1" s="1"/>
  <c r="J25" i="1"/>
  <c r="L25" i="1" s="1"/>
  <c r="J57" i="1"/>
  <c r="L57" i="1" s="1"/>
  <c r="J79" i="1"/>
  <c r="J101" i="1"/>
  <c r="J108" i="1"/>
  <c r="J72" i="1"/>
  <c r="L72" i="1" s="1"/>
  <c r="J56" i="1"/>
  <c r="J114" i="1"/>
  <c r="J116" i="1"/>
  <c r="J95" i="1"/>
  <c r="J123" i="1"/>
  <c r="J77" i="1"/>
  <c r="L77" i="1" s="1"/>
  <c r="I27" i="1"/>
  <c r="I126" i="1"/>
  <c r="I104" i="1"/>
  <c r="I54" i="1"/>
  <c r="I75" i="1"/>
  <c r="I93" i="1"/>
  <c r="I103" i="1"/>
  <c r="I12" i="1"/>
  <c r="I73" i="1"/>
  <c r="I47" i="1"/>
  <c r="I7" i="1"/>
  <c r="I120" i="1"/>
  <c r="I109" i="1"/>
  <c r="I28" i="1"/>
  <c r="I66" i="1"/>
  <c r="I89" i="1"/>
  <c r="I5" i="1"/>
  <c r="I106" i="1"/>
  <c r="I121" i="1"/>
  <c r="I70" i="1"/>
  <c r="I128" i="1"/>
  <c r="I23" i="1"/>
  <c r="I118" i="1"/>
  <c r="I35" i="1"/>
  <c r="I76" i="1"/>
  <c r="I58" i="1"/>
  <c r="I125" i="1"/>
  <c r="I111" i="1"/>
  <c r="I48" i="1"/>
  <c r="I80" i="1"/>
  <c r="I100" i="1"/>
  <c r="I129" i="1"/>
  <c r="I42" i="1"/>
  <c r="I94" i="1"/>
  <c r="I39" i="1"/>
  <c r="I33" i="1"/>
  <c r="I64" i="1"/>
  <c r="I107" i="1"/>
  <c r="I44" i="1"/>
  <c r="I3" i="1"/>
  <c r="I14" i="1"/>
  <c r="I37" i="1"/>
  <c r="I112" i="1"/>
  <c r="I92" i="1"/>
  <c r="I21" i="1"/>
  <c r="I91" i="1"/>
  <c r="I90" i="1"/>
  <c r="I82" i="1"/>
  <c r="I71" i="1"/>
  <c r="I88" i="1"/>
  <c r="I61" i="1"/>
  <c r="I13" i="1"/>
  <c r="I63" i="1"/>
  <c r="I10" i="1"/>
  <c r="I115" i="1"/>
  <c r="I6" i="1"/>
  <c r="I18" i="1"/>
  <c r="I122" i="1"/>
  <c r="I105" i="1"/>
  <c r="I51" i="1"/>
  <c r="I98" i="1"/>
  <c r="I24" i="1"/>
  <c r="I40" i="1"/>
  <c r="I69" i="1"/>
  <c r="I99" i="1"/>
  <c r="I86" i="1"/>
  <c r="I55" i="1"/>
  <c r="I36" i="1"/>
  <c r="I41" i="1"/>
  <c r="I19" i="1"/>
  <c r="I60" i="1"/>
  <c r="I78" i="1"/>
  <c r="I68" i="1"/>
  <c r="I43" i="1"/>
  <c r="I22" i="1"/>
  <c r="I59" i="1"/>
  <c r="I124" i="1"/>
  <c r="I17" i="1"/>
  <c r="I53" i="1"/>
  <c r="I45" i="1"/>
  <c r="I52" i="1"/>
  <c r="I81" i="1"/>
  <c r="I74" i="1"/>
  <c r="I11" i="1"/>
  <c r="I102" i="1"/>
  <c r="I50" i="1"/>
  <c r="I97" i="1"/>
  <c r="I2" i="1"/>
  <c r="I20" i="1"/>
  <c r="I49" i="1"/>
  <c r="I85" i="1"/>
  <c r="I16" i="1"/>
  <c r="I30" i="1"/>
  <c r="I15" i="1"/>
  <c r="I8" i="1"/>
  <c r="I29" i="1"/>
  <c r="I87" i="1"/>
  <c r="I96" i="1"/>
  <c r="I84" i="1"/>
  <c r="I26" i="1"/>
  <c r="I65" i="1"/>
  <c r="I119" i="1"/>
  <c r="I62" i="1"/>
  <c r="I31" i="1"/>
  <c r="I9" i="1"/>
  <c r="I38" i="1"/>
  <c r="I83" i="1"/>
  <c r="I32" i="1"/>
  <c r="I46" i="1"/>
  <c r="I113" i="1"/>
  <c r="I110" i="1"/>
  <c r="I4" i="1"/>
  <c r="I117" i="1"/>
  <c r="I25" i="1"/>
  <c r="I57" i="1"/>
  <c r="I79" i="1"/>
  <c r="I101" i="1"/>
  <c r="I108" i="1"/>
  <c r="I72" i="1"/>
  <c r="I56" i="1"/>
  <c r="I114" i="1"/>
  <c r="I116" i="1"/>
  <c r="I95" i="1"/>
  <c r="I123" i="1"/>
  <c r="I77" i="1"/>
  <c r="H27" i="1"/>
  <c r="H126" i="1"/>
  <c r="H104" i="1"/>
  <c r="H54" i="1"/>
  <c r="H75" i="1"/>
  <c r="H93" i="1"/>
  <c r="H103" i="1"/>
  <c r="H12" i="1"/>
  <c r="H73" i="1"/>
  <c r="H47" i="1"/>
  <c r="H7" i="1"/>
  <c r="H120" i="1"/>
  <c r="H109" i="1"/>
  <c r="H28" i="1"/>
  <c r="H66" i="1"/>
  <c r="H89" i="1"/>
  <c r="H5" i="1"/>
  <c r="H106" i="1"/>
  <c r="H121" i="1"/>
  <c r="H70" i="1"/>
  <c r="H128" i="1"/>
  <c r="H23" i="1"/>
  <c r="H118" i="1"/>
  <c r="H35" i="1"/>
  <c r="H76" i="1"/>
  <c r="H58" i="1"/>
  <c r="H125" i="1"/>
  <c r="H111" i="1"/>
  <c r="H48" i="1"/>
  <c r="H80" i="1"/>
  <c r="H100" i="1"/>
  <c r="H129" i="1"/>
  <c r="H42" i="1"/>
  <c r="H94" i="1"/>
  <c r="H39" i="1"/>
  <c r="H33" i="1"/>
  <c r="H64" i="1"/>
  <c r="H107" i="1"/>
  <c r="H44" i="1"/>
  <c r="H3" i="1"/>
  <c r="H14" i="1"/>
  <c r="H37" i="1"/>
  <c r="H112" i="1"/>
  <c r="H92" i="1"/>
  <c r="H21" i="1"/>
  <c r="H91" i="1"/>
  <c r="H90" i="1"/>
  <c r="H82" i="1"/>
  <c r="H71" i="1"/>
  <c r="H88" i="1"/>
  <c r="H61" i="1"/>
  <c r="H13" i="1"/>
  <c r="H63" i="1"/>
  <c r="H10" i="1"/>
  <c r="H115" i="1"/>
  <c r="H6" i="1"/>
  <c r="H18" i="1"/>
  <c r="H122" i="1"/>
  <c r="H105" i="1"/>
  <c r="H51" i="1"/>
  <c r="H98" i="1"/>
  <c r="H24" i="1"/>
  <c r="H40" i="1"/>
  <c r="H69" i="1"/>
  <c r="H99" i="1"/>
  <c r="H86" i="1"/>
  <c r="H55" i="1"/>
  <c r="H36" i="1"/>
  <c r="H41" i="1"/>
  <c r="H19" i="1"/>
  <c r="H60" i="1"/>
  <c r="H78" i="1"/>
  <c r="H68" i="1"/>
  <c r="H43" i="1"/>
  <c r="H22" i="1"/>
  <c r="H59" i="1"/>
  <c r="H124" i="1"/>
  <c r="H17" i="1"/>
  <c r="H53" i="1"/>
  <c r="H45" i="1"/>
  <c r="H52" i="1"/>
  <c r="H81" i="1"/>
  <c r="H74" i="1"/>
  <c r="H11" i="1"/>
  <c r="H102" i="1"/>
  <c r="H50" i="1"/>
  <c r="H97" i="1"/>
  <c r="H2" i="1"/>
  <c r="H20" i="1"/>
  <c r="H49" i="1"/>
  <c r="H85" i="1"/>
  <c r="H16" i="1"/>
  <c r="H30" i="1"/>
  <c r="H15" i="1"/>
  <c r="H8" i="1"/>
  <c r="H29" i="1"/>
  <c r="H87" i="1"/>
  <c r="H96" i="1"/>
  <c r="H84" i="1"/>
  <c r="H26" i="1"/>
  <c r="H65" i="1"/>
  <c r="H119" i="1"/>
  <c r="H62" i="1"/>
  <c r="H31" i="1"/>
  <c r="H9" i="1"/>
  <c r="H38" i="1"/>
  <c r="H83" i="1"/>
  <c r="H32" i="1"/>
  <c r="H46" i="1"/>
  <c r="H113" i="1"/>
  <c r="H110" i="1"/>
  <c r="H4" i="1"/>
  <c r="H117" i="1"/>
  <c r="H25" i="1"/>
  <c r="H57" i="1"/>
  <c r="H79" i="1"/>
  <c r="H101" i="1"/>
  <c r="H108" i="1"/>
  <c r="H72" i="1"/>
  <c r="H56" i="1"/>
  <c r="H114" i="1"/>
  <c r="H116" i="1"/>
  <c r="H123" i="1"/>
  <c r="H77" i="1"/>
  <c r="H67" i="1"/>
  <c r="G27" i="1"/>
  <c r="G126" i="1"/>
  <c r="G104" i="1"/>
  <c r="G54" i="1"/>
  <c r="G75" i="1"/>
  <c r="G93" i="1"/>
  <c r="G103" i="1"/>
  <c r="G12" i="1"/>
  <c r="G73" i="1"/>
  <c r="G47" i="1"/>
  <c r="G7" i="1"/>
  <c r="G120" i="1"/>
  <c r="G109" i="1"/>
  <c r="G28" i="1"/>
  <c r="G66" i="1"/>
  <c r="G89" i="1"/>
  <c r="G5" i="1"/>
  <c r="G106" i="1"/>
  <c r="G121" i="1"/>
  <c r="G70" i="1"/>
  <c r="G128" i="1"/>
  <c r="G23" i="1"/>
  <c r="G118" i="1"/>
  <c r="G35" i="1"/>
  <c r="G76" i="1"/>
  <c r="G58" i="1"/>
  <c r="G125" i="1"/>
  <c r="G111" i="1"/>
  <c r="G48" i="1"/>
  <c r="G80" i="1"/>
  <c r="G100" i="1"/>
  <c r="G129" i="1"/>
  <c r="G42" i="1"/>
  <c r="G94" i="1"/>
  <c r="G39" i="1"/>
  <c r="G33" i="1"/>
  <c r="G64" i="1"/>
  <c r="G107" i="1"/>
  <c r="G44" i="1"/>
  <c r="G3" i="1"/>
  <c r="G14" i="1"/>
  <c r="G37" i="1"/>
  <c r="G112" i="1"/>
  <c r="G92" i="1"/>
  <c r="G21" i="1"/>
  <c r="G91" i="1"/>
  <c r="G90" i="1"/>
  <c r="G82" i="1"/>
  <c r="G71" i="1"/>
  <c r="G88" i="1"/>
  <c r="G61" i="1"/>
  <c r="G13" i="1"/>
  <c r="G63" i="1"/>
  <c r="G10" i="1"/>
  <c r="G115" i="1"/>
  <c r="G6" i="1"/>
  <c r="G18" i="1"/>
  <c r="G122" i="1"/>
  <c r="G105" i="1"/>
  <c r="G51" i="1"/>
  <c r="G98" i="1"/>
  <c r="G24" i="1"/>
  <c r="G40" i="1"/>
  <c r="G69" i="1"/>
  <c r="G99" i="1"/>
  <c r="G86" i="1"/>
  <c r="G55" i="1"/>
  <c r="G36" i="1"/>
  <c r="G41" i="1"/>
  <c r="G19" i="1"/>
  <c r="G60" i="1"/>
  <c r="G78" i="1"/>
  <c r="G68" i="1"/>
  <c r="G43" i="1"/>
  <c r="G22" i="1"/>
  <c r="G59" i="1"/>
  <c r="G124" i="1"/>
  <c r="G17" i="1"/>
  <c r="G53" i="1"/>
  <c r="G45" i="1"/>
  <c r="G52" i="1"/>
  <c r="G81" i="1"/>
  <c r="G74" i="1"/>
  <c r="G11" i="1"/>
  <c r="G102" i="1"/>
  <c r="G50" i="1"/>
  <c r="G97" i="1"/>
  <c r="G2" i="1"/>
  <c r="G20" i="1"/>
  <c r="G49" i="1"/>
  <c r="G85" i="1"/>
  <c r="G16" i="1"/>
  <c r="G30" i="1"/>
  <c r="G15" i="1"/>
  <c r="G8" i="1"/>
  <c r="G29" i="1"/>
  <c r="G87" i="1"/>
  <c r="G96" i="1"/>
  <c r="G84" i="1"/>
  <c r="G26" i="1"/>
  <c r="G65" i="1"/>
  <c r="G119" i="1"/>
  <c r="G62" i="1"/>
  <c r="G31" i="1"/>
  <c r="G9" i="1"/>
  <c r="G38" i="1"/>
  <c r="G83" i="1"/>
  <c r="G32" i="1"/>
  <c r="G46" i="1"/>
  <c r="G113" i="1"/>
  <c r="G110" i="1"/>
  <c r="G4" i="1"/>
  <c r="G117" i="1"/>
  <c r="G25" i="1"/>
  <c r="G57" i="1"/>
  <c r="G79" i="1"/>
  <c r="G101" i="1"/>
  <c r="G108" i="1"/>
  <c r="G72" i="1"/>
  <c r="G56" i="1"/>
  <c r="G114" i="1"/>
  <c r="G116" i="1"/>
  <c r="G95" i="1"/>
  <c r="G123" i="1"/>
  <c r="G77" i="1"/>
  <c r="I67" i="1"/>
  <c r="J67" i="1"/>
  <c r="K67" i="1"/>
  <c r="L67" i="1" s="1"/>
  <c r="M67" i="1"/>
  <c r="G67" i="1"/>
  <c r="L8" i="1" l="1"/>
  <c r="L90" i="1"/>
  <c r="L118" i="1"/>
  <c r="L15" i="1"/>
  <c r="L19" i="1"/>
  <c r="L23" i="1"/>
  <c r="L16" i="1"/>
  <c r="L92" i="1"/>
  <c r="L70" i="1"/>
  <c r="L4" i="1"/>
  <c r="L2" i="1"/>
  <c r="L69" i="1"/>
  <c r="L3" i="1"/>
  <c r="L89" i="1"/>
  <c r="L101" i="1"/>
  <c r="L30" i="1"/>
  <c r="L21" i="1"/>
  <c r="L128" i="1"/>
  <c r="L38" i="1"/>
  <c r="L122" i="1"/>
  <c r="L94" i="1"/>
  <c r="L74" i="1"/>
  <c r="L39" i="1"/>
  <c r="L47" i="1"/>
  <c r="L9" i="1"/>
  <c r="L73" i="1"/>
  <c r="L83" i="1"/>
  <c r="L105" i="1"/>
  <c r="L7" i="1"/>
  <c r="L81" i="1"/>
  <c r="L98" i="1"/>
  <c r="L53" i="1"/>
  <c r="L100" i="1"/>
  <c r="L103" i="1"/>
  <c r="L11" i="1"/>
  <c r="L59" i="1"/>
  <c r="L13" i="1"/>
  <c r="L22" i="1"/>
  <c r="L61" i="1"/>
  <c r="L104" i="1"/>
  <c r="L123" i="1"/>
  <c r="L87" i="1"/>
  <c r="L26" i="1"/>
  <c r="L96" i="1"/>
  <c r="L58" i="1"/>
  <c r="L29" i="1"/>
  <c r="L78" i="1"/>
  <c r="L82" i="1"/>
  <c r="X46" i="1"/>
  <c r="X102" i="1"/>
  <c r="X98" i="1"/>
  <c r="X107" i="1"/>
  <c r="X32" i="1"/>
  <c r="X11" i="1"/>
  <c r="X51" i="1"/>
  <c r="X64" i="1"/>
  <c r="X28" i="1"/>
  <c r="X83" i="1"/>
  <c r="X74" i="1"/>
  <c r="X105" i="1"/>
  <c r="X33" i="1"/>
  <c r="X109" i="1"/>
  <c r="X38" i="1"/>
  <c r="X81" i="1"/>
  <c r="X122" i="1"/>
  <c r="X39" i="1"/>
  <c r="X120" i="1"/>
  <c r="X9" i="1"/>
  <c r="X52" i="1"/>
  <c r="X18" i="1"/>
  <c r="X94" i="1"/>
  <c r="X7" i="1"/>
  <c r="X31" i="1"/>
  <c r="X45" i="1"/>
  <c r="X6" i="1"/>
  <c r="X42" i="1"/>
  <c r="X47" i="1"/>
  <c r="X62" i="1"/>
  <c r="X53" i="1"/>
  <c r="X115" i="1"/>
  <c r="X129" i="1"/>
  <c r="X73" i="1"/>
  <c r="X67" i="1"/>
  <c r="X119" i="1"/>
  <c r="X17" i="1"/>
  <c r="X10" i="1"/>
  <c r="X100" i="1"/>
  <c r="X12" i="1"/>
  <c r="X77" i="1"/>
  <c r="X65" i="1"/>
  <c r="X124" i="1"/>
  <c r="X103" i="1"/>
  <c r="X80" i="1"/>
  <c r="X123" i="1"/>
  <c r="X26" i="1"/>
  <c r="X59" i="1"/>
  <c r="X63" i="1"/>
  <c r="X48" i="1"/>
  <c r="X93" i="1"/>
  <c r="X95" i="1"/>
  <c r="X84" i="1"/>
  <c r="X22" i="1"/>
  <c r="X13" i="1"/>
  <c r="X111" i="1"/>
  <c r="X75" i="1"/>
  <c r="X116" i="1"/>
  <c r="X96" i="1"/>
  <c r="X43" i="1"/>
  <c r="X61" i="1"/>
  <c r="X125" i="1"/>
  <c r="X54" i="1"/>
  <c r="X88" i="1"/>
  <c r="X126" i="1"/>
  <c r="X58" i="1"/>
  <c r="X29" i="1"/>
  <c r="X82" i="1"/>
  <c r="X15" i="1"/>
  <c r="X41" i="1"/>
  <c r="X21" i="1"/>
  <c r="X55" i="1"/>
  <c r="X25" i="1"/>
  <c r="X86" i="1"/>
  <c r="X117" i="1"/>
  <c r="X20" i="1"/>
  <c r="X99" i="1"/>
  <c r="X37" i="1"/>
  <c r="X106" i="1"/>
  <c r="X68" i="1"/>
  <c r="X76" i="1"/>
  <c r="X72" i="1"/>
  <c r="X27" i="1"/>
  <c r="X19" i="1"/>
  <c r="X118" i="1"/>
  <c r="X101" i="1"/>
  <c r="X23" i="1"/>
  <c r="X79" i="1"/>
  <c r="X128" i="1"/>
  <c r="X85" i="1"/>
  <c r="X70" i="1"/>
  <c r="X49" i="1"/>
  <c r="X112" i="1"/>
  <c r="X121" i="1"/>
  <c r="X4" i="1"/>
  <c r="X2" i="1"/>
  <c r="X69" i="1"/>
  <c r="X14" i="1"/>
  <c r="X5" i="1"/>
  <c r="X87" i="1"/>
  <c r="X104" i="1"/>
  <c r="X56" i="1"/>
  <c r="X71" i="1"/>
  <c r="X60" i="1"/>
  <c r="X3" i="1"/>
  <c r="X114" i="1"/>
  <c r="X78" i="1"/>
  <c r="X8" i="1"/>
  <c r="X35" i="1"/>
  <c r="X108" i="1"/>
  <c r="X90" i="1"/>
  <c r="X30" i="1"/>
  <c r="X91" i="1"/>
  <c r="X16" i="1"/>
  <c r="X36" i="1"/>
  <c r="X57" i="1"/>
  <c r="X92" i="1"/>
  <c r="X110" i="1"/>
  <c r="X97" i="1"/>
  <c r="X40" i="1"/>
  <c r="X89" i="1"/>
  <c r="X113" i="1"/>
  <c r="X50" i="1"/>
  <c r="X24" i="1"/>
  <c r="X44" i="1"/>
  <c r="X66" i="1"/>
</calcChain>
</file>

<file path=xl/sharedStrings.xml><?xml version="1.0" encoding="utf-8"?>
<sst xmlns="http://schemas.openxmlformats.org/spreadsheetml/2006/main" count="292" uniqueCount="194">
  <si>
    <t>Name</t>
  </si>
  <si>
    <t>Team</t>
  </si>
  <si>
    <t>GS</t>
  </si>
  <si>
    <t>G</t>
  </si>
  <si>
    <t>IP</t>
  </si>
  <si>
    <t>TBF</t>
  </si>
  <si>
    <t>W</t>
  </si>
  <si>
    <t>L</t>
  </si>
  <si>
    <t>QS</t>
  </si>
  <si>
    <t>SV</t>
  </si>
  <si>
    <t>HLD</t>
  </si>
  <si>
    <t>BS</t>
  </si>
  <si>
    <t>H</t>
  </si>
  <si>
    <t>R</t>
  </si>
  <si>
    <t>ER</t>
  </si>
  <si>
    <t>HR</t>
  </si>
  <si>
    <t>IBB</t>
  </si>
  <si>
    <t>HBP</t>
  </si>
  <si>
    <t>SO</t>
  </si>
  <si>
    <t>BB</t>
  </si>
  <si>
    <t>W%</t>
  </si>
  <si>
    <t>L%</t>
  </si>
  <si>
    <t>QS%</t>
  </si>
  <si>
    <t>SV%</t>
  </si>
  <si>
    <t>HLD%</t>
  </si>
  <si>
    <t>BS%</t>
  </si>
  <si>
    <t>H%</t>
  </si>
  <si>
    <t>R%</t>
  </si>
  <si>
    <t>ER%</t>
  </si>
  <si>
    <t>HR%</t>
  </si>
  <si>
    <t>IBB%</t>
  </si>
  <si>
    <t>HBP%</t>
  </si>
  <si>
    <t>K%</t>
  </si>
  <si>
    <t>BB%</t>
  </si>
  <si>
    <t>Brandon Pfaadt</t>
  </si>
  <si>
    <t>ARI</t>
  </si>
  <si>
    <t>Corbin Burnes</t>
  </si>
  <si>
    <t>Jordan Montgomery</t>
  </si>
  <si>
    <t>Merrill Kelly</t>
  </si>
  <si>
    <t>Zac Gallen</t>
  </si>
  <si>
    <t>Jeffrey Springs</t>
  </si>
  <si>
    <t>ATH</t>
  </si>
  <si>
    <t>Luis Severino</t>
  </si>
  <si>
    <t>AJ Smith-Shawver</t>
  </si>
  <si>
    <t>ATL</t>
  </si>
  <si>
    <t>Chris Sale</t>
  </si>
  <si>
    <t>Reynaldo Lopez</t>
  </si>
  <si>
    <t>Spencer Schwellenbach</t>
  </si>
  <si>
    <t>Spencer Strider</t>
  </si>
  <si>
    <t>Charlie Morton</t>
  </si>
  <si>
    <t>BAL</t>
  </si>
  <si>
    <t>Dean Kremer</t>
  </si>
  <si>
    <t>Grayson Rodriguez</t>
  </si>
  <si>
    <t>Tomoyuki Sugano</t>
  </si>
  <si>
    <t>Zach Eflin</t>
  </si>
  <si>
    <t>Brayan Bello</t>
  </si>
  <si>
    <t>BOS</t>
  </si>
  <si>
    <t>Garrett Crochet</t>
  </si>
  <si>
    <t>Kutter Crawford</t>
  </si>
  <si>
    <t>Lucas Giolito</t>
  </si>
  <si>
    <t>Tanner Houck</t>
  </si>
  <si>
    <t>Walker Buehler</t>
  </si>
  <si>
    <t>Ben Brown</t>
  </si>
  <si>
    <t>CHC</t>
  </si>
  <si>
    <t>Jameson Taillon</t>
  </si>
  <si>
    <t>Justin Steele</t>
  </si>
  <si>
    <t>Matthew Boyd</t>
  </si>
  <si>
    <t>Shota Imanaga</t>
  </si>
  <si>
    <t>Andrew Abbott</t>
  </si>
  <si>
    <t>CIN</t>
  </si>
  <si>
    <t>Brady Singer</t>
  </si>
  <si>
    <t>Hunter Greene</t>
  </si>
  <si>
    <t>Nick Lodolo</t>
  </si>
  <si>
    <t>Nick Martinez</t>
  </si>
  <si>
    <t>Rhett Lowder</t>
  </si>
  <si>
    <t>Gavin Williams</t>
  </si>
  <si>
    <t>CLE</t>
  </si>
  <si>
    <t>Luis L. Ortiz</t>
  </si>
  <si>
    <t>Shane Bieber</t>
  </si>
  <si>
    <t>Tanner Bibee</t>
  </si>
  <si>
    <t>Jack Flaherty</t>
  </si>
  <si>
    <t>DET</t>
  </si>
  <si>
    <t>Jackson Jobe</t>
  </si>
  <si>
    <t>Reese Olson</t>
  </si>
  <si>
    <t>Tarik Skubal</t>
  </si>
  <si>
    <t>Framber Valdez</t>
  </si>
  <si>
    <t>HOU</t>
  </si>
  <si>
    <t>Hunter Brown</t>
  </si>
  <si>
    <t>Ronel Blanco</t>
  </si>
  <si>
    <t>Spencer Arrighetti</t>
  </si>
  <si>
    <t>Cole Ragans</t>
  </si>
  <si>
    <t>KCR</t>
  </si>
  <si>
    <t>Kris Bubic</t>
  </si>
  <si>
    <t>Michael Wacha</t>
  </si>
  <si>
    <t>Seth Lugo</t>
  </si>
  <si>
    <t>Jose Soriano</t>
  </si>
  <si>
    <t>LAA</t>
  </si>
  <si>
    <t>Reid Detmers</t>
  </si>
  <si>
    <t>Yusei Kikuchi</t>
  </si>
  <si>
    <t>Blake Snell</t>
  </si>
  <si>
    <t>LAD</t>
  </si>
  <si>
    <t>Dustin May</t>
  </si>
  <si>
    <t>Roki Sasaki</t>
  </si>
  <si>
    <t>Shohei Ohtani</t>
  </si>
  <si>
    <t>Tony Gonsolin</t>
  </si>
  <si>
    <t>Tyler Glasnow</t>
  </si>
  <si>
    <t>Yoshinobu Yamamoto</t>
  </si>
  <si>
    <t>Max Meyer</t>
  </si>
  <si>
    <t>MIA</t>
  </si>
  <si>
    <t>Ryan Weathers</t>
  </si>
  <si>
    <t>Sandy Alcantara</t>
  </si>
  <si>
    <t>Aaron Civale</t>
  </si>
  <si>
    <t>MIL</t>
  </si>
  <si>
    <t>Brandon Woodruff</t>
  </si>
  <si>
    <t>Freddy Peralta</t>
  </si>
  <si>
    <t>Nestor Cortes</t>
  </si>
  <si>
    <t>Tobias Myers</t>
  </si>
  <si>
    <t>Bailey Ober</t>
  </si>
  <si>
    <t>MIN</t>
  </si>
  <si>
    <t>David Festa</t>
  </si>
  <si>
    <t>Joe Ryan</t>
  </si>
  <si>
    <t>Pablo Lopez</t>
  </si>
  <si>
    <t>Clay Holmes</t>
  </si>
  <si>
    <t>NYM</t>
  </si>
  <si>
    <t>Kodai Senga</t>
  </si>
  <si>
    <t>Sean Manaea</t>
  </si>
  <si>
    <t>Carlos Rodon</t>
  </si>
  <si>
    <t>NYY</t>
  </si>
  <si>
    <t>Clarke Schmidt</t>
  </si>
  <si>
    <t>Gerrit Cole</t>
  </si>
  <si>
    <t>Luis Gil</t>
  </si>
  <si>
    <t>Marcus Stroman</t>
  </si>
  <si>
    <t>Max Fried</t>
  </si>
  <si>
    <t>Aaron Nola</t>
  </si>
  <si>
    <t>PHI</t>
  </si>
  <si>
    <t>Andrew Painter</t>
  </si>
  <si>
    <t>Cristopher Sanchez</t>
  </si>
  <si>
    <t>Jesus Luzardo</t>
  </si>
  <si>
    <t>Ranger Suarez</t>
  </si>
  <si>
    <t>Zack Wheeler</t>
  </si>
  <si>
    <t>Bubba Chandler</t>
  </si>
  <si>
    <t>PIT</t>
  </si>
  <si>
    <t>Jared Jones</t>
  </si>
  <si>
    <t>Mitch Keller</t>
  </si>
  <si>
    <t>Paul Skenes</t>
  </si>
  <si>
    <t>Dylan Cease</t>
  </si>
  <si>
    <t>SDP</t>
  </si>
  <si>
    <t>Michael King</t>
  </si>
  <si>
    <t>Yu Darvish</t>
  </si>
  <si>
    <t>Bryan Woo</t>
  </si>
  <si>
    <t>SEA</t>
  </si>
  <si>
    <t>Bryce Miller</t>
  </si>
  <si>
    <t>George Kirby</t>
  </si>
  <si>
    <t>Logan Gilbert</t>
  </si>
  <si>
    <t>Luis Castillo</t>
  </si>
  <si>
    <t>Jordan Hicks</t>
  </si>
  <si>
    <t>SFG</t>
  </si>
  <si>
    <t>Justin Verlander</t>
  </si>
  <si>
    <t>Kyle Harrison</t>
  </si>
  <si>
    <t>Logan Webb</t>
  </si>
  <si>
    <t>Robbie Ray</t>
  </si>
  <si>
    <t>Erick Fedde</t>
  </si>
  <si>
    <t>STL</t>
  </si>
  <si>
    <t>Quinn Mathews</t>
  </si>
  <si>
    <t>Sonny Gray</t>
  </si>
  <si>
    <t>Drew Rasmussen</t>
  </si>
  <si>
    <t>TBR</t>
  </si>
  <si>
    <t>Ryan Pepiot</t>
  </si>
  <si>
    <t>Shane Baz</t>
  </si>
  <si>
    <t>Shane McClanahan</t>
  </si>
  <si>
    <t>Taj Bradley</t>
  </si>
  <si>
    <t>Zack Littell</t>
  </si>
  <si>
    <t>Jack Leiter</t>
  </si>
  <si>
    <t>TEX</t>
  </si>
  <si>
    <t>Jacob deGrom</t>
  </si>
  <si>
    <t>Jon Gray</t>
  </si>
  <si>
    <t>Kumar Rocker</t>
  </si>
  <si>
    <t>Nathan Eovaldi</t>
  </si>
  <si>
    <t>Bowden Francis</t>
  </si>
  <si>
    <t>TOR</t>
  </si>
  <si>
    <t>Chris Bassitt</t>
  </si>
  <si>
    <t>Jose Berrios</t>
  </si>
  <si>
    <t>Kevin Gausman</t>
  </si>
  <si>
    <t>Max Scherzer</t>
  </si>
  <si>
    <t>Cade Cavalli</t>
  </si>
  <si>
    <t>WSN</t>
  </si>
  <si>
    <t>DJ Herz</t>
  </si>
  <si>
    <t>MacKenzie Gore</t>
  </si>
  <si>
    <t>Jose Quintana</t>
  </si>
  <si>
    <t>Nick Pivetta</t>
  </si>
  <si>
    <t>ERA</t>
  </si>
  <si>
    <t xml:space="preserve">WHIP </t>
  </si>
  <si>
    <t>SV+HLD</t>
  </si>
  <si>
    <t>K/9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</si>
</sst>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7030A0"/>
      <name val="Aptos Narrow"/>
      <family val="2"/>
      <scheme val="minor"/>
    </font>
    <font>
      <sz val="1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2" fontId="0" fillId="0" borderId="0" xfId="0" applyNumberFormat="1"/>
    <xf numFmtId="1" fontId="0" fillId="0" borderId="0" xfId="0" applyNumberFormat="1"/>
    <xf numFmtId="0" fontId="18" fillId="0" borderId="0" xfId="0" applyFont="1"/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FF4B0-D553-4B52-949E-A337C4A718AA}">
  <dimension ref="A1:AM129"/>
  <sheetViews>
    <sheetView tabSelected="1" workbookViewId="0">
      <pane ySplit="1" topLeftCell="A2" activePane="bottomLeft" state="frozen"/>
      <selection pane="bottomLeft" activeCell="F10" sqref="F10"/>
    </sheetView>
  </sheetViews>
  <sheetFormatPr defaultRowHeight="14.6" x14ac:dyDescent="0.4"/>
  <sheetData>
    <row r="1" spans="1:39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192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193</v>
      </c>
      <c r="W1" t="s">
        <v>190</v>
      </c>
      <c r="X1" t="s">
        <v>191</v>
      </c>
      <c r="Z1" t="s">
        <v>20</v>
      </c>
      <c r="AA1" t="s">
        <v>21</v>
      </c>
      <c r="AB1" t="s">
        <v>22</v>
      </c>
      <c r="AC1" t="s">
        <v>23</v>
      </c>
      <c r="AD1" t="s">
        <v>24</v>
      </c>
      <c r="AE1" t="s">
        <v>25</v>
      </c>
      <c r="AF1" t="s">
        <v>26</v>
      </c>
      <c r="AG1" t="s">
        <v>27</v>
      </c>
      <c r="AH1" t="s">
        <v>28</v>
      </c>
      <c r="AI1" t="s">
        <v>29</v>
      </c>
      <c r="AJ1" t="s">
        <v>30</v>
      </c>
      <c r="AK1" t="s">
        <v>31</v>
      </c>
      <c r="AL1" t="s">
        <v>32</v>
      </c>
      <c r="AM1" t="s">
        <v>33</v>
      </c>
    </row>
    <row r="2" spans="1:39" x14ac:dyDescent="0.4">
      <c r="A2" s="3" t="s">
        <v>144</v>
      </c>
      <c r="B2" t="s">
        <v>141</v>
      </c>
      <c r="C2">
        <v>29</v>
      </c>
      <c r="D2">
        <v>29</v>
      </c>
      <c r="E2">
        <v>176</v>
      </c>
      <c r="F2">
        <v>703</v>
      </c>
      <c r="G2" s="2">
        <f t="shared" ref="G2:G33" si="0">$D2*Z2</f>
        <v>12.890322580645147</v>
      </c>
      <c r="H2" s="2">
        <f t="shared" ref="H2:H33" si="1">$D2*AA2</f>
        <v>6.5838709677419187</v>
      </c>
      <c r="I2" s="2">
        <f t="shared" ref="I2:I33" si="2">$D2*AB2</f>
        <v>16.674193548387098</v>
      </c>
      <c r="J2" s="2">
        <f t="shared" ref="J2:J33" si="3">$D2*AC2</f>
        <v>0</v>
      </c>
      <c r="K2" s="2">
        <f t="shared" ref="K2:K33" si="4">$D2*AD2</f>
        <v>0</v>
      </c>
      <c r="L2" s="2">
        <f t="shared" ref="L2:L33" si="5">J2+K2</f>
        <v>0</v>
      </c>
      <c r="M2">
        <v>0</v>
      </c>
      <c r="N2" s="2">
        <f t="shared" ref="N2:N33" si="6">$F2*AF2</f>
        <v>133.47665782493348</v>
      </c>
      <c r="O2" s="2">
        <f t="shared" ref="O2:O33" si="7">$F2*AG2</f>
        <v>54.248541114058277</v>
      </c>
      <c r="P2" s="2">
        <f t="shared" ref="P2:P33" si="8">$F2*AH2</f>
        <v>50.137931034482705</v>
      </c>
      <c r="Q2" s="2">
        <f t="shared" ref="Q2:Q33" si="9">$F2*AI2</f>
        <v>13.337135278514548</v>
      </c>
      <c r="R2">
        <v>1</v>
      </c>
      <c r="S2" s="2">
        <f t="shared" ref="S2:S33" si="10">$F2*AK2</f>
        <v>7.1376657824933352</v>
      </c>
      <c r="T2" s="2">
        <f t="shared" ref="T2:T33" si="11">$F2*(AL2/100)</f>
        <v>222.6366047964793</v>
      </c>
      <c r="U2" s="2">
        <f t="shared" ref="U2:U33" si="12">$F2*(AM2/100)</f>
        <v>49.643236076401998</v>
      </c>
      <c r="V2" s="1">
        <f t="shared" ref="V2:V33" si="13">T2/E2*9</f>
        <v>11.384826381638145</v>
      </c>
      <c r="W2" s="1">
        <f t="shared" ref="W2:W33" si="14">P2/E2*9</f>
        <v>2.5638714733542289</v>
      </c>
      <c r="X2" s="1">
        <f t="shared" ref="X2:X33" si="15">(U2+N2)/E2</f>
        <v>1.0404539426212243</v>
      </c>
      <c r="Z2">
        <v>0.44449388209121199</v>
      </c>
      <c r="AA2">
        <v>0.227030033370411</v>
      </c>
      <c r="AB2">
        <v>0.57497219132369304</v>
      </c>
      <c r="AC2">
        <v>0</v>
      </c>
      <c r="AD2">
        <v>0</v>
      </c>
      <c r="AE2">
        <v>0</v>
      </c>
      <c r="AF2">
        <v>0.189867223079564</v>
      </c>
      <c r="AG2">
        <v>7.7167199308759996E-2</v>
      </c>
      <c r="AH2">
        <v>7.1319958797272695E-2</v>
      </c>
      <c r="AI2">
        <v>1.8971742928185702E-2</v>
      </c>
      <c r="AJ2">
        <v>1.4224751066855999E-3</v>
      </c>
      <c r="AK2">
        <v>1.0153151895438599E-2</v>
      </c>
      <c r="AL2">
        <v>31.669502815999898</v>
      </c>
      <c r="AM2">
        <v>7.0616267533999997</v>
      </c>
    </row>
    <row r="3" spans="1:39" x14ac:dyDescent="0.4">
      <c r="A3" t="s">
        <v>84</v>
      </c>
      <c r="B3" t="s">
        <v>81</v>
      </c>
      <c r="C3">
        <v>30</v>
      </c>
      <c r="D3">
        <v>30</v>
      </c>
      <c r="E3">
        <v>183.67</v>
      </c>
      <c r="F3">
        <v>726</v>
      </c>
      <c r="G3" s="2">
        <f t="shared" si="0"/>
        <v>14.299999999999981</v>
      </c>
      <c r="H3" s="2">
        <f t="shared" si="1"/>
        <v>7.1499999999999906</v>
      </c>
      <c r="I3" s="2">
        <f t="shared" si="2"/>
        <v>17.387499999999989</v>
      </c>
      <c r="J3" s="2">
        <f t="shared" si="3"/>
        <v>0</v>
      </c>
      <c r="K3" s="2">
        <f t="shared" si="4"/>
        <v>0</v>
      </c>
      <c r="L3" s="2">
        <f t="shared" si="5"/>
        <v>0</v>
      </c>
      <c r="M3">
        <v>0</v>
      </c>
      <c r="N3" s="2">
        <f t="shared" si="6"/>
        <v>143.92862453531555</v>
      </c>
      <c r="O3" s="2">
        <f t="shared" si="7"/>
        <v>61.392565055762041</v>
      </c>
      <c r="P3" s="2">
        <f t="shared" si="8"/>
        <v>56.114126394051993</v>
      </c>
      <c r="Q3" s="2">
        <f t="shared" si="9"/>
        <v>17.065055762081737</v>
      </c>
      <c r="R3">
        <v>1</v>
      </c>
      <c r="S3" s="2">
        <f t="shared" si="10"/>
        <v>7.0591078066914239</v>
      </c>
      <c r="T3" s="2">
        <f t="shared" si="11"/>
        <v>210.92936802233999</v>
      </c>
      <c r="U3" s="2">
        <f t="shared" si="12"/>
        <v>40.668029740140007</v>
      </c>
      <c r="V3" s="1">
        <f t="shared" si="13"/>
        <v>10.33573426363075</v>
      </c>
      <c r="W3" s="1">
        <f t="shared" si="14"/>
        <v>2.7496441310310233</v>
      </c>
      <c r="X3" s="1">
        <f t="shared" si="15"/>
        <v>1.0050452130203931</v>
      </c>
      <c r="Z3">
        <v>0.47666666666666602</v>
      </c>
      <c r="AA3">
        <v>0.23833333333333301</v>
      </c>
      <c r="AB3">
        <v>0.57958333333333301</v>
      </c>
      <c r="AC3">
        <v>0</v>
      </c>
      <c r="AD3">
        <v>0</v>
      </c>
      <c r="AE3">
        <v>0</v>
      </c>
      <c r="AF3">
        <v>0.198248794125779</v>
      </c>
      <c r="AG3">
        <v>8.45627617847962E-2</v>
      </c>
      <c r="AH3">
        <v>7.7292185115774098E-2</v>
      </c>
      <c r="AI3">
        <v>2.3505586449148401E-2</v>
      </c>
      <c r="AJ3">
        <v>1.3774104683195001E-3</v>
      </c>
      <c r="AK3">
        <v>9.7232889899330904E-3</v>
      </c>
      <c r="AL3">
        <v>29.053631959000001</v>
      </c>
      <c r="AM3">
        <v>5.6016569890000003</v>
      </c>
    </row>
    <row r="4" spans="1:39" x14ac:dyDescent="0.4">
      <c r="A4" t="s">
        <v>174</v>
      </c>
      <c r="B4" t="s">
        <v>173</v>
      </c>
      <c r="C4">
        <v>20</v>
      </c>
      <c r="D4">
        <v>20</v>
      </c>
      <c r="E4">
        <v>113.67</v>
      </c>
      <c r="F4">
        <v>448</v>
      </c>
      <c r="G4" s="2">
        <f t="shared" si="0"/>
        <v>7.6692307692307606</v>
      </c>
      <c r="H4" s="2">
        <f t="shared" si="1"/>
        <v>4.4153846153845997</v>
      </c>
      <c r="I4" s="2">
        <f t="shared" si="2"/>
        <v>10.92307692307692</v>
      </c>
      <c r="J4" s="2">
        <f t="shared" si="3"/>
        <v>0</v>
      </c>
      <c r="K4" s="2">
        <f t="shared" si="4"/>
        <v>0</v>
      </c>
      <c r="L4" s="2">
        <f t="shared" si="5"/>
        <v>0</v>
      </c>
      <c r="M4">
        <v>0</v>
      </c>
      <c r="N4" s="2">
        <f t="shared" si="6"/>
        <v>86.283999999999878</v>
      </c>
      <c r="O4" s="2">
        <f t="shared" si="7"/>
        <v>41.346666666666636</v>
      </c>
      <c r="P4" s="2">
        <f t="shared" si="8"/>
        <v>37.533333333333289</v>
      </c>
      <c r="Q4" s="2">
        <f t="shared" si="9"/>
        <v>13.830666666666618</v>
      </c>
      <c r="R4">
        <v>0</v>
      </c>
      <c r="S4" s="2">
        <f t="shared" si="10"/>
        <v>4.1439999999999912</v>
      </c>
      <c r="T4" s="2">
        <f t="shared" si="11"/>
        <v>140.33866667519999</v>
      </c>
      <c r="U4" s="2">
        <f t="shared" si="12"/>
        <v>27.361333332479955</v>
      </c>
      <c r="V4" s="1">
        <f t="shared" si="13"/>
        <v>11.111533386793347</v>
      </c>
      <c r="W4" s="1">
        <f t="shared" si="14"/>
        <v>2.9717603589337518</v>
      </c>
      <c r="X4" s="1">
        <f t="shared" si="15"/>
        <v>0.99978299755854527</v>
      </c>
      <c r="Z4">
        <v>0.38346153846153802</v>
      </c>
      <c r="AA4">
        <v>0.22076923076923</v>
      </c>
      <c r="AB4">
        <v>0.54615384615384599</v>
      </c>
      <c r="AC4">
        <v>0</v>
      </c>
      <c r="AD4">
        <v>0</v>
      </c>
      <c r="AE4">
        <v>0</v>
      </c>
      <c r="AF4">
        <v>0.192598214285714</v>
      </c>
      <c r="AG4">
        <v>9.2291666666666605E-2</v>
      </c>
      <c r="AH4">
        <v>8.3779761904761801E-2</v>
      </c>
      <c r="AI4">
        <v>3.08720238095237E-2</v>
      </c>
      <c r="AJ4">
        <v>0</v>
      </c>
      <c r="AK4">
        <v>9.2499999999999805E-3</v>
      </c>
      <c r="AL4">
        <v>31.325595239999998</v>
      </c>
      <c r="AM4">
        <v>6.1074404759999901</v>
      </c>
    </row>
    <row r="5" spans="1:39" x14ac:dyDescent="0.4">
      <c r="A5" s="3" t="s">
        <v>57</v>
      </c>
      <c r="B5" t="s">
        <v>56</v>
      </c>
      <c r="C5">
        <v>29</v>
      </c>
      <c r="D5">
        <v>31</v>
      </c>
      <c r="E5">
        <v>157</v>
      </c>
      <c r="F5">
        <v>632</v>
      </c>
      <c r="G5" s="2">
        <f t="shared" si="0"/>
        <v>11.899999999999986</v>
      </c>
      <c r="H5" s="2">
        <f t="shared" si="1"/>
        <v>7.9999999999999911</v>
      </c>
      <c r="I5" s="2">
        <f t="shared" si="2"/>
        <v>14.399999999999997</v>
      </c>
      <c r="J5" s="2">
        <f t="shared" si="3"/>
        <v>0</v>
      </c>
      <c r="K5" s="2">
        <f t="shared" si="4"/>
        <v>0</v>
      </c>
      <c r="L5" s="2">
        <f t="shared" si="5"/>
        <v>0</v>
      </c>
      <c r="M5">
        <v>1</v>
      </c>
      <c r="N5" s="2">
        <f t="shared" si="6"/>
        <v>124.5072164948453</v>
      </c>
      <c r="O5" s="2">
        <f t="shared" si="7"/>
        <v>58.044329896907172</v>
      </c>
      <c r="P5" s="2">
        <f t="shared" si="8"/>
        <v>53.286597938144297</v>
      </c>
      <c r="Q5" s="2">
        <f t="shared" si="9"/>
        <v>15.876288659793783</v>
      </c>
      <c r="R5">
        <v>2</v>
      </c>
      <c r="S5" s="2">
        <f t="shared" si="10"/>
        <v>6.1546391752576914</v>
      </c>
      <c r="T5" s="2">
        <f t="shared" si="11"/>
        <v>202.23402061007999</v>
      </c>
      <c r="U5" s="2">
        <f t="shared" si="12"/>
        <v>46.077319586839998</v>
      </c>
      <c r="V5" s="1">
        <f t="shared" si="13"/>
        <v>11.593033028603312</v>
      </c>
      <c r="W5" s="1">
        <f t="shared" si="14"/>
        <v>3.0546457416770614</v>
      </c>
      <c r="X5" s="1">
        <f t="shared" si="15"/>
        <v>1.0865257075266579</v>
      </c>
      <c r="Z5">
        <v>0.38387096774193502</v>
      </c>
      <c r="AA5">
        <v>0.25806451612903197</v>
      </c>
      <c r="AB5">
        <v>0.46451612903225797</v>
      </c>
      <c r="AC5">
        <v>0</v>
      </c>
      <c r="AD5">
        <v>0</v>
      </c>
      <c r="AE5">
        <v>3.2258064516128997E-2</v>
      </c>
      <c r="AF5">
        <v>0.19700508939057801</v>
      </c>
      <c r="AG5">
        <v>9.1842294140675906E-2</v>
      </c>
      <c r="AH5">
        <v>8.4314237243899207E-2</v>
      </c>
      <c r="AI5">
        <v>2.5120709904736999E-2</v>
      </c>
      <c r="AJ5">
        <v>3.1645569620252999E-3</v>
      </c>
      <c r="AK5">
        <v>9.7383531254077397E-3</v>
      </c>
      <c r="AL5">
        <v>31.999053893999999</v>
      </c>
      <c r="AM5">
        <v>7.2907151245000001</v>
      </c>
    </row>
    <row r="6" spans="1:39" x14ac:dyDescent="0.4">
      <c r="A6" t="s">
        <v>105</v>
      </c>
      <c r="B6" t="s">
        <v>100</v>
      </c>
      <c r="C6">
        <v>22</v>
      </c>
      <c r="D6">
        <v>22</v>
      </c>
      <c r="E6">
        <v>134.33000000000001</v>
      </c>
      <c r="F6">
        <v>538</v>
      </c>
      <c r="G6" s="2">
        <f t="shared" si="0"/>
        <v>9.3249999999999922</v>
      </c>
      <c r="H6" s="2">
        <f t="shared" si="1"/>
        <v>5.8499999999999801</v>
      </c>
      <c r="I6" s="2">
        <f t="shared" si="2"/>
        <v>12.099999999999978</v>
      </c>
      <c r="J6" s="2">
        <f t="shared" si="3"/>
        <v>0</v>
      </c>
      <c r="K6" s="2">
        <f t="shared" si="4"/>
        <v>0</v>
      </c>
      <c r="L6" s="2">
        <f t="shared" si="5"/>
        <v>0</v>
      </c>
      <c r="M6">
        <v>0</v>
      </c>
      <c r="N6" s="2">
        <f t="shared" si="6"/>
        <v>104.63867120953999</v>
      </c>
      <c r="O6" s="2">
        <f t="shared" si="7"/>
        <v>50.503066439522954</v>
      </c>
      <c r="P6" s="2">
        <f t="shared" si="8"/>
        <v>46.736797274275929</v>
      </c>
      <c r="Q6" s="2">
        <f t="shared" si="9"/>
        <v>14.423509369676275</v>
      </c>
      <c r="R6">
        <v>1</v>
      </c>
      <c r="S6" s="2">
        <f t="shared" si="10"/>
        <v>3.7497444633730406</v>
      </c>
      <c r="T6" s="2">
        <f t="shared" si="11"/>
        <v>162.07427597027998</v>
      </c>
      <c r="U6" s="2">
        <f t="shared" si="12"/>
        <v>40.87052810729395</v>
      </c>
      <c r="V6" s="1">
        <f t="shared" si="13"/>
        <v>10.858843770807114</v>
      </c>
      <c r="W6" s="1">
        <f t="shared" si="14"/>
        <v>3.1313271456002627</v>
      </c>
      <c r="X6" s="1">
        <f t="shared" si="15"/>
        <v>1.0832219110908503</v>
      </c>
      <c r="Z6">
        <v>0.423863636363636</v>
      </c>
      <c r="AA6">
        <v>0.26590909090908998</v>
      </c>
      <c r="AB6">
        <v>0.54999999999999905</v>
      </c>
      <c r="AC6">
        <v>0</v>
      </c>
      <c r="AD6">
        <v>0</v>
      </c>
      <c r="AE6">
        <v>0</v>
      </c>
      <c r="AF6">
        <v>0.19449567139319701</v>
      </c>
      <c r="AG6">
        <v>9.3871870705433E-2</v>
      </c>
      <c r="AH6">
        <v>8.6871370398282396E-2</v>
      </c>
      <c r="AI6">
        <v>2.6809496969658501E-2</v>
      </c>
      <c r="AJ6">
        <v>1.8587360594795E-3</v>
      </c>
      <c r="AK6">
        <v>6.9697852479052797E-3</v>
      </c>
      <c r="AL6">
        <v>30.125330106</v>
      </c>
      <c r="AM6">
        <v>7.5967524362999903</v>
      </c>
    </row>
    <row r="7" spans="1:39" x14ac:dyDescent="0.4">
      <c r="A7" s="3" t="s">
        <v>48</v>
      </c>
      <c r="B7" t="s">
        <v>44</v>
      </c>
      <c r="C7">
        <v>20</v>
      </c>
      <c r="D7">
        <v>20</v>
      </c>
      <c r="E7">
        <v>114.33</v>
      </c>
      <c r="F7">
        <v>465</v>
      </c>
      <c r="G7" s="2">
        <f t="shared" si="0"/>
        <v>9.1571428571428406</v>
      </c>
      <c r="H7" s="2">
        <f t="shared" si="1"/>
        <v>4.9285714285714199</v>
      </c>
      <c r="I7" s="2">
        <f t="shared" si="2"/>
        <v>10.0142857142857</v>
      </c>
      <c r="J7" s="2">
        <f t="shared" si="3"/>
        <v>0</v>
      </c>
      <c r="K7" s="2">
        <f t="shared" si="4"/>
        <v>0</v>
      </c>
      <c r="L7" s="2">
        <f t="shared" si="5"/>
        <v>0</v>
      </c>
      <c r="M7">
        <v>0</v>
      </c>
      <c r="N7" s="2">
        <f t="shared" si="6"/>
        <v>88.987037037036899</v>
      </c>
      <c r="O7" s="2">
        <f t="shared" si="7"/>
        <v>43.869135802469096</v>
      </c>
      <c r="P7" s="2">
        <f t="shared" si="8"/>
        <v>39.99012345679008</v>
      </c>
      <c r="Q7" s="2">
        <f t="shared" si="9"/>
        <v>12.606790123456745</v>
      </c>
      <c r="R7">
        <v>1</v>
      </c>
      <c r="S7" s="2">
        <f t="shared" si="10"/>
        <v>4.2351851851851823</v>
      </c>
      <c r="T7" s="2">
        <f t="shared" si="11"/>
        <v>152.39074073684998</v>
      </c>
      <c r="U7" s="2">
        <f t="shared" si="12"/>
        <v>36.480864196349948</v>
      </c>
      <c r="V7" s="1">
        <f t="shared" si="13"/>
        <v>11.996122335621882</v>
      </c>
      <c r="W7" s="1">
        <f t="shared" si="14"/>
        <v>3.1480023713033387</v>
      </c>
      <c r="X7" s="1">
        <f t="shared" si="15"/>
        <v>1.0974188859738201</v>
      </c>
      <c r="Z7">
        <v>0.45785714285714202</v>
      </c>
      <c r="AA7">
        <v>0.246428571428571</v>
      </c>
      <c r="AB7">
        <v>0.500714285714285</v>
      </c>
      <c r="AC7">
        <v>0</v>
      </c>
      <c r="AD7">
        <v>0</v>
      </c>
      <c r="AE7">
        <v>0</v>
      </c>
      <c r="AF7">
        <v>0.19136997212265999</v>
      </c>
      <c r="AG7">
        <v>9.4342227532191597E-2</v>
      </c>
      <c r="AH7">
        <v>8.6000265498473297E-2</v>
      </c>
      <c r="AI7">
        <v>2.71113766095844E-2</v>
      </c>
      <c r="AJ7">
        <v>2.1505376344086E-3</v>
      </c>
      <c r="AK7">
        <v>9.1079251294305004E-3</v>
      </c>
      <c r="AL7">
        <v>32.772202309000001</v>
      </c>
      <c r="AM7">
        <v>7.8453471389999896</v>
      </c>
    </row>
    <row r="8" spans="1:39" x14ac:dyDescent="0.4">
      <c r="A8" t="s">
        <v>153</v>
      </c>
      <c r="B8" t="s">
        <v>150</v>
      </c>
      <c r="C8">
        <v>31</v>
      </c>
      <c r="D8">
        <v>31</v>
      </c>
      <c r="E8">
        <v>194.67</v>
      </c>
      <c r="F8">
        <v>776</v>
      </c>
      <c r="G8" s="2">
        <f t="shared" si="0"/>
        <v>12.759374999999974</v>
      </c>
      <c r="H8" s="2">
        <f t="shared" si="1"/>
        <v>8.9156249999999719</v>
      </c>
      <c r="I8" s="2">
        <f t="shared" si="2"/>
        <v>17.303124999999994</v>
      </c>
      <c r="J8" s="2">
        <f t="shared" si="3"/>
        <v>0</v>
      </c>
      <c r="K8" s="2">
        <f t="shared" si="4"/>
        <v>0</v>
      </c>
      <c r="L8" s="2">
        <f t="shared" si="5"/>
        <v>0</v>
      </c>
      <c r="M8">
        <v>0</v>
      </c>
      <c r="N8" s="2">
        <f t="shared" si="6"/>
        <v>158.81449275362255</v>
      </c>
      <c r="O8" s="2">
        <f t="shared" si="7"/>
        <v>74.514975845410618</v>
      </c>
      <c r="P8" s="2">
        <f t="shared" si="8"/>
        <v>68.122705314009607</v>
      </c>
      <c r="Q8" s="2">
        <f t="shared" si="9"/>
        <v>23.900966183574774</v>
      </c>
      <c r="R8">
        <v>2</v>
      </c>
      <c r="S8" s="2">
        <f t="shared" si="10"/>
        <v>5.7492753623187891</v>
      </c>
      <c r="T8" s="2">
        <f t="shared" si="11"/>
        <v>200.69227055223922</v>
      </c>
      <c r="U8" s="2">
        <f t="shared" si="12"/>
        <v>41.221739132376001</v>
      </c>
      <c r="V8" s="1">
        <f t="shared" si="13"/>
        <v>9.2784221244678324</v>
      </c>
      <c r="W8" s="1">
        <f t="shared" si="14"/>
        <v>3.1494547070739531</v>
      </c>
      <c r="X8" s="1">
        <f t="shared" si="15"/>
        <v>1.0275657876714366</v>
      </c>
      <c r="Z8">
        <v>0.41159274193548301</v>
      </c>
      <c r="AA8">
        <v>0.28760080645161201</v>
      </c>
      <c r="AB8">
        <v>0.558165322580645</v>
      </c>
      <c r="AC8">
        <v>0</v>
      </c>
      <c r="AD8">
        <v>0</v>
      </c>
      <c r="AE8">
        <v>0</v>
      </c>
      <c r="AF8">
        <v>0.20465785148662699</v>
      </c>
      <c r="AG8">
        <v>9.6024453409034302E-2</v>
      </c>
      <c r="AH8">
        <v>8.7786991384032995E-2</v>
      </c>
      <c r="AI8">
        <v>3.0800214154091201E-2</v>
      </c>
      <c r="AJ8">
        <v>2.5773195876288E-3</v>
      </c>
      <c r="AK8">
        <v>7.4088600029881303E-3</v>
      </c>
      <c r="AL8">
        <v>25.8624059989999</v>
      </c>
      <c r="AM8">
        <v>5.3120797850999999</v>
      </c>
    </row>
    <row r="9" spans="1:39" x14ac:dyDescent="0.4">
      <c r="A9" s="3" t="s">
        <v>165</v>
      </c>
      <c r="B9" t="s">
        <v>166</v>
      </c>
      <c r="C9">
        <v>17</v>
      </c>
      <c r="D9">
        <v>33</v>
      </c>
      <c r="E9">
        <v>109.67</v>
      </c>
      <c r="F9">
        <v>446</v>
      </c>
      <c r="G9" s="2">
        <f t="shared" si="0"/>
        <v>5.8209302325581218</v>
      </c>
      <c r="H9" s="2">
        <f t="shared" si="1"/>
        <v>4.8906976744185782</v>
      </c>
      <c r="I9" s="2">
        <f t="shared" si="2"/>
        <v>7.6627906976743976</v>
      </c>
      <c r="J9" s="2">
        <f t="shared" si="3"/>
        <v>0</v>
      </c>
      <c r="K9" s="2">
        <f t="shared" si="4"/>
        <v>1.6302325581395336</v>
      </c>
      <c r="L9" s="2">
        <f t="shared" si="5"/>
        <v>1.6302325581395336</v>
      </c>
      <c r="M9">
        <v>0</v>
      </c>
      <c r="N9" s="2">
        <f t="shared" si="6"/>
        <v>93.852592592592302</v>
      </c>
      <c r="O9" s="2">
        <f t="shared" si="7"/>
        <v>42.407407407407348</v>
      </c>
      <c r="P9" s="2">
        <f t="shared" si="8"/>
        <v>38.894814814814765</v>
      </c>
      <c r="Q9" s="2">
        <f t="shared" si="9"/>
        <v>10.81592592592588</v>
      </c>
      <c r="R9">
        <v>0</v>
      </c>
      <c r="S9" s="2">
        <f t="shared" si="10"/>
        <v>3.3388888888888686</v>
      </c>
      <c r="T9" s="2">
        <f t="shared" si="11"/>
        <v>109.87185184114</v>
      </c>
      <c r="U9" s="2">
        <f t="shared" si="12"/>
        <v>28.335185183423995</v>
      </c>
      <c r="V9" s="1">
        <f t="shared" si="13"/>
        <v>9.0165648451742513</v>
      </c>
      <c r="W9" s="1">
        <f t="shared" si="14"/>
        <v>3.1918786663019318</v>
      </c>
      <c r="X9" s="1">
        <f t="shared" si="15"/>
        <v>1.1141404009849212</v>
      </c>
      <c r="Z9">
        <v>0.17639182522903399</v>
      </c>
      <c r="AA9">
        <v>0.14820295983086601</v>
      </c>
      <c r="AB9">
        <v>0.232205778717406</v>
      </c>
      <c r="AC9">
        <v>0</v>
      </c>
      <c r="AD9">
        <v>4.9400986610288897E-2</v>
      </c>
      <c r="AE9">
        <v>0</v>
      </c>
      <c r="AF9">
        <v>0.21043182195648499</v>
      </c>
      <c r="AG9">
        <v>9.5083873110778802E-2</v>
      </c>
      <c r="AH9">
        <v>8.7208104965952396E-2</v>
      </c>
      <c r="AI9">
        <v>2.4250954990865201E-2</v>
      </c>
      <c r="AJ9">
        <v>0</v>
      </c>
      <c r="AK9">
        <v>7.4862979571499299E-3</v>
      </c>
      <c r="AL9">
        <v>24.634944358999999</v>
      </c>
      <c r="AM9">
        <v>6.3531805343999999</v>
      </c>
    </row>
    <row r="10" spans="1:39" x14ac:dyDescent="0.4">
      <c r="A10" t="s">
        <v>103</v>
      </c>
      <c r="B10" t="s">
        <v>100</v>
      </c>
      <c r="C10">
        <v>19</v>
      </c>
      <c r="D10">
        <v>19</v>
      </c>
      <c r="E10">
        <v>111.33</v>
      </c>
      <c r="F10">
        <v>456</v>
      </c>
      <c r="G10" s="2">
        <f t="shared" si="0"/>
        <v>8.7428571428571313</v>
      </c>
      <c r="H10" s="2">
        <f t="shared" si="1"/>
        <v>5.1285714285714255</v>
      </c>
      <c r="I10" s="2">
        <f t="shared" si="2"/>
        <v>9.828571428571415</v>
      </c>
      <c r="J10" s="2">
        <f t="shared" si="3"/>
        <v>0</v>
      </c>
      <c r="K10" s="2">
        <f t="shared" si="4"/>
        <v>0</v>
      </c>
      <c r="L10" s="2">
        <f t="shared" si="5"/>
        <v>0</v>
      </c>
      <c r="M10">
        <v>0</v>
      </c>
      <c r="N10" s="2">
        <f t="shared" si="6"/>
        <v>87.129859719438741</v>
      </c>
      <c r="O10" s="2">
        <f t="shared" si="7"/>
        <v>43.525250501001956</v>
      </c>
      <c r="P10" s="2">
        <f t="shared" si="8"/>
        <v>39.766533066132212</v>
      </c>
      <c r="Q10" s="2">
        <f t="shared" si="9"/>
        <v>13.795190380761502</v>
      </c>
      <c r="R10">
        <v>1</v>
      </c>
      <c r="S10" s="2">
        <f t="shared" si="10"/>
        <v>4.8707414829658751</v>
      </c>
      <c r="T10" s="2">
        <f t="shared" si="11"/>
        <v>134.61222445871954</v>
      </c>
      <c r="U10" s="2">
        <f t="shared" si="12"/>
        <v>37.326853708655996</v>
      </c>
      <c r="V10" s="1">
        <f t="shared" si="13"/>
        <v>10.882152341044424</v>
      </c>
      <c r="W10" s="1">
        <f t="shared" si="14"/>
        <v>3.2147561088223293</v>
      </c>
      <c r="X10" s="1">
        <f t="shared" si="15"/>
        <v>1.11790814181348</v>
      </c>
      <c r="Z10">
        <v>0.46015037593984898</v>
      </c>
      <c r="AA10">
        <v>0.26992481203007501</v>
      </c>
      <c r="AB10">
        <v>0.51729323308270603</v>
      </c>
      <c r="AC10">
        <v>0</v>
      </c>
      <c r="AD10">
        <v>0</v>
      </c>
      <c r="AE10">
        <v>0</v>
      </c>
      <c r="AF10">
        <v>0.191074253770699</v>
      </c>
      <c r="AG10">
        <v>9.5450110747811304E-2</v>
      </c>
      <c r="AH10">
        <v>8.7207309355553098E-2</v>
      </c>
      <c r="AI10">
        <v>3.02526104841261E-2</v>
      </c>
      <c r="AJ10">
        <v>2.1929824561403E-3</v>
      </c>
      <c r="AK10">
        <v>1.06814506205392E-2</v>
      </c>
      <c r="AL10">
        <v>29.520224661999901</v>
      </c>
      <c r="AM10">
        <v>8.1857135325999995</v>
      </c>
    </row>
    <row r="11" spans="1:39" x14ac:dyDescent="0.4">
      <c r="A11" t="s">
        <v>139</v>
      </c>
      <c r="B11" t="s">
        <v>134</v>
      </c>
      <c r="C11">
        <v>30</v>
      </c>
      <c r="D11">
        <v>30</v>
      </c>
      <c r="E11">
        <v>191.67</v>
      </c>
      <c r="F11">
        <v>772</v>
      </c>
      <c r="G11" s="2">
        <f t="shared" si="0"/>
        <v>13.737499999999979</v>
      </c>
      <c r="H11" s="2">
        <f t="shared" si="1"/>
        <v>8.1312499999999801</v>
      </c>
      <c r="I11" s="2">
        <f t="shared" si="2"/>
        <v>18.224999999999973</v>
      </c>
      <c r="J11" s="2">
        <f t="shared" si="3"/>
        <v>0</v>
      </c>
      <c r="K11" s="2">
        <f t="shared" si="4"/>
        <v>0</v>
      </c>
      <c r="L11" s="2">
        <f t="shared" si="5"/>
        <v>0</v>
      </c>
      <c r="M11">
        <v>0</v>
      </c>
      <c r="N11" s="2">
        <f t="shared" si="6"/>
        <v>158.08433734939717</v>
      </c>
      <c r="O11" s="2">
        <f t="shared" si="7"/>
        <v>74.886746987951753</v>
      </c>
      <c r="P11" s="2">
        <f t="shared" si="8"/>
        <v>68.529156626505966</v>
      </c>
      <c r="Q11" s="2">
        <f t="shared" si="9"/>
        <v>21.926024096385529</v>
      </c>
      <c r="R11">
        <v>1</v>
      </c>
      <c r="S11" s="2">
        <f t="shared" si="10"/>
        <v>7.8322891566264019</v>
      </c>
      <c r="T11" s="2">
        <f t="shared" si="11"/>
        <v>205.38963854348</v>
      </c>
      <c r="U11" s="2">
        <f t="shared" si="12"/>
        <v>48.907469880555993</v>
      </c>
      <c r="V11" s="1">
        <f t="shared" si="13"/>
        <v>9.644215301775553</v>
      </c>
      <c r="W11" s="1">
        <f t="shared" si="14"/>
        <v>3.2178348705512274</v>
      </c>
      <c r="X11" s="1">
        <f t="shared" si="15"/>
        <v>1.0799384735741284</v>
      </c>
      <c r="Z11">
        <v>0.45791666666666597</v>
      </c>
      <c r="AA11">
        <v>0.27104166666666601</v>
      </c>
      <c r="AB11">
        <v>0.60749999999999904</v>
      </c>
      <c r="AC11">
        <v>0</v>
      </c>
      <c r="AD11">
        <v>0</v>
      </c>
      <c r="AE11">
        <v>0</v>
      </c>
      <c r="AF11">
        <v>0.20477245770647301</v>
      </c>
      <c r="AG11">
        <v>9.7003558274548901E-2</v>
      </c>
      <c r="AH11">
        <v>8.8768337599100994E-2</v>
      </c>
      <c r="AI11">
        <v>2.84015856170797E-2</v>
      </c>
      <c r="AJ11">
        <v>1.2953367875647001E-3</v>
      </c>
      <c r="AK11">
        <v>1.01454522754228E-2</v>
      </c>
      <c r="AL11">
        <v>26.604875458999999</v>
      </c>
      <c r="AM11">
        <v>6.3351644922999997</v>
      </c>
    </row>
    <row r="12" spans="1:39" x14ac:dyDescent="0.4">
      <c r="A12" t="s">
        <v>45</v>
      </c>
      <c r="B12" t="s">
        <v>44</v>
      </c>
      <c r="C12">
        <v>26</v>
      </c>
      <c r="D12">
        <v>26</v>
      </c>
      <c r="E12">
        <v>155.66999999999999</v>
      </c>
      <c r="F12">
        <v>629</v>
      </c>
      <c r="G12" s="2">
        <f t="shared" si="0"/>
        <v>11.670967741935476</v>
      </c>
      <c r="H12" s="2">
        <f t="shared" si="1"/>
        <v>6.4645161290322335</v>
      </c>
      <c r="I12" s="2">
        <f t="shared" si="2"/>
        <v>13.88064516129031</v>
      </c>
      <c r="J12" s="2">
        <f t="shared" si="3"/>
        <v>0</v>
      </c>
      <c r="K12" s="2">
        <f t="shared" si="4"/>
        <v>0</v>
      </c>
      <c r="L12" s="2">
        <f t="shared" si="5"/>
        <v>0</v>
      </c>
      <c r="M12">
        <v>0</v>
      </c>
      <c r="N12" s="2">
        <f t="shared" si="6"/>
        <v>130.56946666666624</v>
      </c>
      <c r="O12" s="2">
        <f t="shared" si="7"/>
        <v>61.142933333333261</v>
      </c>
      <c r="P12" s="2">
        <f t="shared" si="8"/>
        <v>56.120533333333277</v>
      </c>
      <c r="Q12" s="2">
        <f t="shared" si="9"/>
        <v>16.541333333333267</v>
      </c>
      <c r="R12">
        <v>1</v>
      </c>
      <c r="S12" s="2">
        <f t="shared" si="10"/>
        <v>7.612799999999905</v>
      </c>
      <c r="T12" s="2">
        <f t="shared" si="11"/>
        <v>182.61933334489001</v>
      </c>
      <c r="U12" s="2">
        <f t="shared" si="12"/>
        <v>41.94040000009894</v>
      </c>
      <c r="V12" s="1">
        <f t="shared" si="13"/>
        <v>10.558065138459627</v>
      </c>
      <c r="W12" s="1">
        <f t="shared" si="14"/>
        <v>3.2445866255540539</v>
      </c>
      <c r="X12" s="1">
        <f t="shared" si="15"/>
        <v>1.108176698572398</v>
      </c>
      <c r="Z12">
        <v>0.44888337468982598</v>
      </c>
      <c r="AA12">
        <v>0.24863523573200899</v>
      </c>
      <c r="AB12">
        <v>0.53387096774193499</v>
      </c>
      <c r="AC12">
        <v>0</v>
      </c>
      <c r="AD12">
        <v>0</v>
      </c>
      <c r="AE12">
        <v>0</v>
      </c>
      <c r="AF12">
        <v>0.207582617912029</v>
      </c>
      <c r="AG12">
        <v>9.7206571277159398E-2</v>
      </c>
      <c r="AH12">
        <v>8.9221833598304101E-2</v>
      </c>
      <c r="AI12">
        <v>2.6297827239003601E-2</v>
      </c>
      <c r="AJ12">
        <v>1.5898251192367999E-3</v>
      </c>
      <c r="AK12">
        <v>1.2103020667726399E-2</v>
      </c>
      <c r="AL12">
        <v>29.033280341000001</v>
      </c>
      <c r="AM12">
        <v>6.6677901430999897</v>
      </c>
    </row>
    <row r="13" spans="1:39" x14ac:dyDescent="0.4">
      <c r="A13" t="s">
        <v>99</v>
      </c>
      <c r="B13" t="s">
        <v>100</v>
      </c>
      <c r="C13">
        <v>28</v>
      </c>
      <c r="D13">
        <v>28</v>
      </c>
      <c r="E13">
        <v>158</v>
      </c>
      <c r="F13">
        <v>649</v>
      </c>
      <c r="G13" s="2">
        <f t="shared" si="0"/>
        <v>11.465517241379292</v>
      </c>
      <c r="H13" s="2">
        <f t="shared" si="1"/>
        <v>6.5172413793103399</v>
      </c>
      <c r="I13" s="2">
        <f t="shared" si="2"/>
        <v>14.313793103448273</v>
      </c>
      <c r="J13" s="2">
        <f t="shared" si="3"/>
        <v>0</v>
      </c>
      <c r="K13" s="2">
        <f t="shared" si="4"/>
        <v>0</v>
      </c>
      <c r="L13" s="2">
        <f t="shared" si="5"/>
        <v>0</v>
      </c>
      <c r="M13">
        <v>0</v>
      </c>
      <c r="N13" s="2">
        <f t="shared" si="6"/>
        <v>116.65013966480397</v>
      </c>
      <c r="O13" s="2">
        <f t="shared" si="7"/>
        <v>62.345810055865847</v>
      </c>
      <c r="P13" s="2">
        <f t="shared" si="8"/>
        <v>57.038826815642402</v>
      </c>
      <c r="Q13" s="2">
        <f t="shared" si="9"/>
        <v>17.455446927374247</v>
      </c>
      <c r="R13">
        <v>1</v>
      </c>
      <c r="S13" s="2">
        <f t="shared" si="10"/>
        <v>4.9754189944134</v>
      </c>
      <c r="T13" s="2">
        <f t="shared" si="11"/>
        <v>201.72388269044001</v>
      </c>
      <c r="U13" s="2">
        <f t="shared" si="12"/>
        <v>68.921787710599347</v>
      </c>
      <c r="V13" s="1">
        <f t="shared" si="13"/>
        <v>11.490600912746581</v>
      </c>
      <c r="W13" s="1">
        <f t="shared" si="14"/>
        <v>3.2490470970935545</v>
      </c>
      <c r="X13" s="1">
        <f t="shared" si="15"/>
        <v>1.174505869464578</v>
      </c>
      <c r="Z13">
        <v>0.409482758620689</v>
      </c>
      <c r="AA13">
        <v>0.232758620689655</v>
      </c>
      <c r="AB13">
        <v>0.51120689655172402</v>
      </c>
      <c r="AC13">
        <v>0</v>
      </c>
      <c r="AD13">
        <v>0</v>
      </c>
      <c r="AE13">
        <v>0</v>
      </c>
      <c r="AF13">
        <v>0.17973827375162399</v>
      </c>
      <c r="AG13">
        <v>9.6064422274061395E-2</v>
      </c>
      <c r="AH13">
        <v>8.7887252412391995E-2</v>
      </c>
      <c r="AI13">
        <v>2.6895912060669099E-2</v>
      </c>
      <c r="AJ13">
        <v>1.5408320493066E-3</v>
      </c>
      <c r="AK13">
        <v>7.6662850453211098E-3</v>
      </c>
      <c r="AL13">
        <v>31.082262356000001</v>
      </c>
      <c r="AM13">
        <v>10.619689939999899</v>
      </c>
    </row>
    <row r="14" spans="1:39" x14ac:dyDescent="0.4">
      <c r="A14" t="s">
        <v>85</v>
      </c>
      <c r="B14" t="s">
        <v>86</v>
      </c>
      <c r="C14">
        <v>29</v>
      </c>
      <c r="D14">
        <v>29</v>
      </c>
      <c r="E14">
        <v>186</v>
      </c>
      <c r="F14">
        <v>771</v>
      </c>
      <c r="G14" s="2">
        <f t="shared" si="0"/>
        <v>13.699999999999992</v>
      </c>
      <c r="H14" s="2">
        <f t="shared" si="1"/>
        <v>7.9999999999999938</v>
      </c>
      <c r="I14" s="2">
        <f t="shared" si="2"/>
        <v>16.599999999999991</v>
      </c>
      <c r="J14" s="2">
        <f t="shared" si="3"/>
        <v>0</v>
      </c>
      <c r="K14" s="2">
        <f t="shared" si="4"/>
        <v>0</v>
      </c>
      <c r="L14" s="2">
        <f t="shared" si="5"/>
        <v>0</v>
      </c>
      <c r="M14">
        <v>0</v>
      </c>
      <c r="N14" s="2">
        <f t="shared" si="6"/>
        <v>161.44636363636343</v>
      </c>
      <c r="O14" s="2">
        <f t="shared" si="7"/>
        <v>73.666363636363585</v>
      </c>
      <c r="P14" s="2">
        <f t="shared" si="8"/>
        <v>67.660909090909044</v>
      </c>
      <c r="Q14" s="2">
        <f t="shared" si="9"/>
        <v>15.313636363636304</v>
      </c>
      <c r="R14">
        <v>1</v>
      </c>
      <c r="S14" s="2">
        <f t="shared" si="10"/>
        <v>8.7031168831167669</v>
      </c>
      <c r="T14" s="2">
        <f t="shared" si="11"/>
        <v>183.86727274757925</v>
      </c>
      <c r="U14" s="2">
        <f t="shared" si="12"/>
        <v>58.753636361649001</v>
      </c>
      <c r="V14" s="1">
        <f t="shared" si="13"/>
        <v>8.8968035200441573</v>
      </c>
      <c r="W14" s="1">
        <f t="shared" si="14"/>
        <v>3.2739149560117276</v>
      </c>
      <c r="X14" s="1">
        <f t="shared" si="15"/>
        <v>1.1838709677312496</v>
      </c>
      <c r="Z14">
        <v>0.472413793103448</v>
      </c>
      <c r="AA14">
        <v>0.27586206896551702</v>
      </c>
      <c r="AB14">
        <v>0.57241379310344798</v>
      </c>
      <c r="AC14">
        <v>0</v>
      </c>
      <c r="AD14">
        <v>0</v>
      </c>
      <c r="AE14">
        <v>0</v>
      </c>
      <c r="AF14">
        <v>0.209398655818889</v>
      </c>
      <c r="AG14">
        <v>9.5546515741068205E-2</v>
      </c>
      <c r="AH14">
        <v>8.7757339936328199E-2</v>
      </c>
      <c r="AI14">
        <v>1.98620445702157E-2</v>
      </c>
      <c r="AJ14">
        <v>1.2970168612191E-3</v>
      </c>
      <c r="AK14">
        <v>1.12880893425639E-2</v>
      </c>
      <c r="AL14">
        <v>23.847895297999901</v>
      </c>
      <c r="AM14">
        <v>7.6204457018999996</v>
      </c>
    </row>
    <row r="15" spans="1:39" x14ac:dyDescent="0.4">
      <c r="A15" t="s">
        <v>152</v>
      </c>
      <c r="B15" t="s">
        <v>150</v>
      </c>
      <c r="C15">
        <v>30</v>
      </c>
      <c r="D15">
        <v>30</v>
      </c>
      <c r="E15">
        <v>180.67</v>
      </c>
      <c r="F15">
        <v>726</v>
      </c>
      <c r="G15" s="2">
        <f t="shared" si="0"/>
        <v>12.174193548387091</v>
      </c>
      <c r="H15" s="2">
        <f t="shared" si="1"/>
        <v>8.9129032258064402</v>
      </c>
      <c r="I15" s="2">
        <f t="shared" si="2"/>
        <v>16.01612903225805</v>
      </c>
      <c r="J15" s="2">
        <f t="shared" si="3"/>
        <v>0</v>
      </c>
      <c r="K15" s="2">
        <f t="shared" si="4"/>
        <v>0</v>
      </c>
      <c r="L15" s="2">
        <f t="shared" si="5"/>
        <v>0</v>
      </c>
      <c r="M15">
        <v>0</v>
      </c>
      <c r="N15" s="2">
        <f t="shared" si="6"/>
        <v>161.39013698630123</v>
      </c>
      <c r="O15" s="2">
        <f t="shared" si="7"/>
        <v>71.831506849314991</v>
      </c>
      <c r="P15" s="2">
        <f t="shared" si="8"/>
        <v>65.854520547945171</v>
      </c>
      <c r="Q15" s="2">
        <f t="shared" si="9"/>
        <v>21.915616438356096</v>
      </c>
      <c r="R15">
        <v>1</v>
      </c>
      <c r="S15" s="2">
        <f t="shared" si="10"/>
        <v>6.9884931506849144</v>
      </c>
      <c r="T15" s="2">
        <f t="shared" si="11"/>
        <v>171.43643836836</v>
      </c>
      <c r="U15" s="2">
        <f t="shared" si="12"/>
        <v>26.992602738353924</v>
      </c>
      <c r="V15" s="1">
        <f t="shared" si="13"/>
        <v>8.540034014032436</v>
      </c>
      <c r="W15" s="1">
        <f t="shared" si="14"/>
        <v>3.2805152207422736</v>
      </c>
      <c r="X15" s="1">
        <f t="shared" si="15"/>
        <v>1.0426896536483929</v>
      </c>
      <c r="Z15">
        <v>0.40580645161290302</v>
      </c>
      <c r="AA15">
        <v>0.29709677419354802</v>
      </c>
      <c r="AB15">
        <v>0.53387096774193499</v>
      </c>
      <c r="AC15">
        <v>0</v>
      </c>
      <c r="AD15">
        <v>0</v>
      </c>
      <c r="AE15">
        <v>0</v>
      </c>
      <c r="AF15">
        <v>0.222300464168459</v>
      </c>
      <c r="AG15">
        <v>9.8941469489414596E-2</v>
      </c>
      <c r="AH15">
        <v>9.0708705988905194E-2</v>
      </c>
      <c r="AI15">
        <v>3.0186799501867902E-2</v>
      </c>
      <c r="AJ15">
        <v>1.3774104683195001E-3</v>
      </c>
      <c r="AK15">
        <v>9.6260236235329397E-3</v>
      </c>
      <c r="AL15">
        <v>23.613834485999998</v>
      </c>
      <c r="AM15">
        <v>3.7179893578999899</v>
      </c>
    </row>
    <row r="16" spans="1:39" x14ac:dyDescent="0.4">
      <c r="A16" s="3" t="s">
        <v>149</v>
      </c>
      <c r="B16" t="s">
        <v>150</v>
      </c>
      <c r="C16">
        <v>25</v>
      </c>
      <c r="D16">
        <v>25</v>
      </c>
      <c r="E16">
        <v>138</v>
      </c>
      <c r="F16">
        <v>557</v>
      </c>
      <c r="G16" s="2">
        <f t="shared" si="0"/>
        <v>9.4730769230768992</v>
      </c>
      <c r="H16" s="2">
        <f t="shared" si="1"/>
        <v>6.91923076923075</v>
      </c>
      <c r="I16" s="2">
        <f t="shared" si="2"/>
        <v>11.615384615384599</v>
      </c>
      <c r="J16" s="2">
        <f t="shared" si="3"/>
        <v>0</v>
      </c>
      <c r="K16" s="2">
        <f t="shared" si="4"/>
        <v>0</v>
      </c>
      <c r="L16" s="2">
        <f t="shared" si="5"/>
        <v>0</v>
      </c>
      <c r="M16">
        <v>0</v>
      </c>
      <c r="N16" s="2">
        <f t="shared" si="6"/>
        <v>114.27999999999984</v>
      </c>
      <c r="O16" s="2">
        <f t="shared" si="7"/>
        <v>55.951764705882205</v>
      </c>
      <c r="P16" s="2">
        <f t="shared" si="8"/>
        <v>51.175294117646985</v>
      </c>
      <c r="Q16" s="2">
        <f t="shared" si="9"/>
        <v>17.195294117647002</v>
      </c>
      <c r="R16">
        <v>1</v>
      </c>
      <c r="S16" s="2">
        <f t="shared" si="10"/>
        <v>5.8850420168066488</v>
      </c>
      <c r="T16" s="2">
        <f t="shared" si="11"/>
        <v>133.66235293661998</v>
      </c>
      <c r="U16" s="2">
        <f t="shared" si="12"/>
        <v>31.990588234953997</v>
      </c>
      <c r="V16" s="1">
        <f t="shared" si="13"/>
        <v>8.717109974127391</v>
      </c>
      <c r="W16" s="1">
        <f t="shared" si="14"/>
        <v>3.3375191815856731</v>
      </c>
      <c r="X16" s="1">
        <f t="shared" si="15"/>
        <v>1.0599317988040133</v>
      </c>
      <c r="Z16">
        <v>0.37892307692307597</v>
      </c>
      <c r="AA16">
        <v>0.27676923076922999</v>
      </c>
      <c r="AB16">
        <v>0.46461538461538399</v>
      </c>
      <c r="AC16">
        <v>0</v>
      </c>
      <c r="AD16">
        <v>0</v>
      </c>
      <c r="AE16">
        <v>0</v>
      </c>
      <c r="AF16">
        <v>0.20517055655296201</v>
      </c>
      <c r="AG16">
        <v>0.10045200126729301</v>
      </c>
      <c r="AH16">
        <v>9.18766501214488E-2</v>
      </c>
      <c r="AI16">
        <v>3.0871264125039499E-2</v>
      </c>
      <c r="AJ16">
        <v>1.7953321364451999E-3</v>
      </c>
      <c r="AK16">
        <v>1.0565605057103499E-2</v>
      </c>
      <c r="AL16">
        <v>23.996831766</v>
      </c>
      <c r="AM16">
        <v>5.7433731121999996</v>
      </c>
    </row>
    <row r="17" spans="1:39" x14ac:dyDescent="0.4">
      <c r="A17" t="s">
        <v>132</v>
      </c>
      <c r="B17" t="s">
        <v>127</v>
      </c>
      <c r="C17">
        <v>28</v>
      </c>
      <c r="D17">
        <v>28</v>
      </c>
      <c r="E17">
        <v>167.33</v>
      </c>
      <c r="F17">
        <v>690</v>
      </c>
      <c r="G17" s="2">
        <f t="shared" si="0"/>
        <v>11.875862068965496</v>
      </c>
      <c r="H17" s="2">
        <f t="shared" si="1"/>
        <v>8.2068965517241352</v>
      </c>
      <c r="I17" s="2">
        <f t="shared" si="2"/>
        <v>14.724137931034477</v>
      </c>
      <c r="J17" s="2">
        <f t="shared" si="3"/>
        <v>0</v>
      </c>
      <c r="K17" s="2">
        <f t="shared" si="4"/>
        <v>0</v>
      </c>
      <c r="L17" s="2">
        <f t="shared" si="5"/>
        <v>0</v>
      </c>
      <c r="M17">
        <v>0</v>
      </c>
      <c r="N17" s="2">
        <f t="shared" si="6"/>
        <v>146.32965517241379</v>
      </c>
      <c r="O17" s="2">
        <f t="shared" si="7"/>
        <v>68.366896551724068</v>
      </c>
      <c r="P17" s="2">
        <f t="shared" si="8"/>
        <v>62.569655172413782</v>
      </c>
      <c r="Q17" s="2">
        <f t="shared" si="9"/>
        <v>16.125517241379235</v>
      </c>
      <c r="R17">
        <v>1</v>
      </c>
      <c r="S17" s="2">
        <f t="shared" si="10"/>
        <v>6.1986206896551508</v>
      </c>
      <c r="T17" s="2">
        <f t="shared" si="11"/>
        <v>156.29172413279932</v>
      </c>
      <c r="U17" s="2">
        <f t="shared" si="12"/>
        <v>49.04275861991993</v>
      </c>
      <c r="V17" s="1">
        <f t="shared" si="13"/>
        <v>8.4062960449124109</v>
      </c>
      <c r="W17" s="1">
        <f t="shared" si="14"/>
        <v>3.3653672177835654</v>
      </c>
      <c r="X17" s="1">
        <f t="shared" si="15"/>
        <v>1.1675874845654319</v>
      </c>
      <c r="Z17">
        <v>0.424137931034482</v>
      </c>
      <c r="AA17">
        <v>0.29310344827586199</v>
      </c>
      <c r="AB17">
        <v>0.52586206896551702</v>
      </c>
      <c r="AC17">
        <v>0</v>
      </c>
      <c r="AD17">
        <v>0</v>
      </c>
      <c r="AE17">
        <v>0</v>
      </c>
      <c r="AF17">
        <v>0.212071964017991</v>
      </c>
      <c r="AG17">
        <v>9.9082458770614598E-2</v>
      </c>
      <c r="AH17">
        <v>9.0680659670164906E-2</v>
      </c>
      <c r="AI17">
        <v>2.33703148425786E-2</v>
      </c>
      <c r="AJ17">
        <v>1.4492753623188E-3</v>
      </c>
      <c r="AK17">
        <v>8.98350824587703E-3</v>
      </c>
      <c r="AL17">
        <v>22.650974511999902</v>
      </c>
      <c r="AM17">
        <v>7.1076461767999897</v>
      </c>
    </row>
    <row r="18" spans="1:39" x14ac:dyDescent="0.4">
      <c r="A18" s="3" t="s">
        <v>106</v>
      </c>
      <c r="B18" t="s">
        <v>100</v>
      </c>
      <c r="C18">
        <v>26</v>
      </c>
      <c r="D18">
        <v>26</v>
      </c>
      <c r="E18">
        <v>152</v>
      </c>
      <c r="F18">
        <v>617</v>
      </c>
      <c r="G18" s="2">
        <f t="shared" si="0"/>
        <v>11.042857142857123</v>
      </c>
      <c r="H18" s="2">
        <f t="shared" si="1"/>
        <v>6.4285714285714226</v>
      </c>
      <c r="I18" s="2">
        <f t="shared" si="2"/>
        <v>13.135714285714279</v>
      </c>
      <c r="J18" s="2">
        <f t="shared" si="3"/>
        <v>0</v>
      </c>
      <c r="K18" s="2">
        <f t="shared" si="4"/>
        <v>0</v>
      </c>
      <c r="L18" s="2">
        <f t="shared" si="5"/>
        <v>0</v>
      </c>
      <c r="M18">
        <v>0</v>
      </c>
      <c r="N18" s="2">
        <f t="shared" si="6"/>
        <v>129.83804347826083</v>
      </c>
      <c r="O18" s="2">
        <f t="shared" si="7"/>
        <v>61.821739130434317</v>
      </c>
      <c r="P18" s="2">
        <f t="shared" si="8"/>
        <v>56.968478260869524</v>
      </c>
      <c r="Q18" s="2">
        <f t="shared" si="9"/>
        <v>16.201086956521706</v>
      </c>
      <c r="R18">
        <v>1</v>
      </c>
      <c r="S18" s="2">
        <f t="shared" si="10"/>
        <v>5.5119565217390933</v>
      </c>
      <c r="T18" s="2">
        <f t="shared" si="11"/>
        <v>162.31086957131001</v>
      </c>
      <c r="U18" s="2">
        <f t="shared" si="12"/>
        <v>42.550000001534933</v>
      </c>
      <c r="V18" s="1">
        <f t="shared" si="13"/>
        <v>9.610512014090725</v>
      </c>
      <c r="W18" s="1">
        <f t="shared" si="14"/>
        <v>3.3731335812356957</v>
      </c>
      <c r="X18" s="1">
        <f t="shared" si="15"/>
        <v>1.1341318649986563</v>
      </c>
      <c r="Z18">
        <v>0.42472527472527399</v>
      </c>
      <c r="AA18">
        <v>0.24725274725274701</v>
      </c>
      <c r="AB18">
        <v>0.50521978021977998</v>
      </c>
      <c r="AC18">
        <v>0</v>
      </c>
      <c r="AD18">
        <v>0</v>
      </c>
      <c r="AE18">
        <v>0</v>
      </c>
      <c r="AF18">
        <v>0.210434430272708</v>
      </c>
      <c r="AG18">
        <v>0.100197308153054</v>
      </c>
      <c r="AH18">
        <v>9.2331407229934395E-2</v>
      </c>
      <c r="AI18">
        <v>2.6257839475724E-2</v>
      </c>
      <c r="AJ18">
        <v>1.6207455429497E-3</v>
      </c>
      <c r="AK18">
        <v>8.93347896554148E-3</v>
      </c>
      <c r="AL18">
        <v>26.306461843000001</v>
      </c>
      <c r="AM18">
        <v>6.8962722854999896</v>
      </c>
    </row>
    <row r="19" spans="1:39" x14ac:dyDescent="0.4">
      <c r="A19" t="s">
        <v>122</v>
      </c>
      <c r="B19" t="s">
        <v>123</v>
      </c>
      <c r="C19">
        <v>18</v>
      </c>
      <c r="D19">
        <v>45</v>
      </c>
      <c r="E19">
        <v>129.66999999999999</v>
      </c>
      <c r="F19">
        <v>555</v>
      </c>
      <c r="G19" s="2">
        <f t="shared" si="0"/>
        <v>6.8980769230769097</v>
      </c>
      <c r="H19" s="2">
        <f t="shared" si="1"/>
        <v>5.6788461538461448</v>
      </c>
      <c r="I19" s="2">
        <f t="shared" si="2"/>
        <v>9.2346153846153758</v>
      </c>
      <c r="J19" s="2">
        <f t="shared" si="3"/>
        <v>2.099999999999997</v>
      </c>
      <c r="K19" s="2">
        <f t="shared" si="4"/>
        <v>0.95961538461537899</v>
      </c>
      <c r="L19" s="2">
        <f t="shared" si="5"/>
        <v>3.059615384615376</v>
      </c>
      <c r="M19">
        <v>6</v>
      </c>
      <c r="N19" s="2">
        <f t="shared" si="6"/>
        <v>118.01140215716447</v>
      </c>
      <c r="O19" s="2">
        <f t="shared" si="7"/>
        <v>53.016795069337398</v>
      </c>
      <c r="P19" s="2">
        <f t="shared" si="8"/>
        <v>48.823728813559306</v>
      </c>
      <c r="Q19" s="2">
        <f t="shared" si="9"/>
        <v>8.9861325115561925</v>
      </c>
      <c r="R19">
        <v>2</v>
      </c>
      <c r="S19" s="2">
        <f t="shared" si="10"/>
        <v>6.6958397534668483</v>
      </c>
      <c r="T19" s="2">
        <f t="shared" si="11"/>
        <v>128.48782740614999</v>
      </c>
      <c r="U19" s="2">
        <f t="shared" si="12"/>
        <v>50.318181818519996</v>
      </c>
      <c r="V19" s="1">
        <f t="shared" si="13"/>
        <v>8.9179489986531202</v>
      </c>
      <c r="W19" s="1">
        <f t="shared" si="14"/>
        <v>3.3887064033472183</v>
      </c>
      <c r="X19" s="1">
        <f t="shared" si="15"/>
        <v>1.2981382276215354</v>
      </c>
      <c r="Z19">
        <v>0.15329059829059799</v>
      </c>
      <c r="AA19">
        <v>0.126196581196581</v>
      </c>
      <c r="AB19">
        <v>0.20521367521367501</v>
      </c>
      <c r="AC19">
        <v>4.6666666666666599E-2</v>
      </c>
      <c r="AD19">
        <v>2.13247863247862E-2</v>
      </c>
      <c r="AE19">
        <v>0.133333333333333</v>
      </c>
      <c r="AF19">
        <v>0.21263315703993599</v>
      </c>
      <c r="AG19">
        <v>9.5525756881689003E-2</v>
      </c>
      <c r="AH19">
        <v>8.7970682546953699E-2</v>
      </c>
      <c r="AI19">
        <v>1.6191229750551699E-2</v>
      </c>
      <c r="AJ19">
        <v>3.6036036036036002E-3</v>
      </c>
      <c r="AK19">
        <v>1.20645761323727E-2</v>
      </c>
      <c r="AL19">
        <v>23.150959893</v>
      </c>
      <c r="AM19">
        <v>9.0663390663999994</v>
      </c>
    </row>
    <row r="20" spans="1:39" x14ac:dyDescent="0.4">
      <c r="A20" t="s">
        <v>145</v>
      </c>
      <c r="B20" t="s">
        <v>146</v>
      </c>
      <c r="C20">
        <v>31</v>
      </c>
      <c r="D20">
        <v>31</v>
      </c>
      <c r="E20">
        <v>183.33</v>
      </c>
      <c r="F20">
        <v>754</v>
      </c>
      <c r="G20" s="2">
        <f t="shared" si="0"/>
        <v>12.468749999999973</v>
      </c>
      <c r="H20" s="2">
        <f t="shared" si="1"/>
        <v>8.9156249999999719</v>
      </c>
      <c r="I20" s="2">
        <f t="shared" si="2"/>
        <v>15.321874999999984</v>
      </c>
      <c r="J20" s="2">
        <f t="shared" si="3"/>
        <v>0</v>
      </c>
      <c r="K20" s="2">
        <f t="shared" si="4"/>
        <v>0</v>
      </c>
      <c r="L20" s="2">
        <f t="shared" si="5"/>
        <v>0</v>
      </c>
      <c r="M20">
        <v>0</v>
      </c>
      <c r="N20" s="2">
        <f t="shared" si="6"/>
        <v>146.00198019801934</v>
      </c>
      <c r="O20" s="2">
        <f t="shared" si="7"/>
        <v>75.004207920791984</v>
      </c>
      <c r="P20" s="2">
        <f t="shared" si="8"/>
        <v>69.284900990098905</v>
      </c>
      <c r="Q20" s="2">
        <f t="shared" si="9"/>
        <v>20.670792079207882</v>
      </c>
      <c r="R20">
        <v>1</v>
      </c>
      <c r="S20" s="2">
        <f t="shared" si="10"/>
        <v>6.7195544554455289</v>
      </c>
      <c r="T20" s="2">
        <f t="shared" si="11"/>
        <v>213.08044555668002</v>
      </c>
      <c r="U20" s="2">
        <f t="shared" si="12"/>
        <v>68.738118813493926</v>
      </c>
      <c r="V20" s="1">
        <f t="shared" si="13"/>
        <v>10.460502972836524</v>
      </c>
      <c r="W20" s="1">
        <f t="shared" si="14"/>
        <v>3.4013206180706383</v>
      </c>
      <c r="X20" s="1">
        <f t="shared" si="15"/>
        <v>1.1713309278978523</v>
      </c>
      <c r="Z20">
        <v>0.40221774193548299</v>
      </c>
      <c r="AA20">
        <v>0.28760080645161201</v>
      </c>
      <c r="AB20">
        <v>0.49425403225806402</v>
      </c>
      <c r="AC20">
        <v>0</v>
      </c>
      <c r="AD20">
        <v>0</v>
      </c>
      <c r="AE20">
        <v>0</v>
      </c>
      <c r="AF20">
        <v>0.193636578511962</v>
      </c>
      <c r="AG20">
        <v>9.9475076818026503E-2</v>
      </c>
      <c r="AH20">
        <v>9.1889789111537001E-2</v>
      </c>
      <c r="AI20">
        <v>2.7414843606376499E-2</v>
      </c>
      <c r="AJ20">
        <v>1.3262599469496001E-3</v>
      </c>
      <c r="AK20">
        <v>8.9118759356041494E-3</v>
      </c>
      <c r="AL20">
        <v>28.260006042000001</v>
      </c>
      <c r="AM20">
        <v>9.1164613810999899</v>
      </c>
    </row>
    <row r="21" spans="1:39" x14ac:dyDescent="0.4">
      <c r="A21" s="3" t="s">
        <v>90</v>
      </c>
      <c r="B21" t="s">
        <v>91</v>
      </c>
      <c r="C21">
        <v>30</v>
      </c>
      <c r="D21">
        <v>30</v>
      </c>
      <c r="E21">
        <v>177.67</v>
      </c>
      <c r="F21">
        <v>736</v>
      </c>
      <c r="G21" s="2">
        <f t="shared" si="0"/>
        <v>12.174193548387091</v>
      </c>
      <c r="H21" s="2">
        <f t="shared" si="1"/>
        <v>8.9129032258064402</v>
      </c>
      <c r="I21" s="2">
        <f t="shared" si="2"/>
        <v>16.01612903225805</v>
      </c>
      <c r="J21" s="2">
        <f t="shared" si="3"/>
        <v>0</v>
      </c>
      <c r="K21" s="2">
        <f t="shared" si="4"/>
        <v>0</v>
      </c>
      <c r="L21" s="2">
        <f t="shared" si="5"/>
        <v>0</v>
      </c>
      <c r="M21">
        <v>0</v>
      </c>
      <c r="N21" s="2">
        <f t="shared" si="6"/>
        <v>147.57575757575739</v>
      </c>
      <c r="O21" s="2">
        <f t="shared" si="7"/>
        <v>74.087878787878211</v>
      </c>
      <c r="P21" s="2">
        <f t="shared" si="8"/>
        <v>67.536363636363603</v>
      </c>
      <c r="Q21" s="2">
        <f t="shared" si="9"/>
        <v>18.296969696969647</v>
      </c>
      <c r="R21">
        <v>3</v>
      </c>
      <c r="S21" s="2">
        <f t="shared" si="10"/>
        <v>6.5272727272726794</v>
      </c>
      <c r="T21" s="2">
        <f t="shared" si="11"/>
        <v>198.69393939551929</v>
      </c>
      <c r="U21" s="2">
        <f t="shared" si="12"/>
        <v>64.978787880672002</v>
      </c>
      <c r="V21" s="1">
        <f t="shared" si="13"/>
        <v>10.064982577585827</v>
      </c>
      <c r="W21" s="1">
        <f t="shared" si="14"/>
        <v>3.4211024524527072</v>
      </c>
      <c r="X21" s="1">
        <f t="shared" si="15"/>
        <v>1.1963446021074431</v>
      </c>
      <c r="Z21">
        <v>0.40580645161290302</v>
      </c>
      <c r="AA21">
        <v>0.29709677419354802</v>
      </c>
      <c r="AB21">
        <v>0.53387096774193499</v>
      </c>
      <c r="AC21">
        <v>0</v>
      </c>
      <c r="AD21">
        <v>0</v>
      </c>
      <c r="AE21">
        <v>0</v>
      </c>
      <c r="AF21">
        <v>0.200510540184453</v>
      </c>
      <c r="AG21">
        <v>0.100662878787878</v>
      </c>
      <c r="AH21">
        <v>9.1761363636363599E-2</v>
      </c>
      <c r="AI21">
        <v>2.48600131752305E-2</v>
      </c>
      <c r="AJ21">
        <v>4.0760869565217E-3</v>
      </c>
      <c r="AK21">
        <v>8.8685770750987492E-3</v>
      </c>
      <c r="AL21">
        <v>26.996459156999901</v>
      </c>
      <c r="AM21">
        <v>8.8286396577000001</v>
      </c>
    </row>
    <row r="22" spans="1:39" x14ac:dyDescent="0.4">
      <c r="A22" t="s">
        <v>129</v>
      </c>
      <c r="B22" t="s">
        <v>127</v>
      </c>
      <c r="C22">
        <v>29</v>
      </c>
      <c r="D22">
        <v>29</v>
      </c>
      <c r="E22">
        <v>174</v>
      </c>
      <c r="F22">
        <v>712</v>
      </c>
      <c r="G22" s="2">
        <f t="shared" si="0"/>
        <v>12.048387096774185</v>
      </c>
      <c r="H22" s="2">
        <f t="shared" si="1"/>
        <v>8.1258064516128901</v>
      </c>
      <c r="I22" s="2">
        <f t="shared" si="2"/>
        <v>15.132258064516126</v>
      </c>
      <c r="J22" s="2">
        <f t="shared" si="3"/>
        <v>0</v>
      </c>
      <c r="K22" s="2">
        <f t="shared" si="4"/>
        <v>0</v>
      </c>
      <c r="L22" s="2">
        <f t="shared" si="5"/>
        <v>0</v>
      </c>
      <c r="M22">
        <v>0</v>
      </c>
      <c r="N22" s="2">
        <f t="shared" si="6"/>
        <v>144.64509554140071</v>
      </c>
      <c r="O22" s="2">
        <f t="shared" si="7"/>
        <v>72.587643312101775</v>
      </c>
      <c r="P22" s="2">
        <f t="shared" si="8"/>
        <v>66.978216560509509</v>
      </c>
      <c r="Q22" s="2">
        <f t="shared" si="9"/>
        <v>24.007515923566796</v>
      </c>
      <c r="R22">
        <v>1</v>
      </c>
      <c r="S22" s="2">
        <f t="shared" si="10"/>
        <v>6.376815286624173</v>
      </c>
      <c r="T22" s="2">
        <f t="shared" si="11"/>
        <v>188.26484074591929</v>
      </c>
      <c r="U22" s="2">
        <f t="shared" si="12"/>
        <v>49.319745224792001</v>
      </c>
      <c r="V22" s="1">
        <f t="shared" si="13"/>
        <v>9.7378365903061699</v>
      </c>
      <c r="W22" s="1">
        <f t="shared" si="14"/>
        <v>3.4643905117504921</v>
      </c>
      <c r="X22" s="1">
        <f t="shared" si="15"/>
        <v>1.1147404641735212</v>
      </c>
      <c r="Z22">
        <v>0.41546162402669601</v>
      </c>
      <c r="AA22">
        <v>0.28020022246941001</v>
      </c>
      <c r="AB22">
        <v>0.52180200222469397</v>
      </c>
      <c r="AC22">
        <v>0</v>
      </c>
      <c r="AD22">
        <v>0</v>
      </c>
      <c r="AE22">
        <v>0</v>
      </c>
      <c r="AF22">
        <v>0.203153224075001</v>
      </c>
      <c r="AG22">
        <v>0.10194893723609801</v>
      </c>
      <c r="AH22">
        <v>9.4070528877120099E-2</v>
      </c>
      <c r="AI22">
        <v>3.3718421240964601E-2</v>
      </c>
      <c r="AJ22">
        <v>1.4044943820224001E-3</v>
      </c>
      <c r="AK22">
        <v>8.9562012452586697E-3</v>
      </c>
      <c r="AL22">
        <v>26.441691115999902</v>
      </c>
      <c r="AM22">
        <v>6.9269305091</v>
      </c>
    </row>
    <row r="23" spans="1:39" x14ac:dyDescent="0.4">
      <c r="A23" s="3" t="s">
        <v>62</v>
      </c>
      <c r="B23" t="s">
        <v>63</v>
      </c>
      <c r="C23">
        <v>4</v>
      </c>
      <c r="D23">
        <v>25</v>
      </c>
      <c r="E23">
        <v>47.33</v>
      </c>
      <c r="F23">
        <v>196</v>
      </c>
      <c r="G23" s="2">
        <f t="shared" si="0"/>
        <v>2.341935483870965</v>
      </c>
      <c r="H23" s="2">
        <f t="shared" si="1"/>
        <v>1.641935483870965</v>
      </c>
      <c r="I23" s="2">
        <f t="shared" si="2"/>
        <v>2.1258064516129025</v>
      </c>
      <c r="J23" s="2">
        <f t="shared" si="3"/>
        <v>0</v>
      </c>
      <c r="K23" s="2">
        <f t="shared" si="4"/>
        <v>1.641935483870965</v>
      </c>
      <c r="L23" s="2">
        <f t="shared" si="5"/>
        <v>1.641935483870965</v>
      </c>
      <c r="M23">
        <v>0</v>
      </c>
      <c r="N23" s="2">
        <f t="shared" si="6"/>
        <v>38.861421319796932</v>
      </c>
      <c r="O23" s="2">
        <f t="shared" si="7"/>
        <v>19.928934010152105</v>
      </c>
      <c r="P23" s="2">
        <f t="shared" si="8"/>
        <v>18.236040609137039</v>
      </c>
      <c r="Q23" s="2">
        <f t="shared" si="9"/>
        <v>4.9822335025380458</v>
      </c>
      <c r="R23">
        <v>0</v>
      </c>
      <c r="S23" s="2">
        <f t="shared" si="10"/>
        <v>1.9969543147207809</v>
      </c>
      <c r="T23" s="2">
        <f t="shared" si="11"/>
        <v>52.715228431599805</v>
      </c>
      <c r="U23" s="2">
        <f t="shared" si="12"/>
        <v>19.328934004492002</v>
      </c>
      <c r="V23" s="1">
        <f t="shared" si="13"/>
        <v>10.024023999247797</v>
      </c>
      <c r="W23" s="1">
        <f t="shared" si="14"/>
        <v>3.4676603735946196</v>
      </c>
      <c r="X23" s="1">
        <f t="shared" si="15"/>
        <v>1.2294602857445369</v>
      </c>
      <c r="Z23">
        <v>9.3677419354838601E-2</v>
      </c>
      <c r="AA23">
        <v>6.5677419354838604E-2</v>
      </c>
      <c r="AB23">
        <v>8.50322580645161E-2</v>
      </c>
      <c r="AC23">
        <v>0</v>
      </c>
      <c r="AD23">
        <v>6.5677419354838604E-2</v>
      </c>
      <c r="AE23">
        <v>0</v>
      </c>
      <c r="AF23">
        <v>0.19827255775406599</v>
      </c>
      <c r="AG23">
        <v>0.101678234745674</v>
      </c>
      <c r="AH23">
        <v>9.3041023516005295E-2</v>
      </c>
      <c r="AI23">
        <v>2.5419558686418601E-2</v>
      </c>
      <c r="AJ23">
        <v>0</v>
      </c>
      <c r="AK23">
        <v>1.01885424220448E-2</v>
      </c>
      <c r="AL23">
        <v>26.895524709999901</v>
      </c>
      <c r="AM23">
        <v>9.8617010227000002</v>
      </c>
    </row>
    <row r="24" spans="1:39" x14ac:dyDescent="0.4">
      <c r="A24" t="s">
        <v>113</v>
      </c>
      <c r="B24" t="s">
        <v>112</v>
      </c>
      <c r="C24">
        <v>21</v>
      </c>
      <c r="D24">
        <v>21</v>
      </c>
      <c r="E24">
        <v>124.67</v>
      </c>
      <c r="F24">
        <v>512</v>
      </c>
      <c r="G24" s="2">
        <f t="shared" si="0"/>
        <v>8.4874999999999865</v>
      </c>
      <c r="H24" s="2">
        <f t="shared" si="1"/>
        <v>6.0374999999999996</v>
      </c>
      <c r="I24" s="2">
        <f t="shared" si="2"/>
        <v>10.937499999999993</v>
      </c>
      <c r="J24" s="2">
        <f t="shared" si="3"/>
        <v>0</v>
      </c>
      <c r="K24" s="2">
        <f t="shared" si="4"/>
        <v>0</v>
      </c>
      <c r="L24" s="2">
        <f t="shared" si="5"/>
        <v>0</v>
      </c>
      <c r="M24">
        <v>0</v>
      </c>
      <c r="N24" s="2">
        <f t="shared" si="6"/>
        <v>105.9151565074135</v>
      </c>
      <c r="O24" s="2">
        <f t="shared" si="7"/>
        <v>52.226688632619009</v>
      </c>
      <c r="P24" s="2">
        <f t="shared" si="8"/>
        <v>48.074464579901132</v>
      </c>
      <c r="Q24" s="2">
        <f t="shared" si="9"/>
        <v>16.318451400329423</v>
      </c>
      <c r="R24">
        <v>1</v>
      </c>
      <c r="S24" s="2">
        <f t="shared" si="10"/>
        <v>5.018286655683676</v>
      </c>
      <c r="T24" s="2">
        <f t="shared" si="11"/>
        <v>137.91383854079947</v>
      </c>
      <c r="U24" s="2">
        <f t="shared" si="12"/>
        <v>33.527347610623949</v>
      </c>
      <c r="V24" s="1">
        <f t="shared" si="13"/>
        <v>9.9560804272655439</v>
      </c>
      <c r="W24" s="1">
        <f t="shared" si="14"/>
        <v>3.4705236321417354</v>
      </c>
      <c r="X24" s="1">
        <f t="shared" si="15"/>
        <v>1.1184928540790684</v>
      </c>
      <c r="Z24">
        <v>0.40416666666666601</v>
      </c>
      <c r="AA24">
        <v>0.28749999999999998</v>
      </c>
      <c r="AB24">
        <v>0.52083333333333304</v>
      </c>
      <c r="AC24">
        <v>0</v>
      </c>
      <c r="AD24">
        <v>0</v>
      </c>
      <c r="AE24">
        <v>0</v>
      </c>
      <c r="AF24">
        <v>0.20686554005354199</v>
      </c>
      <c r="AG24">
        <v>0.102005251235584</v>
      </c>
      <c r="AH24">
        <v>9.3895438632619399E-2</v>
      </c>
      <c r="AI24">
        <v>3.1871975391268403E-2</v>
      </c>
      <c r="AJ24">
        <v>1.953125E-3</v>
      </c>
      <c r="AK24">
        <v>9.8013411243821798E-3</v>
      </c>
      <c r="AL24">
        <v>26.936296589999898</v>
      </c>
      <c r="AM24">
        <v>6.5483100801999896</v>
      </c>
    </row>
    <row r="25" spans="1:39" x14ac:dyDescent="0.4">
      <c r="A25" s="3" t="s">
        <v>176</v>
      </c>
      <c r="B25" t="s">
        <v>173</v>
      </c>
      <c r="C25">
        <v>21</v>
      </c>
      <c r="D25">
        <v>27</v>
      </c>
      <c r="E25">
        <v>114.33</v>
      </c>
      <c r="F25">
        <v>475</v>
      </c>
      <c r="G25" s="2">
        <f t="shared" si="0"/>
        <v>5.5499999999999847</v>
      </c>
      <c r="H25" s="2">
        <f t="shared" si="1"/>
        <v>5.7999999999999776</v>
      </c>
      <c r="I25" s="2">
        <f t="shared" si="2"/>
        <v>8.7499999999999982</v>
      </c>
      <c r="J25" s="2">
        <f t="shared" si="3"/>
        <v>0</v>
      </c>
      <c r="K25" s="2">
        <f t="shared" si="4"/>
        <v>0.22499999999999912</v>
      </c>
      <c r="L25" s="2">
        <f t="shared" si="5"/>
        <v>0.22499999999999912</v>
      </c>
      <c r="M25">
        <v>0</v>
      </c>
      <c r="N25" s="2">
        <f t="shared" si="6"/>
        <v>98.322010398613401</v>
      </c>
      <c r="O25" s="2">
        <f t="shared" si="7"/>
        <v>48.170363951473071</v>
      </c>
      <c r="P25" s="2">
        <f t="shared" si="8"/>
        <v>44.089081455805847</v>
      </c>
      <c r="Q25" s="2">
        <f t="shared" si="9"/>
        <v>13.420103986135135</v>
      </c>
      <c r="R25">
        <v>1</v>
      </c>
      <c r="S25" s="2">
        <f t="shared" si="10"/>
        <v>4.9818024263430827</v>
      </c>
      <c r="T25" s="2">
        <f t="shared" si="11"/>
        <v>125.01975736049951</v>
      </c>
      <c r="U25" s="2">
        <f t="shared" si="12"/>
        <v>35.855285961249947</v>
      </c>
      <c r="V25" s="1">
        <f t="shared" si="13"/>
        <v>9.8414923138677128</v>
      </c>
      <c r="W25" s="1">
        <f t="shared" si="14"/>
        <v>3.470670279911245</v>
      </c>
      <c r="X25" s="1">
        <f t="shared" si="15"/>
        <v>1.1735965744761949</v>
      </c>
      <c r="Z25">
        <v>0.20555555555555499</v>
      </c>
      <c r="AA25">
        <v>0.21481481481481399</v>
      </c>
      <c r="AB25">
        <v>0.32407407407407401</v>
      </c>
      <c r="AC25">
        <v>0</v>
      </c>
      <c r="AD25">
        <v>8.3333333333333003E-3</v>
      </c>
      <c r="AE25">
        <v>0</v>
      </c>
      <c r="AF25">
        <v>0.20699370610234399</v>
      </c>
      <c r="AG25">
        <v>0.101411292529417</v>
      </c>
      <c r="AH25">
        <v>9.28191188543281E-2</v>
      </c>
      <c r="AI25">
        <v>2.82528504971266E-2</v>
      </c>
      <c r="AJ25">
        <v>2.1052631578946999E-3</v>
      </c>
      <c r="AK25">
        <v>1.0488005108090699E-2</v>
      </c>
      <c r="AL25">
        <v>26.319948917999898</v>
      </c>
      <c r="AM25">
        <v>7.5484812549999898</v>
      </c>
    </row>
    <row r="26" spans="1:39" x14ac:dyDescent="0.4">
      <c r="A26" t="s">
        <v>159</v>
      </c>
      <c r="B26" t="s">
        <v>156</v>
      </c>
      <c r="C26">
        <v>31</v>
      </c>
      <c r="D26">
        <v>31</v>
      </c>
      <c r="E26">
        <v>196.67</v>
      </c>
      <c r="F26">
        <v>811</v>
      </c>
      <c r="G26" s="2">
        <f t="shared" si="0"/>
        <v>13.168749999999994</v>
      </c>
      <c r="H26" s="2">
        <f t="shared" si="1"/>
        <v>9.9062499999999929</v>
      </c>
      <c r="I26" s="2">
        <f t="shared" si="2"/>
        <v>17.421874999999986</v>
      </c>
      <c r="J26" s="2">
        <f t="shared" si="3"/>
        <v>0</v>
      </c>
      <c r="K26" s="2">
        <f t="shared" si="4"/>
        <v>0</v>
      </c>
      <c r="L26" s="2">
        <f t="shared" si="5"/>
        <v>0</v>
      </c>
      <c r="M26">
        <v>0</v>
      </c>
      <c r="N26" s="2">
        <f t="shared" si="6"/>
        <v>192.06844547563733</v>
      </c>
      <c r="O26" s="2">
        <f t="shared" si="7"/>
        <v>82.555452436194287</v>
      </c>
      <c r="P26" s="2">
        <f t="shared" si="8"/>
        <v>75.845359628770254</v>
      </c>
      <c r="Q26" s="2">
        <f t="shared" si="9"/>
        <v>15.037354988399047</v>
      </c>
      <c r="R26">
        <v>1</v>
      </c>
      <c r="S26" s="2">
        <f t="shared" si="10"/>
        <v>6.4580046403711959</v>
      </c>
      <c r="T26" s="2">
        <f t="shared" si="11"/>
        <v>168.28665891342999</v>
      </c>
      <c r="U26" s="2">
        <f t="shared" si="12"/>
        <v>43.794895590544002</v>
      </c>
      <c r="V26" s="1">
        <f t="shared" si="13"/>
        <v>7.7011233549645093</v>
      </c>
      <c r="W26" s="1">
        <f t="shared" si="14"/>
        <v>3.470830511307939</v>
      </c>
      <c r="X26" s="1">
        <f t="shared" si="15"/>
        <v>1.1992847972043594</v>
      </c>
      <c r="Z26">
        <v>0.42479838709677398</v>
      </c>
      <c r="AA26">
        <v>0.31955645161290303</v>
      </c>
      <c r="AB26">
        <v>0.56199596774193505</v>
      </c>
      <c r="AC26">
        <v>0</v>
      </c>
      <c r="AD26">
        <v>0</v>
      </c>
      <c r="AE26">
        <v>0</v>
      </c>
      <c r="AF26">
        <v>0.23682915595023099</v>
      </c>
      <c r="AG26">
        <v>0.10179463925548</v>
      </c>
      <c r="AH26">
        <v>9.3520788691455303E-2</v>
      </c>
      <c r="AI26">
        <v>1.8541744745251599E-2</v>
      </c>
      <c r="AJ26">
        <v>1.233045622688E-3</v>
      </c>
      <c r="AK26">
        <v>7.9630143531087497E-3</v>
      </c>
      <c r="AL26">
        <v>20.750512813</v>
      </c>
      <c r="AM26">
        <v>5.4001104303999998</v>
      </c>
    </row>
    <row r="27" spans="1:39" x14ac:dyDescent="0.4">
      <c r="A27" t="s">
        <v>36</v>
      </c>
      <c r="B27" t="s">
        <v>35</v>
      </c>
      <c r="C27">
        <v>30</v>
      </c>
      <c r="D27">
        <v>30</v>
      </c>
      <c r="E27">
        <v>185.67</v>
      </c>
      <c r="F27">
        <v>765</v>
      </c>
      <c r="G27" s="2">
        <f t="shared" si="0"/>
        <v>12.174193548387091</v>
      </c>
      <c r="H27" s="2">
        <f t="shared" si="1"/>
        <v>8.9129032258064402</v>
      </c>
      <c r="I27" s="2">
        <f t="shared" si="2"/>
        <v>16.716129032258038</v>
      </c>
      <c r="J27" s="2">
        <f t="shared" si="3"/>
        <v>0</v>
      </c>
      <c r="K27" s="2">
        <f t="shared" si="4"/>
        <v>0</v>
      </c>
      <c r="L27" s="2">
        <f t="shared" si="5"/>
        <v>0</v>
      </c>
      <c r="M27">
        <v>0</v>
      </c>
      <c r="N27" s="2">
        <f t="shared" si="6"/>
        <v>165.02664974619282</v>
      </c>
      <c r="O27" s="2">
        <f t="shared" si="7"/>
        <v>77.985913705583584</v>
      </c>
      <c r="P27" s="2">
        <f t="shared" si="8"/>
        <v>71.808502538071025</v>
      </c>
      <c r="Q27" s="2">
        <f t="shared" si="9"/>
        <v>18.911802030456816</v>
      </c>
      <c r="R27">
        <v>1</v>
      </c>
      <c r="S27" s="2">
        <f t="shared" si="10"/>
        <v>7.2299492385786479</v>
      </c>
      <c r="T27" s="2">
        <f t="shared" si="11"/>
        <v>183.3384517632</v>
      </c>
      <c r="U27" s="2">
        <f t="shared" si="12"/>
        <v>53.95583756429992</v>
      </c>
      <c r="V27" s="1">
        <f t="shared" si="13"/>
        <v>8.886982635152691</v>
      </c>
      <c r="W27" s="1">
        <f t="shared" si="14"/>
        <v>3.4807805398968021</v>
      </c>
      <c r="X27" s="1">
        <f t="shared" si="15"/>
        <v>1.1794177158964438</v>
      </c>
      <c r="Z27">
        <v>0.40580645161290302</v>
      </c>
      <c r="AA27">
        <v>0.29709677419354802</v>
      </c>
      <c r="AB27">
        <v>0.55720430107526797</v>
      </c>
      <c r="AC27">
        <v>0</v>
      </c>
      <c r="AD27">
        <v>0</v>
      </c>
      <c r="AE27">
        <v>0</v>
      </c>
      <c r="AF27">
        <v>0.21572111077933701</v>
      </c>
      <c r="AG27">
        <v>0.101942370856972</v>
      </c>
      <c r="AH27">
        <v>9.3867323579177805E-2</v>
      </c>
      <c r="AI27">
        <v>2.4721309843734399E-2</v>
      </c>
      <c r="AJ27">
        <v>1.3071895424836E-3</v>
      </c>
      <c r="AK27">
        <v>9.4509140373577102E-3</v>
      </c>
      <c r="AL27">
        <v>23.965810688000001</v>
      </c>
      <c r="AM27">
        <v>7.0530506619999898</v>
      </c>
    </row>
    <row r="28" spans="1:39" x14ac:dyDescent="0.4">
      <c r="A28" s="3" t="s">
        <v>52</v>
      </c>
      <c r="B28" t="s">
        <v>50</v>
      </c>
      <c r="C28">
        <v>27</v>
      </c>
      <c r="D28">
        <v>27</v>
      </c>
      <c r="E28">
        <v>158</v>
      </c>
      <c r="F28">
        <v>656</v>
      </c>
      <c r="G28" s="2">
        <f t="shared" si="0"/>
        <v>10.882142857142856</v>
      </c>
      <c r="H28" s="2">
        <f t="shared" si="1"/>
        <v>7.914285714285711</v>
      </c>
      <c r="I28" s="2">
        <f t="shared" si="2"/>
        <v>13.317857142857136</v>
      </c>
      <c r="J28" s="2">
        <f t="shared" si="3"/>
        <v>0</v>
      </c>
      <c r="K28" s="2">
        <f t="shared" si="4"/>
        <v>0</v>
      </c>
      <c r="L28" s="2">
        <f t="shared" si="5"/>
        <v>0</v>
      </c>
      <c r="M28">
        <v>0</v>
      </c>
      <c r="N28" s="2">
        <f t="shared" si="6"/>
        <v>136.86467065868251</v>
      </c>
      <c r="O28" s="2">
        <f t="shared" si="7"/>
        <v>66.670059880239165</v>
      </c>
      <c r="P28" s="2">
        <f t="shared" si="8"/>
        <v>61.432934131736452</v>
      </c>
      <c r="Q28" s="2">
        <f t="shared" si="9"/>
        <v>18.373652694610691</v>
      </c>
      <c r="R28">
        <v>1</v>
      </c>
      <c r="S28" s="2">
        <f t="shared" si="10"/>
        <v>6.262275449101768</v>
      </c>
      <c r="T28" s="2">
        <f t="shared" si="11"/>
        <v>170.91197603903998</v>
      </c>
      <c r="U28" s="2">
        <f t="shared" si="12"/>
        <v>51.046107785887934</v>
      </c>
      <c r="V28" s="1">
        <f t="shared" si="13"/>
        <v>9.7354923060212641</v>
      </c>
      <c r="W28" s="1">
        <f t="shared" si="14"/>
        <v>3.4993443492761269</v>
      </c>
      <c r="X28" s="1">
        <f t="shared" si="15"/>
        <v>1.1893087243327243</v>
      </c>
      <c r="Z28">
        <v>0.40304232804232798</v>
      </c>
      <c r="AA28">
        <v>0.29312169312169301</v>
      </c>
      <c r="AB28">
        <v>0.493253968253968</v>
      </c>
      <c r="AC28">
        <v>0</v>
      </c>
      <c r="AD28">
        <v>0</v>
      </c>
      <c r="AE28">
        <v>0</v>
      </c>
      <c r="AF28">
        <v>0.20863516868701601</v>
      </c>
      <c r="AG28">
        <v>0.10163118884182799</v>
      </c>
      <c r="AH28">
        <v>9.3647765444720199E-2</v>
      </c>
      <c r="AI28">
        <v>2.8008616912516299E-2</v>
      </c>
      <c r="AJ28">
        <v>1.5243902439024E-3</v>
      </c>
      <c r="AK28">
        <v>9.5461515992405002E-3</v>
      </c>
      <c r="AL28">
        <v>26.053654884</v>
      </c>
      <c r="AM28">
        <v>7.7814188697999898</v>
      </c>
    </row>
    <row r="29" spans="1:39" x14ac:dyDescent="0.4">
      <c r="A29" t="s">
        <v>154</v>
      </c>
      <c r="B29" t="s">
        <v>150</v>
      </c>
      <c r="C29">
        <v>30</v>
      </c>
      <c r="D29">
        <v>30</v>
      </c>
      <c r="E29">
        <v>182.33</v>
      </c>
      <c r="F29">
        <v>747</v>
      </c>
      <c r="G29" s="2">
        <f t="shared" si="0"/>
        <v>12.174193548387091</v>
      </c>
      <c r="H29" s="2">
        <f t="shared" si="1"/>
        <v>9.6129032258064306</v>
      </c>
      <c r="I29" s="2">
        <f t="shared" si="2"/>
        <v>15.02580645161289</v>
      </c>
      <c r="J29" s="2">
        <f t="shared" si="3"/>
        <v>0</v>
      </c>
      <c r="K29" s="2">
        <f t="shared" si="4"/>
        <v>0</v>
      </c>
      <c r="L29" s="2">
        <f t="shared" si="5"/>
        <v>0</v>
      </c>
      <c r="M29">
        <v>0</v>
      </c>
      <c r="N29" s="2">
        <f t="shared" si="6"/>
        <v>153.37795275590486</v>
      </c>
      <c r="O29" s="2">
        <f t="shared" si="7"/>
        <v>77.138976377952275</v>
      </c>
      <c r="P29" s="2">
        <f t="shared" si="8"/>
        <v>70.921653543306988</v>
      </c>
      <c r="Q29" s="2">
        <f t="shared" si="9"/>
        <v>22.98307086614167</v>
      </c>
      <c r="R29">
        <v>2</v>
      </c>
      <c r="S29" s="2">
        <f t="shared" si="10"/>
        <v>6.552755905511769</v>
      </c>
      <c r="T29" s="2">
        <f t="shared" si="11"/>
        <v>185.28188975756927</v>
      </c>
      <c r="U29" s="2">
        <f t="shared" si="12"/>
        <v>53.042125984217932</v>
      </c>
      <c r="V29" s="1">
        <f t="shared" si="13"/>
        <v>9.1457083739270733</v>
      </c>
      <c r="W29" s="1">
        <f t="shared" si="14"/>
        <v>3.5007671907517297</v>
      </c>
      <c r="X29" s="1">
        <f t="shared" si="15"/>
        <v>1.1321235054029659</v>
      </c>
      <c r="Z29">
        <v>0.40580645161290302</v>
      </c>
      <c r="AA29">
        <v>0.320430107526881</v>
      </c>
      <c r="AB29">
        <v>0.50086021505376299</v>
      </c>
      <c r="AC29">
        <v>0</v>
      </c>
      <c r="AD29">
        <v>0</v>
      </c>
      <c r="AE29">
        <v>0</v>
      </c>
      <c r="AF29">
        <v>0.205325237959712</v>
      </c>
      <c r="AG29">
        <v>0.10326502861841</v>
      </c>
      <c r="AH29">
        <v>9.4941972614868794E-2</v>
      </c>
      <c r="AI29">
        <v>3.07671631407519E-2</v>
      </c>
      <c r="AJ29">
        <v>2.6773761713519998E-3</v>
      </c>
      <c r="AK29">
        <v>8.7720962590518998E-3</v>
      </c>
      <c r="AL29">
        <v>24.803465830999901</v>
      </c>
      <c r="AM29">
        <v>7.1006862093999903</v>
      </c>
    </row>
    <row r="30" spans="1:39" x14ac:dyDescent="0.4">
      <c r="A30" s="3" t="s">
        <v>151</v>
      </c>
      <c r="B30" t="s">
        <v>150</v>
      </c>
      <c r="C30">
        <v>30</v>
      </c>
      <c r="D30">
        <v>30</v>
      </c>
      <c r="E30">
        <v>171</v>
      </c>
      <c r="F30">
        <v>695</v>
      </c>
      <c r="G30" s="2">
        <f t="shared" si="0"/>
        <v>11.474193548387069</v>
      </c>
      <c r="H30" s="2">
        <f t="shared" si="1"/>
        <v>8.9129032258064402</v>
      </c>
      <c r="I30" s="2">
        <f t="shared" si="2"/>
        <v>13.625806451612881</v>
      </c>
      <c r="J30" s="2">
        <f t="shared" si="3"/>
        <v>0</v>
      </c>
      <c r="K30" s="2">
        <f t="shared" si="4"/>
        <v>0</v>
      </c>
      <c r="L30" s="2">
        <f t="shared" si="5"/>
        <v>0</v>
      </c>
      <c r="M30">
        <v>0</v>
      </c>
      <c r="N30" s="2">
        <f t="shared" si="6"/>
        <v>144.38413793103436</v>
      </c>
      <c r="O30" s="2">
        <f t="shared" si="7"/>
        <v>72.385517241379247</v>
      </c>
      <c r="P30" s="2">
        <f t="shared" si="8"/>
        <v>66.559310344827537</v>
      </c>
      <c r="Q30" s="2">
        <f t="shared" si="9"/>
        <v>22.63379310344823</v>
      </c>
      <c r="R30">
        <v>1</v>
      </c>
      <c r="S30" s="2">
        <f t="shared" si="10"/>
        <v>6.2131034482758274</v>
      </c>
      <c r="T30" s="2">
        <f t="shared" si="11"/>
        <v>163.64689656835</v>
      </c>
      <c r="U30" s="2">
        <f t="shared" si="12"/>
        <v>44.438620691764996</v>
      </c>
      <c r="V30" s="1">
        <f t="shared" si="13"/>
        <v>8.6129945562289478</v>
      </c>
      <c r="W30" s="1">
        <f t="shared" si="14"/>
        <v>3.5031215970961864</v>
      </c>
      <c r="X30" s="1">
        <f t="shared" si="15"/>
        <v>1.1042266586128617</v>
      </c>
      <c r="Z30">
        <v>0.38247311827956898</v>
      </c>
      <c r="AA30">
        <v>0.29709677419354802</v>
      </c>
      <c r="AB30">
        <v>0.45419354838709602</v>
      </c>
      <c r="AC30">
        <v>0</v>
      </c>
      <c r="AD30">
        <v>0</v>
      </c>
      <c r="AE30">
        <v>0</v>
      </c>
      <c r="AF30">
        <v>0.20774696105184801</v>
      </c>
      <c r="AG30">
        <v>0.10415182336889101</v>
      </c>
      <c r="AH30">
        <v>9.5768791863061198E-2</v>
      </c>
      <c r="AI30">
        <v>3.2566608781939899E-2</v>
      </c>
      <c r="AJ30">
        <v>1.4388489208633001E-3</v>
      </c>
      <c r="AK30">
        <v>8.93971719176378E-3</v>
      </c>
      <c r="AL30">
        <v>23.546316053000002</v>
      </c>
      <c r="AM30">
        <v>6.3940461426999997</v>
      </c>
    </row>
    <row r="31" spans="1:39" x14ac:dyDescent="0.4">
      <c r="A31" t="s">
        <v>164</v>
      </c>
      <c r="B31" t="s">
        <v>162</v>
      </c>
      <c r="C31">
        <v>28</v>
      </c>
      <c r="D31">
        <v>28</v>
      </c>
      <c r="E31">
        <v>167.67</v>
      </c>
      <c r="F31">
        <v>685</v>
      </c>
      <c r="G31" s="2">
        <f t="shared" si="0"/>
        <v>11.222580645161285</v>
      </c>
      <c r="H31" s="2">
        <f t="shared" si="1"/>
        <v>8.0387096774193445</v>
      </c>
      <c r="I31" s="2">
        <f t="shared" si="2"/>
        <v>13.977419354838688</v>
      </c>
      <c r="J31" s="2">
        <f t="shared" si="3"/>
        <v>0</v>
      </c>
      <c r="K31" s="2">
        <f t="shared" si="4"/>
        <v>0</v>
      </c>
      <c r="L31" s="2">
        <f t="shared" si="5"/>
        <v>0</v>
      </c>
      <c r="M31">
        <v>0</v>
      </c>
      <c r="N31" s="2">
        <f t="shared" si="6"/>
        <v>149.00263504611289</v>
      </c>
      <c r="O31" s="2">
        <f t="shared" si="7"/>
        <v>71.840184453227636</v>
      </c>
      <c r="P31" s="2">
        <f t="shared" si="8"/>
        <v>65.617918313570385</v>
      </c>
      <c r="Q31" s="2">
        <f t="shared" si="9"/>
        <v>18.035046113306915</v>
      </c>
      <c r="R31">
        <v>1</v>
      </c>
      <c r="S31" s="2">
        <f t="shared" si="10"/>
        <v>6.3660079051383143</v>
      </c>
      <c r="T31" s="2">
        <f t="shared" si="11"/>
        <v>172.76943348294932</v>
      </c>
      <c r="U31" s="2">
        <f t="shared" si="12"/>
        <v>47.282872198684935</v>
      </c>
      <c r="V31" s="1">
        <f t="shared" si="13"/>
        <v>9.273721604023045</v>
      </c>
      <c r="W31" s="1">
        <f t="shared" si="14"/>
        <v>3.5221641606854743</v>
      </c>
      <c r="X31" s="1">
        <f t="shared" si="15"/>
        <v>1.1706656363380321</v>
      </c>
      <c r="Z31">
        <v>0.40080645161290301</v>
      </c>
      <c r="AA31">
        <v>0.28709677419354801</v>
      </c>
      <c r="AB31">
        <v>0.49919354838709601</v>
      </c>
      <c r="AC31">
        <v>0</v>
      </c>
      <c r="AD31">
        <v>0</v>
      </c>
      <c r="AE31">
        <v>0</v>
      </c>
      <c r="AF31">
        <v>0.21752209495782901</v>
      </c>
      <c r="AG31">
        <v>0.104876181683544</v>
      </c>
      <c r="AH31">
        <v>9.5792581479664796E-2</v>
      </c>
      <c r="AI31">
        <v>2.6328534471980899E-2</v>
      </c>
      <c r="AJ31">
        <v>1.4598540145984999E-3</v>
      </c>
      <c r="AK31">
        <v>9.2934421972822104E-3</v>
      </c>
      <c r="AL31">
        <v>25.221815106999902</v>
      </c>
      <c r="AM31">
        <v>6.9026090800999897</v>
      </c>
    </row>
    <row r="32" spans="1:39" x14ac:dyDescent="0.4">
      <c r="A32" t="s">
        <v>169</v>
      </c>
      <c r="B32" t="s">
        <v>166</v>
      </c>
      <c r="C32">
        <v>24</v>
      </c>
      <c r="D32">
        <v>27</v>
      </c>
      <c r="E32">
        <v>140</v>
      </c>
      <c r="F32">
        <v>573</v>
      </c>
      <c r="G32" s="2">
        <f t="shared" si="0"/>
        <v>8.9058823529411519</v>
      </c>
      <c r="H32" s="2">
        <f t="shared" si="1"/>
        <v>6.3294117647058634</v>
      </c>
      <c r="I32" s="2">
        <f t="shared" si="2"/>
        <v>11.273529411764684</v>
      </c>
      <c r="J32" s="2">
        <f t="shared" si="3"/>
        <v>0</v>
      </c>
      <c r="K32" s="2">
        <f t="shared" si="4"/>
        <v>0.23823529411764663</v>
      </c>
      <c r="L32" s="2">
        <f t="shared" si="5"/>
        <v>0.23823529411764663</v>
      </c>
      <c r="M32">
        <v>0</v>
      </c>
      <c r="N32" s="2">
        <f t="shared" si="6"/>
        <v>120.68782742680996</v>
      </c>
      <c r="O32" s="2">
        <f t="shared" si="7"/>
        <v>60.043913713404734</v>
      </c>
      <c r="P32" s="2">
        <f t="shared" si="8"/>
        <v>55.135747303543852</v>
      </c>
      <c r="Q32" s="2">
        <f t="shared" si="9"/>
        <v>16.842526964560779</v>
      </c>
      <c r="R32">
        <v>1</v>
      </c>
      <c r="S32" s="2">
        <f t="shared" si="10"/>
        <v>4.6540832049306422</v>
      </c>
      <c r="T32" s="2">
        <f t="shared" si="11"/>
        <v>147.87457625582942</v>
      </c>
      <c r="U32" s="2">
        <f t="shared" si="12"/>
        <v>41.329275810134945</v>
      </c>
      <c r="V32" s="1">
        <f t="shared" si="13"/>
        <v>9.5062227593033199</v>
      </c>
      <c r="W32" s="1">
        <f t="shared" si="14"/>
        <v>3.5444408980849618</v>
      </c>
      <c r="X32" s="1">
        <f t="shared" si="15"/>
        <v>1.1572650231210351</v>
      </c>
      <c r="Z32">
        <v>0.32984749455337598</v>
      </c>
      <c r="AA32">
        <v>0.23442265795206901</v>
      </c>
      <c r="AB32">
        <v>0.41753812636165499</v>
      </c>
      <c r="AC32">
        <v>0</v>
      </c>
      <c r="AD32">
        <v>8.8235294117646901E-3</v>
      </c>
      <c r="AE32">
        <v>0</v>
      </c>
      <c r="AF32">
        <v>0.21062448067506101</v>
      </c>
      <c r="AG32">
        <v>0.10478868012810599</v>
      </c>
      <c r="AH32">
        <v>9.6222944683322598E-2</v>
      </c>
      <c r="AI32">
        <v>2.93935898159874E-2</v>
      </c>
      <c r="AJ32">
        <v>1.7452006980801999E-3</v>
      </c>
      <c r="AK32">
        <v>8.1223092581686595E-3</v>
      </c>
      <c r="AL32">
        <v>25.807081370999899</v>
      </c>
      <c r="AM32">
        <v>7.2127880994999902</v>
      </c>
    </row>
    <row r="33" spans="1:39" x14ac:dyDescent="0.4">
      <c r="A33" s="3" t="s">
        <v>79</v>
      </c>
      <c r="B33" t="s">
        <v>76</v>
      </c>
      <c r="C33">
        <v>29</v>
      </c>
      <c r="D33">
        <v>29</v>
      </c>
      <c r="E33">
        <v>170.67</v>
      </c>
      <c r="F33">
        <v>701</v>
      </c>
      <c r="G33" s="2">
        <f t="shared" si="0"/>
        <v>11.299999999999997</v>
      </c>
      <c r="H33" s="2">
        <f t="shared" si="1"/>
        <v>8.9999999999999751</v>
      </c>
      <c r="I33" s="2">
        <f t="shared" si="2"/>
        <v>13.499999999999989</v>
      </c>
      <c r="J33" s="2">
        <f t="shared" si="3"/>
        <v>0</v>
      </c>
      <c r="K33" s="2">
        <f t="shared" si="4"/>
        <v>0</v>
      </c>
      <c r="L33" s="2">
        <f t="shared" si="5"/>
        <v>0</v>
      </c>
      <c r="M33">
        <v>0</v>
      </c>
      <c r="N33" s="2">
        <f t="shared" si="6"/>
        <v>147.86434426229471</v>
      </c>
      <c r="O33" s="2">
        <f t="shared" si="7"/>
        <v>73.076639344261764</v>
      </c>
      <c r="P33" s="2">
        <f t="shared" si="8"/>
        <v>67.254508196721233</v>
      </c>
      <c r="Q33" s="2">
        <f t="shared" si="9"/>
        <v>22.318169398907084</v>
      </c>
      <c r="R33">
        <v>1</v>
      </c>
      <c r="S33" s="2">
        <f t="shared" si="10"/>
        <v>6.9110655737704718</v>
      </c>
      <c r="T33" s="2">
        <f t="shared" si="11"/>
        <v>174.66393439676929</v>
      </c>
      <c r="U33" s="2">
        <f t="shared" si="12"/>
        <v>47.317759562774931</v>
      </c>
      <c r="V33" s="1">
        <f t="shared" si="13"/>
        <v>9.2106135206593063</v>
      </c>
      <c r="W33" s="1">
        <f t="shared" si="14"/>
        <v>3.5465551870304748</v>
      </c>
      <c r="X33" s="1">
        <f t="shared" si="15"/>
        <v>1.1436228032171423</v>
      </c>
      <c r="Z33">
        <v>0.38965517241379299</v>
      </c>
      <c r="AA33">
        <v>0.31034482758620602</v>
      </c>
      <c r="AB33">
        <v>0.46551724137931</v>
      </c>
      <c r="AC33">
        <v>0</v>
      </c>
      <c r="AD33">
        <v>0</v>
      </c>
      <c r="AE33">
        <v>0</v>
      </c>
      <c r="AF33">
        <v>0.21093344402609801</v>
      </c>
      <c r="AG33">
        <v>0.10424627581207099</v>
      </c>
      <c r="AH33">
        <v>9.5940810551670794E-2</v>
      </c>
      <c r="AI33">
        <v>3.1837616831536499E-2</v>
      </c>
      <c r="AJ33">
        <v>1.4265335235377999E-3</v>
      </c>
      <c r="AK33">
        <v>9.8588667243516004E-3</v>
      </c>
      <c r="AL33">
        <v>24.916395776999899</v>
      </c>
      <c r="AM33">
        <v>6.7500370274999897</v>
      </c>
    </row>
    <row r="34" spans="1:39" x14ac:dyDescent="0.4">
      <c r="A34" s="3" t="s">
        <v>102</v>
      </c>
      <c r="B34" t="s">
        <v>100</v>
      </c>
      <c r="C34">
        <v>22</v>
      </c>
      <c r="D34">
        <v>23</v>
      </c>
      <c r="E34">
        <v>131.33000000000001</v>
      </c>
      <c r="F34">
        <v>538</v>
      </c>
      <c r="G34" s="2">
        <v>8</v>
      </c>
      <c r="H34" s="2">
        <v>5</v>
      </c>
      <c r="I34" s="2">
        <v>11</v>
      </c>
      <c r="J34" s="2">
        <v>0</v>
      </c>
      <c r="K34" s="2">
        <v>0</v>
      </c>
      <c r="L34" s="2">
        <f t="shared" ref="L34:L65" si="16">J34+K34</f>
        <v>0</v>
      </c>
      <c r="M34" s="2">
        <v>0</v>
      </c>
      <c r="N34" s="2">
        <v>107</v>
      </c>
      <c r="O34" s="2">
        <v>56</v>
      </c>
      <c r="P34" s="2">
        <v>52</v>
      </c>
      <c r="Q34" s="2">
        <v>15</v>
      </c>
      <c r="R34" s="2">
        <v>1</v>
      </c>
      <c r="S34" s="2">
        <v>6</v>
      </c>
      <c r="T34" s="2">
        <f t="shared" ref="T34:T65" si="17">$F34*(AL34/100)</f>
        <v>165.70400000000001</v>
      </c>
      <c r="U34" s="2">
        <f t="shared" ref="U34:U65" si="18">$F34*(AM34/100)</f>
        <v>37.122</v>
      </c>
      <c r="V34" s="1">
        <f t="shared" ref="V34:V65" si="19">T34/E34*9</f>
        <v>11.355638467981422</v>
      </c>
      <c r="W34" s="1">
        <f t="shared" ref="W34:W65" si="20">P34/E34*9</f>
        <v>3.5635422218838038</v>
      </c>
      <c r="X34" s="1">
        <f t="shared" ref="X34:X65" si="21">(U34+N34)/E34</f>
        <v>1.0974034873981573</v>
      </c>
      <c r="AL34">
        <v>30.8</v>
      </c>
      <c r="AM34">
        <v>6.9</v>
      </c>
    </row>
    <row r="35" spans="1:39" x14ac:dyDescent="0.4">
      <c r="A35" t="s">
        <v>65</v>
      </c>
      <c r="B35" t="s">
        <v>63</v>
      </c>
      <c r="C35">
        <v>29</v>
      </c>
      <c r="D35">
        <v>29</v>
      </c>
      <c r="E35">
        <v>168.33</v>
      </c>
      <c r="F35">
        <v>695</v>
      </c>
      <c r="G35" s="2">
        <f t="shared" ref="G35:G66" si="22">$D35*Z35</f>
        <v>11.299999999999997</v>
      </c>
      <c r="H35" s="2">
        <f t="shared" ref="H35:H66" si="23">$D35*AA35</f>
        <v>8.2999999999999954</v>
      </c>
      <c r="I35" s="2">
        <f t="shared" ref="I35:I66" si="24">$D35*AB35</f>
        <v>13.899999999999993</v>
      </c>
      <c r="J35" s="2">
        <f t="shared" ref="J35:J66" si="25">$D35*AC35</f>
        <v>0</v>
      </c>
      <c r="K35" s="2">
        <f t="shared" ref="K35:K66" si="26">$D35*AD35</f>
        <v>0</v>
      </c>
      <c r="L35" s="2">
        <f t="shared" si="16"/>
        <v>0</v>
      </c>
      <c r="M35">
        <v>0</v>
      </c>
      <c r="N35" s="2">
        <f t="shared" ref="N35:N66" si="27">$F35*AF35</f>
        <v>155.01089108910867</v>
      </c>
      <c r="O35" s="2">
        <f t="shared" ref="O35:O66" si="28">$F35*AG35</f>
        <v>73.597029702969792</v>
      </c>
      <c r="P35" s="2">
        <f t="shared" ref="P35:P66" si="29">$F35*AH35</f>
        <v>66.980198019801875</v>
      </c>
      <c r="Q35" s="2">
        <f t="shared" ref="Q35:Q66" si="30">$F35*AI35</f>
        <v>17.486138613861318</v>
      </c>
      <c r="R35">
        <v>1</v>
      </c>
      <c r="S35" s="2">
        <f t="shared" ref="S35:S66" si="31">$F35*AK35</f>
        <v>6.2643564356435304</v>
      </c>
      <c r="T35" s="2">
        <f t="shared" si="17"/>
        <v>161.36336633639999</v>
      </c>
      <c r="U35" s="2">
        <f t="shared" si="18"/>
        <v>45.453465345589997</v>
      </c>
      <c r="V35" s="1">
        <f t="shared" si="19"/>
        <v>8.6275191411370518</v>
      </c>
      <c r="W35" s="1">
        <f t="shared" si="20"/>
        <v>3.5811904127500553</v>
      </c>
      <c r="X35" s="1">
        <f t="shared" si="21"/>
        <v>1.1909009471555791</v>
      </c>
      <c r="Z35">
        <v>0.38965517241379299</v>
      </c>
      <c r="AA35">
        <v>0.28620689655172399</v>
      </c>
      <c r="AB35">
        <v>0.479310344827586</v>
      </c>
      <c r="AC35">
        <v>0</v>
      </c>
      <c r="AD35">
        <v>0</v>
      </c>
      <c r="AE35">
        <v>0</v>
      </c>
      <c r="AF35">
        <v>0.22303725336562399</v>
      </c>
      <c r="AG35">
        <v>0.105895006766863</v>
      </c>
      <c r="AH35">
        <v>9.6374385640002697E-2</v>
      </c>
      <c r="AI35">
        <v>2.5159911674620599E-2</v>
      </c>
      <c r="AJ35">
        <v>1.4388489208633001E-3</v>
      </c>
      <c r="AK35">
        <v>9.0134624973288203E-3</v>
      </c>
      <c r="AL35">
        <v>23.217750551999998</v>
      </c>
      <c r="AM35">
        <v>6.5400669561999996</v>
      </c>
    </row>
    <row r="36" spans="1:39" x14ac:dyDescent="0.4">
      <c r="A36" t="s">
        <v>120</v>
      </c>
      <c r="B36" t="s">
        <v>118</v>
      </c>
      <c r="C36">
        <v>28</v>
      </c>
      <c r="D36">
        <v>28</v>
      </c>
      <c r="E36">
        <v>163.66999999999999</v>
      </c>
      <c r="F36">
        <v>661</v>
      </c>
      <c r="G36" s="2">
        <f t="shared" si="22"/>
        <v>10.299999999999976</v>
      </c>
      <c r="H36" s="2">
        <f t="shared" si="23"/>
        <v>8.6999999999999797</v>
      </c>
      <c r="I36" s="2">
        <f t="shared" si="24"/>
        <v>13.899999999999988</v>
      </c>
      <c r="J36" s="2">
        <f t="shared" si="25"/>
        <v>0</v>
      </c>
      <c r="K36" s="2">
        <f t="shared" si="26"/>
        <v>0</v>
      </c>
      <c r="L36" s="2">
        <f t="shared" si="16"/>
        <v>0</v>
      </c>
      <c r="M36">
        <v>0</v>
      </c>
      <c r="N36" s="2">
        <f t="shared" si="27"/>
        <v>136.72065217391292</v>
      </c>
      <c r="O36" s="2">
        <f t="shared" si="28"/>
        <v>71.356521739130386</v>
      </c>
      <c r="P36" s="2">
        <f t="shared" si="29"/>
        <v>65.245652173912973</v>
      </c>
      <c r="Q36" s="2">
        <f t="shared" si="30"/>
        <v>24.743478260869544</v>
      </c>
      <c r="R36">
        <v>1</v>
      </c>
      <c r="S36" s="2">
        <f t="shared" si="31"/>
        <v>6.7475155279502781</v>
      </c>
      <c r="T36" s="2">
        <f t="shared" si="17"/>
        <v>176.85978259681934</v>
      </c>
      <c r="U36" s="2">
        <f t="shared" si="18"/>
        <v>37.802173912397997</v>
      </c>
      <c r="V36" s="1">
        <f t="shared" si="19"/>
        <v>9.7252889556508482</v>
      </c>
      <c r="W36" s="1">
        <f t="shared" si="20"/>
        <v>3.5877733828143015</v>
      </c>
      <c r="X36" s="1">
        <f t="shared" si="21"/>
        <v>1.066309195859418</v>
      </c>
      <c r="Z36">
        <v>0.36785714285714199</v>
      </c>
      <c r="AA36">
        <v>0.310714285714285</v>
      </c>
      <c r="AB36">
        <v>0.496428571428571</v>
      </c>
      <c r="AC36">
        <v>0</v>
      </c>
      <c r="AD36">
        <v>0</v>
      </c>
      <c r="AE36">
        <v>0</v>
      </c>
      <c r="AF36">
        <v>0.206839110701835</v>
      </c>
      <c r="AG36">
        <v>0.10795237782016701</v>
      </c>
      <c r="AH36">
        <v>9.8707491942379696E-2</v>
      </c>
      <c r="AI36">
        <v>3.7433401302374499E-2</v>
      </c>
      <c r="AJ36">
        <v>1.5128593040847E-3</v>
      </c>
      <c r="AK36">
        <v>1.02080416459157E-2</v>
      </c>
      <c r="AL36">
        <v>26.756396761999898</v>
      </c>
      <c r="AM36">
        <v>5.7189370518000002</v>
      </c>
    </row>
    <row r="37" spans="1:39" x14ac:dyDescent="0.4">
      <c r="A37" s="3" t="s">
        <v>87</v>
      </c>
      <c r="B37" t="s">
        <v>86</v>
      </c>
      <c r="C37">
        <v>29</v>
      </c>
      <c r="D37">
        <v>29</v>
      </c>
      <c r="E37">
        <v>167.33</v>
      </c>
      <c r="F37">
        <v>703</v>
      </c>
      <c r="G37" s="2">
        <f t="shared" si="22"/>
        <v>11.999999999999975</v>
      </c>
      <c r="H37" s="2">
        <f t="shared" si="23"/>
        <v>8.9999999999999751</v>
      </c>
      <c r="I37" s="2">
        <f t="shared" si="24"/>
        <v>14.899999999999975</v>
      </c>
      <c r="J37" s="2">
        <f t="shared" si="25"/>
        <v>0</v>
      </c>
      <c r="K37" s="2">
        <f t="shared" si="26"/>
        <v>0</v>
      </c>
      <c r="L37" s="2">
        <f t="shared" si="16"/>
        <v>0</v>
      </c>
      <c r="M37">
        <v>0</v>
      </c>
      <c r="N37" s="2">
        <f t="shared" si="27"/>
        <v>147.61782178217771</v>
      </c>
      <c r="O37" s="2">
        <f t="shared" si="28"/>
        <v>72.914851485148006</v>
      </c>
      <c r="P37" s="2">
        <f t="shared" si="29"/>
        <v>66.938613861386116</v>
      </c>
      <c r="Q37" s="2">
        <f t="shared" si="30"/>
        <v>17.532673267326704</v>
      </c>
      <c r="R37">
        <v>1</v>
      </c>
      <c r="S37" s="2">
        <f t="shared" si="31"/>
        <v>6.2881188118811329</v>
      </c>
      <c r="T37" s="2">
        <f t="shared" si="17"/>
        <v>177.99108910940998</v>
      </c>
      <c r="U37" s="2">
        <f t="shared" si="18"/>
        <v>58.466336632617001</v>
      </c>
      <c r="V37" s="1">
        <f t="shared" si="19"/>
        <v>9.5734166137852732</v>
      </c>
      <c r="W37" s="1">
        <f t="shared" si="20"/>
        <v>3.6003557326987092</v>
      </c>
      <c r="X37" s="1">
        <f t="shared" si="21"/>
        <v>1.231603169872675</v>
      </c>
      <c r="Z37">
        <v>0.41379310344827502</v>
      </c>
      <c r="AA37">
        <v>0.31034482758620602</v>
      </c>
      <c r="AB37">
        <v>0.513793103448275</v>
      </c>
      <c r="AC37">
        <v>0</v>
      </c>
      <c r="AD37">
        <v>0</v>
      </c>
      <c r="AE37">
        <v>0</v>
      </c>
      <c r="AF37">
        <v>0.20998267678830401</v>
      </c>
      <c r="AG37">
        <v>0.10371956114530299</v>
      </c>
      <c r="AH37">
        <v>9.52185118938636E-2</v>
      </c>
      <c r="AI37">
        <v>2.49397912764249E-2</v>
      </c>
      <c r="AJ37">
        <v>1.4224751066855999E-3</v>
      </c>
      <c r="AK37">
        <v>8.9446924777825502E-3</v>
      </c>
      <c r="AL37">
        <v>25.318789346999999</v>
      </c>
      <c r="AM37">
        <v>8.3166908439</v>
      </c>
    </row>
    <row r="38" spans="1:39" x14ac:dyDescent="0.4">
      <c r="A38" s="3" t="s">
        <v>167</v>
      </c>
      <c r="B38" t="s">
        <v>166</v>
      </c>
      <c r="C38">
        <v>28</v>
      </c>
      <c r="D38">
        <v>28</v>
      </c>
      <c r="E38">
        <v>152</v>
      </c>
      <c r="F38">
        <v>630</v>
      </c>
      <c r="G38" s="2">
        <f t="shared" si="22"/>
        <v>10.475862068965496</v>
      </c>
      <c r="H38" s="2">
        <f t="shared" si="23"/>
        <v>8.9068965517241363</v>
      </c>
      <c r="I38" s="2">
        <f t="shared" si="24"/>
        <v>12.624137931034475</v>
      </c>
      <c r="J38" s="2">
        <f t="shared" si="25"/>
        <v>0</v>
      </c>
      <c r="K38" s="2">
        <f t="shared" si="26"/>
        <v>0</v>
      </c>
      <c r="L38" s="2">
        <f t="shared" si="16"/>
        <v>0</v>
      </c>
      <c r="M38">
        <v>0</v>
      </c>
      <c r="N38" s="2">
        <f t="shared" si="27"/>
        <v>124.91597717546347</v>
      </c>
      <c r="O38" s="2">
        <f t="shared" si="28"/>
        <v>66.595292439372272</v>
      </c>
      <c r="P38" s="2">
        <f t="shared" si="29"/>
        <v>61.020684736091262</v>
      </c>
      <c r="Q38" s="2">
        <f t="shared" si="30"/>
        <v>20.440228245363674</v>
      </c>
      <c r="R38">
        <v>1</v>
      </c>
      <c r="S38" s="2">
        <f t="shared" si="31"/>
        <v>7.4873038516404664</v>
      </c>
      <c r="T38" s="2">
        <f t="shared" si="17"/>
        <v>159.98002854120003</v>
      </c>
      <c r="U38" s="2">
        <f t="shared" si="18"/>
        <v>53.016975750059999</v>
      </c>
      <c r="V38" s="1">
        <f t="shared" si="19"/>
        <v>9.4725016899394756</v>
      </c>
      <c r="W38" s="1">
        <f t="shared" si="20"/>
        <v>3.6130668593738249</v>
      </c>
      <c r="X38" s="1">
        <f t="shared" si="21"/>
        <v>1.1706115324047597</v>
      </c>
      <c r="Z38">
        <v>0.37413793103448201</v>
      </c>
      <c r="AA38">
        <v>0.31810344827586201</v>
      </c>
      <c r="AB38">
        <v>0.450862068965517</v>
      </c>
      <c r="AC38">
        <v>0</v>
      </c>
      <c r="AD38">
        <v>0</v>
      </c>
      <c r="AE38">
        <v>0</v>
      </c>
      <c r="AF38">
        <v>0.19827932884994201</v>
      </c>
      <c r="AG38">
        <v>0.10570681339582901</v>
      </c>
      <c r="AH38">
        <v>9.6858229739827398E-2</v>
      </c>
      <c r="AI38">
        <v>3.2444806738672498E-2</v>
      </c>
      <c r="AJ38">
        <v>1.5873015873014999E-3</v>
      </c>
      <c r="AK38">
        <v>1.18846092883182E-2</v>
      </c>
      <c r="AL38">
        <v>25.393655324000001</v>
      </c>
      <c r="AM38">
        <v>8.4153929761999997</v>
      </c>
    </row>
    <row r="39" spans="1:39" x14ac:dyDescent="0.4">
      <c r="A39" t="s">
        <v>78</v>
      </c>
      <c r="B39" t="s">
        <v>76</v>
      </c>
      <c r="C39">
        <v>14</v>
      </c>
      <c r="D39">
        <v>19</v>
      </c>
      <c r="E39">
        <v>85.33</v>
      </c>
      <c r="F39">
        <v>352</v>
      </c>
      <c r="G39" s="2">
        <f t="shared" si="22"/>
        <v>4.411999999999991</v>
      </c>
      <c r="H39" s="2">
        <f t="shared" si="23"/>
        <v>3.4839999999999889</v>
      </c>
      <c r="I39" s="2">
        <f t="shared" si="24"/>
        <v>6.9519999999999946</v>
      </c>
      <c r="J39" s="2">
        <f t="shared" si="25"/>
        <v>0</v>
      </c>
      <c r="K39" s="2">
        <f t="shared" si="26"/>
        <v>0.92799999999999816</v>
      </c>
      <c r="L39" s="2">
        <f t="shared" si="16"/>
        <v>0.92799999999999816</v>
      </c>
      <c r="M39">
        <v>0</v>
      </c>
      <c r="N39" s="2">
        <f t="shared" si="27"/>
        <v>79.10745501285335</v>
      </c>
      <c r="O39" s="2">
        <f t="shared" si="28"/>
        <v>37.070179948586045</v>
      </c>
      <c r="P39" s="2">
        <f t="shared" si="29"/>
        <v>34.269922879177322</v>
      </c>
      <c r="Q39" s="2">
        <f t="shared" si="30"/>
        <v>9.3341902313624452</v>
      </c>
      <c r="R39">
        <v>0</v>
      </c>
      <c r="S39" s="2">
        <f t="shared" si="31"/>
        <v>2.4858611825192463</v>
      </c>
      <c r="T39" s="2">
        <f t="shared" si="17"/>
        <v>82.207712086719994</v>
      </c>
      <c r="U39" s="2">
        <f t="shared" si="18"/>
        <v>20.868637532160001</v>
      </c>
      <c r="V39" s="1">
        <f t="shared" si="19"/>
        <v>8.6706833327139332</v>
      </c>
      <c r="W39" s="1">
        <f t="shared" si="20"/>
        <v>3.6145471219101832</v>
      </c>
      <c r="X39" s="1">
        <f t="shared" si="21"/>
        <v>1.1716406017228802</v>
      </c>
      <c r="Z39">
        <v>0.23221052631578901</v>
      </c>
      <c r="AA39">
        <v>0.18336842105263099</v>
      </c>
      <c r="AB39">
        <v>0.365894736842105</v>
      </c>
      <c r="AC39">
        <v>0</v>
      </c>
      <c r="AD39">
        <v>4.8842105263157798E-2</v>
      </c>
      <c r="AE39">
        <v>0</v>
      </c>
      <c r="AF39">
        <v>0.224737088104697</v>
      </c>
      <c r="AG39">
        <v>0.105313011217574</v>
      </c>
      <c r="AH39">
        <v>9.7357735452208299E-2</v>
      </c>
      <c r="AI39">
        <v>2.65175858845524E-2</v>
      </c>
      <c r="AJ39">
        <v>0</v>
      </c>
      <c r="AK39">
        <v>7.06210563215695E-3</v>
      </c>
      <c r="AL39">
        <v>23.354463661</v>
      </c>
      <c r="AM39">
        <v>5.9285902080000001</v>
      </c>
    </row>
    <row r="40" spans="1:39" x14ac:dyDescent="0.4">
      <c r="A40" t="s">
        <v>114</v>
      </c>
      <c r="B40" t="s">
        <v>112</v>
      </c>
      <c r="C40">
        <v>29</v>
      </c>
      <c r="D40">
        <v>29</v>
      </c>
      <c r="E40">
        <v>168.33</v>
      </c>
      <c r="F40">
        <v>696</v>
      </c>
      <c r="G40" s="2">
        <f t="shared" si="22"/>
        <v>11.348387096774177</v>
      </c>
      <c r="H40" s="2">
        <f t="shared" si="23"/>
        <v>8.8258064516128965</v>
      </c>
      <c r="I40" s="2">
        <f t="shared" si="24"/>
        <v>13.451612903225781</v>
      </c>
      <c r="J40" s="2">
        <f t="shared" si="25"/>
        <v>0</v>
      </c>
      <c r="K40" s="2">
        <f t="shared" si="26"/>
        <v>0</v>
      </c>
      <c r="L40" s="2">
        <f t="shared" si="16"/>
        <v>0</v>
      </c>
      <c r="M40">
        <v>0</v>
      </c>
      <c r="N40" s="2">
        <f t="shared" si="27"/>
        <v>137.82324324324298</v>
      </c>
      <c r="O40" s="2">
        <f t="shared" si="28"/>
        <v>73.795135135134686</v>
      </c>
      <c r="P40" s="2">
        <f t="shared" si="29"/>
        <v>68.044864864864778</v>
      </c>
      <c r="Q40" s="2">
        <f t="shared" si="30"/>
        <v>22.701081081081025</v>
      </c>
      <c r="R40">
        <v>1</v>
      </c>
      <c r="S40" s="2">
        <f t="shared" si="31"/>
        <v>7.8572972972972304</v>
      </c>
      <c r="T40" s="2">
        <f t="shared" si="17"/>
        <v>188.91729729335927</v>
      </c>
      <c r="U40" s="2">
        <f t="shared" si="18"/>
        <v>59.477837839848</v>
      </c>
      <c r="V40" s="1">
        <f t="shared" si="19"/>
        <v>10.100728780610904</v>
      </c>
      <c r="W40" s="1">
        <f t="shared" si="20"/>
        <v>3.6381143217714187</v>
      </c>
      <c r="X40" s="1">
        <f t="shared" si="21"/>
        <v>1.172108840272625</v>
      </c>
      <c r="Z40">
        <v>0.39132369299221298</v>
      </c>
      <c r="AA40">
        <v>0.30433815350389298</v>
      </c>
      <c r="AB40">
        <v>0.46384872080088901</v>
      </c>
      <c r="AC40">
        <v>0</v>
      </c>
      <c r="AD40">
        <v>0</v>
      </c>
      <c r="AE40">
        <v>0</v>
      </c>
      <c r="AF40">
        <v>0.198021901211556</v>
      </c>
      <c r="AG40">
        <v>0.10602749301025099</v>
      </c>
      <c r="AH40">
        <v>9.7765610438024106E-2</v>
      </c>
      <c r="AI40">
        <v>3.2616495806150898E-2</v>
      </c>
      <c r="AJ40">
        <v>1.4367816091953999E-3</v>
      </c>
      <c r="AK40">
        <v>1.12892202547374E-2</v>
      </c>
      <c r="AL40">
        <v>27.143289840999898</v>
      </c>
      <c r="AM40">
        <v>8.5456663562999999</v>
      </c>
    </row>
    <row r="41" spans="1:39" x14ac:dyDescent="0.4">
      <c r="A41" t="s">
        <v>121</v>
      </c>
      <c r="B41" t="s">
        <v>118</v>
      </c>
      <c r="C41">
        <v>31</v>
      </c>
      <c r="D41">
        <v>31</v>
      </c>
      <c r="E41">
        <v>186.67</v>
      </c>
      <c r="F41">
        <v>767</v>
      </c>
      <c r="G41" s="2">
        <f t="shared" si="22"/>
        <v>12.178124999999973</v>
      </c>
      <c r="H41" s="2">
        <f t="shared" si="23"/>
        <v>9.9062499999999929</v>
      </c>
      <c r="I41" s="2">
        <f t="shared" si="24"/>
        <v>16.021874999999973</v>
      </c>
      <c r="J41" s="2">
        <f t="shared" si="25"/>
        <v>0</v>
      </c>
      <c r="K41" s="2">
        <f t="shared" si="26"/>
        <v>0</v>
      </c>
      <c r="L41" s="2">
        <f t="shared" si="16"/>
        <v>0</v>
      </c>
      <c r="M41">
        <v>0</v>
      </c>
      <c r="N41" s="2">
        <f t="shared" si="27"/>
        <v>167.83154034229776</v>
      </c>
      <c r="O41" s="2">
        <f t="shared" si="28"/>
        <v>82.303056234718298</v>
      </c>
      <c r="P41" s="2">
        <f t="shared" si="29"/>
        <v>75.60855745721264</v>
      </c>
      <c r="Q41" s="2">
        <f t="shared" si="30"/>
        <v>23.308924205378936</v>
      </c>
      <c r="R41">
        <v>1</v>
      </c>
      <c r="S41" s="2">
        <f t="shared" si="31"/>
        <v>7.8503667481662065</v>
      </c>
      <c r="T41" s="2">
        <f t="shared" si="17"/>
        <v>194.3095354435292</v>
      </c>
      <c r="U41" s="2">
        <f t="shared" si="18"/>
        <v>46.97420537773592</v>
      </c>
      <c r="V41" s="1">
        <f t="shared" si="19"/>
        <v>9.3683281673100272</v>
      </c>
      <c r="W41" s="1">
        <f t="shared" si="20"/>
        <v>3.645347496196035</v>
      </c>
      <c r="X41" s="1">
        <f t="shared" si="21"/>
        <v>1.1507245177052214</v>
      </c>
      <c r="Z41">
        <v>0.39284274193548302</v>
      </c>
      <c r="AA41">
        <v>0.31955645161290303</v>
      </c>
      <c r="AB41">
        <v>0.51683467741935396</v>
      </c>
      <c r="AC41">
        <v>0</v>
      </c>
      <c r="AD41">
        <v>0</v>
      </c>
      <c r="AE41">
        <v>0</v>
      </c>
      <c r="AF41">
        <v>0.21881556759100099</v>
      </c>
      <c r="AG41">
        <v>0.10730515806351799</v>
      </c>
      <c r="AH41">
        <v>9.8576997988543205E-2</v>
      </c>
      <c r="AI41">
        <v>3.0389731688890399E-2</v>
      </c>
      <c r="AJ41">
        <v>1.3037809647979E-3</v>
      </c>
      <c r="AK41">
        <v>1.0235158732941599E-2</v>
      </c>
      <c r="AL41">
        <v>25.333707358999899</v>
      </c>
      <c r="AM41">
        <v>6.1244074807999898</v>
      </c>
    </row>
    <row r="42" spans="1:39" x14ac:dyDescent="0.4">
      <c r="A42" s="3" t="s">
        <v>75</v>
      </c>
      <c r="B42" t="s">
        <v>76</v>
      </c>
      <c r="C42">
        <v>26</v>
      </c>
      <c r="D42">
        <v>26</v>
      </c>
      <c r="E42">
        <v>138.33000000000001</v>
      </c>
      <c r="F42">
        <v>582</v>
      </c>
      <c r="G42" s="2">
        <f t="shared" si="22"/>
        <v>8.5999999999999801</v>
      </c>
      <c r="H42" s="2">
        <f t="shared" si="23"/>
        <v>7.9999999999999813</v>
      </c>
      <c r="I42" s="2">
        <f t="shared" si="24"/>
        <v>10.79999999999999</v>
      </c>
      <c r="J42" s="2">
        <f t="shared" si="25"/>
        <v>0</v>
      </c>
      <c r="K42" s="2">
        <f t="shared" si="26"/>
        <v>0</v>
      </c>
      <c r="L42" s="2">
        <f t="shared" si="16"/>
        <v>0</v>
      </c>
      <c r="M42">
        <v>0</v>
      </c>
      <c r="N42" s="2">
        <f t="shared" si="27"/>
        <v>117.2448275862066</v>
      </c>
      <c r="O42" s="2">
        <f t="shared" si="28"/>
        <v>61.575862068965073</v>
      </c>
      <c r="P42" s="2">
        <f t="shared" si="29"/>
        <v>56.062068965517206</v>
      </c>
      <c r="Q42" s="2">
        <f t="shared" si="30"/>
        <v>15.803448275862014</v>
      </c>
      <c r="R42">
        <v>1</v>
      </c>
      <c r="S42" s="2">
        <f t="shared" si="31"/>
        <v>6.2068965517240855</v>
      </c>
      <c r="T42" s="2">
        <f t="shared" si="17"/>
        <v>142.64482757189944</v>
      </c>
      <c r="U42" s="2">
        <f t="shared" si="18"/>
        <v>54.031034482073942</v>
      </c>
      <c r="V42" s="1">
        <f t="shared" si="19"/>
        <v>9.2807304861352904</v>
      </c>
      <c r="W42" s="1">
        <f t="shared" si="20"/>
        <v>3.6474996073856345</v>
      </c>
      <c r="X42" s="1">
        <f t="shared" si="21"/>
        <v>1.2381685973272647</v>
      </c>
      <c r="Z42">
        <v>0.33076923076922998</v>
      </c>
      <c r="AA42">
        <v>0.30769230769230699</v>
      </c>
      <c r="AB42">
        <v>0.41538461538461502</v>
      </c>
      <c r="AC42">
        <v>0</v>
      </c>
      <c r="AD42">
        <v>0</v>
      </c>
      <c r="AE42">
        <v>0</v>
      </c>
      <c r="AF42">
        <v>0.20145159379073299</v>
      </c>
      <c r="AG42">
        <v>0.105800450290318</v>
      </c>
      <c r="AH42">
        <v>9.6326578978551902E-2</v>
      </c>
      <c r="AI42">
        <v>2.71536911956392E-2</v>
      </c>
      <c r="AJ42">
        <v>1.7182130584191999E-3</v>
      </c>
      <c r="AK42">
        <v>1.06647707074297E-2</v>
      </c>
      <c r="AL42">
        <v>24.509420544999902</v>
      </c>
      <c r="AM42">
        <v>9.2836829006999899</v>
      </c>
    </row>
    <row r="43" spans="1:39" x14ac:dyDescent="0.4">
      <c r="A43" s="3" t="s">
        <v>128</v>
      </c>
      <c r="B43" t="s">
        <v>127</v>
      </c>
      <c r="C43">
        <v>21</v>
      </c>
      <c r="D43">
        <v>33</v>
      </c>
      <c r="E43">
        <v>126.67</v>
      </c>
      <c r="F43">
        <v>534</v>
      </c>
      <c r="G43" s="2">
        <f t="shared" si="22"/>
        <v>6.479999999999988</v>
      </c>
      <c r="H43" s="2">
        <f t="shared" si="23"/>
        <v>5.7799999999999949</v>
      </c>
      <c r="I43" s="2">
        <f t="shared" si="24"/>
        <v>7.0599999999999694</v>
      </c>
      <c r="J43" s="2">
        <f t="shared" si="25"/>
        <v>0</v>
      </c>
      <c r="K43" s="2">
        <f t="shared" si="26"/>
        <v>0.91999999999999749</v>
      </c>
      <c r="L43" s="2">
        <f t="shared" si="16"/>
        <v>0.91999999999999749</v>
      </c>
      <c r="M43">
        <v>0</v>
      </c>
      <c r="N43" s="2">
        <f t="shared" si="27"/>
        <v>110.57887563884117</v>
      </c>
      <c r="O43" s="2">
        <f t="shared" si="28"/>
        <v>55.907836456558634</v>
      </c>
      <c r="P43" s="2">
        <f t="shared" si="29"/>
        <v>51.523850085178822</v>
      </c>
      <c r="Q43" s="2">
        <f t="shared" si="30"/>
        <v>16.562350936967587</v>
      </c>
      <c r="R43">
        <v>2</v>
      </c>
      <c r="S43" s="2">
        <f t="shared" si="31"/>
        <v>7.2374787052810445</v>
      </c>
      <c r="T43" s="2">
        <f t="shared" si="17"/>
        <v>130.43560479479999</v>
      </c>
      <c r="U43" s="2">
        <f t="shared" si="18"/>
        <v>40.955877341009945</v>
      </c>
      <c r="V43" s="1">
        <f t="shared" si="19"/>
        <v>9.2675490893913306</v>
      </c>
      <c r="W43" s="1">
        <f t="shared" si="20"/>
        <v>3.6608088005574277</v>
      </c>
      <c r="X43" s="1">
        <f t="shared" si="21"/>
        <v>1.1962955157484101</v>
      </c>
      <c r="Z43">
        <v>0.19636363636363599</v>
      </c>
      <c r="AA43">
        <v>0.175151515151515</v>
      </c>
      <c r="AB43">
        <v>0.21393939393939301</v>
      </c>
      <c r="AC43">
        <v>0</v>
      </c>
      <c r="AD43">
        <v>2.7878787878787802E-2</v>
      </c>
      <c r="AE43">
        <v>0</v>
      </c>
      <c r="AF43">
        <v>0.207076546140152</v>
      </c>
      <c r="AG43">
        <v>0.10469632295235699</v>
      </c>
      <c r="AH43">
        <v>9.6486610646402293E-2</v>
      </c>
      <c r="AI43">
        <v>3.10156384587408E-2</v>
      </c>
      <c r="AJ43">
        <v>3.7453183520599E-3</v>
      </c>
      <c r="AK43">
        <v>1.3553330908766001E-2</v>
      </c>
      <c r="AL43">
        <v>24.42614322</v>
      </c>
      <c r="AM43">
        <v>7.66963995149999</v>
      </c>
    </row>
    <row r="44" spans="1:39" x14ac:dyDescent="0.4">
      <c r="A44" s="3" t="s">
        <v>83</v>
      </c>
      <c r="B44" t="s">
        <v>81</v>
      </c>
      <c r="C44">
        <v>27</v>
      </c>
      <c r="D44">
        <v>27</v>
      </c>
      <c r="E44">
        <v>145.66999999999999</v>
      </c>
      <c r="F44">
        <v>610</v>
      </c>
      <c r="G44" s="2">
        <f t="shared" si="22"/>
        <v>8.7153846153845951</v>
      </c>
      <c r="H44" s="2">
        <f t="shared" si="23"/>
        <v>8.7923076923076753</v>
      </c>
      <c r="I44" s="2">
        <f t="shared" si="24"/>
        <v>12.373076923076916</v>
      </c>
      <c r="J44" s="2">
        <f t="shared" si="25"/>
        <v>0</v>
      </c>
      <c r="K44" s="2">
        <f t="shared" si="26"/>
        <v>0</v>
      </c>
      <c r="L44" s="2">
        <f t="shared" si="16"/>
        <v>0</v>
      </c>
      <c r="M44">
        <v>0</v>
      </c>
      <c r="N44" s="2">
        <f t="shared" si="27"/>
        <v>130.75464926590487</v>
      </c>
      <c r="O44" s="2">
        <f t="shared" si="28"/>
        <v>64.584176182707964</v>
      </c>
      <c r="P44" s="2">
        <f t="shared" si="29"/>
        <v>59.301305057096215</v>
      </c>
      <c r="Q44" s="2">
        <f t="shared" si="30"/>
        <v>15.248613376835188</v>
      </c>
      <c r="R44">
        <v>2</v>
      </c>
      <c r="S44" s="2">
        <f t="shared" si="31"/>
        <v>5.2911908646003205</v>
      </c>
      <c r="T44" s="2">
        <f t="shared" si="17"/>
        <v>136.92724307079939</v>
      </c>
      <c r="U44" s="2">
        <f t="shared" si="18"/>
        <v>47.235562804599944</v>
      </c>
      <c r="V44" s="1">
        <f t="shared" si="19"/>
        <v>8.4598420240076528</v>
      </c>
      <c r="W44" s="1">
        <f t="shared" si="20"/>
        <v>3.6638411856515822</v>
      </c>
      <c r="X44" s="1">
        <f t="shared" si="21"/>
        <v>1.2218728088865574</v>
      </c>
      <c r="Z44">
        <v>0.32279202279202202</v>
      </c>
      <c r="AA44">
        <v>0.32564102564102498</v>
      </c>
      <c r="AB44">
        <v>0.458262108262108</v>
      </c>
      <c r="AC44">
        <v>0</v>
      </c>
      <c r="AD44">
        <v>0</v>
      </c>
      <c r="AE44">
        <v>0</v>
      </c>
      <c r="AF44">
        <v>0.21435188404246699</v>
      </c>
      <c r="AG44">
        <v>0.105875698660177</v>
      </c>
      <c r="AH44">
        <v>9.7215254191961004E-2</v>
      </c>
      <c r="AI44">
        <v>2.49977268472708E-2</v>
      </c>
      <c r="AJ44">
        <v>3.2786885245901002E-3</v>
      </c>
      <c r="AK44">
        <v>8.67408338459069E-3</v>
      </c>
      <c r="AL44">
        <v>22.447089027999901</v>
      </c>
      <c r="AM44">
        <v>7.7435348859999902</v>
      </c>
    </row>
    <row r="45" spans="1:39" x14ac:dyDescent="0.4">
      <c r="A45" s="3" t="s">
        <v>135</v>
      </c>
      <c r="B45" t="s">
        <v>134</v>
      </c>
      <c r="C45">
        <v>12</v>
      </c>
      <c r="D45">
        <v>17</v>
      </c>
      <c r="E45">
        <v>68.33</v>
      </c>
      <c r="F45">
        <v>291</v>
      </c>
      <c r="G45" s="2">
        <f t="shared" si="22"/>
        <v>3.6052631578947243</v>
      </c>
      <c r="H45" s="2">
        <f t="shared" si="23"/>
        <v>2.6368421052631423</v>
      </c>
      <c r="I45" s="2">
        <f t="shared" si="24"/>
        <v>4.6789473684210385</v>
      </c>
      <c r="J45" s="2">
        <f t="shared" si="25"/>
        <v>0</v>
      </c>
      <c r="K45" s="2">
        <f t="shared" si="26"/>
        <v>0.26842105263157851</v>
      </c>
      <c r="L45" s="2">
        <f t="shared" si="16"/>
        <v>0.26842105263157851</v>
      </c>
      <c r="M45">
        <v>0</v>
      </c>
      <c r="N45" s="2">
        <f t="shared" si="27"/>
        <v>60.19622641509433</v>
      </c>
      <c r="O45" s="2">
        <f t="shared" si="28"/>
        <v>30.657547169811178</v>
      </c>
      <c r="P45" s="2">
        <f t="shared" si="29"/>
        <v>27.835849056603745</v>
      </c>
      <c r="Q45" s="2">
        <f t="shared" si="30"/>
        <v>9.4056603773584726</v>
      </c>
      <c r="R45">
        <v>0</v>
      </c>
      <c r="S45" s="2">
        <f t="shared" si="31"/>
        <v>2.9235849056603458</v>
      </c>
      <c r="T45" s="2">
        <f t="shared" si="17"/>
        <v>76.510377351539702</v>
      </c>
      <c r="U45" s="2">
        <f t="shared" si="18"/>
        <v>22.873584904922975</v>
      </c>
      <c r="V45" s="1">
        <f t="shared" si="19"/>
        <v>10.077468113037572</v>
      </c>
      <c r="W45" s="1">
        <f t="shared" si="20"/>
        <v>3.6663638447158453</v>
      </c>
      <c r="X45" s="1">
        <f t="shared" si="21"/>
        <v>1.2157150785894528</v>
      </c>
      <c r="Z45">
        <v>0.21207430340557201</v>
      </c>
      <c r="AA45">
        <v>0.15510835913312601</v>
      </c>
      <c r="AB45">
        <v>0.27523219814241401</v>
      </c>
      <c r="AC45">
        <v>0</v>
      </c>
      <c r="AD45">
        <v>1.5789473684210499E-2</v>
      </c>
      <c r="AE45">
        <v>0</v>
      </c>
      <c r="AF45">
        <v>0.20685988458795301</v>
      </c>
      <c r="AG45">
        <v>0.105352395772547</v>
      </c>
      <c r="AH45">
        <v>9.5655838682487102E-2</v>
      </c>
      <c r="AI45">
        <v>3.2321856966867603E-2</v>
      </c>
      <c r="AJ45">
        <v>0</v>
      </c>
      <c r="AK45">
        <v>1.0046683524606E-2</v>
      </c>
      <c r="AL45">
        <v>26.292225893999898</v>
      </c>
      <c r="AM45">
        <v>7.8603384552999902</v>
      </c>
    </row>
    <row r="46" spans="1:39" x14ac:dyDescent="0.4">
      <c r="A46" s="3" t="s">
        <v>170</v>
      </c>
      <c r="B46" t="s">
        <v>166</v>
      </c>
      <c r="C46">
        <v>29</v>
      </c>
      <c r="D46">
        <v>29</v>
      </c>
      <c r="E46">
        <v>162.33000000000001</v>
      </c>
      <c r="F46">
        <v>673</v>
      </c>
      <c r="G46" s="2">
        <f t="shared" si="22"/>
        <v>10.599999999999991</v>
      </c>
      <c r="H46" s="2">
        <f t="shared" si="23"/>
        <v>9.6999999999999815</v>
      </c>
      <c r="I46" s="2">
        <f t="shared" si="24"/>
        <v>13.499999999999989</v>
      </c>
      <c r="J46" s="2">
        <f t="shared" si="25"/>
        <v>0</v>
      </c>
      <c r="K46" s="2">
        <f t="shared" si="26"/>
        <v>0</v>
      </c>
      <c r="L46" s="2">
        <f t="shared" si="16"/>
        <v>0</v>
      </c>
      <c r="M46">
        <v>0</v>
      </c>
      <c r="N46" s="2">
        <f t="shared" si="27"/>
        <v>139.65083565459548</v>
      </c>
      <c r="O46" s="2">
        <f t="shared" si="28"/>
        <v>72.009610027855089</v>
      </c>
      <c r="P46" s="2">
        <f t="shared" si="29"/>
        <v>66.272841225626664</v>
      </c>
      <c r="Q46" s="2">
        <f t="shared" si="30"/>
        <v>21.634818941504061</v>
      </c>
      <c r="R46">
        <v>2</v>
      </c>
      <c r="S46" s="2">
        <f t="shared" si="31"/>
        <v>5.4683844011141582</v>
      </c>
      <c r="T46" s="2">
        <f t="shared" si="17"/>
        <v>171.5591922085693</v>
      </c>
      <c r="U46" s="2">
        <f t="shared" si="18"/>
        <v>52.999303620567936</v>
      </c>
      <c r="V46" s="1">
        <f t="shared" si="19"/>
        <v>9.5116905678378831</v>
      </c>
      <c r="W46" s="1">
        <f t="shared" si="20"/>
        <v>3.6743397463847711</v>
      </c>
      <c r="X46" s="1">
        <f t="shared" si="21"/>
        <v>1.186780873992259</v>
      </c>
      <c r="Z46">
        <v>0.36551724137931002</v>
      </c>
      <c r="AA46">
        <v>0.33448275862068899</v>
      </c>
      <c r="AB46">
        <v>0.46551724137931</v>
      </c>
      <c r="AC46">
        <v>0</v>
      </c>
      <c r="AD46">
        <v>0</v>
      </c>
      <c r="AE46">
        <v>0</v>
      </c>
      <c r="AF46">
        <v>0.20750495639613001</v>
      </c>
      <c r="AG46">
        <v>0.106997934662489</v>
      </c>
      <c r="AH46">
        <v>9.8473761107914795E-2</v>
      </c>
      <c r="AI46">
        <v>3.2146833494062499E-2</v>
      </c>
      <c r="AJ46">
        <v>2.9717682020801999E-3</v>
      </c>
      <c r="AK46">
        <v>8.12538543999132E-3</v>
      </c>
      <c r="AL46">
        <v>25.491707608999899</v>
      </c>
      <c r="AM46">
        <v>7.8750822615999896</v>
      </c>
    </row>
    <row r="47" spans="1:39" x14ac:dyDescent="0.4">
      <c r="A47" s="3" t="s">
        <v>47</v>
      </c>
      <c r="B47" t="s">
        <v>44</v>
      </c>
      <c r="C47">
        <v>28</v>
      </c>
      <c r="D47">
        <v>28</v>
      </c>
      <c r="E47">
        <v>164</v>
      </c>
      <c r="F47">
        <v>671</v>
      </c>
      <c r="G47" s="2">
        <f t="shared" si="22"/>
        <v>11.875862068965496</v>
      </c>
      <c r="H47" s="2">
        <f t="shared" si="23"/>
        <v>8.2068965517241352</v>
      </c>
      <c r="I47" s="2">
        <f t="shared" si="24"/>
        <v>13.03448275862068</v>
      </c>
      <c r="J47" s="2">
        <f t="shared" si="25"/>
        <v>0</v>
      </c>
      <c r="K47" s="2">
        <f t="shared" si="26"/>
        <v>0</v>
      </c>
      <c r="L47" s="2">
        <f t="shared" si="16"/>
        <v>0</v>
      </c>
      <c r="M47">
        <v>0</v>
      </c>
      <c r="N47" s="2">
        <f t="shared" si="27"/>
        <v>149.37777777777734</v>
      </c>
      <c r="O47" s="2">
        <f t="shared" si="28"/>
        <v>73.436527777777158</v>
      </c>
      <c r="P47" s="2">
        <f t="shared" si="29"/>
        <v>67.069999999999993</v>
      </c>
      <c r="Q47" s="2">
        <f t="shared" si="30"/>
        <v>19.39958333333324</v>
      </c>
      <c r="R47">
        <v>1</v>
      </c>
      <c r="S47" s="2">
        <f t="shared" si="31"/>
        <v>6.8570833333332688</v>
      </c>
      <c r="T47" s="2">
        <f t="shared" si="17"/>
        <v>154.98722222951</v>
      </c>
      <c r="U47" s="2">
        <f t="shared" si="18"/>
        <v>42.413333334547993</v>
      </c>
      <c r="V47" s="1">
        <f t="shared" si="19"/>
        <v>8.5053963418633529</v>
      </c>
      <c r="W47" s="1">
        <f t="shared" si="20"/>
        <v>3.6806707317073171</v>
      </c>
      <c r="X47" s="1">
        <f t="shared" si="21"/>
        <v>1.1694579945873496</v>
      </c>
      <c r="Z47">
        <v>0.424137931034482</v>
      </c>
      <c r="AA47">
        <v>0.29310344827586199</v>
      </c>
      <c r="AB47">
        <v>0.46551724137931</v>
      </c>
      <c r="AC47">
        <v>0</v>
      </c>
      <c r="AD47">
        <v>0</v>
      </c>
      <c r="AE47">
        <v>0</v>
      </c>
      <c r="AF47">
        <v>0.22261963901308099</v>
      </c>
      <c r="AG47">
        <v>0.109443409504884</v>
      </c>
      <c r="AH47">
        <v>9.99552906110283E-2</v>
      </c>
      <c r="AI47">
        <v>2.8911450571286499E-2</v>
      </c>
      <c r="AJ47">
        <v>1.4903129657228001E-3</v>
      </c>
      <c r="AK47">
        <v>1.0219200198708299E-2</v>
      </c>
      <c r="AL47">
        <v>23.097946681</v>
      </c>
      <c r="AM47">
        <v>6.3209140587999997</v>
      </c>
    </row>
    <row r="48" spans="1:39" x14ac:dyDescent="0.4">
      <c r="A48" t="s">
        <v>71</v>
      </c>
      <c r="B48" t="s">
        <v>69</v>
      </c>
      <c r="C48">
        <v>25</v>
      </c>
      <c r="D48">
        <v>25</v>
      </c>
      <c r="E48">
        <v>151.66999999999999</v>
      </c>
      <c r="F48">
        <v>630</v>
      </c>
      <c r="G48" s="2">
        <f t="shared" si="22"/>
        <v>9.4034482758620506</v>
      </c>
      <c r="H48" s="2">
        <f t="shared" si="23"/>
        <v>7.9275862068965504</v>
      </c>
      <c r="I48" s="2">
        <f t="shared" si="24"/>
        <v>12.096551724137925</v>
      </c>
      <c r="J48" s="2">
        <f t="shared" si="25"/>
        <v>0</v>
      </c>
      <c r="K48" s="2">
        <f t="shared" si="26"/>
        <v>0</v>
      </c>
      <c r="L48" s="2">
        <f t="shared" si="16"/>
        <v>0</v>
      </c>
      <c r="M48">
        <v>0</v>
      </c>
      <c r="N48" s="2">
        <f t="shared" si="27"/>
        <v>122.51607629427747</v>
      </c>
      <c r="O48" s="2">
        <f t="shared" si="28"/>
        <v>67.862942779291373</v>
      </c>
      <c r="P48" s="2">
        <f t="shared" si="29"/>
        <v>62.458038147138922</v>
      </c>
      <c r="Q48" s="2">
        <f t="shared" si="30"/>
        <v>21.620435967302445</v>
      </c>
      <c r="R48">
        <v>1</v>
      </c>
      <c r="S48" s="2">
        <f t="shared" si="31"/>
        <v>9.7599455040871348</v>
      </c>
      <c r="T48" s="2">
        <f t="shared" si="17"/>
        <v>178.67002724549999</v>
      </c>
      <c r="U48" s="2">
        <f t="shared" si="18"/>
        <v>55.253133513899996</v>
      </c>
      <c r="V48" s="1">
        <f t="shared" si="19"/>
        <v>10.602164206563591</v>
      </c>
      <c r="W48" s="1">
        <f t="shared" si="20"/>
        <v>3.7062197093970486</v>
      </c>
      <c r="X48" s="1">
        <f t="shared" si="21"/>
        <v>1.172078920077652</v>
      </c>
      <c r="Z48">
        <v>0.37613793103448201</v>
      </c>
      <c r="AA48">
        <v>0.31710344827586201</v>
      </c>
      <c r="AB48">
        <v>0.48386206896551698</v>
      </c>
      <c r="AC48">
        <v>0</v>
      </c>
      <c r="AD48">
        <v>0</v>
      </c>
      <c r="AE48">
        <v>0</v>
      </c>
      <c r="AF48">
        <v>0.194469962371869</v>
      </c>
      <c r="AG48">
        <v>0.10771895679252599</v>
      </c>
      <c r="AH48">
        <v>9.9139743090696703E-2</v>
      </c>
      <c r="AI48">
        <v>3.4318152329051499E-2</v>
      </c>
      <c r="AJ48">
        <v>1.5873015873014999E-3</v>
      </c>
      <c r="AK48">
        <v>1.5491976990614499E-2</v>
      </c>
      <c r="AL48">
        <v>28.360321785</v>
      </c>
      <c r="AM48">
        <v>8.7703386529999996</v>
      </c>
    </row>
    <row r="49" spans="1:39" x14ac:dyDescent="0.4">
      <c r="A49" s="3" t="s">
        <v>147</v>
      </c>
      <c r="B49" t="s">
        <v>146</v>
      </c>
      <c r="C49">
        <v>29</v>
      </c>
      <c r="D49">
        <v>30</v>
      </c>
      <c r="E49">
        <v>170</v>
      </c>
      <c r="F49">
        <v>707</v>
      </c>
      <c r="G49" s="2">
        <f t="shared" si="22"/>
        <v>11.88387096774192</v>
      </c>
      <c r="H49" s="2">
        <f t="shared" si="23"/>
        <v>9.2032258064516093</v>
      </c>
      <c r="I49" s="2">
        <f t="shared" si="24"/>
        <v>13.335483870967741</v>
      </c>
      <c r="J49" s="2">
        <f t="shared" si="25"/>
        <v>0</v>
      </c>
      <c r="K49" s="2">
        <f t="shared" si="26"/>
        <v>0</v>
      </c>
      <c r="L49" s="2">
        <f t="shared" si="16"/>
        <v>0</v>
      </c>
      <c r="M49">
        <v>1</v>
      </c>
      <c r="N49" s="2">
        <f t="shared" si="27"/>
        <v>148.85887850467256</v>
      </c>
      <c r="O49" s="2">
        <f t="shared" si="28"/>
        <v>76.742056074765713</v>
      </c>
      <c r="P49" s="2">
        <f t="shared" si="29"/>
        <v>70.316822429906466</v>
      </c>
      <c r="Q49" s="2">
        <f t="shared" si="30"/>
        <v>20.236448598130725</v>
      </c>
      <c r="R49">
        <v>3</v>
      </c>
      <c r="S49" s="2">
        <f t="shared" si="31"/>
        <v>7.1654205607475943</v>
      </c>
      <c r="T49" s="2">
        <f t="shared" si="17"/>
        <v>178.99906540732925</v>
      </c>
      <c r="U49" s="2">
        <f t="shared" si="18"/>
        <v>58.666355140491</v>
      </c>
      <c r="V49" s="1">
        <f t="shared" si="19"/>
        <v>9.4764211097997837</v>
      </c>
      <c r="W49" s="1">
        <f t="shared" si="20"/>
        <v>3.7226553051126956</v>
      </c>
      <c r="X49" s="1">
        <f t="shared" si="21"/>
        <v>1.2207366685009622</v>
      </c>
      <c r="Z49">
        <v>0.39612903225806401</v>
      </c>
      <c r="AA49">
        <v>0.30677419354838698</v>
      </c>
      <c r="AB49">
        <v>0.44451612903225801</v>
      </c>
      <c r="AC49">
        <v>0</v>
      </c>
      <c r="AD49">
        <v>0</v>
      </c>
      <c r="AE49">
        <v>3.3333333333333298E-2</v>
      </c>
      <c r="AF49">
        <v>0.21055004031778299</v>
      </c>
      <c r="AG49">
        <v>0.108546048196274</v>
      </c>
      <c r="AH49">
        <v>9.9458023238905902E-2</v>
      </c>
      <c r="AI49">
        <v>2.86229824584593E-2</v>
      </c>
      <c r="AJ49">
        <v>4.2432814710041998E-3</v>
      </c>
      <c r="AK49">
        <v>1.0134965432457701E-2</v>
      </c>
      <c r="AL49">
        <v>25.318113918999899</v>
      </c>
      <c r="AM49">
        <v>8.2979285912999998</v>
      </c>
    </row>
    <row r="50" spans="1:39" x14ac:dyDescent="0.4">
      <c r="A50" s="3" t="s">
        <v>142</v>
      </c>
      <c r="B50" t="s">
        <v>141</v>
      </c>
      <c r="C50">
        <v>28</v>
      </c>
      <c r="D50">
        <v>32</v>
      </c>
      <c r="E50">
        <v>162</v>
      </c>
      <c r="F50">
        <v>677</v>
      </c>
      <c r="G50" s="2">
        <f t="shared" si="22"/>
        <v>8.4333333333333123</v>
      </c>
      <c r="H50" s="2">
        <f t="shared" si="23"/>
        <v>8.8666666666666565</v>
      </c>
      <c r="I50" s="2">
        <f t="shared" si="24"/>
        <v>12.666666666666655</v>
      </c>
      <c r="J50" s="2">
        <f t="shared" si="25"/>
        <v>0</v>
      </c>
      <c r="K50" s="2">
        <f t="shared" si="26"/>
        <v>0.26666666666666561</v>
      </c>
      <c r="L50" s="2">
        <f t="shared" si="16"/>
        <v>0.26666666666666561</v>
      </c>
      <c r="M50">
        <v>0</v>
      </c>
      <c r="N50" s="2">
        <f t="shared" si="27"/>
        <v>143.72424242424216</v>
      </c>
      <c r="O50" s="2">
        <f t="shared" si="28"/>
        <v>73.704040404040185</v>
      </c>
      <c r="P50" s="2">
        <f t="shared" si="29"/>
        <v>67.117171717171644</v>
      </c>
      <c r="Q50" s="2">
        <f t="shared" si="30"/>
        <v>18.609090909090828</v>
      </c>
      <c r="R50">
        <v>1</v>
      </c>
      <c r="S50" s="2">
        <f t="shared" si="31"/>
        <v>7.6515151515150768</v>
      </c>
      <c r="T50" s="2">
        <f t="shared" si="17"/>
        <v>164.60101010848933</v>
      </c>
      <c r="U50" s="2">
        <f t="shared" si="18"/>
        <v>55.562626261576</v>
      </c>
      <c r="V50" s="1">
        <f t="shared" si="19"/>
        <v>9.1445005615827419</v>
      </c>
      <c r="W50" s="1">
        <f t="shared" si="20"/>
        <v>3.7287317620650917</v>
      </c>
      <c r="X50" s="1">
        <f t="shared" si="21"/>
        <v>1.2301658560852973</v>
      </c>
      <c r="Z50">
        <v>0.26354166666666601</v>
      </c>
      <c r="AA50">
        <v>0.27708333333333302</v>
      </c>
      <c r="AB50">
        <v>0.39583333333333298</v>
      </c>
      <c r="AC50">
        <v>0</v>
      </c>
      <c r="AD50">
        <v>8.3333333333333003E-3</v>
      </c>
      <c r="AE50">
        <v>0</v>
      </c>
      <c r="AF50">
        <v>0.21229577906091901</v>
      </c>
      <c r="AG50">
        <v>0.10886859734717901</v>
      </c>
      <c r="AH50">
        <v>9.9139101502469199E-2</v>
      </c>
      <c r="AI50">
        <v>2.7487578890828399E-2</v>
      </c>
      <c r="AJ50">
        <v>1.4771048744459999E-3</v>
      </c>
      <c r="AK50">
        <v>1.1302090327201E-2</v>
      </c>
      <c r="AL50">
        <v>24.313295436999901</v>
      </c>
      <c r="AM50">
        <v>8.2071826088000002</v>
      </c>
    </row>
    <row r="51" spans="1:39" x14ac:dyDescent="0.4">
      <c r="A51" t="s">
        <v>110</v>
      </c>
      <c r="B51" t="s">
        <v>108</v>
      </c>
      <c r="C51">
        <v>24</v>
      </c>
      <c r="D51">
        <v>24</v>
      </c>
      <c r="E51">
        <v>153</v>
      </c>
      <c r="F51">
        <v>636</v>
      </c>
      <c r="G51" s="2">
        <f t="shared" si="22"/>
        <v>8.4285714285714235</v>
      </c>
      <c r="H51" s="2">
        <f t="shared" si="23"/>
        <v>7.9142857142856951</v>
      </c>
      <c r="I51" s="2">
        <f t="shared" si="24"/>
        <v>11.814285714285695</v>
      </c>
      <c r="J51" s="2">
        <f t="shared" si="25"/>
        <v>0</v>
      </c>
      <c r="K51" s="2">
        <f t="shared" si="26"/>
        <v>0</v>
      </c>
      <c r="L51" s="2">
        <f t="shared" si="16"/>
        <v>0</v>
      </c>
      <c r="M51">
        <v>0</v>
      </c>
      <c r="N51" s="2">
        <f t="shared" si="27"/>
        <v>149.19428571428531</v>
      </c>
      <c r="O51" s="2">
        <f t="shared" si="28"/>
        <v>69.157142857142262</v>
      </c>
      <c r="P51" s="2">
        <f t="shared" si="29"/>
        <v>63.417142857142771</v>
      </c>
      <c r="Q51" s="2">
        <f t="shared" si="30"/>
        <v>16.308571428571398</v>
      </c>
      <c r="R51">
        <v>1</v>
      </c>
      <c r="S51" s="2">
        <f t="shared" si="31"/>
        <v>6.0171428571428329</v>
      </c>
      <c r="T51" s="2">
        <f t="shared" si="17"/>
        <v>132.26857143384001</v>
      </c>
      <c r="U51" s="2">
        <f t="shared" si="18"/>
        <v>35.928571430268001</v>
      </c>
      <c r="V51" s="1">
        <f t="shared" si="19"/>
        <v>7.7805042019905892</v>
      </c>
      <c r="W51" s="1">
        <f t="shared" si="20"/>
        <v>3.730420168067222</v>
      </c>
      <c r="X51" s="1">
        <f t="shared" si="21"/>
        <v>1.209953314670283</v>
      </c>
      <c r="Z51">
        <v>0.351190476190476</v>
      </c>
      <c r="AA51">
        <v>0.32976190476190398</v>
      </c>
      <c r="AB51">
        <v>0.49226190476190401</v>
      </c>
      <c r="AC51">
        <v>0</v>
      </c>
      <c r="AD51">
        <v>0</v>
      </c>
      <c r="AE51">
        <v>0</v>
      </c>
      <c r="AF51">
        <v>0.23458221024258699</v>
      </c>
      <c r="AG51">
        <v>0.108737646001796</v>
      </c>
      <c r="AH51">
        <v>9.9712488769092403E-2</v>
      </c>
      <c r="AI51">
        <v>2.5642407906558799E-2</v>
      </c>
      <c r="AJ51">
        <v>1.5723270440251001E-3</v>
      </c>
      <c r="AK51">
        <v>9.4609164420484792E-3</v>
      </c>
      <c r="AL51">
        <v>20.796945193999999</v>
      </c>
      <c r="AM51">
        <v>5.6491464513</v>
      </c>
    </row>
    <row r="52" spans="1:39" x14ac:dyDescent="0.4">
      <c r="A52" s="3" t="s">
        <v>136</v>
      </c>
      <c r="B52" t="s">
        <v>134</v>
      </c>
      <c r="C52">
        <v>29</v>
      </c>
      <c r="D52">
        <v>29</v>
      </c>
      <c r="E52">
        <v>168</v>
      </c>
      <c r="F52">
        <v>699</v>
      </c>
      <c r="G52" s="2">
        <f t="shared" si="22"/>
        <v>10.299999999999986</v>
      </c>
      <c r="H52" s="2">
        <f t="shared" si="23"/>
        <v>8.2999999999999954</v>
      </c>
      <c r="I52" s="2">
        <f t="shared" si="24"/>
        <v>13.899999999999993</v>
      </c>
      <c r="J52" s="2">
        <f t="shared" si="25"/>
        <v>0</v>
      </c>
      <c r="K52" s="2">
        <f t="shared" si="26"/>
        <v>0</v>
      </c>
      <c r="L52" s="2">
        <f t="shared" si="16"/>
        <v>0</v>
      </c>
      <c r="M52">
        <v>0</v>
      </c>
      <c r="N52" s="2">
        <f t="shared" si="27"/>
        <v>162.23881856540012</v>
      </c>
      <c r="O52" s="2">
        <f t="shared" si="28"/>
        <v>75.278481012657707</v>
      </c>
      <c r="P52" s="2">
        <f t="shared" si="29"/>
        <v>69.649367088607562</v>
      </c>
      <c r="Q52" s="2">
        <f t="shared" si="30"/>
        <v>15.810970464134988</v>
      </c>
      <c r="R52">
        <v>3</v>
      </c>
      <c r="S52" s="2">
        <f t="shared" si="31"/>
        <v>5.5645569620252893</v>
      </c>
      <c r="T52" s="2">
        <f t="shared" si="17"/>
        <v>143.97510549875997</v>
      </c>
      <c r="U52" s="2">
        <f t="shared" si="18"/>
        <v>45.844725736547922</v>
      </c>
      <c r="V52" s="1">
        <f t="shared" si="19"/>
        <v>7.7129520802907132</v>
      </c>
      <c r="W52" s="1">
        <f t="shared" si="20"/>
        <v>3.7312160940325478</v>
      </c>
      <c r="X52" s="1">
        <f t="shared" si="21"/>
        <v>1.2385925256068337</v>
      </c>
      <c r="Z52">
        <v>0.35517241379310299</v>
      </c>
      <c r="AA52">
        <v>0.28620689655172399</v>
      </c>
      <c r="AB52">
        <v>0.479310344827586</v>
      </c>
      <c r="AC52">
        <v>0</v>
      </c>
      <c r="AD52">
        <v>0</v>
      </c>
      <c r="AE52">
        <v>0</v>
      </c>
      <c r="AF52">
        <v>0.232101314113591</v>
      </c>
      <c r="AG52">
        <v>0.107694536498795</v>
      </c>
      <c r="AH52">
        <v>9.9641440756234004E-2</v>
      </c>
      <c r="AI52">
        <v>2.2619414111781099E-2</v>
      </c>
      <c r="AJ52">
        <v>4.2918454935621997E-3</v>
      </c>
      <c r="AK52">
        <v>7.9607395737128599E-3</v>
      </c>
      <c r="AL52">
        <v>20.597296923999998</v>
      </c>
      <c r="AM52">
        <v>6.5586159851999897</v>
      </c>
    </row>
    <row r="53" spans="1:39" x14ac:dyDescent="0.4">
      <c r="A53" t="s">
        <v>133</v>
      </c>
      <c r="B53" t="s">
        <v>134</v>
      </c>
      <c r="C53">
        <v>30</v>
      </c>
      <c r="D53">
        <v>30</v>
      </c>
      <c r="E53">
        <v>185.67</v>
      </c>
      <c r="F53">
        <v>762</v>
      </c>
      <c r="G53" s="2">
        <f t="shared" si="22"/>
        <v>11.88387096774192</v>
      </c>
      <c r="H53" s="2">
        <f t="shared" si="23"/>
        <v>8.9129032258064402</v>
      </c>
      <c r="I53" s="2">
        <f t="shared" si="24"/>
        <v>15.725806451612879</v>
      </c>
      <c r="J53" s="2">
        <f t="shared" si="25"/>
        <v>0</v>
      </c>
      <c r="K53" s="2">
        <f t="shared" si="26"/>
        <v>0</v>
      </c>
      <c r="L53" s="2">
        <f t="shared" si="16"/>
        <v>0</v>
      </c>
      <c r="M53">
        <v>0</v>
      </c>
      <c r="N53" s="2">
        <f t="shared" si="27"/>
        <v>170.66864516128965</v>
      </c>
      <c r="O53" s="2">
        <f t="shared" si="28"/>
        <v>83.913677419354457</v>
      </c>
      <c r="P53" s="2">
        <f t="shared" si="29"/>
        <v>76.995870967741808</v>
      </c>
      <c r="Q53" s="2">
        <f t="shared" si="30"/>
        <v>24.618193548386998</v>
      </c>
      <c r="R53">
        <v>1</v>
      </c>
      <c r="S53" s="2">
        <f t="shared" si="31"/>
        <v>5.8597419354838181</v>
      </c>
      <c r="T53" s="2">
        <f t="shared" si="17"/>
        <v>183.90425808101921</v>
      </c>
      <c r="U53" s="2">
        <f t="shared" si="18"/>
        <v>44.471612903687998</v>
      </c>
      <c r="V53" s="1">
        <f t="shared" si="19"/>
        <v>8.9144090199233759</v>
      </c>
      <c r="W53" s="1">
        <f t="shared" si="20"/>
        <v>3.7322283551983428</v>
      </c>
      <c r="X53" s="1">
        <f t="shared" si="21"/>
        <v>1.1587238544997989</v>
      </c>
      <c r="Z53">
        <v>0.39612903225806401</v>
      </c>
      <c r="AA53">
        <v>0.29709677419354802</v>
      </c>
      <c r="AB53">
        <v>0.52419354838709598</v>
      </c>
      <c r="AC53">
        <v>0</v>
      </c>
      <c r="AD53">
        <v>0</v>
      </c>
      <c r="AE53">
        <v>0</v>
      </c>
      <c r="AF53">
        <v>0.22397459994919899</v>
      </c>
      <c r="AG53">
        <v>0.11012293624587199</v>
      </c>
      <c r="AH53">
        <v>0.10104445008890001</v>
      </c>
      <c r="AI53">
        <v>3.2307340614681102E-2</v>
      </c>
      <c r="AJ53">
        <v>1.3123359580052001E-3</v>
      </c>
      <c r="AK53">
        <v>7.6899500465666898E-3</v>
      </c>
      <c r="AL53">
        <v>24.134417070999898</v>
      </c>
      <c r="AM53">
        <v>5.8361696723999996</v>
      </c>
    </row>
    <row r="54" spans="1:39" x14ac:dyDescent="0.4">
      <c r="A54" t="s">
        <v>39</v>
      </c>
      <c r="B54" t="s">
        <v>35</v>
      </c>
      <c r="C54">
        <v>29</v>
      </c>
      <c r="D54">
        <v>29</v>
      </c>
      <c r="E54">
        <v>171.67</v>
      </c>
      <c r="F54">
        <v>714</v>
      </c>
      <c r="G54" s="2">
        <f t="shared" si="22"/>
        <v>12.699999999999982</v>
      </c>
      <c r="H54" s="2">
        <f t="shared" si="23"/>
        <v>8.2999999999999954</v>
      </c>
      <c r="I54" s="2">
        <f t="shared" si="24"/>
        <v>13.899999999999993</v>
      </c>
      <c r="J54" s="2">
        <f t="shared" si="25"/>
        <v>0</v>
      </c>
      <c r="K54" s="2">
        <f t="shared" si="26"/>
        <v>0</v>
      </c>
      <c r="L54" s="2">
        <f t="shared" si="16"/>
        <v>0</v>
      </c>
      <c r="M54">
        <v>0</v>
      </c>
      <c r="N54" s="2">
        <f t="shared" si="27"/>
        <v>159.08383561643785</v>
      </c>
      <c r="O54" s="2">
        <f t="shared" si="28"/>
        <v>77.103287671232465</v>
      </c>
      <c r="P54" s="2">
        <f t="shared" si="29"/>
        <v>71.195342465753356</v>
      </c>
      <c r="Q54" s="2">
        <f t="shared" si="30"/>
        <v>18.708493150684856</v>
      </c>
      <c r="R54">
        <v>1</v>
      </c>
      <c r="S54" s="2">
        <f t="shared" si="31"/>
        <v>6.253972602739716</v>
      </c>
      <c r="T54" s="2">
        <f t="shared" si="17"/>
        <v>171.0304109740793</v>
      </c>
      <c r="U54" s="2">
        <f t="shared" si="18"/>
        <v>50.517534246689998</v>
      </c>
      <c r="V54" s="1">
        <f t="shared" si="19"/>
        <v>8.9664687992468917</v>
      </c>
      <c r="W54" s="1">
        <f t="shared" si="20"/>
        <v>3.7324988768671301</v>
      </c>
      <c r="X54" s="1">
        <f t="shared" si="21"/>
        <v>1.2209551457047116</v>
      </c>
      <c r="Z54">
        <v>0.437931034482758</v>
      </c>
      <c r="AA54">
        <v>0.28620689655172399</v>
      </c>
      <c r="AB54">
        <v>0.479310344827586</v>
      </c>
      <c r="AC54">
        <v>0</v>
      </c>
      <c r="AD54">
        <v>0</v>
      </c>
      <c r="AE54">
        <v>0</v>
      </c>
      <c r="AF54">
        <v>0.22280649245999701</v>
      </c>
      <c r="AG54">
        <v>0.107987797858869</v>
      </c>
      <c r="AH54">
        <v>9.9713364797973894E-2</v>
      </c>
      <c r="AI54">
        <v>2.62023713595026E-2</v>
      </c>
      <c r="AJ54">
        <v>1.4005602240896001E-3</v>
      </c>
      <c r="AK54">
        <v>8.7590652699435795E-3</v>
      </c>
      <c r="AL54">
        <v>23.953839071999901</v>
      </c>
      <c r="AM54">
        <v>7.0752849084999996</v>
      </c>
    </row>
    <row r="55" spans="1:39" x14ac:dyDescent="0.4">
      <c r="A55" s="3" t="s">
        <v>119</v>
      </c>
      <c r="B55" t="s">
        <v>118</v>
      </c>
      <c r="C55">
        <v>17</v>
      </c>
      <c r="D55">
        <v>30</v>
      </c>
      <c r="E55">
        <v>102.67</v>
      </c>
      <c r="F55">
        <v>432</v>
      </c>
      <c r="G55" s="2">
        <f t="shared" si="22"/>
        <v>4.8428571428571301</v>
      </c>
      <c r="H55" s="2">
        <f t="shared" si="23"/>
        <v>4.8428571428571301</v>
      </c>
      <c r="I55" s="2">
        <f t="shared" si="24"/>
        <v>6.3428571428571301</v>
      </c>
      <c r="J55" s="2">
        <f t="shared" si="25"/>
        <v>0</v>
      </c>
      <c r="K55" s="2">
        <f t="shared" si="26"/>
        <v>0.91428571428571204</v>
      </c>
      <c r="L55" s="2">
        <f t="shared" si="16"/>
        <v>0.91428571428571204</v>
      </c>
      <c r="M55">
        <v>0</v>
      </c>
      <c r="N55" s="2">
        <f t="shared" si="27"/>
        <v>89.373511293634365</v>
      </c>
      <c r="O55" s="2">
        <f t="shared" si="28"/>
        <v>46.368172484599249</v>
      </c>
      <c r="P55" s="2">
        <f t="shared" si="29"/>
        <v>42.6843942505133</v>
      </c>
      <c r="Q55" s="2">
        <f t="shared" si="30"/>
        <v>11.972279260780214</v>
      </c>
      <c r="R55">
        <v>1</v>
      </c>
      <c r="S55" s="2">
        <f t="shared" si="31"/>
        <v>4.1305954825461688</v>
      </c>
      <c r="T55" s="2">
        <f t="shared" si="17"/>
        <v>109.99712525183999</v>
      </c>
      <c r="U55" s="2">
        <f t="shared" si="18"/>
        <v>39.042505135008</v>
      </c>
      <c r="V55" s="1">
        <f t="shared" si="19"/>
        <v>9.6422920742822633</v>
      </c>
      <c r="W55" s="1">
        <f t="shared" si="20"/>
        <v>3.7416922981846663</v>
      </c>
      <c r="X55" s="1">
        <f t="shared" si="21"/>
        <v>1.2507647455794522</v>
      </c>
      <c r="Z55">
        <v>0.161428571428571</v>
      </c>
      <c r="AA55">
        <v>0.161428571428571</v>
      </c>
      <c r="AB55">
        <v>0.21142857142857099</v>
      </c>
      <c r="AC55">
        <v>0</v>
      </c>
      <c r="AD55">
        <v>3.04761904761904E-2</v>
      </c>
      <c r="AE55">
        <v>0</v>
      </c>
      <c r="AF55">
        <v>0.20688312799452399</v>
      </c>
      <c r="AG55">
        <v>0.107333732603239</v>
      </c>
      <c r="AH55">
        <v>9.8806468172484493E-2</v>
      </c>
      <c r="AI55">
        <v>2.7713609399954198E-2</v>
      </c>
      <c r="AJ55">
        <v>2.3148148148147999E-3</v>
      </c>
      <c r="AK55">
        <v>9.5615636170050203E-3</v>
      </c>
      <c r="AL55">
        <v>25.462297511999999</v>
      </c>
      <c r="AM55">
        <v>9.0376169294000004</v>
      </c>
    </row>
    <row r="56" spans="1:39" x14ac:dyDescent="0.4">
      <c r="A56" t="s">
        <v>183</v>
      </c>
      <c r="B56" t="s">
        <v>179</v>
      </c>
      <c r="C56">
        <v>19</v>
      </c>
      <c r="D56">
        <v>21</v>
      </c>
      <c r="E56">
        <v>109</v>
      </c>
      <c r="F56">
        <v>445</v>
      </c>
      <c r="G56" s="2">
        <f t="shared" si="22"/>
        <v>6.3</v>
      </c>
      <c r="H56" s="2">
        <f t="shared" si="23"/>
        <v>5.3666666666666547</v>
      </c>
      <c r="I56" s="2">
        <f t="shared" si="24"/>
        <v>9.0999999999999925</v>
      </c>
      <c r="J56" s="2">
        <f t="shared" si="25"/>
        <v>0</v>
      </c>
      <c r="K56" s="2">
        <f t="shared" si="26"/>
        <v>0.23333333333333309</v>
      </c>
      <c r="L56" s="2">
        <f t="shared" si="16"/>
        <v>0.23333333333333309</v>
      </c>
      <c r="M56">
        <v>0</v>
      </c>
      <c r="N56" s="2">
        <f t="shared" si="27"/>
        <v>93.445945945945653</v>
      </c>
      <c r="O56" s="2">
        <f t="shared" si="28"/>
        <v>49.577027027026965</v>
      </c>
      <c r="P56" s="2">
        <f t="shared" si="29"/>
        <v>45.370270270270169</v>
      </c>
      <c r="Q56" s="2">
        <f t="shared" si="30"/>
        <v>16.525675675675611</v>
      </c>
      <c r="R56">
        <v>0</v>
      </c>
      <c r="S56" s="2">
        <f t="shared" si="31"/>
        <v>4.7886100386099768</v>
      </c>
      <c r="T56" s="2">
        <f t="shared" si="17"/>
        <v>112.37567568904954</v>
      </c>
      <c r="U56" s="2">
        <f t="shared" si="18"/>
        <v>29.747297298609954</v>
      </c>
      <c r="V56" s="1">
        <f t="shared" si="19"/>
        <v>9.2787255156095938</v>
      </c>
      <c r="W56" s="1">
        <f t="shared" si="20"/>
        <v>3.7461691048846926</v>
      </c>
      <c r="X56" s="1">
        <f t="shared" si="21"/>
        <v>1.1302132407757395</v>
      </c>
      <c r="Z56">
        <v>0.3</v>
      </c>
      <c r="AA56">
        <v>0.25555555555555498</v>
      </c>
      <c r="AB56">
        <v>0.43333333333333302</v>
      </c>
      <c r="AC56">
        <v>0</v>
      </c>
      <c r="AD56">
        <v>1.1111111111111099E-2</v>
      </c>
      <c r="AE56">
        <v>0</v>
      </c>
      <c r="AF56">
        <v>0.20999088976617</v>
      </c>
      <c r="AG56">
        <v>0.111409049498937</v>
      </c>
      <c r="AH56">
        <v>0.101955663528697</v>
      </c>
      <c r="AI56">
        <v>3.71363498329789E-2</v>
      </c>
      <c r="AJ56">
        <v>0</v>
      </c>
      <c r="AK56">
        <v>1.07609214350786E-2</v>
      </c>
      <c r="AL56">
        <v>25.2529608289999</v>
      </c>
      <c r="AM56">
        <v>6.6847859097999898</v>
      </c>
    </row>
    <row r="57" spans="1:39" x14ac:dyDescent="0.4">
      <c r="A57" t="s">
        <v>177</v>
      </c>
      <c r="B57" t="s">
        <v>173</v>
      </c>
      <c r="C57">
        <v>26</v>
      </c>
      <c r="D57">
        <v>26</v>
      </c>
      <c r="E57">
        <v>158</v>
      </c>
      <c r="F57">
        <v>652</v>
      </c>
      <c r="G57" s="2">
        <f t="shared" si="22"/>
        <v>9.9586206896551701</v>
      </c>
      <c r="H57" s="2">
        <f t="shared" si="23"/>
        <v>8.0206896551724007</v>
      </c>
      <c r="I57" s="2">
        <f t="shared" si="24"/>
        <v>13.403448275862059</v>
      </c>
      <c r="J57" s="2">
        <f t="shared" si="25"/>
        <v>0</v>
      </c>
      <c r="K57" s="2">
        <f t="shared" si="26"/>
        <v>0</v>
      </c>
      <c r="L57" s="2">
        <f t="shared" si="16"/>
        <v>0</v>
      </c>
      <c r="M57">
        <v>0</v>
      </c>
      <c r="N57" s="2">
        <f t="shared" si="27"/>
        <v>141.53008130081253</v>
      </c>
      <c r="O57" s="2">
        <f t="shared" si="28"/>
        <v>71.674254742547234</v>
      </c>
      <c r="P57" s="2">
        <f t="shared" si="29"/>
        <v>66.163685636856243</v>
      </c>
      <c r="Q57" s="2">
        <f t="shared" si="30"/>
        <v>19.905420054200487</v>
      </c>
      <c r="R57">
        <v>1</v>
      </c>
      <c r="S57" s="2">
        <f t="shared" si="31"/>
        <v>6.0552845528454986</v>
      </c>
      <c r="T57" s="2">
        <f t="shared" si="17"/>
        <v>151.03279131991999</v>
      </c>
      <c r="U57" s="2">
        <f t="shared" si="18"/>
        <v>44.7582655832</v>
      </c>
      <c r="V57" s="1">
        <f t="shared" si="19"/>
        <v>8.6031336827802534</v>
      </c>
      <c r="W57" s="1">
        <f t="shared" si="20"/>
        <v>3.7688175362766212</v>
      </c>
      <c r="X57" s="1">
        <f t="shared" si="21"/>
        <v>1.1790401701519779</v>
      </c>
      <c r="Z57">
        <v>0.38302387267904497</v>
      </c>
      <c r="AA57">
        <v>0.30848806366047699</v>
      </c>
      <c r="AB57">
        <v>0.51551724137930999</v>
      </c>
      <c r="AC57">
        <v>0</v>
      </c>
      <c r="AD57">
        <v>0</v>
      </c>
      <c r="AE57">
        <v>0</v>
      </c>
      <c r="AF57">
        <v>0.217070676841737</v>
      </c>
      <c r="AG57">
        <v>0.10992983856218901</v>
      </c>
      <c r="AH57">
        <v>0.10147804545530099</v>
      </c>
      <c r="AI57">
        <v>3.0529785359203199E-2</v>
      </c>
      <c r="AJ57">
        <v>1.5337423312883E-3</v>
      </c>
      <c r="AK57">
        <v>9.2872462466955501E-3</v>
      </c>
      <c r="AL57">
        <v>23.164538545999999</v>
      </c>
      <c r="AM57">
        <v>6.8647646599999996</v>
      </c>
    </row>
    <row r="58" spans="1:39" x14ac:dyDescent="0.4">
      <c r="A58" s="3" t="s">
        <v>67</v>
      </c>
      <c r="B58" t="s">
        <v>63</v>
      </c>
      <c r="C58">
        <v>28</v>
      </c>
      <c r="D58">
        <v>28</v>
      </c>
      <c r="E58">
        <v>172.33</v>
      </c>
      <c r="F58">
        <v>699</v>
      </c>
      <c r="G58" s="2">
        <f t="shared" si="22"/>
        <v>11.586206896551701</v>
      </c>
      <c r="H58" s="2">
        <f t="shared" si="23"/>
        <v>7.5068965517241368</v>
      </c>
      <c r="I58" s="2">
        <f t="shared" si="24"/>
        <v>13.734482758620681</v>
      </c>
      <c r="J58" s="2">
        <f t="shared" si="25"/>
        <v>0</v>
      </c>
      <c r="K58" s="2">
        <f t="shared" si="26"/>
        <v>0</v>
      </c>
      <c r="L58" s="2">
        <f t="shared" si="16"/>
        <v>0</v>
      </c>
      <c r="M58">
        <v>0</v>
      </c>
      <c r="N58" s="2">
        <f t="shared" si="27"/>
        <v>156.98709677419293</v>
      </c>
      <c r="O58" s="2">
        <f t="shared" si="28"/>
        <v>78.70120967741876</v>
      </c>
      <c r="P58" s="2">
        <f t="shared" si="29"/>
        <v>72.297580645161162</v>
      </c>
      <c r="Q58" s="2">
        <f t="shared" si="30"/>
        <v>24.899193548386993</v>
      </c>
      <c r="R58">
        <v>1</v>
      </c>
      <c r="S58" s="2">
        <f t="shared" si="31"/>
        <v>5.4729838709677248</v>
      </c>
      <c r="T58" s="2">
        <f t="shared" si="17"/>
        <v>165.37540321631931</v>
      </c>
      <c r="U58" s="2">
        <f t="shared" si="18"/>
        <v>37.406451613370933</v>
      </c>
      <c r="V58" s="1">
        <f t="shared" si="19"/>
        <v>8.6367935295472265</v>
      </c>
      <c r="W58" s="1">
        <f t="shared" si="20"/>
        <v>3.7757687332817875</v>
      </c>
      <c r="X58" s="1">
        <f t="shared" si="21"/>
        <v>1.128030803618429</v>
      </c>
      <c r="Z58">
        <v>0.41379310344827502</v>
      </c>
      <c r="AA58">
        <v>0.26810344827586202</v>
      </c>
      <c r="AB58">
        <v>0.49051724137931002</v>
      </c>
      <c r="AC58">
        <v>0</v>
      </c>
      <c r="AD58">
        <v>0</v>
      </c>
      <c r="AE58">
        <v>0</v>
      </c>
      <c r="AF58">
        <v>0.22458812127924599</v>
      </c>
      <c r="AG58">
        <v>0.11259114403064201</v>
      </c>
      <c r="AH58">
        <v>0.10343001522912899</v>
      </c>
      <c r="AI58">
        <v>3.5621163874659502E-2</v>
      </c>
      <c r="AJ58">
        <v>1.4306151645206999E-3</v>
      </c>
      <c r="AK58">
        <v>7.82973372098387E-3</v>
      </c>
      <c r="AL58">
        <v>23.658855967999902</v>
      </c>
      <c r="AM58">
        <v>5.3514236928999903</v>
      </c>
    </row>
    <row r="59" spans="1:39" x14ac:dyDescent="0.4">
      <c r="A59" s="3" t="s">
        <v>130</v>
      </c>
      <c r="B59" t="s">
        <v>127</v>
      </c>
      <c r="C59">
        <v>27</v>
      </c>
      <c r="D59">
        <v>31</v>
      </c>
      <c r="E59">
        <v>146.66999999999999</v>
      </c>
      <c r="F59">
        <v>623</v>
      </c>
      <c r="G59" s="2">
        <f t="shared" si="22"/>
        <v>9.6578947368420849</v>
      </c>
      <c r="H59" s="2">
        <f t="shared" si="23"/>
        <v>7.0684210526315736</v>
      </c>
      <c r="I59" s="2">
        <f t="shared" si="24"/>
        <v>10.915789473684198</v>
      </c>
      <c r="J59" s="2">
        <f t="shared" si="25"/>
        <v>0</v>
      </c>
      <c r="K59" s="2">
        <f t="shared" si="26"/>
        <v>0.24473684210526306</v>
      </c>
      <c r="L59" s="2">
        <f t="shared" si="16"/>
        <v>0.24473684210526306</v>
      </c>
      <c r="M59">
        <v>0</v>
      </c>
      <c r="N59" s="2">
        <f t="shared" si="27"/>
        <v>114.12149122806954</v>
      </c>
      <c r="O59" s="2">
        <f t="shared" si="28"/>
        <v>67.167690058478897</v>
      </c>
      <c r="P59" s="2">
        <f t="shared" si="29"/>
        <v>61.542251461988215</v>
      </c>
      <c r="Q59" s="2">
        <f t="shared" si="30"/>
        <v>20.026608187134439</v>
      </c>
      <c r="R59">
        <v>2</v>
      </c>
      <c r="S59" s="2">
        <f t="shared" si="31"/>
        <v>7.0859649122806365</v>
      </c>
      <c r="T59" s="2">
        <f t="shared" si="17"/>
        <v>164.00073097093002</v>
      </c>
      <c r="U59" s="2">
        <f t="shared" si="18"/>
        <v>71.030701746269997</v>
      </c>
      <c r="V59" s="1">
        <f t="shared" si="19"/>
        <v>10.063452503841075</v>
      </c>
      <c r="W59" s="1">
        <f t="shared" si="20"/>
        <v>3.7763705131103427</v>
      </c>
      <c r="X59" s="1">
        <f t="shared" si="21"/>
        <v>1.2623726254471912</v>
      </c>
      <c r="Z59">
        <v>0.31154499151103499</v>
      </c>
      <c r="AA59">
        <v>0.22801358234295399</v>
      </c>
      <c r="AB59">
        <v>0.35212224108658702</v>
      </c>
      <c r="AC59">
        <v>0</v>
      </c>
      <c r="AD59">
        <v>7.8947368421052599E-3</v>
      </c>
      <c r="AE59">
        <v>0</v>
      </c>
      <c r="AF59">
        <v>0.18318056376897199</v>
      </c>
      <c r="AG59">
        <v>0.107813306674926</v>
      </c>
      <c r="AH59">
        <v>9.8783710211859097E-2</v>
      </c>
      <c r="AI59">
        <v>3.2145438502623497E-2</v>
      </c>
      <c r="AJ59">
        <v>3.2102728731941998E-3</v>
      </c>
      <c r="AK59">
        <v>1.1373940469150299E-2</v>
      </c>
      <c r="AL59">
        <v>26.324354890999999</v>
      </c>
      <c r="AM59">
        <v>11.401396749</v>
      </c>
    </row>
    <row r="60" spans="1:39" x14ac:dyDescent="0.4">
      <c r="A60" s="3" t="s">
        <v>124</v>
      </c>
      <c r="B60" t="s">
        <v>123</v>
      </c>
      <c r="C60">
        <v>26</v>
      </c>
      <c r="D60">
        <v>30</v>
      </c>
      <c r="E60">
        <v>149.66999999999999</v>
      </c>
      <c r="F60">
        <v>635</v>
      </c>
      <c r="G60" s="2">
        <f t="shared" si="22"/>
        <v>9.6999999999999886</v>
      </c>
      <c r="H60" s="2">
        <f t="shared" si="23"/>
        <v>6.3999999999999897</v>
      </c>
      <c r="I60" s="2">
        <f t="shared" si="24"/>
        <v>11.699999999999971</v>
      </c>
      <c r="J60" s="2">
        <f t="shared" si="25"/>
        <v>0</v>
      </c>
      <c r="K60" s="2">
        <f t="shared" si="26"/>
        <v>0.249999999999999</v>
      </c>
      <c r="L60" s="2">
        <f t="shared" si="16"/>
        <v>0.249999999999999</v>
      </c>
      <c r="M60">
        <v>0</v>
      </c>
      <c r="N60" s="2">
        <f t="shared" si="27"/>
        <v>130.78139904610472</v>
      </c>
      <c r="O60" s="2">
        <f t="shared" si="28"/>
        <v>82.287599364069521</v>
      </c>
      <c r="P60" s="2">
        <f t="shared" si="29"/>
        <v>63.120667726549989</v>
      </c>
      <c r="Q60" s="2">
        <f t="shared" si="30"/>
        <v>18.120190779014276</v>
      </c>
      <c r="R60">
        <v>1</v>
      </c>
      <c r="S60" s="2">
        <f t="shared" si="31"/>
        <v>7.1143084260730669</v>
      </c>
      <c r="T60" s="2">
        <f t="shared" si="17"/>
        <v>175.28855325124999</v>
      </c>
      <c r="U60" s="2">
        <f t="shared" si="18"/>
        <v>68.260731302750003</v>
      </c>
      <c r="V60" s="1">
        <f t="shared" si="19"/>
        <v>10.540502300135298</v>
      </c>
      <c r="W60" s="1">
        <f t="shared" si="20"/>
        <v>3.7955903623902585</v>
      </c>
      <c r="X60" s="1">
        <f t="shared" si="21"/>
        <v>1.3298732568240446</v>
      </c>
      <c r="Z60">
        <v>0.32333333333333297</v>
      </c>
      <c r="AA60">
        <v>0.21333333333333299</v>
      </c>
      <c r="AB60">
        <v>0.38999999999999901</v>
      </c>
      <c r="AC60">
        <v>0</v>
      </c>
      <c r="AD60">
        <v>8.3333333333333003E-3</v>
      </c>
      <c r="AE60">
        <v>0</v>
      </c>
      <c r="AF60">
        <v>0.20595495912772399</v>
      </c>
      <c r="AG60">
        <v>0.12958677065207799</v>
      </c>
      <c r="AH60">
        <v>9.9402626341023606E-2</v>
      </c>
      <c r="AI60">
        <v>2.8535733510258701E-2</v>
      </c>
      <c r="AJ60">
        <v>1.5748031496062001E-3</v>
      </c>
      <c r="AK60">
        <v>1.1203635316650499E-2</v>
      </c>
      <c r="AL60">
        <v>27.604496574999999</v>
      </c>
      <c r="AM60">
        <v>10.749721465</v>
      </c>
    </row>
    <row r="61" spans="1:39" x14ac:dyDescent="0.4">
      <c r="A61" t="s">
        <v>98</v>
      </c>
      <c r="B61" t="s">
        <v>96</v>
      </c>
      <c r="C61">
        <v>30</v>
      </c>
      <c r="D61">
        <v>30</v>
      </c>
      <c r="E61">
        <v>170.67</v>
      </c>
      <c r="F61">
        <v>709</v>
      </c>
      <c r="G61" s="2">
        <f t="shared" si="22"/>
        <v>10.483870967741909</v>
      </c>
      <c r="H61" s="2">
        <f t="shared" si="23"/>
        <v>9.9032258064515997</v>
      </c>
      <c r="I61" s="2">
        <f t="shared" si="24"/>
        <v>13.335483870967741</v>
      </c>
      <c r="J61" s="2">
        <f t="shared" si="25"/>
        <v>0</v>
      </c>
      <c r="K61" s="2">
        <f t="shared" si="26"/>
        <v>0</v>
      </c>
      <c r="L61" s="2">
        <f t="shared" si="16"/>
        <v>0</v>
      </c>
      <c r="M61">
        <v>0</v>
      </c>
      <c r="N61" s="2">
        <f t="shared" si="27"/>
        <v>148.78035961272431</v>
      </c>
      <c r="O61" s="2">
        <f t="shared" si="28"/>
        <v>78.529183955739242</v>
      </c>
      <c r="P61" s="2">
        <f t="shared" si="29"/>
        <v>72.310511756569639</v>
      </c>
      <c r="Q61" s="2">
        <f t="shared" si="30"/>
        <v>23.588243430152108</v>
      </c>
      <c r="R61">
        <v>1</v>
      </c>
      <c r="S61" s="2">
        <f t="shared" si="31"/>
        <v>5.5593360995850052</v>
      </c>
      <c r="T61" s="2">
        <f t="shared" si="17"/>
        <v>190.17040111446929</v>
      </c>
      <c r="U61" s="2">
        <f t="shared" si="18"/>
        <v>54.427385889627992</v>
      </c>
      <c r="V61" s="1">
        <f t="shared" si="19"/>
        <v>10.028321380618877</v>
      </c>
      <c r="W61" s="1">
        <f t="shared" si="20"/>
        <v>3.8131751673353653</v>
      </c>
      <c r="X61" s="1">
        <f t="shared" si="21"/>
        <v>1.1906471289761078</v>
      </c>
      <c r="Z61">
        <v>0.34946236559139698</v>
      </c>
      <c r="AA61">
        <v>0.33010752688172001</v>
      </c>
      <c r="AB61">
        <v>0.44451612903225801</v>
      </c>
      <c r="AC61">
        <v>0</v>
      </c>
      <c r="AD61">
        <v>0</v>
      </c>
      <c r="AE61">
        <v>0</v>
      </c>
      <c r="AF61">
        <v>0.209845359115267</v>
      </c>
      <c r="AG61">
        <v>0.11076048512798201</v>
      </c>
      <c r="AH61">
        <v>0.101989438302637</v>
      </c>
      <c r="AI61">
        <v>3.3269736854939502E-2</v>
      </c>
      <c r="AJ61">
        <v>1.4104372355430001E-3</v>
      </c>
      <c r="AK61">
        <v>7.8410946397531808E-3</v>
      </c>
      <c r="AL61">
        <v>26.822341482999899</v>
      </c>
      <c r="AM61">
        <v>7.6766411691999998</v>
      </c>
    </row>
    <row r="62" spans="1:39" x14ac:dyDescent="0.4">
      <c r="A62" s="3" t="s">
        <v>163</v>
      </c>
      <c r="B62" t="s">
        <v>162</v>
      </c>
      <c r="C62">
        <v>15</v>
      </c>
      <c r="D62">
        <v>16</v>
      </c>
      <c r="E62">
        <v>82</v>
      </c>
      <c r="F62">
        <v>350</v>
      </c>
      <c r="G62" s="2">
        <f t="shared" si="22"/>
        <v>5.3</v>
      </c>
      <c r="H62" s="2">
        <f t="shared" si="23"/>
        <v>5</v>
      </c>
      <c r="I62" s="2">
        <f t="shared" si="24"/>
        <v>7.6</v>
      </c>
      <c r="J62" s="2">
        <f t="shared" si="25"/>
        <v>0</v>
      </c>
      <c r="K62" s="2">
        <f t="shared" si="26"/>
        <v>0</v>
      </c>
      <c r="L62" s="2">
        <f t="shared" si="16"/>
        <v>0</v>
      </c>
      <c r="M62">
        <v>0</v>
      </c>
      <c r="N62" s="2">
        <f t="shared" si="27"/>
        <v>74.249999999999943</v>
      </c>
      <c r="O62" s="2">
        <f t="shared" si="28"/>
        <v>38.337499999999899</v>
      </c>
      <c r="P62" s="2">
        <f t="shared" si="29"/>
        <v>34.987499999999997</v>
      </c>
      <c r="Q62" s="2">
        <f t="shared" si="30"/>
        <v>9.1249999999999751</v>
      </c>
      <c r="R62">
        <v>0</v>
      </c>
      <c r="S62" s="2">
        <f t="shared" si="31"/>
        <v>3.849999999999965</v>
      </c>
      <c r="T62" s="2">
        <f t="shared" si="17"/>
        <v>83.437499995500005</v>
      </c>
      <c r="U62" s="2">
        <f t="shared" si="18"/>
        <v>32.262500000149998</v>
      </c>
      <c r="V62" s="1">
        <f t="shared" si="19"/>
        <v>9.1577743897499992</v>
      </c>
      <c r="W62" s="1">
        <f t="shared" si="20"/>
        <v>3.8400914634146339</v>
      </c>
      <c r="X62" s="1">
        <f t="shared" si="21"/>
        <v>1.298932926831097</v>
      </c>
      <c r="Z62">
        <v>0.33124999999999999</v>
      </c>
      <c r="AA62">
        <v>0.3125</v>
      </c>
      <c r="AB62">
        <v>0.47499999999999998</v>
      </c>
      <c r="AC62">
        <v>0</v>
      </c>
      <c r="AD62">
        <v>0</v>
      </c>
      <c r="AE62">
        <v>0</v>
      </c>
      <c r="AF62">
        <v>0.21214285714285699</v>
      </c>
      <c r="AG62">
        <v>0.109535714285714</v>
      </c>
      <c r="AH62">
        <v>9.99642857142857E-2</v>
      </c>
      <c r="AI62">
        <v>2.6071428571428499E-2</v>
      </c>
      <c r="AJ62">
        <v>0</v>
      </c>
      <c r="AK62">
        <v>1.09999999999999E-2</v>
      </c>
      <c r="AL62">
        <v>23.839285712999999</v>
      </c>
      <c r="AM62">
        <v>9.2178571428999998</v>
      </c>
    </row>
    <row r="63" spans="1:39" x14ac:dyDescent="0.4">
      <c r="A63" t="s">
        <v>101</v>
      </c>
      <c r="B63" t="s">
        <v>100</v>
      </c>
      <c r="C63">
        <v>10</v>
      </c>
      <c r="D63">
        <v>34</v>
      </c>
      <c r="E63">
        <v>78.67</v>
      </c>
      <c r="F63">
        <v>328</v>
      </c>
      <c r="G63" s="2">
        <f t="shared" si="22"/>
        <v>4.6163265306122252</v>
      </c>
      <c r="H63" s="2">
        <f t="shared" si="23"/>
        <v>3.2163265306122426</v>
      </c>
      <c r="I63" s="2">
        <f t="shared" si="24"/>
        <v>4.5408163265305985</v>
      </c>
      <c r="J63" s="2">
        <f t="shared" si="25"/>
        <v>0</v>
      </c>
      <c r="K63" s="2">
        <f t="shared" si="26"/>
        <v>0.90816326530611957</v>
      </c>
      <c r="L63" s="2">
        <f t="shared" si="16"/>
        <v>0.90816326530611957</v>
      </c>
      <c r="M63">
        <v>0</v>
      </c>
      <c r="N63" s="2">
        <f t="shared" si="27"/>
        <v>69.599999999999838</v>
      </c>
      <c r="O63" s="2">
        <f t="shared" si="28"/>
        <v>36.361538461538437</v>
      </c>
      <c r="P63" s="2">
        <f t="shared" si="29"/>
        <v>33.569230769230472</v>
      </c>
      <c r="Q63" s="2">
        <f t="shared" si="30"/>
        <v>9.3384615384615177</v>
      </c>
      <c r="R63">
        <v>1</v>
      </c>
      <c r="S63" s="2">
        <f t="shared" si="31"/>
        <v>3.8813186813186635</v>
      </c>
      <c r="T63" s="2">
        <f t="shared" si="17"/>
        <v>73.592307687439671</v>
      </c>
      <c r="U63" s="2">
        <f t="shared" si="18"/>
        <v>26.392307692159967</v>
      </c>
      <c r="V63" s="1">
        <f t="shared" si="19"/>
        <v>8.4191021887245086</v>
      </c>
      <c r="W63" s="1">
        <f t="shared" si="20"/>
        <v>3.8403848598331543</v>
      </c>
      <c r="X63" s="1">
        <f t="shared" si="21"/>
        <v>1.2201894965318394</v>
      </c>
      <c r="Z63">
        <v>0.13577430972388899</v>
      </c>
      <c r="AA63">
        <v>9.4597839135654199E-2</v>
      </c>
      <c r="AB63">
        <v>0.133553421368547</v>
      </c>
      <c r="AC63">
        <v>0</v>
      </c>
      <c r="AD63">
        <v>2.6710684273709401E-2</v>
      </c>
      <c r="AE63">
        <v>0</v>
      </c>
      <c r="AF63">
        <v>0.21219512195121901</v>
      </c>
      <c r="AG63">
        <v>0.11085834896810499</v>
      </c>
      <c r="AH63">
        <v>0.10234521575984901</v>
      </c>
      <c r="AI63">
        <v>2.8470919324577799E-2</v>
      </c>
      <c r="AJ63">
        <v>3.0487804878048001E-3</v>
      </c>
      <c r="AK63">
        <v>1.1833288662556901E-2</v>
      </c>
      <c r="AL63">
        <v>22.436679172999899</v>
      </c>
      <c r="AM63">
        <v>8.0464352719999894</v>
      </c>
    </row>
    <row r="64" spans="1:39" x14ac:dyDescent="0.4">
      <c r="A64" t="s">
        <v>80</v>
      </c>
      <c r="B64" t="s">
        <v>81</v>
      </c>
      <c r="C64">
        <v>26</v>
      </c>
      <c r="D64">
        <v>27</v>
      </c>
      <c r="E64">
        <v>144.66999999999999</v>
      </c>
      <c r="F64">
        <v>606</v>
      </c>
      <c r="G64" s="2">
        <f t="shared" si="22"/>
        <v>10.072413793103445</v>
      </c>
      <c r="H64" s="2">
        <f t="shared" si="23"/>
        <v>8.1137931034482627</v>
      </c>
      <c r="I64" s="2">
        <f t="shared" si="24"/>
        <v>12.168965517241364</v>
      </c>
      <c r="J64" s="2">
        <f t="shared" si="25"/>
        <v>0</v>
      </c>
      <c r="K64" s="2">
        <f t="shared" si="26"/>
        <v>0</v>
      </c>
      <c r="L64" s="2">
        <f t="shared" si="16"/>
        <v>0</v>
      </c>
      <c r="M64">
        <v>0</v>
      </c>
      <c r="N64" s="2">
        <f t="shared" si="27"/>
        <v>130.20582524271816</v>
      </c>
      <c r="O64" s="2">
        <f t="shared" si="28"/>
        <v>67.467961165047925</v>
      </c>
      <c r="P64" s="2">
        <f t="shared" si="29"/>
        <v>61.849514563106688</v>
      </c>
      <c r="Q64" s="2">
        <f t="shared" si="30"/>
        <v>19.232038834951428</v>
      </c>
      <c r="R64">
        <v>1</v>
      </c>
      <c r="S64" s="2">
        <f t="shared" si="31"/>
        <v>6.6650485436892675</v>
      </c>
      <c r="T64" s="2">
        <f t="shared" si="17"/>
        <v>157.42135921092</v>
      </c>
      <c r="U64" s="2">
        <f t="shared" si="18"/>
        <v>46.747572814590001</v>
      </c>
      <c r="V64" s="1">
        <f t="shared" si="19"/>
        <v>9.7932690460930392</v>
      </c>
      <c r="W64" s="1">
        <f t="shared" si="20"/>
        <v>3.8476922034143932</v>
      </c>
      <c r="X64" s="1">
        <f t="shared" si="21"/>
        <v>1.2231519876775294</v>
      </c>
      <c r="Z64">
        <v>0.373052362707535</v>
      </c>
      <c r="AA64">
        <v>0.30051085568326902</v>
      </c>
      <c r="AB64">
        <v>0.450702426564495</v>
      </c>
      <c r="AC64">
        <v>0</v>
      </c>
      <c r="AD64">
        <v>0</v>
      </c>
      <c r="AE64">
        <v>0</v>
      </c>
      <c r="AF64">
        <v>0.21486109776026099</v>
      </c>
      <c r="AG64">
        <v>0.111333269249254</v>
      </c>
      <c r="AH64">
        <v>0.102061905219648</v>
      </c>
      <c r="AI64">
        <v>3.1736037681437998E-2</v>
      </c>
      <c r="AJ64">
        <v>1.6501650165016001E-3</v>
      </c>
      <c r="AK64">
        <v>1.09984299400813E-2</v>
      </c>
      <c r="AL64">
        <v>25.977121982</v>
      </c>
      <c r="AM64">
        <v>7.7141209264999997</v>
      </c>
    </row>
    <row r="65" spans="1:39" x14ac:dyDescent="0.4">
      <c r="A65" t="s">
        <v>160</v>
      </c>
      <c r="B65" t="s">
        <v>156</v>
      </c>
      <c r="C65">
        <v>26</v>
      </c>
      <c r="D65">
        <v>26</v>
      </c>
      <c r="E65">
        <v>144</v>
      </c>
      <c r="F65">
        <v>603</v>
      </c>
      <c r="G65" s="2">
        <f t="shared" si="22"/>
        <v>9.3642857142857103</v>
      </c>
      <c r="H65" s="2">
        <f t="shared" si="23"/>
        <v>8.8071428571428374</v>
      </c>
      <c r="I65" s="2">
        <f t="shared" si="24"/>
        <v>11.878571428571407</v>
      </c>
      <c r="J65" s="2">
        <f t="shared" si="25"/>
        <v>0</v>
      </c>
      <c r="K65" s="2">
        <f t="shared" si="26"/>
        <v>0</v>
      </c>
      <c r="L65" s="2">
        <f t="shared" si="16"/>
        <v>0</v>
      </c>
      <c r="M65">
        <v>0</v>
      </c>
      <c r="N65" s="2">
        <f t="shared" si="27"/>
        <v>124.49820089954972</v>
      </c>
      <c r="O65" s="2">
        <f t="shared" si="28"/>
        <v>66.896851574212434</v>
      </c>
      <c r="P65" s="2">
        <f t="shared" si="29"/>
        <v>61.599850074962433</v>
      </c>
      <c r="Q65" s="2">
        <f t="shared" si="30"/>
        <v>19.889505247376238</v>
      </c>
      <c r="R65">
        <v>1</v>
      </c>
      <c r="S65" s="2">
        <f t="shared" si="31"/>
        <v>7.4985007496251326</v>
      </c>
      <c r="T65" s="2">
        <f t="shared" si="17"/>
        <v>159.67871065404</v>
      </c>
      <c r="U65" s="2">
        <f t="shared" si="18"/>
        <v>52.337181408506993</v>
      </c>
      <c r="V65" s="1">
        <f t="shared" si="19"/>
        <v>9.9799194158775002</v>
      </c>
      <c r="W65" s="1">
        <f t="shared" si="20"/>
        <v>3.849990629685152</v>
      </c>
      <c r="X65" s="1">
        <f t="shared" si="21"/>
        <v>1.2280234882503938</v>
      </c>
      <c r="Z65">
        <v>0.360164835164835</v>
      </c>
      <c r="AA65">
        <v>0.33873626373626298</v>
      </c>
      <c r="AB65">
        <v>0.45686813186813102</v>
      </c>
      <c r="AC65">
        <v>0</v>
      </c>
      <c r="AD65">
        <v>0</v>
      </c>
      <c r="AE65">
        <v>0</v>
      </c>
      <c r="AF65">
        <v>0.206464678108706</v>
      </c>
      <c r="AG65">
        <v>0.110940052361878</v>
      </c>
      <c r="AH65">
        <v>0.102155638598611</v>
      </c>
      <c r="AI65">
        <v>3.2984254141585803E-2</v>
      </c>
      <c r="AJ65">
        <v>1.6583747927031E-3</v>
      </c>
      <c r="AK65">
        <v>1.2435324626244E-2</v>
      </c>
      <c r="AL65">
        <v>26.480714868</v>
      </c>
      <c r="AM65">
        <v>8.6794662368999997</v>
      </c>
    </row>
    <row r="66" spans="1:39" x14ac:dyDescent="0.4">
      <c r="A66" t="s">
        <v>54</v>
      </c>
      <c r="B66" t="s">
        <v>50</v>
      </c>
      <c r="C66">
        <v>29</v>
      </c>
      <c r="D66">
        <v>29</v>
      </c>
      <c r="E66">
        <v>171.33</v>
      </c>
      <c r="F66">
        <v>701</v>
      </c>
      <c r="G66" s="2">
        <f t="shared" si="22"/>
        <v>10.999999999999995</v>
      </c>
      <c r="H66" s="2">
        <f t="shared" si="23"/>
        <v>9.2999999999999758</v>
      </c>
      <c r="I66" s="2">
        <f t="shared" si="24"/>
        <v>13.899999999999993</v>
      </c>
      <c r="J66" s="2">
        <f t="shared" si="25"/>
        <v>0</v>
      </c>
      <c r="K66" s="2">
        <f t="shared" si="26"/>
        <v>0</v>
      </c>
      <c r="L66" s="2">
        <f t="shared" ref="L66:L97" si="32">J66+K66</f>
        <v>0</v>
      </c>
      <c r="M66">
        <v>0</v>
      </c>
      <c r="N66" s="2">
        <f t="shared" si="27"/>
        <v>167.53333333333313</v>
      </c>
      <c r="O66" s="2">
        <f t="shared" si="28"/>
        <v>80.079999999999799</v>
      </c>
      <c r="P66" s="2">
        <f t="shared" si="29"/>
        <v>73.306666666666501</v>
      </c>
      <c r="Q66" s="2">
        <f t="shared" si="30"/>
        <v>22.255238095238063</v>
      </c>
      <c r="R66">
        <v>1</v>
      </c>
      <c r="S66" s="2">
        <f t="shared" si="31"/>
        <v>5.5028571428571302</v>
      </c>
      <c r="T66" s="2">
        <f t="shared" ref="T66:T97" si="33">$F66*(AL66/100)</f>
        <v>142.30761903621001</v>
      </c>
      <c r="U66" s="2">
        <f t="shared" ref="U66:U97" si="34">$F66*(AM66/100)</f>
        <v>29.763809525976935</v>
      </c>
      <c r="V66" s="1">
        <f t="shared" ref="V66:V97" si="35">T66/E66*9</f>
        <v>7.4754483822208018</v>
      </c>
      <c r="W66" s="1">
        <f t="shared" ref="W66:W97" si="36">P66/E66*9</f>
        <v>3.8508142181754419</v>
      </c>
      <c r="X66" s="1">
        <f t="shared" ref="X66:X97" si="37">(U66+N66)/E66</f>
        <v>1.1515621482478846</v>
      </c>
      <c r="Z66">
        <v>0.37931034482758602</v>
      </c>
      <c r="AA66">
        <v>0.32068965517241299</v>
      </c>
      <c r="AB66">
        <v>0.479310344827586</v>
      </c>
      <c r="AC66">
        <v>0</v>
      </c>
      <c r="AD66">
        <v>0</v>
      </c>
      <c r="AE66">
        <v>0</v>
      </c>
      <c r="AF66">
        <v>0.238991916310033</v>
      </c>
      <c r="AG66">
        <v>0.11423680456490699</v>
      </c>
      <c r="AH66">
        <v>0.104574417498811</v>
      </c>
      <c r="AI66">
        <v>3.1747843217172701E-2</v>
      </c>
      <c r="AJ66">
        <v>1.4265335235377999E-3</v>
      </c>
      <c r="AK66">
        <v>7.8500101895251501E-3</v>
      </c>
      <c r="AL66">
        <v>20.300658921</v>
      </c>
      <c r="AM66">
        <v>4.2459072076999904</v>
      </c>
    </row>
    <row r="67" spans="1:39" x14ac:dyDescent="0.4">
      <c r="A67" s="3" t="s">
        <v>34</v>
      </c>
      <c r="B67" t="s">
        <v>35</v>
      </c>
      <c r="C67">
        <v>27</v>
      </c>
      <c r="D67">
        <v>33</v>
      </c>
      <c r="E67">
        <v>157.33000000000001</v>
      </c>
      <c r="F67">
        <v>653</v>
      </c>
      <c r="G67" s="2">
        <f t="shared" ref="G67:G98" si="38">$D67*Z67</f>
        <v>8.697142857142838</v>
      </c>
      <c r="H67" s="2">
        <f t="shared" ref="H67:H98" si="39">$D67*AA67</f>
        <v>7.7142857142856895</v>
      </c>
      <c r="I67" s="2">
        <f t="shared" ref="I67:I98" si="40">$D67*AB67</f>
        <v>10.677142857142838</v>
      </c>
      <c r="J67" s="2">
        <f t="shared" ref="J67:J98" si="41">$D67*AC67</f>
        <v>0</v>
      </c>
      <c r="K67" s="2">
        <f t="shared" ref="K67:K98" si="42">$D67*AD67</f>
        <v>0.28285714285714214</v>
      </c>
      <c r="L67" s="2">
        <f t="shared" si="32"/>
        <v>0.28285714285714214</v>
      </c>
      <c r="M67">
        <f>$D67*AE67</f>
        <v>0</v>
      </c>
      <c r="N67" s="2">
        <f t="shared" ref="N67:N98" si="43">$F67*AF67</f>
        <v>151.32921739130387</v>
      </c>
      <c r="O67" s="2">
        <f t="shared" ref="O67:O98" si="44">$F67*AG67</f>
        <v>73.977217391303768</v>
      </c>
      <c r="P67" s="2">
        <f t="shared" ref="P67:P98" si="45">$F67*AH67</f>
        <v>67.407478260869368</v>
      </c>
      <c r="Q67" s="2">
        <f t="shared" ref="Q67:Q98" si="46">$F67*AI67</f>
        <v>20.41426086956519</v>
      </c>
      <c r="R67">
        <f>$F67*AJ67</f>
        <v>0.99999999999999101</v>
      </c>
      <c r="S67" s="2">
        <f t="shared" ref="S67:S98" si="47">$F67*AK67</f>
        <v>5.9034782608695124</v>
      </c>
      <c r="T67" s="2">
        <f t="shared" si="33"/>
        <v>153.12921738579934</v>
      </c>
      <c r="U67" s="2">
        <f t="shared" si="34"/>
        <v>36.043652174789003</v>
      </c>
      <c r="V67" s="1">
        <f t="shared" si="35"/>
        <v>8.7596959033381676</v>
      </c>
      <c r="W67" s="1">
        <f t="shared" si="36"/>
        <v>3.8560179517436231</v>
      </c>
      <c r="X67" s="1">
        <f t="shared" si="37"/>
        <v>1.1909544878032978</v>
      </c>
      <c r="Z67">
        <v>0.26354978354978298</v>
      </c>
      <c r="AA67">
        <v>0.23376623376623301</v>
      </c>
      <c r="AB67">
        <v>0.32354978354978298</v>
      </c>
      <c r="AC67">
        <v>0</v>
      </c>
      <c r="AD67">
        <v>8.5714285714285493E-3</v>
      </c>
      <c r="AE67">
        <v>0</v>
      </c>
      <c r="AF67">
        <v>0.23174459018576399</v>
      </c>
      <c r="AG67">
        <v>0.113288234902456</v>
      </c>
      <c r="AH67">
        <v>0.103227378653705</v>
      </c>
      <c r="AI67">
        <v>3.1262267794127399E-2</v>
      </c>
      <c r="AJ67">
        <v>1.531393568147E-3</v>
      </c>
      <c r="AK67">
        <v>9.0405486383912902E-3</v>
      </c>
      <c r="AL67">
        <v>23.450109859999898</v>
      </c>
      <c r="AM67">
        <v>5.5197017112999998</v>
      </c>
    </row>
    <row r="68" spans="1:39" x14ac:dyDescent="0.4">
      <c r="A68" t="s">
        <v>126</v>
      </c>
      <c r="B68" t="s">
        <v>127</v>
      </c>
      <c r="C68">
        <v>29</v>
      </c>
      <c r="D68">
        <v>29</v>
      </c>
      <c r="E68">
        <v>163.66999999999999</v>
      </c>
      <c r="F68">
        <v>677</v>
      </c>
      <c r="G68" s="2">
        <f t="shared" si="38"/>
        <v>11.767741935483853</v>
      </c>
      <c r="H68" s="2">
        <f t="shared" si="39"/>
        <v>9.8064516129032064</v>
      </c>
      <c r="I68" s="2">
        <f t="shared" si="40"/>
        <v>13.170967741935479</v>
      </c>
      <c r="J68" s="2">
        <f t="shared" si="41"/>
        <v>0</v>
      </c>
      <c r="K68" s="2">
        <f t="shared" si="42"/>
        <v>0</v>
      </c>
      <c r="L68" s="2">
        <f t="shared" si="32"/>
        <v>0</v>
      </c>
      <c r="M68">
        <v>0</v>
      </c>
      <c r="N68" s="2">
        <f t="shared" si="43"/>
        <v>135.35376196990373</v>
      </c>
      <c r="O68" s="2">
        <f t="shared" si="44"/>
        <v>76.511491108070985</v>
      </c>
      <c r="P68" s="2">
        <f t="shared" si="45"/>
        <v>70.173461012311733</v>
      </c>
      <c r="Q68" s="2">
        <f t="shared" si="46"/>
        <v>25.303830369356984</v>
      </c>
      <c r="R68">
        <v>1</v>
      </c>
      <c r="S68" s="2">
        <f t="shared" si="47"/>
        <v>7.122708618331024</v>
      </c>
      <c r="T68" s="2">
        <f t="shared" si="33"/>
        <v>181.61655265040002</v>
      </c>
      <c r="U68" s="2">
        <f t="shared" si="34"/>
        <v>55.445690834722988</v>
      </c>
      <c r="V68" s="1">
        <f t="shared" si="35"/>
        <v>9.9868575417217595</v>
      </c>
      <c r="W68" s="1">
        <f t="shared" si="36"/>
        <v>3.8587471687591228</v>
      </c>
      <c r="X68" s="1">
        <f t="shared" si="37"/>
        <v>1.1657570281947012</v>
      </c>
      <c r="Z68">
        <v>0.405784204671857</v>
      </c>
      <c r="AA68">
        <v>0.33815350389321402</v>
      </c>
      <c r="AB68">
        <v>0.454171301446051</v>
      </c>
      <c r="AC68">
        <v>0</v>
      </c>
      <c r="AD68">
        <v>0</v>
      </c>
      <c r="AE68">
        <v>0</v>
      </c>
      <c r="AF68">
        <v>0.19993170158036</v>
      </c>
      <c r="AG68">
        <v>0.11301549646686999</v>
      </c>
      <c r="AH68">
        <v>0.103653561318038</v>
      </c>
      <c r="AI68">
        <v>3.73764111807341E-2</v>
      </c>
      <c r="AJ68">
        <v>1.4771048744459999E-3</v>
      </c>
      <c r="AK68">
        <v>1.05209876193959E-2</v>
      </c>
      <c r="AL68">
        <v>26.826669519999999</v>
      </c>
      <c r="AM68">
        <v>8.1899100198999992</v>
      </c>
    </row>
    <row r="69" spans="1:39" x14ac:dyDescent="0.4">
      <c r="A69" t="s">
        <v>115</v>
      </c>
      <c r="B69" t="s">
        <v>112</v>
      </c>
      <c r="C69">
        <v>24</v>
      </c>
      <c r="D69">
        <v>32</v>
      </c>
      <c r="E69">
        <v>142.66999999999999</v>
      </c>
      <c r="F69">
        <v>586</v>
      </c>
      <c r="G69" s="2">
        <f t="shared" si="38"/>
        <v>7.4707317073170563</v>
      </c>
      <c r="H69" s="2">
        <f t="shared" si="39"/>
        <v>6.5365853658536324</v>
      </c>
      <c r="I69" s="2">
        <f t="shared" si="40"/>
        <v>10.043902439024384</v>
      </c>
      <c r="J69" s="2">
        <f t="shared" si="41"/>
        <v>0</v>
      </c>
      <c r="K69" s="2">
        <f t="shared" si="42"/>
        <v>0.2341463414634144</v>
      </c>
      <c r="L69" s="2">
        <f t="shared" si="32"/>
        <v>0.2341463414634144</v>
      </c>
      <c r="M69">
        <v>0</v>
      </c>
      <c r="N69" s="2">
        <f t="shared" si="43"/>
        <v>126.01980198019783</v>
      </c>
      <c r="O69" s="2">
        <f t="shared" si="44"/>
        <v>66.805940594058811</v>
      </c>
      <c r="P69" s="2">
        <f t="shared" si="45"/>
        <v>61.244554455445098</v>
      </c>
      <c r="Q69" s="2">
        <f t="shared" si="46"/>
        <v>22.168646864686377</v>
      </c>
      <c r="R69">
        <v>1</v>
      </c>
      <c r="S69" s="2">
        <f t="shared" si="47"/>
        <v>4.5405940594059402</v>
      </c>
      <c r="T69" s="2">
        <f t="shared" si="33"/>
        <v>139.47326733131942</v>
      </c>
      <c r="U69" s="2">
        <f t="shared" si="34"/>
        <v>37.499009899420003</v>
      </c>
      <c r="V69" s="1">
        <f t="shared" si="35"/>
        <v>8.7983416694601164</v>
      </c>
      <c r="W69" s="1">
        <f t="shared" si="36"/>
        <v>3.8634680738698108</v>
      </c>
      <c r="X69" s="1">
        <f t="shared" si="37"/>
        <v>1.1461331175413041</v>
      </c>
      <c r="Z69">
        <v>0.23346036585365801</v>
      </c>
      <c r="AA69">
        <v>0.20426829268292601</v>
      </c>
      <c r="AB69">
        <v>0.313871951219512</v>
      </c>
      <c r="AC69">
        <v>0</v>
      </c>
      <c r="AD69">
        <v>7.3170731707316999E-3</v>
      </c>
      <c r="AE69">
        <v>0</v>
      </c>
      <c r="AF69">
        <v>0.215050856621498</v>
      </c>
      <c r="AG69">
        <v>0.114003311593957</v>
      </c>
      <c r="AH69">
        <v>0.104512891562193</v>
      </c>
      <c r="AI69">
        <v>3.7830455400488697E-2</v>
      </c>
      <c r="AJ69">
        <v>1.7064846416381999E-3</v>
      </c>
      <c r="AK69">
        <v>7.7484540262899998E-3</v>
      </c>
      <c r="AL69">
        <v>23.800898861999901</v>
      </c>
      <c r="AM69">
        <v>6.399148447</v>
      </c>
    </row>
    <row r="70" spans="1:39" x14ac:dyDescent="0.4">
      <c r="A70" t="s">
        <v>60</v>
      </c>
      <c r="B70" t="s">
        <v>56</v>
      </c>
      <c r="C70">
        <v>28</v>
      </c>
      <c r="D70">
        <v>33</v>
      </c>
      <c r="E70">
        <v>171.67</v>
      </c>
      <c r="F70">
        <v>724</v>
      </c>
      <c r="G70" s="2">
        <f t="shared" si="38"/>
        <v>9.0307692307692076</v>
      </c>
      <c r="H70" s="2">
        <f t="shared" si="39"/>
        <v>8.0769230769230518</v>
      </c>
      <c r="I70" s="2">
        <f t="shared" si="40"/>
        <v>12.46153846153844</v>
      </c>
      <c r="J70" s="2">
        <f t="shared" si="41"/>
        <v>0</v>
      </c>
      <c r="K70" s="2">
        <f t="shared" si="42"/>
        <v>0.25384615384615311</v>
      </c>
      <c r="L70" s="2">
        <f t="shared" si="32"/>
        <v>0.25384615384615311</v>
      </c>
      <c r="M70">
        <v>0</v>
      </c>
      <c r="N70" s="2">
        <f t="shared" si="43"/>
        <v>165.70652741514283</v>
      </c>
      <c r="O70" s="2">
        <f t="shared" si="44"/>
        <v>80.537597911226797</v>
      </c>
      <c r="P70" s="2">
        <f t="shared" si="45"/>
        <v>73.806266318537439</v>
      </c>
      <c r="Q70" s="2">
        <f t="shared" si="46"/>
        <v>16.70913838120094</v>
      </c>
      <c r="R70">
        <v>3</v>
      </c>
      <c r="S70" s="2">
        <f t="shared" si="47"/>
        <v>9.9684073107048867</v>
      </c>
      <c r="T70" s="2">
        <f t="shared" si="33"/>
        <v>151.82062661715926</v>
      </c>
      <c r="U70" s="2">
        <f t="shared" si="34"/>
        <v>53.012271541891927</v>
      </c>
      <c r="V70" s="1">
        <f t="shared" si="35"/>
        <v>7.9593734464637587</v>
      </c>
      <c r="W70" s="1">
        <f t="shared" si="36"/>
        <v>3.8693796054455469</v>
      </c>
      <c r="X70" s="1">
        <f t="shared" si="37"/>
        <v>1.2740653518788068</v>
      </c>
      <c r="Z70">
        <v>0.27365967365967298</v>
      </c>
      <c r="AA70">
        <v>0.24475524475524399</v>
      </c>
      <c r="AB70">
        <v>0.37762237762237699</v>
      </c>
      <c r="AC70">
        <v>0</v>
      </c>
      <c r="AD70">
        <v>7.6923076923076702E-3</v>
      </c>
      <c r="AE70">
        <v>0</v>
      </c>
      <c r="AF70">
        <v>0.22887641908168899</v>
      </c>
      <c r="AG70">
        <v>0.111239776120479</v>
      </c>
      <c r="AH70">
        <v>0.10194235679355999</v>
      </c>
      <c r="AI70">
        <v>2.3078920416023399E-2</v>
      </c>
      <c r="AJ70">
        <v>4.1436464088396999E-3</v>
      </c>
      <c r="AK70">
        <v>1.37685183849515E-2</v>
      </c>
      <c r="AL70">
        <v>20.969699808999898</v>
      </c>
      <c r="AM70">
        <v>7.3221369532999896</v>
      </c>
    </row>
    <row r="71" spans="1:39" x14ac:dyDescent="0.4">
      <c r="A71" s="3" t="s">
        <v>95</v>
      </c>
      <c r="B71" t="s">
        <v>96</v>
      </c>
      <c r="C71">
        <v>25</v>
      </c>
      <c r="D71">
        <v>27</v>
      </c>
      <c r="E71">
        <v>139.66999999999999</v>
      </c>
      <c r="F71">
        <v>598</v>
      </c>
      <c r="G71" s="2">
        <f t="shared" si="38"/>
        <v>8.7153846153845951</v>
      </c>
      <c r="H71" s="2">
        <f t="shared" si="39"/>
        <v>8.403846153846148</v>
      </c>
      <c r="I71" s="2">
        <f t="shared" si="40"/>
        <v>11.361538461538439</v>
      </c>
      <c r="J71" s="2">
        <f t="shared" si="41"/>
        <v>0</v>
      </c>
      <c r="K71" s="2">
        <f t="shared" si="42"/>
        <v>0.69999999999999662</v>
      </c>
      <c r="L71" s="2">
        <f t="shared" si="32"/>
        <v>0.69999999999999662</v>
      </c>
      <c r="M71">
        <v>0</v>
      </c>
      <c r="N71" s="2">
        <f t="shared" si="43"/>
        <v>125.39559748427642</v>
      </c>
      <c r="O71" s="2">
        <f t="shared" si="44"/>
        <v>65.872327044024985</v>
      </c>
      <c r="P71" s="2">
        <f t="shared" si="45"/>
        <v>60.123270440251225</v>
      </c>
      <c r="Q71" s="2">
        <f t="shared" si="46"/>
        <v>13.414465408804974</v>
      </c>
      <c r="R71">
        <v>2</v>
      </c>
      <c r="S71" s="2">
        <f t="shared" si="47"/>
        <v>8.2745283018867219</v>
      </c>
      <c r="T71" s="2">
        <f t="shared" si="33"/>
        <v>131.38647798718</v>
      </c>
      <c r="U71" s="2">
        <f t="shared" si="34"/>
        <v>60.181446557804001</v>
      </c>
      <c r="V71" s="1">
        <f t="shared" si="35"/>
        <v>8.4662296977491245</v>
      </c>
      <c r="W71" s="1">
        <f t="shared" si="36"/>
        <v>3.8741994269511064</v>
      </c>
      <c r="X71" s="1">
        <f t="shared" si="37"/>
        <v>1.3286822083631449</v>
      </c>
      <c r="Z71">
        <v>0.32279202279202202</v>
      </c>
      <c r="AA71">
        <v>0.31125356125356102</v>
      </c>
      <c r="AB71">
        <v>0.42079772079771999</v>
      </c>
      <c r="AC71">
        <v>0</v>
      </c>
      <c r="AD71">
        <v>2.59259259259258E-2</v>
      </c>
      <c r="AE71">
        <v>0</v>
      </c>
      <c r="AF71">
        <v>0.20969163458909101</v>
      </c>
      <c r="AG71">
        <v>0.11015439305020901</v>
      </c>
      <c r="AH71">
        <v>0.100540586020487</v>
      </c>
      <c r="AI71">
        <v>2.2432216402683901E-2</v>
      </c>
      <c r="AJ71">
        <v>3.3444816053510998E-3</v>
      </c>
      <c r="AK71">
        <v>1.38370038493089E-2</v>
      </c>
      <c r="AL71">
        <v>21.970982940999999</v>
      </c>
      <c r="AM71">
        <v>10.0637870498</v>
      </c>
    </row>
    <row r="72" spans="1:39" x14ac:dyDescent="0.4">
      <c r="A72" t="s">
        <v>182</v>
      </c>
      <c r="B72" t="s">
        <v>179</v>
      </c>
      <c r="C72">
        <v>30</v>
      </c>
      <c r="D72">
        <v>30</v>
      </c>
      <c r="E72">
        <v>183</v>
      </c>
      <c r="F72">
        <v>762</v>
      </c>
      <c r="G72" s="2">
        <f t="shared" si="38"/>
        <v>11.77499999999997</v>
      </c>
      <c r="H72" s="2">
        <f t="shared" si="39"/>
        <v>10.093749999999991</v>
      </c>
      <c r="I72" s="2">
        <f t="shared" si="40"/>
        <v>15.281249999999972</v>
      </c>
      <c r="J72" s="2">
        <f t="shared" si="41"/>
        <v>0</v>
      </c>
      <c r="K72" s="2">
        <f t="shared" si="42"/>
        <v>0</v>
      </c>
      <c r="L72" s="2">
        <f t="shared" si="32"/>
        <v>0</v>
      </c>
      <c r="M72">
        <v>0</v>
      </c>
      <c r="N72" s="2">
        <f t="shared" si="43"/>
        <v>170.36218487394879</v>
      </c>
      <c r="O72" s="2">
        <f t="shared" si="44"/>
        <v>86.63193277310873</v>
      </c>
      <c r="P72" s="2">
        <f t="shared" si="45"/>
        <v>79.409243697478686</v>
      </c>
      <c r="Q72" s="2">
        <f t="shared" si="46"/>
        <v>23.548739495798213</v>
      </c>
      <c r="R72">
        <v>1</v>
      </c>
      <c r="S72" s="2">
        <f t="shared" si="47"/>
        <v>4.9954381752700456</v>
      </c>
      <c r="T72" s="2">
        <f t="shared" si="33"/>
        <v>180.70588233401924</v>
      </c>
      <c r="U72" s="2">
        <f t="shared" si="34"/>
        <v>53.379831932273923</v>
      </c>
      <c r="V72" s="1">
        <f t="shared" si="35"/>
        <v>8.8871745410173393</v>
      </c>
      <c r="W72" s="1">
        <f t="shared" si="36"/>
        <v>3.9053726408596074</v>
      </c>
      <c r="X72" s="1">
        <f t="shared" si="37"/>
        <v>1.2226339716187034</v>
      </c>
      <c r="Z72">
        <v>0.39249999999999902</v>
      </c>
      <c r="AA72">
        <v>0.33645833333333303</v>
      </c>
      <c r="AB72">
        <v>0.50937499999999902</v>
      </c>
      <c r="AC72">
        <v>0</v>
      </c>
      <c r="AD72">
        <v>0</v>
      </c>
      <c r="AE72">
        <v>0</v>
      </c>
      <c r="AF72">
        <v>0.22357242109442099</v>
      </c>
      <c r="AG72">
        <v>0.113690200489644</v>
      </c>
      <c r="AH72">
        <v>0.10421160590220301</v>
      </c>
      <c r="AI72">
        <v>3.09038576060344E-2</v>
      </c>
      <c r="AJ72">
        <v>1.3123359580052001E-3</v>
      </c>
      <c r="AK72">
        <v>6.5556931433990101E-3</v>
      </c>
      <c r="AL72">
        <v>23.7146827209999</v>
      </c>
      <c r="AM72">
        <v>7.0052272876999897</v>
      </c>
    </row>
    <row r="73" spans="1:39" x14ac:dyDescent="0.4">
      <c r="A73" t="s">
        <v>46</v>
      </c>
      <c r="B73" t="s">
        <v>44</v>
      </c>
      <c r="C73">
        <v>27</v>
      </c>
      <c r="D73">
        <v>30</v>
      </c>
      <c r="E73">
        <v>155.33000000000001</v>
      </c>
      <c r="F73">
        <v>644</v>
      </c>
      <c r="G73" s="2">
        <f t="shared" si="38"/>
        <v>10.19354838709677</v>
      </c>
      <c r="H73" s="2">
        <f t="shared" si="39"/>
        <v>7.8032258064516</v>
      </c>
      <c r="I73" s="2">
        <f t="shared" si="40"/>
        <v>12.345161290322551</v>
      </c>
      <c r="J73" s="2">
        <f t="shared" si="41"/>
        <v>0</v>
      </c>
      <c r="K73" s="2">
        <f t="shared" si="42"/>
        <v>0.69999999999999896</v>
      </c>
      <c r="L73" s="2">
        <f t="shared" si="32"/>
        <v>0.69999999999999896</v>
      </c>
      <c r="M73">
        <v>2</v>
      </c>
      <c r="N73" s="2">
        <f t="shared" si="43"/>
        <v>138.73582887700493</v>
      </c>
      <c r="O73" s="2">
        <f t="shared" si="44"/>
        <v>73.435294117646436</v>
      </c>
      <c r="P73" s="2">
        <f t="shared" si="45"/>
        <v>67.41657754010636</v>
      </c>
      <c r="Q73" s="2">
        <f t="shared" si="46"/>
        <v>19.26149732620317</v>
      </c>
      <c r="R73">
        <v>2</v>
      </c>
      <c r="S73" s="2">
        <f t="shared" si="47"/>
        <v>5.5663101604278058</v>
      </c>
      <c r="T73" s="2">
        <f t="shared" si="33"/>
        <v>158.88395721631937</v>
      </c>
      <c r="U73" s="2">
        <f t="shared" si="34"/>
        <v>53.268449196900001</v>
      </c>
      <c r="V73" s="1">
        <f t="shared" si="35"/>
        <v>9.2059203949454336</v>
      </c>
      <c r="W73" s="1">
        <f t="shared" si="36"/>
        <v>3.9061945397602345</v>
      </c>
      <c r="X73" s="1">
        <f t="shared" si="37"/>
        <v>1.2361055692648228</v>
      </c>
      <c r="Z73">
        <v>0.33978494623655903</v>
      </c>
      <c r="AA73">
        <v>0.26010752688172001</v>
      </c>
      <c r="AB73">
        <v>0.41150537634408502</v>
      </c>
      <c r="AC73">
        <v>0</v>
      </c>
      <c r="AD73">
        <v>2.33333333333333E-2</v>
      </c>
      <c r="AE73">
        <v>6.6666666666666596E-2</v>
      </c>
      <c r="AF73">
        <v>0.215428305709635</v>
      </c>
      <c r="AG73">
        <v>0.11402995981001</v>
      </c>
      <c r="AH73">
        <v>0.104684126615072</v>
      </c>
      <c r="AI73">
        <v>2.99091573388248E-2</v>
      </c>
      <c r="AJ73">
        <v>3.1055900621118002E-3</v>
      </c>
      <c r="AK73">
        <v>8.6433387584282702E-3</v>
      </c>
      <c r="AL73">
        <v>24.671421927999901</v>
      </c>
      <c r="AM73">
        <v>8.2714983224999994</v>
      </c>
    </row>
    <row r="74" spans="1:39" x14ac:dyDescent="0.4">
      <c r="A74" t="s">
        <v>138</v>
      </c>
      <c r="B74" t="s">
        <v>134</v>
      </c>
      <c r="C74">
        <v>27</v>
      </c>
      <c r="D74">
        <v>32</v>
      </c>
      <c r="E74">
        <v>157.33000000000001</v>
      </c>
      <c r="F74">
        <v>660</v>
      </c>
      <c r="G74" s="2">
        <f t="shared" si="38"/>
        <v>8.68</v>
      </c>
      <c r="H74" s="2">
        <f t="shared" si="39"/>
        <v>7.0399999999999681</v>
      </c>
      <c r="I74" s="2">
        <f t="shared" si="40"/>
        <v>11.299999999999969</v>
      </c>
      <c r="J74" s="2">
        <f t="shared" si="41"/>
        <v>0</v>
      </c>
      <c r="K74" s="2">
        <f t="shared" si="42"/>
        <v>0.24</v>
      </c>
      <c r="L74" s="2">
        <f t="shared" si="32"/>
        <v>0.24</v>
      </c>
      <c r="M74">
        <v>0</v>
      </c>
      <c r="N74" s="2">
        <f t="shared" si="43"/>
        <v>151.3753979739507</v>
      </c>
      <c r="O74" s="2">
        <f t="shared" si="44"/>
        <v>74.487698986974905</v>
      </c>
      <c r="P74" s="2">
        <f t="shared" si="45"/>
        <v>68.307525325614961</v>
      </c>
      <c r="Q74" s="2">
        <f t="shared" si="46"/>
        <v>16.834732272069427</v>
      </c>
      <c r="R74">
        <v>1</v>
      </c>
      <c r="S74" s="2">
        <f t="shared" si="47"/>
        <v>5.5057887120115234</v>
      </c>
      <c r="T74" s="2">
        <f t="shared" si="33"/>
        <v>140.21505065039997</v>
      </c>
      <c r="U74" s="2">
        <f t="shared" si="34"/>
        <v>48.798408104819998</v>
      </c>
      <c r="V74" s="1">
        <f t="shared" si="35"/>
        <v>8.0209461377588482</v>
      </c>
      <c r="W74" s="1">
        <f t="shared" si="36"/>
        <v>3.907504785676823</v>
      </c>
      <c r="X74" s="1">
        <f t="shared" si="37"/>
        <v>1.2723180962230387</v>
      </c>
      <c r="Z74">
        <v>0.27124999999999999</v>
      </c>
      <c r="AA74">
        <v>0.219999999999999</v>
      </c>
      <c r="AB74">
        <v>0.35312499999999902</v>
      </c>
      <c r="AC74">
        <v>0</v>
      </c>
      <c r="AD74">
        <v>7.4999999999999997E-3</v>
      </c>
      <c r="AE74">
        <v>0</v>
      </c>
      <c r="AF74">
        <v>0.22935666359689499</v>
      </c>
      <c r="AG74">
        <v>0.112860149980265</v>
      </c>
      <c r="AH74">
        <v>0.10349625049335601</v>
      </c>
      <c r="AI74">
        <v>2.5507170109196099E-2</v>
      </c>
      <c r="AJ74">
        <v>1.5151515151515E-3</v>
      </c>
      <c r="AK74">
        <v>8.3421041091083694E-3</v>
      </c>
      <c r="AL74">
        <v>21.244704643999999</v>
      </c>
      <c r="AM74">
        <v>7.3936981977</v>
      </c>
    </row>
    <row r="75" spans="1:39" x14ac:dyDescent="0.4">
      <c r="A75" s="3" t="s">
        <v>40</v>
      </c>
      <c r="B75" t="s">
        <v>41</v>
      </c>
      <c r="C75">
        <v>25</v>
      </c>
      <c r="D75">
        <v>29</v>
      </c>
      <c r="E75">
        <v>137</v>
      </c>
      <c r="F75">
        <v>567</v>
      </c>
      <c r="G75" s="2">
        <f t="shared" si="38"/>
        <v>7.3911764705882064</v>
      </c>
      <c r="H75" s="2">
        <f t="shared" si="39"/>
        <v>6.6911764705882284</v>
      </c>
      <c r="I75" s="2">
        <f t="shared" si="40"/>
        <v>10.582352941176458</v>
      </c>
      <c r="J75" s="2">
        <f t="shared" si="41"/>
        <v>0</v>
      </c>
      <c r="K75" s="2">
        <f t="shared" si="42"/>
        <v>0.25588235294117601</v>
      </c>
      <c r="L75" s="2">
        <f t="shared" si="32"/>
        <v>0.25588235294117601</v>
      </c>
      <c r="M75">
        <v>0</v>
      </c>
      <c r="N75" s="2">
        <f t="shared" si="43"/>
        <v>125.42480499219943</v>
      </c>
      <c r="O75" s="2">
        <f t="shared" si="44"/>
        <v>64.719968798751779</v>
      </c>
      <c r="P75" s="2">
        <f t="shared" si="45"/>
        <v>59.504836193447716</v>
      </c>
      <c r="Q75" s="2">
        <f t="shared" si="46"/>
        <v>19.002964118564716</v>
      </c>
      <c r="R75">
        <v>1</v>
      </c>
      <c r="S75" s="2">
        <f t="shared" si="47"/>
        <v>4.3921996879874792</v>
      </c>
      <c r="T75" s="2">
        <f t="shared" si="33"/>
        <v>130.88237131746001</v>
      </c>
      <c r="U75" s="2">
        <f t="shared" si="34"/>
        <v>38.325117005216995</v>
      </c>
      <c r="V75" s="1">
        <f t="shared" si="35"/>
        <v>8.5981119843586882</v>
      </c>
      <c r="W75" s="1">
        <f t="shared" si="36"/>
        <v>3.9090768302264927</v>
      </c>
      <c r="X75" s="1">
        <f t="shared" si="37"/>
        <v>1.1952549050906309</v>
      </c>
      <c r="Z75">
        <v>0.25486815415821401</v>
      </c>
      <c r="AA75">
        <v>0.23073022312373201</v>
      </c>
      <c r="AB75">
        <v>0.36490872210953301</v>
      </c>
      <c r="AC75">
        <v>0</v>
      </c>
      <c r="AD75">
        <v>8.8235294117646901E-3</v>
      </c>
      <c r="AE75">
        <v>0</v>
      </c>
      <c r="AF75">
        <v>0.22120776894567801</v>
      </c>
      <c r="AG75">
        <v>0.11414456578263101</v>
      </c>
      <c r="AH75">
        <v>0.104946801046645</v>
      </c>
      <c r="AI75">
        <v>3.3514927898703202E-2</v>
      </c>
      <c r="AJ75">
        <v>1.763668430335E-3</v>
      </c>
      <c r="AK75">
        <v>7.7463839294311804E-3</v>
      </c>
      <c r="AL75">
        <v>23.083310638</v>
      </c>
      <c r="AM75">
        <v>6.7592798950999997</v>
      </c>
    </row>
    <row r="76" spans="1:39" x14ac:dyDescent="0.4">
      <c r="A76" t="s">
        <v>66</v>
      </c>
      <c r="B76" t="s">
        <v>63</v>
      </c>
      <c r="C76">
        <v>19</v>
      </c>
      <c r="D76">
        <v>23</v>
      </c>
      <c r="E76">
        <v>103.33</v>
      </c>
      <c r="F76">
        <v>432</v>
      </c>
      <c r="G76" s="2">
        <f t="shared" si="38"/>
        <v>5.3828571428571346</v>
      </c>
      <c r="H76" s="2">
        <f t="shared" si="39"/>
        <v>4.4857142857142831</v>
      </c>
      <c r="I76" s="2">
        <f t="shared" si="40"/>
        <v>6.5657142857142681</v>
      </c>
      <c r="J76" s="2">
        <f t="shared" si="41"/>
        <v>0</v>
      </c>
      <c r="K76" s="2">
        <f t="shared" si="42"/>
        <v>0.19714285714285662</v>
      </c>
      <c r="L76" s="2">
        <f t="shared" si="32"/>
        <v>0.19714285714285662</v>
      </c>
      <c r="M76">
        <v>0</v>
      </c>
      <c r="N76" s="2">
        <f t="shared" si="43"/>
        <v>93.081625441695792</v>
      </c>
      <c r="O76" s="2">
        <f t="shared" si="44"/>
        <v>48.893639575971605</v>
      </c>
      <c r="P76" s="2">
        <f t="shared" si="45"/>
        <v>45.022261484098657</v>
      </c>
      <c r="Q76" s="2">
        <f t="shared" si="46"/>
        <v>13.816961130742026</v>
      </c>
      <c r="R76">
        <v>2</v>
      </c>
      <c r="S76" s="2">
        <f t="shared" si="47"/>
        <v>4.8738515901059518</v>
      </c>
      <c r="T76" s="2">
        <f t="shared" si="33"/>
        <v>105.29575972992001</v>
      </c>
      <c r="U76" s="2">
        <f t="shared" si="34"/>
        <v>33.942402825983962</v>
      </c>
      <c r="V76" s="1">
        <f t="shared" si="35"/>
        <v>9.171216854439951</v>
      </c>
      <c r="W76" s="1">
        <f t="shared" si="36"/>
        <v>3.9214202395905149</v>
      </c>
      <c r="X76" s="1">
        <f t="shared" si="37"/>
        <v>1.2293044446693095</v>
      </c>
      <c r="Z76">
        <v>0.23403726708074499</v>
      </c>
      <c r="AA76">
        <v>0.195031055900621</v>
      </c>
      <c r="AB76">
        <v>0.28546583850931601</v>
      </c>
      <c r="AC76">
        <v>0</v>
      </c>
      <c r="AD76">
        <v>8.5714285714285493E-3</v>
      </c>
      <c r="AE76">
        <v>0</v>
      </c>
      <c r="AF76">
        <v>0.21546672555948099</v>
      </c>
      <c r="AG76">
        <v>0.113179721240675</v>
      </c>
      <c r="AH76">
        <v>0.104218197879858</v>
      </c>
      <c r="AI76">
        <v>3.1983706321162098E-2</v>
      </c>
      <c r="AJ76">
        <v>4.6296296296295999E-3</v>
      </c>
      <c r="AK76">
        <v>1.1282063865986E-2</v>
      </c>
      <c r="AL76">
        <v>24.374018456000002</v>
      </c>
      <c r="AM76">
        <v>7.8570376911999897</v>
      </c>
    </row>
    <row r="77" spans="1:39" x14ac:dyDescent="0.4">
      <c r="A77" t="s">
        <v>189</v>
      </c>
      <c r="C77">
        <v>24</v>
      </c>
      <c r="D77">
        <v>25</v>
      </c>
      <c r="E77">
        <v>136.33000000000001</v>
      </c>
      <c r="F77">
        <v>560</v>
      </c>
      <c r="G77" s="2">
        <f t="shared" si="38"/>
        <v>8.4448275862068751</v>
      </c>
      <c r="H77" s="2">
        <f t="shared" si="39"/>
        <v>8.8862068965517</v>
      </c>
      <c r="I77" s="2">
        <f t="shared" si="40"/>
        <v>10.879310344827575</v>
      </c>
      <c r="J77" s="2">
        <f t="shared" si="41"/>
        <v>0</v>
      </c>
      <c r="K77" s="2">
        <f t="shared" si="42"/>
        <v>0</v>
      </c>
      <c r="L77" s="2">
        <f t="shared" si="32"/>
        <v>0</v>
      </c>
      <c r="M77">
        <v>0</v>
      </c>
      <c r="N77" s="2">
        <f t="shared" si="43"/>
        <v>117.01876832844519</v>
      </c>
      <c r="O77" s="2">
        <f t="shared" si="44"/>
        <v>59.459824046920637</v>
      </c>
      <c r="P77" s="2">
        <f t="shared" si="45"/>
        <v>59.684164222873683</v>
      </c>
      <c r="Q77" s="2">
        <f t="shared" si="46"/>
        <v>20.094721407624586</v>
      </c>
      <c r="R77">
        <v>1</v>
      </c>
      <c r="S77" s="2">
        <f t="shared" si="47"/>
        <v>4.7706744868034896</v>
      </c>
      <c r="T77" s="2">
        <f t="shared" si="33"/>
        <v>150.23519060479998</v>
      </c>
      <c r="U77" s="2">
        <f t="shared" si="34"/>
        <v>43.912903224959948</v>
      </c>
      <c r="V77" s="1">
        <f t="shared" si="35"/>
        <v>9.9179690122731579</v>
      </c>
      <c r="W77" s="1">
        <f t="shared" si="36"/>
        <v>3.9401267366380335</v>
      </c>
      <c r="X77" s="1">
        <f t="shared" si="37"/>
        <v>1.180456770728417</v>
      </c>
      <c r="Z77">
        <v>0.33779310344827501</v>
      </c>
      <c r="AA77">
        <v>0.35544827586206801</v>
      </c>
      <c r="AB77">
        <v>0.43517241379310301</v>
      </c>
      <c r="AC77">
        <v>0</v>
      </c>
      <c r="AD77">
        <v>0</v>
      </c>
      <c r="AE77">
        <v>0</v>
      </c>
      <c r="AF77">
        <v>0.20896208630079499</v>
      </c>
      <c r="AG77">
        <v>0.10617825722664399</v>
      </c>
      <c r="AH77">
        <v>0.10657886468370301</v>
      </c>
      <c r="AI77">
        <v>3.5883431085043903E-2</v>
      </c>
      <c r="AJ77">
        <v>1.7857142857142E-3</v>
      </c>
      <c r="AK77">
        <v>8.5190615835776598E-3</v>
      </c>
      <c r="AL77">
        <v>26.827712607999999</v>
      </c>
      <c r="AM77">
        <v>7.8415898615999904</v>
      </c>
    </row>
    <row r="78" spans="1:39" x14ac:dyDescent="0.4">
      <c r="A78" t="s">
        <v>125</v>
      </c>
      <c r="B78" t="s">
        <v>123</v>
      </c>
      <c r="C78">
        <v>29</v>
      </c>
      <c r="D78">
        <v>30</v>
      </c>
      <c r="E78">
        <v>169.33</v>
      </c>
      <c r="F78">
        <v>707</v>
      </c>
      <c r="G78" s="2">
        <f t="shared" si="38"/>
        <v>10.483870967741909</v>
      </c>
      <c r="H78" s="2">
        <f t="shared" si="39"/>
        <v>8.5032258064515904</v>
      </c>
      <c r="I78" s="2">
        <f t="shared" si="40"/>
        <v>13.335483870967741</v>
      </c>
      <c r="J78" s="2">
        <f t="shared" si="41"/>
        <v>0</v>
      </c>
      <c r="K78" s="2">
        <f t="shared" si="42"/>
        <v>0</v>
      </c>
      <c r="L78" s="2">
        <f t="shared" si="32"/>
        <v>0</v>
      </c>
      <c r="M78">
        <v>0</v>
      </c>
      <c r="N78" s="2">
        <f t="shared" si="43"/>
        <v>148.20849673202605</v>
      </c>
      <c r="O78" s="2">
        <f t="shared" si="44"/>
        <v>81.482745098038833</v>
      </c>
      <c r="P78" s="2">
        <f t="shared" si="45"/>
        <v>74.207320261437843</v>
      </c>
      <c r="Q78" s="2">
        <f t="shared" si="46"/>
        <v>23.073202614379078</v>
      </c>
      <c r="R78">
        <v>1</v>
      </c>
      <c r="S78" s="2">
        <f t="shared" si="47"/>
        <v>7.8180392156862002</v>
      </c>
      <c r="T78" s="2">
        <f t="shared" si="33"/>
        <v>165.80627449007929</v>
      </c>
      <c r="U78" s="2">
        <f t="shared" si="34"/>
        <v>59.450326797504992</v>
      </c>
      <c r="V78" s="1">
        <f t="shared" si="35"/>
        <v>8.812711689663459</v>
      </c>
      <c r="W78" s="1">
        <f t="shared" si="36"/>
        <v>3.9441674975074741</v>
      </c>
      <c r="X78" s="1">
        <f t="shared" si="37"/>
        <v>1.2263557758786454</v>
      </c>
      <c r="Z78">
        <v>0.34946236559139698</v>
      </c>
      <c r="AA78">
        <v>0.28344086021505299</v>
      </c>
      <c r="AB78">
        <v>0.44451612903225801</v>
      </c>
      <c r="AC78">
        <v>0</v>
      </c>
      <c r="AD78">
        <v>0</v>
      </c>
      <c r="AE78">
        <v>0</v>
      </c>
      <c r="AF78">
        <v>0.20963012267613301</v>
      </c>
      <c r="AG78">
        <v>0.11525140749369001</v>
      </c>
      <c r="AH78">
        <v>0.104960849026079</v>
      </c>
      <c r="AI78">
        <v>3.26353643767738E-2</v>
      </c>
      <c r="AJ78">
        <v>1.4144271570013999E-3</v>
      </c>
      <c r="AK78">
        <v>1.10580469811686E-2</v>
      </c>
      <c r="AL78">
        <v>23.452089743999899</v>
      </c>
      <c r="AM78">
        <v>8.4088156714999993</v>
      </c>
    </row>
    <row r="79" spans="1:39" x14ac:dyDescent="0.4">
      <c r="A79" s="3" t="s">
        <v>178</v>
      </c>
      <c r="B79" t="s">
        <v>179</v>
      </c>
      <c r="C79">
        <v>23</v>
      </c>
      <c r="D79">
        <v>31</v>
      </c>
      <c r="E79">
        <v>140.33000000000001</v>
      </c>
      <c r="F79">
        <v>579</v>
      </c>
      <c r="G79" s="2">
        <f t="shared" si="38"/>
        <v>8.8083333333333158</v>
      </c>
      <c r="H79" s="2">
        <f t="shared" si="39"/>
        <v>7.1499999999999817</v>
      </c>
      <c r="I79" s="2">
        <f t="shared" si="40"/>
        <v>9.9166666666666501</v>
      </c>
      <c r="J79" s="2">
        <f t="shared" si="41"/>
        <v>0</v>
      </c>
      <c r="K79" s="2">
        <f t="shared" si="42"/>
        <v>0.2583333333333323</v>
      </c>
      <c r="L79" s="2">
        <f t="shared" si="32"/>
        <v>0.2583333333333323</v>
      </c>
      <c r="M79">
        <v>0</v>
      </c>
      <c r="N79" s="2">
        <f t="shared" si="43"/>
        <v>123.96355555555529</v>
      </c>
      <c r="O79" s="2">
        <f t="shared" si="44"/>
        <v>66.933777777777664</v>
      </c>
      <c r="P79" s="2">
        <f t="shared" si="45"/>
        <v>61.531111111110803</v>
      </c>
      <c r="Q79" s="2">
        <f t="shared" si="46"/>
        <v>22.211111111111062</v>
      </c>
      <c r="R79">
        <v>1</v>
      </c>
      <c r="S79" s="2">
        <f t="shared" si="47"/>
        <v>6.7013333333332632</v>
      </c>
      <c r="T79" s="2">
        <f t="shared" si="33"/>
        <v>126.96488889131943</v>
      </c>
      <c r="U79" s="2">
        <f t="shared" si="34"/>
        <v>38.720444445218938</v>
      </c>
      <c r="V79" s="1">
        <f t="shared" si="35"/>
        <v>8.1428347468244482</v>
      </c>
      <c r="W79" s="1">
        <f t="shared" si="36"/>
        <v>3.9462695075892338</v>
      </c>
      <c r="X79" s="1">
        <f t="shared" si="37"/>
        <v>1.1592959452773763</v>
      </c>
      <c r="Z79">
        <v>0.28413978494623598</v>
      </c>
      <c r="AA79">
        <v>0.230645161290322</v>
      </c>
      <c r="AB79">
        <v>0.31989247311827901</v>
      </c>
      <c r="AC79">
        <v>0</v>
      </c>
      <c r="AD79">
        <v>8.3333333333333003E-3</v>
      </c>
      <c r="AE79">
        <v>0</v>
      </c>
      <c r="AF79">
        <v>0.214099405104586</v>
      </c>
      <c r="AG79">
        <v>0.11560237958165399</v>
      </c>
      <c r="AH79">
        <v>0.106271349069276</v>
      </c>
      <c r="AI79">
        <v>3.8361159086547601E-2</v>
      </c>
      <c r="AJ79">
        <v>1.727115716753E-3</v>
      </c>
      <c r="AK79">
        <v>1.1573978123200801E-2</v>
      </c>
      <c r="AL79">
        <v>21.928305507999902</v>
      </c>
      <c r="AM79">
        <v>6.6874688160999902</v>
      </c>
    </row>
    <row r="80" spans="1:39" x14ac:dyDescent="0.4">
      <c r="A80" s="3" t="s">
        <v>72</v>
      </c>
      <c r="B80" t="s">
        <v>69</v>
      </c>
      <c r="C80">
        <v>23</v>
      </c>
      <c r="D80">
        <v>23</v>
      </c>
      <c r="E80">
        <v>129.66999999999999</v>
      </c>
      <c r="F80">
        <v>547</v>
      </c>
      <c r="G80" s="2">
        <f t="shared" si="38"/>
        <v>7.9999999999999831</v>
      </c>
      <c r="H80" s="2">
        <f t="shared" si="39"/>
        <v>7.6999999999999966</v>
      </c>
      <c r="I80" s="2">
        <f t="shared" si="40"/>
        <v>9.8999999999999844</v>
      </c>
      <c r="J80" s="2">
        <f t="shared" si="41"/>
        <v>0</v>
      </c>
      <c r="K80" s="2">
        <f t="shared" si="42"/>
        <v>0</v>
      </c>
      <c r="L80" s="2">
        <f t="shared" si="32"/>
        <v>0</v>
      </c>
      <c r="M80">
        <v>0</v>
      </c>
      <c r="N80" s="2">
        <f t="shared" si="43"/>
        <v>119.68159392789347</v>
      </c>
      <c r="O80" s="2">
        <f t="shared" si="44"/>
        <v>62.193927893737694</v>
      </c>
      <c r="P80" s="2">
        <f t="shared" si="45"/>
        <v>57.061100569259565</v>
      </c>
      <c r="Q80" s="2">
        <f t="shared" si="46"/>
        <v>16.725047438330147</v>
      </c>
      <c r="R80">
        <v>1</v>
      </c>
      <c r="S80" s="2">
        <f t="shared" si="47"/>
        <v>9.9569259962048928</v>
      </c>
      <c r="T80" s="2">
        <f t="shared" si="33"/>
        <v>136.75351044908001</v>
      </c>
      <c r="U80" s="2">
        <f t="shared" si="34"/>
        <v>41.789184061351946</v>
      </c>
      <c r="V80" s="1">
        <f t="shared" si="35"/>
        <v>9.4916448989104669</v>
      </c>
      <c r="W80" s="1">
        <f t="shared" si="36"/>
        <v>3.9604373033341265</v>
      </c>
      <c r="X80" s="1">
        <f t="shared" si="37"/>
        <v>1.2452439113846336</v>
      </c>
      <c r="Z80">
        <v>0.34782608695652101</v>
      </c>
      <c r="AA80">
        <v>0.33478260869565202</v>
      </c>
      <c r="AB80">
        <v>0.430434782608695</v>
      </c>
      <c r="AC80">
        <v>0</v>
      </c>
      <c r="AD80">
        <v>0</v>
      </c>
      <c r="AE80">
        <v>0</v>
      </c>
      <c r="AF80">
        <v>0.218796332592127</v>
      </c>
      <c r="AG80">
        <v>0.113700050994036</v>
      </c>
      <c r="AH80">
        <v>0.104316454422778</v>
      </c>
      <c r="AI80">
        <v>3.0575955097495701E-2</v>
      </c>
      <c r="AJ80">
        <v>1.8281535648993999E-3</v>
      </c>
      <c r="AK80">
        <v>1.8202789755401998E-2</v>
      </c>
      <c r="AL80">
        <v>25.000641764000001</v>
      </c>
      <c r="AM80">
        <v>7.6397045815999904</v>
      </c>
    </row>
    <row r="81" spans="1:39" x14ac:dyDescent="0.4">
      <c r="A81" t="s">
        <v>137</v>
      </c>
      <c r="B81" t="s">
        <v>134</v>
      </c>
      <c r="C81">
        <v>24</v>
      </c>
      <c r="D81">
        <v>31</v>
      </c>
      <c r="E81">
        <v>143.33000000000001</v>
      </c>
      <c r="F81">
        <v>599</v>
      </c>
      <c r="G81" s="2">
        <f t="shared" si="38"/>
        <v>7.6609756097560933</v>
      </c>
      <c r="H81" s="2">
        <f t="shared" si="39"/>
        <v>6.9609756097560718</v>
      </c>
      <c r="I81" s="2">
        <f t="shared" si="40"/>
        <v>10.875609756097548</v>
      </c>
      <c r="J81" s="2">
        <f t="shared" si="41"/>
        <v>0</v>
      </c>
      <c r="K81" s="2">
        <f t="shared" si="42"/>
        <v>0.22682926829268268</v>
      </c>
      <c r="L81" s="2">
        <f t="shared" si="32"/>
        <v>0.22682926829268268</v>
      </c>
      <c r="M81">
        <v>0</v>
      </c>
      <c r="N81" s="2">
        <f t="shared" si="43"/>
        <v>129.92861356932136</v>
      </c>
      <c r="O81" s="2">
        <f t="shared" si="44"/>
        <v>69.238053097344817</v>
      </c>
      <c r="P81" s="2">
        <f t="shared" si="45"/>
        <v>63.108997050147323</v>
      </c>
      <c r="Q81" s="2">
        <f t="shared" si="46"/>
        <v>19.60560471976396</v>
      </c>
      <c r="R81">
        <v>1</v>
      </c>
      <c r="S81" s="2">
        <f t="shared" si="47"/>
        <v>5.3553097345132628</v>
      </c>
      <c r="T81" s="2">
        <f t="shared" si="33"/>
        <v>146.76047196683001</v>
      </c>
      <c r="U81" s="2">
        <f t="shared" si="34"/>
        <v>45.940265488162993</v>
      </c>
      <c r="V81" s="1">
        <f t="shared" si="35"/>
        <v>9.2154067376088058</v>
      </c>
      <c r="W81" s="1">
        <f t="shared" si="36"/>
        <v>3.9627501112909078</v>
      </c>
      <c r="X81" s="1">
        <f t="shared" si="37"/>
        <v>1.2270207148362822</v>
      </c>
      <c r="Z81">
        <v>0.24712824547600301</v>
      </c>
      <c r="AA81">
        <v>0.22454760031471199</v>
      </c>
      <c r="AB81">
        <v>0.35082612116443701</v>
      </c>
      <c r="AC81">
        <v>0</v>
      </c>
      <c r="AD81">
        <v>7.3170731707316999E-3</v>
      </c>
      <c r="AE81">
        <v>0</v>
      </c>
      <c r="AF81">
        <v>0.21690920462324101</v>
      </c>
      <c r="AG81">
        <v>0.11558940416919</v>
      </c>
      <c r="AH81">
        <v>0.10535725717887701</v>
      </c>
      <c r="AI81">
        <v>3.2730558797602602E-2</v>
      </c>
      <c r="AJ81">
        <v>1.6694490818030001E-3</v>
      </c>
      <c r="AK81">
        <v>8.9404169190538604E-3</v>
      </c>
      <c r="AL81">
        <v>24.500913517000001</v>
      </c>
      <c r="AM81">
        <v>7.6694934036999998</v>
      </c>
    </row>
    <row r="82" spans="1:39" x14ac:dyDescent="0.4">
      <c r="A82" t="s">
        <v>94</v>
      </c>
      <c r="B82" t="s">
        <v>91</v>
      </c>
      <c r="C82">
        <v>30</v>
      </c>
      <c r="D82">
        <v>30</v>
      </c>
      <c r="E82">
        <v>183.33</v>
      </c>
      <c r="F82">
        <v>766</v>
      </c>
      <c r="G82" s="2">
        <f t="shared" si="38"/>
        <v>11.59354838709675</v>
      </c>
      <c r="H82" s="2">
        <f t="shared" si="39"/>
        <v>9.9032258064515997</v>
      </c>
      <c r="I82" s="2">
        <f t="shared" si="40"/>
        <v>15.435483870967738</v>
      </c>
      <c r="J82" s="2">
        <f t="shared" si="41"/>
        <v>0</v>
      </c>
      <c r="K82" s="2">
        <f t="shared" si="42"/>
        <v>0</v>
      </c>
      <c r="L82" s="2">
        <f t="shared" si="32"/>
        <v>0</v>
      </c>
      <c r="M82">
        <v>1</v>
      </c>
      <c r="N82" s="2">
        <f t="shared" si="43"/>
        <v>178.62434782608642</v>
      </c>
      <c r="O82" s="2">
        <f t="shared" si="44"/>
        <v>88.346086956521091</v>
      </c>
      <c r="P82" s="2">
        <f t="shared" si="45"/>
        <v>80.917391304347746</v>
      </c>
      <c r="Q82" s="2">
        <f t="shared" si="46"/>
        <v>21.919999999999895</v>
      </c>
      <c r="R82">
        <v>2</v>
      </c>
      <c r="S82" s="2">
        <f t="shared" si="47"/>
        <v>7.1837267080744729</v>
      </c>
      <c r="T82" s="2">
        <f t="shared" si="33"/>
        <v>159.83652172367999</v>
      </c>
      <c r="U82" s="2">
        <f t="shared" si="34"/>
        <v>49.036521738421932</v>
      </c>
      <c r="V82" s="1">
        <f t="shared" si="35"/>
        <v>7.8466628239410889</v>
      </c>
      <c r="W82" s="1">
        <f t="shared" si="36"/>
        <v>3.9723805254957161</v>
      </c>
      <c r="X82" s="1">
        <f t="shared" si="37"/>
        <v>1.2418091396089475</v>
      </c>
      <c r="Z82">
        <v>0.38645161290322499</v>
      </c>
      <c r="AA82">
        <v>0.33010752688172001</v>
      </c>
      <c r="AB82">
        <v>0.51451612903225796</v>
      </c>
      <c r="AC82">
        <v>0</v>
      </c>
      <c r="AD82">
        <v>0</v>
      </c>
      <c r="AE82">
        <v>3.3333333333333298E-2</v>
      </c>
      <c r="AF82">
        <v>0.23319105460324599</v>
      </c>
      <c r="AG82">
        <v>0.115334317175615</v>
      </c>
      <c r="AH82">
        <v>0.105636281076172</v>
      </c>
      <c r="AI82">
        <v>2.8616187989556001E-2</v>
      </c>
      <c r="AJ82">
        <v>2.6109660574412E-3</v>
      </c>
      <c r="AK82">
        <v>9.3782333003583195E-3</v>
      </c>
      <c r="AL82">
        <v>20.866386647999999</v>
      </c>
      <c r="AM82">
        <v>6.4016346916999902</v>
      </c>
    </row>
    <row r="83" spans="1:39" x14ac:dyDescent="0.4">
      <c r="A83" s="3" t="s">
        <v>168</v>
      </c>
      <c r="B83" t="s">
        <v>166</v>
      </c>
      <c r="C83">
        <v>24</v>
      </c>
      <c r="D83">
        <v>31</v>
      </c>
      <c r="E83">
        <v>140.66999999999999</v>
      </c>
      <c r="F83">
        <v>589</v>
      </c>
      <c r="G83" s="2">
        <f t="shared" si="38"/>
        <v>6.7341463414634113</v>
      </c>
      <c r="H83" s="2">
        <f t="shared" si="39"/>
        <v>6.0341463414633907</v>
      </c>
      <c r="I83" s="2">
        <f t="shared" si="40"/>
        <v>9.948780487804866</v>
      </c>
      <c r="J83" s="2">
        <f t="shared" si="41"/>
        <v>0</v>
      </c>
      <c r="K83" s="2">
        <f t="shared" si="42"/>
        <v>0.22682926829268268</v>
      </c>
      <c r="L83" s="2">
        <f t="shared" si="32"/>
        <v>0.22682926829268268</v>
      </c>
      <c r="M83">
        <v>0</v>
      </c>
      <c r="N83" s="2">
        <f t="shared" si="43"/>
        <v>124.09730941703999</v>
      </c>
      <c r="O83" s="2">
        <f t="shared" si="44"/>
        <v>68.470852017936792</v>
      </c>
      <c r="P83" s="2">
        <f t="shared" si="45"/>
        <v>62.356801195814093</v>
      </c>
      <c r="Q83" s="2">
        <f t="shared" si="46"/>
        <v>18.642152466367659</v>
      </c>
      <c r="R83">
        <v>1</v>
      </c>
      <c r="S83" s="2">
        <f t="shared" si="47"/>
        <v>6.7488789237667284</v>
      </c>
      <c r="T83" s="2">
        <f t="shared" si="33"/>
        <v>130.17877429596939</v>
      </c>
      <c r="U83" s="2">
        <f t="shared" si="34"/>
        <v>52.910164425197003</v>
      </c>
      <c r="V83" s="1">
        <f t="shared" si="35"/>
        <v>8.3287763465111571</v>
      </c>
      <c r="W83" s="1">
        <f t="shared" si="36"/>
        <v>3.9895586177744145</v>
      </c>
      <c r="X83" s="1">
        <f t="shared" si="37"/>
        <v>1.2583171525004408</v>
      </c>
      <c r="Z83">
        <v>0.217230527143981</v>
      </c>
      <c r="AA83">
        <v>0.19464988198269001</v>
      </c>
      <c r="AB83">
        <v>0.32092840283241503</v>
      </c>
      <c r="AC83">
        <v>0</v>
      </c>
      <c r="AD83">
        <v>7.3170731707316999E-3</v>
      </c>
      <c r="AE83">
        <v>0</v>
      </c>
      <c r="AF83">
        <v>0.21069152702383701</v>
      </c>
      <c r="AG83">
        <v>0.116249324308891</v>
      </c>
      <c r="AH83">
        <v>0.105868932420737</v>
      </c>
      <c r="AI83">
        <v>3.1650513525242202E-2</v>
      </c>
      <c r="AJ83">
        <v>1.6977928692699E-3</v>
      </c>
      <c r="AK83">
        <v>1.1458198512337399E-2</v>
      </c>
      <c r="AL83">
        <v>22.101659472999899</v>
      </c>
      <c r="AM83">
        <v>8.9830499872999994</v>
      </c>
    </row>
    <row r="84" spans="1:39" x14ac:dyDescent="0.4">
      <c r="A84" s="3" t="s">
        <v>158</v>
      </c>
      <c r="B84" t="s">
        <v>156</v>
      </c>
      <c r="C84">
        <v>26</v>
      </c>
      <c r="D84">
        <v>26</v>
      </c>
      <c r="E84">
        <v>140.33000000000001</v>
      </c>
      <c r="F84">
        <v>596</v>
      </c>
      <c r="G84" s="2">
        <f t="shared" si="38"/>
        <v>8.5999999999999801</v>
      </c>
      <c r="H84" s="2">
        <f t="shared" si="39"/>
        <v>7.9999999999999813</v>
      </c>
      <c r="I84" s="2">
        <f t="shared" si="40"/>
        <v>11.19999999999998</v>
      </c>
      <c r="J84" s="2">
        <f t="shared" si="41"/>
        <v>0</v>
      </c>
      <c r="K84" s="2">
        <f t="shared" si="42"/>
        <v>0</v>
      </c>
      <c r="L84" s="2">
        <f t="shared" si="32"/>
        <v>0</v>
      </c>
      <c r="M84">
        <v>0</v>
      </c>
      <c r="N84" s="2">
        <f t="shared" si="43"/>
        <v>128.56903225806425</v>
      </c>
      <c r="O84" s="2">
        <f t="shared" si="44"/>
        <v>68.103225806451491</v>
      </c>
      <c r="P84" s="2">
        <f t="shared" si="45"/>
        <v>62.265806451612804</v>
      </c>
      <c r="Q84" s="2">
        <f t="shared" si="46"/>
        <v>17.139354838709608</v>
      </c>
      <c r="R84">
        <v>1</v>
      </c>
      <c r="S84" s="2">
        <f t="shared" si="47"/>
        <v>7.6187096774193162</v>
      </c>
      <c r="T84" s="2">
        <f t="shared" si="33"/>
        <v>141.51677420391999</v>
      </c>
      <c r="U84" s="2">
        <f t="shared" si="34"/>
        <v>52.609677420043937</v>
      </c>
      <c r="V84" s="1">
        <f t="shared" si="35"/>
        <v>9.0761132176674977</v>
      </c>
      <c r="W84" s="1">
        <f t="shared" si="36"/>
        <v>3.9933888553018968</v>
      </c>
      <c r="X84" s="1">
        <f t="shared" si="37"/>
        <v>1.2910903561469975</v>
      </c>
      <c r="Z84">
        <v>0.33076923076922998</v>
      </c>
      <c r="AA84">
        <v>0.30769230769230699</v>
      </c>
      <c r="AB84">
        <v>0.43076923076923002</v>
      </c>
      <c r="AC84">
        <v>0</v>
      </c>
      <c r="AD84">
        <v>0</v>
      </c>
      <c r="AE84">
        <v>0</v>
      </c>
      <c r="AF84">
        <v>0.21571985278198699</v>
      </c>
      <c r="AG84">
        <v>0.11426715739337499</v>
      </c>
      <c r="AH84">
        <v>0.1044728296168</v>
      </c>
      <c r="AI84">
        <v>2.8757306776358401E-2</v>
      </c>
      <c r="AJ84">
        <v>1.6778523489932001E-3</v>
      </c>
      <c r="AK84">
        <v>1.27830699285559E-2</v>
      </c>
      <c r="AL84">
        <v>23.744425201999999</v>
      </c>
      <c r="AM84">
        <v>8.82712708389999</v>
      </c>
    </row>
    <row r="85" spans="1:39" x14ac:dyDescent="0.4">
      <c r="A85" t="s">
        <v>148</v>
      </c>
      <c r="B85" t="s">
        <v>146</v>
      </c>
      <c r="C85">
        <v>24</v>
      </c>
      <c r="D85">
        <v>24</v>
      </c>
      <c r="E85">
        <v>141</v>
      </c>
      <c r="F85">
        <v>584</v>
      </c>
      <c r="G85" s="2">
        <f t="shared" si="38"/>
        <v>9.0310344827585993</v>
      </c>
      <c r="H85" s="2">
        <f t="shared" si="39"/>
        <v>8.0827586206896491</v>
      </c>
      <c r="I85" s="2">
        <f t="shared" si="40"/>
        <v>10.72413793103448</v>
      </c>
      <c r="J85" s="2">
        <f t="shared" si="41"/>
        <v>0</v>
      </c>
      <c r="K85" s="2">
        <f t="shared" si="42"/>
        <v>0</v>
      </c>
      <c r="L85" s="2">
        <f t="shared" si="32"/>
        <v>0</v>
      </c>
      <c r="M85">
        <v>0</v>
      </c>
      <c r="N85" s="2">
        <f t="shared" si="43"/>
        <v>128.60198019801939</v>
      </c>
      <c r="O85" s="2">
        <f t="shared" si="44"/>
        <v>68.413861386138478</v>
      </c>
      <c r="P85" s="2">
        <f t="shared" si="45"/>
        <v>62.566336633663148</v>
      </c>
      <c r="Q85" s="2">
        <f t="shared" si="46"/>
        <v>19.599009900990048</v>
      </c>
      <c r="R85">
        <v>1</v>
      </c>
      <c r="S85" s="2">
        <f t="shared" si="47"/>
        <v>6.6346534653464877</v>
      </c>
      <c r="T85" s="2">
        <f t="shared" si="33"/>
        <v>132.73663367335999</v>
      </c>
      <c r="U85" s="2">
        <f t="shared" si="34"/>
        <v>40.610891089463941</v>
      </c>
      <c r="V85" s="1">
        <f t="shared" si="35"/>
        <v>8.4725510855336168</v>
      </c>
      <c r="W85" s="1">
        <f t="shared" si="36"/>
        <v>3.9935959553402007</v>
      </c>
      <c r="X85" s="1">
        <f t="shared" si="37"/>
        <v>1.200091285726832</v>
      </c>
      <c r="Z85">
        <v>0.37629310344827499</v>
      </c>
      <c r="AA85">
        <v>0.33678160919540201</v>
      </c>
      <c r="AB85">
        <v>0.44683908045977</v>
      </c>
      <c r="AC85">
        <v>0</v>
      </c>
      <c r="AD85">
        <v>0</v>
      </c>
      <c r="AE85">
        <v>0</v>
      </c>
      <c r="AF85">
        <v>0.22020887020208799</v>
      </c>
      <c r="AG85">
        <v>0.11714702292147</v>
      </c>
      <c r="AH85">
        <v>0.10713413807134101</v>
      </c>
      <c r="AI85">
        <v>3.3559948460599398E-2</v>
      </c>
      <c r="AJ85">
        <v>1.7123287671232E-3</v>
      </c>
      <c r="AK85">
        <v>1.1360707988606999E-2</v>
      </c>
      <c r="AL85">
        <v>22.728875629000001</v>
      </c>
      <c r="AM85">
        <v>6.9539197070999901</v>
      </c>
    </row>
    <row r="86" spans="1:39" x14ac:dyDescent="0.4">
      <c r="A86" t="s">
        <v>117</v>
      </c>
      <c r="B86" t="s">
        <v>118</v>
      </c>
      <c r="C86">
        <v>29</v>
      </c>
      <c r="D86">
        <v>29</v>
      </c>
      <c r="E86">
        <v>171.67</v>
      </c>
      <c r="F86">
        <v>697</v>
      </c>
      <c r="G86" s="2">
        <f t="shared" si="38"/>
        <v>10.999999999999995</v>
      </c>
      <c r="H86" s="2">
        <f t="shared" si="39"/>
        <v>9.2999999999999758</v>
      </c>
      <c r="I86" s="2">
        <f t="shared" si="40"/>
        <v>13.899999999999993</v>
      </c>
      <c r="J86" s="2">
        <f t="shared" si="41"/>
        <v>0</v>
      </c>
      <c r="K86" s="2">
        <f t="shared" si="42"/>
        <v>0</v>
      </c>
      <c r="L86" s="2">
        <f t="shared" si="32"/>
        <v>0</v>
      </c>
      <c r="M86">
        <v>0</v>
      </c>
      <c r="N86" s="2">
        <f t="shared" si="43"/>
        <v>157.09484536082411</v>
      </c>
      <c r="O86" s="2">
        <f t="shared" si="44"/>
        <v>80.647422680412063</v>
      </c>
      <c r="P86" s="2">
        <f t="shared" si="45"/>
        <v>76.391752577319025</v>
      </c>
      <c r="Q86" s="2">
        <f t="shared" si="46"/>
        <v>27.201030927834985</v>
      </c>
      <c r="R86">
        <v>1</v>
      </c>
      <c r="S86" s="2">
        <f t="shared" si="47"/>
        <v>6.35567010309276</v>
      </c>
      <c r="T86" s="2">
        <f t="shared" si="33"/>
        <v>178.84742269197929</v>
      </c>
      <c r="U86" s="2">
        <f t="shared" si="34"/>
        <v>43.197938142415936</v>
      </c>
      <c r="V86" s="1">
        <f t="shared" si="35"/>
        <v>9.3762847569628569</v>
      </c>
      <c r="W86" s="1">
        <f t="shared" si="36"/>
        <v>4.0049267384858815</v>
      </c>
      <c r="X86" s="1">
        <f t="shared" si="37"/>
        <v>1.1667314236805504</v>
      </c>
      <c r="Z86">
        <v>0.37931034482758602</v>
      </c>
      <c r="AA86">
        <v>0.32068965517241299</v>
      </c>
      <c r="AB86">
        <v>0.479310344827586</v>
      </c>
      <c r="AC86">
        <v>0</v>
      </c>
      <c r="AD86">
        <v>0</v>
      </c>
      <c r="AE86">
        <v>0</v>
      </c>
      <c r="AF86">
        <v>0.225387152598026</v>
      </c>
      <c r="AG86">
        <v>0.115706488781079</v>
      </c>
      <c r="AH86">
        <v>0.109600792793858</v>
      </c>
      <c r="AI86">
        <v>3.9025869336922502E-2</v>
      </c>
      <c r="AJ86">
        <v>1.4347202295551999E-3</v>
      </c>
      <c r="AK86">
        <v>9.1186084692865994E-3</v>
      </c>
      <c r="AL86">
        <v>25.659601533999901</v>
      </c>
      <c r="AM86">
        <v>6.1976955727999901</v>
      </c>
    </row>
    <row r="87" spans="1:39" x14ac:dyDescent="0.4">
      <c r="A87" t="s">
        <v>155</v>
      </c>
      <c r="B87" t="s">
        <v>156</v>
      </c>
      <c r="C87">
        <v>21</v>
      </c>
      <c r="D87">
        <v>36</v>
      </c>
      <c r="E87">
        <v>121.67</v>
      </c>
      <c r="F87">
        <v>530</v>
      </c>
      <c r="G87" s="2">
        <f t="shared" si="38"/>
        <v>6.2499999999999956</v>
      </c>
      <c r="H87" s="2">
        <f t="shared" si="39"/>
        <v>6.6799999999999802</v>
      </c>
      <c r="I87" s="2">
        <f t="shared" si="40"/>
        <v>8.4099999999999966</v>
      </c>
      <c r="J87" s="2">
        <f t="shared" si="41"/>
        <v>0.69999999999999474</v>
      </c>
      <c r="K87" s="2">
        <f t="shared" si="42"/>
        <v>0.96999999999999476</v>
      </c>
      <c r="L87" s="2">
        <f t="shared" si="32"/>
        <v>1.6699999999999895</v>
      </c>
      <c r="M87">
        <v>1</v>
      </c>
      <c r="N87" s="2">
        <f t="shared" si="43"/>
        <v>115.9952861952858</v>
      </c>
      <c r="O87" s="2">
        <f t="shared" si="44"/>
        <v>58.897643097643069</v>
      </c>
      <c r="P87" s="2">
        <f t="shared" si="45"/>
        <v>54.274747474747009</v>
      </c>
      <c r="Q87" s="2">
        <f t="shared" si="46"/>
        <v>11.094949494949484</v>
      </c>
      <c r="R87">
        <v>1</v>
      </c>
      <c r="S87" s="2">
        <f t="shared" si="47"/>
        <v>6.7737373737373421</v>
      </c>
      <c r="T87" s="2">
        <f t="shared" si="33"/>
        <v>114.51986531209947</v>
      </c>
      <c r="U87" s="2">
        <f t="shared" si="34"/>
        <v>52.750168351429998</v>
      </c>
      <c r="V87" s="1">
        <f t="shared" si="35"/>
        <v>8.4711004175959168</v>
      </c>
      <c r="W87" s="1">
        <f t="shared" si="36"/>
        <v>4.0147343410267373</v>
      </c>
      <c r="X87" s="1">
        <f t="shared" si="37"/>
        <v>1.3869109439197485</v>
      </c>
      <c r="Z87">
        <v>0.17361111111111099</v>
      </c>
      <c r="AA87">
        <v>0.185555555555555</v>
      </c>
      <c r="AB87">
        <v>0.23361111111111099</v>
      </c>
      <c r="AC87">
        <v>1.9444444444444299E-2</v>
      </c>
      <c r="AD87">
        <v>2.6944444444444299E-2</v>
      </c>
      <c r="AE87">
        <v>2.77777777777777E-2</v>
      </c>
      <c r="AF87">
        <v>0.21885903055714301</v>
      </c>
      <c r="AG87">
        <v>0.111127628486119</v>
      </c>
      <c r="AH87">
        <v>0.102405183914617</v>
      </c>
      <c r="AI87">
        <v>2.0933866971602801E-2</v>
      </c>
      <c r="AJ87">
        <v>1.8867924528301E-3</v>
      </c>
      <c r="AK87">
        <v>1.2780636554221399E-2</v>
      </c>
      <c r="AL87">
        <v>21.607521756999901</v>
      </c>
      <c r="AM87">
        <v>9.9528619530999993</v>
      </c>
    </row>
    <row r="88" spans="1:39" x14ac:dyDescent="0.4">
      <c r="A88" t="s">
        <v>97</v>
      </c>
      <c r="B88" t="s">
        <v>96</v>
      </c>
      <c r="C88">
        <v>20</v>
      </c>
      <c r="D88">
        <v>30</v>
      </c>
      <c r="E88">
        <v>119.33</v>
      </c>
      <c r="F88">
        <v>506</v>
      </c>
      <c r="G88" s="2">
        <f t="shared" si="38"/>
        <v>5.1999999999999904</v>
      </c>
      <c r="H88" s="2">
        <f t="shared" si="39"/>
        <v>6.3499999999999801</v>
      </c>
      <c r="I88" s="2">
        <f t="shared" si="40"/>
        <v>7.3999999999999799</v>
      </c>
      <c r="J88" s="2">
        <f t="shared" si="41"/>
        <v>0</v>
      </c>
      <c r="K88" s="2">
        <f t="shared" si="42"/>
        <v>0.94999999999999796</v>
      </c>
      <c r="L88" s="2">
        <f t="shared" si="32"/>
        <v>0.94999999999999796</v>
      </c>
      <c r="M88">
        <v>0</v>
      </c>
      <c r="N88" s="2">
        <f t="shared" si="43"/>
        <v>106.49166666666662</v>
      </c>
      <c r="O88" s="2">
        <f t="shared" si="44"/>
        <v>58.447499999999792</v>
      </c>
      <c r="P88" s="2">
        <f t="shared" si="45"/>
        <v>53.257916666666468</v>
      </c>
      <c r="Q88" s="2">
        <f t="shared" si="46"/>
        <v>17.20666666666661</v>
      </c>
      <c r="R88">
        <v>1</v>
      </c>
      <c r="S88" s="2">
        <f t="shared" si="47"/>
        <v>5.781249999999952</v>
      </c>
      <c r="T88" s="2">
        <f t="shared" si="33"/>
        <v>130.36374999736</v>
      </c>
      <c r="U88" s="2">
        <f t="shared" si="34"/>
        <v>41.978750000132003</v>
      </c>
      <c r="V88" s="1">
        <f t="shared" si="35"/>
        <v>9.8321775745934801</v>
      </c>
      <c r="W88" s="1">
        <f t="shared" si="36"/>
        <v>4.0167707198524951</v>
      </c>
      <c r="X88" s="1">
        <f t="shared" si="37"/>
        <v>1.2442002569915247</v>
      </c>
      <c r="Z88">
        <v>0.17333333333333301</v>
      </c>
      <c r="AA88">
        <v>0.211666666666666</v>
      </c>
      <c r="AB88">
        <v>0.24666666666666601</v>
      </c>
      <c r="AC88">
        <v>0</v>
      </c>
      <c r="AD88">
        <v>3.16666666666666E-2</v>
      </c>
      <c r="AE88">
        <v>0</v>
      </c>
      <c r="AF88">
        <v>0.210457839262187</v>
      </c>
      <c r="AG88">
        <v>0.11550889328063201</v>
      </c>
      <c r="AH88">
        <v>0.105252799736495</v>
      </c>
      <c r="AI88">
        <v>3.4005270092226501E-2</v>
      </c>
      <c r="AJ88">
        <v>1.9762845849802002E-3</v>
      </c>
      <c r="AK88">
        <v>1.1425395256916901E-2</v>
      </c>
      <c r="AL88">
        <v>25.763586956000001</v>
      </c>
      <c r="AM88">
        <v>8.2961956521999998</v>
      </c>
    </row>
    <row r="89" spans="1:39" x14ac:dyDescent="0.4">
      <c r="A89" t="s">
        <v>55</v>
      </c>
      <c r="B89" t="s">
        <v>56</v>
      </c>
      <c r="C89">
        <v>29</v>
      </c>
      <c r="D89">
        <v>29</v>
      </c>
      <c r="E89">
        <v>165</v>
      </c>
      <c r="F89">
        <v>706</v>
      </c>
      <c r="G89" s="2">
        <f t="shared" si="38"/>
        <v>11.699999999999973</v>
      </c>
      <c r="H89" s="2">
        <f t="shared" si="39"/>
        <v>9.999999999999984</v>
      </c>
      <c r="I89" s="2">
        <f t="shared" si="40"/>
        <v>12.199999999999978</v>
      </c>
      <c r="J89" s="2">
        <f t="shared" si="41"/>
        <v>0</v>
      </c>
      <c r="K89" s="2">
        <f t="shared" si="42"/>
        <v>0</v>
      </c>
      <c r="L89" s="2">
        <f t="shared" si="32"/>
        <v>0</v>
      </c>
      <c r="M89">
        <v>0</v>
      </c>
      <c r="N89" s="2">
        <f t="shared" si="43"/>
        <v>162.08252427184439</v>
      </c>
      <c r="O89" s="2">
        <f t="shared" si="44"/>
        <v>80.505825242718061</v>
      </c>
      <c r="P89" s="2">
        <f t="shared" si="45"/>
        <v>73.90776699029081</v>
      </c>
      <c r="Q89" s="2">
        <f t="shared" si="46"/>
        <v>17.052427184465927</v>
      </c>
      <c r="R89">
        <v>1</v>
      </c>
      <c r="S89" s="2">
        <f t="shared" si="47"/>
        <v>7.9500693481275375</v>
      </c>
      <c r="T89" s="2">
        <f t="shared" si="33"/>
        <v>153.89902911216001</v>
      </c>
      <c r="U89" s="2">
        <f t="shared" si="34"/>
        <v>57.840776698793931</v>
      </c>
      <c r="V89" s="1">
        <f t="shared" si="35"/>
        <v>8.3944924970269099</v>
      </c>
      <c r="W89" s="1">
        <f t="shared" si="36"/>
        <v>4.0313327449249527</v>
      </c>
      <c r="X89" s="1">
        <f t="shared" si="37"/>
        <v>1.3328684907311412</v>
      </c>
      <c r="Z89">
        <v>0.403448275862068</v>
      </c>
      <c r="AA89">
        <v>0.34482758620689602</v>
      </c>
      <c r="AB89">
        <v>0.42068965517241302</v>
      </c>
      <c r="AC89">
        <v>0</v>
      </c>
      <c r="AD89">
        <v>0</v>
      </c>
      <c r="AE89">
        <v>0</v>
      </c>
      <c r="AF89">
        <v>0.22957864627739999</v>
      </c>
      <c r="AG89">
        <v>0.11403091394152701</v>
      </c>
      <c r="AH89">
        <v>0.104685222365851</v>
      </c>
      <c r="AI89">
        <v>2.4153579581396498E-2</v>
      </c>
      <c r="AJ89">
        <v>1.4164305949008001E-3</v>
      </c>
      <c r="AK89">
        <v>1.12607214562713E-2</v>
      </c>
      <c r="AL89">
        <v>21.798729336000001</v>
      </c>
      <c r="AM89">
        <v>8.1927445748999901</v>
      </c>
    </row>
    <row r="90" spans="1:39" x14ac:dyDescent="0.4">
      <c r="A90" t="s">
        <v>93</v>
      </c>
      <c r="B90" t="s">
        <v>91</v>
      </c>
      <c r="C90">
        <v>28</v>
      </c>
      <c r="D90">
        <v>28</v>
      </c>
      <c r="E90">
        <v>162.66999999999999</v>
      </c>
      <c r="F90">
        <v>681</v>
      </c>
      <c r="G90" s="2">
        <f t="shared" si="38"/>
        <v>10.699999999999996</v>
      </c>
      <c r="H90" s="2">
        <f t="shared" si="39"/>
        <v>9.2999999999999972</v>
      </c>
      <c r="I90" s="2">
        <f t="shared" si="40"/>
        <v>11.899999999999972</v>
      </c>
      <c r="J90" s="2">
        <f t="shared" si="41"/>
        <v>0</v>
      </c>
      <c r="K90" s="2">
        <f t="shared" si="42"/>
        <v>0</v>
      </c>
      <c r="L90" s="2">
        <f t="shared" si="32"/>
        <v>0</v>
      </c>
      <c r="M90">
        <v>0</v>
      </c>
      <c r="N90" s="2">
        <f t="shared" si="43"/>
        <v>153.30947368421047</v>
      </c>
      <c r="O90" s="2">
        <f t="shared" si="44"/>
        <v>80.630526315788941</v>
      </c>
      <c r="P90" s="2">
        <f t="shared" si="45"/>
        <v>73.51263157894698</v>
      </c>
      <c r="Q90" s="2">
        <f t="shared" si="46"/>
        <v>21.653684210526265</v>
      </c>
      <c r="R90">
        <v>1</v>
      </c>
      <c r="S90" s="2">
        <f t="shared" si="47"/>
        <v>6.3505263157894163</v>
      </c>
      <c r="T90" s="2">
        <f t="shared" si="33"/>
        <v>140.80736841759</v>
      </c>
      <c r="U90" s="2">
        <f t="shared" si="34"/>
        <v>49.225263160346934</v>
      </c>
      <c r="V90" s="1">
        <f t="shared" si="35"/>
        <v>7.7904119736786752</v>
      </c>
      <c r="W90" s="1">
        <f t="shared" si="36"/>
        <v>4.0672138944520988</v>
      </c>
      <c r="X90" s="1">
        <f t="shared" si="37"/>
        <v>1.245065081727162</v>
      </c>
      <c r="Z90">
        <v>0.38214285714285701</v>
      </c>
      <c r="AA90">
        <v>0.33214285714285702</v>
      </c>
      <c r="AB90">
        <v>0.42499999999999899</v>
      </c>
      <c r="AC90">
        <v>0</v>
      </c>
      <c r="AD90">
        <v>0</v>
      </c>
      <c r="AE90">
        <v>0</v>
      </c>
      <c r="AF90">
        <v>0.225124043589149</v>
      </c>
      <c r="AG90">
        <v>0.11840018548573999</v>
      </c>
      <c r="AH90">
        <v>0.10794806399258</v>
      </c>
      <c r="AI90">
        <v>3.1796893113841797E-2</v>
      </c>
      <c r="AJ90">
        <v>1.4684287812041E-3</v>
      </c>
      <c r="AK90">
        <v>9.3252956178992898E-3</v>
      </c>
      <c r="AL90">
        <v>20.676559238999999</v>
      </c>
      <c r="AM90">
        <v>7.2283793186999903</v>
      </c>
    </row>
    <row r="91" spans="1:39" x14ac:dyDescent="0.4">
      <c r="A91" s="3" t="s">
        <v>92</v>
      </c>
      <c r="B91" t="s">
        <v>91</v>
      </c>
      <c r="C91">
        <v>15</v>
      </c>
      <c r="D91">
        <v>32</v>
      </c>
      <c r="E91">
        <v>99.67</v>
      </c>
      <c r="F91">
        <v>426</v>
      </c>
      <c r="G91" s="2">
        <f t="shared" si="38"/>
        <v>4.1857142857142717</v>
      </c>
      <c r="H91" s="2">
        <f t="shared" si="39"/>
        <v>4.8857142857142719</v>
      </c>
      <c r="I91" s="2">
        <f t="shared" si="40"/>
        <v>6.4857142857142724</v>
      </c>
      <c r="J91" s="2">
        <f t="shared" si="41"/>
        <v>0</v>
      </c>
      <c r="K91" s="2">
        <f t="shared" si="42"/>
        <v>1.6285714285714272</v>
      </c>
      <c r="L91" s="2">
        <f t="shared" si="32"/>
        <v>1.6285714285714272</v>
      </c>
      <c r="M91">
        <v>1</v>
      </c>
      <c r="N91" s="2">
        <f t="shared" si="43"/>
        <v>97.550478011472094</v>
      </c>
      <c r="O91" s="2">
        <f t="shared" si="44"/>
        <v>49.510325047800855</v>
      </c>
      <c r="P91" s="2">
        <f t="shared" si="45"/>
        <v>45.159464627150783</v>
      </c>
      <c r="Q91" s="2">
        <f t="shared" si="46"/>
        <v>11.582409177820212</v>
      </c>
      <c r="R91">
        <v>3</v>
      </c>
      <c r="S91" s="2">
        <f t="shared" si="47"/>
        <v>4.0217973231357291</v>
      </c>
      <c r="T91" s="2">
        <f t="shared" si="33"/>
        <v>95.210133831239574</v>
      </c>
      <c r="U91" s="2">
        <f t="shared" si="34"/>
        <v>34.147227532433959</v>
      </c>
      <c r="V91" s="1">
        <f t="shared" si="35"/>
        <v>8.5972830789721701</v>
      </c>
      <c r="W91" s="1">
        <f t="shared" si="36"/>
        <v>4.0778085847733223</v>
      </c>
      <c r="X91" s="1">
        <f t="shared" si="37"/>
        <v>1.3213374690870479</v>
      </c>
      <c r="Z91">
        <v>0.13080357142857099</v>
      </c>
      <c r="AA91">
        <v>0.152678571428571</v>
      </c>
      <c r="AB91">
        <v>0.20267857142857101</v>
      </c>
      <c r="AC91">
        <v>0</v>
      </c>
      <c r="AD91">
        <v>5.0892857142857101E-2</v>
      </c>
      <c r="AE91">
        <v>3.125E-2</v>
      </c>
      <c r="AF91">
        <v>0.228991732421296</v>
      </c>
      <c r="AG91">
        <v>0.116221420300002</v>
      </c>
      <c r="AH91">
        <v>0.106008132927584</v>
      </c>
      <c r="AI91">
        <v>2.7188753938545099E-2</v>
      </c>
      <c r="AJ91">
        <v>7.0422535211267E-3</v>
      </c>
      <c r="AK91">
        <v>9.4408387867035894E-3</v>
      </c>
      <c r="AL91">
        <v>22.349796673999901</v>
      </c>
      <c r="AM91">
        <v>8.0157811108999901</v>
      </c>
    </row>
    <row r="92" spans="1:39" x14ac:dyDescent="0.4">
      <c r="A92" s="3" t="s">
        <v>89</v>
      </c>
      <c r="B92" t="s">
        <v>86</v>
      </c>
      <c r="C92">
        <v>26</v>
      </c>
      <c r="D92">
        <v>26</v>
      </c>
      <c r="E92">
        <v>140.66999999999999</v>
      </c>
      <c r="F92">
        <v>602</v>
      </c>
      <c r="G92" s="2">
        <f t="shared" si="38"/>
        <v>8.5999999999999801</v>
      </c>
      <c r="H92" s="2">
        <f t="shared" si="39"/>
        <v>8.9999999999999947</v>
      </c>
      <c r="I92" s="2">
        <f t="shared" si="40"/>
        <v>10.499999999999979</v>
      </c>
      <c r="J92" s="2">
        <f t="shared" si="41"/>
        <v>0</v>
      </c>
      <c r="K92" s="2">
        <f t="shared" si="42"/>
        <v>0</v>
      </c>
      <c r="L92" s="2">
        <f t="shared" si="32"/>
        <v>0</v>
      </c>
      <c r="M92">
        <v>0</v>
      </c>
      <c r="N92" s="2">
        <f t="shared" si="43"/>
        <v>122.10230642504104</v>
      </c>
      <c r="O92" s="2">
        <f t="shared" si="44"/>
        <v>69.013673805601059</v>
      </c>
      <c r="P92" s="2">
        <f t="shared" si="45"/>
        <v>63.742504118615742</v>
      </c>
      <c r="Q92" s="2">
        <f t="shared" si="46"/>
        <v>18.496210873146548</v>
      </c>
      <c r="R92">
        <v>1</v>
      </c>
      <c r="S92" s="2">
        <f t="shared" si="47"/>
        <v>6.9827018121910598</v>
      </c>
      <c r="T92" s="2">
        <f t="shared" si="33"/>
        <v>150.52355847535938</v>
      </c>
      <c r="U92" s="2">
        <f t="shared" si="34"/>
        <v>60.442504120529996</v>
      </c>
      <c r="V92" s="1">
        <f t="shared" si="35"/>
        <v>9.6304260061010503</v>
      </c>
      <c r="W92" s="1">
        <f t="shared" si="36"/>
        <v>4.0782152347162981</v>
      </c>
      <c r="X92" s="1">
        <f t="shared" si="37"/>
        <v>1.2976811725710604</v>
      </c>
      <c r="Z92">
        <v>0.33076923076922998</v>
      </c>
      <c r="AA92">
        <v>0.34615384615384598</v>
      </c>
      <c r="AB92">
        <v>0.40384615384615302</v>
      </c>
      <c r="AC92">
        <v>0</v>
      </c>
      <c r="AD92">
        <v>0</v>
      </c>
      <c r="AE92">
        <v>0</v>
      </c>
      <c r="AF92">
        <v>0.202827751536613</v>
      </c>
      <c r="AG92">
        <v>0.114640654162128</v>
      </c>
      <c r="AH92">
        <v>0.105884558336571</v>
      </c>
      <c r="AI92">
        <v>3.0724602779313201E-2</v>
      </c>
      <c r="AJ92">
        <v>1.6611295681063E-3</v>
      </c>
      <c r="AK92">
        <v>1.15991724455001E-2</v>
      </c>
      <c r="AL92">
        <v>25.0039133679999</v>
      </c>
      <c r="AM92">
        <v>10.0402830765</v>
      </c>
    </row>
    <row r="93" spans="1:39" x14ac:dyDescent="0.4">
      <c r="A93" t="s">
        <v>42</v>
      </c>
      <c r="B93" t="s">
        <v>41</v>
      </c>
      <c r="C93">
        <v>29</v>
      </c>
      <c r="D93">
        <v>29</v>
      </c>
      <c r="E93">
        <v>168.33</v>
      </c>
      <c r="F93">
        <v>717</v>
      </c>
      <c r="G93" s="2">
        <f t="shared" si="38"/>
        <v>8.6870967741935221</v>
      </c>
      <c r="H93" s="2">
        <f t="shared" si="39"/>
        <v>10.506451612903213</v>
      </c>
      <c r="I93" s="2">
        <f t="shared" si="40"/>
        <v>13.170967741935479</v>
      </c>
      <c r="J93" s="2">
        <f t="shared" si="41"/>
        <v>0</v>
      </c>
      <c r="K93" s="2">
        <f t="shared" si="42"/>
        <v>0</v>
      </c>
      <c r="L93" s="2">
        <f t="shared" si="32"/>
        <v>0</v>
      </c>
      <c r="M93">
        <v>0</v>
      </c>
      <c r="N93" s="2">
        <f t="shared" si="43"/>
        <v>157.98046571798182</v>
      </c>
      <c r="O93" s="2">
        <f t="shared" si="44"/>
        <v>83.837386804656546</v>
      </c>
      <c r="P93" s="2">
        <f t="shared" si="45"/>
        <v>76.543078913324521</v>
      </c>
      <c r="Q93" s="2">
        <f t="shared" si="46"/>
        <v>23.082923673997357</v>
      </c>
      <c r="R93">
        <v>1</v>
      </c>
      <c r="S93" s="2">
        <f t="shared" si="47"/>
        <v>7.8261319534281686</v>
      </c>
      <c r="T93" s="2">
        <f t="shared" si="33"/>
        <v>154.12975420772926</v>
      </c>
      <c r="U93" s="2">
        <f t="shared" si="34"/>
        <v>56.406597671879929</v>
      </c>
      <c r="V93" s="1">
        <f t="shared" si="35"/>
        <v>8.2407639034608415</v>
      </c>
      <c r="W93" s="1">
        <f t="shared" si="36"/>
        <v>4.0924832782030567</v>
      </c>
      <c r="X93" s="1">
        <f t="shared" si="37"/>
        <v>1.2736117352216583</v>
      </c>
      <c r="Z93">
        <v>0.29955506117908698</v>
      </c>
      <c r="AA93">
        <v>0.362291434927697</v>
      </c>
      <c r="AB93">
        <v>0.454171301446051</v>
      </c>
      <c r="AC93">
        <v>0</v>
      </c>
      <c r="AD93">
        <v>0</v>
      </c>
      <c r="AE93">
        <v>0</v>
      </c>
      <c r="AF93">
        <v>0.220335377570407</v>
      </c>
      <c r="AG93">
        <v>0.116928015069256</v>
      </c>
      <c r="AH93">
        <v>0.106754642835878</v>
      </c>
      <c r="AI93">
        <v>3.2193756867499798E-2</v>
      </c>
      <c r="AJ93">
        <v>1.39470013947E-3</v>
      </c>
      <c r="AK93">
        <v>1.0915107326957E-2</v>
      </c>
      <c r="AL93">
        <v>21.496478968999899</v>
      </c>
      <c r="AM93">
        <v>7.8670289639999904</v>
      </c>
    </row>
    <row r="94" spans="1:39" x14ac:dyDescent="0.4">
      <c r="A94" s="3" t="s">
        <v>77</v>
      </c>
      <c r="B94" t="s">
        <v>76</v>
      </c>
      <c r="C94">
        <v>22</v>
      </c>
      <c r="D94">
        <v>32</v>
      </c>
      <c r="E94">
        <v>141.66999999999999</v>
      </c>
      <c r="F94">
        <v>607</v>
      </c>
      <c r="G94" s="2">
        <f t="shared" si="38"/>
        <v>6.8</v>
      </c>
      <c r="H94" s="2">
        <f t="shared" si="39"/>
        <v>6.8</v>
      </c>
      <c r="I94" s="2">
        <f t="shared" si="40"/>
        <v>8.48</v>
      </c>
      <c r="J94" s="2">
        <f t="shared" si="41"/>
        <v>0</v>
      </c>
      <c r="K94" s="2">
        <f t="shared" si="42"/>
        <v>0.94</v>
      </c>
      <c r="L94" s="2">
        <f t="shared" si="32"/>
        <v>0.94</v>
      </c>
      <c r="M94">
        <v>1</v>
      </c>
      <c r="N94" s="2">
        <f t="shared" si="43"/>
        <v>134.15378421900135</v>
      </c>
      <c r="O94" s="2">
        <f t="shared" si="44"/>
        <v>70.395330112720927</v>
      </c>
      <c r="P94" s="2">
        <f t="shared" si="45"/>
        <v>64.490016103058977</v>
      </c>
      <c r="Q94" s="2">
        <f t="shared" si="46"/>
        <v>17.631723027375124</v>
      </c>
      <c r="R94">
        <v>1</v>
      </c>
      <c r="S94" s="2">
        <f t="shared" si="47"/>
        <v>6.9526570048308818</v>
      </c>
      <c r="T94" s="2">
        <f t="shared" si="33"/>
        <v>118.95893721431941</v>
      </c>
      <c r="U94" s="2">
        <f t="shared" si="34"/>
        <v>52.547826088147936</v>
      </c>
      <c r="V94" s="1">
        <f t="shared" si="35"/>
        <v>7.5572134885923257</v>
      </c>
      <c r="W94" s="1">
        <f t="shared" si="36"/>
        <v>4.0969163896910485</v>
      </c>
      <c r="X94" s="1">
        <f t="shared" si="37"/>
        <v>1.3178627112807884</v>
      </c>
      <c r="Z94">
        <v>0.21249999999999999</v>
      </c>
      <c r="AA94">
        <v>0.21249999999999999</v>
      </c>
      <c r="AB94">
        <v>0.26500000000000001</v>
      </c>
      <c r="AC94">
        <v>0</v>
      </c>
      <c r="AD94">
        <v>2.9374999999999998E-2</v>
      </c>
      <c r="AE94">
        <v>3.125E-2</v>
      </c>
      <c r="AF94">
        <v>0.22101117663756401</v>
      </c>
      <c r="AG94">
        <v>0.11597253725324699</v>
      </c>
      <c r="AH94">
        <v>0.10624384860471001</v>
      </c>
      <c r="AI94">
        <v>2.9047319649711901E-2</v>
      </c>
      <c r="AJ94">
        <v>1.6474464579900999E-3</v>
      </c>
      <c r="AK94">
        <v>1.1454130156228801E-2</v>
      </c>
      <c r="AL94">
        <v>19.597847975999901</v>
      </c>
      <c r="AM94">
        <v>8.6569729963999897</v>
      </c>
    </row>
    <row r="95" spans="1:39" x14ac:dyDescent="0.4">
      <c r="A95" t="s">
        <v>187</v>
      </c>
      <c r="B95" t="s">
        <v>185</v>
      </c>
      <c r="C95">
        <v>30</v>
      </c>
      <c r="D95">
        <v>30</v>
      </c>
      <c r="E95">
        <v>166.33</v>
      </c>
      <c r="F95">
        <v>704</v>
      </c>
      <c r="G95" s="2">
        <f t="shared" si="38"/>
        <v>10.19354838709677</v>
      </c>
      <c r="H95" s="2">
        <f t="shared" si="39"/>
        <v>10.19354838709677</v>
      </c>
      <c r="I95" s="2">
        <f t="shared" si="40"/>
        <v>12.345161290322551</v>
      </c>
      <c r="J95" s="2">
        <f t="shared" si="41"/>
        <v>0</v>
      </c>
      <c r="K95" s="2">
        <f t="shared" si="42"/>
        <v>0</v>
      </c>
      <c r="L95" s="2">
        <f t="shared" si="32"/>
        <v>0</v>
      </c>
      <c r="M95">
        <v>0</v>
      </c>
      <c r="N95" s="2">
        <f t="shared" si="43"/>
        <v>154.66153846153824</v>
      </c>
      <c r="O95" s="2">
        <f t="shared" si="44"/>
        <v>82.96923076923008</v>
      </c>
      <c r="P95" s="2">
        <f t="shared" si="45"/>
        <v>75.753846153846084</v>
      </c>
      <c r="Q95" s="2">
        <f t="shared" si="46"/>
        <v>20.215384615384568</v>
      </c>
      <c r="R95">
        <v>1</v>
      </c>
      <c r="S95" s="2">
        <f t="shared" si="47"/>
        <v>7.2208791208790721</v>
      </c>
      <c r="T95" s="2">
        <f t="shared" si="33"/>
        <v>172.16153846143999</v>
      </c>
      <c r="U95" s="2">
        <f t="shared" si="34"/>
        <v>62.900000001343926</v>
      </c>
      <c r="V95" s="1">
        <f t="shared" si="35"/>
        <v>9.3155404686644605</v>
      </c>
      <c r="W95" s="1">
        <f t="shared" si="36"/>
        <v>4.0989876473553464</v>
      </c>
      <c r="X95" s="1">
        <f t="shared" si="37"/>
        <v>1.3080114138332362</v>
      </c>
      <c r="Z95">
        <v>0.33978494623655903</v>
      </c>
      <c r="AA95">
        <v>0.33978494623655903</v>
      </c>
      <c r="AB95">
        <v>0.41150537634408502</v>
      </c>
      <c r="AC95">
        <v>0</v>
      </c>
      <c r="AD95">
        <v>0</v>
      </c>
      <c r="AE95">
        <v>0</v>
      </c>
      <c r="AF95">
        <v>0.219689685314685</v>
      </c>
      <c r="AG95">
        <v>0.11785402097901999</v>
      </c>
      <c r="AH95">
        <v>0.107604895104895</v>
      </c>
      <c r="AI95">
        <v>2.87150349650349E-2</v>
      </c>
      <c r="AJ95">
        <v>1.4204545454545E-3</v>
      </c>
      <c r="AK95">
        <v>1.02569305694305E-2</v>
      </c>
      <c r="AL95">
        <v>24.454763986</v>
      </c>
      <c r="AM95">
        <v>8.9346590910999897</v>
      </c>
    </row>
    <row r="96" spans="1:39" x14ac:dyDescent="0.4">
      <c r="A96" t="s">
        <v>157</v>
      </c>
      <c r="B96" t="s">
        <v>156</v>
      </c>
      <c r="C96">
        <v>22</v>
      </c>
      <c r="D96">
        <v>22</v>
      </c>
      <c r="E96">
        <v>125.33</v>
      </c>
      <c r="F96">
        <v>527</v>
      </c>
      <c r="G96" s="2">
        <f t="shared" si="38"/>
        <v>8.0749999999999886</v>
      </c>
      <c r="H96" s="2">
        <f t="shared" si="39"/>
        <v>7.7999999999999883</v>
      </c>
      <c r="I96" s="2">
        <f t="shared" si="40"/>
        <v>9.8749999999999929</v>
      </c>
      <c r="J96" s="2">
        <f t="shared" si="41"/>
        <v>0</v>
      </c>
      <c r="K96" s="2">
        <f t="shared" si="42"/>
        <v>0</v>
      </c>
      <c r="L96" s="2">
        <f t="shared" si="32"/>
        <v>0</v>
      </c>
      <c r="M96">
        <v>0</v>
      </c>
      <c r="N96" s="2">
        <f t="shared" si="43"/>
        <v>119.70167504187572</v>
      </c>
      <c r="O96" s="2">
        <f t="shared" si="44"/>
        <v>62.454606365158782</v>
      </c>
      <c r="P96" s="2">
        <f t="shared" si="45"/>
        <v>57.247068676716395</v>
      </c>
      <c r="Q96" s="2">
        <f t="shared" si="46"/>
        <v>17.758458961474005</v>
      </c>
      <c r="R96">
        <v>0</v>
      </c>
      <c r="S96" s="2">
        <f t="shared" si="47"/>
        <v>5.0889447236180532</v>
      </c>
      <c r="T96" s="2">
        <f t="shared" si="33"/>
        <v>106.56867671248999</v>
      </c>
      <c r="U96" s="2">
        <f t="shared" si="34"/>
        <v>34.916917921899007</v>
      </c>
      <c r="V96" s="1">
        <f t="shared" si="35"/>
        <v>7.6527414857768283</v>
      </c>
      <c r="W96" s="1">
        <f t="shared" si="36"/>
        <v>4.1109360734895679</v>
      </c>
      <c r="X96" s="1">
        <f t="shared" si="37"/>
        <v>1.2336917973651538</v>
      </c>
      <c r="Z96">
        <v>0.36704545454545401</v>
      </c>
      <c r="AA96">
        <v>0.354545454545454</v>
      </c>
      <c r="AB96">
        <v>0.44886363636363602</v>
      </c>
      <c r="AC96">
        <v>0</v>
      </c>
      <c r="AD96">
        <v>0</v>
      </c>
      <c r="AE96">
        <v>0</v>
      </c>
      <c r="AF96">
        <v>0.22713790330526701</v>
      </c>
      <c r="AG96">
        <v>0.118509689497455</v>
      </c>
      <c r="AH96">
        <v>0.108628213807811</v>
      </c>
      <c r="AI96">
        <v>3.3697265581544601E-2</v>
      </c>
      <c r="AJ96">
        <v>0</v>
      </c>
      <c r="AK96">
        <v>9.6564416007932693E-3</v>
      </c>
      <c r="AL96">
        <v>20.221760286999999</v>
      </c>
      <c r="AM96">
        <v>6.6256011237000001</v>
      </c>
    </row>
    <row r="97" spans="1:39" x14ac:dyDescent="0.4">
      <c r="A97" t="s">
        <v>143</v>
      </c>
      <c r="B97" t="s">
        <v>141</v>
      </c>
      <c r="C97">
        <v>30</v>
      </c>
      <c r="D97">
        <v>30</v>
      </c>
      <c r="E97">
        <v>179.67</v>
      </c>
      <c r="F97">
        <v>764</v>
      </c>
      <c r="G97" s="2">
        <f t="shared" si="38"/>
        <v>10.19354838709677</v>
      </c>
      <c r="H97" s="2">
        <f t="shared" si="39"/>
        <v>10.60322580645159</v>
      </c>
      <c r="I97" s="2">
        <f t="shared" si="40"/>
        <v>13.74516129032256</v>
      </c>
      <c r="J97" s="2">
        <f t="shared" si="41"/>
        <v>0</v>
      </c>
      <c r="K97" s="2">
        <f t="shared" si="42"/>
        <v>0</v>
      </c>
      <c r="L97" s="2">
        <f t="shared" si="32"/>
        <v>0</v>
      </c>
      <c r="M97">
        <v>0</v>
      </c>
      <c r="N97" s="2">
        <f t="shared" si="43"/>
        <v>178.34967574578457</v>
      </c>
      <c r="O97" s="2">
        <f t="shared" si="44"/>
        <v>89.334370946821792</v>
      </c>
      <c r="P97" s="2">
        <f t="shared" si="45"/>
        <v>82.378858625161996</v>
      </c>
      <c r="Q97" s="2">
        <f t="shared" si="46"/>
        <v>21.166536964980498</v>
      </c>
      <c r="R97">
        <v>1</v>
      </c>
      <c r="S97" s="2">
        <f t="shared" si="47"/>
        <v>10.078210116731453</v>
      </c>
      <c r="T97" s="2">
        <f t="shared" si="33"/>
        <v>165.63865108731926</v>
      </c>
      <c r="U97" s="2">
        <f t="shared" si="34"/>
        <v>52.963164718156001</v>
      </c>
      <c r="V97" s="1">
        <f t="shared" si="35"/>
        <v>8.2971439850051389</v>
      </c>
      <c r="W97" s="1">
        <f t="shared" si="36"/>
        <v>4.1265081962846217</v>
      </c>
      <c r="X97" s="1">
        <f t="shared" si="37"/>
        <v>1.2874316272273645</v>
      </c>
      <c r="Z97">
        <v>0.33978494623655903</v>
      </c>
      <c r="AA97">
        <v>0.353440860215053</v>
      </c>
      <c r="AB97">
        <v>0.45817204301075198</v>
      </c>
      <c r="AC97">
        <v>0</v>
      </c>
      <c r="AD97">
        <v>0</v>
      </c>
      <c r="AE97">
        <v>0</v>
      </c>
      <c r="AF97">
        <v>0.23344198396045099</v>
      </c>
      <c r="AG97">
        <v>0.11692980490421701</v>
      </c>
      <c r="AH97">
        <v>0.107825731184767</v>
      </c>
      <c r="AI97">
        <v>2.7704891315419498E-2</v>
      </c>
      <c r="AJ97">
        <v>1.3089005235602E-3</v>
      </c>
      <c r="AK97">
        <v>1.3191374498339599E-2</v>
      </c>
      <c r="AL97">
        <v>21.680451712999901</v>
      </c>
      <c r="AM97">
        <v>6.9323514029000002</v>
      </c>
    </row>
    <row r="98" spans="1:39" x14ac:dyDescent="0.4">
      <c r="A98" t="s">
        <v>111</v>
      </c>
      <c r="B98" t="s">
        <v>112</v>
      </c>
      <c r="C98">
        <v>26</v>
      </c>
      <c r="D98">
        <v>26</v>
      </c>
      <c r="E98">
        <v>145.33000000000001</v>
      </c>
      <c r="F98">
        <v>614</v>
      </c>
      <c r="G98" s="2">
        <f t="shared" si="38"/>
        <v>8.2999999999999936</v>
      </c>
      <c r="H98" s="2">
        <f t="shared" si="39"/>
        <v>8.2999999999999936</v>
      </c>
      <c r="I98" s="2">
        <f t="shared" si="40"/>
        <v>10.199999999999992</v>
      </c>
      <c r="J98" s="2">
        <f t="shared" si="41"/>
        <v>0</v>
      </c>
      <c r="K98" s="2">
        <f t="shared" si="42"/>
        <v>0</v>
      </c>
      <c r="L98" s="2">
        <f t="shared" ref="L98:L129" si="48">J98+K98</f>
        <v>0</v>
      </c>
      <c r="M98">
        <v>0</v>
      </c>
      <c r="N98" s="2">
        <f t="shared" si="43"/>
        <v>136.94634146341431</v>
      </c>
      <c r="O98" s="2">
        <f t="shared" si="44"/>
        <v>72.719186991869393</v>
      </c>
      <c r="P98" s="2">
        <f t="shared" si="45"/>
        <v>66.726016260162169</v>
      </c>
      <c r="Q98" s="2">
        <f t="shared" si="46"/>
        <v>21.576097560975555</v>
      </c>
      <c r="R98">
        <v>1</v>
      </c>
      <c r="S98" s="2">
        <f t="shared" si="47"/>
        <v>5.9970731707316878</v>
      </c>
      <c r="T98" s="2">
        <f t="shared" ref="T98:T129" si="49">$F98*(AL98/100)</f>
        <v>136.24406501503938</v>
      </c>
      <c r="U98" s="2">
        <f t="shared" ref="U98:U129" si="50">$F98*(AM98/100)</f>
        <v>44.34878048897594</v>
      </c>
      <c r="V98" s="1">
        <f t="shared" ref="V98:V129" si="51">T98/E98*9</f>
        <v>8.437325983178658</v>
      </c>
      <c r="W98" s="1">
        <f t="shared" ref="W98:W129" si="52">P98/E98*9</f>
        <v>4.1322104613050259</v>
      </c>
      <c r="X98" s="1">
        <f t="shared" ref="X98:X129" si="53">(U98+N98)/E98</f>
        <v>1.2474721114180847</v>
      </c>
      <c r="Z98">
        <v>0.31923076923076898</v>
      </c>
      <c r="AA98">
        <v>0.31923076923076898</v>
      </c>
      <c r="AB98">
        <v>0.39230769230769202</v>
      </c>
      <c r="AC98">
        <v>0</v>
      </c>
      <c r="AD98">
        <v>0</v>
      </c>
      <c r="AE98">
        <v>0</v>
      </c>
      <c r="AF98">
        <v>0.22303964407722199</v>
      </c>
      <c r="AG98">
        <v>0.118435157967214</v>
      </c>
      <c r="AH98">
        <v>0.108674293583326</v>
      </c>
      <c r="AI98">
        <v>3.51402240406768E-2</v>
      </c>
      <c r="AJ98">
        <v>1.6286644951140001E-3</v>
      </c>
      <c r="AK98">
        <v>9.7672201477714791E-3</v>
      </c>
      <c r="AL98">
        <v>22.189587135999901</v>
      </c>
      <c r="AM98">
        <v>7.2229284183999898</v>
      </c>
    </row>
    <row r="99" spans="1:39" x14ac:dyDescent="0.4">
      <c r="A99" s="3" t="s">
        <v>116</v>
      </c>
      <c r="B99" t="s">
        <v>112</v>
      </c>
      <c r="C99">
        <v>25</v>
      </c>
      <c r="D99">
        <v>25</v>
      </c>
      <c r="E99">
        <v>136.33000000000001</v>
      </c>
      <c r="F99">
        <v>576</v>
      </c>
      <c r="G99" s="2">
        <f t="shared" ref="G99:G126" si="54">$D99*Z99</f>
        <v>8.4124999999999748</v>
      </c>
      <c r="H99" s="2">
        <f t="shared" ref="H99:H126" si="55">$D99*AA99</f>
        <v>7.3999999999999995</v>
      </c>
      <c r="I99" s="2">
        <f t="shared" ref="I99:I126" si="56">$D99*AB99</f>
        <v>10.050000000000001</v>
      </c>
      <c r="J99" s="2">
        <f t="shared" ref="J99:J126" si="57">$D99*AC99</f>
        <v>0</v>
      </c>
      <c r="K99" s="2">
        <f t="shared" ref="K99:K126" si="58">$D99*AD99</f>
        <v>0</v>
      </c>
      <c r="L99" s="2">
        <f t="shared" si="48"/>
        <v>0</v>
      </c>
      <c r="M99">
        <v>0</v>
      </c>
      <c r="N99" s="2">
        <f t="shared" ref="N99:N126" si="59">$F99*AF99</f>
        <v>128.20696095076357</v>
      </c>
      <c r="O99" s="2">
        <f t="shared" ref="O99:O126" si="60">$F99*AG99</f>
        <v>68.53395585738528</v>
      </c>
      <c r="P99" s="2">
        <f t="shared" ref="P99:P126" si="61">$F99*AH99</f>
        <v>62.626655348047294</v>
      </c>
      <c r="Q99" s="2">
        <f t="shared" ref="Q99:Q126" si="62">$F99*AI99</f>
        <v>19.606451612903193</v>
      </c>
      <c r="R99">
        <v>1</v>
      </c>
      <c r="S99" s="2">
        <f t="shared" ref="S99:S126" si="63">$F99*AK99</f>
        <v>5.2602716468590387</v>
      </c>
      <c r="T99" s="2">
        <f t="shared" si="49"/>
        <v>121.39966043711944</v>
      </c>
      <c r="U99" s="2">
        <f t="shared" si="50"/>
        <v>44.473853992319938</v>
      </c>
      <c r="V99" s="1">
        <f t="shared" si="51"/>
        <v>8.0143544629507435</v>
      </c>
      <c r="W99" s="1">
        <f t="shared" si="52"/>
        <v>4.1343790664741844</v>
      </c>
      <c r="X99" s="1">
        <f t="shared" si="53"/>
        <v>1.2666384137246642</v>
      </c>
      <c r="Z99">
        <v>0.33649999999999902</v>
      </c>
      <c r="AA99">
        <v>0.29599999999999999</v>
      </c>
      <c r="AB99">
        <v>0.40200000000000002</v>
      </c>
      <c r="AC99">
        <v>0</v>
      </c>
      <c r="AD99">
        <v>0</v>
      </c>
      <c r="AE99">
        <v>0</v>
      </c>
      <c r="AF99">
        <v>0.222581529428409</v>
      </c>
      <c r="AG99">
        <v>0.118982562252405</v>
      </c>
      <c r="AH99">
        <v>0.108726832201471</v>
      </c>
      <c r="AI99">
        <v>3.4038978494623597E-2</v>
      </c>
      <c r="AJ99">
        <v>1.7361111111111E-3</v>
      </c>
      <c r="AK99">
        <v>9.1324160535747202E-3</v>
      </c>
      <c r="AL99">
        <v>21.076329936999901</v>
      </c>
      <c r="AM99">
        <v>7.72115520699999</v>
      </c>
    </row>
    <row r="100" spans="1:39" x14ac:dyDescent="0.4">
      <c r="A100" t="s">
        <v>73</v>
      </c>
      <c r="B100" t="s">
        <v>69</v>
      </c>
      <c r="C100">
        <v>22</v>
      </c>
      <c r="D100">
        <v>37</v>
      </c>
      <c r="E100">
        <v>140</v>
      </c>
      <c r="F100">
        <v>589</v>
      </c>
      <c r="G100" s="2">
        <f t="shared" si="54"/>
        <v>6.5061224489795659</v>
      </c>
      <c r="H100" s="2">
        <f t="shared" si="55"/>
        <v>6.5061224489795659</v>
      </c>
      <c r="I100" s="2">
        <f t="shared" si="56"/>
        <v>8.3183673469387607</v>
      </c>
      <c r="J100" s="2">
        <f t="shared" si="57"/>
        <v>0</v>
      </c>
      <c r="K100" s="2">
        <f t="shared" si="58"/>
        <v>0.92653061224489586</v>
      </c>
      <c r="L100" s="2">
        <f t="shared" si="48"/>
        <v>0.92653061224489586</v>
      </c>
      <c r="M100">
        <v>1</v>
      </c>
      <c r="N100" s="2">
        <f t="shared" si="59"/>
        <v>136.95007727975235</v>
      </c>
      <c r="O100" s="2">
        <f t="shared" si="60"/>
        <v>71.305409582689308</v>
      </c>
      <c r="P100" s="2">
        <f t="shared" si="61"/>
        <v>65.044667697063019</v>
      </c>
      <c r="Q100" s="2">
        <f t="shared" si="62"/>
        <v>19.382225656877811</v>
      </c>
      <c r="R100">
        <v>1</v>
      </c>
      <c r="S100" s="2">
        <f t="shared" si="63"/>
        <v>5.8386398763523406</v>
      </c>
      <c r="T100" s="2">
        <f t="shared" si="49"/>
        <v>119.51684697394941</v>
      </c>
      <c r="U100" s="2">
        <f t="shared" si="50"/>
        <v>38.838948994617006</v>
      </c>
      <c r="V100" s="1">
        <f t="shared" si="51"/>
        <v>7.6832258768967474</v>
      </c>
      <c r="W100" s="1">
        <f t="shared" si="52"/>
        <v>4.1814429233826225</v>
      </c>
      <c r="X100" s="1">
        <f t="shared" si="53"/>
        <v>1.2556359019597811</v>
      </c>
      <c r="Z100">
        <v>0.175841147269718</v>
      </c>
      <c r="AA100">
        <v>0.175841147269718</v>
      </c>
      <c r="AB100">
        <v>0.224820739106453</v>
      </c>
      <c r="AC100">
        <v>0</v>
      </c>
      <c r="AD100">
        <v>2.5041367898510698E-2</v>
      </c>
      <c r="AE100">
        <v>2.7027027027027001E-2</v>
      </c>
      <c r="AF100">
        <v>0.23251286465153201</v>
      </c>
      <c r="AG100">
        <v>0.121061815929863</v>
      </c>
      <c r="AH100">
        <v>0.110432373000107</v>
      </c>
      <c r="AI100">
        <v>3.2907004510828203E-2</v>
      </c>
      <c r="AJ100">
        <v>1.6977928692699E-3</v>
      </c>
      <c r="AK100">
        <v>9.9128011483061804E-3</v>
      </c>
      <c r="AL100">
        <v>20.2914850549999</v>
      </c>
      <c r="AM100">
        <v>6.5940490653000001</v>
      </c>
    </row>
    <row r="101" spans="1:39" x14ac:dyDescent="0.4">
      <c r="A101" t="s">
        <v>180</v>
      </c>
      <c r="B101" t="s">
        <v>179</v>
      </c>
      <c r="C101">
        <v>30</v>
      </c>
      <c r="D101">
        <v>30</v>
      </c>
      <c r="E101">
        <v>176.67</v>
      </c>
      <c r="F101">
        <v>751</v>
      </c>
      <c r="G101" s="2">
        <f t="shared" si="54"/>
        <v>10.893548387096761</v>
      </c>
      <c r="H101" s="2">
        <f t="shared" si="55"/>
        <v>10.893548387096761</v>
      </c>
      <c r="I101" s="2">
        <f t="shared" si="56"/>
        <v>13.74516129032256</v>
      </c>
      <c r="J101" s="2">
        <f t="shared" si="57"/>
        <v>0</v>
      </c>
      <c r="K101" s="2">
        <f t="shared" si="58"/>
        <v>0</v>
      </c>
      <c r="L101" s="2">
        <f t="shared" si="48"/>
        <v>0</v>
      </c>
      <c r="M101">
        <v>0</v>
      </c>
      <c r="N101" s="2">
        <f t="shared" si="59"/>
        <v>167.69078947368419</v>
      </c>
      <c r="O101" s="2">
        <f t="shared" si="60"/>
        <v>89.045657894736223</v>
      </c>
      <c r="P101" s="2">
        <f t="shared" si="61"/>
        <v>82.1036842105256</v>
      </c>
      <c r="Q101" s="2">
        <f t="shared" si="62"/>
        <v>22.509342105263073</v>
      </c>
      <c r="R101">
        <v>1</v>
      </c>
      <c r="S101" s="2">
        <f t="shared" si="63"/>
        <v>10.071578947368318</v>
      </c>
      <c r="T101" s="2">
        <f t="shared" si="49"/>
        <v>159.87368420835</v>
      </c>
      <c r="U101" s="2">
        <f t="shared" si="50"/>
        <v>59.894342102004927</v>
      </c>
      <c r="V101" s="1">
        <f t="shared" si="51"/>
        <v>8.1443547737315338</v>
      </c>
      <c r="W101" s="1">
        <f t="shared" si="52"/>
        <v>4.1825616001286603</v>
      </c>
      <c r="X101" s="1">
        <f t="shared" si="53"/>
        <v>1.2881934203638938</v>
      </c>
      <c r="Z101">
        <v>0.36311827956989201</v>
      </c>
      <c r="AA101">
        <v>0.36311827956989201</v>
      </c>
      <c r="AB101">
        <v>0.45817204301075198</v>
      </c>
      <c r="AC101">
        <v>0</v>
      </c>
      <c r="AD101">
        <v>0</v>
      </c>
      <c r="AE101">
        <v>0</v>
      </c>
      <c r="AF101">
        <v>0.22328999929918</v>
      </c>
      <c r="AG101">
        <v>0.118569451257971</v>
      </c>
      <c r="AH101">
        <v>0.10932581119910199</v>
      </c>
      <c r="AI101">
        <v>2.9972492816595302E-2</v>
      </c>
      <c r="AJ101">
        <v>1.3315579227696E-3</v>
      </c>
      <c r="AK101">
        <v>1.34108907421682E-2</v>
      </c>
      <c r="AL101">
        <v>21.288107085</v>
      </c>
      <c r="AM101">
        <v>7.9752785754999902</v>
      </c>
    </row>
    <row r="102" spans="1:39" x14ac:dyDescent="0.4">
      <c r="A102" s="3" t="s">
        <v>140</v>
      </c>
      <c r="B102" t="s">
        <v>141</v>
      </c>
      <c r="C102">
        <v>17</v>
      </c>
      <c r="D102">
        <v>17</v>
      </c>
      <c r="E102">
        <v>92</v>
      </c>
      <c r="F102">
        <v>397</v>
      </c>
      <c r="G102" s="2">
        <f t="shared" si="54"/>
        <v>5.4124999999999925</v>
      </c>
      <c r="H102" s="2">
        <f t="shared" si="55"/>
        <v>6.1124999999999865</v>
      </c>
      <c r="I102" s="2">
        <f t="shared" si="56"/>
        <v>6.7499999999999876</v>
      </c>
      <c r="J102" s="2">
        <f t="shared" si="57"/>
        <v>0</v>
      </c>
      <c r="K102" s="2">
        <f t="shared" si="58"/>
        <v>0</v>
      </c>
      <c r="L102" s="2">
        <f t="shared" si="48"/>
        <v>0</v>
      </c>
      <c r="M102">
        <v>0</v>
      </c>
      <c r="N102" s="2">
        <f t="shared" si="59"/>
        <v>85.358088235293764</v>
      </c>
      <c r="O102" s="2">
        <f t="shared" si="60"/>
        <v>46.712990196078024</v>
      </c>
      <c r="P102" s="2">
        <f t="shared" si="61"/>
        <v>42.788480392156515</v>
      </c>
      <c r="Q102" s="2">
        <f t="shared" si="62"/>
        <v>10.411274509803885</v>
      </c>
      <c r="R102">
        <v>0</v>
      </c>
      <c r="S102" s="2">
        <f t="shared" si="63"/>
        <v>4.259558823529372</v>
      </c>
      <c r="T102" s="2">
        <f t="shared" si="49"/>
        <v>86.801470595720005</v>
      </c>
      <c r="U102" s="2">
        <f t="shared" si="50"/>
        <v>41.369607855552601</v>
      </c>
      <c r="V102" s="1">
        <f t="shared" si="51"/>
        <v>8.4914482104508693</v>
      </c>
      <c r="W102" s="1">
        <f t="shared" si="52"/>
        <v>4.1858296035805287</v>
      </c>
      <c r="X102" s="1">
        <f t="shared" si="53"/>
        <v>1.3774749575091996</v>
      </c>
      <c r="Z102">
        <v>0.31838235294117601</v>
      </c>
      <c r="AA102">
        <v>0.35955882352941099</v>
      </c>
      <c r="AB102">
        <v>0.39705882352941102</v>
      </c>
      <c r="AC102">
        <v>0</v>
      </c>
      <c r="AD102">
        <v>0</v>
      </c>
      <c r="AE102">
        <v>0</v>
      </c>
      <c r="AF102">
        <v>0.215007778930211</v>
      </c>
      <c r="AG102">
        <v>0.117664962710524</v>
      </c>
      <c r="AH102">
        <v>0.10777954758729601</v>
      </c>
      <c r="AI102">
        <v>2.6224872820664699E-2</v>
      </c>
      <c r="AJ102">
        <v>0</v>
      </c>
      <c r="AK102">
        <v>1.0729367313676E-2</v>
      </c>
      <c r="AL102">
        <v>21.864350276</v>
      </c>
      <c r="AM102">
        <v>10.420556134899901</v>
      </c>
    </row>
    <row r="103" spans="1:39" x14ac:dyDescent="0.4">
      <c r="A103" s="3" t="s">
        <v>43</v>
      </c>
      <c r="B103" t="s">
        <v>44</v>
      </c>
      <c r="C103">
        <v>9</v>
      </c>
      <c r="D103">
        <v>29</v>
      </c>
      <c r="E103">
        <v>67.67</v>
      </c>
      <c r="F103">
        <v>289</v>
      </c>
      <c r="G103" s="2">
        <f t="shared" si="54"/>
        <v>3.2046511627906962</v>
      </c>
      <c r="H103" s="2">
        <f t="shared" si="55"/>
        <v>3.2046511627906962</v>
      </c>
      <c r="I103" s="2">
        <f t="shared" si="56"/>
        <v>3.1116279069767199</v>
      </c>
      <c r="J103" s="2">
        <f t="shared" si="57"/>
        <v>0</v>
      </c>
      <c r="K103" s="2">
        <f t="shared" si="58"/>
        <v>0.9023255813953468</v>
      </c>
      <c r="L103" s="2">
        <f t="shared" si="48"/>
        <v>0.9023255813953468</v>
      </c>
      <c r="M103">
        <v>0</v>
      </c>
      <c r="N103" s="2">
        <f t="shared" si="59"/>
        <v>58.927745664739874</v>
      </c>
      <c r="O103" s="2">
        <f t="shared" si="60"/>
        <v>33.887283236994122</v>
      </c>
      <c r="P103" s="2">
        <f t="shared" si="61"/>
        <v>31.533236994219489</v>
      </c>
      <c r="Q103" s="2">
        <f t="shared" si="62"/>
        <v>9.4315028901733662</v>
      </c>
      <c r="R103">
        <v>1</v>
      </c>
      <c r="S103" s="2">
        <f t="shared" si="63"/>
        <v>2.4023121387282931</v>
      </c>
      <c r="T103" s="2">
        <f t="shared" si="49"/>
        <v>70.113294805379709</v>
      </c>
      <c r="U103" s="2">
        <f t="shared" si="50"/>
        <v>29.748554921799997</v>
      </c>
      <c r="V103" s="1">
        <f t="shared" si="51"/>
        <v>9.3249542374525998</v>
      </c>
      <c r="W103" s="1">
        <f t="shared" si="52"/>
        <v>4.1938692618291027</v>
      </c>
      <c r="X103" s="1">
        <f t="shared" si="53"/>
        <v>1.3104226479465031</v>
      </c>
      <c r="Z103">
        <v>0.110505212510024</v>
      </c>
      <c r="AA103">
        <v>0.110505212510024</v>
      </c>
      <c r="AB103">
        <v>0.10729751403368</v>
      </c>
      <c r="AC103">
        <v>0</v>
      </c>
      <c r="AD103">
        <v>3.11146752205292E-2</v>
      </c>
      <c r="AE103">
        <v>0</v>
      </c>
      <c r="AF103">
        <v>0.20390223413404801</v>
      </c>
      <c r="AG103">
        <v>0.117257035422125</v>
      </c>
      <c r="AH103">
        <v>0.109111546692801</v>
      </c>
      <c r="AI103">
        <v>3.2634958097485699E-2</v>
      </c>
      <c r="AJ103">
        <v>3.4602076124566998E-3</v>
      </c>
      <c r="AK103">
        <v>8.3124987499248893E-3</v>
      </c>
      <c r="AL103">
        <v>24.2606556419999</v>
      </c>
      <c r="AM103">
        <v>10.293617619999999</v>
      </c>
    </row>
    <row r="104" spans="1:39" x14ac:dyDescent="0.4">
      <c r="A104" t="s">
        <v>38</v>
      </c>
      <c r="B104" t="s">
        <v>35</v>
      </c>
      <c r="C104">
        <v>26</v>
      </c>
      <c r="D104">
        <v>26</v>
      </c>
      <c r="E104">
        <v>153.66999999999999</v>
      </c>
      <c r="F104">
        <v>646</v>
      </c>
      <c r="G104" s="2">
        <f t="shared" si="54"/>
        <v>9.6999999999999975</v>
      </c>
      <c r="H104" s="2">
        <f t="shared" si="55"/>
        <v>8.2999999999999936</v>
      </c>
      <c r="I104" s="2">
        <f t="shared" si="56"/>
        <v>11.599999999999996</v>
      </c>
      <c r="J104" s="2">
        <f t="shared" si="57"/>
        <v>0</v>
      </c>
      <c r="K104" s="2">
        <f t="shared" si="58"/>
        <v>0</v>
      </c>
      <c r="L104" s="2">
        <f t="shared" si="48"/>
        <v>0</v>
      </c>
      <c r="M104">
        <v>0</v>
      </c>
      <c r="N104" s="2">
        <f t="shared" si="59"/>
        <v>148.2273006134966</v>
      </c>
      <c r="O104" s="2">
        <f t="shared" si="60"/>
        <v>78.584662576686611</v>
      </c>
      <c r="P104" s="2">
        <f t="shared" si="61"/>
        <v>71.629754601226438</v>
      </c>
      <c r="Q104" s="2">
        <f t="shared" si="62"/>
        <v>19.477607361963113</v>
      </c>
      <c r="R104">
        <v>1</v>
      </c>
      <c r="S104" s="2">
        <f t="shared" si="63"/>
        <v>5.5806748466257403</v>
      </c>
      <c r="T104" s="2">
        <f t="shared" si="49"/>
        <v>135.93036809315998</v>
      </c>
      <c r="U104" s="2">
        <f t="shared" si="50"/>
        <v>50.765030676427997</v>
      </c>
      <c r="V104" s="1">
        <f t="shared" si="51"/>
        <v>7.9610419264556516</v>
      </c>
      <c r="W104" s="1">
        <f t="shared" si="52"/>
        <v>4.1951440841480965</v>
      </c>
      <c r="X104" s="1">
        <f t="shared" si="53"/>
        <v>1.2949328514994769</v>
      </c>
      <c r="Z104">
        <v>0.37307692307692297</v>
      </c>
      <c r="AA104">
        <v>0.31923076923076898</v>
      </c>
      <c r="AB104">
        <v>0.44615384615384601</v>
      </c>
      <c r="AC104">
        <v>0</v>
      </c>
      <c r="AD104">
        <v>0</v>
      </c>
      <c r="AE104">
        <v>0</v>
      </c>
      <c r="AF104">
        <v>0.22945402571748699</v>
      </c>
      <c r="AG104">
        <v>0.121648084484035</v>
      </c>
      <c r="AH104">
        <v>0.110881973066914</v>
      </c>
      <c r="AI104">
        <v>3.0151094987559E-2</v>
      </c>
      <c r="AJ104">
        <v>1.547987616099E-3</v>
      </c>
      <c r="AK104">
        <v>8.6388155520522297E-3</v>
      </c>
      <c r="AL104">
        <v>21.041852645999999</v>
      </c>
      <c r="AM104">
        <v>7.8583638817999999</v>
      </c>
    </row>
    <row r="105" spans="1:39" x14ac:dyDescent="0.4">
      <c r="A105" s="3" t="s">
        <v>109</v>
      </c>
      <c r="B105" t="s">
        <v>108</v>
      </c>
      <c r="C105">
        <v>25</v>
      </c>
      <c r="D105">
        <v>29</v>
      </c>
      <c r="E105">
        <v>140</v>
      </c>
      <c r="F105">
        <v>600</v>
      </c>
      <c r="G105" s="2">
        <f t="shared" si="54"/>
        <v>6.4352941176470431</v>
      </c>
      <c r="H105" s="2">
        <f t="shared" si="55"/>
        <v>8.5352941176470356</v>
      </c>
      <c r="I105" s="2">
        <f t="shared" si="56"/>
        <v>9.6264705882352928</v>
      </c>
      <c r="J105" s="2">
        <f t="shared" si="57"/>
        <v>0</v>
      </c>
      <c r="K105" s="2">
        <f t="shared" si="58"/>
        <v>0.25588235294117601</v>
      </c>
      <c r="L105" s="2">
        <f t="shared" si="48"/>
        <v>0.25588235294117601</v>
      </c>
      <c r="M105">
        <v>0</v>
      </c>
      <c r="N105" s="2">
        <f t="shared" si="59"/>
        <v>136.92903225806401</v>
      </c>
      <c r="O105" s="2">
        <f t="shared" si="60"/>
        <v>71.277419354838599</v>
      </c>
      <c r="P105" s="2">
        <f t="shared" si="61"/>
        <v>65.606451612903001</v>
      </c>
      <c r="Q105" s="2">
        <f t="shared" si="62"/>
        <v>17.612903225806381</v>
      </c>
      <c r="R105">
        <v>2</v>
      </c>
      <c r="S105" s="2">
        <f t="shared" si="63"/>
        <v>6.8354838709676997</v>
      </c>
      <c r="T105" s="2">
        <f t="shared" si="49"/>
        <v>123.60645162599999</v>
      </c>
      <c r="U105" s="2">
        <f t="shared" si="50"/>
        <v>49.238709679199999</v>
      </c>
      <c r="V105" s="1">
        <f t="shared" si="51"/>
        <v>7.9461290330999992</v>
      </c>
      <c r="W105" s="1">
        <f t="shared" si="52"/>
        <v>4.2175576036866218</v>
      </c>
      <c r="X105" s="1">
        <f t="shared" si="53"/>
        <v>1.3297695852661715</v>
      </c>
      <c r="Z105">
        <v>0.221906693711967</v>
      </c>
      <c r="AA105">
        <v>0.29432048681541501</v>
      </c>
      <c r="AB105">
        <v>0.33194726166328598</v>
      </c>
      <c r="AC105">
        <v>0</v>
      </c>
      <c r="AD105">
        <v>8.8235294117646901E-3</v>
      </c>
      <c r="AE105">
        <v>0</v>
      </c>
      <c r="AF105">
        <v>0.22821505376344001</v>
      </c>
      <c r="AG105">
        <v>0.11879569892473101</v>
      </c>
      <c r="AH105">
        <v>0.109344086021505</v>
      </c>
      <c r="AI105">
        <v>2.9354838709677301E-2</v>
      </c>
      <c r="AJ105">
        <v>3.3333333333333002E-3</v>
      </c>
      <c r="AK105">
        <v>1.1392473118279499E-2</v>
      </c>
      <c r="AL105">
        <v>20.601075270999999</v>
      </c>
      <c r="AM105">
        <v>8.2064516132000005</v>
      </c>
    </row>
    <row r="106" spans="1:39" x14ac:dyDescent="0.4">
      <c r="A106" s="4" t="s">
        <v>58</v>
      </c>
      <c r="B106" t="s">
        <v>56</v>
      </c>
      <c r="C106">
        <v>23</v>
      </c>
      <c r="D106">
        <v>39</v>
      </c>
      <c r="E106">
        <v>150.33000000000001</v>
      </c>
      <c r="F106">
        <v>626</v>
      </c>
      <c r="G106" s="2">
        <f t="shared" si="54"/>
        <v>6.5551020408162897</v>
      </c>
      <c r="H106" s="2">
        <f t="shared" si="55"/>
        <v>7.9551020408162936</v>
      </c>
      <c r="I106" s="2">
        <f t="shared" si="56"/>
        <v>9.1653061224489569</v>
      </c>
      <c r="J106" s="2">
        <f t="shared" si="57"/>
        <v>0</v>
      </c>
      <c r="K106" s="2">
        <f t="shared" si="58"/>
        <v>0.93877551020407835</v>
      </c>
      <c r="L106" s="2">
        <f t="shared" si="48"/>
        <v>0.93877551020407835</v>
      </c>
      <c r="M106">
        <v>0</v>
      </c>
      <c r="N106" s="2">
        <f t="shared" si="59"/>
        <v>137.23454833597421</v>
      </c>
      <c r="O106" s="2">
        <f t="shared" si="60"/>
        <v>76.778446909666656</v>
      </c>
      <c r="P106" s="2">
        <f t="shared" si="61"/>
        <v>70.511727416798109</v>
      </c>
      <c r="Q106" s="2">
        <f t="shared" si="62"/>
        <v>24.166877971473781</v>
      </c>
      <c r="R106">
        <v>2</v>
      </c>
      <c r="S106" s="2">
        <f t="shared" si="63"/>
        <v>5.9857369255150328</v>
      </c>
      <c r="T106" s="2">
        <f t="shared" si="49"/>
        <v>142.80681458314001</v>
      </c>
      <c r="U106" s="2">
        <f t="shared" si="50"/>
        <v>43.455942947963941</v>
      </c>
      <c r="V106" s="1">
        <f t="shared" si="51"/>
        <v>8.5495997555262413</v>
      </c>
      <c r="W106" s="1">
        <f t="shared" si="52"/>
        <v>4.2214165286448679</v>
      </c>
      <c r="X106" s="1">
        <f t="shared" si="53"/>
        <v>1.2019589655021494</v>
      </c>
      <c r="Z106">
        <v>0.16807953950811</v>
      </c>
      <c r="AA106">
        <v>0.20397697540554599</v>
      </c>
      <c r="AB106">
        <v>0.235007849293563</v>
      </c>
      <c r="AC106">
        <v>0</v>
      </c>
      <c r="AD106">
        <v>2.4071166928309701E-2</v>
      </c>
      <c r="AE106">
        <v>0</v>
      </c>
      <c r="AF106">
        <v>0.21922451810858501</v>
      </c>
      <c r="AG106">
        <v>0.122649276213525</v>
      </c>
      <c r="AH106">
        <v>0.112638542199358</v>
      </c>
      <c r="AI106">
        <v>3.8605236376156198E-2</v>
      </c>
      <c r="AJ106">
        <v>3.1948881789137002E-3</v>
      </c>
      <c r="AK106">
        <v>9.5618800727077201E-3</v>
      </c>
      <c r="AL106">
        <v>22.812590189000002</v>
      </c>
      <c r="AM106">
        <v>6.9418439213999896</v>
      </c>
    </row>
    <row r="107" spans="1:39" x14ac:dyDescent="0.4">
      <c r="A107" s="3" t="s">
        <v>82</v>
      </c>
      <c r="B107" t="s">
        <v>81</v>
      </c>
      <c r="C107">
        <v>19</v>
      </c>
      <c r="D107">
        <v>28</v>
      </c>
      <c r="E107">
        <v>115.33</v>
      </c>
      <c r="F107">
        <v>491</v>
      </c>
      <c r="G107" s="2">
        <f t="shared" si="54"/>
        <v>3.8181818181818077</v>
      </c>
      <c r="H107" s="2">
        <f t="shared" si="55"/>
        <v>4.0727272727272599</v>
      </c>
      <c r="I107" s="2">
        <f t="shared" si="56"/>
        <v>6.7454545454545194</v>
      </c>
      <c r="J107" s="2">
        <f t="shared" si="57"/>
        <v>0</v>
      </c>
      <c r="K107" s="2">
        <f t="shared" si="58"/>
        <v>0.25454545454545452</v>
      </c>
      <c r="L107" s="2">
        <f t="shared" si="48"/>
        <v>0.25454545454545452</v>
      </c>
      <c r="M107">
        <v>0</v>
      </c>
      <c r="N107" s="2">
        <f t="shared" si="59"/>
        <v>104.50960784313706</v>
      </c>
      <c r="O107" s="2">
        <f t="shared" si="60"/>
        <v>59.035294117646977</v>
      </c>
      <c r="P107" s="2">
        <f t="shared" si="61"/>
        <v>54.165686274509639</v>
      </c>
      <c r="Q107" s="2">
        <f t="shared" si="62"/>
        <v>14.908823529411714</v>
      </c>
      <c r="R107">
        <v>1</v>
      </c>
      <c r="S107" s="2">
        <f t="shared" si="63"/>
        <v>4.5329411764705716</v>
      </c>
      <c r="T107" s="2">
        <f t="shared" si="49"/>
        <v>97.240000001319984</v>
      </c>
      <c r="U107" s="2">
        <f t="shared" si="50"/>
        <v>46.970000000350993</v>
      </c>
      <c r="V107" s="1">
        <f t="shared" si="51"/>
        <v>7.58831180102211</v>
      </c>
      <c r="W107" s="1">
        <f t="shared" si="52"/>
        <v>4.2269242735679073</v>
      </c>
      <c r="X107" s="1">
        <f t="shared" si="53"/>
        <v>1.3134449652604532</v>
      </c>
      <c r="Z107">
        <v>0.13636363636363599</v>
      </c>
      <c r="AA107">
        <v>0.145454545454545</v>
      </c>
      <c r="AB107">
        <v>0.24090909090908999</v>
      </c>
      <c r="AC107">
        <v>0</v>
      </c>
      <c r="AD107">
        <v>9.0909090909090905E-3</v>
      </c>
      <c r="AE107">
        <v>0</v>
      </c>
      <c r="AF107">
        <v>0.21285052513877201</v>
      </c>
      <c r="AG107">
        <v>0.120234814903558</v>
      </c>
      <c r="AH107">
        <v>0.110317079988818</v>
      </c>
      <c r="AI107">
        <v>3.03642027075595E-2</v>
      </c>
      <c r="AJ107">
        <v>2.0366598778004002E-3</v>
      </c>
      <c r="AK107">
        <v>9.2320594225469895E-3</v>
      </c>
      <c r="AL107">
        <v>19.804480651999999</v>
      </c>
      <c r="AM107">
        <v>9.5661914460999995</v>
      </c>
    </row>
    <row r="108" spans="1:39" x14ac:dyDescent="0.4">
      <c r="A108" t="s">
        <v>181</v>
      </c>
      <c r="B108" t="s">
        <v>179</v>
      </c>
      <c r="C108">
        <v>30</v>
      </c>
      <c r="D108">
        <v>30</v>
      </c>
      <c r="E108">
        <v>185.33</v>
      </c>
      <c r="F108">
        <v>779</v>
      </c>
      <c r="G108" s="2">
        <f t="shared" si="54"/>
        <v>11.49374999999997</v>
      </c>
      <c r="H108" s="2">
        <f t="shared" si="55"/>
        <v>11.07499999999998</v>
      </c>
      <c r="I108" s="2">
        <f t="shared" si="56"/>
        <v>14.299999999999981</v>
      </c>
      <c r="J108" s="2">
        <f t="shared" si="57"/>
        <v>0</v>
      </c>
      <c r="K108" s="2">
        <f t="shared" si="58"/>
        <v>0</v>
      </c>
      <c r="L108" s="2">
        <f t="shared" si="48"/>
        <v>0</v>
      </c>
      <c r="M108">
        <v>0</v>
      </c>
      <c r="N108" s="2">
        <f t="shared" si="59"/>
        <v>179.78843861740125</v>
      </c>
      <c r="O108" s="2">
        <f t="shared" si="60"/>
        <v>95.143861740166813</v>
      </c>
      <c r="P108" s="2">
        <f t="shared" si="61"/>
        <v>87.194398092967347</v>
      </c>
      <c r="Q108" s="2">
        <f t="shared" si="62"/>
        <v>26.598331346841444</v>
      </c>
      <c r="R108">
        <v>1</v>
      </c>
      <c r="S108" s="2">
        <f t="shared" si="63"/>
        <v>9.2283671036947794</v>
      </c>
      <c r="T108" s="2">
        <f t="shared" si="49"/>
        <v>156.54004767078999</v>
      </c>
      <c r="U108" s="2">
        <f t="shared" si="50"/>
        <v>53.296543505660004</v>
      </c>
      <c r="V108" s="1">
        <f t="shared" si="51"/>
        <v>7.6019016297259476</v>
      </c>
      <c r="W108" s="1">
        <f t="shared" si="52"/>
        <v>4.2343364961782015</v>
      </c>
      <c r="X108" s="1">
        <f t="shared" si="53"/>
        <v>1.2576754013007134</v>
      </c>
      <c r="Z108">
        <v>0.38312499999999899</v>
      </c>
      <c r="AA108">
        <v>0.36916666666666598</v>
      </c>
      <c r="AB108">
        <v>0.47666666666666602</v>
      </c>
      <c r="AC108">
        <v>0</v>
      </c>
      <c r="AD108">
        <v>0</v>
      </c>
      <c r="AE108">
        <v>0</v>
      </c>
      <c r="AF108">
        <v>0.23079388782721599</v>
      </c>
      <c r="AG108">
        <v>0.122135894403295</v>
      </c>
      <c r="AH108">
        <v>0.111931191390202</v>
      </c>
      <c r="AI108">
        <v>3.4144199418281701E-2</v>
      </c>
      <c r="AJ108">
        <v>1.2836970474967E-3</v>
      </c>
      <c r="AK108">
        <v>1.1846427604229499E-2</v>
      </c>
      <c r="AL108">
        <v>20.094999700999999</v>
      </c>
      <c r="AM108">
        <v>6.8416615539999999</v>
      </c>
    </row>
    <row r="109" spans="1:39" x14ac:dyDescent="0.4">
      <c r="A109" t="s">
        <v>51</v>
      </c>
      <c r="B109" t="s">
        <v>50</v>
      </c>
      <c r="C109">
        <v>26</v>
      </c>
      <c r="D109">
        <v>26</v>
      </c>
      <c r="E109">
        <v>147.66999999999999</v>
      </c>
      <c r="F109">
        <v>626</v>
      </c>
      <c r="G109" s="2">
        <f t="shared" si="54"/>
        <v>8.8999999999999915</v>
      </c>
      <c r="H109" s="2">
        <f t="shared" si="55"/>
        <v>8.5249999999999897</v>
      </c>
      <c r="I109" s="2">
        <f t="shared" si="56"/>
        <v>10.899999999999995</v>
      </c>
      <c r="J109" s="2">
        <f t="shared" si="57"/>
        <v>0</v>
      </c>
      <c r="K109" s="2">
        <f t="shared" si="58"/>
        <v>0</v>
      </c>
      <c r="L109" s="2">
        <f t="shared" si="48"/>
        <v>0</v>
      </c>
      <c r="M109">
        <v>0</v>
      </c>
      <c r="N109" s="2">
        <f t="shared" si="59"/>
        <v>140.67142857142812</v>
      </c>
      <c r="O109" s="2">
        <f t="shared" si="60"/>
        <v>76.011904761904631</v>
      </c>
      <c r="P109" s="2">
        <f t="shared" si="61"/>
        <v>69.740476190475761</v>
      </c>
      <c r="Q109" s="2">
        <f t="shared" si="62"/>
        <v>20.759523809523774</v>
      </c>
      <c r="R109">
        <v>1</v>
      </c>
      <c r="S109" s="2">
        <f t="shared" si="63"/>
        <v>5.4163265306122135</v>
      </c>
      <c r="T109" s="2">
        <f t="shared" si="49"/>
        <v>129.91904761471937</v>
      </c>
      <c r="U109" s="2">
        <f t="shared" si="50"/>
        <v>49.280952381730003</v>
      </c>
      <c r="V109" s="1">
        <f t="shared" si="51"/>
        <v>7.9181379327722246</v>
      </c>
      <c r="W109" s="1">
        <f t="shared" si="52"/>
        <v>4.2504522632510451</v>
      </c>
      <c r="X109" s="1">
        <f t="shared" si="53"/>
        <v>1.286330202161293</v>
      </c>
      <c r="Z109">
        <v>0.34230769230769198</v>
      </c>
      <c r="AA109">
        <v>0.327884615384615</v>
      </c>
      <c r="AB109">
        <v>0.41923076923076902</v>
      </c>
      <c r="AC109">
        <v>0</v>
      </c>
      <c r="AD109">
        <v>0</v>
      </c>
      <c r="AE109">
        <v>0</v>
      </c>
      <c r="AF109">
        <v>0.224714742126882</v>
      </c>
      <c r="AG109">
        <v>0.121424767990263</v>
      </c>
      <c r="AH109">
        <v>0.111406511486383</v>
      </c>
      <c r="AI109">
        <v>3.3162178609462897E-2</v>
      </c>
      <c r="AJ109">
        <v>1.5974440894568E-3</v>
      </c>
      <c r="AK109">
        <v>8.6522788028949096E-3</v>
      </c>
      <c r="AL109">
        <v>20.753841471999898</v>
      </c>
      <c r="AM109">
        <v>7.8723566104999998</v>
      </c>
    </row>
    <row r="110" spans="1:39" x14ac:dyDescent="0.4">
      <c r="A110" s="3" t="s">
        <v>172</v>
      </c>
      <c r="B110" t="s">
        <v>173</v>
      </c>
      <c r="C110">
        <v>16</v>
      </c>
      <c r="D110">
        <v>30</v>
      </c>
      <c r="E110">
        <v>104.33</v>
      </c>
      <c r="F110">
        <v>454</v>
      </c>
      <c r="G110" s="2">
        <f t="shared" si="54"/>
        <v>3.44285714285712</v>
      </c>
      <c r="H110" s="2">
        <f t="shared" si="55"/>
        <v>5.5428571428571196</v>
      </c>
      <c r="I110" s="2">
        <f t="shared" si="56"/>
        <v>5.6428571428571406</v>
      </c>
      <c r="J110" s="2">
        <f t="shared" si="57"/>
        <v>0</v>
      </c>
      <c r="K110" s="2">
        <f t="shared" si="58"/>
        <v>0.91428571428571204</v>
      </c>
      <c r="L110" s="2">
        <f t="shared" si="48"/>
        <v>0.91428571428571204</v>
      </c>
      <c r="M110">
        <v>0</v>
      </c>
      <c r="N110" s="2">
        <f t="shared" si="59"/>
        <v>91.987762906309385</v>
      </c>
      <c r="O110" s="2">
        <f t="shared" si="60"/>
        <v>53.843594646271484</v>
      </c>
      <c r="P110" s="2">
        <f t="shared" si="61"/>
        <v>49.305353728489429</v>
      </c>
      <c r="Q110" s="2">
        <f t="shared" si="62"/>
        <v>14.522370936902442</v>
      </c>
      <c r="R110">
        <v>1</v>
      </c>
      <c r="S110" s="2">
        <f t="shared" si="63"/>
        <v>5.7625239005736075</v>
      </c>
      <c r="T110" s="2">
        <f t="shared" si="49"/>
        <v>108.36367111804</v>
      </c>
      <c r="U110" s="2">
        <f t="shared" si="50"/>
        <v>47.520650098839546</v>
      </c>
      <c r="V110" s="1">
        <f t="shared" si="51"/>
        <v>9.3479635777088088</v>
      </c>
      <c r="W110" s="1">
        <f t="shared" si="52"/>
        <v>4.2533133667823719</v>
      </c>
      <c r="X110" s="1">
        <f t="shared" si="53"/>
        <v>1.3371840602429688</v>
      </c>
      <c r="Z110">
        <v>0.114761904761904</v>
      </c>
      <c r="AA110">
        <v>0.18476190476190399</v>
      </c>
      <c r="AB110">
        <v>0.18809523809523801</v>
      </c>
      <c r="AC110">
        <v>0</v>
      </c>
      <c r="AD110">
        <v>3.04761904761904E-2</v>
      </c>
      <c r="AE110">
        <v>0</v>
      </c>
      <c r="AF110">
        <v>0.20261621785530701</v>
      </c>
      <c r="AG110">
        <v>0.11859822609310899</v>
      </c>
      <c r="AH110">
        <v>0.10860210072354499</v>
      </c>
      <c r="AI110">
        <v>3.1987601182604498E-2</v>
      </c>
      <c r="AJ110">
        <v>2.2026431718061E-3</v>
      </c>
      <c r="AK110">
        <v>1.2692783921968299E-2</v>
      </c>
      <c r="AL110">
        <v>23.868650026000001</v>
      </c>
      <c r="AM110">
        <v>10.467103545999899</v>
      </c>
    </row>
    <row r="111" spans="1:39" x14ac:dyDescent="0.4">
      <c r="A111" t="s">
        <v>70</v>
      </c>
      <c r="B111" t="s">
        <v>69</v>
      </c>
      <c r="C111">
        <v>29</v>
      </c>
      <c r="D111">
        <v>29</v>
      </c>
      <c r="E111">
        <v>171</v>
      </c>
      <c r="F111">
        <v>729</v>
      </c>
      <c r="G111" s="2">
        <f t="shared" si="54"/>
        <v>9.2999999999999758</v>
      </c>
      <c r="H111" s="2">
        <f t="shared" si="55"/>
        <v>9.999999999999984</v>
      </c>
      <c r="I111" s="2">
        <f t="shared" si="56"/>
        <v>12.899999999999984</v>
      </c>
      <c r="J111" s="2">
        <f t="shared" si="57"/>
        <v>0</v>
      </c>
      <c r="K111" s="2">
        <f t="shared" si="58"/>
        <v>0</v>
      </c>
      <c r="L111" s="2">
        <f t="shared" si="48"/>
        <v>0</v>
      </c>
      <c r="M111">
        <v>0</v>
      </c>
      <c r="N111" s="2">
        <f t="shared" si="59"/>
        <v>171.87506811989059</v>
      </c>
      <c r="O111" s="2">
        <f t="shared" si="60"/>
        <v>88.875613079018848</v>
      </c>
      <c r="P111" s="2">
        <f t="shared" si="61"/>
        <v>80.913760217982968</v>
      </c>
      <c r="Q111" s="2">
        <f t="shared" si="62"/>
        <v>23.490326975476805</v>
      </c>
      <c r="R111">
        <v>1</v>
      </c>
      <c r="S111" s="2">
        <f t="shared" si="63"/>
        <v>8.3856948228882118</v>
      </c>
      <c r="T111" s="2">
        <f t="shared" si="49"/>
        <v>158.54182561061927</v>
      </c>
      <c r="U111" s="2">
        <f t="shared" si="50"/>
        <v>49.761580381496998</v>
      </c>
      <c r="V111" s="1">
        <f t="shared" si="51"/>
        <v>8.3443066110852246</v>
      </c>
      <c r="W111" s="1">
        <f t="shared" si="52"/>
        <v>4.2586189588412084</v>
      </c>
      <c r="X111" s="1">
        <f t="shared" si="53"/>
        <v>1.2961207514701027</v>
      </c>
      <c r="Z111">
        <v>0.32068965517241299</v>
      </c>
      <c r="AA111">
        <v>0.34482758620689602</v>
      </c>
      <c r="AB111">
        <v>0.444827586206896</v>
      </c>
      <c r="AC111">
        <v>0</v>
      </c>
      <c r="AD111">
        <v>0</v>
      </c>
      <c r="AE111">
        <v>0</v>
      </c>
      <c r="AF111">
        <v>0.235768269025913</v>
      </c>
      <c r="AG111">
        <v>0.12191442123322201</v>
      </c>
      <c r="AH111">
        <v>0.110992812370347</v>
      </c>
      <c r="AI111">
        <v>3.2222670748253503E-2</v>
      </c>
      <c r="AJ111">
        <v>1.3717421124828E-3</v>
      </c>
      <c r="AK111">
        <v>1.15030107309852E-2</v>
      </c>
      <c r="AL111">
        <v>21.747849877999901</v>
      </c>
      <c r="AM111">
        <v>6.8260055392999996</v>
      </c>
    </row>
    <row r="112" spans="1:39" x14ac:dyDescent="0.4">
      <c r="A112" s="3" t="s">
        <v>88</v>
      </c>
      <c r="B112" t="s">
        <v>86</v>
      </c>
      <c r="C112">
        <v>28</v>
      </c>
      <c r="D112">
        <v>29</v>
      </c>
      <c r="E112">
        <v>162.33000000000001</v>
      </c>
      <c r="F112">
        <v>686</v>
      </c>
      <c r="G112" s="2">
        <f t="shared" si="54"/>
        <v>9.7964285714285708</v>
      </c>
      <c r="H112" s="2">
        <f t="shared" si="55"/>
        <v>8.7071428571428502</v>
      </c>
      <c r="I112" s="2">
        <f t="shared" si="56"/>
        <v>11.739285714285696</v>
      </c>
      <c r="J112" s="2">
        <f t="shared" si="57"/>
        <v>0</v>
      </c>
      <c r="K112" s="2">
        <f t="shared" si="58"/>
        <v>0</v>
      </c>
      <c r="L112" s="2">
        <f t="shared" si="48"/>
        <v>0</v>
      </c>
      <c r="M112">
        <v>2</v>
      </c>
      <c r="N112" s="2">
        <f t="shared" si="59"/>
        <v>143.02141802067888</v>
      </c>
      <c r="O112" s="2">
        <f t="shared" si="60"/>
        <v>83.881683899556748</v>
      </c>
      <c r="P112" s="2">
        <f t="shared" si="61"/>
        <v>76.816543574593496</v>
      </c>
      <c r="Q112" s="2">
        <f t="shared" si="62"/>
        <v>23.814032496307188</v>
      </c>
      <c r="R112">
        <v>3</v>
      </c>
      <c r="S112" s="2">
        <f t="shared" si="63"/>
        <v>5.6279172821270169</v>
      </c>
      <c r="T112" s="2">
        <f t="shared" si="49"/>
        <v>153.68655834853931</v>
      </c>
      <c r="U112" s="2">
        <f t="shared" si="50"/>
        <v>68.632791745993998</v>
      </c>
      <c r="V112" s="1">
        <f t="shared" si="51"/>
        <v>8.5207849758938803</v>
      </c>
      <c r="W112" s="1">
        <f t="shared" si="52"/>
        <v>4.2589101963367302</v>
      </c>
      <c r="X112" s="1">
        <f t="shared" si="53"/>
        <v>1.3038514739522753</v>
      </c>
      <c r="Z112">
        <v>0.33780788177339899</v>
      </c>
      <c r="AA112">
        <v>0.300246305418719</v>
      </c>
      <c r="AB112">
        <v>0.404802955665024</v>
      </c>
      <c r="AC112">
        <v>0</v>
      </c>
      <c r="AD112">
        <v>0</v>
      </c>
      <c r="AE112">
        <v>6.8965517241379296E-2</v>
      </c>
      <c r="AF112">
        <v>0.20848603210011499</v>
      </c>
      <c r="AG112">
        <v>0.122276507142211</v>
      </c>
      <c r="AH112">
        <v>0.111977468767629</v>
      </c>
      <c r="AI112">
        <v>3.4714333084995899E-2</v>
      </c>
      <c r="AJ112">
        <v>4.3731778425654998E-3</v>
      </c>
      <c r="AK112">
        <v>8.2039610526632896E-3</v>
      </c>
      <c r="AL112">
        <v>22.403288388999901</v>
      </c>
      <c r="AM112">
        <v>10.004780137899999</v>
      </c>
    </row>
    <row r="113" spans="1:39" x14ac:dyDescent="0.4">
      <c r="A113" t="s">
        <v>171</v>
      </c>
      <c r="B113" t="s">
        <v>166</v>
      </c>
      <c r="C113">
        <v>23</v>
      </c>
      <c r="D113">
        <v>32</v>
      </c>
      <c r="E113">
        <v>135</v>
      </c>
      <c r="F113">
        <v>564</v>
      </c>
      <c r="G113" s="2">
        <f t="shared" si="54"/>
        <v>6.1631578947368322</v>
      </c>
      <c r="H113" s="2">
        <f t="shared" si="55"/>
        <v>6.8631578947368324</v>
      </c>
      <c r="I113" s="2">
        <f t="shared" si="56"/>
        <v>8.3789473684210236</v>
      </c>
      <c r="J113" s="2">
        <f t="shared" si="57"/>
        <v>0</v>
      </c>
      <c r="K113" s="2">
        <f t="shared" si="58"/>
        <v>0.95263157894736639</v>
      </c>
      <c r="L113" s="2">
        <f t="shared" si="48"/>
        <v>0.95263157894736639</v>
      </c>
      <c r="M113">
        <v>0</v>
      </c>
      <c r="N113" s="2">
        <f t="shared" si="59"/>
        <v>135.2601362862008</v>
      </c>
      <c r="O113" s="2">
        <f t="shared" si="60"/>
        <v>69.497785349233098</v>
      </c>
      <c r="P113" s="2">
        <f t="shared" si="61"/>
        <v>63.962350936967219</v>
      </c>
      <c r="Q113" s="2">
        <f t="shared" si="62"/>
        <v>20.424020442930118</v>
      </c>
      <c r="R113">
        <v>2</v>
      </c>
      <c r="S113" s="2">
        <f t="shared" si="63"/>
        <v>5.2294718909709976</v>
      </c>
      <c r="T113" s="2">
        <f t="shared" si="49"/>
        <v>113.49097104708</v>
      </c>
      <c r="U113" s="2">
        <f t="shared" si="50"/>
        <v>30.222316866491948</v>
      </c>
      <c r="V113" s="1">
        <f t="shared" si="51"/>
        <v>7.5660647364719997</v>
      </c>
      <c r="W113" s="1">
        <f t="shared" si="52"/>
        <v>4.2641567291311482</v>
      </c>
      <c r="X113" s="1">
        <f t="shared" si="53"/>
        <v>1.2257959492792057</v>
      </c>
      <c r="Z113">
        <v>0.19259868421052601</v>
      </c>
      <c r="AA113">
        <v>0.21447368421052601</v>
      </c>
      <c r="AB113">
        <v>0.26184210526315699</v>
      </c>
      <c r="AC113">
        <v>0</v>
      </c>
      <c r="AD113">
        <v>2.97697368421052E-2</v>
      </c>
      <c r="AE113">
        <v>0</v>
      </c>
      <c r="AF113">
        <v>0.239822936677661</v>
      </c>
      <c r="AG113">
        <v>0.123223023668853</v>
      </c>
      <c r="AH113">
        <v>0.113408423647105</v>
      </c>
      <c r="AI113">
        <v>3.6212802203776803E-2</v>
      </c>
      <c r="AJ113">
        <v>3.5460992907801001E-3</v>
      </c>
      <c r="AK113">
        <v>9.2721132818634703E-3</v>
      </c>
      <c r="AL113">
        <v>20.122512597</v>
      </c>
      <c r="AM113">
        <v>5.3585668202999903</v>
      </c>
    </row>
    <row r="114" spans="1:39" x14ac:dyDescent="0.4">
      <c r="A114" s="3" t="s">
        <v>184</v>
      </c>
      <c r="B114" t="s">
        <v>185</v>
      </c>
      <c r="C114">
        <v>14</v>
      </c>
      <c r="D114">
        <v>28</v>
      </c>
      <c r="E114">
        <v>87.67</v>
      </c>
      <c r="F114">
        <v>377</v>
      </c>
      <c r="G114" s="2">
        <f t="shared" si="54"/>
        <v>4.0727272727272599</v>
      </c>
      <c r="H114" s="2">
        <f t="shared" si="55"/>
        <v>4.0727272727272599</v>
      </c>
      <c r="I114" s="2">
        <f t="shared" si="56"/>
        <v>5.9181818181818082</v>
      </c>
      <c r="J114" s="2">
        <f t="shared" si="57"/>
        <v>0</v>
      </c>
      <c r="K114" s="2">
        <f t="shared" si="58"/>
        <v>0.89090909090909043</v>
      </c>
      <c r="L114" s="2">
        <f t="shared" si="48"/>
        <v>0.89090909090909043</v>
      </c>
      <c r="M114">
        <v>0</v>
      </c>
      <c r="N114" s="2">
        <f t="shared" si="59"/>
        <v>82.266473988439046</v>
      </c>
      <c r="O114" s="2">
        <f t="shared" si="60"/>
        <v>45.025626204238904</v>
      </c>
      <c r="P114" s="2">
        <f t="shared" si="61"/>
        <v>41.583236994219284</v>
      </c>
      <c r="Q114" s="2">
        <f t="shared" si="62"/>
        <v>10.927167630057749</v>
      </c>
      <c r="R114">
        <v>1</v>
      </c>
      <c r="S114" s="2">
        <f t="shared" si="63"/>
        <v>5.5075144508670117</v>
      </c>
      <c r="T114" s="2">
        <f t="shared" si="49"/>
        <v>83.583429662459992</v>
      </c>
      <c r="U114" s="2">
        <f t="shared" si="50"/>
        <v>35.715414259056956</v>
      </c>
      <c r="V114" s="1">
        <f t="shared" si="51"/>
        <v>8.5804821143166414</v>
      </c>
      <c r="W114" s="1">
        <f t="shared" si="52"/>
        <v>4.2688392032391187</v>
      </c>
      <c r="X114" s="1">
        <f t="shared" si="53"/>
        <v>1.34574983743009</v>
      </c>
      <c r="Z114">
        <v>0.145454545454545</v>
      </c>
      <c r="AA114">
        <v>0.145454545454545</v>
      </c>
      <c r="AB114">
        <v>0.211363636363636</v>
      </c>
      <c r="AC114">
        <v>0</v>
      </c>
      <c r="AD114">
        <v>3.1818181818181801E-2</v>
      </c>
      <c r="AE114">
        <v>0</v>
      </c>
      <c r="AF114">
        <v>0.21821345885527599</v>
      </c>
      <c r="AG114">
        <v>0.119431369242013</v>
      </c>
      <c r="AH114">
        <v>0.11030036337989201</v>
      </c>
      <c r="AI114">
        <v>2.8984529522699601E-2</v>
      </c>
      <c r="AJ114">
        <v>2.6525198938992002E-3</v>
      </c>
      <c r="AK114">
        <v>1.46087916468621E-2</v>
      </c>
      <c r="AL114">
        <v>22.170670997999999</v>
      </c>
      <c r="AM114">
        <v>9.4735846840999898</v>
      </c>
    </row>
    <row r="115" spans="1:39" x14ac:dyDescent="0.4">
      <c r="A115" t="s">
        <v>104</v>
      </c>
      <c r="B115" t="s">
        <v>100</v>
      </c>
      <c r="C115">
        <v>19</v>
      </c>
      <c r="D115">
        <v>31</v>
      </c>
      <c r="E115">
        <v>116</v>
      </c>
      <c r="F115">
        <v>488</v>
      </c>
      <c r="G115" s="2">
        <f t="shared" si="54"/>
        <v>6.7071428571428475</v>
      </c>
      <c r="H115" s="2">
        <f t="shared" si="55"/>
        <v>5.3071428571428374</v>
      </c>
      <c r="I115" s="2">
        <f t="shared" si="56"/>
        <v>6.8571428571428372</v>
      </c>
      <c r="J115" s="2">
        <f t="shared" si="57"/>
        <v>0</v>
      </c>
      <c r="K115" s="2">
        <f t="shared" si="58"/>
        <v>0.22142857142857134</v>
      </c>
      <c r="L115" s="2">
        <f t="shared" si="48"/>
        <v>0.22142857142857134</v>
      </c>
      <c r="M115">
        <v>0</v>
      </c>
      <c r="N115" s="2">
        <f t="shared" si="59"/>
        <v>107.46741573033688</v>
      </c>
      <c r="O115" s="2">
        <f t="shared" si="60"/>
        <v>60.571910112359255</v>
      </c>
      <c r="P115" s="2">
        <f t="shared" si="61"/>
        <v>55.233707865168306</v>
      </c>
      <c r="Q115" s="2">
        <f t="shared" si="62"/>
        <v>17.462921348314556</v>
      </c>
      <c r="R115">
        <v>1</v>
      </c>
      <c r="S115" s="2">
        <f t="shared" si="63"/>
        <v>4.9099518459068614</v>
      </c>
      <c r="T115" s="2">
        <f t="shared" si="49"/>
        <v>102.92584270968</v>
      </c>
      <c r="U115" s="2">
        <f t="shared" si="50"/>
        <v>38.56741572968</v>
      </c>
      <c r="V115" s="1">
        <f t="shared" si="51"/>
        <v>7.9856257274751723</v>
      </c>
      <c r="W115" s="1">
        <f t="shared" si="52"/>
        <v>4.2853738860906443</v>
      </c>
      <c r="X115" s="1">
        <f t="shared" si="53"/>
        <v>1.2589209608622145</v>
      </c>
      <c r="Z115">
        <v>0.21635944700460799</v>
      </c>
      <c r="AA115">
        <v>0.17119815668202701</v>
      </c>
      <c r="AB115">
        <v>0.221198156682027</v>
      </c>
      <c r="AC115">
        <v>0</v>
      </c>
      <c r="AD115">
        <v>7.14285714285714E-3</v>
      </c>
      <c r="AE115">
        <v>0</v>
      </c>
      <c r="AF115">
        <v>0.22022011420151</v>
      </c>
      <c r="AG115">
        <v>0.124122766623687</v>
      </c>
      <c r="AH115">
        <v>0.113183827592558</v>
      </c>
      <c r="AI115">
        <v>3.5784674894087203E-2</v>
      </c>
      <c r="AJ115">
        <v>2.0491803278688001E-3</v>
      </c>
      <c r="AK115">
        <v>1.00613767334157E-2</v>
      </c>
      <c r="AL115">
        <v>21.091361210999999</v>
      </c>
      <c r="AM115">
        <v>7.9031589609999999</v>
      </c>
    </row>
    <row r="116" spans="1:39" x14ac:dyDescent="0.4">
      <c r="A116" s="3" t="s">
        <v>186</v>
      </c>
      <c r="B116" t="s">
        <v>185</v>
      </c>
      <c r="C116">
        <v>24</v>
      </c>
      <c r="D116">
        <v>38</v>
      </c>
      <c r="E116">
        <v>134</v>
      </c>
      <c r="F116">
        <v>575</v>
      </c>
      <c r="G116" s="2">
        <f t="shared" si="54"/>
        <v>5.9133333333333225</v>
      </c>
      <c r="H116" s="2">
        <f t="shared" si="55"/>
        <v>8.0133333333333283</v>
      </c>
      <c r="I116" s="2">
        <f t="shared" si="56"/>
        <v>7.6866666666666301</v>
      </c>
      <c r="J116" s="2">
        <f t="shared" si="57"/>
        <v>0</v>
      </c>
      <c r="K116" s="2">
        <f t="shared" si="58"/>
        <v>0.95333333333332893</v>
      </c>
      <c r="L116" s="2">
        <f t="shared" si="48"/>
        <v>0.95333333333332893</v>
      </c>
      <c r="M116">
        <v>0</v>
      </c>
      <c r="N116" s="2">
        <f t="shared" si="59"/>
        <v>114.64483925549885</v>
      </c>
      <c r="O116" s="2">
        <f t="shared" si="60"/>
        <v>69.516582064297722</v>
      </c>
      <c r="P116" s="2">
        <f t="shared" si="61"/>
        <v>63.930287648053778</v>
      </c>
      <c r="Q116" s="2">
        <f t="shared" si="62"/>
        <v>16.677834179357003</v>
      </c>
      <c r="R116">
        <v>1</v>
      </c>
      <c r="S116" s="2">
        <f t="shared" si="63"/>
        <v>6.2431472081217452</v>
      </c>
      <c r="T116" s="2">
        <f t="shared" si="49"/>
        <v>138.98477158225</v>
      </c>
      <c r="U116" s="2">
        <f t="shared" si="50"/>
        <v>69.516582046999432</v>
      </c>
      <c r="V116" s="1">
        <f t="shared" si="51"/>
        <v>9.3347980913451494</v>
      </c>
      <c r="W116" s="1">
        <f t="shared" si="52"/>
        <v>4.2938252897946567</v>
      </c>
      <c r="X116" s="1">
        <f t="shared" si="53"/>
        <v>1.3743389649440172</v>
      </c>
      <c r="Z116">
        <v>0.15561403508771901</v>
      </c>
      <c r="AA116">
        <v>0.210877192982456</v>
      </c>
      <c r="AB116">
        <v>0.20228070175438501</v>
      </c>
      <c r="AC116">
        <v>0</v>
      </c>
      <c r="AD116">
        <v>2.5087719298245499E-2</v>
      </c>
      <c r="AE116">
        <v>0</v>
      </c>
      <c r="AF116">
        <v>0.19938232913999801</v>
      </c>
      <c r="AG116">
        <v>0.120898403590083</v>
      </c>
      <c r="AH116">
        <v>0.111183108953137</v>
      </c>
      <c r="AI116">
        <v>2.9004929007577399E-2</v>
      </c>
      <c r="AJ116">
        <v>1.7391304347826001E-3</v>
      </c>
      <c r="AK116">
        <v>1.0857647318472601E-2</v>
      </c>
      <c r="AL116">
        <v>24.171264622999999</v>
      </c>
      <c r="AM116">
        <v>12.0898403559999</v>
      </c>
    </row>
    <row r="117" spans="1:39" x14ac:dyDescent="0.4">
      <c r="A117" t="s">
        <v>175</v>
      </c>
      <c r="B117" t="s">
        <v>173</v>
      </c>
      <c r="C117">
        <v>24</v>
      </c>
      <c r="D117">
        <v>32</v>
      </c>
      <c r="E117">
        <v>139.66999999999999</v>
      </c>
      <c r="F117">
        <v>589</v>
      </c>
      <c r="G117" s="2">
        <f t="shared" si="54"/>
        <v>6.7707317073170561</v>
      </c>
      <c r="H117" s="2">
        <f t="shared" si="55"/>
        <v>7.0048780487804798</v>
      </c>
      <c r="I117" s="2">
        <f t="shared" si="56"/>
        <v>9.1097560975609593</v>
      </c>
      <c r="J117" s="2">
        <f t="shared" si="57"/>
        <v>0</v>
      </c>
      <c r="K117" s="2">
        <f t="shared" si="58"/>
        <v>0.2341463414634144</v>
      </c>
      <c r="L117" s="2">
        <f t="shared" si="48"/>
        <v>0.2341463414634144</v>
      </c>
      <c r="M117">
        <v>0</v>
      </c>
      <c r="N117" s="2">
        <f t="shared" si="59"/>
        <v>133.17589424572279</v>
      </c>
      <c r="O117" s="2">
        <f t="shared" si="60"/>
        <v>72.255832037324694</v>
      </c>
      <c r="P117" s="2">
        <f t="shared" si="61"/>
        <v>66.908553654743329</v>
      </c>
      <c r="Q117" s="2">
        <f t="shared" si="62"/>
        <v>20.10668740279932</v>
      </c>
      <c r="R117">
        <v>1</v>
      </c>
      <c r="S117" s="2">
        <f t="shared" si="63"/>
        <v>5.4236391912908033</v>
      </c>
      <c r="T117" s="2">
        <f t="shared" si="49"/>
        <v>123.4225505318</v>
      </c>
      <c r="U117" s="2">
        <f t="shared" si="50"/>
        <v>44.960653189586935</v>
      </c>
      <c r="V117" s="1">
        <f t="shared" si="51"/>
        <v>7.9530533026863335</v>
      </c>
      <c r="W117" s="1">
        <f t="shared" si="52"/>
        <v>4.3114268124342381</v>
      </c>
      <c r="X117" s="1">
        <f t="shared" si="53"/>
        <v>1.2754102343760989</v>
      </c>
      <c r="Z117">
        <v>0.211585365853658</v>
      </c>
      <c r="AA117">
        <v>0.21890243902438999</v>
      </c>
      <c r="AB117">
        <v>0.28467987804877998</v>
      </c>
      <c r="AC117">
        <v>0</v>
      </c>
      <c r="AD117">
        <v>7.3170731707316999E-3</v>
      </c>
      <c r="AE117">
        <v>0</v>
      </c>
      <c r="AF117">
        <v>0.226105083609037</v>
      </c>
      <c r="AG117">
        <v>0.122675436396137</v>
      </c>
      <c r="AH117">
        <v>0.11359686528818901</v>
      </c>
      <c r="AI117">
        <v>3.41369904971126E-2</v>
      </c>
      <c r="AJ117">
        <v>1.6977928692699E-3</v>
      </c>
      <c r="AK117">
        <v>9.2082159444665593E-3</v>
      </c>
      <c r="AL117">
        <v>20.95459262</v>
      </c>
      <c r="AM117">
        <v>7.6333876382999897</v>
      </c>
    </row>
    <row r="118" spans="1:39" x14ac:dyDescent="0.4">
      <c r="A118" t="s">
        <v>64</v>
      </c>
      <c r="B118" t="s">
        <v>63</v>
      </c>
      <c r="C118">
        <v>28</v>
      </c>
      <c r="D118">
        <v>28</v>
      </c>
      <c r="E118">
        <v>166.67</v>
      </c>
      <c r="F118">
        <v>696</v>
      </c>
      <c r="G118" s="2">
        <f t="shared" si="54"/>
        <v>10.596551724137903</v>
      </c>
      <c r="H118" s="2">
        <f t="shared" si="55"/>
        <v>9.896551724137904</v>
      </c>
      <c r="I118" s="2">
        <f t="shared" si="56"/>
        <v>11.755172413793087</v>
      </c>
      <c r="J118" s="2">
        <f t="shared" si="57"/>
        <v>0</v>
      </c>
      <c r="K118" s="2">
        <f t="shared" si="58"/>
        <v>0</v>
      </c>
      <c r="L118" s="2">
        <f t="shared" si="48"/>
        <v>0</v>
      </c>
      <c r="M118">
        <v>0</v>
      </c>
      <c r="N118" s="2">
        <f t="shared" si="59"/>
        <v>166.31916083916053</v>
      </c>
      <c r="O118" s="2">
        <f t="shared" si="60"/>
        <v>86.744475524475433</v>
      </c>
      <c r="P118" s="2">
        <f t="shared" si="61"/>
        <v>79.874685314684669</v>
      </c>
      <c r="Q118" s="2">
        <f t="shared" si="62"/>
        <v>23.853566433566353</v>
      </c>
      <c r="R118">
        <v>1</v>
      </c>
      <c r="S118" s="2">
        <f t="shared" si="63"/>
        <v>5.5441958041957804</v>
      </c>
      <c r="T118" s="2">
        <f t="shared" si="49"/>
        <v>132.57020978064</v>
      </c>
      <c r="U118" s="2">
        <f t="shared" si="50"/>
        <v>40.318741258416004</v>
      </c>
      <c r="V118" s="1">
        <f t="shared" si="51"/>
        <v>7.1586481551914565</v>
      </c>
      <c r="W118" s="1">
        <f t="shared" si="52"/>
        <v>4.3131467440580913</v>
      </c>
      <c r="X118" s="1">
        <f t="shared" si="53"/>
        <v>1.2398026165331286</v>
      </c>
      <c r="Z118">
        <v>0.37844827586206797</v>
      </c>
      <c r="AA118">
        <v>0.35344827586206801</v>
      </c>
      <c r="AB118">
        <v>0.41982758620689598</v>
      </c>
      <c r="AC118">
        <v>0</v>
      </c>
      <c r="AD118">
        <v>0</v>
      </c>
      <c r="AE118">
        <v>0</v>
      </c>
      <c r="AF118">
        <v>0.238964311550518</v>
      </c>
      <c r="AG118">
        <v>0.124632867132867</v>
      </c>
      <c r="AH118">
        <v>0.114762478900409</v>
      </c>
      <c r="AI118">
        <v>3.42723655654689E-2</v>
      </c>
      <c r="AJ118">
        <v>1.4367816091953999E-3</v>
      </c>
      <c r="AK118">
        <v>7.9657985692468108E-3</v>
      </c>
      <c r="AL118">
        <v>19.047443934</v>
      </c>
      <c r="AM118">
        <v>5.7929225946000003</v>
      </c>
    </row>
    <row r="119" spans="1:39" x14ac:dyDescent="0.4">
      <c r="A119" t="s">
        <v>161</v>
      </c>
      <c r="B119" t="s">
        <v>162</v>
      </c>
      <c r="C119">
        <v>30</v>
      </c>
      <c r="D119">
        <v>30</v>
      </c>
      <c r="E119">
        <v>172.67</v>
      </c>
      <c r="F119">
        <v>727</v>
      </c>
      <c r="G119" s="2">
        <f t="shared" si="54"/>
        <v>9.9032258064515997</v>
      </c>
      <c r="H119" s="2">
        <f t="shared" si="55"/>
        <v>10.893548387096761</v>
      </c>
      <c r="I119" s="2">
        <f t="shared" si="56"/>
        <v>12.05483870967741</v>
      </c>
      <c r="J119" s="2">
        <f t="shared" si="57"/>
        <v>0</v>
      </c>
      <c r="K119" s="2">
        <f t="shared" si="58"/>
        <v>0</v>
      </c>
      <c r="L119" s="2">
        <f t="shared" si="48"/>
        <v>0</v>
      </c>
      <c r="M119">
        <v>0</v>
      </c>
      <c r="N119" s="2">
        <f t="shared" si="59"/>
        <v>168.83311432325817</v>
      </c>
      <c r="O119" s="2">
        <f t="shared" si="60"/>
        <v>90.366360052562243</v>
      </c>
      <c r="P119" s="2">
        <f t="shared" si="61"/>
        <v>82.916557161629342</v>
      </c>
      <c r="Q119" s="2">
        <f t="shared" si="62"/>
        <v>21.980683311432252</v>
      </c>
      <c r="R119">
        <v>1</v>
      </c>
      <c r="S119" s="2">
        <f t="shared" si="63"/>
        <v>6.4927726675426598</v>
      </c>
      <c r="T119" s="2">
        <f t="shared" si="49"/>
        <v>141.59645202192999</v>
      </c>
      <c r="U119" s="2">
        <f t="shared" si="50"/>
        <v>56.692247042202922</v>
      </c>
      <c r="V119" s="1">
        <f t="shared" si="51"/>
        <v>7.3803675693367117</v>
      </c>
      <c r="W119" s="1">
        <f t="shared" si="52"/>
        <v>4.3218220562614471</v>
      </c>
      <c r="X119" s="1">
        <f t="shared" si="53"/>
        <v>1.306106222073673</v>
      </c>
      <c r="Z119">
        <v>0.33010752688172001</v>
      </c>
      <c r="AA119">
        <v>0.36311827956989201</v>
      </c>
      <c r="AB119">
        <v>0.401827956989247</v>
      </c>
      <c r="AC119">
        <v>0</v>
      </c>
      <c r="AD119">
        <v>0</v>
      </c>
      <c r="AE119">
        <v>0</v>
      </c>
      <c r="AF119">
        <v>0.23223261942676501</v>
      </c>
      <c r="AG119">
        <v>0.124300357706413</v>
      </c>
      <c r="AH119">
        <v>0.114053035985735</v>
      </c>
      <c r="AI119">
        <v>3.0234777594817401E-2</v>
      </c>
      <c r="AJ119">
        <v>1.3755158184319001E-3</v>
      </c>
      <c r="AK119">
        <v>8.9309115096872903E-3</v>
      </c>
      <c r="AL119">
        <v>19.476815959</v>
      </c>
      <c r="AM119">
        <v>7.7981082588999904</v>
      </c>
    </row>
    <row r="120" spans="1:39" x14ac:dyDescent="0.4">
      <c r="A120" t="s">
        <v>49</v>
      </c>
      <c r="B120" t="s">
        <v>50</v>
      </c>
      <c r="C120">
        <v>26</v>
      </c>
      <c r="D120">
        <v>26</v>
      </c>
      <c r="E120">
        <v>147.66999999999999</v>
      </c>
      <c r="F120">
        <v>639</v>
      </c>
      <c r="G120" s="2">
        <f t="shared" si="54"/>
        <v>8.8071428571428374</v>
      </c>
      <c r="H120" s="2">
        <f t="shared" si="55"/>
        <v>9.085714285714273</v>
      </c>
      <c r="I120" s="2">
        <f t="shared" si="56"/>
        <v>10.899999999999995</v>
      </c>
      <c r="J120" s="2">
        <f t="shared" si="57"/>
        <v>0</v>
      </c>
      <c r="K120" s="2">
        <f t="shared" si="58"/>
        <v>0</v>
      </c>
      <c r="L120" s="2">
        <f t="shared" si="48"/>
        <v>0</v>
      </c>
      <c r="M120">
        <v>0</v>
      </c>
      <c r="N120" s="2">
        <f t="shared" si="59"/>
        <v>139.75210843373455</v>
      </c>
      <c r="O120" s="2">
        <f t="shared" si="60"/>
        <v>77.665210843373316</v>
      </c>
      <c r="P120" s="2">
        <f t="shared" si="61"/>
        <v>71.149698795180456</v>
      </c>
      <c r="Q120" s="2">
        <f t="shared" si="62"/>
        <v>18.799246987951769</v>
      </c>
      <c r="R120">
        <v>1</v>
      </c>
      <c r="S120" s="2">
        <f t="shared" si="63"/>
        <v>9.7209337349397043</v>
      </c>
      <c r="T120" s="2">
        <f t="shared" si="49"/>
        <v>143.42575302917933</v>
      </c>
      <c r="U120" s="2">
        <f t="shared" si="50"/>
        <v>61.113253013594999</v>
      </c>
      <c r="V120" s="1">
        <f t="shared" si="51"/>
        <v>8.7413271298341844</v>
      </c>
      <c r="W120" s="1">
        <f t="shared" si="52"/>
        <v>4.336339738312617</v>
      </c>
      <c r="X120" s="1">
        <f t="shared" si="53"/>
        <v>1.3602313364077305</v>
      </c>
      <c r="Z120">
        <v>0.33873626373626298</v>
      </c>
      <c r="AA120">
        <v>0.34945054945054899</v>
      </c>
      <c r="AB120">
        <v>0.41923076923076902</v>
      </c>
      <c r="AC120">
        <v>0</v>
      </c>
      <c r="AD120">
        <v>0</v>
      </c>
      <c r="AE120">
        <v>0</v>
      </c>
      <c r="AF120">
        <v>0.218704395044968</v>
      </c>
      <c r="AG120">
        <v>0.121541801006844</v>
      </c>
      <c r="AH120">
        <v>0.111345381526104</v>
      </c>
      <c r="AI120">
        <v>2.941979184343E-2</v>
      </c>
      <c r="AJ120">
        <v>1.564945226917E-3</v>
      </c>
      <c r="AK120">
        <v>1.52127288496709E-2</v>
      </c>
      <c r="AL120">
        <v>22.445344761999898</v>
      </c>
      <c r="AM120">
        <v>9.5638893604999993</v>
      </c>
    </row>
    <row r="121" spans="1:39" x14ac:dyDescent="0.4">
      <c r="A121" t="s">
        <v>59</v>
      </c>
      <c r="B121" t="s">
        <v>56</v>
      </c>
      <c r="C121">
        <v>18</v>
      </c>
      <c r="D121">
        <v>27</v>
      </c>
      <c r="E121">
        <v>106.33</v>
      </c>
      <c r="F121">
        <v>453</v>
      </c>
      <c r="G121" s="2">
        <f t="shared" si="54"/>
        <v>4.8749999999999849</v>
      </c>
      <c r="H121" s="2">
        <f t="shared" si="55"/>
        <v>5.7999999999999776</v>
      </c>
      <c r="I121" s="2">
        <f t="shared" si="56"/>
        <v>6.9249999999999865</v>
      </c>
      <c r="J121" s="2">
        <f t="shared" si="57"/>
        <v>0</v>
      </c>
      <c r="K121" s="2">
        <f t="shared" si="58"/>
        <v>0.22499999999999912</v>
      </c>
      <c r="L121" s="2">
        <f t="shared" si="48"/>
        <v>0.22499999999999912</v>
      </c>
      <c r="M121">
        <v>0</v>
      </c>
      <c r="N121" s="2">
        <f t="shared" si="59"/>
        <v>99.922754491017912</v>
      </c>
      <c r="O121" s="2">
        <f t="shared" si="60"/>
        <v>56.008982035927815</v>
      </c>
      <c r="P121" s="2">
        <f t="shared" si="61"/>
        <v>51.34431137724539</v>
      </c>
      <c r="Q121" s="2">
        <f t="shared" si="62"/>
        <v>16.49281437125746</v>
      </c>
      <c r="R121">
        <v>1</v>
      </c>
      <c r="S121" s="2">
        <f t="shared" si="63"/>
        <v>4.1562874251496567</v>
      </c>
      <c r="T121" s="2">
        <f t="shared" si="49"/>
        <v>109.91796408095999</v>
      </c>
      <c r="U121" s="2">
        <f t="shared" si="50"/>
        <v>37.017365268812952</v>
      </c>
      <c r="V121" s="1">
        <f t="shared" si="51"/>
        <v>9.3036930003633973</v>
      </c>
      <c r="W121" s="1">
        <f t="shared" si="52"/>
        <v>4.3458929972275788</v>
      </c>
      <c r="X121" s="1">
        <f t="shared" si="53"/>
        <v>1.2878784892300466</v>
      </c>
      <c r="Z121">
        <v>0.180555555555555</v>
      </c>
      <c r="AA121">
        <v>0.21481481481481399</v>
      </c>
      <c r="AB121">
        <v>0.25648148148148098</v>
      </c>
      <c r="AC121">
        <v>0</v>
      </c>
      <c r="AD121">
        <v>8.3333333333333003E-3</v>
      </c>
      <c r="AE121">
        <v>0</v>
      </c>
      <c r="AF121">
        <v>0.220580031989002</v>
      </c>
      <c r="AG121">
        <v>0.12364013694465301</v>
      </c>
      <c r="AH121">
        <v>0.113342850722396</v>
      </c>
      <c r="AI121">
        <v>3.64079787444977E-2</v>
      </c>
      <c r="AJ121">
        <v>2.2075055187637002E-3</v>
      </c>
      <c r="AK121">
        <v>9.1750274285864394E-3</v>
      </c>
      <c r="AL121">
        <v>24.264451231999999</v>
      </c>
      <c r="AM121">
        <v>8.1716038120999901</v>
      </c>
    </row>
    <row r="122" spans="1:39" x14ac:dyDescent="0.4">
      <c r="A122" s="3" t="s">
        <v>107</v>
      </c>
      <c r="B122" t="s">
        <v>108</v>
      </c>
      <c r="C122">
        <v>21</v>
      </c>
      <c r="D122">
        <v>26</v>
      </c>
      <c r="E122">
        <v>117.33</v>
      </c>
      <c r="F122">
        <v>508</v>
      </c>
      <c r="G122" s="2">
        <f t="shared" si="54"/>
        <v>5.3142857142857043</v>
      </c>
      <c r="H122" s="2">
        <f t="shared" si="55"/>
        <v>6.7142857142857082</v>
      </c>
      <c r="I122" s="2">
        <f t="shared" si="56"/>
        <v>8.2742857142857069</v>
      </c>
      <c r="J122" s="2">
        <f t="shared" si="57"/>
        <v>0</v>
      </c>
      <c r="K122" s="2">
        <f t="shared" si="58"/>
        <v>0.22285714285714228</v>
      </c>
      <c r="L122" s="2">
        <f t="shared" si="48"/>
        <v>0.22285714285714228</v>
      </c>
      <c r="M122">
        <v>0</v>
      </c>
      <c r="N122" s="2">
        <f t="shared" si="59"/>
        <v>118.51095890410954</v>
      </c>
      <c r="O122" s="2">
        <f t="shared" si="60"/>
        <v>62.423287671232366</v>
      </c>
      <c r="P122" s="2">
        <f t="shared" si="61"/>
        <v>56.969863013698621</v>
      </c>
      <c r="Q122" s="2">
        <f t="shared" si="62"/>
        <v>15.142465753424636</v>
      </c>
      <c r="R122">
        <v>1</v>
      </c>
      <c r="S122" s="2">
        <f t="shared" si="63"/>
        <v>5.0657534246575002</v>
      </c>
      <c r="T122" s="2">
        <f t="shared" si="49"/>
        <v>103.97739724671949</v>
      </c>
      <c r="U122" s="2">
        <f t="shared" si="50"/>
        <v>41.218493148319993</v>
      </c>
      <c r="V122" s="1">
        <f t="shared" si="51"/>
        <v>7.9757655776056886</v>
      </c>
      <c r="W122" s="1">
        <f t="shared" si="52"/>
        <v>4.3699715939937578</v>
      </c>
      <c r="X122" s="1">
        <f t="shared" si="53"/>
        <v>1.3613692325273121</v>
      </c>
      <c r="Z122">
        <v>0.204395604395604</v>
      </c>
      <c r="AA122">
        <v>0.25824175824175799</v>
      </c>
      <c r="AB122">
        <v>0.31824175824175799</v>
      </c>
      <c r="AC122">
        <v>0</v>
      </c>
      <c r="AD122">
        <v>8.5714285714285493E-3</v>
      </c>
      <c r="AE122">
        <v>0</v>
      </c>
      <c r="AF122">
        <v>0.233289289181318</v>
      </c>
      <c r="AG122">
        <v>0.12288048754179599</v>
      </c>
      <c r="AH122">
        <v>0.112145399633265</v>
      </c>
      <c r="AI122">
        <v>2.9808003451623301E-2</v>
      </c>
      <c r="AJ122">
        <v>1.9685039370077998E-3</v>
      </c>
      <c r="AK122">
        <v>9.9719555603494103E-3</v>
      </c>
      <c r="AL122">
        <v>20.4679915839999</v>
      </c>
      <c r="AM122">
        <v>8.1138766039999997</v>
      </c>
    </row>
    <row r="123" spans="1:39" x14ac:dyDescent="0.4">
      <c r="A123" t="s">
        <v>188</v>
      </c>
      <c r="C123">
        <v>23</v>
      </c>
      <c r="D123">
        <v>24</v>
      </c>
      <c r="E123">
        <v>131.33000000000001</v>
      </c>
      <c r="F123">
        <v>568</v>
      </c>
      <c r="G123" s="2">
        <f t="shared" si="54"/>
        <v>7.3827586206896401</v>
      </c>
      <c r="H123" s="2">
        <f t="shared" si="55"/>
        <v>7.3827586206896401</v>
      </c>
      <c r="I123" s="2">
        <f t="shared" si="56"/>
        <v>9.7758620689655054</v>
      </c>
      <c r="J123" s="2">
        <f t="shared" si="57"/>
        <v>0</v>
      </c>
      <c r="K123" s="2">
        <f t="shared" si="58"/>
        <v>0</v>
      </c>
      <c r="L123" s="2">
        <f t="shared" si="48"/>
        <v>0</v>
      </c>
      <c r="M123">
        <v>0</v>
      </c>
      <c r="N123" s="2">
        <f t="shared" si="59"/>
        <v>131.19094540612494</v>
      </c>
      <c r="O123" s="2">
        <f t="shared" si="60"/>
        <v>69.407323568574768</v>
      </c>
      <c r="P123" s="2">
        <f t="shared" si="61"/>
        <v>63.901331557922454</v>
      </c>
      <c r="Q123" s="2">
        <f t="shared" si="62"/>
        <v>16.447403462050499</v>
      </c>
      <c r="R123">
        <v>1</v>
      </c>
      <c r="S123" s="2">
        <f t="shared" si="63"/>
        <v>5.3151797603195492</v>
      </c>
      <c r="T123" s="2">
        <f t="shared" si="49"/>
        <v>102.67270306456</v>
      </c>
      <c r="U123" s="2">
        <f t="shared" si="50"/>
        <v>48.053928093439943</v>
      </c>
      <c r="V123" s="1">
        <f t="shared" si="51"/>
        <v>7.0361252385672719</v>
      </c>
      <c r="W123" s="1">
        <f t="shared" si="52"/>
        <v>4.379136404639473</v>
      </c>
      <c r="X123" s="1">
        <f t="shared" si="53"/>
        <v>1.3648433221622238</v>
      </c>
      <c r="Z123">
        <v>0.307614942528735</v>
      </c>
      <c r="AA123">
        <v>0.307614942528735</v>
      </c>
      <c r="AB123">
        <v>0.40732758620689602</v>
      </c>
      <c r="AC123">
        <v>0</v>
      </c>
      <c r="AD123">
        <v>0</v>
      </c>
      <c r="AE123">
        <v>0</v>
      </c>
      <c r="AF123">
        <v>0.230969974306558</v>
      </c>
      <c r="AG123">
        <v>0.12219599219819501</v>
      </c>
      <c r="AH123">
        <v>0.112502344292117</v>
      </c>
      <c r="AI123">
        <v>2.8956696236004401E-2</v>
      </c>
      <c r="AJ123">
        <v>1.7605633802816E-3</v>
      </c>
      <c r="AK123">
        <v>9.3577108456330098E-3</v>
      </c>
      <c r="AL123">
        <v>18.076180117</v>
      </c>
      <c r="AM123">
        <v>8.46019860799999</v>
      </c>
    </row>
    <row r="124" spans="1:39" x14ac:dyDescent="0.4">
      <c r="A124" t="s">
        <v>131</v>
      </c>
      <c r="B124" t="s">
        <v>127</v>
      </c>
      <c r="C124">
        <v>17</v>
      </c>
      <c r="D124">
        <v>33</v>
      </c>
      <c r="E124">
        <v>109.67</v>
      </c>
      <c r="F124">
        <v>475</v>
      </c>
      <c r="G124" s="2">
        <f t="shared" si="54"/>
        <v>4.874999999999976</v>
      </c>
      <c r="H124" s="2">
        <f t="shared" si="55"/>
        <v>5.5749999999999691</v>
      </c>
      <c r="I124" s="2">
        <f t="shared" si="56"/>
        <v>5.9999999999999725</v>
      </c>
      <c r="J124" s="2">
        <f t="shared" si="57"/>
        <v>0</v>
      </c>
      <c r="K124" s="2">
        <f t="shared" si="58"/>
        <v>1.6249999999999987</v>
      </c>
      <c r="L124" s="2">
        <f t="shared" si="48"/>
        <v>1.6249999999999987</v>
      </c>
      <c r="M124">
        <v>0</v>
      </c>
      <c r="N124" s="2">
        <f t="shared" si="59"/>
        <v>109.78148148148135</v>
      </c>
      <c r="O124" s="2">
        <f t="shared" si="60"/>
        <v>58.881481481481394</v>
      </c>
      <c r="P124" s="2">
        <f t="shared" si="61"/>
        <v>53.792592592592349</v>
      </c>
      <c r="Q124" s="2">
        <f t="shared" si="62"/>
        <v>13.922222222222205</v>
      </c>
      <c r="R124">
        <v>1</v>
      </c>
      <c r="S124" s="2">
        <f t="shared" si="63"/>
        <v>4.1888888888888705</v>
      </c>
      <c r="T124" s="2">
        <f t="shared" si="49"/>
        <v>84.133333339250015</v>
      </c>
      <c r="U124" s="2">
        <f t="shared" si="50"/>
        <v>39.870370371625</v>
      </c>
      <c r="V124" s="1">
        <f t="shared" si="51"/>
        <v>6.9043494123575284</v>
      </c>
      <c r="W124" s="1">
        <f t="shared" si="52"/>
        <v>4.4144554876751263</v>
      </c>
      <c r="X124" s="1">
        <f t="shared" si="53"/>
        <v>1.3645650757099146</v>
      </c>
      <c r="Z124">
        <v>0.14772727272727201</v>
      </c>
      <c r="AA124">
        <v>0.168939393939393</v>
      </c>
      <c r="AB124">
        <v>0.18181818181818099</v>
      </c>
      <c r="AC124">
        <v>0</v>
      </c>
      <c r="AD124">
        <v>4.9242424242424199E-2</v>
      </c>
      <c r="AE124">
        <v>0</v>
      </c>
      <c r="AF124">
        <v>0.231118908382066</v>
      </c>
      <c r="AG124">
        <v>0.12396101364522399</v>
      </c>
      <c r="AH124">
        <v>0.113247563352826</v>
      </c>
      <c r="AI124">
        <v>2.93099415204678E-2</v>
      </c>
      <c r="AJ124">
        <v>2.1052631578946999E-3</v>
      </c>
      <c r="AK124">
        <v>8.8187134502923595E-3</v>
      </c>
      <c r="AL124">
        <v>17.712280703000001</v>
      </c>
      <c r="AM124">
        <v>8.3937621834999998</v>
      </c>
    </row>
    <row r="125" spans="1:39" x14ac:dyDescent="0.4">
      <c r="A125" s="3" t="s">
        <v>68</v>
      </c>
      <c r="B125" t="s">
        <v>69</v>
      </c>
      <c r="C125">
        <v>26</v>
      </c>
      <c r="D125">
        <v>26</v>
      </c>
      <c r="E125">
        <v>147.66999999999999</v>
      </c>
      <c r="F125">
        <v>633</v>
      </c>
      <c r="G125" s="2">
        <f t="shared" si="54"/>
        <v>8.8071428571428374</v>
      </c>
      <c r="H125" s="2">
        <f t="shared" si="55"/>
        <v>9.7857142857142758</v>
      </c>
      <c r="I125" s="2">
        <f t="shared" si="56"/>
        <v>9.9214285714285566</v>
      </c>
      <c r="J125" s="2">
        <f t="shared" si="57"/>
        <v>0</v>
      </c>
      <c r="K125" s="2">
        <f t="shared" si="58"/>
        <v>0</v>
      </c>
      <c r="L125" s="2">
        <f t="shared" si="48"/>
        <v>0</v>
      </c>
      <c r="M125">
        <v>0</v>
      </c>
      <c r="N125" s="2">
        <f t="shared" si="59"/>
        <v>140.70135135135089</v>
      </c>
      <c r="O125" s="2">
        <f t="shared" si="60"/>
        <v>80.851801801801557</v>
      </c>
      <c r="P125" s="2">
        <f t="shared" si="61"/>
        <v>74.094594594594369</v>
      </c>
      <c r="Q125" s="2">
        <f t="shared" si="62"/>
        <v>24.432882882882843</v>
      </c>
      <c r="R125">
        <v>1</v>
      </c>
      <c r="S125" s="2">
        <f t="shared" si="63"/>
        <v>4.7959459459459168</v>
      </c>
      <c r="T125" s="2">
        <f t="shared" si="49"/>
        <v>138.83603602676939</v>
      </c>
      <c r="U125" s="2">
        <f t="shared" si="50"/>
        <v>55.088288289009</v>
      </c>
      <c r="V125" s="1">
        <f t="shared" si="51"/>
        <v>8.4615989993967951</v>
      </c>
      <c r="W125" s="1">
        <f t="shared" si="52"/>
        <v>4.5158214353040522</v>
      </c>
      <c r="X125" s="1">
        <f t="shared" si="53"/>
        <v>1.3258592783934442</v>
      </c>
      <c r="Z125">
        <v>0.33873626373626298</v>
      </c>
      <c r="AA125">
        <v>0.37637362637362598</v>
      </c>
      <c r="AB125">
        <v>0.38159340659340601</v>
      </c>
      <c r="AC125">
        <v>0</v>
      </c>
      <c r="AD125">
        <v>0</v>
      </c>
      <c r="AE125">
        <v>0</v>
      </c>
      <c r="AF125">
        <v>0.222277016352845</v>
      </c>
      <c r="AG125">
        <v>0.12772796493175601</v>
      </c>
      <c r="AH125">
        <v>0.117053072029375</v>
      </c>
      <c r="AI125">
        <v>3.8598551157792801E-2</v>
      </c>
      <c r="AJ125">
        <v>1.5797788309636E-3</v>
      </c>
      <c r="AK125">
        <v>7.5765338798513696E-3</v>
      </c>
      <c r="AL125">
        <v>21.933023068999901</v>
      </c>
      <c r="AM125">
        <v>8.7027311672999996</v>
      </c>
    </row>
    <row r="126" spans="1:39" x14ac:dyDescent="0.4">
      <c r="A126" t="s">
        <v>37</v>
      </c>
      <c r="B126" t="s">
        <v>35</v>
      </c>
      <c r="C126">
        <v>16</v>
      </c>
      <c r="D126">
        <v>30</v>
      </c>
      <c r="E126">
        <v>104.33</v>
      </c>
      <c r="F126">
        <v>446</v>
      </c>
      <c r="G126" s="2">
        <f t="shared" si="54"/>
        <v>5.5428571428571196</v>
      </c>
      <c r="H126" s="2">
        <f t="shared" si="55"/>
        <v>4.8428571428571301</v>
      </c>
      <c r="I126" s="2">
        <f t="shared" si="56"/>
        <v>6.6142857142856997</v>
      </c>
      <c r="J126" s="2">
        <f t="shared" si="57"/>
        <v>0</v>
      </c>
      <c r="K126" s="2">
        <f t="shared" si="58"/>
        <v>0.91428571428571204</v>
      </c>
      <c r="L126" s="2">
        <f t="shared" si="48"/>
        <v>0.91428571428571204</v>
      </c>
      <c r="M126">
        <v>0</v>
      </c>
      <c r="N126" s="2">
        <f t="shared" si="59"/>
        <v>110.44999999999959</v>
      </c>
      <c r="O126" s="2">
        <f t="shared" si="60"/>
        <v>57.085999999999885</v>
      </c>
      <c r="P126" s="2">
        <f t="shared" si="61"/>
        <v>52.463999999999693</v>
      </c>
      <c r="Q126" s="2">
        <f t="shared" si="62"/>
        <v>12.641599999999963</v>
      </c>
      <c r="R126">
        <v>1</v>
      </c>
      <c r="S126" s="2">
        <f t="shared" si="63"/>
        <v>3.4379999999999877</v>
      </c>
      <c r="T126" s="2">
        <f t="shared" si="49"/>
        <v>80.795999994360002</v>
      </c>
      <c r="U126" s="2">
        <f t="shared" si="50"/>
        <v>31.453999999495959</v>
      </c>
      <c r="V126" s="1">
        <f t="shared" si="51"/>
        <v>6.9698456814841379</v>
      </c>
      <c r="W126" s="1">
        <f t="shared" si="52"/>
        <v>4.5257931563308471</v>
      </c>
      <c r="X126" s="1">
        <f t="shared" si="53"/>
        <v>1.3601456915508054</v>
      </c>
      <c r="Z126">
        <v>0.18476190476190399</v>
      </c>
      <c r="AA126">
        <v>0.161428571428571</v>
      </c>
      <c r="AB126">
        <v>0.22047619047618999</v>
      </c>
      <c r="AC126">
        <v>0</v>
      </c>
      <c r="AD126">
        <v>3.04761904761904E-2</v>
      </c>
      <c r="AE126">
        <v>0</v>
      </c>
      <c r="AF126">
        <v>0.247645739910313</v>
      </c>
      <c r="AG126">
        <v>0.12799551569506701</v>
      </c>
      <c r="AH126">
        <v>0.11763228699551501</v>
      </c>
      <c r="AI126">
        <v>2.8344394618834E-2</v>
      </c>
      <c r="AJ126">
        <v>2.2421524663677E-3</v>
      </c>
      <c r="AK126">
        <v>7.7085201793721699E-3</v>
      </c>
      <c r="AL126">
        <v>18.115695066000001</v>
      </c>
      <c r="AM126">
        <v>7.0524663675999903</v>
      </c>
    </row>
    <row r="127" spans="1:39" x14ac:dyDescent="0.4">
      <c r="A127" s="3" t="s">
        <v>53</v>
      </c>
      <c r="B127" t="s">
        <v>50</v>
      </c>
      <c r="C127">
        <v>22</v>
      </c>
      <c r="D127">
        <v>28</v>
      </c>
      <c r="E127">
        <v>128.66999999999999</v>
      </c>
      <c r="F127">
        <v>547</v>
      </c>
      <c r="G127" s="2">
        <v>6</v>
      </c>
      <c r="H127" s="2">
        <v>7</v>
      </c>
      <c r="I127" s="2">
        <v>7</v>
      </c>
      <c r="J127" s="2">
        <v>0</v>
      </c>
      <c r="K127" s="2">
        <v>0</v>
      </c>
      <c r="L127" s="2">
        <f t="shared" si="48"/>
        <v>0</v>
      </c>
      <c r="M127" s="2">
        <v>0</v>
      </c>
      <c r="N127" s="2">
        <v>134</v>
      </c>
      <c r="O127" s="2">
        <v>71</v>
      </c>
      <c r="P127" s="2">
        <v>65</v>
      </c>
      <c r="Q127" s="2">
        <v>22</v>
      </c>
      <c r="R127" s="2">
        <v>1</v>
      </c>
      <c r="S127" s="2">
        <v>6</v>
      </c>
      <c r="T127" s="2">
        <f t="shared" si="49"/>
        <v>94.631000000000014</v>
      </c>
      <c r="U127" s="2">
        <f t="shared" si="50"/>
        <v>30.085000000000001</v>
      </c>
      <c r="V127" s="1">
        <f t="shared" si="51"/>
        <v>6.6190953602238309</v>
      </c>
      <c r="W127" s="1">
        <f t="shared" si="52"/>
        <v>4.5465143390067615</v>
      </c>
      <c r="X127" s="1">
        <f t="shared" si="53"/>
        <v>1.2752389834460249</v>
      </c>
      <c r="AL127">
        <v>17.3</v>
      </c>
      <c r="AM127">
        <v>5.5</v>
      </c>
    </row>
    <row r="128" spans="1:39" x14ac:dyDescent="0.4">
      <c r="A128" t="s">
        <v>61</v>
      </c>
      <c r="B128" t="s">
        <v>56</v>
      </c>
      <c r="C128">
        <v>26</v>
      </c>
      <c r="D128">
        <v>32</v>
      </c>
      <c r="E128">
        <v>142</v>
      </c>
      <c r="F128">
        <v>610</v>
      </c>
      <c r="G128" s="2">
        <f t="shared" ref="G128:K129" si="64">$D128*Z128</f>
        <v>6.1</v>
      </c>
      <c r="H128" s="2">
        <f t="shared" si="64"/>
        <v>7.2799999999999683</v>
      </c>
      <c r="I128" s="2">
        <f t="shared" si="64"/>
        <v>9.18</v>
      </c>
      <c r="J128" s="2">
        <f t="shared" si="64"/>
        <v>0</v>
      </c>
      <c r="K128" s="2">
        <f t="shared" si="64"/>
        <v>0.24</v>
      </c>
      <c r="L128" s="2">
        <f t="shared" si="48"/>
        <v>0.24</v>
      </c>
      <c r="M128">
        <v>0</v>
      </c>
      <c r="N128" s="2">
        <f t="shared" ref="N128:Q129" si="65">$F128*AF128</f>
        <v>145.14144144144103</v>
      </c>
      <c r="O128" s="2">
        <f t="shared" si="65"/>
        <v>78.238138138137671</v>
      </c>
      <c r="P128" s="2">
        <f t="shared" si="65"/>
        <v>71.95015015014998</v>
      </c>
      <c r="Q128" s="2">
        <f t="shared" si="65"/>
        <v>18.822822822822754</v>
      </c>
      <c r="R128">
        <v>1</v>
      </c>
      <c r="S128" s="2">
        <f>$F128*AK128</f>
        <v>6.1234234234233638</v>
      </c>
      <c r="T128" s="2">
        <f t="shared" si="49"/>
        <v>119.00720720299999</v>
      </c>
      <c r="U128" s="2">
        <f t="shared" si="50"/>
        <v>49.062762762470001</v>
      </c>
      <c r="V128" s="1">
        <f t="shared" si="51"/>
        <v>7.5427103156830979</v>
      </c>
      <c r="W128" s="1">
        <f t="shared" si="52"/>
        <v>4.5602207841644349</v>
      </c>
      <c r="X128" s="1">
        <f t="shared" si="53"/>
        <v>1.3676352408726129</v>
      </c>
      <c r="Z128">
        <v>0.19062499999999999</v>
      </c>
      <c r="AA128">
        <v>0.22749999999999901</v>
      </c>
      <c r="AB128">
        <v>0.28687499999999999</v>
      </c>
      <c r="AC128">
        <v>0</v>
      </c>
      <c r="AD128">
        <v>7.4999999999999997E-3</v>
      </c>
      <c r="AE128">
        <v>0</v>
      </c>
      <c r="AF128">
        <v>0.237936789248264</v>
      </c>
      <c r="AG128">
        <v>0.12825924284940601</v>
      </c>
      <c r="AH128">
        <v>0.117951065819918</v>
      </c>
      <c r="AI128">
        <v>3.0857086594791399E-2</v>
      </c>
      <c r="AJ128">
        <v>1.639344262295E-3</v>
      </c>
      <c r="AK128">
        <v>1.00383990547924E-2</v>
      </c>
      <c r="AL128">
        <v>19.509378229999999</v>
      </c>
      <c r="AM128">
        <v>8.0430758627000003</v>
      </c>
    </row>
    <row r="129" spans="1:39" x14ac:dyDescent="0.4">
      <c r="A129" s="3" t="s">
        <v>74</v>
      </c>
      <c r="B129" t="s">
        <v>69</v>
      </c>
      <c r="C129">
        <v>18</v>
      </c>
      <c r="D129">
        <v>31</v>
      </c>
      <c r="E129">
        <v>110</v>
      </c>
      <c r="F129">
        <v>471</v>
      </c>
      <c r="G129" s="2">
        <f t="shared" si="64"/>
        <v>4.8642857142857032</v>
      </c>
      <c r="H129" s="2">
        <f t="shared" si="64"/>
        <v>5.0857142857142703</v>
      </c>
      <c r="I129" s="2">
        <f t="shared" si="64"/>
        <v>6.192857142857136</v>
      </c>
      <c r="J129" s="2">
        <f t="shared" si="64"/>
        <v>0</v>
      </c>
      <c r="K129" s="2">
        <f t="shared" si="64"/>
        <v>0.92142857142856938</v>
      </c>
      <c r="L129" s="2">
        <f t="shared" si="48"/>
        <v>0.92142857142856938</v>
      </c>
      <c r="M129">
        <v>0</v>
      </c>
      <c r="N129" s="2">
        <f t="shared" si="65"/>
        <v>112.32631578947327</v>
      </c>
      <c r="O129" s="2">
        <f t="shared" si="65"/>
        <v>61.101315789473503</v>
      </c>
      <c r="P129" s="2">
        <f t="shared" si="65"/>
        <v>55.882894736841664</v>
      </c>
      <c r="Q129" s="2">
        <f t="shared" si="65"/>
        <v>15.03552631578942</v>
      </c>
      <c r="R129">
        <v>1</v>
      </c>
      <c r="S129" s="2">
        <f>$F129*AK129</f>
        <v>4.393609022556376</v>
      </c>
      <c r="T129" s="2">
        <f t="shared" si="49"/>
        <v>86.175000009659513</v>
      </c>
      <c r="U129" s="2">
        <f t="shared" si="50"/>
        <v>38.068421053649956</v>
      </c>
      <c r="V129" s="1">
        <f t="shared" si="51"/>
        <v>7.0506818189721425</v>
      </c>
      <c r="W129" s="1">
        <f t="shared" si="52"/>
        <v>4.5722368421052266</v>
      </c>
      <c r="X129" s="1">
        <f t="shared" si="53"/>
        <v>1.3672248803920293</v>
      </c>
      <c r="Z129">
        <v>0.156912442396313</v>
      </c>
      <c r="AA129">
        <v>0.16405529953917</v>
      </c>
      <c r="AB129">
        <v>0.19976958525345601</v>
      </c>
      <c r="AC129">
        <v>0</v>
      </c>
      <c r="AD129">
        <v>2.9723502304147401E-2</v>
      </c>
      <c r="AE129">
        <v>0</v>
      </c>
      <c r="AF129">
        <v>0.23848474689909399</v>
      </c>
      <c r="AG129">
        <v>0.129726785115655</v>
      </c>
      <c r="AH129">
        <v>0.118647334897753</v>
      </c>
      <c r="AI129">
        <v>3.1922561180020001E-2</v>
      </c>
      <c r="AJ129">
        <v>2.1231422505307001E-3</v>
      </c>
      <c r="AK129">
        <v>9.3282569481027092E-3</v>
      </c>
      <c r="AL129">
        <v>18.296178345999898</v>
      </c>
      <c r="AM129">
        <v>8.0824673149999899</v>
      </c>
    </row>
  </sheetData>
  <sortState xmlns:xlrd2="http://schemas.microsoft.com/office/spreadsheetml/2017/richdata2" ref="A2:AM129">
    <sortCondition ref="W2:W12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2025_Fantasy_Starters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張書綸</cp:lastModifiedBy>
  <dcterms:created xsi:type="dcterms:W3CDTF">2025-02-09T15:05:47Z</dcterms:created>
  <dcterms:modified xsi:type="dcterms:W3CDTF">2025-02-10T12:53:27Z</dcterms:modified>
</cp:coreProperties>
</file>