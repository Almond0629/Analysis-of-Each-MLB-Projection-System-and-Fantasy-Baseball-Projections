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mon\Desktop\Baseball\Projection_model\Relievers\Fantasy\"/>
    </mc:Choice>
  </mc:AlternateContent>
  <xr:revisionPtr revIDLastSave="0" documentId="8_{5CEC1542-06D3-41A4-850D-CF629A32D165}" xr6:coauthVersionLast="47" xr6:coauthVersionMax="47" xr10:uidLastSave="{00000000-0000-0000-0000-000000000000}"/>
  <bookViews>
    <workbookView xWindow="343" yWindow="343" windowWidth="2366" windowHeight="548" xr2:uid="{464FB150-43E1-47F4-BEE5-67B0ED08815E}"/>
  </bookViews>
  <sheets>
    <sheet name="2025_Fantasy_Relievers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8" i="1" l="1"/>
  <c r="U52" i="1"/>
  <c r="U55" i="1"/>
  <c r="U70" i="1"/>
  <c r="U73" i="1"/>
  <c r="U47" i="1"/>
  <c r="U54" i="1"/>
  <c r="U80" i="1"/>
  <c r="U82" i="1"/>
  <c r="U10" i="1"/>
  <c r="U3" i="1"/>
  <c r="U66" i="1"/>
  <c r="U58" i="1"/>
  <c r="U43" i="1"/>
  <c r="U51" i="1"/>
  <c r="U14" i="1"/>
  <c r="U61" i="1"/>
  <c r="U75" i="1"/>
  <c r="U56" i="1"/>
  <c r="U79" i="1"/>
  <c r="U62" i="1"/>
  <c r="U40" i="1"/>
  <c r="U57" i="1"/>
  <c r="U36" i="1"/>
  <c r="U41" i="1"/>
  <c r="U9" i="1"/>
  <c r="U60" i="1"/>
  <c r="U69" i="1"/>
  <c r="U48" i="1"/>
  <c r="U17" i="1"/>
  <c r="U15" i="1"/>
  <c r="U53" i="1"/>
  <c r="U4" i="1"/>
  <c r="U67" i="1"/>
  <c r="U29" i="1"/>
  <c r="U18" i="1"/>
  <c r="U72" i="1"/>
  <c r="U63" i="1"/>
  <c r="U83" i="1"/>
  <c r="U30" i="1"/>
  <c r="K20" i="1"/>
  <c r="K7" i="1"/>
  <c r="K39" i="1"/>
  <c r="K70" i="1"/>
  <c r="K73" i="1"/>
  <c r="K82" i="1"/>
  <c r="K10" i="1"/>
  <c r="K3" i="1"/>
  <c r="K85" i="1"/>
  <c r="K32" i="1"/>
  <c r="K57" i="1"/>
  <c r="K21" i="1"/>
  <c r="K17" i="1"/>
  <c r="K29" i="1"/>
  <c r="K18" i="1"/>
  <c r="K72" i="1"/>
  <c r="K74" i="1"/>
  <c r="K71" i="1"/>
  <c r="K81" i="1"/>
  <c r="V45" i="1"/>
  <c r="V16" i="1"/>
  <c r="V34" i="1"/>
  <c r="V37" i="1"/>
  <c r="T20" i="1"/>
  <c r="T45" i="1"/>
  <c r="T2" i="1"/>
  <c r="T49" i="1"/>
  <c r="T44" i="1"/>
  <c r="W44" i="1" s="1"/>
  <c r="T35" i="1"/>
  <c r="T64" i="1"/>
  <c r="T25" i="1"/>
  <c r="T68" i="1"/>
  <c r="W68" i="1" s="1"/>
  <c r="T7" i="1"/>
  <c r="W7" i="1" s="1"/>
  <c r="T39" i="1"/>
  <c r="T28" i="1"/>
  <c r="T52" i="1"/>
  <c r="W52" i="1" s="1"/>
  <c r="T55" i="1"/>
  <c r="W55" i="1" s="1"/>
  <c r="T70" i="1"/>
  <c r="W70" i="1" s="1"/>
  <c r="T73" i="1"/>
  <c r="T47" i="1"/>
  <c r="W47" i="1" s="1"/>
  <c r="T54" i="1"/>
  <c r="W54" i="1" s="1"/>
  <c r="T80" i="1"/>
  <c r="W80" i="1" s="1"/>
  <c r="T82" i="1"/>
  <c r="W82" i="1" s="1"/>
  <c r="T10" i="1"/>
  <c r="W10" i="1" s="1"/>
  <c r="T3" i="1"/>
  <c r="W3" i="1" s="1"/>
  <c r="T66" i="1"/>
  <c r="T58" i="1"/>
  <c r="T85" i="1"/>
  <c r="T65" i="1"/>
  <c r="T38" i="1"/>
  <c r="T33" i="1"/>
  <c r="T19" i="1"/>
  <c r="W19" i="1" s="1"/>
  <c r="T16" i="1"/>
  <c r="T78" i="1"/>
  <c r="T50" i="1"/>
  <c r="T23" i="1"/>
  <c r="W23" i="1" s="1"/>
  <c r="T32" i="1"/>
  <c r="W32" i="1" s="1"/>
  <c r="T27" i="1"/>
  <c r="T43" i="1"/>
  <c r="T51" i="1"/>
  <c r="W51" i="1" s="1"/>
  <c r="T14" i="1"/>
  <c r="W14" i="1" s="1"/>
  <c r="T61" i="1"/>
  <c r="W61" i="1" s="1"/>
  <c r="T75" i="1"/>
  <c r="T56" i="1"/>
  <c r="W56" i="1" s="1"/>
  <c r="T79" i="1"/>
  <c r="W79" i="1" s="1"/>
  <c r="T62" i="1"/>
  <c r="W62" i="1" s="1"/>
  <c r="T40" i="1"/>
  <c r="W40" i="1" s="1"/>
  <c r="T57" i="1"/>
  <c r="W57" i="1" s="1"/>
  <c r="T36" i="1"/>
  <c r="W36" i="1" s="1"/>
  <c r="T41" i="1"/>
  <c r="T9" i="1"/>
  <c r="T5" i="1"/>
  <c r="T34" i="1"/>
  <c r="T6" i="1"/>
  <c r="T59" i="1"/>
  <c r="T8" i="1"/>
  <c r="W8" i="1" s="1"/>
  <c r="T37" i="1"/>
  <c r="T42" i="1"/>
  <c r="T76" i="1"/>
  <c r="T26" i="1"/>
  <c r="W26" i="1" s="1"/>
  <c r="T21" i="1"/>
  <c r="W21" i="1" s="1"/>
  <c r="T12" i="1"/>
  <c r="T60" i="1"/>
  <c r="T69" i="1"/>
  <c r="W69" i="1" s="1"/>
  <c r="T48" i="1"/>
  <c r="W48" i="1" s="1"/>
  <c r="T17" i="1"/>
  <c r="W17" i="1" s="1"/>
  <c r="T15" i="1"/>
  <c r="T53" i="1"/>
  <c r="W53" i="1" s="1"/>
  <c r="T4" i="1"/>
  <c r="W4" i="1" s="1"/>
  <c r="T67" i="1"/>
  <c r="W67" i="1" s="1"/>
  <c r="T29" i="1"/>
  <c r="W29" i="1" s="1"/>
  <c r="T18" i="1"/>
  <c r="W18" i="1" s="1"/>
  <c r="T72" i="1"/>
  <c r="W72" i="1" s="1"/>
  <c r="T63" i="1"/>
  <c r="T83" i="1"/>
  <c r="T74" i="1"/>
  <c r="T11" i="1"/>
  <c r="T46" i="1"/>
  <c r="T22" i="1"/>
  <c r="T24" i="1"/>
  <c r="W24" i="1" s="1"/>
  <c r="T77" i="1"/>
  <c r="T13" i="1"/>
  <c r="T84" i="1"/>
  <c r="T31" i="1"/>
  <c r="W31" i="1" s="1"/>
  <c r="T71" i="1"/>
  <c r="W71" i="1" s="1"/>
  <c r="T81" i="1"/>
  <c r="T30" i="1"/>
  <c r="W30" i="1" s="1"/>
  <c r="S20" i="1"/>
  <c r="U20" i="1" s="1"/>
  <c r="S45" i="1"/>
  <c r="U45" i="1" s="1"/>
  <c r="S2" i="1"/>
  <c r="U2" i="1" s="1"/>
  <c r="S49" i="1"/>
  <c r="U49" i="1" s="1"/>
  <c r="S44" i="1"/>
  <c r="U44" i="1" s="1"/>
  <c r="S35" i="1"/>
  <c r="U35" i="1" s="1"/>
  <c r="S64" i="1"/>
  <c r="U64" i="1" s="1"/>
  <c r="S25" i="1"/>
  <c r="U25" i="1" s="1"/>
  <c r="S68" i="1"/>
  <c r="U68" i="1" s="1"/>
  <c r="S7" i="1"/>
  <c r="U7" i="1" s="1"/>
  <c r="S39" i="1"/>
  <c r="U39" i="1" s="1"/>
  <c r="S28" i="1"/>
  <c r="S52" i="1"/>
  <c r="S55" i="1"/>
  <c r="S70" i="1"/>
  <c r="S73" i="1"/>
  <c r="S47" i="1"/>
  <c r="S54" i="1"/>
  <c r="S80" i="1"/>
  <c r="S82" i="1"/>
  <c r="S10" i="1"/>
  <c r="S3" i="1"/>
  <c r="S66" i="1"/>
  <c r="S58" i="1"/>
  <c r="S85" i="1"/>
  <c r="U85" i="1" s="1"/>
  <c r="S65" i="1"/>
  <c r="U65" i="1" s="1"/>
  <c r="S38" i="1"/>
  <c r="U38" i="1" s="1"/>
  <c r="S33" i="1"/>
  <c r="U33" i="1" s="1"/>
  <c r="S19" i="1"/>
  <c r="U19" i="1" s="1"/>
  <c r="S16" i="1"/>
  <c r="U16" i="1" s="1"/>
  <c r="S78" i="1"/>
  <c r="U78" i="1" s="1"/>
  <c r="S50" i="1"/>
  <c r="U50" i="1" s="1"/>
  <c r="S23" i="1"/>
  <c r="U23" i="1" s="1"/>
  <c r="S32" i="1"/>
  <c r="U32" i="1" s="1"/>
  <c r="S27" i="1"/>
  <c r="U27" i="1" s="1"/>
  <c r="S43" i="1"/>
  <c r="S51" i="1"/>
  <c r="S14" i="1"/>
  <c r="S61" i="1"/>
  <c r="S75" i="1"/>
  <c r="S56" i="1"/>
  <c r="S79" i="1"/>
  <c r="S62" i="1"/>
  <c r="S40" i="1"/>
  <c r="S57" i="1"/>
  <c r="S36" i="1"/>
  <c r="S41" i="1"/>
  <c r="S9" i="1"/>
  <c r="S5" i="1"/>
  <c r="U5" i="1" s="1"/>
  <c r="S34" i="1"/>
  <c r="U34" i="1" s="1"/>
  <c r="S6" i="1"/>
  <c r="U6" i="1" s="1"/>
  <c r="S59" i="1"/>
  <c r="U59" i="1" s="1"/>
  <c r="S8" i="1"/>
  <c r="U8" i="1" s="1"/>
  <c r="S37" i="1"/>
  <c r="U37" i="1" s="1"/>
  <c r="S42" i="1"/>
  <c r="U42" i="1" s="1"/>
  <c r="S76" i="1"/>
  <c r="U76" i="1" s="1"/>
  <c r="S26" i="1"/>
  <c r="U26" i="1" s="1"/>
  <c r="S21" i="1"/>
  <c r="U21" i="1" s="1"/>
  <c r="S12" i="1"/>
  <c r="U12" i="1" s="1"/>
  <c r="S60" i="1"/>
  <c r="S69" i="1"/>
  <c r="S48" i="1"/>
  <c r="S17" i="1"/>
  <c r="S15" i="1"/>
  <c r="S53" i="1"/>
  <c r="S4" i="1"/>
  <c r="S67" i="1"/>
  <c r="S29" i="1"/>
  <c r="S18" i="1"/>
  <c r="S72" i="1"/>
  <c r="S63" i="1"/>
  <c r="S83" i="1"/>
  <c r="S74" i="1"/>
  <c r="U74" i="1" s="1"/>
  <c r="S11" i="1"/>
  <c r="U11" i="1" s="1"/>
  <c r="S46" i="1"/>
  <c r="U46" i="1" s="1"/>
  <c r="S22" i="1"/>
  <c r="U22" i="1" s="1"/>
  <c r="S24" i="1"/>
  <c r="U24" i="1" s="1"/>
  <c r="S77" i="1"/>
  <c r="U77" i="1" s="1"/>
  <c r="S13" i="1"/>
  <c r="U13" i="1" s="1"/>
  <c r="S84" i="1"/>
  <c r="U84" i="1" s="1"/>
  <c r="S31" i="1"/>
  <c r="U31" i="1" s="1"/>
  <c r="S71" i="1"/>
  <c r="U71" i="1" s="1"/>
  <c r="S81" i="1"/>
  <c r="U81" i="1" s="1"/>
  <c r="S30" i="1"/>
  <c r="M20" i="1"/>
  <c r="N20" i="1"/>
  <c r="O20" i="1"/>
  <c r="V20" i="1" s="1"/>
  <c r="P20" i="1"/>
  <c r="Q20" i="1"/>
  <c r="R20" i="1"/>
  <c r="M45" i="1"/>
  <c r="N45" i="1"/>
  <c r="O45" i="1"/>
  <c r="P45" i="1"/>
  <c r="Q45" i="1"/>
  <c r="R45" i="1"/>
  <c r="M2" i="1"/>
  <c r="N2" i="1"/>
  <c r="O2" i="1"/>
  <c r="V2" i="1" s="1"/>
  <c r="P2" i="1"/>
  <c r="Q2" i="1"/>
  <c r="R2" i="1"/>
  <c r="M49" i="1"/>
  <c r="N49" i="1"/>
  <c r="O49" i="1"/>
  <c r="V49" i="1" s="1"/>
  <c r="P49" i="1"/>
  <c r="Q49" i="1"/>
  <c r="R49" i="1"/>
  <c r="M44" i="1"/>
  <c r="N44" i="1"/>
  <c r="O44" i="1"/>
  <c r="V44" i="1" s="1"/>
  <c r="P44" i="1"/>
  <c r="Q44" i="1"/>
  <c r="R44" i="1"/>
  <c r="M35" i="1"/>
  <c r="N35" i="1"/>
  <c r="O35" i="1"/>
  <c r="V35" i="1" s="1"/>
  <c r="P35" i="1"/>
  <c r="Q35" i="1"/>
  <c r="R35" i="1"/>
  <c r="M64" i="1"/>
  <c r="N64" i="1"/>
  <c r="O64" i="1"/>
  <c r="V64" i="1" s="1"/>
  <c r="P64" i="1"/>
  <c r="Q64" i="1"/>
  <c r="R64" i="1"/>
  <c r="M25" i="1"/>
  <c r="N25" i="1"/>
  <c r="O25" i="1"/>
  <c r="V25" i="1" s="1"/>
  <c r="P25" i="1"/>
  <c r="Q25" i="1"/>
  <c r="R25" i="1"/>
  <c r="M68" i="1"/>
  <c r="N68" i="1"/>
  <c r="O68" i="1"/>
  <c r="V68" i="1" s="1"/>
  <c r="P68" i="1"/>
  <c r="Q68" i="1"/>
  <c r="R68" i="1"/>
  <c r="M7" i="1"/>
  <c r="N7" i="1"/>
  <c r="O7" i="1"/>
  <c r="V7" i="1" s="1"/>
  <c r="P7" i="1"/>
  <c r="Q7" i="1"/>
  <c r="R7" i="1"/>
  <c r="M39" i="1"/>
  <c r="N39" i="1"/>
  <c r="O39" i="1"/>
  <c r="V39" i="1" s="1"/>
  <c r="P39" i="1"/>
  <c r="Q39" i="1"/>
  <c r="R39" i="1"/>
  <c r="M28" i="1"/>
  <c r="N28" i="1"/>
  <c r="O28" i="1"/>
  <c r="V28" i="1" s="1"/>
  <c r="P28" i="1"/>
  <c r="Q28" i="1"/>
  <c r="R28" i="1"/>
  <c r="M52" i="1"/>
  <c r="N52" i="1"/>
  <c r="O52" i="1"/>
  <c r="V52" i="1" s="1"/>
  <c r="P52" i="1"/>
  <c r="Q52" i="1"/>
  <c r="R52" i="1"/>
  <c r="M55" i="1"/>
  <c r="N55" i="1"/>
  <c r="O55" i="1"/>
  <c r="V55" i="1" s="1"/>
  <c r="P55" i="1"/>
  <c r="Q55" i="1"/>
  <c r="R55" i="1"/>
  <c r="M70" i="1"/>
  <c r="N70" i="1"/>
  <c r="O70" i="1"/>
  <c r="V70" i="1" s="1"/>
  <c r="P70" i="1"/>
  <c r="Q70" i="1"/>
  <c r="R70" i="1"/>
  <c r="M73" i="1"/>
  <c r="N73" i="1"/>
  <c r="O73" i="1"/>
  <c r="V73" i="1" s="1"/>
  <c r="P73" i="1"/>
  <c r="Q73" i="1"/>
  <c r="R73" i="1"/>
  <c r="M47" i="1"/>
  <c r="N47" i="1"/>
  <c r="O47" i="1"/>
  <c r="V47" i="1" s="1"/>
  <c r="P47" i="1"/>
  <c r="Q47" i="1"/>
  <c r="R47" i="1"/>
  <c r="M54" i="1"/>
  <c r="N54" i="1"/>
  <c r="O54" i="1"/>
  <c r="V54" i="1" s="1"/>
  <c r="P54" i="1"/>
  <c r="Q54" i="1"/>
  <c r="R54" i="1"/>
  <c r="M80" i="1"/>
  <c r="N80" i="1"/>
  <c r="O80" i="1"/>
  <c r="V80" i="1" s="1"/>
  <c r="P80" i="1"/>
  <c r="Q80" i="1"/>
  <c r="R80" i="1"/>
  <c r="M82" i="1"/>
  <c r="N82" i="1"/>
  <c r="O82" i="1"/>
  <c r="V82" i="1" s="1"/>
  <c r="P82" i="1"/>
  <c r="Q82" i="1"/>
  <c r="R82" i="1"/>
  <c r="M10" i="1"/>
  <c r="N10" i="1"/>
  <c r="O10" i="1"/>
  <c r="V10" i="1" s="1"/>
  <c r="P10" i="1"/>
  <c r="Q10" i="1"/>
  <c r="R10" i="1"/>
  <c r="M3" i="1"/>
  <c r="N3" i="1"/>
  <c r="O3" i="1"/>
  <c r="V3" i="1" s="1"/>
  <c r="P3" i="1"/>
  <c r="Q3" i="1"/>
  <c r="R3" i="1"/>
  <c r="M66" i="1"/>
  <c r="N66" i="1"/>
  <c r="O66" i="1"/>
  <c r="V66" i="1" s="1"/>
  <c r="P66" i="1"/>
  <c r="Q66" i="1"/>
  <c r="R66" i="1"/>
  <c r="M58" i="1"/>
  <c r="N58" i="1"/>
  <c r="O58" i="1"/>
  <c r="V58" i="1" s="1"/>
  <c r="P58" i="1"/>
  <c r="Q58" i="1"/>
  <c r="R58" i="1"/>
  <c r="M85" i="1"/>
  <c r="N85" i="1"/>
  <c r="O85" i="1"/>
  <c r="V85" i="1" s="1"/>
  <c r="P85" i="1"/>
  <c r="Q85" i="1"/>
  <c r="R85" i="1"/>
  <c r="M65" i="1"/>
  <c r="N65" i="1"/>
  <c r="O65" i="1"/>
  <c r="V65" i="1" s="1"/>
  <c r="P65" i="1"/>
  <c r="Q65" i="1"/>
  <c r="R65" i="1"/>
  <c r="M38" i="1"/>
  <c r="N38" i="1"/>
  <c r="O38" i="1"/>
  <c r="V38" i="1" s="1"/>
  <c r="P38" i="1"/>
  <c r="Q38" i="1"/>
  <c r="R38" i="1"/>
  <c r="M33" i="1"/>
  <c r="N33" i="1"/>
  <c r="O33" i="1"/>
  <c r="V33" i="1" s="1"/>
  <c r="P33" i="1"/>
  <c r="Q33" i="1"/>
  <c r="R33" i="1"/>
  <c r="M19" i="1"/>
  <c r="N19" i="1"/>
  <c r="O19" i="1"/>
  <c r="V19" i="1" s="1"/>
  <c r="P19" i="1"/>
  <c r="Q19" i="1"/>
  <c r="R19" i="1"/>
  <c r="M16" i="1"/>
  <c r="N16" i="1"/>
  <c r="O16" i="1"/>
  <c r="P16" i="1"/>
  <c r="Q16" i="1"/>
  <c r="R16" i="1"/>
  <c r="M78" i="1"/>
  <c r="N78" i="1"/>
  <c r="O78" i="1"/>
  <c r="V78" i="1" s="1"/>
  <c r="P78" i="1"/>
  <c r="Q78" i="1"/>
  <c r="R78" i="1"/>
  <c r="M50" i="1"/>
  <c r="N50" i="1"/>
  <c r="O50" i="1"/>
  <c r="V50" i="1" s="1"/>
  <c r="P50" i="1"/>
  <c r="Q50" i="1"/>
  <c r="R50" i="1"/>
  <c r="M23" i="1"/>
  <c r="N23" i="1"/>
  <c r="O23" i="1"/>
  <c r="V23" i="1" s="1"/>
  <c r="P23" i="1"/>
  <c r="Q23" i="1"/>
  <c r="R23" i="1"/>
  <c r="M32" i="1"/>
  <c r="N32" i="1"/>
  <c r="O32" i="1"/>
  <c r="V32" i="1" s="1"/>
  <c r="P32" i="1"/>
  <c r="Q32" i="1"/>
  <c r="R32" i="1"/>
  <c r="M27" i="1"/>
  <c r="N27" i="1"/>
  <c r="O27" i="1"/>
  <c r="V27" i="1" s="1"/>
  <c r="P27" i="1"/>
  <c r="Q27" i="1"/>
  <c r="R27" i="1"/>
  <c r="M43" i="1"/>
  <c r="N43" i="1"/>
  <c r="O43" i="1"/>
  <c r="V43" i="1" s="1"/>
  <c r="P43" i="1"/>
  <c r="Q43" i="1"/>
  <c r="R43" i="1"/>
  <c r="M51" i="1"/>
  <c r="N51" i="1"/>
  <c r="O51" i="1"/>
  <c r="V51" i="1" s="1"/>
  <c r="P51" i="1"/>
  <c r="Q51" i="1"/>
  <c r="R51" i="1"/>
  <c r="M14" i="1"/>
  <c r="N14" i="1"/>
  <c r="O14" i="1"/>
  <c r="V14" i="1" s="1"/>
  <c r="P14" i="1"/>
  <c r="Q14" i="1"/>
  <c r="R14" i="1"/>
  <c r="M61" i="1"/>
  <c r="N61" i="1"/>
  <c r="O61" i="1"/>
  <c r="V61" i="1" s="1"/>
  <c r="P61" i="1"/>
  <c r="Q61" i="1"/>
  <c r="R61" i="1"/>
  <c r="M75" i="1"/>
  <c r="N75" i="1"/>
  <c r="O75" i="1"/>
  <c r="V75" i="1" s="1"/>
  <c r="P75" i="1"/>
  <c r="Q75" i="1"/>
  <c r="R75" i="1"/>
  <c r="M56" i="1"/>
  <c r="N56" i="1"/>
  <c r="O56" i="1"/>
  <c r="V56" i="1" s="1"/>
  <c r="P56" i="1"/>
  <c r="Q56" i="1"/>
  <c r="R56" i="1"/>
  <c r="M79" i="1"/>
  <c r="N79" i="1"/>
  <c r="O79" i="1"/>
  <c r="V79" i="1" s="1"/>
  <c r="P79" i="1"/>
  <c r="Q79" i="1"/>
  <c r="R79" i="1"/>
  <c r="M62" i="1"/>
  <c r="N62" i="1"/>
  <c r="O62" i="1"/>
  <c r="V62" i="1" s="1"/>
  <c r="P62" i="1"/>
  <c r="Q62" i="1"/>
  <c r="R62" i="1"/>
  <c r="M40" i="1"/>
  <c r="N40" i="1"/>
  <c r="O40" i="1"/>
  <c r="V40" i="1" s="1"/>
  <c r="P40" i="1"/>
  <c r="Q40" i="1"/>
  <c r="R40" i="1"/>
  <c r="M57" i="1"/>
  <c r="N57" i="1"/>
  <c r="O57" i="1"/>
  <c r="V57" i="1" s="1"/>
  <c r="P57" i="1"/>
  <c r="Q57" i="1"/>
  <c r="R57" i="1"/>
  <c r="M36" i="1"/>
  <c r="N36" i="1"/>
  <c r="O36" i="1"/>
  <c r="V36" i="1" s="1"/>
  <c r="P36" i="1"/>
  <c r="Q36" i="1"/>
  <c r="R36" i="1"/>
  <c r="M41" i="1"/>
  <c r="N41" i="1"/>
  <c r="O41" i="1"/>
  <c r="V41" i="1" s="1"/>
  <c r="P41" i="1"/>
  <c r="Q41" i="1"/>
  <c r="R41" i="1"/>
  <c r="M9" i="1"/>
  <c r="N9" i="1"/>
  <c r="O9" i="1"/>
  <c r="V9" i="1" s="1"/>
  <c r="P9" i="1"/>
  <c r="Q9" i="1"/>
  <c r="R9" i="1"/>
  <c r="M5" i="1"/>
  <c r="N5" i="1"/>
  <c r="O5" i="1"/>
  <c r="V5" i="1" s="1"/>
  <c r="P5" i="1"/>
  <c r="Q5" i="1"/>
  <c r="R5" i="1"/>
  <c r="M34" i="1"/>
  <c r="N34" i="1"/>
  <c r="O34" i="1"/>
  <c r="P34" i="1"/>
  <c r="Q34" i="1"/>
  <c r="R34" i="1"/>
  <c r="M6" i="1"/>
  <c r="N6" i="1"/>
  <c r="O6" i="1"/>
  <c r="V6" i="1" s="1"/>
  <c r="P6" i="1"/>
  <c r="Q6" i="1"/>
  <c r="R6" i="1"/>
  <c r="M59" i="1"/>
  <c r="N59" i="1"/>
  <c r="O59" i="1"/>
  <c r="V59" i="1" s="1"/>
  <c r="P59" i="1"/>
  <c r="Q59" i="1"/>
  <c r="R59" i="1"/>
  <c r="M8" i="1"/>
  <c r="N8" i="1"/>
  <c r="O8" i="1"/>
  <c r="V8" i="1" s="1"/>
  <c r="P8" i="1"/>
  <c r="Q8" i="1"/>
  <c r="R8" i="1"/>
  <c r="M37" i="1"/>
  <c r="N37" i="1"/>
  <c r="O37" i="1"/>
  <c r="P37" i="1"/>
  <c r="Q37" i="1"/>
  <c r="R37" i="1"/>
  <c r="M42" i="1"/>
  <c r="N42" i="1"/>
  <c r="O42" i="1"/>
  <c r="V42" i="1" s="1"/>
  <c r="P42" i="1"/>
  <c r="Q42" i="1"/>
  <c r="R42" i="1"/>
  <c r="M76" i="1"/>
  <c r="N76" i="1"/>
  <c r="O76" i="1"/>
  <c r="V76" i="1" s="1"/>
  <c r="P76" i="1"/>
  <c r="Q76" i="1"/>
  <c r="R76" i="1"/>
  <c r="M26" i="1"/>
  <c r="N26" i="1"/>
  <c r="O26" i="1"/>
  <c r="V26" i="1" s="1"/>
  <c r="P26" i="1"/>
  <c r="Q26" i="1"/>
  <c r="R26" i="1"/>
  <c r="M21" i="1"/>
  <c r="N21" i="1"/>
  <c r="O21" i="1"/>
  <c r="V21" i="1" s="1"/>
  <c r="P21" i="1"/>
  <c r="Q21" i="1"/>
  <c r="R21" i="1"/>
  <c r="M12" i="1"/>
  <c r="N12" i="1"/>
  <c r="O12" i="1"/>
  <c r="V12" i="1" s="1"/>
  <c r="P12" i="1"/>
  <c r="Q12" i="1"/>
  <c r="R12" i="1"/>
  <c r="M60" i="1"/>
  <c r="N60" i="1"/>
  <c r="O60" i="1"/>
  <c r="V60" i="1" s="1"/>
  <c r="P60" i="1"/>
  <c r="Q60" i="1"/>
  <c r="R60" i="1"/>
  <c r="M69" i="1"/>
  <c r="N69" i="1"/>
  <c r="O69" i="1"/>
  <c r="V69" i="1" s="1"/>
  <c r="P69" i="1"/>
  <c r="Q69" i="1"/>
  <c r="R69" i="1"/>
  <c r="M48" i="1"/>
  <c r="N48" i="1"/>
  <c r="O48" i="1"/>
  <c r="V48" i="1" s="1"/>
  <c r="P48" i="1"/>
  <c r="Q48" i="1"/>
  <c r="R48" i="1"/>
  <c r="M17" i="1"/>
  <c r="N17" i="1"/>
  <c r="O17" i="1"/>
  <c r="V17" i="1" s="1"/>
  <c r="P17" i="1"/>
  <c r="Q17" i="1"/>
  <c r="R17" i="1"/>
  <c r="M15" i="1"/>
  <c r="N15" i="1"/>
  <c r="O15" i="1"/>
  <c r="V15" i="1" s="1"/>
  <c r="P15" i="1"/>
  <c r="Q15" i="1"/>
  <c r="R15" i="1"/>
  <c r="M53" i="1"/>
  <c r="N53" i="1"/>
  <c r="O53" i="1"/>
  <c r="V53" i="1" s="1"/>
  <c r="P53" i="1"/>
  <c r="Q53" i="1"/>
  <c r="R53" i="1"/>
  <c r="M4" i="1"/>
  <c r="N4" i="1"/>
  <c r="O4" i="1"/>
  <c r="V4" i="1" s="1"/>
  <c r="P4" i="1"/>
  <c r="Q4" i="1"/>
  <c r="R4" i="1"/>
  <c r="M67" i="1"/>
  <c r="N67" i="1"/>
  <c r="O67" i="1"/>
  <c r="V67" i="1" s="1"/>
  <c r="P67" i="1"/>
  <c r="Q67" i="1"/>
  <c r="R67" i="1"/>
  <c r="M29" i="1"/>
  <c r="N29" i="1"/>
  <c r="O29" i="1"/>
  <c r="V29" i="1" s="1"/>
  <c r="P29" i="1"/>
  <c r="Q29" i="1"/>
  <c r="R29" i="1"/>
  <c r="M18" i="1"/>
  <c r="N18" i="1"/>
  <c r="O18" i="1"/>
  <c r="V18" i="1" s="1"/>
  <c r="P18" i="1"/>
  <c r="Q18" i="1"/>
  <c r="R18" i="1"/>
  <c r="M72" i="1"/>
  <c r="N72" i="1"/>
  <c r="O72" i="1"/>
  <c r="V72" i="1" s="1"/>
  <c r="P72" i="1"/>
  <c r="Q72" i="1"/>
  <c r="R72" i="1"/>
  <c r="M63" i="1"/>
  <c r="N63" i="1"/>
  <c r="O63" i="1"/>
  <c r="V63" i="1" s="1"/>
  <c r="P63" i="1"/>
  <c r="Q63" i="1"/>
  <c r="R63" i="1"/>
  <c r="M83" i="1"/>
  <c r="N83" i="1"/>
  <c r="O83" i="1"/>
  <c r="V83" i="1" s="1"/>
  <c r="P83" i="1"/>
  <c r="Q83" i="1"/>
  <c r="R83" i="1"/>
  <c r="M74" i="1"/>
  <c r="N74" i="1"/>
  <c r="O74" i="1"/>
  <c r="V74" i="1" s="1"/>
  <c r="P74" i="1"/>
  <c r="Q74" i="1"/>
  <c r="R74" i="1"/>
  <c r="M11" i="1"/>
  <c r="N11" i="1"/>
  <c r="O11" i="1"/>
  <c r="V11" i="1" s="1"/>
  <c r="P11" i="1"/>
  <c r="Q11" i="1"/>
  <c r="R11" i="1"/>
  <c r="M46" i="1"/>
  <c r="N46" i="1"/>
  <c r="O46" i="1"/>
  <c r="V46" i="1" s="1"/>
  <c r="P46" i="1"/>
  <c r="Q46" i="1"/>
  <c r="R46" i="1"/>
  <c r="M22" i="1"/>
  <c r="N22" i="1"/>
  <c r="O22" i="1"/>
  <c r="V22" i="1" s="1"/>
  <c r="P22" i="1"/>
  <c r="Q22" i="1"/>
  <c r="R22" i="1"/>
  <c r="M24" i="1"/>
  <c r="N24" i="1"/>
  <c r="O24" i="1"/>
  <c r="V24" i="1" s="1"/>
  <c r="P24" i="1"/>
  <c r="Q24" i="1"/>
  <c r="R24" i="1"/>
  <c r="M77" i="1"/>
  <c r="N77" i="1"/>
  <c r="O77" i="1"/>
  <c r="V77" i="1" s="1"/>
  <c r="P77" i="1"/>
  <c r="Q77" i="1"/>
  <c r="R77" i="1"/>
  <c r="M13" i="1"/>
  <c r="N13" i="1"/>
  <c r="O13" i="1"/>
  <c r="V13" i="1" s="1"/>
  <c r="P13" i="1"/>
  <c r="Q13" i="1"/>
  <c r="R13" i="1"/>
  <c r="M84" i="1"/>
  <c r="N84" i="1"/>
  <c r="O84" i="1"/>
  <c r="V84" i="1" s="1"/>
  <c r="P84" i="1"/>
  <c r="Q84" i="1"/>
  <c r="R84" i="1"/>
  <c r="M31" i="1"/>
  <c r="N31" i="1"/>
  <c r="O31" i="1"/>
  <c r="V31" i="1" s="1"/>
  <c r="P31" i="1"/>
  <c r="Q31" i="1"/>
  <c r="R31" i="1"/>
  <c r="M71" i="1"/>
  <c r="N71" i="1"/>
  <c r="O71" i="1"/>
  <c r="V71" i="1" s="1"/>
  <c r="P71" i="1"/>
  <c r="Q71" i="1"/>
  <c r="R71" i="1"/>
  <c r="M81" i="1"/>
  <c r="N81" i="1"/>
  <c r="O81" i="1"/>
  <c r="V81" i="1" s="1"/>
  <c r="P81" i="1"/>
  <c r="Q81" i="1"/>
  <c r="R81" i="1"/>
  <c r="N30" i="1"/>
  <c r="O30" i="1"/>
  <c r="V30" i="1" s="1"/>
  <c r="P30" i="1"/>
  <c r="Q30" i="1"/>
  <c r="R30" i="1"/>
  <c r="M30" i="1"/>
  <c r="G20" i="1"/>
  <c r="H20" i="1"/>
  <c r="I20" i="1"/>
  <c r="J20" i="1"/>
  <c r="L20" i="1"/>
  <c r="G45" i="1"/>
  <c r="H45" i="1"/>
  <c r="I45" i="1"/>
  <c r="J45" i="1"/>
  <c r="L45" i="1"/>
  <c r="G2" i="1"/>
  <c r="H2" i="1"/>
  <c r="I2" i="1"/>
  <c r="J2" i="1"/>
  <c r="L2" i="1"/>
  <c r="G49" i="1"/>
  <c r="H49" i="1"/>
  <c r="I49" i="1"/>
  <c r="J49" i="1"/>
  <c r="L49" i="1"/>
  <c r="G44" i="1"/>
  <c r="H44" i="1"/>
  <c r="I44" i="1"/>
  <c r="K44" i="1" s="1"/>
  <c r="J44" i="1"/>
  <c r="L44" i="1"/>
  <c r="G35" i="1"/>
  <c r="H35" i="1"/>
  <c r="I35" i="1"/>
  <c r="J35" i="1"/>
  <c r="L35" i="1"/>
  <c r="G64" i="1"/>
  <c r="H64" i="1"/>
  <c r="I64" i="1"/>
  <c r="J64" i="1"/>
  <c r="L64" i="1"/>
  <c r="G25" i="1"/>
  <c r="H25" i="1"/>
  <c r="I25" i="1"/>
  <c r="J25" i="1"/>
  <c r="L25" i="1"/>
  <c r="G68" i="1"/>
  <c r="H68" i="1"/>
  <c r="I68" i="1"/>
  <c r="J68" i="1"/>
  <c r="L68" i="1"/>
  <c r="G7" i="1"/>
  <c r="H7" i="1"/>
  <c r="I7" i="1"/>
  <c r="J7" i="1"/>
  <c r="L7" i="1"/>
  <c r="G39" i="1"/>
  <c r="H39" i="1"/>
  <c r="I39" i="1"/>
  <c r="J39" i="1"/>
  <c r="L39" i="1"/>
  <c r="G28" i="1"/>
  <c r="H28" i="1"/>
  <c r="I28" i="1"/>
  <c r="J28" i="1"/>
  <c r="L28" i="1"/>
  <c r="G52" i="1"/>
  <c r="H52" i="1"/>
  <c r="I52" i="1"/>
  <c r="K52" i="1" s="1"/>
  <c r="J52" i="1"/>
  <c r="L52" i="1"/>
  <c r="G55" i="1"/>
  <c r="H55" i="1"/>
  <c r="I55" i="1"/>
  <c r="J55" i="1"/>
  <c r="L55" i="1"/>
  <c r="G70" i="1"/>
  <c r="H70" i="1"/>
  <c r="I70" i="1"/>
  <c r="J70" i="1"/>
  <c r="L70" i="1"/>
  <c r="G73" i="1"/>
  <c r="H73" i="1"/>
  <c r="I73" i="1"/>
  <c r="J73" i="1"/>
  <c r="L73" i="1"/>
  <c r="G47" i="1"/>
  <c r="H47" i="1"/>
  <c r="I47" i="1"/>
  <c r="J47" i="1"/>
  <c r="L47" i="1"/>
  <c r="G54" i="1"/>
  <c r="H54" i="1"/>
  <c r="I54" i="1"/>
  <c r="J54" i="1"/>
  <c r="L54" i="1"/>
  <c r="G80" i="1"/>
  <c r="H80" i="1"/>
  <c r="I80" i="1"/>
  <c r="J80" i="1"/>
  <c r="L80" i="1"/>
  <c r="G82" i="1"/>
  <c r="H82" i="1"/>
  <c r="I82" i="1"/>
  <c r="J82" i="1"/>
  <c r="L82" i="1"/>
  <c r="G10" i="1"/>
  <c r="H10" i="1"/>
  <c r="I10" i="1"/>
  <c r="J10" i="1"/>
  <c r="L10" i="1"/>
  <c r="G3" i="1"/>
  <c r="H3" i="1"/>
  <c r="I3" i="1"/>
  <c r="J3" i="1"/>
  <c r="L3" i="1"/>
  <c r="G66" i="1"/>
  <c r="H66" i="1"/>
  <c r="I66" i="1"/>
  <c r="J66" i="1"/>
  <c r="K66" i="1" s="1"/>
  <c r="L66" i="1"/>
  <c r="G58" i="1"/>
  <c r="H58" i="1"/>
  <c r="I58" i="1"/>
  <c r="J58" i="1"/>
  <c r="L58" i="1"/>
  <c r="G85" i="1"/>
  <c r="H85" i="1"/>
  <c r="I85" i="1"/>
  <c r="J85" i="1"/>
  <c r="L85" i="1"/>
  <c r="G65" i="1"/>
  <c r="H65" i="1"/>
  <c r="I65" i="1"/>
  <c r="J65" i="1"/>
  <c r="L65" i="1"/>
  <c r="G38" i="1"/>
  <c r="H38" i="1"/>
  <c r="I38" i="1"/>
  <c r="J38" i="1"/>
  <c r="L38" i="1"/>
  <c r="G33" i="1"/>
  <c r="H33" i="1"/>
  <c r="I33" i="1"/>
  <c r="J33" i="1"/>
  <c r="L33" i="1"/>
  <c r="G19" i="1"/>
  <c r="H19" i="1"/>
  <c r="I19" i="1"/>
  <c r="K19" i="1" s="1"/>
  <c r="J19" i="1"/>
  <c r="L19" i="1"/>
  <c r="G16" i="1"/>
  <c r="H16" i="1"/>
  <c r="I16" i="1"/>
  <c r="J16" i="1"/>
  <c r="L16" i="1"/>
  <c r="G78" i="1"/>
  <c r="H78" i="1"/>
  <c r="I78" i="1"/>
  <c r="J78" i="1"/>
  <c r="L78" i="1"/>
  <c r="G50" i="1"/>
  <c r="H50" i="1"/>
  <c r="I50" i="1"/>
  <c r="J50" i="1"/>
  <c r="L50" i="1"/>
  <c r="G23" i="1"/>
  <c r="H23" i="1"/>
  <c r="I23" i="1"/>
  <c r="J23" i="1"/>
  <c r="L23" i="1"/>
  <c r="G32" i="1"/>
  <c r="H32" i="1"/>
  <c r="I32" i="1"/>
  <c r="J32" i="1"/>
  <c r="L32" i="1"/>
  <c r="G27" i="1"/>
  <c r="H27" i="1"/>
  <c r="I27" i="1"/>
  <c r="K27" i="1" s="1"/>
  <c r="J27" i="1"/>
  <c r="L27" i="1"/>
  <c r="G43" i="1"/>
  <c r="H43" i="1"/>
  <c r="I43" i="1"/>
  <c r="J43" i="1"/>
  <c r="L43" i="1"/>
  <c r="G51" i="1"/>
  <c r="H51" i="1"/>
  <c r="I51" i="1"/>
  <c r="K51" i="1" s="1"/>
  <c r="J51" i="1"/>
  <c r="L51" i="1"/>
  <c r="G14" i="1"/>
  <c r="H14" i="1"/>
  <c r="I14" i="1"/>
  <c r="J14" i="1"/>
  <c r="L14" i="1"/>
  <c r="G61" i="1"/>
  <c r="H61" i="1"/>
  <c r="I61" i="1"/>
  <c r="J61" i="1"/>
  <c r="K61" i="1" s="1"/>
  <c r="L61" i="1"/>
  <c r="G75" i="1"/>
  <c r="H75" i="1"/>
  <c r="I75" i="1"/>
  <c r="K75" i="1" s="1"/>
  <c r="J75" i="1"/>
  <c r="L75" i="1"/>
  <c r="G56" i="1"/>
  <c r="H56" i="1"/>
  <c r="I56" i="1"/>
  <c r="J56" i="1"/>
  <c r="L56" i="1"/>
  <c r="G79" i="1"/>
  <c r="H79" i="1"/>
  <c r="I79" i="1"/>
  <c r="J79" i="1"/>
  <c r="L79" i="1"/>
  <c r="G62" i="1"/>
  <c r="H62" i="1"/>
  <c r="I62" i="1"/>
  <c r="J62" i="1"/>
  <c r="L62" i="1"/>
  <c r="G40" i="1"/>
  <c r="H40" i="1"/>
  <c r="I40" i="1"/>
  <c r="J40" i="1"/>
  <c r="K40" i="1" s="1"/>
  <c r="L40" i="1"/>
  <c r="G57" i="1"/>
  <c r="H57" i="1"/>
  <c r="I57" i="1"/>
  <c r="J57" i="1"/>
  <c r="L57" i="1"/>
  <c r="G36" i="1"/>
  <c r="H36" i="1"/>
  <c r="I36" i="1"/>
  <c r="K36" i="1" s="1"/>
  <c r="J36" i="1"/>
  <c r="L36" i="1"/>
  <c r="G41" i="1"/>
  <c r="H41" i="1"/>
  <c r="I41" i="1"/>
  <c r="K41" i="1" s="1"/>
  <c r="J41" i="1"/>
  <c r="L41" i="1"/>
  <c r="G9" i="1"/>
  <c r="H9" i="1"/>
  <c r="I9" i="1"/>
  <c r="J9" i="1"/>
  <c r="L9" i="1"/>
  <c r="G5" i="1"/>
  <c r="H5" i="1"/>
  <c r="I5" i="1"/>
  <c r="K5" i="1" s="1"/>
  <c r="J5" i="1"/>
  <c r="L5" i="1"/>
  <c r="G34" i="1"/>
  <c r="H34" i="1"/>
  <c r="I34" i="1"/>
  <c r="J34" i="1"/>
  <c r="L34" i="1"/>
  <c r="G6" i="1"/>
  <c r="H6" i="1"/>
  <c r="I6" i="1"/>
  <c r="J6" i="1"/>
  <c r="L6" i="1"/>
  <c r="G59" i="1"/>
  <c r="H59" i="1"/>
  <c r="I59" i="1"/>
  <c r="J59" i="1"/>
  <c r="L59" i="1"/>
  <c r="G8" i="1"/>
  <c r="H8" i="1"/>
  <c r="I8" i="1"/>
  <c r="K8" i="1" s="1"/>
  <c r="J8" i="1"/>
  <c r="L8" i="1"/>
  <c r="G37" i="1"/>
  <c r="H37" i="1"/>
  <c r="I37" i="1"/>
  <c r="J37" i="1"/>
  <c r="L37" i="1"/>
  <c r="G42" i="1"/>
  <c r="H42" i="1"/>
  <c r="I42" i="1"/>
  <c r="J42" i="1"/>
  <c r="L42" i="1"/>
  <c r="G76" i="1"/>
  <c r="H76" i="1"/>
  <c r="I76" i="1"/>
  <c r="J76" i="1"/>
  <c r="L76" i="1"/>
  <c r="G26" i="1"/>
  <c r="H26" i="1"/>
  <c r="I26" i="1"/>
  <c r="J26" i="1"/>
  <c r="L26" i="1"/>
  <c r="G21" i="1"/>
  <c r="H21" i="1"/>
  <c r="I21" i="1"/>
  <c r="J21" i="1"/>
  <c r="L21" i="1"/>
  <c r="G12" i="1"/>
  <c r="H12" i="1"/>
  <c r="I12" i="1"/>
  <c r="K12" i="1" s="1"/>
  <c r="J12" i="1"/>
  <c r="L12" i="1"/>
  <c r="G60" i="1"/>
  <c r="H60" i="1"/>
  <c r="I60" i="1"/>
  <c r="J60" i="1"/>
  <c r="L60" i="1"/>
  <c r="G69" i="1"/>
  <c r="H69" i="1"/>
  <c r="I69" i="1"/>
  <c r="K69" i="1" s="1"/>
  <c r="J69" i="1"/>
  <c r="L69" i="1"/>
  <c r="G48" i="1"/>
  <c r="H48" i="1"/>
  <c r="I48" i="1"/>
  <c r="J48" i="1"/>
  <c r="L48" i="1"/>
  <c r="G17" i="1"/>
  <c r="H17" i="1"/>
  <c r="I17" i="1"/>
  <c r="J17" i="1"/>
  <c r="L17" i="1"/>
  <c r="G15" i="1"/>
  <c r="H15" i="1"/>
  <c r="I15" i="1"/>
  <c r="J15" i="1"/>
  <c r="L15" i="1"/>
  <c r="G53" i="1"/>
  <c r="H53" i="1"/>
  <c r="I53" i="1"/>
  <c r="J53" i="1"/>
  <c r="L53" i="1"/>
  <c r="G4" i="1"/>
  <c r="H4" i="1"/>
  <c r="I4" i="1"/>
  <c r="J4" i="1"/>
  <c r="L4" i="1"/>
  <c r="G67" i="1"/>
  <c r="H67" i="1"/>
  <c r="I67" i="1"/>
  <c r="J67" i="1"/>
  <c r="L67" i="1"/>
  <c r="G29" i="1"/>
  <c r="H29" i="1"/>
  <c r="I29" i="1"/>
  <c r="J29" i="1"/>
  <c r="L29" i="1"/>
  <c r="G18" i="1"/>
  <c r="H18" i="1"/>
  <c r="I18" i="1"/>
  <c r="J18" i="1"/>
  <c r="L18" i="1"/>
  <c r="G72" i="1"/>
  <c r="H72" i="1"/>
  <c r="I72" i="1"/>
  <c r="J72" i="1"/>
  <c r="L72" i="1"/>
  <c r="G63" i="1"/>
  <c r="H63" i="1"/>
  <c r="I63" i="1"/>
  <c r="K63" i="1" s="1"/>
  <c r="J63" i="1"/>
  <c r="L63" i="1"/>
  <c r="G83" i="1"/>
  <c r="H83" i="1"/>
  <c r="I83" i="1"/>
  <c r="J83" i="1"/>
  <c r="L83" i="1"/>
  <c r="G74" i="1"/>
  <c r="H74" i="1"/>
  <c r="I74" i="1"/>
  <c r="J74" i="1"/>
  <c r="L74" i="1"/>
  <c r="G11" i="1"/>
  <c r="H11" i="1"/>
  <c r="I11" i="1"/>
  <c r="J11" i="1"/>
  <c r="L11" i="1"/>
  <c r="G46" i="1"/>
  <c r="H46" i="1"/>
  <c r="I46" i="1"/>
  <c r="J46" i="1"/>
  <c r="L46" i="1"/>
  <c r="G22" i="1"/>
  <c r="H22" i="1"/>
  <c r="I22" i="1"/>
  <c r="J22" i="1"/>
  <c r="L22" i="1"/>
  <c r="G24" i="1"/>
  <c r="H24" i="1"/>
  <c r="I24" i="1"/>
  <c r="K24" i="1" s="1"/>
  <c r="J24" i="1"/>
  <c r="L24" i="1"/>
  <c r="G77" i="1"/>
  <c r="H77" i="1"/>
  <c r="I77" i="1"/>
  <c r="J77" i="1"/>
  <c r="L77" i="1"/>
  <c r="G13" i="1"/>
  <c r="H13" i="1"/>
  <c r="I13" i="1"/>
  <c r="J13" i="1"/>
  <c r="L13" i="1"/>
  <c r="G84" i="1"/>
  <c r="H84" i="1"/>
  <c r="I84" i="1"/>
  <c r="J84" i="1"/>
  <c r="L84" i="1"/>
  <c r="G31" i="1"/>
  <c r="H31" i="1"/>
  <c r="I31" i="1"/>
  <c r="J31" i="1"/>
  <c r="L31" i="1"/>
  <c r="G71" i="1"/>
  <c r="H71" i="1"/>
  <c r="I71" i="1"/>
  <c r="J71" i="1"/>
  <c r="L71" i="1"/>
  <c r="G81" i="1"/>
  <c r="H81" i="1"/>
  <c r="I81" i="1"/>
  <c r="J81" i="1"/>
  <c r="L81" i="1"/>
  <c r="H30" i="1"/>
  <c r="I30" i="1"/>
  <c r="J30" i="1"/>
  <c r="K30" i="1" s="1"/>
  <c r="L30" i="1"/>
  <c r="G30" i="1"/>
  <c r="K80" i="1" l="1"/>
  <c r="K14" i="1"/>
  <c r="K23" i="1"/>
  <c r="K6" i="1"/>
  <c r="K56" i="1"/>
  <c r="K47" i="1"/>
  <c r="W81" i="1"/>
  <c r="W12" i="1"/>
  <c r="W27" i="1"/>
  <c r="W39" i="1"/>
  <c r="K60" i="1"/>
  <c r="K43" i="1"/>
  <c r="K28" i="1"/>
  <c r="K13" i="1"/>
  <c r="K42" i="1"/>
  <c r="K78" i="1"/>
  <c r="K64" i="1"/>
  <c r="K11" i="1"/>
  <c r="K34" i="1"/>
  <c r="K65" i="1"/>
  <c r="K45" i="1"/>
  <c r="K15" i="1"/>
  <c r="W13" i="1"/>
  <c r="W42" i="1"/>
  <c r="W78" i="1"/>
  <c r="W64" i="1"/>
  <c r="K26" i="1"/>
  <c r="K25" i="1"/>
  <c r="K46" i="1"/>
  <c r="K38" i="1"/>
  <c r="K55" i="1"/>
  <c r="K31" i="1"/>
  <c r="K33" i="1"/>
  <c r="K83" i="1"/>
  <c r="K9" i="1"/>
  <c r="K67" i="1"/>
  <c r="K79" i="1"/>
  <c r="K54" i="1"/>
  <c r="K84" i="1"/>
  <c r="K76" i="1"/>
  <c r="K77" i="1"/>
  <c r="K37" i="1"/>
  <c r="K16" i="1"/>
  <c r="K35" i="1"/>
  <c r="K58" i="1"/>
  <c r="K62" i="1"/>
  <c r="K48" i="1"/>
  <c r="K68" i="1"/>
  <c r="K22" i="1"/>
  <c r="K59" i="1"/>
  <c r="K49" i="1"/>
  <c r="K4" i="1"/>
  <c r="K50" i="1"/>
  <c r="K2" i="1"/>
  <c r="K53" i="1"/>
  <c r="W73" i="1"/>
  <c r="W15" i="1"/>
  <c r="W75" i="1"/>
  <c r="W60" i="1"/>
  <c r="W43" i="1"/>
  <c r="W28" i="1"/>
  <c r="W84" i="1"/>
  <c r="W76" i="1"/>
  <c r="W50" i="1"/>
  <c r="W25" i="1"/>
  <c r="W77" i="1"/>
  <c r="W37" i="1"/>
  <c r="W16" i="1"/>
  <c r="W35" i="1"/>
  <c r="W22" i="1"/>
  <c r="W59" i="1"/>
  <c r="W33" i="1"/>
  <c r="W49" i="1"/>
  <c r="W46" i="1"/>
  <c r="W6" i="1"/>
  <c r="W38" i="1"/>
  <c r="W2" i="1"/>
  <c r="W11" i="1"/>
  <c r="W34" i="1"/>
  <c r="W65" i="1"/>
  <c r="W45" i="1"/>
  <c r="W74" i="1"/>
  <c r="W5" i="1"/>
  <c r="W85" i="1"/>
  <c r="W20" i="1"/>
  <c r="W83" i="1"/>
  <c r="W9" i="1"/>
  <c r="W58" i="1"/>
  <c r="W63" i="1"/>
  <c r="W41" i="1"/>
  <c r="W66" i="1"/>
</calcChain>
</file>

<file path=xl/sharedStrings.xml><?xml version="1.0" encoding="utf-8"?>
<sst xmlns="http://schemas.openxmlformats.org/spreadsheetml/2006/main" count="201" uniqueCount="149">
  <si>
    <t>Team</t>
  </si>
  <si>
    <t>Name</t>
  </si>
  <si>
    <t>W%</t>
  </si>
  <si>
    <t>L%</t>
  </si>
  <si>
    <t>SV%</t>
  </si>
  <si>
    <t>HLD%</t>
  </si>
  <si>
    <t>BS%</t>
  </si>
  <si>
    <t>H%</t>
  </si>
  <si>
    <t>R%</t>
  </si>
  <si>
    <t>ER%</t>
  </si>
  <si>
    <t>HR%</t>
  </si>
  <si>
    <t>IBB%</t>
  </si>
  <si>
    <t>HBP%</t>
  </si>
  <si>
    <t>K%</t>
  </si>
  <si>
    <t>BB%</t>
  </si>
  <si>
    <t>ARI</t>
  </si>
  <si>
    <t>A.J. Puk</t>
  </si>
  <si>
    <t>Justin Martinez</t>
  </si>
  <si>
    <t>Kevin Ginkel</t>
  </si>
  <si>
    <t>ATH</t>
  </si>
  <si>
    <t>Mason Miller</t>
  </si>
  <si>
    <t>Michel Otanez</t>
  </si>
  <si>
    <t>ATL</t>
  </si>
  <si>
    <t>Aaron Bummer</t>
  </si>
  <si>
    <t>Dylan Lee</t>
  </si>
  <si>
    <t>Pierce Johnson</t>
  </si>
  <si>
    <t>Raisel Iglesias</t>
  </si>
  <si>
    <t>BAL</t>
  </si>
  <si>
    <t>Andrew Kittredge</t>
  </si>
  <si>
    <t>Felix Bautista</t>
  </si>
  <si>
    <t>Yennier Cano</t>
  </si>
  <si>
    <t>BOS</t>
  </si>
  <si>
    <t>Aroldis Chapman</t>
  </si>
  <si>
    <t>Garrett Whitlock</t>
  </si>
  <si>
    <t>Justin Slaten</t>
  </si>
  <si>
    <t>Liam Hendriks</t>
  </si>
  <si>
    <t>Luis Guerrero</t>
  </si>
  <si>
    <t>CHC</t>
  </si>
  <si>
    <t>Porter Hodge</t>
  </si>
  <si>
    <t>Ryan Pressly</t>
  </si>
  <si>
    <t>CIN</t>
  </si>
  <si>
    <t>Alexis Diaz</t>
  </si>
  <si>
    <t>Taylor Rogers</t>
  </si>
  <si>
    <t>CLE</t>
  </si>
  <si>
    <t>Cade Smith</t>
  </si>
  <si>
    <t>Emmanuel Clase</t>
  </si>
  <si>
    <t>Hunter Gaddis</t>
  </si>
  <si>
    <t>Paul Sewald</t>
  </si>
  <si>
    <t>COL</t>
  </si>
  <si>
    <t>Seth Halvorsen</t>
  </si>
  <si>
    <t>DET</t>
  </si>
  <si>
    <t>Jason Foley</t>
  </si>
  <si>
    <t>Tommy Kahnle</t>
  </si>
  <si>
    <t>Tyler Holton</t>
  </si>
  <si>
    <t>HOU</t>
  </si>
  <si>
    <t>Bryan Abreu</t>
  </si>
  <si>
    <t>Josh Hader</t>
  </si>
  <si>
    <t>KCR</t>
  </si>
  <si>
    <t>Carlos Estevez</t>
  </si>
  <si>
    <t>Lucas Erceg</t>
  </si>
  <si>
    <t>LAA</t>
  </si>
  <si>
    <t>Ben Joyce</t>
  </si>
  <si>
    <t>LAD</t>
  </si>
  <si>
    <t>Blake Treinen</t>
  </si>
  <si>
    <t>Evan Phillips</t>
  </si>
  <si>
    <t>Kirby Yates</t>
  </si>
  <si>
    <t>Michael Kopech</t>
  </si>
  <si>
    <t>Tanner Scott</t>
  </si>
  <si>
    <t>MIA</t>
  </si>
  <si>
    <t>Andrew Nardi</t>
  </si>
  <si>
    <t>Calvin Faucher</t>
  </si>
  <si>
    <t>Jesus Tinoco</t>
  </si>
  <si>
    <t>MIL</t>
  </si>
  <si>
    <t>Aaron Ashby</t>
  </si>
  <si>
    <t>Jared Koenig</t>
  </si>
  <si>
    <t>Joel Payamps</t>
  </si>
  <si>
    <t>Nick Mears</t>
  </si>
  <si>
    <t>Trevor Megill</t>
  </si>
  <si>
    <t>MIN</t>
  </si>
  <si>
    <t>Cole Sands</t>
  </si>
  <si>
    <t>Griffin Jax</t>
  </si>
  <si>
    <t>Jhoan Duran</t>
  </si>
  <si>
    <t>NYM</t>
  </si>
  <si>
    <t>A.J. Minter</t>
  </si>
  <si>
    <t>Edwin Diaz</t>
  </si>
  <si>
    <t>Jose Butto</t>
  </si>
  <si>
    <t>NYY</t>
  </si>
  <si>
    <t>Devin Williams</t>
  </si>
  <si>
    <t>Fernando Cruz</t>
  </si>
  <si>
    <t>Luke Weaver</t>
  </si>
  <si>
    <t>PHI</t>
  </si>
  <si>
    <t>Jordan Romano</t>
  </si>
  <si>
    <t>Jose Alvarado</t>
  </si>
  <si>
    <t>Matt Strahm</t>
  </si>
  <si>
    <t>Orion Kerkering</t>
  </si>
  <si>
    <t>PIT</t>
  </si>
  <si>
    <t>Colin Holderman</t>
  </si>
  <si>
    <t>David Bednar</t>
  </si>
  <si>
    <t>SDP</t>
  </si>
  <si>
    <t>Adrian Morejon</t>
  </si>
  <si>
    <t>Jason Adam</t>
  </si>
  <si>
    <t>Jeremiah Estrada</t>
  </si>
  <si>
    <t>Robert Suarez</t>
  </si>
  <si>
    <t>SEA</t>
  </si>
  <si>
    <t>Andres Munoz</t>
  </si>
  <si>
    <t>Collin Snider</t>
  </si>
  <si>
    <t>SFG</t>
  </si>
  <si>
    <t>Camilo Doval</t>
  </si>
  <si>
    <t>Ryan Walker</t>
  </si>
  <si>
    <t>Tyler Rogers</t>
  </si>
  <si>
    <t>STL</t>
  </si>
  <si>
    <t>JoJo Romero</t>
  </si>
  <si>
    <t>Matthew Liberatore</t>
  </si>
  <si>
    <t>Ryan Fernandez</t>
  </si>
  <si>
    <t>Ryan Helsley</t>
  </si>
  <si>
    <t>TBR</t>
  </si>
  <si>
    <t>Edwin Uceta</t>
  </si>
  <si>
    <t>Pete Fairbanks</t>
  </si>
  <si>
    <t>TEX</t>
  </si>
  <si>
    <t>Chris Martin</t>
  </si>
  <si>
    <t>TOR</t>
  </si>
  <si>
    <t>Chad Green</t>
  </si>
  <si>
    <t>Jeff Hoffman</t>
  </si>
  <si>
    <t>WSN</t>
  </si>
  <si>
    <t>Jorge Lopez</t>
  </si>
  <si>
    <t>David Robertson</t>
  </si>
  <si>
    <t>Kenley Jansen</t>
  </si>
  <si>
    <t>Kyle Finnegan</t>
  </si>
  <si>
    <t>GS</t>
  </si>
  <si>
    <t>G</t>
  </si>
  <si>
    <t>IP</t>
  </si>
  <si>
    <t>TBF</t>
  </si>
  <si>
    <t>W</t>
  </si>
  <si>
    <t>L</t>
  </si>
  <si>
    <t>SV</t>
  </si>
  <si>
    <t>HLD</t>
  </si>
  <si>
    <t>BS</t>
  </si>
  <si>
    <t>H</t>
  </si>
  <si>
    <t>R</t>
  </si>
  <si>
    <t>ER</t>
  </si>
  <si>
    <t>HR</t>
  </si>
  <si>
    <t>IBB</t>
  </si>
  <si>
    <t>HBP</t>
  </si>
  <si>
    <t>SO</t>
  </si>
  <si>
    <t>BB</t>
  </si>
  <si>
    <t>ERA</t>
  </si>
  <si>
    <t xml:space="preserve">WHIP </t>
  </si>
  <si>
    <t>SV+HLD</t>
  </si>
  <si>
    <t>K/9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</si>
</sst>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" fontId="0" fillId="0" borderId="0" xfId="0" applyNumberFormat="1"/>
    <xf numFmtId="1" fontId="0" fillId="0" borderId="0" xfId="0" applyNumberFormat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34880-ACBD-4C45-8688-554FA91A1FB3}">
  <dimension ref="A1:AK85"/>
  <sheetViews>
    <sheetView tabSelected="1" workbookViewId="0">
      <selection activeCell="S16" sqref="S16"/>
    </sheetView>
  </sheetViews>
  <sheetFormatPr defaultRowHeight="14.6" x14ac:dyDescent="0.4"/>
  <cols>
    <col min="13" max="18" width="9.3046875" bestFit="1" customWidth="1"/>
    <col min="19" max="19" width="10.3828125" bestFit="1" customWidth="1"/>
    <col min="20" max="20" width="9.3828125" bestFit="1" customWidth="1"/>
    <col min="21" max="21" width="9.3828125" customWidth="1"/>
  </cols>
  <sheetData>
    <row r="1" spans="1:37" x14ac:dyDescent="0.4">
      <c r="A1" t="s">
        <v>0</v>
      </c>
      <c r="B1" t="s">
        <v>1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147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  <c r="S1" t="s">
        <v>143</v>
      </c>
      <c r="T1" t="s">
        <v>144</v>
      </c>
      <c r="U1" t="s">
        <v>148</v>
      </c>
      <c r="V1" t="s">
        <v>145</v>
      </c>
      <c r="W1" t="s">
        <v>146</v>
      </c>
      <c r="Y1" t="s">
        <v>2</v>
      </c>
      <c r="Z1" t="s">
        <v>3</v>
      </c>
      <c r="AA1" t="s">
        <v>4</v>
      </c>
      <c r="AB1" t="s">
        <v>5</v>
      </c>
      <c r="AC1" t="s">
        <v>6</v>
      </c>
      <c r="AD1" t="s">
        <v>7</v>
      </c>
      <c r="AE1" t="s">
        <v>8</v>
      </c>
      <c r="AF1" t="s">
        <v>9</v>
      </c>
      <c r="AG1" t="s">
        <v>10</v>
      </c>
      <c r="AH1" t="s">
        <v>11</v>
      </c>
      <c r="AI1" t="s">
        <v>12</v>
      </c>
      <c r="AJ1" t="s">
        <v>13</v>
      </c>
      <c r="AK1" t="s">
        <v>14</v>
      </c>
    </row>
    <row r="2" spans="1:37" x14ac:dyDescent="0.4">
      <c r="A2" t="s">
        <v>19</v>
      </c>
      <c r="B2" s="3" t="s">
        <v>20</v>
      </c>
      <c r="C2">
        <v>0</v>
      </c>
      <c r="D2">
        <v>62</v>
      </c>
      <c r="E2">
        <v>68.67</v>
      </c>
      <c r="F2">
        <v>274</v>
      </c>
      <c r="G2" s="2">
        <f t="shared" ref="G2:G33" si="0">$D2*Y2</f>
        <v>3.2104477611940228</v>
      </c>
      <c r="H2" s="2">
        <f t="shared" ref="H2:H33" si="1">$D2*Z2</f>
        <v>2.2328358208955197</v>
      </c>
      <c r="I2" s="2">
        <f t="shared" ref="I2:I33" si="2">$D2*AA2</f>
        <v>27.228358208955189</v>
      </c>
      <c r="J2" s="2">
        <f t="shared" ref="J2:J33" si="3">$D2*AB2</f>
        <v>3.3552238805970109</v>
      </c>
      <c r="K2" s="2">
        <f t="shared" ref="K2:K33" si="4">I2+J2</f>
        <v>30.583582089552202</v>
      </c>
      <c r="L2">
        <f t="shared" ref="L2:L33" si="5">$D2*AC2</f>
        <v>2.9999999999999969</v>
      </c>
      <c r="M2" s="2">
        <f t="shared" ref="M2:M33" si="6">$F2*AD2</f>
        <v>43.552434456928729</v>
      </c>
      <c r="N2" s="2">
        <f t="shared" ref="N2:N33" si="7">$F2*AE2</f>
        <v>19.830337078651667</v>
      </c>
      <c r="O2" s="2">
        <f t="shared" ref="O2:O33" si="8">$F2*AF2</f>
        <v>17.793632958801481</v>
      </c>
      <c r="P2" s="2">
        <f t="shared" ref="P2:P33" si="9">$F2*AG2</f>
        <v>6.4101123595505287</v>
      </c>
      <c r="Q2" s="2">
        <f t="shared" ref="Q2:Q33" si="10">$F2*AH2</f>
        <v>1.9999999999999998</v>
      </c>
      <c r="R2" s="2">
        <f t="shared" ref="R2:R33" si="11">$F2*AI2</f>
        <v>3.0235955056179589</v>
      </c>
      <c r="S2" s="2">
        <f t="shared" ref="S2:S33" si="12">$F2*(AJ2/100)</f>
        <v>100.81685394034001</v>
      </c>
      <c r="T2" s="2">
        <f t="shared" ref="T2:T33" si="13">$F2*(AK2/100)</f>
        <v>24.440449438645999</v>
      </c>
      <c r="U2" s="1">
        <f t="shared" ref="U2:U33" si="14">S2/E2*9</f>
        <v>13.213218078681521</v>
      </c>
      <c r="V2" s="1">
        <f t="shared" ref="V2:V33" si="15">O2/E2*9</f>
        <v>2.3320619867367602</v>
      </c>
      <c r="W2" s="1">
        <f t="shared" ref="W2:W33" si="16">(T2+M2)/E2</f>
        <v>0.99013956451980079</v>
      </c>
      <c r="Y2">
        <v>5.1781415503129397E-2</v>
      </c>
      <c r="Z2">
        <v>3.6013480982185798E-2</v>
      </c>
      <c r="AA2">
        <v>0.439167067886374</v>
      </c>
      <c r="AB2">
        <v>5.4116514203177597E-2</v>
      </c>
      <c r="AC2">
        <v>4.8387096774193498E-2</v>
      </c>
      <c r="AD2">
        <v>0.158950490718718</v>
      </c>
      <c r="AE2">
        <v>7.23734929877798E-2</v>
      </c>
      <c r="AF2">
        <v>6.4940266272998107E-2</v>
      </c>
      <c r="AG2">
        <v>2.3394570655293899E-2</v>
      </c>
      <c r="AH2">
        <v>7.2992700729926996E-3</v>
      </c>
      <c r="AI2">
        <v>1.10350200934962E-2</v>
      </c>
      <c r="AJ2">
        <v>36.794472241000001</v>
      </c>
      <c r="AK2">
        <v>8.9198720578999993</v>
      </c>
    </row>
    <row r="3" spans="1:37" x14ac:dyDescent="0.4">
      <c r="A3" t="s">
        <v>43</v>
      </c>
      <c r="B3" t="s">
        <v>45</v>
      </c>
      <c r="C3">
        <v>0</v>
      </c>
      <c r="D3">
        <v>67</v>
      </c>
      <c r="E3">
        <v>67.67</v>
      </c>
      <c r="F3">
        <v>268</v>
      </c>
      <c r="G3" s="2">
        <f t="shared" si="0"/>
        <v>3.7136363636363607</v>
      </c>
      <c r="H3" s="2">
        <f t="shared" si="1"/>
        <v>3.0136363636363579</v>
      </c>
      <c r="I3" s="2">
        <f t="shared" si="2"/>
        <v>36.25454545454545</v>
      </c>
      <c r="J3" s="2">
        <f t="shared" si="3"/>
        <v>2.7090909090908992</v>
      </c>
      <c r="K3" s="2">
        <f t="shared" si="4"/>
        <v>38.963636363636347</v>
      </c>
      <c r="L3">
        <f t="shared" si="5"/>
        <v>4.9999999999999938</v>
      </c>
      <c r="M3" s="2">
        <f t="shared" si="6"/>
        <v>53.230370370370224</v>
      </c>
      <c r="N3" s="2">
        <f t="shared" si="7"/>
        <v>20.496296296296258</v>
      </c>
      <c r="O3" s="2">
        <f t="shared" si="8"/>
        <v>18.506666666666639</v>
      </c>
      <c r="P3" s="2">
        <f t="shared" si="9"/>
        <v>4.6740740740740554</v>
      </c>
      <c r="Q3" s="2">
        <f t="shared" si="10"/>
        <v>0.99999999999997602</v>
      </c>
      <c r="R3" s="2">
        <f t="shared" si="11"/>
        <v>2.2933333333333148</v>
      </c>
      <c r="S3" s="2">
        <f t="shared" si="12"/>
        <v>68.83185185616</v>
      </c>
      <c r="T3" s="2">
        <f t="shared" si="13"/>
        <v>15.017037037451999</v>
      </c>
      <c r="U3" s="1">
        <f t="shared" si="14"/>
        <v>9.1545244082376236</v>
      </c>
      <c r="V3" s="1">
        <f t="shared" si="15"/>
        <v>2.4613565834195321</v>
      </c>
      <c r="W3" s="1">
        <f t="shared" si="16"/>
        <v>1.0085326940715564</v>
      </c>
      <c r="Y3">
        <v>5.5427408412482997E-2</v>
      </c>
      <c r="Z3">
        <v>4.49796472184531E-2</v>
      </c>
      <c r="AA3">
        <v>0.54111261872455896</v>
      </c>
      <c r="AB3">
        <v>4.0434192672998498E-2</v>
      </c>
      <c r="AC3">
        <v>7.4626865671641701E-2</v>
      </c>
      <c r="AD3">
        <v>0.19862078496406799</v>
      </c>
      <c r="AE3">
        <v>7.64787175234935E-2</v>
      </c>
      <c r="AF3">
        <v>6.9054726368159097E-2</v>
      </c>
      <c r="AG3">
        <v>1.74405749032614E-2</v>
      </c>
      <c r="AH3">
        <v>3.7313432835820001E-3</v>
      </c>
      <c r="AI3">
        <v>8.5572139303481901E-3</v>
      </c>
      <c r="AJ3">
        <v>25.683526812</v>
      </c>
      <c r="AK3">
        <v>5.6033720289</v>
      </c>
    </row>
    <row r="4" spans="1:37" x14ac:dyDescent="0.4">
      <c r="A4" t="s">
        <v>103</v>
      </c>
      <c r="B4" t="s">
        <v>104</v>
      </c>
      <c r="C4">
        <v>0</v>
      </c>
      <c r="D4">
        <v>59</v>
      </c>
      <c r="E4">
        <v>59.67</v>
      </c>
      <c r="F4">
        <v>244</v>
      </c>
      <c r="G4" s="2">
        <f t="shared" si="0"/>
        <v>3.6296874999999957</v>
      </c>
      <c r="H4" s="2">
        <f t="shared" si="1"/>
        <v>3.6296874999999957</v>
      </c>
      <c r="I4" s="2">
        <f t="shared" si="2"/>
        <v>26.090624999999974</v>
      </c>
      <c r="J4" s="2">
        <f t="shared" si="3"/>
        <v>5.3062500000000004</v>
      </c>
      <c r="K4" s="2">
        <f t="shared" si="4"/>
        <v>31.396874999999973</v>
      </c>
      <c r="L4">
        <f t="shared" si="5"/>
        <v>5</v>
      </c>
      <c r="M4" s="2">
        <f t="shared" si="6"/>
        <v>41.666666666666579</v>
      </c>
      <c r="N4" s="2">
        <f t="shared" si="7"/>
        <v>18.292424242424218</v>
      </c>
      <c r="O4" s="2">
        <f t="shared" si="8"/>
        <v>16.398484848484806</v>
      </c>
      <c r="P4" s="2">
        <f t="shared" si="9"/>
        <v>4.7348484848484569</v>
      </c>
      <c r="Q4" s="2">
        <f t="shared" si="10"/>
        <v>1.9999999999999976</v>
      </c>
      <c r="R4" s="2">
        <f t="shared" si="11"/>
        <v>2.9318181818181599</v>
      </c>
      <c r="S4" s="2">
        <f t="shared" si="12"/>
        <v>77.792424244959747</v>
      </c>
      <c r="T4" s="2">
        <f t="shared" si="13"/>
        <v>23.074242424615974</v>
      </c>
      <c r="U4" s="1">
        <f t="shared" si="14"/>
        <v>11.733397322015044</v>
      </c>
      <c r="V4" s="1">
        <f t="shared" si="15"/>
        <v>2.4733762969057023</v>
      </c>
      <c r="W4" s="1">
        <f t="shared" si="16"/>
        <v>1.0849825555770498</v>
      </c>
      <c r="Y4">
        <v>6.1520127118643998E-2</v>
      </c>
      <c r="Z4">
        <v>6.1520127118643998E-2</v>
      </c>
      <c r="AA4">
        <v>0.44221398305084703</v>
      </c>
      <c r="AB4">
        <v>8.9936440677966106E-2</v>
      </c>
      <c r="AC4">
        <v>8.4745762711864403E-2</v>
      </c>
      <c r="AD4">
        <v>0.17076502732240401</v>
      </c>
      <c r="AE4">
        <v>7.4968951813214002E-2</v>
      </c>
      <c r="AF4">
        <v>6.7206905116741003E-2</v>
      </c>
      <c r="AG4">
        <v>1.9405116741182199E-2</v>
      </c>
      <c r="AH4">
        <v>8.1967213114753999E-3</v>
      </c>
      <c r="AI4">
        <v>1.2015648286139999E-2</v>
      </c>
      <c r="AJ4">
        <v>31.882141083999901</v>
      </c>
      <c r="AK4">
        <v>9.4566567313999901</v>
      </c>
    </row>
    <row r="5" spans="1:37" x14ac:dyDescent="0.4">
      <c r="A5" t="s">
        <v>78</v>
      </c>
      <c r="B5" t="s">
        <v>81</v>
      </c>
      <c r="C5">
        <v>0</v>
      </c>
      <c r="D5">
        <v>63</v>
      </c>
      <c r="E5">
        <v>62.33</v>
      </c>
      <c r="F5">
        <v>255</v>
      </c>
      <c r="G5" s="2">
        <f t="shared" si="0"/>
        <v>4.372307692307686</v>
      </c>
      <c r="H5" s="2">
        <f t="shared" si="1"/>
        <v>3.6723076923076863</v>
      </c>
      <c r="I5" s="2">
        <f t="shared" si="2"/>
        <v>25.996923076923039</v>
      </c>
      <c r="J5" s="2">
        <f t="shared" si="3"/>
        <v>5.6538461538461515</v>
      </c>
      <c r="K5" s="2">
        <f t="shared" si="4"/>
        <v>31.650769230769193</v>
      </c>
      <c r="L5">
        <f t="shared" si="5"/>
        <v>3.9999999999999947</v>
      </c>
      <c r="M5" s="2">
        <f t="shared" si="6"/>
        <v>48.305660377358251</v>
      </c>
      <c r="N5" s="2">
        <f t="shared" si="7"/>
        <v>19.771698113207535</v>
      </c>
      <c r="O5" s="2">
        <f t="shared" si="8"/>
        <v>18.124528301886759</v>
      </c>
      <c r="P5" s="2">
        <f t="shared" si="9"/>
        <v>4.1943396226415022</v>
      </c>
      <c r="Q5" s="2">
        <f t="shared" si="10"/>
        <v>1.9999999999999845</v>
      </c>
      <c r="R5" s="2">
        <f t="shared" si="11"/>
        <v>3.6660377358490348</v>
      </c>
      <c r="S5" s="2">
        <f t="shared" si="12"/>
        <v>78.033962271600004</v>
      </c>
      <c r="T5" s="2">
        <f t="shared" si="13"/>
        <v>20.518867923599998</v>
      </c>
      <c r="U5" s="1">
        <f t="shared" si="14"/>
        <v>11.267538271208087</v>
      </c>
      <c r="V5" s="1">
        <f t="shared" si="15"/>
        <v>2.6170504527030456</v>
      </c>
      <c r="W5" s="1">
        <f t="shared" si="16"/>
        <v>1.1041958655696815</v>
      </c>
      <c r="Y5">
        <v>6.9401709401709297E-2</v>
      </c>
      <c r="Z5">
        <v>5.8290598290598197E-2</v>
      </c>
      <c r="AA5">
        <v>0.41264957264957203</v>
      </c>
      <c r="AB5">
        <v>8.9743589743589702E-2</v>
      </c>
      <c r="AC5">
        <v>6.3492063492063405E-2</v>
      </c>
      <c r="AD5">
        <v>0.18943396226414999</v>
      </c>
      <c r="AE5">
        <v>7.7536071032186404E-2</v>
      </c>
      <c r="AF5">
        <v>7.1076581576026504E-2</v>
      </c>
      <c r="AG5">
        <v>1.6448390677025498E-2</v>
      </c>
      <c r="AH5">
        <v>7.8431372549019E-3</v>
      </c>
      <c r="AI5">
        <v>1.4376618571957E-2</v>
      </c>
      <c r="AJ5">
        <v>30.601553832</v>
      </c>
      <c r="AK5">
        <v>8.0466148719999993</v>
      </c>
    </row>
    <row r="6" spans="1:37" x14ac:dyDescent="0.4">
      <c r="A6" t="s">
        <v>82</v>
      </c>
      <c r="B6" t="s">
        <v>84</v>
      </c>
      <c r="C6">
        <v>0</v>
      </c>
      <c r="D6">
        <v>64</v>
      </c>
      <c r="E6">
        <v>64.33</v>
      </c>
      <c r="F6">
        <v>261</v>
      </c>
      <c r="G6" s="2">
        <f t="shared" si="0"/>
        <v>4.3861538461538432</v>
      </c>
      <c r="H6" s="2">
        <f t="shared" si="1"/>
        <v>2.9861538461538433</v>
      </c>
      <c r="I6" s="2">
        <f t="shared" si="2"/>
        <v>34.433846153846147</v>
      </c>
      <c r="J6" s="2">
        <f t="shared" si="3"/>
        <v>2.6907692307692286</v>
      </c>
      <c r="K6" s="2">
        <f t="shared" si="4"/>
        <v>37.124615384615375</v>
      </c>
      <c r="L6">
        <f t="shared" si="5"/>
        <v>6</v>
      </c>
      <c r="M6" s="2">
        <f t="shared" si="6"/>
        <v>44.135094339622526</v>
      </c>
      <c r="N6" s="2">
        <f t="shared" si="7"/>
        <v>20.688679245282994</v>
      </c>
      <c r="O6" s="2">
        <f t="shared" si="8"/>
        <v>18.709811320754689</v>
      </c>
      <c r="P6" s="2">
        <f t="shared" si="9"/>
        <v>5.9366037735848751</v>
      </c>
      <c r="Q6" s="2">
        <f t="shared" si="10"/>
        <v>0.99999999999998102</v>
      </c>
      <c r="R6" s="2">
        <f t="shared" si="11"/>
        <v>2.9864150943395984</v>
      </c>
      <c r="S6" s="2">
        <f t="shared" si="12"/>
        <v>91.717358489189735</v>
      </c>
      <c r="T6" s="2">
        <f t="shared" si="13"/>
        <v>24.135849056015999</v>
      </c>
      <c r="U6" s="1">
        <f t="shared" si="14"/>
        <v>12.831590648262205</v>
      </c>
      <c r="V6" s="1">
        <f t="shared" si="15"/>
        <v>2.6175703697620425</v>
      </c>
      <c r="W6" s="1">
        <f t="shared" si="16"/>
        <v>1.0612613616607884</v>
      </c>
      <c r="Y6">
        <v>6.85336538461538E-2</v>
      </c>
      <c r="Z6">
        <v>4.6658653846153801E-2</v>
      </c>
      <c r="AA6">
        <v>0.53802884615384605</v>
      </c>
      <c r="AB6">
        <v>4.2043269230769197E-2</v>
      </c>
      <c r="AC6">
        <v>9.375E-2</v>
      </c>
      <c r="AD6">
        <v>0.16909997831272999</v>
      </c>
      <c r="AE6">
        <v>7.9266970288440597E-2</v>
      </c>
      <c r="AF6">
        <v>7.1685100845803401E-2</v>
      </c>
      <c r="AG6">
        <v>2.27456083279114E-2</v>
      </c>
      <c r="AH6">
        <v>3.8314176245210002E-3</v>
      </c>
      <c r="AI6">
        <v>1.14422034265885E-2</v>
      </c>
      <c r="AJ6">
        <v>35.140750378999897</v>
      </c>
      <c r="AK6">
        <v>9.2474517455999994</v>
      </c>
    </row>
    <row r="7" spans="1:37" x14ac:dyDescent="0.4">
      <c r="A7" t="s">
        <v>27</v>
      </c>
      <c r="B7" t="s">
        <v>29</v>
      </c>
      <c r="C7">
        <v>0</v>
      </c>
      <c r="D7">
        <v>56</v>
      </c>
      <c r="E7">
        <v>57.33</v>
      </c>
      <c r="F7">
        <v>232</v>
      </c>
      <c r="G7" s="2">
        <f t="shared" si="0"/>
        <v>3.6399999999999948</v>
      </c>
      <c r="H7" s="2">
        <f t="shared" si="1"/>
        <v>2.9399999999999946</v>
      </c>
      <c r="I7" s="2">
        <f t="shared" si="2"/>
        <v>26.179999999999946</v>
      </c>
      <c r="J7" s="2">
        <f t="shared" si="3"/>
        <v>3.9199999999999942</v>
      </c>
      <c r="K7" s="2">
        <f t="shared" si="4"/>
        <v>30.099999999999941</v>
      </c>
      <c r="L7">
        <f t="shared" si="5"/>
        <v>3.9999999999999982</v>
      </c>
      <c r="M7" s="2">
        <f t="shared" si="6"/>
        <v>37.764197530864131</v>
      </c>
      <c r="N7" s="2">
        <f t="shared" si="7"/>
        <v>18.397942386831247</v>
      </c>
      <c r="O7" s="2">
        <f t="shared" si="8"/>
        <v>17.129629629629605</v>
      </c>
      <c r="P7" s="2">
        <f t="shared" si="9"/>
        <v>5.5098765432098622</v>
      </c>
      <c r="Q7" s="2">
        <f t="shared" si="10"/>
        <v>0.99999999999999833</v>
      </c>
      <c r="R7" s="2">
        <f t="shared" si="11"/>
        <v>2.2592592592592493</v>
      </c>
      <c r="S7" s="2">
        <f t="shared" si="12"/>
        <v>83.711522635199998</v>
      </c>
      <c r="T7" s="2">
        <f t="shared" si="13"/>
        <v>23.907818926799767</v>
      </c>
      <c r="U7" s="1">
        <f t="shared" si="14"/>
        <v>13.141526316357929</v>
      </c>
      <c r="V7" s="1">
        <f t="shared" si="15"/>
        <v>2.6891098319669711</v>
      </c>
      <c r="W7" s="1">
        <f t="shared" si="16"/>
        <v>1.0757372485202146</v>
      </c>
      <c r="Y7">
        <v>6.4999999999999905E-2</v>
      </c>
      <c r="Z7">
        <v>5.2499999999999901E-2</v>
      </c>
      <c r="AA7">
        <v>0.46749999999999903</v>
      </c>
      <c r="AB7">
        <v>6.9999999999999896E-2</v>
      </c>
      <c r="AC7">
        <v>7.1428571428571397E-2</v>
      </c>
      <c r="AD7">
        <v>0.162776713495104</v>
      </c>
      <c r="AE7">
        <v>7.9301475805307095E-2</v>
      </c>
      <c r="AF7">
        <v>7.3834610472541404E-2</v>
      </c>
      <c r="AG7">
        <v>2.3749467858663199E-2</v>
      </c>
      <c r="AH7">
        <v>4.3103448275861999E-3</v>
      </c>
      <c r="AI7">
        <v>9.73818646232435E-3</v>
      </c>
      <c r="AJ7">
        <v>36.08255286</v>
      </c>
      <c r="AK7">
        <v>10.305094364999899</v>
      </c>
    </row>
    <row r="8" spans="1:37" x14ac:dyDescent="0.4">
      <c r="A8" t="s">
        <v>86</v>
      </c>
      <c r="B8" t="s">
        <v>87</v>
      </c>
      <c r="C8">
        <v>0</v>
      </c>
      <c r="D8">
        <v>58</v>
      </c>
      <c r="E8">
        <v>58.33</v>
      </c>
      <c r="F8">
        <v>240</v>
      </c>
      <c r="G8" s="2">
        <f t="shared" si="0"/>
        <v>4.3285714285714239</v>
      </c>
      <c r="H8" s="2">
        <f t="shared" si="1"/>
        <v>2.9285714285714213</v>
      </c>
      <c r="I8" s="2">
        <f t="shared" si="2"/>
        <v>30.261904761904738</v>
      </c>
      <c r="J8" s="2">
        <f t="shared" si="3"/>
        <v>3.6285714285714223</v>
      </c>
      <c r="K8" s="2">
        <f t="shared" si="4"/>
        <v>33.890476190476157</v>
      </c>
      <c r="L8">
        <f t="shared" si="5"/>
        <v>3.9999999999999991</v>
      </c>
      <c r="M8" s="2">
        <f t="shared" si="6"/>
        <v>39.363636363636239</v>
      </c>
      <c r="N8" s="2">
        <f t="shared" si="7"/>
        <v>19.363636363636346</v>
      </c>
      <c r="O8" s="2">
        <f t="shared" si="8"/>
        <v>17.790909090909071</v>
      </c>
      <c r="P8" s="2">
        <f t="shared" si="9"/>
        <v>5.3181818181817917</v>
      </c>
      <c r="Q8" s="2">
        <f t="shared" si="10"/>
        <v>0.99999999999998401</v>
      </c>
      <c r="R8" s="2">
        <f t="shared" si="11"/>
        <v>2.9181818181817922</v>
      </c>
      <c r="S8" s="2">
        <f t="shared" si="12"/>
        <v>79.063636358399762</v>
      </c>
      <c r="T8" s="2">
        <f t="shared" si="13"/>
        <v>26.554545446399761</v>
      </c>
      <c r="U8" s="1">
        <f t="shared" si="14"/>
        <v>12.199086700250263</v>
      </c>
      <c r="V8" s="1">
        <f t="shared" si="15"/>
        <v>2.7450399763103315</v>
      </c>
      <c r="W8" s="1">
        <f t="shared" si="16"/>
        <v>1.1300905504892167</v>
      </c>
      <c r="Y8">
        <v>7.4630541871921099E-2</v>
      </c>
      <c r="Z8">
        <v>5.04926108374383E-2</v>
      </c>
      <c r="AA8">
        <v>0.52175697865352999</v>
      </c>
      <c r="AB8">
        <v>6.2561576354679696E-2</v>
      </c>
      <c r="AC8">
        <v>6.8965517241379296E-2</v>
      </c>
      <c r="AD8">
        <v>0.164015151515151</v>
      </c>
      <c r="AE8">
        <v>8.0681818181818105E-2</v>
      </c>
      <c r="AF8">
        <v>7.4128787878787794E-2</v>
      </c>
      <c r="AG8">
        <v>2.2159090909090799E-2</v>
      </c>
      <c r="AH8">
        <v>4.1666666666665998E-3</v>
      </c>
      <c r="AI8">
        <v>1.21590909090908E-2</v>
      </c>
      <c r="AJ8">
        <v>32.9431818159999</v>
      </c>
      <c r="AK8">
        <v>11.064393935999901</v>
      </c>
    </row>
    <row r="9" spans="1:37" x14ac:dyDescent="0.4">
      <c r="A9" t="s">
        <v>78</v>
      </c>
      <c r="B9" t="s">
        <v>80</v>
      </c>
      <c r="C9">
        <v>0</v>
      </c>
      <c r="D9">
        <v>65</v>
      </c>
      <c r="E9">
        <v>66</v>
      </c>
      <c r="F9">
        <v>266</v>
      </c>
      <c r="G9" s="2">
        <f t="shared" si="0"/>
        <v>4.6142857142857086</v>
      </c>
      <c r="H9" s="2">
        <f t="shared" si="1"/>
        <v>3.6357142857142772</v>
      </c>
      <c r="I9" s="2">
        <f t="shared" si="2"/>
        <v>7.1285714285713846</v>
      </c>
      <c r="J9" s="2">
        <f t="shared" si="3"/>
        <v>14.964285714285701</v>
      </c>
      <c r="K9" s="2">
        <f t="shared" si="4"/>
        <v>22.092857142857085</v>
      </c>
      <c r="L9">
        <f t="shared" si="5"/>
        <v>4.9999999999999982</v>
      </c>
      <c r="M9" s="2">
        <f t="shared" si="6"/>
        <v>51.234146341463287</v>
      </c>
      <c r="N9" s="2">
        <f t="shared" si="7"/>
        <v>22.421951219512177</v>
      </c>
      <c r="O9" s="2">
        <f t="shared" si="8"/>
        <v>20.52439024390241</v>
      </c>
      <c r="P9" s="2">
        <f t="shared" si="9"/>
        <v>5.6926829268292423</v>
      </c>
      <c r="Q9" s="2">
        <f t="shared" si="10"/>
        <v>0.99999999999999956</v>
      </c>
      <c r="R9" s="2">
        <f t="shared" si="11"/>
        <v>2.9341463414634088</v>
      </c>
      <c r="S9" s="2">
        <f t="shared" si="12"/>
        <v>78.246341465040004</v>
      </c>
      <c r="T9" s="2">
        <f t="shared" si="13"/>
        <v>19.673170730625973</v>
      </c>
      <c r="U9" s="1">
        <f t="shared" si="14"/>
        <v>10.669955654323637</v>
      </c>
      <c r="V9" s="1">
        <f t="shared" si="15"/>
        <v>2.7987804878048741</v>
      </c>
      <c r="W9" s="1">
        <f t="shared" si="16"/>
        <v>1.0743532889710494</v>
      </c>
      <c r="Y9">
        <v>7.0989010989010906E-2</v>
      </c>
      <c r="Z9">
        <v>5.5934065934065802E-2</v>
      </c>
      <c r="AA9">
        <v>0.109670329670329</v>
      </c>
      <c r="AB9">
        <v>0.23021978021978001</v>
      </c>
      <c r="AC9">
        <v>7.69230769230769E-2</v>
      </c>
      <c r="AD9">
        <v>0.192609572712268</v>
      </c>
      <c r="AE9">
        <v>8.4293049697414205E-2</v>
      </c>
      <c r="AF9">
        <v>7.7159361819181996E-2</v>
      </c>
      <c r="AG9">
        <v>2.1401063634696401E-2</v>
      </c>
      <c r="AH9">
        <v>3.7593984962406E-3</v>
      </c>
      <c r="AI9">
        <v>1.1030625343847401E-2</v>
      </c>
      <c r="AJ9">
        <v>29.415917843999999</v>
      </c>
      <c r="AK9">
        <v>7.3959288460999897</v>
      </c>
    </row>
    <row r="10" spans="1:37" x14ac:dyDescent="0.4">
      <c r="A10" t="s">
        <v>43</v>
      </c>
      <c r="B10" s="3" t="s">
        <v>44</v>
      </c>
      <c r="C10">
        <v>0</v>
      </c>
      <c r="D10">
        <v>66</v>
      </c>
      <c r="E10">
        <v>67.67</v>
      </c>
      <c r="F10">
        <v>275</v>
      </c>
      <c r="G10" s="2">
        <f t="shared" si="0"/>
        <v>3.9647058823529386</v>
      </c>
      <c r="H10" s="2">
        <f t="shared" si="1"/>
        <v>2.2735294117647014</v>
      </c>
      <c r="I10" s="2">
        <f t="shared" si="2"/>
        <v>1.2823529411764631</v>
      </c>
      <c r="J10" s="2">
        <f t="shared" si="3"/>
        <v>18.776470588235249</v>
      </c>
      <c r="K10" s="2">
        <f t="shared" si="4"/>
        <v>20.058823529411711</v>
      </c>
      <c r="L10">
        <f t="shared" si="5"/>
        <v>1.9999999999999998</v>
      </c>
      <c r="M10" s="2">
        <f t="shared" si="6"/>
        <v>50.962499999999771</v>
      </c>
      <c r="N10" s="2">
        <f t="shared" si="7"/>
        <v>23.312499999999979</v>
      </c>
      <c r="O10" s="2">
        <f t="shared" si="8"/>
        <v>21.337499999999977</v>
      </c>
      <c r="P10" s="2">
        <f t="shared" si="9"/>
        <v>5.6249999999999849</v>
      </c>
      <c r="Q10" s="2">
        <f t="shared" si="10"/>
        <v>0.99999999999999001</v>
      </c>
      <c r="R10" s="2">
        <f t="shared" si="11"/>
        <v>2.9839285714285575</v>
      </c>
      <c r="S10" s="2">
        <f t="shared" si="12"/>
        <v>84.837500005500004</v>
      </c>
      <c r="T10" s="2">
        <f t="shared" si="13"/>
        <v>23.787500000824974</v>
      </c>
      <c r="U10" s="1">
        <f t="shared" si="14"/>
        <v>11.28324959434757</v>
      </c>
      <c r="V10" s="1">
        <f t="shared" si="15"/>
        <v>2.8378528151322566</v>
      </c>
      <c r="W10" s="1">
        <f t="shared" si="16"/>
        <v>1.1046253879241132</v>
      </c>
      <c r="Y10">
        <v>6.0071301247771797E-2</v>
      </c>
      <c r="Z10">
        <v>3.4447415329768201E-2</v>
      </c>
      <c r="AA10">
        <v>1.94295900178252E-2</v>
      </c>
      <c r="AB10">
        <v>0.284491978609625</v>
      </c>
      <c r="AC10">
        <v>3.03030303030303E-2</v>
      </c>
      <c r="AD10">
        <v>0.18531818181818099</v>
      </c>
      <c r="AE10">
        <v>8.4772727272727194E-2</v>
      </c>
      <c r="AF10">
        <v>7.7590909090909002E-2</v>
      </c>
      <c r="AG10">
        <v>2.0454545454545399E-2</v>
      </c>
      <c r="AH10">
        <v>3.6363636363635999E-3</v>
      </c>
      <c r="AI10">
        <v>1.08506493506493E-2</v>
      </c>
      <c r="AJ10">
        <v>30.850000002000002</v>
      </c>
      <c r="AK10">
        <v>8.6500000002999897</v>
      </c>
    </row>
    <row r="11" spans="1:37" x14ac:dyDescent="0.4">
      <c r="A11" t="s">
        <v>110</v>
      </c>
      <c r="B11" t="s">
        <v>114</v>
      </c>
      <c r="C11">
        <v>0</v>
      </c>
      <c r="D11">
        <v>62</v>
      </c>
      <c r="E11">
        <v>65</v>
      </c>
      <c r="F11">
        <v>264</v>
      </c>
      <c r="G11" s="2">
        <f t="shared" si="0"/>
        <v>4.3454545454545368</v>
      </c>
      <c r="H11" s="2">
        <f t="shared" si="1"/>
        <v>3.6454545454545406</v>
      </c>
      <c r="I11" s="2">
        <f t="shared" si="2"/>
        <v>33.663636363636328</v>
      </c>
      <c r="J11" s="2">
        <f t="shared" si="3"/>
        <v>3.3636363636363549</v>
      </c>
      <c r="K11" s="2">
        <f t="shared" si="4"/>
        <v>37.027272727272681</v>
      </c>
      <c r="L11">
        <f t="shared" si="5"/>
        <v>4.9999999999999947</v>
      </c>
      <c r="M11" s="2">
        <f t="shared" si="6"/>
        <v>48.114022140221138</v>
      </c>
      <c r="N11" s="2">
        <f t="shared" si="7"/>
        <v>22.284132841328372</v>
      </c>
      <c r="O11" s="2">
        <f t="shared" si="8"/>
        <v>20.620295202951997</v>
      </c>
      <c r="P11" s="2">
        <f t="shared" si="9"/>
        <v>5.8915129151291419</v>
      </c>
      <c r="Q11" s="2">
        <f t="shared" si="10"/>
        <v>1.99999999999998</v>
      </c>
      <c r="R11" s="2">
        <f t="shared" si="11"/>
        <v>2.2767527675276606</v>
      </c>
      <c r="S11" s="2">
        <f t="shared" si="12"/>
        <v>79.235424346320002</v>
      </c>
      <c r="T11" s="2">
        <f t="shared" si="13"/>
        <v>24.929889299040003</v>
      </c>
      <c r="U11" s="1">
        <f t="shared" si="14"/>
        <v>10.971058755644309</v>
      </c>
      <c r="V11" s="1">
        <f t="shared" si="15"/>
        <v>2.8551177973318151</v>
      </c>
      <c r="W11" s="1">
        <f t="shared" si="16"/>
        <v>1.1237524836809405</v>
      </c>
      <c r="Y11">
        <v>7.00879765395893E-2</v>
      </c>
      <c r="Z11">
        <v>5.87976539589442E-2</v>
      </c>
      <c r="AA11">
        <v>0.54296187683284403</v>
      </c>
      <c r="AB11">
        <v>5.4252199413489598E-2</v>
      </c>
      <c r="AC11">
        <v>8.0645161290322495E-2</v>
      </c>
      <c r="AD11">
        <v>0.182250083864474</v>
      </c>
      <c r="AE11">
        <v>8.4409594095940801E-2</v>
      </c>
      <c r="AF11">
        <v>7.8107178799060595E-2</v>
      </c>
      <c r="AG11">
        <v>2.23163367997316E-2</v>
      </c>
      <c r="AH11">
        <v>7.5757575757574996E-3</v>
      </c>
      <c r="AI11">
        <v>8.6240635133623504E-3</v>
      </c>
      <c r="AJ11">
        <v>30.013418312999999</v>
      </c>
      <c r="AK11">
        <v>9.4431398860000009</v>
      </c>
    </row>
    <row r="12" spans="1:37" x14ac:dyDescent="0.4">
      <c r="A12" t="s">
        <v>90</v>
      </c>
      <c r="B12" s="3" t="s">
        <v>94</v>
      </c>
      <c r="C12">
        <v>0</v>
      </c>
      <c r="D12">
        <v>59</v>
      </c>
      <c r="E12">
        <v>61</v>
      </c>
      <c r="F12">
        <v>250</v>
      </c>
      <c r="G12" s="2">
        <f t="shared" si="0"/>
        <v>3.6428571428571397</v>
      </c>
      <c r="H12" s="2">
        <f t="shared" si="1"/>
        <v>2.9428571428571351</v>
      </c>
      <c r="I12" s="2">
        <f t="shared" si="2"/>
        <v>5.6047619047619044</v>
      </c>
      <c r="J12" s="2">
        <f t="shared" si="3"/>
        <v>13.17142857142855</v>
      </c>
      <c r="K12" s="2">
        <f t="shared" si="4"/>
        <v>18.776190476190454</v>
      </c>
      <c r="L12">
        <f t="shared" si="5"/>
        <v>1.9999999999999962</v>
      </c>
      <c r="M12" s="2">
        <f t="shared" si="6"/>
        <v>49.083783783783751</v>
      </c>
      <c r="N12" s="2">
        <f t="shared" si="7"/>
        <v>21.46486486486485</v>
      </c>
      <c r="O12" s="2">
        <f t="shared" si="8"/>
        <v>19.513513513513498</v>
      </c>
      <c r="P12" s="2">
        <f t="shared" si="9"/>
        <v>4.8783783783783745</v>
      </c>
      <c r="Q12" s="2">
        <f t="shared" si="10"/>
        <v>0</v>
      </c>
      <c r="R12" s="2">
        <f t="shared" si="11"/>
        <v>3.6687258687258497</v>
      </c>
      <c r="S12" s="2">
        <f t="shared" si="12"/>
        <v>71.975675680000009</v>
      </c>
      <c r="T12" s="2">
        <f t="shared" si="13"/>
        <v>18.9135135135</v>
      </c>
      <c r="U12" s="1">
        <f t="shared" si="14"/>
        <v>10.619361985573773</v>
      </c>
      <c r="V12" s="1">
        <f t="shared" si="15"/>
        <v>2.879042977403631</v>
      </c>
      <c r="W12" s="1">
        <f t="shared" si="16"/>
        <v>1.1147097917587501</v>
      </c>
      <c r="Y12">
        <v>6.1743341404358297E-2</v>
      </c>
      <c r="Z12">
        <v>4.9878934624697203E-2</v>
      </c>
      <c r="AA12">
        <v>9.4995964487489898E-2</v>
      </c>
      <c r="AB12">
        <v>0.223244552058111</v>
      </c>
      <c r="AC12">
        <v>3.38983050847457E-2</v>
      </c>
      <c r="AD12">
        <v>0.19633513513513501</v>
      </c>
      <c r="AE12">
        <v>8.58594594594594E-2</v>
      </c>
      <c r="AF12">
        <v>7.8054054054053995E-2</v>
      </c>
      <c r="AG12">
        <v>1.9513513513513499E-2</v>
      </c>
      <c r="AH12">
        <v>0</v>
      </c>
      <c r="AI12">
        <v>1.4674903474903399E-2</v>
      </c>
      <c r="AJ12">
        <v>28.790270272000001</v>
      </c>
      <c r="AK12">
        <v>7.5654054053999999</v>
      </c>
    </row>
    <row r="13" spans="1:37" x14ac:dyDescent="0.4">
      <c r="A13" t="s">
        <v>120</v>
      </c>
      <c r="B13" t="s">
        <v>122</v>
      </c>
      <c r="C13">
        <v>0</v>
      </c>
      <c r="D13">
        <v>63</v>
      </c>
      <c r="E13">
        <v>62.67</v>
      </c>
      <c r="F13">
        <v>255</v>
      </c>
      <c r="G13" s="2">
        <f t="shared" si="0"/>
        <v>2.972307692307687</v>
      </c>
      <c r="H13" s="2">
        <f t="shared" si="1"/>
        <v>2.972307692307687</v>
      </c>
      <c r="I13" s="2">
        <f t="shared" si="2"/>
        <v>25.059999999999953</v>
      </c>
      <c r="J13" s="2">
        <f t="shared" si="3"/>
        <v>6.0630769230769204</v>
      </c>
      <c r="K13" s="2">
        <f t="shared" si="4"/>
        <v>31.123076923076873</v>
      </c>
      <c r="L13">
        <f t="shared" si="5"/>
        <v>2.9999999999999991</v>
      </c>
      <c r="M13" s="2">
        <f t="shared" si="6"/>
        <v>46.551301115241522</v>
      </c>
      <c r="N13" s="2">
        <f t="shared" si="7"/>
        <v>22.16208178438659</v>
      </c>
      <c r="O13" s="2">
        <f t="shared" si="8"/>
        <v>20.534944237918175</v>
      </c>
      <c r="P13" s="2">
        <f t="shared" si="9"/>
        <v>6.7449814126393832</v>
      </c>
      <c r="Q13" s="2">
        <f t="shared" si="10"/>
        <v>0.99999999999997946</v>
      </c>
      <c r="R13" s="2">
        <f t="shared" si="11"/>
        <v>2.953159851301101</v>
      </c>
      <c r="S13" s="2">
        <f t="shared" si="12"/>
        <v>75.821933082750007</v>
      </c>
      <c r="T13" s="2">
        <f t="shared" si="13"/>
        <v>22.225650558779975</v>
      </c>
      <c r="U13" s="1">
        <f t="shared" si="14"/>
        <v>10.888740988427477</v>
      </c>
      <c r="V13" s="1">
        <f t="shared" si="15"/>
        <v>2.9490106612615854</v>
      </c>
      <c r="W13" s="1">
        <f t="shared" si="16"/>
        <v>1.0974461731932581</v>
      </c>
      <c r="Y13">
        <v>4.7179487179487098E-2</v>
      </c>
      <c r="Z13">
        <v>4.7179487179487098E-2</v>
      </c>
      <c r="AA13">
        <v>0.39777777777777701</v>
      </c>
      <c r="AB13">
        <v>9.6239316239316197E-2</v>
      </c>
      <c r="AC13">
        <v>4.7619047619047603E-2</v>
      </c>
      <c r="AD13">
        <v>0.18255412202055499</v>
      </c>
      <c r="AE13">
        <v>8.6910124644653294E-2</v>
      </c>
      <c r="AF13">
        <v>8.0529193089875203E-2</v>
      </c>
      <c r="AG13">
        <v>2.64509075005466E-2</v>
      </c>
      <c r="AH13">
        <v>3.9215686274508997E-3</v>
      </c>
      <c r="AI13">
        <v>1.1581019024710201E-2</v>
      </c>
      <c r="AJ13">
        <v>29.734091405000001</v>
      </c>
      <c r="AK13">
        <v>8.7159413955999891</v>
      </c>
    </row>
    <row r="14" spans="1:37" x14ac:dyDescent="0.4">
      <c r="A14" t="s">
        <v>62</v>
      </c>
      <c r="B14" t="s">
        <v>67</v>
      </c>
      <c r="C14">
        <v>0</v>
      </c>
      <c r="D14">
        <v>66</v>
      </c>
      <c r="E14">
        <v>66</v>
      </c>
      <c r="F14">
        <v>277</v>
      </c>
      <c r="G14" s="2">
        <f t="shared" si="0"/>
        <v>5.0999999999999952</v>
      </c>
      <c r="H14" s="2">
        <f t="shared" si="1"/>
        <v>3.6999999999999957</v>
      </c>
      <c r="I14" s="2">
        <f t="shared" si="2"/>
        <v>18.899999999999974</v>
      </c>
      <c r="J14" s="2">
        <f t="shared" si="3"/>
        <v>10.399999999999963</v>
      </c>
      <c r="K14" s="2">
        <f t="shared" si="4"/>
        <v>29.299999999999937</v>
      </c>
      <c r="L14">
        <f t="shared" si="5"/>
        <v>3.9999999999999996</v>
      </c>
      <c r="M14" s="2">
        <f t="shared" si="6"/>
        <v>49.549454545454495</v>
      </c>
      <c r="N14" s="2">
        <f t="shared" si="7"/>
        <v>24.12218181818179</v>
      </c>
      <c r="O14" s="2">
        <f t="shared" si="8"/>
        <v>22.111999999999988</v>
      </c>
      <c r="P14" s="2">
        <f t="shared" si="9"/>
        <v>5.730545454545422</v>
      </c>
      <c r="Q14" s="2">
        <f t="shared" si="10"/>
        <v>1.9999999999999736</v>
      </c>
      <c r="R14" s="2">
        <f t="shared" si="11"/>
        <v>3.0065454545454329</v>
      </c>
      <c r="S14" s="2">
        <f t="shared" si="12"/>
        <v>80.707272728569734</v>
      </c>
      <c r="T14" s="2">
        <f t="shared" si="13"/>
        <v>30.45272727443</v>
      </c>
      <c r="U14" s="1">
        <f t="shared" si="14"/>
        <v>11.00553719025951</v>
      </c>
      <c r="V14" s="1">
        <f t="shared" si="15"/>
        <v>3.0152727272727256</v>
      </c>
      <c r="W14" s="1">
        <f t="shared" si="16"/>
        <v>1.2121542699982499</v>
      </c>
      <c r="Y14">
        <v>7.7272727272727201E-2</v>
      </c>
      <c r="Z14">
        <v>5.6060606060605998E-2</v>
      </c>
      <c r="AA14">
        <v>0.28636363636363599</v>
      </c>
      <c r="AB14">
        <v>0.15757575757575701</v>
      </c>
      <c r="AC14">
        <v>6.0606060606060601E-2</v>
      </c>
      <c r="AD14">
        <v>0.178878897276009</v>
      </c>
      <c r="AE14">
        <v>8.7083688874302498E-2</v>
      </c>
      <c r="AF14">
        <v>7.9826714801444001E-2</v>
      </c>
      <c r="AG14">
        <v>2.06878897276008E-2</v>
      </c>
      <c r="AH14">
        <v>7.2202166064980998E-3</v>
      </c>
      <c r="AI14">
        <v>1.0853954709550299E-2</v>
      </c>
      <c r="AJ14">
        <v>29.1361995409999</v>
      </c>
      <c r="AK14">
        <v>10.993764359</v>
      </c>
    </row>
    <row r="15" spans="1:37" x14ac:dyDescent="0.4">
      <c r="A15" t="s">
        <v>98</v>
      </c>
      <c r="B15" s="3" t="s">
        <v>101</v>
      </c>
      <c r="C15">
        <v>0</v>
      </c>
      <c r="D15">
        <v>60</v>
      </c>
      <c r="E15">
        <v>60.67</v>
      </c>
      <c r="F15">
        <v>251</v>
      </c>
      <c r="G15" s="2">
        <f t="shared" si="0"/>
        <v>3.6571428571428539</v>
      </c>
      <c r="H15" s="2">
        <f t="shared" si="1"/>
        <v>2.957142857142852</v>
      </c>
      <c r="I15" s="2">
        <f t="shared" si="2"/>
        <v>3.6571428571428539</v>
      </c>
      <c r="J15" s="2">
        <f t="shared" si="3"/>
        <v>14.914285714285679</v>
      </c>
      <c r="K15" s="2">
        <f t="shared" si="4"/>
        <v>18.571428571428534</v>
      </c>
      <c r="L15">
        <f t="shared" si="5"/>
        <v>1.9999999999999978</v>
      </c>
      <c r="M15" s="2">
        <f t="shared" si="6"/>
        <v>44.393103448275696</v>
      </c>
      <c r="N15" s="2">
        <f t="shared" si="7"/>
        <v>22.683141762452081</v>
      </c>
      <c r="O15" s="2">
        <f t="shared" si="8"/>
        <v>20.73678160919539</v>
      </c>
      <c r="P15" s="2">
        <f t="shared" si="9"/>
        <v>6.812260536398445</v>
      </c>
      <c r="Q15" s="2">
        <f t="shared" si="10"/>
        <v>1.99999999999999</v>
      </c>
      <c r="R15" s="2">
        <f t="shared" si="11"/>
        <v>2.2655172413793019</v>
      </c>
      <c r="S15" s="2">
        <f t="shared" si="12"/>
        <v>82.793486585729767</v>
      </c>
      <c r="T15" s="2">
        <f t="shared" si="13"/>
        <v>27.322222222489749</v>
      </c>
      <c r="U15" s="1">
        <f t="shared" si="14"/>
        <v>12.281875379455544</v>
      </c>
      <c r="V15" s="1">
        <f t="shared" si="15"/>
        <v>3.0761667130832127</v>
      </c>
      <c r="W15" s="1">
        <f t="shared" si="16"/>
        <v>1.182055804693678</v>
      </c>
      <c r="Y15">
        <v>6.0952380952380897E-2</v>
      </c>
      <c r="Z15">
        <v>4.9285714285714197E-2</v>
      </c>
      <c r="AA15">
        <v>6.0952380952380897E-2</v>
      </c>
      <c r="AB15">
        <v>0.248571428571428</v>
      </c>
      <c r="AC15">
        <v>3.3333333333333298E-2</v>
      </c>
      <c r="AD15">
        <v>0.17686495397719401</v>
      </c>
      <c r="AE15">
        <v>9.0371082718932599E-2</v>
      </c>
      <c r="AF15">
        <v>8.2616659797591196E-2</v>
      </c>
      <c r="AG15">
        <v>2.7140480224695E-2</v>
      </c>
      <c r="AH15">
        <v>7.9681274900398006E-3</v>
      </c>
      <c r="AI15">
        <v>9.0259651050968205E-3</v>
      </c>
      <c r="AJ15">
        <v>32.985452822999903</v>
      </c>
      <c r="AK15">
        <v>10.8853474989999</v>
      </c>
    </row>
    <row r="16" spans="1:37" x14ac:dyDescent="0.4">
      <c r="A16" t="s">
        <v>54</v>
      </c>
      <c r="B16" t="s">
        <v>56</v>
      </c>
      <c r="C16">
        <v>0</v>
      </c>
      <c r="D16">
        <v>63</v>
      </c>
      <c r="E16">
        <v>63</v>
      </c>
      <c r="F16">
        <v>255</v>
      </c>
      <c r="G16" s="2">
        <f t="shared" si="0"/>
        <v>4.611764705882349</v>
      </c>
      <c r="H16" s="2">
        <f t="shared" si="1"/>
        <v>3.6338235294117585</v>
      </c>
      <c r="I16" s="2">
        <f t="shared" si="2"/>
        <v>32.272058823529392</v>
      </c>
      <c r="J16" s="2">
        <f t="shared" si="3"/>
        <v>2.6558823529411741</v>
      </c>
      <c r="K16" s="2">
        <f t="shared" si="4"/>
        <v>34.927941176470569</v>
      </c>
      <c r="L16">
        <f t="shared" si="5"/>
        <v>3.9999999999999947</v>
      </c>
      <c r="M16" s="2">
        <f t="shared" si="6"/>
        <v>42.630107526881652</v>
      </c>
      <c r="N16" s="2">
        <f t="shared" si="7"/>
        <v>23.194623655913947</v>
      </c>
      <c r="O16" s="2">
        <f t="shared" si="8"/>
        <v>21.61505376344083</v>
      </c>
      <c r="P16" s="2">
        <f t="shared" si="9"/>
        <v>7.5182795698924547</v>
      </c>
      <c r="Q16" s="2">
        <f t="shared" si="10"/>
        <v>0.99999999999997946</v>
      </c>
      <c r="R16" s="2">
        <f t="shared" si="11"/>
        <v>2.9225806451612746</v>
      </c>
      <c r="S16" s="2">
        <f t="shared" si="12"/>
        <v>86.539784940749755</v>
      </c>
      <c r="T16" s="2">
        <f t="shared" si="13"/>
        <v>25.413978487935001</v>
      </c>
      <c r="U16" s="1">
        <f t="shared" si="14"/>
        <v>12.362826420107108</v>
      </c>
      <c r="V16" s="1">
        <f t="shared" si="15"/>
        <v>3.0878648233486898</v>
      </c>
      <c r="W16" s="1">
        <f t="shared" si="16"/>
        <v>1.0800648573780423</v>
      </c>
      <c r="Y16">
        <v>7.3202614379084902E-2</v>
      </c>
      <c r="Z16">
        <v>5.7679738562091402E-2</v>
      </c>
      <c r="AA16">
        <v>0.51225490196078405</v>
      </c>
      <c r="AB16">
        <v>4.2156862745098E-2</v>
      </c>
      <c r="AC16">
        <v>6.3492063492063405E-2</v>
      </c>
      <c r="AD16">
        <v>0.167176892262281</v>
      </c>
      <c r="AE16">
        <v>9.09593084545645E-2</v>
      </c>
      <c r="AF16">
        <v>8.4764916719375805E-2</v>
      </c>
      <c r="AG16">
        <v>2.9483449293695899E-2</v>
      </c>
      <c r="AH16">
        <v>3.9215686274508997E-3</v>
      </c>
      <c r="AI16">
        <v>1.14611005692599E-2</v>
      </c>
      <c r="AJ16">
        <v>33.937170564999903</v>
      </c>
      <c r="AK16">
        <v>9.9662660737</v>
      </c>
    </row>
    <row r="17" spans="1:37" x14ac:dyDescent="0.4">
      <c r="A17" t="s">
        <v>98</v>
      </c>
      <c r="B17" t="s">
        <v>100</v>
      </c>
      <c r="C17">
        <v>0</v>
      </c>
      <c r="D17">
        <v>66</v>
      </c>
      <c r="E17">
        <v>66.33</v>
      </c>
      <c r="F17">
        <v>270</v>
      </c>
      <c r="G17" s="2">
        <f t="shared" si="0"/>
        <v>3.9647058823529386</v>
      </c>
      <c r="H17" s="2">
        <f t="shared" si="1"/>
        <v>2.9735294117647006</v>
      </c>
      <c r="I17" s="2">
        <f t="shared" si="2"/>
        <v>5.7735294117646996</v>
      </c>
      <c r="J17" s="2">
        <f t="shared" si="3"/>
        <v>16.794117647058773</v>
      </c>
      <c r="K17" s="2">
        <f t="shared" si="4"/>
        <v>22.567647058823471</v>
      </c>
      <c r="L17">
        <f t="shared" si="5"/>
        <v>3.9999999999999996</v>
      </c>
      <c r="M17" s="2">
        <f t="shared" si="6"/>
        <v>50.395759717314327</v>
      </c>
      <c r="N17" s="2">
        <f t="shared" si="7"/>
        <v>24.863957597173112</v>
      </c>
      <c r="O17" s="2">
        <f t="shared" si="8"/>
        <v>22.928268551236719</v>
      </c>
      <c r="P17" s="2">
        <f t="shared" si="9"/>
        <v>6.7749116607773558</v>
      </c>
      <c r="Q17" s="2">
        <f t="shared" si="10"/>
        <v>1.999999999999998</v>
      </c>
      <c r="R17" s="2">
        <f t="shared" si="11"/>
        <v>4.3586572438162445</v>
      </c>
      <c r="S17" s="2">
        <f t="shared" si="12"/>
        <v>74.224028278800006</v>
      </c>
      <c r="T17" s="2">
        <f t="shared" si="13"/>
        <v>23.296113073170002</v>
      </c>
      <c r="U17" s="1">
        <f t="shared" si="14"/>
        <v>10.071102887218455</v>
      </c>
      <c r="V17" s="1">
        <f t="shared" si="15"/>
        <v>3.1110269404663118</v>
      </c>
      <c r="W17" s="1">
        <f t="shared" si="16"/>
        <v>1.1109885842075129</v>
      </c>
      <c r="Y17">
        <v>6.0071301247771797E-2</v>
      </c>
      <c r="Z17">
        <v>4.5053475935828799E-2</v>
      </c>
      <c r="AA17">
        <v>8.7477718360071205E-2</v>
      </c>
      <c r="AB17">
        <v>0.25445632798573897</v>
      </c>
      <c r="AC17">
        <v>6.0606060606060601E-2</v>
      </c>
      <c r="AD17">
        <v>0.18665096191597899</v>
      </c>
      <c r="AE17">
        <v>9.2088731841381902E-2</v>
      </c>
      <c r="AF17">
        <v>8.4919513152728596E-2</v>
      </c>
      <c r="AG17">
        <v>2.5092265410286502E-2</v>
      </c>
      <c r="AH17">
        <v>7.4074074074073999E-3</v>
      </c>
      <c r="AI17">
        <v>1.6143174977097201E-2</v>
      </c>
      <c r="AJ17">
        <v>27.490380844000001</v>
      </c>
      <c r="AK17">
        <v>8.6281900271000005</v>
      </c>
    </row>
    <row r="18" spans="1:37" x14ac:dyDescent="0.4">
      <c r="A18" t="s">
        <v>106</v>
      </c>
      <c r="B18" s="3" t="s">
        <v>108</v>
      </c>
      <c r="C18">
        <v>0</v>
      </c>
      <c r="D18">
        <v>68</v>
      </c>
      <c r="E18">
        <v>70.33</v>
      </c>
      <c r="F18">
        <v>287</v>
      </c>
      <c r="G18" s="2">
        <f t="shared" si="0"/>
        <v>4.6999999999999904</v>
      </c>
      <c r="H18" s="2">
        <f t="shared" si="1"/>
        <v>3.6999999999999962</v>
      </c>
      <c r="I18" s="2">
        <f t="shared" si="2"/>
        <v>23.799999999999997</v>
      </c>
      <c r="J18" s="2">
        <f t="shared" si="3"/>
        <v>6.3999999999999915</v>
      </c>
      <c r="K18" s="2">
        <f t="shared" si="4"/>
        <v>30.199999999999989</v>
      </c>
      <c r="L18">
        <f t="shared" si="5"/>
        <v>3.9999999999999996</v>
      </c>
      <c r="M18" s="2">
        <f t="shared" si="6"/>
        <v>57.279999999999987</v>
      </c>
      <c r="N18" s="2">
        <f t="shared" si="7"/>
        <v>26.454999999999988</v>
      </c>
      <c r="O18" s="2">
        <f t="shared" si="8"/>
        <v>24.419999999999973</v>
      </c>
      <c r="P18" s="2">
        <f t="shared" si="9"/>
        <v>6.1049999999999658</v>
      </c>
      <c r="Q18" s="2">
        <f t="shared" si="10"/>
        <v>0.99999999999997435</v>
      </c>
      <c r="R18" s="2">
        <f t="shared" si="11"/>
        <v>3.7224999999999642</v>
      </c>
      <c r="S18" s="2">
        <f t="shared" si="12"/>
        <v>80.447499997479994</v>
      </c>
      <c r="T18" s="2">
        <f t="shared" si="13"/>
        <v>23.102499999012</v>
      </c>
      <c r="U18" s="1">
        <f t="shared" si="14"/>
        <v>10.294717758813025</v>
      </c>
      <c r="V18" s="1">
        <f t="shared" si="15"/>
        <v>3.1249822266458094</v>
      </c>
      <c r="W18" s="1">
        <f t="shared" si="16"/>
        <v>1.1429333143610405</v>
      </c>
      <c r="Y18">
        <v>6.9117647058823395E-2</v>
      </c>
      <c r="Z18">
        <v>5.4411764705882298E-2</v>
      </c>
      <c r="AA18">
        <v>0.35</v>
      </c>
      <c r="AB18">
        <v>9.4117647058823403E-2</v>
      </c>
      <c r="AC18">
        <v>5.8823529411764698E-2</v>
      </c>
      <c r="AD18">
        <v>0.199581881533101</v>
      </c>
      <c r="AE18">
        <v>9.2177700348432007E-2</v>
      </c>
      <c r="AF18">
        <v>8.5087108013937193E-2</v>
      </c>
      <c r="AG18">
        <v>2.1271777003484201E-2</v>
      </c>
      <c r="AH18">
        <v>3.4843205574911999E-3</v>
      </c>
      <c r="AI18">
        <v>1.29703832752612E-2</v>
      </c>
      <c r="AJ18">
        <v>28.030487804</v>
      </c>
      <c r="AK18">
        <v>8.0496515675999998</v>
      </c>
    </row>
    <row r="19" spans="1:37" x14ac:dyDescent="0.4">
      <c r="A19" t="s">
        <v>54</v>
      </c>
      <c r="B19" t="s">
        <v>55</v>
      </c>
      <c r="C19">
        <v>0</v>
      </c>
      <c r="D19">
        <v>69</v>
      </c>
      <c r="E19">
        <v>70</v>
      </c>
      <c r="F19">
        <v>291</v>
      </c>
      <c r="G19" s="2">
        <f t="shared" si="0"/>
        <v>3.249999999999992</v>
      </c>
      <c r="H19" s="2">
        <f t="shared" si="1"/>
        <v>2.5499999999999976</v>
      </c>
      <c r="I19" s="2">
        <f t="shared" si="2"/>
        <v>4.0749999999999966</v>
      </c>
      <c r="J19" s="2">
        <f t="shared" si="3"/>
        <v>19.424999999999944</v>
      </c>
      <c r="K19" s="2">
        <f t="shared" si="4"/>
        <v>23.49999999999994</v>
      </c>
      <c r="L19">
        <f t="shared" si="5"/>
        <v>3.9999999999999987</v>
      </c>
      <c r="M19" s="2">
        <f t="shared" si="6"/>
        <v>52.988628762541587</v>
      </c>
      <c r="N19" s="2">
        <f t="shared" si="7"/>
        <v>26.494314381270879</v>
      </c>
      <c r="O19" s="2">
        <f t="shared" si="8"/>
        <v>24.531772575250823</v>
      </c>
      <c r="P19" s="2">
        <f t="shared" si="9"/>
        <v>7.5501672240802442</v>
      </c>
      <c r="Q19" s="2">
        <f t="shared" si="10"/>
        <v>0.99999999999997435</v>
      </c>
      <c r="R19" s="2">
        <f t="shared" si="11"/>
        <v>3.6759197324414368</v>
      </c>
      <c r="S19" s="2">
        <f t="shared" si="12"/>
        <v>89.976923075669717</v>
      </c>
      <c r="T19" s="2">
        <f t="shared" si="13"/>
        <v>29.138127098486706</v>
      </c>
      <c r="U19" s="1">
        <f t="shared" si="14"/>
        <v>11.568461538300394</v>
      </c>
      <c r="V19" s="1">
        <f t="shared" si="15"/>
        <v>3.1540850453893912</v>
      </c>
      <c r="W19" s="1">
        <f t="shared" si="16"/>
        <v>1.1732393694432615</v>
      </c>
      <c r="Y19">
        <v>4.7101449275362202E-2</v>
      </c>
      <c r="Z19">
        <v>3.6956521739130402E-2</v>
      </c>
      <c r="AA19">
        <v>5.9057971014492699E-2</v>
      </c>
      <c r="AB19">
        <v>0.28152173913043399</v>
      </c>
      <c r="AC19">
        <v>5.7971014492753603E-2</v>
      </c>
      <c r="AD19">
        <v>0.182091507775057</v>
      </c>
      <c r="AE19">
        <v>9.1045753887528794E-2</v>
      </c>
      <c r="AF19">
        <v>8.4301623969934097E-2</v>
      </c>
      <c r="AG19">
        <v>2.5945591835327301E-2</v>
      </c>
      <c r="AH19">
        <v>3.4364261168383999E-3</v>
      </c>
      <c r="AI19">
        <v>1.26320265719637E-2</v>
      </c>
      <c r="AJ19">
        <v>30.919904836999901</v>
      </c>
      <c r="AK19">
        <v>10.0131020956999</v>
      </c>
    </row>
    <row r="20" spans="1:37" x14ac:dyDescent="0.4">
      <c r="A20" t="s">
        <v>15</v>
      </c>
      <c r="B20" s="3" t="s">
        <v>17</v>
      </c>
      <c r="C20">
        <v>0</v>
      </c>
      <c r="D20">
        <v>64</v>
      </c>
      <c r="E20">
        <v>67</v>
      </c>
      <c r="F20">
        <v>288</v>
      </c>
      <c r="G20" s="2">
        <f t="shared" si="0"/>
        <v>3.9294117647058817</v>
      </c>
      <c r="H20" s="2">
        <f t="shared" si="1"/>
        <v>2.947058823529408</v>
      </c>
      <c r="I20" s="2">
        <f t="shared" si="2"/>
        <v>20.064705882352897</v>
      </c>
      <c r="J20" s="2">
        <f t="shared" si="3"/>
        <v>9.2588235294117123</v>
      </c>
      <c r="K20" s="2">
        <f t="shared" si="4"/>
        <v>29.323529411764611</v>
      </c>
      <c r="L20">
        <f t="shared" si="5"/>
        <v>3</v>
      </c>
      <c r="M20" s="2">
        <f t="shared" si="6"/>
        <v>52.854545454545374</v>
      </c>
      <c r="N20" s="2">
        <f t="shared" si="7"/>
        <v>25.722377622377596</v>
      </c>
      <c r="O20" s="2">
        <f t="shared" si="8"/>
        <v>23.712587412587393</v>
      </c>
      <c r="P20" s="2">
        <f t="shared" si="9"/>
        <v>4.0195804195803744</v>
      </c>
      <c r="Q20" s="2">
        <f t="shared" si="10"/>
        <v>2.9999999999999809</v>
      </c>
      <c r="R20" s="2">
        <f t="shared" si="11"/>
        <v>3.7062937062936574</v>
      </c>
      <c r="S20" s="2">
        <f t="shared" si="12"/>
        <v>83.406293700479708</v>
      </c>
      <c r="T20" s="2">
        <f t="shared" si="13"/>
        <v>35.576223785279709</v>
      </c>
      <c r="U20" s="1">
        <f t="shared" si="14"/>
        <v>11.203830497079363</v>
      </c>
      <c r="V20" s="1">
        <f t="shared" si="15"/>
        <v>3.185272936019202</v>
      </c>
      <c r="W20" s="1">
        <f t="shared" si="16"/>
        <v>1.3198622274600758</v>
      </c>
      <c r="Y20">
        <v>6.1397058823529402E-2</v>
      </c>
      <c r="Z20">
        <v>4.6047794117646999E-2</v>
      </c>
      <c r="AA20">
        <v>0.31351102941176401</v>
      </c>
      <c r="AB20">
        <v>0.144669117647058</v>
      </c>
      <c r="AC20">
        <v>4.6875E-2</v>
      </c>
      <c r="AD20">
        <v>0.183522727272727</v>
      </c>
      <c r="AE20">
        <v>8.9313811188811099E-2</v>
      </c>
      <c r="AF20">
        <v>8.2335372960372896E-2</v>
      </c>
      <c r="AG20">
        <v>1.3956876456876301E-2</v>
      </c>
      <c r="AH20">
        <v>1.04166666666666E-2</v>
      </c>
      <c r="AI20">
        <v>1.28690753690752E-2</v>
      </c>
      <c r="AJ20">
        <v>28.960518645999901</v>
      </c>
      <c r="AK20">
        <v>12.352855480999899</v>
      </c>
    </row>
    <row r="21" spans="1:37" x14ac:dyDescent="0.4">
      <c r="A21" t="s">
        <v>90</v>
      </c>
      <c r="B21" t="s">
        <v>93</v>
      </c>
      <c r="C21">
        <v>0</v>
      </c>
      <c r="D21">
        <v>64</v>
      </c>
      <c r="E21">
        <v>64</v>
      </c>
      <c r="F21">
        <v>257</v>
      </c>
      <c r="G21" s="2">
        <f t="shared" si="0"/>
        <v>4.6462686567164164</v>
      </c>
      <c r="H21" s="2">
        <f t="shared" si="1"/>
        <v>2.9597014925373055</v>
      </c>
      <c r="I21" s="2">
        <f t="shared" si="2"/>
        <v>4.3597014925373117</v>
      </c>
      <c r="J21" s="2">
        <f t="shared" si="3"/>
        <v>14.638805970149248</v>
      </c>
      <c r="K21" s="2">
        <f t="shared" si="4"/>
        <v>18.998507462686561</v>
      </c>
      <c r="L21">
        <f t="shared" si="5"/>
        <v>5</v>
      </c>
      <c r="M21" s="2">
        <f t="shared" si="6"/>
        <v>50.354044117646929</v>
      </c>
      <c r="N21" s="2">
        <f t="shared" si="7"/>
        <v>25.357720588235249</v>
      </c>
      <c r="O21" s="2">
        <f t="shared" si="8"/>
        <v>22.773529411764681</v>
      </c>
      <c r="P21" s="2">
        <f t="shared" si="9"/>
        <v>8.0525735294117435</v>
      </c>
      <c r="Q21" s="2">
        <f t="shared" si="10"/>
        <v>0.99999999999997746</v>
      </c>
      <c r="R21" s="2">
        <f t="shared" si="11"/>
        <v>2.9503676470587985</v>
      </c>
      <c r="S21" s="2">
        <f t="shared" si="12"/>
        <v>75.350367649140011</v>
      </c>
      <c r="T21" s="2">
        <f t="shared" si="13"/>
        <v>17.366544118395975</v>
      </c>
      <c r="U21" s="1">
        <f t="shared" si="14"/>
        <v>10.596145450660314</v>
      </c>
      <c r="V21" s="1">
        <f t="shared" si="15"/>
        <v>3.2025275735294083</v>
      </c>
      <c r="W21" s="1">
        <f t="shared" si="16"/>
        <v>1.0581341911881703</v>
      </c>
      <c r="Y21">
        <v>7.2597947761194007E-2</v>
      </c>
      <c r="Z21">
        <v>4.6245335820895399E-2</v>
      </c>
      <c r="AA21">
        <v>6.8120335820895495E-2</v>
      </c>
      <c r="AB21">
        <v>0.22873134328358199</v>
      </c>
      <c r="AC21">
        <v>7.8125E-2</v>
      </c>
      <c r="AD21">
        <v>0.19593013275349</v>
      </c>
      <c r="AE21">
        <v>9.8668173495078795E-2</v>
      </c>
      <c r="AF21">
        <v>8.8612954909590202E-2</v>
      </c>
      <c r="AG21">
        <v>3.1332970931563203E-2</v>
      </c>
      <c r="AH21">
        <v>3.8910505836575E-3</v>
      </c>
      <c r="AI21">
        <v>1.1480029755092601E-2</v>
      </c>
      <c r="AJ21">
        <v>29.319209202</v>
      </c>
      <c r="AK21">
        <v>6.7574101627999896</v>
      </c>
    </row>
    <row r="22" spans="1:37" x14ac:dyDescent="0.4">
      <c r="A22" t="s">
        <v>115</v>
      </c>
      <c r="B22" t="s">
        <v>117</v>
      </c>
      <c r="C22">
        <v>0</v>
      </c>
      <c r="D22">
        <v>52</v>
      </c>
      <c r="E22">
        <v>53</v>
      </c>
      <c r="F22">
        <v>219</v>
      </c>
      <c r="G22" s="2">
        <f t="shared" si="0"/>
        <v>2.8799999999999959</v>
      </c>
      <c r="H22" s="2">
        <f t="shared" si="1"/>
        <v>2.8799999999999959</v>
      </c>
      <c r="I22" s="2">
        <f t="shared" si="2"/>
        <v>22.519999999999996</v>
      </c>
      <c r="J22" s="2">
        <f t="shared" si="3"/>
        <v>4.6199999999999974</v>
      </c>
      <c r="K22" s="2">
        <f t="shared" si="4"/>
        <v>27.139999999999993</v>
      </c>
      <c r="L22">
        <f t="shared" si="5"/>
        <v>3.9999999999999987</v>
      </c>
      <c r="M22" s="2">
        <f t="shared" si="6"/>
        <v>41.107199999999978</v>
      </c>
      <c r="N22" s="2">
        <f t="shared" si="7"/>
        <v>20.090399999999985</v>
      </c>
      <c r="O22" s="2">
        <f t="shared" si="8"/>
        <v>18.877199999999977</v>
      </c>
      <c r="P22" s="2">
        <f t="shared" si="9"/>
        <v>5.1791999999999891</v>
      </c>
      <c r="Q22" s="2">
        <f t="shared" si="10"/>
        <v>1</v>
      </c>
      <c r="R22" s="2">
        <f t="shared" si="11"/>
        <v>2.1883999999999997</v>
      </c>
      <c r="S22" s="2">
        <f t="shared" si="12"/>
        <v>59.397600000389779</v>
      </c>
      <c r="T22" s="2">
        <f t="shared" si="13"/>
        <v>20.103599999786997</v>
      </c>
      <c r="U22" s="1">
        <f t="shared" si="14"/>
        <v>10.086384905726566</v>
      </c>
      <c r="V22" s="1">
        <f t="shared" si="15"/>
        <v>3.2055622641509394</v>
      </c>
      <c r="W22" s="1">
        <f t="shared" si="16"/>
        <v>1.1549207547129616</v>
      </c>
      <c r="Y22">
        <v>5.5384615384615303E-2</v>
      </c>
      <c r="Z22">
        <v>5.5384615384615303E-2</v>
      </c>
      <c r="AA22">
        <v>0.43307692307692303</v>
      </c>
      <c r="AB22">
        <v>8.8846153846153797E-2</v>
      </c>
      <c r="AC22">
        <v>7.69230769230769E-2</v>
      </c>
      <c r="AD22">
        <v>0.18770410958904099</v>
      </c>
      <c r="AE22">
        <v>9.1736986301369797E-2</v>
      </c>
      <c r="AF22">
        <v>8.6197260273972495E-2</v>
      </c>
      <c r="AG22">
        <v>2.3649315068493101E-2</v>
      </c>
      <c r="AH22">
        <v>4.5662100456621002E-3</v>
      </c>
      <c r="AI22">
        <v>9.99269406392694E-3</v>
      </c>
      <c r="AJ22">
        <v>27.122191780999898</v>
      </c>
      <c r="AK22">
        <v>9.1797260272999992</v>
      </c>
    </row>
    <row r="23" spans="1:37" x14ac:dyDescent="0.4">
      <c r="A23" t="s">
        <v>60</v>
      </c>
      <c r="B23" s="3" t="s">
        <v>61</v>
      </c>
      <c r="C23">
        <v>0</v>
      </c>
      <c r="D23">
        <v>56</v>
      </c>
      <c r="E23">
        <v>59.33</v>
      </c>
      <c r="F23">
        <v>251</v>
      </c>
      <c r="G23" s="2">
        <f t="shared" si="0"/>
        <v>2.899999999999995</v>
      </c>
      <c r="H23" s="2">
        <f t="shared" si="1"/>
        <v>2.899999999999995</v>
      </c>
      <c r="I23" s="2">
        <f t="shared" si="2"/>
        <v>22.766666666666662</v>
      </c>
      <c r="J23" s="2">
        <f t="shared" si="3"/>
        <v>6.2333333333332881</v>
      </c>
      <c r="K23" s="2">
        <f t="shared" si="4"/>
        <v>28.99999999999995</v>
      </c>
      <c r="L23">
        <f t="shared" si="5"/>
        <v>2.999999999999996</v>
      </c>
      <c r="M23" s="2">
        <f t="shared" si="6"/>
        <v>43.93584905660358</v>
      </c>
      <c r="N23" s="2">
        <f t="shared" si="7"/>
        <v>23.112452830188637</v>
      </c>
      <c r="O23" s="2">
        <f t="shared" si="8"/>
        <v>21.186415094339601</v>
      </c>
      <c r="P23" s="2">
        <f t="shared" si="9"/>
        <v>5.4781132075471533</v>
      </c>
      <c r="Q23" s="2">
        <f t="shared" si="10"/>
        <v>0</v>
      </c>
      <c r="R23" s="2">
        <f t="shared" si="11"/>
        <v>3.6524528301886496</v>
      </c>
      <c r="S23" s="2">
        <f t="shared" si="12"/>
        <v>71.026415090300006</v>
      </c>
      <c r="T23" s="2">
        <f t="shared" si="13"/>
        <v>29.31660377572975</v>
      </c>
      <c r="U23" s="1">
        <f t="shared" si="14"/>
        <v>10.774275001056802</v>
      </c>
      <c r="V23" s="1">
        <f t="shared" si="15"/>
        <v>3.2138502587064961</v>
      </c>
      <c r="W23" s="1">
        <f t="shared" si="16"/>
        <v>1.2346612646609361</v>
      </c>
      <c r="Y23">
        <v>5.1785714285714199E-2</v>
      </c>
      <c r="Z23">
        <v>5.1785714285714199E-2</v>
      </c>
      <c r="AA23">
        <v>0.40654761904761899</v>
      </c>
      <c r="AB23">
        <v>0.111309523809523</v>
      </c>
      <c r="AC23">
        <v>5.3571428571428499E-2</v>
      </c>
      <c r="AD23">
        <v>0.175043223333082</v>
      </c>
      <c r="AE23">
        <v>9.2081485379237604E-2</v>
      </c>
      <c r="AF23">
        <v>8.4408028264301202E-2</v>
      </c>
      <c r="AG23">
        <v>2.18251522213034E-2</v>
      </c>
      <c r="AH23">
        <v>0</v>
      </c>
      <c r="AI23">
        <v>1.4551604901149999E-2</v>
      </c>
      <c r="AJ23">
        <v>28.297376530000001</v>
      </c>
      <c r="AK23">
        <v>11.6799218229999</v>
      </c>
    </row>
    <row r="24" spans="1:37" x14ac:dyDescent="0.4">
      <c r="A24" t="s">
        <v>118</v>
      </c>
      <c r="B24" t="s">
        <v>119</v>
      </c>
      <c r="C24">
        <v>0</v>
      </c>
      <c r="D24">
        <v>55</v>
      </c>
      <c r="E24">
        <v>56</v>
      </c>
      <c r="F24">
        <v>227</v>
      </c>
      <c r="G24" s="2">
        <f t="shared" si="0"/>
        <v>2.9534482758620619</v>
      </c>
      <c r="H24" s="2">
        <f t="shared" si="1"/>
        <v>2.2534482758620635</v>
      </c>
      <c r="I24" s="2">
        <f t="shared" si="2"/>
        <v>11.989655172413766</v>
      </c>
      <c r="J24" s="2">
        <f t="shared" si="3"/>
        <v>10.106896551724114</v>
      </c>
      <c r="K24" s="2">
        <f t="shared" si="4"/>
        <v>22.096551724137882</v>
      </c>
      <c r="L24">
        <f t="shared" si="5"/>
        <v>2.9999999999999978</v>
      </c>
      <c r="M24" s="2">
        <f t="shared" si="6"/>
        <v>50.093670886075905</v>
      </c>
      <c r="N24" s="2">
        <f t="shared" si="7"/>
        <v>22.020675105485211</v>
      </c>
      <c r="O24" s="2">
        <f t="shared" si="8"/>
        <v>20.079746835443011</v>
      </c>
      <c r="P24" s="2">
        <f t="shared" si="9"/>
        <v>5.8227848101265653</v>
      </c>
      <c r="Q24" s="2">
        <f t="shared" si="10"/>
        <v>0.99999999999999201</v>
      </c>
      <c r="R24" s="2">
        <f t="shared" si="11"/>
        <v>1.9746835443037813</v>
      </c>
      <c r="S24" s="2">
        <f t="shared" si="12"/>
        <v>56.957383967519775</v>
      </c>
      <c r="T24" s="2">
        <f t="shared" si="13"/>
        <v>12.086497890473</v>
      </c>
      <c r="U24" s="1">
        <f t="shared" si="14"/>
        <v>9.153865280494248</v>
      </c>
      <c r="V24" s="1">
        <f t="shared" si="15"/>
        <v>3.2271021699819125</v>
      </c>
      <c r="W24" s="1">
        <f t="shared" si="16"/>
        <v>1.1103601567240875</v>
      </c>
      <c r="Y24">
        <v>5.3699059561128401E-2</v>
      </c>
      <c r="Z24">
        <v>4.0971786833855703E-2</v>
      </c>
      <c r="AA24">
        <v>0.21799373040752301</v>
      </c>
      <c r="AB24">
        <v>0.18376175548589299</v>
      </c>
      <c r="AC24">
        <v>5.4545454545454501E-2</v>
      </c>
      <c r="AD24">
        <v>0.22067696425584099</v>
      </c>
      <c r="AE24">
        <v>9.7007379319318104E-2</v>
      </c>
      <c r="AF24">
        <v>8.8457034517370095E-2</v>
      </c>
      <c r="AG24">
        <v>2.56510344058439E-2</v>
      </c>
      <c r="AH24">
        <v>4.4052863436122996E-3</v>
      </c>
      <c r="AI24">
        <v>8.6990464506774504E-3</v>
      </c>
      <c r="AJ24">
        <v>25.091358575999902</v>
      </c>
      <c r="AK24">
        <v>5.3244484098999996</v>
      </c>
    </row>
    <row r="25" spans="1:37" x14ac:dyDescent="0.4">
      <c r="A25" t="s">
        <v>22</v>
      </c>
      <c r="B25" t="s">
        <v>26</v>
      </c>
      <c r="C25">
        <v>0</v>
      </c>
      <c r="D25">
        <v>66</v>
      </c>
      <c r="E25">
        <v>67</v>
      </c>
      <c r="F25">
        <v>271</v>
      </c>
      <c r="G25" s="2">
        <f t="shared" si="0"/>
        <v>4.6647058823529388</v>
      </c>
      <c r="H25" s="2">
        <f t="shared" si="1"/>
        <v>2.9735294117647006</v>
      </c>
      <c r="I25" s="2">
        <f t="shared" si="2"/>
        <v>33.117647058823465</v>
      </c>
      <c r="J25" s="2">
        <f t="shared" si="3"/>
        <v>2.3911764705882304</v>
      </c>
      <c r="K25" s="2">
        <f t="shared" si="4"/>
        <v>35.508823529411693</v>
      </c>
      <c r="L25">
        <f t="shared" si="5"/>
        <v>3.9999999999999996</v>
      </c>
      <c r="M25" s="2">
        <f t="shared" si="6"/>
        <v>56.255160142348615</v>
      </c>
      <c r="N25" s="2">
        <f t="shared" si="7"/>
        <v>26.702491103202838</v>
      </c>
      <c r="O25" s="2">
        <f t="shared" si="8"/>
        <v>24.077224199288228</v>
      </c>
      <c r="P25" s="2">
        <f t="shared" si="9"/>
        <v>7.5007117437722126</v>
      </c>
      <c r="Q25" s="2">
        <f t="shared" si="10"/>
        <v>1.999999999999998</v>
      </c>
      <c r="R25" s="2">
        <f t="shared" si="11"/>
        <v>2.9679715302490899</v>
      </c>
      <c r="S25" s="2">
        <f t="shared" si="12"/>
        <v>72.23167259745972</v>
      </c>
      <c r="T25" s="2">
        <f t="shared" si="13"/>
        <v>18.301779358966996</v>
      </c>
      <c r="U25" s="1">
        <f t="shared" si="14"/>
        <v>9.7027619907035429</v>
      </c>
      <c r="V25" s="1">
        <f t="shared" si="15"/>
        <v>3.234253996919314</v>
      </c>
      <c r="W25" s="1">
        <f t="shared" si="16"/>
        <v>1.1127901418106807</v>
      </c>
      <c r="Y25">
        <v>7.0677361853832402E-2</v>
      </c>
      <c r="Z25">
        <v>4.5053475935828799E-2</v>
      </c>
      <c r="AA25">
        <v>0.50178253119429495</v>
      </c>
      <c r="AB25">
        <v>3.6229946524064097E-2</v>
      </c>
      <c r="AC25">
        <v>6.0606060606060601E-2</v>
      </c>
      <c r="AD25">
        <v>0.207583616761434</v>
      </c>
      <c r="AE25">
        <v>9.8533177502593494E-2</v>
      </c>
      <c r="AF25">
        <v>8.8845845753831101E-2</v>
      </c>
      <c r="AG25">
        <v>2.76779031135506E-2</v>
      </c>
      <c r="AH25">
        <v>7.3800738007380002E-3</v>
      </c>
      <c r="AI25">
        <v>1.0951924465863801E-2</v>
      </c>
      <c r="AJ25">
        <v>26.653753725999898</v>
      </c>
      <c r="AK25">
        <v>6.7534241176999998</v>
      </c>
    </row>
    <row r="26" spans="1:37" x14ac:dyDescent="0.4">
      <c r="A26" t="s">
        <v>90</v>
      </c>
      <c r="B26" t="s">
        <v>92</v>
      </c>
      <c r="C26">
        <v>0</v>
      </c>
      <c r="D26">
        <v>60</v>
      </c>
      <c r="E26">
        <v>57.67</v>
      </c>
      <c r="F26">
        <v>244</v>
      </c>
      <c r="G26" s="2">
        <f t="shared" si="0"/>
        <v>2.9999999999999938</v>
      </c>
      <c r="H26" s="2">
        <f t="shared" si="1"/>
        <v>2.9999999999999938</v>
      </c>
      <c r="I26" s="2">
        <f t="shared" si="2"/>
        <v>3.6999999999999957</v>
      </c>
      <c r="J26" s="2">
        <f t="shared" si="3"/>
        <v>12.799999999999979</v>
      </c>
      <c r="K26" s="2">
        <f t="shared" si="4"/>
        <v>16.499999999999975</v>
      </c>
      <c r="L26">
        <f t="shared" si="5"/>
        <v>3</v>
      </c>
      <c r="M26" s="2">
        <f t="shared" si="6"/>
        <v>46.504743083003817</v>
      </c>
      <c r="N26" s="2">
        <f t="shared" si="7"/>
        <v>22.727272727272723</v>
      </c>
      <c r="O26" s="2">
        <f t="shared" si="8"/>
        <v>20.777075098814198</v>
      </c>
      <c r="P26" s="2">
        <f t="shared" si="9"/>
        <v>4.8754940711462158</v>
      </c>
      <c r="Q26" s="2">
        <f t="shared" si="10"/>
        <v>1.9999999999999976</v>
      </c>
      <c r="R26" s="2">
        <f t="shared" si="11"/>
        <v>2.9679841897232939</v>
      </c>
      <c r="S26" s="2">
        <f t="shared" si="12"/>
        <v>67.056916998079757</v>
      </c>
      <c r="T26" s="2">
        <f t="shared" si="13"/>
        <v>25.652569166359754</v>
      </c>
      <c r="U26" s="1">
        <f t="shared" si="14"/>
        <v>10.464925489556403</v>
      </c>
      <c r="V26" s="1">
        <f t="shared" si="15"/>
        <v>3.2424774733713848</v>
      </c>
      <c r="W26" s="1">
        <f t="shared" si="16"/>
        <v>1.2512105470671677</v>
      </c>
      <c r="Y26">
        <v>4.9999999999999899E-2</v>
      </c>
      <c r="Z26">
        <v>4.9999999999999899E-2</v>
      </c>
      <c r="AA26">
        <v>6.1666666666666599E-2</v>
      </c>
      <c r="AB26">
        <v>0.21333333333333299</v>
      </c>
      <c r="AC26">
        <v>0.05</v>
      </c>
      <c r="AD26">
        <v>0.19059320935657301</v>
      </c>
      <c r="AE26">
        <v>9.3144560357675099E-2</v>
      </c>
      <c r="AF26">
        <v>8.5151947126287694E-2</v>
      </c>
      <c r="AG26">
        <v>1.9981533078468099E-2</v>
      </c>
      <c r="AH26">
        <v>8.1967213114753999E-3</v>
      </c>
      <c r="AI26">
        <v>1.21638696300135E-2</v>
      </c>
      <c r="AJ26">
        <v>27.4823430319999</v>
      </c>
      <c r="AK26">
        <v>10.513348018999899</v>
      </c>
    </row>
    <row r="27" spans="1:37" x14ac:dyDescent="0.4">
      <c r="A27" t="s">
        <v>62</v>
      </c>
      <c r="B27" t="s">
        <v>64</v>
      </c>
      <c r="C27">
        <v>0</v>
      </c>
      <c r="D27">
        <v>60</v>
      </c>
      <c r="E27">
        <v>58.33</v>
      </c>
      <c r="F27">
        <v>240</v>
      </c>
      <c r="G27" s="2">
        <f t="shared" si="0"/>
        <v>3.7642857142857062</v>
      </c>
      <c r="H27" s="2">
        <f t="shared" si="1"/>
        <v>2.3642857142857077</v>
      </c>
      <c r="I27" s="2">
        <f t="shared" si="2"/>
        <v>3.4999999999999978</v>
      </c>
      <c r="J27" s="2">
        <f t="shared" si="3"/>
        <v>13.657142857142819</v>
      </c>
      <c r="K27" s="2">
        <f t="shared" si="4"/>
        <v>17.157142857142816</v>
      </c>
      <c r="L27">
        <f t="shared" si="5"/>
        <v>3</v>
      </c>
      <c r="M27" s="2">
        <f t="shared" si="6"/>
        <v>47.446351931330405</v>
      </c>
      <c r="N27" s="2">
        <f t="shared" si="7"/>
        <v>22.341630901287527</v>
      </c>
      <c r="O27" s="2">
        <f t="shared" si="8"/>
        <v>21.020600858369065</v>
      </c>
      <c r="P27" s="2">
        <f t="shared" si="9"/>
        <v>6.126180257510712</v>
      </c>
      <c r="Q27" s="2">
        <f t="shared" si="10"/>
        <v>0.99999999999998401</v>
      </c>
      <c r="R27" s="2">
        <f t="shared" si="11"/>
        <v>2.0180257510729511</v>
      </c>
      <c r="S27" s="2">
        <f t="shared" si="12"/>
        <v>65.645922746400004</v>
      </c>
      <c r="T27" s="2">
        <f t="shared" si="13"/>
        <v>18.378540771839976</v>
      </c>
      <c r="U27" s="1">
        <f t="shared" si="14"/>
        <v>10.128806869837135</v>
      </c>
      <c r="V27" s="1">
        <f t="shared" si="15"/>
        <v>3.2433637532199828</v>
      </c>
      <c r="W27" s="1">
        <f t="shared" si="16"/>
        <v>1.1284912172667645</v>
      </c>
      <c r="Y27">
        <v>6.2738095238095107E-2</v>
      </c>
      <c r="Z27">
        <v>3.9404761904761797E-2</v>
      </c>
      <c r="AA27">
        <v>5.83333333333333E-2</v>
      </c>
      <c r="AB27">
        <v>0.227619047619047</v>
      </c>
      <c r="AC27">
        <v>0.05</v>
      </c>
      <c r="AD27">
        <v>0.19769313304721001</v>
      </c>
      <c r="AE27">
        <v>9.3090128755364696E-2</v>
      </c>
      <c r="AF27">
        <v>8.7585836909871095E-2</v>
      </c>
      <c r="AG27">
        <v>2.5525751072961299E-2</v>
      </c>
      <c r="AH27">
        <v>4.1666666666665998E-3</v>
      </c>
      <c r="AI27">
        <v>8.4084406294706298E-3</v>
      </c>
      <c r="AJ27">
        <v>27.352467811</v>
      </c>
      <c r="AK27">
        <v>7.6577253215999903</v>
      </c>
    </row>
    <row r="28" spans="1:37" x14ac:dyDescent="0.4">
      <c r="A28" t="s">
        <v>31</v>
      </c>
      <c r="B28" t="s">
        <v>32</v>
      </c>
      <c r="C28">
        <v>0</v>
      </c>
      <c r="D28">
        <v>63</v>
      </c>
      <c r="E28">
        <v>60</v>
      </c>
      <c r="F28">
        <v>257</v>
      </c>
      <c r="G28" s="2">
        <f t="shared" si="0"/>
        <v>4.3859374999999963</v>
      </c>
      <c r="H28" s="2">
        <f t="shared" si="1"/>
        <v>3.6859374999999908</v>
      </c>
      <c r="I28" s="2">
        <f t="shared" si="2"/>
        <v>11.943749999999978</v>
      </c>
      <c r="J28" s="2">
        <f t="shared" si="3"/>
        <v>12.457812499999964</v>
      </c>
      <c r="K28" s="2">
        <f t="shared" si="4"/>
        <v>24.40156249999994</v>
      </c>
      <c r="L28">
        <f t="shared" si="5"/>
        <v>3.9999999999999947</v>
      </c>
      <c r="M28" s="2">
        <f t="shared" si="6"/>
        <v>43.107089552238627</v>
      </c>
      <c r="N28" s="2">
        <f t="shared" si="7"/>
        <v>23.610447761194003</v>
      </c>
      <c r="O28" s="2">
        <f t="shared" si="8"/>
        <v>21.667910447761162</v>
      </c>
      <c r="P28" s="2">
        <f t="shared" si="9"/>
        <v>5.5276119402984927</v>
      </c>
      <c r="Q28" s="2">
        <f t="shared" si="10"/>
        <v>0.99999999999997746</v>
      </c>
      <c r="R28" s="2">
        <f t="shared" si="11"/>
        <v>2.963059701492508</v>
      </c>
      <c r="S28" s="2">
        <f t="shared" si="12"/>
        <v>86.814179103389989</v>
      </c>
      <c r="T28" s="2">
        <f t="shared" si="13"/>
        <v>34.965671639279996</v>
      </c>
      <c r="U28" s="1">
        <f t="shared" si="14"/>
        <v>13.022126865508499</v>
      </c>
      <c r="V28" s="1">
        <f t="shared" si="15"/>
        <v>3.2501865671641745</v>
      </c>
      <c r="W28" s="1">
        <f t="shared" si="16"/>
        <v>1.3012126865253104</v>
      </c>
      <c r="Y28">
        <v>6.9618055555555503E-2</v>
      </c>
      <c r="Z28">
        <v>5.8506944444444299E-2</v>
      </c>
      <c r="AA28">
        <v>0.18958333333333299</v>
      </c>
      <c r="AB28">
        <v>0.19774305555555499</v>
      </c>
      <c r="AC28">
        <v>6.3492063492063405E-2</v>
      </c>
      <c r="AD28">
        <v>0.167731865962018</v>
      </c>
      <c r="AE28">
        <v>9.1869446541610902E-2</v>
      </c>
      <c r="AF28">
        <v>8.4310935594401407E-2</v>
      </c>
      <c r="AG28">
        <v>2.1508217666531101E-2</v>
      </c>
      <c r="AH28">
        <v>3.8910505836575E-3</v>
      </c>
      <c r="AI28">
        <v>1.15294151809047E-2</v>
      </c>
      <c r="AJ28">
        <v>33.779836226999997</v>
      </c>
      <c r="AK28">
        <v>13.605319703999999</v>
      </c>
    </row>
    <row r="29" spans="1:37" x14ac:dyDescent="0.4">
      <c r="A29" t="s">
        <v>106</v>
      </c>
      <c r="B29" t="s">
        <v>107</v>
      </c>
      <c r="C29">
        <v>0</v>
      </c>
      <c r="D29">
        <v>64</v>
      </c>
      <c r="E29">
        <v>64.67</v>
      </c>
      <c r="F29">
        <v>276</v>
      </c>
      <c r="G29" s="2">
        <f t="shared" si="0"/>
        <v>4.4290322580645123</v>
      </c>
      <c r="H29" s="2">
        <f t="shared" si="1"/>
        <v>3.7290322580645121</v>
      </c>
      <c r="I29" s="2">
        <f t="shared" si="2"/>
        <v>10.096774193548352</v>
      </c>
      <c r="J29" s="2">
        <f t="shared" si="3"/>
        <v>13.516129032258048</v>
      </c>
      <c r="K29" s="2">
        <f t="shared" si="4"/>
        <v>23.612903225806399</v>
      </c>
      <c r="L29">
        <f t="shared" si="5"/>
        <v>5</v>
      </c>
      <c r="M29" s="2">
        <f t="shared" si="6"/>
        <v>52.310769230768997</v>
      </c>
      <c r="N29" s="2">
        <f t="shared" si="7"/>
        <v>25.49076923076921</v>
      </c>
      <c r="O29" s="2">
        <f t="shared" si="8"/>
        <v>23.404615384615347</v>
      </c>
      <c r="P29" s="2">
        <f t="shared" si="9"/>
        <v>4.472307692307659</v>
      </c>
      <c r="Q29" s="2">
        <f t="shared" si="10"/>
        <v>1.9999999999999993</v>
      </c>
      <c r="R29" s="2">
        <f t="shared" si="11"/>
        <v>3.0553846153845949</v>
      </c>
      <c r="S29" s="2">
        <f t="shared" si="12"/>
        <v>78.087692300879709</v>
      </c>
      <c r="T29" s="2">
        <f t="shared" si="13"/>
        <v>30.106153849319725</v>
      </c>
      <c r="U29" s="1">
        <f t="shared" si="14"/>
        <v>10.867314530816721</v>
      </c>
      <c r="V29" s="1">
        <f t="shared" si="15"/>
        <v>3.2571754826277739</v>
      </c>
      <c r="W29" s="1">
        <f t="shared" si="16"/>
        <v>1.2744228093410968</v>
      </c>
      <c r="Y29">
        <v>6.9203629032258004E-2</v>
      </c>
      <c r="Z29">
        <v>5.8266129032258002E-2</v>
      </c>
      <c r="AA29">
        <v>0.15776209677419301</v>
      </c>
      <c r="AB29">
        <v>0.211189516129032</v>
      </c>
      <c r="AC29">
        <v>7.8125E-2</v>
      </c>
      <c r="AD29">
        <v>0.18953177257525</v>
      </c>
      <c r="AE29">
        <v>9.2357859531772502E-2</v>
      </c>
      <c r="AF29">
        <v>8.4799331103678793E-2</v>
      </c>
      <c r="AG29">
        <v>1.6204013377926301E-2</v>
      </c>
      <c r="AH29">
        <v>7.2463768115942004E-3</v>
      </c>
      <c r="AI29">
        <v>1.10702341137123E-2</v>
      </c>
      <c r="AJ29">
        <v>28.292642137999898</v>
      </c>
      <c r="AK29">
        <v>10.908026756999901</v>
      </c>
    </row>
    <row r="30" spans="1:37" x14ac:dyDescent="0.4">
      <c r="A30" t="s">
        <v>15</v>
      </c>
      <c r="B30" t="s">
        <v>16</v>
      </c>
      <c r="C30">
        <v>0</v>
      </c>
      <c r="D30">
        <v>63</v>
      </c>
      <c r="E30">
        <v>64.67</v>
      </c>
      <c r="F30">
        <v>267</v>
      </c>
      <c r="G30" s="2">
        <f t="shared" si="0"/>
        <v>4.372307692307686</v>
      </c>
      <c r="H30" s="2">
        <f t="shared" si="1"/>
        <v>3.6723076923076863</v>
      </c>
      <c r="I30" s="2">
        <f t="shared" si="2"/>
        <v>13.05230769230768</v>
      </c>
      <c r="J30" s="2">
        <f t="shared" si="3"/>
        <v>12.826153846153808</v>
      </c>
      <c r="K30" s="2">
        <f t="shared" si="4"/>
        <v>25.878461538461487</v>
      </c>
      <c r="L30">
        <f t="shared" si="5"/>
        <v>3.9999999999999947</v>
      </c>
      <c r="M30" s="2">
        <f t="shared" si="6"/>
        <v>54.13173431734306</v>
      </c>
      <c r="N30" s="2">
        <f t="shared" si="7"/>
        <v>26.421033210332084</v>
      </c>
      <c r="O30" s="2">
        <f t="shared" si="8"/>
        <v>23.752029520295171</v>
      </c>
      <c r="P30" s="2">
        <f t="shared" si="9"/>
        <v>6.9276752767527512</v>
      </c>
      <c r="Q30" s="2">
        <f t="shared" si="10"/>
        <v>1.9999999999999867</v>
      </c>
      <c r="R30" s="2">
        <f t="shared" si="11"/>
        <v>2.9867158671586322</v>
      </c>
      <c r="S30" s="2">
        <f t="shared" si="12"/>
        <v>74.825092245059992</v>
      </c>
      <c r="T30" s="2">
        <f t="shared" si="13"/>
        <v>22.462361624273999</v>
      </c>
      <c r="U30" s="1">
        <f t="shared" si="14"/>
        <v>10.413264731800524</v>
      </c>
      <c r="V30" s="1">
        <f t="shared" si="15"/>
        <v>3.3055244422863233</v>
      </c>
      <c r="W30" s="1">
        <f t="shared" si="16"/>
        <v>1.1843837318944959</v>
      </c>
      <c r="Y30">
        <v>6.9401709401709297E-2</v>
      </c>
      <c r="Z30">
        <v>5.8290598290598197E-2</v>
      </c>
      <c r="AA30">
        <v>0.207179487179487</v>
      </c>
      <c r="AB30">
        <v>0.20358974358974299</v>
      </c>
      <c r="AC30">
        <v>6.3492063492063405E-2</v>
      </c>
      <c r="AD30">
        <v>0.202740577967577</v>
      </c>
      <c r="AE30">
        <v>9.8955180563041506E-2</v>
      </c>
      <c r="AF30">
        <v>8.8958912061030598E-2</v>
      </c>
      <c r="AG30">
        <v>2.59463493511339E-2</v>
      </c>
      <c r="AH30">
        <v>7.4906367041198E-3</v>
      </c>
      <c r="AI30">
        <v>1.1186201749657799E-2</v>
      </c>
      <c r="AJ30">
        <v>28.024379117999999</v>
      </c>
      <c r="AK30">
        <v>8.4128695221999994</v>
      </c>
    </row>
    <row r="31" spans="1:37" x14ac:dyDescent="0.4">
      <c r="B31" t="s">
        <v>125</v>
      </c>
      <c r="C31">
        <v>0</v>
      </c>
      <c r="D31">
        <v>46</v>
      </c>
      <c r="E31">
        <v>51.33</v>
      </c>
      <c r="F31">
        <v>213</v>
      </c>
      <c r="G31" s="2">
        <f t="shared" si="0"/>
        <v>2.7369230769230715</v>
      </c>
      <c r="H31" s="2">
        <f t="shared" si="1"/>
        <v>2.7369230769230715</v>
      </c>
      <c r="I31" s="2">
        <f t="shared" si="2"/>
        <v>2.7999999999999954</v>
      </c>
      <c r="J31" s="2">
        <f t="shared" si="3"/>
        <v>6.9999999999999876</v>
      </c>
      <c r="K31" s="2">
        <f t="shared" si="4"/>
        <v>9.7999999999999829</v>
      </c>
      <c r="L31">
        <f t="shared" si="5"/>
        <v>4.9999999999999982</v>
      </c>
      <c r="M31" s="2">
        <f t="shared" si="6"/>
        <v>40.256249999999909</v>
      </c>
      <c r="N31" s="2">
        <f t="shared" si="7"/>
        <v>20.252205882352921</v>
      </c>
      <c r="O31" s="2">
        <f t="shared" si="8"/>
        <v>18.855882352941148</v>
      </c>
      <c r="P31" s="2">
        <f t="shared" si="9"/>
        <v>5.337132352941155</v>
      </c>
      <c r="Q31" s="2">
        <f t="shared" si="10"/>
        <v>0.99999999999998435</v>
      </c>
      <c r="R31" s="2">
        <f t="shared" si="11"/>
        <v>2.8047794117646783</v>
      </c>
      <c r="S31" s="2">
        <f t="shared" si="12"/>
        <v>61.656617650499783</v>
      </c>
      <c r="T31" s="2">
        <f t="shared" si="13"/>
        <v>21.348529416468001</v>
      </c>
      <c r="U31" s="1">
        <f t="shared" si="14"/>
        <v>10.810628460052564</v>
      </c>
      <c r="V31" s="1">
        <f t="shared" si="15"/>
        <v>3.3061161343555487</v>
      </c>
      <c r="W31" s="1">
        <f t="shared" si="16"/>
        <v>1.2001710386999398</v>
      </c>
      <c r="Y31">
        <v>5.9498327759197202E-2</v>
      </c>
      <c r="Z31">
        <v>5.9498327759197202E-2</v>
      </c>
      <c r="AA31">
        <v>6.0869565217391203E-2</v>
      </c>
      <c r="AB31">
        <v>0.15217391304347799</v>
      </c>
      <c r="AC31">
        <v>0.108695652173913</v>
      </c>
      <c r="AD31">
        <v>0.188996478873239</v>
      </c>
      <c r="AE31">
        <v>9.50807787903893E-2</v>
      </c>
      <c r="AF31">
        <v>8.8525269262634501E-2</v>
      </c>
      <c r="AG31">
        <v>2.5056959403479601E-2</v>
      </c>
      <c r="AH31">
        <v>4.6948356807511001E-3</v>
      </c>
      <c r="AI31">
        <v>1.3167978458989101E-2</v>
      </c>
      <c r="AJ31">
        <v>28.946768849999899</v>
      </c>
      <c r="AK31">
        <v>10.0227837636</v>
      </c>
    </row>
    <row r="32" spans="1:37" x14ac:dyDescent="0.4">
      <c r="A32" t="s">
        <v>62</v>
      </c>
      <c r="B32" t="s">
        <v>63</v>
      </c>
      <c r="C32">
        <v>0</v>
      </c>
      <c r="D32">
        <v>55</v>
      </c>
      <c r="E32">
        <v>54.67</v>
      </c>
      <c r="F32">
        <v>226</v>
      </c>
      <c r="G32" s="2">
        <f t="shared" si="0"/>
        <v>4.3389830508474558</v>
      </c>
      <c r="H32" s="2">
        <f t="shared" si="1"/>
        <v>2.9389830508474533</v>
      </c>
      <c r="I32" s="2">
        <f t="shared" si="2"/>
        <v>4.8983050847457594</v>
      </c>
      <c r="J32" s="2">
        <f t="shared" si="3"/>
        <v>15.81525423728811</v>
      </c>
      <c r="K32" s="2">
        <f t="shared" si="4"/>
        <v>20.71355932203387</v>
      </c>
      <c r="L32">
        <f t="shared" si="5"/>
        <v>3.9999999999999982</v>
      </c>
      <c r="M32" s="2">
        <f t="shared" si="6"/>
        <v>46.554471544715298</v>
      </c>
      <c r="N32" s="2">
        <f t="shared" si="7"/>
        <v>22.034146341463412</v>
      </c>
      <c r="O32" s="2">
        <f t="shared" si="8"/>
        <v>20.147967479674762</v>
      </c>
      <c r="P32" s="2">
        <f t="shared" si="9"/>
        <v>6.3016260162601458</v>
      </c>
      <c r="Q32" s="2">
        <f t="shared" si="10"/>
        <v>0.99999999999998945</v>
      </c>
      <c r="R32" s="2">
        <f t="shared" si="11"/>
        <v>2.9268292682926735</v>
      </c>
      <c r="S32" s="2">
        <f t="shared" si="12"/>
        <v>60.443902437239771</v>
      </c>
      <c r="T32" s="2">
        <f t="shared" si="13"/>
        <v>16.375609756725975</v>
      </c>
      <c r="U32" s="1">
        <f t="shared" si="14"/>
        <v>9.9505235400614218</v>
      </c>
      <c r="V32" s="1">
        <f t="shared" si="15"/>
        <v>3.3168411801183986</v>
      </c>
      <c r="W32" s="1">
        <f t="shared" si="16"/>
        <v>1.151089835402255</v>
      </c>
      <c r="Y32">
        <v>7.8890600924499205E-2</v>
      </c>
      <c r="Z32">
        <v>5.3436055469953697E-2</v>
      </c>
      <c r="AA32">
        <v>8.9060092449922898E-2</v>
      </c>
      <c r="AB32">
        <v>0.28755007704160201</v>
      </c>
      <c r="AC32">
        <v>7.2727272727272696E-2</v>
      </c>
      <c r="AD32">
        <v>0.20599323692351901</v>
      </c>
      <c r="AE32">
        <v>9.7496222749838102E-2</v>
      </c>
      <c r="AF32">
        <v>8.9150298582631696E-2</v>
      </c>
      <c r="AG32">
        <v>2.7883300956903299E-2</v>
      </c>
      <c r="AH32">
        <v>4.4247787610619E-3</v>
      </c>
      <c r="AI32">
        <v>1.29505719835959E-2</v>
      </c>
      <c r="AJ32">
        <v>26.745089573999898</v>
      </c>
      <c r="AK32">
        <v>7.2458450250999897</v>
      </c>
    </row>
    <row r="33" spans="1:37" x14ac:dyDescent="0.4">
      <c r="A33" t="s">
        <v>50</v>
      </c>
      <c r="B33" s="3" t="s">
        <v>53</v>
      </c>
      <c r="C33">
        <v>1</v>
      </c>
      <c r="D33">
        <v>62</v>
      </c>
      <c r="E33">
        <v>72.33</v>
      </c>
      <c r="F33">
        <v>293</v>
      </c>
      <c r="G33" s="2">
        <f t="shared" si="0"/>
        <v>3.8333333333333264</v>
      </c>
      <c r="H33" s="2">
        <f t="shared" si="1"/>
        <v>3.133333333333324</v>
      </c>
      <c r="I33" s="2">
        <f t="shared" si="2"/>
        <v>5.7499999999999956</v>
      </c>
      <c r="J33" s="2">
        <f t="shared" si="3"/>
        <v>13.158333333333276</v>
      </c>
      <c r="K33" s="2">
        <f t="shared" si="4"/>
        <v>18.908333333333271</v>
      </c>
      <c r="L33">
        <f t="shared" si="5"/>
        <v>0.99999999999999889</v>
      </c>
      <c r="M33" s="2">
        <f t="shared" si="6"/>
        <v>62.209302325581234</v>
      </c>
      <c r="N33" s="2">
        <f t="shared" si="7"/>
        <v>29.523255813953448</v>
      </c>
      <c r="O33" s="2">
        <f t="shared" si="8"/>
        <v>26.879069767441845</v>
      </c>
      <c r="P33" s="2">
        <f t="shared" si="9"/>
        <v>7.5511627906976324</v>
      </c>
      <c r="Q33" s="2">
        <f t="shared" si="10"/>
        <v>0.99999999999998512</v>
      </c>
      <c r="R33" s="2">
        <f t="shared" si="11"/>
        <v>2.9760797342192373</v>
      </c>
      <c r="S33" s="2">
        <f t="shared" si="12"/>
        <v>62.509302317889698</v>
      </c>
      <c r="T33" s="2">
        <f t="shared" si="13"/>
        <v>18.727906976250001</v>
      </c>
      <c r="U33" s="1">
        <f t="shared" si="14"/>
        <v>7.7780135609153511</v>
      </c>
      <c r="V33" s="1">
        <f t="shared" si="15"/>
        <v>3.3445545127468077</v>
      </c>
      <c r="W33" s="1">
        <f t="shared" si="16"/>
        <v>1.1189991608161376</v>
      </c>
      <c r="Y33">
        <v>6.1827956989247201E-2</v>
      </c>
      <c r="Z33">
        <v>5.0537634408601997E-2</v>
      </c>
      <c r="AA33">
        <v>9.2741935483870899E-2</v>
      </c>
      <c r="AB33">
        <v>0.212231182795698</v>
      </c>
      <c r="AC33">
        <v>1.6129032258064498E-2</v>
      </c>
      <c r="AD33">
        <v>0.21231843797126701</v>
      </c>
      <c r="AE33">
        <v>0.100761965235336</v>
      </c>
      <c r="AF33">
        <v>9.1737439479323696E-2</v>
      </c>
      <c r="AG33">
        <v>2.5771886657671099E-2</v>
      </c>
      <c r="AH33">
        <v>3.4129692832763998E-3</v>
      </c>
      <c r="AI33">
        <v>1.01572687174718E-2</v>
      </c>
      <c r="AJ33">
        <v>21.334232872999898</v>
      </c>
      <c r="AK33">
        <v>6.3917771249999999</v>
      </c>
    </row>
    <row r="34" spans="1:37" x14ac:dyDescent="0.4">
      <c r="A34" t="s">
        <v>82</v>
      </c>
      <c r="B34" t="s">
        <v>83</v>
      </c>
      <c r="C34">
        <v>0</v>
      </c>
      <c r="D34">
        <v>55</v>
      </c>
      <c r="E34">
        <v>52.67</v>
      </c>
      <c r="F34">
        <v>216</v>
      </c>
      <c r="G34" s="2">
        <f t="shared" ref="G34:G65" si="17">$D34*Y34</f>
        <v>3.6839285714285674</v>
      </c>
      <c r="H34" s="2">
        <f t="shared" ref="H34:H65" si="18">$D34*Z34</f>
        <v>2.9839285714285686</v>
      </c>
      <c r="I34" s="2">
        <f t="shared" ref="I34:I65" si="19">$D34*AA34</f>
        <v>1.9892857142857105</v>
      </c>
      <c r="J34" s="2">
        <f t="shared" ref="J34:J65" si="20">$D34*AB34</f>
        <v>13.335714285714261</v>
      </c>
      <c r="K34" s="2">
        <f t="shared" ref="K34:K65" si="21">I34+J34</f>
        <v>15.324999999999971</v>
      </c>
      <c r="L34">
        <f t="shared" ref="L34:L65" si="22">$D34*AC34</f>
        <v>3.9999999999999982</v>
      </c>
      <c r="M34" s="2">
        <f t="shared" ref="M34:M65" si="23">$F34*AD34</f>
        <v>42.527586206896416</v>
      </c>
      <c r="N34" s="2">
        <f t="shared" ref="N34:N65" si="24">$F34*AE34</f>
        <v>21.28965517241377</v>
      </c>
      <c r="O34" s="2">
        <f t="shared" ref="O34:O65" si="25">$F34*AF34</f>
        <v>19.686206896551695</v>
      </c>
      <c r="P34" s="2">
        <f t="shared" ref="P34:P65" si="26">$F34*AG34</f>
        <v>5.7103448275861854</v>
      </c>
      <c r="Q34" s="2">
        <f t="shared" ref="Q34:Q65" si="27">$F34*AH34</f>
        <v>0.99999999999999356</v>
      </c>
      <c r="R34" s="2">
        <f t="shared" ref="R34:R65" si="28">$F34*AI34</f>
        <v>1.9586206896551623</v>
      </c>
      <c r="S34" s="2">
        <f t="shared" ref="S34:S65" si="29">$F34*(AJ34/100)</f>
        <v>58.406896551599999</v>
      </c>
      <c r="T34" s="2">
        <f t="shared" ref="T34:T65" si="30">$F34*(AK34/100)</f>
        <v>18.134482758119979</v>
      </c>
      <c r="U34" s="1">
        <f t="shared" ref="U34:U65" si="31">S34/E34*9</f>
        <v>9.9802936959255746</v>
      </c>
      <c r="V34" s="1">
        <f t="shared" ref="V34:V65" si="32">O34/E34*9</f>
        <v>3.3638857427181557</v>
      </c>
      <c r="W34" s="1">
        <f t="shared" ref="W34:W65" si="33">(T34+M34)/E34</f>
        <v>1.1517385412002352</v>
      </c>
      <c r="Y34">
        <v>6.6980519480519404E-2</v>
      </c>
      <c r="Z34">
        <v>5.4253246753246699E-2</v>
      </c>
      <c r="AA34">
        <v>3.61688311688311E-2</v>
      </c>
      <c r="AB34">
        <v>0.242467532467532</v>
      </c>
      <c r="AC34">
        <v>7.2727272727272696E-2</v>
      </c>
      <c r="AD34">
        <v>0.196886973180076</v>
      </c>
      <c r="AE34">
        <v>9.8563218390804494E-2</v>
      </c>
      <c r="AF34">
        <v>9.1139846743294894E-2</v>
      </c>
      <c r="AG34">
        <v>2.6436781609195301E-2</v>
      </c>
      <c r="AH34">
        <v>4.6296296296295999E-3</v>
      </c>
      <c r="AI34">
        <v>9.0676883780331594E-3</v>
      </c>
      <c r="AJ34">
        <v>27.040229884999999</v>
      </c>
      <c r="AK34">
        <v>8.3955938694999901</v>
      </c>
    </row>
    <row r="35" spans="1:37" x14ac:dyDescent="0.4">
      <c r="A35" t="s">
        <v>22</v>
      </c>
      <c r="B35" t="s">
        <v>24</v>
      </c>
      <c r="C35">
        <v>0</v>
      </c>
      <c r="D35">
        <v>55</v>
      </c>
      <c r="E35">
        <v>58.33</v>
      </c>
      <c r="F35">
        <v>239</v>
      </c>
      <c r="G35" s="2">
        <f t="shared" si="17"/>
        <v>3.5983870967741893</v>
      </c>
      <c r="H35" s="2">
        <f t="shared" si="18"/>
        <v>2.1983870967741872</v>
      </c>
      <c r="I35" s="2">
        <f t="shared" si="19"/>
        <v>0</v>
      </c>
      <c r="J35" s="2">
        <f t="shared" si="20"/>
        <v>11.159677419354805</v>
      </c>
      <c r="K35" s="2">
        <f t="shared" si="21"/>
        <v>11.159677419354805</v>
      </c>
      <c r="L35">
        <f t="shared" si="22"/>
        <v>1.9999999999999964</v>
      </c>
      <c r="M35" s="2">
        <f t="shared" si="23"/>
        <v>49.667829457364164</v>
      </c>
      <c r="N35" s="2">
        <f t="shared" si="24"/>
        <v>23.759689922480593</v>
      </c>
      <c r="O35" s="2">
        <f t="shared" si="25"/>
        <v>21.862790697674392</v>
      </c>
      <c r="P35" s="2">
        <f t="shared" si="26"/>
        <v>7.2875968992247744</v>
      </c>
      <c r="Q35" s="2">
        <f t="shared" si="27"/>
        <v>1.99999999999998</v>
      </c>
      <c r="R35" s="2">
        <f t="shared" si="28"/>
        <v>1.5337209302325425</v>
      </c>
      <c r="S35" s="2">
        <f t="shared" si="29"/>
        <v>66.139922469919995</v>
      </c>
      <c r="T35" s="2">
        <f t="shared" si="30"/>
        <v>17.420542634992</v>
      </c>
      <c r="U35" s="1">
        <f t="shared" si="31"/>
        <v>10.205028325549117</v>
      </c>
      <c r="V35" s="1">
        <f t="shared" si="32"/>
        <v>3.3733090395863115</v>
      </c>
      <c r="W35" s="1">
        <f t="shared" si="33"/>
        <v>1.150152101703346</v>
      </c>
      <c r="Y35">
        <v>6.5425219941348894E-2</v>
      </c>
      <c r="Z35">
        <v>3.9970674486803401E-2</v>
      </c>
      <c r="AA35">
        <v>0</v>
      </c>
      <c r="AB35">
        <v>0.20290322580645101</v>
      </c>
      <c r="AC35">
        <v>3.6363636363636299E-2</v>
      </c>
      <c r="AD35">
        <v>0.207815186014076</v>
      </c>
      <c r="AE35">
        <v>9.9412928545943899E-2</v>
      </c>
      <c r="AF35">
        <v>9.1476111705750596E-2</v>
      </c>
      <c r="AG35">
        <v>3.04920372352501E-2</v>
      </c>
      <c r="AH35">
        <v>8.3682008368199997E-3</v>
      </c>
      <c r="AI35">
        <v>6.4172423859102197E-3</v>
      </c>
      <c r="AJ35">
        <v>27.673607728</v>
      </c>
      <c r="AK35">
        <v>7.2889299728000001</v>
      </c>
    </row>
    <row r="36" spans="1:37" x14ac:dyDescent="0.4">
      <c r="A36" t="s">
        <v>72</v>
      </c>
      <c r="B36" t="s">
        <v>77</v>
      </c>
      <c r="C36">
        <v>0</v>
      </c>
      <c r="D36">
        <v>58</v>
      </c>
      <c r="E36">
        <v>59.67</v>
      </c>
      <c r="F36">
        <v>250</v>
      </c>
      <c r="G36" s="2">
        <f t="shared" si="17"/>
        <v>2.9156249999999919</v>
      </c>
      <c r="H36" s="2">
        <f t="shared" si="18"/>
        <v>2.9156249999999919</v>
      </c>
      <c r="I36" s="2">
        <f t="shared" si="19"/>
        <v>25.112499999999972</v>
      </c>
      <c r="J36" s="2">
        <f t="shared" si="20"/>
        <v>4.7437499999999959</v>
      </c>
      <c r="K36" s="2">
        <f t="shared" si="21"/>
        <v>29.856249999999967</v>
      </c>
      <c r="L36">
        <f t="shared" si="22"/>
        <v>3.9999999999999991</v>
      </c>
      <c r="M36" s="2">
        <f t="shared" si="23"/>
        <v>47.958490566037504</v>
      </c>
      <c r="N36" s="2">
        <f t="shared" si="24"/>
        <v>24.309433962264123</v>
      </c>
      <c r="O36" s="2">
        <f t="shared" si="25"/>
        <v>22.388679245283001</v>
      </c>
      <c r="P36" s="2">
        <f t="shared" si="26"/>
        <v>6.7226415094339496</v>
      </c>
      <c r="Q36" s="2">
        <f t="shared" si="27"/>
        <v>2</v>
      </c>
      <c r="R36" s="2">
        <f t="shared" si="28"/>
        <v>2.9490566037735748</v>
      </c>
      <c r="S36" s="2">
        <f t="shared" si="29"/>
        <v>71.488679239999755</v>
      </c>
      <c r="T36" s="2">
        <f t="shared" si="30"/>
        <v>22.809433962</v>
      </c>
      <c r="U36" s="1">
        <f t="shared" si="31"/>
        <v>10.782606220211123</v>
      </c>
      <c r="V36" s="1">
        <f t="shared" si="32"/>
        <v>3.3768746976294119</v>
      </c>
      <c r="W36" s="1">
        <f t="shared" si="33"/>
        <v>1.1859883446964554</v>
      </c>
      <c r="Y36">
        <v>5.0269396551724001E-2</v>
      </c>
      <c r="Z36">
        <v>5.0269396551724001E-2</v>
      </c>
      <c r="AA36">
        <v>0.43297413793103401</v>
      </c>
      <c r="AB36">
        <v>8.1788793103448207E-2</v>
      </c>
      <c r="AC36">
        <v>6.8965517241379296E-2</v>
      </c>
      <c r="AD36">
        <v>0.19183396226415</v>
      </c>
      <c r="AE36">
        <v>9.7237735849056497E-2</v>
      </c>
      <c r="AF36">
        <v>8.9554716981132002E-2</v>
      </c>
      <c r="AG36">
        <v>2.6890566037735798E-2</v>
      </c>
      <c r="AH36">
        <v>8.0000000000000002E-3</v>
      </c>
      <c r="AI36">
        <v>1.1796226415094299E-2</v>
      </c>
      <c r="AJ36">
        <v>28.595471695999901</v>
      </c>
      <c r="AK36">
        <v>9.1237735848000003</v>
      </c>
    </row>
    <row r="37" spans="1:37" x14ac:dyDescent="0.4">
      <c r="A37" t="s">
        <v>86</v>
      </c>
      <c r="B37" s="3" t="s">
        <v>88</v>
      </c>
      <c r="C37">
        <v>1</v>
      </c>
      <c r="D37">
        <v>61</v>
      </c>
      <c r="E37">
        <v>61.33</v>
      </c>
      <c r="F37">
        <v>257</v>
      </c>
      <c r="G37" s="2">
        <f t="shared" si="17"/>
        <v>2.9999999999999964</v>
      </c>
      <c r="H37" s="2">
        <f t="shared" si="18"/>
        <v>2.9999999999999964</v>
      </c>
      <c r="I37" s="2">
        <f t="shared" si="19"/>
        <v>0.69999999999999551</v>
      </c>
      <c r="J37" s="2">
        <f t="shared" si="20"/>
        <v>15.799999999999942</v>
      </c>
      <c r="K37" s="2">
        <f t="shared" si="21"/>
        <v>16.499999999999936</v>
      </c>
      <c r="L37">
        <f t="shared" si="22"/>
        <v>1.9999999999999976</v>
      </c>
      <c r="M37" s="2">
        <f t="shared" si="23"/>
        <v>45.563779527558978</v>
      </c>
      <c r="N37" s="2">
        <f t="shared" si="24"/>
        <v>25.398425196850368</v>
      </c>
      <c r="O37" s="2">
        <f t="shared" si="25"/>
        <v>23.081889763779497</v>
      </c>
      <c r="P37" s="2">
        <f t="shared" si="26"/>
        <v>7.0578740157480064</v>
      </c>
      <c r="Q37" s="2">
        <f t="shared" si="27"/>
        <v>0.99999999999997746</v>
      </c>
      <c r="R37" s="2">
        <f t="shared" si="28"/>
        <v>3.0106299212598149</v>
      </c>
      <c r="S37" s="2">
        <f t="shared" si="29"/>
        <v>82.16141731816974</v>
      </c>
      <c r="T37" s="2">
        <f t="shared" si="30"/>
        <v>28.231496064679998</v>
      </c>
      <c r="U37" s="1">
        <f t="shared" si="31"/>
        <v>12.056950201590212</v>
      </c>
      <c r="V37" s="1">
        <f t="shared" si="32"/>
        <v>3.3872005197132804</v>
      </c>
      <c r="W37" s="1">
        <f t="shared" si="33"/>
        <v>1.2032492351579811</v>
      </c>
      <c r="Y37">
        <v>4.9180327868852403E-2</v>
      </c>
      <c r="Z37">
        <v>4.9180327868852403E-2</v>
      </c>
      <c r="AA37">
        <v>1.14754098360655E-2</v>
      </c>
      <c r="AB37">
        <v>0.25901639344262201</v>
      </c>
      <c r="AC37">
        <v>3.2786885245901599E-2</v>
      </c>
      <c r="AD37">
        <v>0.177290970924354</v>
      </c>
      <c r="AE37">
        <v>9.8826557186188199E-2</v>
      </c>
      <c r="AF37">
        <v>8.9812800637274301E-2</v>
      </c>
      <c r="AG37">
        <v>2.7462544808358001E-2</v>
      </c>
      <c r="AH37">
        <v>3.8910505836575E-3</v>
      </c>
      <c r="AI37">
        <v>1.1714513312295E-2</v>
      </c>
      <c r="AJ37">
        <v>31.969423080999899</v>
      </c>
      <c r="AK37">
        <v>10.985017923999999</v>
      </c>
    </row>
    <row r="38" spans="1:37" x14ac:dyDescent="0.4">
      <c r="A38" t="s">
        <v>50</v>
      </c>
      <c r="B38" t="s">
        <v>52</v>
      </c>
      <c r="C38">
        <v>0</v>
      </c>
      <c r="D38">
        <v>49</v>
      </c>
      <c r="E38">
        <v>49</v>
      </c>
      <c r="F38">
        <v>207</v>
      </c>
      <c r="G38" s="2">
        <f t="shared" si="17"/>
        <v>1.4603448275862005</v>
      </c>
      <c r="H38" s="2">
        <f t="shared" si="18"/>
        <v>2.1603448275862012</v>
      </c>
      <c r="I38" s="2">
        <f t="shared" si="19"/>
        <v>1.9068965517241347</v>
      </c>
      <c r="J38" s="2">
        <f t="shared" si="20"/>
        <v>11.634482758620679</v>
      </c>
      <c r="K38" s="2">
        <f t="shared" si="21"/>
        <v>13.541379310344814</v>
      </c>
      <c r="L38">
        <f t="shared" si="22"/>
        <v>0.99999999999999889</v>
      </c>
      <c r="M38" s="2">
        <f t="shared" si="23"/>
        <v>41.114457831325183</v>
      </c>
      <c r="N38" s="2">
        <f t="shared" si="24"/>
        <v>20.266265060240958</v>
      </c>
      <c r="O38" s="2">
        <f t="shared" si="25"/>
        <v>18.502409638554195</v>
      </c>
      <c r="P38" s="2">
        <f t="shared" si="26"/>
        <v>4.9915662650602046</v>
      </c>
      <c r="Q38" s="2">
        <f t="shared" si="27"/>
        <v>0.99999999999999278</v>
      </c>
      <c r="R38" s="2">
        <f t="shared" si="28"/>
        <v>2.1481927710843185</v>
      </c>
      <c r="S38" s="2">
        <f t="shared" si="29"/>
        <v>51.079518065879789</v>
      </c>
      <c r="T38" s="2">
        <f t="shared" si="30"/>
        <v>20.266265062773002</v>
      </c>
      <c r="U38" s="1">
        <f t="shared" si="31"/>
        <v>9.3819522978146548</v>
      </c>
      <c r="V38" s="1">
        <f t="shared" si="32"/>
        <v>3.3984017703466884</v>
      </c>
      <c r="W38" s="1">
        <f t="shared" si="33"/>
        <v>1.2526678141652692</v>
      </c>
      <c r="Y38">
        <v>2.98029556650245E-2</v>
      </c>
      <c r="Z38">
        <v>4.4088669950738797E-2</v>
      </c>
      <c r="AA38">
        <v>3.8916256157635401E-2</v>
      </c>
      <c r="AB38">
        <v>0.23743842364532</v>
      </c>
      <c r="AC38">
        <v>2.04081632653061E-2</v>
      </c>
      <c r="AD38">
        <v>0.198620569233455</v>
      </c>
      <c r="AE38">
        <v>9.7904662126767905E-2</v>
      </c>
      <c r="AF38">
        <v>8.9383621442290798E-2</v>
      </c>
      <c r="AG38">
        <v>2.4113846691112099E-2</v>
      </c>
      <c r="AH38">
        <v>4.8309178743961003E-3</v>
      </c>
      <c r="AI38">
        <v>1.03777428554798E-2</v>
      </c>
      <c r="AJ38">
        <v>24.6760956839999</v>
      </c>
      <c r="AK38">
        <v>9.7904662139000003</v>
      </c>
    </row>
    <row r="39" spans="1:37" x14ac:dyDescent="0.4">
      <c r="A39" t="s">
        <v>27</v>
      </c>
      <c r="B39" s="3" t="s">
        <v>30</v>
      </c>
      <c r="C39">
        <v>0</v>
      </c>
      <c r="D39">
        <v>62</v>
      </c>
      <c r="E39">
        <v>60.33</v>
      </c>
      <c r="F39">
        <v>253</v>
      </c>
      <c r="G39" s="2">
        <f t="shared" si="17"/>
        <v>3.014754098360648</v>
      </c>
      <c r="H39" s="2">
        <f t="shared" si="18"/>
        <v>3.014754098360648</v>
      </c>
      <c r="I39" s="2">
        <f t="shared" si="19"/>
        <v>2.4049180327868775</v>
      </c>
      <c r="J39" s="2">
        <f t="shared" si="20"/>
        <v>17.659016393442613</v>
      </c>
      <c r="K39" s="2">
        <f t="shared" si="21"/>
        <v>20.063934426229491</v>
      </c>
      <c r="L39">
        <f t="shared" si="22"/>
        <v>2.9999999999999969</v>
      </c>
      <c r="M39" s="2">
        <f t="shared" si="23"/>
        <v>54.003529411764482</v>
      </c>
      <c r="N39" s="2">
        <f t="shared" si="24"/>
        <v>24.862745098039188</v>
      </c>
      <c r="O39" s="2">
        <f t="shared" si="25"/>
        <v>22.873725490196065</v>
      </c>
      <c r="P39" s="2">
        <f t="shared" si="26"/>
        <v>4.9725490196078326</v>
      </c>
      <c r="Q39" s="2">
        <f t="shared" si="27"/>
        <v>0.99999999999998124</v>
      </c>
      <c r="R39" s="2">
        <f t="shared" si="28"/>
        <v>2.2929411764705763</v>
      </c>
      <c r="S39" s="2">
        <f t="shared" si="29"/>
        <v>61.059607842969747</v>
      </c>
      <c r="T39" s="2">
        <f t="shared" si="30"/>
        <v>21.579215685643003</v>
      </c>
      <c r="U39" s="1">
        <f t="shared" si="31"/>
        <v>9.1088425424619217</v>
      </c>
      <c r="V39" s="1">
        <f t="shared" si="32"/>
        <v>3.4122912218094581</v>
      </c>
      <c r="W39" s="1">
        <f t="shared" si="33"/>
        <v>1.252821897851939</v>
      </c>
      <c r="Y39">
        <v>4.8625066102591097E-2</v>
      </c>
      <c r="Z39">
        <v>4.8625066102591097E-2</v>
      </c>
      <c r="AA39">
        <v>3.8789000528820602E-2</v>
      </c>
      <c r="AB39">
        <v>0.28482284505552602</v>
      </c>
      <c r="AC39">
        <v>4.8387096774193498E-2</v>
      </c>
      <c r="AD39">
        <v>0.213452685421994</v>
      </c>
      <c r="AE39">
        <v>9.8271719755095605E-2</v>
      </c>
      <c r="AF39">
        <v>9.0409982174688E-2</v>
      </c>
      <c r="AG39">
        <v>1.9654343951019101E-2</v>
      </c>
      <c r="AH39">
        <v>3.9525691699604003E-3</v>
      </c>
      <c r="AI39">
        <v>9.0630086026504998E-3</v>
      </c>
      <c r="AJ39">
        <v>24.134232348999902</v>
      </c>
      <c r="AK39">
        <v>8.5293342631000009</v>
      </c>
    </row>
    <row r="40" spans="1:37" x14ac:dyDescent="0.4">
      <c r="A40" t="s">
        <v>72</v>
      </c>
      <c r="B40" t="s">
        <v>75</v>
      </c>
      <c r="C40">
        <v>0</v>
      </c>
      <c r="D40">
        <v>62</v>
      </c>
      <c r="E40">
        <v>61.67</v>
      </c>
      <c r="F40">
        <v>256</v>
      </c>
      <c r="G40" s="2">
        <f t="shared" si="17"/>
        <v>3.014754098360648</v>
      </c>
      <c r="H40" s="2">
        <f t="shared" si="18"/>
        <v>3.7147540983606508</v>
      </c>
      <c r="I40" s="2">
        <f t="shared" si="19"/>
        <v>4.8098360655737666</v>
      </c>
      <c r="J40" s="2">
        <f t="shared" si="20"/>
        <v>16.563934426229501</v>
      </c>
      <c r="K40" s="2">
        <f t="shared" si="21"/>
        <v>21.373770491803267</v>
      </c>
      <c r="L40">
        <f t="shared" si="22"/>
        <v>1.9999999999999978</v>
      </c>
      <c r="M40" s="2">
        <f t="shared" si="23"/>
        <v>52.917829457364221</v>
      </c>
      <c r="N40" s="2">
        <f t="shared" si="24"/>
        <v>25.464341085271297</v>
      </c>
      <c r="O40" s="2">
        <f t="shared" si="25"/>
        <v>23.475193798449588</v>
      </c>
      <c r="P40" s="2">
        <f t="shared" si="26"/>
        <v>7.2620155038759426</v>
      </c>
      <c r="Q40" s="2">
        <f t="shared" si="27"/>
        <v>2</v>
      </c>
      <c r="R40" s="2">
        <f t="shared" si="28"/>
        <v>2.9930232558139394</v>
      </c>
      <c r="S40" s="2">
        <f t="shared" si="29"/>
        <v>62.058139532799999</v>
      </c>
      <c r="T40" s="2">
        <f t="shared" si="30"/>
        <v>19.591472867327976</v>
      </c>
      <c r="U40" s="1">
        <f t="shared" si="31"/>
        <v>9.0566443294178693</v>
      </c>
      <c r="V40" s="1">
        <f t="shared" si="32"/>
        <v>3.4259241800883133</v>
      </c>
      <c r="W40" s="1">
        <f t="shared" si="33"/>
        <v>1.1757629694290936</v>
      </c>
      <c r="Y40">
        <v>4.8625066102591097E-2</v>
      </c>
      <c r="Z40">
        <v>5.9915388683236301E-2</v>
      </c>
      <c r="AA40">
        <v>7.7578001057641399E-2</v>
      </c>
      <c r="AB40">
        <v>0.26716023268112099</v>
      </c>
      <c r="AC40">
        <v>3.2258064516128997E-2</v>
      </c>
      <c r="AD40">
        <v>0.20671027131782899</v>
      </c>
      <c r="AE40">
        <v>9.9470082364341003E-2</v>
      </c>
      <c r="AF40">
        <v>9.1699975775193704E-2</v>
      </c>
      <c r="AG40">
        <v>2.8367248062015401E-2</v>
      </c>
      <c r="AH40">
        <v>7.8125E-3</v>
      </c>
      <c r="AI40">
        <v>1.1691497093023201E-2</v>
      </c>
      <c r="AJ40">
        <v>24.241460754999999</v>
      </c>
      <c r="AK40">
        <v>7.6529190887999903</v>
      </c>
    </row>
    <row r="41" spans="1:37" x14ac:dyDescent="0.4">
      <c r="A41" t="s">
        <v>78</v>
      </c>
      <c r="B41" s="3" t="s">
        <v>79</v>
      </c>
      <c r="C41">
        <v>0</v>
      </c>
      <c r="D41">
        <v>58</v>
      </c>
      <c r="E41">
        <v>64.67</v>
      </c>
      <c r="F41">
        <v>269</v>
      </c>
      <c r="G41" s="2">
        <f t="shared" si="17"/>
        <v>4.3156249999999945</v>
      </c>
      <c r="H41" s="2">
        <f t="shared" si="18"/>
        <v>2.9156249999999919</v>
      </c>
      <c r="I41" s="2">
        <f t="shared" si="19"/>
        <v>3.071874999999999</v>
      </c>
      <c r="J41" s="2">
        <f t="shared" si="20"/>
        <v>11.078124999999954</v>
      </c>
      <c r="K41" s="2">
        <f t="shared" si="21"/>
        <v>14.149999999999952</v>
      </c>
      <c r="L41">
        <f t="shared" si="22"/>
        <v>1.9999999999999967</v>
      </c>
      <c r="M41" s="2">
        <f t="shared" si="23"/>
        <v>55.483146067415561</v>
      </c>
      <c r="N41" s="2">
        <f t="shared" si="24"/>
        <v>27.741573033707645</v>
      </c>
      <c r="O41" s="2">
        <f t="shared" si="25"/>
        <v>24.725842696629194</v>
      </c>
      <c r="P41" s="2">
        <f t="shared" si="26"/>
        <v>7.7419475655430423</v>
      </c>
      <c r="Q41" s="2">
        <f t="shared" si="27"/>
        <v>0.99999999999999789</v>
      </c>
      <c r="R41" s="2">
        <f t="shared" si="28"/>
        <v>3.0067415730336924</v>
      </c>
      <c r="S41" s="2">
        <f t="shared" si="29"/>
        <v>69.66179775209973</v>
      </c>
      <c r="T41" s="2">
        <f t="shared" si="30"/>
        <v>19.804868913614001</v>
      </c>
      <c r="U41" s="1">
        <f t="shared" si="31"/>
        <v>9.694698929471123</v>
      </c>
      <c r="V41" s="1">
        <f t="shared" si="32"/>
        <v>3.4410481563269331</v>
      </c>
      <c r="W41" s="1">
        <f t="shared" si="33"/>
        <v>1.1641876446734121</v>
      </c>
      <c r="Y41">
        <v>7.4407327586206801E-2</v>
      </c>
      <c r="Z41">
        <v>5.0269396551724001E-2</v>
      </c>
      <c r="AA41">
        <v>5.29633620689655E-2</v>
      </c>
      <c r="AB41">
        <v>0.19100215517241301</v>
      </c>
      <c r="AC41">
        <v>3.4482758620689599E-2</v>
      </c>
      <c r="AD41">
        <v>0.20625704857775301</v>
      </c>
      <c r="AE41">
        <v>0.10312852428887601</v>
      </c>
      <c r="AF41">
        <v>9.1917630842487705E-2</v>
      </c>
      <c r="AG41">
        <v>2.8780474221349599E-2</v>
      </c>
      <c r="AH41">
        <v>3.7174721189590998E-3</v>
      </c>
      <c r="AI41">
        <v>1.1177477966668001E-2</v>
      </c>
      <c r="AJ41">
        <v>25.8965790899999</v>
      </c>
      <c r="AK41">
        <v>7.3624048006000002</v>
      </c>
    </row>
    <row r="42" spans="1:37" x14ac:dyDescent="0.4">
      <c r="A42" t="s">
        <v>86</v>
      </c>
      <c r="B42" s="3" t="s">
        <v>89</v>
      </c>
      <c r="C42">
        <v>0</v>
      </c>
      <c r="D42">
        <v>61</v>
      </c>
      <c r="E42">
        <v>72</v>
      </c>
      <c r="F42">
        <v>297</v>
      </c>
      <c r="G42" s="2">
        <f t="shared" si="17"/>
        <v>3.8764705882352875</v>
      </c>
      <c r="H42" s="2">
        <f t="shared" si="18"/>
        <v>3.6073529411764613</v>
      </c>
      <c r="I42" s="2">
        <f t="shared" si="19"/>
        <v>5.1147058823529301</v>
      </c>
      <c r="J42" s="2">
        <f t="shared" si="20"/>
        <v>15.398529411764684</v>
      </c>
      <c r="K42" s="2">
        <f t="shared" si="21"/>
        <v>20.513235294117614</v>
      </c>
      <c r="L42">
        <f t="shared" si="22"/>
        <v>0.99999999999999878</v>
      </c>
      <c r="M42" s="2">
        <f t="shared" si="23"/>
        <v>58.430281690140724</v>
      </c>
      <c r="N42" s="2">
        <f t="shared" si="24"/>
        <v>29.965140845070355</v>
      </c>
      <c r="O42" s="2">
        <f t="shared" si="25"/>
        <v>27.601056338028148</v>
      </c>
      <c r="P42" s="2">
        <f t="shared" si="26"/>
        <v>9.588380281690112</v>
      </c>
      <c r="Q42" s="2">
        <f t="shared" si="27"/>
        <v>0.99999999999998013</v>
      </c>
      <c r="R42" s="2">
        <f t="shared" si="28"/>
        <v>3.041197183098558</v>
      </c>
      <c r="S42" s="2">
        <f t="shared" si="29"/>
        <v>79.767253526399998</v>
      </c>
      <c r="T42" s="2">
        <f t="shared" si="30"/>
        <v>23.436971830007998</v>
      </c>
      <c r="U42" s="1">
        <f t="shared" si="31"/>
        <v>9.9709066907999997</v>
      </c>
      <c r="V42" s="1">
        <f t="shared" si="32"/>
        <v>3.4501320422535184</v>
      </c>
      <c r="W42" s="1">
        <f t="shared" si="33"/>
        <v>1.1370451877798433</v>
      </c>
      <c r="Y42">
        <v>6.3548698167791601E-2</v>
      </c>
      <c r="Z42">
        <v>5.9136933461909201E-2</v>
      </c>
      <c r="AA42">
        <v>8.3847637415621804E-2</v>
      </c>
      <c r="AB42">
        <v>0.25243490838958499</v>
      </c>
      <c r="AC42">
        <v>1.63934426229508E-2</v>
      </c>
      <c r="AD42">
        <v>0.19673495518565901</v>
      </c>
      <c r="AE42">
        <v>0.100892730118082</v>
      </c>
      <c r="AF42">
        <v>9.2932849622990393E-2</v>
      </c>
      <c r="AG42">
        <v>3.22841086925593E-2</v>
      </c>
      <c r="AH42">
        <v>3.3670033670033001E-3</v>
      </c>
      <c r="AI42">
        <v>1.0239721155214E-2</v>
      </c>
      <c r="AJ42">
        <v>26.857661119999999</v>
      </c>
      <c r="AK42">
        <v>7.8912363063999997</v>
      </c>
    </row>
    <row r="43" spans="1:37" x14ac:dyDescent="0.4">
      <c r="A43" t="s">
        <v>62</v>
      </c>
      <c r="B43" t="s">
        <v>65</v>
      </c>
      <c r="C43">
        <v>0</v>
      </c>
      <c r="D43">
        <v>58</v>
      </c>
      <c r="E43">
        <v>58</v>
      </c>
      <c r="F43">
        <v>241</v>
      </c>
      <c r="G43" s="2">
        <f t="shared" si="17"/>
        <v>4.3699999999999939</v>
      </c>
      <c r="H43" s="2">
        <f t="shared" si="18"/>
        <v>2.9699999999999922</v>
      </c>
      <c r="I43" s="2">
        <f t="shared" si="19"/>
        <v>14.26999999999996</v>
      </c>
      <c r="J43" s="2">
        <f t="shared" si="20"/>
        <v>10.599999999999991</v>
      </c>
      <c r="K43" s="2">
        <f t="shared" si="21"/>
        <v>24.869999999999951</v>
      </c>
      <c r="L43">
        <f t="shared" si="22"/>
        <v>2.9999999999999951</v>
      </c>
      <c r="M43" s="2">
        <f t="shared" si="23"/>
        <v>43.151968503936857</v>
      </c>
      <c r="N43" s="2">
        <f t="shared" si="24"/>
        <v>24.168503937007756</v>
      </c>
      <c r="O43" s="2">
        <f t="shared" si="25"/>
        <v>22.240157480314927</v>
      </c>
      <c r="P43" s="2">
        <f t="shared" si="26"/>
        <v>6.7492125984251832</v>
      </c>
      <c r="Q43" s="2">
        <f t="shared" si="27"/>
        <v>1.9999999999999778</v>
      </c>
      <c r="R43" s="2">
        <f t="shared" si="28"/>
        <v>2.953937007873976</v>
      </c>
      <c r="S43" s="2">
        <f t="shared" si="29"/>
        <v>70.084645667169994</v>
      </c>
      <c r="T43" s="2">
        <f t="shared" si="30"/>
        <v>27.361023612709996</v>
      </c>
      <c r="U43" s="1">
        <f t="shared" si="31"/>
        <v>10.875203638009136</v>
      </c>
      <c r="V43" s="1">
        <f t="shared" si="32"/>
        <v>3.4510589193592129</v>
      </c>
      <c r="W43" s="1">
        <f t="shared" si="33"/>
        <v>1.2157412433904631</v>
      </c>
      <c r="Y43">
        <v>7.5344827586206795E-2</v>
      </c>
      <c r="Z43">
        <v>5.1206896551724002E-2</v>
      </c>
      <c r="AA43">
        <v>0.24603448275862</v>
      </c>
      <c r="AB43">
        <v>0.18275862068965501</v>
      </c>
      <c r="AC43">
        <v>5.1724137931034399E-2</v>
      </c>
      <c r="AD43">
        <v>0.179053811219655</v>
      </c>
      <c r="AE43">
        <v>0.100284248701277</v>
      </c>
      <c r="AF43">
        <v>9.2282811121638705E-2</v>
      </c>
      <c r="AG43">
        <v>2.8005031528735201E-2</v>
      </c>
      <c r="AH43">
        <v>8.2987551867218998E-3</v>
      </c>
      <c r="AI43">
        <v>1.22570000326721E-2</v>
      </c>
      <c r="AJ43">
        <v>29.080765837000001</v>
      </c>
      <c r="AK43">
        <v>11.353121830999999</v>
      </c>
    </row>
    <row r="44" spans="1:37" x14ac:dyDescent="0.4">
      <c r="A44" t="s">
        <v>22</v>
      </c>
      <c r="B44" t="s">
        <v>23</v>
      </c>
      <c r="C44">
        <v>0</v>
      </c>
      <c r="D44">
        <v>62</v>
      </c>
      <c r="E44">
        <v>62.33</v>
      </c>
      <c r="F44">
        <v>266</v>
      </c>
      <c r="G44" s="2">
        <f t="shared" si="17"/>
        <v>4.4147540983606461</v>
      </c>
      <c r="H44" s="2">
        <f t="shared" si="18"/>
        <v>3.014754098360648</v>
      </c>
      <c r="I44" s="2">
        <f t="shared" si="19"/>
        <v>1.0049180327868785</v>
      </c>
      <c r="J44" s="2">
        <f t="shared" si="20"/>
        <v>12.668852459016371</v>
      </c>
      <c r="K44" s="2">
        <f t="shared" si="21"/>
        <v>13.67377049180325</v>
      </c>
      <c r="L44">
        <f t="shared" si="22"/>
        <v>3.9999999999999956</v>
      </c>
      <c r="M44" s="2">
        <f t="shared" si="23"/>
        <v>55.500392156862617</v>
      </c>
      <c r="N44" s="2">
        <f t="shared" si="24"/>
        <v>26.054901960784303</v>
      </c>
      <c r="O44" s="2">
        <f t="shared" si="25"/>
        <v>23.994509803921538</v>
      </c>
      <c r="P44" s="2">
        <f t="shared" si="26"/>
        <v>4.1207843137254727</v>
      </c>
      <c r="Q44" s="2">
        <f t="shared" si="27"/>
        <v>1.9999999999999991</v>
      </c>
      <c r="R44" s="2">
        <f t="shared" si="28"/>
        <v>3.0388235294117525</v>
      </c>
      <c r="S44" s="2">
        <f t="shared" si="29"/>
        <v>70.953333336900002</v>
      </c>
      <c r="T44" s="2">
        <f t="shared" si="30"/>
        <v>25.754901961796001</v>
      </c>
      <c r="U44" s="1">
        <f t="shared" si="31"/>
        <v>10.245146799809081</v>
      </c>
      <c r="V44" s="1">
        <f t="shared" si="32"/>
        <v>3.4646332141070726</v>
      </c>
      <c r="W44" s="1">
        <f t="shared" si="33"/>
        <v>1.3036305810790729</v>
      </c>
      <c r="Y44">
        <v>7.1205711263881394E-2</v>
      </c>
      <c r="Z44">
        <v>4.8625066102591097E-2</v>
      </c>
      <c r="AA44">
        <v>1.6208355367530299E-2</v>
      </c>
      <c r="AB44">
        <v>0.20433632998413501</v>
      </c>
      <c r="AC44">
        <v>6.4516129032257993E-2</v>
      </c>
      <c r="AD44">
        <v>0.208648090815273</v>
      </c>
      <c r="AE44">
        <v>9.7950759251068803E-2</v>
      </c>
      <c r="AF44">
        <v>9.0204924074893E-2</v>
      </c>
      <c r="AG44">
        <v>1.5491670352351401E-2</v>
      </c>
      <c r="AH44">
        <v>7.5187969924812E-3</v>
      </c>
      <c r="AI44">
        <v>1.14241486068111E-2</v>
      </c>
      <c r="AJ44">
        <v>26.674185465000001</v>
      </c>
      <c r="AK44">
        <v>9.6822939706</v>
      </c>
    </row>
    <row r="45" spans="1:37" x14ac:dyDescent="0.4">
      <c r="A45" t="s">
        <v>15</v>
      </c>
      <c r="B45" t="s">
        <v>18</v>
      </c>
      <c r="C45">
        <v>0</v>
      </c>
      <c r="D45">
        <v>63</v>
      </c>
      <c r="E45">
        <v>63</v>
      </c>
      <c r="F45">
        <v>262</v>
      </c>
      <c r="G45" s="2">
        <f t="shared" si="17"/>
        <v>4.4145161290322505</v>
      </c>
      <c r="H45" s="2">
        <f t="shared" si="18"/>
        <v>3.014516129032252</v>
      </c>
      <c r="I45" s="2">
        <f t="shared" si="19"/>
        <v>5.1145161290322498</v>
      </c>
      <c r="J45" s="2">
        <f t="shared" si="20"/>
        <v>14.76774193548383</v>
      </c>
      <c r="K45" s="2">
        <f t="shared" si="21"/>
        <v>19.88225806451608</v>
      </c>
      <c r="L45">
        <f t="shared" si="22"/>
        <v>3.9999999999999947</v>
      </c>
      <c r="M45" s="2">
        <f t="shared" si="23"/>
        <v>55.896899224806056</v>
      </c>
      <c r="N45" s="2">
        <f t="shared" si="24"/>
        <v>26.282170542635409</v>
      </c>
      <c r="O45" s="2">
        <f t="shared" si="25"/>
        <v>24.260465116279047</v>
      </c>
      <c r="P45" s="2">
        <f t="shared" si="26"/>
        <v>6.0651162790697288</v>
      </c>
      <c r="Q45" s="2">
        <f t="shared" si="27"/>
        <v>0.99999999999998146</v>
      </c>
      <c r="R45" s="2">
        <f t="shared" si="28"/>
        <v>3.0139534883720738</v>
      </c>
      <c r="S45" s="2">
        <f t="shared" si="29"/>
        <v>67.316279069319748</v>
      </c>
      <c r="T45" s="2">
        <f t="shared" si="30"/>
        <v>19.917054262697974</v>
      </c>
      <c r="U45" s="1">
        <f t="shared" si="31"/>
        <v>9.6166112956171066</v>
      </c>
      <c r="V45" s="1">
        <f t="shared" si="32"/>
        <v>3.4657807308970066</v>
      </c>
      <c r="W45" s="1">
        <f t="shared" si="33"/>
        <v>1.2033960871032385</v>
      </c>
      <c r="Y45">
        <v>7.0071684587813501E-2</v>
      </c>
      <c r="Z45">
        <v>4.7849462365591303E-2</v>
      </c>
      <c r="AA45">
        <v>8.1182795698924601E-2</v>
      </c>
      <c r="AB45">
        <v>0.23440860215053699</v>
      </c>
      <c r="AC45">
        <v>6.3492063492063405E-2</v>
      </c>
      <c r="AD45">
        <v>0.21334694360612999</v>
      </c>
      <c r="AE45">
        <v>0.10031362802532599</v>
      </c>
      <c r="AF45">
        <v>9.2597195100301705E-2</v>
      </c>
      <c r="AG45">
        <v>2.3149298775075301E-2</v>
      </c>
      <c r="AH45">
        <v>3.8167938931297002E-3</v>
      </c>
      <c r="AI45">
        <v>1.1503639268595701E-2</v>
      </c>
      <c r="AJ45">
        <v>25.693236285999902</v>
      </c>
      <c r="AK45">
        <v>7.6019291078999904</v>
      </c>
    </row>
    <row r="46" spans="1:37" x14ac:dyDescent="0.4">
      <c r="A46" t="s">
        <v>115</v>
      </c>
      <c r="B46" s="3" t="s">
        <v>116</v>
      </c>
      <c r="C46">
        <v>0</v>
      </c>
      <c r="D46">
        <v>57</v>
      </c>
      <c r="E46">
        <v>66.67</v>
      </c>
      <c r="F46">
        <v>278</v>
      </c>
      <c r="G46" s="2">
        <f t="shared" si="17"/>
        <v>2.8892307692307666</v>
      </c>
      <c r="H46" s="2">
        <f t="shared" si="18"/>
        <v>2.1892307692307651</v>
      </c>
      <c r="I46" s="2">
        <f t="shared" si="19"/>
        <v>8.6676923076922954</v>
      </c>
      <c r="J46" s="2">
        <f t="shared" si="20"/>
        <v>12.693846153846138</v>
      </c>
      <c r="K46" s="2">
        <f t="shared" si="21"/>
        <v>21.361538461538434</v>
      </c>
      <c r="L46">
        <f t="shared" si="22"/>
        <v>1.9999999999999991</v>
      </c>
      <c r="M46" s="2">
        <f t="shared" si="23"/>
        <v>52.863768115941888</v>
      </c>
      <c r="N46" s="2">
        <f t="shared" si="24"/>
        <v>27.736956521739106</v>
      </c>
      <c r="O46" s="2">
        <f t="shared" si="25"/>
        <v>25.726811594202875</v>
      </c>
      <c r="P46" s="2">
        <f t="shared" si="26"/>
        <v>8.0405797101448933</v>
      </c>
      <c r="Q46" s="2">
        <f t="shared" si="27"/>
        <v>0.99999999999997957</v>
      </c>
      <c r="R46" s="2">
        <f t="shared" si="28"/>
        <v>3.7065217391303911</v>
      </c>
      <c r="S46" s="2">
        <f t="shared" si="29"/>
        <v>73.265217391099995</v>
      </c>
      <c r="T46" s="2">
        <f t="shared" si="30"/>
        <v>25.831884057499973</v>
      </c>
      <c r="U46" s="1">
        <f t="shared" si="31"/>
        <v>9.8903098323068832</v>
      </c>
      <c r="V46" s="1">
        <f t="shared" si="32"/>
        <v>3.4729459179214919</v>
      </c>
      <c r="W46" s="1">
        <f t="shared" si="33"/>
        <v>1.1803757638134371</v>
      </c>
      <c r="Y46">
        <v>5.0688259109311698E-2</v>
      </c>
      <c r="Z46">
        <v>3.8407557354925702E-2</v>
      </c>
      <c r="AA46">
        <v>0.152064777327935</v>
      </c>
      <c r="AB46">
        <v>0.222699055330634</v>
      </c>
      <c r="AC46">
        <v>3.5087719298245598E-2</v>
      </c>
      <c r="AD46">
        <v>0.190157439265978</v>
      </c>
      <c r="AE46">
        <v>9.9773224898342103E-2</v>
      </c>
      <c r="AF46">
        <v>9.2542487748931201E-2</v>
      </c>
      <c r="AG46">
        <v>2.8922948597643501E-2</v>
      </c>
      <c r="AH46">
        <v>3.5971223021581998E-3</v>
      </c>
      <c r="AI46">
        <v>1.33328120112604E-2</v>
      </c>
      <c r="AJ46">
        <v>26.354394745</v>
      </c>
      <c r="AK46">
        <v>9.2920446249999902</v>
      </c>
    </row>
    <row r="47" spans="1:37" x14ac:dyDescent="0.4">
      <c r="A47" t="s">
        <v>37</v>
      </c>
      <c r="B47" s="3" t="s">
        <v>38</v>
      </c>
      <c r="C47">
        <v>0</v>
      </c>
      <c r="D47">
        <v>59</v>
      </c>
      <c r="E47">
        <v>64</v>
      </c>
      <c r="F47">
        <v>272</v>
      </c>
      <c r="G47" s="2">
        <f t="shared" si="17"/>
        <v>3.6428571428571397</v>
      </c>
      <c r="H47" s="2">
        <f t="shared" si="18"/>
        <v>2.9428571428571351</v>
      </c>
      <c r="I47" s="2">
        <f t="shared" si="19"/>
        <v>10.090476190476158</v>
      </c>
      <c r="J47" s="2">
        <f t="shared" si="20"/>
        <v>13.309523809523759</v>
      </c>
      <c r="K47" s="2">
        <f t="shared" si="21"/>
        <v>23.399999999999917</v>
      </c>
      <c r="L47">
        <f t="shared" si="22"/>
        <v>3.9999999999999982</v>
      </c>
      <c r="M47" s="2">
        <f t="shared" si="23"/>
        <v>50.859259259259204</v>
      </c>
      <c r="N47" s="2">
        <f t="shared" si="24"/>
        <v>27.439999999999873</v>
      </c>
      <c r="O47" s="2">
        <f t="shared" si="25"/>
        <v>24.724444444444412</v>
      </c>
      <c r="P47" s="2">
        <f t="shared" si="26"/>
        <v>6.0311111111110876</v>
      </c>
      <c r="Q47" s="2">
        <f t="shared" si="27"/>
        <v>0.99999999999997435</v>
      </c>
      <c r="R47" s="2">
        <f t="shared" si="28"/>
        <v>3.0066666666666255</v>
      </c>
      <c r="S47" s="2">
        <f t="shared" si="29"/>
        <v>70.257777790079999</v>
      </c>
      <c r="T47" s="2">
        <f t="shared" si="30"/>
        <v>32.271111103039999</v>
      </c>
      <c r="U47" s="1">
        <f t="shared" si="31"/>
        <v>9.88000000173</v>
      </c>
      <c r="V47" s="1">
        <f t="shared" si="32"/>
        <v>3.4768749999999953</v>
      </c>
      <c r="W47" s="1">
        <f t="shared" si="33"/>
        <v>1.298912036910925</v>
      </c>
      <c r="Y47">
        <v>6.1743341404358297E-2</v>
      </c>
      <c r="Z47">
        <v>4.9878934624697203E-2</v>
      </c>
      <c r="AA47">
        <v>0.17102502017756199</v>
      </c>
      <c r="AB47">
        <v>0.22558514931396201</v>
      </c>
      <c r="AC47">
        <v>6.7796610169491497E-2</v>
      </c>
      <c r="AD47">
        <v>0.18698257080610001</v>
      </c>
      <c r="AE47">
        <v>0.10088235294117601</v>
      </c>
      <c r="AF47">
        <v>9.0898692810457399E-2</v>
      </c>
      <c r="AG47">
        <v>2.2173202614378999E-2</v>
      </c>
      <c r="AH47">
        <v>3.6764705882352E-3</v>
      </c>
      <c r="AI47">
        <v>1.1053921568627299E-2</v>
      </c>
      <c r="AJ47">
        <v>25.830065363999999</v>
      </c>
      <c r="AK47">
        <v>11.864379081999999</v>
      </c>
    </row>
    <row r="48" spans="1:37" x14ac:dyDescent="0.4">
      <c r="A48" t="s">
        <v>98</v>
      </c>
      <c r="B48" s="3" t="s">
        <v>99</v>
      </c>
      <c r="C48">
        <v>1</v>
      </c>
      <c r="D48">
        <v>59</v>
      </c>
      <c r="E48">
        <v>66.67</v>
      </c>
      <c r="F48">
        <v>280</v>
      </c>
      <c r="G48" s="2">
        <f t="shared" si="17"/>
        <v>3.6704918032786824</v>
      </c>
      <c r="H48" s="2">
        <f t="shared" si="18"/>
        <v>2.9704918032786836</v>
      </c>
      <c r="I48" s="2">
        <f t="shared" si="19"/>
        <v>0.99016393442622574</v>
      </c>
      <c r="J48" s="2">
        <f t="shared" si="20"/>
        <v>13.281967213114743</v>
      </c>
      <c r="K48" s="2">
        <f t="shared" si="21"/>
        <v>14.27213114754097</v>
      </c>
      <c r="L48">
        <f t="shared" si="22"/>
        <v>1.9999999999999962</v>
      </c>
      <c r="M48" s="2">
        <f t="shared" si="23"/>
        <v>58.26862745098024</v>
      </c>
      <c r="N48" s="2">
        <f t="shared" si="24"/>
        <v>28.215686274509718</v>
      </c>
      <c r="O48" s="2">
        <f t="shared" si="25"/>
        <v>25.77843137254899</v>
      </c>
      <c r="P48" s="2">
        <f t="shared" si="26"/>
        <v>6.7117647058823202</v>
      </c>
      <c r="Q48" s="2">
        <f t="shared" si="27"/>
        <v>0.99999999999998002</v>
      </c>
      <c r="R48" s="2">
        <f t="shared" si="28"/>
        <v>2.388235294117635</v>
      </c>
      <c r="S48" s="2">
        <f t="shared" si="29"/>
        <v>70.660784314400004</v>
      </c>
      <c r="T48" s="2">
        <f t="shared" si="30"/>
        <v>23.04117647104</v>
      </c>
      <c r="U48" s="1">
        <f t="shared" si="31"/>
        <v>9.5387289459966986</v>
      </c>
      <c r="V48" s="1">
        <f t="shared" si="32"/>
        <v>3.4799142395821345</v>
      </c>
      <c r="W48" s="1">
        <f t="shared" si="33"/>
        <v>1.2195860795263271</v>
      </c>
      <c r="Y48">
        <v>6.22117254792997E-2</v>
      </c>
      <c r="Z48">
        <v>5.0347318699638703E-2</v>
      </c>
      <c r="AA48">
        <v>1.6782439566546199E-2</v>
      </c>
      <c r="AB48">
        <v>0.225118088357877</v>
      </c>
      <c r="AC48">
        <v>3.38983050847457E-2</v>
      </c>
      <c r="AD48">
        <v>0.20810224089635801</v>
      </c>
      <c r="AE48">
        <v>0.100770308123249</v>
      </c>
      <c r="AF48">
        <v>9.2065826330532105E-2</v>
      </c>
      <c r="AG48">
        <v>2.3970588235294001E-2</v>
      </c>
      <c r="AH48">
        <v>3.5714285714285002E-3</v>
      </c>
      <c r="AI48">
        <v>8.5294117647058392E-3</v>
      </c>
      <c r="AJ48">
        <v>25.235994397999999</v>
      </c>
      <c r="AK48">
        <v>8.2289915968000003</v>
      </c>
    </row>
    <row r="49" spans="1:37" x14ac:dyDescent="0.4">
      <c r="A49" t="s">
        <v>19</v>
      </c>
      <c r="B49" s="3" t="s">
        <v>21</v>
      </c>
      <c r="C49">
        <v>0</v>
      </c>
      <c r="D49">
        <v>55</v>
      </c>
      <c r="E49">
        <v>55.67</v>
      </c>
      <c r="F49">
        <v>244</v>
      </c>
      <c r="G49" s="2">
        <f t="shared" si="17"/>
        <v>3.6114754098360629</v>
      </c>
      <c r="H49" s="2">
        <f t="shared" si="18"/>
        <v>2.2114754098360607</v>
      </c>
      <c r="I49" s="2">
        <f t="shared" si="19"/>
        <v>0.69999999999999296</v>
      </c>
      <c r="J49" s="2">
        <f t="shared" si="20"/>
        <v>12.616393442622915</v>
      </c>
      <c r="K49" s="2">
        <f t="shared" si="21"/>
        <v>13.316393442622907</v>
      </c>
      <c r="L49">
        <f t="shared" si="22"/>
        <v>2.9999999999999978</v>
      </c>
      <c r="M49" s="2">
        <f t="shared" si="23"/>
        <v>43.135877862595393</v>
      </c>
      <c r="N49" s="2">
        <f t="shared" si="24"/>
        <v>23.445801526717545</v>
      </c>
      <c r="O49" s="2">
        <f t="shared" si="25"/>
        <v>21.541984732824393</v>
      </c>
      <c r="P49" s="2">
        <f t="shared" si="26"/>
        <v>5.4114503816793658</v>
      </c>
      <c r="Q49" s="2">
        <f t="shared" si="27"/>
        <v>0.99999999999999878</v>
      </c>
      <c r="R49" s="2">
        <f t="shared" si="28"/>
        <v>3.6381679389312813</v>
      </c>
      <c r="S49" s="2">
        <f t="shared" si="29"/>
        <v>71.796946568879747</v>
      </c>
      <c r="T49" s="2">
        <f t="shared" si="30"/>
        <v>32.416793901239764</v>
      </c>
      <c r="U49" s="1">
        <f t="shared" si="31"/>
        <v>11.607194523440231</v>
      </c>
      <c r="V49" s="1">
        <f t="shared" si="32"/>
        <v>3.4826273144497848</v>
      </c>
      <c r="W49" s="1">
        <f t="shared" si="33"/>
        <v>1.3571523578917757</v>
      </c>
      <c r="Y49">
        <v>6.5663189269746597E-2</v>
      </c>
      <c r="Z49">
        <v>4.0208643815201103E-2</v>
      </c>
      <c r="AA49">
        <v>1.2727272727272599E-2</v>
      </c>
      <c r="AB49">
        <v>0.22938897168405301</v>
      </c>
      <c r="AC49">
        <v>5.4545454545454501E-2</v>
      </c>
      <c r="AD49">
        <v>0.176786384682768</v>
      </c>
      <c r="AE49">
        <v>9.6089350519334205E-2</v>
      </c>
      <c r="AF49">
        <v>8.8286822675509802E-2</v>
      </c>
      <c r="AG49">
        <v>2.2178075334751499E-2</v>
      </c>
      <c r="AH49">
        <v>4.0983606557376999E-3</v>
      </c>
      <c r="AI49">
        <v>1.4910524339882301E-2</v>
      </c>
      <c r="AJ49">
        <v>29.424978101999901</v>
      </c>
      <c r="AK49">
        <v>13.285571270999901</v>
      </c>
    </row>
    <row r="50" spans="1:37" x14ac:dyDescent="0.4">
      <c r="A50" t="s">
        <v>57</v>
      </c>
      <c r="B50" s="3" t="s">
        <v>59</v>
      </c>
      <c r="C50">
        <v>0</v>
      </c>
      <c r="D50">
        <v>62</v>
      </c>
      <c r="E50">
        <v>64.67</v>
      </c>
      <c r="F50">
        <v>273</v>
      </c>
      <c r="G50" s="2">
        <f t="shared" si="17"/>
        <v>3.9104477611940252</v>
      </c>
      <c r="H50" s="2">
        <f t="shared" si="18"/>
        <v>3.632835820895512</v>
      </c>
      <c r="I50" s="2">
        <f t="shared" si="19"/>
        <v>14.253731343283572</v>
      </c>
      <c r="J50" s="2">
        <f t="shared" si="20"/>
        <v>11.876119402985065</v>
      </c>
      <c r="K50" s="2">
        <f t="shared" si="21"/>
        <v>26.129850746268637</v>
      </c>
      <c r="L50">
        <f t="shared" si="22"/>
        <v>3.9999999999999956</v>
      </c>
      <c r="M50" s="2">
        <f t="shared" si="23"/>
        <v>55.426595744680796</v>
      </c>
      <c r="N50" s="2">
        <f t="shared" si="24"/>
        <v>27.374468085106233</v>
      </c>
      <c r="O50" s="2">
        <f t="shared" si="25"/>
        <v>25.11914893617017</v>
      </c>
      <c r="P50" s="2">
        <f t="shared" si="26"/>
        <v>4.8882978723404005</v>
      </c>
      <c r="Q50" s="2">
        <f t="shared" si="27"/>
        <v>0.99999999999998279</v>
      </c>
      <c r="R50" s="2">
        <f t="shared" si="28"/>
        <v>3.6712765957446578</v>
      </c>
      <c r="S50" s="2">
        <f t="shared" si="29"/>
        <v>69.336170221499998</v>
      </c>
      <c r="T50" s="2">
        <f t="shared" si="30"/>
        <v>27.529787229398995</v>
      </c>
      <c r="U50" s="1">
        <f t="shared" si="31"/>
        <v>9.6493819699010359</v>
      </c>
      <c r="V50" s="1">
        <f t="shared" si="32"/>
        <v>3.4957838321560466</v>
      </c>
      <c r="W50" s="1">
        <f t="shared" si="33"/>
        <v>1.2827645426639831</v>
      </c>
      <c r="Y50">
        <v>6.3071738083774601E-2</v>
      </c>
      <c r="Z50">
        <v>5.8594126143475998E-2</v>
      </c>
      <c r="AA50">
        <v>0.22989889263360599</v>
      </c>
      <c r="AB50">
        <v>0.19155031295137201</v>
      </c>
      <c r="AC50">
        <v>6.4516129032257993E-2</v>
      </c>
      <c r="AD50">
        <v>0.20302782324058899</v>
      </c>
      <c r="AE50">
        <v>0.100272776868521</v>
      </c>
      <c r="AF50">
        <v>9.2011534564725897E-2</v>
      </c>
      <c r="AG50">
        <v>1.7905853012235899E-2</v>
      </c>
      <c r="AH50">
        <v>3.6630036630036001E-3</v>
      </c>
      <c r="AI50">
        <v>1.34478996181123E-2</v>
      </c>
      <c r="AJ50">
        <v>25.397864550000001</v>
      </c>
      <c r="AK50">
        <v>10.084171146299999</v>
      </c>
    </row>
    <row r="51" spans="1:37" x14ac:dyDescent="0.4">
      <c r="A51" t="s">
        <v>62</v>
      </c>
      <c r="B51" t="s">
        <v>66</v>
      </c>
      <c r="C51">
        <v>0</v>
      </c>
      <c r="D51">
        <v>51</v>
      </c>
      <c r="E51">
        <v>55</v>
      </c>
      <c r="F51">
        <v>233</v>
      </c>
      <c r="G51" s="2">
        <f t="shared" si="17"/>
        <v>3.5403225806451566</v>
      </c>
      <c r="H51" s="2">
        <f t="shared" si="18"/>
        <v>2.8403225806451582</v>
      </c>
      <c r="I51" s="2">
        <f t="shared" si="19"/>
        <v>4.487096774193545</v>
      </c>
      <c r="J51" s="2">
        <f t="shared" si="20"/>
        <v>11.608064516128993</v>
      </c>
      <c r="K51" s="2">
        <f t="shared" si="21"/>
        <v>16.095161290322537</v>
      </c>
      <c r="L51">
        <f t="shared" si="22"/>
        <v>2.9999999999999996</v>
      </c>
      <c r="M51" s="2">
        <f t="shared" si="23"/>
        <v>41.106844106463839</v>
      </c>
      <c r="N51" s="2">
        <f t="shared" si="24"/>
        <v>23.923954372623356</v>
      </c>
      <c r="O51" s="2">
        <f t="shared" si="25"/>
        <v>21.463498098859297</v>
      </c>
      <c r="P51" s="2">
        <f t="shared" si="26"/>
        <v>6.7410646387832491</v>
      </c>
      <c r="Q51" s="2">
        <f t="shared" si="27"/>
        <v>0.99999999999999256</v>
      </c>
      <c r="R51" s="2">
        <f t="shared" si="28"/>
        <v>2.8973384030417901</v>
      </c>
      <c r="S51" s="2">
        <f t="shared" si="29"/>
        <v>68.151711029379769</v>
      </c>
      <c r="T51" s="2">
        <f t="shared" si="30"/>
        <v>27.644866917499996</v>
      </c>
      <c r="U51" s="1">
        <f t="shared" si="31"/>
        <v>11.152098168443962</v>
      </c>
      <c r="V51" s="1">
        <f t="shared" si="32"/>
        <v>3.5122087798133395</v>
      </c>
      <c r="W51" s="1">
        <f t="shared" si="33"/>
        <v>1.2500311095266152</v>
      </c>
      <c r="Y51">
        <v>6.9418089816571701E-2</v>
      </c>
      <c r="Z51">
        <v>5.5692599620493298E-2</v>
      </c>
      <c r="AA51">
        <v>8.7982289690069507E-2</v>
      </c>
      <c r="AB51">
        <v>0.227609108159392</v>
      </c>
      <c r="AC51">
        <v>5.8823529411764698E-2</v>
      </c>
      <c r="AD51">
        <v>0.17642422363289201</v>
      </c>
      <c r="AE51">
        <v>0.102677915762332</v>
      </c>
      <c r="AF51">
        <v>9.2118017591670806E-2</v>
      </c>
      <c r="AG51">
        <v>2.8931607891773601E-2</v>
      </c>
      <c r="AH51">
        <v>4.2918454935621997E-3</v>
      </c>
      <c r="AI51">
        <v>1.2434928768419701E-2</v>
      </c>
      <c r="AJ51">
        <v>29.2496613859999</v>
      </c>
      <c r="AK51">
        <v>11.86474975</v>
      </c>
    </row>
    <row r="52" spans="1:37" x14ac:dyDescent="0.4">
      <c r="A52" t="s">
        <v>31</v>
      </c>
      <c r="B52" t="s">
        <v>33</v>
      </c>
      <c r="C52">
        <v>1</v>
      </c>
      <c r="D52">
        <v>45</v>
      </c>
      <c r="E52">
        <v>56.67</v>
      </c>
      <c r="F52">
        <v>234</v>
      </c>
      <c r="G52" s="2">
        <f t="shared" si="17"/>
        <v>2.713636363636359</v>
      </c>
      <c r="H52" s="2">
        <f t="shared" si="18"/>
        <v>2.713636363636359</v>
      </c>
      <c r="I52" s="2">
        <f t="shared" si="19"/>
        <v>2.7999999999999945</v>
      </c>
      <c r="J52" s="2">
        <f t="shared" si="20"/>
        <v>7.7636363636363397</v>
      </c>
      <c r="K52" s="2">
        <f t="shared" si="21"/>
        <v>10.563636363636334</v>
      </c>
      <c r="L52">
        <f t="shared" si="22"/>
        <v>0.99999999999999889</v>
      </c>
      <c r="M52" s="2">
        <f t="shared" si="23"/>
        <v>51.299999999999947</v>
      </c>
      <c r="N52" s="2">
        <f t="shared" si="24"/>
        <v>24.599999999999969</v>
      </c>
      <c r="O52" s="2">
        <f t="shared" si="25"/>
        <v>22.19999999999996</v>
      </c>
      <c r="P52" s="2">
        <f t="shared" si="26"/>
        <v>6.2999999999999714</v>
      </c>
      <c r="Q52" s="2">
        <f t="shared" si="27"/>
        <v>0</v>
      </c>
      <c r="R52" s="2">
        <f t="shared" si="28"/>
        <v>2.1714285714285553</v>
      </c>
      <c r="S52" s="2">
        <f t="shared" si="29"/>
        <v>57.900000003299759</v>
      </c>
      <c r="T52" s="2">
        <f t="shared" si="30"/>
        <v>14.399999999891978</v>
      </c>
      <c r="U52" s="1">
        <f t="shared" si="31"/>
        <v>9.1953414510269589</v>
      </c>
      <c r="V52" s="1">
        <f t="shared" si="32"/>
        <v>3.5256749602964468</v>
      </c>
      <c r="W52" s="1">
        <f t="shared" si="33"/>
        <v>1.1593435680235031</v>
      </c>
      <c r="Y52">
        <v>6.0303030303030199E-2</v>
      </c>
      <c r="Z52">
        <v>6.0303030303030199E-2</v>
      </c>
      <c r="AA52">
        <v>6.2222222222222102E-2</v>
      </c>
      <c r="AB52">
        <v>0.172525252525252</v>
      </c>
      <c r="AC52">
        <v>2.2222222222222199E-2</v>
      </c>
      <c r="AD52">
        <v>0.21923076923076901</v>
      </c>
      <c r="AE52">
        <v>0.105128205128205</v>
      </c>
      <c r="AF52">
        <v>9.4871794871794701E-2</v>
      </c>
      <c r="AG52">
        <v>2.69230769230768E-2</v>
      </c>
      <c r="AH52">
        <v>0</v>
      </c>
      <c r="AI52">
        <v>9.2796092796092102E-3</v>
      </c>
      <c r="AJ52">
        <v>24.743589744999898</v>
      </c>
      <c r="AK52">
        <v>6.1538461537999902</v>
      </c>
    </row>
    <row r="53" spans="1:37" x14ac:dyDescent="0.4">
      <c r="A53" t="s">
        <v>98</v>
      </c>
      <c r="B53" t="s">
        <v>102</v>
      </c>
      <c r="C53">
        <v>0</v>
      </c>
      <c r="D53">
        <v>61</v>
      </c>
      <c r="E53">
        <v>62.33</v>
      </c>
      <c r="F53">
        <v>256</v>
      </c>
      <c r="G53" s="2">
        <f t="shared" si="17"/>
        <v>4.344615384615377</v>
      </c>
      <c r="H53" s="2">
        <f t="shared" si="18"/>
        <v>3.6446153846153764</v>
      </c>
      <c r="I53" s="2">
        <f t="shared" si="19"/>
        <v>27.483076923076904</v>
      </c>
      <c r="J53" s="2">
        <f t="shared" si="20"/>
        <v>4.6261538461538381</v>
      </c>
      <c r="K53" s="2">
        <f t="shared" si="21"/>
        <v>32.109230769230741</v>
      </c>
      <c r="L53">
        <f t="shared" si="22"/>
        <v>4.9999999999999938</v>
      </c>
      <c r="M53" s="2">
        <f t="shared" si="23"/>
        <v>51.739999999999746</v>
      </c>
      <c r="N53" s="2">
        <f t="shared" si="24"/>
        <v>26.383703703703553</v>
      </c>
      <c r="O53" s="2">
        <f t="shared" si="25"/>
        <v>24.456296296296294</v>
      </c>
      <c r="P53" s="2">
        <f t="shared" si="26"/>
        <v>7.0459259259259133</v>
      </c>
      <c r="Q53" s="2">
        <f t="shared" si="27"/>
        <v>2</v>
      </c>
      <c r="R53" s="2">
        <f t="shared" si="28"/>
        <v>2.2533333333333299</v>
      </c>
      <c r="S53" s="2">
        <f t="shared" si="29"/>
        <v>62.404444436479999</v>
      </c>
      <c r="T53" s="2">
        <f t="shared" si="30"/>
        <v>21.928888889087997</v>
      </c>
      <c r="U53" s="1">
        <f t="shared" si="31"/>
        <v>9.0107492367771531</v>
      </c>
      <c r="V53" s="1">
        <f t="shared" si="32"/>
        <v>3.5313118348574788</v>
      </c>
      <c r="W53" s="1">
        <f t="shared" si="33"/>
        <v>1.1819170365648604</v>
      </c>
      <c r="Y53">
        <v>7.1223203026481594E-2</v>
      </c>
      <c r="Z53">
        <v>5.9747793190416003E-2</v>
      </c>
      <c r="AA53">
        <v>0.45054224464060499</v>
      </c>
      <c r="AB53">
        <v>7.5838587641866198E-2</v>
      </c>
      <c r="AC53">
        <v>8.1967213114753995E-2</v>
      </c>
      <c r="AD53">
        <v>0.20210937499999901</v>
      </c>
      <c r="AE53">
        <v>0.103061342592592</v>
      </c>
      <c r="AF53">
        <v>9.5532407407407399E-2</v>
      </c>
      <c r="AG53">
        <v>2.7523148148148099E-2</v>
      </c>
      <c r="AH53">
        <v>7.8125E-3</v>
      </c>
      <c r="AI53">
        <v>8.8020833333333198E-3</v>
      </c>
      <c r="AJ53">
        <v>24.376736107999999</v>
      </c>
      <c r="AK53">
        <v>8.5659722222999992</v>
      </c>
    </row>
    <row r="54" spans="1:37" x14ac:dyDescent="0.4">
      <c r="A54" t="s">
        <v>37</v>
      </c>
      <c r="B54" t="s">
        <v>39</v>
      </c>
      <c r="C54">
        <v>0</v>
      </c>
      <c r="D54">
        <v>59</v>
      </c>
      <c r="E54">
        <v>58.33</v>
      </c>
      <c r="F54">
        <v>242</v>
      </c>
      <c r="G54" s="2">
        <f t="shared" si="17"/>
        <v>2.9704918032786836</v>
      </c>
      <c r="H54" s="2">
        <f t="shared" si="18"/>
        <v>2.9704918032786836</v>
      </c>
      <c r="I54" s="2">
        <f t="shared" si="19"/>
        <v>23.354098360655705</v>
      </c>
      <c r="J54" s="2">
        <f t="shared" si="20"/>
        <v>5.6508196721311457</v>
      </c>
      <c r="K54" s="2">
        <f t="shared" si="21"/>
        <v>29.004918032786851</v>
      </c>
      <c r="L54">
        <f t="shared" si="22"/>
        <v>5.9999999999999831</v>
      </c>
      <c r="M54" s="2">
        <f t="shared" si="23"/>
        <v>52.581102362204653</v>
      </c>
      <c r="N54" s="2">
        <f t="shared" si="24"/>
        <v>24.840157480314794</v>
      </c>
      <c r="O54" s="2">
        <f t="shared" si="25"/>
        <v>22.906299212598391</v>
      </c>
      <c r="P54" s="2">
        <f t="shared" si="26"/>
        <v>5.8015748031495669</v>
      </c>
      <c r="Q54" s="2">
        <f t="shared" si="27"/>
        <v>0.99999999999998113</v>
      </c>
      <c r="R54" s="2">
        <f t="shared" si="28"/>
        <v>2.2574803149606151</v>
      </c>
      <c r="S54" s="2">
        <f t="shared" si="29"/>
        <v>60.316535439159757</v>
      </c>
      <c r="T54" s="2">
        <f t="shared" si="30"/>
        <v>18.438582676799975</v>
      </c>
      <c r="U54" s="1">
        <f t="shared" si="31"/>
        <v>9.3065115541305996</v>
      </c>
      <c r="V54" s="1">
        <f t="shared" si="32"/>
        <v>3.5343166966121298</v>
      </c>
      <c r="W54" s="1">
        <f t="shared" si="33"/>
        <v>1.21754988923375</v>
      </c>
      <c r="Y54">
        <v>5.0347318699638703E-2</v>
      </c>
      <c r="Z54">
        <v>5.0347318699638703E-2</v>
      </c>
      <c r="AA54">
        <v>0.39583217560433398</v>
      </c>
      <c r="AB54">
        <v>9.5776604612392305E-2</v>
      </c>
      <c r="AC54">
        <v>0.101694915254237</v>
      </c>
      <c r="AD54">
        <v>0.21727728248844899</v>
      </c>
      <c r="AE54">
        <v>0.102645278844276</v>
      </c>
      <c r="AF54">
        <v>9.4654128977679303E-2</v>
      </c>
      <c r="AG54">
        <v>2.3973449599791599E-2</v>
      </c>
      <c r="AH54">
        <v>4.1322314049585997E-3</v>
      </c>
      <c r="AI54">
        <v>9.32843105355626E-3</v>
      </c>
      <c r="AJ54">
        <v>24.9241881979999</v>
      </c>
      <c r="AK54">
        <v>7.6192490399999899</v>
      </c>
    </row>
    <row r="55" spans="1:37" x14ac:dyDescent="0.4">
      <c r="A55" t="s">
        <v>31</v>
      </c>
      <c r="B55" s="3" t="s">
        <v>34</v>
      </c>
      <c r="C55">
        <v>0</v>
      </c>
      <c r="D55">
        <v>60</v>
      </c>
      <c r="E55">
        <v>66</v>
      </c>
      <c r="F55">
        <v>278</v>
      </c>
      <c r="G55" s="2">
        <f t="shared" si="17"/>
        <v>3.6307692307692241</v>
      </c>
      <c r="H55" s="2">
        <f t="shared" si="18"/>
        <v>2.9307692307692284</v>
      </c>
      <c r="I55" s="2">
        <f t="shared" si="19"/>
        <v>4.7538461538461521</v>
      </c>
      <c r="J55" s="2">
        <f t="shared" si="20"/>
        <v>16.05384615384612</v>
      </c>
      <c r="K55" s="2">
        <f t="shared" si="21"/>
        <v>20.807692307692271</v>
      </c>
      <c r="L55">
        <f t="shared" si="22"/>
        <v>3.9999999999999956</v>
      </c>
      <c r="M55" s="2">
        <f t="shared" si="23"/>
        <v>57.484057971014416</v>
      </c>
      <c r="N55" s="2">
        <f t="shared" si="24"/>
        <v>29.042028985507208</v>
      </c>
      <c r="O55" s="2">
        <f t="shared" si="25"/>
        <v>26.026811594202876</v>
      </c>
      <c r="P55" s="2">
        <f t="shared" si="26"/>
        <v>7.335507246376797</v>
      </c>
      <c r="Q55" s="2">
        <f t="shared" si="27"/>
        <v>0.99999999999997957</v>
      </c>
      <c r="R55" s="2">
        <f t="shared" si="28"/>
        <v>3.0065217391304166</v>
      </c>
      <c r="S55" s="2">
        <f t="shared" si="29"/>
        <v>71.060144929359723</v>
      </c>
      <c r="T55" s="2">
        <f t="shared" si="30"/>
        <v>24.526811593274001</v>
      </c>
      <c r="U55" s="1">
        <f t="shared" si="31"/>
        <v>9.6900197630945062</v>
      </c>
      <c r="V55" s="1">
        <f t="shared" si="32"/>
        <v>3.5491106719367558</v>
      </c>
      <c r="W55" s="1">
        <f t="shared" si="33"/>
        <v>1.2425889327922486</v>
      </c>
      <c r="Y55">
        <v>6.0512820512820399E-2</v>
      </c>
      <c r="Z55">
        <v>4.8846153846153803E-2</v>
      </c>
      <c r="AA55">
        <v>7.9230769230769202E-2</v>
      </c>
      <c r="AB55">
        <v>0.26756410256410201</v>
      </c>
      <c r="AC55">
        <v>6.6666666666666596E-2</v>
      </c>
      <c r="AD55">
        <v>0.20677718694609501</v>
      </c>
      <c r="AE55">
        <v>0.104467730163695</v>
      </c>
      <c r="AF55">
        <v>9.3621624439578693E-2</v>
      </c>
      <c r="AG55">
        <v>2.6386716713585601E-2</v>
      </c>
      <c r="AH55">
        <v>3.5971223021581998E-3</v>
      </c>
      <c r="AI55">
        <v>1.08148263997497E-2</v>
      </c>
      <c r="AJ55">
        <v>25.561203211999899</v>
      </c>
      <c r="AK55">
        <v>8.8225940982999997</v>
      </c>
    </row>
    <row r="56" spans="1:37" x14ac:dyDescent="0.4">
      <c r="A56" t="s">
        <v>68</v>
      </c>
      <c r="B56" s="3" t="s">
        <v>71</v>
      </c>
      <c r="C56">
        <v>0</v>
      </c>
      <c r="D56">
        <v>59</v>
      </c>
      <c r="E56">
        <v>67.33</v>
      </c>
      <c r="F56">
        <v>284</v>
      </c>
      <c r="G56" s="2">
        <f t="shared" si="17"/>
        <v>2.9296874999999969</v>
      </c>
      <c r="H56" s="2">
        <f t="shared" si="18"/>
        <v>2.2296874999999923</v>
      </c>
      <c r="I56" s="2">
        <f t="shared" si="19"/>
        <v>8.6593749999999901</v>
      </c>
      <c r="J56" s="2">
        <f t="shared" si="20"/>
        <v>11.865624999999987</v>
      </c>
      <c r="K56" s="2">
        <f t="shared" si="21"/>
        <v>20.524999999999977</v>
      </c>
      <c r="L56">
        <f t="shared" si="22"/>
        <v>1.9999999999999962</v>
      </c>
      <c r="M56" s="2">
        <f t="shared" si="23"/>
        <v>59.229411764705773</v>
      </c>
      <c r="N56" s="2">
        <f t="shared" si="24"/>
        <v>29.764705882352885</v>
      </c>
      <c r="O56" s="2">
        <f t="shared" si="25"/>
        <v>26.672058823529397</v>
      </c>
      <c r="P56" s="2">
        <f t="shared" si="26"/>
        <v>7.5161764705882197</v>
      </c>
      <c r="Q56" s="2">
        <f t="shared" si="27"/>
        <v>0.99999999999997724</v>
      </c>
      <c r="R56" s="2">
        <f t="shared" si="28"/>
        <v>3.7397058823529044</v>
      </c>
      <c r="S56" s="2">
        <f t="shared" si="29"/>
        <v>70.099999998439998</v>
      </c>
      <c r="T56" s="2">
        <f t="shared" si="30"/>
        <v>24.741176470755999</v>
      </c>
      <c r="U56" s="1">
        <f t="shared" si="31"/>
        <v>9.3702658545367594</v>
      </c>
      <c r="V56" s="1">
        <f t="shared" si="32"/>
        <v>3.5652536671879487</v>
      </c>
      <c r="W56" s="1">
        <f t="shared" si="33"/>
        <v>1.2471496841743914</v>
      </c>
      <c r="Y56">
        <v>4.9655720338983002E-2</v>
      </c>
      <c r="Z56">
        <v>3.7791313559321901E-2</v>
      </c>
      <c r="AA56">
        <v>0.14676906779661</v>
      </c>
      <c r="AB56">
        <v>0.20111228813559301</v>
      </c>
      <c r="AC56">
        <v>3.38983050847457E-2</v>
      </c>
      <c r="AD56">
        <v>0.20855426677713301</v>
      </c>
      <c r="AE56">
        <v>0.104805302402651</v>
      </c>
      <c r="AF56">
        <v>9.3915700082849995E-2</v>
      </c>
      <c r="AG56">
        <v>2.6465410107704999E-2</v>
      </c>
      <c r="AH56">
        <v>3.5211267605633001E-3</v>
      </c>
      <c r="AI56">
        <v>1.3167978458989101E-2</v>
      </c>
      <c r="AJ56">
        <v>24.683098591</v>
      </c>
      <c r="AK56">
        <v>8.7116818559000002</v>
      </c>
    </row>
    <row r="57" spans="1:37" x14ac:dyDescent="0.4">
      <c r="A57" t="s">
        <v>72</v>
      </c>
      <c r="B57" s="3" t="s">
        <v>76</v>
      </c>
      <c r="C57">
        <v>0</v>
      </c>
      <c r="D57">
        <v>56</v>
      </c>
      <c r="E57">
        <v>58</v>
      </c>
      <c r="F57">
        <v>248</v>
      </c>
      <c r="G57" s="2">
        <f t="shared" si="17"/>
        <v>2.2542372881355881</v>
      </c>
      <c r="H57" s="2">
        <f t="shared" si="18"/>
        <v>2.9542372881355878</v>
      </c>
      <c r="I57" s="2">
        <f t="shared" si="19"/>
        <v>0</v>
      </c>
      <c r="J57" s="2">
        <f t="shared" si="20"/>
        <v>11.53220338983048</v>
      </c>
      <c r="K57" s="2">
        <f t="shared" si="21"/>
        <v>11.53220338983048</v>
      </c>
      <c r="L57">
        <f t="shared" si="22"/>
        <v>1.9999999999999991</v>
      </c>
      <c r="M57" s="2">
        <f t="shared" si="23"/>
        <v>46.373493975903493</v>
      </c>
      <c r="N57" s="2">
        <f t="shared" si="24"/>
        <v>25.132530120481736</v>
      </c>
      <c r="O57" s="2">
        <f t="shared" si="25"/>
        <v>23.138152610441733</v>
      </c>
      <c r="P57" s="2">
        <f t="shared" si="26"/>
        <v>6.2831325301204464</v>
      </c>
      <c r="Q57" s="2">
        <f t="shared" si="27"/>
        <v>0.99999999999999289</v>
      </c>
      <c r="R57" s="2">
        <f t="shared" si="28"/>
        <v>2.2963855421686614</v>
      </c>
      <c r="S57" s="2">
        <f t="shared" si="29"/>
        <v>71.197590359200007</v>
      </c>
      <c r="T57" s="2">
        <f t="shared" si="30"/>
        <v>28.318473900479749</v>
      </c>
      <c r="U57" s="1">
        <f t="shared" si="31"/>
        <v>11.047901952289656</v>
      </c>
      <c r="V57" s="1">
        <f t="shared" si="32"/>
        <v>3.5904029912754409</v>
      </c>
      <c r="W57" s="1">
        <f t="shared" si="33"/>
        <v>1.2877925495928146</v>
      </c>
      <c r="Y57">
        <v>4.02542372881355E-2</v>
      </c>
      <c r="Z57">
        <v>5.2754237288135497E-2</v>
      </c>
      <c r="AA57">
        <v>0</v>
      </c>
      <c r="AB57">
        <v>0.20593220338983001</v>
      </c>
      <c r="AC57">
        <v>3.5714285714285698E-2</v>
      </c>
      <c r="AD57">
        <v>0.186989895064127</v>
      </c>
      <c r="AE57">
        <v>0.101340847260007</v>
      </c>
      <c r="AF57">
        <v>9.3299002461458599E-2</v>
      </c>
      <c r="AG57">
        <v>2.5335211815001799E-2</v>
      </c>
      <c r="AH57">
        <v>4.0322580645161003E-3</v>
      </c>
      <c r="AI57">
        <v>9.2596191216478291E-3</v>
      </c>
      <c r="AJ57">
        <v>28.70870579</v>
      </c>
      <c r="AK57">
        <v>11.418739475999899</v>
      </c>
    </row>
    <row r="58" spans="1:37" x14ac:dyDescent="0.4">
      <c r="A58" t="s">
        <v>43</v>
      </c>
      <c r="B58" t="s">
        <v>47</v>
      </c>
      <c r="C58">
        <v>0</v>
      </c>
      <c r="D58">
        <v>54</v>
      </c>
      <c r="E58">
        <v>54.33</v>
      </c>
      <c r="F58">
        <v>225</v>
      </c>
      <c r="G58" s="2">
        <f t="shared" si="17"/>
        <v>2.9237288135593178</v>
      </c>
      <c r="H58" s="2">
        <f t="shared" si="18"/>
        <v>2.9237288135593178</v>
      </c>
      <c r="I58" s="2">
        <f t="shared" si="19"/>
        <v>3.0745762711864346</v>
      </c>
      <c r="J58" s="2">
        <f t="shared" si="20"/>
        <v>10.994915254237235</v>
      </c>
      <c r="K58" s="2">
        <f t="shared" si="21"/>
        <v>14.069491525423668</v>
      </c>
      <c r="L58">
        <f t="shared" si="22"/>
        <v>3.999999999999996</v>
      </c>
      <c r="M58" s="2">
        <f t="shared" si="23"/>
        <v>44.039999999999928</v>
      </c>
      <c r="N58" s="2">
        <f t="shared" si="24"/>
        <v>23.549999999999851</v>
      </c>
      <c r="O58" s="2">
        <f t="shared" si="25"/>
        <v>21.689999999999976</v>
      </c>
      <c r="P58" s="2">
        <f t="shared" si="26"/>
        <v>7.4399999999999844</v>
      </c>
      <c r="Q58" s="2">
        <f t="shared" si="27"/>
        <v>0.99999999999999001</v>
      </c>
      <c r="R58" s="2">
        <f t="shared" si="28"/>
        <v>2.9099999999999926</v>
      </c>
      <c r="S58" s="2">
        <f t="shared" si="29"/>
        <v>58.95000000225</v>
      </c>
      <c r="T58" s="2">
        <f t="shared" si="30"/>
        <v>18.3300000003</v>
      </c>
      <c r="U58" s="1">
        <f t="shared" si="31"/>
        <v>9.765323026325234</v>
      </c>
      <c r="V58" s="1">
        <f t="shared" si="32"/>
        <v>3.5930425179458823</v>
      </c>
      <c r="W58" s="1">
        <f t="shared" si="33"/>
        <v>1.1479845389342891</v>
      </c>
      <c r="Y58">
        <v>5.4143126177024402E-2</v>
      </c>
      <c r="Z58">
        <v>5.4143126177024402E-2</v>
      </c>
      <c r="AA58">
        <v>5.69365976145636E-2</v>
      </c>
      <c r="AB58">
        <v>0.20360954174513399</v>
      </c>
      <c r="AC58">
        <v>7.4074074074074001E-2</v>
      </c>
      <c r="AD58">
        <v>0.19573333333333301</v>
      </c>
      <c r="AE58">
        <v>0.10466666666666601</v>
      </c>
      <c r="AF58">
        <v>9.6399999999999902E-2</v>
      </c>
      <c r="AG58">
        <v>3.3066666666666598E-2</v>
      </c>
      <c r="AH58">
        <v>4.4444444444444002E-3</v>
      </c>
      <c r="AI58">
        <v>1.29333333333333E-2</v>
      </c>
      <c r="AJ58">
        <v>26.200000000999999</v>
      </c>
      <c r="AK58">
        <v>8.1466666667999998</v>
      </c>
    </row>
    <row r="59" spans="1:37" x14ac:dyDescent="0.4">
      <c r="A59" t="s">
        <v>82</v>
      </c>
      <c r="B59" s="3" t="s">
        <v>85</v>
      </c>
      <c r="C59">
        <v>1</v>
      </c>
      <c r="D59">
        <v>52</v>
      </c>
      <c r="E59">
        <v>66.33</v>
      </c>
      <c r="F59">
        <v>279</v>
      </c>
      <c r="G59" s="2">
        <f t="shared" si="17"/>
        <v>4.2428571428571376</v>
      </c>
      <c r="H59" s="2">
        <f t="shared" si="18"/>
        <v>2.8428571428571394</v>
      </c>
      <c r="I59" s="2">
        <f t="shared" si="19"/>
        <v>0.94761904761904114</v>
      </c>
      <c r="J59" s="2">
        <f t="shared" si="20"/>
        <v>12.361904761904723</v>
      </c>
      <c r="K59" s="2">
        <f t="shared" si="21"/>
        <v>13.309523809523764</v>
      </c>
      <c r="L59">
        <f t="shared" si="22"/>
        <v>1.9999999999999969</v>
      </c>
      <c r="M59" s="2">
        <f t="shared" si="23"/>
        <v>54.253159851301092</v>
      </c>
      <c r="N59" s="2">
        <f t="shared" si="24"/>
        <v>28.602602230483221</v>
      </c>
      <c r="O59" s="2">
        <f t="shared" si="25"/>
        <v>26.550557620817813</v>
      </c>
      <c r="P59" s="2">
        <f t="shared" si="26"/>
        <v>6.7561338289962647</v>
      </c>
      <c r="Q59" s="2">
        <f t="shared" si="27"/>
        <v>0.999999999999999</v>
      </c>
      <c r="R59" s="2">
        <f t="shared" si="28"/>
        <v>3.0334572490706027</v>
      </c>
      <c r="S59" s="2">
        <f t="shared" si="29"/>
        <v>63.361338283889999</v>
      </c>
      <c r="T59" s="2">
        <f t="shared" si="30"/>
        <v>28.728624526019999</v>
      </c>
      <c r="U59" s="1">
        <f t="shared" si="31"/>
        <v>8.5971965107042063</v>
      </c>
      <c r="V59" s="1">
        <f t="shared" si="32"/>
        <v>3.6025179946835566</v>
      </c>
      <c r="W59" s="1">
        <f t="shared" si="33"/>
        <v>1.2510445405897948</v>
      </c>
      <c r="Y59">
        <v>8.1593406593406498E-2</v>
      </c>
      <c r="Z59">
        <v>5.4670329670329601E-2</v>
      </c>
      <c r="AA59">
        <v>1.82234432234431E-2</v>
      </c>
      <c r="AB59">
        <v>0.237728937728937</v>
      </c>
      <c r="AC59">
        <v>3.8461538461538401E-2</v>
      </c>
      <c r="AD59">
        <v>0.19445577007634801</v>
      </c>
      <c r="AE59">
        <v>0.102518287564456</v>
      </c>
      <c r="AF59">
        <v>9.5163288963504705E-2</v>
      </c>
      <c r="AG59">
        <v>2.4215533437262599E-2</v>
      </c>
      <c r="AH59">
        <v>3.5842293906810001E-3</v>
      </c>
      <c r="AI59">
        <v>1.08726066274932E-2</v>
      </c>
      <c r="AJ59">
        <v>22.710157090999999</v>
      </c>
      <c r="AK59">
        <v>10.296998038</v>
      </c>
    </row>
    <row r="60" spans="1:37" x14ac:dyDescent="0.4">
      <c r="A60" t="s">
        <v>95</v>
      </c>
      <c r="B60" t="s">
        <v>96</v>
      </c>
      <c r="C60">
        <v>0</v>
      </c>
      <c r="D60">
        <v>59</v>
      </c>
      <c r="E60">
        <v>58.33</v>
      </c>
      <c r="F60">
        <v>251</v>
      </c>
      <c r="G60" s="2">
        <f t="shared" si="17"/>
        <v>2.9564516129032192</v>
      </c>
      <c r="H60" s="2">
        <f t="shared" si="18"/>
        <v>3.6564516129032238</v>
      </c>
      <c r="I60" s="2">
        <f t="shared" si="19"/>
        <v>2.2564516129032199</v>
      </c>
      <c r="J60" s="2">
        <f t="shared" si="20"/>
        <v>16.311290322580593</v>
      </c>
      <c r="K60" s="2">
        <f t="shared" si="21"/>
        <v>18.567741935483813</v>
      </c>
      <c r="L60">
        <f t="shared" si="22"/>
        <v>3.9999999999999982</v>
      </c>
      <c r="M60" s="2">
        <f t="shared" si="23"/>
        <v>51.703018867924278</v>
      </c>
      <c r="N60" s="2">
        <f t="shared" si="24"/>
        <v>25.338490566037681</v>
      </c>
      <c r="O60" s="2">
        <f t="shared" si="25"/>
        <v>23.412452830188666</v>
      </c>
      <c r="P60" s="2">
        <f t="shared" si="26"/>
        <v>5.7781132075471344</v>
      </c>
      <c r="Q60" s="2">
        <f t="shared" si="27"/>
        <v>0.999999999999995</v>
      </c>
      <c r="R60" s="2">
        <f t="shared" si="28"/>
        <v>3.6524528301886496</v>
      </c>
      <c r="S60" s="2">
        <f t="shared" si="29"/>
        <v>60.796226424030003</v>
      </c>
      <c r="T60" s="2">
        <f t="shared" si="30"/>
        <v>24.738490566874002</v>
      </c>
      <c r="U60" s="1">
        <f t="shared" si="31"/>
        <v>9.3805252497217566</v>
      </c>
      <c r="V60" s="1">
        <f t="shared" si="32"/>
        <v>3.6124134317109204</v>
      </c>
      <c r="W60" s="1">
        <f t="shared" si="33"/>
        <v>1.3105007617829296</v>
      </c>
      <c r="Y60">
        <v>5.0109349371241001E-2</v>
      </c>
      <c r="Z60">
        <v>6.1973756150902101E-2</v>
      </c>
      <c r="AA60">
        <v>3.8244942591579997E-2</v>
      </c>
      <c r="AB60">
        <v>0.27646254784034902</v>
      </c>
      <c r="AC60">
        <v>6.7796610169491497E-2</v>
      </c>
      <c r="AD60">
        <v>0.205988122979778</v>
      </c>
      <c r="AE60">
        <v>0.10095016161768</v>
      </c>
      <c r="AF60">
        <v>9.3276704502743696E-2</v>
      </c>
      <c r="AG60">
        <v>2.30203713448093E-2</v>
      </c>
      <c r="AH60">
        <v>3.9840637450199003E-3</v>
      </c>
      <c r="AI60">
        <v>1.4551604901149999E-2</v>
      </c>
      <c r="AJ60">
        <v>24.221604153000001</v>
      </c>
      <c r="AK60">
        <v>9.8559723374000008</v>
      </c>
    </row>
    <row r="61" spans="1:37" x14ac:dyDescent="0.4">
      <c r="A61" t="s">
        <v>68</v>
      </c>
      <c r="B61" s="3" t="s">
        <v>69</v>
      </c>
      <c r="C61">
        <v>0</v>
      </c>
      <c r="D61">
        <v>56</v>
      </c>
      <c r="E61">
        <v>55</v>
      </c>
      <c r="F61">
        <v>232</v>
      </c>
      <c r="G61" s="2">
        <f t="shared" si="17"/>
        <v>3.6689655172413764</v>
      </c>
      <c r="H61" s="2">
        <f t="shared" si="18"/>
        <v>2.9689655172413714</v>
      </c>
      <c r="I61" s="2">
        <f t="shared" si="19"/>
        <v>1.6896551724137905</v>
      </c>
      <c r="J61" s="2">
        <f t="shared" si="20"/>
        <v>11.996551724137905</v>
      </c>
      <c r="K61" s="2">
        <f t="shared" si="21"/>
        <v>13.686206896551695</v>
      </c>
      <c r="L61">
        <f t="shared" si="22"/>
        <v>2.999999999999996</v>
      </c>
      <c r="M61" s="2">
        <f t="shared" si="23"/>
        <v>46.179012345678984</v>
      </c>
      <c r="N61" s="2">
        <f t="shared" si="24"/>
        <v>24.207818930041071</v>
      </c>
      <c r="O61" s="2">
        <f t="shared" si="25"/>
        <v>22.271193415637828</v>
      </c>
      <c r="P61" s="2">
        <f t="shared" si="26"/>
        <v>6.7781893004115048</v>
      </c>
      <c r="Q61" s="2">
        <f t="shared" si="27"/>
        <v>0.99999999999999833</v>
      </c>
      <c r="R61" s="2">
        <f t="shared" si="28"/>
        <v>2.2592592592592493</v>
      </c>
      <c r="S61" s="2">
        <f t="shared" si="29"/>
        <v>67.481893000399992</v>
      </c>
      <c r="T61" s="2">
        <f t="shared" si="30"/>
        <v>21.302880658023998</v>
      </c>
      <c r="U61" s="1">
        <f t="shared" si="31"/>
        <v>11.042491581883635</v>
      </c>
      <c r="V61" s="1">
        <f t="shared" si="32"/>
        <v>3.6443771043770994</v>
      </c>
      <c r="W61" s="1">
        <f t="shared" si="33"/>
        <v>1.2269435091582359</v>
      </c>
      <c r="Y61">
        <v>6.5517241379310295E-2</v>
      </c>
      <c r="Z61">
        <v>5.3017241379310201E-2</v>
      </c>
      <c r="AA61">
        <v>3.0172413793103401E-2</v>
      </c>
      <c r="AB61">
        <v>0.21422413793103401</v>
      </c>
      <c r="AC61">
        <v>5.3571428571428499E-2</v>
      </c>
      <c r="AD61">
        <v>0.19904746700723699</v>
      </c>
      <c r="AE61">
        <v>0.104344047112246</v>
      </c>
      <c r="AF61">
        <v>9.5996523343266499E-2</v>
      </c>
      <c r="AG61">
        <v>2.9216333191428901E-2</v>
      </c>
      <c r="AH61">
        <v>4.3103448275861999E-3</v>
      </c>
      <c r="AI61">
        <v>9.73818646232435E-3</v>
      </c>
      <c r="AJ61">
        <v>29.087022845</v>
      </c>
      <c r="AK61">
        <v>9.1822761456999995</v>
      </c>
    </row>
    <row r="62" spans="1:37" x14ac:dyDescent="0.4">
      <c r="A62" t="s">
        <v>72</v>
      </c>
      <c r="B62" s="3" t="s">
        <v>74</v>
      </c>
      <c r="C62">
        <v>2</v>
      </c>
      <c r="D62">
        <v>53</v>
      </c>
      <c r="E62">
        <v>61.67</v>
      </c>
      <c r="F62">
        <v>262</v>
      </c>
      <c r="G62" s="2">
        <f t="shared" si="17"/>
        <v>4.2693548387096731</v>
      </c>
      <c r="H62" s="2">
        <f t="shared" si="18"/>
        <v>3.5693548387096752</v>
      </c>
      <c r="I62" s="2">
        <f t="shared" si="19"/>
        <v>1.9129032258064433</v>
      </c>
      <c r="J62" s="2">
        <f t="shared" si="20"/>
        <v>10.077419354838685</v>
      </c>
      <c r="K62" s="2">
        <f t="shared" si="21"/>
        <v>11.990322580645129</v>
      </c>
      <c r="L62">
        <f t="shared" si="22"/>
        <v>1.9999999999999962</v>
      </c>
      <c r="M62" s="2">
        <f t="shared" si="23"/>
        <v>56.047509578543973</v>
      </c>
      <c r="N62" s="2">
        <f t="shared" si="24"/>
        <v>27.775095785440566</v>
      </c>
      <c r="O62" s="2">
        <f t="shared" si="25"/>
        <v>25.067049808429104</v>
      </c>
      <c r="P62" s="2">
        <f t="shared" si="26"/>
        <v>6.718773946360141</v>
      </c>
      <c r="Q62" s="2">
        <f t="shared" si="27"/>
        <v>1.9999999999999891</v>
      </c>
      <c r="R62" s="2">
        <f t="shared" si="28"/>
        <v>3.0034482758620467</v>
      </c>
      <c r="S62" s="2">
        <f t="shared" si="29"/>
        <v>59.458237540279747</v>
      </c>
      <c r="T62" s="2">
        <f t="shared" si="30"/>
        <v>22.059003831605999</v>
      </c>
      <c r="U62" s="1">
        <f t="shared" si="31"/>
        <v>8.677219683193087</v>
      </c>
      <c r="V62" s="1">
        <f t="shared" si="32"/>
        <v>3.6582365538489046</v>
      </c>
      <c r="W62" s="1">
        <f t="shared" si="33"/>
        <v>1.2665236486160203</v>
      </c>
      <c r="Y62">
        <v>8.0553864881314594E-2</v>
      </c>
      <c r="Z62">
        <v>6.7346317711503303E-2</v>
      </c>
      <c r="AA62">
        <v>3.6092513694461197E-2</v>
      </c>
      <c r="AB62">
        <v>0.190139987827145</v>
      </c>
      <c r="AC62">
        <v>3.7735849056603703E-2</v>
      </c>
      <c r="AD62">
        <v>0.21392179228451899</v>
      </c>
      <c r="AE62">
        <v>0.10601181597496399</v>
      </c>
      <c r="AF62">
        <v>9.5675762627592004E-2</v>
      </c>
      <c r="AG62">
        <v>2.5644175367786799E-2</v>
      </c>
      <c r="AH62">
        <v>7.6335877862595001E-3</v>
      </c>
      <c r="AI62">
        <v>1.14635430376414E-2</v>
      </c>
      <c r="AJ62">
        <v>22.693983793999902</v>
      </c>
      <c r="AK62">
        <v>8.4194671112999995</v>
      </c>
    </row>
    <row r="63" spans="1:37" x14ac:dyDescent="0.4">
      <c r="A63" t="s">
        <v>110</v>
      </c>
      <c r="B63" s="3" t="s">
        <v>111</v>
      </c>
      <c r="C63">
        <v>0</v>
      </c>
      <c r="D63">
        <v>56</v>
      </c>
      <c r="E63">
        <v>56.33</v>
      </c>
      <c r="F63">
        <v>237</v>
      </c>
      <c r="G63" s="2">
        <f t="shared" si="17"/>
        <v>3.6262295081967189</v>
      </c>
      <c r="H63" s="2">
        <f t="shared" si="18"/>
        <v>2.9262295081967138</v>
      </c>
      <c r="I63" s="2">
        <f t="shared" si="19"/>
        <v>2.3754098360655655</v>
      </c>
      <c r="J63" s="2">
        <f t="shared" si="20"/>
        <v>15.904918032786831</v>
      </c>
      <c r="K63" s="2">
        <f t="shared" si="21"/>
        <v>18.280327868852396</v>
      </c>
      <c r="L63">
        <f t="shared" si="22"/>
        <v>4.9999999999999956</v>
      </c>
      <c r="M63" s="2">
        <f t="shared" si="23"/>
        <v>51.749416342412445</v>
      </c>
      <c r="N63" s="2">
        <f t="shared" si="24"/>
        <v>24.929182879377297</v>
      </c>
      <c r="O63" s="2">
        <f t="shared" si="25"/>
        <v>23.038132295719823</v>
      </c>
      <c r="P63" s="2">
        <f t="shared" si="26"/>
        <v>5.6731517509727558</v>
      </c>
      <c r="Q63" s="2">
        <f t="shared" si="27"/>
        <v>0.99999999999999478</v>
      </c>
      <c r="R63" s="2">
        <f t="shared" si="28"/>
        <v>2.9299610894941361</v>
      </c>
      <c r="S63" s="2">
        <f t="shared" si="29"/>
        <v>54.285992214389992</v>
      </c>
      <c r="T63" s="2">
        <f t="shared" si="30"/>
        <v>18.610505835960002</v>
      </c>
      <c r="U63" s="1">
        <f t="shared" si="31"/>
        <v>8.6734232190575167</v>
      </c>
      <c r="V63" s="1">
        <f t="shared" si="32"/>
        <v>3.6808661576687096</v>
      </c>
      <c r="W63" s="1">
        <f t="shared" si="33"/>
        <v>1.2490666106581296</v>
      </c>
      <c r="Y63">
        <v>6.4754098360655696E-2</v>
      </c>
      <c r="Z63">
        <v>5.2254098360655601E-2</v>
      </c>
      <c r="AA63">
        <v>4.24180327868851E-2</v>
      </c>
      <c r="AB63">
        <v>0.28401639344262197</v>
      </c>
      <c r="AC63">
        <v>8.9285714285714204E-2</v>
      </c>
      <c r="AD63">
        <v>0.21835196768950399</v>
      </c>
      <c r="AE63">
        <v>0.105186425651381</v>
      </c>
      <c r="AF63">
        <v>9.7207309264640607E-2</v>
      </c>
      <c r="AG63">
        <v>2.3937349160222599E-2</v>
      </c>
      <c r="AH63">
        <v>4.2194092827003999E-3</v>
      </c>
      <c r="AI63">
        <v>1.23627050189626E-2</v>
      </c>
      <c r="AJ63">
        <v>22.905481946999998</v>
      </c>
      <c r="AK63">
        <v>7.8525341080000004</v>
      </c>
    </row>
    <row r="64" spans="1:37" x14ac:dyDescent="0.4">
      <c r="A64" t="s">
        <v>22</v>
      </c>
      <c r="B64" t="s">
        <v>25</v>
      </c>
      <c r="C64">
        <v>0</v>
      </c>
      <c r="D64">
        <v>61</v>
      </c>
      <c r="E64">
        <v>61.33</v>
      </c>
      <c r="F64">
        <v>261</v>
      </c>
      <c r="G64" s="2">
        <f t="shared" si="17"/>
        <v>3.6578124999999941</v>
      </c>
      <c r="H64" s="2">
        <f t="shared" si="18"/>
        <v>3.6578124999999941</v>
      </c>
      <c r="I64" s="2">
        <f t="shared" si="19"/>
        <v>2.6718749999999925</v>
      </c>
      <c r="J64" s="2">
        <f t="shared" si="20"/>
        <v>12.531249999999972</v>
      </c>
      <c r="K64" s="2">
        <f t="shared" si="21"/>
        <v>15.203124999999964</v>
      </c>
      <c r="L64">
        <f t="shared" si="22"/>
        <v>2.9999999999999964</v>
      </c>
      <c r="M64" s="2">
        <f t="shared" si="23"/>
        <v>52.063333333333134</v>
      </c>
      <c r="N64" s="2">
        <f t="shared" si="24"/>
        <v>27.346666666666508</v>
      </c>
      <c r="O64" s="2">
        <f t="shared" si="25"/>
        <v>25.09333333333332</v>
      </c>
      <c r="P64" s="2">
        <f t="shared" si="26"/>
        <v>6.8366666666666411</v>
      </c>
      <c r="Q64" s="2">
        <f t="shared" si="27"/>
        <v>0.99999999999998102</v>
      </c>
      <c r="R64" s="2">
        <f t="shared" si="28"/>
        <v>2.2699999999999907</v>
      </c>
      <c r="S64" s="2">
        <f t="shared" si="29"/>
        <v>73.626666668909735</v>
      </c>
      <c r="T64" s="2">
        <f t="shared" si="30"/>
        <v>26.746666666181998</v>
      </c>
      <c r="U64" s="1">
        <f t="shared" si="31"/>
        <v>10.804500244907674</v>
      </c>
      <c r="V64" s="1">
        <f t="shared" si="32"/>
        <v>3.6823740420675017</v>
      </c>
      <c r="W64" s="1">
        <f t="shared" si="33"/>
        <v>1.2850154899643751</v>
      </c>
      <c r="Y64">
        <v>5.9964139344262202E-2</v>
      </c>
      <c r="Z64">
        <v>5.9964139344262202E-2</v>
      </c>
      <c r="AA64">
        <v>4.38012295081966E-2</v>
      </c>
      <c r="AB64">
        <v>0.20543032786885199</v>
      </c>
      <c r="AC64">
        <v>4.9180327868852403E-2</v>
      </c>
      <c r="AD64">
        <v>0.19947637292464801</v>
      </c>
      <c r="AE64">
        <v>0.104776500638569</v>
      </c>
      <c r="AF64">
        <v>9.6143039591315399E-2</v>
      </c>
      <c r="AG64">
        <v>2.6194125159642302E-2</v>
      </c>
      <c r="AH64">
        <v>3.8314176245210002E-3</v>
      </c>
      <c r="AI64">
        <v>8.6973180076628E-3</v>
      </c>
      <c r="AJ64">
        <v>28.209450830999899</v>
      </c>
      <c r="AK64">
        <v>10.2477650062</v>
      </c>
    </row>
    <row r="65" spans="1:37" x14ac:dyDescent="0.4">
      <c r="A65" t="s">
        <v>50</v>
      </c>
      <c r="B65" s="4" t="s">
        <v>51</v>
      </c>
      <c r="C65">
        <v>0</v>
      </c>
      <c r="D65">
        <v>62</v>
      </c>
      <c r="E65">
        <v>59.67</v>
      </c>
      <c r="F65">
        <v>252</v>
      </c>
      <c r="G65" s="2">
        <f t="shared" si="17"/>
        <v>2.9857142857142813</v>
      </c>
      <c r="H65" s="2">
        <f t="shared" si="18"/>
        <v>2.9857142857142813</v>
      </c>
      <c r="I65" s="2">
        <f t="shared" si="19"/>
        <v>16.842857142857131</v>
      </c>
      <c r="J65" s="2">
        <f t="shared" si="20"/>
        <v>8.6619047619047276</v>
      </c>
      <c r="K65" s="2">
        <f t="shared" si="21"/>
        <v>25.504761904761857</v>
      </c>
      <c r="L65">
        <f t="shared" si="22"/>
        <v>2.9999999999999969</v>
      </c>
      <c r="M65" s="2">
        <f t="shared" si="23"/>
        <v>56.526315789473458</v>
      </c>
      <c r="N65" s="2">
        <f t="shared" si="24"/>
        <v>26.36842105263139</v>
      </c>
      <c r="O65" s="2">
        <f t="shared" si="25"/>
        <v>24.442105263157863</v>
      </c>
      <c r="P65" s="2">
        <f t="shared" si="26"/>
        <v>5.4789473684210321</v>
      </c>
      <c r="Q65" s="2">
        <f t="shared" si="27"/>
        <v>1.9999999999999907</v>
      </c>
      <c r="R65" s="2">
        <f t="shared" si="28"/>
        <v>2.9526315789473498</v>
      </c>
      <c r="S65" s="2">
        <f t="shared" si="29"/>
        <v>50.873684213520008</v>
      </c>
      <c r="T65" s="2">
        <f t="shared" si="30"/>
        <v>18.663157893995976</v>
      </c>
      <c r="U65" s="1">
        <f t="shared" si="31"/>
        <v>7.6732555374841631</v>
      </c>
      <c r="V65" s="1">
        <f t="shared" si="32"/>
        <v>3.6865920457251677</v>
      </c>
      <c r="W65" s="1">
        <f t="shared" si="33"/>
        <v>1.2600883808189949</v>
      </c>
      <c r="Y65">
        <v>4.8156682027649701E-2</v>
      </c>
      <c r="Z65">
        <v>4.8156682027649701E-2</v>
      </c>
      <c r="AA65">
        <v>0.27165898617511502</v>
      </c>
      <c r="AB65">
        <v>0.139708141321044</v>
      </c>
      <c r="AC65">
        <v>4.8387096774193498E-2</v>
      </c>
      <c r="AD65">
        <v>0.22431077694235499</v>
      </c>
      <c r="AE65">
        <v>0.104636591478696</v>
      </c>
      <c r="AF65">
        <v>9.6992481203007394E-2</v>
      </c>
      <c r="AG65">
        <v>2.1741854636591399E-2</v>
      </c>
      <c r="AH65">
        <v>7.9365079365078996E-3</v>
      </c>
      <c r="AI65">
        <v>1.1716791979949801E-2</v>
      </c>
      <c r="AJ65">
        <v>20.187969926000001</v>
      </c>
      <c r="AK65">
        <v>7.4060150372999898</v>
      </c>
    </row>
    <row r="66" spans="1:37" x14ac:dyDescent="0.4">
      <c r="A66" t="s">
        <v>43</v>
      </c>
      <c r="B66" s="3" t="s">
        <v>46</v>
      </c>
      <c r="C66">
        <v>1</v>
      </c>
      <c r="D66">
        <v>58</v>
      </c>
      <c r="E66">
        <v>63</v>
      </c>
      <c r="F66">
        <v>259</v>
      </c>
      <c r="G66" s="2">
        <f t="shared" ref="G66:G85" si="34">$D66*Y66</f>
        <v>3.6030769230769195</v>
      </c>
      <c r="H66" s="2">
        <f t="shared" ref="H66:H85" si="35">$D66*Z66</f>
        <v>2.903076923076918</v>
      </c>
      <c r="I66" s="2">
        <f t="shared" ref="I66:I85" si="36">$D66*AA66</f>
        <v>0.6999999999999954</v>
      </c>
      <c r="J66" s="2">
        <f t="shared" ref="J66:J85" si="37">$D66*AB66</f>
        <v>18.550769230769227</v>
      </c>
      <c r="K66" s="2">
        <f t="shared" ref="K66:K97" si="38">I66+J66</f>
        <v>19.250769230769222</v>
      </c>
      <c r="L66">
        <f t="shared" ref="L66:L85" si="39">$D66*AC66</f>
        <v>2.9999999999999951</v>
      </c>
      <c r="M66" s="2">
        <f t="shared" ref="M66:M85" si="40">$F66*AD66</f>
        <v>54.24239130434777</v>
      </c>
      <c r="N66" s="2">
        <f t="shared" ref="N66:N85" si="41">$F66*AE66</f>
        <v>28.406521739130248</v>
      </c>
      <c r="O66" s="2">
        <f t="shared" ref="O66:O85" si="42">$F66*AF66</f>
        <v>25.835869565217369</v>
      </c>
      <c r="P66" s="2">
        <f t="shared" ref="P66:P85" si="43">$F66*AG66</f>
        <v>8.6119565217391134</v>
      </c>
      <c r="Q66" s="2">
        <f t="shared" ref="Q66:Q85" si="44">$F66*AH66</f>
        <v>0.99999999999998423</v>
      </c>
      <c r="R66" s="2">
        <f t="shared" ref="R66:R85" si="45">$F66*AI66</f>
        <v>3.6445652173912779</v>
      </c>
      <c r="S66" s="2">
        <f t="shared" ref="S66:S85" si="46">$F66*(AJ66/100)</f>
        <v>55.85615941444</v>
      </c>
      <c r="T66" s="2">
        <f t="shared" ref="T66:T85" si="47">$F66*(AK66/100)</f>
        <v>18.894565217303974</v>
      </c>
      <c r="U66" s="1">
        <f t="shared" ref="U66:U85" si="48">S66/E66*9</f>
        <v>7.9794513449200002</v>
      </c>
      <c r="V66" s="1">
        <f t="shared" ref="V66:V85" si="49">O66/E66*9</f>
        <v>3.6908385093167668</v>
      </c>
      <c r="W66" s="1">
        <f t="shared" ref="W66:W85" si="50">(T66+M66)/E66</f>
        <v>1.1609040717722499</v>
      </c>
      <c r="Y66">
        <v>6.2122015915119302E-2</v>
      </c>
      <c r="Z66">
        <v>5.0053050397877899E-2</v>
      </c>
      <c r="AA66">
        <v>1.2068965517241299E-2</v>
      </c>
      <c r="AB66">
        <v>0.31984084880636598</v>
      </c>
      <c r="AC66">
        <v>5.1724137931034399E-2</v>
      </c>
      <c r="AD66">
        <v>0.20943008225616899</v>
      </c>
      <c r="AE66">
        <v>0.109677690112472</v>
      </c>
      <c r="AF66">
        <v>9.9752392143696397E-2</v>
      </c>
      <c r="AG66">
        <v>3.32507973812321E-2</v>
      </c>
      <c r="AH66">
        <v>3.8610038610037999E-3</v>
      </c>
      <c r="AI66">
        <v>1.4071680376028101E-2</v>
      </c>
      <c r="AJ66">
        <v>21.566084715999999</v>
      </c>
      <c r="AK66">
        <v>7.2951989255999896</v>
      </c>
    </row>
    <row r="67" spans="1:37" x14ac:dyDescent="0.4">
      <c r="A67" t="s">
        <v>103</v>
      </c>
      <c r="B67" t="s">
        <v>105</v>
      </c>
      <c r="C67">
        <v>0</v>
      </c>
      <c r="D67">
        <v>56</v>
      </c>
      <c r="E67">
        <v>56.33</v>
      </c>
      <c r="F67">
        <v>243</v>
      </c>
      <c r="G67" s="2">
        <f t="shared" si="34"/>
        <v>3.5753846153846132</v>
      </c>
      <c r="H67" s="2">
        <f t="shared" si="35"/>
        <v>2.8753846153846072</v>
      </c>
      <c r="I67" s="2">
        <f t="shared" si="36"/>
        <v>1.4753846153846073</v>
      </c>
      <c r="J67" s="2">
        <f t="shared" si="37"/>
        <v>10.801538461538438</v>
      </c>
      <c r="K67" s="2">
        <f t="shared" si="38"/>
        <v>12.276923076923046</v>
      </c>
      <c r="L67">
        <f t="shared" si="39"/>
        <v>2.999999999999996</v>
      </c>
      <c r="M67" s="2">
        <f t="shared" si="40"/>
        <v>49.978723404255263</v>
      </c>
      <c r="N67" s="2">
        <f t="shared" si="41"/>
        <v>25.895744680850882</v>
      </c>
      <c r="O67" s="2">
        <f t="shared" si="42"/>
        <v>23.486170212765931</v>
      </c>
      <c r="P67" s="2">
        <f t="shared" si="43"/>
        <v>6.3223404255318973</v>
      </c>
      <c r="Q67" s="2">
        <f t="shared" si="44"/>
        <v>0.99999999999998557</v>
      </c>
      <c r="R67" s="2">
        <f t="shared" si="45"/>
        <v>2.1755319148936119</v>
      </c>
      <c r="S67" s="2">
        <f t="shared" si="46"/>
        <v>54.204255314009998</v>
      </c>
      <c r="T67" s="2">
        <f t="shared" si="47"/>
        <v>24.392553185843997</v>
      </c>
      <c r="U67" s="1">
        <f t="shared" si="48"/>
        <v>8.6603638882671756</v>
      </c>
      <c r="V67" s="1">
        <f t="shared" si="49"/>
        <v>3.7524504156735907</v>
      </c>
      <c r="W67" s="1">
        <f t="shared" si="50"/>
        <v>1.3202782991318882</v>
      </c>
      <c r="Y67">
        <v>6.3846153846153803E-2</v>
      </c>
      <c r="Z67">
        <v>5.1346153846153701E-2</v>
      </c>
      <c r="AA67">
        <v>2.63461538461537E-2</v>
      </c>
      <c r="AB67">
        <v>0.19288461538461499</v>
      </c>
      <c r="AC67">
        <v>5.3571428571428499E-2</v>
      </c>
      <c r="AD67">
        <v>0.205673758865248</v>
      </c>
      <c r="AE67">
        <v>0.106566850538481</v>
      </c>
      <c r="AF67">
        <v>9.66509062253742E-2</v>
      </c>
      <c r="AG67">
        <v>2.6017861833464599E-2</v>
      </c>
      <c r="AH67">
        <v>4.1152263374485002E-3</v>
      </c>
      <c r="AI67">
        <v>8.9528062341300892E-3</v>
      </c>
      <c r="AJ67">
        <v>22.306277906999998</v>
      </c>
      <c r="AK67">
        <v>10.038087730799999</v>
      </c>
    </row>
    <row r="68" spans="1:37" x14ac:dyDescent="0.4">
      <c r="A68" t="s">
        <v>27</v>
      </c>
      <c r="B68" t="s">
        <v>28</v>
      </c>
      <c r="C68">
        <v>0</v>
      </c>
      <c r="D68">
        <v>63</v>
      </c>
      <c r="E68">
        <v>62</v>
      </c>
      <c r="F68">
        <v>258</v>
      </c>
      <c r="G68" s="2">
        <f t="shared" si="34"/>
        <v>3.6590909090909038</v>
      </c>
      <c r="H68" s="2">
        <f t="shared" si="35"/>
        <v>3.6590909090909038</v>
      </c>
      <c r="I68" s="2">
        <f t="shared" si="36"/>
        <v>2.6727272727272711</v>
      </c>
      <c r="J68" s="2">
        <f t="shared" si="37"/>
        <v>17.722727272727255</v>
      </c>
      <c r="K68" s="2">
        <f t="shared" si="38"/>
        <v>20.395454545454527</v>
      </c>
      <c r="L68">
        <f t="shared" si="39"/>
        <v>4.9999999999999964</v>
      </c>
      <c r="M68" s="2">
        <f t="shared" si="40"/>
        <v>56.678417266187004</v>
      </c>
      <c r="N68" s="2">
        <f t="shared" si="41"/>
        <v>27.889208633093407</v>
      </c>
      <c r="O68" s="2">
        <f t="shared" si="42"/>
        <v>25.989928057553691</v>
      </c>
      <c r="P68" s="2">
        <f t="shared" si="43"/>
        <v>7.597122302158227</v>
      </c>
      <c r="Q68" s="2">
        <f t="shared" si="44"/>
        <v>0.99999999999998401</v>
      </c>
      <c r="R68" s="2">
        <f t="shared" si="45"/>
        <v>2.2352517985611424</v>
      </c>
      <c r="S68" s="2">
        <f t="shared" si="46"/>
        <v>58.027338126239741</v>
      </c>
      <c r="T68" s="2">
        <f t="shared" si="47"/>
        <v>18.092805754962001</v>
      </c>
      <c r="U68" s="1">
        <f t="shared" si="48"/>
        <v>8.42332327638964</v>
      </c>
      <c r="V68" s="1">
        <f t="shared" si="49"/>
        <v>3.7727314922255357</v>
      </c>
      <c r="W68" s="1">
        <f t="shared" si="50"/>
        <v>1.2059874680830487</v>
      </c>
      <c r="Y68">
        <v>5.8080808080807997E-2</v>
      </c>
      <c r="Z68">
        <v>5.8080808080807997E-2</v>
      </c>
      <c r="AA68">
        <v>4.2424242424242399E-2</v>
      </c>
      <c r="AB68">
        <v>0.28131313131313102</v>
      </c>
      <c r="AC68">
        <v>7.9365079365079305E-2</v>
      </c>
      <c r="AD68">
        <v>0.21968378785343801</v>
      </c>
      <c r="AE68">
        <v>0.10809770788020701</v>
      </c>
      <c r="AF68">
        <v>0.10073615526183601</v>
      </c>
      <c r="AG68">
        <v>2.9446210473481501E-2</v>
      </c>
      <c r="AH68">
        <v>3.8759689922479999E-3</v>
      </c>
      <c r="AI68">
        <v>8.6637666610897002E-3</v>
      </c>
      <c r="AJ68">
        <v>22.491216327999901</v>
      </c>
      <c r="AK68">
        <v>7.0127154089000001</v>
      </c>
    </row>
    <row r="69" spans="1:37" x14ac:dyDescent="0.4">
      <c r="A69" t="s">
        <v>95</v>
      </c>
      <c r="B69" t="s">
        <v>97</v>
      </c>
      <c r="C69">
        <v>0</v>
      </c>
      <c r="D69">
        <v>60</v>
      </c>
      <c r="E69">
        <v>60</v>
      </c>
      <c r="F69">
        <v>254</v>
      </c>
      <c r="G69" s="2">
        <f t="shared" si="34"/>
        <v>2.9437499999999939</v>
      </c>
      <c r="H69" s="2">
        <f t="shared" si="35"/>
        <v>3.6437499999999958</v>
      </c>
      <c r="I69" s="2">
        <f t="shared" si="36"/>
        <v>22.574999999999999</v>
      </c>
      <c r="J69" s="2">
        <f t="shared" si="37"/>
        <v>5.3249999999999993</v>
      </c>
      <c r="K69" s="2">
        <f t="shared" si="38"/>
        <v>27.9</v>
      </c>
      <c r="L69">
        <f t="shared" si="39"/>
        <v>4.9999999999999982</v>
      </c>
      <c r="M69" s="2">
        <f t="shared" si="40"/>
        <v>52.284870848708294</v>
      </c>
      <c r="N69" s="2">
        <f t="shared" si="41"/>
        <v>27.726568265682456</v>
      </c>
      <c r="O69" s="2">
        <f t="shared" si="42"/>
        <v>25.158302583025822</v>
      </c>
      <c r="P69" s="2">
        <f t="shared" si="43"/>
        <v>6.6926199261992396</v>
      </c>
      <c r="Q69" s="2">
        <f t="shared" si="44"/>
        <v>1.9999999999999758</v>
      </c>
      <c r="R69" s="2">
        <f t="shared" si="45"/>
        <v>2.9435424354243351</v>
      </c>
      <c r="S69" s="2">
        <f t="shared" si="46"/>
        <v>62.557933575779998</v>
      </c>
      <c r="T69" s="2">
        <f t="shared" si="47"/>
        <v>23.002214022404001</v>
      </c>
      <c r="U69" s="1">
        <f t="shared" si="48"/>
        <v>9.3836900363669997</v>
      </c>
      <c r="V69" s="1">
        <f t="shared" si="49"/>
        <v>3.7737453874538733</v>
      </c>
      <c r="W69" s="1">
        <f t="shared" si="50"/>
        <v>1.2547847478518717</v>
      </c>
      <c r="Y69">
        <v>4.9062499999999898E-2</v>
      </c>
      <c r="Z69">
        <v>6.0729166666666598E-2</v>
      </c>
      <c r="AA69">
        <v>0.37624999999999997</v>
      </c>
      <c r="AB69">
        <v>8.8749999999999996E-2</v>
      </c>
      <c r="AC69">
        <v>8.3333333333333301E-2</v>
      </c>
      <c r="AD69">
        <v>0.20584594822326099</v>
      </c>
      <c r="AE69">
        <v>0.10915971758142699</v>
      </c>
      <c r="AF69">
        <v>9.9048435366243401E-2</v>
      </c>
      <c r="AG69">
        <v>2.63488973472411E-2</v>
      </c>
      <c r="AH69">
        <v>7.8740157480314005E-3</v>
      </c>
      <c r="AI69">
        <v>1.15887497457651E-2</v>
      </c>
      <c r="AJ69">
        <v>24.629107706999999</v>
      </c>
      <c r="AK69">
        <v>9.0559897726000003</v>
      </c>
    </row>
    <row r="70" spans="1:37" x14ac:dyDescent="0.4">
      <c r="A70" t="s">
        <v>31</v>
      </c>
      <c r="B70" t="s">
        <v>35</v>
      </c>
      <c r="C70">
        <v>0</v>
      </c>
      <c r="D70">
        <v>52</v>
      </c>
      <c r="E70">
        <v>53.33</v>
      </c>
      <c r="F70">
        <v>220</v>
      </c>
      <c r="G70" s="2">
        <f t="shared" si="34"/>
        <v>3.567213114754094</v>
      </c>
      <c r="H70" s="2">
        <f t="shared" si="35"/>
        <v>2.867213114754092</v>
      </c>
      <c r="I70" s="2">
        <f t="shared" si="36"/>
        <v>16.826229508196683</v>
      </c>
      <c r="J70" s="2">
        <f t="shared" si="37"/>
        <v>7.8344262295081641</v>
      </c>
      <c r="K70" s="2">
        <f t="shared" si="38"/>
        <v>24.660655737704847</v>
      </c>
      <c r="L70">
        <f t="shared" si="39"/>
        <v>3.9999999999999987</v>
      </c>
      <c r="M70" s="2">
        <f t="shared" si="40"/>
        <v>46.360869565217243</v>
      </c>
      <c r="N70" s="2">
        <f t="shared" si="41"/>
        <v>24.243478260869338</v>
      </c>
      <c r="O70" s="2">
        <f t="shared" si="42"/>
        <v>22.426086956521598</v>
      </c>
      <c r="P70" s="2">
        <f t="shared" si="43"/>
        <v>6.3608695652173752</v>
      </c>
      <c r="Q70" s="2">
        <f t="shared" si="44"/>
        <v>0.99999999999999001</v>
      </c>
      <c r="R70" s="2">
        <f t="shared" si="45"/>
        <v>2.1826086956521564</v>
      </c>
      <c r="S70" s="2">
        <f t="shared" si="46"/>
        <v>55.739130427200003</v>
      </c>
      <c r="T70" s="2">
        <f t="shared" si="47"/>
        <v>17.58260869595998</v>
      </c>
      <c r="U70" s="1">
        <f t="shared" si="48"/>
        <v>9.4065661699756244</v>
      </c>
      <c r="V70" s="1">
        <f t="shared" si="49"/>
        <v>3.7846387138326341</v>
      </c>
      <c r="W70" s="1">
        <f t="shared" si="50"/>
        <v>1.1990151558443132</v>
      </c>
      <c r="Y70">
        <v>6.8600252206809501E-2</v>
      </c>
      <c r="Z70">
        <v>5.5138713745270997E-2</v>
      </c>
      <c r="AA70">
        <v>0.32358133669609002</v>
      </c>
      <c r="AB70">
        <v>0.150662042875157</v>
      </c>
      <c r="AC70">
        <v>7.69230769230769E-2</v>
      </c>
      <c r="AD70">
        <v>0.210731225296442</v>
      </c>
      <c r="AE70">
        <v>0.110197628458497</v>
      </c>
      <c r="AF70">
        <v>0.10193675889327999</v>
      </c>
      <c r="AG70">
        <v>2.8913043478260798E-2</v>
      </c>
      <c r="AH70">
        <v>4.5454545454545001E-3</v>
      </c>
      <c r="AI70">
        <v>9.9209486166007103E-3</v>
      </c>
      <c r="AJ70">
        <v>25.335968376</v>
      </c>
      <c r="AK70">
        <v>7.9920948617999903</v>
      </c>
    </row>
    <row r="71" spans="1:37" x14ac:dyDescent="0.4">
      <c r="B71" t="s">
        <v>126</v>
      </c>
      <c r="C71">
        <v>0</v>
      </c>
      <c r="D71">
        <v>47</v>
      </c>
      <c r="E71">
        <v>50.33</v>
      </c>
      <c r="F71">
        <v>209</v>
      </c>
      <c r="G71" s="2">
        <f t="shared" si="34"/>
        <v>2.8049999999999957</v>
      </c>
      <c r="H71" s="2">
        <f t="shared" si="35"/>
        <v>2.8049999999999957</v>
      </c>
      <c r="I71" s="2">
        <f t="shared" si="36"/>
        <v>6.9999999999999556</v>
      </c>
      <c r="J71" s="2">
        <f t="shared" si="37"/>
        <v>2.0999999999999956</v>
      </c>
      <c r="K71" s="2">
        <f t="shared" si="38"/>
        <v>9.0999999999999517</v>
      </c>
      <c r="L71">
        <f t="shared" si="39"/>
        <v>4</v>
      </c>
      <c r="M71" s="2">
        <f t="shared" si="40"/>
        <v>41.743426294820694</v>
      </c>
      <c r="N71" s="2">
        <f t="shared" si="41"/>
        <v>23.220318725099585</v>
      </c>
      <c r="O71" s="2">
        <f t="shared" si="42"/>
        <v>21.45458167330656</v>
      </c>
      <c r="P71" s="2">
        <f t="shared" si="43"/>
        <v>7.0458167330676957</v>
      </c>
      <c r="Q71" s="2">
        <f t="shared" si="44"/>
        <v>0.99999999999999778</v>
      </c>
      <c r="R71" s="2">
        <f t="shared" si="45"/>
        <v>2.1494023904382336</v>
      </c>
      <c r="S71" s="2">
        <f t="shared" si="46"/>
        <v>55.569322711650003</v>
      </c>
      <c r="T71" s="2">
        <f t="shared" si="47"/>
        <v>19.105976096338999</v>
      </c>
      <c r="U71" s="1">
        <f t="shared" si="48"/>
        <v>9.9368945838436336</v>
      </c>
      <c r="V71" s="1">
        <f t="shared" si="49"/>
        <v>3.8365037762717868</v>
      </c>
      <c r="W71" s="1">
        <f t="shared" si="50"/>
        <v>1.20900859112179</v>
      </c>
      <c r="Y71">
        <v>5.9680851063829699E-2</v>
      </c>
      <c r="Z71">
        <v>5.9680851063829699E-2</v>
      </c>
      <c r="AA71">
        <v>0.14893617021276501</v>
      </c>
      <c r="AB71">
        <v>4.4680851063829699E-2</v>
      </c>
      <c r="AC71">
        <v>8.5106382978723402E-2</v>
      </c>
      <c r="AD71">
        <v>0.19972931241541</v>
      </c>
      <c r="AE71">
        <v>0.111102003469376</v>
      </c>
      <c r="AF71">
        <v>0.10265350082921799</v>
      </c>
      <c r="AG71">
        <v>3.37120417850129E-2</v>
      </c>
      <c r="AH71">
        <v>4.7846889952153004E-3</v>
      </c>
      <c r="AI71">
        <v>1.02842219638193E-2</v>
      </c>
      <c r="AJ71">
        <v>26.588192684999999</v>
      </c>
      <c r="AK71">
        <v>9.1416153570999992</v>
      </c>
    </row>
    <row r="72" spans="1:37" x14ac:dyDescent="0.4">
      <c r="A72" t="s">
        <v>106</v>
      </c>
      <c r="B72" t="s">
        <v>109</v>
      </c>
      <c r="C72">
        <v>0</v>
      </c>
      <c r="D72">
        <v>68</v>
      </c>
      <c r="E72">
        <v>67.67</v>
      </c>
      <c r="F72">
        <v>284</v>
      </c>
      <c r="G72" s="2">
        <f t="shared" si="34"/>
        <v>3.265714285714278</v>
      </c>
      <c r="H72" s="2">
        <f t="shared" si="35"/>
        <v>3.6742857142857104</v>
      </c>
      <c r="I72" s="2">
        <f t="shared" si="36"/>
        <v>1.6914285714285624</v>
      </c>
      <c r="J72" s="2">
        <f t="shared" si="37"/>
        <v>18.77999999999998</v>
      </c>
      <c r="K72" s="2">
        <f t="shared" si="38"/>
        <v>20.471428571428543</v>
      </c>
      <c r="L72">
        <f t="shared" si="39"/>
        <v>1.9999999999999964</v>
      </c>
      <c r="M72" s="2">
        <f t="shared" si="40"/>
        <v>68.571571906354237</v>
      </c>
      <c r="N72" s="2">
        <f t="shared" si="41"/>
        <v>31.906020066889546</v>
      </c>
      <c r="O72" s="2">
        <f t="shared" si="42"/>
        <v>29.011371237457965</v>
      </c>
      <c r="P72" s="2">
        <f t="shared" si="43"/>
        <v>7.1190635451504622</v>
      </c>
      <c r="Q72" s="2">
        <f t="shared" si="44"/>
        <v>0.99999999999997724</v>
      </c>
      <c r="R72" s="2">
        <f t="shared" si="45"/>
        <v>3.6548494983277258</v>
      </c>
      <c r="S72" s="2">
        <f t="shared" si="46"/>
        <v>48.609030108479999</v>
      </c>
      <c r="T72" s="2">
        <f t="shared" si="47"/>
        <v>15.503010033431998</v>
      </c>
      <c r="U72" s="1">
        <f t="shared" si="48"/>
        <v>6.4649219887146439</v>
      </c>
      <c r="V72" s="1">
        <f t="shared" si="49"/>
        <v>3.858465215562608</v>
      </c>
      <c r="W72" s="1">
        <f t="shared" si="50"/>
        <v>1.2424203035286869</v>
      </c>
      <c r="Y72">
        <v>4.8025210084033501E-2</v>
      </c>
      <c r="Z72">
        <v>5.4033613445378097E-2</v>
      </c>
      <c r="AA72">
        <v>2.48739495798318E-2</v>
      </c>
      <c r="AB72">
        <v>0.27617647058823502</v>
      </c>
      <c r="AC72">
        <v>2.94117647058823E-2</v>
      </c>
      <c r="AD72">
        <v>0.24144919685336</v>
      </c>
      <c r="AE72">
        <v>0.112345141080597</v>
      </c>
      <c r="AF72">
        <v>0.10215271562485199</v>
      </c>
      <c r="AG72">
        <v>2.5067125158980502E-2</v>
      </c>
      <c r="AH72">
        <v>3.5211267605633001E-3</v>
      </c>
      <c r="AI72">
        <v>1.28691883743934E-2</v>
      </c>
      <c r="AJ72">
        <v>17.115855671999999</v>
      </c>
      <c r="AK72">
        <v>5.4588063497999997</v>
      </c>
    </row>
    <row r="73" spans="1:37" x14ac:dyDescent="0.4">
      <c r="A73" t="s">
        <v>31</v>
      </c>
      <c r="B73" s="3" t="s">
        <v>36</v>
      </c>
      <c r="C73">
        <v>0</v>
      </c>
      <c r="D73">
        <v>28</v>
      </c>
      <c r="E73">
        <v>31.33</v>
      </c>
      <c r="F73">
        <v>136</v>
      </c>
      <c r="G73" s="2">
        <f t="shared" si="34"/>
        <v>1.7999999999999976</v>
      </c>
      <c r="H73" s="2">
        <f t="shared" si="35"/>
        <v>1.0999999999999976</v>
      </c>
      <c r="I73" s="2">
        <f t="shared" si="36"/>
        <v>0</v>
      </c>
      <c r="J73" s="2">
        <f t="shared" si="37"/>
        <v>2.999999999999996</v>
      </c>
      <c r="K73" s="2">
        <f t="shared" si="38"/>
        <v>2.999999999999996</v>
      </c>
      <c r="L73">
        <f t="shared" si="39"/>
        <v>0.99999999999999956</v>
      </c>
      <c r="M73" s="2">
        <f t="shared" si="40"/>
        <v>27.225405405405358</v>
      </c>
      <c r="N73" s="2">
        <f t="shared" si="41"/>
        <v>15.091891891891825</v>
      </c>
      <c r="O73" s="2">
        <f t="shared" si="42"/>
        <v>13.462702702702691</v>
      </c>
      <c r="P73" s="2">
        <f t="shared" si="43"/>
        <v>3.7729729729729562</v>
      </c>
      <c r="Q73" s="2">
        <f t="shared" si="44"/>
        <v>0</v>
      </c>
      <c r="R73" s="2">
        <f t="shared" si="45"/>
        <v>1.1410810810810723</v>
      </c>
      <c r="S73" s="2">
        <f t="shared" si="46"/>
        <v>33.785945948399863</v>
      </c>
      <c r="T73" s="2">
        <f t="shared" si="47"/>
        <v>15.821081077359862</v>
      </c>
      <c r="U73" s="1">
        <f t="shared" si="48"/>
        <v>9.7055063369166543</v>
      </c>
      <c r="V73" s="1">
        <f t="shared" si="49"/>
        <v>3.8673579420467354</v>
      </c>
      <c r="W73" s="1">
        <f t="shared" si="50"/>
        <v>1.3739702037269461</v>
      </c>
      <c r="Y73">
        <v>6.4285714285714196E-2</v>
      </c>
      <c r="Z73">
        <v>3.9285714285714202E-2</v>
      </c>
      <c r="AA73">
        <v>0</v>
      </c>
      <c r="AB73">
        <v>0.107142857142857</v>
      </c>
      <c r="AC73">
        <v>3.5714285714285698E-2</v>
      </c>
      <c r="AD73">
        <v>0.20018680445150999</v>
      </c>
      <c r="AE73">
        <v>0.110969793322734</v>
      </c>
      <c r="AF73">
        <v>9.8990461049284495E-2</v>
      </c>
      <c r="AG73">
        <v>2.7742448330683501E-2</v>
      </c>
      <c r="AH73">
        <v>0</v>
      </c>
      <c r="AI73">
        <v>8.3903020667725897E-3</v>
      </c>
      <c r="AJ73">
        <v>24.842607314999899</v>
      </c>
      <c r="AK73">
        <v>11.633147850999899</v>
      </c>
    </row>
    <row r="74" spans="1:37" x14ac:dyDescent="0.4">
      <c r="A74" t="s">
        <v>110</v>
      </c>
      <c r="B74" s="3" t="s">
        <v>113</v>
      </c>
      <c r="C74">
        <v>0</v>
      </c>
      <c r="D74">
        <v>59</v>
      </c>
      <c r="E74">
        <v>63</v>
      </c>
      <c r="F74">
        <v>269</v>
      </c>
      <c r="G74" s="2">
        <f t="shared" si="34"/>
        <v>2.9169230769230712</v>
      </c>
      <c r="H74" s="2">
        <f t="shared" si="35"/>
        <v>3.61692307692307</v>
      </c>
      <c r="I74" s="2">
        <f t="shared" si="36"/>
        <v>0.97230769230768455</v>
      </c>
      <c r="J74" s="2">
        <f t="shared" si="37"/>
        <v>14.856923076923071</v>
      </c>
      <c r="K74" s="2">
        <f t="shared" si="38"/>
        <v>15.829230769230755</v>
      </c>
      <c r="L74">
        <f t="shared" si="39"/>
        <v>1.9999999999999962</v>
      </c>
      <c r="M74" s="2">
        <f t="shared" si="40"/>
        <v>57.65253623188385</v>
      </c>
      <c r="N74" s="2">
        <f t="shared" si="41"/>
        <v>29.167391304347728</v>
      </c>
      <c r="O74" s="2">
        <f t="shared" si="42"/>
        <v>27.202898550724381</v>
      </c>
      <c r="P74" s="2">
        <f t="shared" si="43"/>
        <v>5.8934782608695597</v>
      </c>
      <c r="Q74" s="2">
        <f t="shared" si="44"/>
        <v>1.9999999999999958</v>
      </c>
      <c r="R74" s="2">
        <f t="shared" si="45"/>
        <v>2.2771739130434723</v>
      </c>
      <c r="S74" s="2">
        <f t="shared" si="46"/>
        <v>62.863768120319996</v>
      </c>
      <c r="T74" s="2">
        <f t="shared" si="47"/>
        <v>25.538405796728</v>
      </c>
      <c r="U74" s="1">
        <f t="shared" si="48"/>
        <v>8.9805383029028558</v>
      </c>
      <c r="V74" s="1">
        <f t="shared" si="49"/>
        <v>3.8861283643891973</v>
      </c>
      <c r="W74" s="1">
        <f t="shared" si="50"/>
        <v>1.3204911433112994</v>
      </c>
      <c r="Y74">
        <v>4.9439374185136803E-2</v>
      </c>
      <c r="Z74">
        <v>6.1303780964797799E-2</v>
      </c>
      <c r="AA74">
        <v>1.64797913950455E-2</v>
      </c>
      <c r="AB74">
        <v>0.25181225554106901</v>
      </c>
      <c r="AC74">
        <v>3.38983050847457E-2</v>
      </c>
      <c r="AD74">
        <v>0.21432169602930801</v>
      </c>
      <c r="AE74">
        <v>0.108428963956683</v>
      </c>
      <c r="AF74">
        <v>0.101126016917191</v>
      </c>
      <c r="AG74">
        <v>2.1908841118474201E-2</v>
      </c>
      <c r="AH74">
        <v>7.4349442379181997E-3</v>
      </c>
      <c r="AI74">
        <v>8.4653305317601204E-3</v>
      </c>
      <c r="AJ74">
        <v>23.369430527999999</v>
      </c>
      <c r="AK74">
        <v>9.4938311512000002</v>
      </c>
    </row>
    <row r="75" spans="1:37" x14ac:dyDescent="0.4">
      <c r="A75" t="s">
        <v>68</v>
      </c>
      <c r="B75" s="3" t="s">
        <v>70</v>
      </c>
      <c r="C75">
        <v>0</v>
      </c>
      <c r="D75">
        <v>55</v>
      </c>
      <c r="E75">
        <v>58.33</v>
      </c>
      <c r="F75">
        <v>254</v>
      </c>
      <c r="G75" s="2">
        <f t="shared" si="34"/>
        <v>2.8857142857142821</v>
      </c>
      <c r="H75" s="2">
        <f t="shared" si="35"/>
        <v>2.8857142857142821</v>
      </c>
      <c r="I75" s="2">
        <f t="shared" si="36"/>
        <v>14.161904761904735</v>
      </c>
      <c r="J75" s="2">
        <f t="shared" si="37"/>
        <v>7.1714285714285504</v>
      </c>
      <c r="K75" s="2">
        <f t="shared" si="38"/>
        <v>21.333333333333286</v>
      </c>
      <c r="L75">
        <f t="shared" si="39"/>
        <v>1.9999999999999964</v>
      </c>
      <c r="M75" s="2">
        <f t="shared" si="40"/>
        <v>54.335555555555466</v>
      </c>
      <c r="N75" s="2">
        <f t="shared" si="41"/>
        <v>28.455555555555357</v>
      </c>
      <c r="O75" s="2">
        <f t="shared" si="42"/>
        <v>25.579999999999789</v>
      </c>
      <c r="P75" s="2">
        <f t="shared" si="43"/>
        <v>5.7511111111110855</v>
      </c>
      <c r="Q75" s="2">
        <f t="shared" si="44"/>
        <v>1.9999999999999758</v>
      </c>
      <c r="R75" s="2">
        <f t="shared" si="45"/>
        <v>2.9466666666666406</v>
      </c>
      <c r="S75" s="2">
        <f t="shared" si="46"/>
        <v>60.445185177459997</v>
      </c>
      <c r="T75" s="2">
        <f t="shared" si="47"/>
        <v>26.238518515999999</v>
      </c>
      <c r="U75" s="1">
        <f t="shared" si="48"/>
        <v>9.3263615051798379</v>
      </c>
      <c r="V75" s="1">
        <f t="shared" si="49"/>
        <v>3.9468541059488786</v>
      </c>
      <c r="W75" s="1">
        <f t="shared" si="50"/>
        <v>1.3813487754424045</v>
      </c>
      <c r="Y75">
        <v>5.2467532467532399E-2</v>
      </c>
      <c r="Z75">
        <v>5.2467532467532399E-2</v>
      </c>
      <c r="AA75">
        <v>0.25748917748917699</v>
      </c>
      <c r="AB75">
        <v>0.13038961038961</v>
      </c>
      <c r="AC75">
        <v>3.6363636363636299E-2</v>
      </c>
      <c r="AD75">
        <v>0.21391951006124199</v>
      </c>
      <c r="AE75">
        <v>0.112029746281714</v>
      </c>
      <c r="AF75">
        <v>0.100708661417322</v>
      </c>
      <c r="AG75">
        <v>2.2642169728783801E-2</v>
      </c>
      <c r="AH75">
        <v>7.8740157480314005E-3</v>
      </c>
      <c r="AI75">
        <v>1.1601049868766301E-2</v>
      </c>
      <c r="AJ75">
        <v>23.797316999</v>
      </c>
      <c r="AK75">
        <v>10.3301254</v>
      </c>
    </row>
    <row r="76" spans="1:37" x14ac:dyDescent="0.4">
      <c r="A76" t="s">
        <v>90</v>
      </c>
      <c r="B76" t="s">
        <v>91</v>
      </c>
      <c r="C76">
        <v>0</v>
      </c>
      <c r="D76">
        <v>54</v>
      </c>
      <c r="E76">
        <v>54.67</v>
      </c>
      <c r="F76">
        <v>230</v>
      </c>
      <c r="G76" s="2">
        <f t="shared" si="34"/>
        <v>3.623728813559314</v>
      </c>
      <c r="H76" s="2">
        <f t="shared" si="35"/>
        <v>3.623728813559314</v>
      </c>
      <c r="I76" s="2">
        <f t="shared" si="36"/>
        <v>23.115254237288081</v>
      </c>
      <c r="J76" s="2">
        <f t="shared" si="37"/>
        <v>4.5983050847457587</v>
      </c>
      <c r="K76" s="2">
        <f t="shared" si="38"/>
        <v>27.713559322033838</v>
      </c>
      <c r="L76">
        <f t="shared" si="39"/>
        <v>5.9999999999999938</v>
      </c>
      <c r="M76" s="2">
        <f t="shared" si="40"/>
        <v>48.322489959839324</v>
      </c>
      <c r="N76" s="2">
        <f t="shared" si="41"/>
        <v>25.90441767068253</v>
      </c>
      <c r="O76" s="2">
        <f t="shared" si="42"/>
        <v>24.011244979919539</v>
      </c>
      <c r="P76" s="2">
        <f t="shared" si="43"/>
        <v>7.2726907630522026</v>
      </c>
      <c r="Q76" s="2">
        <f t="shared" si="44"/>
        <v>1.99999999999999</v>
      </c>
      <c r="R76" s="2">
        <f t="shared" si="45"/>
        <v>2.9313253012047968</v>
      </c>
      <c r="S76" s="2">
        <f t="shared" si="46"/>
        <v>57.488353404900003</v>
      </c>
      <c r="T76" s="2">
        <f t="shared" si="47"/>
        <v>21.518072289429998</v>
      </c>
      <c r="U76" s="1">
        <f t="shared" si="48"/>
        <v>9.4639689161167002</v>
      </c>
      <c r="V76" s="1">
        <f t="shared" si="49"/>
        <v>3.9528297936578718</v>
      </c>
      <c r="W76" s="1">
        <f t="shared" si="50"/>
        <v>1.2774933647204925</v>
      </c>
      <c r="Y76">
        <v>6.7106089139987293E-2</v>
      </c>
      <c r="Z76">
        <v>6.7106089139987293E-2</v>
      </c>
      <c r="AA76">
        <v>0.42806026365348299</v>
      </c>
      <c r="AB76">
        <v>8.5153797865662198E-2</v>
      </c>
      <c r="AC76">
        <v>0.11111111111111099</v>
      </c>
      <c r="AD76">
        <v>0.210097782434084</v>
      </c>
      <c r="AE76">
        <v>0.11262790291601101</v>
      </c>
      <c r="AF76">
        <v>0.10439671730399799</v>
      </c>
      <c r="AG76">
        <v>3.16203946219661E-2</v>
      </c>
      <c r="AH76">
        <v>8.6956521739130002E-3</v>
      </c>
      <c r="AI76">
        <v>1.2744892613933899E-2</v>
      </c>
      <c r="AJ76">
        <v>24.994936263</v>
      </c>
      <c r="AK76">
        <v>9.3556836040999993</v>
      </c>
    </row>
    <row r="77" spans="1:37" x14ac:dyDescent="0.4">
      <c r="A77" t="s">
        <v>120</v>
      </c>
      <c r="B77" t="s">
        <v>121</v>
      </c>
      <c r="C77">
        <v>0</v>
      </c>
      <c r="D77">
        <v>58</v>
      </c>
      <c r="E77">
        <v>59</v>
      </c>
      <c r="F77">
        <v>246</v>
      </c>
      <c r="G77" s="2">
        <f t="shared" si="34"/>
        <v>3.6285714285714223</v>
      </c>
      <c r="H77" s="2">
        <f t="shared" si="35"/>
        <v>3.6285714285714223</v>
      </c>
      <c r="I77" s="2">
        <f t="shared" si="36"/>
        <v>6.9809523809523313</v>
      </c>
      <c r="J77" s="2">
        <f t="shared" si="37"/>
        <v>13.114285714285689</v>
      </c>
      <c r="K77" s="2">
        <f t="shared" si="38"/>
        <v>20.09523809523802</v>
      </c>
      <c r="L77">
        <f t="shared" si="39"/>
        <v>3.9999999999999991</v>
      </c>
      <c r="M77" s="2">
        <f t="shared" si="40"/>
        <v>53.099999999999909</v>
      </c>
      <c r="N77" s="2">
        <f t="shared" si="41"/>
        <v>28.768421052631421</v>
      </c>
      <c r="O77" s="2">
        <f t="shared" si="42"/>
        <v>25.926315789473556</v>
      </c>
      <c r="P77" s="2">
        <f t="shared" si="43"/>
        <v>8.5263157894736725</v>
      </c>
      <c r="Q77" s="2">
        <f t="shared" si="44"/>
        <v>1.999999999999998</v>
      </c>
      <c r="R77" s="2">
        <f t="shared" si="45"/>
        <v>2.2323308270676674</v>
      </c>
      <c r="S77" s="2">
        <f t="shared" si="46"/>
        <v>55.642105265879998</v>
      </c>
      <c r="T77" s="2">
        <f t="shared" si="47"/>
        <v>18.994736842122002</v>
      </c>
      <c r="U77" s="1">
        <f t="shared" si="48"/>
        <v>8.4877787693715252</v>
      </c>
      <c r="V77" s="1">
        <f t="shared" si="49"/>
        <v>3.9548617305976608</v>
      </c>
      <c r="W77" s="1">
        <f t="shared" si="50"/>
        <v>1.2219446922393542</v>
      </c>
      <c r="Y77">
        <v>6.2561576354679696E-2</v>
      </c>
      <c r="Z77">
        <v>6.2561576354679696E-2</v>
      </c>
      <c r="AA77">
        <v>0.12036124794745399</v>
      </c>
      <c r="AB77">
        <v>0.226108374384236</v>
      </c>
      <c r="AC77">
        <v>6.8965517241379296E-2</v>
      </c>
      <c r="AD77">
        <v>0.215853658536585</v>
      </c>
      <c r="AE77">
        <v>0.11694480102695699</v>
      </c>
      <c r="AF77">
        <v>0.105391527599486</v>
      </c>
      <c r="AG77">
        <v>3.4659820282413302E-2</v>
      </c>
      <c r="AH77">
        <v>8.1300813008130003E-3</v>
      </c>
      <c r="AI77">
        <v>9.0745155571856397E-3</v>
      </c>
      <c r="AJ77">
        <v>22.618741977999999</v>
      </c>
      <c r="AK77">
        <v>7.7214377406999999</v>
      </c>
    </row>
    <row r="78" spans="1:37" x14ac:dyDescent="0.4">
      <c r="A78" t="s">
        <v>57</v>
      </c>
      <c r="B78" t="s">
        <v>58</v>
      </c>
      <c r="C78">
        <v>0</v>
      </c>
      <c r="D78">
        <v>60</v>
      </c>
      <c r="E78">
        <v>62</v>
      </c>
      <c r="F78">
        <v>260</v>
      </c>
      <c r="G78" s="2">
        <f t="shared" si="34"/>
        <v>3.6437499999999958</v>
      </c>
      <c r="H78" s="2">
        <f t="shared" si="35"/>
        <v>3.6437499999999958</v>
      </c>
      <c r="I78" s="2">
        <f t="shared" si="36"/>
        <v>19.206249999999962</v>
      </c>
      <c r="J78" s="2">
        <f t="shared" si="37"/>
        <v>5.887499999999994</v>
      </c>
      <c r="K78" s="2">
        <f t="shared" si="38"/>
        <v>25.093749999999957</v>
      </c>
      <c r="L78">
        <f t="shared" si="39"/>
        <v>4.9999999999999982</v>
      </c>
      <c r="M78" s="2">
        <f t="shared" si="40"/>
        <v>55.466666666666576</v>
      </c>
      <c r="N78" s="2">
        <f t="shared" si="41"/>
        <v>29.366666666666418</v>
      </c>
      <c r="O78" s="2">
        <f t="shared" si="42"/>
        <v>27.433333333333202</v>
      </c>
      <c r="P78" s="2">
        <f t="shared" si="43"/>
        <v>7.7333333333333218</v>
      </c>
      <c r="Q78" s="2">
        <f t="shared" si="44"/>
        <v>1.999999999999976</v>
      </c>
      <c r="R78" s="2">
        <f t="shared" si="45"/>
        <v>2.9571428571428378</v>
      </c>
      <c r="S78" s="2">
        <f t="shared" si="46"/>
        <v>60.600000008599999</v>
      </c>
      <c r="T78" s="2">
        <f t="shared" si="47"/>
        <v>22.966666667620004</v>
      </c>
      <c r="U78" s="1">
        <f t="shared" si="48"/>
        <v>8.7967741947967752</v>
      </c>
      <c r="V78" s="1">
        <f t="shared" si="49"/>
        <v>3.9822580645161096</v>
      </c>
      <c r="W78" s="1">
        <f t="shared" si="50"/>
        <v>1.2650537634562351</v>
      </c>
      <c r="Y78">
        <v>6.0729166666666598E-2</v>
      </c>
      <c r="Z78">
        <v>6.0729166666666598E-2</v>
      </c>
      <c r="AA78">
        <v>0.32010416666666602</v>
      </c>
      <c r="AB78">
        <v>9.8124999999999907E-2</v>
      </c>
      <c r="AC78">
        <v>8.3333333333333301E-2</v>
      </c>
      <c r="AD78">
        <v>0.21333333333333299</v>
      </c>
      <c r="AE78">
        <v>0.112948717948717</v>
      </c>
      <c r="AF78">
        <v>0.10551282051282</v>
      </c>
      <c r="AG78">
        <v>2.9743589743589701E-2</v>
      </c>
      <c r="AH78">
        <v>7.6923076923075999E-3</v>
      </c>
      <c r="AI78">
        <v>1.13736263736263E-2</v>
      </c>
      <c r="AJ78">
        <v>23.307692311</v>
      </c>
      <c r="AK78">
        <v>8.8333333337000006</v>
      </c>
    </row>
    <row r="79" spans="1:37" x14ac:dyDescent="0.4">
      <c r="A79" t="s">
        <v>72</v>
      </c>
      <c r="B79" s="3" t="s">
        <v>73</v>
      </c>
      <c r="C79">
        <v>11</v>
      </c>
      <c r="D79">
        <v>33</v>
      </c>
      <c r="E79">
        <v>85</v>
      </c>
      <c r="F79">
        <v>373</v>
      </c>
      <c r="G79" s="2">
        <f t="shared" si="34"/>
        <v>3.4061224489795801</v>
      </c>
      <c r="H79" s="2">
        <f t="shared" si="35"/>
        <v>4.6040816326530303</v>
      </c>
      <c r="I79" s="2">
        <f t="shared" si="36"/>
        <v>0.69999999999999962</v>
      </c>
      <c r="J79" s="2">
        <f t="shared" si="37"/>
        <v>3.0020408163265278</v>
      </c>
      <c r="K79" s="2">
        <f t="shared" si="38"/>
        <v>3.7020408163265275</v>
      </c>
      <c r="L79">
        <f t="shared" si="39"/>
        <v>0.99999999999999989</v>
      </c>
      <c r="M79" s="2">
        <f t="shared" si="40"/>
        <v>76.109129511677025</v>
      </c>
      <c r="N79" s="2">
        <f t="shared" si="41"/>
        <v>41.726326963906445</v>
      </c>
      <c r="O79" s="2">
        <f t="shared" si="42"/>
        <v>37.754564755838295</v>
      </c>
      <c r="P79" s="2">
        <f t="shared" si="43"/>
        <v>7.6891719745222664</v>
      </c>
      <c r="Q79" s="2">
        <f t="shared" si="44"/>
        <v>0.99999999999996891</v>
      </c>
      <c r="R79" s="2">
        <f t="shared" si="45"/>
        <v>4.2254777070063518</v>
      </c>
      <c r="S79" s="2">
        <f t="shared" si="46"/>
        <v>83.661358818139632</v>
      </c>
      <c r="T79" s="2">
        <f t="shared" si="47"/>
        <v>46.115498937929999</v>
      </c>
      <c r="U79" s="1">
        <f t="shared" si="48"/>
        <v>8.8582615219206673</v>
      </c>
      <c r="V79" s="1">
        <f t="shared" si="49"/>
        <v>3.9975421506181723</v>
      </c>
      <c r="W79" s="1">
        <f t="shared" si="50"/>
        <v>1.4379368052894943</v>
      </c>
      <c r="Y79">
        <v>0.10321583178726</v>
      </c>
      <c r="Z79">
        <v>0.13951762523191</v>
      </c>
      <c r="AA79">
        <v>2.12121212121212E-2</v>
      </c>
      <c r="AB79">
        <v>9.0970933828076597E-2</v>
      </c>
      <c r="AC79">
        <v>3.03030303030303E-2</v>
      </c>
      <c r="AD79">
        <v>0.204045923623799</v>
      </c>
      <c r="AE79">
        <v>0.11186682832146499</v>
      </c>
      <c r="AF79">
        <v>0.101218672267663</v>
      </c>
      <c r="AG79">
        <v>2.0614402076467201E-2</v>
      </c>
      <c r="AH79">
        <v>2.6809651474529999E-3</v>
      </c>
      <c r="AI79">
        <v>1.1328358463824E-2</v>
      </c>
      <c r="AJ79">
        <v>22.429318717999902</v>
      </c>
      <c r="AK79">
        <v>12.363404541</v>
      </c>
    </row>
    <row r="80" spans="1:37" x14ac:dyDescent="0.4">
      <c r="A80" t="s">
        <v>40</v>
      </c>
      <c r="B80" t="s">
        <v>41</v>
      </c>
      <c r="C80">
        <v>0</v>
      </c>
      <c r="D80">
        <v>63</v>
      </c>
      <c r="E80">
        <v>63.67</v>
      </c>
      <c r="F80">
        <v>275</v>
      </c>
      <c r="G80" s="2">
        <f t="shared" si="34"/>
        <v>3.6723076923076863</v>
      </c>
      <c r="H80" s="2">
        <f t="shared" si="35"/>
        <v>3.6723076923076863</v>
      </c>
      <c r="I80" s="2">
        <f t="shared" si="36"/>
        <v>24.941538461538403</v>
      </c>
      <c r="J80" s="2">
        <f t="shared" si="37"/>
        <v>4.372307692307686</v>
      </c>
      <c r="K80" s="2">
        <f t="shared" si="38"/>
        <v>29.313846153846089</v>
      </c>
      <c r="L80">
        <f t="shared" si="39"/>
        <v>3.9999999999999947</v>
      </c>
      <c r="M80" s="2">
        <f t="shared" si="40"/>
        <v>53.47992957746478</v>
      </c>
      <c r="N80" s="2">
        <f t="shared" si="41"/>
        <v>31.590140845070227</v>
      </c>
      <c r="O80" s="2">
        <f t="shared" si="42"/>
        <v>28.656690140844976</v>
      </c>
      <c r="P80" s="2">
        <f t="shared" si="43"/>
        <v>8.5003521126760226</v>
      </c>
      <c r="Q80" s="2">
        <f t="shared" si="44"/>
        <v>1.99999999999998</v>
      </c>
      <c r="R80" s="2">
        <f t="shared" si="45"/>
        <v>4.3714788732394183</v>
      </c>
      <c r="S80" s="2">
        <f t="shared" si="46"/>
        <v>69.202816911249997</v>
      </c>
      <c r="T80" s="2">
        <f t="shared" si="47"/>
        <v>31.967957749750003</v>
      </c>
      <c r="U80" s="1">
        <f t="shared" si="48"/>
        <v>9.7820850039461273</v>
      </c>
      <c r="V80" s="1">
        <f t="shared" si="49"/>
        <v>4.0507336464206816</v>
      </c>
      <c r="W80" s="1">
        <f t="shared" si="50"/>
        <v>1.3420431494772229</v>
      </c>
      <c r="Y80">
        <v>5.8290598290598197E-2</v>
      </c>
      <c r="Z80">
        <v>5.8290598290598197E-2</v>
      </c>
      <c r="AA80">
        <v>0.39589743589743498</v>
      </c>
      <c r="AB80">
        <v>6.9401709401709297E-2</v>
      </c>
      <c r="AC80">
        <v>6.3492063492063405E-2</v>
      </c>
      <c r="AD80">
        <v>0.19447247119078101</v>
      </c>
      <c r="AE80">
        <v>0.11487323943661901</v>
      </c>
      <c r="AF80">
        <v>0.104206145966709</v>
      </c>
      <c r="AG80">
        <v>3.0910371318821898E-2</v>
      </c>
      <c r="AH80">
        <v>7.2727272727271999E-3</v>
      </c>
      <c r="AI80">
        <v>1.5896286811779702E-2</v>
      </c>
      <c r="AJ80">
        <v>25.164660694999998</v>
      </c>
      <c r="AK80">
        <v>11.624711909</v>
      </c>
    </row>
    <row r="81" spans="1:37" x14ac:dyDescent="0.4">
      <c r="B81" t="s">
        <v>127</v>
      </c>
      <c r="C81">
        <v>0</v>
      </c>
      <c r="D81">
        <v>53</v>
      </c>
      <c r="E81">
        <v>57.33</v>
      </c>
      <c r="F81">
        <v>245</v>
      </c>
      <c r="G81" s="2">
        <f t="shared" si="34"/>
        <v>2.8338461538461481</v>
      </c>
      <c r="H81" s="2">
        <f t="shared" si="35"/>
        <v>3.533846153846147</v>
      </c>
      <c r="I81" s="2">
        <f t="shared" si="36"/>
        <v>4.8999999999999977</v>
      </c>
      <c r="J81" s="2">
        <f t="shared" si="37"/>
        <v>3.4999999999999947</v>
      </c>
      <c r="K81" s="2">
        <f t="shared" si="38"/>
        <v>8.3999999999999915</v>
      </c>
      <c r="L81">
        <f t="shared" si="39"/>
        <v>3.9999999999999978</v>
      </c>
      <c r="M81" s="2">
        <f t="shared" si="40"/>
        <v>53.918181818181587</v>
      </c>
      <c r="N81" s="2">
        <f t="shared" si="41"/>
        <v>27.732727272727224</v>
      </c>
      <c r="O81" s="2">
        <f t="shared" si="42"/>
        <v>25.885454545454454</v>
      </c>
      <c r="P81" s="2">
        <f t="shared" si="43"/>
        <v>6.4654545454545236</v>
      </c>
      <c r="Q81" s="2">
        <f t="shared" si="44"/>
        <v>1.9999999999999878</v>
      </c>
      <c r="R81" s="2">
        <f t="shared" si="45"/>
        <v>2.2018181818181728</v>
      </c>
      <c r="S81" s="2">
        <f t="shared" si="46"/>
        <v>55.165454551899757</v>
      </c>
      <c r="T81" s="2">
        <f t="shared" si="47"/>
        <v>21.890909090749997</v>
      </c>
      <c r="U81" s="1">
        <f t="shared" si="48"/>
        <v>8.6601969469230387</v>
      </c>
      <c r="V81" s="1">
        <f t="shared" si="49"/>
        <v>4.0636506350791919</v>
      </c>
      <c r="W81" s="1">
        <f t="shared" si="50"/>
        <v>1.3223284651828289</v>
      </c>
      <c r="Y81">
        <v>5.3468795355587698E-2</v>
      </c>
      <c r="Z81">
        <v>6.6676342525399002E-2</v>
      </c>
      <c r="AA81">
        <v>9.2452830188679197E-2</v>
      </c>
      <c r="AB81">
        <v>6.6037735849056506E-2</v>
      </c>
      <c r="AC81">
        <v>7.5471698113207503E-2</v>
      </c>
      <c r="AD81">
        <v>0.220074211502782</v>
      </c>
      <c r="AE81">
        <v>0.113194805194805</v>
      </c>
      <c r="AF81">
        <v>0.10565491651205899</v>
      </c>
      <c r="AG81">
        <v>2.63896103896103E-2</v>
      </c>
      <c r="AH81">
        <v>8.1632653061223994E-3</v>
      </c>
      <c r="AI81">
        <v>8.9870129870129496E-3</v>
      </c>
      <c r="AJ81">
        <v>22.516512061999901</v>
      </c>
      <c r="AK81">
        <v>8.9350649349999998</v>
      </c>
    </row>
    <row r="82" spans="1:37" x14ac:dyDescent="0.4">
      <c r="A82" t="s">
        <v>40</v>
      </c>
      <c r="B82" t="s">
        <v>42</v>
      </c>
      <c r="C82">
        <v>0</v>
      </c>
      <c r="D82">
        <v>61</v>
      </c>
      <c r="E82">
        <v>59.33</v>
      </c>
      <c r="F82">
        <v>253</v>
      </c>
      <c r="G82" s="2">
        <f t="shared" si="34"/>
        <v>2.9854838709677365</v>
      </c>
      <c r="H82" s="2">
        <f t="shared" si="35"/>
        <v>3.6854838709677322</v>
      </c>
      <c r="I82" s="2">
        <f t="shared" si="36"/>
        <v>4.3854838709677333</v>
      </c>
      <c r="J82" s="2">
        <f t="shared" si="37"/>
        <v>12.237096774193517</v>
      </c>
      <c r="K82" s="2">
        <f t="shared" si="38"/>
        <v>16.62258064516125</v>
      </c>
      <c r="L82">
        <f t="shared" si="39"/>
        <v>1.9999999999999976</v>
      </c>
      <c r="M82" s="2">
        <f t="shared" si="40"/>
        <v>52.956603773584852</v>
      </c>
      <c r="N82" s="2">
        <f t="shared" si="41"/>
        <v>28.749056603773571</v>
      </c>
      <c r="O82" s="2">
        <f t="shared" si="42"/>
        <v>26.812452830188619</v>
      </c>
      <c r="P82" s="2">
        <f t="shared" si="43"/>
        <v>7.7464150943396088</v>
      </c>
      <c r="Q82" s="2">
        <f t="shared" si="44"/>
        <v>0.99999999999998124</v>
      </c>
      <c r="R82" s="2">
        <f t="shared" si="45"/>
        <v>2.9592452830188587</v>
      </c>
      <c r="S82" s="2">
        <f t="shared" si="46"/>
        <v>64.644528306269748</v>
      </c>
      <c r="T82" s="2">
        <f t="shared" si="47"/>
        <v>23.607547169612999</v>
      </c>
      <c r="U82" s="1">
        <f t="shared" si="48"/>
        <v>9.8061816072210988</v>
      </c>
      <c r="V82" s="1">
        <f t="shared" si="49"/>
        <v>4.0672859509809127</v>
      </c>
      <c r="W82" s="1">
        <f t="shared" si="50"/>
        <v>1.2904795372189088</v>
      </c>
      <c r="Y82">
        <v>4.89423585404547E-2</v>
      </c>
      <c r="Z82">
        <v>6.0417768376520201E-2</v>
      </c>
      <c r="AA82">
        <v>7.1893178212585798E-2</v>
      </c>
      <c r="AB82">
        <v>0.200608143839238</v>
      </c>
      <c r="AC82">
        <v>3.2786885245901599E-2</v>
      </c>
      <c r="AD82">
        <v>0.209314639421284</v>
      </c>
      <c r="AE82">
        <v>0.113632634797524</v>
      </c>
      <c r="AF82">
        <v>0.105978074427623</v>
      </c>
      <c r="AG82">
        <v>3.0618241479603198E-2</v>
      </c>
      <c r="AH82">
        <v>3.9525691699604003E-3</v>
      </c>
      <c r="AI82">
        <v>1.16966216720113E-2</v>
      </c>
      <c r="AJ82">
        <v>25.551196958999899</v>
      </c>
      <c r="AK82">
        <v>9.3310463120999998</v>
      </c>
    </row>
    <row r="83" spans="1:37" x14ac:dyDescent="0.4">
      <c r="A83" t="s">
        <v>110</v>
      </c>
      <c r="B83" t="s">
        <v>112</v>
      </c>
      <c r="C83">
        <v>4</v>
      </c>
      <c r="D83">
        <v>51</v>
      </c>
      <c r="E83">
        <v>75</v>
      </c>
      <c r="F83">
        <v>321</v>
      </c>
      <c r="G83" s="2">
        <f t="shared" si="34"/>
        <v>3.5061538461538424</v>
      </c>
      <c r="H83" s="2">
        <f t="shared" si="35"/>
        <v>3.5061538461538424</v>
      </c>
      <c r="I83" s="2">
        <f t="shared" si="36"/>
        <v>1.1707692307692275</v>
      </c>
      <c r="J83" s="2">
        <f t="shared" si="37"/>
        <v>8.4246153846153433</v>
      </c>
      <c r="K83" s="2">
        <f t="shared" si="38"/>
        <v>9.595384615384571</v>
      </c>
      <c r="L83">
        <f t="shared" si="39"/>
        <v>1</v>
      </c>
      <c r="M83" s="2">
        <f t="shared" si="40"/>
        <v>71.8333333333333</v>
      </c>
      <c r="N83" s="2">
        <f t="shared" si="41"/>
        <v>37.614999999999853</v>
      </c>
      <c r="O83" s="2">
        <f t="shared" si="42"/>
        <v>34.218333333333121</v>
      </c>
      <c r="P83" s="2">
        <f t="shared" si="43"/>
        <v>8.0174999999999699</v>
      </c>
      <c r="Q83" s="2">
        <f t="shared" si="44"/>
        <v>0.99999999999997169</v>
      </c>
      <c r="R83" s="2">
        <f t="shared" si="45"/>
        <v>3.1699999999999844</v>
      </c>
      <c r="S83" s="2">
        <f t="shared" si="46"/>
        <v>67.212499989569991</v>
      </c>
      <c r="T83" s="2">
        <f t="shared" si="47"/>
        <v>27.449166666155996</v>
      </c>
      <c r="U83" s="1">
        <f t="shared" si="48"/>
        <v>8.0654999987483986</v>
      </c>
      <c r="V83" s="1">
        <f t="shared" si="49"/>
        <v>4.1061999999999745</v>
      </c>
      <c r="W83" s="1">
        <f t="shared" si="50"/>
        <v>1.3237666666598571</v>
      </c>
      <c r="Y83">
        <v>6.8748114630467497E-2</v>
      </c>
      <c r="Z83">
        <v>6.8748114630467497E-2</v>
      </c>
      <c r="AA83">
        <v>2.2956259426847599E-2</v>
      </c>
      <c r="AB83">
        <v>0.16518853695324201</v>
      </c>
      <c r="AC83">
        <v>1.9607843137254902E-2</v>
      </c>
      <c r="AD83">
        <v>0.22377985462097599</v>
      </c>
      <c r="AE83">
        <v>0.117180685358255</v>
      </c>
      <c r="AF83">
        <v>0.10659916926272001</v>
      </c>
      <c r="AG83">
        <v>2.4976635514018599E-2</v>
      </c>
      <c r="AH83">
        <v>3.1152647975077E-3</v>
      </c>
      <c r="AI83">
        <v>9.8753894080996392E-3</v>
      </c>
      <c r="AJ83">
        <v>20.938473516999998</v>
      </c>
      <c r="AK83">
        <v>8.5511422635999992</v>
      </c>
    </row>
    <row r="84" spans="1:37" x14ac:dyDescent="0.4">
      <c r="A84" t="s">
        <v>123</v>
      </c>
      <c r="B84" t="s">
        <v>124</v>
      </c>
      <c r="C84">
        <v>0</v>
      </c>
      <c r="D84">
        <v>59</v>
      </c>
      <c r="E84">
        <v>61</v>
      </c>
      <c r="F84">
        <v>263</v>
      </c>
      <c r="G84" s="2">
        <f t="shared" si="34"/>
        <v>2.9849999999999972</v>
      </c>
      <c r="H84" s="2">
        <f t="shared" si="35"/>
        <v>2.9849999999999972</v>
      </c>
      <c r="I84" s="2">
        <f t="shared" si="36"/>
        <v>11.829999999999989</v>
      </c>
      <c r="J84" s="2">
        <f t="shared" si="37"/>
        <v>10.059999999999988</v>
      </c>
      <c r="K84" s="2">
        <f t="shared" si="38"/>
        <v>21.889999999999979</v>
      </c>
      <c r="L84">
        <f t="shared" si="39"/>
        <v>1.9999999999999962</v>
      </c>
      <c r="M84" s="2">
        <f t="shared" si="40"/>
        <v>59.247859922178741</v>
      </c>
      <c r="N84" s="2">
        <f t="shared" si="41"/>
        <v>30.490272373540602</v>
      </c>
      <c r="O84" s="2">
        <f t="shared" si="42"/>
        <v>28.457587548637981</v>
      </c>
      <c r="P84" s="2">
        <f t="shared" si="43"/>
        <v>6.6980544747081527</v>
      </c>
      <c r="Q84" s="2">
        <f t="shared" si="44"/>
        <v>1.9999999999999774</v>
      </c>
      <c r="R84" s="2">
        <f t="shared" si="45"/>
        <v>3.721011673151712</v>
      </c>
      <c r="S84" s="2">
        <f t="shared" si="46"/>
        <v>54.166147852399995</v>
      </c>
      <c r="T84" s="2">
        <f t="shared" si="47"/>
        <v>23.075875485300973</v>
      </c>
      <c r="U84" s="1">
        <f t="shared" si="48"/>
        <v>7.991726732321311</v>
      </c>
      <c r="V84" s="1">
        <f t="shared" si="49"/>
        <v>4.1986604579957678</v>
      </c>
      <c r="W84" s="1">
        <f t="shared" si="50"/>
        <v>1.3495694329095036</v>
      </c>
      <c r="Y84">
        <v>5.0593220338983003E-2</v>
      </c>
      <c r="Z84">
        <v>5.0593220338983003E-2</v>
      </c>
      <c r="AA84">
        <v>0.200508474576271</v>
      </c>
      <c r="AB84">
        <v>0.170508474576271</v>
      </c>
      <c r="AC84">
        <v>3.38983050847457E-2</v>
      </c>
      <c r="AD84">
        <v>0.225277033924634</v>
      </c>
      <c r="AE84">
        <v>0.1159325945762</v>
      </c>
      <c r="AF84">
        <v>0.108203754937787</v>
      </c>
      <c r="AG84">
        <v>2.5467887736532899E-2</v>
      </c>
      <c r="AH84">
        <v>7.6045627376424996E-3</v>
      </c>
      <c r="AI84">
        <v>1.4148333357991301E-2</v>
      </c>
      <c r="AJ84">
        <v>20.595493479999998</v>
      </c>
      <c r="AK84">
        <v>8.7740971426999899</v>
      </c>
    </row>
    <row r="85" spans="1:37" x14ac:dyDescent="0.4">
      <c r="A85" t="s">
        <v>48</v>
      </c>
      <c r="B85" s="3" t="s">
        <v>49</v>
      </c>
      <c r="C85">
        <v>0</v>
      </c>
      <c r="D85">
        <v>59</v>
      </c>
      <c r="E85">
        <v>62</v>
      </c>
      <c r="F85">
        <v>270</v>
      </c>
      <c r="G85" s="2">
        <f t="shared" si="34"/>
        <v>3.6428571428571397</v>
      </c>
      <c r="H85" s="2">
        <f t="shared" si="35"/>
        <v>4.342857142857139</v>
      </c>
      <c r="I85" s="2">
        <f t="shared" si="36"/>
        <v>9.5285714285714267</v>
      </c>
      <c r="J85" s="2">
        <f t="shared" si="37"/>
        <v>9.9476190476190318</v>
      </c>
      <c r="K85" s="2">
        <f t="shared" si="38"/>
        <v>19.47619047619046</v>
      </c>
      <c r="L85">
        <f t="shared" si="39"/>
        <v>3.9999999999999982</v>
      </c>
      <c r="M85" s="2">
        <f t="shared" si="40"/>
        <v>60.903249097472731</v>
      </c>
      <c r="N85" s="2">
        <f t="shared" si="41"/>
        <v>32.416245487364399</v>
      </c>
      <c r="O85" s="2">
        <f t="shared" si="42"/>
        <v>29.469314079422283</v>
      </c>
      <c r="P85" s="2">
        <f t="shared" si="43"/>
        <v>7.176173285198538</v>
      </c>
      <c r="Q85" s="2">
        <f t="shared" si="44"/>
        <v>0.999999999999999</v>
      </c>
      <c r="R85" s="2">
        <f t="shared" si="45"/>
        <v>2.977256317689513</v>
      </c>
      <c r="S85" s="2">
        <f t="shared" si="46"/>
        <v>60.303249095399735</v>
      </c>
      <c r="T85" s="2">
        <f t="shared" si="47"/>
        <v>27.287003610989728</v>
      </c>
      <c r="U85" s="1">
        <f t="shared" si="48"/>
        <v>8.7536974493322184</v>
      </c>
      <c r="V85" s="1">
        <f t="shared" si="49"/>
        <v>4.277803656690331</v>
      </c>
      <c r="W85" s="1">
        <f t="shared" si="50"/>
        <v>1.4224234307816526</v>
      </c>
      <c r="Y85">
        <v>6.1743341404358297E-2</v>
      </c>
      <c r="Z85">
        <v>7.36077481840193E-2</v>
      </c>
      <c r="AA85">
        <v>0.161501210653753</v>
      </c>
      <c r="AB85">
        <v>0.168603712671509</v>
      </c>
      <c r="AC85">
        <v>6.7796610169491497E-2</v>
      </c>
      <c r="AD85">
        <v>0.225567589249899</v>
      </c>
      <c r="AE85">
        <v>0.12006016847172001</v>
      </c>
      <c r="AF85">
        <v>0.10914560770156401</v>
      </c>
      <c r="AG85">
        <v>2.65784195748094E-2</v>
      </c>
      <c r="AH85">
        <v>3.7037037037036999E-3</v>
      </c>
      <c r="AI85">
        <v>1.10268752507019E-2</v>
      </c>
      <c r="AJ85">
        <v>22.334536701999902</v>
      </c>
      <c r="AK85">
        <v>10.106297633699899</v>
      </c>
    </row>
  </sheetData>
  <sortState xmlns:xlrd2="http://schemas.microsoft.com/office/spreadsheetml/2017/richdata2" ref="A2:AK85">
    <sortCondition ref="V2:V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2025_Fantasy_Relievers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Chang</dc:creator>
  <cp:lastModifiedBy>張書綸</cp:lastModifiedBy>
  <dcterms:created xsi:type="dcterms:W3CDTF">2025-02-09T17:26:49Z</dcterms:created>
  <dcterms:modified xsi:type="dcterms:W3CDTF">2025-02-16T17:30:46Z</dcterms:modified>
</cp:coreProperties>
</file>