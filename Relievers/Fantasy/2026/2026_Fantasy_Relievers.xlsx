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mond/Desktop/Baseball/Projection_model/Relievers/Fantasy/2026/"/>
    </mc:Choice>
  </mc:AlternateContent>
  <xr:revisionPtr revIDLastSave="0" documentId="13_ncr:1_{A6CC40C7-18B2-1045-B8EE-521F7452D4D5}" xr6:coauthVersionLast="47" xr6:coauthVersionMax="47" xr10:uidLastSave="{00000000-0000-0000-0000-000000000000}"/>
  <bookViews>
    <workbookView xWindow="9860" yWindow="760" windowWidth="10360" windowHeight="17400" firstSheet="1" activeTab="3" xr2:uid="{464FB150-43E1-47F4-BEE5-67B0ED08815E}"/>
  </bookViews>
  <sheets>
    <sheet name="P14_Relievers" sheetId="1" r:id="rId1"/>
    <sheet name="P14_Rank" sheetId="2" r:id="rId2"/>
    <sheet name="2026_Fantasy_Relievers" sheetId="3" r:id="rId3"/>
    <sheet name="CKBT_Ran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AE2" i="4" l="1"/>
  <c r="AF2" i="4"/>
  <c r="AG2" i="4"/>
  <c r="AH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E4" i="4"/>
  <c r="AF4" i="4"/>
  <c r="AG4" i="4"/>
  <c r="AH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E8" i="4"/>
  <c r="AF8" i="4"/>
  <c r="AG8" i="4"/>
  <c r="AH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E10" i="4"/>
  <c r="AF10" i="4"/>
  <c r="AG10" i="4"/>
  <c r="AH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E5" i="4"/>
  <c r="AF5" i="4"/>
  <c r="AG5" i="4"/>
  <c r="AH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E14" i="4"/>
  <c r="AF14" i="4"/>
  <c r="AG14" i="4"/>
  <c r="AH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E3" i="4"/>
  <c r="AF3" i="4"/>
  <c r="AG3" i="4"/>
  <c r="AH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E7" i="4"/>
  <c r="AF7" i="4"/>
  <c r="AG7" i="4"/>
  <c r="AH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E6" i="4"/>
  <c r="AF6" i="4"/>
  <c r="AG6" i="4"/>
  <c r="AH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E25" i="4"/>
  <c r="AF25" i="4"/>
  <c r="AG25" i="4"/>
  <c r="AH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E60" i="4"/>
  <c r="AF60" i="4"/>
  <c r="AG60" i="4"/>
  <c r="AH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E35" i="4"/>
  <c r="AF35" i="4"/>
  <c r="AG35" i="4"/>
  <c r="AH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E29" i="4"/>
  <c r="AF29" i="4"/>
  <c r="AG29" i="4"/>
  <c r="AH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E36" i="4"/>
  <c r="AF36" i="4"/>
  <c r="AG36" i="4"/>
  <c r="AH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E23" i="4"/>
  <c r="AF23" i="4"/>
  <c r="AG23" i="4"/>
  <c r="AH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E47" i="4"/>
  <c r="AF47" i="4"/>
  <c r="AG47" i="4"/>
  <c r="AH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E27" i="4"/>
  <c r="AF27" i="4"/>
  <c r="AG27" i="4"/>
  <c r="AH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E41" i="4"/>
  <c r="AF41" i="4"/>
  <c r="AG41" i="4"/>
  <c r="AI41" i="4" s="1"/>
  <c r="AH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E45" i="4"/>
  <c r="AF45" i="4"/>
  <c r="AG45" i="4"/>
  <c r="AH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E48" i="4"/>
  <c r="AF48" i="4"/>
  <c r="AG48" i="4"/>
  <c r="AH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E38" i="4"/>
  <c r="AF38" i="4"/>
  <c r="AG38" i="4"/>
  <c r="AH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E32" i="4"/>
  <c r="AF32" i="4"/>
  <c r="AG32" i="4"/>
  <c r="AH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E52" i="4"/>
  <c r="AF52" i="4"/>
  <c r="AG52" i="4"/>
  <c r="AI52" i="4" s="1"/>
  <c r="AH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E50" i="4"/>
  <c r="AF50" i="4"/>
  <c r="AG50" i="4"/>
  <c r="AH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E15" i="4"/>
  <c r="AF15" i="4"/>
  <c r="AG15" i="4"/>
  <c r="AH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E55" i="4"/>
  <c r="AF55" i="4"/>
  <c r="AG55" i="4"/>
  <c r="AH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E16" i="4"/>
  <c r="AF16" i="4"/>
  <c r="AG16" i="4"/>
  <c r="AH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E40" i="4"/>
  <c r="AF40" i="4"/>
  <c r="AG40" i="4"/>
  <c r="AI40" i="4" s="1"/>
  <c r="AH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E17" i="4"/>
  <c r="AF17" i="4"/>
  <c r="AG17" i="4"/>
  <c r="AH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E44" i="4"/>
  <c r="AF44" i="4"/>
  <c r="AG44" i="4"/>
  <c r="AH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E51" i="4"/>
  <c r="AF51" i="4"/>
  <c r="AG51" i="4"/>
  <c r="AH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E13" i="4"/>
  <c r="AF13" i="4"/>
  <c r="AG13" i="4"/>
  <c r="AH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E20" i="4"/>
  <c r="AF20" i="4"/>
  <c r="AG20" i="4"/>
  <c r="AI20" i="4" s="1"/>
  <c r="AH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E58" i="4"/>
  <c r="AF58" i="4"/>
  <c r="AG58" i="4"/>
  <c r="AI58" i="4" s="1"/>
  <c r="AH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E12" i="4"/>
  <c r="AF12" i="4"/>
  <c r="AG12" i="4"/>
  <c r="AH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E34" i="4"/>
  <c r="AF34" i="4"/>
  <c r="AG34" i="4"/>
  <c r="AH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E21" i="4"/>
  <c r="AF21" i="4"/>
  <c r="AG21" i="4"/>
  <c r="AH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E57" i="4"/>
  <c r="AF57" i="4"/>
  <c r="AG57" i="4"/>
  <c r="AI57" i="4" s="1"/>
  <c r="AH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E26" i="4"/>
  <c r="AF26" i="4"/>
  <c r="AG26" i="4"/>
  <c r="AI26" i="4" s="1"/>
  <c r="AH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E22" i="4"/>
  <c r="AF22" i="4"/>
  <c r="AG22" i="4"/>
  <c r="AH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E53" i="4"/>
  <c r="AF53" i="4"/>
  <c r="AG53" i="4"/>
  <c r="AH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E30" i="4"/>
  <c r="AF30" i="4"/>
  <c r="AG30" i="4"/>
  <c r="AH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E28" i="4"/>
  <c r="AF28" i="4"/>
  <c r="AG28" i="4"/>
  <c r="AH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E24" i="4"/>
  <c r="AF24" i="4"/>
  <c r="AG24" i="4"/>
  <c r="AI24" i="4" s="1"/>
  <c r="AH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E54" i="4"/>
  <c r="AF54" i="4"/>
  <c r="AG54" i="4"/>
  <c r="AH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E61" i="4"/>
  <c r="AF61" i="4"/>
  <c r="AG61" i="4"/>
  <c r="AH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E9" i="4"/>
  <c r="AF9" i="4"/>
  <c r="AG9" i="4"/>
  <c r="AH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E42" i="4"/>
  <c r="AF42" i="4"/>
  <c r="AG42" i="4"/>
  <c r="AH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E31" i="4"/>
  <c r="AF31" i="4"/>
  <c r="AG31" i="4"/>
  <c r="AI31" i="4" s="1"/>
  <c r="AH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E11" i="4"/>
  <c r="AF11" i="4"/>
  <c r="AG11" i="4"/>
  <c r="AH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E46" i="4"/>
  <c r="AF46" i="4"/>
  <c r="AG46" i="4"/>
  <c r="AH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E37" i="4"/>
  <c r="AF37" i="4"/>
  <c r="AG37" i="4"/>
  <c r="AH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E56" i="4"/>
  <c r="AF56" i="4"/>
  <c r="AG56" i="4"/>
  <c r="AH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E49" i="4"/>
  <c r="AF49" i="4"/>
  <c r="AG49" i="4"/>
  <c r="AI49" i="4" s="1"/>
  <c r="AH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E43" i="4"/>
  <c r="AF43" i="4"/>
  <c r="AG43" i="4"/>
  <c r="AH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E33" i="4"/>
  <c r="AF33" i="4"/>
  <c r="AG33" i="4"/>
  <c r="AH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E19" i="4"/>
  <c r="AF19" i="4"/>
  <c r="AG19" i="4"/>
  <c r="AH19" i="4"/>
  <c r="AJ19" i="4"/>
  <c r="AK19" i="4"/>
  <c r="AL19" i="4"/>
  <c r="AM19" i="4"/>
  <c r="AN19" i="4"/>
  <c r="V19" i="4" s="1"/>
  <c r="AO19" i="4"/>
  <c r="AP19" i="4"/>
  <c r="AQ19" i="4"/>
  <c r="AR19" i="4"/>
  <c r="AS19" i="4"/>
  <c r="AT19" i="4"/>
  <c r="AU19" i="4"/>
  <c r="AV19" i="4"/>
  <c r="AW19" i="4"/>
  <c r="Y19" i="4" s="1"/>
  <c r="AE18" i="4"/>
  <c r="AF18" i="4"/>
  <c r="AG18" i="4"/>
  <c r="AH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E39" i="4"/>
  <c r="AF39" i="4"/>
  <c r="AG39" i="4"/>
  <c r="AI39" i="4" s="1"/>
  <c r="AH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E59" i="4"/>
  <c r="AF59" i="4"/>
  <c r="AG59" i="4"/>
  <c r="AH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C59" i="4" s="1"/>
  <c r="AV59" i="4"/>
  <c r="X59" i="4" s="1"/>
  <c r="AW59" i="4"/>
  <c r="AE1" i="4"/>
  <c r="AF1" i="4"/>
  <c r="AG1" i="4"/>
  <c r="AH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G4" i="3"/>
  <c r="G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AI17" i="4" l="1"/>
  <c r="AI25" i="4"/>
  <c r="Z18" i="4"/>
  <c r="AI50" i="4"/>
  <c r="AI45" i="4"/>
  <c r="AI36" i="4"/>
  <c r="T39" i="4"/>
  <c r="AI48" i="4"/>
  <c r="W39" i="4"/>
  <c r="AI33" i="4"/>
  <c r="AI46" i="4"/>
  <c r="AI61" i="4"/>
  <c r="AI53" i="4"/>
  <c r="AI34" i="4"/>
  <c r="AI51" i="4"/>
  <c r="AI55" i="4"/>
  <c r="AI38" i="4"/>
  <c r="AI47" i="4"/>
  <c r="AI60" i="4"/>
  <c r="AI2" i="4"/>
  <c r="U33" i="4"/>
  <c r="AA18" i="4"/>
  <c r="AA59" i="4"/>
  <c r="X19" i="4"/>
  <c r="Y49" i="4"/>
  <c r="Y31" i="4"/>
  <c r="AC9" i="4"/>
  <c r="AA19" i="4"/>
  <c r="AA37" i="4"/>
  <c r="T42" i="4"/>
  <c r="X24" i="4"/>
  <c r="W57" i="4"/>
  <c r="W20" i="4"/>
  <c r="T40" i="4"/>
  <c r="V38" i="4"/>
  <c r="Z19" i="4"/>
  <c r="Y46" i="4"/>
  <c r="AC31" i="4"/>
  <c r="Z9" i="4"/>
  <c r="AC24" i="4"/>
  <c r="Y59" i="4"/>
  <c r="U39" i="4"/>
  <c r="AC18" i="4"/>
  <c r="Z33" i="4"/>
  <c r="Y43" i="4"/>
  <c r="U49" i="4"/>
  <c r="AC56" i="4"/>
  <c r="Z46" i="4"/>
  <c r="Y11" i="4"/>
  <c r="U31" i="4"/>
  <c r="AC42" i="4"/>
  <c r="Z61" i="4"/>
  <c r="Y54" i="4"/>
  <c r="U24" i="4"/>
  <c r="AC28" i="4"/>
  <c r="Z53" i="4"/>
  <c r="Y22" i="4"/>
  <c r="U26" i="4"/>
  <c r="AC57" i="4"/>
  <c r="Z34" i="4"/>
  <c r="Y12" i="4"/>
  <c r="U58" i="4"/>
  <c r="AC20" i="4"/>
  <c r="Z51" i="4"/>
  <c r="Y44" i="4"/>
  <c r="U17" i="4"/>
  <c r="AC40" i="4"/>
  <c r="Z55" i="4"/>
  <c r="Y15" i="4"/>
  <c r="U50" i="4"/>
  <c r="AC52" i="4"/>
  <c r="Z38" i="4"/>
  <c r="Y48" i="4"/>
  <c r="U45" i="4"/>
  <c r="AC41" i="4"/>
  <c r="Z47" i="4"/>
  <c r="Y23" i="4"/>
  <c r="U36" i="4"/>
  <c r="AC29" i="4"/>
  <c r="Z60" i="4"/>
  <c r="Y25" i="4"/>
  <c r="U6" i="4"/>
  <c r="AC7" i="4"/>
  <c r="Z14" i="4"/>
  <c r="Y5" i="4"/>
  <c r="U10" i="4"/>
  <c r="AC8" i="4"/>
  <c r="Z2" i="4"/>
  <c r="X43" i="4"/>
  <c r="W49" i="4"/>
  <c r="T49" i="4"/>
  <c r="AA56" i="4"/>
  <c r="V37" i="4"/>
  <c r="X11" i="4"/>
  <c r="W31" i="4"/>
  <c r="T31" i="4"/>
  <c r="AA42" i="4"/>
  <c r="V9" i="4"/>
  <c r="X54" i="4"/>
  <c r="W24" i="4"/>
  <c r="T24" i="4"/>
  <c r="AA28" i="4"/>
  <c r="V30" i="4"/>
  <c r="X22" i="4"/>
  <c r="W26" i="4"/>
  <c r="T26" i="4"/>
  <c r="AA57" i="4"/>
  <c r="V21" i="4"/>
  <c r="X12" i="4"/>
  <c r="W58" i="4"/>
  <c r="T58" i="4"/>
  <c r="AA20" i="4"/>
  <c r="V13" i="4"/>
  <c r="X44" i="4"/>
  <c r="W17" i="4"/>
  <c r="T17" i="4"/>
  <c r="AA40" i="4"/>
  <c r="V16" i="4"/>
  <c r="X15" i="4"/>
  <c r="W50" i="4"/>
  <c r="T50" i="4"/>
  <c r="AA52" i="4"/>
  <c r="V32" i="4"/>
  <c r="X48" i="4"/>
  <c r="W45" i="4"/>
  <c r="T45" i="4"/>
  <c r="AA41" i="4"/>
  <c r="V27" i="4"/>
  <c r="X23" i="4"/>
  <c r="W36" i="4"/>
  <c r="T36" i="4"/>
  <c r="AA29" i="4"/>
  <c r="V35" i="4"/>
  <c r="X25" i="4"/>
  <c r="W6" i="4"/>
  <c r="T6" i="4"/>
  <c r="AA7" i="4"/>
  <c r="V3" i="4"/>
  <c r="X5" i="4"/>
  <c r="W10" i="4"/>
  <c r="T10" i="4"/>
  <c r="AA8" i="4"/>
  <c r="V4" i="4"/>
  <c r="AC43" i="4"/>
  <c r="Z56" i="4"/>
  <c r="Y37" i="4"/>
  <c r="U46" i="4"/>
  <c r="AC11" i="4"/>
  <c r="Z42" i="4"/>
  <c r="Y9" i="4"/>
  <c r="U61" i="4"/>
  <c r="AC54" i="4"/>
  <c r="Z28" i="4"/>
  <c r="Y30" i="4"/>
  <c r="U53" i="4"/>
  <c r="AC22" i="4"/>
  <c r="Z57" i="4"/>
  <c r="Y21" i="4"/>
  <c r="U34" i="4"/>
  <c r="AC12" i="4"/>
  <c r="Z20" i="4"/>
  <c r="Y13" i="4"/>
  <c r="U51" i="4"/>
  <c r="AC44" i="4"/>
  <c r="Z40" i="4"/>
  <c r="Y16" i="4"/>
  <c r="U55" i="4"/>
  <c r="AC15" i="4"/>
  <c r="Z52" i="4"/>
  <c r="Y32" i="4"/>
  <c r="U38" i="4"/>
  <c r="AC48" i="4"/>
  <c r="Z41" i="4"/>
  <c r="Y27" i="4"/>
  <c r="U47" i="4"/>
  <c r="AC23" i="4"/>
  <c r="Z29" i="4"/>
  <c r="Y35" i="4"/>
  <c r="U60" i="4"/>
  <c r="AC25" i="4"/>
  <c r="Z7" i="4"/>
  <c r="Y3" i="4"/>
  <c r="U14" i="4"/>
  <c r="AC5" i="4"/>
  <c r="Z8" i="4"/>
  <c r="Y4" i="4"/>
  <c r="U2" i="4"/>
  <c r="AA43" i="4"/>
  <c r="W46" i="4"/>
  <c r="AA11" i="4"/>
  <c r="V31" i="4"/>
  <c r="X9" i="4"/>
  <c r="V24" i="4"/>
  <c r="X30" i="4"/>
  <c r="W53" i="4"/>
  <c r="T53" i="4"/>
  <c r="AA22" i="4"/>
  <c r="V26" i="4"/>
  <c r="X21" i="4"/>
  <c r="W34" i="4"/>
  <c r="T34" i="4"/>
  <c r="AA12" i="4"/>
  <c r="V58" i="4"/>
  <c r="X13" i="4"/>
  <c r="W51" i="4"/>
  <c r="T51" i="4"/>
  <c r="AA44" i="4"/>
  <c r="V17" i="4"/>
  <c r="X16" i="4"/>
  <c r="W55" i="4"/>
  <c r="T55" i="4"/>
  <c r="AA15" i="4"/>
  <c r="V50" i="4"/>
  <c r="X32" i="4"/>
  <c r="W38" i="4"/>
  <c r="T38" i="4"/>
  <c r="AA48" i="4"/>
  <c r="V45" i="4"/>
  <c r="X27" i="4"/>
  <c r="W47" i="4"/>
  <c r="T47" i="4"/>
  <c r="AA23" i="4"/>
  <c r="V36" i="4"/>
  <c r="AI29" i="4"/>
  <c r="X35" i="4"/>
  <c r="W60" i="4"/>
  <c r="T60" i="4"/>
  <c r="AA25" i="4"/>
  <c r="V6" i="4"/>
  <c r="X3" i="4"/>
  <c r="W14" i="4"/>
  <c r="T14" i="4"/>
  <c r="AA5" i="4"/>
  <c r="V10" i="4"/>
  <c r="X4" i="4"/>
  <c r="W2" i="4"/>
  <c r="T2" i="4"/>
  <c r="T46" i="4"/>
  <c r="U56" i="4"/>
  <c r="Z54" i="4"/>
  <c r="Y24" i="4"/>
  <c r="AC30" i="4"/>
  <c r="Z22" i="4"/>
  <c r="Y26" i="4"/>
  <c r="U57" i="4"/>
  <c r="AC21" i="4"/>
  <c r="Z12" i="4"/>
  <c r="Y58" i="4"/>
  <c r="U20" i="4"/>
  <c r="AC13" i="4"/>
  <c r="Z44" i="4"/>
  <c r="Y17" i="4"/>
  <c r="U40" i="4"/>
  <c r="AC16" i="4"/>
  <c r="Z15" i="4"/>
  <c r="Y50" i="4"/>
  <c r="U52" i="4"/>
  <c r="AC32" i="4"/>
  <c r="Z48" i="4"/>
  <c r="Y45" i="4"/>
  <c r="U41" i="4"/>
  <c r="AC27" i="4"/>
  <c r="Z23" i="4"/>
  <c r="Y36" i="4"/>
  <c r="U29" i="4"/>
  <c r="AC35" i="4"/>
  <c r="Z25" i="4"/>
  <c r="Y6" i="4"/>
  <c r="U7" i="4"/>
  <c r="AC3" i="4"/>
  <c r="Z5" i="4"/>
  <c r="Y10" i="4"/>
  <c r="U8" i="4"/>
  <c r="AC4" i="4"/>
  <c r="T20" i="4"/>
  <c r="AI15" i="4"/>
  <c r="W52" i="4"/>
  <c r="T52" i="4"/>
  <c r="X45" i="4"/>
  <c r="W41" i="4"/>
  <c r="T41" i="4"/>
  <c r="AA27" i="4"/>
  <c r="V47" i="4"/>
  <c r="X36" i="4"/>
  <c r="W29" i="4"/>
  <c r="T29" i="4"/>
  <c r="AA35" i="4"/>
  <c r="V60" i="4"/>
  <c r="W7" i="4"/>
  <c r="T7" i="4"/>
  <c r="AA3" i="4"/>
  <c r="V14" i="4"/>
  <c r="X10" i="4"/>
  <c r="W8" i="4"/>
  <c r="T8" i="4"/>
  <c r="AA4" i="4"/>
  <c r="V2" i="4"/>
  <c r="W33" i="4"/>
  <c r="AC17" i="4"/>
  <c r="Z16" i="4"/>
  <c r="U15" i="4"/>
  <c r="AC50" i="4"/>
  <c r="Z32" i="4"/>
  <c r="Y38" i="4"/>
  <c r="U48" i="4"/>
  <c r="AC45" i="4"/>
  <c r="Z27" i="4"/>
  <c r="Y47" i="4"/>
  <c r="U23" i="4"/>
  <c r="AC36" i="4"/>
  <c r="Z35" i="4"/>
  <c r="Y60" i="4"/>
  <c r="U25" i="4"/>
  <c r="AC6" i="4"/>
  <c r="Z3" i="4"/>
  <c r="Y14" i="4"/>
  <c r="U5" i="4"/>
  <c r="AC10" i="4"/>
  <c r="Z4" i="4"/>
  <c r="Y2" i="4"/>
  <c r="T33" i="4"/>
  <c r="AA54" i="4"/>
  <c r="Z59" i="4"/>
  <c r="AC19" i="4"/>
  <c r="W56" i="4"/>
  <c r="V46" i="4"/>
  <c r="AI11" i="4"/>
  <c r="W28" i="4"/>
  <c r="AA21" i="4"/>
  <c r="X58" i="4"/>
  <c r="V51" i="4"/>
  <c r="AI44" i="4"/>
  <c r="X50" i="4"/>
  <c r="U59" i="4"/>
  <c r="Z37" i="4"/>
  <c r="U44" i="4"/>
  <c r="W59" i="4"/>
  <c r="T59" i="4"/>
  <c r="AA39" i="4"/>
  <c r="V18" i="4"/>
  <c r="AI19" i="4"/>
  <c r="X33" i="4"/>
  <c r="W43" i="4"/>
  <c r="T43" i="4"/>
  <c r="AA49" i="4"/>
  <c r="V56" i="4"/>
  <c r="AI37" i="4"/>
  <c r="X46" i="4"/>
  <c r="W11" i="4"/>
  <c r="T11" i="4"/>
  <c r="AA31" i="4"/>
  <c r="V42" i="4"/>
  <c r="AI9" i="4"/>
  <c r="X61" i="4"/>
  <c r="W54" i="4"/>
  <c r="T54" i="4"/>
  <c r="AA24" i="4"/>
  <c r="V28" i="4"/>
  <c r="AI30" i="4"/>
  <c r="X53" i="4"/>
  <c r="W22" i="4"/>
  <c r="T22" i="4"/>
  <c r="AA26" i="4"/>
  <c r="V57" i="4"/>
  <c r="AI21" i="4"/>
  <c r="X34" i="4"/>
  <c r="W12" i="4"/>
  <c r="T12" i="4"/>
  <c r="AA58" i="4"/>
  <c r="V20" i="4"/>
  <c r="AI13" i="4"/>
  <c r="X51" i="4"/>
  <c r="W44" i="4"/>
  <c r="T44" i="4"/>
  <c r="AA17" i="4"/>
  <c r="V40" i="4"/>
  <c r="AI16" i="4"/>
  <c r="X55" i="4"/>
  <c r="W15" i="4"/>
  <c r="T15" i="4"/>
  <c r="AA50" i="4"/>
  <c r="V52" i="4"/>
  <c r="AI32" i="4"/>
  <c r="X38" i="4"/>
  <c r="W48" i="4"/>
  <c r="T48" i="4"/>
  <c r="AA45" i="4"/>
  <c r="V41" i="4"/>
  <c r="AI27" i="4"/>
  <c r="X47" i="4"/>
  <c r="W23" i="4"/>
  <c r="T23" i="4"/>
  <c r="AA36" i="4"/>
  <c r="V29" i="4"/>
  <c r="AI35" i="4"/>
  <c r="X60" i="4"/>
  <c r="W25" i="4"/>
  <c r="T25" i="4"/>
  <c r="AA6" i="4"/>
  <c r="V7" i="4"/>
  <c r="AI3" i="4"/>
  <c r="X14" i="4"/>
  <c r="W5" i="4"/>
  <c r="T5" i="4"/>
  <c r="AA10" i="4"/>
  <c r="V8" i="4"/>
  <c r="AI4" i="4"/>
  <c r="X2" i="4"/>
  <c r="V39" i="4"/>
  <c r="V49" i="4"/>
  <c r="W61" i="4"/>
  <c r="U18" i="4"/>
  <c r="Z43" i="4"/>
  <c r="AC37" i="4"/>
  <c r="U28" i="4"/>
  <c r="X39" i="4"/>
  <c r="T18" i="4"/>
  <c r="V33" i="4"/>
  <c r="T56" i="4"/>
  <c r="X31" i="4"/>
  <c r="AA9" i="4"/>
  <c r="T28" i="4"/>
  <c r="V53" i="4"/>
  <c r="W40" i="4"/>
  <c r="V55" i="4"/>
  <c r="AA32" i="4"/>
  <c r="Y33" i="4"/>
  <c r="AC49" i="4"/>
  <c r="U11" i="4"/>
  <c r="Z30" i="4"/>
  <c r="Y53" i="4"/>
  <c r="U22" i="4"/>
  <c r="AC26" i="4"/>
  <c r="Z21" i="4"/>
  <c r="Y34" i="4"/>
  <c r="U12" i="4"/>
  <c r="AC58" i="4"/>
  <c r="Z13" i="4"/>
  <c r="Y51" i="4"/>
  <c r="Y55" i="4"/>
  <c r="Z39" i="4"/>
  <c r="Y18" i="4"/>
  <c r="U19" i="4"/>
  <c r="AC33" i="4"/>
  <c r="Z49" i="4"/>
  <c r="Y56" i="4"/>
  <c r="U37" i="4"/>
  <c r="AC46" i="4"/>
  <c r="Z31" i="4"/>
  <c r="Y42" i="4"/>
  <c r="U9" i="4"/>
  <c r="AC61" i="4"/>
  <c r="Z24" i="4"/>
  <c r="Y28" i="4"/>
  <c r="U30" i="4"/>
  <c r="AC53" i="4"/>
  <c r="Z26" i="4"/>
  <c r="Y57" i="4"/>
  <c r="U21" i="4"/>
  <c r="AC34" i="4"/>
  <c r="Z58" i="4"/>
  <c r="Y20" i="4"/>
  <c r="U13" i="4"/>
  <c r="AC51" i="4"/>
  <c r="Z17" i="4"/>
  <c r="Y40" i="4"/>
  <c r="U16" i="4"/>
  <c r="AC55" i="4"/>
  <c r="Z50" i="4"/>
  <c r="Y52" i="4"/>
  <c r="U32" i="4"/>
  <c r="AC38" i="4"/>
  <c r="Z45" i="4"/>
  <c r="Y41" i="4"/>
  <c r="U27" i="4"/>
  <c r="AC47" i="4"/>
  <c r="Z36" i="4"/>
  <c r="Y29" i="4"/>
  <c r="U35" i="4"/>
  <c r="AC60" i="4"/>
  <c r="Z6" i="4"/>
  <c r="Y7" i="4"/>
  <c r="U3" i="4"/>
  <c r="AC14" i="4"/>
  <c r="Z10" i="4"/>
  <c r="Y8" i="4"/>
  <c r="U4" i="4"/>
  <c r="AC2" i="4"/>
  <c r="X37" i="4"/>
  <c r="T61" i="4"/>
  <c r="Y39" i="4"/>
  <c r="Z11" i="4"/>
  <c r="U42" i="4"/>
  <c r="AI59" i="4"/>
  <c r="W18" i="4"/>
  <c r="X49" i="4"/>
  <c r="W42" i="4"/>
  <c r="V61" i="4"/>
  <c r="AI54" i="4"/>
  <c r="AA30" i="4"/>
  <c r="X26" i="4"/>
  <c r="T57" i="4"/>
  <c r="V34" i="4"/>
  <c r="AA13" i="4"/>
  <c r="X17" i="4"/>
  <c r="AA16" i="4"/>
  <c r="X6" i="4"/>
  <c r="AC39" i="4"/>
  <c r="U43" i="4"/>
  <c r="Y61" i="4"/>
  <c r="U54" i="4"/>
  <c r="V59" i="4"/>
  <c r="X18" i="4"/>
  <c r="W19" i="4"/>
  <c r="T19" i="4"/>
  <c r="AA33" i="4"/>
  <c r="V43" i="4"/>
  <c r="X56" i="4"/>
  <c r="W37" i="4"/>
  <c r="T37" i="4"/>
  <c r="AA46" i="4"/>
  <c r="V11" i="4"/>
  <c r="X42" i="4"/>
  <c r="W9" i="4"/>
  <c r="T9" i="4"/>
  <c r="AA61" i="4"/>
  <c r="V54" i="4"/>
  <c r="X28" i="4"/>
  <c r="W30" i="4"/>
  <c r="T30" i="4"/>
  <c r="AA53" i="4"/>
  <c r="V22" i="4"/>
  <c r="X57" i="4"/>
  <c r="W21" i="4"/>
  <c r="T21" i="4"/>
  <c r="AA34" i="4"/>
  <c r="V12" i="4"/>
  <c r="X20" i="4"/>
  <c r="W13" i="4"/>
  <c r="T13" i="4"/>
  <c r="AA51" i="4"/>
  <c r="V44" i="4"/>
  <c r="X40" i="4"/>
  <c r="W16" i="4"/>
  <c r="T16" i="4"/>
  <c r="AA55" i="4"/>
  <c r="V15" i="4"/>
  <c r="X52" i="4"/>
  <c r="W32" i="4"/>
  <c r="T32" i="4"/>
  <c r="AA38" i="4"/>
  <c r="V48" i="4"/>
  <c r="X41" i="4"/>
  <c r="W27" i="4"/>
  <c r="T27" i="4"/>
  <c r="AA47" i="4"/>
  <c r="V23" i="4"/>
  <c r="X29" i="4"/>
  <c r="W35" i="4"/>
  <c r="T35" i="4"/>
  <c r="AA60" i="4"/>
  <c r="V25" i="4"/>
  <c r="X7" i="4"/>
  <c r="W3" i="4"/>
  <c r="T3" i="4"/>
  <c r="AA14" i="4"/>
  <c r="V5" i="4"/>
  <c r="X8" i="4"/>
  <c r="W4" i="4"/>
  <c r="T4" i="4"/>
  <c r="AA2" i="4"/>
  <c r="AI6" i="4"/>
  <c r="AI10" i="4"/>
  <c r="AI14" i="4"/>
  <c r="AI7" i="4"/>
  <c r="AI8" i="4"/>
  <c r="AI56" i="4"/>
  <c r="AI18" i="4"/>
  <c r="AI42" i="4"/>
  <c r="AI28" i="4"/>
  <c r="AI43" i="4"/>
  <c r="AI22" i="4"/>
  <c r="AI12" i="4"/>
  <c r="AI23" i="4"/>
  <c r="AI5" i="4"/>
  <c r="X2" i="3"/>
  <c r="W2" i="3"/>
  <c r="V2" i="3"/>
  <c r="U2" i="3"/>
  <c r="T2" i="3"/>
  <c r="M2" i="3"/>
  <c r="N2" i="3"/>
  <c r="O2" i="3"/>
  <c r="P2" i="3"/>
  <c r="Q2" i="3"/>
  <c r="R2" i="3"/>
  <c r="S2" i="3"/>
  <c r="L2" i="3"/>
  <c r="H2" i="3"/>
  <c r="I2" i="3"/>
  <c r="J2" i="3"/>
  <c r="K2" i="3"/>
  <c r="G2" i="3"/>
  <c r="B2" i="2"/>
  <c r="C2" i="2"/>
  <c r="D2" i="2"/>
  <c r="F2" i="2"/>
  <c r="B3" i="2"/>
  <c r="C3" i="2"/>
  <c r="D3" i="2"/>
  <c r="F3" i="2"/>
  <c r="B9" i="2"/>
  <c r="C9" i="2"/>
  <c r="D9" i="2"/>
  <c r="F9" i="2"/>
  <c r="B6" i="2"/>
  <c r="C6" i="2"/>
  <c r="D6" i="2"/>
  <c r="F6" i="2"/>
  <c r="B4" i="2"/>
  <c r="C4" i="2"/>
  <c r="D4" i="2"/>
  <c r="F4" i="2"/>
  <c r="B10" i="2"/>
  <c r="C10" i="2"/>
  <c r="D10" i="2"/>
  <c r="F10" i="2"/>
  <c r="B11" i="2"/>
  <c r="C11" i="2"/>
  <c r="D11" i="2"/>
  <c r="F11" i="2"/>
  <c r="B8" i="2"/>
  <c r="C8" i="2"/>
  <c r="D8" i="2"/>
  <c r="F8" i="2"/>
  <c r="B7" i="2"/>
  <c r="C7" i="2"/>
  <c r="D7" i="2"/>
  <c r="F7" i="2"/>
  <c r="B14" i="2"/>
  <c r="C14" i="2"/>
  <c r="D14" i="2"/>
  <c r="F14" i="2"/>
  <c r="B34" i="2"/>
  <c r="C34" i="2"/>
  <c r="D34" i="2"/>
  <c r="F34" i="2"/>
  <c r="B18" i="2"/>
  <c r="C18" i="2"/>
  <c r="D18" i="2"/>
  <c r="F18" i="2"/>
  <c r="B16" i="2"/>
  <c r="C16" i="2"/>
  <c r="D16" i="2"/>
  <c r="F16" i="2"/>
  <c r="B33" i="2"/>
  <c r="C33" i="2"/>
  <c r="D33" i="2"/>
  <c r="F33" i="2"/>
  <c r="B15" i="2"/>
  <c r="C15" i="2"/>
  <c r="D15" i="2"/>
  <c r="F15" i="2"/>
  <c r="B28" i="2"/>
  <c r="C28" i="2"/>
  <c r="D28" i="2"/>
  <c r="F28" i="2"/>
  <c r="B30" i="2"/>
  <c r="C30" i="2"/>
  <c r="D30" i="2"/>
  <c r="F30" i="2"/>
  <c r="B26" i="2"/>
  <c r="C26" i="2"/>
  <c r="D26" i="2"/>
  <c r="F26" i="2"/>
  <c r="AL26" i="2"/>
  <c r="B31" i="2"/>
  <c r="C31" i="2"/>
  <c r="D31" i="2"/>
  <c r="F31" i="2"/>
  <c r="B22" i="2"/>
  <c r="C22" i="2"/>
  <c r="D22" i="2"/>
  <c r="F22" i="2"/>
  <c r="B19" i="2"/>
  <c r="C19" i="2"/>
  <c r="D19" i="2"/>
  <c r="F19" i="2"/>
  <c r="AR19" i="2"/>
  <c r="B21" i="2"/>
  <c r="C21" i="2"/>
  <c r="D21" i="2"/>
  <c r="F21" i="2"/>
  <c r="B32" i="2"/>
  <c r="C32" i="2"/>
  <c r="D32" i="2"/>
  <c r="F32" i="2"/>
  <c r="AL32" i="2"/>
  <c r="B29" i="2"/>
  <c r="C29" i="2"/>
  <c r="D29" i="2"/>
  <c r="F29" i="2"/>
  <c r="AN29" i="2"/>
  <c r="AV29" i="2" s="1"/>
  <c r="B20" i="2"/>
  <c r="C20" i="2"/>
  <c r="D20" i="2"/>
  <c r="F20" i="2"/>
  <c r="B38" i="2"/>
  <c r="C38" i="2"/>
  <c r="D38" i="2"/>
  <c r="F38" i="2"/>
  <c r="B13" i="2"/>
  <c r="C13" i="2"/>
  <c r="D13" i="2"/>
  <c r="F13" i="2"/>
  <c r="B23" i="2"/>
  <c r="C23" i="2"/>
  <c r="D23" i="2"/>
  <c r="F23" i="2"/>
  <c r="B27" i="2"/>
  <c r="C27" i="2"/>
  <c r="D27" i="2"/>
  <c r="F27" i="2"/>
  <c r="AN27" i="2"/>
  <c r="AV27" i="2" s="1"/>
  <c r="B36" i="2"/>
  <c r="C36" i="2"/>
  <c r="D36" i="2"/>
  <c r="F36" i="2"/>
  <c r="AP36" i="2"/>
  <c r="B24" i="2"/>
  <c r="C24" i="2"/>
  <c r="D24" i="2"/>
  <c r="F24" i="2"/>
  <c r="AR24" i="2"/>
  <c r="B12" i="2"/>
  <c r="C12" i="2"/>
  <c r="D12" i="2"/>
  <c r="F12" i="2"/>
  <c r="B35" i="2"/>
  <c r="C35" i="2"/>
  <c r="D35" i="2"/>
  <c r="F35" i="2"/>
  <c r="AL35" i="2"/>
  <c r="B5" i="2"/>
  <c r="C5" i="2"/>
  <c r="D5" i="2"/>
  <c r="F5" i="2"/>
  <c r="B25" i="2"/>
  <c r="C25" i="2"/>
  <c r="D25" i="2"/>
  <c r="F25" i="2"/>
  <c r="B17" i="2"/>
  <c r="C17" i="2"/>
  <c r="D17" i="2"/>
  <c r="F17" i="2"/>
  <c r="B37" i="2"/>
  <c r="C37" i="2"/>
  <c r="D37" i="2"/>
  <c r="F37" i="2"/>
  <c r="B1" i="2"/>
  <c r="C1" i="2"/>
  <c r="D1" i="2"/>
  <c r="F1" i="2"/>
  <c r="AF1" i="2"/>
  <c r="AG1" i="2"/>
  <c r="AH1" i="2"/>
  <c r="AI1" i="2"/>
  <c r="AK1" i="2"/>
  <c r="AL1" i="2"/>
  <c r="AM1" i="2"/>
  <c r="AN1" i="2"/>
  <c r="AO1" i="2"/>
  <c r="AP1" i="2"/>
  <c r="AQ1" i="2"/>
  <c r="AR1" i="2"/>
  <c r="AS1" i="2"/>
  <c r="S38" i="1"/>
  <c r="AS37" i="2" s="1"/>
  <c r="R38" i="1"/>
  <c r="AR37" i="2" s="1"/>
  <c r="Q38" i="1"/>
  <c r="AQ37" i="2" s="1"/>
  <c r="P38" i="1"/>
  <c r="AP37" i="2" s="1"/>
  <c r="O38" i="1"/>
  <c r="AO37" i="2" s="1"/>
  <c r="N38" i="1"/>
  <c r="AN37" i="2" s="1"/>
  <c r="AV37" i="2" s="1"/>
  <c r="M38" i="1"/>
  <c r="AM37" i="2" s="1"/>
  <c r="L38" i="1"/>
  <c r="AL37" i="2" s="1"/>
  <c r="S37" i="1"/>
  <c r="AS17" i="2" s="1"/>
  <c r="R37" i="1"/>
  <c r="AR17" i="2" s="1"/>
  <c r="Q37" i="1"/>
  <c r="AQ17" i="2" s="1"/>
  <c r="P37" i="1"/>
  <c r="AP17" i="2" s="1"/>
  <c r="O37" i="1"/>
  <c r="AO17" i="2" s="1"/>
  <c r="N37" i="1"/>
  <c r="AN17" i="2" s="1"/>
  <c r="AV17" i="2" s="1"/>
  <c r="M37" i="1"/>
  <c r="AM17" i="2" s="1"/>
  <c r="L37" i="1"/>
  <c r="AL17" i="2" s="1"/>
  <c r="S36" i="1"/>
  <c r="AS25" i="2" s="1"/>
  <c r="R36" i="1"/>
  <c r="AR25" i="2" s="1"/>
  <c r="Q36" i="1"/>
  <c r="AQ25" i="2" s="1"/>
  <c r="P36" i="1"/>
  <c r="AP25" i="2" s="1"/>
  <c r="O36" i="1"/>
  <c r="AO25" i="2" s="1"/>
  <c r="N36" i="1"/>
  <c r="AN25" i="2" s="1"/>
  <c r="AV25" i="2" s="1"/>
  <c r="M36" i="1"/>
  <c r="AM25" i="2" s="1"/>
  <c r="L36" i="1"/>
  <c r="AL25" i="2" s="1"/>
  <c r="S35" i="1"/>
  <c r="AS5" i="2" s="1"/>
  <c r="R35" i="1"/>
  <c r="AR5" i="2" s="1"/>
  <c r="Q35" i="1"/>
  <c r="AQ5" i="2" s="1"/>
  <c r="P35" i="1"/>
  <c r="AP5" i="2" s="1"/>
  <c r="O35" i="1"/>
  <c r="AO5" i="2" s="1"/>
  <c r="N35" i="1"/>
  <c r="AN5" i="2" s="1"/>
  <c r="AV5" i="2" s="1"/>
  <c r="M35" i="1"/>
  <c r="AM5" i="2" s="1"/>
  <c r="L35" i="1"/>
  <c r="AL5" i="2" s="1"/>
  <c r="S34" i="1"/>
  <c r="AS35" i="2" s="1"/>
  <c r="R34" i="1"/>
  <c r="AR35" i="2" s="1"/>
  <c r="Q34" i="1"/>
  <c r="AQ35" i="2" s="1"/>
  <c r="P34" i="1"/>
  <c r="AP35" i="2" s="1"/>
  <c r="O34" i="1"/>
  <c r="AO35" i="2" s="1"/>
  <c r="N34" i="1"/>
  <c r="AN35" i="2" s="1"/>
  <c r="AV35" i="2" s="1"/>
  <c r="M34" i="1"/>
  <c r="AM35" i="2" s="1"/>
  <c r="L34" i="1"/>
  <c r="S33" i="1"/>
  <c r="AS12" i="2" s="1"/>
  <c r="R33" i="1"/>
  <c r="AR12" i="2" s="1"/>
  <c r="Q33" i="1"/>
  <c r="AQ12" i="2" s="1"/>
  <c r="P33" i="1"/>
  <c r="AP12" i="2" s="1"/>
  <c r="O33" i="1"/>
  <c r="AO12" i="2" s="1"/>
  <c r="N33" i="1"/>
  <c r="AN12" i="2" s="1"/>
  <c r="AV12" i="2" s="1"/>
  <c r="M33" i="1"/>
  <c r="AM12" i="2" s="1"/>
  <c r="L33" i="1"/>
  <c r="AL12" i="2" s="1"/>
  <c r="S32" i="1"/>
  <c r="AS24" i="2" s="1"/>
  <c r="R32" i="1"/>
  <c r="Q32" i="1"/>
  <c r="AQ24" i="2" s="1"/>
  <c r="P32" i="1"/>
  <c r="AP24" i="2" s="1"/>
  <c r="O32" i="1"/>
  <c r="AO24" i="2" s="1"/>
  <c r="N32" i="1"/>
  <c r="AN24" i="2" s="1"/>
  <c r="AV24" i="2" s="1"/>
  <c r="M32" i="1"/>
  <c r="AM24" i="2" s="1"/>
  <c r="L32" i="1"/>
  <c r="AL24" i="2" s="1"/>
  <c r="S31" i="1"/>
  <c r="AS36" i="2" s="1"/>
  <c r="R31" i="1"/>
  <c r="AR36" i="2" s="1"/>
  <c r="Q31" i="1"/>
  <c r="AQ36" i="2" s="1"/>
  <c r="P31" i="1"/>
  <c r="O31" i="1"/>
  <c r="AO36" i="2" s="1"/>
  <c r="N31" i="1"/>
  <c r="AN36" i="2" s="1"/>
  <c r="AV36" i="2" s="1"/>
  <c r="M31" i="1"/>
  <c r="AM36" i="2" s="1"/>
  <c r="L31" i="1"/>
  <c r="AL36" i="2" s="1"/>
  <c r="S30" i="1"/>
  <c r="AS27" i="2" s="1"/>
  <c r="R30" i="1"/>
  <c r="AR27" i="2" s="1"/>
  <c r="Q30" i="1"/>
  <c r="AQ27" i="2" s="1"/>
  <c r="P30" i="1"/>
  <c r="AP27" i="2" s="1"/>
  <c r="O30" i="1"/>
  <c r="AO27" i="2" s="1"/>
  <c r="N30" i="1"/>
  <c r="M30" i="1"/>
  <c r="AM27" i="2" s="1"/>
  <c r="L30" i="1"/>
  <c r="AL27" i="2" s="1"/>
  <c r="S29" i="1"/>
  <c r="AS23" i="2" s="1"/>
  <c r="R29" i="1"/>
  <c r="AR23" i="2" s="1"/>
  <c r="Q29" i="1"/>
  <c r="AQ23" i="2" s="1"/>
  <c r="P29" i="1"/>
  <c r="AP23" i="2" s="1"/>
  <c r="O29" i="1"/>
  <c r="AO23" i="2" s="1"/>
  <c r="N29" i="1"/>
  <c r="AN23" i="2" s="1"/>
  <c r="AV23" i="2" s="1"/>
  <c r="M29" i="1"/>
  <c r="AM23" i="2" s="1"/>
  <c r="L29" i="1"/>
  <c r="AL23" i="2" s="1"/>
  <c r="S28" i="1"/>
  <c r="AS13" i="2" s="1"/>
  <c r="R28" i="1"/>
  <c r="AR13" i="2" s="1"/>
  <c r="Q28" i="1"/>
  <c r="AQ13" i="2" s="1"/>
  <c r="P28" i="1"/>
  <c r="AP13" i="2" s="1"/>
  <c r="O28" i="1"/>
  <c r="AO13" i="2" s="1"/>
  <c r="N28" i="1"/>
  <c r="AN13" i="2" s="1"/>
  <c r="AV13" i="2" s="1"/>
  <c r="M28" i="1"/>
  <c r="AM13" i="2" s="1"/>
  <c r="L28" i="1"/>
  <c r="AL13" i="2" s="1"/>
  <c r="S27" i="1"/>
  <c r="AS38" i="2" s="1"/>
  <c r="R27" i="1"/>
  <c r="AR38" i="2" s="1"/>
  <c r="Q27" i="1"/>
  <c r="AQ38" i="2" s="1"/>
  <c r="P27" i="1"/>
  <c r="AP38" i="2" s="1"/>
  <c r="O27" i="1"/>
  <c r="AO38" i="2" s="1"/>
  <c r="N27" i="1"/>
  <c r="AN38" i="2" s="1"/>
  <c r="AV38" i="2" s="1"/>
  <c r="M27" i="1"/>
  <c r="AM38" i="2" s="1"/>
  <c r="L27" i="1"/>
  <c r="AL38" i="2" s="1"/>
  <c r="S26" i="1"/>
  <c r="AS20" i="2" s="1"/>
  <c r="R26" i="1"/>
  <c r="AR20" i="2" s="1"/>
  <c r="Q26" i="1"/>
  <c r="AQ20" i="2" s="1"/>
  <c r="P26" i="1"/>
  <c r="AP20" i="2" s="1"/>
  <c r="O26" i="1"/>
  <c r="AO20" i="2" s="1"/>
  <c r="N26" i="1"/>
  <c r="AN20" i="2" s="1"/>
  <c r="AV20" i="2" s="1"/>
  <c r="M26" i="1"/>
  <c r="AM20" i="2" s="1"/>
  <c r="L26" i="1"/>
  <c r="AL20" i="2" s="1"/>
  <c r="S25" i="1"/>
  <c r="AS29" i="2" s="1"/>
  <c r="R25" i="1"/>
  <c r="AR29" i="2" s="1"/>
  <c r="Q25" i="1"/>
  <c r="AQ29" i="2" s="1"/>
  <c r="P25" i="1"/>
  <c r="AP29" i="2" s="1"/>
  <c r="O25" i="1"/>
  <c r="AO29" i="2" s="1"/>
  <c r="N25" i="1"/>
  <c r="M25" i="1"/>
  <c r="AM29" i="2" s="1"/>
  <c r="L25" i="1"/>
  <c r="AL29" i="2" s="1"/>
  <c r="S24" i="1"/>
  <c r="AS32" i="2" s="1"/>
  <c r="R24" i="1"/>
  <c r="AR32" i="2" s="1"/>
  <c r="Q24" i="1"/>
  <c r="AQ32" i="2" s="1"/>
  <c r="P24" i="1"/>
  <c r="AP32" i="2" s="1"/>
  <c r="O24" i="1"/>
  <c r="AO32" i="2" s="1"/>
  <c r="N24" i="1"/>
  <c r="AN32" i="2" s="1"/>
  <c r="AV32" i="2" s="1"/>
  <c r="M24" i="1"/>
  <c r="AM32" i="2" s="1"/>
  <c r="L24" i="1"/>
  <c r="S23" i="1"/>
  <c r="AS21" i="2" s="1"/>
  <c r="R23" i="1"/>
  <c r="AR21" i="2" s="1"/>
  <c r="Q23" i="1"/>
  <c r="AQ21" i="2" s="1"/>
  <c r="P23" i="1"/>
  <c r="AP21" i="2" s="1"/>
  <c r="O23" i="1"/>
  <c r="AO21" i="2" s="1"/>
  <c r="N23" i="1"/>
  <c r="AN21" i="2" s="1"/>
  <c r="AV21" i="2" s="1"/>
  <c r="M23" i="1"/>
  <c r="AM21" i="2" s="1"/>
  <c r="L23" i="1"/>
  <c r="AL21" i="2" s="1"/>
  <c r="S22" i="1"/>
  <c r="AS19" i="2" s="1"/>
  <c r="R22" i="1"/>
  <c r="Q22" i="1"/>
  <c r="AQ19" i="2" s="1"/>
  <c r="P22" i="1"/>
  <c r="AP19" i="2" s="1"/>
  <c r="O22" i="1"/>
  <c r="AO19" i="2" s="1"/>
  <c r="N22" i="1"/>
  <c r="AN19" i="2" s="1"/>
  <c r="AV19" i="2" s="1"/>
  <c r="M22" i="1"/>
  <c r="AM19" i="2" s="1"/>
  <c r="L22" i="1"/>
  <c r="AL19" i="2" s="1"/>
  <c r="S21" i="1"/>
  <c r="AS22" i="2" s="1"/>
  <c r="R21" i="1"/>
  <c r="AR22" i="2" s="1"/>
  <c r="Q21" i="1"/>
  <c r="AQ22" i="2" s="1"/>
  <c r="P21" i="1"/>
  <c r="AP22" i="2" s="1"/>
  <c r="O21" i="1"/>
  <c r="AO22" i="2" s="1"/>
  <c r="N21" i="1"/>
  <c r="AN22" i="2" s="1"/>
  <c r="AV22" i="2" s="1"/>
  <c r="M21" i="1"/>
  <c r="AM22" i="2" s="1"/>
  <c r="L21" i="1"/>
  <c r="AL22" i="2" s="1"/>
  <c r="S20" i="1"/>
  <c r="AS31" i="2" s="1"/>
  <c r="R20" i="1"/>
  <c r="AR31" i="2" s="1"/>
  <c r="Q20" i="1"/>
  <c r="AQ31" i="2" s="1"/>
  <c r="P20" i="1"/>
  <c r="AP31" i="2" s="1"/>
  <c r="O20" i="1"/>
  <c r="AO31" i="2" s="1"/>
  <c r="N20" i="1"/>
  <c r="AN31" i="2" s="1"/>
  <c r="AV31" i="2" s="1"/>
  <c r="M20" i="1"/>
  <c r="AM31" i="2" s="1"/>
  <c r="L20" i="1"/>
  <c r="AL31" i="2" s="1"/>
  <c r="S19" i="1"/>
  <c r="AS26" i="2" s="1"/>
  <c r="R19" i="1"/>
  <c r="AR26" i="2" s="1"/>
  <c r="Q19" i="1"/>
  <c r="AQ26" i="2" s="1"/>
  <c r="P19" i="1"/>
  <c r="AP26" i="2" s="1"/>
  <c r="O19" i="1"/>
  <c r="AO26" i="2" s="1"/>
  <c r="N19" i="1"/>
  <c r="AN26" i="2" s="1"/>
  <c r="AV26" i="2" s="1"/>
  <c r="M19" i="1"/>
  <c r="AM26" i="2" s="1"/>
  <c r="L19" i="1"/>
  <c r="S18" i="1"/>
  <c r="AS30" i="2" s="1"/>
  <c r="R18" i="1"/>
  <c r="AR30" i="2" s="1"/>
  <c r="Q18" i="1"/>
  <c r="AQ30" i="2" s="1"/>
  <c r="P18" i="1"/>
  <c r="AP30" i="2" s="1"/>
  <c r="O18" i="1"/>
  <c r="AO30" i="2" s="1"/>
  <c r="N18" i="1"/>
  <c r="AN30" i="2" s="1"/>
  <c r="AV30" i="2" s="1"/>
  <c r="M18" i="1"/>
  <c r="AM30" i="2" s="1"/>
  <c r="L18" i="1"/>
  <c r="AL30" i="2" s="1"/>
  <c r="S17" i="1"/>
  <c r="AS28" i="2" s="1"/>
  <c r="R17" i="1"/>
  <c r="AR28" i="2" s="1"/>
  <c r="Q17" i="1"/>
  <c r="AQ28" i="2" s="1"/>
  <c r="P17" i="1"/>
  <c r="AP28" i="2" s="1"/>
  <c r="O17" i="1"/>
  <c r="AO28" i="2" s="1"/>
  <c r="N17" i="1"/>
  <c r="AN28" i="2" s="1"/>
  <c r="AV28" i="2" s="1"/>
  <c r="M17" i="1"/>
  <c r="AM28" i="2" s="1"/>
  <c r="L17" i="1"/>
  <c r="AL28" i="2" s="1"/>
  <c r="S16" i="1"/>
  <c r="AS15" i="2" s="1"/>
  <c r="R16" i="1"/>
  <c r="AR15" i="2" s="1"/>
  <c r="Q16" i="1"/>
  <c r="AQ15" i="2" s="1"/>
  <c r="P16" i="1"/>
  <c r="AP15" i="2" s="1"/>
  <c r="O16" i="1"/>
  <c r="AO15" i="2" s="1"/>
  <c r="N16" i="1"/>
  <c r="AN15" i="2" s="1"/>
  <c r="AV15" i="2" s="1"/>
  <c r="M16" i="1"/>
  <c r="AM15" i="2" s="1"/>
  <c r="L16" i="1"/>
  <c r="AL15" i="2" s="1"/>
  <c r="S15" i="1"/>
  <c r="AS33" i="2" s="1"/>
  <c r="R15" i="1"/>
  <c r="AR33" i="2" s="1"/>
  <c r="Q15" i="1"/>
  <c r="AQ33" i="2" s="1"/>
  <c r="P15" i="1"/>
  <c r="AP33" i="2" s="1"/>
  <c r="O15" i="1"/>
  <c r="AO33" i="2" s="1"/>
  <c r="N15" i="1"/>
  <c r="AN33" i="2" s="1"/>
  <c r="AV33" i="2" s="1"/>
  <c r="M15" i="1"/>
  <c r="AM33" i="2" s="1"/>
  <c r="L15" i="1"/>
  <c r="AL33" i="2" s="1"/>
  <c r="S14" i="1"/>
  <c r="AS16" i="2" s="1"/>
  <c r="R14" i="1"/>
  <c r="AR16" i="2" s="1"/>
  <c r="Q14" i="1"/>
  <c r="AQ16" i="2" s="1"/>
  <c r="P14" i="1"/>
  <c r="AP16" i="2" s="1"/>
  <c r="O14" i="1"/>
  <c r="AO16" i="2" s="1"/>
  <c r="N14" i="1"/>
  <c r="AN16" i="2" s="1"/>
  <c r="AV16" i="2" s="1"/>
  <c r="M14" i="1"/>
  <c r="AM16" i="2" s="1"/>
  <c r="L14" i="1"/>
  <c r="AL16" i="2" s="1"/>
  <c r="S13" i="1"/>
  <c r="AS18" i="2" s="1"/>
  <c r="R13" i="1"/>
  <c r="AR18" i="2" s="1"/>
  <c r="Q13" i="1"/>
  <c r="AQ18" i="2" s="1"/>
  <c r="P13" i="1"/>
  <c r="AP18" i="2" s="1"/>
  <c r="O13" i="1"/>
  <c r="AO18" i="2" s="1"/>
  <c r="N13" i="1"/>
  <c r="AN18" i="2" s="1"/>
  <c r="AV18" i="2" s="1"/>
  <c r="M13" i="1"/>
  <c r="AM18" i="2" s="1"/>
  <c r="L13" i="1"/>
  <c r="AL18" i="2" s="1"/>
  <c r="S12" i="1"/>
  <c r="AS34" i="2" s="1"/>
  <c r="R12" i="1"/>
  <c r="AR34" i="2" s="1"/>
  <c r="Q12" i="1"/>
  <c r="AQ34" i="2" s="1"/>
  <c r="P12" i="1"/>
  <c r="AP34" i="2" s="1"/>
  <c r="O12" i="1"/>
  <c r="AO34" i="2" s="1"/>
  <c r="N12" i="1"/>
  <c r="AN34" i="2" s="1"/>
  <c r="AV34" i="2" s="1"/>
  <c r="M12" i="1"/>
  <c r="AM34" i="2" s="1"/>
  <c r="L12" i="1"/>
  <c r="AL34" i="2" s="1"/>
  <c r="S11" i="1"/>
  <c r="AS14" i="2" s="1"/>
  <c r="R11" i="1"/>
  <c r="AR14" i="2" s="1"/>
  <c r="Q11" i="1"/>
  <c r="AQ14" i="2" s="1"/>
  <c r="P11" i="1"/>
  <c r="AP14" i="2" s="1"/>
  <c r="O11" i="1"/>
  <c r="AO14" i="2" s="1"/>
  <c r="N11" i="1"/>
  <c r="AN14" i="2" s="1"/>
  <c r="AV14" i="2" s="1"/>
  <c r="M11" i="1"/>
  <c r="AM14" i="2" s="1"/>
  <c r="L11" i="1"/>
  <c r="AL14" i="2" s="1"/>
  <c r="S10" i="1"/>
  <c r="AS7" i="2" s="1"/>
  <c r="R10" i="1"/>
  <c r="AR7" i="2" s="1"/>
  <c r="Q10" i="1"/>
  <c r="AQ7" i="2" s="1"/>
  <c r="P10" i="1"/>
  <c r="AP7" i="2" s="1"/>
  <c r="O10" i="1"/>
  <c r="AO7" i="2" s="1"/>
  <c r="N10" i="1"/>
  <c r="AN7" i="2" s="1"/>
  <c r="AV7" i="2" s="1"/>
  <c r="M10" i="1"/>
  <c r="AM7" i="2" s="1"/>
  <c r="L10" i="1"/>
  <c r="AL7" i="2" s="1"/>
  <c r="S9" i="1"/>
  <c r="AS8" i="2" s="1"/>
  <c r="R9" i="1"/>
  <c r="AR8" i="2" s="1"/>
  <c r="Q9" i="1"/>
  <c r="AQ8" i="2" s="1"/>
  <c r="P9" i="1"/>
  <c r="AP8" i="2" s="1"/>
  <c r="O9" i="1"/>
  <c r="AO8" i="2" s="1"/>
  <c r="N9" i="1"/>
  <c r="AN8" i="2" s="1"/>
  <c r="AV8" i="2" s="1"/>
  <c r="M9" i="1"/>
  <c r="AM8" i="2" s="1"/>
  <c r="L9" i="1"/>
  <c r="AL8" i="2" s="1"/>
  <c r="S8" i="1"/>
  <c r="AS11" i="2" s="1"/>
  <c r="R8" i="1"/>
  <c r="AR11" i="2" s="1"/>
  <c r="Q8" i="1"/>
  <c r="AQ11" i="2" s="1"/>
  <c r="P8" i="1"/>
  <c r="AP11" i="2" s="1"/>
  <c r="O8" i="1"/>
  <c r="AO11" i="2" s="1"/>
  <c r="N8" i="1"/>
  <c r="AN11" i="2" s="1"/>
  <c r="AV11" i="2" s="1"/>
  <c r="M8" i="1"/>
  <c r="AM11" i="2" s="1"/>
  <c r="L8" i="1"/>
  <c r="AL11" i="2" s="1"/>
  <c r="S7" i="1"/>
  <c r="AS10" i="2" s="1"/>
  <c r="R7" i="1"/>
  <c r="AR10" i="2" s="1"/>
  <c r="Q7" i="1"/>
  <c r="AQ10" i="2" s="1"/>
  <c r="P7" i="1"/>
  <c r="AP10" i="2" s="1"/>
  <c r="O7" i="1"/>
  <c r="AO10" i="2" s="1"/>
  <c r="N7" i="1"/>
  <c r="AN10" i="2" s="1"/>
  <c r="AV10" i="2" s="1"/>
  <c r="M7" i="1"/>
  <c r="AM10" i="2" s="1"/>
  <c r="L7" i="1"/>
  <c r="AL10" i="2" s="1"/>
  <c r="S6" i="1"/>
  <c r="AS4" i="2" s="1"/>
  <c r="R6" i="1"/>
  <c r="AR4" i="2" s="1"/>
  <c r="Q6" i="1"/>
  <c r="AQ4" i="2" s="1"/>
  <c r="P6" i="1"/>
  <c r="AP4" i="2" s="1"/>
  <c r="O6" i="1"/>
  <c r="AO4" i="2" s="1"/>
  <c r="N6" i="1"/>
  <c r="AN4" i="2" s="1"/>
  <c r="AV4" i="2" s="1"/>
  <c r="M6" i="1"/>
  <c r="AM4" i="2" s="1"/>
  <c r="L6" i="1"/>
  <c r="AL4" i="2" s="1"/>
  <c r="S5" i="1"/>
  <c r="AS6" i="2" s="1"/>
  <c r="R5" i="1"/>
  <c r="AR6" i="2" s="1"/>
  <c r="Q5" i="1"/>
  <c r="AQ6" i="2" s="1"/>
  <c r="P5" i="1"/>
  <c r="AP6" i="2" s="1"/>
  <c r="O5" i="1"/>
  <c r="AO6" i="2" s="1"/>
  <c r="N5" i="1"/>
  <c r="AN6" i="2" s="1"/>
  <c r="AV6" i="2" s="1"/>
  <c r="M5" i="1"/>
  <c r="AM6" i="2" s="1"/>
  <c r="L5" i="1"/>
  <c r="AL6" i="2" s="1"/>
  <c r="S4" i="1"/>
  <c r="AS9" i="2" s="1"/>
  <c r="R4" i="1"/>
  <c r="AR9" i="2" s="1"/>
  <c r="Q4" i="1"/>
  <c r="AQ9" i="2" s="1"/>
  <c r="P4" i="1"/>
  <c r="AP9" i="2" s="1"/>
  <c r="O4" i="1"/>
  <c r="AO9" i="2" s="1"/>
  <c r="N4" i="1"/>
  <c r="AN9" i="2" s="1"/>
  <c r="AV9" i="2" s="1"/>
  <c r="M4" i="1"/>
  <c r="AM9" i="2" s="1"/>
  <c r="L4" i="1"/>
  <c r="AL9" i="2" s="1"/>
  <c r="S3" i="1"/>
  <c r="AS3" i="2" s="1"/>
  <c r="R3" i="1"/>
  <c r="AR3" i="2" s="1"/>
  <c r="Q3" i="1"/>
  <c r="AQ3" i="2" s="1"/>
  <c r="P3" i="1"/>
  <c r="AP3" i="2" s="1"/>
  <c r="O3" i="1"/>
  <c r="AO3" i="2" s="1"/>
  <c r="N3" i="1"/>
  <c r="AN3" i="2" s="1"/>
  <c r="AV3" i="2" s="1"/>
  <c r="M3" i="1"/>
  <c r="AM3" i="2" s="1"/>
  <c r="L3" i="1"/>
  <c r="AL3" i="2" s="1"/>
  <c r="M2" i="1"/>
  <c r="AM2" i="2" s="1"/>
  <c r="N2" i="1"/>
  <c r="AN2" i="2" s="1"/>
  <c r="AV2" i="2" s="1"/>
  <c r="O2" i="1"/>
  <c r="AO2" i="2" s="1"/>
  <c r="P2" i="1"/>
  <c r="AP2" i="2" s="1"/>
  <c r="Q2" i="1"/>
  <c r="AQ2" i="2" s="1"/>
  <c r="R2" i="1"/>
  <c r="AR2" i="2" s="1"/>
  <c r="S2" i="1"/>
  <c r="AS2" i="2" s="1"/>
  <c r="L2" i="1"/>
  <c r="AL2" i="2" s="1"/>
  <c r="H3" i="1"/>
  <c r="AG3" i="2" s="1"/>
  <c r="I3" i="1"/>
  <c r="AH3" i="2" s="1"/>
  <c r="J3" i="1"/>
  <c r="AI3" i="2" s="1"/>
  <c r="K3" i="1"/>
  <c r="AK3" i="2" s="1"/>
  <c r="H4" i="1"/>
  <c r="AG9" i="2" s="1"/>
  <c r="I4" i="1"/>
  <c r="AH9" i="2" s="1"/>
  <c r="J4" i="1"/>
  <c r="AI9" i="2" s="1"/>
  <c r="K4" i="1"/>
  <c r="AK9" i="2" s="1"/>
  <c r="H5" i="1"/>
  <c r="AG6" i="2" s="1"/>
  <c r="I5" i="1"/>
  <c r="AH6" i="2" s="1"/>
  <c r="J5" i="1"/>
  <c r="AI6" i="2" s="1"/>
  <c r="K5" i="1"/>
  <c r="AK6" i="2" s="1"/>
  <c r="H6" i="1"/>
  <c r="AG4" i="2" s="1"/>
  <c r="I6" i="1"/>
  <c r="AH4" i="2" s="1"/>
  <c r="J6" i="1"/>
  <c r="AI4" i="2" s="1"/>
  <c r="K6" i="1"/>
  <c r="AK4" i="2" s="1"/>
  <c r="H7" i="1"/>
  <c r="AG10" i="2" s="1"/>
  <c r="I7" i="1"/>
  <c r="AH10" i="2" s="1"/>
  <c r="J7" i="1"/>
  <c r="AI10" i="2" s="1"/>
  <c r="K7" i="1"/>
  <c r="AK10" i="2" s="1"/>
  <c r="H8" i="1"/>
  <c r="AG11" i="2" s="1"/>
  <c r="I8" i="1"/>
  <c r="AH11" i="2" s="1"/>
  <c r="J8" i="1"/>
  <c r="AI11" i="2" s="1"/>
  <c r="K8" i="1"/>
  <c r="AK11" i="2" s="1"/>
  <c r="H9" i="1"/>
  <c r="AG8" i="2" s="1"/>
  <c r="I9" i="1"/>
  <c r="AH8" i="2" s="1"/>
  <c r="J9" i="1"/>
  <c r="AI8" i="2" s="1"/>
  <c r="K9" i="1"/>
  <c r="AK8" i="2" s="1"/>
  <c r="H10" i="1"/>
  <c r="AG7" i="2" s="1"/>
  <c r="I10" i="1"/>
  <c r="AH7" i="2" s="1"/>
  <c r="J10" i="1"/>
  <c r="AI7" i="2" s="1"/>
  <c r="K10" i="1"/>
  <c r="AK7" i="2" s="1"/>
  <c r="H11" i="1"/>
  <c r="AG14" i="2" s="1"/>
  <c r="I11" i="1"/>
  <c r="AH14" i="2" s="1"/>
  <c r="J11" i="1"/>
  <c r="AI14" i="2" s="1"/>
  <c r="K11" i="1"/>
  <c r="AK14" i="2" s="1"/>
  <c r="H12" i="1"/>
  <c r="AG34" i="2" s="1"/>
  <c r="I12" i="1"/>
  <c r="AH34" i="2" s="1"/>
  <c r="J12" i="1"/>
  <c r="AI34" i="2" s="1"/>
  <c r="K12" i="1"/>
  <c r="AK34" i="2" s="1"/>
  <c r="H13" i="1"/>
  <c r="AG18" i="2" s="1"/>
  <c r="I13" i="1"/>
  <c r="AH18" i="2" s="1"/>
  <c r="J13" i="1"/>
  <c r="AI18" i="2" s="1"/>
  <c r="K13" i="1"/>
  <c r="AK18" i="2" s="1"/>
  <c r="H14" i="1"/>
  <c r="AG16" i="2" s="1"/>
  <c r="I14" i="1"/>
  <c r="AH16" i="2" s="1"/>
  <c r="J14" i="1"/>
  <c r="AI16" i="2" s="1"/>
  <c r="K14" i="1"/>
  <c r="AK16" i="2" s="1"/>
  <c r="H15" i="1"/>
  <c r="AG33" i="2" s="1"/>
  <c r="I15" i="1"/>
  <c r="AH33" i="2" s="1"/>
  <c r="J15" i="1"/>
  <c r="AI33" i="2" s="1"/>
  <c r="K15" i="1"/>
  <c r="AK33" i="2" s="1"/>
  <c r="H16" i="1"/>
  <c r="AG15" i="2" s="1"/>
  <c r="I16" i="1"/>
  <c r="AH15" i="2" s="1"/>
  <c r="J16" i="1"/>
  <c r="AI15" i="2" s="1"/>
  <c r="K16" i="1"/>
  <c r="AK15" i="2" s="1"/>
  <c r="H17" i="1"/>
  <c r="AG28" i="2" s="1"/>
  <c r="I17" i="1"/>
  <c r="AH28" i="2" s="1"/>
  <c r="J17" i="1"/>
  <c r="AI28" i="2" s="1"/>
  <c r="K17" i="1"/>
  <c r="AK28" i="2" s="1"/>
  <c r="H18" i="1"/>
  <c r="AG30" i="2" s="1"/>
  <c r="I18" i="1"/>
  <c r="AH30" i="2" s="1"/>
  <c r="J18" i="1"/>
  <c r="AI30" i="2" s="1"/>
  <c r="K18" i="1"/>
  <c r="AK30" i="2" s="1"/>
  <c r="H19" i="1"/>
  <c r="AG26" i="2" s="1"/>
  <c r="I19" i="1"/>
  <c r="AH26" i="2" s="1"/>
  <c r="J19" i="1"/>
  <c r="AI26" i="2" s="1"/>
  <c r="K19" i="1"/>
  <c r="AK26" i="2" s="1"/>
  <c r="H20" i="1"/>
  <c r="AG31" i="2" s="1"/>
  <c r="I20" i="1"/>
  <c r="AH31" i="2" s="1"/>
  <c r="J20" i="1"/>
  <c r="AI31" i="2" s="1"/>
  <c r="K20" i="1"/>
  <c r="AK31" i="2" s="1"/>
  <c r="H21" i="1"/>
  <c r="AG22" i="2" s="1"/>
  <c r="I21" i="1"/>
  <c r="AH22" i="2" s="1"/>
  <c r="J21" i="1"/>
  <c r="AI22" i="2" s="1"/>
  <c r="K21" i="1"/>
  <c r="AK22" i="2" s="1"/>
  <c r="H22" i="1"/>
  <c r="AG19" i="2" s="1"/>
  <c r="I22" i="1"/>
  <c r="AH19" i="2" s="1"/>
  <c r="J22" i="1"/>
  <c r="AI19" i="2" s="1"/>
  <c r="K22" i="1"/>
  <c r="AK19" i="2" s="1"/>
  <c r="H23" i="1"/>
  <c r="AG21" i="2" s="1"/>
  <c r="I23" i="1"/>
  <c r="AH21" i="2" s="1"/>
  <c r="J23" i="1"/>
  <c r="AI21" i="2" s="1"/>
  <c r="K23" i="1"/>
  <c r="AK21" i="2" s="1"/>
  <c r="H24" i="1"/>
  <c r="AG32" i="2" s="1"/>
  <c r="I24" i="1"/>
  <c r="AH32" i="2" s="1"/>
  <c r="J24" i="1"/>
  <c r="AI32" i="2" s="1"/>
  <c r="K24" i="1"/>
  <c r="AK32" i="2" s="1"/>
  <c r="H25" i="1"/>
  <c r="AG29" i="2" s="1"/>
  <c r="I25" i="1"/>
  <c r="AH29" i="2" s="1"/>
  <c r="J25" i="1"/>
  <c r="AI29" i="2" s="1"/>
  <c r="K25" i="1"/>
  <c r="AK29" i="2" s="1"/>
  <c r="H26" i="1"/>
  <c r="AG20" i="2" s="1"/>
  <c r="I26" i="1"/>
  <c r="AH20" i="2" s="1"/>
  <c r="J26" i="1"/>
  <c r="AI20" i="2" s="1"/>
  <c r="K26" i="1"/>
  <c r="AK20" i="2" s="1"/>
  <c r="H27" i="1"/>
  <c r="AG38" i="2" s="1"/>
  <c r="I27" i="1"/>
  <c r="AH38" i="2" s="1"/>
  <c r="J27" i="1"/>
  <c r="AI38" i="2" s="1"/>
  <c r="K27" i="1"/>
  <c r="AK38" i="2" s="1"/>
  <c r="H28" i="1"/>
  <c r="AG13" i="2" s="1"/>
  <c r="I28" i="1"/>
  <c r="AH13" i="2" s="1"/>
  <c r="J28" i="1"/>
  <c r="AI13" i="2" s="1"/>
  <c r="K28" i="1"/>
  <c r="AK13" i="2" s="1"/>
  <c r="H29" i="1"/>
  <c r="AG23" i="2" s="1"/>
  <c r="I29" i="1"/>
  <c r="AH23" i="2" s="1"/>
  <c r="J29" i="1"/>
  <c r="AI23" i="2" s="1"/>
  <c r="K29" i="1"/>
  <c r="AK23" i="2" s="1"/>
  <c r="H30" i="1"/>
  <c r="AG27" i="2" s="1"/>
  <c r="I30" i="1"/>
  <c r="AH27" i="2" s="1"/>
  <c r="J30" i="1"/>
  <c r="AI27" i="2" s="1"/>
  <c r="K30" i="1"/>
  <c r="AK27" i="2" s="1"/>
  <c r="H31" i="1"/>
  <c r="AG36" i="2" s="1"/>
  <c r="I31" i="1"/>
  <c r="AH36" i="2" s="1"/>
  <c r="J31" i="1"/>
  <c r="AI36" i="2" s="1"/>
  <c r="K31" i="1"/>
  <c r="AK36" i="2" s="1"/>
  <c r="H32" i="1"/>
  <c r="AG24" i="2" s="1"/>
  <c r="I32" i="1"/>
  <c r="AH24" i="2" s="1"/>
  <c r="J32" i="1"/>
  <c r="AI24" i="2" s="1"/>
  <c r="K32" i="1"/>
  <c r="AK24" i="2" s="1"/>
  <c r="H33" i="1"/>
  <c r="AG12" i="2" s="1"/>
  <c r="I33" i="1"/>
  <c r="AH12" i="2" s="1"/>
  <c r="J33" i="1"/>
  <c r="AI12" i="2" s="1"/>
  <c r="K33" i="1"/>
  <c r="AK12" i="2" s="1"/>
  <c r="H34" i="1"/>
  <c r="AG35" i="2" s="1"/>
  <c r="I34" i="1"/>
  <c r="AH35" i="2" s="1"/>
  <c r="J34" i="1"/>
  <c r="AI35" i="2" s="1"/>
  <c r="K34" i="1"/>
  <c r="AK35" i="2" s="1"/>
  <c r="H35" i="1"/>
  <c r="AG5" i="2" s="1"/>
  <c r="I35" i="1"/>
  <c r="AH5" i="2" s="1"/>
  <c r="J35" i="1"/>
  <c r="AI5" i="2" s="1"/>
  <c r="K35" i="1"/>
  <c r="AK5" i="2" s="1"/>
  <c r="H36" i="1"/>
  <c r="AG25" i="2" s="1"/>
  <c r="I36" i="1"/>
  <c r="AH25" i="2" s="1"/>
  <c r="J36" i="1"/>
  <c r="AI25" i="2" s="1"/>
  <c r="K36" i="1"/>
  <c r="AK25" i="2" s="1"/>
  <c r="H37" i="1"/>
  <c r="AG17" i="2" s="1"/>
  <c r="I37" i="1"/>
  <c r="AH17" i="2" s="1"/>
  <c r="J37" i="1"/>
  <c r="AI17" i="2" s="1"/>
  <c r="K37" i="1"/>
  <c r="AK17" i="2" s="1"/>
  <c r="H38" i="1"/>
  <c r="AG37" i="2" s="1"/>
  <c r="I38" i="1"/>
  <c r="AH37" i="2" s="1"/>
  <c r="J38" i="1"/>
  <c r="AI37" i="2" s="1"/>
  <c r="K38" i="1"/>
  <c r="AK37" i="2" s="1"/>
  <c r="H2" i="1"/>
  <c r="AG2" i="2" s="1"/>
  <c r="I2" i="1"/>
  <c r="AH2" i="2" s="1"/>
  <c r="J2" i="1"/>
  <c r="AI2" i="2" s="1"/>
  <c r="K2" i="1"/>
  <c r="AK2" i="2" s="1"/>
  <c r="G3" i="1"/>
  <c r="AF3" i="2" s="1"/>
  <c r="G4" i="1"/>
  <c r="AF9" i="2" s="1"/>
  <c r="G5" i="1"/>
  <c r="AF6" i="2" s="1"/>
  <c r="G6" i="1"/>
  <c r="AF4" i="2" s="1"/>
  <c r="G7" i="1"/>
  <c r="AF10" i="2" s="1"/>
  <c r="G8" i="1"/>
  <c r="AF11" i="2" s="1"/>
  <c r="G9" i="1"/>
  <c r="AF8" i="2" s="1"/>
  <c r="G10" i="1"/>
  <c r="AF7" i="2" s="1"/>
  <c r="G11" i="1"/>
  <c r="AF14" i="2" s="1"/>
  <c r="G12" i="1"/>
  <c r="AF34" i="2" s="1"/>
  <c r="G13" i="1"/>
  <c r="AF18" i="2" s="1"/>
  <c r="G14" i="1"/>
  <c r="AF16" i="2" s="1"/>
  <c r="G15" i="1"/>
  <c r="AF33" i="2" s="1"/>
  <c r="G16" i="1"/>
  <c r="AF15" i="2" s="1"/>
  <c r="G17" i="1"/>
  <c r="AF28" i="2" s="1"/>
  <c r="G18" i="1"/>
  <c r="AF30" i="2" s="1"/>
  <c r="G19" i="1"/>
  <c r="AF26" i="2" s="1"/>
  <c r="G20" i="1"/>
  <c r="AF31" i="2" s="1"/>
  <c r="G21" i="1"/>
  <c r="AF22" i="2" s="1"/>
  <c r="G22" i="1"/>
  <c r="AF19" i="2" s="1"/>
  <c r="G23" i="1"/>
  <c r="AF21" i="2" s="1"/>
  <c r="G24" i="1"/>
  <c r="AF32" i="2" s="1"/>
  <c r="G25" i="1"/>
  <c r="AF29" i="2" s="1"/>
  <c r="G26" i="1"/>
  <c r="AF20" i="2" s="1"/>
  <c r="G27" i="1"/>
  <c r="AF38" i="2" s="1"/>
  <c r="G28" i="1"/>
  <c r="AF13" i="2" s="1"/>
  <c r="G29" i="1"/>
  <c r="AF23" i="2" s="1"/>
  <c r="G30" i="1"/>
  <c r="AF27" i="2" s="1"/>
  <c r="G31" i="1"/>
  <c r="AF36" i="2" s="1"/>
  <c r="G32" i="1"/>
  <c r="AF24" i="2" s="1"/>
  <c r="G33" i="1"/>
  <c r="AF12" i="2" s="1"/>
  <c r="G34" i="1"/>
  <c r="AF35" i="2" s="1"/>
  <c r="G35" i="1"/>
  <c r="AF5" i="2" s="1"/>
  <c r="G36" i="1"/>
  <c r="AF25" i="2" s="1"/>
  <c r="G37" i="1"/>
  <c r="AF17" i="2" s="1"/>
  <c r="G38" i="1"/>
  <c r="AF37" i="2" s="1"/>
  <c r="G2" i="1"/>
  <c r="AF2" i="2" s="1"/>
  <c r="AB57" i="4" l="1"/>
  <c r="AB25" i="4"/>
  <c r="AB23" i="4"/>
  <c r="AB14" i="4"/>
  <c r="AB9" i="4"/>
  <c r="AB49" i="4"/>
  <c r="AB5" i="4"/>
  <c r="AB7" i="4"/>
  <c r="AB50" i="4"/>
  <c r="AB31" i="4"/>
  <c r="X62" i="4"/>
  <c r="L54" i="4" s="1"/>
  <c r="X63" i="4"/>
  <c r="L61" i="4" s="1"/>
  <c r="Y62" i="4"/>
  <c r="Y63" i="4"/>
  <c r="M4" i="4" s="1"/>
  <c r="AB29" i="4"/>
  <c r="AB59" i="4"/>
  <c r="AB4" i="4"/>
  <c r="AB16" i="4"/>
  <c r="AB37" i="4"/>
  <c r="AB11" i="4"/>
  <c r="Q15" i="4"/>
  <c r="Q11" i="4"/>
  <c r="AB38" i="4"/>
  <c r="AB61" i="4"/>
  <c r="Q10" i="4"/>
  <c r="AB52" i="4"/>
  <c r="U63" i="4"/>
  <c r="I45" i="4" s="1"/>
  <c r="U62" i="4"/>
  <c r="AB35" i="4"/>
  <c r="AB21" i="4"/>
  <c r="N27" i="4"/>
  <c r="Q13" i="4"/>
  <c r="J50" i="4"/>
  <c r="AB51" i="4"/>
  <c r="AB10" i="4"/>
  <c r="AB58" i="4"/>
  <c r="AB22" i="4"/>
  <c r="AB48" i="4"/>
  <c r="L3" i="4"/>
  <c r="AB20" i="4"/>
  <c r="Z62" i="4"/>
  <c r="N56" i="4" s="1"/>
  <c r="Z63" i="4"/>
  <c r="N11" i="4" s="1"/>
  <c r="N55" i="4"/>
  <c r="N6" i="4"/>
  <c r="V63" i="4"/>
  <c r="V62" i="4"/>
  <c r="J56" i="4" s="1"/>
  <c r="L30" i="4"/>
  <c r="AB47" i="4"/>
  <c r="AB53" i="4"/>
  <c r="AB6" i="4"/>
  <c r="AB43" i="4"/>
  <c r="AB24" i="4"/>
  <c r="AB42" i="4"/>
  <c r="AB44" i="4"/>
  <c r="N25" i="4"/>
  <c r="AB41" i="4"/>
  <c r="L15" i="4"/>
  <c r="L11" i="4"/>
  <c r="N47" i="4"/>
  <c r="AB28" i="4"/>
  <c r="AB17" i="4"/>
  <c r="AB18" i="4"/>
  <c r="L8" i="4"/>
  <c r="L29" i="4"/>
  <c r="AB33" i="4"/>
  <c r="AB3" i="4"/>
  <c r="AB13" i="4"/>
  <c r="AB19" i="4"/>
  <c r="AB15" i="4"/>
  <c r="Q35" i="4"/>
  <c r="M50" i="4"/>
  <c r="T62" i="4"/>
  <c r="T63" i="4"/>
  <c r="AB55" i="4"/>
  <c r="AB46" i="4"/>
  <c r="Q41" i="4"/>
  <c r="AB12" i="4"/>
  <c r="AB39" i="4"/>
  <c r="AA62" i="4"/>
  <c r="AA63" i="4"/>
  <c r="AB45" i="4"/>
  <c r="AB32" i="4"/>
  <c r="AB54" i="4"/>
  <c r="M42" i="4"/>
  <c r="AB56" i="4"/>
  <c r="AB36" i="4"/>
  <c r="AB26" i="4"/>
  <c r="AC63" i="4"/>
  <c r="AC62" i="4"/>
  <c r="Q42" i="4" s="1"/>
  <c r="Q46" i="4"/>
  <c r="Q49" i="4"/>
  <c r="J39" i="4"/>
  <c r="L47" i="4"/>
  <c r="W63" i="4"/>
  <c r="W62" i="4"/>
  <c r="K39" i="4" s="1"/>
  <c r="K60" i="4"/>
  <c r="AB40" i="4"/>
  <c r="AB2" i="4"/>
  <c r="L12" i="4"/>
  <c r="N51" i="4"/>
  <c r="N33" i="4"/>
  <c r="AB8" i="4"/>
  <c r="L52" i="4"/>
  <c r="J22" i="4"/>
  <c r="L42" i="4"/>
  <c r="AB27" i="4"/>
  <c r="AB30" i="4"/>
  <c r="N35" i="4"/>
  <c r="L10" i="4"/>
  <c r="Q16" i="4"/>
  <c r="L4" i="4"/>
  <c r="AB60" i="4"/>
  <c r="O40" i="4"/>
  <c r="AB34" i="4"/>
  <c r="Q20" i="4"/>
  <c r="AT3" i="2"/>
  <c r="AX3" i="2"/>
  <c r="AT11" i="2"/>
  <c r="AX11" i="2"/>
  <c r="AT18" i="2"/>
  <c r="Z18" i="2" s="1"/>
  <c r="AX18" i="2"/>
  <c r="AT30" i="2"/>
  <c r="AX30" i="2"/>
  <c r="AT21" i="2"/>
  <c r="AX21" i="2"/>
  <c r="AT13" i="2"/>
  <c r="AX13" i="2"/>
  <c r="AT12" i="2"/>
  <c r="AX12" i="2"/>
  <c r="AT37" i="2"/>
  <c r="AX37" i="2"/>
  <c r="AT24" i="2"/>
  <c r="AX24" i="2"/>
  <c r="AT10" i="2"/>
  <c r="AX10" i="2"/>
  <c r="AT34" i="2"/>
  <c r="AX34" i="2"/>
  <c r="AT28" i="2"/>
  <c r="AX28" i="2"/>
  <c r="AT38" i="2"/>
  <c r="AX38" i="2"/>
  <c r="AT17" i="2"/>
  <c r="AX17" i="2"/>
  <c r="AT14" i="2"/>
  <c r="AX14" i="2"/>
  <c r="AT36" i="2"/>
  <c r="AX36" i="2"/>
  <c r="AT25" i="2"/>
  <c r="AX25" i="2"/>
  <c r="AT19" i="2"/>
  <c r="AX19" i="2"/>
  <c r="AT15" i="2"/>
  <c r="Z15" i="2" s="1"/>
  <c r="AX15" i="2"/>
  <c r="AT6" i="2"/>
  <c r="Z6" i="2" s="1"/>
  <c r="AX6" i="2"/>
  <c r="AT7" i="2"/>
  <c r="AX7" i="2"/>
  <c r="AT33" i="2"/>
  <c r="AX33" i="2"/>
  <c r="AT31" i="2"/>
  <c r="AX31" i="2"/>
  <c r="AT29" i="2"/>
  <c r="AX29" i="2"/>
  <c r="AT27" i="2"/>
  <c r="AX27" i="2"/>
  <c r="AT5" i="2"/>
  <c r="AX5" i="2"/>
  <c r="AT4" i="2"/>
  <c r="AX4" i="2"/>
  <c r="AT20" i="2"/>
  <c r="AX20" i="2"/>
  <c r="AT22" i="2"/>
  <c r="AX22" i="2"/>
  <c r="AT2" i="2"/>
  <c r="Z4" i="2" s="1"/>
  <c r="AX2" i="2"/>
  <c r="AT9" i="2"/>
  <c r="AX9" i="2"/>
  <c r="AT8" i="2"/>
  <c r="AX8" i="2"/>
  <c r="AT16" i="2"/>
  <c r="AX16" i="2"/>
  <c r="AT26" i="2"/>
  <c r="AX26" i="2"/>
  <c r="AT32" i="2"/>
  <c r="AX32" i="2"/>
  <c r="AT23" i="2"/>
  <c r="AX23" i="2"/>
  <c r="AT35" i="2"/>
  <c r="AX35" i="2"/>
  <c r="AB14" i="2"/>
  <c r="AB22" i="2"/>
  <c r="AB36" i="2"/>
  <c r="AB34" i="2"/>
  <c r="AB19" i="2"/>
  <c r="AB24" i="2"/>
  <c r="AB3" i="2"/>
  <c r="AB18" i="2"/>
  <c r="AB21" i="2"/>
  <c r="AB12" i="2"/>
  <c r="AB9" i="2"/>
  <c r="AB16" i="2"/>
  <c r="AB32" i="2"/>
  <c r="AB35" i="2"/>
  <c r="AB6" i="2"/>
  <c r="AB33" i="2"/>
  <c r="AB29" i="2"/>
  <c r="AB5" i="2"/>
  <c r="AB4" i="2"/>
  <c r="AB15" i="2"/>
  <c r="AB20" i="2"/>
  <c r="AB25" i="2"/>
  <c r="AB10" i="2"/>
  <c r="AB28" i="2"/>
  <c r="AB38" i="2"/>
  <c r="AB17" i="2"/>
  <c r="AB11" i="2"/>
  <c r="AB30" i="2"/>
  <c r="AB13" i="2"/>
  <c r="AB37" i="2"/>
  <c r="AB8" i="2"/>
  <c r="AB26" i="2"/>
  <c r="AB23" i="2"/>
  <c r="AB2" i="2"/>
  <c r="AB7" i="2"/>
  <c r="AB31" i="2"/>
  <c r="AB27" i="2"/>
  <c r="AW13" i="2"/>
  <c r="AU13" i="2"/>
  <c r="AU37" i="2"/>
  <c r="AW37" i="2"/>
  <c r="Z10" i="2"/>
  <c r="Z17" i="2"/>
  <c r="AW10" i="2"/>
  <c r="AU10" i="2"/>
  <c r="AU34" i="2"/>
  <c r="AW34" i="2"/>
  <c r="AW38" i="2"/>
  <c r="AU38" i="2"/>
  <c r="AU24" i="2"/>
  <c r="AW24" i="2"/>
  <c r="AW4" i="2"/>
  <c r="AU4" i="2"/>
  <c r="AW20" i="2"/>
  <c r="AU20" i="2"/>
  <c r="AU9" i="2"/>
  <c r="AW9" i="2"/>
  <c r="AW8" i="2"/>
  <c r="AU8" i="2"/>
  <c r="AU16" i="2"/>
  <c r="AW16" i="2"/>
  <c r="AU26" i="2"/>
  <c r="AW26" i="2"/>
  <c r="AU32" i="2"/>
  <c r="AW32" i="2"/>
  <c r="AU23" i="2"/>
  <c r="AW23" i="2"/>
  <c r="AU35" i="2"/>
  <c r="AW35" i="2"/>
  <c r="AW17" i="2"/>
  <c r="AU17" i="2"/>
  <c r="AU36" i="2"/>
  <c r="AW36" i="2"/>
  <c r="Z38" i="2"/>
  <c r="AU14" i="2"/>
  <c r="AW14" i="2"/>
  <c r="Z11" i="2"/>
  <c r="Z21" i="2"/>
  <c r="Z24" i="2"/>
  <c r="AW12" i="2"/>
  <c r="AU12" i="2"/>
  <c r="AW15" i="2"/>
  <c r="AU15" i="2"/>
  <c r="AW25" i="2"/>
  <c r="AU25" i="2"/>
  <c r="Z7" i="2"/>
  <c r="AU2" i="2"/>
  <c r="AW2" i="2"/>
  <c r="AW6" i="2"/>
  <c r="AU6" i="2"/>
  <c r="AW7" i="2"/>
  <c r="AU7" i="2"/>
  <c r="AW33" i="2"/>
  <c r="AU33" i="2"/>
  <c r="AW31" i="2"/>
  <c r="AU31" i="2"/>
  <c r="AW29" i="2"/>
  <c r="AU29" i="2"/>
  <c r="AW27" i="2"/>
  <c r="AU27" i="2"/>
  <c r="AW5" i="2"/>
  <c r="AU5" i="2"/>
  <c r="AW3" i="2"/>
  <c r="AU3" i="2"/>
  <c r="AW11" i="2"/>
  <c r="AU11" i="2"/>
  <c r="AW18" i="2"/>
  <c r="AU18" i="2"/>
  <c r="AU30" i="2"/>
  <c r="AW30" i="2"/>
  <c r="AW21" i="2"/>
  <c r="AU21" i="2"/>
  <c r="AW28" i="2"/>
  <c r="AU28" i="2"/>
  <c r="AU19" i="2"/>
  <c r="AW19" i="2"/>
  <c r="AU22" i="2"/>
  <c r="AW22" i="2"/>
  <c r="Z26" i="2"/>
  <c r="Z32" i="2"/>
  <c r="AJ5" i="2"/>
  <c r="AJ27" i="2"/>
  <c r="AJ29" i="2"/>
  <c r="AJ31" i="2"/>
  <c r="AJ33" i="2"/>
  <c r="AJ7" i="2"/>
  <c r="AJ6" i="2"/>
  <c r="AJ36" i="2"/>
  <c r="AJ20" i="2"/>
  <c r="AJ22" i="2"/>
  <c r="AJ15" i="2"/>
  <c r="AJ32" i="2"/>
  <c r="AJ16" i="2"/>
  <c r="AJ25" i="2"/>
  <c r="AJ2" i="2"/>
  <c r="AJ14" i="2"/>
  <c r="AJ4" i="2"/>
  <c r="AJ17" i="2"/>
  <c r="AJ24" i="2"/>
  <c r="AJ38" i="2"/>
  <c r="AJ19" i="2"/>
  <c r="AJ28" i="2"/>
  <c r="AJ34" i="2"/>
  <c r="AJ10" i="2"/>
  <c r="AJ37" i="2"/>
  <c r="AJ12" i="2"/>
  <c r="AJ13" i="2"/>
  <c r="AJ21" i="2"/>
  <c r="AJ30" i="2"/>
  <c r="AJ18" i="2"/>
  <c r="AJ11" i="2"/>
  <c r="AJ3" i="2"/>
  <c r="AJ35" i="2"/>
  <c r="AJ23" i="2"/>
  <c r="AJ26" i="2"/>
  <c r="AJ8" i="2"/>
  <c r="AJ9" i="2"/>
  <c r="P5" i="2"/>
  <c r="P27" i="2"/>
  <c r="P7" i="2"/>
  <c r="V14" i="2"/>
  <c r="V22" i="2"/>
  <c r="V36" i="2"/>
  <c r="V34" i="2"/>
  <c r="V19" i="2"/>
  <c r="V24" i="2"/>
  <c r="V3" i="2"/>
  <c r="V18" i="2"/>
  <c r="V21" i="2"/>
  <c r="V12" i="2"/>
  <c r="V9" i="2"/>
  <c r="V16" i="2"/>
  <c r="V32" i="2"/>
  <c r="V35" i="2"/>
  <c r="V2" i="2"/>
  <c r="V6" i="2"/>
  <c r="V33" i="2"/>
  <c r="V29" i="2"/>
  <c r="V5" i="2"/>
  <c r="V31" i="2"/>
  <c r="V4" i="2"/>
  <c r="V15" i="2"/>
  <c r="V20" i="2"/>
  <c r="V25" i="2"/>
  <c r="V7" i="2"/>
  <c r="V10" i="2"/>
  <c r="V28" i="2"/>
  <c r="V38" i="2"/>
  <c r="V17" i="2"/>
  <c r="V27" i="2"/>
  <c r="V11" i="2"/>
  <c r="V30" i="2"/>
  <c r="V13" i="2"/>
  <c r="V37" i="2"/>
  <c r="V8" i="2"/>
  <c r="V26" i="2"/>
  <c r="V23" i="2"/>
  <c r="P35" i="2"/>
  <c r="P23" i="2"/>
  <c r="P32" i="2"/>
  <c r="P26" i="2"/>
  <c r="P16" i="2"/>
  <c r="P8" i="2"/>
  <c r="P9" i="2"/>
  <c r="U6" i="2"/>
  <c r="U33" i="2"/>
  <c r="U29" i="2"/>
  <c r="U5" i="2"/>
  <c r="U4" i="2"/>
  <c r="U15" i="2"/>
  <c r="U20" i="2"/>
  <c r="U25" i="2"/>
  <c r="U10" i="2"/>
  <c r="U28" i="2"/>
  <c r="U38" i="2"/>
  <c r="U17" i="2"/>
  <c r="U2" i="2"/>
  <c r="U11" i="2"/>
  <c r="U30" i="2"/>
  <c r="U13" i="2"/>
  <c r="U37" i="2"/>
  <c r="U8" i="2"/>
  <c r="U26" i="2"/>
  <c r="U23" i="2"/>
  <c r="U32" i="2"/>
  <c r="U7" i="2"/>
  <c r="U31" i="2"/>
  <c r="U27" i="2"/>
  <c r="U14" i="2"/>
  <c r="U22" i="2"/>
  <c r="U36" i="2"/>
  <c r="U35" i="2"/>
  <c r="U34" i="2"/>
  <c r="U19" i="2"/>
  <c r="U24" i="2"/>
  <c r="U16" i="2"/>
  <c r="U3" i="2"/>
  <c r="U18" i="2"/>
  <c r="U21" i="2"/>
  <c r="U12" i="2"/>
  <c r="U9" i="2"/>
  <c r="T8" i="2"/>
  <c r="T26" i="2"/>
  <c r="T23" i="2"/>
  <c r="T7" i="2"/>
  <c r="T31" i="2"/>
  <c r="T27" i="2"/>
  <c r="T2" i="2"/>
  <c r="T14" i="2"/>
  <c r="T22" i="2"/>
  <c r="T36" i="2"/>
  <c r="T34" i="2"/>
  <c r="T19" i="2"/>
  <c r="T24" i="2"/>
  <c r="T3" i="2"/>
  <c r="T18" i="2"/>
  <c r="T21" i="2"/>
  <c r="T12" i="2"/>
  <c r="T37" i="2"/>
  <c r="T9" i="2"/>
  <c r="T16" i="2"/>
  <c r="T32" i="2"/>
  <c r="T35" i="2"/>
  <c r="T11" i="2"/>
  <c r="T6" i="2"/>
  <c r="T33" i="2"/>
  <c r="T29" i="2"/>
  <c r="T5" i="2"/>
  <c r="T4" i="2"/>
  <c r="T15" i="2"/>
  <c r="T20" i="2"/>
  <c r="T25" i="2"/>
  <c r="T13" i="2"/>
  <c r="T10" i="2"/>
  <c r="T28" i="2"/>
  <c r="T38" i="2"/>
  <c r="T17" i="2"/>
  <c r="T30" i="2"/>
  <c r="S6" i="2"/>
  <c r="S33" i="2"/>
  <c r="S29" i="2"/>
  <c r="S5" i="2"/>
  <c r="S4" i="2"/>
  <c r="S15" i="2"/>
  <c r="S20" i="2"/>
  <c r="S25" i="2"/>
  <c r="S10" i="2"/>
  <c r="S28" i="2"/>
  <c r="S38" i="2"/>
  <c r="S17" i="2"/>
  <c r="S11" i="2"/>
  <c r="S30" i="2"/>
  <c r="S13" i="2"/>
  <c r="S37" i="2"/>
  <c r="S8" i="2"/>
  <c r="S26" i="2"/>
  <c r="S23" i="2"/>
  <c r="S2" i="2"/>
  <c r="S35" i="2"/>
  <c r="S7" i="2"/>
  <c r="S31" i="2"/>
  <c r="S27" i="2"/>
  <c r="S16" i="2"/>
  <c r="S14" i="2"/>
  <c r="S22" i="2"/>
  <c r="S36" i="2"/>
  <c r="S9" i="2"/>
  <c r="S34" i="2"/>
  <c r="S19" i="2"/>
  <c r="S24" i="2"/>
  <c r="S3" i="2"/>
  <c r="S18" i="2"/>
  <c r="S21" i="2"/>
  <c r="S12" i="2"/>
  <c r="S32" i="2"/>
  <c r="P36" i="2"/>
  <c r="P20" i="2"/>
  <c r="P22" i="2"/>
  <c r="P15" i="2"/>
  <c r="P14" i="2"/>
  <c r="P4" i="2"/>
  <c r="Q34" i="2"/>
  <c r="Q19" i="2"/>
  <c r="Q24" i="2"/>
  <c r="Q3" i="2"/>
  <c r="Q18" i="2"/>
  <c r="Q21" i="2"/>
  <c r="Q12" i="2"/>
  <c r="Q9" i="2"/>
  <c r="Q16" i="2"/>
  <c r="Q32" i="2"/>
  <c r="Q35" i="2"/>
  <c r="Q6" i="2"/>
  <c r="Q33" i="2"/>
  <c r="Q29" i="2"/>
  <c r="Q5" i="2"/>
  <c r="Q4" i="2"/>
  <c r="Q15" i="2"/>
  <c r="Q20" i="2"/>
  <c r="Q25" i="2"/>
  <c r="Q22" i="2"/>
  <c r="Q10" i="2"/>
  <c r="Q28" i="2"/>
  <c r="Q38" i="2"/>
  <c r="Q17" i="2"/>
  <c r="Q14" i="2"/>
  <c r="Q11" i="2"/>
  <c r="Q30" i="2"/>
  <c r="Q13" i="2"/>
  <c r="Q37" i="2"/>
  <c r="Q8" i="2"/>
  <c r="Q26" i="2"/>
  <c r="Q23" i="2"/>
  <c r="Q2" i="2"/>
  <c r="Q36" i="2"/>
  <c r="Q7" i="2"/>
  <c r="Q31" i="2"/>
  <c r="Q27" i="2"/>
  <c r="P33" i="2"/>
  <c r="P17" i="2"/>
  <c r="P24" i="2"/>
  <c r="P38" i="2"/>
  <c r="P19" i="2"/>
  <c r="P28" i="2"/>
  <c r="P34" i="2"/>
  <c r="P10" i="2"/>
  <c r="Y8" i="2"/>
  <c r="Y26" i="2"/>
  <c r="Y23" i="2"/>
  <c r="Y7" i="2"/>
  <c r="Y31" i="2"/>
  <c r="Y27" i="2"/>
  <c r="Y14" i="2"/>
  <c r="Y22" i="2"/>
  <c r="Y36" i="2"/>
  <c r="Y34" i="2"/>
  <c r="Y19" i="2"/>
  <c r="Y24" i="2"/>
  <c r="Y3" i="2"/>
  <c r="Y18" i="2"/>
  <c r="Y21" i="2"/>
  <c r="Y12" i="2"/>
  <c r="Y13" i="2"/>
  <c r="Y9" i="2"/>
  <c r="Y16" i="2"/>
  <c r="Y32" i="2"/>
  <c r="Y35" i="2"/>
  <c r="Y30" i="2"/>
  <c r="Y6" i="2"/>
  <c r="Y33" i="2"/>
  <c r="Y29" i="2"/>
  <c r="Y5" i="2"/>
  <c r="Y2" i="2"/>
  <c r="Y37" i="2"/>
  <c r="Y4" i="2"/>
  <c r="Y15" i="2"/>
  <c r="Y20" i="2"/>
  <c r="Y25" i="2"/>
  <c r="Y10" i="2"/>
  <c r="Y28" i="2"/>
  <c r="Y38" i="2"/>
  <c r="Y17" i="2"/>
  <c r="Y11" i="2"/>
  <c r="P31" i="2"/>
  <c r="P6" i="2"/>
  <c r="P25" i="2"/>
  <c r="X3" i="2"/>
  <c r="X18" i="2"/>
  <c r="X21" i="2"/>
  <c r="X12" i="2"/>
  <c r="X9" i="2"/>
  <c r="X16" i="2"/>
  <c r="X32" i="2"/>
  <c r="X35" i="2"/>
  <c r="X6" i="2"/>
  <c r="X33" i="2"/>
  <c r="X29" i="2"/>
  <c r="X5" i="2"/>
  <c r="X4" i="2"/>
  <c r="X15" i="2"/>
  <c r="X20" i="2"/>
  <c r="X25" i="2"/>
  <c r="X10" i="2"/>
  <c r="X28" i="2"/>
  <c r="X38" i="2"/>
  <c r="X17" i="2"/>
  <c r="X11" i="2"/>
  <c r="X30" i="2"/>
  <c r="X13" i="2"/>
  <c r="X37" i="2"/>
  <c r="X2" i="2"/>
  <c r="X24" i="2"/>
  <c r="X8" i="2"/>
  <c r="X26" i="2"/>
  <c r="X23" i="2"/>
  <c r="X7" i="2"/>
  <c r="X31" i="2"/>
  <c r="X27" i="2"/>
  <c r="X19" i="2"/>
  <c r="X14" i="2"/>
  <c r="X22" i="2"/>
  <c r="X36" i="2"/>
  <c r="X34" i="2"/>
  <c r="P29" i="2"/>
  <c r="P37" i="2"/>
  <c r="P12" i="2"/>
  <c r="P13" i="2"/>
  <c r="P21" i="2"/>
  <c r="P30" i="2"/>
  <c r="P18" i="2"/>
  <c r="P11" i="2"/>
  <c r="P3" i="2"/>
  <c r="W10" i="2"/>
  <c r="W28" i="2"/>
  <c r="W38" i="2"/>
  <c r="W17" i="2"/>
  <c r="W11" i="2"/>
  <c r="W30" i="2"/>
  <c r="W13" i="2"/>
  <c r="W37" i="2"/>
  <c r="W8" i="2"/>
  <c r="W26" i="2"/>
  <c r="W23" i="2"/>
  <c r="W7" i="2"/>
  <c r="W31" i="2"/>
  <c r="W27" i="2"/>
  <c r="W14" i="2"/>
  <c r="W22" i="2"/>
  <c r="W36" i="2"/>
  <c r="W2" i="2"/>
  <c r="W4" i="2"/>
  <c r="W34" i="2"/>
  <c r="W19" i="2"/>
  <c r="W24" i="2"/>
  <c r="W3" i="2"/>
  <c r="W18" i="2"/>
  <c r="W21" i="2"/>
  <c r="W12" i="2"/>
  <c r="W20" i="2"/>
  <c r="W9" i="2"/>
  <c r="W16" i="2"/>
  <c r="W32" i="2"/>
  <c r="W35" i="2"/>
  <c r="W25" i="2"/>
  <c r="W6" i="2"/>
  <c r="W33" i="2"/>
  <c r="W29" i="2"/>
  <c r="W5" i="2"/>
  <c r="W15" i="2"/>
  <c r="M17" i="4" l="1"/>
  <c r="L51" i="4"/>
  <c r="L18" i="4"/>
  <c r="L35" i="4"/>
  <c r="L49" i="4"/>
  <c r="L53" i="4"/>
  <c r="Q21" i="4"/>
  <c r="J12" i="4"/>
  <c r="Q44" i="4"/>
  <c r="L13" i="4"/>
  <c r="Q36" i="4"/>
  <c r="M39" i="4"/>
  <c r="Q26" i="4"/>
  <c r="Q33" i="4"/>
  <c r="Q27" i="4"/>
  <c r="L20" i="4"/>
  <c r="Q53" i="4"/>
  <c r="M44" i="4"/>
  <c r="J53" i="4"/>
  <c r="M24" i="4"/>
  <c r="M21" i="4"/>
  <c r="M48" i="4"/>
  <c r="Q60" i="4"/>
  <c r="L37" i="4"/>
  <c r="M56" i="4"/>
  <c r="L56" i="4"/>
  <c r="J33" i="4"/>
  <c r="Q61" i="4"/>
  <c r="L6" i="4"/>
  <c r="L16" i="4"/>
  <c r="L31" i="4"/>
  <c r="Q32" i="4"/>
  <c r="M38" i="4"/>
  <c r="N34" i="4"/>
  <c r="M28" i="4"/>
  <c r="M10" i="4"/>
  <c r="Q47" i="4"/>
  <c r="M58" i="4"/>
  <c r="L34" i="4"/>
  <c r="M18" i="4"/>
  <c r="Q56" i="4"/>
  <c r="J48" i="4"/>
  <c r="J11" i="4"/>
  <c r="L21" i="4"/>
  <c r="M33" i="4"/>
  <c r="L41" i="4"/>
  <c r="L36" i="4"/>
  <c r="M51" i="4"/>
  <c r="Q6" i="4"/>
  <c r="Q43" i="4"/>
  <c r="L43" i="4"/>
  <c r="L24" i="4"/>
  <c r="N4" i="4"/>
  <c r="J54" i="4"/>
  <c r="M5" i="4"/>
  <c r="J24" i="4"/>
  <c r="M46" i="4"/>
  <c r="M20" i="4"/>
  <c r="J55" i="4"/>
  <c r="L32" i="4"/>
  <c r="L38" i="4"/>
  <c r="Q4" i="4"/>
  <c r="J17" i="4"/>
  <c r="Q58" i="4"/>
  <c r="L19" i="4"/>
  <c r="J18" i="4"/>
  <c r="O59" i="4"/>
  <c r="N31" i="4"/>
  <c r="Q38" i="4"/>
  <c r="M30" i="4"/>
  <c r="Q22" i="4"/>
  <c r="L44" i="4"/>
  <c r="J14" i="4"/>
  <c r="I11" i="4"/>
  <c r="K52" i="4"/>
  <c r="I6" i="4"/>
  <c r="M54" i="4"/>
  <c r="M32" i="4"/>
  <c r="I38" i="4"/>
  <c r="M49" i="4"/>
  <c r="J3" i="4"/>
  <c r="I59" i="4"/>
  <c r="M37" i="4"/>
  <c r="I33" i="4"/>
  <c r="I28" i="4"/>
  <c r="I56" i="4"/>
  <c r="I5" i="4"/>
  <c r="I46" i="4"/>
  <c r="J46" i="4"/>
  <c r="J21" i="4"/>
  <c r="L46" i="4"/>
  <c r="I12" i="4"/>
  <c r="I24" i="4"/>
  <c r="M40" i="4"/>
  <c r="M35" i="4"/>
  <c r="I37" i="4"/>
  <c r="M57" i="4"/>
  <c r="I43" i="4"/>
  <c r="M13" i="4"/>
  <c r="I35" i="4"/>
  <c r="M11" i="4"/>
  <c r="J4" i="4"/>
  <c r="M36" i="4"/>
  <c r="I16" i="4"/>
  <c r="J57" i="4"/>
  <c r="L25" i="4"/>
  <c r="Q50" i="4"/>
  <c r="Q14" i="4"/>
  <c r="M6" i="4"/>
  <c r="L28" i="4"/>
  <c r="Q48" i="4"/>
  <c r="J51" i="4"/>
  <c r="L50" i="4"/>
  <c r="I51" i="4"/>
  <c r="L33" i="4"/>
  <c r="Q40" i="4"/>
  <c r="L27" i="4"/>
  <c r="N22" i="4"/>
  <c r="I20" i="4"/>
  <c r="Q57" i="4"/>
  <c r="N57" i="4"/>
  <c r="I44" i="4"/>
  <c r="M12" i="4"/>
  <c r="J36" i="4"/>
  <c r="L39" i="4"/>
  <c r="L48" i="4"/>
  <c r="J28" i="4"/>
  <c r="I19" i="4"/>
  <c r="H39" i="4"/>
  <c r="I17" i="4"/>
  <c r="I3" i="4"/>
  <c r="I47" i="4"/>
  <c r="I50" i="4"/>
  <c r="I10" i="4"/>
  <c r="I41" i="4"/>
  <c r="I22" i="4"/>
  <c r="M26" i="4"/>
  <c r="M53" i="4"/>
  <c r="I57" i="4"/>
  <c r="I21" i="4"/>
  <c r="I36" i="4"/>
  <c r="M59" i="4"/>
  <c r="M7" i="4"/>
  <c r="I13" i="4"/>
  <c r="K20" i="4"/>
  <c r="M9" i="4"/>
  <c r="M60" i="4"/>
  <c r="M3" i="4"/>
  <c r="L57" i="4"/>
  <c r="N41" i="4"/>
  <c r="L14" i="4"/>
  <c r="M23" i="4"/>
  <c r="J6" i="4"/>
  <c r="L22" i="4"/>
  <c r="I7" i="4"/>
  <c r="I55" i="4"/>
  <c r="Q52" i="4"/>
  <c r="Q30" i="4"/>
  <c r="M34" i="4"/>
  <c r="N52" i="4"/>
  <c r="L55" i="4"/>
  <c r="I8" i="4"/>
  <c r="I53" i="4"/>
  <c r="K45" i="4"/>
  <c r="O18" i="4"/>
  <c r="M27" i="4"/>
  <c r="M22" i="4"/>
  <c r="Q18" i="4"/>
  <c r="Q12" i="4"/>
  <c r="I15" i="4"/>
  <c r="H19" i="4"/>
  <c r="L26" i="4"/>
  <c r="I61" i="4"/>
  <c r="L58" i="4"/>
  <c r="Q2" i="4"/>
  <c r="I9" i="4"/>
  <c r="L9" i="4"/>
  <c r="J44" i="4"/>
  <c r="I14" i="4"/>
  <c r="Q34" i="4"/>
  <c r="Q8" i="4"/>
  <c r="J19" i="4"/>
  <c r="L23" i="4"/>
  <c r="L5" i="4"/>
  <c r="Q37" i="4"/>
  <c r="I2" i="4"/>
  <c r="M25" i="4"/>
  <c r="I30" i="4"/>
  <c r="I60" i="4"/>
  <c r="L7" i="4"/>
  <c r="AB63" i="4"/>
  <c r="AB62" i="4"/>
  <c r="P31" i="4" s="1"/>
  <c r="H56" i="4"/>
  <c r="H61" i="4"/>
  <c r="K35" i="4"/>
  <c r="K61" i="4"/>
  <c r="O52" i="4"/>
  <c r="O5" i="4"/>
  <c r="O31" i="4"/>
  <c r="K16" i="4"/>
  <c r="H29" i="4"/>
  <c r="K37" i="4"/>
  <c r="H47" i="4"/>
  <c r="K59" i="4"/>
  <c r="H52" i="4"/>
  <c r="H32" i="4"/>
  <c r="N48" i="4"/>
  <c r="N37" i="4"/>
  <c r="N44" i="4"/>
  <c r="O44" i="4"/>
  <c r="H34" i="4"/>
  <c r="N50" i="4"/>
  <c r="H3" i="4"/>
  <c r="O6" i="4"/>
  <c r="O16" i="4"/>
  <c r="N30" i="4"/>
  <c r="H35" i="4"/>
  <c r="H40" i="4"/>
  <c r="H45" i="4"/>
  <c r="O48" i="4"/>
  <c r="K8" i="4"/>
  <c r="J7" i="4"/>
  <c r="J5" i="4"/>
  <c r="K5" i="4"/>
  <c r="O2" i="4"/>
  <c r="Q28" i="4"/>
  <c r="Q54" i="4"/>
  <c r="H33" i="4"/>
  <c r="J43" i="4"/>
  <c r="J29" i="4"/>
  <c r="N53" i="4"/>
  <c r="N28" i="4"/>
  <c r="I52" i="4"/>
  <c r="J42" i="4"/>
  <c r="Q9" i="4"/>
  <c r="K50" i="4"/>
  <c r="H55" i="4"/>
  <c r="I18" i="4"/>
  <c r="I26" i="4"/>
  <c r="K47" i="4"/>
  <c r="Q19" i="4"/>
  <c r="K26" i="4"/>
  <c r="H53" i="4"/>
  <c r="K7" i="4"/>
  <c r="I31" i="4"/>
  <c r="K10" i="4"/>
  <c r="M47" i="4"/>
  <c r="J8" i="4"/>
  <c r="I23" i="4"/>
  <c r="O13" i="4"/>
  <c r="N38" i="4"/>
  <c r="I34" i="4"/>
  <c r="N23" i="4"/>
  <c r="H59" i="4"/>
  <c r="H18" i="4"/>
  <c r="M52" i="4"/>
  <c r="O10" i="4"/>
  <c r="O23" i="4"/>
  <c r="O29" i="4"/>
  <c r="O53" i="4"/>
  <c r="O27" i="4"/>
  <c r="K13" i="4"/>
  <c r="K21" i="4"/>
  <c r="K36" i="4"/>
  <c r="O32" i="4"/>
  <c r="K55" i="4"/>
  <c r="K54" i="4"/>
  <c r="H37" i="4"/>
  <c r="H26" i="4"/>
  <c r="N5" i="4"/>
  <c r="Q51" i="4"/>
  <c r="K49" i="4"/>
  <c r="K12" i="4"/>
  <c r="N17" i="4"/>
  <c r="K57" i="4"/>
  <c r="H25" i="4"/>
  <c r="M8" i="4"/>
  <c r="H28" i="4"/>
  <c r="I42" i="4"/>
  <c r="O61" i="4"/>
  <c r="H22" i="4"/>
  <c r="H49" i="4"/>
  <c r="O37" i="4"/>
  <c r="K40" i="4"/>
  <c r="O39" i="4"/>
  <c r="H13" i="4"/>
  <c r="N20" i="4"/>
  <c r="K2" i="4"/>
  <c r="N13" i="4"/>
  <c r="O33" i="4"/>
  <c r="H4" i="4"/>
  <c r="O4" i="4"/>
  <c r="N40" i="4"/>
  <c r="N3" i="4"/>
  <c r="O36" i="4"/>
  <c r="J30" i="4"/>
  <c r="N43" i="4"/>
  <c r="O49" i="4"/>
  <c r="J9" i="4"/>
  <c r="H54" i="4"/>
  <c r="O24" i="4"/>
  <c r="J15" i="4"/>
  <c r="K38" i="4"/>
  <c r="J41" i="4"/>
  <c r="K29" i="4"/>
  <c r="N39" i="4"/>
  <c r="J34" i="4"/>
  <c r="H58" i="4"/>
  <c r="K30" i="4"/>
  <c r="Q7" i="4"/>
  <c r="O58" i="4"/>
  <c r="N36" i="4"/>
  <c r="O14" i="4"/>
  <c r="O55" i="4"/>
  <c r="H24" i="4"/>
  <c r="J31" i="4"/>
  <c r="I29" i="4"/>
  <c r="J20" i="4"/>
  <c r="Q55" i="4"/>
  <c r="O51" i="4"/>
  <c r="J45" i="4"/>
  <c r="H8" i="4"/>
  <c r="K23" i="4"/>
  <c r="O30" i="4"/>
  <c r="M31" i="4"/>
  <c r="O54" i="4"/>
  <c r="N45" i="4"/>
  <c r="K31" i="4"/>
  <c r="Q5" i="4"/>
  <c r="J2" i="4"/>
  <c r="O19" i="4"/>
  <c r="K53" i="4"/>
  <c r="J60" i="4"/>
  <c r="I54" i="4"/>
  <c r="M15" i="4"/>
  <c r="M16" i="4"/>
  <c r="M45" i="4"/>
  <c r="K27" i="4"/>
  <c r="K41" i="4"/>
  <c r="J40" i="4"/>
  <c r="M41" i="4"/>
  <c r="O43" i="4"/>
  <c r="H41" i="4"/>
  <c r="P16" i="4"/>
  <c r="I27" i="4"/>
  <c r="I39" i="4"/>
  <c r="J35" i="4"/>
  <c r="J10" i="4"/>
  <c r="M2" i="4"/>
  <c r="K18" i="4"/>
  <c r="N58" i="4"/>
  <c r="H9" i="4"/>
  <c r="K42" i="4"/>
  <c r="H43" i="4"/>
  <c r="H10" i="4"/>
  <c r="O21" i="4"/>
  <c r="K4" i="4"/>
  <c r="H46" i="4"/>
  <c r="K56" i="4"/>
  <c r="N21" i="4"/>
  <c r="H30" i="4"/>
  <c r="K46" i="4"/>
  <c r="H12" i="4"/>
  <c r="O34" i="4"/>
  <c r="O35" i="4"/>
  <c r="H5" i="4"/>
  <c r="O47" i="4"/>
  <c r="N26" i="4"/>
  <c r="N14" i="4"/>
  <c r="H11" i="4"/>
  <c r="K9" i="4"/>
  <c r="H44" i="4"/>
  <c r="O28" i="4"/>
  <c r="N2" i="4"/>
  <c r="O26" i="4"/>
  <c r="J23" i="4"/>
  <c r="N7" i="4"/>
  <c r="O38" i="4"/>
  <c r="K58" i="4"/>
  <c r="O56" i="4"/>
  <c r="Q25" i="4"/>
  <c r="K15" i="4"/>
  <c r="I4" i="4"/>
  <c r="I32" i="4"/>
  <c r="H27" i="4"/>
  <c r="K34" i="4"/>
  <c r="H20" i="4"/>
  <c r="H15" i="4"/>
  <c r="M29" i="4"/>
  <c r="K32" i="4"/>
  <c r="N59" i="4"/>
  <c r="J38" i="4"/>
  <c r="O41" i="4"/>
  <c r="H60" i="4"/>
  <c r="N32" i="4"/>
  <c r="P3" i="4"/>
  <c r="J61" i="4"/>
  <c r="H21" i="4"/>
  <c r="N19" i="4"/>
  <c r="J27" i="4"/>
  <c r="O25" i="4"/>
  <c r="I48" i="4"/>
  <c r="Q31" i="4"/>
  <c r="J13" i="4"/>
  <c r="Q45" i="4"/>
  <c r="J59" i="4"/>
  <c r="Q29" i="4"/>
  <c r="Q23" i="4"/>
  <c r="Q3" i="4"/>
  <c r="O17" i="4"/>
  <c r="H42" i="4"/>
  <c r="J32" i="4"/>
  <c r="O22" i="4"/>
  <c r="H7" i="4"/>
  <c r="H48" i="4"/>
  <c r="O57" i="4"/>
  <c r="J26" i="4"/>
  <c r="O3" i="4"/>
  <c r="O45" i="4"/>
  <c r="N10" i="4"/>
  <c r="N61" i="4"/>
  <c r="O8" i="4"/>
  <c r="M19" i="4"/>
  <c r="L2" i="4"/>
  <c r="L17" i="4"/>
  <c r="H23" i="4"/>
  <c r="M61" i="4"/>
  <c r="H38" i="4"/>
  <c r="O7" i="4"/>
  <c r="K3" i="4"/>
  <c r="H14" i="4"/>
  <c r="N60" i="4"/>
  <c r="O60" i="4"/>
  <c r="K22" i="4"/>
  <c r="N18" i="4"/>
  <c r="N9" i="4"/>
  <c r="K14" i="4"/>
  <c r="N29" i="4"/>
  <c r="N49" i="4"/>
  <c r="N16" i="4"/>
  <c r="N24" i="4"/>
  <c r="K11" i="4"/>
  <c r="H57" i="4"/>
  <c r="O12" i="4"/>
  <c r="J25" i="4"/>
  <c r="N54" i="4"/>
  <c r="H17" i="4"/>
  <c r="H16" i="4"/>
  <c r="K44" i="4"/>
  <c r="J37" i="4"/>
  <c r="N15" i="4"/>
  <c r="O50" i="4"/>
  <c r="H31" i="4"/>
  <c r="N8" i="4"/>
  <c r="K24" i="4"/>
  <c r="O11" i="4"/>
  <c r="J47" i="4"/>
  <c r="J52" i="4"/>
  <c r="J16" i="4"/>
  <c r="Q59" i="4"/>
  <c r="M43" i="4"/>
  <c r="K6" i="4"/>
  <c r="H2" i="4"/>
  <c r="I25" i="4"/>
  <c r="J49" i="4"/>
  <c r="Q39" i="4"/>
  <c r="M55" i="4"/>
  <c r="I49" i="4"/>
  <c r="H6" i="4"/>
  <c r="N12" i="4"/>
  <c r="O46" i="4"/>
  <c r="O20" i="4"/>
  <c r="J58" i="4"/>
  <c r="K43" i="4"/>
  <c r="N46" i="4"/>
  <c r="H50" i="4"/>
  <c r="O15" i="4"/>
  <c r="M14" i="4"/>
  <c r="O42" i="4"/>
  <c r="L45" i="4"/>
  <c r="K48" i="4"/>
  <c r="Q24" i="4"/>
  <c r="H36" i="4"/>
  <c r="K51" i="4"/>
  <c r="K33" i="4"/>
  <c r="L60" i="4"/>
  <c r="K17" i="4"/>
  <c r="H51" i="4"/>
  <c r="Q17" i="4"/>
  <c r="K25" i="4"/>
  <c r="I58" i="4"/>
  <c r="N42" i="4"/>
  <c r="I40" i="4"/>
  <c r="K28" i="4"/>
  <c r="L59" i="4"/>
  <c r="K19" i="4"/>
  <c r="O9" i="4"/>
  <c r="L40" i="4"/>
  <c r="Z5" i="2"/>
  <c r="Z19" i="2"/>
  <c r="AD32" i="2"/>
  <c r="Z23" i="2"/>
  <c r="Z27" i="2"/>
  <c r="Z14" i="2"/>
  <c r="Z22" i="2"/>
  <c r="Z29" i="2"/>
  <c r="Z30" i="2"/>
  <c r="Z9" i="2"/>
  <c r="Z20" i="2"/>
  <c r="Z8" i="2"/>
  <c r="Z33" i="2"/>
  <c r="Z37" i="2"/>
  <c r="Z2" i="2"/>
  <c r="Z28" i="2"/>
  <c r="Z31" i="2"/>
  <c r="Z34" i="2"/>
  <c r="Z16" i="2"/>
  <c r="Z39" i="2" s="1"/>
  <c r="Z12" i="2"/>
  <c r="AD2" i="2"/>
  <c r="AD27" i="2"/>
  <c r="AD6" i="2"/>
  <c r="AD14" i="2"/>
  <c r="AD10" i="2"/>
  <c r="AD21" i="2"/>
  <c r="AD26" i="2"/>
  <c r="AD22" i="2"/>
  <c r="AD29" i="2"/>
  <c r="AD15" i="2"/>
  <c r="AD17" i="2"/>
  <c r="AD24" i="2"/>
  <c r="AD30" i="2"/>
  <c r="AD16" i="2"/>
  <c r="AD20" i="2"/>
  <c r="AD31" i="2"/>
  <c r="AD19" i="2"/>
  <c r="AD38" i="2"/>
  <c r="AD37" i="2"/>
  <c r="AD18" i="2"/>
  <c r="Z3" i="2"/>
  <c r="AD35" i="2"/>
  <c r="AD8" i="2"/>
  <c r="AD4" i="2"/>
  <c r="AD33" i="2"/>
  <c r="AD25" i="2"/>
  <c r="AD28" i="2"/>
  <c r="AD12" i="2"/>
  <c r="AD11" i="2"/>
  <c r="Z35" i="2"/>
  <c r="Z25" i="2"/>
  <c r="Z36" i="2"/>
  <c r="Z13" i="2"/>
  <c r="AD23" i="2"/>
  <c r="AD9" i="2"/>
  <c r="AD5" i="2"/>
  <c r="AD7" i="2"/>
  <c r="AD36" i="2"/>
  <c r="AD34" i="2"/>
  <c r="AD13" i="2"/>
  <c r="AD3" i="2"/>
  <c r="AA18" i="2"/>
  <c r="AC10" i="2"/>
  <c r="AC28" i="2"/>
  <c r="AC38" i="2"/>
  <c r="AC17" i="2"/>
  <c r="AC11" i="2"/>
  <c r="AC30" i="2"/>
  <c r="AC13" i="2"/>
  <c r="AC37" i="2"/>
  <c r="AC8" i="2"/>
  <c r="AC26" i="2"/>
  <c r="AC23" i="2"/>
  <c r="AC7" i="2"/>
  <c r="AC31" i="2"/>
  <c r="AC27" i="2"/>
  <c r="AC14" i="2"/>
  <c r="AC22" i="2"/>
  <c r="AC36" i="2"/>
  <c r="AC34" i="2"/>
  <c r="AC19" i="2"/>
  <c r="AC24" i="2"/>
  <c r="AC3" i="2"/>
  <c r="AC18" i="2"/>
  <c r="AC21" i="2"/>
  <c r="AC12" i="2"/>
  <c r="AC9" i="2"/>
  <c r="AC16" i="2"/>
  <c r="AC32" i="2"/>
  <c r="AC35" i="2"/>
  <c r="AC6" i="2"/>
  <c r="AC33" i="2"/>
  <c r="AC29" i="2"/>
  <c r="AC5" i="2"/>
  <c r="AC4" i="2"/>
  <c r="AC15" i="2"/>
  <c r="AC20" i="2"/>
  <c r="AC25" i="2"/>
  <c r="AC2" i="2"/>
  <c r="AB40" i="2"/>
  <c r="AB39" i="2"/>
  <c r="AA30" i="2"/>
  <c r="AA20" i="2"/>
  <c r="AA34" i="2"/>
  <c r="AA27" i="2"/>
  <c r="AA6" i="2"/>
  <c r="AA32" i="2"/>
  <c r="AA10" i="2"/>
  <c r="AA4" i="2"/>
  <c r="AA19" i="2"/>
  <c r="AA11" i="2"/>
  <c r="AA29" i="2"/>
  <c r="AA12" i="2"/>
  <c r="AA36" i="2"/>
  <c r="AA26" i="2"/>
  <c r="AA17" i="2"/>
  <c r="AA2" i="2"/>
  <c r="AA31" i="2"/>
  <c r="AA14" i="2"/>
  <c r="AA16" i="2"/>
  <c r="AA25" i="2"/>
  <c r="AA8" i="2"/>
  <c r="AA24" i="2"/>
  <c r="AA37" i="2"/>
  <c r="AA28" i="2"/>
  <c r="AA21" i="2"/>
  <c r="AA33" i="2"/>
  <c r="AA35" i="2"/>
  <c r="AA38" i="2"/>
  <c r="AA13" i="2"/>
  <c r="AA15" i="2"/>
  <c r="AA3" i="2"/>
  <c r="AA22" i="2"/>
  <c r="AA5" i="2"/>
  <c r="AA7" i="2"/>
  <c r="AA23" i="2"/>
  <c r="AA9" i="2"/>
  <c r="R30" i="2"/>
  <c r="R7" i="2"/>
  <c r="R18" i="2"/>
  <c r="R38" i="2"/>
  <c r="R29" i="2"/>
  <c r="R24" i="2"/>
  <c r="R27" i="2"/>
  <c r="R21" i="2"/>
  <c r="R17" i="2"/>
  <c r="R15" i="2"/>
  <c r="R9" i="2"/>
  <c r="R13" i="2"/>
  <c r="R4" i="2"/>
  <c r="R22" i="2"/>
  <c r="R8" i="2"/>
  <c r="R12" i="2"/>
  <c r="R14" i="2"/>
  <c r="R20" i="2"/>
  <c r="R26" i="2"/>
  <c r="R37" i="2"/>
  <c r="R16" i="2"/>
  <c r="R36" i="2"/>
  <c r="R23" i="2"/>
  <c r="R10" i="2"/>
  <c r="R32" i="2"/>
  <c r="R25" i="2"/>
  <c r="R35" i="2"/>
  <c r="R34" i="2"/>
  <c r="R5" i="2"/>
  <c r="R3" i="2"/>
  <c r="R28" i="2"/>
  <c r="R2" i="2"/>
  <c r="R33" i="2"/>
  <c r="R11" i="2"/>
  <c r="R19" i="2"/>
  <c r="R6" i="2"/>
  <c r="R31" i="2"/>
  <c r="P39" i="2"/>
  <c r="P40" i="2"/>
  <c r="X40" i="2"/>
  <c r="X39" i="2"/>
  <c r="Y39" i="2"/>
  <c r="Y40" i="2"/>
  <c r="W40" i="2"/>
  <c r="W39" i="2"/>
  <c r="Q40" i="2"/>
  <c r="Q39" i="2"/>
  <c r="S40" i="2"/>
  <c r="S39" i="2"/>
  <c r="T40" i="2"/>
  <c r="T39" i="2"/>
  <c r="V40" i="2"/>
  <c r="V39" i="2"/>
  <c r="U40" i="2"/>
  <c r="U39" i="2"/>
  <c r="P15" i="4" l="1"/>
  <c r="P48" i="4"/>
  <c r="P27" i="4"/>
  <c r="P20" i="4"/>
  <c r="P54" i="4"/>
  <c r="F54" i="4" s="1"/>
  <c r="F39" i="4"/>
  <c r="P21" i="4"/>
  <c r="F21" i="4" s="1"/>
  <c r="P7" i="4"/>
  <c r="F7" i="4" s="1"/>
  <c r="P11" i="4"/>
  <c r="F11" i="4" s="1"/>
  <c r="P52" i="4"/>
  <c r="P12" i="4"/>
  <c r="P2" i="4"/>
  <c r="P59" i="4"/>
  <c r="P55" i="4"/>
  <c r="F55" i="4" s="1"/>
  <c r="P9" i="4"/>
  <c r="F9" i="4" s="1"/>
  <c r="P49" i="4"/>
  <c r="F49" i="4" s="1"/>
  <c r="P35" i="4"/>
  <c r="F35" i="4" s="1"/>
  <c r="P4" i="4"/>
  <c r="F4" i="4" s="1"/>
  <c r="P61" i="4"/>
  <c r="F61" i="4" s="1"/>
  <c r="P28" i="4"/>
  <c r="P10" i="4"/>
  <c r="F10" i="4" s="1"/>
  <c r="P51" i="4"/>
  <c r="P47" i="4"/>
  <c r="F47" i="4" s="1"/>
  <c r="P40" i="4"/>
  <c r="P46" i="4"/>
  <c r="F46" i="4" s="1"/>
  <c r="P45" i="4"/>
  <c r="F5" i="4"/>
  <c r="F19" i="4"/>
  <c r="P33" i="4"/>
  <c r="F33" i="4" s="1"/>
  <c r="F24" i="4"/>
  <c r="P56" i="4"/>
  <c r="P38" i="4"/>
  <c r="P58" i="4"/>
  <c r="F3" i="4"/>
  <c r="P32" i="4"/>
  <c r="F32" i="4" s="1"/>
  <c r="P19" i="4"/>
  <c r="P36" i="4"/>
  <c r="F36" i="4" s="1"/>
  <c r="P43" i="4"/>
  <c r="F43" i="4" s="1"/>
  <c r="P13" i="4"/>
  <c r="F13" i="4" s="1"/>
  <c r="P44" i="4"/>
  <c r="F44" i="4" s="1"/>
  <c r="P8" i="4"/>
  <c r="P34" i="4"/>
  <c r="P39" i="4"/>
  <c r="P24" i="4"/>
  <c r="P26" i="4"/>
  <c r="F26" i="4" s="1"/>
  <c r="P41" i="4"/>
  <c r="F41" i="4" s="1"/>
  <c r="P29" i="4"/>
  <c r="F29" i="4" s="1"/>
  <c r="P22" i="4"/>
  <c r="F22" i="4" s="1"/>
  <c r="P53" i="4"/>
  <c r="F53" i="4" s="1"/>
  <c r="P6" i="4"/>
  <c r="F6" i="4" s="1"/>
  <c r="P30" i="4"/>
  <c r="F30" i="4" s="1"/>
  <c r="P5" i="4"/>
  <c r="P37" i="4"/>
  <c r="P18" i="4"/>
  <c r="P50" i="4"/>
  <c r="F50" i="4" s="1"/>
  <c r="F48" i="4"/>
  <c r="P42" i="4"/>
  <c r="F42" i="4" s="1"/>
  <c r="F8" i="4"/>
  <c r="F18" i="4"/>
  <c r="F52" i="4"/>
  <c r="F16" i="4"/>
  <c r="F40" i="4"/>
  <c r="F2" i="4"/>
  <c r="F34" i="4"/>
  <c r="F37" i="4"/>
  <c r="F12" i="4"/>
  <c r="F51" i="4"/>
  <c r="P57" i="4"/>
  <c r="F57" i="4" s="1"/>
  <c r="P25" i="4"/>
  <c r="F25" i="4" s="1"/>
  <c r="P23" i="4"/>
  <c r="F23" i="4" s="1"/>
  <c r="P14" i="4"/>
  <c r="F14" i="4" s="1"/>
  <c r="F28" i="4"/>
  <c r="F15" i="4"/>
  <c r="F56" i="4"/>
  <c r="F38" i="4"/>
  <c r="F27" i="4"/>
  <c r="F58" i="4"/>
  <c r="F59" i="4"/>
  <c r="F45" i="4"/>
  <c r="F20" i="4"/>
  <c r="F31" i="4"/>
  <c r="P60" i="4"/>
  <c r="F60" i="4" s="1"/>
  <c r="P17" i="4"/>
  <c r="F17" i="4" s="1"/>
  <c r="Z40" i="2"/>
  <c r="J7" i="2" s="1"/>
  <c r="J6" i="2"/>
  <c r="M21" i="2"/>
  <c r="M9" i="2"/>
  <c r="M33" i="2"/>
  <c r="M20" i="2"/>
  <c r="AD40" i="2"/>
  <c r="AD39" i="2"/>
  <c r="M32" i="2" s="1"/>
  <c r="H32" i="2"/>
  <c r="M13" i="2"/>
  <c r="M18" i="2"/>
  <c r="M15" i="2"/>
  <c r="G2" i="2"/>
  <c r="G34" i="2"/>
  <c r="H14" i="2"/>
  <c r="H12" i="2"/>
  <c r="G11" i="2"/>
  <c r="J27" i="2"/>
  <c r="H23" i="2"/>
  <c r="J20" i="2"/>
  <c r="H37" i="2"/>
  <c r="H3" i="2"/>
  <c r="G10" i="2"/>
  <c r="G9" i="2"/>
  <c r="J26" i="2"/>
  <c r="G5" i="2"/>
  <c r="J31" i="2"/>
  <c r="H29" i="2"/>
  <c r="G14" i="2"/>
  <c r="G24" i="2"/>
  <c r="H15" i="2"/>
  <c r="G6" i="2"/>
  <c r="G28" i="2"/>
  <c r="J8" i="2"/>
  <c r="J10" i="2"/>
  <c r="J17" i="2"/>
  <c r="G20" i="2"/>
  <c r="G35" i="2"/>
  <c r="J22" i="2"/>
  <c r="H11" i="2"/>
  <c r="G17" i="2"/>
  <c r="H21" i="2"/>
  <c r="G21" i="2"/>
  <c r="G22" i="2"/>
  <c r="H27" i="2"/>
  <c r="H18" i="2"/>
  <c r="H4" i="2"/>
  <c r="J4" i="2"/>
  <c r="H9" i="2"/>
  <c r="G36" i="2"/>
  <c r="G31" i="2"/>
  <c r="J16" i="2"/>
  <c r="AC40" i="2"/>
  <c r="AC39" i="2"/>
  <c r="H19" i="2"/>
  <c r="G13" i="2"/>
  <c r="J14" i="2"/>
  <c r="J13" i="2"/>
  <c r="H5" i="2"/>
  <c r="H13" i="2"/>
  <c r="J11" i="2"/>
  <c r="H20" i="2"/>
  <c r="G37" i="2"/>
  <c r="G29" i="2"/>
  <c r="G25" i="2"/>
  <c r="H6" i="2"/>
  <c r="G30" i="2"/>
  <c r="J23" i="2"/>
  <c r="J29" i="2"/>
  <c r="H30" i="2"/>
  <c r="J38" i="2"/>
  <c r="J12" i="2"/>
  <c r="H8" i="2"/>
  <c r="H22" i="2"/>
  <c r="G12" i="2"/>
  <c r="H34" i="2"/>
  <c r="H38" i="2"/>
  <c r="H24" i="2"/>
  <c r="G27" i="2"/>
  <c r="J36" i="2"/>
  <c r="J30" i="2"/>
  <c r="J5" i="2"/>
  <c r="J2" i="2"/>
  <c r="G18" i="2"/>
  <c r="H7" i="2"/>
  <c r="H33" i="2"/>
  <c r="G23" i="2"/>
  <c r="J25" i="2"/>
  <c r="J37" i="2"/>
  <c r="J18" i="2"/>
  <c r="L3" i="2"/>
  <c r="H16" i="2"/>
  <c r="G8" i="2"/>
  <c r="J21" i="2"/>
  <c r="H25" i="2"/>
  <c r="H36" i="2"/>
  <c r="H28" i="2"/>
  <c r="J33" i="2"/>
  <c r="H17" i="2"/>
  <c r="G15" i="2"/>
  <c r="J35" i="2"/>
  <c r="G16" i="2"/>
  <c r="J3" i="2"/>
  <c r="H35" i="2"/>
  <c r="G19" i="2"/>
  <c r="J28" i="2"/>
  <c r="H26" i="2"/>
  <c r="J34" i="2"/>
  <c r="H31" i="2"/>
  <c r="G33" i="2"/>
  <c r="G7" i="2"/>
  <c r="G26" i="2"/>
  <c r="G38" i="2"/>
  <c r="J15" i="2"/>
  <c r="G3" i="2"/>
  <c r="J9" i="2"/>
  <c r="J24" i="2"/>
  <c r="H10" i="2"/>
  <c r="H2" i="2"/>
  <c r="J32" i="2"/>
  <c r="J19" i="2"/>
  <c r="G32" i="2"/>
  <c r="G4" i="2"/>
  <c r="AA40" i="2"/>
  <c r="AA39" i="2"/>
  <c r="K21" i="2" s="1"/>
  <c r="R40" i="2"/>
  <c r="R39" i="2"/>
  <c r="L7" i="2" s="1"/>
  <c r="N37" i="2" l="1"/>
  <c r="M30" i="2"/>
  <c r="N17" i="2"/>
  <c r="M24" i="2"/>
  <c r="M7" i="2"/>
  <c r="N19" i="2"/>
  <c r="M35" i="2"/>
  <c r="M22" i="2"/>
  <c r="M28" i="2"/>
  <c r="I5" i="2"/>
  <c r="M6" i="2"/>
  <c r="M38" i="2"/>
  <c r="M8" i="2"/>
  <c r="M31" i="2"/>
  <c r="M12" i="2"/>
  <c r="N12" i="2" s="1"/>
  <c r="M25" i="2"/>
  <c r="M36" i="2"/>
  <c r="M17" i="2"/>
  <c r="M4" i="2"/>
  <c r="M37" i="2"/>
  <c r="M14" i="2"/>
  <c r="N14" i="2" s="1"/>
  <c r="M2" i="2"/>
  <c r="M29" i="2"/>
  <c r="M3" i="2"/>
  <c r="N3" i="2" s="1"/>
  <c r="M23" i="2"/>
  <c r="M26" i="2"/>
  <c r="M11" i="2"/>
  <c r="M16" i="2"/>
  <c r="M5" i="2"/>
  <c r="M27" i="2"/>
  <c r="M10" i="2"/>
  <c r="M19" i="2"/>
  <c r="M34" i="2"/>
  <c r="L22" i="2"/>
  <c r="L5" i="2"/>
  <c r="N5" i="2" s="1"/>
  <c r="L11" i="2"/>
  <c r="L16" i="2"/>
  <c r="K17" i="2"/>
  <c r="K37" i="2"/>
  <c r="K29" i="2"/>
  <c r="K36" i="2"/>
  <c r="I25" i="2"/>
  <c r="K13" i="2"/>
  <c r="K26" i="2"/>
  <c r="K4" i="2"/>
  <c r="K16" i="2"/>
  <c r="N16" i="2" s="1"/>
  <c r="K30" i="2"/>
  <c r="K6" i="2"/>
  <c r="K9" i="2"/>
  <c r="K20" i="2"/>
  <c r="K12" i="2"/>
  <c r="K27" i="2"/>
  <c r="L27" i="2"/>
  <c r="K22" i="2"/>
  <c r="K34" i="2"/>
  <c r="K35" i="2"/>
  <c r="N35" i="2" s="1"/>
  <c r="K8" i="2"/>
  <c r="K24" i="2"/>
  <c r="K3" i="2"/>
  <c r="K32" i="2"/>
  <c r="K2" i="2"/>
  <c r="L19" i="2"/>
  <c r="L25" i="2"/>
  <c r="L24" i="2"/>
  <c r="N24" i="2" s="1"/>
  <c r="I17" i="2"/>
  <c r="K28" i="2"/>
  <c r="N28" i="2" s="1"/>
  <c r="L14" i="2"/>
  <c r="K7" i="2"/>
  <c r="K23" i="2"/>
  <c r="K19" i="2"/>
  <c r="I37" i="2"/>
  <c r="I2" i="2"/>
  <c r="N2" i="2" s="1"/>
  <c r="I34" i="2"/>
  <c r="N34" i="2" s="1"/>
  <c r="I8" i="2"/>
  <c r="N8" i="2" s="1"/>
  <c r="I26" i="2"/>
  <c r="N26" i="2" s="1"/>
  <c r="I27" i="2"/>
  <c r="N27" i="2" s="1"/>
  <c r="I35" i="2"/>
  <c r="I19" i="2"/>
  <c r="I24" i="2"/>
  <c r="I10" i="2"/>
  <c r="N10" i="2" s="1"/>
  <c r="L28" i="2"/>
  <c r="L15" i="2"/>
  <c r="I6" i="2"/>
  <c r="N6" i="2" s="1"/>
  <c r="L30" i="2"/>
  <c r="N30" i="2" s="1"/>
  <c r="I33" i="2"/>
  <c r="N33" i="2" s="1"/>
  <c r="L36" i="2"/>
  <c r="L9" i="2"/>
  <c r="K11" i="2"/>
  <c r="I12" i="2"/>
  <c r="I15" i="2"/>
  <c r="N15" i="2" s="1"/>
  <c r="L34" i="2"/>
  <c r="L18" i="2"/>
  <c r="I4" i="2"/>
  <c r="N4" i="2" s="1"/>
  <c r="I11" i="2"/>
  <c r="N11" i="2" s="1"/>
  <c r="I13" i="2"/>
  <c r="N13" i="2" s="1"/>
  <c r="L4" i="2"/>
  <c r="L13" i="2"/>
  <c r="L12" i="2"/>
  <c r="I14" i="2"/>
  <c r="L35" i="2"/>
  <c r="I22" i="2"/>
  <c r="N22" i="2" s="1"/>
  <c r="L20" i="2"/>
  <c r="N20" i="2" s="1"/>
  <c r="I36" i="2"/>
  <c r="N36" i="2" s="1"/>
  <c r="K10" i="2"/>
  <c r="K18" i="2"/>
  <c r="K25" i="2"/>
  <c r="N25" i="2" s="1"/>
  <c r="I31" i="2"/>
  <c r="I3" i="2"/>
  <c r="I30" i="2"/>
  <c r="K5" i="2"/>
  <c r="K15" i="2"/>
  <c r="L8" i="2"/>
  <c r="L31" i="2"/>
  <c r="L32" i="2"/>
  <c r="L21" i="2"/>
  <c r="I9" i="2"/>
  <c r="N9" i="2" s="1"/>
  <c r="L26" i="2"/>
  <c r="I16" i="2"/>
  <c r="L37" i="2"/>
  <c r="I32" i="2"/>
  <c r="N32" i="2" s="1"/>
  <c r="K31" i="2"/>
  <c r="N31" i="2" s="1"/>
  <c r="K38" i="2"/>
  <c r="I38" i="2"/>
  <c r="N38" i="2" s="1"/>
  <c r="I23" i="2"/>
  <c r="N23" i="2" s="1"/>
  <c r="I21" i="2"/>
  <c r="N21" i="2" s="1"/>
  <c r="I29" i="2"/>
  <c r="N29" i="2" s="1"/>
  <c r="L6" i="2"/>
  <c r="L29" i="2"/>
  <c r="I28" i="2"/>
  <c r="L23" i="2"/>
  <c r="I7" i="2"/>
  <c r="N7" i="2" s="1"/>
  <c r="L38" i="2"/>
  <c r="L33" i="2"/>
  <c r="L17" i="2"/>
  <c r="I18" i="2"/>
  <c r="N18" i="2" s="1"/>
  <c r="L10" i="2"/>
  <c r="K33" i="2"/>
  <c r="I20" i="2"/>
  <c r="K14" i="2"/>
  <c r="L2" i="2"/>
</calcChain>
</file>

<file path=xl/sharedStrings.xml><?xml version="1.0" encoding="utf-8"?>
<sst xmlns="http://schemas.openxmlformats.org/spreadsheetml/2006/main" count="1130" uniqueCount="635">
  <si>
    <t>Name</t>
  </si>
  <si>
    <t>Team</t>
  </si>
  <si>
    <t>Position</t>
  </si>
  <si>
    <t>W%</t>
  </si>
  <si>
    <t>L%</t>
  </si>
  <si>
    <t>SV%</t>
  </si>
  <si>
    <t>HLD%</t>
  </si>
  <si>
    <t>BS%</t>
  </si>
  <si>
    <t>H%</t>
  </si>
  <si>
    <t>R%</t>
  </si>
  <si>
    <t>ER%</t>
  </si>
  <si>
    <t>HR%</t>
  </si>
  <si>
    <t>IBB%</t>
  </si>
  <si>
    <t>HBP%</t>
  </si>
  <si>
    <t>K%</t>
  </si>
  <si>
    <t>BB%</t>
  </si>
  <si>
    <t>Mason Miller</t>
  </si>
  <si>
    <t xml:space="preserve">SD </t>
  </si>
  <si>
    <t>RP</t>
  </si>
  <si>
    <t>0.020741901776384512</t>
  </si>
  <si>
    <t>0.5444273240883409</t>
  </si>
  <si>
    <t>0.15029250138614442</t>
  </si>
  <si>
    <t>0.40621848298025276</t>
  </si>
  <si>
    <t>Edwin Diaz</t>
  </si>
  <si>
    <t xml:space="preserve">LAD </t>
  </si>
  <si>
    <t>0.5715909090909091</t>
  </si>
  <si>
    <t>0.17771033033323613</t>
  </si>
  <si>
    <t>0.3477633419089394</t>
  </si>
  <si>
    <t>Andres Munoz</t>
  </si>
  <si>
    <t xml:space="preserve">SEA </t>
  </si>
  <si>
    <t>0.5408333333333333</t>
  </si>
  <si>
    <t>0.17523347396093944</t>
  </si>
  <si>
    <t>0.31632173565840876</t>
  </si>
  <si>
    <t>Jhoan Duran</t>
  </si>
  <si>
    <t xml:space="preserve">PHI </t>
  </si>
  <si>
    <t>0.48901098901098894</t>
  </si>
  <si>
    <t>0.1956327805036292</t>
  </si>
  <si>
    <t>0.2943354696704862</t>
  </si>
  <si>
    <t>Cade Smith</t>
  </si>
  <si>
    <t xml:space="preserve">CLE </t>
  </si>
  <si>
    <t>0.45586353944562896</t>
  </si>
  <si>
    <t>0.18319577502519416</t>
  </si>
  <si>
    <t>0.020534473278014567</t>
  </si>
  <si>
    <t>0.015271315383277709</t>
  </si>
  <si>
    <t>0.32315698611123234</t>
  </si>
  <si>
    <t>David Bednar</t>
  </si>
  <si>
    <t xml:space="preserve">NYY </t>
  </si>
  <si>
    <t>0.5015384615384616</t>
  </si>
  <si>
    <t>0.19377134872395207</t>
  </si>
  <si>
    <t>0.30258540404921175</t>
  </si>
  <si>
    <t>Aroldis Chapman</t>
  </si>
  <si>
    <t xml:space="preserve">BOS </t>
  </si>
  <si>
    <t>0.061375212224108605</t>
  </si>
  <si>
    <t>0.042050691244239595</t>
  </si>
  <si>
    <t>0.5210526315789473</t>
  </si>
  <si>
    <t>0.17253109926377247</t>
  </si>
  <si>
    <t>0.021205744372514157</t>
  </si>
  <si>
    <t>0.10953601242477184</t>
  </si>
  <si>
    <t>Devin Williams</t>
  </si>
  <si>
    <t xml:space="preserve">NYM </t>
  </si>
  <si>
    <t>0.059349385245901595</t>
  </si>
  <si>
    <t>0.1727447328480401</t>
  </si>
  <si>
    <t>0.012171198823189951</t>
  </si>
  <si>
    <t>0.32979461448390135</t>
  </si>
  <si>
    <t>0.10200753445028252</t>
  </si>
  <si>
    <t>Josh Hader</t>
  </si>
  <si>
    <t xml:space="preserve">HOU </t>
  </si>
  <si>
    <t>0.5316752429959978</t>
  </si>
  <si>
    <t>0.17225685402561325</t>
  </si>
  <si>
    <t>0.3476481462392193</t>
  </si>
  <si>
    <t>Raisel Iglesias</t>
  </si>
  <si>
    <t xml:space="preserve">ATL </t>
  </si>
  <si>
    <t>0.051181304571135046</t>
  </si>
  <si>
    <t>0.4142717497556207</t>
  </si>
  <si>
    <t>0.21533837676766376</t>
  </si>
  <si>
    <t>0.10641953019405884</t>
  </si>
  <si>
    <t>0.2630567531452487</t>
  </si>
  <si>
    <t>Carlos Estevez</t>
  </si>
  <si>
    <t xml:space="preserve">KC </t>
  </si>
  <si>
    <t>0.21458969597420208</t>
  </si>
  <si>
    <t>0.10939090234830459</t>
  </si>
  <si>
    <t>Ryan Helsley</t>
  </si>
  <si>
    <t xml:space="preserve">BAL </t>
  </si>
  <si>
    <t>0.45845286885245895</t>
  </si>
  <si>
    <t>0.1147540983606557</t>
  </si>
  <si>
    <t>0.20280547625748857</t>
  </si>
  <si>
    <t>0.27858097784568375</t>
  </si>
  <si>
    <t>Jeff Hoffman</t>
  </si>
  <si>
    <t xml:space="preserve">TOR </t>
  </si>
  <si>
    <t>0.059354670830080614</t>
  </si>
  <si>
    <t>0.42352328909705955</t>
  </si>
  <si>
    <t>0.19244049329501914</t>
  </si>
  <si>
    <t>0.1014879532442748</t>
  </si>
  <si>
    <t>0.030265267175572493</t>
  </si>
  <si>
    <t>0.2916418269230769</t>
  </si>
  <si>
    <t>Kenley Jansen</t>
  </si>
  <si>
    <t xml:space="preserve">DET </t>
  </si>
  <si>
    <t>0.060151515151515136</t>
  </si>
  <si>
    <t>0.39666666666666667</t>
  </si>
  <si>
    <t>0.2075720416922133</t>
  </si>
  <si>
    <t>0.11882308396306375</t>
  </si>
  <si>
    <t>0.10957113270099358</t>
  </si>
  <si>
    <t>0.23953749671542435</t>
  </si>
  <si>
    <t>Trevor Megill</t>
  </si>
  <si>
    <t xml:space="preserve">MIL </t>
  </si>
  <si>
    <t>0.2956284153005464</t>
  </si>
  <si>
    <t>0.13502083396696976</t>
  </si>
  <si>
    <t>0.2001856873928278</t>
  </si>
  <si>
    <t>0.027135236040891887</t>
  </si>
  <si>
    <t>0.29758406823291056</t>
  </si>
  <si>
    <t>Emilio Pagan</t>
  </si>
  <si>
    <t xml:space="preserve">CIN </t>
  </si>
  <si>
    <t>0.046103896103896064</t>
  </si>
  <si>
    <t>0.20541940480592571</t>
  </si>
  <si>
    <t>0.11844800455235471</t>
  </si>
  <si>
    <t>0.10923308277102514</t>
  </si>
  <si>
    <t>0.2665464173327077</t>
  </si>
  <si>
    <t>Daniel Palencia</t>
  </si>
  <si>
    <t xml:space="preserve">CHC </t>
  </si>
  <si>
    <t>0.46374578719306686</t>
  </si>
  <si>
    <t>0.19258976620087725</t>
  </si>
  <si>
    <t>0.10593345014148792</t>
  </si>
  <si>
    <t>0.013654815546068448</t>
  </si>
  <si>
    <t>0.26896415028802734</t>
  </si>
  <si>
    <t>Pete Fairbanks</t>
  </si>
  <si>
    <t xml:space="preserve">MIA </t>
  </si>
  <si>
    <t>0.056768905341089304</t>
  </si>
  <si>
    <t>0.4280803807509254</t>
  </si>
  <si>
    <t>0.20419225318847423</t>
  </si>
  <si>
    <t>0.24991524464651232</t>
  </si>
  <si>
    <t>Dennis Santana</t>
  </si>
  <si>
    <t xml:space="preserve">PIT </t>
  </si>
  <si>
    <t>0.052573529411764686</t>
  </si>
  <si>
    <t>0.3764705882352941</t>
  </si>
  <si>
    <t>0.21336494900448383</t>
  </si>
  <si>
    <t>0.10735372355607309</t>
  </si>
  <si>
    <t>0.2231978693868638</t>
  </si>
  <si>
    <t>Robert Suarez</t>
  </si>
  <si>
    <t>0.16138059701492538</t>
  </si>
  <si>
    <t>0.19722522257135372</t>
  </si>
  <si>
    <t>0.21405906788075396</t>
  </si>
  <si>
    <t>0.10510936189296152</t>
  </si>
  <si>
    <t>0.24909968469918628</t>
  </si>
  <si>
    <t>Ryan Walker</t>
  </si>
  <si>
    <t xml:space="preserve">SF </t>
  </si>
  <si>
    <t>0.4057142857142857</t>
  </si>
  <si>
    <t>0.21095920161896853</t>
  </si>
  <si>
    <t>0.2544805832974016</t>
  </si>
  <si>
    <t xml:space="preserve">LAA </t>
  </si>
  <si>
    <t>Matt Strahm</t>
  </si>
  <si>
    <t>0.054203323558162216</t>
  </si>
  <si>
    <t>0.028836754643206217</t>
  </si>
  <si>
    <t>0.28911922337951257</t>
  </si>
  <si>
    <t>0.20243356482810076</t>
  </si>
  <si>
    <t>0.10094310983802618</t>
  </si>
  <si>
    <t>0.011999911409039221</t>
  </si>
  <si>
    <t>0.2636417194121592</t>
  </si>
  <si>
    <t>Tyler Rogers</t>
  </si>
  <si>
    <t>0.058187599364069906</t>
  </si>
  <si>
    <t>0.29503179650238476</t>
  </si>
  <si>
    <t>0.23568739858492505</t>
  </si>
  <si>
    <t>0.10900599634776845</t>
  </si>
  <si>
    <t>0.10025670531999645</t>
  </si>
  <si>
    <t>0.025453004566928582</t>
  </si>
  <si>
    <t>0.16743812933523539</t>
  </si>
  <si>
    <t>Luke Weaver</t>
  </si>
  <si>
    <t>0.28059436858261877</t>
  </si>
  <si>
    <t>0.21416308628714636</t>
  </si>
  <si>
    <t>0.1161507734766504</t>
  </si>
  <si>
    <t>0.10641095940155415</t>
  </si>
  <si>
    <t>0.25622923727795005</t>
  </si>
  <si>
    <t>Alex Vesia</t>
  </si>
  <si>
    <t>0.029085140137493356</t>
  </si>
  <si>
    <t>0.31888512147323234</t>
  </si>
  <si>
    <t>0.1823393547580746</t>
  </si>
  <si>
    <t>0.10212356037552539</t>
  </si>
  <si>
    <t>0.032934081432365134</t>
  </si>
  <si>
    <t>0.3090725116232841</t>
  </si>
  <si>
    <t>Kyle Finnegan</t>
  </si>
  <si>
    <t>0.2201635952990086</t>
  </si>
  <si>
    <t>0.2236503322259136</t>
  </si>
  <si>
    <t>0.11350157076719572</t>
  </si>
  <si>
    <t>0.10404017857142855</t>
  </si>
  <si>
    <t>0.22028687169312164</t>
  </si>
  <si>
    <t>Garrett Whitlock</t>
  </si>
  <si>
    <t>0.2860153256704981</t>
  </si>
  <si>
    <t>0.20977282862464253</t>
  </si>
  <si>
    <t>0.2744522064099481</t>
  </si>
  <si>
    <t>Adrian Morejon</t>
  </si>
  <si>
    <t>0.2281221719457013</t>
  </si>
  <si>
    <t>0.2095105195362816</t>
  </si>
  <si>
    <t>0.24423033734382085</t>
  </si>
  <si>
    <t>Will Vest</t>
  </si>
  <si>
    <t>0.058333333333333286</t>
  </si>
  <si>
    <t>0.10650916104146572</t>
  </si>
  <si>
    <t>0.21589199614271937</t>
  </si>
  <si>
    <t>0.2117400093591103</t>
  </si>
  <si>
    <t>0.24636462408950827</t>
  </si>
  <si>
    <t>Kirby Yates</t>
  </si>
  <si>
    <t>0.19610389610389606</t>
  </si>
  <si>
    <t>0.1134322605772273</t>
  </si>
  <si>
    <t>0.10374662256276823</t>
  </si>
  <si>
    <t>0.029254353817484452</t>
  </si>
  <si>
    <t>0.2826537637988302</t>
  </si>
  <si>
    <t>0.11140863356053221</t>
  </si>
  <si>
    <t>Abner Uribe</t>
  </si>
  <si>
    <t>0.022853535353535293</t>
  </si>
  <si>
    <t>0.24382255389718074</t>
  </si>
  <si>
    <t>0.1772444595205789</t>
  </si>
  <si>
    <t>0.17702097145612153</t>
  </si>
  <si>
    <t>0.018482039155288413</t>
  </si>
  <si>
    <t>0.2896572427729232</t>
  </si>
  <si>
    <t>0.11083153230382861</t>
  </si>
  <si>
    <t>Bryan Abreu</t>
  </si>
  <si>
    <t>0.033610400682011904</t>
  </si>
  <si>
    <t>0.11959276018099543</t>
  </si>
  <si>
    <t>0.24888025444291426</t>
  </si>
  <si>
    <t>0.17866784365080984</t>
  </si>
  <si>
    <t>0.32620935467584833</t>
  </si>
  <si>
    <t>0.10160450196406799</t>
  </si>
  <si>
    <t>Seranthony Dominguez</t>
  </si>
  <si>
    <t xml:space="preserve">CWS </t>
  </si>
  <si>
    <t>0.051024065540194535</t>
  </si>
  <si>
    <t>0.33445980542754733</t>
  </si>
  <si>
    <t>0.19489124532881913</t>
  </si>
  <si>
    <t>0.11133325356354065</t>
  </si>
  <si>
    <t>0.10336653949581992</t>
  </si>
  <si>
    <t>0.26508638258132816</t>
  </si>
  <si>
    <t>0.11150315368762874</t>
  </si>
  <si>
    <t>Griffin Jax</t>
  </si>
  <si>
    <t xml:space="preserve">TB </t>
  </si>
  <si>
    <t>0.044446883230904254</t>
  </si>
  <si>
    <t>0.22043628013777264</t>
  </si>
  <si>
    <t>0.1818801918011751</t>
  </si>
  <si>
    <t>0.19660540239487606</t>
  </si>
  <si>
    <t>0.3226110921031769</t>
  </si>
  <si>
    <t>Robert Garcia</t>
  </si>
  <si>
    <t xml:space="preserve">TEX </t>
  </si>
  <si>
    <t>0.28185483870967737</t>
  </si>
  <si>
    <t>0.12006048387096772</t>
  </si>
  <si>
    <t>0.2060036585924744</t>
  </si>
  <si>
    <t>0.10303218838811262</t>
  </si>
  <si>
    <t>0.2617151189816398</t>
  </si>
  <si>
    <t>Edwin Uceta</t>
  </si>
  <si>
    <t>0.060574229691876695</t>
  </si>
  <si>
    <t>0.058898305084745736</t>
  </si>
  <si>
    <t>0.18767507002801115</t>
  </si>
  <si>
    <t>0.21280167434205316</t>
  </si>
  <si>
    <t>0.19252948599066932</t>
  </si>
  <si>
    <t>0.10476702823396622</t>
  </si>
  <si>
    <t>0.016522450267274072</t>
  </si>
  <si>
    <t>0.2906660088429268</t>
  </si>
  <si>
    <t>Riley O'Brien</t>
  </si>
  <si>
    <t xml:space="preserve">STL </t>
  </si>
  <si>
    <t>0.2606297163674212</t>
  </si>
  <si>
    <t>0.18470863755338196</t>
  </si>
  <si>
    <t>0.1972147864151108</t>
  </si>
  <si>
    <t>0.10520865546557404</t>
  </si>
  <si>
    <t>0.24121735877291428</t>
  </si>
  <si>
    <t>0.10415758896151049</t>
  </si>
  <si>
    <t>G</t>
    <phoneticPr fontId="20" type="noConversion"/>
  </si>
  <si>
    <t>TBF</t>
    <phoneticPr fontId="20" type="noConversion"/>
  </si>
  <si>
    <t>W</t>
  </si>
  <si>
    <t>W</t>
    <phoneticPr fontId="20" type="noConversion"/>
  </si>
  <si>
    <t>L</t>
  </si>
  <si>
    <t>L</t>
    <phoneticPr fontId="20" type="noConversion"/>
  </si>
  <si>
    <t>SV</t>
    <phoneticPr fontId="20" type="noConversion"/>
  </si>
  <si>
    <t>HLD</t>
    <phoneticPr fontId="20" type="noConversion"/>
  </si>
  <si>
    <t>BS</t>
  </si>
  <si>
    <t>BS</t>
    <phoneticPr fontId="20" type="noConversion"/>
  </si>
  <si>
    <t>H</t>
  </si>
  <si>
    <t>H</t>
    <phoneticPr fontId="20" type="noConversion"/>
  </si>
  <si>
    <t>R</t>
  </si>
  <si>
    <t>R</t>
    <phoneticPr fontId="20" type="noConversion"/>
  </si>
  <si>
    <t>ER</t>
  </si>
  <si>
    <t>ER</t>
    <phoneticPr fontId="20" type="noConversion"/>
  </si>
  <si>
    <t>HR</t>
  </si>
  <si>
    <t>HR</t>
    <phoneticPr fontId="20" type="noConversion"/>
  </si>
  <si>
    <t>IBB</t>
  </si>
  <si>
    <t>IBB</t>
    <phoneticPr fontId="20" type="noConversion"/>
  </si>
  <si>
    <t>HBP</t>
  </si>
  <si>
    <t>HBP</t>
    <phoneticPr fontId="20" type="noConversion"/>
  </si>
  <si>
    <t>SO</t>
    <phoneticPr fontId="20" type="noConversion"/>
  </si>
  <si>
    <t>BB</t>
    <phoneticPr fontId="20" type="noConversion"/>
  </si>
  <si>
    <t>W+</t>
    <phoneticPr fontId="20" type="noConversion"/>
  </si>
  <si>
    <t>Mean</t>
    <phoneticPr fontId="20" type="noConversion"/>
  </si>
  <si>
    <t>Standard Deviation</t>
    <phoneticPr fontId="20" type="noConversion"/>
  </si>
  <si>
    <t>SV+HLD</t>
    <phoneticPr fontId="20" type="noConversion"/>
  </si>
  <si>
    <t>SV+HLD+</t>
    <phoneticPr fontId="20" type="noConversion"/>
  </si>
  <si>
    <t>ERA</t>
    <phoneticPr fontId="20" type="noConversion"/>
  </si>
  <si>
    <t>WHIP</t>
    <phoneticPr fontId="20" type="noConversion"/>
  </si>
  <si>
    <t>K/9+</t>
    <phoneticPr fontId="20" type="noConversion"/>
  </si>
  <si>
    <t>IP</t>
    <phoneticPr fontId="20" type="noConversion"/>
  </si>
  <si>
    <t>BB/9+</t>
    <phoneticPr fontId="20" type="noConversion"/>
  </si>
  <si>
    <t>K/9</t>
    <phoneticPr fontId="20" type="noConversion"/>
  </si>
  <si>
    <t>BB/9</t>
    <phoneticPr fontId="20" type="noConversion"/>
  </si>
  <si>
    <t>Total</t>
    <phoneticPr fontId="20" type="noConversion"/>
  </si>
  <si>
    <t>K-BB%</t>
    <phoneticPr fontId="20" type="noConversion"/>
  </si>
  <si>
    <t>K-BB%+</t>
    <phoneticPr fontId="20" type="noConversion"/>
  </si>
  <si>
    <t>0.5339630200308166</t>
  </si>
  <si>
    <t>0.15087845320403453</t>
  </si>
  <si>
    <t>0.5666676136363636</t>
  </si>
  <si>
    <t>0.17991683648179763</t>
  </si>
  <si>
    <t>0.027839414189882263</t>
  </si>
  <si>
    <t>0.3355268587612657</t>
  </si>
  <si>
    <t>0.17556102900930487</t>
  </si>
  <si>
    <t>0.019558811941074068</t>
  </si>
  <si>
    <t>0.30371388656321185</t>
  </si>
  <si>
    <t>0.47608021978021975</t>
  </si>
  <si>
    <t>0.19737806053595525</t>
  </si>
  <si>
    <t>0.27931664102066117</t>
  </si>
  <si>
    <t>0.059701492537313355</t>
  </si>
  <si>
    <t>0.45086353944562896</t>
  </si>
  <si>
    <t>0.18662203211208228</t>
  </si>
  <si>
    <t>0.012330295703924049</t>
  </si>
  <si>
    <t>0.5020615384615384</t>
  </si>
  <si>
    <t>0.051315136476426736</t>
  </si>
  <si>
    <t>0.18758878987472555</t>
  </si>
  <si>
    <t>0.026538288119886413</t>
  </si>
  <si>
    <t>0.29193203077433993</t>
  </si>
  <si>
    <t>0.5170263157894737</t>
  </si>
  <si>
    <t>0.16764705882352937</t>
  </si>
  <si>
    <t>0.022319360815192212</t>
  </si>
  <si>
    <t>0.33275514705882353</t>
  </si>
  <si>
    <t>0.10983807318202868</t>
  </si>
  <si>
    <t>0.47868750000000004</t>
  </si>
  <si>
    <t>0.1726703154256085</t>
  </si>
  <si>
    <t>0.3174093305126097</t>
  </si>
  <si>
    <t>0.10219172732114325</t>
  </si>
  <si>
    <t>0.5208241852487135</t>
  </si>
  <si>
    <t>0.1694225013492959</t>
  </si>
  <si>
    <t>0.012168195868701201</t>
  </si>
  <si>
    <t>0.3366966233256464</t>
  </si>
  <si>
    <t>0.4104721407624633</t>
  </si>
  <si>
    <t>0.2150244584206848</t>
  </si>
  <si>
    <t>0.11030747728860935</t>
  </si>
  <si>
    <t>0.10283018867924526</t>
  </si>
  <si>
    <t>0.031132075471698085</t>
  </si>
  <si>
    <t>0.25510488630865985</t>
  </si>
  <si>
    <t>0.055555555555555504</t>
  </si>
  <si>
    <t>0.047619047619047554</t>
  </si>
  <si>
    <t>0.4971010989010989</t>
  </si>
  <si>
    <t>0.031550671550671504</t>
  </si>
  <si>
    <t>0.22506390492001999</t>
  </si>
  <si>
    <t>0.1289166469022584</t>
  </si>
  <si>
    <t>0.1198250191055946</t>
  </si>
  <si>
    <t>0.20611214325243096</t>
  </si>
  <si>
    <t>0.4467010758196721</t>
  </si>
  <si>
    <t>0.055122950819672084</t>
  </si>
  <si>
    <t>0.1936090225563909</t>
  </si>
  <si>
    <t>0.10150375939849621</t>
  </si>
  <si>
    <t>0.2660718557758031</t>
  </si>
  <si>
    <t>0.42129742388758784</t>
  </si>
  <si>
    <t>0.19384762746831705</t>
  </si>
  <si>
    <t>0.10747126436781605</t>
  </si>
  <si>
    <t>0.2828968045424403</t>
  </si>
  <si>
    <t>0.054545454545454494</t>
  </si>
  <si>
    <t>0.060606060606060566</t>
  </si>
  <si>
    <t>0.1965665236051502</t>
  </si>
  <si>
    <t>0.10350214592274676</t>
  </si>
  <si>
    <t>0.010291845493562199</t>
  </si>
  <si>
    <t>0.2427498540772532</t>
  </si>
  <si>
    <t>0.27386065573770485</t>
  </si>
  <si>
    <t>0.12563338301043214</t>
  </si>
  <si>
    <t>0.19054583512237006</t>
  </si>
  <si>
    <t>0.1007943323314727</t>
  </si>
  <si>
    <t>0.010989158437097399</t>
  </si>
  <si>
    <t>0.29262600546588147</t>
  </si>
  <si>
    <t>0.4110844155844156</t>
  </si>
  <si>
    <t>0.20072715433036675</t>
  </si>
  <si>
    <t>0.1160123182114174</t>
  </si>
  <si>
    <t>0.10680079227262859</t>
  </si>
  <si>
    <t>0.26640324521429287</t>
  </si>
  <si>
    <t>0.4606206066441983</t>
  </si>
  <si>
    <t>0.18594858156028365</t>
  </si>
  <si>
    <t>0.023440759282436302</t>
  </si>
  <si>
    <t>0.2752495512935125</t>
  </si>
  <si>
    <t>0.4288849814912744</t>
  </si>
  <si>
    <t>0.20572916666666663</t>
  </si>
  <si>
    <t>0.022347455533596808</t>
  </si>
  <si>
    <t>0.011541193181818149</t>
  </si>
  <si>
    <t>0.2444104991183385</t>
  </si>
  <si>
    <t>0.37707352941176475</t>
  </si>
  <si>
    <t>0.21754653796907308</t>
  </si>
  <si>
    <t>0.11753915098985515</t>
  </si>
  <si>
    <t>0.1087609573525066</t>
  </si>
  <si>
    <t>0.21862990812004893</t>
  </si>
  <si>
    <t>0.15422994402985074</t>
  </si>
  <si>
    <t>0.19846082089552242</t>
  </si>
  <si>
    <t>0.2114033171884836</t>
  </si>
  <si>
    <t>0.10926037745545175</t>
  </si>
  <si>
    <t>0.1020915502909927</t>
  </si>
  <si>
    <t>0.25135626125997024</t>
  </si>
  <si>
    <t>0.4091142857142857</t>
  </si>
  <si>
    <t>0.21506892230576435</t>
  </si>
  <si>
    <t>0.10373946229209385</t>
  </si>
  <si>
    <t>0.021855775803144212</t>
  </si>
  <si>
    <t>0.2463203031088693</t>
  </si>
  <si>
    <t>0.026529325513196443</t>
  </si>
  <si>
    <t>0.29022482893450635</t>
  </si>
  <si>
    <t>0.20666981105901278</t>
  </si>
  <si>
    <t>0.11355186860139274</t>
  </si>
  <si>
    <t>0.10425741475459865</t>
  </si>
  <si>
    <t>0.031370862580806236</t>
  </si>
  <si>
    <t>0.2589294578803562</t>
  </si>
  <si>
    <t>0.3045310015898251</t>
  </si>
  <si>
    <t>0.23075568381943576</t>
  </si>
  <si>
    <t>0.10605819594832575</t>
  </si>
  <si>
    <t>0.16752978215471825</t>
  </si>
  <si>
    <t>0.20773665612795233</t>
  </si>
  <si>
    <t>0.11443183931560344</t>
  </si>
  <si>
    <t>0.10562271402888845</t>
  </si>
  <si>
    <t>0.010563511251627251</t>
  </si>
  <si>
    <t>0.2509665646005473</t>
  </si>
  <si>
    <t>0.32998413537810684</t>
  </si>
  <si>
    <t>0.17623439362569793</t>
  </si>
  <si>
    <t>0.10098657381266074</t>
  </si>
  <si>
    <t>0.3053680735560229</t>
  </si>
  <si>
    <t>0.21689618644067793</t>
  </si>
  <si>
    <t>0.2160206718346253</t>
  </si>
  <si>
    <t>0.11184323858742459</t>
  </si>
  <si>
    <t>0.10426356589147284</t>
  </si>
  <si>
    <t>0.22665771560077516</t>
  </si>
  <si>
    <t>0.060202463054187166</t>
  </si>
  <si>
    <t>0.2848275862068965</t>
  </si>
  <si>
    <t>0.20876806043477109</t>
  </si>
  <si>
    <t>0.26781436382366147</t>
  </si>
  <si>
    <t>Tyler Holton</t>
  </si>
  <si>
    <t>0.015543032786885205</t>
  </si>
  <si>
    <t>0.20282331511839705</t>
  </si>
  <si>
    <t>0.22006068614496155</t>
  </si>
  <si>
    <t>0.1099814026329956</t>
  </si>
  <si>
    <t>0.1012822395145108</t>
  </si>
  <si>
    <t>0.028889782683769547</t>
  </si>
  <si>
    <t>0.20229875567607503</t>
  </si>
  <si>
    <t>0.23515837104072393</t>
  </si>
  <si>
    <t>0.2034089144277061</t>
  </si>
  <si>
    <t>0.24416035098617794</t>
  </si>
  <si>
    <t>0.10091152362584374</t>
  </si>
  <si>
    <t>0.22217936354869816</t>
  </si>
  <si>
    <t>0.21250230694191774</t>
  </si>
  <si>
    <t>0.10177568615043894</t>
  </si>
  <si>
    <t>0.24108974911913367</t>
  </si>
  <si>
    <t>0.18548340548340544</t>
  </si>
  <si>
    <t>0.19117101848419044</t>
  </si>
  <si>
    <t>0.11761382695125605</t>
  </si>
  <si>
    <t>0.1092103172501456</t>
  </si>
  <si>
    <t>0.012605264551665649</t>
  </si>
  <si>
    <t>0.27386388432816056</t>
  </si>
  <si>
    <t>0.11132286560732556</t>
  </si>
  <si>
    <t>0.052238805970149196</t>
  </si>
  <si>
    <t>0.24691977611940297</t>
  </si>
  <si>
    <t>0.19257877280265337</t>
  </si>
  <si>
    <t>0.17580669595515824</t>
  </si>
  <si>
    <t>0.015363741901387649</t>
  </si>
  <si>
    <t>0.2804484391536353</t>
  </si>
  <si>
    <t>0.11063001672240799</t>
  </si>
  <si>
    <t>0.10690656108597281</t>
  </si>
  <si>
    <t>0.2628506787330317</t>
  </si>
  <si>
    <t>0.18049847125457363</t>
  </si>
  <si>
    <t>0.31489966910867107</t>
  </si>
  <si>
    <t>0.10191459074733092</t>
  </si>
  <si>
    <t>0.1887034294177965</t>
  </si>
  <si>
    <t>0.10762504272530475</t>
  </si>
  <si>
    <t>0.029095505831337312</t>
  </si>
  <si>
    <t>0.013230602711632601</t>
  </si>
  <si>
    <t>0.26228919334624584</t>
  </si>
  <si>
    <t>0.11072543182961589</t>
  </si>
  <si>
    <t>0.21333409873708378</t>
  </si>
  <si>
    <t>0.18985074626865672</t>
  </si>
  <si>
    <t>0.19192538126361655</t>
  </si>
  <si>
    <t>0.3082515445800962</t>
  </si>
  <si>
    <t>0.2866754032258064</t>
  </si>
  <si>
    <t>0.1252016129032258</t>
  </si>
  <si>
    <t>0.20424458168925486</t>
  </si>
  <si>
    <t>0.10592868988391375</t>
  </si>
  <si>
    <t>0.2541169693261854</t>
  </si>
  <si>
    <t>0.18562184873949575</t>
  </si>
  <si>
    <t>0.21965452847805783</t>
  </si>
  <si>
    <t>0.19268145647455992</t>
  </si>
  <si>
    <t>0.10409934892693509</t>
  </si>
  <si>
    <t>0.012141306968893099</t>
  </si>
  <si>
    <t>0.28609337509085286</t>
  </si>
  <si>
    <t>0.25925995316159245</t>
  </si>
  <si>
    <t>0.18594847775175638</t>
  </si>
  <si>
    <t>0.20148132245598965</t>
  </si>
  <si>
    <t>0.1043768784886217</t>
  </si>
  <si>
    <t>0.020827247355478327</t>
  </si>
  <si>
    <t>0.014638793473593748</t>
  </si>
  <si>
    <t>0.2397445321831453</t>
  </si>
  <si>
    <t>0.10367518716577537</t>
  </si>
  <si>
    <t>Grant Taylor</t>
  </si>
  <si>
    <t>CHW</t>
  </si>
  <si>
    <t>0.19402173913043472</t>
  </si>
  <si>
    <t>0.18426464896370104</t>
  </si>
  <si>
    <t>0.29121110744105916</t>
  </si>
  <si>
    <t>Jason Adam</t>
  </si>
  <si>
    <t>SD</t>
  </si>
  <si>
    <t>0.2818333890933422</t>
  </si>
  <si>
    <t>0.19188241639697945</t>
  </si>
  <si>
    <t>0.1025581753737093</t>
  </si>
  <si>
    <t>0.013233934350439201</t>
  </si>
  <si>
    <t>0.2564030326469646</t>
  </si>
  <si>
    <t>Shawn Armstrong</t>
  </si>
  <si>
    <t>0.045909926470588225</t>
  </si>
  <si>
    <t>0.24705882352941178</t>
  </si>
  <si>
    <t>0.2126637015072893</t>
  </si>
  <si>
    <t>0.11073017049666414</t>
  </si>
  <si>
    <t>0.1037002718062762</t>
  </si>
  <si>
    <t>0.23563927640546162</t>
  </si>
  <si>
    <t>Matt Svanson</t>
  </si>
  <si>
    <t>0.19869621903520207</t>
  </si>
  <si>
    <t>0.21117453862996555</t>
  </si>
  <si>
    <t>0.10286987801063495</t>
  </si>
  <si>
    <t>0.22642581437955223</t>
  </si>
  <si>
    <t>Garrett Cleavinger</t>
  </si>
  <si>
    <t>0.12361363636363637</t>
  </si>
  <si>
    <t>0.27689393939393936</t>
  </si>
  <si>
    <t>0.1896977425656609</t>
  </si>
  <si>
    <t>0.2900471916289561</t>
  </si>
  <si>
    <t>Eduard Bazardo</t>
  </si>
  <si>
    <t>0.17784313725490195</t>
  </si>
  <si>
    <t>0.19867690427482124</t>
  </si>
  <si>
    <t>0.1040941576556231</t>
  </si>
  <si>
    <t>0.24986509810252439</t>
  </si>
  <si>
    <t>Brad Keller</t>
  </si>
  <si>
    <t>0.056530959752321946</t>
  </si>
  <si>
    <t>0.2821465428276574</t>
  </si>
  <si>
    <t>0.20729841011502065</t>
  </si>
  <si>
    <t>0.10976765088117765</t>
  </si>
  <si>
    <t>0.10108947809505295</t>
  </si>
  <si>
    <t>0.2175829338285874</t>
  </si>
  <si>
    <t>Lucas Erceg</t>
  </si>
  <si>
    <t>0.2283761618370694</t>
  </si>
  <si>
    <t>0.21806232775068896</t>
  </si>
  <si>
    <t>0.11091088968977456</t>
  </si>
  <si>
    <t>0.1033919864320542</t>
  </si>
  <si>
    <t>0.21493489868778165</t>
  </si>
  <si>
    <t>Gabe Speier</t>
  </si>
  <si>
    <t>0.011099999999999957</t>
  </si>
  <si>
    <t>0.27137931034482754</t>
  </si>
  <si>
    <t>0.1907626555569522</t>
  </si>
  <si>
    <t>0.2907146931582583</t>
  </si>
  <si>
    <t>Aaron Ashby</t>
  </si>
  <si>
    <t>0.062499999999999944</t>
  </si>
  <si>
    <t>0.044642857142857095</t>
  </si>
  <si>
    <t>0.017095982142857107</t>
  </si>
  <si>
    <t>0.20491071428571425</t>
  </si>
  <si>
    <t>0.19147305981216015</t>
  </si>
  <si>
    <t>0.24428674979119436</t>
  </si>
  <si>
    <t>0.11689098401598397</t>
  </si>
  <si>
    <t>Jared Koenig</t>
  </si>
  <si>
    <t>0.026606947890818806</t>
  </si>
  <si>
    <t>0.27841191066997517</t>
  </si>
  <si>
    <t>0.20188138012766985</t>
  </si>
  <si>
    <t>0.1009507905298031</t>
  </si>
  <si>
    <t>0.24142416121241506</t>
  </si>
  <si>
    <t>Jeremiah Estrada</t>
  </si>
  <si>
    <t>0.029820895522388015</t>
  </si>
  <si>
    <t>0.29360341151385916</t>
  </si>
  <si>
    <t>0.17190721338750703</t>
  </si>
  <si>
    <t>0.010416792254922001</t>
  </si>
  <si>
    <t>0.3247823768232529</t>
  </si>
  <si>
    <t>JoJo Romero</t>
  </si>
  <si>
    <t>0.19970089285714282</t>
  </si>
  <si>
    <t>0.21667649761999475</t>
  </si>
  <si>
    <t>0.10740888078025759</t>
  </si>
  <si>
    <t>0.10000137176092949</t>
  </si>
  <si>
    <t>0.2173163143527346</t>
  </si>
  <si>
    <t>Tanner Scott</t>
  </si>
  <si>
    <t>0.27987711213517663</t>
  </si>
  <si>
    <t>0.19460516889844048</t>
  </si>
  <si>
    <t>0.10187634319722265</t>
  </si>
  <si>
    <t>0.26327313605554636</t>
  </si>
  <si>
    <t>Hunter Gaddis</t>
  </si>
  <si>
    <t>0.2714565004887586</t>
  </si>
  <si>
    <t>0.11552497132728595</t>
  </si>
  <si>
    <t>0.10650609946825146</t>
  </si>
  <si>
    <t>0.012642060264831601</t>
  </si>
  <si>
    <t>Robert Stephenson</t>
  </si>
  <si>
    <t>0.19424999999999998</t>
  </si>
  <si>
    <t>0.13407407407407404</t>
  </si>
  <si>
    <t>0.20231041645384273</t>
  </si>
  <si>
    <t>0.11589539278782304</t>
  </si>
  <si>
    <t>0.1076378247692988</t>
  </si>
  <si>
    <t>0.012386352027786249</t>
  </si>
  <si>
    <t>0.2653402230542712</t>
  </si>
  <si>
    <t>Camilo Doval</t>
  </si>
  <si>
    <t>0.24374999999999997</t>
  </si>
  <si>
    <t>0.019609008930782372</t>
  </si>
  <si>
    <t>0.26016064896107693</t>
  </si>
  <si>
    <t>0.11371759857789265</t>
  </si>
  <si>
    <t>Fernando Cruz</t>
  </si>
  <si>
    <t>0.016941775014132254</t>
  </si>
  <si>
    <t>0.30418315432447707</t>
  </si>
  <si>
    <t>0.18453996983408744</t>
  </si>
  <si>
    <t>0.10690045248868775</t>
  </si>
  <si>
    <t>0.030252283787244913</t>
  </si>
  <si>
    <t>0.011651583710407198</t>
  </si>
  <si>
    <t>0.31261419615112035</t>
  </si>
  <si>
    <t>0.1107019593613933</t>
  </si>
  <si>
    <t>Matt Brash</t>
  </si>
  <si>
    <t>0.042372881355932146</t>
  </si>
  <si>
    <t>0.2719935431799838</t>
  </si>
  <si>
    <t>0.1904416553194008</t>
  </si>
  <si>
    <t>0.019572399941235392</t>
  </si>
  <si>
    <t>0.2780515348945364</t>
  </si>
  <si>
    <t>Jose A. Ferrer</t>
  </si>
  <si>
    <t>0.045985714285714255</t>
  </si>
  <si>
    <t>0.2774603174603174</t>
  </si>
  <si>
    <t>0.20621697193576521</t>
  </si>
  <si>
    <t>0.23099330975176988</t>
  </si>
  <si>
    <t>Phil Maton</t>
  </si>
  <si>
    <t>CHC</t>
  </si>
  <si>
    <t>0.26847374847374844</t>
  </si>
  <si>
    <t>0.19373025384028755</t>
  </si>
  <si>
    <t>0.025870993892709023</t>
  </si>
  <si>
    <t>0.2663746050768057</t>
  </si>
  <si>
    <t>Tony Santillan</t>
  </si>
  <si>
    <t>0.25835497835497834</t>
  </si>
  <si>
    <t>0.20616579127654716</t>
  </si>
  <si>
    <t>0.1116008221055035</t>
  </si>
  <si>
    <t>0.011863439141356399</t>
  </si>
  <si>
    <t>0.2456680715493686</t>
  </si>
  <si>
    <t>0.10486888077270021</t>
  </si>
  <si>
    <t>K</t>
    <phoneticPr fontId="20" type="noConversion"/>
  </si>
  <si>
    <t>IP</t>
  </si>
  <si>
    <t>INT(E2)+IFS(ROUND(E2-INT(E2),1)=0.2,0.67…)</t>
    <phoneticPr fontId="20" type="noConversion"/>
  </si>
  <si>
    <t>SV+H</t>
    <phoneticPr fontId="20" type="noConversion"/>
  </si>
  <si>
    <t>Std</t>
    <phoneticPr fontId="20" type="noConversion"/>
  </si>
  <si>
    <t>G</t>
  </si>
  <si>
    <t>TBF</t>
  </si>
  <si>
    <r>
      <rPr>
        <b/>
        <sz val="12"/>
        <color rgb="FF0070C0"/>
        <rFont val="新細明體"/>
        <family val="1"/>
        <charset val="136"/>
      </rPr>
      <t>8</t>
    </r>
    <r>
      <rPr>
        <sz val="12"/>
        <color theme="1"/>
        <rFont val="新細明體"/>
        <family val="1"/>
        <charset val="136"/>
        <scheme val="minor"/>
      </rPr>
      <t xml:space="preserve"> Aroldis Chapman</t>
    </r>
    <phoneticPr fontId="20" type="noConversion"/>
  </si>
  <si>
    <r>
      <rPr>
        <b/>
        <sz val="12"/>
        <color rgb="FF0070C0"/>
        <rFont val="新細明體"/>
        <family val="1"/>
        <charset val="136"/>
      </rPr>
      <t>8</t>
    </r>
    <r>
      <rPr>
        <sz val="12"/>
        <color theme="1"/>
        <rFont val="新細明體"/>
        <family val="1"/>
        <charset val="136"/>
        <scheme val="minor"/>
      </rPr>
      <t xml:space="preserve"> Josh Hader</t>
    </r>
    <phoneticPr fontId="20" type="noConversion"/>
  </si>
  <si>
    <r>
      <rPr>
        <b/>
        <sz val="12"/>
        <color rgb="FF0070C0"/>
        <rFont val="新細明體"/>
        <family val="1"/>
        <charset val="136"/>
      </rPr>
      <t>15</t>
    </r>
    <r>
      <rPr>
        <sz val="12"/>
        <color theme="1"/>
        <rFont val="新細明體"/>
        <family val="1"/>
        <charset val="136"/>
        <scheme val="minor"/>
      </rPr>
      <t xml:space="preserve"> Jeremiah Estrada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</si>
</sst>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7030A0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2" tint="-0.249977111117893"/>
      <name val="Calibri"/>
      <family val="2"/>
    </font>
    <font>
      <b/>
      <sz val="12"/>
      <color rgb="FF002060"/>
      <name val="Calibri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2060"/>
      <name val="新細明體"/>
      <family val="1"/>
      <charset val="136"/>
      <scheme val="minor"/>
    </font>
    <font>
      <b/>
      <sz val="11"/>
      <color rgb="FF002060"/>
      <name val="新細明體"/>
      <family val="1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b/>
      <sz val="12"/>
      <color theme="2" tint="-0.249977111117893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quotePrefix="1" applyFont="1" applyAlignment="1">
      <alignment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vertical="center"/>
    </xf>
    <xf numFmtId="0" fontId="33" fillId="0" borderId="0" xfId="0" applyFont="1"/>
    <xf numFmtId="0" fontId="3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4880-ACBD-4C45-8688-554FA91A1FB3}">
  <dimension ref="A1:AK83"/>
  <sheetViews>
    <sheetView workbookViewId="0">
      <selection activeCell="D25" sqref="D25"/>
    </sheetView>
  </sheetViews>
  <sheetFormatPr baseColWidth="10" defaultColWidth="9" defaultRowHeight="14"/>
  <cols>
    <col min="1" max="1" width="13.59765625" customWidth="1"/>
    <col min="30" max="35" width="9.3984375" bestFit="1" customWidth="1"/>
  </cols>
  <sheetData>
    <row r="1" spans="1:33" s="5" customFormat="1">
      <c r="A1" s="5" t="s">
        <v>0</v>
      </c>
      <c r="B1" s="5" t="s">
        <v>1</v>
      </c>
      <c r="C1" s="5" t="s">
        <v>2</v>
      </c>
      <c r="D1" s="5" t="s">
        <v>260</v>
      </c>
      <c r="E1" s="5" t="s">
        <v>292</v>
      </c>
      <c r="F1" s="5" t="s">
        <v>261</v>
      </c>
      <c r="G1" s="5" t="s">
        <v>263</v>
      </c>
      <c r="H1" s="5" t="s">
        <v>265</v>
      </c>
      <c r="I1" s="5" t="s">
        <v>266</v>
      </c>
      <c r="J1" s="5" t="s">
        <v>267</v>
      </c>
      <c r="K1" s="5" t="s">
        <v>269</v>
      </c>
      <c r="L1" s="5" t="s">
        <v>271</v>
      </c>
      <c r="M1" s="5" t="s">
        <v>273</v>
      </c>
      <c r="N1" s="5" t="s">
        <v>275</v>
      </c>
      <c r="O1" s="5" t="s">
        <v>277</v>
      </c>
      <c r="P1" s="5" t="s">
        <v>279</v>
      </c>
      <c r="Q1" s="5" t="s">
        <v>281</v>
      </c>
      <c r="R1" s="5" t="s">
        <v>282</v>
      </c>
      <c r="S1" s="5" t="s">
        <v>283</v>
      </c>
      <c r="U1" s="5" t="s">
        <v>3</v>
      </c>
      <c r="V1" s="5" t="s">
        <v>4</v>
      </c>
      <c r="W1" s="5" t="s">
        <v>5</v>
      </c>
      <c r="X1" s="5" t="s">
        <v>6</v>
      </c>
      <c r="Y1" s="5" t="s">
        <v>7</v>
      </c>
      <c r="Z1" s="5" t="s">
        <v>8</v>
      </c>
      <c r="AA1" s="5" t="s">
        <v>9</v>
      </c>
      <c r="AB1" s="5" t="s">
        <v>10</v>
      </c>
      <c r="AC1" s="5" t="s">
        <v>11</v>
      </c>
      <c r="AD1" s="5" t="s">
        <v>12</v>
      </c>
      <c r="AE1" s="5" t="s">
        <v>13</v>
      </c>
      <c r="AF1" s="5" t="s">
        <v>14</v>
      </c>
      <c r="AG1" s="5" t="s">
        <v>15</v>
      </c>
    </row>
    <row r="2" spans="1:33" s="5" customFormat="1">
      <c r="A2" s="5" t="s">
        <v>16</v>
      </c>
      <c r="B2" s="5" t="s">
        <v>17</v>
      </c>
      <c r="C2" s="5" t="s">
        <v>18</v>
      </c>
      <c r="D2" s="5">
        <v>59</v>
      </c>
      <c r="E2" s="5">
        <v>64.2</v>
      </c>
      <c r="F2" s="5">
        <v>254</v>
      </c>
      <c r="G2" s="5">
        <f>$D2*U2</f>
        <v>3.403030303030302</v>
      </c>
      <c r="H2" s="5">
        <f t="shared" ref="H2:K2" si="0">$D2*V2</f>
        <v>1.2237722048066855</v>
      </c>
      <c r="I2" s="5">
        <f t="shared" si="0"/>
        <v>32.121212121212061</v>
      </c>
      <c r="J2" s="5">
        <f t="shared" si="0"/>
        <v>2.4432601880877716</v>
      </c>
      <c r="K2" s="5">
        <f t="shared" si="0"/>
        <v>3.9999999999999982</v>
      </c>
      <c r="L2" s="5">
        <f>$F2*Z2</f>
        <v>38.174295352080577</v>
      </c>
      <c r="M2" s="5">
        <f t="shared" ref="M2:S2" si="1">$F2*AA2</f>
        <v>18.934815533671657</v>
      </c>
      <c r="N2" s="5">
        <f t="shared" si="1"/>
        <v>17.717122993461327</v>
      </c>
      <c r="O2" s="5">
        <f t="shared" si="1"/>
        <v>6.1266875606535089</v>
      </c>
      <c r="P2" s="5">
        <f t="shared" si="1"/>
        <v>1.9770094614908296</v>
      </c>
      <c r="Q2" s="5">
        <f t="shared" si="1"/>
        <v>2.0490732933483713</v>
      </c>
      <c r="R2" s="5">
        <f t="shared" si="1"/>
        <v>103.17949467698401</v>
      </c>
      <c r="S2" s="5">
        <f t="shared" si="1"/>
        <v>23.882179609376237</v>
      </c>
      <c r="U2" s="5">
        <v>5.7678479712378002E-2</v>
      </c>
      <c r="V2" s="6" t="s">
        <v>19</v>
      </c>
      <c r="W2" s="6" t="s">
        <v>20</v>
      </c>
      <c r="X2" s="5">
        <v>4.14111896286063E-2</v>
      </c>
      <c r="Y2" s="5">
        <v>6.7796610169491497E-2</v>
      </c>
      <c r="Z2" s="6" t="s">
        <v>21</v>
      </c>
      <c r="AA2" s="5">
        <v>7.4546517849101004E-2</v>
      </c>
      <c r="AB2" s="5">
        <v>6.9752452730162701E-2</v>
      </c>
      <c r="AC2" s="5">
        <v>2.4120817167927199E-2</v>
      </c>
      <c r="AD2" s="5">
        <v>7.7835018168930297E-3</v>
      </c>
      <c r="AE2" s="5">
        <v>8.0672176903479192E-3</v>
      </c>
      <c r="AF2" s="6" t="s">
        <v>22</v>
      </c>
      <c r="AG2" s="5">
        <v>9.4024329170772594E-2</v>
      </c>
    </row>
    <row r="3" spans="1:33" s="5" customFormat="1">
      <c r="A3" s="5" t="s">
        <v>23</v>
      </c>
      <c r="B3" s="5" t="s">
        <v>24</v>
      </c>
      <c r="C3" s="5" t="s">
        <v>18</v>
      </c>
      <c r="D3" s="5">
        <v>64</v>
      </c>
      <c r="E3" s="5">
        <v>65.2</v>
      </c>
      <c r="F3" s="5">
        <v>265</v>
      </c>
      <c r="G3" s="5">
        <f t="shared" ref="G3:G38" si="2">$D3*U3</f>
        <v>4.4090909090909056</v>
      </c>
      <c r="H3" s="5">
        <f t="shared" ref="H3:H38" si="3">$D3*V3</f>
        <v>2.3834130781499137</v>
      </c>
      <c r="I3" s="5">
        <f t="shared" ref="I3:I38" si="4">$D3*W3</f>
        <v>36.581818181818178</v>
      </c>
      <c r="J3" s="5">
        <f t="shared" ref="J3:J38" si="5">$D3*X3</f>
        <v>3.0464114832535873</v>
      </c>
      <c r="K3" s="5">
        <f t="shared" ref="K3:K38" si="6">$D3*Y3</f>
        <v>5</v>
      </c>
      <c r="L3" s="5">
        <f t="shared" ref="L3:L38" si="7">$F3*Z3</f>
        <v>47.093237538307541</v>
      </c>
      <c r="M3" s="5">
        <f t="shared" ref="M3:M38" si="8">$F3*AA3</f>
        <v>23.718878772604079</v>
      </c>
      <c r="N3" s="5">
        <f t="shared" ref="N3:N38" si="9">$F3*AB3</f>
        <v>21.601945372062236</v>
      </c>
      <c r="O3" s="5">
        <f t="shared" ref="O3:O38" si="10">$F3*AC3</f>
        <v>6.8374173019973226</v>
      </c>
      <c r="P3" s="5">
        <f t="shared" ref="P3:P38" si="11">$F3*AD3</f>
        <v>0.99038395588415751</v>
      </c>
      <c r="Q3" s="5">
        <f t="shared" ref="Q3:Q38" si="12">$F3*AE3</f>
        <v>4.5982814567449886</v>
      </c>
      <c r="R3" s="5">
        <f t="shared" ref="R3:R38" si="13">$F3*AF3</f>
        <v>92.157285605868836</v>
      </c>
      <c r="S3" s="5">
        <f t="shared" ref="S3:S38" si="14">$F3*AG3</f>
        <v>23.052586643055882</v>
      </c>
      <c r="U3" s="5">
        <v>6.88920454545454E-2</v>
      </c>
      <c r="V3" s="5">
        <v>3.7240829346092401E-2</v>
      </c>
      <c r="W3" s="6" t="s">
        <v>25</v>
      </c>
      <c r="X3" s="5">
        <v>4.7600179425837302E-2</v>
      </c>
      <c r="Y3" s="5">
        <v>7.8125E-2</v>
      </c>
      <c r="Z3" s="6" t="s">
        <v>26</v>
      </c>
      <c r="AA3" s="5">
        <v>8.9505202915487095E-2</v>
      </c>
      <c r="AB3" s="5">
        <v>8.1516774988914104E-2</v>
      </c>
      <c r="AC3" s="5">
        <v>2.58015747245182E-2</v>
      </c>
      <c r="AD3" s="5">
        <v>3.7372979467326698E-3</v>
      </c>
      <c r="AE3" s="5">
        <v>1.7352005497150901E-2</v>
      </c>
      <c r="AF3" s="6" t="s">
        <v>27</v>
      </c>
      <c r="AG3" s="5">
        <v>8.6990892992663701E-2</v>
      </c>
    </row>
    <row r="4" spans="1:33" s="5" customFormat="1">
      <c r="A4" s="5" t="s">
        <v>28</v>
      </c>
      <c r="B4" s="5" t="s">
        <v>29</v>
      </c>
      <c r="C4" s="5" t="s">
        <v>18</v>
      </c>
      <c r="D4" s="5">
        <v>60</v>
      </c>
      <c r="E4" s="5">
        <v>61.2</v>
      </c>
      <c r="F4" s="5">
        <v>253</v>
      </c>
      <c r="G4" s="5">
        <f t="shared" si="2"/>
        <v>3.8249999999999944</v>
      </c>
      <c r="H4" s="5">
        <f t="shared" si="3"/>
        <v>2.1864919354838701</v>
      </c>
      <c r="I4" s="5">
        <f t="shared" si="4"/>
        <v>32.449999999999982</v>
      </c>
      <c r="J4" s="5">
        <f t="shared" si="5"/>
        <v>2.9243951612903221</v>
      </c>
      <c r="K4" s="5">
        <f t="shared" si="6"/>
        <v>4.9999999999999982</v>
      </c>
      <c r="L4" s="5">
        <f t="shared" si="7"/>
        <v>44.334068912117566</v>
      </c>
      <c r="M4" s="5">
        <f t="shared" si="8"/>
        <v>21.773968457729669</v>
      </c>
      <c r="N4" s="5">
        <f t="shared" si="9"/>
        <v>19.765062045357258</v>
      </c>
      <c r="O4" s="5">
        <f t="shared" si="10"/>
        <v>4.9978299407054125</v>
      </c>
      <c r="P4" s="5">
        <f t="shared" si="11"/>
        <v>1.9828320802004922</v>
      </c>
      <c r="Q4" s="5">
        <f t="shared" si="12"/>
        <v>3.5275872608349901</v>
      </c>
      <c r="R4" s="5">
        <f t="shared" si="13"/>
        <v>80.029399121577214</v>
      </c>
      <c r="S4" s="5">
        <f t="shared" si="14"/>
        <v>24.447682459583195</v>
      </c>
      <c r="U4" s="5">
        <v>6.3749999999999904E-2</v>
      </c>
      <c r="V4" s="5">
        <v>3.6441532258064499E-2</v>
      </c>
      <c r="W4" s="6" t="s">
        <v>30</v>
      </c>
      <c r="X4" s="5">
        <v>4.87399193548387E-2</v>
      </c>
      <c r="Y4" s="5">
        <v>8.3333333333333301E-2</v>
      </c>
      <c r="Z4" s="6" t="s">
        <v>31</v>
      </c>
      <c r="AA4" s="5">
        <v>8.6063116433714101E-2</v>
      </c>
      <c r="AB4" s="5">
        <v>7.8122774882835005E-2</v>
      </c>
      <c r="AC4" s="5">
        <v>1.9754268540337599E-2</v>
      </c>
      <c r="AD4" s="5">
        <v>7.8372809494090603E-3</v>
      </c>
      <c r="AE4" s="5">
        <v>1.39430326515217E-2</v>
      </c>
      <c r="AF4" s="6" t="s">
        <v>32</v>
      </c>
      <c r="AG4" s="5">
        <v>9.6631155966731996E-2</v>
      </c>
    </row>
    <row r="5" spans="1:33" s="5" customFormat="1">
      <c r="A5" s="5" t="s">
        <v>33</v>
      </c>
      <c r="B5" s="5" t="s">
        <v>34</v>
      </c>
      <c r="C5" s="5" t="s">
        <v>18</v>
      </c>
      <c r="D5" s="5">
        <v>65</v>
      </c>
      <c r="E5" s="5">
        <v>66.099999999999994</v>
      </c>
      <c r="F5" s="5">
        <v>271</v>
      </c>
      <c r="G5" s="5">
        <f t="shared" si="2"/>
        <v>4.6571428571428539</v>
      </c>
      <c r="H5" s="5">
        <f t="shared" si="3"/>
        <v>2.8701298701298668</v>
      </c>
      <c r="I5" s="5">
        <f t="shared" si="4"/>
        <v>31.785714285714221</v>
      </c>
      <c r="J5" s="5">
        <f t="shared" si="5"/>
        <v>2.9266233766233682</v>
      </c>
      <c r="K5" s="5">
        <f t="shared" si="6"/>
        <v>3.9999999999999973</v>
      </c>
      <c r="L5" s="5">
        <f t="shared" si="7"/>
        <v>53.016483516483461</v>
      </c>
      <c r="M5" s="5">
        <f t="shared" si="8"/>
        <v>21.964210526315746</v>
      </c>
      <c r="N5" s="5">
        <f t="shared" si="9"/>
        <v>19.983859649122774</v>
      </c>
      <c r="O5" s="5">
        <f t="shared" si="10"/>
        <v>3.9263157894736702</v>
      </c>
      <c r="P5" s="5">
        <f t="shared" si="11"/>
        <v>1.9759552727973735</v>
      </c>
      <c r="Q5" s="5">
        <f t="shared" si="12"/>
        <v>3.7705263157894606</v>
      </c>
      <c r="R5" s="5">
        <f t="shared" si="13"/>
        <v>79.764912280701708</v>
      </c>
      <c r="S5" s="5">
        <f t="shared" si="14"/>
        <v>20.833684210526293</v>
      </c>
      <c r="U5" s="5">
        <v>7.1648351648351594E-2</v>
      </c>
      <c r="V5" s="5">
        <v>4.4155844155844101E-2</v>
      </c>
      <c r="W5" s="6" t="s">
        <v>35</v>
      </c>
      <c r="X5" s="5">
        <v>4.5024975024974899E-2</v>
      </c>
      <c r="Y5" s="5">
        <v>6.15384615384615E-2</v>
      </c>
      <c r="Z5" s="6" t="s">
        <v>36</v>
      </c>
      <c r="AA5" s="5">
        <v>8.1048747329578397E-2</v>
      </c>
      <c r="AB5" s="5">
        <v>7.3741179517058206E-2</v>
      </c>
      <c r="AC5" s="5">
        <v>1.44882501456593E-2</v>
      </c>
      <c r="AD5" s="5">
        <v>7.2913478701010096E-3</v>
      </c>
      <c r="AE5" s="5">
        <v>1.39133812390755E-2</v>
      </c>
      <c r="AF5" s="6" t="s">
        <v>37</v>
      </c>
      <c r="AG5" s="5">
        <v>7.6877063507477097E-2</v>
      </c>
    </row>
    <row r="6" spans="1:33" s="5" customFormat="1">
      <c r="A6" s="5" t="s">
        <v>38</v>
      </c>
      <c r="B6" s="5" t="s">
        <v>39</v>
      </c>
      <c r="C6" s="5" t="s">
        <v>18</v>
      </c>
      <c r="D6" s="5">
        <v>67</v>
      </c>
      <c r="E6" s="5">
        <v>69</v>
      </c>
      <c r="F6" s="5">
        <v>277</v>
      </c>
      <c r="G6" s="5">
        <f t="shared" si="2"/>
        <v>4.5628571428571396</v>
      </c>
      <c r="H6" s="5">
        <f t="shared" si="3"/>
        <v>2.9136554621848676</v>
      </c>
      <c r="I6" s="5">
        <f t="shared" si="4"/>
        <v>30.542857142857077</v>
      </c>
      <c r="J6" s="5">
        <f t="shared" si="5"/>
        <v>3.4526050420168013</v>
      </c>
      <c r="K6" s="5">
        <f t="shared" si="6"/>
        <v>4.9999999999999938</v>
      </c>
      <c r="L6" s="5">
        <f t="shared" si="7"/>
        <v>50.745229681978735</v>
      </c>
      <c r="M6" s="5">
        <f t="shared" si="8"/>
        <v>23.315832868390039</v>
      </c>
      <c r="N6" s="5">
        <f t="shared" si="9"/>
        <v>21.348262351993046</v>
      </c>
      <c r="O6" s="5">
        <f t="shared" si="10"/>
        <v>5.6880490980100165</v>
      </c>
      <c r="P6" s="5">
        <f t="shared" si="11"/>
        <v>1.9760510817680033</v>
      </c>
      <c r="Q6" s="5">
        <f t="shared" si="12"/>
        <v>4.2301543611679229</v>
      </c>
      <c r="R6" s="5">
        <f t="shared" si="13"/>
        <v>89.514485152811261</v>
      </c>
      <c r="S6" s="5">
        <f t="shared" si="14"/>
        <v>21.427789969623685</v>
      </c>
      <c r="U6" s="5">
        <v>6.8102345415778198E-2</v>
      </c>
      <c r="V6" s="5">
        <v>4.3487394957983101E-2</v>
      </c>
      <c r="W6" s="6" t="s">
        <v>40</v>
      </c>
      <c r="X6" s="5">
        <v>5.1531418537564197E-2</v>
      </c>
      <c r="Y6" s="5">
        <v>7.4626865671641701E-2</v>
      </c>
      <c r="Z6" s="6" t="s">
        <v>41</v>
      </c>
      <c r="AA6" s="5">
        <v>8.4172681835343099E-2</v>
      </c>
      <c r="AB6" s="5">
        <v>7.7069539176870205E-2</v>
      </c>
      <c r="AC6" s="6" t="s">
        <v>42</v>
      </c>
      <c r="AD6" s="5">
        <v>7.1337584179350299E-3</v>
      </c>
      <c r="AE6" s="6" t="s">
        <v>43</v>
      </c>
      <c r="AF6" s="6" t="s">
        <v>44</v>
      </c>
      <c r="AG6" s="5">
        <v>7.7356642489616198E-2</v>
      </c>
    </row>
    <row r="7" spans="1:33" s="5" customFormat="1">
      <c r="A7" s="5" t="s">
        <v>45</v>
      </c>
      <c r="B7" s="5" t="s">
        <v>46</v>
      </c>
      <c r="C7" s="5" t="s">
        <v>18</v>
      </c>
      <c r="D7" s="5">
        <v>62</v>
      </c>
      <c r="E7" s="5">
        <v>63.2</v>
      </c>
      <c r="F7" s="5">
        <v>259</v>
      </c>
      <c r="G7" s="5">
        <f t="shared" si="2"/>
        <v>4.0615384615384569</v>
      </c>
      <c r="H7" s="5">
        <f t="shared" si="3"/>
        <v>3.621538461538456</v>
      </c>
      <c r="I7" s="5">
        <f t="shared" si="4"/>
        <v>31.095384615384585</v>
      </c>
      <c r="J7" s="5">
        <f t="shared" si="5"/>
        <v>2.9723076923076879</v>
      </c>
      <c r="K7" s="5">
        <f t="shared" si="6"/>
        <v>3.9999999999999956</v>
      </c>
      <c r="L7" s="5">
        <f t="shared" si="7"/>
        <v>50.186779319503565</v>
      </c>
      <c r="M7" s="5">
        <f t="shared" si="8"/>
        <v>25.01455967176069</v>
      </c>
      <c r="N7" s="5">
        <f t="shared" si="9"/>
        <v>22.99611999762142</v>
      </c>
      <c r="O7" s="5">
        <f t="shared" si="10"/>
        <v>7.0410313968008262</v>
      </c>
      <c r="P7" s="5">
        <f t="shared" si="11"/>
        <v>1.9819694630296687</v>
      </c>
      <c r="Q7" s="5">
        <f t="shared" si="12"/>
        <v>2.0184396741392527</v>
      </c>
      <c r="R7" s="5">
        <f t="shared" si="13"/>
        <v>78.369619648745655</v>
      </c>
      <c r="S7" s="5">
        <f t="shared" si="14"/>
        <v>21.711834310697252</v>
      </c>
      <c r="U7" s="5">
        <v>6.55086848635235E-2</v>
      </c>
      <c r="V7" s="5">
        <v>5.8411910669975101E-2</v>
      </c>
      <c r="W7" s="6" t="s">
        <v>47</v>
      </c>
      <c r="X7" s="5">
        <v>4.7940446650124001E-2</v>
      </c>
      <c r="Y7" s="5">
        <v>6.4516129032257993E-2</v>
      </c>
      <c r="Z7" s="6" t="s">
        <v>48</v>
      </c>
      <c r="AA7" s="5">
        <v>9.6581311473979498E-2</v>
      </c>
      <c r="AB7" s="5">
        <v>8.8788108098924401E-2</v>
      </c>
      <c r="AC7" s="5">
        <v>2.71854494084974E-2</v>
      </c>
      <c r="AD7" s="5">
        <v>7.6523917491492996E-3</v>
      </c>
      <c r="AE7" s="5">
        <v>7.7932033750550299E-3</v>
      </c>
      <c r="AF7" s="6" t="s">
        <v>49</v>
      </c>
      <c r="AG7" s="5">
        <v>8.3829476103078199E-2</v>
      </c>
    </row>
    <row r="8" spans="1:33" s="5" customFormat="1">
      <c r="A8" s="5" t="s">
        <v>50</v>
      </c>
      <c r="B8" s="5" t="s">
        <v>51</v>
      </c>
      <c r="C8" s="5" t="s">
        <v>18</v>
      </c>
      <c r="D8" s="5">
        <v>57</v>
      </c>
      <c r="E8" s="5">
        <v>57.1</v>
      </c>
      <c r="F8" s="5">
        <v>234</v>
      </c>
      <c r="G8" s="5">
        <f t="shared" si="2"/>
        <v>3.4983870967741901</v>
      </c>
      <c r="H8" s="5">
        <f t="shared" si="3"/>
        <v>2.3968894009216513</v>
      </c>
      <c r="I8" s="5">
        <f t="shared" si="4"/>
        <v>29.699999999999978</v>
      </c>
      <c r="J8" s="5">
        <f t="shared" si="5"/>
        <v>2.4587557603686601</v>
      </c>
      <c r="K8" s="5">
        <f t="shared" si="6"/>
        <v>3.9999999999999982</v>
      </c>
      <c r="L8" s="5">
        <f t="shared" si="7"/>
        <v>40.372277227722648</v>
      </c>
      <c r="M8" s="5">
        <f t="shared" si="8"/>
        <v>20.351222153465322</v>
      </c>
      <c r="N8" s="5">
        <f t="shared" si="9"/>
        <v>18.806389232673251</v>
      </c>
      <c r="O8" s="5">
        <f t="shared" si="10"/>
        <v>4.9621441831682995</v>
      </c>
      <c r="P8" s="5">
        <f t="shared" si="11"/>
        <v>0.9753124999999867</v>
      </c>
      <c r="Q8" s="5">
        <f t="shared" si="12"/>
        <v>1.5448329207920675</v>
      </c>
      <c r="R8" s="5">
        <f t="shared" si="13"/>
        <v>80.674350611531736</v>
      </c>
      <c r="S8" s="5">
        <f t="shared" si="14"/>
        <v>25.631426907396413</v>
      </c>
      <c r="U8" s="6" t="s">
        <v>52</v>
      </c>
      <c r="V8" s="6" t="s">
        <v>53</v>
      </c>
      <c r="W8" s="6" t="s">
        <v>54</v>
      </c>
      <c r="X8" s="5">
        <v>4.3136065971379998E-2</v>
      </c>
      <c r="Y8" s="5">
        <v>7.0175438596491196E-2</v>
      </c>
      <c r="Z8" s="6" t="s">
        <v>55</v>
      </c>
      <c r="AA8" s="5">
        <v>8.6971034843868894E-2</v>
      </c>
      <c r="AB8" s="5">
        <v>8.0369184755013895E-2</v>
      </c>
      <c r="AC8" s="6" t="s">
        <v>56</v>
      </c>
      <c r="AD8" s="5">
        <v>4.1680021367520798E-3</v>
      </c>
      <c r="AE8" s="5">
        <v>6.6018500888549896E-3</v>
      </c>
      <c r="AF8" s="5">
        <v>0.34476218210056297</v>
      </c>
      <c r="AG8" s="6" t="s">
        <v>57</v>
      </c>
    </row>
    <row r="9" spans="1:33" s="5" customFormat="1">
      <c r="A9" s="5" t="s">
        <v>58</v>
      </c>
      <c r="B9" s="5" t="s">
        <v>59</v>
      </c>
      <c r="C9" s="5" t="s">
        <v>18</v>
      </c>
      <c r="D9" s="5">
        <v>64</v>
      </c>
      <c r="E9" s="5">
        <v>64.099999999999994</v>
      </c>
      <c r="F9" s="5">
        <v>263</v>
      </c>
      <c r="G9" s="5">
        <f t="shared" si="2"/>
        <v>4.5</v>
      </c>
      <c r="H9" s="5">
        <f t="shared" si="3"/>
        <v>3.7983606557376959</v>
      </c>
      <c r="I9" s="5">
        <f t="shared" si="4"/>
        <v>30.4</v>
      </c>
      <c r="J9" s="5">
        <f t="shared" si="5"/>
        <v>4.0295081967213058</v>
      </c>
      <c r="K9" s="5">
        <f t="shared" si="6"/>
        <v>4</v>
      </c>
      <c r="L9" s="5">
        <f t="shared" si="7"/>
        <v>45.431864739034523</v>
      </c>
      <c r="M9" s="5">
        <f t="shared" si="8"/>
        <v>24.769674185463632</v>
      </c>
      <c r="N9" s="5">
        <f t="shared" si="9"/>
        <v>22.635657325130996</v>
      </c>
      <c r="O9" s="5">
        <f t="shared" si="10"/>
        <v>5.8260195944406323</v>
      </c>
      <c r="P9" s="5">
        <f t="shared" si="11"/>
        <v>0.99548020995884112</v>
      </c>
      <c r="Q9" s="5">
        <f t="shared" si="12"/>
        <v>3.2010252904989436</v>
      </c>
      <c r="R9" s="5">
        <f t="shared" si="13"/>
        <v>86.735983609265972</v>
      </c>
      <c r="S9" s="5">
        <f t="shared" si="14"/>
        <v>26.827981560424167</v>
      </c>
      <c r="U9" s="5">
        <v>7.03125E-2</v>
      </c>
      <c r="V9" s="6" t="s">
        <v>60</v>
      </c>
      <c r="W9" s="5">
        <v>0.47499999999999998</v>
      </c>
      <c r="X9" s="5">
        <v>6.2961065573770403E-2</v>
      </c>
      <c r="Y9" s="5">
        <v>6.25E-2</v>
      </c>
      <c r="Z9" s="6" t="s">
        <v>61</v>
      </c>
      <c r="AA9" s="5">
        <v>9.4181270667162101E-2</v>
      </c>
      <c r="AB9" s="5">
        <v>8.6067138118368802E-2</v>
      </c>
      <c r="AC9" s="5">
        <v>2.2152165758329401E-2</v>
      </c>
      <c r="AD9" s="5">
        <v>3.7850958553568102E-3</v>
      </c>
      <c r="AE9" s="6" t="s">
        <v>62</v>
      </c>
      <c r="AF9" s="6" t="s">
        <v>63</v>
      </c>
      <c r="AG9" s="6" t="s">
        <v>64</v>
      </c>
    </row>
    <row r="10" spans="1:33" s="5" customFormat="1">
      <c r="A10" s="5" t="s">
        <v>65</v>
      </c>
      <c r="B10" s="5" t="s">
        <v>66</v>
      </c>
      <c r="C10" s="5" t="s">
        <v>18</v>
      </c>
      <c r="D10" s="5">
        <v>53</v>
      </c>
      <c r="E10" s="5">
        <v>56</v>
      </c>
      <c r="F10" s="5">
        <v>225</v>
      </c>
      <c r="G10" s="5">
        <f t="shared" si="2"/>
        <v>3.6090909090909031</v>
      </c>
      <c r="H10" s="5">
        <f t="shared" si="3"/>
        <v>2.8373737373737304</v>
      </c>
      <c r="I10" s="5">
        <f t="shared" si="4"/>
        <v>28.178787878787841</v>
      </c>
      <c r="J10" s="5">
        <f t="shared" si="5"/>
        <v>1.8744107744107699</v>
      </c>
      <c r="K10" s="5">
        <f t="shared" si="6"/>
        <v>2.9999999999999969</v>
      </c>
      <c r="L10" s="5">
        <f t="shared" si="7"/>
        <v>38.757792155762928</v>
      </c>
      <c r="M10" s="5">
        <f t="shared" si="8"/>
        <v>21.754499136734477</v>
      </c>
      <c r="N10" s="5">
        <f t="shared" si="9"/>
        <v>19.790285723958128</v>
      </c>
      <c r="O10" s="5">
        <f t="shared" si="10"/>
        <v>7.0050052473001649</v>
      </c>
      <c r="P10" s="5">
        <f t="shared" si="11"/>
        <v>0.96081148584410836</v>
      </c>
      <c r="Q10" s="5">
        <f t="shared" si="12"/>
        <v>2.1302650732929274</v>
      </c>
      <c r="R10" s="5">
        <f t="shared" si="13"/>
        <v>78.220832903824274</v>
      </c>
      <c r="S10" s="5">
        <f t="shared" si="14"/>
        <v>21.418023915060299</v>
      </c>
      <c r="U10" s="5">
        <v>6.8096054888507604E-2</v>
      </c>
      <c r="V10" s="5">
        <v>5.3535353535353401E-2</v>
      </c>
      <c r="W10" s="6" t="s">
        <v>67</v>
      </c>
      <c r="X10" s="5">
        <v>3.5366241026618297E-2</v>
      </c>
      <c r="Y10" s="5">
        <v>5.6603773584905599E-2</v>
      </c>
      <c r="Z10" s="6" t="s">
        <v>68</v>
      </c>
      <c r="AA10" s="5">
        <v>9.6686662829931005E-2</v>
      </c>
      <c r="AB10" s="5">
        <v>8.7956825439813896E-2</v>
      </c>
      <c r="AC10" s="5">
        <v>3.1133356654667401E-2</v>
      </c>
      <c r="AD10" s="5">
        <v>4.2702732704182596E-3</v>
      </c>
      <c r="AE10" s="5">
        <v>9.4678447701907892E-3</v>
      </c>
      <c r="AF10" s="6" t="s">
        <v>69</v>
      </c>
      <c r="AG10" s="5">
        <v>9.5191217400267994E-2</v>
      </c>
    </row>
    <row r="11" spans="1:33" s="5" customFormat="1">
      <c r="A11" s="5" t="s">
        <v>70</v>
      </c>
      <c r="B11" s="5" t="s">
        <v>71</v>
      </c>
      <c r="C11" s="5" t="s">
        <v>18</v>
      </c>
      <c r="D11" s="5">
        <v>62</v>
      </c>
      <c r="E11" s="5">
        <v>63.2</v>
      </c>
      <c r="F11" s="5">
        <v>260</v>
      </c>
      <c r="G11" s="5">
        <f t="shared" si="2"/>
        <v>3.5484848484848426</v>
      </c>
      <c r="H11" s="5">
        <f t="shared" si="3"/>
        <v>3.17324088341037</v>
      </c>
      <c r="I11" s="5">
        <f t="shared" si="4"/>
        <v>25.684848484848438</v>
      </c>
      <c r="J11" s="5">
        <f t="shared" si="5"/>
        <v>3.9679506933744144</v>
      </c>
      <c r="K11" s="5">
        <f t="shared" si="6"/>
        <v>3.9999999999999956</v>
      </c>
      <c r="L11" s="5">
        <f t="shared" si="7"/>
        <v>55.987977959592378</v>
      </c>
      <c r="M11" s="5">
        <f t="shared" si="8"/>
        <v>27.669077850455082</v>
      </c>
      <c r="N11" s="5">
        <f t="shared" si="9"/>
        <v>25.54182377837628</v>
      </c>
      <c r="O11" s="5">
        <f t="shared" si="10"/>
        <v>7.8874182377837343</v>
      </c>
      <c r="P11" s="5">
        <f t="shared" si="11"/>
        <v>1.1711512168443958</v>
      </c>
      <c r="Q11" s="5">
        <f t="shared" si="12"/>
        <v>2.1272540720789852</v>
      </c>
      <c r="R11" s="5">
        <f t="shared" si="13"/>
        <v>68.394755817764477</v>
      </c>
      <c r="S11" s="5">
        <f t="shared" si="14"/>
        <v>17.35037692559813</v>
      </c>
      <c r="U11" s="5">
        <v>5.7233626588465203E-2</v>
      </c>
      <c r="V11" s="6" t="s">
        <v>72</v>
      </c>
      <c r="W11" s="6" t="s">
        <v>73</v>
      </c>
      <c r="X11" s="5">
        <v>6.3999204731845394E-2</v>
      </c>
      <c r="Y11" s="5">
        <v>6.4516129032257993E-2</v>
      </c>
      <c r="Z11" s="6" t="s">
        <v>74</v>
      </c>
      <c r="AA11" s="6" t="s">
        <v>75</v>
      </c>
      <c r="AB11" s="5">
        <v>9.8237783762985698E-2</v>
      </c>
      <c r="AC11" s="5">
        <v>3.03362239914759E-2</v>
      </c>
      <c r="AD11" s="5">
        <v>4.5044277570938304E-3</v>
      </c>
      <c r="AE11" s="5">
        <v>8.1817464310730195E-3</v>
      </c>
      <c r="AF11" s="6" t="s">
        <v>76</v>
      </c>
      <c r="AG11" s="5">
        <v>6.6732218944608193E-2</v>
      </c>
    </row>
    <row r="12" spans="1:33" s="5" customFormat="1">
      <c r="A12" s="5" t="s">
        <v>77</v>
      </c>
      <c r="B12" s="5" t="s">
        <v>78</v>
      </c>
      <c r="C12" s="5" t="s">
        <v>18</v>
      </c>
      <c r="D12" s="5">
        <v>63</v>
      </c>
      <c r="E12" s="5">
        <v>64.2</v>
      </c>
      <c r="F12" s="5">
        <v>273</v>
      </c>
      <c r="G12" s="5">
        <f t="shared" si="2"/>
        <v>3.4292307692307609</v>
      </c>
      <c r="H12" s="5">
        <f t="shared" si="3"/>
        <v>3.9771316818774385</v>
      </c>
      <c r="I12" s="5">
        <f t="shared" si="4"/>
        <v>31.609230767100001</v>
      </c>
      <c r="J12" s="5">
        <f t="shared" si="5"/>
        <v>2.0086571055599998</v>
      </c>
      <c r="K12" s="5">
        <f t="shared" si="6"/>
        <v>4.9999999999999964</v>
      </c>
      <c r="L12" s="5">
        <f t="shared" si="7"/>
        <v>58.582987000957147</v>
      </c>
      <c r="M12" s="5">
        <f t="shared" si="8"/>
        <v>32.024002260473772</v>
      </c>
      <c r="N12" s="5">
        <f t="shared" si="9"/>
        <v>29.863716341086992</v>
      </c>
      <c r="O12" s="5">
        <f t="shared" si="10"/>
        <v>7.9381531318253069</v>
      </c>
      <c r="P12" s="5">
        <f t="shared" si="11"/>
        <v>2.4778207327376358</v>
      </c>
      <c r="Q12" s="5">
        <f t="shared" si="12"/>
        <v>2.6545919692086604</v>
      </c>
      <c r="R12" s="5">
        <f t="shared" si="13"/>
        <v>57.106008577799997</v>
      </c>
      <c r="S12" s="5">
        <f t="shared" si="14"/>
        <v>23.830042918500002</v>
      </c>
      <c r="U12" s="5">
        <v>5.44322344322343E-2</v>
      </c>
      <c r="V12" s="5">
        <v>6.3129074315514899E-2</v>
      </c>
      <c r="W12" s="5">
        <v>0.50173382170000003</v>
      </c>
      <c r="X12" s="5">
        <v>3.1883446119999999E-2</v>
      </c>
      <c r="Y12" s="5">
        <v>7.9365079365079305E-2</v>
      </c>
      <c r="Z12" s="6" t="s">
        <v>79</v>
      </c>
      <c r="AA12" s="5">
        <v>0.117304037584153</v>
      </c>
      <c r="AB12" s="6" t="s">
        <v>80</v>
      </c>
      <c r="AC12" s="5">
        <v>2.9077483999360099E-2</v>
      </c>
      <c r="AD12" s="5">
        <v>9.0762664202843797E-3</v>
      </c>
      <c r="AE12" s="5">
        <v>9.7237801069914292E-3</v>
      </c>
      <c r="AF12" s="5">
        <v>0.2091795186</v>
      </c>
      <c r="AG12" s="5">
        <v>8.7289534500000002E-2</v>
      </c>
    </row>
    <row r="13" spans="1:33" s="5" customFormat="1">
      <c r="A13" s="5" t="s">
        <v>81</v>
      </c>
      <c r="B13" s="5" t="s">
        <v>82</v>
      </c>
      <c r="C13" s="5" t="s">
        <v>18</v>
      </c>
      <c r="D13" s="5">
        <v>61</v>
      </c>
      <c r="E13" s="5">
        <v>63.1</v>
      </c>
      <c r="F13" s="5">
        <v>264</v>
      </c>
      <c r="G13" s="5">
        <f t="shared" si="2"/>
        <v>3.392187499999995</v>
      </c>
      <c r="H13" s="5">
        <f t="shared" si="3"/>
        <v>3.0636160714285658</v>
      </c>
      <c r="I13" s="5">
        <f t="shared" si="4"/>
        <v>27.965624999999939</v>
      </c>
      <c r="J13" s="5">
        <f t="shared" si="5"/>
        <v>3.5151785714285642</v>
      </c>
      <c r="K13" s="5">
        <f t="shared" si="6"/>
        <v>6.9999999999999556</v>
      </c>
      <c r="L13" s="5">
        <f t="shared" si="7"/>
        <v>53.540645731976831</v>
      </c>
      <c r="M13" s="5">
        <f t="shared" si="8"/>
        <v>26.195628363705005</v>
      </c>
      <c r="N13" s="5">
        <f t="shared" si="9"/>
        <v>24.090879048248496</v>
      </c>
      <c r="O13" s="5">
        <f t="shared" si="10"/>
        <v>6.8041355868189788</v>
      </c>
      <c r="P13" s="5">
        <f t="shared" si="11"/>
        <v>1.693249978879771</v>
      </c>
      <c r="Q13" s="5">
        <f t="shared" si="12"/>
        <v>1.5501274667170115</v>
      </c>
      <c r="R13" s="5">
        <f t="shared" si="13"/>
        <v>73.545378151260309</v>
      </c>
      <c r="S13" s="5">
        <f t="shared" si="14"/>
        <v>23.22989827509949</v>
      </c>
      <c r="U13" s="5">
        <v>5.5609631147540903E-2</v>
      </c>
      <c r="V13" s="5">
        <v>5.0223214285714197E-2</v>
      </c>
      <c r="W13" s="6" t="s">
        <v>83</v>
      </c>
      <c r="X13" s="5">
        <v>5.7625878220140397E-2</v>
      </c>
      <c r="Y13" s="6" t="s">
        <v>84</v>
      </c>
      <c r="Z13" s="6" t="s">
        <v>85</v>
      </c>
      <c r="AA13" s="5">
        <v>9.9225865014034104E-2</v>
      </c>
      <c r="AB13" s="5">
        <v>9.1253329728213997E-2</v>
      </c>
      <c r="AC13" s="5">
        <v>2.5773240859162799E-2</v>
      </c>
      <c r="AD13" s="5">
        <v>6.41382567757489E-3</v>
      </c>
      <c r="AE13" s="5">
        <v>5.8716949496856498E-3</v>
      </c>
      <c r="AF13" s="6" t="s">
        <v>86</v>
      </c>
      <c r="AG13" s="5">
        <v>8.7992038920831406E-2</v>
      </c>
    </row>
    <row r="14" spans="1:33" s="5" customFormat="1">
      <c r="A14" s="5" t="s">
        <v>87</v>
      </c>
      <c r="B14" s="5" t="s">
        <v>88</v>
      </c>
      <c r="C14" s="5" t="s">
        <v>18</v>
      </c>
      <c r="D14" s="5">
        <v>61</v>
      </c>
      <c r="E14" s="5">
        <v>62</v>
      </c>
      <c r="F14" s="5">
        <v>256</v>
      </c>
      <c r="G14" s="5">
        <f t="shared" si="2"/>
        <v>3.6206349206349167</v>
      </c>
      <c r="H14" s="5">
        <f t="shared" si="3"/>
        <v>4.3396825396825331</v>
      </c>
      <c r="I14" s="5">
        <f t="shared" si="4"/>
        <v>25.8349206349206</v>
      </c>
      <c r="J14" s="5">
        <f t="shared" si="5"/>
        <v>3.9619047619047536</v>
      </c>
      <c r="K14" s="5">
        <f t="shared" si="6"/>
        <v>3.9999999999999951</v>
      </c>
      <c r="L14" s="5">
        <f t="shared" si="7"/>
        <v>49.264766283524864</v>
      </c>
      <c r="M14" s="5">
        <f t="shared" si="8"/>
        <v>25.980916030534143</v>
      </c>
      <c r="N14" s="5">
        <f t="shared" si="9"/>
        <v>23.966076335877862</v>
      </c>
      <c r="O14" s="5">
        <f t="shared" si="10"/>
        <v>7.7479083969465341</v>
      </c>
      <c r="P14" s="5">
        <f t="shared" si="11"/>
        <v>1.1850925682196991</v>
      </c>
      <c r="Q14" s="5">
        <f t="shared" si="12"/>
        <v>3.5342595419847167</v>
      </c>
      <c r="R14" s="5">
        <f t="shared" si="13"/>
        <v>74.660307692307455</v>
      </c>
      <c r="S14" s="5">
        <f t="shared" si="14"/>
        <v>23.158549212949197</v>
      </c>
      <c r="U14" s="6" t="s">
        <v>89</v>
      </c>
      <c r="V14" s="5">
        <v>7.1142336716107105E-2</v>
      </c>
      <c r="W14" s="6" t="s">
        <v>90</v>
      </c>
      <c r="X14" s="5">
        <v>6.4949258391881204E-2</v>
      </c>
      <c r="Y14" s="5">
        <v>6.5573770491803199E-2</v>
      </c>
      <c r="Z14" s="6" t="s">
        <v>91</v>
      </c>
      <c r="AA14" s="6" t="s">
        <v>92</v>
      </c>
      <c r="AB14" s="5">
        <v>9.3617485687022897E-2</v>
      </c>
      <c r="AC14" s="6" t="s">
        <v>93</v>
      </c>
      <c r="AD14" s="5">
        <v>4.6292678446081996E-3</v>
      </c>
      <c r="AE14" s="5">
        <v>1.38057013358778E-2</v>
      </c>
      <c r="AF14" s="6" t="s">
        <v>94</v>
      </c>
      <c r="AG14" s="5">
        <v>9.04630828630828E-2</v>
      </c>
    </row>
    <row r="15" spans="1:33" s="5" customFormat="1">
      <c r="A15" s="5" t="s">
        <v>95</v>
      </c>
      <c r="B15" s="5" t="s">
        <v>96</v>
      </c>
      <c r="C15" s="5" t="s">
        <v>18</v>
      </c>
      <c r="D15" s="5">
        <v>55</v>
      </c>
      <c r="E15" s="5">
        <v>56</v>
      </c>
      <c r="F15" s="5">
        <v>233</v>
      </c>
      <c r="G15" s="5">
        <f t="shared" si="2"/>
        <v>3.3083333333333305</v>
      </c>
      <c r="H15" s="5">
        <f t="shared" si="3"/>
        <v>3.1448717948717904</v>
      </c>
      <c r="I15" s="5">
        <f t="shared" si="4"/>
        <v>21.816666666666631</v>
      </c>
      <c r="J15" s="5">
        <f t="shared" si="5"/>
        <v>3.4461538461538432</v>
      </c>
      <c r="K15" s="5">
        <f t="shared" si="6"/>
        <v>2.9999999999999978</v>
      </c>
      <c r="L15" s="5">
        <f t="shared" si="7"/>
        <v>48.364285714285629</v>
      </c>
      <c r="M15" s="5">
        <f t="shared" si="8"/>
        <v>27.685778563393679</v>
      </c>
      <c r="N15" s="5">
        <f t="shared" si="9"/>
        <v>25.530073919331368</v>
      </c>
      <c r="O15" s="5">
        <f t="shared" si="10"/>
        <v>7.9622890888638631</v>
      </c>
      <c r="P15" s="5">
        <f t="shared" si="11"/>
        <v>1.1669291338582575</v>
      </c>
      <c r="Q15" s="5">
        <f t="shared" si="12"/>
        <v>1.561316888960296</v>
      </c>
      <c r="R15" s="5">
        <f t="shared" si="13"/>
        <v>55.812236734693791</v>
      </c>
      <c r="S15" s="5">
        <f t="shared" si="14"/>
        <v>20.601955102040815</v>
      </c>
      <c r="U15" s="6" t="s">
        <v>97</v>
      </c>
      <c r="V15" s="5">
        <v>5.71794871794871E-2</v>
      </c>
      <c r="W15" s="6" t="s">
        <v>98</v>
      </c>
      <c r="X15" s="5">
        <v>6.2657342657342602E-2</v>
      </c>
      <c r="Y15" s="5">
        <v>5.4545454545454501E-2</v>
      </c>
      <c r="Z15" s="6" t="s">
        <v>99</v>
      </c>
      <c r="AA15" s="6" t="s">
        <v>100</v>
      </c>
      <c r="AB15" s="6" t="s">
        <v>101</v>
      </c>
      <c r="AC15" s="5">
        <v>3.4172914544480099E-2</v>
      </c>
      <c r="AD15" s="5">
        <v>5.0082795444560402E-3</v>
      </c>
      <c r="AE15" s="5">
        <v>6.7009308539068497E-3</v>
      </c>
      <c r="AF15" s="6" t="s">
        <v>102</v>
      </c>
      <c r="AG15" s="5">
        <v>8.8420408163265296E-2</v>
      </c>
    </row>
    <row r="16" spans="1:33" s="5" customFormat="1">
      <c r="A16" s="5" t="s">
        <v>103</v>
      </c>
      <c r="B16" s="5" t="s">
        <v>104</v>
      </c>
      <c r="C16" s="5" t="s">
        <v>18</v>
      </c>
      <c r="D16" s="5">
        <v>61</v>
      </c>
      <c r="E16" s="5">
        <v>64</v>
      </c>
      <c r="F16" s="5">
        <v>263</v>
      </c>
      <c r="G16" s="5">
        <f t="shared" si="2"/>
        <v>3.510606060606051</v>
      </c>
      <c r="H16" s="5">
        <f t="shared" si="3"/>
        <v>2.6312615955473064</v>
      </c>
      <c r="I16" s="5">
        <f t="shared" si="4"/>
        <v>18.033333333333307</v>
      </c>
      <c r="J16" s="5">
        <f t="shared" si="5"/>
        <v>8.2362708719851092</v>
      </c>
      <c r="K16" s="5">
        <f t="shared" si="6"/>
        <v>5.9999999999999991</v>
      </c>
      <c r="L16" s="5">
        <f t="shared" si="7"/>
        <v>52.648835784313498</v>
      </c>
      <c r="M16" s="5">
        <f t="shared" si="8"/>
        <v>24.945426968864446</v>
      </c>
      <c r="N16" s="5">
        <f t="shared" si="9"/>
        <v>22.975183150183128</v>
      </c>
      <c r="O16" s="5">
        <f t="shared" si="10"/>
        <v>7.1365670787545437</v>
      </c>
      <c r="P16" s="5">
        <f t="shared" si="11"/>
        <v>1.9654950441714953</v>
      </c>
      <c r="Q16" s="5">
        <f t="shared" si="12"/>
        <v>1.6702438186813062</v>
      </c>
      <c r="R16" s="5">
        <f t="shared" si="13"/>
        <v>78.26460994525533</v>
      </c>
      <c r="S16" s="5">
        <f t="shared" si="14"/>
        <v>22.796532846715298</v>
      </c>
      <c r="U16" s="5">
        <v>5.7550919026328702E-2</v>
      </c>
      <c r="V16" s="5">
        <v>4.3135435992578797E-2</v>
      </c>
      <c r="W16" s="6" t="s">
        <v>105</v>
      </c>
      <c r="X16" s="6" t="s">
        <v>106</v>
      </c>
      <c r="Y16" s="5">
        <v>9.8360655737704902E-2</v>
      </c>
      <c r="Z16" s="6" t="s">
        <v>107</v>
      </c>
      <c r="AA16" s="5">
        <v>9.4849532201005504E-2</v>
      </c>
      <c r="AB16" s="5">
        <v>8.7358110837198202E-2</v>
      </c>
      <c r="AC16" s="6" t="s">
        <v>108</v>
      </c>
      <c r="AD16" s="5">
        <v>7.4733651869638602E-3</v>
      </c>
      <c r="AE16" s="5">
        <v>6.3507369531608602E-3</v>
      </c>
      <c r="AF16" s="6" t="s">
        <v>109</v>
      </c>
      <c r="AG16" s="5">
        <v>8.6678832116788201E-2</v>
      </c>
    </row>
    <row r="17" spans="1:33" s="5" customFormat="1">
      <c r="A17" s="5" t="s">
        <v>110</v>
      </c>
      <c r="B17" s="5" t="s">
        <v>111</v>
      </c>
      <c r="C17" s="5" t="s">
        <v>18</v>
      </c>
      <c r="D17" s="5">
        <v>63</v>
      </c>
      <c r="E17" s="5">
        <v>65</v>
      </c>
      <c r="F17" s="5">
        <v>267</v>
      </c>
      <c r="G17" s="5">
        <f t="shared" si="2"/>
        <v>2.9045454545454481</v>
      </c>
      <c r="H17" s="5">
        <f t="shared" si="3"/>
        <v>3.061128526645764</v>
      </c>
      <c r="I17" s="5">
        <f t="shared" si="4"/>
        <v>25.954545454545457</v>
      </c>
      <c r="J17" s="5">
        <f t="shared" si="5"/>
        <v>4.014420062695919</v>
      </c>
      <c r="K17" s="5">
        <f t="shared" si="6"/>
        <v>4.9999999999999964</v>
      </c>
      <c r="L17" s="5">
        <f t="shared" si="7"/>
        <v>54.846981083181973</v>
      </c>
      <c r="M17" s="5">
        <f t="shared" si="8"/>
        <v>31.62561721547852</v>
      </c>
      <c r="N17" s="5">
        <f t="shared" si="9"/>
        <v>29.165233099863677</v>
      </c>
      <c r="O17" s="5">
        <f t="shared" si="10"/>
        <v>9.8742702754096037</v>
      </c>
      <c r="P17" s="5">
        <f t="shared" si="11"/>
        <v>0.98657162505288398</v>
      </c>
      <c r="Q17" s="5">
        <f t="shared" si="12"/>
        <v>1.5722783887427392</v>
      </c>
      <c r="R17" s="5">
        <f t="shared" si="13"/>
        <v>71.167893427832766</v>
      </c>
      <c r="S17" s="5">
        <f t="shared" si="14"/>
        <v>22.763814880439533</v>
      </c>
      <c r="U17" s="6" t="s">
        <v>112</v>
      </c>
      <c r="V17" s="5">
        <v>4.8589341692789903E-2</v>
      </c>
      <c r="W17" s="5">
        <v>0.411976911976912</v>
      </c>
      <c r="X17" s="5">
        <v>6.3720953376125697E-2</v>
      </c>
      <c r="Y17" s="5">
        <v>7.9365079365079305E-2</v>
      </c>
      <c r="Z17" s="6" t="s">
        <v>113</v>
      </c>
      <c r="AA17" s="6" t="s">
        <v>114</v>
      </c>
      <c r="AB17" s="6" t="s">
        <v>115</v>
      </c>
      <c r="AC17" s="5">
        <v>3.6982285675691402E-2</v>
      </c>
      <c r="AD17" s="5">
        <v>3.6950248129321499E-3</v>
      </c>
      <c r="AE17" s="5">
        <v>5.88868310390539E-3</v>
      </c>
      <c r="AF17" s="6" t="s">
        <v>116</v>
      </c>
      <c r="AG17" s="5">
        <v>8.5257733634604996E-2</v>
      </c>
    </row>
    <row r="18" spans="1:33" s="5" customFormat="1">
      <c r="A18" s="5" t="s">
        <v>117</v>
      </c>
      <c r="B18" s="5" t="s">
        <v>118</v>
      </c>
      <c r="C18" s="5" t="s">
        <v>18</v>
      </c>
      <c r="D18" s="5">
        <v>62</v>
      </c>
      <c r="E18" s="5">
        <v>64.2</v>
      </c>
      <c r="F18" s="5">
        <v>273</v>
      </c>
      <c r="G18" s="5">
        <f t="shared" si="2"/>
        <v>3.2134328358208855</v>
      </c>
      <c r="H18" s="5">
        <f t="shared" si="3"/>
        <v>3.286018885165999</v>
      </c>
      <c r="I18" s="5">
        <f t="shared" si="4"/>
        <v>28.752238805970091</v>
      </c>
      <c r="J18" s="5">
        <f t="shared" si="5"/>
        <v>4.1226926591532091</v>
      </c>
      <c r="K18" s="5">
        <f t="shared" si="6"/>
        <v>3.9999999999999956</v>
      </c>
      <c r="L18" s="5">
        <f t="shared" si="7"/>
        <v>52.577006172839425</v>
      </c>
      <c r="M18" s="5">
        <f t="shared" si="8"/>
        <v>28.91983188862595</v>
      </c>
      <c r="N18" s="5">
        <f t="shared" si="9"/>
        <v>26.809141055949553</v>
      </c>
      <c r="O18" s="5">
        <f t="shared" si="10"/>
        <v>7.0937746256895062</v>
      </c>
      <c r="P18" s="5">
        <f t="shared" si="11"/>
        <v>1.1883369837296411</v>
      </c>
      <c r="Q18" s="5">
        <f t="shared" si="12"/>
        <v>3.727764644076673</v>
      </c>
      <c r="R18" s="5">
        <f t="shared" si="13"/>
        <v>73.427213028631371</v>
      </c>
      <c r="S18" s="5">
        <f t="shared" si="14"/>
        <v>27.063356973995244</v>
      </c>
      <c r="U18" s="5">
        <v>5.18295618680788E-2</v>
      </c>
      <c r="V18" s="5">
        <v>5.3000304599451598E-2</v>
      </c>
      <c r="W18" s="6" t="s">
        <v>119</v>
      </c>
      <c r="X18" s="5">
        <v>6.6495042889567896E-2</v>
      </c>
      <c r="Y18" s="5">
        <v>6.4516129032257993E-2</v>
      </c>
      <c r="Z18" s="6" t="s">
        <v>120</v>
      </c>
      <c r="AA18" s="6" t="s">
        <v>121</v>
      </c>
      <c r="AB18" s="5">
        <v>9.82019818899251E-2</v>
      </c>
      <c r="AC18" s="5">
        <v>2.5984522438423099E-2</v>
      </c>
      <c r="AD18" s="5">
        <v>4.3528827242843996E-3</v>
      </c>
      <c r="AE18" s="6" t="s">
        <v>122</v>
      </c>
      <c r="AF18" s="6" t="s">
        <v>123</v>
      </c>
      <c r="AG18" s="5">
        <v>9.9133175728920303E-2</v>
      </c>
    </row>
    <row r="19" spans="1:33" s="5" customFormat="1">
      <c r="A19" s="5" t="s">
        <v>124</v>
      </c>
      <c r="B19" s="5" t="s">
        <v>125</v>
      </c>
      <c r="C19" s="5" t="s">
        <v>18</v>
      </c>
      <c r="D19" s="5">
        <v>61</v>
      </c>
      <c r="E19" s="5">
        <v>63</v>
      </c>
      <c r="F19" s="5">
        <v>261</v>
      </c>
      <c r="G19" s="5">
        <f t="shared" si="2"/>
        <v>3.4629032258064472</v>
      </c>
      <c r="H19" s="5">
        <f t="shared" si="3"/>
        <v>3.1394428152492639</v>
      </c>
      <c r="I19" s="5">
        <f t="shared" si="4"/>
        <v>26.112903225806427</v>
      </c>
      <c r="J19" s="5">
        <f t="shared" si="5"/>
        <v>4.067917888563044</v>
      </c>
      <c r="K19" s="5">
        <f t="shared" si="6"/>
        <v>4.9999999999999938</v>
      </c>
      <c r="L19" s="5">
        <f t="shared" si="7"/>
        <v>53.294178082191713</v>
      </c>
      <c r="M19" s="5">
        <f t="shared" si="8"/>
        <v>26.055397471835803</v>
      </c>
      <c r="N19" s="5">
        <f t="shared" si="9"/>
        <v>23.860527846829189</v>
      </c>
      <c r="O19" s="5">
        <f t="shared" si="10"/>
        <v>5.6997778600518076</v>
      </c>
      <c r="P19" s="5">
        <f t="shared" si="11"/>
        <v>0.99813531063529115</v>
      </c>
      <c r="Q19" s="5">
        <f t="shared" si="12"/>
        <v>1.5989792140477024</v>
      </c>
      <c r="R19" s="5">
        <f t="shared" si="13"/>
        <v>65.227878852739636</v>
      </c>
      <c r="S19" s="5">
        <f t="shared" si="14"/>
        <v>22.697838184931488</v>
      </c>
      <c r="U19" s="6" t="s">
        <v>126</v>
      </c>
      <c r="V19" s="5">
        <v>5.1466275659824E-2</v>
      </c>
      <c r="W19" s="6" t="s">
        <v>127</v>
      </c>
      <c r="X19" s="5">
        <v>6.6687178501033506E-2</v>
      </c>
      <c r="Y19" s="5">
        <v>8.1967213114753995E-2</v>
      </c>
      <c r="Z19" s="6" t="s">
        <v>128</v>
      </c>
      <c r="AA19" s="5">
        <v>9.9829109087493498E-2</v>
      </c>
      <c r="AB19" s="5">
        <v>9.1419646922717201E-2</v>
      </c>
      <c r="AC19" s="5">
        <v>2.1838229348857499E-2</v>
      </c>
      <c r="AD19" s="5">
        <v>3.8242732208248701E-3</v>
      </c>
      <c r="AE19" s="5">
        <v>6.1263571419452201E-3</v>
      </c>
      <c r="AF19" s="6" t="s">
        <v>129</v>
      </c>
      <c r="AG19" s="5">
        <v>8.6964897260273899E-2</v>
      </c>
    </row>
    <row r="20" spans="1:33" s="5" customFormat="1">
      <c r="A20" s="5" t="s">
        <v>130</v>
      </c>
      <c r="B20" s="5" t="s">
        <v>131</v>
      </c>
      <c r="C20" s="5" t="s">
        <v>18</v>
      </c>
      <c r="D20" s="5">
        <v>64</v>
      </c>
      <c r="E20" s="5">
        <v>66.2</v>
      </c>
      <c r="F20" s="5">
        <v>280</v>
      </c>
      <c r="G20" s="5">
        <f t="shared" si="2"/>
        <v>3.3647058823529346</v>
      </c>
      <c r="H20" s="5">
        <f t="shared" si="3"/>
        <v>2.9355742296918721</v>
      </c>
      <c r="I20" s="5">
        <f t="shared" si="4"/>
        <v>24.094117647058816</v>
      </c>
      <c r="J20" s="5">
        <f t="shared" si="5"/>
        <v>5.9276377217553664</v>
      </c>
      <c r="K20" s="5">
        <f t="shared" si="6"/>
        <v>3</v>
      </c>
      <c r="L20" s="5">
        <f t="shared" si="7"/>
        <v>59.74218572125524</v>
      </c>
      <c r="M20" s="5">
        <f t="shared" si="8"/>
        <v>30.05904259570044</v>
      </c>
      <c r="N20" s="5">
        <f t="shared" si="9"/>
        <v>27.496451690242107</v>
      </c>
      <c r="O20" s="5">
        <f t="shared" si="10"/>
        <v>6.4224566450891007</v>
      </c>
      <c r="P20" s="5">
        <f t="shared" si="11"/>
        <v>1.4722923124984761</v>
      </c>
      <c r="Q20" s="5">
        <f t="shared" si="12"/>
        <v>3.1052265643730239</v>
      </c>
      <c r="R20" s="5">
        <f t="shared" si="13"/>
        <v>62.495403428321644</v>
      </c>
      <c r="S20" s="5">
        <f t="shared" si="14"/>
        <v>22.582050442187992</v>
      </c>
      <c r="U20" s="6" t="s">
        <v>132</v>
      </c>
      <c r="V20" s="5">
        <v>4.5868347338935501E-2</v>
      </c>
      <c r="W20" s="6" t="s">
        <v>133</v>
      </c>
      <c r="X20" s="5">
        <v>9.26193394024276E-2</v>
      </c>
      <c r="Y20" s="5">
        <v>4.6875E-2</v>
      </c>
      <c r="Z20" s="6" t="s">
        <v>134</v>
      </c>
      <c r="AA20" s="6" t="s">
        <v>135</v>
      </c>
      <c r="AB20" s="5">
        <v>9.8201613179436098E-2</v>
      </c>
      <c r="AC20" s="5">
        <v>2.2937345161032501E-2</v>
      </c>
      <c r="AD20" s="5">
        <v>5.2581868303517004E-3</v>
      </c>
      <c r="AE20" s="5">
        <v>1.1090094872760799E-2</v>
      </c>
      <c r="AF20" s="6" t="s">
        <v>136</v>
      </c>
      <c r="AG20" s="5">
        <v>8.0650180150671394E-2</v>
      </c>
    </row>
    <row r="21" spans="1:33" s="5" customFormat="1">
      <c r="A21" s="5" t="s">
        <v>137</v>
      </c>
      <c r="B21" s="5" t="s">
        <v>71</v>
      </c>
      <c r="C21" s="5" t="s">
        <v>18</v>
      </c>
      <c r="D21" s="5">
        <v>64</v>
      </c>
      <c r="E21" s="5">
        <v>66.099999999999994</v>
      </c>
      <c r="F21" s="5">
        <v>273</v>
      </c>
      <c r="G21" s="5">
        <f t="shared" si="2"/>
        <v>4.3656716417910397</v>
      </c>
      <c r="H21" s="5">
        <f t="shared" si="3"/>
        <v>4.0605394082220414</v>
      </c>
      <c r="I21" s="5">
        <f t="shared" si="4"/>
        <v>10.3283582089552</v>
      </c>
      <c r="J21" s="5">
        <f t="shared" si="5"/>
        <v>12.622414244566592</v>
      </c>
      <c r="K21" s="5">
        <f t="shared" si="6"/>
        <v>5</v>
      </c>
      <c r="L21" s="5">
        <f t="shared" si="7"/>
        <v>58.438125531445564</v>
      </c>
      <c r="M21" s="5">
        <f t="shared" si="8"/>
        <v>28.694855796778352</v>
      </c>
      <c r="N21" s="5">
        <f t="shared" si="9"/>
        <v>26.494085439612881</v>
      </c>
      <c r="O21" s="5">
        <f t="shared" si="10"/>
        <v>7.5807283376837926</v>
      </c>
      <c r="P21" s="5">
        <f t="shared" si="11"/>
        <v>1.9757239048618671</v>
      </c>
      <c r="Q21" s="5">
        <f t="shared" si="12"/>
        <v>2.2007703571655775</v>
      </c>
      <c r="R21" s="5">
        <f t="shared" si="13"/>
        <v>68.004213922877781</v>
      </c>
      <c r="S21" s="5">
        <f t="shared" si="14"/>
        <v>21.042568927510274</v>
      </c>
      <c r="U21" s="5">
        <v>6.8213619402984996E-2</v>
      </c>
      <c r="V21" s="5">
        <v>6.3445928253469397E-2</v>
      </c>
      <c r="W21" s="6" t="s">
        <v>138</v>
      </c>
      <c r="X21" s="6" t="s">
        <v>139</v>
      </c>
      <c r="Y21" s="5">
        <v>7.8125E-2</v>
      </c>
      <c r="Z21" s="6" t="s">
        <v>140</v>
      </c>
      <c r="AA21" s="6" t="s">
        <v>141</v>
      </c>
      <c r="AB21" s="5">
        <v>9.7047932013234001E-2</v>
      </c>
      <c r="AC21" s="5">
        <v>2.7768235669171401E-2</v>
      </c>
      <c r="AD21" s="5">
        <v>7.2370839005929197E-3</v>
      </c>
      <c r="AE21" s="5">
        <v>8.0614298797273901E-3</v>
      </c>
      <c r="AF21" s="6" t="s">
        <v>142</v>
      </c>
      <c r="AG21" s="5">
        <v>7.7079007060477198E-2</v>
      </c>
    </row>
    <row r="22" spans="1:33" s="5" customFormat="1">
      <c r="A22" s="5" t="s">
        <v>143</v>
      </c>
      <c r="B22" s="5" t="s">
        <v>144</v>
      </c>
      <c r="C22" s="5" t="s">
        <v>18</v>
      </c>
      <c r="D22" s="5">
        <v>60</v>
      </c>
      <c r="E22" s="5">
        <v>62</v>
      </c>
      <c r="F22" s="5">
        <v>261</v>
      </c>
      <c r="G22" s="5">
        <f t="shared" si="2"/>
        <v>3.5809523809523762</v>
      </c>
      <c r="H22" s="5">
        <f t="shared" si="3"/>
        <v>3.4940476190476142</v>
      </c>
      <c r="I22" s="5">
        <f t="shared" si="4"/>
        <v>24.342857142857099</v>
      </c>
      <c r="J22" s="5">
        <f t="shared" si="5"/>
        <v>4.8660714285714235</v>
      </c>
      <c r="K22" s="5">
        <f t="shared" si="6"/>
        <v>3.9999999999999956</v>
      </c>
      <c r="L22" s="5">
        <f t="shared" si="7"/>
        <v>55.060351622550648</v>
      </c>
      <c r="M22" s="5">
        <f t="shared" si="8"/>
        <v>24.909168818638395</v>
      </c>
      <c r="N22" s="5">
        <f t="shared" si="9"/>
        <v>22.940435313147336</v>
      </c>
      <c r="O22" s="5">
        <f t="shared" si="10"/>
        <v>5.418780328613173</v>
      </c>
      <c r="P22" s="5">
        <f t="shared" si="11"/>
        <v>0.99359754347699991</v>
      </c>
      <c r="Q22" s="5">
        <f t="shared" si="12"/>
        <v>4.9077272340304443</v>
      </c>
      <c r="R22" s="5">
        <f t="shared" si="13"/>
        <v>66.41943224062166</v>
      </c>
      <c r="S22" s="5">
        <f t="shared" si="14"/>
        <v>19.860197701926289</v>
      </c>
      <c r="U22" s="5">
        <v>5.9682539682539601E-2</v>
      </c>
      <c r="V22" s="5">
        <v>5.8234126984126902E-2</v>
      </c>
      <c r="W22" s="6" t="s">
        <v>145</v>
      </c>
      <c r="X22" s="5">
        <v>8.1101190476190396E-2</v>
      </c>
      <c r="Y22" s="5">
        <v>6.6666666666666596E-2</v>
      </c>
      <c r="Z22" s="6" t="s">
        <v>146</v>
      </c>
      <c r="AA22" s="5">
        <v>9.5437428423901904E-2</v>
      </c>
      <c r="AB22" s="5">
        <v>8.7894388172978302E-2</v>
      </c>
      <c r="AC22" s="5">
        <v>2.0761610454456601E-2</v>
      </c>
      <c r="AD22" s="5">
        <v>3.8068871397586202E-3</v>
      </c>
      <c r="AE22" s="5">
        <v>1.88035526208063E-2</v>
      </c>
      <c r="AF22" s="6" t="s">
        <v>147</v>
      </c>
      <c r="AG22" s="5">
        <v>7.6092711501633298E-2</v>
      </c>
    </row>
    <row r="23" spans="1:33" s="5" customFormat="1">
      <c r="A23" s="5" t="s">
        <v>149</v>
      </c>
      <c r="B23" s="5" t="s">
        <v>78</v>
      </c>
      <c r="C23" s="5" t="s">
        <v>18</v>
      </c>
      <c r="D23" s="5">
        <v>62</v>
      </c>
      <c r="E23" s="5">
        <v>64.099999999999994</v>
      </c>
      <c r="F23" s="5">
        <v>262</v>
      </c>
      <c r="G23" s="5">
        <f t="shared" si="2"/>
        <v>3.3606060606060564</v>
      </c>
      <c r="H23" s="5">
        <f t="shared" si="3"/>
        <v>2.2901776384534931</v>
      </c>
      <c r="I23" s="5">
        <f t="shared" si="4"/>
        <v>1.7878787878787843</v>
      </c>
      <c r="J23" s="5">
        <f t="shared" si="5"/>
        <v>17.925391849529746</v>
      </c>
      <c r="K23" s="5">
        <f t="shared" si="6"/>
        <v>2.9999999999999969</v>
      </c>
      <c r="L23" s="5">
        <f t="shared" si="7"/>
        <v>53.0375939849622</v>
      </c>
      <c r="M23" s="5">
        <f t="shared" si="8"/>
        <v>26.44709477756281</v>
      </c>
      <c r="N23" s="5">
        <f t="shared" si="9"/>
        <v>24.541655705996096</v>
      </c>
      <c r="O23" s="5">
        <f t="shared" si="10"/>
        <v>7.5170444874274498</v>
      </c>
      <c r="P23" s="5">
        <f t="shared" si="11"/>
        <v>1.1765796308954071</v>
      </c>
      <c r="Q23" s="5">
        <f t="shared" si="12"/>
        <v>3.1439767891682706</v>
      </c>
      <c r="R23" s="5">
        <f t="shared" si="13"/>
        <v>69.074130485985663</v>
      </c>
      <c r="S23" s="5">
        <f t="shared" si="14"/>
        <v>19.414370730941322</v>
      </c>
      <c r="U23" s="6" t="s">
        <v>150</v>
      </c>
      <c r="V23" s="5">
        <v>3.6938349007314401E-2</v>
      </c>
      <c r="W23" s="6" t="s">
        <v>151</v>
      </c>
      <c r="X23" s="6" t="s">
        <v>152</v>
      </c>
      <c r="Y23" s="5">
        <v>4.8387096774193498E-2</v>
      </c>
      <c r="Z23" s="6" t="s">
        <v>153</v>
      </c>
      <c r="AA23" s="6" t="s">
        <v>154</v>
      </c>
      <c r="AB23" s="5">
        <v>9.3670441625939294E-2</v>
      </c>
      <c r="AC23" s="5">
        <v>2.8691009493997902E-2</v>
      </c>
      <c r="AD23" s="5">
        <v>4.4907619499824697E-3</v>
      </c>
      <c r="AE23" s="6" t="s">
        <v>155</v>
      </c>
      <c r="AF23" s="6" t="s">
        <v>156</v>
      </c>
      <c r="AG23" s="5">
        <v>7.4100651644814206E-2</v>
      </c>
    </row>
    <row r="24" spans="1:33" s="5" customFormat="1">
      <c r="A24" s="5" t="s">
        <v>157</v>
      </c>
      <c r="B24" s="5" t="s">
        <v>88</v>
      </c>
      <c r="C24" s="5" t="s">
        <v>18</v>
      </c>
      <c r="D24" s="5">
        <v>68</v>
      </c>
      <c r="E24" s="5">
        <v>69</v>
      </c>
      <c r="F24" s="5">
        <v>286</v>
      </c>
      <c r="G24" s="5">
        <f t="shared" si="2"/>
        <v>3.9567567567567532</v>
      </c>
      <c r="H24" s="5">
        <f t="shared" si="3"/>
        <v>3.1540540540540478</v>
      </c>
      <c r="I24" s="5">
        <f t="shared" si="4"/>
        <v>1.9675675675675617</v>
      </c>
      <c r="J24" s="5">
        <f t="shared" si="5"/>
        <v>20.06216216216211</v>
      </c>
      <c r="K24" s="5">
        <f t="shared" si="6"/>
        <v>2.9999999999999978</v>
      </c>
      <c r="L24" s="5">
        <f t="shared" si="7"/>
        <v>67.406595995288541</v>
      </c>
      <c r="M24" s="5">
        <f t="shared" si="8"/>
        <v>31.17571495546165</v>
      </c>
      <c r="N24" s="5">
        <f t="shared" si="9"/>
        <v>28.673417721518856</v>
      </c>
      <c r="O24" s="5">
        <f t="shared" si="10"/>
        <v>7.2795593061415502</v>
      </c>
      <c r="P24" s="5">
        <f t="shared" si="11"/>
        <v>1.1652055284698115</v>
      </c>
      <c r="Q24" s="5">
        <f t="shared" si="12"/>
        <v>3.0319268635724068</v>
      </c>
      <c r="R24" s="5">
        <f t="shared" si="13"/>
        <v>47.887304989877208</v>
      </c>
      <c r="S24" s="5">
        <f t="shared" si="14"/>
        <v>16.48765987852801</v>
      </c>
      <c r="U24" s="6" t="s">
        <v>158</v>
      </c>
      <c r="V24" s="5">
        <v>4.6383147853735998E-2</v>
      </c>
      <c r="W24" s="5">
        <v>2.8934817170111201E-2</v>
      </c>
      <c r="X24" s="6" t="s">
        <v>159</v>
      </c>
      <c r="Y24" s="5">
        <v>4.4117647058823498E-2</v>
      </c>
      <c r="Z24" s="6" t="s">
        <v>160</v>
      </c>
      <c r="AA24" s="6" t="s">
        <v>161</v>
      </c>
      <c r="AB24" s="6" t="s">
        <v>162</v>
      </c>
      <c r="AC24" s="6" t="s">
        <v>163</v>
      </c>
      <c r="AD24" s="5">
        <v>4.0741452044399003E-3</v>
      </c>
      <c r="AE24" s="5">
        <v>1.06011428796238E-2</v>
      </c>
      <c r="AF24" s="6" t="s">
        <v>164</v>
      </c>
      <c r="AG24" s="5">
        <v>5.7649160414433603E-2</v>
      </c>
    </row>
    <row r="25" spans="1:33" s="5" customFormat="1">
      <c r="A25" s="5" t="s">
        <v>165</v>
      </c>
      <c r="B25" s="5" t="s">
        <v>59</v>
      </c>
      <c r="C25" s="5" t="s">
        <v>18</v>
      </c>
      <c r="D25" s="5">
        <v>60</v>
      </c>
      <c r="E25" s="5">
        <v>67.2</v>
      </c>
      <c r="F25" s="5">
        <v>280</v>
      </c>
      <c r="G25" s="5">
        <f t="shared" si="2"/>
        <v>3.7074626865671578</v>
      </c>
      <c r="H25" s="5">
        <f t="shared" si="3"/>
        <v>4.0755795490631881</v>
      </c>
      <c r="I25" s="5">
        <f t="shared" si="4"/>
        <v>4.7164179104477579</v>
      </c>
      <c r="J25" s="5">
        <f t="shared" si="5"/>
        <v>16.835662114957081</v>
      </c>
      <c r="K25" s="5">
        <f t="shared" si="6"/>
        <v>3</v>
      </c>
      <c r="L25" s="5">
        <f t="shared" si="7"/>
        <v>59.965664160400884</v>
      </c>
      <c r="M25" s="5">
        <f t="shared" si="8"/>
        <v>32.522216573461996</v>
      </c>
      <c r="N25" s="5">
        <f t="shared" si="9"/>
        <v>29.795068632435118</v>
      </c>
      <c r="O25" s="5">
        <f t="shared" si="10"/>
        <v>9.4522962209794716</v>
      </c>
      <c r="P25" s="5">
        <f t="shared" si="11"/>
        <v>1.3926016107885169</v>
      </c>
      <c r="Q25" s="5">
        <f t="shared" si="12"/>
        <v>2.150245721064207</v>
      </c>
      <c r="R25" s="5">
        <f t="shared" si="13"/>
        <v>71.744186437826002</v>
      </c>
      <c r="S25" s="5">
        <f t="shared" si="14"/>
        <v>22.489651691065077</v>
      </c>
      <c r="U25" s="5">
        <v>6.1791044776119297E-2</v>
      </c>
      <c r="V25" s="5">
        <v>6.7926325817719804E-2</v>
      </c>
      <c r="W25" s="5">
        <v>7.8606965174129295E-2</v>
      </c>
      <c r="X25" s="6" t="s">
        <v>166</v>
      </c>
      <c r="Y25" s="5">
        <v>0.05</v>
      </c>
      <c r="Z25" s="6" t="s">
        <v>167</v>
      </c>
      <c r="AA25" s="6" t="s">
        <v>168</v>
      </c>
      <c r="AB25" s="6" t="s">
        <v>169</v>
      </c>
      <c r="AC25" s="5">
        <v>3.3758200789212399E-2</v>
      </c>
      <c r="AD25" s="5">
        <v>4.9735771813875602E-3</v>
      </c>
      <c r="AE25" s="5">
        <v>7.6794490038007398E-3</v>
      </c>
      <c r="AF25" s="6" t="s">
        <v>170</v>
      </c>
      <c r="AG25" s="5">
        <v>8.0320184610946699E-2</v>
      </c>
    </row>
    <row r="26" spans="1:33" s="5" customFormat="1">
      <c r="A26" s="5" t="s">
        <v>171</v>
      </c>
      <c r="B26" s="5" t="s">
        <v>24</v>
      </c>
      <c r="C26" s="5" t="s">
        <v>18</v>
      </c>
      <c r="D26" s="5">
        <v>62</v>
      </c>
      <c r="E26" s="5">
        <v>61.2</v>
      </c>
      <c r="F26" s="5">
        <v>254</v>
      </c>
      <c r="G26" s="5">
        <f t="shared" si="2"/>
        <v>3.5377049180327802</v>
      </c>
      <c r="H26" s="5">
        <f t="shared" si="3"/>
        <v>2.89223722275795</v>
      </c>
      <c r="I26" s="5">
        <f t="shared" si="4"/>
        <v>1.8032786885245846</v>
      </c>
      <c r="J26" s="5">
        <f t="shared" si="5"/>
        <v>19.770877531340386</v>
      </c>
      <c r="K26" s="5">
        <f t="shared" si="6"/>
        <v>2.9999999999999969</v>
      </c>
      <c r="L26" s="5">
        <f t="shared" si="7"/>
        <v>46.314196108550796</v>
      </c>
      <c r="M26" s="5">
        <f t="shared" si="8"/>
        <v>25.939384335383352</v>
      </c>
      <c r="N26" s="5">
        <f t="shared" si="9"/>
        <v>23.919860047696719</v>
      </c>
      <c r="O26" s="5">
        <f t="shared" si="10"/>
        <v>8.3652566838207356</v>
      </c>
      <c r="P26" s="5">
        <f t="shared" si="11"/>
        <v>2.0000926440614966</v>
      </c>
      <c r="Q26" s="5">
        <f t="shared" si="12"/>
        <v>3.0292864315300312</v>
      </c>
      <c r="R26" s="5">
        <f t="shared" si="13"/>
        <v>78.504417952314128</v>
      </c>
      <c r="S26" s="5">
        <f t="shared" si="14"/>
        <v>25.250621573377519</v>
      </c>
      <c r="U26" s="5">
        <v>5.7059756742464197E-2</v>
      </c>
      <c r="V26" s="5">
        <v>4.6648987463837902E-2</v>
      </c>
      <c r="W26" s="6" t="s">
        <v>172</v>
      </c>
      <c r="X26" s="6" t="s">
        <v>173</v>
      </c>
      <c r="Y26" s="5">
        <v>4.8387096774193498E-2</v>
      </c>
      <c r="Z26" s="6" t="s">
        <v>174</v>
      </c>
      <c r="AA26" s="6" t="s">
        <v>175</v>
      </c>
      <c r="AB26" s="5">
        <v>9.4172677353136697E-2</v>
      </c>
      <c r="AC26" s="6" t="s">
        <v>176</v>
      </c>
      <c r="AD26" s="5">
        <v>7.8743804884310892E-3</v>
      </c>
      <c r="AE26" s="5">
        <v>1.19263245335828E-2</v>
      </c>
      <c r="AF26" s="6" t="s">
        <v>177</v>
      </c>
      <c r="AG26" s="5">
        <v>9.9411895958179203E-2</v>
      </c>
    </row>
    <row r="27" spans="1:33" s="5" customFormat="1">
      <c r="A27" s="5" t="s">
        <v>178</v>
      </c>
      <c r="B27" s="5" t="s">
        <v>96</v>
      </c>
      <c r="C27" s="5" t="s">
        <v>18</v>
      </c>
      <c r="D27" s="5">
        <v>59</v>
      </c>
      <c r="E27" s="5">
        <v>61</v>
      </c>
      <c r="F27" s="5">
        <v>256</v>
      </c>
      <c r="G27" s="5">
        <f t="shared" si="2"/>
        <v>3.3203124999999964</v>
      </c>
      <c r="H27" s="5">
        <f t="shared" si="3"/>
        <v>3.9779775943396185</v>
      </c>
      <c r="I27" s="5">
        <f t="shared" si="4"/>
        <v>5.5374999999999979</v>
      </c>
      <c r="J27" s="5">
        <f t="shared" si="5"/>
        <v>12.989652122641472</v>
      </c>
      <c r="K27" s="5">
        <f t="shared" si="6"/>
        <v>5</v>
      </c>
      <c r="L27" s="5">
        <f t="shared" si="7"/>
        <v>57.254485049833725</v>
      </c>
      <c r="M27" s="5">
        <f t="shared" si="8"/>
        <v>29.056402116401919</v>
      </c>
      <c r="N27" s="5">
        <f t="shared" si="9"/>
        <v>26.634285714285568</v>
      </c>
      <c r="O27" s="5">
        <f t="shared" si="10"/>
        <v>7.3911111111110914</v>
      </c>
      <c r="P27" s="5">
        <f t="shared" si="11"/>
        <v>1.6769336778639052</v>
      </c>
      <c r="Q27" s="5">
        <f t="shared" si="12"/>
        <v>0.97925925925925883</v>
      </c>
      <c r="R27" s="5">
        <f t="shared" si="13"/>
        <v>56.393439153438976</v>
      </c>
      <c r="S27" s="5">
        <f t="shared" si="14"/>
        <v>22.158730158730137</v>
      </c>
      <c r="U27" s="5">
        <v>5.6276483050847398E-2</v>
      </c>
      <c r="V27" s="5">
        <v>6.7423349056603701E-2</v>
      </c>
      <c r="W27" s="5">
        <v>9.3855932203389794E-2</v>
      </c>
      <c r="X27" s="6" t="s">
        <v>179</v>
      </c>
      <c r="Y27" s="5">
        <v>8.4745762711864403E-2</v>
      </c>
      <c r="Z27" s="6" t="s">
        <v>180</v>
      </c>
      <c r="AA27" s="6" t="s">
        <v>181</v>
      </c>
      <c r="AB27" s="6" t="s">
        <v>182</v>
      </c>
      <c r="AC27" s="5">
        <v>2.8871527777777701E-2</v>
      </c>
      <c r="AD27" s="5">
        <v>6.5505221791558798E-3</v>
      </c>
      <c r="AE27" s="5">
        <v>3.8252314814814798E-3</v>
      </c>
      <c r="AF27" s="6" t="s">
        <v>183</v>
      </c>
      <c r="AG27" s="5">
        <v>8.6557539682539597E-2</v>
      </c>
    </row>
    <row r="28" spans="1:33" s="5" customFormat="1">
      <c r="A28" s="5" t="s">
        <v>184</v>
      </c>
      <c r="B28" s="5" t="s">
        <v>51</v>
      </c>
      <c r="C28" s="5" t="s">
        <v>18</v>
      </c>
      <c r="D28" s="5">
        <v>58</v>
      </c>
      <c r="E28" s="5">
        <v>64</v>
      </c>
      <c r="F28" s="5">
        <v>262</v>
      </c>
      <c r="G28" s="5">
        <f t="shared" si="2"/>
        <v>3.6857142857142824</v>
      </c>
      <c r="H28" s="5">
        <f t="shared" si="3"/>
        <v>3.1761904761904725</v>
      </c>
      <c r="I28" s="5">
        <f t="shared" si="4"/>
        <v>3.6971428571428557</v>
      </c>
      <c r="J28" s="5">
        <f t="shared" si="5"/>
        <v>16.588888888888881</v>
      </c>
      <c r="K28" s="5">
        <f t="shared" si="6"/>
        <v>1.9999999999999967</v>
      </c>
      <c r="L28" s="5">
        <f t="shared" si="7"/>
        <v>54.960481099656207</v>
      </c>
      <c r="M28" s="5">
        <f t="shared" si="8"/>
        <v>25.176632302405462</v>
      </c>
      <c r="N28" s="5">
        <f t="shared" si="9"/>
        <v>23.316151202749118</v>
      </c>
      <c r="O28" s="5">
        <f t="shared" si="10"/>
        <v>6.2419243986254145</v>
      </c>
      <c r="P28" s="5">
        <f t="shared" si="11"/>
        <v>1.1601374570446545</v>
      </c>
      <c r="Q28" s="5">
        <f t="shared" si="12"/>
        <v>2.7907216494845053</v>
      </c>
      <c r="R28" s="5">
        <f t="shared" si="13"/>
        <v>71.906478079406369</v>
      </c>
      <c r="S28" s="5">
        <f t="shared" si="14"/>
        <v>17.644554632040791</v>
      </c>
      <c r="U28" s="5">
        <v>6.3546798029556595E-2</v>
      </c>
      <c r="V28" s="5">
        <v>5.4761904761904699E-2</v>
      </c>
      <c r="W28" s="5">
        <v>6.3743842364531997E-2</v>
      </c>
      <c r="X28" s="6" t="s">
        <v>185</v>
      </c>
      <c r="Y28" s="5">
        <v>3.4482758620689599E-2</v>
      </c>
      <c r="Z28" s="6" t="s">
        <v>186</v>
      </c>
      <c r="AA28" s="5">
        <v>9.6094016421394896E-2</v>
      </c>
      <c r="AB28" s="5">
        <v>8.8992943521943202E-2</v>
      </c>
      <c r="AC28" s="5">
        <v>2.3824138926051199E-2</v>
      </c>
      <c r="AD28" s="5">
        <v>4.4280055612391398E-3</v>
      </c>
      <c r="AE28" s="5">
        <v>1.0651609349177501E-2</v>
      </c>
      <c r="AF28" s="6" t="s">
        <v>187</v>
      </c>
      <c r="AG28" s="5">
        <v>6.7345628366567906E-2</v>
      </c>
    </row>
    <row r="29" spans="1:33" s="5" customFormat="1">
      <c r="A29" s="5" t="s">
        <v>188</v>
      </c>
      <c r="B29" s="5" t="s">
        <v>17</v>
      </c>
      <c r="C29" s="5" t="s">
        <v>18</v>
      </c>
      <c r="D29" s="5">
        <v>65</v>
      </c>
      <c r="E29" s="5">
        <v>66.099999999999994</v>
      </c>
      <c r="F29" s="5">
        <v>274</v>
      </c>
      <c r="G29" s="5">
        <f t="shared" si="2"/>
        <v>4.8588235294117617</v>
      </c>
      <c r="H29" s="5">
        <f t="shared" si="3"/>
        <v>5.0073529411764692</v>
      </c>
      <c r="I29" s="5">
        <f t="shared" si="4"/>
        <v>2.9735294117646971</v>
      </c>
      <c r="J29" s="5">
        <f t="shared" si="5"/>
        <v>14.827941176470565</v>
      </c>
      <c r="K29" s="5">
        <f t="shared" si="6"/>
        <v>1.9999999999999956</v>
      </c>
      <c r="L29" s="5">
        <f t="shared" si="7"/>
        <v>57.405882352940992</v>
      </c>
      <c r="M29" s="5">
        <f t="shared" si="8"/>
        <v>27.140399457655374</v>
      </c>
      <c r="N29" s="5">
        <f t="shared" si="9"/>
        <v>24.950067793074645</v>
      </c>
      <c r="O29" s="5">
        <f t="shared" si="10"/>
        <v>5.7588078848560276</v>
      </c>
      <c r="P29" s="5">
        <f t="shared" si="11"/>
        <v>1.488652482269492</v>
      </c>
      <c r="Q29" s="5">
        <f t="shared" si="12"/>
        <v>1.4923289528577215</v>
      </c>
      <c r="R29" s="5">
        <f t="shared" si="13"/>
        <v>66.919112432206674</v>
      </c>
      <c r="S29" s="5">
        <f t="shared" si="14"/>
        <v>22.291791823112188</v>
      </c>
      <c r="U29" s="5">
        <v>7.4751131221719405E-2</v>
      </c>
      <c r="V29" s="5">
        <v>7.7036199095022601E-2</v>
      </c>
      <c r="W29" s="5">
        <v>4.5746606334841497E-2</v>
      </c>
      <c r="X29" s="6" t="s">
        <v>189</v>
      </c>
      <c r="Y29" s="5">
        <v>3.0769230769230702E-2</v>
      </c>
      <c r="Z29" s="6" t="s">
        <v>190</v>
      </c>
      <c r="AA29" s="5">
        <v>9.90525527651656E-2</v>
      </c>
      <c r="AB29" s="5">
        <v>9.1058641580564398E-2</v>
      </c>
      <c r="AC29" s="5">
        <v>2.1017547025021999E-2</v>
      </c>
      <c r="AD29" s="5">
        <v>5.4330382564580001E-3</v>
      </c>
      <c r="AE29" s="5">
        <v>5.4464560323274503E-3</v>
      </c>
      <c r="AF29" s="6" t="s">
        <v>191</v>
      </c>
      <c r="AG29" s="5">
        <v>8.1356904463913096E-2</v>
      </c>
    </row>
    <row r="30" spans="1:33" s="5" customFormat="1">
      <c r="A30" s="5" t="s">
        <v>192</v>
      </c>
      <c r="B30" s="5" t="s">
        <v>96</v>
      </c>
      <c r="C30" s="5" t="s">
        <v>18</v>
      </c>
      <c r="D30" s="5">
        <v>61</v>
      </c>
      <c r="E30" s="5">
        <v>64</v>
      </c>
      <c r="F30" s="5">
        <v>265</v>
      </c>
      <c r="G30" s="5">
        <f t="shared" si="2"/>
        <v>3.7117647058823482</v>
      </c>
      <c r="H30" s="5">
        <f t="shared" si="3"/>
        <v>3.5583333333333251</v>
      </c>
      <c r="I30" s="5">
        <f t="shared" si="4"/>
        <v>6.4970588235293656</v>
      </c>
      <c r="J30" s="5">
        <f t="shared" si="5"/>
        <v>13.16941176470586</v>
      </c>
      <c r="K30" s="5">
        <f t="shared" si="6"/>
        <v>4.9999999999999938</v>
      </c>
      <c r="L30" s="5">
        <f t="shared" si="7"/>
        <v>56.111102480164149</v>
      </c>
      <c r="M30" s="5">
        <f t="shared" si="8"/>
        <v>25.711014714413782</v>
      </c>
      <c r="N30" s="5">
        <f t="shared" si="9"/>
        <v>23.747650440377594</v>
      </c>
      <c r="O30" s="5">
        <f t="shared" si="10"/>
        <v>5.1575272928642866</v>
      </c>
      <c r="P30" s="5">
        <f t="shared" si="11"/>
        <v>1.1700973373441597</v>
      </c>
      <c r="Q30" s="5">
        <f t="shared" si="12"/>
        <v>1.9633642740361605</v>
      </c>
      <c r="R30" s="5">
        <f t="shared" si="13"/>
        <v>65.286625383719624</v>
      </c>
      <c r="S30" s="5">
        <f t="shared" si="14"/>
        <v>20.310495395363578</v>
      </c>
      <c r="U30" s="5">
        <v>6.0848601735776199E-2</v>
      </c>
      <c r="V30" s="6" t="s">
        <v>193</v>
      </c>
      <c r="W30" s="6" t="s">
        <v>194</v>
      </c>
      <c r="X30" s="6" t="s">
        <v>195</v>
      </c>
      <c r="Y30" s="5">
        <v>8.1967213114753995E-2</v>
      </c>
      <c r="Z30" s="6" t="s">
        <v>196</v>
      </c>
      <c r="AA30" s="5">
        <v>9.70226970355237E-2</v>
      </c>
      <c r="AB30" s="5">
        <v>8.9613775246707897E-2</v>
      </c>
      <c r="AC30" s="5">
        <v>1.9462367142884102E-2</v>
      </c>
      <c r="AD30" s="5">
        <v>4.4154616503553198E-3</v>
      </c>
      <c r="AE30" s="5">
        <v>7.4089217888157E-3</v>
      </c>
      <c r="AF30" s="6" t="s">
        <v>197</v>
      </c>
      <c r="AG30" s="5">
        <v>7.6643378850428601E-2</v>
      </c>
    </row>
    <row r="31" spans="1:33" s="5" customFormat="1">
      <c r="A31" s="5" t="s">
        <v>198</v>
      </c>
      <c r="B31" s="5" t="s">
        <v>148</v>
      </c>
      <c r="C31" s="5" t="s">
        <v>18</v>
      </c>
      <c r="D31" s="5">
        <v>55</v>
      </c>
      <c r="E31" s="5">
        <v>56.1</v>
      </c>
      <c r="F31" s="5">
        <v>239</v>
      </c>
      <c r="G31" s="5">
        <f t="shared" si="2"/>
        <v>2.9624999999999964</v>
      </c>
      <c r="H31" s="5">
        <f t="shared" si="3"/>
        <v>4.1577380952380896</v>
      </c>
      <c r="I31" s="5">
        <f t="shared" si="4"/>
        <v>7.9857142860000003</v>
      </c>
      <c r="J31" s="5">
        <f t="shared" si="5"/>
        <v>10.785714285714279</v>
      </c>
      <c r="K31" s="5">
        <f t="shared" si="6"/>
        <v>1.9999999999999964</v>
      </c>
      <c r="L31" s="5">
        <f t="shared" si="7"/>
        <v>45.451005086599999</v>
      </c>
      <c r="M31" s="5">
        <f t="shared" si="8"/>
        <v>27.11031027795725</v>
      </c>
      <c r="N31" s="5">
        <f t="shared" si="9"/>
        <v>24.79544279250155</v>
      </c>
      <c r="O31" s="5">
        <f t="shared" si="10"/>
        <v>6.9917905623787719</v>
      </c>
      <c r="P31" s="5">
        <f t="shared" si="11"/>
        <v>0</v>
      </c>
      <c r="Q31" s="5">
        <f t="shared" si="12"/>
        <v>3.2714608920490935</v>
      </c>
      <c r="R31" s="5">
        <f t="shared" si="13"/>
        <v>67.554249547920378</v>
      </c>
      <c r="S31" s="5">
        <f t="shared" si="14"/>
        <v>26.626663420967148</v>
      </c>
      <c r="U31" s="5">
        <v>5.3863636363636301E-2</v>
      </c>
      <c r="V31" s="5">
        <v>7.5595238095237993E-2</v>
      </c>
      <c r="W31" s="5">
        <v>0.1451948052</v>
      </c>
      <c r="X31" s="6" t="s">
        <v>199</v>
      </c>
      <c r="Y31" s="5">
        <v>3.6363636363636299E-2</v>
      </c>
      <c r="Z31" s="5">
        <v>0.19017156939999999</v>
      </c>
      <c r="AA31" s="6" t="s">
        <v>200</v>
      </c>
      <c r="AB31" s="6" t="s">
        <v>201</v>
      </c>
      <c r="AC31" s="6" t="s">
        <v>202</v>
      </c>
      <c r="AE31" s="5">
        <v>1.36881208872347E-2</v>
      </c>
      <c r="AF31" s="6" t="s">
        <v>203</v>
      </c>
      <c r="AG31" s="6" t="s">
        <v>204</v>
      </c>
    </row>
    <row r="32" spans="1:33" s="5" customFormat="1">
      <c r="A32" s="5" t="s">
        <v>205</v>
      </c>
      <c r="B32" s="5" t="s">
        <v>104</v>
      </c>
      <c r="C32" s="5" t="s">
        <v>18</v>
      </c>
      <c r="D32" s="5">
        <v>67</v>
      </c>
      <c r="E32" s="5">
        <v>68.2</v>
      </c>
      <c r="F32" s="5">
        <v>286</v>
      </c>
      <c r="G32" s="5">
        <f t="shared" si="2"/>
        <v>3.8055555555555474</v>
      </c>
      <c r="H32" s="5">
        <f t="shared" si="3"/>
        <v>1.5311868686868584</v>
      </c>
      <c r="I32" s="5">
        <f t="shared" si="4"/>
        <v>16.336111111111059</v>
      </c>
      <c r="J32" s="5">
        <f t="shared" si="5"/>
        <v>11.875378787878725</v>
      </c>
      <c r="K32" s="5">
        <f t="shared" si="6"/>
        <v>2.9999999999999951</v>
      </c>
      <c r="L32" s="5">
        <f t="shared" si="7"/>
        <v>50.627997836450604</v>
      </c>
      <c r="M32" s="5">
        <f t="shared" si="8"/>
        <v>26.009448442393644</v>
      </c>
      <c r="N32" s="5">
        <f t="shared" si="9"/>
        <v>23.808745547134606</v>
      </c>
      <c r="O32" s="5">
        <f t="shared" si="10"/>
        <v>5.285863198412482</v>
      </c>
      <c r="P32" s="5">
        <f t="shared" si="11"/>
        <v>1.9767173546853476</v>
      </c>
      <c r="Q32" s="5">
        <f t="shared" si="12"/>
        <v>4.3494393573528614</v>
      </c>
      <c r="R32" s="5">
        <f t="shared" si="13"/>
        <v>82.841971433055974</v>
      </c>
      <c r="S32" s="5">
        <f t="shared" si="14"/>
        <v>31.697818238894808</v>
      </c>
      <c r="U32" s="5">
        <v>5.6799336650082799E-2</v>
      </c>
      <c r="V32" s="6" t="s">
        <v>206</v>
      </c>
      <c r="W32" s="6" t="s">
        <v>207</v>
      </c>
      <c r="X32" s="6" t="s">
        <v>208</v>
      </c>
      <c r="Y32" s="5">
        <v>4.4776119402985003E-2</v>
      </c>
      <c r="Z32" s="6" t="s">
        <v>209</v>
      </c>
      <c r="AA32" s="5">
        <v>9.0942127420956795E-2</v>
      </c>
      <c r="AB32" s="5">
        <v>8.3247362052918203E-2</v>
      </c>
      <c r="AC32" s="6" t="s">
        <v>210</v>
      </c>
      <c r="AD32" s="5">
        <v>6.9115991422564601E-3</v>
      </c>
      <c r="AE32" s="5">
        <v>1.52078299208142E-2</v>
      </c>
      <c r="AF32" s="6" t="s">
        <v>211</v>
      </c>
      <c r="AG32" s="6" t="s">
        <v>212</v>
      </c>
    </row>
    <row r="33" spans="1:37" s="5" customFormat="1">
      <c r="A33" s="5" t="s">
        <v>213</v>
      </c>
      <c r="B33" s="5" t="s">
        <v>66</v>
      </c>
      <c r="C33" s="5" t="s">
        <v>18</v>
      </c>
      <c r="D33" s="5">
        <v>65</v>
      </c>
      <c r="E33" s="5">
        <v>67.099999999999994</v>
      </c>
      <c r="F33" s="5">
        <v>279</v>
      </c>
      <c r="G33" s="5">
        <f t="shared" si="2"/>
        <v>3.5764705882352916</v>
      </c>
      <c r="H33" s="5">
        <f t="shared" si="3"/>
        <v>2.1846760443307733</v>
      </c>
      <c r="I33" s="5">
        <f t="shared" si="4"/>
        <v>7.7735294117646756</v>
      </c>
      <c r="J33" s="5">
        <f t="shared" si="5"/>
        <v>16.177216538789409</v>
      </c>
      <c r="K33" s="5">
        <f t="shared" si="6"/>
        <v>3.9999999999999973</v>
      </c>
      <c r="L33" s="5">
        <f t="shared" si="7"/>
        <v>49.848328378575715</v>
      </c>
      <c r="M33" s="5">
        <f t="shared" si="8"/>
        <v>23.944629316056808</v>
      </c>
      <c r="N33" s="5">
        <f t="shared" si="9"/>
        <v>21.785614370904792</v>
      </c>
      <c r="O33" s="5">
        <f t="shared" si="10"/>
        <v>6.3738533460943421</v>
      </c>
      <c r="P33" s="5">
        <f t="shared" si="11"/>
        <v>0.99259065028467452</v>
      </c>
      <c r="Q33" s="5">
        <f t="shared" si="12"/>
        <v>3.7244128690274376</v>
      </c>
      <c r="R33" s="5">
        <f t="shared" si="13"/>
        <v>91.012409954561591</v>
      </c>
      <c r="S33" s="5">
        <f t="shared" si="14"/>
        <v>28.347656047974695</v>
      </c>
      <c r="U33" s="5">
        <v>5.50226244343891E-2</v>
      </c>
      <c r="V33" s="6" t="s">
        <v>214</v>
      </c>
      <c r="W33" s="6" t="s">
        <v>215</v>
      </c>
      <c r="X33" s="6" t="s">
        <v>216</v>
      </c>
      <c r="Y33" s="5">
        <v>6.15384615384615E-2</v>
      </c>
      <c r="Z33" s="6" t="s">
        <v>217</v>
      </c>
      <c r="AA33" s="5">
        <v>8.5823044143572794E-2</v>
      </c>
      <c r="AB33" s="5">
        <v>7.8084639322239399E-2</v>
      </c>
      <c r="AC33" s="5">
        <v>2.28453524949618E-2</v>
      </c>
      <c r="AD33" s="5">
        <v>3.5576725816655001E-3</v>
      </c>
      <c r="AE33" s="5">
        <v>1.3349150068198701E-2</v>
      </c>
      <c r="AF33" s="6" t="s">
        <v>218</v>
      </c>
      <c r="AG33" s="6" t="s">
        <v>219</v>
      </c>
    </row>
    <row r="34" spans="1:37" s="5" customFormat="1">
      <c r="A34" s="5" t="s">
        <v>220</v>
      </c>
      <c r="B34" s="5" t="s">
        <v>221</v>
      </c>
      <c r="C34" s="5" t="s">
        <v>18</v>
      </c>
      <c r="D34" s="5">
        <v>62</v>
      </c>
      <c r="E34" s="5">
        <v>61.2</v>
      </c>
      <c r="F34" s="5">
        <v>262</v>
      </c>
      <c r="G34" s="5">
        <f t="shared" si="2"/>
        <v>3.1634920634920589</v>
      </c>
      <c r="H34" s="5">
        <f t="shared" si="3"/>
        <v>3.6730158730158657</v>
      </c>
      <c r="I34" s="5">
        <f t="shared" si="4"/>
        <v>20.736507936507913</v>
      </c>
      <c r="J34" s="5">
        <f t="shared" si="5"/>
        <v>5.9714285714285689</v>
      </c>
      <c r="K34" s="5">
        <f t="shared" si="6"/>
        <v>4.9999999999999947</v>
      </c>
      <c r="L34" s="5">
        <f t="shared" si="7"/>
        <v>51.061506276150574</v>
      </c>
      <c r="M34" s="5">
        <f t="shared" si="8"/>
        <v>29.16931243364748</v>
      </c>
      <c r="N34" s="5">
        <f t="shared" si="9"/>
        <v>27.082033347904581</v>
      </c>
      <c r="O34" s="5">
        <f t="shared" si="10"/>
        <v>7.7830887403984015</v>
      </c>
      <c r="P34" s="5">
        <f t="shared" si="11"/>
        <v>0.99552238805968196</v>
      </c>
      <c r="Q34" s="5">
        <f t="shared" si="12"/>
        <v>2.5828014738025198</v>
      </c>
      <c r="R34" s="5">
        <f t="shared" si="13"/>
        <v>69.452632236307934</v>
      </c>
      <c r="S34" s="5">
        <f t="shared" si="14"/>
        <v>29.213826266158538</v>
      </c>
      <c r="U34" s="6" t="s">
        <v>222</v>
      </c>
      <c r="V34" s="5">
        <v>5.9242191500255899E-2</v>
      </c>
      <c r="W34" s="6" t="s">
        <v>223</v>
      </c>
      <c r="X34" s="5">
        <v>9.63133640552995E-2</v>
      </c>
      <c r="Y34" s="5">
        <v>8.0645161290322495E-2</v>
      </c>
      <c r="Z34" s="6" t="s">
        <v>224</v>
      </c>
      <c r="AA34" s="6" t="s">
        <v>225</v>
      </c>
      <c r="AB34" s="6" t="s">
        <v>226</v>
      </c>
      <c r="AC34" s="5">
        <v>2.9706445574039699E-2</v>
      </c>
      <c r="AD34" s="5">
        <v>3.79970377122016E-3</v>
      </c>
      <c r="AE34" s="5">
        <v>9.8580208923760293E-3</v>
      </c>
      <c r="AF34" s="6" t="s">
        <v>227</v>
      </c>
      <c r="AG34" s="6" t="s">
        <v>228</v>
      </c>
    </row>
    <row r="35" spans="1:37" s="5" customFormat="1">
      <c r="A35" s="5" t="s">
        <v>229</v>
      </c>
      <c r="B35" s="5" t="s">
        <v>230</v>
      </c>
      <c r="C35" s="5" t="s">
        <v>18</v>
      </c>
      <c r="D35" s="5">
        <v>65</v>
      </c>
      <c r="E35" s="5">
        <v>65.2</v>
      </c>
      <c r="F35" s="5">
        <v>265</v>
      </c>
      <c r="G35" s="5">
        <f t="shared" si="2"/>
        <v>4.1104477611940275</v>
      </c>
      <c r="H35" s="5">
        <f t="shared" si="3"/>
        <v>2.8890474100087729</v>
      </c>
      <c r="I35" s="5">
        <f t="shared" si="4"/>
        <v>14.32835820895518</v>
      </c>
      <c r="J35" s="5">
        <f t="shared" si="5"/>
        <v>11.822212467076376</v>
      </c>
      <c r="K35" s="5">
        <f t="shared" si="6"/>
        <v>5.9999999999999991</v>
      </c>
      <c r="L35" s="5">
        <f t="shared" si="7"/>
        <v>52.100431634642142</v>
      </c>
      <c r="M35" s="5">
        <f t="shared" si="8"/>
        <v>23.117987275882005</v>
      </c>
      <c r="N35" s="5">
        <f t="shared" si="9"/>
        <v>21.133468286099827</v>
      </c>
      <c r="O35" s="5">
        <f t="shared" si="10"/>
        <v>5.9359745517640121</v>
      </c>
      <c r="P35" s="5">
        <f t="shared" si="11"/>
        <v>1.6827228327228239</v>
      </c>
      <c r="Q35" s="5">
        <f t="shared" si="12"/>
        <v>1.9845189897821416</v>
      </c>
      <c r="R35" s="5">
        <f t="shared" si="13"/>
        <v>85.491939407341647</v>
      </c>
      <c r="S35" s="5">
        <f t="shared" si="14"/>
        <v>18.462406729053985</v>
      </c>
      <c r="U35" s="5">
        <v>6.3237657864523497E-2</v>
      </c>
      <c r="V35" s="6" t="s">
        <v>231</v>
      </c>
      <c r="W35" s="6" t="s">
        <v>232</v>
      </c>
      <c r="X35" s="6" t="s">
        <v>233</v>
      </c>
      <c r="Y35" s="5">
        <v>9.2307692307692299E-2</v>
      </c>
      <c r="Z35" s="6" t="s">
        <v>234</v>
      </c>
      <c r="AA35" s="5">
        <v>8.7237687833517E-2</v>
      </c>
      <c r="AB35" s="5">
        <v>7.9748936928678599E-2</v>
      </c>
      <c r="AC35" s="5">
        <v>2.23999039689208E-2</v>
      </c>
      <c r="AD35" s="5">
        <v>6.3498974819729201E-3</v>
      </c>
      <c r="AE35" s="5">
        <v>7.48875090483827E-3</v>
      </c>
      <c r="AF35" s="6" t="s">
        <v>235</v>
      </c>
      <c r="AG35" s="5">
        <v>6.9669459354920693E-2</v>
      </c>
    </row>
    <row r="36" spans="1:37" s="5" customFormat="1">
      <c r="A36" s="5" t="s">
        <v>236</v>
      </c>
      <c r="B36" s="5" t="s">
        <v>237</v>
      </c>
      <c r="C36" s="5" t="s">
        <v>18</v>
      </c>
      <c r="D36" s="5">
        <v>62</v>
      </c>
      <c r="E36" s="5">
        <v>61.2</v>
      </c>
      <c r="F36" s="5">
        <v>257</v>
      </c>
      <c r="G36" s="5">
        <f t="shared" si="2"/>
        <v>3.6218749999999988</v>
      </c>
      <c r="H36" s="5">
        <f t="shared" si="3"/>
        <v>3.6468749999999921</v>
      </c>
      <c r="I36" s="5">
        <f t="shared" si="4"/>
        <v>17.474999999999973</v>
      </c>
      <c r="J36" s="5">
        <f t="shared" si="5"/>
        <v>7.4437499999999543</v>
      </c>
      <c r="K36" s="5">
        <f t="shared" si="6"/>
        <v>4.9999999999999947</v>
      </c>
      <c r="L36" s="5">
        <f t="shared" si="7"/>
        <v>52.942940258265814</v>
      </c>
      <c r="M36" s="5">
        <f t="shared" si="8"/>
        <v>26.479272415744784</v>
      </c>
      <c r="N36" s="5">
        <f t="shared" si="9"/>
        <v>24.439503113191652</v>
      </c>
      <c r="O36" s="5">
        <f t="shared" si="10"/>
        <v>6.579159208775037</v>
      </c>
      <c r="P36" s="5">
        <f t="shared" si="11"/>
        <v>1.9729607315301292</v>
      </c>
      <c r="Q36" s="5">
        <f t="shared" si="12"/>
        <v>2.0397693025532644</v>
      </c>
      <c r="R36" s="5">
        <f t="shared" si="13"/>
        <v>67.260785578281229</v>
      </c>
      <c r="S36" s="5">
        <f t="shared" si="14"/>
        <v>21.784858116823266</v>
      </c>
      <c r="U36" s="5">
        <v>5.8417338709677399E-2</v>
      </c>
      <c r="V36" s="5">
        <v>5.8820564516128902E-2</v>
      </c>
      <c r="W36" s="6" t="s">
        <v>238</v>
      </c>
      <c r="X36" s="6" t="s">
        <v>239</v>
      </c>
      <c r="Y36" s="5">
        <v>8.0645161290322495E-2</v>
      </c>
      <c r="Z36" s="6" t="s">
        <v>240</v>
      </c>
      <c r="AA36" s="6" t="s">
        <v>241</v>
      </c>
      <c r="AB36" s="5">
        <v>9.5095342852885803E-2</v>
      </c>
      <c r="AC36" s="5">
        <v>2.5599841279280298E-2</v>
      </c>
      <c r="AD36" s="5">
        <v>7.6768900059538099E-3</v>
      </c>
      <c r="AE36" s="5">
        <v>7.9368455352267098E-3</v>
      </c>
      <c r="AF36" s="6" t="s">
        <v>242</v>
      </c>
      <c r="AG36" s="5">
        <v>8.4765984890362897E-2</v>
      </c>
    </row>
    <row r="37" spans="1:37" s="5" customFormat="1">
      <c r="A37" s="5" t="s">
        <v>243</v>
      </c>
      <c r="B37" s="5" t="s">
        <v>230</v>
      </c>
      <c r="C37" s="5" t="s">
        <v>18</v>
      </c>
      <c r="D37" s="5">
        <v>63</v>
      </c>
      <c r="E37" s="5">
        <v>68.099999999999994</v>
      </c>
      <c r="F37" s="5">
        <v>283</v>
      </c>
      <c r="G37" s="5">
        <f t="shared" si="2"/>
        <v>3.8161764705882257</v>
      </c>
      <c r="H37" s="5">
        <f t="shared" si="3"/>
        <v>3.7105932203389793</v>
      </c>
      <c r="I37" s="5">
        <f t="shared" si="4"/>
        <v>11.823529411764694</v>
      </c>
      <c r="J37" s="5">
        <f t="shared" si="5"/>
        <v>13.406505483549338</v>
      </c>
      <c r="K37" s="5">
        <f t="shared" si="6"/>
        <v>1.9999999999999973</v>
      </c>
      <c r="L37" s="5">
        <f t="shared" si="7"/>
        <v>54.485844535359327</v>
      </c>
      <c r="M37" s="5">
        <f t="shared" si="8"/>
        <v>29.649068990212378</v>
      </c>
      <c r="N37" s="5">
        <f t="shared" si="9"/>
        <v>27.691155407018357</v>
      </c>
      <c r="O37" s="5">
        <f t="shared" si="10"/>
        <v>8.8074421102888323</v>
      </c>
      <c r="P37" s="5">
        <f t="shared" si="11"/>
        <v>1.9841087906750676</v>
      </c>
      <c r="Q37" s="5">
        <f t="shared" si="12"/>
        <v>4.6758534256385413</v>
      </c>
      <c r="R37" s="5">
        <f t="shared" si="13"/>
        <v>82.258480502548053</v>
      </c>
      <c r="S37" s="5">
        <f t="shared" si="14"/>
        <v>25.174046837621649</v>
      </c>
      <c r="U37" s="6" t="s">
        <v>244</v>
      </c>
      <c r="V37" s="6" t="s">
        <v>245</v>
      </c>
      <c r="W37" s="6" t="s">
        <v>246</v>
      </c>
      <c r="X37" s="6" t="s">
        <v>247</v>
      </c>
      <c r="Y37" s="5">
        <v>3.1746031746031703E-2</v>
      </c>
      <c r="Z37" s="6" t="s">
        <v>248</v>
      </c>
      <c r="AA37" s="6" t="s">
        <v>249</v>
      </c>
      <c r="AB37" s="5">
        <v>9.78486056785101E-2</v>
      </c>
      <c r="AC37" s="5">
        <v>3.1121703569925201E-2</v>
      </c>
      <c r="AD37" s="5">
        <v>7.0109851260603097E-3</v>
      </c>
      <c r="AE37" s="6" t="s">
        <v>250</v>
      </c>
      <c r="AF37" s="6" t="s">
        <v>251</v>
      </c>
      <c r="AG37" s="5">
        <v>8.8954229108203706E-2</v>
      </c>
    </row>
    <row r="38" spans="1:37" s="5" customFormat="1">
      <c r="A38" s="5" t="s">
        <v>252</v>
      </c>
      <c r="B38" s="5" t="s">
        <v>253</v>
      </c>
      <c r="C38" s="5" t="s">
        <v>18</v>
      </c>
      <c r="D38" s="5">
        <v>61</v>
      </c>
      <c r="E38" s="5">
        <v>63.1</v>
      </c>
      <c r="F38" s="5">
        <v>275</v>
      </c>
      <c r="G38" s="5">
        <f t="shared" si="2"/>
        <v>2.9333333333333287</v>
      </c>
      <c r="H38" s="5">
        <f t="shared" si="3"/>
        <v>2.4548085901027052</v>
      </c>
      <c r="I38" s="5">
        <f t="shared" si="4"/>
        <v>15.898412698412681</v>
      </c>
      <c r="J38" s="5">
        <f t="shared" si="5"/>
        <v>11.267226890756241</v>
      </c>
      <c r="K38" s="5">
        <f t="shared" si="6"/>
        <v>4.9999999999999938</v>
      </c>
      <c r="L38" s="5">
        <f t="shared" si="7"/>
        <v>54.234066264155253</v>
      </c>
      <c r="M38" s="5">
        <f t="shared" si="8"/>
        <v>28.93238025303285</v>
      </c>
      <c r="N38" s="5">
        <f t="shared" si="9"/>
        <v>26.79177107714899</v>
      </c>
      <c r="O38" s="5">
        <f t="shared" si="10"/>
        <v>5.8693668058806274</v>
      </c>
      <c r="P38" s="5">
        <f t="shared" si="11"/>
        <v>2.0111117141073889</v>
      </c>
      <c r="Q38" s="5">
        <f t="shared" si="12"/>
        <v>6.278749215965215</v>
      </c>
      <c r="R38" s="5">
        <f t="shared" si="13"/>
        <v>66.334773662551356</v>
      </c>
      <c r="S38" s="5">
        <f t="shared" si="14"/>
        <v>28.643336964415251</v>
      </c>
      <c r="U38" s="5">
        <v>4.8087431693988998E-2</v>
      </c>
      <c r="V38" s="5">
        <v>4.0242763772175498E-2</v>
      </c>
      <c r="W38" s="6" t="s">
        <v>254</v>
      </c>
      <c r="X38" s="6" t="s">
        <v>255</v>
      </c>
      <c r="Y38" s="5">
        <v>8.1967213114753995E-2</v>
      </c>
      <c r="Z38" s="6" t="s">
        <v>256</v>
      </c>
      <c r="AA38" s="6" t="s">
        <v>257</v>
      </c>
      <c r="AB38" s="5">
        <v>9.7424622098723601E-2</v>
      </c>
      <c r="AC38" s="5">
        <v>2.13431520213841E-2</v>
      </c>
      <c r="AD38" s="5">
        <v>7.3131335058450502E-3</v>
      </c>
      <c r="AE38" s="5">
        <v>2.2831815330782601E-2</v>
      </c>
      <c r="AF38" s="6" t="s">
        <v>258</v>
      </c>
      <c r="AG38" s="6" t="s">
        <v>259</v>
      </c>
    </row>
    <row r="39" spans="1:37">
      <c r="B39" s="3"/>
      <c r="X39" s="2"/>
      <c r="Y39" s="2"/>
      <c r="Z39" s="2"/>
      <c r="AA39" s="2"/>
      <c r="AB39" s="2"/>
      <c r="AD39" s="2"/>
      <c r="AE39" s="2"/>
      <c r="AF39" s="2"/>
      <c r="AG39" s="2"/>
      <c r="AH39" s="2"/>
      <c r="AI39" s="2"/>
      <c r="AJ39" s="1"/>
      <c r="AK39" s="1"/>
    </row>
    <row r="40" spans="1:37">
      <c r="B40" s="3"/>
      <c r="X40" s="2"/>
      <c r="Y40" s="2"/>
      <c r="Z40" s="2"/>
      <c r="AA40" s="2"/>
      <c r="AB40" s="2"/>
      <c r="AD40" s="2"/>
      <c r="AE40" s="2"/>
      <c r="AF40" s="2"/>
      <c r="AG40" s="2"/>
      <c r="AH40" s="2"/>
      <c r="AI40" s="2"/>
      <c r="AJ40" s="1"/>
      <c r="AK40" s="1"/>
    </row>
    <row r="41" spans="1:37">
      <c r="X41" s="2"/>
      <c r="Y41" s="2"/>
      <c r="Z41" s="2"/>
      <c r="AA41" s="2"/>
      <c r="AB41" s="2"/>
      <c r="AD41" s="2"/>
      <c r="AE41" s="2"/>
      <c r="AF41" s="2"/>
      <c r="AG41" s="2"/>
      <c r="AH41" s="2"/>
      <c r="AI41" s="2"/>
      <c r="AJ41" s="1"/>
      <c r="AK41" s="1"/>
    </row>
    <row r="42" spans="1:37">
      <c r="X42" s="2"/>
      <c r="Y42" s="2"/>
      <c r="Z42" s="2"/>
      <c r="AA42" s="2"/>
      <c r="AB42" s="2"/>
      <c r="AD42" s="2"/>
      <c r="AE42" s="2"/>
      <c r="AF42" s="2"/>
      <c r="AG42" s="2"/>
      <c r="AH42" s="2"/>
      <c r="AI42" s="2"/>
      <c r="AJ42" s="1"/>
      <c r="AK42" s="1"/>
    </row>
    <row r="43" spans="1:37">
      <c r="X43" s="2"/>
      <c r="Y43" s="2"/>
      <c r="Z43" s="2"/>
      <c r="AA43" s="2"/>
      <c r="AB43" s="2"/>
      <c r="AD43" s="2"/>
      <c r="AE43" s="2"/>
      <c r="AF43" s="2"/>
      <c r="AG43" s="2"/>
      <c r="AH43" s="2"/>
      <c r="AI43" s="2"/>
      <c r="AJ43" s="1"/>
      <c r="AK43" s="1"/>
    </row>
    <row r="44" spans="1:37">
      <c r="B44" s="3"/>
      <c r="X44" s="2"/>
      <c r="Y44" s="2"/>
      <c r="Z44" s="2"/>
      <c r="AA44" s="2"/>
      <c r="AB44" s="2"/>
      <c r="AD44" s="2"/>
      <c r="AE44" s="2"/>
      <c r="AF44" s="2"/>
      <c r="AG44" s="2"/>
      <c r="AH44" s="2"/>
      <c r="AI44" s="2"/>
      <c r="AJ44" s="1"/>
      <c r="AK44" s="1"/>
    </row>
    <row r="45" spans="1:37">
      <c r="B45" s="3"/>
      <c r="X45" s="2"/>
      <c r="Y45" s="2"/>
      <c r="Z45" s="2"/>
      <c r="AA45" s="2"/>
      <c r="AB45" s="2"/>
      <c r="AD45" s="2"/>
      <c r="AE45" s="2"/>
      <c r="AF45" s="2"/>
      <c r="AG45" s="2"/>
      <c r="AH45" s="2"/>
      <c r="AI45" s="2"/>
      <c r="AJ45" s="1"/>
      <c r="AK45" s="1"/>
    </row>
    <row r="46" spans="1:37">
      <c r="B46" s="3"/>
      <c r="X46" s="2"/>
      <c r="Y46" s="2"/>
      <c r="Z46" s="2"/>
      <c r="AA46" s="2"/>
      <c r="AB46" s="2"/>
      <c r="AD46" s="2"/>
      <c r="AE46" s="2"/>
      <c r="AF46" s="2"/>
      <c r="AG46" s="2"/>
      <c r="AH46" s="2"/>
      <c r="AI46" s="2"/>
      <c r="AJ46" s="1"/>
      <c r="AK46" s="1"/>
    </row>
    <row r="47" spans="1:37">
      <c r="B47" s="3"/>
      <c r="X47" s="2"/>
      <c r="Y47" s="2"/>
      <c r="Z47" s="2"/>
      <c r="AA47" s="2"/>
      <c r="AB47" s="2"/>
      <c r="AD47" s="2"/>
      <c r="AE47" s="2"/>
      <c r="AF47" s="2"/>
      <c r="AG47" s="2"/>
      <c r="AH47" s="2"/>
      <c r="AI47" s="2"/>
      <c r="AJ47" s="1"/>
      <c r="AK47" s="1"/>
    </row>
    <row r="48" spans="1:37">
      <c r="B48" s="3"/>
      <c r="X48" s="2"/>
      <c r="Y48" s="2"/>
      <c r="Z48" s="2"/>
      <c r="AA48" s="2"/>
      <c r="AB48" s="2"/>
      <c r="AD48" s="2"/>
      <c r="AE48" s="2"/>
      <c r="AF48" s="2"/>
      <c r="AG48" s="2"/>
      <c r="AH48" s="2"/>
      <c r="AI48" s="2"/>
      <c r="AJ48" s="1"/>
      <c r="AK48" s="1"/>
    </row>
    <row r="49" spans="2:37">
      <c r="X49" s="2"/>
      <c r="Y49" s="2"/>
      <c r="Z49" s="2"/>
      <c r="AA49" s="2"/>
      <c r="AB49" s="2"/>
      <c r="AD49" s="2"/>
      <c r="AE49" s="2"/>
      <c r="AF49" s="2"/>
      <c r="AG49" s="2"/>
      <c r="AH49" s="2"/>
      <c r="AI49" s="2"/>
      <c r="AJ49" s="1"/>
      <c r="AK49" s="1"/>
    </row>
    <row r="50" spans="2:37">
      <c r="X50" s="2"/>
      <c r="Y50" s="2"/>
      <c r="Z50" s="2"/>
      <c r="AA50" s="2"/>
      <c r="AB50" s="2"/>
      <c r="AD50" s="2"/>
      <c r="AE50" s="2"/>
      <c r="AF50" s="2"/>
      <c r="AG50" s="2"/>
      <c r="AH50" s="2"/>
      <c r="AI50" s="2"/>
      <c r="AJ50" s="1"/>
      <c r="AK50" s="1"/>
    </row>
    <row r="51" spans="2:37">
      <c r="X51" s="2"/>
      <c r="Y51" s="2"/>
      <c r="Z51" s="2"/>
      <c r="AA51" s="2"/>
      <c r="AB51" s="2"/>
      <c r="AD51" s="2"/>
      <c r="AE51" s="2"/>
      <c r="AF51" s="2"/>
      <c r="AG51" s="2"/>
      <c r="AH51" s="2"/>
      <c r="AI51" s="2"/>
      <c r="AJ51" s="1"/>
      <c r="AK51" s="1"/>
    </row>
    <row r="52" spans="2:37">
      <c r="X52" s="2"/>
      <c r="Y52" s="2"/>
      <c r="Z52" s="2"/>
      <c r="AA52" s="2"/>
      <c r="AB52" s="2"/>
      <c r="AD52" s="2"/>
      <c r="AE52" s="2"/>
      <c r="AF52" s="2"/>
      <c r="AG52" s="2"/>
      <c r="AH52" s="2"/>
      <c r="AI52" s="2"/>
      <c r="AJ52" s="1"/>
      <c r="AK52" s="1"/>
    </row>
    <row r="53" spans="2:37">
      <c r="B53" s="3"/>
      <c r="X53" s="2"/>
      <c r="Y53" s="2"/>
      <c r="Z53" s="2"/>
      <c r="AA53" s="2"/>
      <c r="AB53" s="2"/>
      <c r="AD53" s="2"/>
      <c r="AE53" s="2"/>
      <c r="AF53" s="2"/>
      <c r="AG53" s="2"/>
      <c r="AH53" s="2"/>
      <c r="AI53" s="2"/>
      <c r="AJ53" s="1"/>
      <c r="AK53" s="1"/>
    </row>
    <row r="54" spans="2:37">
      <c r="B54" s="3"/>
      <c r="X54" s="2"/>
      <c r="Y54" s="2"/>
      <c r="Z54" s="2"/>
      <c r="AA54" s="2"/>
      <c r="AB54" s="2"/>
      <c r="AD54" s="2"/>
      <c r="AE54" s="2"/>
      <c r="AF54" s="2"/>
      <c r="AG54" s="2"/>
      <c r="AH54" s="2"/>
      <c r="AI54" s="2"/>
      <c r="AJ54" s="1"/>
      <c r="AK54" s="1"/>
    </row>
    <row r="55" spans="2:37">
      <c r="B55" s="3"/>
      <c r="X55" s="2"/>
      <c r="Y55" s="2"/>
      <c r="Z55" s="2"/>
      <c r="AA55" s="2"/>
      <c r="AB55" s="2"/>
      <c r="AD55" s="2"/>
      <c r="AE55" s="2"/>
      <c r="AF55" s="2"/>
      <c r="AG55" s="2"/>
      <c r="AH55" s="2"/>
      <c r="AI55" s="2"/>
      <c r="AJ55" s="1"/>
      <c r="AK55" s="1"/>
    </row>
    <row r="56" spans="2:37">
      <c r="X56" s="2"/>
      <c r="Y56" s="2"/>
      <c r="Z56" s="2"/>
      <c r="AA56" s="2"/>
      <c r="AB56" s="2"/>
      <c r="AD56" s="2"/>
      <c r="AE56" s="2"/>
      <c r="AF56" s="2"/>
      <c r="AG56" s="2"/>
      <c r="AH56" s="2"/>
      <c r="AI56" s="2"/>
      <c r="AJ56" s="1"/>
      <c r="AK56" s="1"/>
    </row>
    <row r="57" spans="2:37">
      <c r="B57" s="3"/>
      <c r="X57" s="2"/>
      <c r="Y57" s="2"/>
      <c r="Z57" s="2"/>
      <c r="AA57" s="2"/>
      <c r="AB57" s="2"/>
      <c r="AD57" s="2"/>
      <c r="AE57" s="2"/>
      <c r="AF57" s="2"/>
      <c r="AG57" s="2"/>
      <c r="AH57" s="2"/>
      <c r="AI57" s="2"/>
      <c r="AJ57" s="1"/>
      <c r="AK57" s="1"/>
    </row>
    <row r="58" spans="2:37">
      <c r="X58" s="2"/>
      <c r="Y58" s="2"/>
      <c r="Z58" s="2"/>
      <c r="AA58" s="2"/>
      <c r="AB58" s="2"/>
      <c r="AD58" s="2"/>
      <c r="AE58" s="2"/>
      <c r="AF58" s="2"/>
      <c r="AG58" s="2"/>
      <c r="AH58" s="2"/>
      <c r="AI58" s="2"/>
      <c r="AJ58" s="1"/>
      <c r="AK58" s="1"/>
    </row>
    <row r="59" spans="2:37">
      <c r="B59" s="3"/>
      <c r="X59" s="2"/>
      <c r="Y59" s="2"/>
      <c r="Z59" s="2"/>
      <c r="AA59" s="2"/>
      <c r="AB59" s="2"/>
      <c r="AD59" s="2"/>
      <c r="AE59" s="2"/>
      <c r="AF59" s="2"/>
      <c r="AG59" s="2"/>
      <c r="AH59" s="2"/>
      <c r="AI59" s="2"/>
      <c r="AJ59" s="1"/>
      <c r="AK59" s="1"/>
    </row>
    <row r="60" spans="2:37">
      <c r="B60" s="3"/>
      <c r="X60" s="2"/>
      <c r="Y60" s="2"/>
      <c r="Z60" s="2"/>
      <c r="AA60" s="2"/>
      <c r="AB60" s="2"/>
      <c r="AD60" s="2"/>
      <c r="AE60" s="2"/>
      <c r="AF60" s="2"/>
      <c r="AG60" s="2"/>
      <c r="AH60" s="2"/>
      <c r="AI60" s="2"/>
      <c r="AJ60" s="1"/>
      <c r="AK60" s="1"/>
    </row>
    <row r="61" spans="2:37">
      <c r="B61" s="3"/>
      <c r="X61" s="2"/>
      <c r="Y61" s="2"/>
      <c r="Z61" s="2"/>
      <c r="AA61" s="2"/>
      <c r="AB61" s="2"/>
      <c r="AD61" s="2"/>
      <c r="AE61" s="2"/>
      <c r="AF61" s="2"/>
      <c r="AG61" s="2"/>
      <c r="AH61" s="2"/>
      <c r="AI61" s="2"/>
      <c r="AJ61" s="1"/>
      <c r="AK61" s="1"/>
    </row>
    <row r="62" spans="2:37">
      <c r="X62" s="2"/>
      <c r="Y62" s="2"/>
      <c r="Z62" s="2"/>
      <c r="AA62" s="2"/>
      <c r="AB62" s="2"/>
      <c r="AD62" s="2"/>
      <c r="AE62" s="2"/>
      <c r="AF62" s="2"/>
      <c r="AG62" s="2"/>
      <c r="AH62" s="2"/>
      <c r="AI62" s="2"/>
      <c r="AJ62" s="1"/>
      <c r="AK62" s="1"/>
    </row>
    <row r="63" spans="2:37">
      <c r="B63" s="4"/>
      <c r="X63" s="2"/>
      <c r="Y63" s="2"/>
      <c r="Z63" s="2"/>
      <c r="AA63" s="2"/>
      <c r="AB63" s="2"/>
      <c r="AD63" s="2"/>
      <c r="AE63" s="2"/>
      <c r="AF63" s="2"/>
      <c r="AG63" s="2"/>
      <c r="AH63" s="2"/>
      <c r="AI63" s="2"/>
      <c r="AJ63" s="1"/>
      <c r="AK63" s="1"/>
    </row>
    <row r="64" spans="2:37">
      <c r="B64" s="3"/>
      <c r="X64" s="2"/>
      <c r="Y64" s="2"/>
      <c r="Z64" s="2"/>
      <c r="AA64" s="2"/>
      <c r="AB64" s="2"/>
      <c r="AD64" s="2"/>
      <c r="AE64" s="2"/>
      <c r="AF64" s="2"/>
      <c r="AG64" s="2"/>
      <c r="AH64" s="2"/>
      <c r="AI64" s="2"/>
      <c r="AJ64" s="1"/>
      <c r="AK64" s="1"/>
    </row>
    <row r="65" spans="2:37">
      <c r="X65" s="2"/>
      <c r="Y65" s="2"/>
      <c r="Z65" s="2"/>
      <c r="AA65" s="2"/>
      <c r="AB65" s="2"/>
      <c r="AD65" s="2"/>
      <c r="AE65" s="2"/>
      <c r="AF65" s="2"/>
      <c r="AG65" s="2"/>
      <c r="AH65" s="2"/>
      <c r="AI65" s="2"/>
      <c r="AJ65" s="1"/>
      <c r="AK65" s="1"/>
    </row>
    <row r="66" spans="2:37">
      <c r="X66" s="2"/>
      <c r="Y66" s="2"/>
      <c r="Z66" s="2"/>
      <c r="AA66" s="2"/>
      <c r="AB66" s="2"/>
      <c r="AD66" s="2"/>
      <c r="AE66" s="2"/>
      <c r="AF66" s="2"/>
      <c r="AG66" s="2"/>
      <c r="AH66" s="2"/>
      <c r="AI66" s="2"/>
      <c r="AJ66" s="1"/>
      <c r="AK66" s="1"/>
    </row>
    <row r="67" spans="2:37">
      <c r="X67" s="2"/>
      <c r="Y67" s="2"/>
      <c r="Z67" s="2"/>
      <c r="AA67" s="2"/>
      <c r="AB67" s="2"/>
      <c r="AD67" s="2"/>
      <c r="AE67" s="2"/>
      <c r="AF67" s="2"/>
      <c r="AG67" s="2"/>
      <c r="AH67" s="2"/>
      <c r="AI67" s="2"/>
      <c r="AJ67" s="1"/>
      <c r="AK67" s="1"/>
    </row>
    <row r="68" spans="2:37">
      <c r="X68" s="2"/>
      <c r="Y68" s="2"/>
      <c r="Z68" s="2"/>
      <c r="AA68" s="2"/>
      <c r="AB68" s="2"/>
      <c r="AD68" s="2"/>
      <c r="AE68" s="2"/>
      <c r="AF68" s="2"/>
      <c r="AG68" s="2"/>
      <c r="AH68" s="2"/>
      <c r="AI68" s="2"/>
      <c r="AJ68" s="1"/>
      <c r="AK68" s="1"/>
    </row>
    <row r="69" spans="2:37">
      <c r="X69" s="2"/>
      <c r="Y69" s="2"/>
      <c r="Z69" s="2"/>
      <c r="AA69" s="2"/>
      <c r="AB69" s="2"/>
      <c r="AD69" s="2"/>
      <c r="AE69" s="2"/>
      <c r="AF69" s="2"/>
      <c r="AG69" s="2"/>
      <c r="AH69" s="2"/>
      <c r="AI69" s="2"/>
      <c r="AJ69" s="1"/>
      <c r="AK69" s="1"/>
    </row>
    <row r="70" spans="2:37">
      <c r="X70" s="2"/>
      <c r="Y70" s="2"/>
      <c r="Z70" s="2"/>
      <c r="AA70" s="2"/>
      <c r="AB70" s="2"/>
      <c r="AD70" s="2"/>
      <c r="AE70" s="2"/>
      <c r="AF70" s="2"/>
      <c r="AG70" s="2"/>
      <c r="AH70" s="2"/>
      <c r="AI70" s="2"/>
      <c r="AJ70" s="1"/>
      <c r="AK70" s="1"/>
    </row>
    <row r="71" spans="2:37">
      <c r="B71" s="3"/>
      <c r="X71" s="2"/>
      <c r="Y71" s="2"/>
      <c r="Z71" s="2"/>
      <c r="AA71" s="2"/>
      <c r="AB71" s="2"/>
      <c r="AD71" s="2"/>
      <c r="AE71" s="2"/>
      <c r="AF71" s="2"/>
      <c r="AG71" s="2"/>
      <c r="AH71" s="2"/>
      <c r="AI71" s="2"/>
      <c r="AJ71" s="1"/>
      <c r="AK71" s="1"/>
    </row>
    <row r="72" spans="2:37">
      <c r="B72" s="3"/>
      <c r="X72" s="2"/>
      <c r="Y72" s="2"/>
      <c r="Z72" s="2"/>
      <c r="AA72" s="2"/>
      <c r="AB72" s="2"/>
      <c r="AD72" s="2"/>
      <c r="AE72" s="2"/>
      <c r="AF72" s="2"/>
      <c r="AG72" s="2"/>
      <c r="AH72" s="2"/>
      <c r="AI72" s="2"/>
      <c r="AJ72" s="1"/>
      <c r="AK72" s="1"/>
    </row>
    <row r="73" spans="2:37">
      <c r="B73" s="3"/>
      <c r="X73" s="2"/>
      <c r="Y73" s="2"/>
      <c r="Z73" s="2"/>
      <c r="AA73" s="2"/>
      <c r="AB73" s="2"/>
      <c r="AD73" s="2"/>
      <c r="AE73" s="2"/>
      <c r="AF73" s="2"/>
      <c r="AG73" s="2"/>
      <c r="AH73" s="2"/>
      <c r="AI73" s="2"/>
      <c r="AJ73" s="1"/>
      <c r="AK73" s="1"/>
    </row>
    <row r="74" spans="2:37">
      <c r="X74" s="2"/>
      <c r="Y74" s="2"/>
      <c r="Z74" s="2"/>
      <c r="AA74" s="2"/>
      <c r="AB74" s="2"/>
      <c r="AD74" s="2"/>
      <c r="AE74" s="2"/>
      <c r="AF74" s="2"/>
      <c r="AG74" s="2"/>
      <c r="AH74" s="2"/>
      <c r="AI74" s="2"/>
      <c r="AJ74" s="1"/>
      <c r="AK74" s="1"/>
    </row>
    <row r="75" spans="2:37">
      <c r="X75" s="2"/>
      <c r="Y75" s="2"/>
      <c r="Z75" s="2"/>
      <c r="AA75" s="2"/>
      <c r="AB75" s="2"/>
      <c r="AD75" s="2"/>
      <c r="AE75" s="2"/>
      <c r="AF75" s="2"/>
      <c r="AG75" s="2"/>
      <c r="AH75" s="2"/>
      <c r="AI75" s="2"/>
      <c r="AJ75" s="1"/>
      <c r="AK75" s="1"/>
    </row>
    <row r="76" spans="2:37">
      <c r="X76" s="2"/>
      <c r="Y76" s="2"/>
      <c r="Z76" s="2"/>
      <c r="AA76" s="2"/>
      <c r="AB76" s="2"/>
      <c r="AD76" s="2"/>
      <c r="AE76" s="2"/>
      <c r="AF76" s="2"/>
      <c r="AG76" s="2"/>
      <c r="AH76" s="2"/>
      <c r="AI76" s="2"/>
      <c r="AJ76" s="1"/>
      <c r="AK76" s="1"/>
    </row>
    <row r="77" spans="2:37">
      <c r="B77" s="3"/>
      <c r="X77" s="2"/>
      <c r="Y77" s="2"/>
      <c r="Z77" s="2"/>
      <c r="AA77" s="2"/>
      <c r="AB77" s="2"/>
      <c r="AD77" s="2"/>
      <c r="AE77" s="2"/>
      <c r="AF77" s="2"/>
      <c r="AG77" s="2"/>
      <c r="AH77" s="2"/>
      <c r="AI77" s="2"/>
      <c r="AJ77" s="1"/>
      <c r="AK77" s="1"/>
    </row>
    <row r="78" spans="2:37">
      <c r="X78" s="2"/>
      <c r="Y78" s="2"/>
      <c r="Z78" s="2"/>
      <c r="AA78" s="2"/>
      <c r="AB78" s="2"/>
      <c r="AD78" s="2"/>
      <c r="AE78" s="2"/>
      <c r="AF78" s="2"/>
      <c r="AG78" s="2"/>
      <c r="AH78" s="2"/>
      <c r="AI78" s="2"/>
      <c r="AJ78" s="1"/>
      <c r="AK78" s="1"/>
    </row>
    <row r="79" spans="2:37">
      <c r="X79" s="2"/>
      <c r="Y79" s="2"/>
      <c r="Z79" s="2"/>
      <c r="AA79" s="2"/>
      <c r="AB79" s="2"/>
      <c r="AD79" s="2"/>
      <c r="AE79" s="2"/>
      <c r="AF79" s="2"/>
      <c r="AG79" s="2"/>
      <c r="AH79" s="2"/>
      <c r="AI79" s="2"/>
      <c r="AJ79" s="1"/>
      <c r="AK79" s="1"/>
    </row>
    <row r="80" spans="2:37">
      <c r="X80" s="2"/>
      <c r="Y80" s="2"/>
      <c r="Z80" s="2"/>
      <c r="AA80" s="2"/>
      <c r="AB80" s="2"/>
      <c r="AD80" s="2"/>
      <c r="AE80" s="2"/>
      <c r="AF80" s="2"/>
      <c r="AG80" s="2"/>
      <c r="AH80" s="2"/>
      <c r="AI80" s="2"/>
      <c r="AJ80" s="1"/>
      <c r="AK80" s="1"/>
    </row>
    <row r="81" spans="2:37">
      <c r="X81" s="2"/>
      <c r="Y81" s="2"/>
      <c r="Z81" s="2"/>
      <c r="AA81" s="2"/>
      <c r="AB81" s="2"/>
      <c r="AD81" s="2"/>
      <c r="AE81" s="2"/>
      <c r="AF81" s="2"/>
      <c r="AG81" s="2"/>
      <c r="AH81" s="2"/>
      <c r="AI81" s="2"/>
      <c r="AJ81" s="1"/>
      <c r="AK81" s="1"/>
    </row>
    <row r="82" spans="2:37">
      <c r="X82" s="2"/>
      <c r="Y82" s="2"/>
      <c r="Z82" s="2"/>
      <c r="AA82" s="2"/>
      <c r="AB82" s="2"/>
      <c r="AD82" s="2"/>
      <c r="AE82" s="2"/>
      <c r="AF82" s="2"/>
      <c r="AG82" s="2"/>
      <c r="AH82" s="2"/>
      <c r="AI82" s="2"/>
      <c r="AJ82" s="1"/>
      <c r="AK82" s="1"/>
    </row>
    <row r="83" spans="2:37">
      <c r="B83" s="3"/>
      <c r="X83" s="2"/>
      <c r="Y83" s="2"/>
      <c r="Z83" s="2"/>
      <c r="AA83" s="2"/>
      <c r="AB83" s="2"/>
      <c r="AD83" s="2"/>
      <c r="AE83" s="2"/>
      <c r="AF83" s="2"/>
      <c r="AG83" s="2"/>
      <c r="AH83" s="2"/>
      <c r="AI83" s="2"/>
      <c r="AJ83" s="1"/>
      <c r="AK83" s="1"/>
    </row>
  </sheetData>
  <sortState xmlns:xlrd2="http://schemas.microsoft.com/office/spreadsheetml/2017/richdata2" ref="A1:AY83">
    <sortCondition ref="AJ1:AJ83"/>
  </sortState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7E50-DF5E-2E4C-81A3-CA8C815C8269}">
  <dimension ref="A1:AX40"/>
  <sheetViews>
    <sheetView workbookViewId="0">
      <selection activeCell="G8" sqref="G8"/>
    </sheetView>
  </sheetViews>
  <sheetFormatPr baseColWidth="10" defaultColWidth="11" defaultRowHeight="14"/>
  <cols>
    <col min="1" max="4" width="11" style="23"/>
    <col min="5" max="5" width="9" style="23"/>
    <col min="6" max="6" width="11" style="23"/>
    <col min="7" max="13" width="11" style="7"/>
    <col min="14" max="14" width="11" style="8"/>
    <col min="15" max="50" width="11" style="23"/>
  </cols>
  <sheetData>
    <row r="1" spans="1:50" s="9" customFormat="1" ht="16">
      <c r="A1" s="13" t="s">
        <v>0</v>
      </c>
      <c r="B1" s="13" t="str">
        <f>P14_Relievers!B1</f>
        <v>Team</v>
      </c>
      <c r="C1" s="13" t="str">
        <f>P14_Relievers!C1</f>
        <v>Position</v>
      </c>
      <c r="D1" s="13" t="str">
        <f>P14_Relievers!D1</f>
        <v>G</v>
      </c>
      <c r="E1" s="19" t="s">
        <v>292</v>
      </c>
      <c r="F1" s="13" t="str">
        <f>P14_Relievers!F1</f>
        <v>TBF</v>
      </c>
      <c r="G1" s="16" t="s">
        <v>284</v>
      </c>
      <c r="H1" s="16" t="s">
        <v>289</v>
      </c>
      <c r="I1" s="16" t="s">
        <v>290</v>
      </c>
      <c r="J1" s="16" t="s">
        <v>291</v>
      </c>
      <c r="K1" s="16" t="s">
        <v>293</v>
      </c>
      <c r="L1" s="16" t="s">
        <v>288</v>
      </c>
      <c r="M1" s="16" t="s">
        <v>298</v>
      </c>
      <c r="N1" s="15" t="s">
        <v>296</v>
      </c>
      <c r="O1" s="13"/>
      <c r="P1" s="13" t="s">
        <v>262</v>
      </c>
      <c r="Q1" s="13" t="s">
        <v>264</v>
      </c>
      <c r="R1" s="13" t="s">
        <v>287</v>
      </c>
      <c r="S1" s="13" t="s">
        <v>268</v>
      </c>
      <c r="T1" s="13" t="s">
        <v>270</v>
      </c>
      <c r="U1" s="13" t="s">
        <v>272</v>
      </c>
      <c r="V1" s="13" t="s">
        <v>274</v>
      </c>
      <c r="W1" s="13" t="s">
        <v>276</v>
      </c>
      <c r="X1" s="13" t="s">
        <v>278</v>
      </c>
      <c r="Y1" s="13" t="s">
        <v>280</v>
      </c>
      <c r="Z1" s="13" t="s">
        <v>294</v>
      </c>
      <c r="AA1" s="13" t="s">
        <v>295</v>
      </c>
      <c r="AB1" s="13" t="s">
        <v>289</v>
      </c>
      <c r="AC1" s="13" t="s">
        <v>290</v>
      </c>
      <c r="AD1" s="13" t="s">
        <v>297</v>
      </c>
      <c r="AE1" s="13"/>
      <c r="AF1" s="13" t="str">
        <f>P14_Relievers!G1</f>
        <v>W</v>
      </c>
      <c r="AG1" s="13" t="str">
        <f>P14_Relievers!H1</f>
        <v>L</v>
      </c>
      <c r="AH1" s="13" t="str">
        <f>P14_Relievers!I1</f>
        <v>SV</v>
      </c>
      <c r="AI1" s="13" t="str">
        <f>P14_Relievers!J1</f>
        <v>HLD</v>
      </c>
      <c r="AJ1" s="13" t="s">
        <v>287</v>
      </c>
      <c r="AK1" s="13" t="str">
        <f>P14_Relievers!K1</f>
        <v>BS</v>
      </c>
      <c r="AL1" s="13" t="str">
        <f>P14_Relievers!L1</f>
        <v>H</v>
      </c>
      <c r="AM1" s="13" t="str">
        <f>P14_Relievers!M1</f>
        <v>R</v>
      </c>
      <c r="AN1" s="13" t="str">
        <f>P14_Relievers!N1</f>
        <v>ER</v>
      </c>
      <c r="AO1" s="13" t="str">
        <f>P14_Relievers!O1</f>
        <v>HR</v>
      </c>
      <c r="AP1" s="13" t="str">
        <f>P14_Relievers!P1</f>
        <v>IBB</v>
      </c>
      <c r="AQ1" s="13" t="str">
        <f>P14_Relievers!Q1</f>
        <v>HBP</v>
      </c>
      <c r="AR1" s="13" t="str">
        <f>P14_Relievers!R1</f>
        <v>SO</v>
      </c>
      <c r="AS1" s="13" t="str">
        <f>P14_Relievers!S1</f>
        <v>BB</v>
      </c>
      <c r="AT1" s="13" t="s">
        <v>294</v>
      </c>
      <c r="AU1" s="13" t="s">
        <v>295</v>
      </c>
      <c r="AV1" s="13" t="s">
        <v>289</v>
      </c>
      <c r="AW1" s="13" t="s">
        <v>290</v>
      </c>
      <c r="AX1" s="13" t="s">
        <v>297</v>
      </c>
    </row>
    <row r="2" spans="1:50" s="10" customFormat="1" ht="16">
      <c r="A2" s="20" t="s">
        <v>16</v>
      </c>
      <c r="B2" s="20" t="str">
        <f>P14_Relievers!B2</f>
        <v xml:space="preserve">SD </v>
      </c>
      <c r="C2" s="20" t="str">
        <f>P14_Relievers!C2</f>
        <v>RP</v>
      </c>
      <c r="D2" s="20">
        <f>P14_Relievers!D2</f>
        <v>59</v>
      </c>
      <c r="E2" s="21">
        <v>64.67</v>
      </c>
      <c r="F2" s="20">
        <f>P14_Relievers!F2</f>
        <v>254</v>
      </c>
      <c r="G2" s="22">
        <f t="shared" ref="G2:G38" si="0">(P2-P$39)/P$40</f>
        <v>-0.58826519515332765</v>
      </c>
      <c r="H2" s="22">
        <f t="shared" ref="H2:H38" si="1">(AB2-AB$39)/AB$40</f>
        <v>2.2529326383546473</v>
      </c>
      <c r="I2" s="22">
        <f t="shared" ref="I2:I38" si="2">(AC2-AC$39)/AC$40</f>
        <v>2.8794218497626964</v>
      </c>
      <c r="J2" s="22">
        <f t="shared" ref="J2:J38" si="3">(Z2-Z$39)/Z$40</f>
        <v>2.5380755821322447</v>
      </c>
      <c r="K2" s="22">
        <f t="shared" ref="K2:K38" si="4">(AA2-AA$39)/AA$40</f>
        <v>-0.12502320609204529</v>
      </c>
      <c r="L2" s="22">
        <f t="shared" ref="L2:L38" si="5">(R2-R$39)/R$40</f>
        <v>1.2171985485247252</v>
      </c>
      <c r="M2" s="22">
        <f t="shared" ref="M2:M38" si="6">(AD2-AD$39)/AD$40</f>
        <v>2.8151292228356826</v>
      </c>
      <c r="N2" s="22">
        <f t="shared" ref="N2:N38" si="7">G2+H2+I2+J2+K2+L2+M2*2</f>
        <v>13.804598663200306</v>
      </c>
      <c r="O2" s="20"/>
      <c r="P2" s="20">
        <f t="shared" ref="P2:P38" si="8">(AF2-AVERAGE(AF$2:AF$38))/AVERAGE(AF$2:AF$38)*100+100</f>
        <v>92.340169471680724</v>
      </c>
      <c r="Q2" s="20">
        <f t="shared" ref="Q2:Q38" si="9">(AVERAGE(AG$2:AG$38)-AG2)/AVERAGE(AG$2:AG$38)*100+100</f>
        <v>161.27237723388197</v>
      </c>
      <c r="R2" s="20">
        <f t="shared" ref="R2:R38" si="10">(AJ2-AVERAGE(AJ$2:AJ$38))/AVERAGE(AJ$2:AJ$38)*100+100</f>
        <v>125.07095838965185</v>
      </c>
      <c r="S2" s="20">
        <f t="shared" ref="S2:S38" si="11">(AVERAGE(AK$2:AK$38)-AK2)/AVERAGE(AK$2:AK$38)*100+100</f>
        <v>101.9867549668874</v>
      </c>
      <c r="T2" s="20">
        <f t="shared" ref="T2:T38" si="12">(AVERAGE(AL$2:AL$38)-AL2)/AVERAGE(AL$2:AL$38)*100+100</f>
        <v>126.57524177455375</v>
      </c>
      <c r="U2" s="20">
        <f t="shared" ref="U2:U38" si="13">(AVERAGE(AM$2:AM$38)-AM2)/AVERAGE(AM$2:AM$38)*100+100</f>
        <v>128.06686940783749</v>
      </c>
      <c r="V2" s="20">
        <f t="shared" ref="V2:V38" si="14">(AVERAGE(AN$2:AN$38)-AN2)/AVERAGE(AN$2:AN$38)*100+100</f>
        <v>126.87729086518938</v>
      </c>
      <c r="W2" s="20">
        <f t="shared" ref="W2:W38" si="15">(AVERAGE(AO$2:AO$38)-AO2)/AVERAGE(AO$2:AO$38)*100+100</f>
        <v>109.60230118660155</v>
      </c>
      <c r="X2" s="20">
        <f t="shared" ref="X2:X38" si="16">(AVERAGE(AP$2:AP$38)-AP2)/AVERAGE(AP$2:AP$38)*100+100</f>
        <v>64.378098000339946</v>
      </c>
      <c r="Y2" s="20">
        <f t="shared" ref="Y2:Y38" si="17">(AVERAGE(AQ$2:AQ$38)-AQ2)/AVERAGE(AQ$2:AQ$38)*100+100</f>
        <v>127.63524829320126</v>
      </c>
      <c r="Z2" s="20">
        <f t="shared" ref="Z2:Z38" si="18">(AT2-AVERAGE(AT$2:AT$38))/AVERAGE(AT$2:AT$38)*100+100</f>
        <v>138.16335415654066</v>
      </c>
      <c r="AA2" s="20">
        <f t="shared" ref="AA2:AA38" si="19">(AVERAGE(AU$2:AU$38)-AU2)/AVERAGE(AU$2:AU$38)*100+100</f>
        <v>98.021094769958353</v>
      </c>
      <c r="AB2" s="20">
        <f t="shared" ref="AB2:AB38" si="20">(AVERAGE(AV$2:AV$38)-AV2)/AVERAGE(AV$2:AV$38)*100+100</f>
        <v>127.93844807418809</v>
      </c>
      <c r="AC2" s="20">
        <f t="shared" ref="AC2:AC38" si="21">(AVERAGE(AW$2:AW$38)-AW2)/AVERAGE(AW$2:AW$38)*100+100</f>
        <v>118.42893145179832</v>
      </c>
      <c r="AD2" s="20">
        <f t="shared" ref="AD2:AD38" si="22">(AX2-AVERAGE(AX$2:AX$38))/AVERAGE(AX$2:AX$38)*100+100</f>
        <v>162.13497594056275</v>
      </c>
      <c r="AE2" s="20"/>
      <c r="AF2" s="20">
        <f>P14_Relievers!G2</f>
        <v>3.403030303030302</v>
      </c>
      <c r="AG2" s="20">
        <f>P14_Relievers!H2</f>
        <v>1.2237722048066855</v>
      </c>
      <c r="AH2" s="20">
        <f>P14_Relievers!I2</f>
        <v>32.121212121212061</v>
      </c>
      <c r="AI2" s="20">
        <f>P14_Relievers!J2</f>
        <v>2.4432601880877716</v>
      </c>
      <c r="AJ2" s="20">
        <f t="shared" ref="AJ2:AJ38" si="23">AH2+AI2</f>
        <v>34.56447230929983</v>
      </c>
      <c r="AK2" s="20">
        <f>P14_Relievers!K2</f>
        <v>3.9999999999999982</v>
      </c>
      <c r="AL2" s="20">
        <f>P14_Relievers!L2</f>
        <v>38.174295352080577</v>
      </c>
      <c r="AM2" s="20">
        <f>P14_Relievers!M2</f>
        <v>18.934815533671657</v>
      </c>
      <c r="AN2" s="20">
        <f>P14_Relievers!N2</f>
        <v>17.717122993461327</v>
      </c>
      <c r="AO2" s="20">
        <f>P14_Relievers!O2</f>
        <v>6.1266875606535089</v>
      </c>
      <c r="AP2" s="20">
        <f>P14_Relievers!P2</f>
        <v>1.9770094614908296</v>
      </c>
      <c r="AQ2" s="20">
        <f>P14_Relievers!Q2</f>
        <v>2.0490732933483713</v>
      </c>
      <c r="AR2" s="20">
        <f>P14_Relievers!R2</f>
        <v>103.17949467698401</v>
      </c>
      <c r="AS2" s="20">
        <f>P14_Relievers!S2</f>
        <v>23.882179609376237</v>
      </c>
      <c r="AT2" s="20">
        <f t="shared" ref="AT2:AT38" si="24">AR2/$E2*9</f>
        <v>14.359292594601143</v>
      </c>
      <c r="AU2" s="20">
        <f t="shared" ref="AU2:AU38" si="25">AS2/$E2*9</f>
        <v>3.3236371808317013</v>
      </c>
      <c r="AV2" s="20">
        <f t="shared" ref="AV2:AV38" si="26">AN2/$E2*9</f>
        <v>2.4656580631073441</v>
      </c>
      <c r="AW2" s="20">
        <f t="shared" ref="AW2:AW38" si="27">(AS2+AL2)/E2</f>
        <v>0.9595867475097698</v>
      </c>
      <c r="AX2" s="20">
        <f t="shared" ref="AX2:AX38" si="28">(AR2-AS2)/F2</f>
        <v>0.3121941538094794</v>
      </c>
    </row>
    <row r="3" spans="1:50" s="10" customFormat="1" ht="16">
      <c r="A3" s="20" t="s">
        <v>23</v>
      </c>
      <c r="B3" s="20" t="str">
        <f>P14_Relievers!B3</f>
        <v xml:space="preserve">LAD </v>
      </c>
      <c r="C3" s="20" t="str">
        <f>P14_Relievers!C3</f>
        <v>RP</v>
      </c>
      <c r="D3" s="20">
        <f>P14_Relievers!D3</f>
        <v>64</v>
      </c>
      <c r="E3" s="21">
        <v>65.67</v>
      </c>
      <c r="F3" s="20">
        <f>P14_Relievers!F3</f>
        <v>265</v>
      </c>
      <c r="G3" s="22">
        <f t="shared" si="0"/>
        <v>1.5082740078061507</v>
      </c>
      <c r="H3" s="22">
        <f t="shared" si="1"/>
        <v>1.0866525019710707</v>
      </c>
      <c r="I3" s="22">
        <f t="shared" si="2"/>
        <v>1.4374223939129276</v>
      </c>
      <c r="J3" s="22">
        <f t="shared" si="3"/>
        <v>1.4315204780868234</v>
      </c>
      <c r="K3" s="22">
        <f t="shared" si="4"/>
        <v>0.19348142333269294</v>
      </c>
      <c r="L3" s="22">
        <f t="shared" si="5"/>
        <v>2.1067886125779576</v>
      </c>
      <c r="M3" s="22">
        <f t="shared" si="6"/>
        <v>1.6051981854047559</v>
      </c>
      <c r="N3" s="22">
        <f t="shared" si="7"/>
        <v>10.974535788497136</v>
      </c>
      <c r="O3" s="20"/>
      <c r="P3" s="20">
        <f t="shared" si="8"/>
        <v>119.63931129233785</v>
      </c>
      <c r="Q3" s="20">
        <f t="shared" si="9"/>
        <v>124.57426126866238</v>
      </c>
      <c r="R3" s="20">
        <f t="shared" si="10"/>
        <v>143.39407872754407</v>
      </c>
      <c r="S3" s="20">
        <f t="shared" si="11"/>
        <v>77.483443708609201</v>
      </c>
      <c r="T3" s="20">
        <f t="shared" si="12"/>
        <v>109.4204739494875</v>
      </c>
      <c r="U3" s="20">
        <f t="shared" si="13"/>
        <v>109.89227218953761</v>
      </c>
      <c r="V3" s="20">
        <f t="shared" si="14"/>
        <v>110.84372057639725</v>
      </c>
      <c r="W3" s="20">
        <f t="shared" si="15"/>
        <v>99.115666694525444</v>
      </c>
      <c r="X3" s="20">
        <f t="shared" si="16"/>
        <v>132.06013505586864</v>
      </c>
      <c r="Y3" s="20">
        <f t="shared" si="17"/>
        <v>37.607811796922796</v>
      </c>
      <c r="Z3" s="20">
        <f t="shared" si="18"/>
        <v>121.5248211566937</v>
      </c>
      <c r="AA3" s="20">
        <f t="shared" si="19"/>
        <v>103.06248265835609</v>
      </c>
      <c r="AB3" s="20">
        <f t="shared" si="20"/>
        <v>113.47549588663124</v>
      </c>
      <c r="AC3" s="20">
        <f t="shared" si="21"/>
        <v>109.19981862570235</v>
      </c>
      <c r="AD3" s="20">
        <f t="shared" si="22"/>
        <v>135.42961716318385</v>
      </c>
      <c r="AE3" s="20"/>
      <c r="AF3" s="20">
        <f>P14_Relievers!G3</f>
        <v>4.4090909090909056</v>
      </c>
      <c r="AG3" s="20">
        <f>P14_Relievers!H3</f>
        <v>2.3834130781499137</v>
      </c>
      <c r="AH3" s="20">
        <f>P14_Relievers!I3</f>
        <v>36.581818181818178</v>
      </c>
      <c r="AI3" s="20">
        <f>P14_Relievers!J3</f>
        <v>3.0464114832535873</v>
      </c>
      <c r="AJ3" s="20">
        <f t="shared" si="23"/>
        <v>39.628229665071764</v>
      </c>
      <c r="AK3" s="20">
        <f>P14_Relievers!K3</f>
        <v>5</v>
      </c>
      <c r="AL3" s="20">
        <f>P14_Relievers!L3</f>
        <v>47.093237538307541</v>
      </c>
      <c r="AM3" s="20">
        <f>P14_Relievers!M3</f>
        <v>23.718878772604079</v>
      </c>
      <c r="AN3" s="20">
        <f>P14_Relievers!N3</f>
        <v>21.601945372062236</v>
      </c>
      <c r="AO3" s="20">
        <f>P14_Relievers!O3</f>
        <v>6.8374173019973226</v>
      </c>
      <c r="AP3" s="20">
        <f>P14_Relievers!P3</f>
        <v>0.99038395588415751</v>
      </c>
      <c r="AQ3" s="20">
        <f>P14_Relievers!Q3</f>
        <v>4.5982814567449886</v>
      </c>
      <c r="AR3" s="20">
        <f>P14_Relievers!R3</f>
        <v>92.157285605868836</v>
      </c>
      <c r="AS3" s="20">
        <f>P14_Relievers!S3</f>
        <v>23.052586643055882</v>
      </c>
      <c r="AT3" s="20">
        <f t="shared" si="24"/>
        <v>12.630052846852742</v>
      </c>
      <c r="AU3" s="20">
        <f t="shared" si="25"/>
        <v>3.159331198226023</v>
      </c>
      <c r="AV3" s="20">
        <f t="shared" si="26"/>
        <v>2.9605224356412383</v>
      </c>
      <c r="AW3" s="20">
        <f t="shared" si="27"/>
        <v>1.068156299396428</v>
      </c>
      <c r="AX3" s="20">
        <f t="shared" si="28"/>
        <v>0.26077244891627532</v>
      </c>
    </row>
    <row r="4" spans="1:50" s="10" customFormat="1" ht="16">
      <c r="A4" s="20" t="s">
        <v>38</v>
      </c>
      <c r="B4" s="20" t="str">
        <f>P14_Relievers!B6</f>
        <v xml:space="preserve">CLE </v>
      </c>
      <c r="C4" s="20" t="str">
        <f>P14_Relievers!C6</f>
        <v>RP</v>
      </c>
      <c r="D4" s="20">
        <f>P14_Relievers!D6</f>
        <v>67</v>
      </c>
      <c r="E4" s="21">
        <v>69</v>
      </c>
      <c r="F4" s="20">
        <f>P14_Relievers!F6</f>
        <v>277</v>
      </c>
      <c r="G4" s="22">
        <f t="shared" si="0"/>
        <v>1.8287089152464302</v>
      </c>
      <c r="H4" s="22">
        <f t="shared" si="1"/>
        <v>1.5013645277671706</v>
      </c>
      <c r="I4" s="22">
        <f t="shared" si="2"/>
        <v>1.7318867162825387</v>
      </c>
      <c r="J4" s="22">
        <f t="shared" si="3"/>
        <v>0.82088757339914487</v>
      </c>
      <c r="K4" s="22">
        <f t="shared" si="4"/>
        <v>0.89986925525940864</v>
      </c>
      <c r="L4" s="22">
        <f t="shared" si="5"/>
        <v>1.1172360666222219</v>
      </c>
      <c r="M4" s="22">
        <f t="shared" si="6"/>
        <v>1.2529108598616738</v>
      </c>
      <c r="N4" s="22">
        <f t="shared" si="7"/>
        <v>10.405774774300262</v>
      </c>
      <c r="O4" s="20"/>
      <c r="P4" s="20">
        <f t="shared" si="8"/>
        <v>123.81171024874811</v>
      </c>
      <c r="Q4" s="20">
        <f t="shared" si="9"/>
        <v>107.79415550808366</v>
      </c>
      <c r="R4" s="20">
        <f t="shared" si="10"/>
        <v>123.01200487928043</v>
      </c>
      <c r="S4" s="20">
        <f t="shared" si="11"/>
        <v>77.483443708609357</v>
      </c>
      <c r="T4" s="20">
        <f t="shared" si="12"/>
        <v>102.39620178631654</v>
      </c>
      <c r="U4" s="20">
        <f t="shared" si="13"/>
        <v>111.42343860681312</v>
      </c>
      <c r="V4" s="20">
        <f t="shared" si="14"/>
        <v>111.89072971528542</v>
      </c>
      <c r="W4" s="20">
        <f t="shared" si="15"/>
        <v>116.07429885931934</v>
      </c>
      <c r="X4" s="20">
        <f t="shared" si="16"/>
        <v>64.443842390227502</v>
      </c>
      <c r="Y4" s="20">
        <f t="shared" si="17"/>
        <v>50.608530685044215</v>
      </c>
      <c r="Z4" s="20">
        <f t="shared" si="18"/>
        <v>112.34314037252437</v>
      </c>
      <c r="AA4" s="20">
        <f t="shared" si="19"/>
        <v>114.24340353482447</v>
      </c>
      <c r="AB4" s="20">
        <f t="shared" si="20"/>
        <v>118.6183085039261</v>
      </c>
      <c r="AC4" s="20">
        <f t="shared" si="21"/>
        <v>111.08445488085789</v>
      </c>
      <c r="AD4" s="20">
        <f t="shared" si="22"/>
        <v>127.65400092531345</v>
      </c>
      <c r="AE4" s="20"/>
      <c r="AF4" s="20">
        <f>P14_Relievers!G6</f>
        <v>4.5628571428571396</v>
      </c>
      <c r="AG4" s="20">
        <f>P14_Relievers!H6</f>
        <v>2.9136554621848676</v>
      </c>
      <c r="AH4" s="20">
        <f>P14_Relievers!I6</f>
        <v>30.542857142857077</v>
      </c>
      <c r="AI4" s="20">
        <f>P14_Relievers!J6</f>
        <v>3.4526050420168013</v>
      </c>
      <c r="AJ4" s="20">
        <f t="shared" si="23"/>
        <v>33.99546218487388</v>
      </c>
      <c r="AK4" s="20">
        <f>P14_Relievers!K6</f>
        <v>4.9999999999999938</v>
      </c>
      <c r="AL4" s="20">
        <f>P14_Relievers!L6</f>
        <v>50.745229681978735</v>
      </c>
      <c r="AM4" s="20">
        <f>P14_Relievers!M6</f>
        <v>23.315832868390039</v>
      </c>
      <c r="AN4" s="20">
        <f>P14_Relievers!N6</f>
        <v>21.348262351993046</v>
      </c>
      <c r="AO4" s="20">
        <f>P14_Relievers!O6</f>
        <v>5.6880490980100165</v>
      </c>
      <c r="AP4" s="20">
        <f>P14_Relievers!P6</f>
        <v>1.9760510817680033</v>
      </c>
      <c r="AQ4" s="20">
        <f>P14_Relievers!Q6</f>
        <v>4.2301543611679229</v>
      </c>
      <c r="AR4" s="20">
        <f>P14_Relievers!R6</f>
        <v>89.514485152811261</v>
      </c>
      <c r="AS4" s="20">
        <f>P14_Relievers!S6</f>
        <v>21.427789969623685</v>
      </c>
      <c r="AT4" s="20">
        <f t="shared" si="24"/>
        <v>11.675802411236253</v>
      </c>
      <c r="AU4" s="20">
        <f t="shared" si="25"/>
        <v>2.7949291264726543</v>
      </c>
      <c r="AV4" s="20">
        <f t="shared" si="26"/>
        <v>2.7845559589556146</v>
      </c>
      <c r="AW4" s="20">
        <f t="shared" si="27"/>
        <v>1.0459857920522089</v>
      </c>
      <c r="AX4" s="20">
        <f t="shared" si="28"/>
        <v>0.24580034362161579</v>
      </c>
    </row>
    <row r="5" spans="1:50" s="10" customFormat="1" ht="16">
      <c r="A5" s="20" t="s">
        <v>229</v>
      </c>
      <c r="B5" s="20" t="str">
        <f>P14_Relievers!B35</f>
        <v xml:space="preserve">TB </v>
      </c>
      <c r="C5" s="20" t="str">
        <f>P14_Relievers!C35</f>
        <v>RP</v>
      </c>
      <c r="D5" s="20">
        <f>P14_Relievers!D35</f>
        <v>65</v>
      </c>
      <c r="E5" s="21">
        <v>65.67</v>
      </c>
      <c r="F5" s="20">
        <f>P14_Relievers!F35</f>
        <v>265</v>
      </c>
      <c r="G5" s="22">
        <f t="shared" si="0"/>
        <v>0.8859287301069324</v>
      </c>
      <c r="H5" s="22">
        <f t="shared" si="1"/>
        <v>1.2379669986510922</v>
      </c>
      <c r="I5" s="22">
        <f t="shared" si="2"/>
        <v>1.3530809833352977</v>
      </c>
      <c r="J5" s="22">
        <f t="shared" si="3"/>
        <v>0.8469780476466835</v>
      </c>
      <c r="K5" s="22">
        <f t="shared" si="4"/>
        <v>1.4129414629620995</v>
      </c>
      <c r="L5" s="22">
        <f t="shared" si="5"/>
        <v>-0.26093769833651592</v>
      </c>
      <c r="M5" s="22">
        <f t="shared" si="6"/>
        <v>1.420942382339083</v>
      </c>
      <c r="N5" s="22">
        <f t="shared" si="7"/>
        <v>8.3178432890437559</v>
      </c>
      <c r="O5" s="20"/>
      <c r="P5" s="20">
        <f t="shared" si="8"/>
        <v>111.53572230466483</v>
      </c>
      <c r="Q5" s="20">
        <f t="shared" si="9"/>
        <v>108.57290449252827</v>
      </c>
      <c r="R5" s="20">
        <f t="shared" si="10"/>
        <v>94.625397651668834</v>
      </c>
      <c r="S5" s="20">
        <f t="shared" si="11"/>
        <v>52.98013245033107</v>
      </c>
      <c r="T5" s="20">
        <f t="shared" si="12"/>
        <v>99.789595042086475</v>
      </c>
      <c r="U5" s="20">
        <f t="shared" si="13"/>
        <v>112.17505157170608</v>
      </c>
      <c r="V5" s="20">
        <f t="shared" si="14"/>
        <v>112.77723504744289</v>
      </c>
      <c r="W5" s="20">
        <f t="shared" si="15"/>
        <v>112.41622257017391</v>
      </c>
      <c r="X5" s="20">
        <f t="shared" si="16"/>
        <v>84.566019759949569</v>
      </c>
      <c r="Y5" s="20">
        <f t="shared" si="17"/>
        <v>129.9150379739022</v>
      </c>
      <c r="Z5" s="20">
        <f t="shared" si="18"/>
        <v>112.73544547794776</v>
      </c>
      <c r="AA5" s="20">
        <f t="shared" si="19"/>
        <v>122.36446607152156</v>
      </c>
      <c r="AB5" s="20">
        <f t="shared" si="20"/>
        <v>115.35193557079955</v>
      </c>
      <c r="AC5" s="20">
        <f t="shared" si="21"/>
        <v>108.66001509736168</v>
      </c>
      <c r="AD5" s="20">
        <f t="shared" si="22"/>
        <v>131.36275948662492</v>
      </c>
      <c r="AE5" s="20"/>
      <c r="AF5" s="20">
        <f>P14_Relievers!G35</f>
        <v>4.1104477611940275</v>
      </c>
      <c r="AG5" s="20">
        <f>P14_Relievers!H35</f>
        <v>2.8890474100087729</v>
      </c>
      <c r="AH5" s="20">
        <f>P14_Relievers!I35</f>
        <v>14.32835820895518</v>
      </c>
      <c r="AI5" s="20">
        <f>P14_Relievers!J35</f>
        <v>11.822212467076376</v>
      </c>
      <c r="AJ5" s="20">
        <f t="shared" si="23"/>
        <v>26.150570676031556</v>
      </c>
      <c r="AK5" s="20">
        <f>P14_Relievers!K35</f>
        <v>5.9999999999999991</v>
      </c>
      <c r="AL5" s="20">
        <f>P14_Relievers!L35</f>
        <v>52.100431634642142</v>
      </c>
      <c r="AM5" s="20">
        <f>P14_Relievers!M35</f>
        <v>23.117987275882005</v>
      </c>
      <c r="AN5" s="20">
        <f>P14_Relievers!N35</f>
        <v>21.133468286099827</v>
      </c>
      <c r="AO5" s="20">
        <f>P14_Relievers!O35</f>
        <v>5.9359745517640121</v>
      </c>
      <c r="AP5" s="20">
        <f>P14_Relievers!P35</f>
        <v>1.6827228327228239</v>
      </c>
      <c r="AQ5" s="20">
        <f>P14_Relievers!Q35</f>
        <v>1.9845189897821416</v>
      </c>
      <c r="AR5" s="20">
        <f>P14_Relievers!R35</f>
        <v>85.491939407341647</v>
      </c>
      <c r="AS5" s="20">
        <f>P14_Relievers!S35</f>
        <v>18.462406729053985</v>
      </c>
      <c r="AT5" s="20">
        <f t="shared" si="24"/>
        <v>11.716574610416853</v>
      </c>
      <c r="AU5" s="20">
        <f t="shared" si="25"/>
        <v>2.5302521784907244</v>
      </c>
      <c r="AV5" s="20">
        <f t="shared" si="26"/>
        <v>2.8963181753448826</v>
      </c>
      <c r="AW5" s="20">
        <f t="shared" si="27"/>
        <v>1.0745064468356347</v>
      </c>
      <c r="AX5" s="20">
        <f t="shared" si="28"/>
        <v>0.25294163274825532</v>
      </c>
    </row>
    <row r="6" spans="1:50" s="10" customFormat="1" ht="16">
      <c r="A6" s="20" t="s">
        <v>33</v>
      </c>
      <c r="B6" s="20" t="str">
        <f>P14_Relievers!B5</f>
        <v xml:space="preserve">PHI </v>
      </c>
      <c r="C6" s="20" t="str">
        <f>P14_Relievers!C5</f>
        <v>RP</v>
      </c>
      <c r="D6" s="20">
        <f>P14_Relievers!D5</f>
        <v>65</v>
      </c>
      <c r="E6" s="21">
        <v>66.33</v>
      </c>
      <c r="F6" s="20">
        <f>P14_Relievers!F5</f>
        <v>271</v>
      </c>
      <c r="G6" s="22">
        <f t="shared" si="0"/>
        <v>2.0251918061261951</v>
      </c>
      <c r="H6" s="22">
        <f t="shared" si="1"/>
        <v>1.6735069532403677</v>
      </c>
      <c r="I6" s="22">
        <f t="shared" si="2"/>
        <v>0.83683570095168136</v>
      </c>
      <c r="J6" s="22">
        <f t="shared" si="3"/>
        <v>0.27512021777942225</v>
      </c>
      <c r="K6" s="22">
        <f t="shared" si="4"/>
        <v>0.83804381196686362</v>
      </c>
      <c r="L6" s="22">
        <f t="shared" si="5"/>
        <v>1.2431752175549218</v>
      </c>
      <c r="M6" s="22">
        <f t="shared" si="6"/>
        <v>0.58603702004414726</v>
      </c>
      <c r="N6" s="22">
        <f t="shared" si="7"/>
        <v>8.0639477477077453</v>
      </c>
      <c r="O6" s="20"/>
      <c r="P6" s="20">
        <f t="shared" si="8"/>
        <v>126.37012379803345</v>
      </c>
      <c r="Q6" s="20">
        <f t="shared" si="9"/>
        <v>109.17157093160546</v>
      </c>
      <c r="R6" s="20">
        <f t="shared" si="10"/>
        <v>125.60600666846155</v>
      </c>
      <c r="S6" s="20">
        <f t="shared" si="11"/>
        <v>101.98675496688743</v>
      </c>
      <c r="T6" s="20">
        <f t="shared" si="12"/>
        <v>98.027653208561631</v>
      </c>
      <c r="U6" s="20">
        <f t="shared" si="13"/>
        <v>116.5582352078583</v>
      </c>
      <c r="V6" s="20">
        <f t="shared" si="14"/>
        <v>117.52193868874872</v>
      </c>
      <c r="W6" s="20">
        <f t="shared" si="15"/>
        <v>142.06822060544692</v>
      </c>
      <c r="X6" s="20">
        <f t="shared" si="16"/>
        <v>64.450414839716757</v>
      </c>
      <c r="Y6" s="20">
        <f t="shared" si="17"/>
        <v>66.840682794616811</v>
      </c>
      <c r="Z6" s="20">
        <f t="shared" si="18"/>
        <v>104.13679969999947</v>
      </c>
      <c r="AA6" s="20">
        <f t="shared" si="19"/>
        <v>113.26481166451852</v>
      </c>
      <c r="AB6" s="20">
        <f t="shared" si="20"/>
        <v>120.75303376537914</v>
      </c>
      <c r="AC6" s="20">
        <f t="shared" si="21"/>
        <v>105.35593204952831</v>
      </c>
      <c r="AD6" s="20">
        <f t="shared" si="22"/>
        <v>112.93489330626285</v>
      </c>
      <c r="AE6" s="20"/>
      <c r="AF6" s="20">
        <f>P14_Relievers!G5</f>
        <v>4.6571428571428539</v>
      </c>
      <c r="AG6" s="20">
        <f>P14_Relievers!H5</f>
        <v>2.8701298701298668</v>
      </c>
      <c r="AH6" s="20">
        <f>P14_Relievers!I5</f>
        <v>31.785714285714221</v>
      </c>
      <c r="AI6" s="20">
        <f>P14_Relievers!J5</f>
        <v>2.9266233766233682</v>
      </c>
      <c r="AJ6" s="20">
        <f t="shared" si="23"/>
        <v>34.712337662337589</v>
      </c>
      <c r="AK6" s="20">
        <f>P14_Relievers!K5</f>
        <v>3.9999999999999973</v>
      </c>
      <c r="AL6" s="20">
        <f>P14_Relievers!L5</f>
        <v>53.016483516483461</v>
      </c>
      <c r="AM6" s="20">
        <f>P14_Relievers!M5</f>
        <v>21.964210526315746</v>
      </c>
      <c r="AN6" s="20">
        <f>P14_Relievers!N5</f>
        <v>19.983859649122774</v>
      </c>
      <c r="AO6" s="20">
        <f>P14_Relievers!O5</f>
        <v>3.9263157894736702</v>
      </c>
      <c r="AP6" s="20">
        <f>P14_Relievers!P5</f>
        <v>1.9759552727973735</v>
      </c>
      <c r="AQ6" s="20">
        <f>P14_Relievers!Q5</f>
        <v>3.7705263157894606</v>
      </c>
      <c r="AR6" s="20">
        <f>P14_Relievers!R5</f>
        <v>79.764912280701708</v>
      </c>
      <c r="AS6" s="20">
        <f>P14_Relievers!S5</f>
        <v>20.833684210526293</v>
      </c>
      <c r="AT6" s="20">
        <f t="shared" si="24"/>
        <v>10.822918898331304</v>
      </c>
      <c r="AU6" s="20">
        <f t="shared" si="25"/>
        <v>2.8268228236806365</v>
      </c>
      <c r="AV6" s="20">
        <f t="shared" si="26"/>
        <v>2.7115141993382323</v>
      </c>
      <c r="AW6" s="20">
        <f t="shared" si="27"/>
        <v>1.113375059957934</v>
      </c>
      <c r="AX6" s="20">
        <f t="shared" si="28"/>
        <v>0.2174584061630089</v>
      </c>
    </row>
    <row r="7" spans="1:50" s="10" customFormat="1" ht="16">
      <c r="A7" s="20" t="s">
        <v>65</v>
      </c>
      <c r="B7" s="20" t="str">
        <f>P14_Relievers!B10</f>
        <v xml:space="preserve">HOU </v>
      </c>
      <c r="C7" s="20" t="str">
        <f>P14_Relievers!C10</f>
        <v>RP</v>
      </c>
      <c r="D7" s="20">
        <f>P14_Relievers!D10</f>
        <v>53</v>
      </c>
      <c r="E7" s="21">
        <v>56</v>
      </c>
      <c r="F7" s="20">
        <f>P14_Relievers!F10</f>
        <v>225</v>
      </c>
      <c r="G7" s="22">
        <f t="shared" si="0"/>
        <v>-0.15885355117368402</v>
      </c>
      <c r="H7" s="22">
        <f t="shared" si="1"/>
        <v>0.56802419417385319</v>
      </c>
      <c r="I7" s="22">
        <f t="shared" si="2"/>
        <v>1.352261532102478</v>
      </c>
      <c r="J7" s="22">
        <f t="shared" si="3"/>
        <v>1.3938634287580201</v>
      </c>
      <c r="K7" s="22">
        <f t="shared" si="4"/>
        <v>-0.35482132576310899</v>
      </c>
      <c r="L7" s="22">
        <f t="shared" si="5"/>
        <v>0.4246676394126776</v>
      </c>
      <c r="M7" s="22">
        <f t="shared" si="6"/>
        <v>1.409537503697867</v>
      </c>
      <c r="N7" s="22">
        <f t="shared" si="7"/>
        <v>6.0442169249059692</v>
      </c>
      <c r="O7" s="20"/>
      <c r="P7" s="20">
        <f t="shared" si="8"/>
        <v>97.931559965068217</v>
      </c>
      <c r="Q7" s="20">
        <f t="shared" si="9"/>
        <v>110.20817492348721</v>
      </c>
      <c r="R7" s="20">
        <f t="shared" si="10"/>
        <v>108.74699097370035</v>
      </c>
      <c r="S7" s="20">
        <f t="shared" si="11"/>
        <v>126.49006622516561</v>
      </c>
      <c r="T7" s="20">
        <f t="shared" si="12"/>
        <v>125.45293915336438</v>
      </c>
      <c r="U7" s="20">
        <f t="shared" si="13"/>
        <v>117.3549261894307</v>
      </c>
      <c r="V7" s="20">
        <f t="shared" si="14"/>
        <v>118.32086353851817</v>
      </c>
      <c r="W7" s="20">
        <f t="shared" si="15"/>
        <v>96.642949675048982</v>
      </c>
      <c r="X7" s="20">
        <f t="shared" si="16"/>
        <v>134.08879233433964</v>
      </c>
      <c r="Y7" s="20">
        <f t="shared" si="17"/>
        <v>124.76789210082228</v>
      </c>
      <c r="Z7" s="20">
        <f t="shared" si="18"/>
        <v>120.95859715606008</v>
      </c>
      <c r="AA7" s="20">
        <f t="shared" si="19"/>
        <v>94.383780425803664</v>
      </c>
      <c r="AB7" s="20">
        <f t="shared" si="20"/>
        <v>107.04402527782571</v>
      </c>
      <c r="AC7" s="20">
        <f t="shared" si="21"/>
        <v>108.65477042972155</v>
      </c>
      <c r="AD7" s="20">
        <f t="shared" si="22"/>
        <v>131.11103325884517</v>
      </c>
      <c r="AE7" s="20"/>
      <c r="AF7" s="20">
        <f>P14_Relievers!G10</f>
        <v>3.6090909090909031</v>
      </c>
      <c r="AG7" s="20">
        <f>P14_Relievers!H10</f>
        <v>2.8373737373737304</v>
      </c>
      <c r="AH7" s="20">
        <f>P14_Relievers!I10</f>
        <v>28.178787878787841</v>
      </c>
      <c r="AI7" s="20">
        <f>P14_Relievers!J10</f>
        <v>1.8744107744107699</v>
      </c>
      <c r="AJ7" s="20">
        <f t="shared" si="23"/>
        <v>30.05319865319861</v>
      </c>
      <c r="AK7" s="20">
        <f>P14_Relievers!K10</f>
        <v>2.9999999999999969</v>
      </c>
      <c r="AL7" s="20">
        <f>P14_Relievers!L10</f>
        <v>38.757792155762928</v>
      </c>
      <c r="AM7" s="20">
        <f>P14_Relievers!M10</f>
        <v>21.754499136734477</v>
      </c>
      <c r="AN7" s="20">
        <f>P14_Relievers!N10</f>
        <v>19.790285723958128</v>
      </c>
      <c r="AO7" s="20">
        <f>P14_Relievers!O10</f>
        <v>7.0050052473001649</v>
      </c>
      <c r="AP7" s="20">
        <f>P14_Relievers!P10</f>
        <v>0.96081148584410836</v>
      </c>
      <c r="AQ7" s="20">
        <f>P14_Relievers!Q10</f>
        <v>2.1302650732929274</v>
      </c>
      <c r="AR7" s="20">
        <f>P14_Relievers!R10</f>
        <v>78.220832903824274</v>
      </c>
      <c r="AS7" s="20">
        <f>P14_Relievers!S10</f>
        <v>21.418023915060299</v>
      </c>
      <c r="AT7" s="20">
        <f t="shared" si="24"/>
        <v>12.571205288114614</v>
      </c>
      <c r="AU7" s="20">
        <f t="shared" si="25"/>
        <v>3.442182414920405</v>
      </c>
      <c r="AV7" s="20">
        <f t="shared" si="26"/>
        <v>3.1805816342075559</v>
      </c>
      <c r="AW7" s="20">
        <f t="shared" si="27"/>
        <v>1.0745681441218433</v>
      </c>
      <c r="AX7" s="20">
        <f t="shared" si="28"/>
        <v>0.25245692883895099</v>
      </c>
    </row>
    <row r="8" spans="1:50" s="10" customFormat="1" ht="16">
      <c r="A8" s="20" t="s">
        <v>58</v>
      </c>
      <c r="B8" s="20" t="str">
        <f>P14_Relievers!B9</f>
        <v xml:space="preserve">NYM </v>
      </c>
      <c r="C8" s="20" t="str">
        <f>P14_Relievers!C9</f>
        <v>RP</v>
      </c>
      <c r="D8" s="20">
        <f>P14_Relievers!D9</f>
        <v>64</v>
      </c>
      <c r="E8" s="21">
        <v>64.33</v>
      </c>
      <c r="F8" s="20">
        <f>P14_Relievers!F9</f>
        <v>263</v>
      </c>
      <c r="G8" s="22">
        <f t="shared" si="0"/>
        <v>1.6977203213265928</v>
      </c>
      <c r="H8" s="22">
        <f t="shared" si="1"/>
        <v>0.60047968163818544</v>
      </c>
      <c r="I8" s="22">
        <f t="shared" si="2"/>
        <v>0.70543634072817796</v>
      </c>
      <c r="J8" s="22">
        <f t="shared" si="3"/>
        <v>1.1145261006979126</v>
      </c>
      <c r="K8" s="22">
        <f t="shared" si="4"/>
        <v>-0.95797962103485068</v>
      </c>
      <c r="L8" s="22">
        <f t="shared" si="5"/>
        <v>1.1934883418307238</v>
      </c>
      <c r="M8" s="22">
        <f t="shared" si="6"/>
        <v>0.82906636178821425</v>
      </c>
      <c r="N8" s="22">
        <f t="shared" si="7"/>
        <v>6.0118038887631702</v>
      </c>
      <c r="O8" s="20"/>
      <c r="P8" s="20">
        <f t="shared" si="8"/>
        <v>122.1061012158913</v>
      </c>
      <c r="Q8" s="20">
        <f t="shared" si="9"/>
        <v>79.796682726332023</v>
      </c>
      <c r="R8" s="20">
        <f t="shared" si="10"/>
        <v>124.58259303121807</v>
      </c>
      <c r="S8" s="20">
        <f t="shared" si="11"/>
        <v>101.98675496688736</v>
      </c>
      <c r="T8" s="20">
        <f t="shared" si="12"/>
        <v>112.61597225492788</v>
      </c>
      <c r="U8" s="20">
        <f t="shared" si="13"/>
        <v>105.90031338093682</v>
      </c>
      <c r="V8" s="20">
        <f t="shared" si="14"/>
        <v>106.57734964804052</v>
      </c>
      <c r="W8" s="20">
        <f t="shared" si="15"/>
        <v>114.03857967860441</v>
      </c>
      <c r="X8" s="20">
        <f t="shared" si="16"/>
        <v>131.71053446763426</v>
      </c>
      <c r="Y8" s="20">
        <f t="shared" si="17"/>
        <v>86.953091865437202</v>
      </c>
      <c r="Z8" s="20">
        <f t="shared" si="18"/>
        <v>116.75838757406497</v>
      </c>
      <c r="AA8" s="20">
        <f t="shared" si="19"/>
        <v>84.836807968726376</v>
      </c>
      <c r="AB8" s="20">
        <f t="shared" si="20"/>
        <v>107.44650333500674</v>
      </c>
      <c r="AC8" s="20">
        <f t="shared" si="21"/>
        <v>104.51494732109448</v>
      </c>
      <c r="AD8" s="20">
        <f t="shared" si="22"/>
        <v>118.29898891495662</v>
      </c>
      <c r="AE8" s="20"/>
      <c r="AF8" s="20">
        <f>P14_Relievers!G9</f>
        <v>4.5</v>
      </c>
      <c r="AG8" s="20">
        <f>P14_Relievers!H9</f>
        <v>3.7983606557376959</v>
      </c>
      <c r="AH8" s="20">
        <f>P14_Relievers!I9</f>
        <v>30.4</v>
      </c>
      <c r="AI8" s="20">
        <f>P14_Relievers!J9</f>
        <v>4.0295081967213058</v>
      </c>
      <c r="AJ8" s="20">
        <f t="shared" si="23"/>
        <v>34.429508196721301</v>
      </c>
      <c r="AK8" s="20">
        <f>P14_Relievers!K9</f>
        <v>4</v>
      </c>
      <c r="AL8" s="20">
        <f>P14_Relievers!L9</f>
        <v>45.431864739034523</v>
      </c>
      <c r="AM8" s="20">
        <f>P14_Relievers!M9</f>
        <v>24.769674185463632</v>
      </c>
      <c r="AN8" s="20">
        <f>P14_Relievers!N9</f>
        <v>22.635657325130996</v>
      </c>
      <c r="AO8" s="20">
        <f>P14_Relievers!O9</f>
        <v>5.8260195944406323</v>
      </c>
      <c r="AP8" s="20">
        <f>P14_Relievers!P9</f>
        <v>0.99548020995884112</v>
      </c>
      <c r="AQ8" s="20">
        <f>P14_Relievers!Q9</f>
        <v>3.2010252904989436</v>
      </c>
      <c r="AR8" s="20">
        <f>P14_Relievers!R9</f>
        <v>86.735983609265972</v>
      </c>
      <c r="AS8" s="20">
        <f>P14_Relievers!S9</f>
        <v>26.827981560424167</v>
      </c>
      <c r="AT8" s="20">
        <f t="shared" si="24"/>
        <v>12.134678260273491</v>
      </c>
      <c r="AU8" s="20">
        <f t="shared" si="25"/>
        <v>3.753331789893013</v>
      </c>
      <c r="AV8" s="20">
        <f t="shared" si="26"/>
        <v>3.1668104449895687</v>
      </c>
      <c r="AW8" s="20">
        <f t="shared" si="27"/>
        <v>1.123268246532857</v>
      </c>
      <c r="AX8" s="20">
        <f t="shared" si="28"/>
        <v>0.22778708003361905</v>
      </c>
    </row>
    <row r="9" spans="1:50" s="10" customFormat="1" ht="16">
      <c r="A9" s="20" t="s">
        <v>28</v>
      </c>
      <c r="B9" s="20" t="str">
        <f>P14_Relievers!B4</f>
        <v xml:space="preserve">SEA </v>
      </c>
      <c r="C9" s="20" t="str">
        <f>P14_Relievers!C4</f>
        <v>RP</v>
      </c>
      <c r="D9" s="20">
        <f>P14_Relievers!D4</f>
        <v>60</v>
      </c>
      <c r="E9" s="21">
        <v>61.67</v>
      </c>
      <c r="F9" s="20">
        <f>P14_Relievers!F4</f>
        <v>253</v>
      </c>
      <c r="G9" s="22">
        <f t="shared" si="0"/>
        <v>0.29108144343734998</v>
      </c>
      <c r="H9" s="22">
        <f t="shared" si="1"/>
        <v>1.2658791733910875</v>
      </c>
      <c r="I9" s="22">
        <f t="shared" si="2"/>
        <v>0.81101050273519348</v>
      </c>
      <c r="J9" s="22">
        <f t="shared" si="3"/>
        <v>0.8231481341902902</v>
      </c>
      <c r="K9" s="22">
        <f t="shared" si="4"/>
        <v>-0.59842075290956309</v>
      </c>
      <c r="L9" s="22">
        <f t="shared" si="5"/>
        <v>1.3594840632441689</v>
      </c>
      <c r="M9" s="22">
        <f t="shared" si="6"/>
        <v>0.63855912211904309</v>
      </c>
      <c r="N9" s="22">
        <f t="shared" si="7"/>
        <v>5.229300808326613</v>
      </c>
      <c r="O9" s="20"/>
      <c r="P9" s="20">
        <f t="shared" si="8"/>
        <v>103.79018603350745</v>
      </c>
      <c r="Q9" s="20">
        <f t="shared" si="9"/>
        <v>130.80604827762465</v>
      </c>
      <c r="R9" s="20">
        <f t="shared" si="10"/>
        <v>128.0016505296523</v>
      </c>
      <c r="S9" s="20">
        <f t="shared" si="11"/>
        <v>77.483443708609258</v>
      </c>
      <c r="T9" s="20">
        <f t="shared" si="12"/>
        <v>114.72748190897283</v>
      </c>
      <c r="U9" s="20">
        <f t="shared" si="13"/>
        <v>117.28096247918502</v>
      </c>
      <c r="V9" s="20">
        <f t="shared" si="14"/>
        <v>118.424967557795</v>
      </c>
      <c r="W9" s="20">
        <f t="shared" si="15"/>
        <v>126.25830496042431</v>
      </c>
      <c r="X9" s="20">
        <f t="shared" si="16"/>
        <v>63.978669146100806</v>
      </c>
      <c r="Y9" s="20">
        <f t="shared" si="17"/>
        <v>75.420280434551373</v>
      </c>
      <c r="Z9" s="20">
        <f t="shared" si="18"/>
        <v>112.37713092137651</v>
      </c>
      <c r="AA9" s="20">
        <f t="shared" si="19"/>
        <v>90.528014800497573</v>
      </c>
      <c r="AB9" s="20">
        <f t="shared" si="20"/>
        <v>115.69807234885278</v>
      </c>
      <c r="AC9" s="20">
        <f t="shared" si="21"/>
        <v>105.19064511607672</v>
      </c>
      <c r="AD9" s="20">
        <f t="shared" si="22"/>
        <v>114.09415076496101</v>
      </c>
      <c r="AE9" s="20"/>
      <c r="AF9" s="20">
        <f>P14_Relievers!G4</f>
        <v>3.8249999999999944</v>
      </c>
      <c r="AG9" s="20">
        <f>P14_Relievers!H4</f>
        <v>2.1864919354838701</v>
      </c>
      <c r="AH9" s="20">
        <f>P14_Relievers!I4</f>
        <v>32.449999999999982</v>
      </c>
      <c r="AI9" s="20">
        <f>P14_Relievers!J4</f>
        <v>2.9243951612903221</v>
      </c>
      <c r="AJ9" s="20">
        <f t="shared" si="23"/>
        <v>35.374395161290302</v>
      </c>
      <c r="AK9" s="20">
        <f>P14_Relievers!K4</f>
        <v>4.9999999999999982</v>
      </c>
      <c r="AL9" s="20">
        <f>P14_Relievers!L4</f>
        <v>44.334068912117566</v>
      </c>
      <c r="AM9" s="20">
        <f>P14_Relievers!M4</f>
        <v>21.773968457729669</v>
      </c>
      <c r="AN9" s="20">
        <f>P14_Relievers!N4</f>
        <v>19.765062045357258</v>
      </c>
      <c r="AO9" s="20">
        <f>P14_Relievers!O4</f>
        <v>4.9978299407054125</v>
      </c>
      <c r="AP9" s="20">
        <f>P14_Relievers!P4</f>
        <v>1.9828320802004922</v>
      </c>
      <c r="AQ9" s="20">
        <f>P14_Relievers!Q4</f>
        <v>3.5275872608349901</v>
      </c>
      <c r="AR9" s="20">
        <f>P14_Relievers!R4</f>
        <v>80.029399121577214</v>
      </c>
      <c r="AS9" s="20">
        <f>P14_Relievers!S4</f>
        <v>24.447682459583195</v>
      </c>
      <c r="AT9" s="20">
        <f t="shared" si="24"/>
        <v>11.67933504287652</v>
      </c>
      <c r="AU9" s="20">
        <f t="shared" si="25"/>
        <v>3.5678472861399184</v>
      </c>
      <c r="AV9" s="20">
        <f t="shared" si="26"/>
        <v>2.8844747593354194</v>
      </c>
      <c r="AW9" s="20">
        <f t="shared" si="27"/>
        <v>1.1153194644349078</v>
      </c>
      <c r="AX9" s="20">
        <f t="shared" si="28"/>
        <v>0.21969057969167599</v>
      </c>
    </row>
    <row r="10" spans="1:50" s="10" customFormat="1" ht="16">
      <c r="A10" s="20" t="s">
        <v>45</v>
      </c>
      <c r="B10" s="20" t="str">
        <f>P14_Relievers!B7</f>
        <v xml:space="preserve">NYY </v>
      </c>
      <c r="C10" s="20" t="str">
        <f>P14_Relievers!C7</f>
        <v>RP</v>
      </c>
      <c r="D10" s="20">
        <f>P14_Relievers!D7</f>
        <v>62</v>
      </c>
      <c r="E10" s="21">
        <v>63.67</v>
      </c>
      <c r="F10" s="20">
        <f>P14_Relievers!F7</f>
        <v>259</v>
      </c>
      <c r="G10" s="22">
        <f t="shared" si="0"/>
        <v>0.78400617842417686</v>
      </c>
      <c r="H10" s="22">
        <f t="shared" si="1"/>
        <v>0.40303022852912346</v>
      </c>
      <c r="I10" s="22">
        <f t="shared" si="2"/>
        <v>0.62614095452738494</v>
      </c>
      <c r="J10" s="22">
        <f t="shared" si="3"/>
        <v>0.43825144727317927</v>
      </c>
      <c r="K10" s="22">
        <f t="shared" si="4"/>
        <v>0.36848724123523352</v>
      </c>
      <c r="L10" s="22">
        <f t="shared" si="5"/>
        <v>1.1299253001439169</v>
      </c>
      <c r="M10" s="22">
        <f t="shared" si="6"/>
        <v>0.61656716058314365</v>
      </c>
      <c r="N10" s="22">
        <f t="shared" si="7"/>
        <v>4.9829756712993021</v>
      </c>
      <c r="O10" s="20"/>
      <c r="P10" s="20">
        <f t="shared" si="8"/>
        <v>110.20858366152228</v>
      </c>
      <c r="Q10" s="20">
        <f t="shared" si="9"/>
        <v>85.392416316887918</v>
      </c>
      <c r="R10" s="20">
        <f t="shared" si="10"/>
        <v>123.27336835691895</v>
      </c>
      <c r="S10" s="20">
        <f t="shared" si="11"/>
        <v>101.98675496688747</v>
      </c>
      <c r="T10" s="20">
        <f t="shared" si="12"/>
        <v>103.47032987348808</v>
      </c>
      <c r="U10" s="20">
        <f t="shared" si="13"/>
        <v>104.96999643992379</v>
      </c>
      <c r="V10" s="20">
        <f t="shared" si="14"/>
        <v>105.08963591685507</v>
      </c>
      <c r="W10" s="20">
        <f t="shared" si="15"/>
        <v>96.111393107209281</v>
      </c>
      <c r="X10" s="20">
        <f t="shared" si="16"/>
        <v>64.037844270794665</v>
      </c>
      <c r="Y10" s="20">
        <f t="shared" si="17"/>
        <v>128.7171003944143</v>
      </c>
      <c r="Z10" s="20">
        <f t="shared" si="18"/>
        <v>106.58969548016847</v>
      </c>
      <c r="AA10" s="20">
        <f t="shared" si="19"/>
        <v>105.8325278296508</v>
      </c>
      <c r="AB10" s="20">
        <f t="shared" si="20"/>
        <v>104.99794752865422</v>
      </c>
      <c r="AC10" s="20">
        <f t="shared" si="21"/>
        <v>104.00743945563228</v>
      </c>
      <c r="AD10" s="20">
        <f t="shared" si="22"/>
        <v>113.60874853552359</v>
      </c>
      <c r="AE10" s="20"/>
      <c r="AF10" s="20">
        <f>P14_Relievers!G7</f>
        <v>4.0615384615384569</v>
      </c>
      <c r="AG10" s="20">
        <f>P14_Relievers!H7</f>
        <v>3.621538461538456</v>
      </c>
      <c r="AH10" s="20">
        <f>P14_Relievers!I7</f>
        <v>31.095384615384585</v>
      </c>
      <c r="AI10" s="20">
        <f>P14_Relievers!J7</f>
        <v>2.9723076923076879</v>
      </c>
      <c r="AJ10" s="20">
        <f t="shared" si="23"/>
        <v>34.067692307692276</v>
      </c>
      <c r="AK10" s="20">
        <f>P14_Relievers!K7</f>
        <v>3.9999999999999956</v>
      </c>
      <c r="AL10" s="20">
        <f>P14_Relievers!L7</f>
        <v>50.186779319503565</v>
      </c>
      <c r="AM10" s="20">
        <f>P14_Relievers!M7</f>
        <v>25.01455967176069</v>
      </c>
      <c r="AN10" s="20">
        <f>P14_Relievers!N7</f>
        <v>22.99611999762142</v>
      </c>
      <c r="AO10" s="20">
        <f>P14_Relievers!O7</f>
        <v>7.0410313968008262</v>
      </c>
      <c r="AP10" s="20">
        <f>P14_Relievers!P7</f>
        <v>1.9819694630296687</v>
      </c>
      <c r="AQ10" s="20">
        <f>P14_Relievers!Q7</f>
        <v>2.0184396741392527</v>
      </c>
      <c r="AR10" s="20">
        <f>P14_Relievers!R7</f>
        <v>78.369619648745655</v>
      </c>
      <c r="AS10" s="20">
        <f>P14_Relievers!S7</f>
        <v>21.711834310697252</v>
      </c>
      <c r="AT10" s="20">
        <f t="shared" si="24"/>
        <v>11.077847916423918</v>
      </c>
      <c r="AU10" s="20">
        <f t="shared" si="25"/>
        <v>3.0690514967217726</v>
      </c>
      <c r="AV10" s="20">
        <f t="shared" si="26"/>
        <v>3.2505902305417429</v>
      </c>
      <c r="AW10" s="20">
        <f t="shared" si="27"/>
        <v>1.1292384738526906</v>
      </c>
      <c r="AX10" s="20">
        <f t="shared" si="28"/>
        <v>0.2187559279461328</v>
      </c>
    </row>
    <row r="11" spans="1:50" s="10" customFormat="1" ht="16">
      <c r="A11" s="20" t="s">
        <v>50</v>
      </c>
      <c r="B11" s="20" t="str">
        <f>P14_Relievers!B8</f>
        <v xml:space="preserve">BOS </v>
      </c>
      <c r="C11" s="20" t="str">
        <f>P14_Relievers!C8</f>
        <v>RP</v>
      </c>
      <c r="D11" s="20">
        <f>P14_Relievers!D8</f>
        <v>57</v>
      </c>
      <c r="E11" s="21">
        <v>57.33</v>
      </c>
      <c r="F11" s="20">
        <f>P14_Relievers!F8</f>
        <v>234</v>
      </c>
      <c r="G11" s="22">
        <f t="shared" si="0"/>
        <v>-0.38955027167033812</v>
      </c>
      <c r="H11" s="22">
        <f t="shared" si="1"/>
        <v>1.1059427277158753</v>
      </c>
      <c r="I11" s="22">
        <f t="shared" si="2"/>
        <v>0.33319936136923717</v>
      </c>
      <c r="J11" s="22">
        <f t="shared" si="3"/>
        <v>1.4537127414725983</v>
      </c>
      <c r="K11" s="22">
        <f t="shared" si="4"/>
        <v>-1.4822236011075867</v>
      </c>
      <c r="L11" s="22">
        <f t="shared" si="5"/>
        <v>0.79456740953102334</v>
      </c>
      <c r="M11" s="22">
        <f t="shared" si="6"/>
        <v>1.0041050048473916</v>
      </c>
      <c r="N11" s="22">
        <f t="shared" si="7"/>
        <v>3.8238583770055925</v>
      </c>
      <c r="O11" s="20"/>
      <c r="P11" s="20">
        <f t="shared" si="8"/>
        <v>94.927646429128302</v>
      </c>
      <c r="Q11" s="20">
        <f t="shared" si="9"/>
        <v>124.1477881533813</v>
      </c>
      <c r="R11" s="20">
        <f t="shared" si="10"/>
        <v>116.36591375028337</v>
      </c>
      <c r="S11" s="20">
        <f t="shared" si="11"/>
        <v>101.9867549668874</v>
      </c>
      <c r="T11" s="20">
        <f t="shared" si="12"/>
        <v>122.34762509389284</v>
      </c>
      <c r="U11" s="20">
        <f t="shared" si="13"/>
        <v>122.68595813505337</v>
      </c>
      <c r="V11" s="20">
        <f t="shared" si="14"/>
        <v>122.38163440845776</v>
      </c>
      <c r="W11" s="20">
        <f t="shared" si="15"/>
        <v>126.78483913241068</v>
      </c>
      <c r="X11" s="20">
        <f t="shared" si="16"/>
        <v>133.09402970975353</v>
      </c>
      <c r="Y11" s="20">
        <f t="shared" si="17"/>
        <v>145.442922366662</v>
      </c>
      <c r="Z11" s="20">
        <f t="shared" si="18"/>
        <v>121.85851145854636</v>
      </c>
      <c r="AA11" s="20">
        <f t="shared" si="19"/>
        <v>76.538915230157471</v>
      </c>
      <c r="AB11" s="20">
        <f t="shared" si="20"/>
        <v>113.71471252415316</v>
      </c>
      <c r="AC11" s="20">
        <f t="shared" si="21"/>
        <v>102.13254900144717</v>
      </c>
      <c r="AD11" s="20">
        <f t="shared" si="22"/>
        <v>122.16240725715099</v>
      </c>
      <c r="AE11" s="20"/>
      <c r="AF11" s="20">
        <f>P14_Relievers!G8</f>
        <v>3.4983870967741901</v>
      </c>
      <c r="AG11" s="20">
        <f>P14_Relievers!H8</f>
        <v>2.3968894009216513</v>
      </c>
      <c r="AH11" s="20">
        <f>P14_Relievers!I8</f>
        <v>29.699999999999978</v>
      </c>
      <c r="AI11" s="20">
        <f>P14_Relievers!J8</f>
        <v>2.4587557603686601</v>
      </c>
      <c r="AJ11" s="20">
        <f t="shared" si="23"/>
        <v>32.158755760368635</v>
      </c>
      <c r="AK11" s="20">
        <f>P14_Relievers!K8</f>
        <v>3.9999999999999982</v>
      </c>
      <c r="AL11" s="20">
        <f>P14_Relievers!L8</f>
        <v>40.372277227722648</v>
      </c>
      <c r="AM11" s="20">
        <f>P14_Relievers!M8</f>
        <v>20.351222153465322</v>
      </c>
      <c r="AN11" s="20">
        <f>P14_Relievers!N8</f>
        <v>18.806389232673251</v>
      </c>
      <c r="AO11" s="20">
        <f>P14_Relievers!O8</f>
        <v>4.9621441831682995</v>
      </c>
      <c r="AP11" s="20">
        <f>P14_Relievers!P8</f>
        <v>0.9753124999999867</v>
      </c>
      <c r="AQ11" s="20">
        <f>P14_Relievers!Q8</f>
        <v>1.5448329207920675</v>
      </c>
      <c r="AR11" s="20">
        <f>P14_Relievers!R8</f>
        <v>80.674350611531736</v>
      </c>
      <c r="AS11" s="20">
        <f>P14_Relievers!S8</f>
        <v>25.631426907396413</v>
      </c>
      <c r="AT11" s="20">
        <f t="shared" si="24"/>
        <v>12.664733220020683</v>
      </c>
      <c r="AU11" s="20">
        <f t="shared" si="25"/>
        <v>4.0237718849915876</v>
      </c>
      <c r="AV11" s="20">
        <f t="shared" si="26"/>
        <v>2.9523373991637754</v>
      </c>
      <c r="AW11" s="20">
        <f t="shared" si="27"/>
        <v>1.1512943334226247</v>
      </c>
      <c r="AX11" s="20">
        <f t="shared" si="28"/>
        <v>0.23522616967579196</v>
      </c>
    </row>
    <row r="12" spans="1:50" s="10" customFormat="1" ht="16">
      <c r="A12" s="20" t="s">
        <v>213</v>
      </c>
      <c r="B12" s="20" t="str">
        <f>P14_Relievers!B33</f>
        <v xml:space="preserve">HOU </v>
      </c>
      <c r="C12" s="20" t="str">
        <f>P14_Relievers!C33</f>
        <v>RP</v>
      </c>
      <c r="D12" s="20">
        <f>P14_Relievers!D33</f>
        <v>65</v>
      </c>
      <c r="E12" s="21">
        <v>67.33</v>
      </c>
      <c r="F12" s="20">
        <f>P14_Relievers!F33</f>
        <v>279</v>
      </c>
      <c r="G12" s="22">
        <f t="shared" si="0"/>
        <v>-0.22683134602512706</v>
      </c>
      <c r="H12" s="22">
        <f t="shared" si="1"/>
        <v>1.2008136433968197</v>
      </c>
      <c r="I12" s="22">
        <f t="shared" si="2"/>
        <v>0.19919045024569287</v>
      </c>
      <c r="J12" s="22">
        <f t="shared" si="3"/>
        <v>1.1343306854272039</v>
      </c>
      <c r="K12" s="22">
        <f t="shared" si="4"/>
        <v>-1.0275691484848231</v>
      </c>
      <c r="L12" s="22">
        <f t="shared" si="5"/>
        <v>-0.64739820205965859</v>
      </c>
      <c r="M12" s="22">
        <f t="shared" si="6"/>
        <v>0.75418989449003582</v>
      </c>
      <c r="N12" s="22">
        <f t="shared" si="7"/>
        <v>2.1409158714801797</v>
      </c>
      <c r="O12" s="20"/>
      <c r="P12" s="20">
        <f t="shared" si="8"/>
        <v>97.046417698381518</v>
      </c>
      <c r="Q12" s="20">
        <f t="shared" si="9"/>
        <v>130.86351415835415</v>
      </c>
      <c r="R12" s="20">
        <f t="shared" si="10"/>
        <v>86.665369092786619</v>
      </c>
      <c r="S12" s="20">
        <f t="shared" si="11"/>
        <v>101.98675496688743</v>
      </c>
      <c r="T12" s="20">
        <f t="shared" si="12"/>
        <v>104.12130923747122</v>
      </c>
      <c r="U12" s="20">
        <f t="shared" si="13"/>
        <v>109.03464866030072</v>
      </c>
      <c r="V12" s="20">
        <f t="shared" si="14"/>
        <v>110.08567567348594</v>
      </c>
      <c r="W12" s="20">
        <f t="shared" si="15"/>
        <v>105.9554336079855</v>
      </c>
      <c r="X12" s="20">
        <f t="shared" si="16"/>
        <v>131.90875687707913</v>
      </c>
      <c r="Y12" s="20">
        <f t="shared" si="17"/>
        <v>68.469218062784577</v>
      </c>
      <c r="Z12" s="20">
        <f t="shared" si="18"/>
        <v>117.05617594028541</v>
      </c>
      <c r="AA12" s="20">
        <f t="shared" si="19"/>
        <v>83.735323819251832</v>
      </c>
      <c r="AB12" s="20">
        <f t="shared" si="20"/>
        <v>114.89119960875524</v>
      </c>
      <c r="AC12" s="20">
        <f t="shared" si="21"/>
        <v>101.2748625748371</v>
      </c>
      <c r="AD12" s="20">
        <f t="shared" si="22"/>
        <v>116.64633032424361</v>
      </c>
      <c r="AE12" s="20"/>
      <c r="AF12" s="20">
        <f>P14_Relievers!G33</f>
        <v>3.5764705882352916</v>
      </c>
      <c r="AG12" s="20">
        <f>P14_Relievers!H33</f>
        <v>2.1846760443307733</v>
      </c>
      <c r="AH12" s="20">
        <f>P14_Relievers!I33</f>
        <v>7.7735294117646756</v>
      </c>
      <c r="AI12" s="20">
        <f>P14_Relievers!J33</f>
        <v>16.177216538789409</v>
      </c>
      <c r="AJ12" s="20">
        <f t="shared" si="23"/>
        <v>23.950745950554087</v>
      </c>
      <c r="AK12" s="20">
        <f>P14_Relievers!K33</f>
        <v>3.9999999999999973</v>
      </c>
      <c r="AL12" s="20">
        <f>P14_Relievers!L33</f>
        <v>49.848328378575715</v>
      </c>
      <c r="AM12" s="20">
        <f>P14_Relievers!M33</f>
        <v>23.944629316056808</v>
      </c>
      <c r="AN12" s="20">
        <f>P14_Relievers!N33</f>
        <v>21.785614370904792</v>
      </c>
      <c r="AO12" s="20">
        <f>P14_Relievers!O33</f>
        <v>6.3738533460943421</v>
      </c>
      <c r="AP12" s="20">
        <f>P14_Relievers!P33</f>
        <v>0.99259065028467452</v>
      </c>
      <c r="AQ12" s="20">
        <f>P14_Relievers!Q33</f>
        <v>3.7244128690274376</v>
      </c>
      <c r="AR12" s="20">
        <f>P14_Relievers!R33</f>
        <v>91.012409954561591</v>
      </c>
      <c r="AS12" s="20">
        <f>P14_Relievers!S33</f>
        <v>28.347656047974695</v>
      </c>
      <c r="AT12" s="20">
        <f t="shared" si="24"/>
        <v>12.165627351716239</v>
      </c>
      <c r="AU12" s="20">
        <f t="shared" si="25"/>
        <v>3.7892307208045786</v>
      </c>
      <c r="AV12" s="20">
        <f t="shared" si="26"/>
        <v>2.9120827170376229</v>
      </c>
      <c r="AW12" s="20">
        <f t="shared" si="27"/>
        <v>1.1613839956416221</v>
      </c>
      <c r="AX12" s="20">
        <f t="shared" si="28"/>
        <v>0.22460485271178099</v>
      </c>
    </row>
    <row r="13" spans="1:50" s="10" customFormat="1" ht="16">
      <c r="A13" s="20" t="s">
        <v>184</v>
      </c>
      <c r="B13" s="20" t="str">
        <f>P14_Relievers!B28</f>
        <v xml:space="preserve">BOS </v>
      </c>
      <c r="C13" s="20" t="str">
        <f>P14_Relievers!C28</f>
        <v>RP</v>
      </c>
      <c r="D13" s="20">
        <f>P14_Relievers!D28</f>
        <v>58</v>
      </c>
      <c r="E13" s="21">
        <v>64</v>
      </c>
      <c r="F13" s="20">
        <f>P14_Relievers!F28</f>
        <v>262</v>
      </c>
      <c r="G13" s="22">
        <f t="shared" si="0"/>
        <v>8.2262736497397686E-4</v>
      </c>
      <c r="H13" s="22">
        <f t="shared" si="1"/>
        <v>0.33646679704497034</v>
      </c>
      <c r="I13" s="22">
        <f t="shared" si="2"/>
        <v>0.55687356725648895</v>
      </c>
      <c r="J13" s="22">
        <f t="shared" si="3"/>
        <v>-0.17989974220999733</v>
      </c>
      <c r="K13" s="22">
        <f t="shared" si="4"/>
        <v>1.507901397974112</v>
      </c>
      <c r="L13" s="22">
        <f t="shared" si="5"/>
        <v>-1.2912073569793363</v>
      </c>
      <c r="M13" s="22">
        <f t="shared" si="6"/>
        <v>0.34246286858219371</v>
      </c>
      <c r="N13" s="22">
        <f t="shared" si="7"/>
        <v>1.6158830276155993</v>
      </c>
      <c r="O13" s="20"/>
      <c r="P13" s="20">
        <f t="shared" si="8"/>
        <v>100.01071147206326</v>
      </c>
      <c r="Q13" s="20">
        <f t="shared" si="9"/>
        <v>99.485945086755549</v>
      </c>
      <c r="R13" s="20">
        <f t="shared" si="10"/>
        <v>73.404662732734408</v>
      </c>
      <c r="S13" s="20">
        <f t="shared" si="11"/>
        <v>150.99337748344377</v>
      </c>
      <c r="T13" s="20">
        <f t="shared" si="12"/>
        <v>94.288552035407136</v>
      </c>
      <c r="U13" s="20">
        <f t="shared" si="13"/>
        <v>104.35428451577783</v>
      </c>
      <c r="V13" s="20">
        <f t="shared" si="14"/>
        <v>103.76879230498581</v>
      </c>
      <c r="W13" s="20">
        <f t="shared" si="15"/>
        <v>107.9020112880121</v>
      </c>
      <c r="X13" s="20">
        <f t="shared" si="16"/>
        <v>120.41512619428869</v>
      </c>
      <c r="Y13" s="20">
        <f t="shared" si="17"/>
        <v>101.44331103074909</v>
      </c>
      <c r="Z13" s="20">
        <f t="shared" si="18"/>
        <v>97.294967248822928</v>
      </c>
      <c r="AA13" s="20">
        <f t="shared" si="19"/>
        <v>123.86752072764146</v>
      </c>
      <c r="AB13" s="20">
        <f t="shared" si="20"/>
        <v>104.17249942492488</v>
      </c>
      <c r="AC13" s="20">
        <f t="shared" si="21"/>
        <v>103.56411298300524</v>
      </c>
      <c r="AD13" s="20">
        <f t="shared" si="22"/>
        <v>107.55877276512958</v>
      </c>
      <c r="AE13" s="20"/>
      <c r="AF13" s="20">
        <f>P14_Relievers!G28</f>
        <v>3.6857142857142824</v>
      </c>
      <c r="AG13" s="20">
        <f>P14_Relievers!H28</f>
        <v>3.1761904761904725</v>
      </c>
      <c r="AH13" s="20">
        <f>P14_Relievers!I28</f>
        <v>3.6971428571428557</v>
      </c>
      <c r="AI13" s="20">
        <f>P14_Relievers!J28</f>
        <v>16.588888888888881</v>
      </c>
      <c r="AJ13" s="20">
        <f t="shared" si="23"/>
        <v>20.286031746031739</v>
      </c>
      <c r="AK13" s="20">
        <f>P14_Relievers!K28</f>
        <v>1.9999999999999967</v>
      </c>
      <c r="AL13" s="20">
        <f>P14_Relievers!L28</f>
        <v>54.960481099656207</v>
      </c>
      <c r="AM13" s="20">
        <f>P14_Relievers!M28</f>
        <v>25.176632302405462</v>
      </c>
      <c r="AN13" s="20">
        <f>P14_Relievers!N28</f>
        <v>23.316151202749118</v>
      </c>
      <c r="AO13" s="20">
        <f>P14_Relievers!O28</f>
        <v>6.2419243986254145</v>
      </c>
      <c r="AP13" s="20">
        <f>P14_Relievers!P28</f>
        <v>1.1601374570446545</v>
      </c>
      <c r="AQ13" s="20">
        <f>P14_Relievers!Q28</f>
        <v>2.7907216494845053</v>
      </c>
      <c r="AR13" s="20">
        <f>P14_Relievers!R28</f>
        <v>71.906478079406369</v>
      </c>
      <c r="AS13" s="20">
        <f>P14_Relievers!S28</f>
        <v>17.644554632040791</v>
      </c>
      <c r="AT13" s="20">
        <f t="shared" si="24"/>
        <v>10.111848479916521</v>
      </c>
      <c r="AU13" s="20">
        <f t="shared" si="25"/>
        <v>2.481265495130736</v>
      </c>
      <c r="AV13" s="20">
        <f t="shared" si="26"/>
        <v>3.2788337628865949</v>
      </c>
      <c r="AW13" s="20">
        <f t="shared" si="27"/>
        <v>1.1344536833077656</v>
      </c>
      <c r="AX13" s="20">
        <f t="shared" si="28"/>
        <v>0.20710657804338006</v>
      </c>
    </row>
    <row r="14" spans="1:50" s="10" customFormat="1" ht="16">
      <c r="A14" s="20" t="s">
        <v>70</v>
      </c>
      <c r="B14" s="20" t="str">
        <f>P14_Relievers!B11</f>
        <v xml:space="preserve">ATL </v>
      </c>
      <c r="C14" s="20" t="str">
        <f>P14_Relievers!C11</f>
        <v>RP</v>
      </c>
      <c r="D14" s="20">
        <f>P14_Relievers!D11</f>
        <v>62</v>
      </c>
      <c r="E14" s="21">
        <v>63.67</v>
      </c>
      <c r="F14" s="20">
        <f>P14_Relievers!F11</f>
        <v>260</v>
      </c>
      <c r="G14" s="22">
        <f t="shared" si="0"/>
        <v>-0.28515109352064139</v>
      </c>
      <c r="H14" s="22">
        <f t="shared" si="1"/>
        <v>-0.4450407817638935</v>
      </c>
      <c r="I14" s="22">
        <f t="shared" si="2"/>
        <v>0.32580546747002803</v>
      </c>
      <c r="J14" s="22">
        <f t="shared" si="3"/>
        <v>-0.46401014693688503</v>
      </c>
      <c r="K14" s="22">
        <f t="shared" si="4"/>
        <v>1.5635801381545309</v>
      </c>
      <c r="L14" s="22">
        <f t="shared" si="5"/>
        <v>0.35432631585289798</v>
      </c>
      <c r="M14" s="22">
        <f t="shared" si="6"/>
        <v>8.8765922528649552E-2</v>
      </c>
      <c r="N14" s="22">
        <f t="shared" si="7"/>
        <v>1.2270417443133361</v>
      </c>
      <c r="O14" s="20"/>
      <c r="P14" s="20">
        <f t="shared" si="8"/>
        <v>96.28703334936597</v>
      </c>
      <c r="Q14" s="20">
        <f t="shared" si="9"/>
        <v>99.579288207356598</v>
      </c>
      <c r="R14" s="20">
        <f t="shared" si="10"/>
        <v>107.29815224629823</v>
      </c>
      <c r="S14" s="20">
        <f t="shared" si="11"/>
        <v>101.98675496688747</v>
      </c>
      <c r="T14" s="20">
        <f t="shared" si="12"/>
        <v>92.31225600106248</v>
      </c>
      <c r="U14" s="20">
        <f t="shared" si="13"/>
        <v>94.885514630859845</v>
      </c>
      <c r="V14" s="20">
        <f t="shared" si="14"/>
        <v>94.582921188271584</v>
      </c>
      <c r="W14" s="20">
        <f t="shared" si="15"/>
        <v>83.623173008935566</v>
      </c>
      <c r="X14" s="20">
        <f t="shared" si="16"/>
        <v>119.65958754801335</v>
      </c>
      <c r="Y14" s="20">
        <f t="shared" si="17"/>
        <v>124.87422814841173</v>
      </c>
      <c r="Z14" s="20">
        <f t="shared" si="18"/>
        <v>93.022988088122986</v>
      </c>
      <c r="AA14" s="20">
        <f t="shared" si="19"/>
        <v>124.74882071657345</v>
      </c>
      <c r="AB14" s="20">
        <f t="shared" si="20"/>
        <v>94.481082762737543</v>
      </c>
      <c r="AC14" s="20">
        <f t="shared" si="21"/>
        <v>102.08522645861045</v>
      </c>
      <c r="AD14" s="20">
        <f t="shared" si="22"/>
        <v>101.95922390202173</v>
      </c>
      <c r="AE14" s="20"/>
      <c r="AF14" s="20">
        <f>P14_Relievers!G11</f>
        <v>3.5484848484848426</v>
      </c>
      <c r="AG14" s="20">
        <f>P14_Relievers!H11</f>
        <v>3.17324088341037</v>
      </c>
      <c r="AH14" s="20">
        <f>P14_Relievers!I11</f>
        <v>25.684848484848438</v>
      </c>
      <c r="AI14" s="20">
        <f>P14_Relievers!J11</f>
        <v>3.9679506933744144</v>
      </c>
      <c r="AJ14" s="20">
        <f t="shared" si="23"/>
        <v>29.652799178222853</v>
      </c>
      <c r="AK14" s="20">
        <f>P14_Relievers!K11</f>
        <v>3.9999999999999956</v>
      </c>
      <c r="AL14" s="20">
        <f>P14_Relievers!L11</f>
        <v>55.987977959592378</v>
      </c>
      <c r="AM14" s="20">
        <f>P14_Relievers!M11</f>
        <v>27.669077850455082</v>
      </c>
      <c r="AN14" s="20">
        <f>P14_Relievers!N11</f>
        <v>25.54182377837628</v>
      </c>
      <c r="AO14" s="20">
        <f>P14_Relievers!O11</f>
        <v>7.8874182377837343</v>
      </c>
      <c r="AP14" s="20">
        <f>P14_Relievers!P11</f>
        <v>1.1711512168443958</v>
      </c>
      <c r="AQ14" s="20">
        <f>P14_Relievers!Q11</f>
        <v>2.1272540720789852</v>
      </c>
      <c r="AR14" s="20">
        <f>P14_Relievers!R11</f>
        <v>68.394755817764477</v>
      </c>
      <c r="AS14" s="20">
        <f>P14_Relievers!S11</f>
        <v>17.35037692559813</v>
      </c>
      <c r="AT14" s="20">
        <f t="shared" si="24"/>
        <v>9.6678624526445773</v>
      </c>
      <c r="AU14" s="20">
        <f t="shared" si="25"/>
        <v>2.4525426783474664</v>
      </c>
      <c r="AV14" s="20">
        <f t="shared" si="26"/>
        <v>3.6104352757246194</v>
      </c>
      <c r="AW14" s="20">
        <f t="shared" si="27"/>
        <v>1.1518510269387547</v>
      </c>
      <c r="AX14" s="20">
        <f t="shared" si="28"/>
        <v>0.19632453420063981</v>
      </c>
    </row>
    <row r="15" spans="1:50" s="10" customFormat="1" ht="16">
      <c r="A15" s="20" t="s">
        <v>103</v>
      </c>
      <c r="B15" s="20" t="str">
        <f>P14_Relievers!B16</f>
        <v xml:space="preserve">MIL </v>
      </c>
      <c r="C15" s="20" t="str">
        <f>P14_Relievers!C16</f>
        <v>RP</v>
      </c>
      <c r="D15" s="20">
        <f>P14_Relievers!D16</f>
        <v>61</v>
      </c>
      <c r="E15" s="21">
        <v>64</v>
      </c>
      <c r="F15" s="20">
        <f>P14_Relievers!F16</f>
        <v>263</v>
      </c>
      <c r="G15" s="22">
        <f t="shared" si="0"/>
        <v>-0.36408705748749698</v>
      </c>
      <c r="H15" s="22">
        <f t="shared" si="1"/>
        <v>0.44947056258039647</v>
      </c>
      <c r="I15" s="22">
        <f t="shared" si="2"/>
        <v>-3.2575549705713455E-2</v>
      </c>
      <c r="J15" s="22">
        <f t="shared" si="3"/>
        <v>0.39225025804290659</v>
      </c>
      <c r="K15" s="22">
        <f t="shared" si="4"/>
        <v>0.10347518901779432</v>
      </c>
      <c r="L15" s="22">
        <f t="shared" si="5"/>
        <v>-0.24002614244964515</v>
      </c>
      <c r="M15" s="22">
        <f t="shared" si="6"/>
        <v>0.43184369157013802</v>
      </c>
      <c r="N15" s="22">
        <f t="shared" si="7"/>
        <v>1.1721946431385177</v>
      </c>
      <c r="O15" s="20"/>
      <c r="P15" s="20">
        <f t="shared" si="8"/>
        <v>95.259204214551971</v>
      </c>
      <c r="Q15" s="20">
        <f t="shared" si="9"/>
        <v>116.73082124999965</v>
      </c>
      <c r="R15" s="20">
        <f t="shared" si="10"/>
        <v>95.056118463929124</v>
      </c>
      <c r="S15" s="20">
        <f t="shared" si="11"/>
        <v>52.98013245033107</v>
      </c>
      <c r="T15" s="20">
        <f t="shared" si="12"/>
        <v>98.734789924452357</v>
      </c>
      <c r="U15" s="20">
        <f t="shared" si="13"/>
        <v>105.23263072525819</v>
      </c>
      <c r="V15" s="20">
        <f t="shared" si="14"/>
        <v>105.17604718159569</v>
      </c>
      <c r="W15" s="20">
        <f t="shared" si="15"/>
        <v>94.701788697373246</v>
      </c>
      <c r="X15" s="20">
        <f t="shared" si="16"/>
        <v>65.167981512626426</v>
      </c>
      <c r="Y15" s="20">
        <f t="shared" si="17"/>
        <v>141.01393072612797</v>
      </c>
      <c r="Z15" s="20">
        <f t="shared" si="18"/>
        <v>105.89800619850331</v>
      </c>
      <c r="AA15" s="20">
        <f t="shared" si="19"/>
        <v>101.63783667950497</v>
      </c>
      <c r="AB15" s="20">
        <f t="shared" si="20"/>
        <v>105.57385061574652</v>
      </c>
      <c r="AC15" s="20">
        <f t="shared" si="21"/>
        <v>99.791509336299313</v>
      </c>
      <c r="AD15" s="20">
        <f t="shared" si="22"/>
        <v>109.53156862858532</v>
      </c>
      <c r="AE15" s="20"/>
      <c r="AF15" s="20">
        <f>P14_Relievers!G16</f>
        <v>3.510606060606051</v>
      </c>
      <c r="AG15" s="20">
        <f>P14_Relievers!H16</f>
        <v>2.6312615955473064</v>
      </c>
      <c r="AH15" s="20">
        <f>P14_Relievers!I16</f>
        <v>18.033333333333307</v>
      </c>
      <c r="AI15" s="20">
        <f>P14_Relievers!J16</f>
        <v>8.2362708719851092</v>
      </c>
      <c r="AJ15" s="20">
        <f t="shared" si="23"/>
        <v>26.269604205318416</v>
      </c>
      <c r="AK15" s="20">
        <f>P14_Relievers!K16</f>
        <v>5.9999999999999991</v>
      </c>
      <c r="AL15" s="20">
        <f>P14_Relievers!L16</f>
        <v>52.648835784313498</v>
      </c>
      <c r="AM15" s="20">
        <f>P14_Relievers!M16</f>
        <v>24.945426968864446</v>
      </c>
      <c r="AN15" s="20">
        <f>P14_Relievers!N16</f>
        <v>22.975183150183128</v>
      </c>
      <c r="AO15" s="20">
        <f>P14_Relievers!O16</f>
        <v>7.1365670787545437</v>
      </c>
      <c r="AP15" s="20">
        <f>P14_Relievers!P16</f>
        <v>1.9654950441714953</v>
      </c>
      <c r="AQ15" s="20">
        <f>P14_Relievers!Q16</f>
        <v>1.6702438186813062</v>
      </c>
      <c r="AR15" s="20">
        <f>P14_Relievers!R16</f>
        <v>78.26460994525533</v>
      </c>
      <c r="AS15" s="20">
        <f>P14_Relievers!S16</f>
        <v>22.796532846715298</v>
      </c>
      <c r="AT15" s="20">
        <f t="shared" si="24"/>
        <v>11.00596077355153</v>
      </c>
      <c r="AU15" s="20">
        <f t="shared" si="25"/>
        <v>3.2057624315693389</v>
      </c>
      <c r="AV15" s="20">
        <f t="shared" si="26"/>
        <v>3.2308851304945021</v>
      </c>
      <c r="AW15" s="20">
        <f t="shared" si="27"/>
        <v>1.178833884859825</v>
      </c>
      <c r="AX15" s="20">
        <f t="shared" si="28"/>
        <v>0.2109052361161218</v>
      </c>
    </row>
    <row r="16" spans="1:50" s="10" customFormat="1" ht="16">
      <c r="A16" s="20" t="s">
        <v>87</v>
      </c>
      <c r="B16" s="20" t="str">
        <f>P14_Relievers!B14</f>
        <v xml:space="preserve">TOR </v>
      </c>
      <c r="C16" s="20" t="str">
        <f>P14_Relievers!C14</f>
        <v>RP</v>
      </c>
      <c r="D16" s="20">
        <f>P14_Relievers!D14</f>
        <v>61</v>
      </c>
      <c r="E16" s="21">
        <v>62</v>
      </c>
      <c r="F16" s="20">
        <f>P14_Relievers!F14</f>
        <v>256</v>
      </c>
      <c r="G16" s="22">
        <f t="shared" si="0"/>
        <v>-0.13479687644092692</v>
      </c>
      <c r="H16" s="22">
        <f t="shared" si="1"/>
        <v>-0.13515249696955864</v>
      </c>
      <c r="I16" s="22">
        <f t="shared" si="2"/>
        <v>0.10975083535648361</v>
      </c>
      <c r="J16" s="22">
        <f t="shared" si="3"/>
        <v>0.2846341858324134</v>
      </c>
      <c r="K16" s="22">
        <f t="shared" si="4"/>
        <v>-0.1988556384142138</v>
      </c>
      <c r="L16" s="22">
        <f t="shared" si="5"/>
        <v>0.37962853395501639</v>
      </c>
      <c r="M16" s="22">
        <f t="shared" si="6"/>
        <v>0.20298343404898625</v>
      </c>
      <c r="N16" s="22">
        <f t="shared" si="7"/>
        <v>0.71117541141718665</v>
      </c>
      <c r="O16" s="20"/>
      <c r="P16" s="20">
        <f t="shared" si="8"/>
        <v>98.244803129963927</v>
      </c>
      <c r="Q16" s="20">
        <f t="shared" si="9"/>
        <v>62.665953956616576</v>
      </c>
      <c r="R16" s="20">
        <f t="shared" si="10"/>
        <v>107.81930868209332</v>
      </c>
      <c r="S16" s="20">
        <f t="shared" si="11"/>
        <v>101.98675496688749</v>
      </c>
      <c r="T16" s="20">
        <f t="shared" si="12"/>
        <v>105.2437374406236</v>
      </c>
      <c r="U16" s="20">
        <f t="shared" si="13"/>
        <v>101.29882055597589</v>
      </c>
      <c r="V16" s="20">
        <f t="shared" si="14"/>
        <v>101.0863993178899</v>
      </c>
      <c r="W16" s="20">
        <f t="shared" si="15"/>
        <v>85.681604820359809</v>
      </c>
      <c r="X16" s="20">
        <f t="shared" si="16"/>
        <v>118.70321752207609</v>
      </c>
      <c r="Y16" s="20">
        <f t="shared" si="17"/>
        <v>75.184643197813529</v>
      </c>
      <c r="Z16" s="20">
        <f t="shared" si="18"/>
        <v>104.27985490875542</v>
      </c>
      <c r="AA16" s="20">
        <f t="shared" si="19"/>
        <v>96.85245263514166</v>
      </c>
      <c r="AB16" s="20">
        <f t="shared" si="20"/>
        <v>98.323984057757471</v>
      </c>
      <c r="AC16" s="20">
        <f t="shared" si="21"/>
        <v>100.70242942058972</v>
      </c>
      <c r="AD16" s="20">
        <f t="shared" si="22"/>
        <v>104.48021024706715</v>
      </c>
      <c r="AE16" s="20"/>
      <c r="AF16" s="20">
        <f>P14_Relievers!G14</f>
        <v>3.6206349206349167</v>
      </c>
      <c r="AG16" s="20">
        <f>P14_Relievers!H14</f>
        <v>4.3396825396825331</v>
      </c>
      <c r="AH16" s="20">
        <f>P14_Relievers!I14</f>
        <v>25.8349206349206</v>
      </c>
      <c r="AI16" s="20">
        <f>P14_Relievers!J14</f>
        <v>3.9619047619047536</v>
      </c>
      <c r="AJ16" s="20">
        <f t="shared" si="23"/>
        <v>29.796825396825355</v>
      </c>
      <c r="AK16" s="20">
        <f>P14_Relievers!K14</f>
        <v>3.9999999999999951</v>
      </c>
      <c r="AL16" s="20">
        <f>P14_Relievers!L14</f>
        <v>49.264766283524864</v>
      </c>
      <c r="AM16" s="20">
        <f>P14_Relievers!M14</f>
        <v>25.980916030534143</v>
      </c>
      <c r="AN16" s="20">
        <f>P14_Relievers!N14</f>
        <v>23.966076335877862</v>
      </c>
      <c r="AO16" s="20">
        <f>P14_Relievers!O14</f>
        <v>7.7479083969465341</v>
      </c>
      <c r="AP16" s="20">
        <f>P14_Relievers!P14</f>
        <v>1.1850925682196991</v>
      </c>
      <c r="AQ16" s="20">
        <f>P14_Relievers!Q14</f>
        <v>3.5342595419847167</v>
      </c>
      <c r="AR16" s="20">
        <f>P14_Relievers!R14</f>
        <v>74.660307692307455</v>
      </c>
      <c r="AS16" s="20">
        <f>P14_Relievers!S14</f>
        <v>23.158549212949197</v>
      </c>
      <c r="AT16" s="20">
        <f t="shared" si="24"/>
        <v>10.837786600496242</v>
      </c>
      <c r="AU16" s="20">
        <f t="shared" si="25"/>
        <v>3.3617248857506898</v>
      </c>
      <c r="AV16" s="20">
        <f t="shared" si="26"/>
        <v>3.4789465648854963</v>
      </c>
      <c r="AW16" s="20">
        <f t="shared" si="27"/>
        <v>1.168117991878614</v>
      </c>
      <c r="AX16" s="20">
        <f t="shared" si="28"/>
        <v>0.2011787440599932</v>
      </c>
    </row>
    <row r="17" spans="1:50" s="10" customFormat="1" ht="16">
      <c r="A17" s="20" t="s">
        <v>243</v>
      </c>
      <c r="B17" s="20" t="str">
        <f>P14_Relievers!B37</f>
        <v xml:space="preserve">TB </v>
      </c>
      <c r="C17" s="20" t="str">
        <f>P14_Relievers!C37</f>
        <v>RP</v>
      </c>
      <c r="D17" s="20">
        <f>P14_Relievers!D37</f>
        <v>63</v>
      </c>
      <c r="E17" s="21">
        <v>68.33</v>
      </c>
      <c r="F17" s="20">
        <f>P14_Relievers!F37</f>
        <v>283</v>
      </c>
      <c r="G17" s="22">
        <f t="shared" si="0"/>
        <v>0.27269400712506375</v>
      </c>
      <c r="H17" s="22">
        <f t="shared" si="1"/>
        <v>-0.53193579572799865</v>
      </c>
      <c r="I17" s="22">
        <f t="shared" si="2"/>
        <v>0.14038684434638293</v>
      </c>
      <c r="J17" s="22">
        <f t="shared" si="3"/>
        <v>0.28257732093281429</v>
      </c>
      <c r="K17" s="22">
        <f t="shared" si="4"/>
        <v>-0.10976875221899506</v>
      </c>
      <c r="L17" s="22">
        <f t="shared" si="5"/>
        <v>-0.42265545584288072</v>
      </c>
      <c r="M17" s="22">
        <f t="shared" si="6"/>
        <v>0.21552553875461808</v>
      </c>
      <c r="N17" s="22">
        <f t="shared" si="7"/>
        <v>6.2349246123622692E-2</v>
      </c>
      <c r="O17" s="20"/>
      <c r="P17" s="20">
        <f t="shared" si="8"/>
        <v>103.55076230563304</v>
      </c>
      <c r="Q17" s="20">
        <f t="shared" si="9"/>
        <v>82.574180136324316</v>
      </c>
      <c r="R17" s="20">
        <f t="shared" si="10"/>
        <v>91.294454500098425</v>
      </c>
      <c r="S17" s="20">
        <f t="shared" si="11"/>
        <v>150.99337748344374</v>
      </c>
      <c r="T17" s="20">
        <f t="shared" si="12"/>
        <v>95.201471963778658</v>
      </c>
      <c r="U17" s="20">
        <f t="shared" si="13"/>
        <v>87.363552720314203</v>
      </c>
      <c r="V17" s="20">
        <f t="shared" si="14"/>
        <v>85.712127009473676</v>
      </c>
      <c r="W17" s="20">
        <f t="shared" si="15"/>
        <v>70.048457454323341</v>
      </c>
      <c r="X17" s="20">
        <f t="shared" si="16"/>
        <v>63.891087419135147</v>
      </c>
      <c r="Y17" s="20">
        <f t="shared" si="17"/>
        <v>34.868292285047971</v>
      </c>
      <c r="Z17" s="20">
        <f t="shared" si="18"/>
        <v>104.24892719952243</v>
      </c>
      <c r="AA17" s="20">
        <f t="shared" si="19"/>
        <v>98.262546893083268</v>
      </c>
      <c r="AB17" s="20">
        <f t="shared" si="20"/>
        <v>93.403504234994699</v>
      </c>
      <c r="AC17" s="20">
        <f t="shared" si="21"/>
        <v>100.89850659826276</v>
      </c>
      <c r="AD17" s="20">
        <f t="shared" si="22"/>
        <v>104.75703710382631</v>
      </c>
      <c r="AE17" s="20"/>
      <c r="AF17" s="20">
        <f>P14_Relievers!G37</f>
        <v>3.8161764705882257</v>
      </c>
      <c r="AG17" s="20">
        <f>P14_Relievers!H37</f>
        <v>3.7105932203389793</v>
      </c>
      <c r="AH17" s="20">
        <f>P14_Relievers!I37</f>
        <v>11.823529411764694</v>
      </c>
      <c r="AI17" s="20">
        <f>P14_Relievers!J37</f>
        <v>13.406505483549338</v>
      </c>
      <c r="AJ17" s="20">
        <f t="shared" si="23"/>
        <v>25.230034895314034</v>
      </c>
      <c r="AK17" s="20">
        <f>P14_Relievers!K37</f>
        <v>1.9999999999999973</v>
      </c>
      <c r="AL17" s="20">
        <f>P14_Relievers!L37</f>
        <v>54.485844535359327</v>
      </c>
      <c r="AM17" s="20">
        <f>P14_Relievers!M37</f>
        <v>29.649068990212378</v>
      </c>
      <c r="AN17" s="20">
        <f>P14_Relievers!N37</f>
        <v>27.691155407018357</v>
      </c>
      <c r="AO17" s="20">
        <f>P14_Relievers!O37</f>
        <v>8.8074421102888323</v>
      </c>
      <c r="AP17" s="20">
        <f>P14_Relievers!P37</f>
        <v>1.9841087906750676</v>
      </c>
      <c r="AQ17" s="20">
        <f>P14_Relievers!Q37</f>
        <v>4.6758534256385413</v>
      </c>
      <c r="AR17" s="20">
        <f>P14_Relievers!R37</f>
        <v>82.258480502548053</v>
      </c>
      <c r="AS17" s="20">
        <f>P14_Relievers!S37</f>
        <v>25.174046837621649</v>
      </c>
      <c r="AT17" s="20">
        <f t="shared" si="24"/>
        <v>10.834572289227756</v>
      </c>
      <c r="AU17" s="20">
        <f t="shared" si="25"/>
        <v>3.3157679136337603</v>
      </c>
      <c r="AV17" s="20">
        <f t="shared" si="26"/>
        <v>3.647305702665963</v>
      </c>
      <c r="AW17" s="20">
        <f t="shared" si="27"/>
        <v>1.1658113767449287</v>
      </c>
      <c r="AX17" s="20">
        <f t="shared" si="28"/>
        <v>0.20171177973472229</v>
      </c>
    </row>
    <row r="18" spans="1:50" s="10" customFormat="1" ht="16">
      <c r="A18" s="20" t="s">
        <v>81</v>
      </c>
      <c r="B18" s="20" t="str">
        <f>P14_Relievers!B13</f>
        <v xml:space="preserve">BAL </v>
      </c>
      <c r="C18" s="20" t="str">
        <f>P14_Relievers!C13</f>
        <v>RP</v>
      </c>
      <c r="D18" s="20">
        <f>P14_Relievers!D13</f>
        <v>61</v>
      </c>
      <c r="E18" s="21">
        <v>63.33</v>
      </c>
      <c r="F18" s="20">
        <f>P14_Relievers!F13</f>
        <v>264</v>
      </c>
      <c r="G18" s="22">
        <f t="shared" si="0"/>
        <v>-0.61086061483884524</v>
      </c>
      <c r="H18" s="22">
        <f t="shared" si="1"/>
        <v>-4.7627769434130151E-3</v>
      </c>
      <c r="I18" s="22">
        <f t="shared" si="2"/>
        <v>-0.47613998663905205</v>
      </c>
      <c r="J18" s="22">
        <f t="shared" si="3"/>
        <v>3.7596770394369573E-2</v>
      </c>
      <c r="K18" s="22">
        <f t="shared" si="4"/>
        <v>-8.1654220118633158E-2</v>
      </c>
      <c r="L18" s="22">
        <f t="shared" si="5"/>
        <v>0.67546621869358414</v>
      </c>
      <c r="M18" s="22">
        <f t="shared" si="6"/>
        <v>-4.6190216260040745E-2</v>
      </c>
      <c r="N18" s="22">
        <f t="shared" si="7"/>
        <v>-0.55273504197207135</v>
      </c>
      <c r="O18" s="20"/>
      <c r="P18" s="20">
        <f t="shared" si="8"/>
        <v>92.04595338184015</v>
      </c>
      <c r="Q18" s="20">
        <f t="shared" si="9"/>
        <v>103.04848643523151</v>
      </c>
      <c r="R18" s="20">
        <f t="shared" si="10"/>
        <v>113.91275522223344</v>
      </c>
      <c r="S18" s="20">
        <f t="shared" si="11"/>
        <v>28.476821192053976</v>
      </c>
      <c r="T18" s="20">
        <f t="shared" si="12"/>
        <v>97.01947522941218</v>
      </c>
      <c r="U18" s="20">
        <f t="shared" si="13"/>
        <v>100.48313105140892</v>
      </c>
      <c r="V18" s="20">
        <f t="shared" si="14"/>
        <v>100.57130934310781</v>
      </c>
      <c r="W18" s="20">
        <f t="shared" si="15"/>
        <v>99.606729839969134</v>
      </c>
      <c r="X18" s="20">
        <f t="shared" si="16"/>
        <v>83.843862576464488</v>
      </c>
      <c r="Y18" s="20">
        <f t="shared" si="17"/>
        <v>145.25594101147936</v>
      </c>
      <c r="Z18" s="20">
        <f t="shared" si="18"/>
        <v>100.56531762639513</v>
      </c>
      <c r="AA18" s="20">
        <f t="shared" si="19"/>
        <v>98.707552235312448</v>
      </c>
      <c r="AB18" s="20">
        <f t="shared" si="20"/>
        <v>99.94093716161008</v>
      </c>
      <c r="AC18" s="20">
        <f t="shared" si="21"/>
        <v>96.952599642197455</v>
      </c>
      <c r="AD18" s="20">
        <f t="shared" si="22"/>
        <v>98.980498673834944</v>
      </c>
      <c r="AE18" s="20"/>
      <c r="AF18" s="20">
        <f>P14_Relievers!G13</f>
        <v>3.392187499999995</v>
      </c>
      <c r="AG18" s="20">
        <f>P14_Relievers!H13</f>
        <v>3.0636160714285658</v>
      </c>
      <c r="AH18" s="20">
        <f>P14_Relievers!I13</f>
        <v>27.965624999999939</v>
      </c>
      <c r="AI18" s="20">
        <f>P14_Relievers!J13</f>
        <v>3.5151785714285642</v>
      </c>
      <c r="AJ18" s="20">
        <f t="shared" si="23"/>
        <v>31.480803571428503</v>
      </c>
      <c r="AK18" s="20">
        <f>P14_Relievers!K13</f>
        <v>6.9999999999999556</v>
      </c>
      <c r="AL18" s="20">
        <f>P14_Relievers!L13</f>
        <v>53.540645731976831</v>
      </c>
      <c r="AM18" s="20">
        <f>P14_Relievers!M13</f>
        <v>26.195628363705005</v>
      </c>
      <c r="AN18" s="20">
        <f>P14_Relievers!N13</f>
        <v>24.090879048248496</v>
      </c>
      <c r="AO18" s="20">
        <f>P14_Relievers!O13</f>
        <v>6.8041355868189788</v>
      </c>
      <c r="AP18" s="20">
        <f>P14_Relievers!P13</f>
        <v>1.693249978879771</v>
      </c>
      <c r="AQ18" s="20">
        <f>P14_Relievers!Q13</f>
        <v>1.5501274667170115</v>
      </c>
      <c r="AR18" s="20">
        <f>P14_Relievers!R13</f>
        <v>73.545378151260309</v>
      </c>
      <c r="AS18" s="20">
        <f>P14_Relievers!S13</f>
        <v>23.22989827509949</v>
      </c>
      <c r="AT18" s="20">
        <f t="shared" si="24"/>
        <v>10.451735407568968</v>
      </c>
      <c r="AU18" s="20">
        <f t="shared" si="25"/>
        <v>3.3012645582803639</v>
      </c>
      <c r="AV18" s="20">
        <f t="shared" si="26"/>
        <v>3.423620897429914</v>
      </c>
      <c r="AW18" s="20">
        <f t="shared" si="27"/>
        <v>1.2122302859162535</v>
      </c>
      <c r="AX18" s="20">
        <f t="shared" si="28"/>
        <v>0.1905889389248516</v>
      </c>
    </row>
    <row r="19" spans="1:50" s="10" customFormat="1" ht="16">
      <c r="A19" s="20" t="s">
        <v>143</v>
      </c>
      <c r="B19" s="20" t="str">
        <f>P14_Relievers!B22</f>
        <v xml:space="preserve">SF </v>
      </c>
      <c r="C19" s="20" t="str">
        <f>P14_Relievers!C22</f>
        <v>RP</v>
      </c>
      <c r="D19" s="20">
        <f>P14_Relievers!D22</f>
        <v>60</v>
      </c>
      <c r="E19" s="21">
        <v>62</v>
      </c>
      <c r="F19" s="20">
        <f>P14_Relievers!F22</f>
        <v>261</v>
      </c>
      <c r="G19" s="22">
        <f t="shared" si="0"/>
        <v>-0.21749169583476829</v>
      </c>
      <c r="H19" s="22">
        <f t="shared" si="1"/>
        <v>0.21573096056579033</v>
      </c>
      <c r="I19" s="22">
        <f t="shared" si="2"/>
        <v>-0.4252131813221563</v>
      </c>
      <c r="J19" s="22">
        <f t="shared" si="3"/>
        <v>-0.48086019420676784</v>
      </c>
      <c r="K19" s="22">
        <f t="shared" si="4"/>
        <v>0.72927717990714991</v>
      </c>
      <c r="L19" s="22">
        <f t="shared" si="5"/>
        <v>0.27634807681278528</v>
      </c>
      <c r="M19" s="22">
        <f t="shared" si="6"/>
        <v>-0.33327618199992592</v>
      </c>
      <c r="N19" s="22">
        <f t="shared" si="7"/>
        <v>-0.56876121807781876</v>
      </c>
      <c r="O19" s="20"/>
      <c r="P19" s="20">
        <f t="shared" si="8"/>
        <v>97.168029750635071</v>
      </c>
      <c r="Q19" s="20">
        <f t="shared" si="9"/>
        <v>89.427004808706002</v>
      </c>
      <c r="R19" s="20">
        <f t="shared" si="10"/>
        <v>105.69201396372922</v>
      </c>
      <c r="S19" s="20">
        <f t="shared" si="11"/>
        <v>101.98675496688747</v>
      </c>
      <c r="T19" s="20">
        <f t="shared" si="12"/>
        <v>94.096460238302782</v>
      </c>
      <c r="U19" s="20">
        <f t="shared" si="13"/>
        <v>105.37037499060911</v>
      </c>
      <c r="V19" s="20">
        <f t="shared" si="14"/>
        <v>105.31945962963084</v>
      </c>
      <c r="W19" s="20">
        <f t="shared" si="15"/>
        <v>120.04729028002006</v>
      </c>
      <c r="X19" s="20">
        <f t="shared" si="16"/>
        <v>131.83968448642364</v>
      </c>
      <c r="Y19" s="20">
        <f t="shared" si="17"/>
        <v>26.679473160783914</v>
      </c>
      <c r="Z19" s="20">
        <f t="shared" si="18"/>
        <v>92.769625136270008</v>
      </c>
      <c r="AA19" s="20">
        <f t="shared" si="19"/>
        <v>111.54322041946183</v>
      </c>
      <c r="AB19" s="20">
        <f t="shared" si="20"/>
        <v>102.67526340430834</v>
      </c>
      <c r="AC19" s="20">
        <f t="shared" si="21"/>
        <v>97.278542367234948</v>
      </c>
      <c r="AD19" s="20">
        <f t="shared" si="22"/>
        <v>92.64399396583697</v>
      </c>
      <c r="AE19" s="20"/>
      <c r="AF19" s="20">
        <f>P14_Relievers!G22</f>
        <v>3.5809523809523762</v>
      </c>
      <c r="AG19" s="20">
        <f>P14_Relievers!H22</f>
        <v>3.4940476190476142</v>
      </c>
      <c r="AH19" s="20">
        <f>P14_Relievers!I22</f>
        <v>24.342857142857099</v>
      </c>
      <c r="AI19" s="20">
        <f>P14_Relievers!J22</f>
        <v>4.8660714285714235</v>
      </c>
      <c r="AJ19" s="20">
        <f t="shared" si="23"/>
        <v>29.208928571428523</v>
      </c>
      <c r="AK19" s="20">
        <f>P14_Relievers!K22</f>
        <v>3.9999999999999956</v>
      </c>
      <c r="AL19" s="20">
        <f>P14_Relievers!L22</f>
        <v>55.060351622550648</v>
      </c>
      <c r="AM19" s="20">
        <f>P14_Relievers!M22</f>
        <v>24.909168818638395</v>
      </c>
      <c r="AN19" s="20">
        <f>P14_Relievers!N22</f>
        <v>22.940435313147336</v>
      </c>
      <c r="AO19" s="20">
        <f>P14_Relievers!O22</f>
        <v>5.418780328613173</v>
      </c>
      <c r="AP19" s="20">
        <f>P14_Relievers!P22</f>
        <v>0.99359754347699991</v>
      </c>
      <c r="AQ19" s="20">
        <f>P14_Relievers!Q22</f>
        <v>4.9077272340304443</v>
      </c>
      <c r="AR19" s="20">
        <f>P14_Relievers!R22</f>
        <v>66.41943224062166</v>
      </c>
      <c r="AS19" s="20">
        <f>P14_Relievers!S22</f>
        <v>19.860197701926289</v>
      </c>
      <c r="AT19" s="20">
        <f t="shared" si="24"/>
        <v>9.6415304865418534</v>
      </c>
      <c r="AU19" s="20">
        <f t="shared" si="25"/>
        <v>2.882931924473171</v>
      </c>
      <c r="AV19" s="20">
        <f t="shared" si="26"/>
        <v>3.3300631906181617</v>
      </c>
      <c r="AW19" s="20">
        <f t="shared" si="27"/>
        <v>1.2083959568464022</v>
      </c>
      <c r="AX19" s="20">
        <f t="shared" si="28"/>
        <v>0.17838787179576771</v>
      </c>
    </row>
    <row r="20" spans="1:50" s="10" customFormat="1" ht="16">
      <c r="A20" s="20" t="s">
        <v>171</v>
      </c>
      <c r="B20" s="20" t="str">
        <f>P14_Relievers!B26</f>
        <v xml:space="preserve">LAD </v>
      </c>
      <c r="C20" s="20" t="str">
        <f>P14_Relievers!C26</f>
        <v>RP</v>
      </c>
      <c r="D20" s="20">
        <f>P14_Relievers!D26</f>
        <v>62</v>
      </c>
      <c r="E20" s="21">
        <v>61.67</v>
      </c>
      <c r="F20" s="20">
        <f>P14_Relievers!F26</f>
        <v>254</v>
      </c>
      <c r="G20" s="22">
        <f t="shared" si="0"/>
        <v>-0.30761549244629027</v>
      </c>
      <c r="H20" s="22">
        <f t="shared" si="1"/>
        <v>-0.16313049103539479</v>
      </c>
      <c r="I20" s="22">
        <f t="shared" si="2"/>
        <v>0.21162441709979757</v>
      </c>
      <c r="J20" s="22">
        <f t="shared" si="3"/>
        <v>0.68073472658155809</v>
      </c>
      <c r="K20" s="22">
        <f t="shared" si="4"/>
        <v>-0.82557117465882202</v>
      </c>
      <c r="L20" s="22">
        <f t="shared" si="5"/>
        <v>-1.064912403908632</v>
      </c>
      <c r="M20" s="22">
        <f t="shared" si="6"/>
        <v>0.40255829707311863</v>
      </c>
      <c r="N20" s="22">
        <f t="shared" si="7"/>
        <v>-0.66375382422154616</v>
      </c>
      <c r="O20" s="20"/>
      <c r="P20" s="20">
        <f t="shared" si="8"/>
        <v>95.994523287392681</v>
      </c>
      <c r="Q20" s="20">
        <f t="shared" si="9"/>
        <v>108.47195934574403</v>
      </c>
      <c r="R20" s="20">
        <f t="shared" si="10"/>
        <v>78.065719352544036</v>
      </c>
      <c r="S20" s="20">
        <f t="shared" si="11"/>
        <v>126.49006622516561</v>
      </c>
      <c r="T20" s="20">
        <f t="shared" si="12"/>
        <v>110.91888873618971</v>
      </c>
      <c r="U20" s="20">
        <f t="shared" si="13"/>
        <v>101.4565989534302</v>
      </c>
      <c r="V20" s="20">
        <f t="shared" si="14"/>
        <v>101.27714474530538</v>
      </c>
      <c r="W20" s="20">
        <f t="shared" si="15"/>
        <v>76.572789665785663</v>
      </c>
      <c r="X20" s="20">
        <f t="shared" si="16"/>
        <v>62.794602733666558</v>
      </c>
      <c r="Y20" s="20">
        <f t="shared" si="17"/>
        <v>93.018194528205328</v>
      </c>
      <c r="Z20" s="20">
        <f t="shared" si="18"/>
        <v>110.23575524703749</v>
      </c>
      <c r="AA20" s="20">
        <f t="shared" si="19"/>
        <v>86.932609022190832</v>
      </c>
      <c r="AB20" s="20">
        <f t="shared" si="20"/>
        <v>97.977031059198595</v>
      </c>
      <c r="AC20" s="20">
        <f t="shared" si="21"/>
        <v>101.3544426901464</v>
      </c>
      <c r="AD20" s="20">
        <f t="shared" si="22"/>
        <v>108.8851871880029</v>
      </c>
      <c r="AE20" s="20"/>
      <c r="AF20" s="20">
        <f>P14_Relievers!G26</f>
        <v>3.5377049180327802</v>
      </c>
      <c r="AG20" s="20">
        <f>P14_Relievers!H26</f>
        <v>2.89223722275795</v>
      </c>
      <c r="AH20" s="20">
        <f>P14_Relievers!I26</f>
        <v>1.8032786885245846</v>
      </c>
      <c r="AI20" s="20">
        <f>P14_Relievers!J26</f>
        <v>19.770877531340386</v>
      </c>
      <c r="AJ20" s="20">
        <f t="shared" si="23"/>
        <v>21.574156219864971</v>
      </c>
      <c r="AK20" s="20">
        <f>P14_Relievers!K26</f>
        <v>2.9999999999999969</v>
      </c>
      <c r="AL20" s="20">
        <f>P14_Relievers!L26</f>
        <v>46.314196108550796</v>
      </c>
      <c r="AM20" s="20">
        <f>P14_Relievers!M26</f>
        <v>25.939384335383352</v>
      </c>
      <c r="AN20" s="20">
        <f>P14_Relievers!N26</f>
        <v>23.919860047696719</v>
      </c>
      <c r="AO20" s="20">
        <f>P14_Relievers!O26</f>
        <v>8.3652566838207356</v>
      </c>
      <c r="AP20" s="20">
        <f>P14_Relievers!P26</f>
        <v>2.0000926440614966</v>
      </c>
      <c r="AQ20" s="20">
        <f>P14_Relievers!Q26</f>
        <v>3.0292864315300312</v>
      </c>
      <c r="AR20" s="20">
        <f>P14_Relievers!R26</f>
        <v>78.504417952314128</v>
      </c>
      <c r="AS20" s="20">
        <f>P14_Relievers!S26</f>
        <v>25.250621573377519</v>
      </c>
      <c r="AT20" s="20">
        <f t="shared" si="24"/>
        <v>11.456782253459171</v>
      </c>
      <c r="AU20" s="20">
        <f t="shared" si="25"/>
        <v>3.6850266606193882</v>
      </c>
      <c r="AV20" s="20">
        <f t="shared" si="26"/>
        <v>3.4908179086958082</v>
      </c>
      <c r="AW20" s="20">
        <f t="shared" si="27"/>
        <v>1.160447830094508</v>
      </c>
      <c r="AX20" s="20">
        <f t="shared" si="28"/>
        <v>0.20966061566510477</v>
      </c>
    </row>
    <row r="21" spans="1:50" s="10" customFormat="1" ht="16">
      <c r="A21" s="20" t="s">
        <v>149</v>
      </c>
      <c r="B21" s="20" t="str">
        <f>P14_Relievers!B23</f>
        <v xml:space="preserve">KC </v>
      </c>
      <c r="C21" s="20" t="str">
        <f>P14_Relievers!C23</f>
        <v>RP</v>
      </c>
      <c r="D21" s="20">
        <f>P14_Relievers!D23</f>
        <v>62</v>
      </c>
      <c r="E21" s="21">
        <v>64.33</v>
      </c>
      <c r="F21" s="20">
        <f>P14_Relievers!F23</f>
        <v>262</v>
      </c>
      <c r="G21" s="22">
        <f t="shared" si="0"/>
        <v>-0.67667347479620366</v>
      </c>
      <c r="H21" s="22">
        <f t="shared" si="1"/>
        <v>-2.7966622056482027E-2</v>
      </c>
      <c r="I21" s="22">
        <f t="shared" si="2"/>
        <v>0.66577088046395738</v>
      </c>
      <c r="J21" s="22">
        <f t="shared" si="3"/>
        <v>-0.46666027311539859</v>
      </c>
      <c r="K21" s="22">
        <f t="shared" si="4"/>
        <v>1.0525992514699363</v>
      </c>
      <c r="L21" s="22">
        <f t="shared" si="5"/>
        <v>-1.3918288037646052</v>
      </c>
      <c r="M21" s="22">
        <f t="shared" si="6"/>
        <v>-7.0846182827647111E-2</v>
      </c>
      <c r="N21" s="22">
        <f t="shared" si="7"/>
        <v>-0.98645140745408999</v>
      </c>
      <c r="O21" s="20"/>
      <c r="P21" s="20">
        <f t="shared" si="8"/>
        <v>91.189000840689076</v>
      </c>
      <c r="Q21" s="20">
        <f t="shared" si="9"/>
        <v>127.52479971267492</v>
      </c>
      <c r="R21" s="20">
        <f t="shared" si="10"/>
        <v>71.332136349493496</v>
      </c>
      <c r="S21" s="20">
        <f t="shared" si="11"/>
        <v>126.49006622516561</v>
      </c>
      <c r="T21" s="20">
        <f t="shared" si="12"/>
        <v>97.987049157333402</v>
      </c>
      <c r="U21" s="20">
        <f t="shared" si="13"/>
        <v>99.527813247788956</v>
      </c>
      <c r="V21" s="20">
        <f t="shared" si="14"/>
        <v>98.710848677941982</v>
      </c>
      <c r="W21" s="20">
        <f t="shared" si="15"/>
        <v>89.087942413550834</v>
      </c>
      <c r="X21" s="20">
        <f t="shared" si="16"/>
        <v>119.28720094451947</v>
      </c>
      <c r="Y21" s="20">
        <f t="shared" si="17"/>
        <v>88.967807809195904</v>
      </c>
      <c r="Z21" s="20">
        <f t="shared" si="18"/>
        <v>92.983139903686663</v>
      </c>
      <c r="AA21" s="20">
        <f t="shared" si="19"/>
        <v>116.66086024332336</v>
      </c>
      <c r="AB21" s="20">
        <f t="shared" si="20"/>
        <v>99.65318802487316</v>
      </c>
      <c r="AC21" s="20">
        <f t="shared" si="21"/>
        <v>104.2610796746176</v>
      </c>
      <c r="AD21" s="20">
        <f t="shared" si="22"/>
        <v>98.436297051741604</v>
      </c>
      <c r="AE21" s="20"/>
      <c r="AF21" s="20">
        <f>P14_Relievers!G23</f>
        <v>3.3606060606060564</v>
      </c>
      <c r="AG21" s="20">
        <f>P14_Relievers!H23</f>
        <v>2.2901776384534931</v>
      </c>
      <c r="AH21" s="20">
        <f>P14_Relievers!I23</f>
        <v>1.7878787878787843</v>
      </c>
      <c r="AI21" s="20">
        <f>P14_Relievers!J23</f>
        <v>17.925391849529746</v>
      </c>
      <c r="AJ21" s="20">
        <f t="shared" si="23"/>
        <v>19.713270637408531</v>
      </c>
      <c r="AK21" s="20">
        <f>P14_Relievers!K23</f>
        <v>2.9999999999999969</v>
      </c>
      <c r="AL21" s="20">
        <f>P14_Relievers!L23</f>
        <v>53.0375939849622</v>
      </c>
      <c r="AM21" s="20">
        <f>P14_Relievers!M23</f>
        <v>26.44709477756281</v>
      </c>
      <c r="AN21" s="20">
        <f>P14_Relievers!N23</f>
        <v>24.541655705996096</v>
      </c>
      <c r="AO21" s="20">
        <f>P14_Relievers!O23</f>
        <v>7.5170444874274498</v>
      </c>
      <c r="AP21" s="20">
        <f>P14_Relievers!P23</f>
        <v>1.1765796308954071</v>
      </c>
      <c r="AQ21" s="20">
        <f>P14_Relievers!Q23</f>
        <v>3.1439767891682706</v>
      </c>
      <c r="AR21" s="20">
        <f>P14_Relievers!R23</f>
        <v>69.074130485985663</v>
      </c>
      <c r="AS21" s="20">
        <f>P14_Relievers!S23</f>
        <v>19.414370730941322</v>
      </c>
      <c r="AT21" s="20">
        <f t="shared" si="24"/>
        <v>9.6637210379895997</v>
      </c>
      <c r="AU21" s="20">
        <f t="shared" si="25"/>
        <v>2.7161407831256321</v>
      </c>
      <c r="AV21" s="20">
        <f t="shared" si="26"/>
        <v>3.433466521902143</v>
      </c>
      <c r="AW21" s="20">
        <f t="shared" si="27"/>
        <v>1.1262546978999461</v>
      </c>
      <c r="AX21" s="20">
        <f t="shared" si="28"/>
        <v>0.18954106776734481</v>
      </c>
    </row>
    <row r="22" spans="1:50" s="10" customFormat="1" ht="16">
      <c r="A22" s="20" t="s">
        <v>137</v>
      </c>
      <c r="B22" s="20" t="str">
        <f>P14_Relievers!B21</f>
        <v xml:space="preserve">ATL </v>
      </c>
      <c r="C22" s="20" t="str">
        <f>P14_Relievers!C21</f>
        <v>RP</v>
      </c>
      <c r="D22" s="20">
        <f>P14_Relievers!D21</f>
        <v>64</v>
      </c>
      <c r="E22" s="21">
        <v>66.33</v>
      </c>
      <c r="F22" s="20">
        <f>P14_Relievers!F21</f>
        <v>273</v>
      </c>
      <c r="G22" s="22">
        <f t="shared" si="0"/>
        <v>1.4177921864232528</v>
      </c>
      <c r="H22" s="22">
        <f t="shared" si="1"/>
        <v>-0.40832300627495549</v>
      </c>
      <c r="I22" s="22">
        <f t="shared" si="2"/>
        <v>-0.29061115173343488</v>
      </c>
      <c r="J22" s="22">
        <f t="shared" si="3"/>
        <v>-0.74601548144291319</v>
      </c>
      <c r="K22" s="22">
        <f t="shared" si="4"/>
        <v>0.78310218063931814</v>
      </c>
      <c r="L22" s="22">
        <f t="shared" si="5"/>
        <v>-0.82307140770062792</v>
      </c>
      <c r="M22" s="22">
        <f t="shared" si="6"/>
        <v>-0.48309357619123655</v>
      </c>
      <c r="N22" s="22">
        <f t="shared" si="7"/>
        <v>-1.0333138324718336</v>
      </c>
      <c r="O22" s="20"/>
      <c r="P22" s="20">
        <f t="shared" si="8"/>
        <v>118.46114297064068</v>
      </c>
      <c r="Q22" s="20">
        <f t="shared" si="9"/>
        <v>71.499746594244357</v>
      </c>
      <c r="R22" s="20">
        <f t="shared" si="10"/>
        <v>83.046981908428236</v>
      </c>
      <c r="S22" s="20">
        <f t="shared" si="11"/>
        <v>77.483443708609201</v>
      </c>
      <c r="T22" s="20">
        <f t="shared" si="12"/>
        <v>87.599621716113461</v>
      </c>
      <c r="U22" s="20">
        <f t="shared" si="13"/>
        <v>90.988596868961594</v>
      </c>
      <c r="V22" s="20">
        <f t="shared" si="14"/>
        <v>90.652714658659875</v>
      </c>
      <c r="W22" s="20">
        <f t="shared" si="15"/>
        <v>88.14830358624684</v>
      </c>
      <c r="X22" s="20">
        <f t="shared" si="16"/>
        <v>64.466286569258941</v>
      </c>
      <c r="Y22" s="20">
        <f t="shared" si="17"/>
        <v>122.27793853106763</v>
      </c>
      <c r="Z22" s="20">
        <f t="shared" si="18"/>
        <v>88.782661468004818</v>
      </c>
      <c r="AA22" s="20">
        <f t="shared" si="19"/>
        <v>112.39517885810133</v>
      </c>
      <c r="AB22" s="20">
        <f t="shared" si="20"/>
        <v>94.936417132897219</v>
      </c>
      <c r="AC22" s="20">
        <f t="shared" si="21"/>
        <v>98.140024882125189</v>
      </c>
      <c r="AD22" s="20">
        <f t="shared" si="22"/>
        <v>89.337254044968248</v>
      </c>
      <c r="AE22" s="20"/>
      <c r="AF22" s="20">
        <f>P14_Relievers!G21</f>
        <v>4.3656716417910397</v>
      </c>
      <c r="AG22" s="20">
        <f>P14_Relievers!H21</f>
        <v>4.0605394082220414</v>
      </c>
      <c r="AH22" s="20">
        <f>P14_Relievers!I21</f>
        <v>10.3283582089552</v>
      </c>
      <c r="AI22" s="20">
        <f>P14_Relievers!J21</f>
        <v>12.622414244566592</v>
      </c>
      <c r="AJ22" s="20">
        <f t="shared" si="23"/>
        <v>22.950772453521793</v>
      </c>
      <c r="AK22" s="20">
        <f>P14_Relievers!K21</f>
        <v>5</v>
      </c>
      <c r="AL22" s="20">
        <f>P14_Relievers!L21</f>
        <v>58.438125531445564</v>
      </c>
      <c r="AM22" s="20">
        <f>P14_Relievers!M21</f>
        <v>28.694855796778352</v>
      </c>
      <c r="AN22" s="20">
        <f>P14_Relievers!N21</f>
        <v>26.494085439612881</v>
      </c>
      <c r="AO22" s="20">
        <f>P14_Relievers!O21</f>
        <v>7.5807283376837926</v>
      </c>
      <c r="AP22" s="20">
        <f>P14_Relievers!P21</f>
        <v>1.9757239048618671</v>
      </c>
      <c r="AQ22" s="20">
        <f>P14_Relievers!Q21</f>
        <v>2.2007703571655775</v>
      </c>
      <c r="AR22" s="20">
        <f>P14_Relievers!R21</f>
        <v>68.004213922877781</v>
      </c>
      <c r="AS22" s="20">
        <f>P14_Relievers!S21</f>
        <v>21.042568927510274</v>
      </c>
      <c r="AT22" s="20">
        <f t="shared" si="24"/>
        <v>9.2271660682330783</v>
      </c>
      <c r="AU22" s="20">
        <f t="shared" si="25"/>
        <v>2.8551653904355865</v>
      </c>
      <c r="AV22" s="20">
        <f t="shared" si="26"/>
        <v>3.5948555548999841</v>
      </c>
      <c r="AW22" s="20">
        <f t="shared" si="27"/>
        <v>1.1982616381570306</v>
      </c>
      <c r="AX22" s="20">
        <f t="shared" si="28"/>
        <v>0.17202067763870882</v>
      </c>
    </row>
    <row r="23" spans="1:50" s="10" customFormat="1" ht="16">
      <c r="A23" s="20" t="s">
        <v>188</v>
      </c>
      <c r="B23" s="20" t="str">
        <f>P14_Relievers!B29</f>
        <v xml:space="preserve">SD </v>
      </c>
      <c r="C23" s="20" t="str">
        <f>P14_Relievers!C29</f>
        <v>RP</v>
      </c>
      <c r="D23" s="20">
        <f>P14_Relievers!D29</f>
        <v>65</v>
      </c>
      <c r="E23" s="21">
        <v>66.33</v>
      </c>
      <c r="F23" s="20">
        <f>P14_Relievers!F29</f>
        <v>274</v>
      </c>
      <c r="G23" s="22">
        <f t="shared" si="0"/>
        <v>2.44547606469254</v>
      </c>
      <c r="H23" s="22">
        <f t="shared" si="1"/>
        <v>8.5420574674124589E-2</v>
      </c>
      <c r="I23" s="22">
        <f t="shared" si="2"/>
        <v>-0.33405879185384163</v>
      </c>
      <c r="J23" s="22">
        <f t="shared" si="3"/>
        <v>-0.84023062374919555</v>
      </c>
      <c r="K23" s="22">
        <f t="shared" si="4"/>
        <v>0.4545269513593686</v>
      </c>
      <c r="L23" s="22">
        <f t="shared" si="5"/>
        <v>-1.7276897482592017</v>
      </c>
      <c r="M23" s="22">
        <f t="shared" si="6"/>
        <v>-0.6983243890092401</v>
      </c>
      <c r="N23" s="22">
        <f t="shared" si="7"/>
        <v>-1.3132043511546858</v>
      </c>
      <c r="O23" s="20"/>
      <c r="P23" s="20">
        <f t="shared" si="8"/>
        <v>131.84266614944596</v>
      </c>
      <c r="Q23" s="20">
        <f t="shared" si="9"/>
        <v>41.53678682927174</v>
      </c>
      <c r="R23" s="20">
        <f t="shared" si="10"/>
        <v>64.414320209851468</v>
      </c>
      <c r="S23" s="20">
        <f t="shared" si="11"/>
        <v>150.99337748344379</v>
      </c>
      <c r="T23" s="20">
        <f t="shared" si="12"/>
        <v>89.585046859198229</v>
      </c>
      <c r="U23" s="20">
        <f t="shared" si="13"/>
        <v>96.89395732220207</v>
      </c>
      <c r="V23" s="20">
        <f t="shared" si="14"/>
        <v>97.025236501427358</v>
      </c>
      <c r="W23" s="20">
        <f t="shared" si="15"/>
        <v>115.0302711627242</v>
      </c>
      <c r="X23" s="20">
        <f t="shared" si="16"/>
        <v>97.879152834372917</v>
      </c>
      <c r="Y23" s="20">
        <f t="shared" si="17"/>
        <v>147.29714428030672</v>
      </c>
      <c r="Z23" s="20">
        <f t="shared" si="18"/>
        <v>87.366011046695107</v>
      </c>
      <c r="AA23" s="20">
        <f t="shared" si="19"/>
        <v>107.19439046042164</v>
      </c>
      <c r="AB23" s="20">
        <f t="shared" si="20"/>
        <v>101.05929411708608</v>
      </c>
      <c r="AC23" s="20">
        <f t="shared" si="21"/>
        <v>97.86195045493163</v>
      </c>
      <c r="AD23" s="20">
        <f t="shared" si="22"/>
        <v>84.586722073777452</v>
      </c>
      <c r="AE23" s="20"/>
      <c r="AF23" s="20">
        <f>P14_Relievers!G29</f>
        <v>4.8588235294117617</v>
      </c>
      <c r="AG23" s="20">
        <f>P14_Relievers!H29</f>
        <v>5.0073529411764692</v>
      </c>
      <c r="AH23" s="20">
        <f>P14_Relievers!I29</f>
        <v>2.9735294117646971</v>
      </c>
      <c r="AI23" s="20">
        <f>P14_Relievers!J29</f>
        <v>14.827941176470565</v>
      </c>
      <c r="AJ23" s="20">
        <f t="shared" si="23"/>
        <v>17.801470588235262</v>
      </c>
      <c r="AK23" s="20">
        <f>P14_Relievers!K29</f>
        <v>1.9999999999999956</v>
      </c>
      <c r="AL23" s="20">
        <f>P14_Relievers!L29</f>
        <v>57.405882352940992</v>
      </c>
      <c r="AM23" s="20">
        <f>P14_Relievers!M29</f>
        <v>27.140399457655374</v>
      </c>
      <c r="AN23" s="20">
        <f>P14_Relievers!N29</f>
        <v>24.950067793074645</v>
      </c>
      <c r="AO23" s="20">
        <f>P14_Relievers!O29</f>
        <v>5.7588078848560276</v>
      </c>
      <c r="AP23" s="20">
        <f>P14_Relievers!P29</f>
        <v>1.488652482269492</v>
      </c>
      <c r="AQ23" s="20">
        <f>P14_Relievers!Q29</f>
        <v>1.4923289528577215</v>
      </c>
      <c r="AR23" s="20">
        <f>P14_Relievers!R29</f>
        <v>66.919112432206674</v>
      </c>
      <c r="AS23" s="20">
        <f>P14_Relievers!S29</f>
        <v>22.291791823112188</v>
      </c>
      <c r="AT23" s="20">
        <f t="shared" si="24"/>
        <v>9.0799338442614221</v>
      </c>
      <c r="AU23" s="20">
        <f t="shared" si="25"/>
        <v>3.0246664617519929</v>
      </c>
      <c r="AV23" s="20">
        <f t="shared" si="26"/>
        <v>3.385355195803887</v>
      </c>
      <c r="AW23" s="20">
        <f t="shared" si="27"/>
        <v>1.2015328535512315</v>
      </c>
      <c r="AX23" s="20">
        <f t="shared" si="28"/>
        <v>0.16287343287990688</v>
      </c>
    </row>
    <row r="24" spans="1:50" s="10" customFormat="1" ht="16">
      <c r="A24" s="20" t="s">
        <v>205</v>
      </c>
      <c r="B24" s="20" t="str">
        <f>P14_Relievers!B32</f>
        <v xml:space="preserve">MIL </v>
      </c>
      <c r="C24" s="20" t="str">
        <f>P14_Relievers!C32</f>
        <v>RP</v>
      </c>
      <c r="D24" s="20">
        <f>P14_Relievers!D32</f>
        <v>67</v>
      </c>
      <c r="E24" s="21">
        <v>68.67</v>
      </c>
      <c r="F24" s="20">
        <f>P14_Relievers!F32</f>
        <v>286</v>
      </c>
      <c r="G24" s="22">
        <f t="shared" si="0"/>
        <v>0.25056098193436266</v>
      </c>
      <c r="H24" s="22">
        <f t="shared" si="1"/>
        <v>0.70982940251381432</v>
      </c>
      <c r="I24" s="22">
        <f t="shared" si="2"/>
        <v>-0.2985777935458544</v>
      </c>
      <c r="J24" s="22">
        <f t="shared" si="3"/>
        <v>0.29718575677768844</v>
      </c>
      <c r="K24" s="22">
        <f t="shared" si="4"/>
        <v>-1.73537972950606</v>
      </c>
      <c r="L24" s="22">
        <f t="shared" si="5"/>
        <v>0.10112018373600749</v>
      </c>
      <c r="M24" s="22">
        <f t="shared" si="6"/>
        <v>-0.32297402260349067</v>
      </c>
      <c r="N24" s="22">
        <f t="shared" si="7"/>
        <v>-1.3212092432970231</v>
      </c>
      <c r="O24" s="20"/>
      <c r="P24" s="20">
        <f t="shared" si="8"/>
        <v>103.26256707763625</v>
      </c>
      <c r="Q24" s="20">
        <f t="shared" si="9"/>
        <v>151.54390073411952</v>
      </c>
      <c r="R24" s="20">
        <f t="shared" si="10"/>
        <v>102.0827989992858</v>
      </c>
      <c r="S24" s="20">
        <f t="shared" si="11"/>
        <v>126.49006622516563</v>
      </c>
      <c r="T24" s="20">
        <f t="shared" si="12"/>
        <v>102.621686496246</v>
      </c>
      <c r="U24" s="20">
        <f t="shared" si="13"/>
        <v>101.19042627535831</v>
      </c>
      <c r="V24" s="20">
        <f t="shared" si="14"/>
        <v>101.73574026943544</v>
      </c>
      <c r="W24" s="20">
        <f t="shared" si="15"/>
        <v>122.00844834203518</v>
      </c>
      <c r="X24" s="20">
        <f t="shared" si="16"/>
        <v>64.398136387266362</v>
      </c>
      <c r="Y24" s="20">
        <f t="shared" si="17"/>
        <v>46.395880430272705</v>
      </c>
      <c r="Z24" s="20">
        <f t="shared" si="18"/>
        <v>104.46858453153642</v>
      </c>
      <c r="AA24" s="20">
        <f t="shared" si="19"/>
        <v>72.531883238544609</v>
      </c>
      <c r="AB24" s="20">
        <f t="shared" si="20"/>
        <v>108.80254099303538</v>
      </c>
      <c r="AC24" s="20">
        <f t="shared" si="21"/>
        <v>98.08903662700925</v>
      </c>
      <c r="AD24" s="20">
        <f t="shared" si="22"/>
        <v>92.871381192341815</v>
      </c>
      <c r="AE24" s="20"/>
      <c r="AF24" s="20">
        <f>P14_Relievers!G32</f>
        <v>3.8055555555555474</v>
      </c>
      <c r="AG24" s="20">
        <f>P14_Relievers!H32</f>
        <v>1.5311868686868584</v>
      </c>
      <c r="AH24" s="20">
        <f>P14_Relievers!I32</f>
        <v>16.336111111111059</v>
      </c>
      <c r="AI24" s="20">
        <f>P14_Relievers!J32</f>
        <v>11.875378787878725</v>
      </c>
      <c r="AJ24" s="20">
        <f t="shared" si="23"/>
        <v>28.211489898989782</v>
      </c>
      <c r="AK24" s="20">
        <f>P14_Relievers!K32</f>
        <v>2.9999999999999951</v>
      </c>
      <c r="AL24" s="20">
        <f>P14_Relievers!L32</f>
        <v>50.627997836450604</v>
      </c>
      <c r="AM24" s="20">
        <f>P14_Relievers!M32</f>
        <v>26.009448442393644</v>
      </c>
      <c r="AN24" s="20">
        <f>P14_Relievers!N32</f>
        <v>23.808745547134606</v>
      </c>
      <c r="AO24" s="20">
        <f>P14_Relievers!O32</f>
        <v>5.285863198412482</v>
      </c>
      <c r="AP24" s="20">
        <f>P14_Relievers!P32</f>
        <v>1.9767173546853476</v>
      </c>
      <c r="AQ24" s="20">
        <f>P14_Relievers!Q32</f>
        <v>4.3494393573528614</v>
      </c>
      <c r="AR24" s="20">
        <f>P14_Relievers!R32</f>
        <v>82.841971433055974</v>
      </c>
      <c r="AS24" s="20">
        <f>P14_Relievers!S32</f>
        <v>31.697818238894808</v>
      </c>
      <c r="AT24" s="20">
        <f t="shared" si="24"/>
        <v>10.8574012363114</v>
      </c>
      <c r="AU24" s="20">
        <f t="shared" si="25"/>
        <v>4.1543667416638019</v>
      </c>
      <c r="AV24" s="20">
        <f t="shared" si="26"/>
        <v>3.120412260437039</v>
      </c>
      <c r="AW24" s="20">
        <f t="shared" si="27"/>
        <v>1.1988614544247185</v>
      </c>
      <c r="AX24" s="20">
        <f t="shared" si="28"/>
        <v>0.17882571046909498</v>
      </c>
    </row>
    <row r="25" spans="1:50" s="10" customFormat="1" ht="16">
      <c r="A25" s="20" t="s">
        <v>236</v>
      </c>
      <c r="B25" s="20" t="str">
        <f>P14_Relievers!B36</f>
        <v xml:space="preserve">TEX </v>
      </c>
      <c r="C25" s="20" t="str">
        <f>P14_Relievers!C36</f>
        <v>RP</v>
      </c>
      <c r="D25" s="20">
        <f>P14_Relievers!D36</f>
        <v>62</v>
      </c>
      <c r="E25" s="21">
        <v>61.67</v>
      </c>
      <c r="F25" s="20">
        <f>P14_Relievers!F36</f>
        <v>257</v>
      </c>
      <c r="G25" s="22">
        <f t="shared" si="0"/>
        <v>-0.13221266333486334</v>
      </c>
      <c r="H25" s="22">
        <f t="shared" si="1"/>
        <v>-0.34185758251525356</v>
      </c>
      <c r="I25" s="22">
        <f t="shared" si="2"/>
        <v>-0.46958343254678392</v>
      </c>
      <c r="J25" s="22">
        <f t="shared" si="3"/>
        <v>-0.36927430471659806</v>
      </c>
      <c r="K25" s="22">
        <f t="shared" si="4"/>
        <v>0.15488875974303495</v>
      </c>
      <c r="L25" s="22">
        <f t="shared" si="5"/>
        <v>-0.47734132060803086</v>
      </c>
      <c r="M25" s="22">
        <f t="shared" si="6"/>
        <v>-0.36712907363395136</v>
      </c>
      <c r="N25" s="22">
        <f t="shared" si="7"/>
        <v>-2.3696386912463976</v>
      </c>
      <c r="O25" s="20"/>
      <c r="P25" s="20">
        <f t="shared" si="8"/>
        <v>98.278452298068032</v>
      </c>
      <c r="Q25" s="20">
        <f t="shared" si="9"/>
        <v>84.590613579512777</v>
      </c>
      <c r="R25" s="20">
        <f t="shared" si="10"/>
        <v>90.168075371819867</v>
      </c>
      <c r="S25" s="20">
        <f t="shared" si="11"/>
        <v>77.483443708609343</v>
      </c>
      <c r="T25" s="20">
        <f t="shared" si="12"/>
        <v>98.169106925098873</v>
      </c>
      <c r="U25" s="20">
        <f t="shared" si="13"/>
        <v>99.405570797347593</v>
      </c>
      <c r="V25" s="20">
        <f t="shared" si="14"/>
        <v>99.132456313321768</v>
      </c>
      <c r="W25" s="20">
        <f t="shared" si="15"/>
        <v>102.92619842086347</v>
      </c>
      <c r="X25" s="20">
        <f t="shared" si="16"/>
        <v>64.655838936156783</v>
      </c>
      <c r="Y25" s="20">
        <f t="shared" si="17"/>
        <v>127.96382657585997</v>
      </c>
      <c r="Z25" s="20">
        <f t="shared" si="18"/>
        <v>94.447467927660952</v>
      </c>
      <c r="AA25" s="20">
        <f t="shared" si="19"/>
        <v>102.45162627252172</v>
      </c>
      <c r="AB25" s="20">
        <f t="shared" si="20"/>
        <v>95.760649850212502</v>
      </c>
      <c r="AC25" s="20">
        <f t="shared" si="21"/>
        <v>96.994563026595742</v>
      </c>
      <c r="AD25" s="20">
        <f t="shared" si="22"/>
        <v>91.896799630978037</v>
      </c>
      <c r="AE25" s="20"/>
      <c r="AF25" s="20">
        <f>P14_Relievers!G36</f>
        <v>3.6218749999999988</v>
      </c>
      <c r="AG25" s="20">
        <f>P14_Relievers!H36</f>
        <v>3.6468749999999921</v>
      </c>
      <c r="AH25" s="20">
        <f>P14_Relievers!I36</f>
        <v>17.474999999999973</v>
      </c>
      <c r="AI25" s="20">
        <f>P14_Relievers!J36</f>
        <v>7.4437499999999543</v>
      </c>
      <c r="AJ25" s="20">
        <f t="shared" si="23"/>
        <v>24.918749999999928</v>
      </c>
      <c r="AK25" s="20">
        <f>P14_Relievers!K36</f>
        <v>4.9999999999999947</v>
      </c>
      <c r="AL25" s="20">
        <f>P14_Relievers!L36</f>
        <v>52.942940258265814</v>
      </c>
      <c r="AM25" s="20">
        <f>P14_Relievers!M36</f>
        <v>26.479272415744784</v>
      </c>
      <c r="AN25" s="20">
        <f>P14_Relievers!N36</f>
        <v>24.439503113191652</v>
      </c>
      <c r="AO25" s="20">
        <f>P14_Relievers!O36</f>
        <v>6.579159208775037</v>
      </c>
      <c r="AP25" s="20">
        <f>P14_Relievers!P36</f>
        <v>1.9729607315301292</v>
      </c>
      <c r="AQ25" s="20">
        <f>P14_Relievers!Q36</f>
        <v>2.0397693025532644</v>
      </c>
      <c r="AR25" s="20">
        <f>P14_Relievers!R36</f>
        <v>67.260785578281229</v>
      </c>
      <c r="AS25" s="20">
        <f>P14_Relievers!S36</f>
        <v>21.784858116823266</v>
      </c>
      <c r="AT25" s="20">
        <f t="shared" si="24"/>
        <v>9.8159083866471715</v>
      </c>
      <c r="AU25" s="20">
        <f t="shared" si="25"/>
        <v>3.1792398743539709</v>
      </c>
      <c r="AV25" s="20">
        <f t="shared" si="26"/>
        <v>3.5666536082167157</v>
      </c>
      <c r="AW25" s="20">
        <f t="shared" si="27"/>
        <v>1.2117366365346047</v>
      </c>
      <c r="AX25" s="20">
        <f t="shared" si="28"/>
        <v>0.17694913409127613</v>
      </c>
    </row>
    <row r="26" spans="1:50" s="10" customFormat="1" ht="16">
      <c r="A26" s="20" t="s">
        <v>124</v>
      </c>
      <c r="B26" s="20" t="str">
        <f>P14_Relievers!B19</f>
        <v xml:space="preserve">MIA </v>
      </c>
      <c r="C26" s="20" t="str">
        <f>P14_Relievers!C19</f>
        <v>RP</v>
      </c>
      <c r="D26" s="20">
        <f>P14_Relievers!D19</f>
        <v>61</v>
      </c>
      <c r="E26" s="21">
        <v>63</v>
      </c>
      <c r="F26" s="20">
        <f>P14_Relievers!F19</f>
        <v>261</v>
      </c>
      <c r="G26" s="22">
        <f t="shared" si="0"/>
        <v>-0.46349544565734901</v>
      </c>
      <c r="H26" s="22">
        <f t="shared" si="1"/>
        <v>3.0527602072539899E-2</v>
      </c>
      <c r="I26" s="22">
        <f t="shared" si="2"/>
        <v>-0.39634549462242452</v>
      </c>
      <c r="J26" s="22">
        <f t="shared" si="3"/>
        <v>-0.68771832590075521</v>
      </c>
      <c r="K26" s="22">
        <f t="shared" si="4"/>
        <v>3.2166323258886277E-2</v>
      </c>
      <c r="L26" s="22">
        <f t="shared" si="5"/>
        <v>0.44708808048657867</v>
      </c>
      <c r="M26" s="22">
        <f t="shared" si="6"/>
        <v>-0.69651462310139789</v>
      </c>
      <c r="N26" s="22">
        <f t="shared" si="7"/>
        <v>-2.4308065065653199</v>
      </c>
      <c r="O26" s="20"/>
      <c r="P26" s="20">
        <f t="shared" si="8"/>
        <v>93.964802620257444</v>
      </c>
      <c r="Q26" s="20">
        <f t="shared" si="9"/>
        <v>100.64886539568113</v>
      </c>
      <c r="R26" s="20">
        <f t="shared" si="10"/>
        <v>109.20879069070025</v>
      </c>
      <c r="S26" s="20">
        <f t="shared" si="11"/>
        <v>77.483443708609357</v>
      </c>
      <c r="T26" s="20">
        <f t="shared" si="12"/>
        <v>97.49353316365719</v>
      </c>
      <c r="U26" s="20">
        <f t="shared" si="13"/>
        <v>101.01586647943274</v>
      </c>
      <c r="V26" s="20">
        <f t="shared" si="14"/>
        <v>101.52202261108334</v>
      </c>
      <c r="W26" s="20">
        <f t="shared" si="15"/>
        <v>115.90124399271949</v>
      </c>
      <c r="X26" s="20">
        <f t="shared" si="16"/>
        <v>131.52839583311848</v>
      </c>
      <c r="Y26" s="20">
        <f t="shared" si="17"/>
        <v>143.53070034902754</v>
      </c>
      <c r="Z26" s="20">
        <f t="shared" si="18"/>
        <v>89.659237015611339</v>
      </c>
      <c r="AA26" s="20">
        <f t="shared" si="19"/>
        <v>100.5091383217397</v>
      </c>
      <c r="AB26" s="20">
        <f t="shared" si="20"/>
        <v>100.37857049554574</v>
      </c>
      <c r="AC26" s="20">
        <f t="shared" si="21"/>
        <v>97.463301894361962</v>
      </c>
      <c r="AD26" s="20">
        <f t="shared" si="22"/>
        <v>84.626666869287959</v>
      </c>
      <c r="AE26" s="20"/>
      <c r="AF26" s="20">
        <f>P14_Relievers!G19</f>
        <v>3.4629032258064472</v>
      </c>
      <c r="AG26" s="20">
        <f>P14_Relievers!H19</f>
        <v>3.1394428152492639</v>
      </c>
      <c r="AH26" s="20">
        <f>P14_Relievers!I19</f>
        <v>26.112903225806427</v>
      </c>
      <c r="AI26" s="20">
        <f>P14_Relievers!J19</f>
        <v>4.067917888563044</v>
      </c>
      <c r="AJ26" s="20">
        <f t="shared" si="23"/>
        <v>30.180821114369472</v>
      </c>
      <c r="AK26" s="20">
        <f>P14_Relievers!K19</f>
        <v>4.9999999999999938</v>
      </c>
      <c r="AL26" s="20">
        <f>P14_Relievers!L19</f>
        <v>53.294178082191713</v>
      </c>
      <c r="AM26" s="20">
        <f>P14_Relievers!M19</f>
        <v>26.055397471835803</v>
      </c>
      <c r="AN26" s="20">
        <f>P14_Relievers!N19</f>
        <v>23.860527846829189</v>
      </c>
      <c r="AO26" s="20">
        <f>P14_Relievers!O19</f>
        <v>5.6997778600518076</v>
      </c>
      <c r="AP26" s="20">
        <f>P14_Relievers!P19</f>
        <v>0.99813531063529115</v>
      </c>
      <c r="AQ26" s="20">
        <f>P14_Relievers!Q19</f>
        <v>1.5989792140477024</v>
      </c>
      <c r="AR26" s="20">
        <f>P14_Relievers!R19</f>
        <v>65.227878852739636</v>
      </c>
      <c r="AS26" s="20">
        <f>P14_Relievers!S19</f>
        <v>22.697838184931488</v>
      </c>
      <c r="AT26" s="20">
        <f t="shared" si="24"/>
        <v>9.3182684075342337</v>
      </c>
      <c r="AU26" s="20">
        <f t="shared" si="25"/>
        <v>3.2425483121330698</v>
      </c>
      <c r="AV26" s="20">
        <f t="shared" si="26"/>
        <v>3.4086468352613126</v>
      </c>
      <c r="AW26" s="20">
        <f t="shared" si="27"/>
        <v>1.206222480430527</v>
      </c>
      <c r="AX26" s="20">
        <f t="shared" si="28"/>
        <v>0.16295034738623812</v>
      </c>
    </row>
    <row r="27" spans="1:50" s="9" customFormat="1" ht="16">
      <c r="A27" s="13" t="s">
        <v>192</v>
      </c>
      <c r="B27" s="13" t="str">
        <f>P14_Relievers!B30</f>
        <v xml:space="preserve">DET </v>
      </c>
      <c r="C27" s="13" t="str">
        <f>P14_Relievers!C30</f>
        <v>RP</v>
      </c>
      <c r="D27" s="13">
        <f>P14_Relievers!D30</f>
        <v>61</v>
      </c>
      <c r="E27" s="19">
        <v>64</v>
      </c>
      <c r="F27" s="13">
        <f>P14_Relievers!F30</f>
        <v>265</v>
      </c>
      <c r="G27" s="16">
        <f t="shared" si="0"/>
        <v>5.5109344096456979E-2</v>
      </c>
      <c r="H27" s="16">
        <f t="shared" si="1"/>
        <v>0.19345915069591654</v>
      </c>
      <c r="I27" s="16">
        <f t="shared" si="2"/>
        <v>-0.23517062800021268</v>
      </c>
      <c r="J27" s="16">
        <f t="shared" si="3"/>
        <v>-0.77560124721576573</v>
      </c>
      <c r="K27" s="16">
        <f t="shared" si="4"/>
        <v>0.7811675253674556</v>
      </c>
      <c r="L27" s="16">
        <f t="shared" si="5"/>
        <v>-1.4000505363273479</v>
      </c>
      <c r="M27" s="16">
        <f t="shared" si="6"/>
        <v>-0.53719825114442976</v>
      </c>
      <c r="N27" s="15">
        <f t="shared" si="7"/>
        <v>-2.4554828936723565</v>
      </c>
      <c r="O27" s="13"/>
      <c r="P27" s="13">
        <f t="shared" si="8"/>
        <v>100.71758152578734</v>
      </c>
      <c r="Q27" s="13">
        <f t="shared" si="9"/>
        <v>87.392612392920796</v>
      </c>
      <c r="R27" s="13">
        <f t="shared" si="10"/>
        <v>71.16279116318745</v>
      </c>
      <c r="S27" s="13">
        <f t="shared" si="11"/>
        <v>77.483443708609357</v>
      </c>
      <c r="T27" s="13">
        <f t="shared" si="12"/>
        <v>92.075437270782658</v>
      </c>
      <c r="U27" s="13">
        <f t="shared" si="13"/>
        <v>102.32417232583903</v>
      </c>
      <c r="V27" s="13">
        <f t="shared" si="14"/>
        <v>101.9878940600143</v>
      </c>
      <c r="W27" s="13">
        <f t="shared" si="15"/>
        <v>123.90201161286289</v>
      </c>
      <c r="X27" s="13">
        <f t="shared" si="16"/>
        <v>119.73188317688339</v>
      </c>
      <c r="Y27" s="13">
        <f t="shared" si="17"/>
        <v>130.6621346040497</v>
      </c>
      <c r="Z27" s="13">
        <f t="shared" si="18"/>
        <v>88.337799989043944</v>
      </c>
      <c r="AA27" s="13">
        <f t="shared" si="19"/>
        <v>112.36455654760805</v>
      </c>
      <c r="AB27" s="13">
        <f t="shared" si="20"/>
        <v>102.39907236646972</v>
      </c>
      <c r="AC27" s="13">
        <f t="shared" si="21"/>
        <v>98.494856395130327</v>
      </c>
      <c r="AD27" s="13">
        <f t="shared" si="22"/>
        <v>88.143066350414642</v>
      </c>
      <c r="AE27" s="13"/>
      <c r="AF27" s="13">
        <f>P14_Relievers!G30</f>
        <v>3.7117647058823482</v>
      </c>
      <c r="AG27" s="13">
        <f>P14_Relievers!H30</f>
        <v>3.5583333333333251</v>
      </c>
      <c r="AH27" s="13">
        <f>P14_Relievers!I30</f>
        <v>6.4970588235293656</v>
      </c>
      <c r="AI27" s="13">
        <f>P14_Relievers!J30</f>
        <v>13.16941176470586</v>
      </c>
      <c r="AJ27" s="13">
        <f t="shared" si="23"/>
        <v>19.666470588235224</v>
      </c>
      <c r="AK27" s="13">
        <f>P14_Relievers!K30</f>
        <v>4.9999999999999938</v>
      </c>
      <c r="AL27" s="13">
        <f>P14_Relievers!L30</f>
        <v>56.111102480164149</v>
      </c>
      <c r="AM27" s="13">
        <f>P14_Relievers!M30</f>
        <v>25.711014714413782</v>
      </c>
      <c r="AN27" s="13">
        <f>P14_Relievers!N30</f>
        <v>23.747650440377594</v>
      </c>
      <c r="AO27" s="13">
        <f>P14_Relievers!O30</f>
        <v>5.1575272928642866</v>
      </c>
      <c r="AP27" s="13">
        <f>P14_Relievers!P30</f>
        <v>1.1700973373441597</v>
      </c>
      <c r="AQ27" s="13">
        <f>P14_Relievers!Q30</f>
        <v>1.9633642740361605</v>
      </c>
      <c r="AR27" s="13">
        <f>P14_Relievers!R30</f>
        <v>65.286625383719624</v>
      </c>
      <c r="AS27" s="13">
        <f>P14_Relievers!S30</f>
        <v>20.310495395363578</v>
      </c>
      <c r="AT27" s="13">
        <f t="shared" si="24"/>
        <v>9.1809316945855723</v>
      </c>
      <c r="AU27" s="13">
        <f t="shared" si="25"/>
        <v>2.8561634149730031</v>
      </c>
      <c r="AV27" s="13">
        <f t="shared" si="26"/>
        <v>3.339513343178099</v>
      </c>
      <c r="AW27" s="13">
        <f t="shared" si="27"/>
        <v>1.1940874668051207</v>
      </c>
      <c r="AX27" s="13">
        <f t="shared" si="28"/>
        <v>0.16972124523907944</v>
      </c>
    </row>
    <row r="28" spans="1:50" s="10" customFormat="1" ht="16">
      <c r="A28" s="20" t="s">
        <v>110</v>
      </c>
      <c r="B28" s="20" t="str">
        <f>P14_Relievers!B17</f>
        <v xml:space="preserve">CIN </v>
      </c>
      <c r="C28" s="20" t="str">
        <f>P14_Relievers!C17</f>
        <v>RP</v>
      </c>
      <c r="D28" s="20">
        <f>P14_Relievers!D17</f>
        <v>63</v>
      </c>
      <c r="E28" s="21">
        <v>65</v>
      </c>
      <c r="F28" s="20">
        <f>P14_Relievers!F17</f>
        <v>267</v>
      </c>
      <c r="G28" s="22">
        <f t="shared" si="0"/>
        <v>-1.6270624809570575</v>
      </c>
      <c r="H28" s="22">
        <f t="shared" si="1"/>
        <v>-1.4533312474397464</v>
      </c>
      <c r="I28" s="22">
        <f t="shared" si="2"/>
        <v>-0.23417155465631356</v>
      </c>
      <c r="J28" s="22">
        <f t="shared" si="3"/>
        <v>-0.3448889130482477</v>
      </c>
      <c r="K28" s="22">
        <f t="shared" si="4"/>
        <v>0.20786181723505379</v>
      </c>
      <c r="L28" s="22">
        <f t="shared" si="5"/>
        <v>0.40986974220968647</v>
      </c>
      <c r="M28" s="22">
        <f t="shared" si="6"/>
        <v>-0.26502130088167708</v>
      </c>
      <c r="N28" s="22">
        <f t="shared" si="7"/>
        <v>-3.5717652384199794</v>
      </c>
      <c r="O28" s="20"/>
      <c r="P28" s="20">
        <f t="shared" si="8"/>
        <v>78.813938057529668</v>
      </c>
      <c r="Q28" s="20">
        <f t="shared" si="9"/>
        <v>103.12720753674353</v>
      </c>
      <c r="R28" s="20">
        <f t="shared" si="10"/>
        <v>108.44219479605111</v>
      </c>
      <c r="S28" s="20">
        <f t="shared" si="11"/>
        <v>77.483443708609286</v>
      </c>
      <c r="T28" s="20">
        <f t="shared" si="12"/>
        <v>94.506858914194112</v>
      </c>
      <c r="U28" s="20">
        <f t="shared" si="13"/>
        <v>79.854670399441304</v>
      </c>
      <c r="V28" s="20">
        <f t="shared" si="14"/>
        <v>79.62826370865325</v>
      </c>
      <c r="W28" s="20">
        <f t="shared" si="15"/>
        <v>54.30768232885714</v>
      </c>
      <c r="X28" s="20">
        <f t="shared" si="16"/>
        <v>132.32165912465047</v>
      </c>
      <c r="Y28" s="20">
        <f t="shared" si="17"/>
        <v>144.47366251628262</v>
      </c>
      <c r="Z28" s="20">
        <f t="shared" si="18"/>
        <v>94.814134840591649</v>
      </c>
      <c r="AA28" s="20">
        <f t="shared" si="19"/>
        <v>103.29009989513123</v>
      </c>
      <c r="AB28" s="20">
        <f t="shared" si="20"/>
        <v>81.977348590038616</v>
      </c>
      <c r="AC28" s="20">
        <f t="shared" si="21"/>
        <v>98.50125068368223</v>
      </c>
      <c r="AD28" s="20">
        <f t="shared" si="22"/>
        <v>94.150502214803382</v>
      </c>
      <c r="AE28" s="20"/>
      <c r="AF28" s="20">
        <f>P14_Relievers!G17</f>
        <v>2.9045454545454481</v>
      </c>
      <c r="AG28" s="20">
        <f>P14_Relievers!H17</f>
        <v>3.061128526645764</v>
      </c>
      <c r="AH28" s="20">
        <f>P14_Relievers!I17</f>
        <v>25.954545454545457</v>
      </c>
      <c r="AI28" s="20">
        <f>P14_Relievers!J17</f>
        <v>4.014420062695919</v>
      </c>
      <c r="AJ28" s="20">
        <f t="shared" si="23"/>
        <v>29.968965517241376</v>
      </c>
      <c r="AK28" s="20">
        <f>P14_Relievers!K17</f>
        <v>4.9999999999999964</v>
      </c>
      <c r="AL28" s="20">
        <f>P14_Relievers!L17</f>
        <v>54.846981083181973</v>
      </c>
      <c r="AM28" s="20">
        <f>P14_Relievers!M17</f>
        <v>31.62561721547852</v>
      </c>
      <c r="AN28" s="20">
        <f>P14_Relievers!N17</f>
        <v>29.165233099863677</v>
      </c>
      <c r="AO28" s="20">
        <f>P14_Relievers!O17</f>
        <v>9.8742702754096037</v>
      </c>
      <c r="AP28" s="20">
        <f>P14_Relievers!P17</f>
        <v>0.98657162505288398</v>
      </c>
      <c r="AQ28" s="20">
        <f>P14_Relievers!Q17</f>
        <v>1.5722783887427392</v>
      </c>
      <c r="AR28" s="20">
        <f>P14_Relievers!R17</f>
        <v>71.167893427832766</v>
      </c>
      <c r="AS28" s="20">
        <f>P14_Relievers!S17</f>
        <v>22.763814880439533</v>
      </c>
      <c r="AT28" s="20">
        <f t="shared" si="24"/>
        <v>9.8540160130845376</v>
      </c>
      <c r="AU28" s="20">
        <f t="shared" si="25"/>
        <v>3.1519128295993202</v>
      </c>
      <c r="AV28" s="20">
        <f t="shared" si="26"/>
        <v>4.0382630445965093</v>
      </c>
      <c r="AW28" s="20">
        <f t="shared" si="27"/>
        <v>1.1940122455941771</v>
      </c>
      <c r="AX28" s="20">
        <f t="shared" si="28"/>
        <v>0.181288683698102</v>
      </c>
    </row>
    <row r="29" spans="1:50" s="10" customFormat="1" ht="16">
      <c r="A29" s="20" t="s">
        <v>165</v>
      </c>
      <c r="B29" s="20" t="str">
        <f>P14_Relievers!B25</f>
        <v xml:space="preserve">NYM </v>
      </c>
      <c r="C29" s="20" t="str">
        <f>P14_Relievers!C25</f>
        <v>RP</v>
      </c>
      <c r="D29" s="20">
        <f>P14_Relievers!D25</f>
        <v>60</v>
      </c>
      <c r="E29" s="21">
        <v>67.67</v>
      </c>
      <c r="F29" s="20">
        <f>P14_Relievers!F25</f>
        <v>280</v>
      </c>
      <c r="G29" s="22">
        <f t="shared" si="0"/>
        <v>4.61443253969347E-2</v>
      </c>
      <c r="H29" s="22">
        <f t="shared" si="1"/>
        <v>-1.2752365946601962</v>
      </c>
      <c r="I29" s="22">
        <f t="shared" si="2"/>
        <v>-0.55929942589099835</v>
      </c>
      <c r="J29" s="22">
        <f t="shared" si="3"/>
        <v>-0.54464006843586765</v>
      </c>
      <c r="K29" s="22">
        <f t="shared" si="4"/>
        <v>0.51961999623543198</v>
      </c>
      <c r="L29" s="22">
        <f t="shared" si="5"/>
        <v>-1.0687907025442198</v>
      </c>
      <c r="M29" s="22">
        <f t="shared" si="6"/>
        <v>-0.39160175106260992</v>
      </c>
      <c r="N29" s="22">
        <f t="shared" si="7"/>
        <v>-3.6654059720241348</v>
      </c>
      <c r="O29" s="20"/>
      <c r="P29" s="20">
        <f t="shared" si="8"/>
        <v>100.60084756891325</v>
      </c>
      <c r="Q29" s="20">
        <f t="shared" si="9"/>
        <v>71.023784729317697</v>
      </c>
      <c r="R29" s="20">
        <f t="shared" si="10"/>
        <v>77.985837016311123</v>
      </c>
      <c r="S29" s="20">
        <f t="shared" si="11"/>
        <v>126.49006622516552</v>
      </c>
      <c r="T29" s="20">
        <f t="shared" si="12"/>
        <v>84.661541170640845</v>
      </c>
      <c r="U29" s="20">
        <f t="shared" si="13"/>
        <v>76.448500500823428</v>
      </c>
      <c r="V29" s="20">
        <f t="shared" si="14"/>
        <v>77.028785200320542</v>
      </c>
      <c r="W29" s="20">
        <f t="shared" si="15"/>
        <v>60.533800945451787</v>
      </c>
      <c r="X29" s="20">
        <f t="shared" si="16"/>
        <v>104.46819660614709</v>
      </c>
      <c r="Y29" s="20">
        <f t="shared" si="17"/>
        <v>124.06225867150413</v>
      </c>
      <c r="Z29" s="20">
        <f t="shared" si="18"/>
        <v>91.810609594967687</v>
      </c>
      <c r="AA29" s="20">
        <f t="shared" si="19"/>
        <v>108.22470291977213</v>
      </c>
      <c r="AB29" s="20">
        <f t="shared" si="20"/>
        <v>84.185886974304665</v>
      </c>
      <c r="AC29" s="20">
        <f t="shared" si="21"/>
        <v>96.420360989611552</v>
      </c>
      <c r="AD29" s="20">
        <f t="shared" si="22"/>
        <v>91.356643530541859</v>
      </c>
      <c r="AE29" s="20"/>
      <c r="AF29" s="20">
        <f>P14_Relievers!G25</f>
        <v>3.7074626865671578</v>
      </c>
      <c r="AG29" s="20">
        <f>P14_Relievers!H25</f>
        <v>4.0755795490631881</v>
      </c>
      <c r="AH29" s="20">
        <f>P14_Relievers!I25</f>
        <v>4.7164179104477579</v>
      </c>
      <c r="AI29" s="20">
        <f>P14_Relievers!J25</f>
        <v>16.835662114957081</v>
      </c>
      <c r="AJ29" s="20">
        <f t="shared" si="23"/>
        <v>21.552080025404841</v>
      </c>
      <c r="AK29" s="20">
        <f>P14_Relievers!K25</f>
        <v>3</v>
      </c>
      <c r="AL29" s="20">
        <f>P14_Relievers!L25</f>
        <v>59.965664160400884</v>
      </c>
      <c r="AM29" s="20">
        <f>P14_Relievers!M25</f>
        <v>32.522216573461996</v>
      </c>
      <c r="AN29" s="20">
        <f>P14_Relievers!N25</f>
        <v>29.795068632435118</v>
      </c>
      <c r="AO29" s="20">
        <f>P14_Relievers!O25</f>
        <v>9.4522962209794716</v>
      </c>
      <c r="AP29" s="20">
        <f>P14_Relievers!P25</f>
        <v>1.3926016107885169</v>
      </c>
      <c r="AQ29" s="20">
        <f>P14_Relievers!Q25</f>
        <v>2.150245721064207</v>
      </c>
      <c r="AR29" s="20">
        <f>P14_Relievers!R25</f>
        <v>71.744186437826002</v>
      </c>
      <c r="AS29" s="20">
        <f>P14_Relievers!S25</f>
        <v>22.489651691065077</v>
      </c>
      <c r="AT29" s="20">
        <f t="shared" si="24"/>
        <v>9.5418601734954045</v>
      </c>
      <c r="AU29" s="20">
        <f t="shared" si="25"/>
        <v>2.9910871171802231</v>
      </c>
      <c r="AV29" s="20">
        <f t="shared" si="26"/>
        <v>3.9626956951664849</v>
      </c>
      <c r="AW29" s="20">
        <f t="shared" si="27"/>
        <v>1.2184914415762667</v>
      </c>
      <c r="AX29" s="20">
        <f t="shared" si="28"/>
        <v>0.1759090526670033</v>
      </c>
    </row>
    <row r="30" spans="1:50" s="10" customFormat="1" ht="16">
      <c r="A30" s="20" t="s">
        <v>117</v>
      </c>
      <c r="B30" s="20" t="str">
        <f>P14_Relievers!B18</f>
        <v xml:space="preserve">CHC </v>
      </c>
      <c r="C30" s="20" t="str">
        <f>P14_Relievers!C18</f>
        <v>RP</v>
      </c>
      <c r="D30" s="20">
        <f>P14_Relievers!D18</f>
        <v>62</v>
      </c>
      <c r="E30" s="21">
        <v>64.67</v>
      </c>
      <c r="F30" s="20">
        <f>P14_Relievers!F18</f>
        <v>273</v>
      </c>
      <c r="G30" s="22">
        <f t="shared" si="0"/>
        <v>-0.9833691485253182</v>
      </c>
      <c r="H30" s="22">
        <f t="shared" si="1"/>
        <v>-0.72912909045041074</v>
      </c>
      <c r="I30" s="22">
        <f t="shared" si="2"/>
        <v>-0.73192418247189572</v>
      </c>
      <c r="J30" s="22">
        <f t="shared" si="3"/>
        <v>-0.11150883723064295</v>
      </c>
      <c r="K30" s="22">
        <f t="shared" si="4"/>
        <v>-0.98322596086366409</v>
      </c>
      <c r="L30" s="22">
        <f t="shared" si="5"/>
        <v>0.92038362589057454</v>
      </c>
      <c r="M30" s="22">
        <f t="shared" si="6"/>
        <v>-0.53461636650460909</v>
      </c>
      <c r="N30" s="22">
        <f t="shared" si="7"/>
        <v>-3.6880063266605752</v>
      </c>
      <c r="O30" s="20"/>
      <c r="P30" s="20">
        <f t="shared" si="8"/>
        <v>87.195501133603031</v>
      </c>
      <c r="Q30" s="20">
        <f t="shared" si="9"/>
        <v>96.010303807193225</v>
      </c>
      <c r="R30" s="20">
        <f t="shared" si="10"/>
        <v>118.95738342375354</v>
      </c>
      <c r="S30" s="20">
        <f t="shared" si="11"/>
        <v>101.98675496688747</v>
      </c>
      <c r="T30" s="20">
        <f t="shared" si="12"/>
        <v>98.872947598543504</v>
      </c>
      <c r="U30" s="20">
        <f t="shared" si="13"/>
        <v>90.133915471817318</v>
      </c>
      <c r="V30" s="20">
        <f t="shared" si="14"/>
        <v>89.352406465101737</v>
      </c>
      <c r="W30" s="20">
        <f t="shared" si="15"/>
        <v>95.333180333614465</v>
      </c>
      <c r="X30" s="20">
        <f t="shared" si="16"/>
        <v>118.48065217228574</v>
      </c>
      <c r="Y30" s="20">
        <f t="shared" si="17"/>
        <v>68.350847299765846</v>
      </c>
      <c r="Z30" s="20">
        <f t="shared" si="18"/>
        <v>98.323315792179045</v>
      </c>
      <c r="AA30" s="20">
        <f t="shared" si="19"/>
        <v>84.437201243796721</v>
      </c>
      <c r="AB30" s="20">
        <f t="shared" si="20"/>
        <v>90.958125029514463</v>
      </c>
      <c r="AC30" s="20">
        <f t="shared" si="21"/>
        <v>95.315524681525986</v>
      </c>
      <c r="AD30" s="20">
        <f t="shared" si="22"/>
        <v>88.200053198007723</v>
      </c>
      <c r="AE30" s="20"/>
      <c r="AF30" s="20">
        <f>P14_Relievers!G18</f>
        <v>3.2134328358208855</v>
      </c>
      <c r="AG30" s="20">
        <f>P14_Relievers!H18</f>
        <v>3.286018885165999</v>
      </c>
      <c r="AH30" s="20">
        <f>P14_Relievers!I18</f>
        <v>28.752238805970091</v>
      </c>
      <c r="AI30" s="20">
        <f>P14_Relievers!J18</f>
        <v>4.1226926591532091</v>
      </c>
      <c r="AJ30" s="20">
        <f t="shared" si="23"/>
        <v>32.874931465123296</v>
      </c>
      <c r="AK30" s="20">
        <f>P14_Relievers!K18</f>
        <v>3.9999999999999956</v>
      </c>
      <c r="AL30" s="20">
        <f>P14_Relievers!L18</f>
        <v>52.577006172839425</v>
      </c>
      <c r="AM30" s="20">
        <f>P14_Relievers!M18</f>
        <v>28.91983188862595</v>
      </c>
      <c r="AN30" s="20">
        <f>P14_Relievers!N18</f>
        <v>26.809141055949553</v>
      </c>
      <c r="AO30" s="20">
        <f>P14_Relievers!O18</f>
        <v>7.0937746256895062</v>
      </c>
      <c r="AP30" s="20">
        <f>P14_Relievers!P18</f>
        <v>1.1883369837296411</v>
      </c>
      <c r="AQ30" s="20">
        <f>P14_Relievers!Q18</f>
        <v>3.727764644076673</v>
      </c>
      <c r="AR30" s="20">
        <f>P14_Relievers!R18</f>
        <v>73.427213028631371</v>
      </c>
      <c r="AS30" s="20">
        <f>P14_Relievers!S18</f>
        <v>27.063356973995244</v>
      </c>
      <c r="AT30" s="20">
        <f t="shared" si="24"/>
        <v>10.21872455941986</v>
      </c>
      <c r="AU30" s="20">
        <f t="shared" si="25"/>
        <v>3.766355539909652</v>
      </c>
      <c r="AV30" s="20">
        <f t="shared" si="26"/>
        <v>3.7309767976425849</v>
      </c>
      <c r="AW30" s="20">
        <f t="shared" si="27"/>
        <v>1.2314885286351427</v>
      </c>
      <c r="AX30" s="20">
        <f t="shared" si="28"/>
        <v>0.1698309745591067</v>
      </c>
    </row>
    <row r="31" spans="1:50" s="10" customFormat="1" ht="16">
      <c r="A31" s="20" t="s">
        <v>130</v>
      </c>
      <c r="B31" s="20" t="str">
        <f>P14_Relievers!B20</f>
        <v xml:space="preserve">PIT </v>
      </c>
      <c r="C31" s="20" t="str">
        <f>P14_Relievers!C20</f>
        <v>RP</v>
      </c>
      <c r="D31" s="20">
        <f>P14_Relievers!D20</f>
        <v>64</v>
      </c>
      <c r="E31" s="21">
        <v>66.67</v>
      </c>
      <c r="F31" s="20">
        <f>P14_Relievers!F20</f>
        <v>280</v>
      </c>
      <c r="G31" s="22">
        <f t="shared" si="0"/>
        <v>-0.66812981751979694</v>
      </c>
      <c r="H31" s="22">
        <f t="shared" si="1"/>
        <v>-0.68401723973325146</v>
      </c>
      <c r="I31" s="22">
        <f t="shared" si="2"/>
        <v>-0.77593043309656384</v>
      </c>
      <c r="J31" s="22">
        <f t="shared" si="3"/>
        <v>-1.2519964758522364</v>
      </c>
      <c r="K31" s="22">
        <f t="shared" si="4"/>
        <v>0.40847257447599156</v>
      </c>
      <c r="L31" s="22">
        <f t="shared" si="5"/>
        <v>0.41914375044953389</v>
      </c>
      <c r="M31" s="22">
        <f t="shared" si="6"/>
        <v>-1.1765805678829526</v>
      </c>
      <c r="N31" s="22">
        <f t="shared" si="7"/>
        <v>-4.9056187770422284</v>
      </c>
      <c r="O31" s="20"/>
      <c r="P31" s="20">
        <f t="shared" si="8"/>
        <v>91.300248229398278</v>
      </c>
      <c r="Q31" s="20">
        <f t="shared" si="9"/>
        <v>107.10051190662304</v>
      </c>
      <c r="R31" s="20">
        <f t="shared" si="10"/>
        <v>108.63321398102164</v>
      </c>
      <c r="S31" s="20">
        <f t="shared" si="11"/>
        <v>126.49006622516552</v>
      </c>
      <c r="T31" s="20">
        <f t="shared" si="12"/>
        <v>85.091381465308515</v>
      </c>
      <c r="U31" s="20">
        <f t="shared" si="13"/>
        <v>85.806068051373572</v>
      </c>
      <c r="V31" s="20">
        <f t="shared" si="14"/>
        <v>86.515714773387188</v>
      </c>
      <c r="W31" s="20">
        <f t="shared" si="15"/>
        <v>105.23830443494226</v>
      </c>
      <c r="X31" s="20">
        <f t="shared" si="16"/>
        <v>99.001452643555098</v>
      </c>
      <c r="Y31" s="20">
        <f t="shared" si="17"/>
        <v>90.336304682877</v>
      </c>
      <c r="Z31" s="20">
        <f t="shared" si="18"/>
        <v>81.174561842421838</v>
      </c>
      <c r="AA31" s="20">
        <f t="shared" si="19"/>
        <v>106.46542781316937</v>
      </c>
      <c r="AB31" s="20">
        <f t="shared" si="20"/>
        <v>91.517553694772886</v>
      </c>
      <c r="AC31" s="20">
        <f t="shared" si="21"/>
        <v>95.033875024571586</v>
      </c>
      <c r="AD31" s="20">
        <f t="shared" si="22"/>
        <v>74.030746196474666</v>
      </c>
      <c r="AE31" s="20"/>
      <c r="AF31" s="20">
        <f>P14_Relievers!G20</f>
        <v>3.3647058823529346</v>
      </c>
      <c r="AG31" s="20">
        <f>P14_Relievers!H20</f>
        <v>2.9355742296918721</v>
      </c>
      <c r="AH31" s="20">
        <f>P14_Relievers!I20</f>
        <v>24.094117647058816</v>
      </c>
      <c r="AI31" s="20">
        <f>P14_Relievers!J20</f>
        <v>5.9276377217553664</v>
      </c>
      <c r="AJ31" s="20">
        <f t="shared" si="23"/>
        <v>30.021755368814183</v>
      </c>
      <c r="AK31" s="20">
        <f>P14_Relievers!K20</f>
        <v>3</v>
      </c>
      <c r="AL31" s="20">
        <f>P14_Relievers!L20</f>
        <v>59.74218572125524</v>
      </c>
      <c r="AM31" s="20">
        <f>P14_Relievers!M20</f>
        <v>30.05904259570044</v>
      </c>
      <c r="AN31" s="20">
        <f>P14_Relievers!N20</f>
        <v>27.496451690242107</v>
      </c>
      <c r="AO31" s="20">
        <f>P14_Relievers!O20</f>
        <v>6.4224566450891007</v>
      </c>
      <c r="AP31" s="20">
        <f>P14_Relievers!P20</f>
        <v>1.4722923124984761</v>
      </c>
      <c r="AQ31" s="20">
        <f>P14_Relievers!Q20</f>
        <v>3.1052265643730239</v>
      </c>
      <c r="AR31" s="20">
        <f>P14_Relievers!R20</f>
        <v>62.495403428321644</v>
      </c>
      <c r="AS31" s="20">
        <f>P14_Relievers!S20</f>
        <v>22.582050442187992</v>
      </c>
      <c r="AT31" s="20">
        <f t="shared" si="24"/>
        <v>8.4364576399414251</v>
      </c>
      <c r="AU31" s="20">
        <f t="shared" si="25"/>
        <v>3.0484243884759548</v>
      </c>
      <c r="AV31" s="20">
        <f t="shared" si="26"/>
        <v>3.7118353864133637</v>
      </c>
      <c r="AW31" s="20">
        <f t="shared" si="27"/>
        <v>1.2348018023615304</v>
      </c>
      <c r="AX31" s="20">
        <f t="shared" si="28"/>
        <v>0.14254768923619163</v>
      </c>
    </row>
    <row r="32" spans="1:50" s="10" customFormat="1" ht="16">
      <c r="A32" s="20" t="s">
        <v>157</v>
      </c>
      <c r="B32" s="20" t="str">
        <f>P14_Relievers!B24</f>
        <v xml:space="preserve">TOR </v>
      </c>
      <c r="C32" s="20" t="str">
        <f>P14_Relievers!C24</f>
        <v>RP</v>
      </c>
      <c r="D32" s="20">
        <f>P14_Relievers!D24</f>
        <v>68</v>
      </c>
      <c r="E32" s="21">
        <v>69</v>
      </c>
      <c r="F32" s="20">
        <f>P14_Relievers!F24</f>
        <v>286</v>
      </c>
      <c r="G32" s="22">
        <f t="shared" si="0"/>
        <v>0.56565059377609328</v>
      </c>
      <c r="H32" s="22">
        <f t="shared" si="1"/>
        <v>-0.75042061937555693</v>
      </c>
      <c r="I32" s="22">
        <f t="shared" si="2"/>
        <v>-0.52433294247317197</v>
      </c>
      <c r="J32" s="22">
        <f t="shared" si="3"/>
        <v>-2.6535798776715551</v>
      </c>
      <c r="K32" s="22">
        <f t="shared" si="4"/>
        <v>2.1489605350100955</v>
      </c>
      <c r="L32" s="22">
        <f t="shared" si="5"/>
        <v>-0.98487822388230328</v>
      </c>
      <c r="M32" s="22">
        <f t="shared" si="6"/>
        <v>-1.9473794462637426</v>
      </c>
      <c r="N32" s="22">
        <f t="shared" si="7"/>
        <v>-6.0933594271438833</v>
      </c>
      <c r="O32" s="20"/>
      <c r="P32" s="20">
        <f t="shared" si="8"/>
        <v>107.36536467271154</v>
      </c>
      <c r="Q32" s="20">
        <f t="shared" si="9"/>
        <v>100.18647660930833</v>
      </c>
      <c r="R32" s="20">
        <f t="shared" si="10"/>
        <v>79.714204391917406</v>
      </c>
      <c r="S32" s="20">
        <f t="shared" si="11"/>
        <v>126.49006622516558</v>
      </c>
      <c r="T32" s="20">
        <f t="shared" si="12"/>
        <v>70.349590788592067</v>
      </c>
      <c r="U32" s="20">
        <f t="shared" si="13"/>
        <v>81.563843534291863</v>
      </c>
      <c r="V32" s="20">
        <f t="shared" si="14"/>
        <v>81.658100769219331</v>
      </c>
      <c r="W32" s="20">
        <f t="shared" si="15"/>
        <v>92.591975168281053</v>
      </c>
      <c r="X32" s="20">
        <f t="shared" si="16"/>
        <v>120.06745892231135</v>
      </c>
      <c r="Y32" s="20">
        <f t="shared" si="17"/>
        <v>92.924945443477398</v>
      </c>
      <c r="Z32" s="20">
        <f t="shared" si="18"/>
        <v>60.099884586899229</v>
      </c>
      <c r="AA32" s="20">
        <f t="shared" si="19"/>
        <v>134.01439920484609</v>
      </c>
      <c r="AB32" s="20">
        <f t="shared" si="20"/>
        <v>90.694090381887492</v>
      </c>
      <c r="AC32" s="20">
        <f t="shared" si="21"/>
        <v>96.644154153531133</v>
      </c>
      <c r="AD32" s="20">
        <f t="shared" si="22"/>
        <v>57.017825661707924</v>
      </c>
      <c r="AE32" s="20"/>
      <c r="AF32" s="20">
        <f>P14_Relievers!G24</f>
        <v>3.9567567567567532</v>
      </c>
      <c r="AG32" s="20">
        <f>P14_Relievers!H24</f>
        <v>3.1540540540540478</v>
      </c>
      <c r="AH32" s="20">
        <f>P14_Relievers!I24</f>
        <v>1.9675675675675617</v>
      </c>
      <c r="AI32" s="20">
        <f>P14_Relievers!J24</f>
        <v>20.06216216216211</v>
      </c>
      <c r="AJ32" s="20">
        <f t="shared" si="23"/>
        <v>22.029729729729674</v>
      </c>
      <c r="AK32" s="20">
        <f>P14_Relievers!K24</f>
        <v>2.9999999999999978</v>
      </c>
      <c r="AL32" s="20">
        <f>P14_Relievers!L24</f>
        <v>67.406595995288541</v>
      </c>
      <c r="AM32" s="20">
        <f>P14_Relievers!M24</f>
        <v>31.17571495546165</v>
      </c>
      <c r="AN32" s="20">
        <f>P14_Relievers!N24</f>
        <v>28.673417721518856</v>
      </c>
      <c r="AO32" s="20">
        <f>P14_Relievers!O24</f>
        <v>7.2795593061415502</v>
      </c>
      <c r="AP32" s="20">
        <f>P14_Relievers!P24</f>
        <v>1.1652055284698115</v>
      </c>
      <c r="AQ32" s="20">
        <f>P14_Relievers!Q24</f>
        <v>3.0319268635724068</v>
      </c>
      <c r="AR32" s="20">
        <f>P14_Relievers!R24</f>
        <v>47.887304989877208</v>
      </c>
      <c r="AS32" s="20">
        <f>P14_Relievers!S24</f>
        <v>16.48765987852801</v>
      </c>
      <c r="AT32" s="20">
        <f t="shared" si="24"/>
        <v>6.24617021607094</v>
      </c>
      <c r="AU32" s="20">
        <f t="shared" si="25"/>
        <v>2.1505643319819145</v>
      </c>
      <c r="AV32" s="20">
        <f t="shared" si="26"/>
        <v>3.7400110071546333</v>
      </c>
      <c r="AW32" s="20">
        <f t="shared" si="27"/>
        <v>1.2158587807799499</v>
      </c>
      <c r="AX32" s="20">
        <f t="shared" si="28"/>
        <v>0.10978896892080139</v>
      </c>
    </row>
    <row r="33" spans="1:50" s="10" customFormat="1" ht="16">
      <c r="A33" s="20" t="s">
        <v>95</v>
      </c>
      <c r="B33" s="20" t="str">
        <f>P14_Relievers!B15</f>
        <v xml:space="preserve">DET </v>
      </c>
      <c r="C33" s="20" t="str">
        <f>P14_Relievers!C15</f>
        <v>RP</v>
      </c>
      <c r="D33" s="20">
        <f>P14_Relievers!D15</f>
        <v>55</v>
      </c>
      <c r="E33" s="21">
        <v>56</v>
      </c>
      <c r="F33" s="20">
        <f>P14_Relievers!F15</f>
        <v>233</v>
      </c>
      <c r="G33" s="22">
        <f t="shared" si="0"/>
        <v>-0.78560510507045134</v>
      </c>
      <c r="H33" s="22">
        <f t="shared" si="1"/>
        <v>-1.6060133508913792</v>
      </c>
      <c r="I33" s="22">
        <f t="shared" si="2"/>
        <v>-0.73260800863884457</v>
      </c>
      <c r="J33" s="22">
        <f t="shared" si="3"/>
        <v>-0.91069099506130324</v>
      </c>
      <c r="K33" s="22">
        <f t="shared" si="4"/>
        <v>-0.10058146869185391</v>
      </c>
      <c r="L33" s="22">
        <f t="shared" si="5"/>
        <v>-0.41689574866727214</v>
      </c>
      <c r="M33" s="22">
        <f t="shared" si="6"/>
        <v>-0.97494621472290743</v>
      </c>
      <c r="N33" s="22">
        <f t="shared" si="7"/>
        <v>-6.5022871064669197</v>
      </c>
      <c r="O33" s="20"/>
      <c r="P33" s="20">
        <f t="shared" si="8"/>
        <v>89.770596634645926</v>
      </c>
      <c r="Q33" s="20">
        <f t="shared" si="9"/>
        <v>100.47705934059969</v>
      </c>
      <c r="R33" s="20">
        <f t="shared" si="10"/>
        <v>91.413088702473445</v>
      </c>
      <c r="S33" s="20">
        <f t="shared" si="11"/>
        <v>126.49006622516558</v>
      </c>
      <c r="T33" s="20">
        <f t="shared" si="12"/>
        <v>106.97572928155485</v>
      </c>
      <c r="U33" s="20">
        <f t="shared" si="13"/>
        <v>94.822068828461724</v>
      </c>
      <c r="V33" s="20">
        <f t="shared" si="14"/>
        <v>94.631415603850982</v>
      </c>
      <c r="W33" s="20">
        <f t="shared" si="15"/>
        <v>82.518472862430571</v>
      </c>
      <c r="X33" s="20">
        <f t="shared" si="16"/>
        <v>119.9492204183329</v>
      </c>
      <c r="Y33" s="20">
        <f t="shared" si="17"/>
        <v>144.86077712690468</v>
      </c>
      <c r="Z33" s="20">
        <f t="shared" si="18"/>
        <v>86.306545314738344</v>
      </c>
      <c r="AA33" s="20">
        <f t="shared" si="19"/>
        <v>98.407966003583041</v>
      </c>
      <c r="AB33" s="20">
        <f t="shared" si="20"/>
        <v>80.083949317232765</v>
      </c>
      <c r="AC33" s="20">
        <f t="shared" si="21"/>
        <v>95.311148044057362</v>
      </c>
      <c r="AD33" s="20">
        <f t="shared" si="22"/>
        <v>78.48117979673772</v>
      </c>
      <c r="AE33" s="20"/>
      <c r="AF33" s="20">
        <f>P14_Relievers!G15</f>
        <v>3.3083333333333305</v>
      </c>
      <c r="AG33" s="20">
        <f>P14_Relievers!H15</f>
        <v>3.1448717948717904</v>
      </c>
      <c r="AH33" s="20">
        <f>P14_Relievers!I15</f>
        <v>21.816666666666631</v>
      </c>
      <c r="AI33" s="20">
        <f>P14_Relievers!J15</f>
        <v>3.4461538461538432</v>
      </c>
      <c r="AJ33" s="20">
        <f t="shared" si="23"/>
        <v>25.262820512820475</v>
      </c>
      <c r="AK33" s="20">
        <f>P14_Relievers!K15</f>
        <v>2.9999999999999978</v>
      </c>
      <c r="AL33" s="20">
        <f>P14_Relievers!L15</f>
        <v>48.364285714285629</v>
      </c>
      <c r="AM33" s="20">
        <f>P14_Relievers!M15</f>
        <v>27.685778563393679</v>
      </c>
      <c r="AN33" s="20">
        <f>P14_Relievers!N15</f>
        <v>25.530073919331368</v>
      </c>
      <c r="AO33" s="20">
        <f>P14_Relievers!O15</f>
        <v>7.9622890888638631</v>
      </c>
      <c r="AP33" s="20">
        <f>P14_Relievers!P15</f>
        <v>1.1669291338582575</v>
      </c>
      <c r="AQ33" s="20">
        <f>P14_Relievers!Q15</f>
        <v>1.561316888960296</v>
      </c>
      <c r="AR33" s="20">
        <f>P14_Relievers!R15</f>
        <v>55.812236734693791</v>
      </c>
      <c r="AS33" s="20">
        <f>P14_Relievers!S15</f>
        <v>20.601955102040815</v>
      </c>
      <c r="AT33" s="20">
        <f t="shared" si="24"/>
        <v>8.9698237609329308</v>
      </c>
      <c r="AU33" s="20">
        <f t="shared" si="25"/>
        <v>3.311028498542274</v>
      </c>
      <c r="AV33" s="20">
        <f t="shared" si="26"/>
        <v>4.1030475941782552</v>
      </c>
      <c r="AW33" s="20">
        <f t="shared" si="27"/>
        <v>1.2315400145772579</v>
      </c>
      <c r="AX33" s="20">
        <f t="shared" si="28"/>
        <v>0.15111708855215872</v>
      </c>
    </row>
    <row r="34" spans="1:50" s="10" customFormat="1" ht="16">
      <c r="A34" s="20" t="s">
        <v>77</v>
      </c>
      <c r="B34" s="20" t="str">
        <f>P14_Relievers!B12</f>
        <v xml:space="preserve">KC </v>
      </c>
      <c r="C34" s="20" t="str">
        <f>P14_Relievers!C12</f>
        <v>RP</v>
      </c>
      <c r="D34" s="20">
        <f>P14_Relievers!D12</f>
        <v>63</v>
      </c>
      <c r="E34" s="21">
        <v>64.67</v>
      </c>
      <c r="F34" s="20">
        <f>P14_Relievers!F12</f>
        <v>273</v>
      </c>
      <c r="G34" s="22">
        <f t="shared" si="0"/>
        <v>-0.53366579607719589</v>
      </c>
      <c r="H34" s="22">
        <f t="shared" si="1"/>
        <v>-1.7309894027548607</v>
      </c>
      <c r="I34" s="22">
        <f t="shared" si="2"/>
        <v>-1.3013692928170211</v>
      </c>
      <c r="J34" s="22">
        <f t="shared" si="3"/>
        <v>-1.564990944225737</v>
      </c>
      <c r="K34" s="22">
        <f t="shared" si="4"/>
        <v>-0.11095801996558068</v>
      </c>
      <c r="L34" s="22">
        <f t="shared" si="5"/>
        <v>1.0509046188477067</v>
      </c>
      <c r="M34" s="22">
        <f t="shared" si="6"/>
        <v>-1.6626476607240888</v>
      </c>
      <c r="N34" s="22">
        <f t="shared" si="7"/>
        <v>-7.5163641584408669</v>
      </c>
      <c r="O34" s="20"/>
      <c r="P34" s="20">
        <f t="shared" si="8"/>
        <v>93.051110977853355</v>
      </c>
      <c r="Q34" s="20">
        <f t="shared" si="9"/>
        <v>74.139276197029915</v>
      </c>
      <c r="R34" s="20">
        <f t="shared" si="10"/>
        <v>121.64575861724222</v>
      </c>
      <c r="S34" s="20">
        <f t="shared" si="11"/>
        <v>77.483443708609286</v>
      </c>
      <c r="T34" s="20">
        <f t="shared" si="12"/>
        <v>87.320993956858942</v>
      </c>
      <c r="U34" s="20">
        <f t="shared" si="13"/>
        <v>78.341210528831681</v>
      </c>
      <c r="V34" s="20">
        <f t="shared" si="14"/>
        <v>76.745460055804998</v>
      </c>
      <c r="W34" s="20">
        <f t="shared" si="15"/>
        <v>82.874592699348085</v>
      </c>
      <c r="X34" s="20">
        <f t="shared" si="16"/>
        <v>30.022684699413489</v>
      </c>
      <c r="Y34" s="20">
        <f t="shared" si="17"/>
        <v>106.25084551234394</v>
      </c>
      <c r="Z34" s="20">
        <f t="shared" si="18"/>
        <v>76.468272230848839</v>
      </c>
      <c r="AA34" s="20">
        <f t="shared" si="19"/>
        <v>98.243722802442804</v>
      </c>
      <c r="AB34" s="20">
        <f t="shared" si="20"/>
        <v>78.534130704788623</v>
      </c>
      <c r="AC34" s="20">
        <f t="shared" si="21"/>
        <v>91.670951065132499</v>
      </c>
      <c r="AD34" s="20">
        <f t="shared" si="22"/>
        <v>63.302369369509336</v>
      </c>
      <c r="AE34" s="20"/>
      <c r="AF34" s="20">
        <f>P14_Relievers!G12</f>
        <v>3.4292307692307609</v>
      </c>
      <c r="AG34" s="20">
        <f>P14_Relievers!H12</f>
        <v>3.9771316818774385</v>
      </c>
      <c r="AH34" s="20">
        <f>P14_Relievers!I12</f>
        <v>31.609230767100001</v>
      </c>
      <c r="AI34" s="20">
        <f>P14_Relievers!J12</f>
        <v>2.0086571055599998</v>
      </c>
      <c r="AJ34" s="20">
        <f t="shared" si="23"/>
        <v>33.617887872659999</v>
      </c>
      <c r="AK34" s="20">
        <f>P14_Relievers!K12</f>
        <v>4.9999999999999964</v>
      </c>
      <c r="AL34" s="20">
        <f>P14_Relievers!L12</f>
        <v>58.582987000957147</v>
      </c>
      <c r="AM34" s="20">
        <f>P14_Relievers!M12</f>
        <v>32.024002260473772</v>
      </c>
      <c r="AN34" s="20">
        <f>P14_Relievers!N12</f>
        <v>29.863716341086992</v>
      </c>
      <c r="AO34" s="20">
        <f>P14_Relievers!O12</f>
        <v>7.9381531318253069</v>
      </c>
      <c r="AP34" s="20">
        <f>P14_Relievers!P12</f>
        <v>2.4778207327376358</v>
      </c>
      <c r="AQ34" s="20">
        <f>P14_Relievers!Q12</f>
        <v>2.6545919692086604</v>
      </c>
      <c r="AR34" s="20">
        <f>P14_Relievers!R12</f>
        <v>57.106008577799997</v>
      </c>
      <c r="AS34" s="20">
        <f>P14_Relievers!S12</f>
        <v>23.830042918500002</v>
      </c>
      <c r="AT34" s="20">
        <f t="shared" si="24"/>
        <v>7.9473338054770366</v>
      </c>
      <c r="AU34" s="20">
        <f t="shared" si="25"/>
        <v>3.3163814174501316</v>
      </c>
      <c r="AV34" s="20">
        <f t="shared" si="26"/>
        <v>4.1560761878735564</v>
      </c>
      <c r="AW34" s="20">
        <f t="shared" si="27"/>
        <v>1.2743626089292894</v>
      </c>
      <c r="AX34" s="20">
        <f t="shared" si="28"/>
        <v>0.1218899841</v>
      </c>
    </row>
    <row r="35" spans="1:50" s="10" customFormat="1" ht="16">
      <c r="A35" s="20" t="s">
        <v>220</v>
      </c>
      <c r="B35" s="20" t="str">
        <f>P14_Relievers!B34</f>
        <v xml:space="preserve">CWS </v>
      </c>
      <c r="C35" s="20" t="str">
        <f>P14_Relievers!C34</f>
        <v>RP</v>
      </c>
      <c r="D35" s="20">
        <f>P14_Relievers!D34</f>
        <v>62</v>
      </c>
      <c r="E35" s="21">
        <v>61.67</v>
      </c>
      <c r="F35" s="20">
        <f>P14_Relievers!F34</f>
        <v>262</v>
      </c>
      <c r="G35" s="22">
        <f t="shared" si="0"/>
        <v>-1.0874411958579733</v>
      </c>
      <c r="H35" s="22">
        <f t="shared" si="1"/>
        <v>-1.2507347991254638</v>
      </c>
      <c r="I35" s="22">
        <f t="shared" si="2"/>
        <v>-1.6643500743616413</v>
      </c>
      <c r="J35" s="22">
        <f t="shared" si="3"/>
        <v>-0.16458433357667326</v>
      </c>
      <c r="K35" s="22">
        <f t="shared" si="4"/>
        <v>-1.9467565820924067</v>
      </c>
      <c r="L35" s="22">
        <f t="shared" si="5"/>
        <v>-0.16302086084425077</v>
      </c>
      <c r="M35" s="22">
        <f t="shared" si="6"/>
        <v>-0.91691897217837559</v>
      </c>
      <c r="N35" s="22">
        <f t="shared" si="7"/>
        <v>-8.1107257902151613</v>
      </c>
      <c r="O35" s="20"/>
      <c r="P35" s="20">
        <f t="shared" si="8"/>
        <v>85.840373800095591</v>
      </c>
      <c r="Q35" s="20">
        <f t="shared" si="9"/>
        <v>83.763356786982769</v>
      </c>
      <c r="R35" s="20">
        <f t="shared" si="10"/>
        <v>96.642216486517299</v>
      </c>
      <c r="S35" s="20">
        <f t="shared" si="11"/>
        <v>77.483443708609343</v>
      </c>
      <c r="T35" s="20">
        <f t="shared" si="12"/>
        <v>101.78787274591764</v>
      </c>
      <c r="U35" s="20">
        <f t="shared" si="13"/>
        <v>89.186141959404452</v>
      </c>
      <c r="V35" s="20">
        <f t="shared" si="14"/>
        <v>88.226116169712142</v>
      </c>
      <c r="W35" s="20">
        <f t="shared" si="15"/>
        <v>85.16252790317904</v>
      </c>
      <c r="X35" s="20">
        <f t="shared" si="16"/>
        <v>131.70764107012141</v>
      </c>
      <c r="Y35" s="20">
        <f t="shared" si="17"/>
        <v>108.78618741145394</v>
      </c>
      <c r="Z35" s="20">
        <f t="shared" si="18"/>
        <v>97.52525486036626</v>
      </c>
      <c r="AA35" s="20">
        <f t="shared" si="19"/>
        <v>69.186146297636981</v>
      </c>
      <c r="AB35" s="20">
        <f t="shared" si="20"/>
        <v>84.489731896526322</v>
      </c>
      <c r="AC35" s="20">
        <f t="shared" si="21"/>
        <v>89.34779444188284</v>
      </c>
      <c r="AD35" s="20">
        <f t="shared" si="22"/>
        <v>79.761945628073107</v>
      </c>
      <c r="AE35" s="20"/>
      <c r="AF35" s="20">
        <f>P14_Relievers!G34</f>
        <v>3.1634920634920589</v>
      </c>
      <c r="AG35" s="20">
        <f>P14_Relievers!H34</f>
        <v>3.6730158730158657</v>
      </c>
      <c r="AH35" s="20">
        <f>P14_Relievers!I34</f>
        <v>20.736507936507913</v>
      </c>
      <c r="AI35" s="20">
        <f>P14_Relievers!J34</f>
        <v>5.9714285714285689</v>
      </c>
      <c r="AJ35" s="20">
        <f t="shared" si="23"/>
        <v>26.707936507936481</v>
      </c>
      <c r="AK35" s="20">
        <f>P14_Relievers!K34</f>
        <v>4.9999999999999947</v>
      </c>
      <c r="AL35" s="20">
        <f>P14_Relievers!L34</f>
        <v>51.061506276150574</v>
      </c>
      <c r="AM35" s="20">
        <f>P14_Relievers!M34</f>
        <v>29.16931243364748</v>
      </c>
      <c r="AN35" s="20">
        <f>P14_Relievers!N34</f>
        <v>27.082033347904581</v>
      </c>
      <c r="AO35" s="20">
        <f>P14_Relievers!O34</f>
        <v>7.7830887403984015</v>
      </c>
      <c r="AP35" s="20">
        <f>P14_Relievers!P34</f>
        <v>0.99552238805968196</v>
      </c>
      <c r="AQ35" s="20">
        <f>P14_Relievers!Q34</f>
        <v>2.5828014738025198</v>
      </c>
      <c r="AR35" s="20">
        <f>P14_Relievers!R34</f>
        <v>69.452632236307934</v>
      </c>
      <c r="AS35" s="20">
        <f>P14_Relievers!S34</f>
        <v>29.213826266158538</v>
      </c>
      <c r="AT35" s="20">
        <f t="shared" si="24"/>
        <v>10.135782230043317</v>
      </c>
      <c r="AU35" s="20">
        <f t="shared" si="25"/>
        <v>4.2634090545715395</v>
      </c>
      <c r="AV35" s="20">
        <f t="shared" si="26"/>
        <v>3.9522993372975712</v>
      </c>
      <c r="AW35" s="20">
        <f t="shared" si="27"/>
        <v>1.3016917876164928</v>
      </c>
      <c r="AX35" s="20">
        <f t="shared" si="28"/>
        <v>0.15358322889369999</v>
      </c>
    </row>
    <row r="36" spans="1:50" s="9" customFormat="1" ht="16">
      <c r="A36" s="13" t="s">
        <v>198</v>
      </c>
      <c r="B36" s="13" t="str">
        <f>P14_Relievers!B31</f>
        <v xml:space="preserve">LAA </v>
      </c>
      <c r="C36" s="13" t="str">
        <f>P14_Relievers!C31</f>
        <v>RP</v>
      </c>
      <c r="D36" s="13">
        <f>P14_Relievers!D31</f>
        <v>55</v>
      </c>
      <c r="E36" s="19">
        <v>56.33</v>
      </c>
      <c r="F36" s="13">
        <f>P14_Relievers!F31</f>
        <v>239</v>
      </c>
      <c r="G36" s="16">
        <f t="shared" si="0"/>
        <v>-1.5062904560877741</v>
      </c>
      <c r="H36" s="16">
        <f t="shared" si="1"/>
        <v>-1.2727403637019012</v>
      </c>
      <c r="I36" s="16">
        <f t="shared" si="2"/>
        <v>-1.3704126832794201</v>
      </c>
      <c r="J36" s="16">
        <f t="shared" si="3"/>
        <v>0.2561856575735792</v>
      </c>
      <c r="K36" s="16">
        <f t="shared" si="4"/>
        <v>-1.9289354191665369</v>
      </c>
      <c r="L36" s="16">
        <f t="shared" si="5"/>
        <v>-1.5572896038548678</v>
      </c>
      <c r="M36" s="16">
        <f t="shared" si="6"/>
        <v>-0.50134187956244358</v>
      </c>
      <c r="N36" s="15">
        <f t="shared" si="7"/>
        <v>-8.3821666276418085</v>
      </c>
      <c r="O36" s="13"/>
      <c r="P36" s="13">
        <f t="shared" si="8"/>
        <v>80.386516633795011</v>
      </c>
      <c r="Q36" s="13">
        <f t="shared" si="9"/>
        <v>68.423786812403989</v>
      </c>
      <c r="R36" s="13">
        <f t="shared" si="10"/>
        <v>67.924096766132777</v>
      </c>
      <c r="S36" s="13">
        <f t="shared" si="11"/>
        <v>150.99337748344377</v>
      </c>
      <c r="T36" s="13">
        <f t="shared" si="12"/>
        <v>112.5791575507039</v>
      </c>
      <c r="U36" s="13">
        <f t="shared" si="13"/>
        <v>97.008265744630961</v>
      </c>
      <c r="V36" s="13">
        <f t="shared" si="14"/>
        <v>97.663410032538991</v>
      </c>
      <c r="W36" s="13">
        <f t="shared" si="15"/>
        <v>96.837928951470687</v>
      </c>
      <c r="X36" s="13">
        <f t="shared" si="16"/>
        <v>200</v>
      </c>
      <c r="Y36" s="13">
        <f t="shared" si="17"/>
        <v>84.465599185677291</v>
      </c>
      <c r="Z36" s="13">
        <f t="shared" si="18"/>
        <v>103.85209331378269</v>
      </c>
      <c r="AA36" s="13">
        <f t="shared" si="19"/>
        <v>69.468225070224719</v>
      </c>
      <c r="AB36" s="13">
        <f t="shared" si="20"/>
        <v>84.216842546531822</v>
      </c>
      <c r="AC36" s="13">
        <f t="shared" si="21"/>
        <v>91.229058221214487</v>
      </c>
      <c r="AD36" s="13">
        <f t="shared" si="22"/>
        <v>88.934481098799935</v>
      </c>
      <c r="AE36" s="13"/>
      <c r="AF36" s="13">
        <f>P14_Relievers!G31</f>
        <v>2.9624999999999964</v>
      </c>
      <c r="AG36" s="13">
        <f>P14_Relievers!H31</f>
        <v>4.1577380952380896</v>
      </c>
      <c r="AH36" s="13">
        <f>P14_Relievers!I31</f>
        <v>7.9857142860000003</v>
      </c>
      <c r="AI36" s="13">
        <f>P14_Relievers!J31</f>
        <v>10.785714285714279</v>
      </c>
      <c r="AJ36" s="13">
        <f t="shared" si="23"/>
        <v>18.771428571714281</v>
      </c>
      <c r="AK36" s="13">
        <f>P14_Relievers!K31</f>
        <v>1.9999999999999964</v>
      </c>
      <c r="AL36" s="13">
        <f>P14_Relievers!L31</f>
        <v>45.451005086599999</v>
      </c>
      <c r="AM36" s="13">
        <f>P14_Relievers!M31</f>
        <v>27.11031027795725</v>
      </c>
      <c r="AN36" s="13">
        <f>P14_Relievers!N31</f>
        <v>24.79544279250155</v>
      </c>
      <c r="AO36" s="13">
        <f>P14_Relievers!O31</f>
        <v>6.9917905623787719</v>
      </c>
      <c r="AP36" s="13">
        <f>P14_Relievers!P31</f>
        <v>0</v>
      </c>
      <c r="AQ36" s="13">
        <f>P14_Relievers!Q31</f>
        <v>3.2714608920490935</v>
      </c>
      <c r="AR36" s="13">
        <f>P14_Relievers!R31</f>
        <v>67.554249547920378</v>
      </c>
      <c r="AS36" s="13">
        <f>P14_Relievers!S31</f>
        <v>26.626663420967148</v>
      </c>
      <c r="AT36" s="13">
        <f t="shared" si="24"/>
        <v>10.793329414721878</v>
      </c>
      <c r="AU36" s="13">
        <f t="shared" si="25"/>
        <v>4.2542157072377833</v>
      </c>
      <c r="AV36" s="13">
        <f t="shared" si="26"/>
        <v>3.9616365193061238</v>
      </c>
      <c r="AW36" s="13">
        <f t="shared" si="27"/>
        <v>1.2795609534451831</v>
      </c>
      <c r="AX36" s="13">
        <f t="shared" si="28"/>
        <v>0.17124513023829804</v>
      </c>
    </row>
    <row r="37" spans="1:50" s="10" customFormat="1" ht="16">
      <c r="A37" s="20" t="s">
        <v>252</v>
      </c>
      <c r="B37" s="20" t="str">
        <f>P14_Relievers!B38</f>
        <v xml:space="preserve">STL </v>
      </c>
      <c r="C37" s="20" t="str">
        <f>P14_Relievers!C38</f>
        <v>RP</v>
      </c>
      <c r="D37" s="20">
        <f>P14_Relievers!D38</f>
        <v>61</v>
      </c>
      <c r="E37" s="21">
        <v>63.33</v>
      </c>
      <c r="F37" s="20">
        <f>P14_Relievers!F38</f>
        <v>275</v>
      </c>
      <c r="G37" s="22">
        <f t="shared" si="0"/>
        <v>-1.567071148342249</v>
      </c>
      <c r="H37" s="22">
        <f t="shared" si="1"/>
        <v>-0.90936351000000715</v>
      </c>
      <c r="I37" s="22">
        <f t="shared" si="2"/>
        <v>-1.7568932516398843</v>
      </c>
      <c r="J37" s="22">
        <f t="shared" si="3"/>
        <v>-0.61812942301642448</v>
      </c>
      <c r="K37" s="22">
        <f t="shared" si="4"/>
        <v>-1.5729665757794418</v>
      </c>
      <c r="L37" s="22">
        <f t="shared" si="5"/>
        <v>-8.2612562273858284E-2</v>
      </c>
      <c r="M37" s="22">
        <f t="shared" si="6"/>
        <v>-1.305708998314441</v>
      </c>
      <c r="N37" s="22">
        <f t="shared" si="7"/>
        <v>-9.1184544676807473</v>
      </c>
      <c r="O37" s="20"/>
      <c r="P37" s="20">
        <f t="shared" si="8"/>
        <v>79.595088199988282</v>
      </c>
      <c r="Q37" s="20">
        <f t="shared" si="9"/>
        <v>122.31487145473997</v>
      </c>
      <c r="R37" s="20">
        <f t="shared" si="10"/>
        <v>98.29840734386292</v>
      </c>
      <c r="S37" s="20">
        <f t="shared" si="11"/>
        <v>77.483443708609357</v>
      </c>
      <c r="T37" s="20">
        <f t="shared" si="12"/>
        <v>95.685744391575355</v>
      </c>
      <c r="U37" s="20">
        <f t="shared" si="13"/>
        <v>90.086244390258884</v>
      </c>
      <c r="V37" s="20">
        <f t="shared" si="14"/>
        <v>89.424096428984711</v>
      </c>
      <c r="W37" s="20">
        <f t="shared" si="15"/>
        <v>113.39900272525715</v>
      </c>
      <c r="X37" s="20">
        <f t="shared" si="16"/>
        <v>62.038699807049063</v>
      </c>
      <c r="Y37" s="20">
        <f t="shared" si="17"/>
        <v>-21.739324560769859</v>
      </c>
      <c r="Z37" s="20">
        <f t="shared" si="18"/>
        <v>90.705599056535561</v>
      </c>
      <c r="AA37" s="20">
        <f t="shared" si="19"/>
        <v>75.102607901456707</v>
      </c>
      <c r="AB37" s="20">
        <f t="shared" si="20"/>
        <v>88.723051558589333</v>
      </c>
      <c r="AC37" s="20">
        <f t="shared" si="21"/>
        <v>88.755497807566158</v>
      </c>
      <c r="AD37" s="20">
        <f t="shared" si="22"/>
        <v>71.180648995600464</v>
      </c>
      <c r="AE37" s="20"/>
      <c r="AF37" s="20">
        <f>P14_Relievers!G38</f>
        <v>2.9333333333333287</v>
      </c>
      <c r="AG37" s="20">
        <f>P14_Relievers!H38</f>
        <v>2.4548085901027052</v>
      </c>
      <c r="AH37" s="20">
        <f>P14_Relievers!I38</f>
        <v>15.898412698412681</v>
      </c>
      <c r="AI37" s="20">
        <f>P14_Relievers!J38</f>
        <v>11.267226890756241</v>
      </c>
      <c r="AJ37" s="20">
        <f t="shared" si="23"/>
        <v>27.165639589168922</v>
      </c>
      <c r="AK37" s="20">
        <f>P14_Relievers!K38</f>
        <v>4.9999999999999938</v>
      </c>
      <c r="AL37" s="20">
        <f>P14_Relievers!L38</f>
        <v>54.234066264155253</v>
      </c>
      <c r="AM37" s="20">
        <f>P14_Relievers!M38</f>
        <v>28.93238025303285</v>
      </c>
      <c r="AN37" s="20">
        <f>P14_Relievers!N38</f>
        <v>26.79177107714899</v>
      </c>
      <c r="AO37" s="20">
        <f>P14_Relievers!O38</f>
        <v>5.8693668058806274</v>
      </c>
      <c r="AP37" s="20">
        <f>P14_Relievers!P38</f>
        <v>2.0111117141073889</v>
      </c>
      <c r="AQ37" s="20">
        <f>P14_Relievers!Q38</f>
        <v>6.278749215965215</v>
      </c>
      <c r="AR37" s="20">
        <f>P14_Relievers!R38</f>
        <v>66.334773662551356</v>
      </c>
      <c r="AS37" s="20">
        <f>P14_Relievers!S38</f>
        <v>28.643336964415251</v>
      </c>
      <c r="AT37" s="20">
        <f t="shared" si="24"/>
        <v>9.4270166266060684</v>
      </c>
      <c r="AU37" s="20">
        <f t="shared" si="25"/>
        <v>4.0705831782683921</v>
      </c>
      <c r="AV37" s="20">
        <f t="shared" si="26"/>
        <v>3.8074520715986249</v>
      </c>
      <c r="AW37" s="20">
        <f t="shared" si="27"/>
        <v>1.3086594541065926</v>
      </c>
      <c r="AX37" s="20">
        <f t="shared" si="28"/>
        <v>0.137059769811404</v>
      </c>
    </row>
    <row r="38" spans="1:50" s="10" customFormat="1" ht="16">
      <c r="A38" s="20" t="s">
        <v>178</v>
      </c>
      <c r="B38" s="20" t="str">
        <f>P14_Relievers!B27</f>
        <v xml:space="preserve">DET </v>
      </c>
      <c r="C38" s="20" t="str">
        <f>P14_Relievers!C27</f>
        <v>RP</v>
      </c>
      <c r="D38" s="20">
        <f>P14_Relievers!D27</f>
        <v>59</v>
      </c>
      <c r="E38" s="21">
        <v>61</v>
      </c>
      <c r="F38" s="20">
        <f>P14_Relievers!F27</f>
        <v>256</v>
      </c>
      <c r="G38" s="22">
        <f t="shared" si="0"/>
        <v>-0.76064160646593715</v>
      </c>
      <c r="H38" s="22">
        <f t="shared" si="1"/>
        <v>-1.197352547557146</v>
      </c>
      <c r="I38" s="22">
        <f t="shared" si="2"/>
        <v>-1.6665309386511427</v>
      </c>
      <c r="J38" s="22">
        <f t="shared" si="3"/>
        <v>-1.3262989053858849</v>
      </c>
      <c r="K38" s="22">
        <f t="shared" si="4"/>
        <v>-1.9731817736308565E-2</v>
      </c>
      <c r="L38" s="22">
        <f t="shared" si="5"/>
        <v>-1.6002035680734901</v>
      </c>
      <c r="M38" s="22">
        <f t="shared" si="6"/>
        <v>-1.3840727956995609</v>
      </c>
      <c r="N38" s="22">
        <f t="shared" si="7"/>
        <v>-9.3389049752690312</v>
      </c>
      <c r="O38" s="20"/>
      <c r="P38" s="20">
        <f t="shared" si="8"/>
        <v>90.095647598530803</v>
      </c>
      <c r="Q38" s="20">
        <f t="shared" si="9"/>
        <v>74.112506363069144</v>
      </c>
      <c r="R38" s="20">
        <f t="shared" si="10"/>
        <v>67.040186567123669</v>
      </c>
      <c r="S38" s="20">
        <f t="shared" si="11"/>
        <v>77.483443708609201</v>
      </c>
      <c r="T38" s="20">
        <f t="shared" si="12"/>
        <v>89.876245695328933</v>
      </c>
      <c r="U38" s="20">
        <f t="shared" si="13"/>
        <v>89.615086861517923</v>
      </c>
      <c r="V38" s="20">
        <f t="shared" si="14"/>
        <v>90.074075344066017</v>
      </c>
      <c r="W38" s="20">
        <f t="shared" si="15"/>
        <v>90.946056983634477</v>
      </c>
      <c r="X38" s="20">
        <f t="shared" si="16"/>
        <v>84.963153010058079</v>
      </c>
      <c r="Y38" s="20">
        <f t="shared" si="17"/>
        <v>165.4166332737264</v>
      </c>
      <c r="Z38" s="20">
        <f t="shared" si="18"/>
        <v>80.05732563679166</v>
      </c>
      <c r="AA38" s="20">
        <f t="shared" si="19"/>
        <v>99.687678803502592</v>
      </c>
      <c r="AB38" s="20">
        <f t="shared" si="20"/>
        <v>85.151721180242276</v>
      </c>
      <c r="AC38" s="20">
        <f t="shared" si="21"/>
        <v>89.333836432048258</v>
      </c>
      <c r="AD38" s="20">
        <f t="shared" si="22"/>
        <v>69.451018744300356</v>
      </c>
      <c r="AE38" s="20"/>
      <c r="AF38" s="20">
        <f>P14_Relievers!G27</f>
        <v>3.3203124999999964</v>
      </c>
      <c r="AG38" s="20">
        <f>P14_Relievers!H27</f>
        <v>3.9779775943396185</v>
      </c>
      <c r="AH38" s="20">
        <f>P14_Relievers!I27</f>
        <v>5.5374999999999979</v>
      </c>
      <c r="AI38" s="20">
        <f>P14_Relievers!J27</f>
        <v>12.989652122641472</v>
      </c>
      <c r="AJ38" s="20">
        <f t="shared" si="23"/>
        <v>18.527152122641468</v>
      </c>
      <c r="AK38" s="20">
        <f>P14_Relievers!K27</f>
        <v>5</v>
      </c>
      <c r="AL38" s="20">
        <f>P14_Relievers!L27</f>
        <v>57.254485049833725</v>
      </c>
      <c r="AM38" s="20">
        <f>P14_Relievers!M27</f>
        <v>29.056402116401919</v>
      </c>
      <c r="AN38" s="20">
        <f>P14_Relievers!N27</f>
        <v>26.634285714285568</v>
      </c>
      <c r="AO38" s="20">
        <f>P14_Relievers!O27</f>
        <v>7.3911111111110914</v>
      </c>
      <c r="AP38" s="20">
        <f>P14_Relievers!P27</f>
        <v>1.6769336778639052</v>
      </c>
      <c r="AQ38" s="20">
        <f>P14_Relievers!Q27</f>
        <v>0.97925925925925883</v>
      </c>
      <c r="AR38" s="20">
        <f>P14_Relievers!R27</f>
        <v>56.393439153438976</v>
      </c>
      <c r="AS38" s="20">
        <f>P14_Relievers!S27</f>
        <v>22.158730158730137</v>
      </c>
      <c r="AT38" s="20">
        <f t="shared" si="24"/>
        <v>8.3203434816549304</v>
      </c>
      <c r="AU38" s="20">
        <f t="shared" si="25"/>
        <v>3.2693208430913319</v>
      </c>
      <c r="AV38" s="20">
        <f t="shared" si="26"/>
        <v>3.9296487119437722</v>
      </c>
      <c r="AW38" s="20">
        <f t="shared" si="27"/>
        <v>1.301855987025637</v>
      </c>
      <c r="AX38" s="20">
        <f t="shared" si="28"/>
        <v>0.1337293320105814</v>
      </c>
    </row>
    <row r="39" spans="1:50" s="11" customFormat="1" ht="16">
      <c r="A39" s="17" t="s">
        <v>285</v>
      </c>
      <c r="B39" s="17"/>
      <c r="C39" s="17"/>
      <c r="D39" s="17"/>
      <c r="E39" s="13"/>
      <c r="F39" s="17"/>
      <c r="G39" s="16"/>
      <c r="H39" s="16"/>
      <c r="I39" s="16"/>
      <c r="J39" s="16"/>
      <c r="K39" s="16"/>
      <c r="L39" s="16"/>
      <c r="M39" s="16"/>
      <c r="N39" s="15"/>
      <c r="O39" s="17"/>
      <c r="P39" s="17">
        <f>AVERAGE(P2:P38)</f>
        <v>100.00000000000003</v>
      </c>
      <c r="Q39" s="17">
        <f>AVERAGE(Q2:Q38)</f>
        <v>100.00000000000004</v>
      </c>
      <c r="R39" s="17">
        <f>AVERAGE(R2:R38)</f>
        <v>100.00000000000003</v>
      </c>
      <c r="S39" s="17">
        <f t="shared" ref="S39:AA39" si="29">AVERAGE(S2:S38)</f>
        <v>100.00000000000006</v>
      </c>
      <c r="T39" s="17">
        <f t="shared" si="29"/>
        <v>100.00000000000001</v>
      </c>
      <c r="U39" s="17">
        <f t="shared" si="29"/>
        <v>99.999999999999972</v>
      </c>
      <c r="V39" s="17">
        <f t="shared" si="29"/>
        <v>100.00000000000004</v>
      </c>
      <c r="W39" s="17">
        <f t="shared" si="29"/>
        <v>99.999999999999957</v>
      </c>
      <c r="X39" s="17">
        <f t="shared" si="29"/>
        <v>100.00000000000001</v>
      </c>
      <c r="Y39" s="17">
        <f t="shared" si="29"/>
        <v>100.00000000000004</v>
      </c>
      <c r="Z39" s="17">
        <f t="shared" si="29"/>
        <v>99.999999999999986</v>
      </c>
      <c r="AA39" s="17">
        <f t="shared" si="29"/>
        <v>100</v>
      </c>
      <c r="AB39" s="17">
        <f t="shared" ref="AB39" si="30">AVERAGE(AB2:AB38)</f>
        <v>99.999999999999986</v>
      </c>
      <c r="AC39" s="17">
        <f t="shared" ref="AC39:AD39" si="31">AVERAGE(AC2:AC38)</f>
        <v>99.999999999999986</v>
      </c>
      <c r="AD39" s="17">
        <f t="shared" si="31"/>
        <v>100.00000000000001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1:50" s="11" customFormat="1" ht="16">
      <c r="A40" s="17" t="s">
        <v>286</v>
      </c>
      <c r="B40" s="17"/>
      <c r="C40" s="17"/>
      <c r="D40" s="17"/>
      <c r="E40" s="13"/>
      <c r="F40" s="17"/>
      <c r="G40" s="16"/>
      <c r="H40" s="16"/>
      <c r="I40" s="16"/>
      <c r="J40" s="16"/>
      <c r="K40" s="16"/>
      <c r="L40" s="16"/>
      <c r="M40" s="16"/>
      <c r="N40" s="15"/>
      <c r="O40" s="17"/>
      <c r="P40" s="17">
        <f>STDEV(P2:P38)</f>
        <v>13.021050015244938</v>
      </c>
      <c r="Q40" s="17">
        <f>STDEV(Q2:Q38)</f>
        <v>24.727799974493713</v>
      </c>
      <c r="R40" s="17">
        <f>STDEV(R2:R38)</f>
        <v>20.597262804855003</v>
      </c>
      <c r="S40" s="17">
        <f t="shared" ref="S40:AD40" si="32">STDEV(S2:S38)</f>
        <v>29.662829196010176</v>
      </c>
      <c r="T40" s="17">
        <f t="shared" si="32"/>
        <v>11.630306475400763</v>
      </c>
      <c r="U40" s="17">
        <f t="shared" si="32"/>
        <v>12.34414637594152</v>
      </c>
      <c r="V40" s="17">
        <f t="shared" si="32"/>
        <v>12.594964289910918</v>
      </c>
      <c r="W40" s="17">
        <f t="shared" si="32"/>
        <v>18.99954816528415</v>
      </c>
      <c r="X40" s="17">
        <f t="shared" si="32"/>
        <v>34.79323306179144</v>
      </c>
      <c r="Y40" s="17">
        <f t="shared" si="32"/>
        <v>42.003055967226636</v>
      </c>
      <c r="Z40" s="17">
        <f t="shared" si="32"/>
        <v>15.036334782622799</v>
      </c>
      <c r="AA40" s="17">
        <f t="shared" si="32"/>
        <v>15.828303335820122</v>
      </c>
      <c r="AB40" s="17">
        <f t="shared" si="32"/>
        <v>12.4009247318606</v>
      </c>
      <c r="AC40" s="17">
        <f t="shared" si="32"/>
        <v>6.4002193542141557</v>
      </c>
      <c r="AD40" s="17">
        <f t="shared" si="32"/>
        <v>22.071802401302953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</sheetData>
  <sortState xmlns:xlrd2="http://schemas.microsoft.com/office/spreadsheetml/2017/richdata2" ref="A2:AX38">
    <sortCondition descending="1" ref="N2:N38"/>
  </sortState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18D2-843C-0A4D-8DB3-891ABB673CEB}">
  <dimension ref="A1:AL62"/>
  <sheetViews>
    <sheetView workbookViewId="0">
      <selection activeCell="N62" sqref="N62"/>
    </sheetView>
  </sheetViews>
  <sheetFormatPr baseColWidth="10" defaultRowHeight="15"/>
  <cols>
    <col min="1" max="38" width="11" style="13"/>
  </cols>
  <sheetData>
    <row r="1" spans="1:38">
      <c r="A1" s="12" t="s">
        <v>0</v>
      </c>
      <c r="B1" s="12" t="s">
        <v>1</v>
      </c>
      <c r="C1" s="12" t="s">
        <v>2</v>
      </c>
      <c r="D1" s="12" t="s">
        <v>260</v>
      </c>
      <c r="E1" s="12" t="s">
        <v>626</v>
      </c>
      <c r="F1" s="12" t="s">
        <v>261</v>
      </c>
      <c r="G1" s="12" t="s">
        <v>263</v>
      </c>
      <c r="H1" s="12" t="s">
        <v>265</v>
      </c>
      <c r="I1" s="12" t="s">
        <v>266</v>
      </c>
      <c r="J1" s="12" t="s">
        <v>267</v>
      </c>
      <c r="K1" s="12" t="s">
        <v>269</v>
      </c>
      <c r="L1" s="12" t="s">
        <v>271</v>
      </c>
      <c r="M1" s="12" t="s">
        <v>273</v>
      </c>
      <c r="N1" s="12" t="s">
        <v>275</v>
      </c>
      <c r="O1" s="12" t="s">
        <v>277</v>
      </c>
      <c r="P1" s="12" t="s">
        <v>279</v>
      </c>
      <c r="Q1" s="12" t="s">
        <v>281</v>
      </c>
      <c r="R1" s="12" t="s">
        <v>625</v>
      </c>
      <c r="S1" s="12" t="s">
        <v>283</v>
      </c>
      <c r="T1" s="12" t="s">
        <v>294</v>
      </c>
      <c r="U1" s="12" t="s">
        <v>295</v>
      </c>
      <c r="V1" s="12" t="s">
        <v>297</v>
      </c>
      <c r="W1" s="12" t="s">
        <v>289</v>
      </c>
      <c r="X1" s="12" t="s">
        <v>290</v>
      </c>
      <c r="Y1" s="12"/>
      <c r="Z1" s="12" t="s">
        <v>3</v>
      </c>
      <c r="AA1" s="12" t="s">
        <v>4</v>
      </c>
      <c r="AB1" s="12" t="s">
        <v>5</v>
      </c>
      <c r="AC1" s="12" t="s">
        <v>6</v>
      </c>
      <c r="AD1" s="12" t="s">
        <v>7</v>
      </c>
      <c r="AE1" s="12" t="s">
        <v>8</v>
      </c>
      <c r="AF1" s="12" t="s">
        <v>9</v>
      </c>
      <c r="AG1" s="12" t="s">
        <v>10</v>
      </c>
      <c r="AH1" s="12" t="s">
        <v>11</v>
      </c>
      <c r="AI1" s="12" t="s">
        <v>12</v>
      </c>
      <c r="AJ1" s="12" t="s">
        <v>13</v>
      </c>
      <c r="AK1" s="12" t="s">
        <v>14</v>
      </c>
      <c r="AL1" s="12" t="s">
        <v>15</v>
      </c>
    </row>
    <row r="2" spans="1:38">
      <c r="A2" s="12" t="s">
        <v>16</v>
      </c>
      <c r="B2" s="12" t="s">
        <v>17</v>
      </c>
      <c r="C2" s="12" t="s">
        <v>18</v>
      </c>
      <c r="D2" s="12">
        <v>59</v>
      </c>
      <c r="E2" s="12">
        <v>64.67</v>
      </c>
      <c r="F2" s="12">
        <v>254</v>
      </c>
      <c r="G2" s="13">
        <f>$D2*Z2</f>
        <v>2.9999999999999973</v>
      </c>
      <c r="H2" s="13">
        <f t="shared" ref="H2:K17" si="0">$D2*AA2</f>
        <v>1.9999999999999962</v>
      </c>
      <c r="I2" s="13">
        <f t="shared" si="0"/>
        <v>31.503818181818144</v>
      </c>
      <c r="J2" s="13">
        <f t="shared" si="0"/>
        <v>2.5575757575757518</v>
      </c>
      <c r="K2" s="13">
        <f t="shared" si="0"/>
        <v>3.9999999999999982</v>
      </c>
      <c r="L2" s="13">
        <f>$F2*AE2</f>
        <v>38.32312711382464</v>
      </c>
      <c r="M2" s="13">
        <f t="shared" ref="M2:S17" si="1">$F2*AF2</f>
        <v>17.690521085869896</v>
      </c>
      <c r="N2" s="13">
        <f t="shared" si="1"/>
        <v>16.707925533506916</v>
      </c>
      <c r="O2" s="13">
        <f t="shared" si="1"/>
        <v>5.9093643373439537</v>
      </c>
      <c r="P2" s="13">
        <f t="shared" si="1"/>
        <v>1.9770094614908296</v>
      </c>
      <c r="Q2" s="13">
        <f t="shared" si="1"/>
        <v>2.9477866570889613</v>
      </c>
      <c r="R2" s="13">
        <f t="shared" si="1"/>
        <v>97.423086378737523</v>
      </c>
      <c r="S2" s="13">
        <f t="shared" si="1"/>
        <v>24.258133928571407</v>
      </c>
      <c r="T2" s="12">
        <f>R2/$E2*9</f>
        <v>13.558184280325307</v>
      </c>
      <c r="U2" s="12">
        <f>S2/$E2*9</f>
        <v>3.3759580231504973</v>
      </c>
      <c r="V2" s="12">
        <f>AK2-AL2</f>
        <v>0.28805099389829181</v>
      </c>
      <c r="W2" s="12">
        <f>N2/$E2*9</f>
        <v>2.3252099861073487</v>
      </c>
      <c r="X2" s="12">
        <f>(S2+L2)/E2</f>
        <v>0.96770157789386191</v>
      </c>
      <c r="Y2" s="12"/>
      <c r="Z2" s="12">
        <v>5.0847457627118599E-2</v>
      </c>
      <c r="AA2" s="12">
        <v>3.38983050847457E-2</v>
      </c>
      <c r="AB2" s="14" t="s">
        <v>299</v>
      </c>
      <c r="AC2" s="12">
        <v>4.3348741653826302E-2</v>
      </c>
      <c r="AD2" s="12">
        <v>6.7796610169491497E-2</v>
      </c>
      <c r="AE2" s="14" t="s">
        <v>300</v>
      </c>
      <c r="AF2" s="12">
        <v>6.9647720810511404E-2</v>
      </c>
      <c r="AG2" s="12">
        <v>6.5779234383885499E-2</v>
      </c>
      <c r="AH2" s="12">
        <v>2.3265213926550999E-2</v>
      </c>
      <c r="AI2" s="12">
        <v>7.7835018168930297E-3</v>
      </c>
      <c r="AJ2" s="12">
        <v>1.16054592798778E-2</v>
      </c>
      <c r="AK2" s="12">
        <v>0.38355545818400599</v>
      </c>
      <c r="AL2" s="12">
        <v>9.55044642857142E-2</v>
      </c>
    </row>
    <row r="3" spans="1:38">
      <c r="A3" s="12" t="s">
        <v>23</v>
      </c>
      <c r="B3" s="12" t="s">
        <v>24</v>
      </c>
      <c r="C3" s="12" t="s">
        <v>18</v>
      </c>
      <c r="D3" s="12">
        <v>64</v>
      </c>
      <c r="E3" s="12">
        <v>65.67</v>
      </c>
      <c r="F3" s="12">
        <v>265</v>
      </c>
      <c r="G3" s="13">
        <f>$D3*Z3</f>
        <v>4</v>
      </c>
      <c r="H3" s="13">
        <f t="shared" si="0"/>
        <v>2</v>
      </c>
      <c r="I3" s="13">
        <f t="shared" si="0"/>
        <v>36.266727272727231</v>
      </c>
      <c r="J3" s="13">
        <f t="shared" si="0"/>
        <v>2.9818181818181761</v>
      </c>
      <c r="K3" s="13">
        <f t="shared" si="0"/>
        <v>5</v>
      </c>
      <c r="L3" s="13">
        <f t="shared" ref="L3:Q61" si="2">$F3*AE3</f>
        <v>47.6779616676762</v>
      </c>
      <c r="M3" s="13">
        <f t="shared" si="1"/>
        <v>24.072499586936146</v>
      </c>
      <c r="N3" s="13">
        <f t="shared" si="1"/>
        <v>22.105833838189131</v>
      </c>
      <c r="O3" s="13">
        <f t="shared" si="1"/>
        <v>7.3774447603187827</v>
      </c>
      <c r="P3" s="13">
        <f t="shared" si="1"/>
        <v>0.99038395588415751</v>
      </c>
      <c r="Q3" s="13">
        <f t="shared" si="1"/>
        <v>3.4389285124194413</v>
      </c>
      <c r="R3" s="13">
        <f t="shared" si="1"/>
        <v>88.914617571735221</v>
      </c>
      <c r="S3" s="13">
        <f t="shared" si="1"/>
        <v>23.406703840348793</v>
      </c>
      <c r="T3" s="12">
        <f t="shared" ref="T3:T61" si="3">R3/$E3*9</f>
        <v>12.185648822074265</v>
      </c>
      <c r="U3" s="12">
        <f t="shared" ref="U3:U61" si="4">S3/$E3*9</f>
        <v>3.2078625637755311</v>
      </c>
      <c r="V3" s="12">
        <f t="shared" ref="V3:V61" si="5">AK3-AL3</f>
        <v>0.24719967445806199</v>
      </c>
      <c r="W3" s="12">
        <f t="shared" ref="W3:W61" si="6">N3/$E3*9</f>
        <v>3.0295797859555686</v>
      </c>
      <c r="X3" s="12">
        <f t="shared" ref="X3:X61" si="7">(S3+L3)/E3</f>
        <v>1.0824526497338967</v>
      </c>
      <c r="Y3" s="12"/>
      <c r="Z3" s="12">
        <v>6.25E-2</v>
      </c>
      <c r="AA3" s="12">
        <v>3.125E-2</v>
      </c>
      <c r="AB3" s="14" t="s">
        <v>301</v>
      </c>
      <c r="AC3" s="12">
        <v>4.6590909090909002E-2</v>
      </c>
      <c r="AD3" s="12">
        <v>7.8125E-2</v>
      </c>
      <c r="AE3" s="14" t="s">
        <v>302</v>
      </c>
      <c r="AF3" s="12">
        <v>9.0839621082777905E-2</v>
      </c>
      <c r="AG3" s="12">
        <v>8.3418240898826906E-2</v>
      </c>
      <c r="AH3" s="14" t="s">
        <v>303</v>
      </c>
      <c r="AI3" s="12">
        <v>3.7372979467326698E-3</v>
      </c>
      <c r="AJ3" s="12">
        <v>1.29770887261111E-2</v>
      </c>
      <c r="AK3" s="14" t="s">
        <v>304</v>
      </c>
      <c r="AL3" s="12">
        <v>8.8327184303202994E-2</v>
      </c>
    </row>
    <row r="4" spans="1:38">
      <c r="A4" s="12" t="s">
        <v>28</v>
      </c>
      <c r="B4" s="12" t="s">
        <v>29</v>
      </c>
      <c r="C4" s="12" t="s">
        <v>18</v>
      </c>
      <c r="D4" s="12">
        <v>60</v>
      </c>
      <c r="E4" s="12">
        <v>61.67</v>
      </c>
      <c r="F4" s="12">
        <v>253</v>
      </c>
      <c r="G4" s="13">
        <f>$D4*Z4</f>
        <v>3.4999999999999978</v>
      </c>
      <c r="H4" s="13">
        <f t="shared" si="0"/>
        <v>2.499999999999996</v>
      </c>
      <c r="I4" s="13">
        <f t="shared" si="0"/>
        <v>31.385250000000003</v>
      </c>
      <c r="J4" s="13">
        <f t="shared" si="0"/>
        <v>2.9625000000000004</v>
      </c>
      <c r="K4" s="13">
        <f t="shared" si="0"/>
        <v>4.9999999999999982</v>
      </c>
      <c r="L4" s="13">
        <f t="shared" si="2"/>
        <v>44.416940339353914</v>
      </c>
      <c r="M4" s="13">
        <f t="shared" si="1"/>
        <v>20.252463054187182</v>
      </c>
      <c r="N4" s="13">
        <f t="shared" si="1"/>
        <v>18.27914614121508</v>
      </c>
      <c r="O4" s="13">
        <f t="shared" si="1"/>
        <v>4.9483794210917216</v>
      </c>
      <c r="P4" s="13">
        <f t="shared" si="1"/>
        <v>1.9828320802004922</v>
      </c>
      <c r="Q4" s="13">
        <f t="shared" si="1"/>
        <v>3.4619594964422435</v>
      </c>
      <c r="R4" s="13">
        <f t="shared" si="1"/>
        <v>76.839613300492388</v>
      </c>
      <c r="S4" s="13">
        <f t="shared" si="1"/>
        <v>24.65285227425197</v>
      </c>
      <c r="T4" s="12">
        <f t="shared" si="3"/>
        <v>11.213823896617992</v>
      </c>
      <c r="U4" s="12">
        <f t="shared" si="4"/>
        <v>3.5977893703302692</v>
      </c>
      <c r="V4" s="12">
        <f t="shared" si="5"/>
        <v>0.20627178271241273</v>
      </c>
      <c r="W4" s="12">
        <f t="shared" si="6"/>
        <v>2.6676230788217237</v>
      </c>
      <c r="X4" s="12">
        <f t="shared" si="7"/>
        <v>1.1199901510232833</v>
      </c>
      <c r="Y4" s="12"/>
      <c r="Z4" s="12">
        <v>5.83333333333333E-2</v>
      </c>
      <c r="AA4" s="12">
        <v>4.1666666666666602E-2</v>
      </c>
      <c r="AB4" s="12">
        <v>0.52308750000000004</v>
      </c>
      <c r="AC4" s="12">
        <v>4.9375000000000002E-2</v>
      </c>
      <c r="AD4" s="12">
        <v>8.3333333333333301E-2</v>
      </c>
      <c r="AE4" s="14" t="s">
        <v>305</v>
      </c>
      <c r="AF4" s="12">
        <v>8.00492610837438E-2</v>
      </c>
      <c r="AG4" s="12">
        <v>7.2249589490968699E-2</v>
      </c>
      <c r="AH4" s="14" t="s">
        <v>306</v>
      </c>
      <c r="AI4" s="12">
        <v>7.8372809494090603E-3</v>
      </c>
      <c r="AJ4" s="12">
        <v>1.36836343732895E-2</v>
      </c>
      <c r="AK4" s="14" t="s">
        <v>307</v>
      </c>
      <c r="AL4" s="12">
        <v>9.7442103850798295E-2</v>
      </c>
    </row>
    <row r="5" spans="1:38">
      <c r="A5" s="12" t="s">
        <v>33</v>
      </c>
      <c r="B5" s="12" t="s">
        <v>34</v>
      </c>
      <c r="C5" s="12" t="s">
        <v>18</v>
      </c>
      <c r="D5" s="12">
        <v>65</v>
      </c>
      <c r="E5" s="12">
        <v>66.33</v>
      </c>
      <c r="F5" s="12">
        <v>271</v>
      </c>
      <c r="G5" s="13">
        <f t="shared" ref="G5:K61" si="8">$D5*Z5</f>
        <v>3.9999999999999973</v>
      </c>
      <c r="H5" s="13">
        <f t="shared" si="0"/>
        <v>2.9999999999999964</v>
      </c>
      <c r="I5" s="13">
        <f t="shared" si="0"/>
        <v>30.945214285714236</v>
      </c>
      <c r="J5" s="13">
        <f t="shared" si="0"/>
        <v>2.9571428571428511</v>
      </c>
      <c r="K5" s="13">
        <f t="shared" si="0"/>
        <v>3.9999999999999973</v>
      </c>
      <c r="L5" s="13">
        <f t="shared" si="2"/>
        <v>53.489454405243805</v>
      </c>
      <c r="M5" s="13">
        <f t="shared" si="1"/>
        <v>22.888972431077665</v>
      </c>
      <c r="N5" s="13">
        <f t="shared" si="1"/>
        <v>20.945421245421219</v>
      </c>
      <c r="O5" s="13">
        <f t="shared" si="1"/>
        <v>4.6916098208685062</v>
      </c>
      <c r="P5" s="13">
        <f t="shared" si="1"/>
        <v>1.9759552727973735</v>
      </c>
      <c r="Q5" s="13">
        <f t="shared" si="1"/>
        <v>3.4116637748216512</v>
      </c>
      <c r="R5" s="13">
        <f t="shared" si="1"/>
        <v>75.694809716599138</v>
      </c>
      <c r="S5" s="13">
        <f t="shared" si="1"/>
        <v>20.921792624166031</v>
      </c>
      <c r="T5" s="12">
        <f t="shared" si="3"/>
        <v>10.270666175929327</v>
      </c>
      <c r="U5" s="12">
        <f t="shared" si="4"/>
        <v>2.8387778323156079</v>
      </c>
      <c r="V5" s="12">
        <f t="shared" si="5"/>
        <v>0.2021144542156203</v>
      </c>
      <c r="W5" s="12">
        <f t="shared" si="6"/>
        <v>2.8419838867600027</v>
      </c>
      <c r="X5" s="12">
        <f t="shared" si="7"/>
        <v>1.1218339669743682</v>
      </c>
      <c r="Y5" s="12"/>
      <c r="Z5" s="12">
        <v>6.15384615384615E-2</v>
      </c>
      <c r="AA5" s="12">
        <v>4.6153846153846101E-2</v>
      </c>
      <c r="AB5" s="14" t="s">
        <v>308</v>
      </c>
      <c r="AC5" s="12">
        <v>4.5494505494505399E-2</v>
      </c>
      <c r="AD5" s="12">
        <v>6.15384615384615E-2</v>
      </c>
      <c r="AE5" s="14" t="s">
        <v>309</v>
      </c>
      <c r="AF5" s="12">
        <v>8.4461152882205404E-2</v>
      </c>
      <c r="AG5" s="12">
        <v>7.7289377289377195E-2</v>
      </c>
      <c r="AH5" s="12">
        <v>1.73122133611384E-2</v>
      </c>
      <c r="AI5" s="12">
        <v>7.2913478701010096E-3</v>
      </c>
      <c r="AJ5" s="12">
        <v>1.2589165220744099E-2</v>
      </c>
      <c r="AK5" s="14" t="s">
        <v>310</v>
      </c>
      <c r="AL5" s="12">
        <v>7.7202186805040707E-2</v>
      </c>
    </row>
    <row r="6" spans="1:38">
      <c r="A6" s="12" t="s">
        <v>38</v>
      </c>
      <c r="B6" s="12" t="s">
        <v>39</v>
      </c>
      <c r="C6" s="12" t="s">
        <v>18</v>
      </c>
      <c r="D6" s="12">
        <v>67</v>
      </c>
      <c r="E6" s="12">
        <v>69</v>
      </c>
      <c r="F6" s="12">
        <v>277</v>
      </c>
      <c r="G6" s="13">
        <f t="shared" si="8"/>
        <v>3.9999999999999911</v>
      </c>
      <c r="H6" s="13">
        <f t="shared" si="0"/>
        <v>2.4999999999999938</v>
      </c>
      <c r="I6" s="13">
        <f t="shared" si="0"/>
        <v>30.207857142857076</v>
      </c>
      <c r="J6" s="13">
        <f t="shared" si="0"/>
        <v>3.5742857142857112</v>
      </c>
      <c r="K6" s="13">
        <f t="shared" si="0"/>
        <v>4.9999999999999938</v>
      </c>
      <c r="L6" s="13">
        <f t="shared" si="2"/>
        <v>51.694302895046718</v>
      </c>
      <c r="M6" s="13">
        <f t="shared" si="1"/>
        <v>22.926210402330899</v>
      </c>
      <c r="N6" s="13">
        <f t="shared" si="1"/>
        <v>21.464881284483269</v>
      </c>
      <c r="O6" s="13">
        <f t="shared" si="1"/>
        <v>5.6612215566038673</v>
      </c>
      <c r="P6" s="13">
        <f t="shared" si="1"/>
        <v>1.9760510817680033</v>
      </c>
      <c r="Q6" s="13">
        <f t="shared" si="1"/>
        <v>3.4154919099869483</v>
      </c>
      <c r="R6" s="13">
        <f t="shared" si="1"/>
        <v>87.124797991445035</v>
      </c>
      <c r="S6" s="13">
        <f t="shared" si="1"/>
        <v>21.386145366938447</v>
      </c>
      <c r="T6" s="12">
        <f t="shared" si="3"/>
        <v>11.364104085840657</v>
      </c>
      <c r="U6" s="12">
        <f t="shared" si="4"/>
        <v>2.7894972217745799</v>
      </c>
      <c r="V6" s="12">
        <f t="shared" si="5"/>
        <v>0.23732365568413932</v>
      </c>
      <c r="W6" s="12">
        <f t="shared" si="6"/>
        <v>2.7997671240630351</v>
      </c>
      <c r="X6" s="12">
        <f t="shared" si="7"/>
        <v>1.0591369313331185</v>
      </c>
      <c r="Y6" s="12"/>
      <c r="Z6" s="14" t="s">
        <v>311</v>
      </c>
      <c r="AA6" s="12">
        <v>3.7313432835820802E-2</v>
      </c>
      <c r="AB6" s="14" t="s">
        <v>312</v>
      </c>
      <c r="AC6" s="12">
        <v>5.3347547974413601E-2</v>
      </c>
      <c r="AD6" s="12">
        <v>7.4626865671641701E-2</v>
      </c>
      <c r="AE6" s="14" t="s">
        <v>313</v>
      </c>
      <c r="AF6" s="12">
        <v>8.2766102535490604E-2</v>
      </c>
      <c r="AG6" s="12">
        <v>7.74905461533692E-2</v>
      </c>
      <c r="AH6" s="12">
        <v>2.0437622948028401E-2</v>
      </c>
      <c r="AI6" s="12">
        <v>7.1337584179350299E-3</v>
      </c>
      <c r="AJ6" s="14" t="s">
        <v>314</v>
      </c>
      <c r="AK6" s="12">
        <v>0.31452995664781602</v>
      </c>
      <c r="AL6" s="12">
        <v>7.7206300963676699E-2</v>
      </c>
    </row>
    <row r="7" spans="1:38">
      <c r="A7" s="12" t="s">
        <v>45</v>
      </c>
      <c r="B7" s="12" t="s">
        <v>46</v>
      </c>
      <c r="C7" s="12" t="s">
        <v>18</v>
      </c>
      <c r="D7" s="12">
        <v>62</v>
      </c>
      <c r="E7" s="12">
        <v>63.67</v>
      </c>
      <c r="F7" s="12">
        <v>259</v>
      </c>
      <c r="G7" s="13">
        <f t="shared" si="8"/>
        <v>3.4999999999999933</v>
      </c>
      <c r="H7" s="13">
        <f t="shared" si="0"/>
        <v>2.9999999999999907</v>
      </c>
      <c r="I7" s="13">
        <f t="shared" si="0"/>
        <v>31.127815384615356</v>
      </c>
      <c r="J7" s="13">
        <f t="shared" si="0"/>
        <v>3.1815384615384557</v>
      </c>
      <c r="K7" s="13">
        <f t="shared" si="0"/>
        <v>3.9999999999999956</v>
      </c>
      <c r="L7" s="13">
        <f t="shared" si="2"/>
        <v>48.585496577553776</v>
      </c>
      <c r="M7" s="13">
        <f t="shared" si="1"/>
        <v>24.540832579964686</v>
      </c>
      <c r="N7" s="13">
        <f t="shared" si="1"/>
        <v>22.578457962030207</v>
      </c>
      <c r="O7" s="13">
        <f t="shared" si="1"/>
        <v>6.8734166230505771</v>
      </c>
      <c r="P7" s="13">
        <f t="shared" si="1"/>
        <v>1.9819694630296687</v>
      </c>
      <c r="Q7" s="13">
        <f t="shared" si="1"/>
        <v>2.9435619269016926</v>
      </c>
      <c r="R7" s="13">
        <f t="shared" si="1"/>
        <v>75.610395970553796</v>
      </c>
      <c r="S7" s="13">
        <f t="shared" si="1"/>
        <v>21.991029863985776</v>
      </c>
      <c r="T7" s="12">
        <f t="shared" si="3"/>
        <v>10.68782101044423</v>
      </c>
      <c r="U7" s="12">
        <f t="shared" si="4"/>
        <v>3.1085168647066435</v>
      </c>
      <c r="V7" s="12">
        <f t="shared" si="5"/>
        <v>0.20702457956203868</v>
      </c>
      <c r="W7" s="12">
        <f t="shared" si="6"/>
        <v>3.1915520913816846</v>
      </c>
      <c r="X7" s="12">
        <f t="shared" si="7"/>
        <v>1.1084737936475508</v>
      </c>
      <c r="Y7" s="12"/>
      <c r="Z7" s="12">
        <v>5.6451612903225701E-2</v>
      </c>
      <c r="AA7" s="12">
        <v>4.8387096774193401E-2</v>
      </c>
      <c r="AB7" s="14" t="s">
        <v>315</v>
      </c>
      <c r="AC7" s="14" t="s">
        <v>316</v>
      </c>
      <c r="AD7" s="12">
        <v>6.4516129032257993E-2</v>
      </c>
      <c r="AE7" s="14" t="s">
        <v>317</v>
      </c>
      <c r="AF7" s="12">
        <v>9.4752249343492995E-2</v>
      </c>
      <c r="AG7" s="12">
        <v>8.7175513366911997E-2</v>
      </c>
      <c r="AH7" s="14" t="s">
        <v>318</v>
      </c>
      <c r="AI7" s="12">
        <v>7.6523917491492996E-3</v>
      </c>
      <c r="AJ7" s="12">
        <v>1.1365103964871399E-2</v>
      </c>
      <c r="AK7" s="14" t="s">
        <v>319</v>
      </c>
      <c r="AL7" s="12">
        <v>8.4907451212300297E-2</v>
      </c>
    </row>
    <row r="8" spans="1:38">
      <c r="A8" s="12" t="s">
        <v>50</v>
      </c>
      <c r="B8" s="12" t="s">
        <v>51</v>
      </c>
      <c r="C8" s="12" t="s">
        <v>18</v>
      </c>
      <c r="D8" s="12">
        <v>57</v>
      </c>
      <c r="E8" s="12">
        <v>57.33</v>
      </c>
      <c r="F8" s="12">
        <v>234</v>
      </c>
      <c r="G8" s="13">
        <f t="shared" si="8"/>
        <v>3.4999999999999929</v>
      </c>
      <c r="H8" s="13">
        <f t="shared" si="0"/>
        <v>2.4999999999999991</v>
      </c>
      <c r="I8" s="13">
        <f t="shared" si="0"/>
        <v>29.470499999999962</v>
      </c>
      <c r="J8" s="13">
        <f t="shared" si="0"/>
        <v>2.5677419354838666</v>
      </c>
      <c r="K8" s="13">
        <f t="shared" si="0"/>
        <v>3.9999999999999982</v>
      </c>
      <c r="L8" s="13">
        <f t="shared" si="2"/>
        <v>39.229411764705787</v>
      </c>
      <c r="M8" s="13">
        <f t="shared" si="1"/>
        <v>20.388970588235278</v>
      </c>
      <c r="N8" s="13">
        <f t="shared" si="1"/>
        <v>18.955147058823528</v>
      </c>
      <c r="O8" s="13">
        <f t="shared" si="1"/>
        <v>5.2227304307549742</v>
      </c>
      <c r="P8" s="13">
        <f t="shared" si="1"/>
        <v>0.9753124999999867</v>
      </c>
      <c r="Q8" s="13">
        <f t="shared" si="1"/>
        <v>2.3514705882352853</v>
      </c>
      <c r="R8" s="13">
        <f t="shared" si="1"/>
        <v>77.864704411764578</v>
      </c>
      <c r="S8" s="13">
        <f t="shared" si="1"/>
        <v>25.70210912459455</v>
      </c>
      <c r="T8" s="12">
        <f t="shared" si="3"/>
        <v>12.223658463385334</v>
      </c>
      <c r="U8" s="12">
        <f t="shared" si="4"/>
        <v>4.0348679944418446</v>
      </c>
      <c r="V8" s="12">
        <f t="shared" si="5"/>
        <v>0.22291707387679499</v>
      </c>
      <c r="W8" s="12">
        <f t="shared" si="6"/>
        <v>2.975690276110444</v>
      </c>
      <c r="X8" s="12">
        <f t="shared" si="7"/>
        <v>1.1325923755328859</v>
      </c>
      <c r="Y8" s="12"/>
      <c r="Z8" s="12">
        <v>6.1403508771929703E-2</v>
      </c>
      <c r="AA8" s="12">
        <v>4.3859649122807001E-2</v>
      </c>
      <c r="AB8" s="14" t="s">
        <v>320</v>
      </c>
      <c r="AC8" s="12">
        <v>4.5048104131295903E-2</v>
      </c>
      <c r="AD8" s="12">
        <v>7.0175438596491196E-2</v>
      </c>
      <c r="AE8" s="14" t="s">
        <v>321</v>
      </c>
      <c r="AF8" s="12">
        <v>8.7132352941176397E-2</v>
      </c>
      <c r="AG8" s="12">
        <v>8.1004901960784303E-2</v>
      </c>
      <c r="AH8" s="14" t="s">
        <v>322</v>
      </c>
      <c r="AI8" s="12">
        <v>4.1680021367520798E-3</v>
      </c>
      <c r="AJ8" s="12">
        <v>1.00490196078431E-2</v>
      </c>
      <c r="AK8" s="14" t="s">
        <v>323</v>
      </c>
      <c r="AL8" s="14" t="s">
        <v>324</v>
      </c>
    </row>
    <row r="9" spans="1:38">
      <c r="A9" s="12" t="s">
        <v>58</v>
      </c>
      <c r="B9" s="12" t="s">
        <v>59</v>
      </c>
      <c r="C9" s="12" t="s">
        <v>18</v>
      </c>
      <c r="D9" s="12">
        <v>64</v>
      </c>
      <c r="E9" s="12">
        <v>64.33</v>
      </c>
      <c r="F9" s="12">
        <v>263</v>
      </c>
      <c r="G9" s="13">
        <f t="shared" si="8"/>
        <v>4</v>
      </c>
      <c r="H9" s="13">
        <f t="shared" si="0"/>
        <v>3</v>
      </c>
      <c r="I9" s="13">
        <f t="shared" si="0"/>
        <v>30.635999999999999</v>
      </c>
      <c r="J9" s="13">
        <f t="shared" si="0"/>
        <v>4.2</v>
      </c>
      <c r="K9" s="13">
        <f t="shared" si="0"/>
        <v>4</v>
      </c>
      <c r="L9" s="13">
        <f t="shared" si="2"/>
        <v>45.412292956934905</v>
      </c>
      <c r="M9" s="13">
        <f t="shared" si="1"/>
        <v>22.449510298141981</v>
      </c>
      <c r="N9" s="13">
        <f t="shared" si="1"/>
        <v>20.453240674060186</v>
      </c>
      <c r="O9" s="13">
        <f t="shared" si="1"/>
        <v>6.0074845335271352</v>
      </c>
      <c r="P9" s="13">
        <f t="shared" si="1"/>
        <v>0.99548020995884112</v>
      </c>
      <c r="Q9" s="13">
        <f t="shared" si="1"/>
        <v>2.9944044361227076</v>
      </c>
      <c r="R9" s="13">
        <f t="shared" si="1"/>
        <v>83.478653924816172</v>
      </c>
      <c r="S9" s="13">
        <f t="shared" si="1"/>
        <v>26.876424285460608</v>
      </c>
      <c r="T9" s="12">
        <f t="shared" si="3"/>
        <v>11.678966039535918</v>
      </c>
      <c r="U9" s="12">
        <f t="shared" si="4"/>
        <v>3.7601091025827058</v>
      </c>
      <c r="V9" s="12">
        <f t="shared" si="5"/>
        <v>0.21521760319146599</v>
      </c>
      <c r="W9" s="12">
        <f t="shared" si="6"/>
        <v>2.8614824509022494</v>
      </c>
      <c r="X9" s="12">
        <f t="shared" si="7"/>
        <v>1.1237170409201851</v>
      </c>
      <c r="Y9" s="12"/>
      <c r="Z9" s="12">
        <v>6.25E-2</v>
      </c>
      <c r="AA9" s="12">
        <v>4.6875E-2</v>
      </c>
      <c r="AB9" s="14" t="s">
        <v>325</v>
      </c>
      <c r="AC9" s="12">
        <v>6.5625000000000003E-2</v>
      </c>
      <c r="AD9" s="12">
        <v>6.25E-2</v>
      </c>
      <c r="AE9" s="14" t="s">
        <v>326</v>
      </c>
      <c r="AF9" s="12">
        <v>8.5359354745787E-2</v>
      </c>
      <c r="AG9" s="12">
        <v>7.7768975946996902E-2</v>
      </c>
      <c r="AH9" s="12">
        <v>2.28421465153123E-2</v>
      </c>
      <c r="AI9" s="12">
        <v>3.7850958553568102E-3</v>
      </c>
      <c r="AJ9" s="12">
        <v>1.13855681981852E-2</v>
      </c>
      <c r="AK9" s="14" t="s">
        <v>327</v>
      </c>
      <c r="AL9" s="14" t="s">
        <v>328</v>
      </c>
    </row>
    <row r="10" spans="1:38">
      <c r="A10" s="12" t="s">
        <v>65</v>
      </c>
      <c r="B10" s="12" t="s">
        <v>66</v>
      </c>
      <c r="C10" s="12" t="s">
        <v>18</v>
      </c>
      <c r="D10" s="12">
        <v>53</v>
      </c>
      <c r="E10" s="12">
        <v>56</v>
      </c>
      <c r="F10" s="12">
        <v>225</v>
      </c>
      <c r="G10" s="13">
        <f t="shared" si="8"/>
        <v>3.4999999999999947</v>
      </c>
      <c r="H10" s="13">
        <f t="shared" si="0"/>
        <v>2.4999999999999938</v>
      </c>
      <c r="I10" s="13">
        <f t="shared" si="0"/>
        <v>27.603681818181787</v>
      </c>
      <c r="J10" s="13">
        <f t="shared" si="0"/>
        <v>1.9212121212121169</v>
      </c>
      <c r="K10" s="13">
        <f t="shared" si="0"/>
        <v>2.9999999999999969</v>
      </c>
      <c r="L10" s="13">
        <f t="shared" si="2"/>
        <v>38.120062803591381</v>
      </c>
      <c r="M10" s="13">
        <f t="shared" si="1"/>
        <v>21.41148618811636</v>
      </c>
      <c r="N10" s="13">
        <f t="shared" si="1"/>
        <v>19.586256807811186</v>
      </c>
      <c r="O10" s="13">
        <f t="shared" si="1"/>
        <v>7.3214242072548075</v>
      </c>
      <c r="P10" s="13">
        <f t="shared" si="1"/>
        <v>0.96081148584410836</v>
      </c>
      <c r="Q10" s="13">
        <f t="shared" si="1"/>
        <v>2.7378440704577698</v>
      </c>
      <c r="R10" s="13">
        <f t="shared" si="1"/>
        <v>75.756740248270347</v>
      </c>
      <c r="S10" s="13">
        <f t="shared" si="1"/>
        <v>21.433665142905951</v>
      </c>
      <c r="T10" s="12">
        <f t="shared" si="3"/>
        <v>12.175190397043448</v>
      </c>
      <c r="U10" s="12">
        <f t="shared" si="4"/>
        <v>3.4446961836813133</v>
      </c>
      <c r="V10" s="12">
        <f t="shared" si="5"/>
        <v>0.24143588935717508</v>
      </c>
      <c r="W10" s="12">
        <f t="shared" si="6"/>
        <v>3.1477912726839405</v>
      </c>
      <c r="X10" s="12">
        <f t="shared" si="7"/>
        <v>1.0634594276160239</v>
      </c>
      <c r="Y10" s="12"/>
      <c r="Z10" s="12">
        <v>6.6037735849056506E-2</v>
      </c>
      <c r="AA10" s="12">
        <v>4.7169811320754602E-2</v>
      </c>
      <c r="AB10" s="14" t="s">
        <v>329</v>
      </c>
      <c r="AC10" s="12">
        <v>3.6249285305889001E-2</v>
      </c>
      <c r="AD10" s="12">
        <v>5.6603773584905599E-2</v>
      </c>
      <c r="AE10" s="14" t="s">
        <v>330</v>
      </c>
      <c r="AF10" s="12">
        <v>9.5162160836072707E-2</v>
      </c>
      <c r="AG10" s="12">
        <v>8.7050030256938596E-2</v>
      </c>
      <c r="AH10" s="12">
        <v>3.25396631433547E-2</v>
      </c>
      <c r="AI10" s="12">
        <v>4.2702732704182596E-3</v>
      </c>
      <c r="AJ10" s="14" t="s">
        <v>331</v>
      </c>
      <c r="AK10" s="14" t="s">
        <v>332</v>
      </c>
      <c r="AL10" s="12">
        <v>9.5260733968470901E-2</v>
      </c>
    </row>
    <row r="11" spans="1:38">
      <c r="A11" s="12" t="s">
        <v>70</v>
      </c>
      <c r="B11" s="12" t="s">
        <v>71</v>
      </c>
      <c r="C11" s="12" t="s">
        <v>18</v>
      </c>
      <c r="D11" s="12">
        <v>62</v>
      </c>
      <c r="E11" s="12">
        <v>63.67</v>
      </c>
      <c r="F11" s="12">
        <v>260</v>
      </c>
      <c r="G11" s="13">
        <f t="shared" si="8"/>
        <v>2.9999999999999907</v>
      </c>
      <c r="H11" s="13">
        <f t="shared" si="0"/>
        <v>2.4999999999999942</v>
      </c>
      <c r="I11" s="13">
        <f t="shared" si="0"/>
        <v>25.449272727272707</v>
      </c>
      <c r="J11" s="13">
        <f t="shared" si="0"/>
        <v>3.9515151515151472</v>
      </c>
      <c r="K11" s="13">
        <f t="shared" si="0"/>
        <v>3.9999999999999956</v>
      </c>
      <c r="L11" s="13">
        <f t="shared" si="2"/>
        <v>55.906359189377838</v>
      </c>
      <c r="M11" s="13">
        <f t="shared" si="1"/>
        <v>28.679944095038341</v>
      </c>
      <c r="N11" s="13">
        <f t="shared" si="1"/>
        <v>26.735849056603698</v>
      </c>
      <c r="O11" s="13">
        <f t="shared" si="1"/>
        <v>8.0943396226414794</v>
      </c>
      <c r="P11" s="13">
        <f t="shared" si="1"/>
        <v>1.1711512168443958</v>
      </c>
      <c r="Q11" s="13">
        <f t="shared" si="1"/>
        <v>2.4255765199161341</v>
      </c>
      <c r="R11" s="13">
        <f t="shared" si="1"/>
        <v>66.32727044025134</v>
      </c>
      <c r="S11" s="13">
        <f t="shared" si="1"/>
        <v>17.412805031446528</v>
      </c>
      <c r="T11" s="12">
        <f t="shared" si="3"/>
        <v>9.3756154226835573</v>
      </c>
      <c r="U11" s="12">
        <f t="shared" si="4"/>
        <v>2.4613671318206176</v>
      </c>
      <c r="V11" s="12">
        <f t="shared" si="5"/>
        <v>0.1881325592646339</v>
      </c>
      <c r="W11" s="12">
        <f t="shared" si="6"/>
        <v>3.7792153527474994</v>
      </c>
      <c r="X11" s="12">
        <f t="shared" si="7"/>
        <v>1.1515496186716563</v>
      </c>
      <c r="Y11" s="12"/>
      <c r="Z11" s="12">
        <v>4.8387096774193401E-2</v>
      </c>
      <c r="AA11" s="12">
        <v>4.0322580645161199E-2</v>
      </c>
      <c r="AB11" s="14" t="s">
        <v>333</v>
      </c>
      <c r="AC11" s="12">
        <v>6.3734115347018505E-2</v>
      </c>
      <c r="AD11" s="12">
        <v>6.4516129032257993E-2</v>
      </c>
      <c r="AE11" s="14" t="s">
        <v>334</v>
      </c>
      <c r="AF11" s="14" t="s">
        <v>335</v>
      </c>
      <c r="AG11" s="14" t="s">
        <v>336</v>
      </c>
      <c r="AH11" s="14" t="s">
        <v>337</v>
      </c>
      <c r="AI11" s="12">
        <v>4.5044277570938304E-3</v>
      </c>
      <c r="AJ11" s="12">
        <v>9.3291404612159002E-3</v>
      </c>
      <c r="AK11" s="14" t="s">
        <v>338</v>
      </c>
      <c r="AL11" s="12">
        <v>6.6972327044025101E-2</v>
      </c>
    </row>
    <row r="12" spans="1:38">
      <c r="A12" s="12" t="s">
        <v>77</v>
      </c>
      <c r="B12" s="12" t="s">
        <v>78</v>
      </c>
      <c r="C12" s="12" t="s">
        <v>18</v>
      </c>
      <c r="D12" s="12">
        <v>63</v>
      </c>
      <c r="E12" s="12">
        <v>64.67</v>
      </c>
      <c r="F12" s="12">
        <v>273</v>
      </c>
      <c r="G12" s="13">
        <f t="shared" si="8"/>
        <v>3.4999999999999964</v>
      </c>
      <c r="H12" s="13">
        <f t="shared" si="0"/>
        <v>2.9999999999999925</v>
      </c>
      <c r="I12" s="13">
        <f t="shared" si="0"/>
        <v>31.317369230769174</v>
      </c>
      <c r="J12" s="13">
        <f t="shared" si="0"/>
        <v>1.9876923076923043</v>
      </c>
      <c r="K12" s="13">
        <f t="shared" si="0"/>
        <v>4.9999999999999964</v>
      </c>
      <c r="L12" s="13">
        <f t="shared" si="2"/>
        <v>61.442446043165184</v>
      </c>
      <c r="M12" s="13">
        <f t="shared" si="1"/>
        <v>35.194244604316431</v>
      </c>
      <c r="N12" s="13">
        <f t="shared" si="1"/>
        <v>32.712230215827162</v>
      </c>
      <c r="O12" s="13">
        <f t="shared" si="1"/>
        <v>8.85590685346458</v>
      </c>
      <c r="P12" s="13">
        <f t="shared" si="1"/>
        <v>2.4778207327376358</v>
      </c>
      <c r="Q12" s="13">
        <f t="shared" si="1"/>
        <v>2.9730215827337845</v>
      </c>
      <c r="R12" s="13">
        <f t="shared" si="1"/>
        <v>56.268615107913391</v>
      </c>
      <c r="S12" s="13">
        <f t="shared" si="1"/>
        <v>23.844552631578942</v>
      </c>
      <c r="T12" s="12">
        <f t="shared" si="3"/>
        <v>7.8307953606188416</v>
      </c>
      <c r="U12" s="12">
        <f t="shared" si="4"/>
        <v>3.3184007064204497</v>
      </c>
      <c r="V12" s="12">
        <f t="shared" si="5"/>
        <v>0.11876945962027269</v>
      </c>
      <c r="W12" s="12">
        <f t="shared" si="6"/>
        <v>4.5524984064086045</v>
      </c>
      <c r="X12" s="12">
        <f t="shared" si="7"/>
        <v>1.3188031339839821</v>
      </c>
      <c r="Y12" s="12"/>
      <c r="Z12" s="14" t="s">
        <v>339</v>
      </c>
      <c r="AA12" s="14" t="s">
        <v>340</v>
      </c>
      <c r="AB12" s="14" t="s">
        <v>341</v>
      </c>
      <c r="AC12" s="14" t="s">
        <v>342</v>
      </c>
      <c r="AD12" s="12">
        <v>7.9365079365079305E-2</v>
      </c>
      <c r="AE12" s="14" t="s">
        <v>343</v>
      </c>
      <c r="AF12" s="14" t="s">
        <v>344</v>
      </c>
      <c r="AG12" s="14" t="s">
        <v>345</v>
      </c>
      <c r="AH12" s="12">
        <v>3.243921924346E-2</v>
      </c>
      <c r="AI12" s="12">
        <v>9.0762664202843797E-3</v>
      </c>
      <c r="AJ12" s="12">
        <v>1.0890188947742799E-2</v>
      </c>
      <c r="AK12" s="14" t="s">
        <v>346</v>
      </c>
      <c r="AL12" s="12">
        <v>8.7342683632157303E-2</v>
      </c>
    </row>
    <row r="13" spans="1:38">
      <c r="A13" s="12" t="s">
        <v>81</v>
      </c>
      <c r="B13" s="12" t="s">
        <v>82</v>
      </c>
      <c r="C13" s="12" t="s">
        <v>18</v>
      </c>
      <c r="D13" s="12">
        <v>61</v>
      </c>
      <c r="E13" s="12">
        <v>63.33</v>
      </c>
      <c r="F13" s="12">
        <v>264</v>
      </c>
      <c r="G13" s="13">
        <f t="shared" si="8"/>
        <v>3.499999999999996</v>
      </c>
      <c r="H13" s="13">
        <f t="shared" si="0"/>
        <v>2.9999999999999964</v>
      </c>
      <c r="I13" s="13">
        <f t="shared" si="0"/>
        <v>27.248765624999994</v>
      </c>
      <c r="J13" s="13">
        <f t="shared" si="0"/>
        <v>3.3624999999999918</v>
      </c>
      <c r="K13" s="13">
        <f t="shared" si="0"/>
        <v>6.9999999999999556</v>
      </c>
      <c r="L13" s="13">
        <f t="shared" si="2"/>
        <v>51.112781954886962</v>
      </c>
      <c r="M13" s="13">
        <f t="shared" si="1"/>
        <v>26.796992481202945</v>
      </c>
      <c r="N13" s="13">
        <f t="shared" si="1"/>
        <v>24.812030075187963</v>
      </c>
      <c r="O13" s="13">
        <f t="shared" si="1"/>
        <v>7.4541353383458464</v>
      </c>
      <c r="P13" s="13">
        <f t="shared" si="1"/>
        <v>1.693249978879771</v>
      </c>
      <c r="Q13" s="13">
        <f t="shared" si="1"/>
        <v>2.4812030075187961</v>
      </c>
      <c r="R13" s="13">
        <f t="shared" si="1"/>
        <v>70.242969924811987</v>
      </c>
      <c r="S13" s="13">
        <f t="shared" si="1"/>
        <v>23.52031578947366</v>
      </c>
      <c r="T13" s="12">
        <f t="shared" si="3"/>
        <v>9.9824211167425858</v>
      </c>
      <c r="U13" s="12">
        <f t="shared" si="4"/>
        <v>3.3425365877982465</v>
      </c>
      <c r="V13" s="12">
        <f t="shared" si="5"/>
        <v>0.1769797505126452</v>
      </c>
      <c r="W13" s="12">
        <f t="shared" si="6"/>
        <v>3.5261056478239645</v>
      </c>
      <c r="X13" s="12">
        <f t="shared" si="7"/>
        <v>1.1784793580350643</v>
      </c>
      <c r="Y13" s="12"/>
      <c r="Z13" s="12">
        <v>5.7377049180327801E-2</v>
      </c>
      <c r="AA13" s="12">
        <v>4.9180327868852403E-2</v>
      </c>
      <c r="AB13" s="14" t="s">
        <v>347</v>
      </c>
      <c r="AC13" s="14" t="s">
        <v>348</v>
      </c>
      <c r="AD13" s="14" t="s">
        <v>84</v>
      </c>
      <c r="AE13" s="14" t="s">
        <v>349</v>
      </c>
      <c r="AF13" s="14" t="s">
        <v>350</v>
      </c>
      <c r="AG13" s="12">
        <v>9.3984962406015005E-2</v>
      </c>
      <c r="AH13" s="12">
        <v>2.8235361130097902E-2</v>
      </c>
      <c r="AI13" s="12">
        <v>6.41382567757489E-3</v>
      </c>
      <c r="AJ13" s="12">
        <v>9.3984962406014998E-3</v>
      </c>
      <c r="AK13" s="14" t="s">
        <v>351</v>
      </c>
      <c r="AL13" s="12">
        <v>8.9092105263157806E-2</v>
      </c>
    </row>
    <row r="14" spans="1:38">
      <c r="A14" s="12" t="s">
        <v>87</v>
      </c>
      <c r="B14" s="12" t="s">
        <v>88</v>
      </c>
      <c r="C14" s="12" t="s">
        <v>18</v>
      </c>
      <c r="D14" s="12">
        <v>61</v>
      </c>
      <c r="E14" s="12">
        <v>62</v>
      </c>
      <c r="F14" s="12">
        <v>256</v>
      </c>
      <c r="G14" s="13">
        <f t="shared" si="8"/>
        <v>3.499999999999996</v>
      </c>
      <c r="H14" s="13">
        <f t="shared" si="0"/>
        <v>2.9999999999999964</v>
      </c>
      <c r="I14" s="13">
        <f t="shared" si="0"/>
        <v>25.699142857142807</v>
      </c>
      <c r="J14" s="13">
        <f t="shared" si="0"/>
        <v>3.9746031746031676</v>
      </c>
      <c r="K14" s="13">
        <f t="shared" si="0"/>
        <v>3.9999999999999951</v>
      </c>
      <c r="L14" s="13">
        <f t="shared" si="2"/>
        <v>49.62499263188915</v>
      </c>
      <c r="M14" s="13">
        <f t="shared" si="1"/>
        <v>27.512643678160895</v>
      </c>
      <c r="N14" s="13">
        <f t="shared" si="1"/>
        <v>25.547185381668122</v>
      </c>
      <c r="O14" s="13">
        <f t="shared" si="1"/>
        <v>8.0752597302067208</v>
      </c>
      <c r="P14" s="13">
        <f t="shared" si="1"/>
        <v>1.1850925682196991</v>
      </c>
      <c r="Q14" s="13">
        <f t="shared" si="1"/>
        <v>2.948187444739149</v>
      </c>
      <c r="R14" s="13">
        <f t="shared" si="1"/>
        <v>72.421581962864636</v>
      </c>
      <c r="S14" s="13">
        <f t="shared" si="1"/>
        <v>23.400234591867264</v>
      </c>
      <c r="T14" s="12">
        <f t="shared" si="3"/>
        <v>10.512810284931962</v>
      </c>
      <c r="U14" s="12">
        <f t="shared" si="4"/>
        <v>3.396808247206538</v>
      </c>
      <c r="V14" s="12">
        <f t="shared" si="5"/>
        <v>0.1914896381679585</v>
      </c>
      <c r="W14" s="12">
        <f t="shared" si="6"/>
        <v>3.7084623941131145</v>
      </c>
      <c r="X14" s="12">
        <f t="shared" si="7"/>
        <v>1.1778262455444584</v>
      </c>
      <c r="Y14" s="12"/>
      <c r="Z14" s="12">
        <v>5.7377049180327801E-2</v>
      </c>
      <c r="AA14" s="12">
        <v>4.9180327868852403E-2</v>
      </c>
      <c r="AB14" s="14" t="s">
        <v>352</v>
      </c>
      <c r="AC14" s="12">
        <v>6.5157429091855207E-2</v>
      </c>
      <c r="AD14" s="12">
        <v>6.5573770491803199E-2</v>
      </c>
      <c r="AE14" s="14" t="s">
        <v>353</v>
      </c>
      <c r="AF14" s="14" t="s">
        <v>354</v>
      </c>
      <c r="AG14" s="12">
        <v>9.9793692897141101E-2</v>
      </c>
      <c r="AH14" s="12">
        <v>3.1543983321120003E-2</v>
      </c>
      <c r="AI14" s="12">
        <v>4.6292678446081996E-3</v>
      </c>
      <c r="AJ14" s="12">
        <v>1.1516357206012301E-2</v>
      </c>
      <c r="AK14" s="14" t="s">
        <v>355</v>
      </c>
      <c r="AL14" s="12">
        <v>9.1407166374481499E-2</v>
      </c>
    </row>
    <row r="15" spans="1:38">
      <c r="A15" s="12" t="s">
        <v>95</v>
      </c>
      <c r="B15" s="12" t="s">
        <v>96</v>
      </c>
      <c r="C15" s="12" t="s">
        <v>18</v>
      </c>
      <c r="D15" s="12">
        <v>55</v>
      </c>
      <c r="E15" s="12">
        <v>56</v>
      </c>
      <c r="F15" s="12">
        <v>233</v>
      </c>
      <c r="G15" s="13">
        <f t="shared" si="8"/>
        <v>2.999999999999992</v>
      </c>
      <c r="H15" s="13">
        <f t="shared" si="0"/>
        <v>2.4999999999999969</v>
      </c>
      <c r="I15" s="13">
        <f t="shared" si="0"/>
        <v>21.672750000000001</v>
      </c>
      <c r="J15" s="13">
        <f t="shared" si="0"/>
        <v>3.3333333333333273</v>
      </c>
      <c r="K15" s="13">
        <f t="shared" si="0"/>
        <v>2.9999999999999978</v>
      </c>
      <c r="L15" s="13">
        <f t="shared" si="2"/>
        <v>45.799999999999955</v>
      </c>
      <c r="M15" s="13">
        <f t="shared" si="1"/>
        <v>26.513999999999996</v>
      </c>
      <c r="N15" s="13">
        <f t="shared" si="1"/>
        <v>24.115999999999818</v>
      </c>
      <c r="O15" s="13">
        <f t="shared" si="1"/>
        <v>8.2143757085020059</v>
      </c>
      <c r="P15" s="13">
        <f t="shared" si="1"/>
        <v>1.1669291338582575</v>
      </c>
      <c r="Q15" s="13">
        <f t="shared" si="1"/>
        <v>2.3979999999999695</v>
      </c>
      <c r="R15" s="13">
        <f t="shared" si="1"/>
        <v>56.56071599999995</v>
      </c>
      <c r="S15" s="13">
        <f t="shared" si="1"/>
        <v>20.562655627530351</v>
      </c>
      <c r="T15" s="12">
        <f t="shared" si="3"/>
        <v>9.0901150714285635</v>
      </c>
      <c r="U15" s="12">
        <f t="shared" si="4"/>
        <v>3.3047125115673777</v>
      </c>
      <c r="V15" s="12">
        <f t="shared" si="5"/>
        <v>0.15449811318656481</v>
      </c>
      <c r="W15" s="12">
        <f t="shared" si="6"/>
        <v>3.8757857142856849</v>
      </c>
      <c r="X15" s="12">
        <f t="shared" si="7"/>
        <v>1.1850474219201839</v>
      </c>
      <c r="Y15" s="12"/>
      <c r="Z15" s="14" t="s">
        <v>356</v>
      </c>
      <c r="AA15" s="12">
        <v>4.54545454545454E-2</v>
      </c>
      <c r="AB15" s="12">
        <v>0.39405000000000001</v>
      </c>
      <c r="AC15" s="14" t="s">
        <v>357</v>
      </c>
      <c r="AD15" s="12">
        <v>5.4545454545454501E-2</v>
      </c>
      <c r="AE15" s="14" t="s">
        <v>358</v>
      </c>
      <c r="AF15" s="12">
        <v>0.113793991416309</v>
      </c>
      <c r="AG15" s="14" t="s">
        <v>359</v>
      </c>
      <c r="AH15" s="12">
        <v>3.5254831366961399E-2</v>
      </c>
      <c r="AI15" s="12">
        <v>5.0082795444560402E-3</v>
      </c>
      <c r="AJ15" s="14" t="s">
        <v>360</v>
      </c>
      <c r="AK15" s="14" t="s">
        <v>361</v>
      </c>
      <c r="AL15" s="12">
        <v>8.8251740890688199E-2</v>
      </c>
    </row>
    <row r="16" spans="1:38">
      <c r="A16" s="12" t="s">
        <v>103</v>
      </c>
      <c r="B16" s="12" t="s">
        <v>104</v>
      </c>
      <c r="C16" s="12" t="s">
        <v>18</v>
      </c>
      <c r="D16" s="12">
        <v>61</v>
      </c>
      <c r="E16" s="12">
        <v>64</v>
      </c>
      <c r="F16" s="12">
        <v>263</v>
      </c>
      <c r="G16" s="13">
        <f t="shared" si="8"/>
        <v>3.499999999999996</v>
      </c>
      <c r="H16" s="13">
        <f t="shared" si="0"/>
        <v>2.4999999999999969</v>
      </c>
      <c r="I16" s="13">
        <f t="shared" si="0"/>
        <v>16.705499999999944</v>
      </c>
      <c r="J16" s="13">
        <f t="shared" si="0"/>
        <v>7.6636363636363525</v>
      </c>
      <c r="K16" s="13">
        <f t="shared" si="0"/>
        <v>5.9999999999999991</v>
      </c>
      <c r="L16" s="13">
        <f t="shared" si="2"/>
        <v>50.113554637183313</v>
      </c>
      <c r="M16" s="13">
        <f t="shared" si="1"/>
        <v>26.508909403177135</v>
      </c>
      <c r="N16" s="13">
        <f t="shared" si="1"/>
        <v>24.582143623872884</v>
      </c>
      <c r="O16" s="13">
        <f t="shared" si="1"/>
        <v>7.7057054627424826</v>
      </c>
      <c r="P16" s="13">
        <f t="shared" si="1"/>
        <v>1.9654950441714953</v>
      </c>
      <c r="Q16" s="13">
        <f t="shared" si="1"/>
        <v>2.8901486689565901</v>
      </c>
      <c r="R16" s="13">
        <f t="shared" si="1"/>
        <v>76.960639437526709</v>
      </c>
      <c r="S16" s="13">
        <f t="shared" si="1"/>
        <v>23.306358433974751</v>
      </c>
      <c r="T16" s="12">
        <f t="shared" si="3"/>
        <v>10.822589920902193</v>
      </c>
      <c r="U16" s="12">
        <f t="shared" si="4"/>
        <v>3.2774566547776995</v>
      </c>
      <c r="V16" s="12">
        <f t="shared" si="5"/>
        <v>0.20400867301730782</v>
      </c>
      <c r="W16" s="12">
        <f t="shared" si="6"/>
        <v>3.4568639471071245</v>
      </c>
      <c r="X16" s="12">
        <f t="shared" si="7"/>
        <v>1.1471861417368447</v>
      </c>
      <c r="Y16" s="12"/>
      <c r="Z16" s="12">
        <v>5.7377049180327801E-2</v>
      </c>
      <c r="AA16" s="12">
        <v>4.0983606557376998E-2</v>
      </c>
      <c r="AB16" s="14" t="s">
        <v>362</v>
      </c>
      <c r="AC16" s="14" t="s">
        <v>363</v>
      </c>
      <c r="AD16" s="12">
        <v>9.8360655737704902E-2</v>
      </c>
      <c r="AE16" s="14" t="s">
        <v>364</v>
      </c>
      <c r="AF16" s="14" t="s">
        <v>365</v>
      </c>
      <c r="AG16" s="12">
        <v>9.3468226706741001E-2</v>
      </c>
      <c r="AH16" s="12">
        <v>2.92992603146102E-2</v>
      </c>
      <c r="AI16" s="12">
        <v>7.4733651869638602E-3</v>
      </c>
      <c r="AJ16" s="14" t="s">
        <v>366</v>
      </c>
      <c r="AK16" s="14" t="s">
        <v>367</v>
      </c>
      <c r="AL16" s="12">
        <v>8.8617332448573199E-2</v>
      </c>
    </row>
    <row r="17" spans="1:38">
      <c r="A17" s="12" t="s">
        <v>110</v>
      </c>
      <c r="B17" s="12" t="s">
        <v>111</v>
      </c>
      <c r="C17" s="12" t="s">
        <v>18</v>
      </c>
      <c r="D17" s="12">
        <v>63</v>
      </c>
      <c r="E17" s="12">
        <v>65</v>
      </c>
      <c r="F17" s="12">
        <v>267</v>
      </c>
      <c r="G17" s="13">
        <f t="shared" si="8"/>
        <v>2.9999999999999991</v>
      </c>
      <c r="H17" s="13">
        <f t="shared" si="0"/>
        <v>2.4999999999999947</v>
      </c>
      <c r="I17" s="13">
        <f t="shared" si="0"/>
        <v>25.898318181818144</v>
      </c>
      <c r="J17" s="13">
        <f t="shared" si="0"/>
        <v>3.9636363636363563</v>
      </c>
      <c r="K17" s="13">
        <f t="shared" si="0"/>
        <v>4.9999999999999964</v>
      </c>
      <c r="L17" s="13">
        <f t="shared" si="2"/>
        <v>53.594150206207722</v>
      </c>
      <c r="M17" s="13">
        <f t="shared" si="1"/>
        <v>30.975288962448339</v>
      </c>
      <c r="N17" s="13">
        <f t="shared" si="1"/>
        <v>28.515811536791674</v>
      </c>
      <c r="O17" s="13">
        <f t="shared" si="1"/>
        <v>10.672801865403999</v>
      </c>
      <c r="P17" s="13">
        <f t="shared" si="1"/>
        <v>0.98657162505288398</v>
      </c>
      <c r="Q17" s="13">
        <f t="shared" si="1"/>
        <v>2.9502862491860089</v>
      </c>
      <c r="R17" s="13">
        <f t="shared" si="1"/>
        <v>71.129666472215959</v>
      </c>
      <c r="S17" s="13">
        <f t="shared" si="1"/>
        <v>22.85741098312122</v>
      </c>
      <c r="T17" s="12">
        <f t="shared" si="3"/>
        <v>9.8487230499991316</v>
      </c>
      <c r="U17" s="12">
        <f t="shared" si="4"/>
        <v>3.1648722899706305</v>
      </c>
      <c r="V17" s="12">
        <f t="shared" si="5"/>
        <v>0.18079496437863199</v>
      </c>
      <c r="W17" s="12">
        <f t="shared" si="6"/>
        <v>3.9483431358634626</v>
      </c>
      <c r="X17" s="12">
        <f t="shared" si="7"/>
        <v>1.1761778644512144</v>
      </c>
      <c r="Y17" s="12"/>
      <c r="Z17" s="12">
        <v>4.7619047619047603E-2</v>
      </c>
      <c r="AA17" s="12">
        <v>3.9682539682539597E-2</v>
      </c>
      <c r="AB17" s="14" t="s">
        <v>368</v>
      </c>
      <c r="AC17" s="12">
        <v>6.2914862914862799E-2</v>
      </c>
      <c r="AD17" s="12">
        <v>7.9365079365079305E-2</v>
      </c>
      <c r="AE17" s="14" t="s">
        <v>369</v>
      </c>
      <c r="AF17" s="14" t="s">
        <v>370</v>
      </c>
      <c r="AG17" s="14" t="s">
        <v>371</v>
      </c>
      <c r="AH17" s="12">
        <v>3.9973040694397E-2</v>
      </c>
      <c r="AI17" s="12">
        <v>3.6950248129321499E-3</v>
      </c>
      <c r="AJ17" s="12">
        <v>1.1049761232906401E-2</v>
      </c>
      <c r="AK17" s="14" t="s">
        <v>372</v>
      </c>
      <c r="AL17" s="12">
        <v>8.5608280835659994E-2</v>
      </c>
    </row>
    <row r="18" spans="1:38">
      <c r="A18" s="12" t="s">
        <v>117</v>
      </c>
      <c r="B18" s="12" t="s">
        <v>118</v>
      </c>
      <c r="C18" s="12" t="s">
        <v>18</v>
      </c>
      <c r="D18" s="12">
        <v>62</v>
      </c>
      <c r="E18" s="12">
        <v>64.67</v>
      </c>
      <c r="F18" s="12">
        <v>273</v>
      </c>
      <c r="G18" s="13">
        <f t="shared" si="8"/>
        <v>2.9999999999999969</v>
      </c>
      <c r="H18" s="13">
        <f t="shared" si="8"/>
        <v>2.4999999999999942</v>
      </c>
      <c r="I18" s="13">
        <f t="shared" si="8"/>
        <v>28.558477611940276</v>
      </c>
      <c r="J18" s="13">
        <f t="shared" si="8"/>
        <v>3.9402985074626784</v>
      </c>
      <c r="K18" s="13">
        <f t="shared" si="8"/>
        <v>3.9999999999999956</v>
      </c>
      <c r="L18" s="13">
        <f t="shared" si="2"/>
        <v>50.763962765957253</v>
      </c>
      <c r="M18" s="13">
        <f t="shared" si="2"/>
        <v>26.152534418022505</v>
      </c>
      <c r="N18" s="13">
        <f t="shared" si="2"/>
        <v>24.180772841051301</v>
      </c>
      <c r="O18" s="13">
        <f t="shared" si="2"/>
        <v>6.3993272841051096</v>
      </c>
      <c r="P18" s="13">
        <f t="shared" si="2"/>
        <v>1.1883369837296411</v>
      </c>
      <c r="Q18" s="13">
        <f t="shared" si="2"/>
        <v>3.4594806007509109</v>
      </c>
      <c r="R18" s="13">
        <f t="shared" ref="R18:S61" si="9">$F18*AK18</f>
        <v>75.143127503128767</v>
      </c>
      <c r="S18" s="13">
        <f t="shared" si="9"/>
        <v>27.079276595744645</v>
      </c>
      <c r="T18" s="12">
        <f t="shared" si="3"/>
        <v>10.457525089348367</v>
      </c>
      <c r="U18" s="12">
        <f t="shared" si="4"/>
        <v>3.768571043168421</v>
      </c>
      <c r="V18" s="12">
        <f t="shared" si="5"/>
        <v>0.17605806193180998</v>
      </c>
      <c r="W18" s="12">
        <f t="shared" si="6"/>
        <v>3.3651918288149325</v>
      </c>
      <c r="X18" s="12">
        <f t="shared" si="7"/>
        <v>1.2036993870682218</v>
      </c>
      <c r="Y18" s="12"/>
      <c r="Z18" s="12">
        <v>4.8387096774193498E-2</v>
      </c>
      <c r="AA18" s="12">
        <v>4.0322580645161199E-2</v>
      </c>
      <c r="AB18" s="14" t="s">
        <v>373</v>
      </c>
      <c r="AC18" s="12">
        <v>6.3553201733269005E-2</v>
      </c>
      <c r="AD18" s="12">
        <v>6.4516129032257993E-2</v>
      </c>
      <c r="AE18" s="14" t="s">
        <v>374</v>
      </c>
      <c r="AF18" s="12">
        <v>9.57968293700458E-2</v>
      </c>
      <c r="AG18" s="12">
        <v>8.8574259491030399E-2</v>
      </c>
      <c r="AH18" s="14" t="s">
        <v>375</v>
      </c>
      <c r="AI18" s="12">
        <v>4.3528827242843996E-3</v>
      </c>
      <c r="AJ18" s="12">
        <v>1.2672090112640699E-2</v>
      </c>
      <c r="AK18" s="14" t="s">
        <v>376</v>
      </c>
      <c r="AL18" s="12">
        <v>9.9191489361701995E-2</v>
      </c>
    </row>
    <row r="19" spans="1:38">
      <c r="A19" s="12" t="s">
        <v>124</v>
      </c>
      <c r="B19" s="12" t="s">
        <v>125</v>
      </c>
      <c r="C19" s="12" t="s">
        <v>18</v>
      </c>
      <c r="D19" s="12">
        <v>61</v>
      </c>
      <c r="E19" s="12">
        <v>63</v>
      </c>
      <c r="F19" s="12">
        <v>261</v>
      </c>
      <c r="G19" s="13">
        <f t="shared" si="8"/>
        <v>2.9999999999999964</v>
      </c>
      <c r="H19" s="13">
        <f t="shared" si="8"/>
        <v>2.9999999999999964</v>
      </c>
      <c r="I19" s="13">
        <f t="shared" si="8"/>
        <v>26.161983870967717</v>
      </c>
      <c r="J19" s="13">
        <f t="shared" si="8"/>
        <v>3.9870967741935401</v>
      </c>
      <c r="K19" s="13">
        <f t="shared" si="8"/>
        <v>4.9999999999999938</v>
      </c>
      <c r="L19" s="13">
        <f t="shared" si="2"/>
        <v>53.695312499999822</v>
      </c>
      <c r="M19" s="13">
        <f t="shared" si="2"/>
        <v>27.094815340909083</v>
      </c>
      <c r="N19" s="13">
        <f t="shared" si="2"/>
        <v>24.576882102272716</v>
      </c>
      <c r="O19" s="13">
        <f t="shared" si="2"/>
        <v>5.8326858942687654</v>
      </c>
      <c r="P19" s="13">
        <f t="shared" si="2"/>
        <v>0.99813531063529115</v>
      </c>
      <c r="Q19" s="13">
        <f t="shared" si="2"/>
        <v>3.0122514204545241</v>
      </c>
      <c r="R19" s="13">
        <f t="shared" si="9"/>
        <v>63.79114026988622</v>
      </c>
      <c r="S19" s="13">
        <f t="shared" si="9"/>
        <v>22.835327955163034</v>
      </c>
      <c r="T19" s="12">
        <f t="shared" si="3"/>
        <v>9.1130200385551738</v>
      </c>
      <c r="U19" s="12">
        <f t="shared" si="4"/>
        <v>3.2621897078804332</v>
      </c>
      <c r="V19" s="12">
        <f t="shared" si="5"/>
        <v>0.1569188211292076</v>
      </c>
      <c r="W19" s="12">
        <f t="shared" si="6"/>
        <v>3.510983157467531</v>
      </c>
      <c r="X19" s="12">
        <f t="shared" si="7"/>
        <v>1.2147720707168708</v>
      </c>
      <c r="Y19" s="12"/>
      <c r="Z19" s="12">
        <v>4.9180327868852403E-2</v>
      </c>
      <c r="AA19" s="12">
        <v>4.9180327868852403E-2</v>
      </c>
      <c r="AB19" s="14" t="s">
        <v>377</v>
      </c>
      <c r="AC19" s="12">
        <v>6.5362242199894102E-2</v>
      </c>
      <c r="AD19" s="12">
        <v>8.1967213114753995E-2</v>
      </c>
      <c r="AE19" s="14" t="s">
        <v>378</v>
      </c>
      <c r="AF19" s="12">
        <v>0.103811553030303</v>
      </c>
      <c r="AG19" s="12">
        <v>9.4164299242424199E-2</v>
      </c>
      <c r="AH19" s="14" t="s">
        <v>379</v>
      </c>
      <c r="AI19" s="12">
        <v>3.8242732208248701E-3</v>
      </c>
      <c r="AJ19" s="14" t="s">
        <v>380</v>
      </c>
      <c r="AK19" s="14" t="s">
        <v>381</v>
      </c>
      <c r="AL19" s="12">
        <v>8.7491677989130406E-2</v>
      </c>
    </row>
    <row r="20" spans="1:38">
      <c r="A20" s="12" t="s">
        <v>130</v>
      </c>
      <c r="B20" s="12" t="s">
        <v>131</v>
      </c>
      <c r="C20" s="12" t="s">
        <v>18</v>
      </c>
      <c r="D20" s="12">
        <v>64</v>
      </c>
      <c r="E20" s="12">
        <v>66.67</v>
      </c>
      <c r="F20" s="12">
        <v>280</v>
      </c>
      <c r="G20" s="13">
        <f t="shared" si="8"/>
        <v>3.5</v>
      </c>
      <c r="H20" s="13">
        <f t="shared" si="8"/>
        <v>2.5</v>
      </c>
      <c r="I20" s="13">
        <f t="shared" si="8"/>
        <v>24.132705882352894</v>
      </c>
      <c r="J20" s="13">
        <f t="shared" si="8"/>
        <v>6.1411764705882304</v>
      </c>
      <c r="K20" s="13">
        <f t="shared" si="8"/>
        <v>3</v>
      </c>
      <c r="L20" s="13">
        <f t="shared" si="2"/>
        <v>60.91303063134044</v>
      </c>
      <c r="M20" s="13">
        <f t="shared" si="2"/>
        <v>32.910962277159399</v>
      </c>
      <c r="N20" s="13">
        <f t="shared" si="2"/>
        <v>30.453068058701682</v>
      </c>
      <c r="O20" s="13">
        <f t="shared" si="2"/>
        <v>6.8036009345817234</v>
      </c>
      <c r="P20" s="13">
        <f t="shared" si="2"/>
        <v>1.4722923124984761</v>
      </c>
      <c r="Q20" s="13">
        <f t="shared" si="2"/>
        <v>3.4369151974785601</v>
      </c>
      <c r="R20" s="13">
        <f t="shared" si="9"/>
        <v>61.21637427361344</v>
      </c>
      <c r="S20" s="13">
        <f t="shared" si="9"/>
        <v>22.499299842375521</v>
      </c>
      <c r="T20" s="12">
        <f t="shared" si="3"/>
        <v>8.2637973370709616</v>
      </c>
      <c r="U20" s="12">
        <f t="shared" si="4"/>
        <v>3.0372536160398931</v>
      </c>
      <c r="V20" s="12">
        <f t="shared" si="5"/>
        <v>0.1382752658258497</v>
      </c>
      <c r="W20" s="12">
        <f t="shared" si="6"/>
        <v>4.1109586399927274</v>
      </c>
      <c r="X20" s="12">
        <f t="shared" si="7"/>
        <v>1.2511224009856903</v>
      </c>
      <c r="Y20" s="12"/>
      <c r="Z20" s="12">
        <v>5.46875E-2</v>
      </c>
      <c r="AA20" s="12">
        <v>3.90625E-2</v>
      </c>
      <c r="AB20" s="14" t="s">
        <v>382</v>
      </c>
      <c r="AC20" s="12">
        <v>9.5955882352941099E-2</v>
      </c>
      <c r="AD20" s="12">
        <v>4.6875E-2</v>
      </c>
      <c r="AE20" s="14" t="s">
        <v>383</v>
      </c>
      <c r="AF20" s="14" t="s">
        <v>384</v>
      </c>
      <c r="AG20" s="14" t="s">
        <v>385</v>
      </c>
      <c r="AH20" s="12">
        <v>2.4298574766363299E-2</v>
      </c>
      <c r="AI20" s="12">
        <v>5.2581868303517004E-3</v>
      </c>
      <c r="AJ20" s="12">
        <v>1.2274697133852E-2</v>
      </c>
      <c r="AK20" s="14" t="s">
        <v>386</v>
      </c>
      <c r="AL20" s="12">
        <v>8.0354642294198295E-2</v>
      </c>
    </row>
    <row r="21" spans="1:38">
      <c r="A21" s="12" t="s">
        <v>137</v>
      </c>
      <c r="B21" s="12" t="s">
        <v>71</v>
      </c>
      <c r="C21" s="12" t="s">
        <v>18</v>
      </c>
      <c r="D21" s="12">
        <v>64</v>
      </c>
      <c r="E21" s="12">
        <v>66.33</v>
      </c>
      <c r="F21" s="12">
        <v>273</v>
      </c>
      <c r="G21" s="13">
        <f t="shared" si="8"/>
        <v>4</v>
      </c>
      <c r="H21" s="13">
        <f t="shared" si="8"/>
        <v>3.5</v>
      </c>
      <c r="I21" s="13">
        <f t="shared" si="8"/>
        <v>9.8707164179103994</v>
      </c>
      <c r="J21" s="13">
        <f t="shared" si="8"/>
        <v>12.701492537313408</v>
      </c>
      <c r="K21" s="13">
        <f t="shared" si="8"/>
        <v>5</v>
      </c>
      <c r="L21" s="13">
        <f t="shared" si="2"/>
        <v>57.713105592455854</v>
      </c>
      <c r="M21" s="13">
        <f t="shared" si="2"/>
        <v>29.828083045338122</v>
      </c>
      <c r="N21" s="13">
        <f t="shared" si="2"/>
        <v>27.870993229440817</v>
      </c>
      <c r="O21" s="13">
        <f t="shared" si="2"/>
        <v>8.1270472631033872</v>
      </c>
      <c r="P21" s="13">
        <f t="shared" si="2"/>
        <v>1.9757239048618671</v>
      </c>
      <c r="Q21" s="13">
        <f t="shared" si="2"/>
        <v>2.9356347238459604</v>
      </c>
      <c r="R21" s="13">
        <f t="shared" si="9"/>
        <v>68.620259323971808</v>
      </c>
      <c r="S21" s="13">
        <f t="shared" si="9"/>
        <v>21.382560590744973</v>
      </c>
      <c r="T21" s="12">
        <f t="shared" si="3"/>
        <v>9.3107543180423065</v>
      </c>
      <c r="U21" s="12">
        <f t="shared" si="4"/>
        <v>2.9012972307659393</v>
      </c>
      <c r="V21" s="12">
        <f t="shared" si="5"/>
        <v>0.17303186349167343</v>
      </c>
      <c r="W21" s="12">
        <f t="shared" si="6"/>
        <v>3.781681577943123</v>
      </c>
      <c r="X21" s="12">
        <f t="shared" si="7"/>
        <v>1.1924569000934844</v>
      </c>
      <c r="Y21" s="12"/>
      <c r="Z21" s="12">
        <v>6.25E-2</v>
      </c>
      <c r="AA21" s="12">
        <v>5.46875E-2</v>
      </c>
      <c r="AB21" s="14" t="s">
        <v>387</v>
      </c>
      <c r="AC21" s="14" t="s">
        <v>388</v>
      </c>
      <c r="AD21" s="12">
        <v>7.8125E-2</v>
      </c>
      <c r="AE21" s="14" t="s">
        <v>389</v>
      </c>
      <c r="AF21" s="14" t="s">
        <v>390</v>
      </c>
      <c r="AG21" s="14" t="s">
        <v>391</v>
      </c>
      <c r="AH21" s="12">
        <v>2.97694038941516E-2</v>
      </c>
      <c r="AI21" s="12">
        <v>7.2370839005929197E-3</v>
      </c>
      <c r="AJ21" s="12">
        <v>1.07532407466885E-2</v>
      </c>
      <c r="AK21" s="14" t="s">
        <v>392</v>
      </c>
      <c r="AL21" s="12">
        <v>7.8324397768296597E-2</v>
      </c>
    </row>
    <row r="22" spans="1:38">
      <c r="A22" s="12" t="s">
        <v>143</v>
      </c>
      <c r="B22" s="12" t="s">
        <v>144</v>
      </c>
      <c r="C22" s="12" t="s">
        <v>18</v>
      </c>
      <c r="D22" s="12">
        <v>60</v>
      </c>
      <c r="E22" s="12">
        <v>62</v>
      </c>
      <c r="F22" s="12">
        <v>261</v>
      </c>
      <c r="G22" s="13">
        <f t="shared" si="8"/>
        <v>3.4999999999999978</v>
      </c>
      <c r="H22" s="13">
        <f t="shared" si="8"/>
        <v>2.9999999999999938</v>
      </c>
      <c r="I22" s="13">
        <f t="shared" si="8"/>
        <v>24.5468571428571</v>
      </c>
      <c r="J22" s="13">
        <f t="shared" si="8"/>
        <v>4.9523809523809499</v>
      </c>
      <c r="K22" s="13">
        <f t="shared" si="8"/>
        <v>3.9999999999999956</v>
      </c>
      <c r="L22" s="13">
        <f t="shared" si="2"/>
        <v>56.132988721804402</v>
      </c>
      <c r="M22" s="13">
        <f t="shared" si="2"/>
        <v>27.07599965823627</v>
      </c>
      <c r="N22" s="13">
        <f t="shared" si="2"/>
        <v>25.10616028708132</v>
      </c>
      <c r="O22" s="13">
        <f t="shared" si="2"/>
        <v>5.7043574846206369</v>
      </c>
      <c r="P22" s="13">
        <f t="shared" si="2"/>
        <v>0.99359754347699991</v>
      </c>
      <c r="Q22" s="13">
        <f t="shared" si="2"/>
        <v>3.4453605604921171</v>
      </c>
      <c r="R22" s="13">
        <f t="shared" si="9"/>
        <v>64.289599111414802</v>
      </c>
      <c r="S22" s="13">
        <f t="shared" si="9"/>
        <v>20.032664302802434</v>
      </c>
      <c r="T22" s="12">
        <f t="shared" si="3"/>
        <v>9.332361161334406</v>
      </c>
      <c r="U22" s="12">
        <f t="shared" si="4"/>
        <v>2.9079673987939021</v>
      </c>
      <c r="V22" s="12">
        <f t="shared" si="5"/>
        <v>0.16956680003299759</v>
      </c>
      <c r="W22" s="12">
        <f t="shared" si="6"/>
        <v>3.6444426223182562</v>
      </c>
      <c r="X22" s="12">
        <f t="shared" si="7"/>
        <v>1.2284782745904328</v>
      </c>
      <c r="Y22" s="12"/>
      <c r="Z22" s="12">
        <v>5.83333333333333E-2</v>
      </c>
      <c r="AA22" s="12">
        <v>4.9999999999999899E-2</v>
      </c>
      <c r="AB22" s="14" t="s">
        <v>393</v>
      </c>
      <c r="AC22" s="12">
        <v>8.2539682539682496E-2</v>
      </c>
      <c r="AD22" s="12">
        <v>6.6666666666666596E-2</v>
      </c>
      <c r="AE22" s="14" t="s">
        <v>394</v>
      </c>
      <c r="AF22" s="14" t="s">
        <v>395</v>
      </c>
      <c r="AG22" s="12">
        <v>9.6192185007974398E-2</v>
      </c>
      <c r="AH22" s="14" t="s">
        <v>396</v>
      </c>
      <c r="AI22" s="12">
        <v>3.8068871397586202E-3</v>
      </c>
      <c r="AJ22" s="12">
        <v>1.32006151742993E-2</v>
      </c>
      <c r="AK22" s="14" t="s">
        <v>397</v>
      </c>
      <c r="AL22" s="12">
        <v>7.6753503075871393E-2</v>
      </c>
    </row>
    <row r="23" spans="1:38">
      <c r="A23" s="12" t="s">
        <v>149</v>
      </c>
      <c r="B23" s="12" t="s">
        <v>78</v>
      </c>
      <c r="C23" s="12" t="s">
        <v>18</v>
      </c>
      <c r="D23" s="12">
        <v>62</v>
      </c>
      <c r="E23" s="12">
        <v>64.33</v>
      </c>
      <c r="F23" s="12">
        <v>262</v>
      </c>
      <c r="G23" s="13">
        <f t="shared" si="8"/>
        <v>3.4999999999999933</v>
      </c>
      <c r="H23" s="13">
        <f t="shared" si="8"/>
        <v>2.4999999999999942</v>
      </c>
      <c r="I23" s="13">
        <f t="shared" si="8"/>
        <v>1.6448181818181768</v>
      </c>
      <c r="J23" s="13">
        <f t="shared" si="8"/>
        <v>17.993939393939375</v>
      </c>
      <c r="K23" s="13">
        <f t="shared" si="8"/>
        <v>2.9999999999999969</v>
      </c>
      <c r="L23" s="13">
        <f t="shared" si="2"/>
        <v>54.147490497461142</v>
      </c>
      <c r="M23" s="13">
        <f t="shared" si="2"/>
        <v>29.750589573564707</v>
      </c>
      <c r="N23" s="13">
        <f t="shared" si="2"/>
        <v>27.315442665704676</v>
      </c>
      <c r="O23" s="13">
        <f t="shared" si="2"/>
        <v>8.219165996171224</v>
      </c>
      <c r="P23" s="13">
        <f t="shared" si="2"/>
        <v>1.1765796308954071</v>
      </c>
      <c r="Q23" s="13">
        <f t="shared" si="2"/>
        <v>2.9276281108675728</v>
      </c>
      <c r="R23" s="13">
        <f t="shared" si="9"/>
        <v>67.839517964653268</v>
      </c>
      <c r="S23" s="13">
        <f t="shared" si="9"/>
        <v>19.431436478650475</v>
      </c>
      <c r="T23" s="12">
        <f t="shared" si="3"/>
        <v>9.4909942745512126</v>
      </c>
      <c r="U23" s="12">
        <f t="shared" si="4"/>
        <v>2.7185283430414162</v>
      </c>
      <c r="V23" s="12">
        <f t="shared" si="5"/>
        <v>0.1847636697939038</v>
      </c>
      <c r="W23" s="12">
        <f t="shared" si="6"/>
        <v>3.8215293640811767</v>
      </c>
      <c r="X23" s="12">
        <f t="shared" si="7"/>
        <v>1.1437731536780913</v>
      </c>
      <c r="Y23" s="12"/>
      <c r="Z23" s="12">
        <v>5.6451612903225701E-2</v>
      </c>
      <c r="AA23" s="12">
        <v>4.0322580645161199E-2</v>
      </c>
      <c r="AB23" s="14" t="s">
        <v>398</v>
      </c>
      <c r="AC23" s="14" t="s">
        <v>399</v>
      </c>
      <c r="AD23" s="12">
        <v>4.8387096774193498E-2</v>
      </c>
      <c r="AE23" s="14" t="s">
        <v>400</v>
      </c>
      <c r="AF23" s="14" t="s">
        <v>401</v>
      </c>
      <c r="AG23" s="14" t="s">
        <v>402</v>
      </c>
      <c r="AH23" s="14" t="s">
        <v>403</v>
      </c>
      <c r="AI23" s="12">
        <v>4.4907619499824697E-3</v>
      </c>
      <c r="AJ23" s="12">
        <v>1.11741530949144E-2</v>
      </c>
      <c r="AK23" s="14" t="s">
        <v>404</v>
      </c>
      <c r="AL23" s="12">
        <v>7.4165788086452203E-2</v>
      </c>
    </row>
    <row r="24" spans="1:38">
      <c r="A24" s="12" t="s">
        <v>157</v>
      </c>
      <c r="B24" s="12" t="s">
        <v>88</v>
      </c>
      <c r="C24" s="12" t="s">
        <v>18</v>
      </c>
      <c r="D24" s="12">
        <v>68</v>
      </c>
      <c r="E24" s="12">
        <v>69</v>
      </c>
      <c r="F24" s="12">
        <v>286</v>
      </c>
      <c r="G24" s="13">
        <f t="shared" si="8"/>
        <v>3.4999999999999991</v>
      </c>
      <c r="H24" s="13">
        <f t="shared" si="8"/>
        <v>2.9999999999999978</v>
      </c>
      <c r="I24" s="13">
        <f t="shared" si="8"/>
        <v>1.9439999999999966</v>
      </c>
      <c r="J24" s="13">
        <f t="shared" si="8"/>
        <v>20.7081081081081</v>
      </c>
      <c r="K24" s="13">
        <f t="shared" si="8"/>
        <v>2.9999999999999978</v>
      </c>
      <c r="L24" s="13">
        <f t="shared" si="2"/>
        <v>65.996125572358409</v>
      </c>
      <c r="M24" s="13">
        <f t="shared" si="2"/>
        <v>30.332644041220949</v>
      </c>
      <c r="N24" s="13">
        <f t="shared" si="2"/>
        <v>27.942622112642436</v>
      </c>
      <c r="O24" s="13">
        <f t="shared" si="2"/>
        <v>6.7343009117265593</v>
      </c>
      <c r="P24" s="13">
        <f t="shared" si="2"/>
        <v>1.1652055284698115</v>
      </c>
      <c r="Q24" s="13">
        <f t="shared" si="2"/>
        <v>2.8953222819355977</v>
      </c>
      <c r="R24" s="13">
        <f t="shared" si="9"/>
        <v>47.91351769624935</v>
      </c>
      <c r="S24" s="13">
        <f t="shared" si="9"/>
        <v>16.320338188008311</v>
      </c>
      <c r="T24" s="12">
        <f t="shared" si="3"/>
        <v>6.2495892647281757</v>
      </c>
      <c r="U24" s="12">
        <f t="shared" si="4"/>
        <v>2.1287397636532579</v>
      </c>
      <c r="V24" s="12">
        <f t="shared" si="5"/>
        <v>0.11046566261622739</v>
      </c>
      <c r="W24" s="12">
        <f t="shared" si="6"/>
        <v>3.6446898407794479</v>
      </c>
      <c r="X24" s="12">
        <f t="shared" si="7"/>
        <v>1.1929922284111119</v>
      </c>
      <c r="Y24" s="12"/>
      <c r="Z24" s="12">
        <v>5.1470588235294101E-2</v>
      </c>
      <c r="AA24" s="12">
        <v>4.4117647058823498E-2</v>
      </c>
      <c r="AB24" s="12">
        <v>2.8588235294117598E-2</v>
      </c>
      <c r="AC24" s="14" t="s">
        <v>405</v>
      </c>
      <c r="AD24" s="12">
        <v>4.4117647058823498E-2</v>
      </c>
      <c r="AE24" s="14" t="s">
        <v>406</v>
      </c>
      <c r="AF24" s="14" t="s">
        <v>407</v>
      </c>
      <c r="AG24" s="12">
        <v>9.77014759183302E-2</v>
      </c>
      <c r="AH24" s="12">
        <v>2.3546506684358599E-2</v>
      </c>
      <c r="AI24" s="12">
        <v>4.0741452044399003E-3</v>
      </c>
      <c r="AJ24" s="12">
        <v>1.01235044822923E-2</v>
      </c>
      <c r="AK24" s="14" t="s">
        <v>408</v>
      </c>
      <c r="AL24" s="12">
        <v>5.7064119538490603E-2</v>
      </c>
    </row>
    <row r="25" spans="1:38">
      <c r="A25" s="12" t="s">
        <v>165</v>
      </c>
      <c r="B25" s="12" t="s">
        <v>59</v>
      </c>
      <c r="C25" s="12" t="s">
        <v>18</v>
      </c>
      <c r="D25" s="12">
        <v>60</v>
      </c>
      <c r="E25" s="12">
        <v>67.67</v>
      </c>
      <c r="F25" s="12">
        <v>280</v>
      </c>
      <c r="G25" s="13">
        <f t="shared" si="8"/>
        <v>3.4999999999999978</v>
      </c>
      <c r="H25" s="13">
        <f t="shared" si="8"/>
        <v>2.9999999999999938</v>
      </c>
      <c r="I25" s="13">
        <f t="shared" si="8"/>
        <v>4.5228358208955184</v>
      </c>
      <c r="J25" s="13">
        <f t="shared" si="8"/>
        <v>16.707462686567162</v>
      </c>
      <c r="K25" s="13">
        <f t="shared" si="8"/>
        <v>3</v>
      </c>
      <c r="L25" s="13">
        <f t="shared" si="2"/>
        <v>58.16626371582656</v>
      </c>
      <c r="M25" s="13">
        <f t="shared" si="2"/>
        <v>32.040915008368842</v>
      </c>
      <c r="N25" s="13">
        <f t="shared" si="2"/>
        <v>29.57435992808864</v>
      </c>
      <c r="O25" s="13">
        <f t="shared" si="2"/>
        <v>9.8453908623147832</v>
      </c>
      <c r="P25" s="13">
        <f t="shared" si="2"/>
        <v>1.3926016107885169</v>
      </c>
      <c r="Q25" s="13">
        <f t="shared" si="2"/>
        <v>2.957783150455616</v>
      </c>
      <c r="R25" s="13">
        <f t="shared" si="9"/>
        <v>70.270638088153163</v>
      </c>
      <c r="S25" s="13">
        <f t="shared" si="9"/>
        <v>22.680249953505651</v>
      </c>
      <c r="T25" s="12">
        <f t="shared" si="3"/>
        <v>9.3458806382943465</v>
      </c>
      <c r="U25" s="12">
        <f t="shared" si="4"/>
        <v>3.0164363762605415</v>
      </c>
      <c r="V25" s="12">
        <f t="shared" si="5"/>
        <v>0.16996567190945538</v>
      </c>
      <c r="W25" s="12">
        <f t="shared" si="6"/>
        <v>3.9333417962582793</v>
      </c>
      <c r="X25" s="12">
        <f t="shared" si="7"/>
        <v>1.1947172110142192</v>
      </c>
      <c r="Y25" s="12"/>
      <c r="Z25" s="12">
        <v>5.83333333333333E-2</v>
      </c>
      <c r="AA25" s="12">
        <v>4.9999999999999899E-2</v>
      </c>
      <c r="AB25" s="12">
        <v>7.5380597014925305E-2</v>
      </c>
      <c r="AC25" s="12">
        <v>0.27845771144278603</v>
      </c>
      <c r="AD25" s="12">
        <v>0.05</v>
      </c>
      <c r="AE25" s="14" t="s">
        <v>409</v>
      </c>
      <c r="AF25" s="14" t="s">
        <v>410</v>
      </c>
      <c r="AG25" s="14" t="s">
        <v>411</v>
      </c>
      <c r="AH25" s="12">
        <v>3.5162110222552799E-2</v>
      </c>
      <c r="AI25" s="12">
        <v>4.9735771813875602E-3</v>
      </c>
      <c r="AJ25" s="14" t="s">
        <v>412</v>
      </c>
      <c r="AK25" s="14" t="s">
        <v>413</v>
      </c>
      <c r="AL25" s="12">
        <v>8.1000892691091606E-2</v>
      </c>
    </row>
    <row r="26" spans="1:38">
      <c r="A26" s="12" t="s">
        <v>171</v>
      </c>
      <c r="B26" s="12" t="s">
        <v>24</v>
      </c>
      <c r="C26" s="12" t="s">
        <v>18</v>
      </c>
      <c r="D26" s="12">
        <v>62</v>
      </c>
      <c r="E26" s="12">
        <v>61.67</v>
      </c>
      <c r="F26" s="12">
        <v>254</v>
      </c>
      <c r="G26" s="13">
        <f t="shared" si="8"/>
        <v>3.4999999999999933</v>
      </c>
      <c r="H26" s="13">
        <f t="shared" si="8"/>
        <v>1.9999999999999978</v>
      </c>
      <c r="I26" s="13">
        <f t="shared" si="8"/>
        <v>1.670459016393439</v>
      </c>
      <c r="J26" s="13">
        <f t="shared" si="8"/>
        <v>20.459016393442571</v>
      </c>
      <c r="K26" s="13">
        <f t="shared" si="8"/>
        <v>2.9999999999999969</v>
      </c>
      <c r="L26" s="13">
        <f t="shared" si="2"/>
        <v>44.763535980927038</v>
      </c>
      <c r="M26" s="13">
        <f t="shared" si="2"/>
        <v>25.650589748415641</v>
      </c>
      <c r="N26" s="13">
        <f t="shared" si="2"/>
        <v>23.638700671309334</v>
      </c>
      <c r="O26" s="13">
        <f t="shared" si="2"/>
        <v>8.3745464825611169</v>
      </c>
      <c r="P26" s="13">
        <f t="shared" si="2"/>
        <v>2.0000926440614966</v>
      </c>
      <c r="Q26" s="13">
        <f t="shared" si="2"/>
        <v>3.0178336156596863</v>
      </c>
      <c r="R26" s="13">
        <f t="shared" si="9"/>
        <v>77.563490683229588</v>
      </c>
      <c r="S26" s="13">
        <f t="shared" si="9"/>
        <v>25.207978951378603</v>
      </c>
      <c r="T26" s="12">
        <f t="shared" si="3"/>
        <v>11.319465155652122</v>
      </c>
      <c r="U26" s="12">
        <f t="shared" si="4"/>
        <v>3.6788034792023256</v>
      </c>
      <c r="V26" s="12">
        <f t="shared" si="5"/>
        <v>0.20612406193642124</v>
      </c>
      <c r="W26" s="12">
        <f t="shared" si="6"/>
        <v>3.4497860554853901</v>
      </c>
      <c r="X26" s="12">
        <f t="shared" si="7"/>
        <v>1.1346118847463214</v>
      </c>
      <c r="Y26" s="12"/>
      <c r="Z26" s="12">
        <v>5.6451612903225701E-2</v>
      </c>
      <c r="AA26" s="12">
        <v>3.2258064516128997E-2</v>
      </c>
      <c r="AB26" s="12">
        <v>2.6942887361184501E-2</v>
      </c>
      <c r="AC26" s="14" t="s">
        <v>414</v>
      </c>
      <c r="AD26" s="12">
        <v>4.8387096774193498E-2</v>
      </c>
      <c r="AE26" s="14" t="s">
        <v>415</v>
      </c>
      <c r="AF26" s="14" t="s">
        <v>416</v>
      </c>
      <c r="AG26" s="12">
        <v>9.3065750674446196E-2</v>
      </c>
      <c r="AH26" s="12">
        <v>3.2970655443154001E-2</v>
      </c>
      <c r="AI26" s="12">
        <v>7.8743804884310892E-3</v>
      </c>
      <c r="AJ26" s="12">
        <v>1.18812347073216E-2</v>
      </c>
      <c r="AK26" s="14" t="s">
        <v>417</v>
      </c>
      <c r="AL26" s="12">
        <v>9.9244011619600794E-2</v>
      </c>
    </row>
    <row r="27" spans="1:38">
      <c r="A27" s="12" t="s">
        <v>178</v>
      </c>
      <c r="B27" s="12" t="s">
        <v>96</v>
      </c>
      <c r="C27" s="12" t="s">
        <v>18</v>
      </c>
      <c r="D27" s="12">
        <v>59</v>
      </c>
      <c r="E27" s="12">
        <v>61</v>
      </c>
      <c r="F27" s="12">
        <v>256</v>
      </c>
      <c r="G27" s="13">
        <f t="shared" si="8"/>
        <v>2.9999999999999973</v>
      </c>
      <c r="H27" s="13">
        <f t="shared" si="8"/>
        <v>2.9999999999999973</v>
      </c>
      <c r="I27" s="13">
        <f t="shared" si="8"/>
        <v>5.2239374999999981</v>
      </c>
      <c r="J27" s="13">
        <f t="shared" si="8"/>
        <v>12.796874999999943</v>
      </c>
      <c r="K27" s="13">
        <f t="shared" si="8"/>
        <v>5</v>
      </c>
      <c r="L27" s="13">
        <f t="shared" si="2"/>
        <v>55.301291989664001</v>
      </c>
      <c r="M27" s="13">
        <f t="shared" si="2"/>
        <v>28.631869078380543</v>
      </c>
      <c r="N27" s="13">
        <f t="shared" si="2"/>
        <v>26.691472868216831</v>
      </c>
      <c r="O27" s="13">
        <f t="shared" si="2"/>
        <v>6.9810163652023807</v>
      </c>
      <c r="P27" s="13">
        <f t="shared" si="2"/>
        <v>1.6769336778639052</v>
      </c>
      <c r="Q27" s="13">
        <f t="shared" si="2"/>
        <v>2.4144702842377215</v>
      </c>
      <c r="R27" s="13">
        <f t="shared" si="9"/>
        <v>58.024375193798399</v>
      </c>
      <c r="S27" s="13">
        <f t="shared" si="9"/>
        <v>22.417066666666624</v>
      </c>
      <c r="T27" s="12">
        <f t="shared" si="3"/>
        <v>8.5609733892489448</v>
      </c>
      <c r="U27" s="12">
        <f t="shared" si="4"/>
        <v>3.3074360655737642</v>
      </c>
      <c r="V27" s="12">
        <f t="shared" si="5"/>
        <v>0.13909104893410851</v>
      </c>
      <c r="W27" s="12">
        <f t="shared" si="6"/>
        <v>3.9380861608844504</v>
      </c>
      <c r="X27" s="12">
        <f t="shared" si="7"/>
        <v>1.2740714533824693</v>
      </c>
      <c r="Y27" s="12"/>
      <c r="Z27" s="12">
        <v>5.0847457627118599E-2</v>
      </c>
      <c r="AA27" s="12">
        <v>5.0847457627118599E-2</v>
      </c>
      <c r="AB27" s="12">
        <v>8.8541313559322002E-2</v>
      </c>
      <c r="AC27" s="14" t="s">
        <v>418</v>
      </c>
      <c r="AD27" s="12">
        <v>8.4745762711864403E-2</v>
      </c>
      <c r="AE27" s="14" t="s">
        <v>419</v>
      </c>
      <c r="AF27" s="14" t="s">
        <v>420</v>
      </c>
      <c r="AG27" s="14" t="s">
        <v>421</v>
      </c>
      <c r="AH27" s="12">
        <v>2.7269595176571799E-2</v>
      </c>
      <c r="AI27" s="12">
        <v>6.5505221791558798E-3</v>
      </c>
      <c r="AJ27" s="12">
        <v>9.4315245478035995E-3</v>
      </c>
      <c r="AK27" s="14" t="s">
        <v>422</v>
      </c>
      <c r="AL27" s="12">
        <v>8.7566666666666501E-2</v>
      </c>
    </row>
    <row r="28" spans="1:38">
      <c r="A28" s="12" t="s">
        <v>184</v>
      </c>
      <c r="B28" s="12" t="s">
        <v>51</v>
      </c>
      <c r="C28" s="12" t="s">
        <v>18</v>
      </c>
      <c r="D28" s="12">
        <v>58</v>
      </c>
      <c r="E28" s="12">
        <v>64</v>
      </c>
      <c r="F28" s="12">
        <v>262</v>
      </c>
      <c r="G28" s="13">
        <f t="shared" si="8"/>
        <v>3.4999999999999947</v>
      </c>
      <c r="H28" s="13">
        <f t="shared" si="8"/>
        <v>2.499999999999996</v>
      </c>
      <c r="I28" s="13">
        <f t="shared" si="8"/>
        <v>3.4917428571428517</v>
      </c>
      <c r="J28" s="13">
        <f t="shared" si="8"/>
        <v>16.519999999999968</v>
      </c>
      <c r="K28" s="13">
        <f t="shared" si="8"/>
        <v>1.9999999999999967</v>
      </c>
      <c r="L28" s="13">
        <f t="shared" si="2"/>
        <v>54.697231833910003</v>
      </c>
      <c r="M28" s="13">
        <f t="shared" si="2"/>
        <v>25.692041522491326</v>
      </c>
      <c r="N28" s="13">
        <f t="shared" si="2"/>
        <v>23.785467128027665</v>
      </c>
      <c r="O28" s="13">
        <f t="shared" si="2"/>
        <v>6.1818550088614845</v>
      </c>
      <c r="P28" s="13">
        <f t="shared" si="2"/>
        <v>1.1601374570446545</v>
      </c>
      <c r="Q28" s="13">
        <f t="shared" si="2"/>
        <v>2.8598615916954815</v>
      </c>
      <c r="R28" s="13">
        <f t="shared" si="9"/>
        <v>70.167363321799172</v>
      </c>
      <c r="S28" s="13">
        <f t="shared" si="9"/>
        <v>18.151224045428776</v>
      </c>
      <c r="T28" s="12">
        <f t="shared" si="3"/>
        <v>9.8672854671280081</v>
      </c>
      <c r="U28" s="12">
        <f t="shared" si="4"/>
        <v>2.5525158813884214</v>
      </c>
      <c r="V28" s="12">
        <f t="shared" si="5"/>
        <v>0.19853488273423817</v>
      </c>
      <c r="W28" s="12">
        <f t="shared" si="6"/>
        <v>3.3448313148788906</v>
      </c>
      <c r="X28" s="12">
        <f t="shared" si="7"/>
        <v>1.1382571231146685</v>
      </c>
      <c r="Y28" s="12"/>
      <c r="Z28" s="12">
        <v>6.0344827586206802E-2</v>
      </c>
      <c r="AA28" s="12">
        <v>4.3103448275862002E-2</v>
      </c>
      <c r="AB28" s="14" t="s">
        <v>423</v>
      </c>
      <c r="AC28" s="14" t="s">
        <v>424</v>
      </c>
      <c r="AD28" s="12">
        <v>3.4482758620689599E-2</v>
      </c>
      <c r="AE28" s="14" t="s">
        <v>425</v>
      </c>
      <c r="AF28" s="12">
        <v>9.8061227185081395E-2</v>
      </c>
      <c r="AG28" s="12">
        <v>9.0784225679494901E-2</v>
      </c>
      <c r="AH28" s="12">
        <v>2.35948664460362E-2</v>
      </c>
      <c r="AI28" s="12">
        <v>4.4280055612391398E-3</v>
      </c>
      <c r="AJ28" s="12">
        <v>1.09155022583797E-2</v>
      </c>
      <c r="AK28" s="14" t="s">
        <v>426</v>
      </c>
      <c r="AL28" s="12">
        <v>6.9279481089422806E-2</v>
      </c>
    </row>
    <row r="29" spans="1:38">
      <c r="A29" s="12" t="s">
        <v>427</v>
      </c>
      <c r="B29" s="12" t="s">
        <v>96</v>
      </c>
      <c r="C29" s="12" t="s">
        <v>18</v>
      </c>
      <c r="D29" s="12">
        <v>61</v>
      </c>
      <c r="E29" s="12">
        <v>68</v>
      </c>
      <c r="F29" s="12">
        <v>277</v>
      </c>
      <c r="G29" s="13">
        <f t="shared" si="8"/>
        <v>3.499999999999996</v>
      </c>
      <c r="H29" s="13">
        <f t="shared" si="8"/>
        <v>2.4999999999999969</v>
      </c>
      <c r="I29" s="13">
        <f t="shared" si="8"/>
        <v>0.94812499999999711</v>
      </c>
      <c r="J29" s="13">
        <f t="shared" si="8"/>
        <v>12.372222222222216</v>
      </c>
      <c r="K29" s="13">
        <f t="shared" si="8"/>
        <v>1.9999999999999976</v>
      </c>
      <c r="L29" s="13">
        <f t="shared" si="2"/>
        <v>60.956810062154197</v>
      </c>
      <c r="M29" s="13">
        <f t="shared" si="2"/>
        <v>30.464848529339612</v>
      </c>
      <c r="N29" s="13">
        <f t="shared" si="2"/>
        <v>28.055180345519268</v>
      </c>
      <c r="O29" s="13">
        <f t="shared" si="2"/>
        <v>8.0024698034041517</v>
      </c>
      <c r="P29" s="13">
        <f t="shared" si="2"/>
        <v>1.1633945475198535</v>
      </c>
      <c r="Q29" s="13">
        <f t="shared" si="2"/>
        <v>2.4096681838202731</v>
      </c>
      <c r="R29" s="13">
        <f t="shared" si="9"/>
        <v>56.036755322272775</v>
      </c>
      <c r="S29" s="13">
        <f t="shared" si="9"/>
        <v>18.082311583788414</v>
      </c>
      <c r="T29" s="12">
        <f t="shared" si="3"/>
        <v>7.4166293808890442</v>
      </c>
      <c r="U29" s="12">
        <f t="shared" si="4"/>
        <v>2.3932471213837609</v>
      </c>
      <c r="V29" s="12">
        <f t="shared" si="5"/>
        <v>0.1370196524855031</v>
      </c>
      <c r="W29" s="12">
        <f t="shared" si="6"/>
        <v>3.7131856339657858</v>
      </c>
      <c r="X29" s="12">
        <f t="shared" si="7"/>
        <v>1.1623400242050383</v>
      </c>
      <c r="Y29" s="12"/>
      <c r="Z29" s="12">
        <v>5.7377049180327801E-2</v>
      </c>
      <c r="AA29" s="12">
        <v>4.0983606557376998E-2</v>
      </c>
      <c r="AB29" s="14" t="s">
        <v>428</v>
      </c>
      <c r="AC29" s="14" t="s">
        <v>429</v>
      </c>
      <c r="AD29" s="12">
        <v>3.2786885245901599E-2</v>
      </c>
      <c r="AE29" s="14" t="s">
        <v>430</v>
      </c>
      <c r="AF29" s="14" t="s">
        <v>431</v>
      </c>
      <c r="AG29" s="14" t="s">
        <v>432</v>
      </c>
      <c r="AH29" s="14" t="s">
        <v>433</v>
      </c>
      <c r="AI29" s="12">
        <v>4.19998031595615E-3</v>
      </c>
      <c r="AJ29" s="12">
        <v>8.6991631184847405E-3</v>
      </c>
      <c r="AK29" s="14" t="s">
        <v>434</v>
      </c>
      <c r="AL29" s="12">
        <v>6.5279103190571897E-2</v>
      </c>
    </row>
    <row r="30" spans="1:38">
      <c r="A30" s="12" t="s">
        <v>188</v>
      </c>
      <c r="B30" s="12" t="s">
        <v>17</v>
      </c>
      <c r="C30" s="12" t="s">
        <v>18</v>
      </c>
      <c r="D30" s="12">
        <v>65</v>
      </c>
      <c r="E30" s="12">
        <v>66.33</v>
      </c>
      <c r="F30" s="12">
        <v>274</v>
      </c>
      <c r="G30" s="13">
        <f t="shared" si="8"/>
        <v>4.4999999999999982</v>
      </c>
      <c r="H30" s="13">
        <f t="shared" si="8"/>
        <v>2.9999999999999964</v>
      </c>
      <c r="I30" s="13">
        <f t="shared" si="8"/>
        <v>2.9529264705882303</v>
      </c>
      <c r="J30" s="13">
        <f t="shared" si="8"/>
        <v>15.285294117646997</v>
      </c>
      <c r="K30" s="13">
        <f t="shared" si="8"/>
        <v>1.9999999999999956</v>
      </c>
      <c r="L30" s="13">
        <f t="shared" si="2"/>
        <v>55.734042553191443</v>
      </c>
      <c r="M30" s="13">
        <f t="shared" si="2"/>
        <v>25.659574468085108</v>
      </c>
      <c r="N30" s="13">
        <f t="shared" si="2"/>
        <v>23.687943262411345</v>
      </c>
      <c r="O30" s="13">
        <f t="shared" si="2"/>
        <v>6.2205673758864908</v>
      </c>
      <c r="P30" s="13">
        <f t="shared" si="2"/>
        <v>1.488652482269492</v>
      </c>
      <c r="Q30" s="13">
        <f t="shared" si="2"/>
        <v>2.4574468085106322</v>
      </c>
      <c r="R30" s="13">
        <f t="shared" si="9"/>
        <v>66.899936170212499</v>
      </c>
      <c r="S30" s="13">
        <f t="shared" si="9"/>
        <v>22.325170212765926</v>
      </c>
      <c r="T30" s="12">
        <f t="shared" si="3"/>
        <v>9.0773319091197422</v>
      </c>
      <c r="U30" s="12">
        <f t="shared" si="4"/>
        <v>3.0291954155720391</v>
      </c>
      <c r="V30" s="12">
        <f t="shared" si="5"/>
        <v>0.16268162758192178</v>
      </c>
      <c r="W30" s="12">
        <f t="shared" si="6"/>
        <v>3.2141035634208066</v>
      </c>
      <c r="X30" s="12">
        <f t="shared" si="7"/>
        <v>1.1768311889937793</v>
      </c>
      <c r="Y30" s="12"/>
      <c r="Z30" s="12">
        <v>6.9230769230769207E-2</v>
      </c>
      <c r="AA30" s="12">
        <v>4.6153846153846101E-2</v>
      </c>
      <c r="AB30" s="12">
        <v>4.54296380090497E-2</v>
      </c>
      <c r="AC30" s="14" t="s">
        <v>435</v>
      </c>
      <c r="AD30" s="12">
        <v>3.0769230769230702E-2</v>
      </c>
      <c r="AE30" s="14" t="s">
        <v>436</v>
      </c>
      <c r="AF30" s="12">
        <v>9.3648082000310606E-2</v>
      </c>
      <c r="AG30" s="12">
        <v>8.64523476730341E-2</v>
      </c>
      <c r="AH30" s="12">
        <v>2.2702800641921501E-2</v>
      </c>
      <c r="AI30" s="12">
        <v>5.4330382564580001E-3</v>
      </c>
      <c r="AJ30" s="12">
        <v>8.9687839726665403E-3</v>
      </c>
      <c r="AK30" s="14" t="s">
        <v>437</v>
      </c>
      <c r="AL30" s="12">
        <v>8.1478723404255202E-2</v>
      </c>
    </row>
    <row r="31" spans="1:38">
      <c r="A31" s="12" t="s">
        <v>192</v>
      </c>
      <c r="B31" s="12" t="s">
        <v>96</v>
      </c>
      <c r="C31" s="12" t="s">
        <v>18</v>
      </c>
      <c r="D31" s="12">
        <v>61</v>
      </c>
      <c r="E31" s="12">
        <v>64</v>
      </c>
      <c r="F31" s="12">
        <v>265</v>
      </c>
      <c r="G31" s="13">
        <f t="shared" si="8"/>
        <v>2.9999999999999964</v>
      </c>
      <c r="H31" s="13">
        <f t="shared" si="8"/>
        <v>2.9999999999999964</v>
      </c>
      <c r="I31" s="13">
        <f t="shared" si="8"/>
        <v>6.155602941176423</v>
      </c>
      <c r="J31" s="13">
        <f t="shared" si="8"/>
        <v>13.552941176470577</v>
      </c>
      <c r="K31" s="13">
        <f t="shared" si="8"/>
        <v>4.9999999999999938</v>
      </c>
      <c r="L31" s="13">
        <f t="shared" si="2"/>
        <v>56.313111339608</v>
      </c>
      <c r="M31" s="13">
        <f t="shared" si="2"/>
        <v>26.970556829866069</v>
      </c>
      <c r="N31" s="13">
        <f t="shared" si="2"/>
        <v>25.045710406285423</v>
      </c>
      <c r="O31" s="13">
        <f t="shared" si="2"/>
        <v>5.5865960083313242</v>
      </c>
      <c r="P31" s="13">
        <f t="shared" si="2"/>
        <v>1.1700973373441597</v>
      </c>
      <c r="Q31" s="13">
        <f t="shared" si="2"/>
        <v>2.8872696353713319</v>
      </c>
      <c r="R31" s="13">
        <f t="shared" si="9"/>
        <v>63.888783516570243</v>
      </c>
      <c r="S31" s="13">
        <f t="shared" si="9"/>
        <v>20.653085106382964</v>
      </c>
      <c r="T31" s="12">
        <f t="shared" si="3"/>
        <v>8.9843601820176904</v>
      </c>
      <c r="U31" s="12">
        <f t="shared" si="4"/>
        <v>2.9043400930851044</v>
      </c>
      <c r="V31" s="12">
        <f t="shared" si="5"/>
        <v>0.16315357890636711</v>
      </c>
      <c r="W31" s="12">
        <f t="shared" si="6"/>
        <v>3.5220530258838876</v>
      </c>
      <c r="X31" s="12">
        <f t="shared" si="7"/>
        <v>1.2025968194686087</v>
      </c>
      <c r="Y31" s="12"/>
      <c r="Z31" s="12">
        <v>4.9180327868852403E-2</v>
      </c>
      <c r="AA31" s="12">
        <v>4.9180327868852403E-2</v>
      </c>
      <c r="AB31" s="14" t="s">
        <v>438</v>
      </c>
      <c r="AC31" s="14" t="s">
        <v>439</v>
      </c>
      <c r="AD31" s="12">
        <v>8.1967213114753995E-2</v>
      </c>
      <c r="AE31" s="14" t="s">
        <v>440</v>
      </c>
      <c r="AF31" s="14" t="s">
        <v>441</v>
      </c>
      <c r="AG31" s="12">
        <v>9.4512114740699704E-2</v>
      </c>
      <c r="AH31" s="12">
        <v>2.1081494371061601E-2</v>
      </c>
      <c r="AI31" s="12">
        <v>4.4154616503553198E-3</v>
      </c>
      <c r="AJ31" s="12">
        <v>1.0895357114608799E-2</v>
      </c>
      <c r="AK31" s="14" t="s">
        <v>442</v>
      </c>
      <c r="AL31" s="12">
        <v>7.7936170212765901E-2</v>
      </c>
    </row>
    <row r="32" spans="1:38">
      <c r="A32" s="12" t="s">
        <v>198</v>
      </c>
      <c r="B32" s="12" t="s">
        <v>148</v>
      </c>
      <c r="C32" s="12" t="s">
        <v>18</v>
      </c>
      <c r="D32" s="12">
        <v>55</v>
      </c>
      <c r="E32" s="12">
        <v>56.33</v>
      </c>
      <c r="F32" s="12">
        <v>239</v>
      </c>
      <c r="G32" s="13">
        <f t="shared" si="8"/>
        <v>2.5185185185185137</v>
      </c>
      <c r="H32" s="13">
        <f t="shared" si="8"/>
        <v>2.5185185185185137</v>
      </c>
      <c r="I32" s="13">
        <f t="shared" si="8"/>
        <v>7.6968809523809503</v>
      </c>
      <c r="J32" s="13">
        <f t="shared" si="8"/>
        <v>10.201587301587274</v>
      </c>
      <c r="K32" s="13">
        <f t="shared" si="8"/>
        <v>1.9999999999999964</v>
      </c>
      <c r="L32" s="13">
        <f t="shared" si="2"/>
        <v>45.689873417721408</v>
      </c>
      <c r="M32" s="13">
        <f t="shared" si="2"/>
        <v>28.109704641350184</v>
      </c>
      <c r="N32" s="13">
        <f t="shared" si="2"/>
        <v>26.101265822784654</v>
      </c>
      <c r="O32" s="13">
        <f t="shared" si="2"/>
        <v>7.838147050902216</v>
      </c>
      <c r="P32" s="13">
        <f t="shared" si="2"/>
        <v>1.2016806722688964</v>
      </c>
      <c r="Q32" s="13">
        <f t="shared" si="2"/>
        <v>3.0126582278480782</v>
      </c>
      <c r="R32" s="13">
        <f t="shared" si="9"/>
        <v>65.453468354430242</v>
      </c>
      <c r="S32" s="13">
        <f t="shared" si="9"/>
        <v>26.606164880150676</v>
      </c>
      <c r="T32" s="12">
        <f t="shared" si="3"/>
        <v>10.457681789275203</v>
      </c>
      <c r="U32" s="12">
        <f t="shared" si="4"/>
        <v>4.2509405986393762</v>
      </c>
      <c r="V32" s="12">
        <f t="shared" si="5"/>
        <v>0.16254101872083498</v>
      </c>
      <c r="W32" s="12">
        <f t="shared" si="6"/>
        <v>4.1702714788755886</v>
      </c>
      <c r="X32" s="12">
        <f t="shared" si="7"/>
        <v>1.2834375696409035</v>
      </c>
      <c r="Y32" s="12"/>
      <c r="Z32" s="12">
        <v>4.5791245791245702E-2</v>
      </c>
      <c r="AA32" s="12">
        <v>4.5791245791245702E-2</v>
      </c>
      <c r="AB32" s="12">
        <v>0.13994329004329001</v>
      </c>
      <c r="AC32" s="14" t="s">
        <v>443</v>
      </c>
      <c r="AD32" s="12">
        <v>3.6363636363636299E-2</v>
      </c>
      <c r="AE32" s="14" t="s">
        <v>444</v>
      </c>
      <c r="AF32" s="14" t="s">
        <v>445</v>
      </c>
      <c r="AG32" s="14" t="s">
        <v>446</v>
      </c>
      <c r="AH32" s="12">
        <v>3.2795594355239398E-2</v>
      </c>
      <c r="AI32" s="12">
        <v>5.02795260363555E-3</v>
      </c>
      <c r="AJ32" s="14" t="s">
        <v>447</v>
      </c>
      <c r="AK32" s="14" t="s">
        <v>448</v>
      </c>
      <c r="AL32" s="14" t="s">
        <v>449</v>
      </c>
    </row>
    <row r="33" spans="1:38">
      <c r="A33" s="12" t="s">
        <v>205</v>
      </c>
      <c r="B33" s="12" t="s">
        <v>104</v>
      </c>
      <c r="C33" s="12" t="s">
        <v>18</v>
      </c>
      <c r="D33" s="12">
        <v>67</v>
      </c>
      <c r="E33" s="12">
        <v>68.67</v>
      </c>
      <c r="F33" s="12">
        <v>286</v>
      </c>
      <c r="G33" s="13">
        <f t="shared" si="8"/>
        <v>3.4999999999999898</v>
      </c>
      <c r="H33" s="13">
        <f t="shared" si="8"/>
        <v>2.4999999999999938</v>
      </c>
      <c r="I33" s="13">
        <f t="shared" si="8"/>
        <v>16.543624999999935</v>
      </c>
      <c r="J33" s="13">
        <f t="shared" si="8"/>
        <v>12.902777777777752</v>
      </c>
      <c r="K33" s="13">
        <f t="shared" si="8"/>
        <v>2.9999999999999951</v>
      </c>
      <c r="L33" s="13">
        <f t="shared" si="2"/>
        <v>50.280715043175185</v>
      </c>
      <c r="M33" s="13">
        <f t="shared" si="2"/>
        <v>23.934706862596556</v>
      </c>
      <c r="N33" s="13">
        <f t="shared" si="2"/>
        <v>21.981669444023602</v>
      </c>
      <c r="O33" s="13">
        <f t="shared" si="2"/>
        <v>4.3940301837968541</v>
      </c>
      <c r="P33" s="13">
        <f t="shared" si="2"/>
        <v>1.9767173546853476</v>
      </c>
      <c r="Q33" s="13">
        <f t="shared" ref="Q33:Q61" si="10">$F33*AJ33</f>
        <v>3.4278139675806596</v>
      </c>
      <c r="R33" s="13">
        <f t="shared" si="9"/>
        <v>80.208253597939603</v>
      </c>
      <c r="S33" s="13">
        <f t="shared" si="9"/>
        <v>31.640184782608404</v>
      </c>
      <c r="T33" s="12">
        <f t="shared" si="3"/>
        <v>10.512221965653945</v>
      </c>
      <c r="U33" s="12">
        <f t="shared" si="4"/>
        <v>4.146813208729804</v>
      </c>
      <c r="V33" s="12">
        <f t="shared" si="5"/>
        <v>0.16981842243122797</v>
      </c>
      <c r="W33" s="12">
        <f t="shared" si="6"/>
        <v>2.8809527449572219</v>
      </c>
      <c r="X33" s="12">
        <f t="shared" si="7"/>
        <v>1.1929649020792716</v>
      </c>
      <c r="Y33" s="12"/>
      <c r="Z33" s="14" t="s">
        <v>450</v>
      </c>
      <c r="AA33" s="12">
        <v>3.7313432835820802E-2</v>
      </c>
      <c r="AB33" s="14" t="s">
        <v>451</v>
      </c>
      <c r="AC33" s="14" t="s">
        <v>452</v>
      </c>
      <c r="AD33" s="12">
        <v>4.4776119402985003E-2</v>
      </c>
      <c r="AE33" s="14" t="s">
        <v>453</v>
      </c>
      <c r="AF33" s="12">
        <v>8.3687786232855096E-2</v>
      </c>
      <c r="AG33" s="12">
        <v>7.6858984070012598E-2</v>
      </c>
      <c r="AH33" s="14" t="s">
        <v>454</v>
      </c>
      <c r="AI33" s="12">
        <v>6.9115991422564601E-3</v>
      </c>
      <c r="AJ33" s="12">
        <v>1.19853635230093E-2</v>
      </c>
      <c r="AK33" s="14" t="s">
        <v>455</v>
      </c>
      <c r="AL33" s="14" t="s">
        <v>456</v>
      </c>
    </row>
    <row r="34" spans="1:38">
      <c r="A34" s="12" t="s">
        <v>213</v>
      </c>
      <c r="B34" s="12" t="s">
        <v>66</v>
      </c>
      <c r="C34" s="12" t="s">
        <v>18</v>
      </c>
      <c r="D34" s="12">
        <v>65</v>
      </c>
      <c r="E34" s="12">
        <v>67.33</v>
      </c>
      <c r="F34" s="12">
        <v>279</v>
      </c>
      <c r="G34" s="13">
        <f t="shared" si="8"/>
        <v>2.9999999999999964</v>
      </c>
      <c r="H34" s="13">
        <f t="shared" si="8"/>
        <v>2.499999999999996</v>
      </c>
      <c r="I34" s="13">
        <f t="shared" si="8"/>
        <v>6.9489264705881801</v>
      </c>
      <c r="J34" s="13">
        <f t="shared" si="8"/>
        <v>17.085294117647013</v>
      </c>
      <c r="K34" s="13">
        <f t="shared" si="8"/>
        <v>3.9999999999999973</v>
      </c>
      <c r="L34" s="13">
        <f t="shared" si="2"/>
        <v>50.359073480025863</v>
      </c>
      <c r="M34" s="13">
        <f t="shared" si="2"/>
        <v>26.159309057190093</v>
      </c>
      <c r="N34" s="13">
        <f t="shared" si="2"/>
        <v>24.184032128715312</v>
      </c>
      <c r="O34" s="13">
        <f t="shared" si="2"/>
        <v>6.7148927372061236</v>
      </c>
      <c r="P34" s="13">
        <f t="shared" si="2"/>
        <v>0.99259065028467452</v>
      </c>
      <c r="Q34" s="13">
        <f t="shared" si="10"/>
        <v>3.4541125758107065</v>
      </c>
      <c r="R34" s="13">
        <f t="shared" si="9"/>
        <v>87.857007681319217</v>
      </c>
      <c r="S34" s="13">
        <f t="shared" si="9"/>
        <v>28.43417081850507</v>
      </c>
      <c r="T34" s="12">
        <f t="shared" si="3"/>
        <v>11.743844781403133</v>
      </c>
      <c r="U34" s="12">
        <f t="shared" si="4"/>
        <v>3.8007951487679437</v>
      </c>
      <c r="V34" s="12">
        <f t="shared" si="5"/>
        <v>0.21298507836134101</v>
      </c>
      <c r="W34" s="12">
        <f t="shared" si="6"/>
        <v>3.2326791795401428</v>
      </c>
      <c r="X34" s="12">
        <f t="shared" si="7"/>
        <v>1.170254630900504</v>
      </c>
      <c r="Y34" s="12"/>
      <c r="Z34" s="12">
        <v>4.6153846153846101E-2</v>
      </c>
      <c r="AA34" s="12">
        <v>3.8461538461538401E-2</v>
      </c>
      <c r="AB34" s="14" t="s">
        <v>457</v>
      </c>
      <c r="AC34" s="14" t="s">
        <v>458</v>
      </c>
      <c r="AD34" s="12">
        <v>6.15384615384615E-2</v>
      </c>
      <c r="AE34" s="14" t="s">
        <v>459</v>
      </c>
      <c r="AF34" s="12">
        <v>9.3760964362688506E-2</v>
      </c>
      <c r="AG34" s="12">
        <v>8.6681118740915095E-2</v>
      </c>
      <c r="AH34" s="12">
        <v>2.4067715903964601E-2</v>
      </c>
      <c r="AI34" s="12">
        <v>3.5576725816655001E-3</v>
      </c>
      <c r="AJ34" s="12">
        <v>1.2380331812941601E-2</v>
      </c>
      <c r="AK34" s="14" t="s">
        <v>460</v>
      </c>
      <c r="AL34" s="14" t="s">
        <v>461</v>
      </c>
    </row>
    <row r="35" spans="1:38">
      <c r="A35" s="12" t="s">
        <v>220</v>
      </c>
      <c r="B35" s="12" t="s">
        <v>221</v>
      </c>
      <c r="C35" s="12" t="s">
        <v>18</v>
      </c>
      <c r="D35" s="12">
        <v>62</v>
      </c>
      <c r="E35" s="12">
        <v>61.67</v>
      </c>
      <c r="F35" s="12">
        <v>262</v>
      </c>
      <c r="G35" s="13">
        <f t="shared" si="8"/>
        <v>2.4999999999999942</v>
      </c>
      <c r="H35" s="13">
        <f t="shared" si="8"/>
        <v>2.9999999999999907</v>
      </c>
      <c r="I35" s="13">
        <f t="shared" si="8"/>
        <v>20.540285714285712</v>
      </c>
      <c r="J35" s="13">
        <f t="shared" si="8"/>
        <v>5.9809523809523792</v>
      </c>
      <c r="K35" s="13">
        <f t="shared" si="8"/>
        <v>4.9999999999999947</v>
      </c>
      <c r="L35" s="13">
        <f t="shared" si="2"/>
        <v>49.440298507462551</v>
      </c>
      <c r="M35" s="13">
        <f t="shared" si="2"/>
        <v>28.197761194029649</v>
      </c>
      <c r="N35" s="13">
        <f t="shared" si="2"/>
        <v>25.731343283582071</v>
      </c>
      <c r="O35" s="13">
        <f t="shared" si="2"/>
        <v>7.623022527810372</v>
      </c>
      <c r="P35" s="13">
        <f t="shared" si="2"/>
        <v>0.99552238805968196</v>
      </c>
      <c r="Q35" s="13">
        <f t="shared" si="10"/>
        <v>3.4664179104477411</v>
      </c>
      <c r="R35" s="13">
        <f t="shared" si="9"/>
        <v>68.719768656716198</v>
      </c>
      <c r="S35" s="13">
        <f t="shared" si="9"/>
        <v>29.010063139359129</v>
      </c>
      <c r="T35" s="12">
        <f t="shared" si="3"/>
        <v>10.028829542896801</v>
      </c>
      <c r="U35" s="12">
        <f t="shared" si="4"/>
        <v>4.2336722596762142</v>
      </c>
      <c r="V35" s="12">
        <f t="shared" si="5"/>
        <v>0.15156376151663001</v>
      </c>
      <c r="W35" s="12">
        <f t="shared" si="6"/>
        <v>3.755182253157753</v>
      </c>
      <c r="X35" s="12">
        <f t="shared" si="7"/>
        <v>1.2720992645828064</v>
      </c>
      <c r="Y35" s="12"/>
      <c r="Z35" s="12">
        <v>4.0322580645161199E-2</v>
      </c>
      <c r="AA35" s="12">
        <v>4.8387096774193401E-2</v>
      </c>
      <c r="AB35" s="12">
        <v>0.33129493087557599</v>
      </c>
      <c r="AC35" s="12">
        <v>9.6466973886328702E-2</v>
      </c>
      <c r="AD35" s="12">
        <v>8.0645161290322495E-2</v>
      </c>
      <c r="AE35" s="14" t="s">
        <v>462</v>
      </c>
      <c r="AF35" s="14" t="s">
        <v>463</v>
      </c>
      <c r="AG35" s="12">
        <v>9.8211233906801795E-2</v>
      </c>
      <c r="AH35" s="14" t="s">
        <v>464</v>
      </c>
      <c r="AI35" s="12">
        <v>3.79970377122016E-3</v>
      </c>
      <c r="AJ35" s="14" t="s">
        <v>465</v>
      </c>
      <c r="AK35" s="14" t="s">
        <v>466</v>
      </c>
      <c r="AL35" s="14" t="s">
        <v>467</v>
      </c>
    </row>
    <row r="36" spans="1:38">
      <c r="A36" s="12" t="s">
        <v>229</v>
      </c>
      <c r="B36" s="12" t="s">
        <v>230</v>
      </c>
      <c r="C36" s="12" t="s">
        <v>18</v>
      </c>
      <c r="D36" s="12">
        <v>65</v>
      </c>
      <c r="E36" s="12">
        <v>65.67</v>
      </c>
      <c r="F36" s="12">
        <v>265</v>
      </c>
      <c r="G36" s="13">
        <f t="shared" si="8"/>
        <v>3.4999999999999969</v>
      </c>
      <c r="H36" s="13">
        <f t="shared" si="8"/>
        <v>2.9999999999999964</v>
      </c>
      <c r="I36" s="13">
        <f t="shared" si="8"/>
        <v>13.866716417910395</v>
      </c>
      <c r="J36" s="13">
        <f t="shared" si="8"/>
        <v>12.34029850746264</v>
      </c>
      <c r="K36" s="13">
        <f t="shared" si="8"/>
        <v>5.9999999999999991</v>
      </c>
      <c r="L36" s="13">
        <f t="shared" si="2"/>
        <v>50.860226034858236</v>
      </c>
      <c r="M36" s="13">
        <f t="shared" si="2"/>
        <v>22.992647058823518</v>
      </c>
      <c r="N36" s="13">
        <f t="shared" si="2"/>
        <v>21.036900871459657</v>
      </c>
      <c r="O36" s="13">
        <f t="shared" si="2"/>
        <v>6.0743600217864797</v>
      </c>
      <c r="P36" s="13">
        <f t="shared" si="2"/>
        <v>1.6827228327228239</v>
      </c>
      <c r="Q36" s="13">
        <f t="shared" si="10"/>
        <v>2.933619281045726</v>
      </c>
      <c r="R36" s="13">
        <f t="shared" si="9"/>
        <v>81.686659313725443</v>
      </c>
      <c r="S36" s="13">
        <f t="shared" si="9"/>
        <v>18.556118574090107</v>
      </c>
      <c r="T36" s="12">
        <f t="shared" si="3"/>
        <v>11.195065232580005</v>
      </c>
      <c r="U36" s="12">
        <f t="shared" si="4"/>
        <v>2.5430952819675796</v>
      </c>
      <c r="V36" s="12">
        <f t="shared" si="5"/>
        <v>0.23822845562126543</v>
      </c>
      <c r="W36" s="12">
        <f t="shared" si="6"/>
        <v>2.8830837192498389</v>
      </c>
      <c r="X36" s="12">
        <f t="shared" si="7"/>
        <v>1.0570480372917368</v>
      </c>
      <c r="Y36" s="12"/>
      <c r="Z36" s="12">
        <v>5.3846153846153801E-2</v>
      </c>
      <c r="AA36" s="12">
        <v>4.6153846153846101E-2</v>
      </c>
      <c r="AB36" s="14" t="s">
        <v>468</v>
      </c>
      <c r="AC36" s="14" t="s">
        <v>469</v>
      </c>
      <c r="AD36" s="12">
        <v>9.2307692307692299E-2</v>
      </c>
      <c r="AE36" s="14" t="s">
        <v>470</v>
      </c>
      <c r="AF36" s="12">
        <v>8.6764705882352897E-2</v>
      </c>
      <c r="AG36" s="12">
        <v>7.9384531590413795E-2</v>
      </c>
      <c r="AH36" s="12">
        <v>2.29221132897603E-2</v>
      </c>
      <c r="AI36" s="12">
        <v>6.3498974819729201E-3</v>
      </c>
      <c r="AJ36" s="12">
        <v>1.10702614379084E-2</v>
      </c>
      <c r="AK36" s="14" t="s">
        <v>471</v>
      </c>
      <c r="AL36" s="12">
        <v>7.0023088958830595E-2</v>
      </c>
    </row>
    <row r="37" spans="1:38">
      <c r="A37" s="12" t="s">
        <v>236</v>
      </c>
      <c r="B37" s="12" t="s">
        <v>237</v>
      </c>
      <c r="C37" s="12" t="s">
        <v>18</v>
      </c>
      <c r="D37" s="12">
        <v>62</v>
      </c>
      <c r="E37" s="12">
        <v>61.67</v>
      </c>
      <c r="F37" s="12">
        <v>257</v>
      </c>
      <c r="G37" s="13">
        <f t="shared" si="8"/>
        <v>3.4999999999999933</v>
      </c>
      <c r="H37" s="13">
        <f t="shared" si="8"/>
        <v>2.9999999999999907</v>
      </c>
      <c r="I37" s="13">
        <f t="shared" si="8"/>
        <v>17.773874999999972</v>
      </c>
      <c r="J37" s="13">
        <f t="shared" si="8"/>
        <v>7.7624999999999504</v>
      </c>
      <c r="K37" s="13">
        <f t="shared" si="8"/>
        <v>4.9999999999999947</v>
      </c>
      <c r="L37" s="13">
        <f t="shared" si="2"/>
        <v>52.490857494138275</v>
      </c>
      <c r="M37" s="13">
        <f t="shared" si="2"/>
        <v>27.223673300165643</v>
      </c>
      <c r="N37" s="13">
        <f t="shared" si="2"/>
        <v>24.80056613484301</v>
      </c>
      <c r="O37" s="13">
        <f t="shared" si="2"/>
        <v>6.8077316664771104</v>
      </c>
      <c r="P37" s="13">
        <f t="shared" si="2"/>
        <v>1.9729607315301292</v>
      </c>
      <c r="Q37" s="13">
        <f t="shared" si="10"/>
        <v>2.4231071653227967</v>
      </c>
      <c r="R37" s="13">
        <f t="shared" si="9"/>
        <v>65.308061116829549</v>
      </c>
      <c r="S37" s="13">
        <f t="shared" si="9"/>
        <v>21.740894096931058</v>
      </c>
      <c r="T37" s="12">
        <f t="shared" si="3"/>
        <v>9.5309315721009558</v>
      </c>
      <c r="U37" s="12">
        <f t="shared" si="4"/>
        <v>3.1728238506953059</v>
      </c>
      <c r="V37" s="12">
        <f t="shared" si="5"/>
        <v>0.16952205066108361</v>
      </c>
      <c r="W37" s="12">
        <f t="shared" si="6"/>
        <v>3.6193464441963208</v>
      </c>
      <c r="X37" s="12">
        <f t="shared" si="7"/>
        <v>1.2036930694189933</v>
      </c>
      <c r="Y37" s="12"/>
      <c r="Z37" s="12">
        <v>5.6451612903225701E-2</v>
      </c>
      <c r="AA37" s="12">
        <v>4.8387096774193401E-2</v>
      </c>
      <c r="AB37" s="14" t="s">
        <v>472</v>
      </c>
      <c r="AC37" s="14" t="s">
        <v>473</v>
      </c>
      <c r="AD37" s="12">
        <v>8.0645161290322495E-2</v>
      </c>
      <c r="AE37" s="14" t="s">
        <v>474</v>
      </c>
      <c r="AF37" s="14" t="s">
        <v>475</v>
      </c>
      <c r="AG37" s="12">
        <v>9.6500257334019499E-2</v>
      </c>
      <c r="AH37" s="12">
        <v>2.648922827423E-2</v>
      </c>
      <c r="AI37" s="12">
        <v>7.6768900059538099E-3</v>
      </c>
      <c r="AJ37" s="12">
        <v>9.4284325498941498E-3</v>
      </c>
      <c r="AK37" s="14" t="s">
        <v>476</v>
      </c>
      <c r="AL37" s="12">
        <v>8.4594918665101396E-2</v>
      </c>
    </row>
    <row r="38" spans="1:38">
      <c r="A38" s="12" t="s">
        <v>243</v>
      </c>
      <c r="B38" s="12" t="s">
        <v>230</v>
      </c>
      <c r="C38" s="12" t="s">
        <v>18</v>
      </c>
      <c r="D38" s="12">
        <v>63</v>
      </c>
      <c r="E38" s="12">
        <v>68.33</v>
      </c>
      <c r="F38" s="12">
        <v>283</v>
      </c>
      <c r="G38" s="13">
        <f t="shared" si="8"/>
        <v>3.9999999999999947</v>
      </c>
      <c r="H38" s="13">
        <f t="shared" si="8"/>
        <v>2.4999999999999947</v>
      </c>
      <c r="I38" s="13">
        <f t="shared" si="8"/>
        <v>11.694176470588184</v>
      </c>
      <c r="J38" s="13">
        <f t="shared" si="8"/>
        <v>13.838235294117592</v>
      </c>
      <c r="K38" s="13">
        <f t="shared" si="8"/>
        <v>1.9999999999999973</v>
      </c>
      <c r="L38" s="13">
        <f t="shared" si="2"/>
        <v>54.528852182300199</v>
      </c>
      <c r="M38" s="13">
        <f t="shared" si="2"/>
        <v>29.460115746322604</v>
      </c>
      <c r="N38" s="13">
        <f t="shared" si="2"/>
        <v>27.494743187846616</v>
      </c>
      <c r="O38" s="13">
        <f t="shared" si="2"/>
        <v>9.3446506383368781</v>
      </c>
      <c r="P38" s="13">
        <f t="shared" si="2"/>
        <v>1.9841087906750676</v>
      </c>
      <c r="Q38" s="13">
        <f t="shared" si="10"/>
        <v>3.435989872196719</v>
      </c>
      <c r="R38" s="13">
        <f t="shared" si="9"/>
        <v>80.964425150711108</v>
      </c>
      <c r="S38" s="13">
        <f t="shared" si="9"/>
        <v>25.160875529400151</v>
      </c>
      <c r="T38" s="12">
        <f t="shared" si="3"/>
        <v>10.664127416309087</v>
      </c>
      <c r="U38" s="12">
        <f t="shared" si="4"/>
        <v>3.31403307133911</v>
      </c>
      <c r="V38" s="12">
        <f t="shared" si="5"/>
        <v>0.19718568770781258</v>
      </c>
      <c r="W38" s="12">
        <f t="shared" si="6"/>
        <v>3.6214355142780557</v>
      </c>
      <c r="X38" s="12">
        <f t="shared" si="7"/>
        <v>1.1662480273920732</v>
      </c>
      <c r="Y38" s="12"/>
      <c r="Z38" s="12">
        <v>6.3492063492063405E-2</v>
      </c>
      <c r="AA38" s="12">
        <v>3.9682539682539597E-2</v>
      </c>
      <c r="AB38" s="14" t="s">
        <v>477</v>
      </c>
      <c r="AC38" s="14" t="s">
        <v>478</v>
      </c>
      <c r="AD38" s="12">
        <v>3.1746031746031703E-2</v>
      </c>
      <c r="AE38" s="14" t="s">
        <v>479</v>
      </c>
      <c r="AF38" s="14" t="s">
        <v>480</v>
      </c>
      <c r="AG38" s="12">
        <v>9.7154569568362603E-2</v>
      </c>
      <c r="AH38" s="12">
        <v>3.3019966919918299E-2</v>
      </c>
      <c r="AI38" s="12">
        <v>7.0109851260603097E-3</v>
      </c>
      <c r="AJ38" s="14" t="s">
        <v>481</v>
      </c>
      <c r="AK38" s="14" t="s">
        <v>482</v>
      </c>
      <c r="AL38" s="12">
        <v>8.8907687383039405E-2</v>
      </c>
    </row>
    <row r="39" spans="1:38">
      <c r="A39" s="12" t="s">
        <v>252</v>
      </c>
      <c r="B39" s="12" t="s">
        <v>253</v>
      </c>
      <c r="C39" s="12" t="s">
        <v>18</v>
      </c>
      <c r="D39" s="12">
        <v>61</v>
      </c>
      <c r="E39" s="12">
        <v>63.33</v>
      </c>
      <c r="F39" s="12">
        <v>275</v>
      </c>
      <c r="G39" s="13">
        <f t="shared" si="8"/>
        <v>2.9999999999999964</v>
      </c>
      <c r="H39" s="13">
        <f t="shared" si="8"/>
        <v>2.4999999999999969</v>
      </c>
      <c r="I39" s="13">
        <f t="shared" si="8"/>
        <v>15.814857142857113</v>
      </c>
      <c r="J39" s="13">
        <f t="shared" si="8"/>
        <v>11.342857142857115</v>
      </c>
      <c r="K39" s="13">
        <f t="shared" si="8"/>
        <v>4.9999999999999938</v>
      </c>
      <c r="L39" s="13">
        <f t="shared" si="2"/>
        <v>55.407363675396972</v>
      </c>
      <c r="M39" s="13">
        <f t="shared" si="2"/>
        <v>28.703641584370775</v>
      </c>
      <c r="N39" s="13">
        <f t="shared" si="2"/>
        <v>26.688962537569747</v>
      </c>
      <c r="O39" s="13">
        <f t="shared" si="2"/>
        <v>5.7274930227565326</v>
      </c>
      <c r="P39" s="13">
        <f t="shared" si="2"/>
        <v>2.0111117141073889</v>
      </c>
      <c r="Q39" s="13">
        <f t="shared" si="10"/>
        <v>4.0256682052382677</v>
      </c>
      <c r="R39" s="13">
        <f t="shared" si="9"/>
        <v>65.92974635036488</v>
      </c>
      <c r="S39" s="13">
        <f t="shared" si="9"/>
        <v>28.510676470588127</v>
      </c>
      <c r="T39" s="12">
        <f t="shared" si="3"/>
        <v>9.3694570843720815</v>
      </c>
      <c r="U39" s="12">
        <f t="shared" si="4"/>
        <v>4.0517304316326088</v>
      </c>
      <c r="V39" s="12">
        <f t="shared" si="5"/>
        <v>0.13606934501737</v>
      </c>
      <c r="W39" s="12">
        <f t="shared" si="6"/>
        <v>3.7928416680582306</v>
      </c>
      <c r="X39" s="12">
        <f t="shared" si="7"/>
        <v>1.3250914281696684</v>
      </c>
      <c r="Y39" s="12"/>
      <c r="Z39" s="12">
        <v>4.9180327868852403E-2</v>
      </c>
      <c r="AA39" s="12">
        <v>4.0983606557376998E-2</v>
      </c>
      <c r="AB39" s="14" t="s">
        <v>483</v>
      </c>
      <c r="AC39" s="14" t="s">
        <v>484</v>
      </c>
      <c r="AD39" s="12">
        <v>8.1967213114753995E-2</v>
      </c>
      <c r="AE39" s="14" t="s">
        <v>485</v>
      </c>
      <c r="AF39" s="14" t="s">
        <v>486</v>
      </c>
      <c r="AG39" s="12">
        <v>9.7050772863889995E-2</v>
      </c>
      <c r="AH39" s="14" t="s">
        <v>487</v>
      </c>
      <c r="AI39" s="12">
        <v>7.3131335058450502E-3</v>
      </c>
      <c r="AJ39" s="14" t="s">
        <v>488</v>
      </c>
      <c r="AK39" s="14" t="s">
        <v>489</v>
      </c>
      <c r="AL39" s="14" t="s">
        <v>490</v>
      </c>
    </row>
    <row r="40" spans="1:38">
      <c r="A40" s="12" t="s">
        <v>491</v>
      </c>
      <c r="B40" s="12" t="s">
        <v>492</v>
      </c>
      <c r="C40" s="12" t="s">
        <v>18</v>
      </c>
      <c r="D40" s="12">
        <v>69</v>
      </c>
      <c r="E40" s="12">
        <v>82.33</v>
      </c>
      <c r="F40" s="12">
        <v>344</v>
      </c>
      <c r="G40" s="13">
        <f t="shared" si="8"/>
        <v>3.4999999999999987</v>
      </c>
      <c r="H40" s="13">
        <f t="shared" si="8"/>
        <v>3.4999999999999987</v>
      </c>
      <c r="I40" s="13">
        <f t="shared" si="8"/>
        <v>6.0980624999999966</v>
      </c>
      <c r="J40" s="13">
        <f t="shared" si="8"/>
        <v>13.387499999999946</v>
      </c>
      <c r="K40" s="13">
        <f t="shared" si="8"/>
        <v>1.9999999999999993</v>
      </c>
      <c r="L40" s="13">
        <f t="shared" si="2"/>
        <v>63.387039243513151</v>
      </c>
      <c r="M40" s="13">
        <f t="shared" si="2"/>
        <v>28.87791328633115</v>
      </c>
      <c r="N40" s="13">
        <f t="shared" si="2"/>
        <v>27.047834435025443</v>
      </c>
      <c r="O40" s="13">
        <f t="shared" si="2"/>
        <v>6.6337704410680729</v>
      </c>
      <c r="P40" s="13">
        <f t="shared" si="2"/>
        <v>1.960817338391599</v>
      </c>
      <c r="Q40" s="13">
        <f t="shared" si="10"/>
        <v>3.8011338195450701</v>
      </c>
      <c r="R40" s="13">
        <f t="shared" si="9"/>
        <v>100.17662095972429</v>
      </c>
      <c r="S40" s="13">
        <f t="shared" si="9"/>
        <v>29.737928953465705</v>
      </c>
      <c r="T40" s="12">
        <f t="shared" si="3"/>
        <v>10.950924190908765</v>
      </c>
      <c r="U40" s="12">
        <f t="shared" si="4"/>
        <v>3.2508363971965424</v>
      </c>
      <c r="V40" s="12">
        <f t="shared" si="5"/>
        <v>0.2047636395530773</v>
      </c>
      <c r="W40" s="12">
        <f t="shared" si="6"/>
        <v>2.9567655765240977</v>
      </c>
      <c r="X40" s="12">
        <f t="shared" si="7"/>
        <v>1.131118282484864</v>
      </c>
      <c r="Y40" s="12"/>
      <c r="Z40" s="12">
        <v>5.0724637681159403E-2</v>
      </c>
      <c r="AA40" s="12">
        <v>5.0724637681159403E-2</v>
      </c>
      <c r="AB40" s="12">
        <v>8.8377717391304303E-2</v>
      </c>
      <c r="AC40" s="14" t="s">
        <v>493</v>
      </c>
      <c r="AD40" s="12">
        <v>2.8985507246376802E-2</v>
      </c>
      <c r="AE40" s="14" t="s">
        <v>494</v>
      </c>
      <c r="AF40" s="12">
        <v>8.3947422343985903E-2</v>
      </c>
      <c r="AG40" s="12">
        <v>7.86274256832135E-2</v>
      </c>
      <c r="AH40" s="12">
        <v>1.92842163984537E-2</v>
      </c>
      <c r="AI40" s="12">
        <v>5.7000504023011602E-3</v>
      </c>
      <c r="AJ40" s="12">
        <v>1.10498076149566E-2</v>
      </c>
      <c r="AK40" s="14" t="s">
        <v>495</v>
      </c>
      <c r="AL40" s="12">
        <v>8.6447467887981702E-2</v>
      </c>
    </row>
    <row r="41" spans="1:38">
      <c r="A41" s="12" t="s">
        <v>496</v>
      </c>
      <c r="B41" s="12" t="s">
        <v>497</v>
      </c>
      <c r="C41" s="12" t="s">
        <v>18</v>
      </c>
      <c r="D41" s="12">
        <v>49</v>
      </c>
      <c r="E41" s="12">
        <v>50.33</v>
      </c>
      <c r="F41" s="12">
        <v>208</v>
      </c>
      <c r="G41" s="13">
        <f t="shared" si="8"/>
        <v>2.4999999999999951</v>
      </c>
      <c r="H41" s="13">
        <f t="shared" si="8"/>
        <v>1.4999999999999958</v>
      </c>
      <c r="I41" s="13">
        <f t="shared" si="8"/>
        <v>0.93349180327868364</v>
      </c>
      <c r="J41" s="13">
        <f t="shared" si="8"/>
        <v>13.809836065573757</v>
      </c>
      <c r="K41" s="13">
        <f t="shared" si="8"/>
        <v>2.9999999999999964</v>
      </c>
      <c r="L41" s="13">
        <f t="shared" si="2"/>
        <v>39.91154261057163</v>
      </c>
      <c r="M41" s="13">
        <f t="shared" si="2"/>
        <v>21.332100477731473</v>
      </c>
      <c r="N41" s="13">
        <f t="shared" si="2"/>
        <v>19.496994914470633</v>
      </c>
      <c r="O41" s="13">
        <f t="shared" si="2"/>
        <v>5.2681314937829757</v>
      </c>
      <c r="P41" s="13">
        <f t="shared" si="2"/>
        <v>1.1266480299195285</v>
      </c>
      <c r="Q41" s="13">
        <f t="shared" si="10"/>
        <v>2.7526583448913535</v>
      </c>
      <c r="R41" s="13">
        <f t="shared" si="9"/>
        <v>53.331830790568517</v>
      </c>
      <c r="S41" s="13">
        <f t="shared" si="9"/>
        <v>19.367969924812019</v>
      </c>
      <c r="T41" s="12">
        <f t="shared" si="3"/>
        <v>9.5367867497539578</v>
      </c>
      <c r="U41" s="12">
        <f t="shared" si="4"/>
        <v>3.46337630286724</v>
      </c>
      <c r="V41" s="12">
        <f t="shared" si="5"/>
        <v>0.16328779262382931</v>
      </c>
      <c r="W41" s="12">
        <f t="shared" si="6"/>
        <v>3.4864485243440431</v>
      </c>
      <c r="X41" s="12">
        <f t="shared" si="7"/>
        <v>1.1778166607467444</v>
      </c>
      <c r="Y41" s="12"/>
      <c r="Z41" s="12">
        <v>5.1020408163265203E-2</v>
      </c>
      <c r="AA41" s="12">
        <v>3.06122448979591E-2</v>
      </c>
      <c r="AB41" s="12">
        <v>1.90508531281364E-2</v>
      </c>
      <c r="AC41" s="14" t="s">
        <v>498</v>
      </c>
      <c r="AD41" s="12">
        <v>6.1224489795918297E-2</v>
      </c>
      <c r="AE41" s="14" t="s">
        <v>499</v>
      </c>
      <c r="AF41" s="14" t="s">
        <v>500</v>
      </c>
      <c r="AG41" s="12">
        <v>9.37355524734165E-2</v>
      </c>
      <c r="AH41" s="12">
        <v>2.5327555258571999E-2</v>
      </c>
      <c r="AI41" s="12">
        <v>5.4165770669208097E-3</v>
      </c>
      <c r="AJ41" s="14" t="s">
        <v>501</v>
      </c>
      <c r="AK41" s="14" t="s">
        <v>502</v>
      </c>
      <c r="AL41" s="12">
        <v>9.3115240023134704E-2</v>
      </c>
    </row>
    <row r="42" spans="1:38">
      <c r="A42" s="12" t="s">
        <v>503</v>
      </c>
      <c r="B42" s="12" t="s">
        <v>39</v>
      </c>
      <c r="C42" s="12" t="s">
        <v>18</v>
      </c>
      <c r="D42" s="12">
        <v>64</v>
      </c>
      <c r="E42" s="12">
        <v>67.33</v>
      </c>
      <c r="F42" s="12">
        <v>279</v>
      </c>
      <c r="G42" s="13">
        <f t="shared" si="8"/>
        <v>2.5</v>
      </c>
      <c r="H42" s="13">
        <f t="shared" si="8"/>
        <v>2.5</v>
      </c>
      <c r="I42" s="13">
        <f t="shared" si="8"/>
        <v>2.9382352941176446</v>
      </c>
      <c r="J42" s="13">
        <f t="shared" si="8"/>
        <v>15.811764705882304</v>
      </c>
      <c r="K42" s="13">
        <f t="shared" si="8"/>
        <v>2</v>
      </c>
      <c r="L42" s="13">
        <f t="shared" si="2"/>
        <v>59.333172720533632</v>
      </c>
      <c r="M42" s="13">
        <f t="shared" si="2"/>
        <v>30.893717568569258</v>
      </c>
      <c r="N42" s="13">
        <f t="shared" si="2"/>
        <v>28.932375833951003</v>
      </c>
      <c r="O42" s="13">
        <f t="shared" si="2"/>
        <v>7.8620298724034878</v>
      </c>
      <c r="P42" s="13">
        <f t="shared" si="2"/>
        <v>0.98914339696715659</v>
      </c>
      <c r="Q42" s="13">
        <f t="shared" si="10"/>
        <v>3.4332097850259164</v>
      </c>
      <c r="R42" s="13">
        <f t="shared" si="9"/>
        <v>65.74335811712362</v>
      </c>
      <c r="S42" s="13">
        <f t="shared" si="9"/>
        <v>21.258675251959659</v>
      </c>
      <c r="T42" s="12">
        <f t="shared" si="3"/>
        <v>8.7879136054375842</v>
      </c>
      <c r="U42" s="12">
        <f t="shared" si="4"/>
        <v>2.8416467736170645</v>
      </c>
      <c r="V42" s="12">
        <f t="shared" si="5"/>
        <v>0.1594433077604443</v>
      </c>
      <c r="W42" s="12">
        <f t="shared" si="6"/>
        <v>3.8673902050432059</v>
      </c>
      <c r="X42" s="12">
        <f t="shared" si="7"/>
        <v>1.1969678890909445</v>
      </c>
      <c r="Y42" s="12"/>
      <c r="Z42" s="12">
        <v>3.90625E-2</v>
      </c>
      <c r="AA42" s="12">
        <v>3.90625E-2</v>
      </c>
      <c r="AB42" s="14" t="s">
        <v>504</v>
      </c>
      <c r="AC42" s="14" t="s">
        <v>505</v>
      </c>
      <c r="AD42" s="12">
        <v>3.125E-2</v>
      </c>
      <c r="AE42" s="14" t="s">
        <v>506</v>
      </c>
      <c r="AF42" s="14" t="s">
        <v>507</v>
      </c>
      <c r="AG42" s="14" t="s">
        <v>508</v>
      </c>
      <c r="AH42" s="12">
        <v>2.8179318539080601E-2</v>
      </c>
      <c r="AI42" s="12">
        <v>3.5453168350077298E-3</v>
      </c>
      <c r="AJ42" s="12">
        <v>1.23054114158635E-2</v>
      </c>
      <c r="AK42" s="14" t="s">
        <v>509</v>
      </c>
      <c r="AL42" s="12">
        <v>7.6195968645016696E-2</v>
      </c>
    </row>
    <row r="43" spans="1:38">
      <c r="A43" s="12" t="s">
        <v>510</v>
      </c>
      <c r="B43" s="12" t="s">
        <v>253</v>
      </c>
      <c r="C43" s="12" t="s">
        <v>18</v>
      </c>
      <c r="D43" s="12">
        <v>59</v>
      </c>
      <c r="E43" s="12">
        <v>66.33</v>
      </c>
      <c r="F43" s="12">
        <v>280</v>
      </c>
      <c r="G43" s="13">
        <f t="shared" si="8"/>
        <v>2.9999999999999973</v>
      </c>
      <c r="H43" s="13">
        <f t="shared" si="8"/>
        <v>1.9999999999999962</v>
      </c>
      <c r="I43" s="13">
        <f t="shared" si="8"/>
        <v>5.1435692307692289</v>
      </c>
      <c r="J43" s="13">
        <f t="shared" si="8"/>
        <v>11.723076923076917</v>
      </c>
      <c r="K43" s="13">
        <f t="shared" si="8"/>
        <v>0</v>
      </c>
      <c r="L43" s="13">
        <f t="shared" si="2"/>
        <v>59.128870816390197</v>
      </c>
      <c r="M43" s="13">
        <f t="shared" si="2"/>
        <v>28.803565842977523</v>
      </c>
      <c r="N43" s="13">
        <f t="shared" si="2"/>
        <v>26.278281722448114</v>
      </c>
      <c r="O43" s="13">
        <f t="shared" si="2"/>
        <v>5.7694713794181798</v>
      </c>
      <c r="P43" s="13">
        <f t="shared" si="2"/>
        <v>1.5086956521739003</v>
      </c>
      <c r="Q43" s="13">
        <f t="shared" si="10"/>
        <v>3.0325304973412401</v>
      </c>
      <c r="R43" s="13">
        <f t="shared" si="9"/>
        <v>63.399228026274564</v>
      </c>
      <c r="S43" s="13">
        <f t="shared" si="9"/>
        <v>24.539784172661857</v>
      </c>
      <c r="T43" s="12">
        <f t="shared" si="3"/>
        <v>8.6023375883683268</v>
      </c>
      <c r="U43" s="12">
        <f t="shared" si="4"/>
        <v>3.3296857764805776</v>
      </c>
      <c r="V43" s="12">
        <f t="shared" si="5"/>
        <v>0.1387837280486168</v>
      </c>
      <c r="W43" s="12">
        <f t="shared" si="6"/>
        <v>3.5655741821503546</v>
      </c>
      <c r="X43" s="12">
        <f t="shared" si="7"/>
        <v>1.2613998943020059</v>
      </c>
      <c r="Y43" s="12"/>
      <c r="Z43" s="12">
        <v>5.0847457627118599E-2</v>
      </c>
      <c r="AA43" s="12">
        <v>3.38983050847457E-2</v>
      </c>
      <c r="AB43" s="12">
        <v>8.7179139504563199E-2</v>
      </c>
      <c r="AC43" s="14" t="s">
        <v>511</v>
      </c>
      <c r="AD43" s="12">
        <v>0</v>
      </c>
      <c r="AE43" s="14" t="s">
        <v>512</v>
      </c>
      <c r="AF43" s="14" t="s">
        <v>513</v>
      </c>
      <c r="AG43" s="12">
        <v>9.38510061516004E-2</v>
      </c>
      <c r="AH43" s="12">
        <v>2.06052549264935E-2</v>
      </c>
      <c r="AI43" s="12">
        <v>5.38819875776393E-3</v>
      </c>
      <c r="AJ43" s="12">
        <v>1.0830466061933001E-2</v>
      </c>
      <c r="AK43" s="14" t="s">
        <v>514</v>
      </c>
      <c r="AL43" s="12">
        <v>8.7642086330935204E-2</v>
      </c>
    </row>
    <row r="44" spans="1:38">
      <c r="A44" s="12" t="s">
        <v>515</v>
      </c>
      <c r="B44" s="12" t="s">
        <v>230</v>
      </c>
      <c r="C44" s="12" t="s">
        <v>18</v>
      </c>
      <c r="D44" s="12">
        <v>64</v>
      </c>
      <c r="E44" s="12">
        <v>63.67</v>
      </c>
      <c r="F44" s="12">
        <v>263</v>
      </c>
      <c r="G44" s="13">
        <f t="shared" si="8"/>
        <v>3.5</v>
      </c>
      <c r="H44" s="13">
        <f t="shared" si="8"/>
        <v>3</v>
      </c>
      <c r="I44" s="13">
        <f t="shared" si="8"/>
        <v>7.9112727272727037</v>
      </c>
      <c r="J44" s="13">
        <f t="shared" si="8"/>
        <v>17.721212121212098</v>
      </c>
      <c r="K44" s="13">
        <f t="shared" si="8"/>
        <v>4</v>
      </c>
      <c r="L44" s="13">
        <f t="shared" si="2"/>
        <v>49.890506294768578</v>
      </c>
      <c r="M44" s="13">
        <f t="shared" si="2"/>
        <v>26.160136748426286</v>
      </c>
      <c r="N44" s="13">
        <f t="shared" si="2"/>
        <v>24.222745278923355</v>
      </c>
      <c r="O44" s="13">
        <f t="shared" si="2"/>
        <v>7.4884634876173317</v>
      </c>
      <c r="P44" s="13">
        <f t="shared" si="2"/>
        <v>0.98311471435880726</v>
      </c>
      <c r="Q44" s="13">
        <f t="shared" si="10"/>
        <v>3.3913270566529068</v>
      </c>
      <c r="R44" s="13">
        <f t="shared" si="9"/>
        <v>76.28241139841542</v>
      </c>
      <c r="S44" s="13">
        <f t="shared" si="9"/>
        <v>23.671854286527797</v>
      </c>
      <c r="T44" s="12">
        <f t="shared" si="3"/>
        <v>10.782812982342371</v>
      </c>
      <c r="U44" s="12">
        <f t="shared" si="4"/>
        <v>3.3461078777878148</v>
      </c>
      <c r="V44" s="12">
        <f t="shared" si="5"/>
        <v>0.20004014110983886</v>
      </c>
      <c r="W44" s="12">
        <f t="shared" si="6"/>
        <v>3.4239784436989193</v>
      </c>
      <c r="X44" s="12">
        <f t="shared" si="7"/>
        <v>1.1553692568131988</v>
      </c>
      <c r="Y44" s="12"/>
      <c r="Z44" s="12">
        <v>5.46875E-2</v>
      </c>
      <c r="AA44" s="12">
        <v>4.6875E-2</v>
      </c>
      <c r="AB44" s="14" t="s">
        <v>516</v>
      </c>
      <c r="AC44" s="14" t="s">
        <v>517</v>
      </c>
      <c r="AD44" s="12">
        <v>6.25E-2</v>
      </c>
      <c r="AE44" s="14" t="s">
        <v>518</v>
      </c>
      <c r="AF44" s="12">
        <v>9.9468200564358497E-2</v>
      </c>
      <c r="AG44" s="12">
        <v>9.2101693075754207E-2</v>
      </c>
      <c r="AH44" s="12">
        <v>2.8473245200065899E-2</v>
      </c>
      <c r="AI44" s="12">
        <v>3.7380787618205599E-3</v>
      </c>
      <c r="AJ44" s="12">
        <v>1.28947796830909E-2</v>
      </c>
      <c r="AK44" s="14" t="s">
        <v>519</v>
      </c>
      <c r="AL44" s="12">
        <v>9.0007050519117102E-2</v>
      </c>
    </row>
    <row r="45" spans="1:38">
      <c r="A45" s="12" t="s">
        <v>520</v>
      </c>
      <c r="B45" s="12" t="s">
        <v>29</v>
      </c>
      <c r="C45" s="12" t="s">
        <v>18</v>
      </c>
      <c r="D45" s="12">
        <v>60</v>
      </c>
      <c r="E45" s="12">
        <v>63.33</v>
      </c>
      <c r="F45" s="12">
        <v>262</v>
      </c>
      <c r="G45" s="13">
        <f t="shared" si="8"/>
        <v>3</v>
      </c>
      <c r="H45" s="13">
        <f t="shared" si="8"/>
        <v>1.9999999999999978</v>
      </c>
      <c r="I45" s="13">
        <f t="shared" si="8"/>
        <v>0.29382352941176282</v>
      </c>
      <c r="J45" s="13">
        <f t="shared" si="8"/>
        <v>10.67058823529406</v>
      </c>
      <c r="K45" s="13">
        <f t="shared" si="8"/>
        <v>0</v>
      </c>
      <c r="L45" s="13">
        <f t="shared" si="2"/>
        <v>52.053348920003096</v>
      </c>
      <c r="M45" s="13">
        <f t="shared" si="2"/>
        <v>27.272669305773228</v>
      </c>
      <c r="N45" s="13">
        <f t="shared" si="2"/>
        <v>25.361911846754666</v>
      </c>
      <c r="O45" s="13">
        <f t="shared" si="2"/>
        <v>7.47175775126862</v>
      </c>
      <c r="P45" s="13">
        <f t="shared" si="2"/>
        <v>1.1619222882380633</v>
      </c>
      <c r="Q45" s="13">
        <f t="shared" si="10"/>
        <v>2.8661361885278405</v>
      </c>
      <c r="R45" s="13">
        <f t="shared" si="9"/>
        <v>65.464655702861293</v>
      </c>
      <c r="S45" s="13">
        <f t="shared" si="9"/>
        <v>21.96454384149418</v>
      </c>
      <c r="T45" s="12">
        <f t="shared" si="3"/>
        <v>9.3033617768159118</v>
      </c>
      <c r="U45" s="12">
        <f t="shared" si="4"/>
        <v>3.1214415691370223</v>
      </c>
      <c r="V45" s="12">
        <f t="shared" si="5"/>
        <v>0.16603096130292788</v>
      </c>
      <c r="W45" s="12">
        <f t="shared" si="6"/>
        <v>3.6042508545837992</v>
      </c>
      <c r="X45" s="12">
        <f t="shared" si="7"/>
        <v>1.1687650838701609</v>
      </c>
      <c r="Y45" s="12"/>
      <c r="Z45" s="12">
        <v>0.05</v>
      </c>
      <c r="AA45" s="12">
        <v>3.3333333333333298E-2</v>
      </c>
      <c r="AB45" s="12">
        <v>4.8970588235293802E-3</v>
      </c>
      <c r="AC45" s="14" t="s">
        <v>521</v>
      </c>
      <c r="AD45" s="12">
        <v>0</v>
      </c>
      <c r="AE45" s="14" t="s">
        <v>522</v>
      </c>
      <c r="AF45" s="14" t="s">
        <v>523</v>
      </c>
      <c r="AG45" s="12">
        <v>9.6801190254788796E-2</v>
      </c>
      <c r="AH45" s="12">
        <v>2.8518159355987099E-2</v>
      </c>
      <c r="AI45" s="12">
        <v>4.4348178940384099E-3</v>
      </c>
      <c r="AJ45" s="12">
        <v>1.09394511012513E-2</v>
      </c>
      <c r="AK45" s="14" t="s">
        <v>524</v>
      </c>
      <c r="AL45" s="12">
        <v>8.3834136799596101E-2</v>
      </c>
    </row>
    <row r="46" spans="1:38">
      <c r="A46" s="12" t="s">
        <v>525</v>
      </c>
      <c r="B46" s="12" t="s">
        <v>118</v>
      </c>
      <c r="C46" s="12" t="s">
        <v>18</v>
      </c>
      <c r="D46" s="12">
        <v>57</v>
      </c>
      <c r="E46" s="12">
        <v>65</v>
      </c>
      <c r="F46" s="12">
        <v>275</v>
      </c>
      <c r="G46" s="13">
        <f t="shared" si="8"/>
        <v>2.9999999999999987</v>
      </c>
      <c r="H46" s="13">
        <f t="shared" si="8"/>
        <v>2.9999999999999987</v>
      </c>
      <c r="I46" s="13">
        <f t="shared" si="8"/>
        <v>3.2222647058823481</v>
      </c>
      <c r="J46" s="13">
        <f t="shared" si="8"/>
        <v>16.082352941176449</v>
      </c>
      <c r="K46" s="13">
        <f t="shared" si="8"/>
        <v>1.9999999999999991</v>
      </c>
      <c r="L46" s="13">
        <f t="shared" si="2"/>
        <v>57.007062781630502</v>
      </c>
      <c r="M46" s="13">
        <f t="shared" si="2"/>
        <v>30.186103992323677</v>
      </c>
      <c r="N46" s="13">
        <f t="shared" si="2"/>
        <v>27.799606476139303</v>
      </c>
      <c r="O46" s="13">
        <f t="shared" si="2"/>
        <v>7.0799301343944796</v>
      </c>
      <c r="P46" s="13">
        <f t="shared" si="2"/>
        <v>1.1703066348169322</v>
      </c>
      <c r="Q46" s="13">
        <f t="shared" si="10"/>
        <v>2.8758213596006121</v>
      </c>
      <c r="R46" s="13">
        <f t="shared" si="9"/>
        <v>59.835306802861425</v>
      </c>
      <c r="S46" s="13">
        <f t="shared" si="9"/>
        <v>26.53636031204287</v>
      </c>
      <c r="T46" s="12">
        <f t="shared" si="3"/>
        <v>8.2848886342423516</v>
      </c>
      <c r="U46" s="12">
        <f t="shared" si="4"/>
        <v>3.6742652739751667</v>
      </c>
      <c r="V46" s="12">
        <f t="shared" si="5"/>
        <v>0.12108707814843112</v>
      </c>
      <c r="W46" s="12">
        <f t="shared" si="6"/>
        <v>3.8491762813115957</v>
      </c>
      <c r="X46" s="12">
        <f t="shared" si="7"/>
        <v>1.2852834322103595</v>
      </c>
      <c r="Y46" s="12"/>
      <c r="Z46" s="12">
        <v>5.2631578947368397E-2</v>
      </c>
      <c r="AA46" s="12">
        <v>5.2631578947368397E-2</v>
      </c>
      <c r="AB46" s="14" t="s">
        <v>526</v>
      </c>
      <c r="AC46" s="14" t="s">
        <v>527</v>
      </c>
      <c r="AD46" s="12">
        <v>3.5087719298245598E-2</v>
      </c>
      <c r="AE46" s="14" t="s">
        <v>528</v>
      </c>
      <c r="AF46" s="14" t="s">
        <v>529</v>
      </c>
      <c r="AG46" s="14" t="s">
        <v>530</v>
      </c>
      <c r="AH46" s="12">
        <v>2.5745200488707199E-2</v>
      </c>
      <c r="AI46" s="12">
        <v>4.2556604902433898E-3</v>
      </c>
      <c r="AJ46" s="12">
        <v>1.0457532216729499E-2</v>
      </c>
      <c r="AK46" s="14" t="s">
        <v>531</v>
      </c>
      <c r="AL46" s="12">
        <v>9.6495855680155895E-2</v>
      </c>
    </row>
    <row r="47" spans="1:38">
      <c r="A47" s="12" t="s">
        <v>532</v>
      </c>
      <c r="B47" s="12" t="s">
        <v>78</v>
      </c>
      <c r="C47" s="12" t="s">
        <v>18</v>
      </c>
      <c r="D47" s="12">
        <v>59</v>
      </c>
      <c r="E47" s="12">
        <v>62</v>
      </c>
      <c r="F47" s="12">
        <v>263</v>
      </c>
      <c r="G47" s="13">
        <f t="shared" si="8"/>
        <v>2.9999999999999973</v>
      </c>
      <c r="H47" s="13">
        <f t="shared" si="8"/>
        <v>3.4999999999999951</v>
      </c>
      <c r="I47" s="13">
        <f t="shared" si="8"/>
        <v>3.2977741935483857</v>
      </c>
      <c r="J47" s="13">
        <f t="shared" si="8"/>
        <v>13.474193548387071</v>
      </c>
      <c r="K47" s="13">
        <f t="shared" si="8"/>
        <v>3.9999999999999982</v>
      </c>
      <c r="L47" s="13">
        <f t="shared" si="2"/>
        <v>57.350392198430946</v>
      </c>
      <c r="M47" s="13">
        <f t="shared" si="2"/>
        <v>29.169563988410562</v>
      </c>
      <c r="N47" s="13">
        <f t="shared" si="2"/>
        <v>27.192092431630201</v>
      </c>
      <c r="O47" s="13">
        <f t="shared" si="2"/>
        <v>5.2339806374107525</v>
      </c>
      <c r="P47" s="13">
        <f t="shared" si="2"/>
        <v>1.6970323355347645</v>
      </c>
      <c r="Q47" s="13">
        <f t="shared" si="10"/>
        <v>3.4587166984665352</v>
      </c>
      <c r="R47" s="13">
        <f t="shared" si="9"/>
        <v>56.527878354886404</v>
      </c>
      <c r="S47" s="13">
        <f t="shared" si="9"/>
        <v>24.063646936612244</v>
      </c>
      <c r="T47" s="12">
        <f t="shared" si="3"/>
        <v>8.2056597611931874</v>
      </c>
      <c r="U47" s="12">
        <f t="shared" si="4"/>
        <v>3.4931100391856482</v>
      </c>
      <c r="V47" s="12">
        <f t="shared" si="5"/>
        <v>0.12343814227480671</v>
      </c>
      <c r="W47" s="12">
        <f t="shared" si="6"/>
        <v>3.9472392239463194</v>
      </c>
      <c r="X47" s="12">
        <f t="shared" si="7"/>
        <v>1.3131296634684386</v>
      </c>
      <c r="Y47" s="12"/>
      <c r="Z47" s="12">
        <v>5.0847457627118599E-2</v>
      </c>
      <c r="AA47" s="12">
        <v>5.9322033898305003E-2</v>
      </c>
      <c r="AB47" s="12">
        <v>5.5894477856752299E-2</v>
      </c>
      <c r="AC47" s="14" t="s">
        <v>533</v>
      </c>
      <c r="AD47" s="12">
        <v>6.7796610169491497E-2</v>
      </c>
      <c r="AE47" s="14" t="s">
        <v>534</v>
      </c>
      <c r="AF47" s="14" t="s">
        <v>535</v>
      </c>
      <c r="AG47" s="14" t="s">
        <v>536</v>
      </c>
      <c r="AH47" s="12">
        <v>1.99010670623983E-2</v>
      </c>
      <c r="AI47" s="12">
        <v>6.4525944316911202E-3</v>
      </c>
      <c r="AJ47" s="12">
        <v>1.31510140626104E-2</v>
      </c>
      <c r="AK47" s="14" t="s">
        <v>537</v>
      </c>
      <c r="AL47" s="12">
        <v>9.1496756412974306E-2</v>
      </c>
    </row>
    <row r="48" spans="1:38">
      <c r="A48" s="12" t="s">
        <v>538</v>
      </c>
      <c r="B48" s="12" t="s">
        <v>29</v>
      </c>
      <c r="C48" s="12" t="s">
        <v>18</v>
      </c>
      <c r="D48" s="12">
        <v>60</v>
      </c>
      <c r="E48" s="12">
        <v>56.67</v>
      </c>
      <c r="F48" s="12">
        <v>229</v>
      </c>
      <c r="G48" s="13">
        <f t="shared" si="8"/>
        <v>3</v>
      </c>
      <c r="H48" s="13">
        <f t="shared" si="8"/>
        <v>2.499999999999996</v>
      </c>
      <c r="I48" s="13">
        <f t="shared" si="8"/>
        <v>0.66599999999999404</v>
      </c>
      <c r="J48" s="13">
        <f t="shared" si="8"/>
        <v>16.28275862068962</v>
      </c>
      <c r="K48" s="13">
        <f t="shared" si="8"/>
        <v>3</v>
      </c>
      <c r="L48" s="13">
        <f t="shared" si="2"/>
        <v>43.684648122542008</v>
      </c>
      <c r="M48" s="13">
        <f t="shared" si="2"/>
        <v>20.884165065455115</v>
      </c>
      <c r="N48" s="13">
        <f t="shared" si="2"/>
        <v>19.434589760626352</v>
      </c>
      <c r="O48" s="13">
        <f t="shared" si="2"/>
        <v>6.0146066406881022</v>
      </c>
      <c r="P48" s="13">
        <f t="shared" si="2"/>
        <v>1.9745735203952692</v>
      </c>
      <c r="Q48" s="13">
        <f t="shared" si="10"/>
        <v>1.9409916138416337</v>
      </c>
      <c r="R48" s="13">
        <f t="shared" si="9"/>
        <v>66.573664733241074</v>
      </c>
      <c r="S48" s="13">
        <f t="shared" si="9"/>
        <v>17.229615062761489</v>
      </c>
      <c r="T48" s="12">
        <f t="shared" si="3"/>
        <v>10.572842466899059</v>
      </c>
      <c r="U48" s="12">
        <f t="shared" si="4"/>
        <v>2.736307315420035</v>
      </c>
      <c r="V48" s="12">
        <f t="shared" si="5"/>
        <v>0.21547619943440868</v>
      </c>
      <c r="W48" s="12">
        <f t="shared" si="6"/>
        <v>3.0864885803006383</v>
      </c>
      <c r="X48" s="12">
        <f t="shared" si="7"/>
        <v>1.0748943565432061</v>
      </c>
      <c r="Y48" s="12"/>
      <c r="Z48" s="12">
        <v>0.05</v>
      </c>
      <c r="AA48" s="12">
        <v>4.1666666666666602E-2</v>
      </c>
      <c r="AB48" s="14" t="s">
        <v>539</v>
      </c>
      <c r="AC48" s="14" t="s">
        <v>540</v>
      </c>
      <c r="AD48" s="12">
        <v>0.05</v>
      </c>
      <c r="AE48" s="14" t="s">
        <v>541</v>
      </c>
      <c r="AF48" s="12">
        <v>9.1197227360065997E-2</v>
      </c>
      <c r="AG48" s="12">
        <v>8.4867204194874896E-2</v>
      </c>
      <c r="AH48" s="12">
        <v>2.6264657819598702E-2</v>
      </c>
      <c r="AI48" s="12">
        <v>8.6225917921190793E-3</v>
      </c>
      <c r="AJ48" s="12">
        <v>8.4759459119721995E-3</v>
      </c>
      <c r="AK48" s="14" t="s">
        <v>542</v>
      </c>
      <c r="AL48" s="12">
        <v>7.5238493723849303E-2</v>
      </c>
    </row>
    <row r="49" spans="1:38">
      <c r="A49" s="12" t="s">
        <v>543</v>
      </c>
      <c r="B49" s="12" t="s">
        <v>104</v>
      </c>
      <c r="C49" s="12" t="s">
        <v>18</v>
      </c>
      <c r="D49" s="12">
        <v>56</v>
      </c>
      <c r="E49" s="12">
        <v>67.67</v>
      </c>
      <c r="F49" s="12">
        <v>290</v>
      </c>
      <c r="G49" s="13">
        <f t="shared" si="8"/>
        <v>3.4999999999999947</v>
      </c>
      <c r="H49" s="13">
        <f t="shared" si="8"/>
        <v>2.499999999999992</v>
      </c>
      <c r="I49" s="13">
        <f t="shared" si="8"/>
        <v>0.95737499999999764</v>
      </c>
      <c r="J49" s="13">
        <f t="shared" si="8"/>
        <v>11.474999999999984</v>
      </c>
      <c r="K49" s="13">
        <f t="shared" si="8"/>
        <v>0.99999999999999689</v>
      </c>
      <c r="L49" s="13">
        <f t="shared" si="2"/>
        <v>55.5271873455264</v>
      </c>
      <c r="M49" s="13">
        <f t="shared" si="2"/>
        <v>27.512728620860084</v>
      </c>
      <c r="N49" s="13">
        <f t="shared" si="2"/>
        <v>25.473554127533344</v>
      </c>
      <c r="O49" s="13">
        <f t="shared" si="2"/>
        <v>5.0762079615885485</v>
      </c>
      <c r="P49" s="13">
        <f t="shared" si="2"/>
        <v>1.3137549566842417</v>
      </c>
      <c r="Q49" s="13">
        <f t="shared" si="10"/>
        <v>3.5604918437963269</v>
      </c>
      <c r="R49" s="13">
        <f t="shared" si="9"/>
        <v>70.843157439446259</v>
      </c>
      <c r="S49" s="13">
        <f t="shared" si="9"/>
        <v>33.898385364635068</v>
      </c>
      <c r="T49" s="12">
        <f t="shared" si="3"/>
        <v>9.4220247813656908</v>
      </c>
      <c r="U49" s="12">
        <f t="shared" si="4"/>
        <v>4.508430150461292</v>
      </c>
      <c r="V49" s="12">
        <f t="shared" si="5"/>
        <v>0.127395765775211</v>
      </c>
      <c r="W49" s="12">
        <f t="shared" si="6"/>
        <v>3.3879412907906028</v>
      </c>
      <c r="X49" s="12">
        <f t="shared" si="7"/>
        <v>1.3214950895546249</v>
      </c>
      <c r="Y49" s="12"/>
      <c r="Z49" s="14" t="s">
        <v>544</v>
      </c>
      <c r="AA49" s="14" t="s">
        <v>545</v>
      </c>
      <c r="AB49" s="14" t="s">
        <v>546</v>
      </c>
      <c r="AC49" s="14" t="s">
        <v>547</v>
      </c>
      <c r="AD49" s="12">
        <v>1.7857142857142801E-2</v>
      </c>
      <c r="AE49" s="14" t="s">
        <v>548</v>
      </c>
      <c r="AF49" s="12">
        <v>9.4871478002965803E-2</v>
      </c>
      <c r="AG49" s="12">
        <v>8.78398418190805E-2</v>
      </c>
      <c r="AH49" s="12">
        <v>1.7504165384788099E-2</v>
      </c>
      <c r="AI49" s="12">
        <v>4.5301895058077303E-3</v>
      </c>
      <c r="AJ49" s="12">
        <v>1.22775580820563E-2</v>
      </c>
      <c r="AK49" s="14" t="s">
        <v>549</v>
      </c>
      <c r="AL49" s="14" t="s">
        <v>550</v>
      </c>
    </row>
    <row r="50" spans="1:38">
      <c r="A50" s="12" t="s">
        <v>551</v>
      </c>
      <c r="B50" s="12" t="s">
        <v>104</v>
      </c>
      <c r="C50" s="12" t="s">
        <v>18</v>
      </c>
      <c r="D50" s="12">
        <v>62</v>
      </c>
      <c r="E50" s="12">
        <v>64.33</v>
      </c>
      <c r="F50" s="12">
        <v>270</v>
      </c>
      <c r="G50" s="13">
        <f t="shared" si="8"/>
        <v>3.9999999999999956</v>
      </c>
      <c r="H50" s="13">
        <f t="shared" si="8"/>
        <v>2.9999999999999907</v>
      </c>
      <c r="I50" s="13">
        <f t="shared" si="8"/>
        <v>1.6496307692307655</v>
      </c>
      <c r="J50" s="13">
        <f t="shared" si="8"/>
        <v>17.26153846153845</v>
      </c>
      <c r="K50" s="13">
        <f t="shared" si="8"/>
        <v>1.9999999999999978</v>
      </c>
      <c r="L50" s="13">
        <f t="shared" si="2"/>
        <v>54.507972634470633</v>
      </c>
      <c r="M50" s="13">
        <f t="shared" si="2"/>
        <v>27.256713443046813</v>
      </c>
      <c r="N50" s="13">
        <f t="shared" si="2"/>
        <v>25.275002020093179</v>
      </c>
      <c r="O50" s="13">
        <f t="shared" si="2"/>
        <v>6.7389096883669382</v>
      </c>
      <c r="P50" s="13">
        <f t="shared" si="2"/>
        <v>1.9933903734641714</v>
      </c>
      <c r="Q50" s="13">
        <f t="shared" si="10"/>
        <v>2.9725671344304598</v>
      </c>
      <c r="R50" s="13">
        <f t="shared" si="9"/>
        <v>65.184523527352056</v>
      </c>
      <c r="S50" s="13">
        <f t="shared" si="9"/>
        <v>22.641569343065683</v>
      </c>
      <c r="T50" s="12">
        <f t="shared" si="3"/>
        <v>9.1195509365174647</v>
      </c>
      <c r="U50" s="12">
        <f t="shared" si="4"/>
        <v>3.1676375577116609</v>
      </c>
      <c r="V50" s="12">
        <f t="shared" si="5"/>
        <v>0.1575664969788384</v>
      </c>
      <c r="W50" s="12">
        <f t="shared" si="6"/>
        <v>3.5360643273875119</v>
      </c>
      <c r="X50" s="12">
        <f t="shared" si="7"/>
        <v>1.199277817154303</v>
      </c>
      <c r="Y50" s="12"/>
      <c r="Z50" s="12">
        <v>6.4516129032257993E-2</v>
      </c>
      <c r="AA50" s="12">
        <v>4.8387096774193401E-2</v>
      </c>
      <c r="AB50" s="14" t="s">
        <v>552</v>
      </c>
      <c r="AC50" s="14" t="s">
        <v>553</v>
      </c>
      <c r="AD50" s="12">
        <v>3.2258064516128997E-2</v>
      </c>
      <c r="AE50" s="14" t="s">
        <v>554</v>
      </c>
      <c r="AF50" s="14" t="s">
        <v>555</v>
      </c>
      <c r="AG50" s="12">
        <v>9.3611118592937706E-2</v>
      </c>
      <c r="AH50" s="12">
        <v>2.49589247717294E-2</v>
      </c>
      <c r="AI50" s="12">
        <v>7.3829273091265604E-3</v>
      </c>
      <c r="AJ50" s="12">
        <v>1.1009507905298E-2</v>
      </c>
      <c r="AK50" s="14" t="s">
        <v>556</v>
      </c>
      <c r="AL50" s="12">
        <v>8.3857664233576601E-2</v>
      </c>
    </row>
    <row r="51" spans="1:38">
      <c r="A51" s="12" t="s">
        <v>557</v>
      </c>
      <c r="B51" s="12" t="s">
        <v>497</v>
      </c>
      <c r="C51" s="12" t="s">
        <v>18</v>
      </c>
      <c r="D51" s="12">
        <v>67</v>
      </c>
      <c r="E51" s="12">
        <v>68.67</v>
      </c>
      <c r="F51" s="12">
        <v>282</v>
      </c>
      <c r="G51" s="13">
        <f t="shared" si="8"/>
        <v>3.4999999999999898</v>
      </c>
      <c r="H51" s="13">
        <f t="shared" si="8"/>
        <v>2.4999999999999938</v>
      </c>
      <c r="I51" s="13">
        <f t="shared" si="8"/>
        <v>1.997999999999996</v>
      </c>
      <c r="J51" s="13">
        <f t="shared" si="8"/>
        <v>19.671428571428553</v>
      </c>
      <c r="K51" s="13">
        <f t="shared" si="8"/>
        <v>1.9999999999999989</v>
      </c>
      <c r="L51" s="13">
        <f t="shared" si="2"/>
        <v>48.477834175276975</v>
      </c>
      <c r="M51" s="13">
        <f t="shared" si="2"/>
        <v>25.468840046779089</v>
      </c>
      <c r="N51" s="13">
        <f t="shared" si="2"/>
        <v>23.510483102853751</v>
      </c>
      <c r="O51" s="13">
        <f t="shared" si="2"/>
        <v>8.3247169743076324</v>
      </c>
      <c r="P51" s="13">
        <f t="shared" si="2"/>
        <v>1.9798584570126234</v>
      </c>
      <c r="Q51" s="13">
        <f t="shared" si="10"/>
        <v>2.937535415888004</v>
      </c>
      <c r="R51" s="13">
        <f t="shared" si="9"/>
        <v>91.588630264157061</v>
      </c>
      <c r="S51" s="13">
        <f t="shared" si="9"/>
        <v>27.619411764705873</v>
      </c>
      <c r="T51" s="12">
        <f t="shared" si="3"/>
        <v>12.003752328198829</v>
      </c>
      <c r="U51" s="12">
        <f t="shared" si="4"/>
        <v>3.6198442679824212</v>
      </c>
      <c r="V51" s="12">
        <f t="shared" si="5"/>
        <v>0.22684120035266381</v>
      </c>
      <c r="W51" s="12">
        <f t="shared" si="6"/>
        <v>3.081321507582405</v>
      </c>
      <c r="X51" s="12">
        <f t="shared" si="7"/>
        <v>1.1081585254111381</v>
      </c>
      <c r="Y51" s="12"/>
      <c r="Z51" s="14" t="s">
        <v>450</v>
      </c>
      <c r="AA51" s="12">
        <v>3.7313432835820802E-2</v>
      </c>
      <c r="AB51" s="14" t="s">
        <v>558</v>
      </c>
      <c r="AC51" s="14" t="s">
        <v>559</v>
      </c>
      <c r="AD51" s="12">
        <v>2.9850746268656699E-2</v>
      </c>
      <c r="AE51" s="14" t="s">
        <v>560</v>
      </c>
      <c r="AF51" s="12">
        <v>9.0315035626876206E-2</v>
      </c>
      <c r="AG51" s="12">
        <v>8.33705074569282E-2</v>
      </c>
      <c r="AH51" s="12">
        <v>2.9520272958537701E-2</v>
      </c>
      <c r="AI51" s="12">
        <v>7.0207746702575296E-3</v>
      </c>
      <c r="AJ51" s="14" t="s">
        <v>561</v>
      </c>
      <c r="AK51" s="14" t="s">
        <v>562</v>
      </c>
      <c r="AL51" s="12">
        <v>9.7941176470588198E-2</v>
      </c>
    </row>
    <row r="52" spans="1:38">
      <c r="A52" s="12" t="s">
        <v>563</v>
      </c>
      <c r="B52" s="12" t="s">
        <v>253</v>
      </c>
      <c r="C52" s="12" t="s">
        <v>18</v>
      </c>
      <c r="D52" s="12">
        <v>63</v>
      </c>
      <c r="E52" s="12">
        <v>63.67</v>
      </c>
      <c r="F52" s="12">
        <v>269</v>
      </c>
      <c r="G52" s="13">
        <f t="shared" si="8"/>
        <v>3.4999999999999964</v>
      </c>
      <c r="H52" s="13">
        <f t="shared" si="8"/>
        <v>2.9999999999999925</v>
      </c>
      <c r="I52" s="13">
        <f t="shared" si="8"/>
        <v>12.581156249999946</v>
      </c>
      <c r="J52" s="13">
        <f t="shared" si="8"/>
        <v>15.571874999999997</v>
      </c>
      <c r="K52" s="13">
        <f t="shared" si="8"/>
        <v>2.9999999999999991</v>
      </c>
      <c r="L52" s="13">
        <f t="shared" si="2"/>
        <v>58.285977859778384</v>
      </c>
      <c r="M52" s="13">
        <f t="shared" si="2"/>
        <v>28.892988929889132</v>
      </c>
      <c r="N52" s="13">
        <f t="shared" si="2"/>
        <v>26.900369003689903</v>
      </c>
      <c r="O52" s="13">
        <f t="shared" si="2"/>
        <v>5.9867158671586553</v>
      </c>
      <c r="P52" s="13">
        <f t="shared" si="2"/>
        <v>1.6927007299270047</v>
      </c>
      <c r="Q52" s="13">
        <f t="shared" si="10"/>
        <v>2.9889298892988747</v>
      </c>
      <c r="R52" s="13">
        <f t="shared" si="9"/>
        <v>58.458088560885443</v>
      </c>
      <c r="S52" s="13">
        <f t="shared" si="9"/>
        <v>24.821741032667639</v>
      </c>
      <c r="T52" s="12">
        <f t="shared" si="3"/>
        <v>8.2632762218936548</v>
      </c>
      <c r="U52" s="12">
        <f t="shared" si="4"/>
        <v>3.5086488031099221</v>
      </c>
      <c r="V52" s="12">
        <f t="shared" si="5"/>
        <v>0.12504218411976881</v>
      </c>
      <c r="W52" s="12">
        <f t="shared" si="6"/>
        <v>3.8024708816272832</v>
      </c>
      <c r="X52" s="12">
        <f t="shared" si="7"/>
        <v>1.3052885015304858</v>
      </c>
      <c r="Y52" s="12"/>
      <c r="Z52" s="14" t="s">
        <v>339</v>
      </c>
      <c r="AA52" s="14" t="s">
        <v>340</v>
      </c>
      <c r="AB52" s="14" t="s">
        <v>564</v>
      </c>
      <c r="AC52" s="12">
        <v>0.247172619047619</v>
      </c>
      <c r="AD52" s="12">
        <v>4.7619047619047603E-2</v>
      </c>
      <c r="AE52" s="14" t="s">
        <v>565</v>
      </c>
      <c r="AF52" s="14" t="s">
        <v>566</v>
      </c>
      <c r="AG52" s="14" t="s">
        <v>567</v>
      </c>
      <c r="AH52" s="12">
        <v>2.22554493202924E-2</v>
      </c>
      <c r="AI52" s="12">
        <v>6.2925677692453703E-3</v>
      </c>
      <c r="AJ52" s="12">
        <v>1.11112635289921E-2</v>
      </c>
      <c r="AK52" s="14" t="s">
        <v>568</v>
      </c>
      <c r="AL52" s="12">
        <v>9.2274130232965199E-2</v>
      </c>
    </row>
    <row r="53" spans="1:38">
      <c r="A53" s="12" t="s">
        <v>569</v>
      </c>
      <c r="B53" s="12" t="s">
        <v>24</v>
      </c>
      <c r="C53" s="12" t="s">
        <v>18</v>
      </c>
      <c r="D53" s="12">
        <v>62</v>
      </c>
      <c r="E53" s="12">
        <v>64.33</v>
      </c>
      <c r="F53" s="12">
        <v>270</v>
      </c>
      <c r="G53" s="13">
        <f t="shared" si="8"/>
        <v>3.4999999999999933</v>
      </c>
      <c r="H53" s="13">
        <f t="shared" si="8"/>
        <v>2.4999999999999942</v>
      </c>
      <c r="I53" s="13">
        <f t="shared" si="8"/>
        <v>4.6408571428571381</v>
      </c>
      <c r="J53" s="13">
        <f t="shared" si="8"/>
        <v>17.352380952380912</v>
      </c>
      <c r="K53" s="13">
        <f t="shared" si="8"/>
        <v>6</v>
      </c>
      <c r="L53" s="13">
        <f t="shared" si="2"/>
        <v>52.543395602578805</v>
      </c>
      <c r="M53" s="13">
        <f t="shared" si="2"/>
        <v>27.506612663249939</v>
      </c>
      <c r="N53" s="13">
        <f t="shared" si="2"/>
        <v>25.501735824103136</v>
      </c>
      <c r="O53" s="13">
        <f t="shared" si="2"/>
        <v>6.3320554551621235</v>
      </c>
      <c r="P53" s="13">
        <f t="shared" si="2"/>
        <v>1.7025691699604664</v>
      </c>
      <c r="Q53" s="13">
        <f t="shared" si="10"/>
        <v>3.0073152587204248</v>
      </c>
      <c r="R53" s="13">
        <f t="shared" si="9"/>
        <v>71.083746734997419</v>
      </c>
      <c r="S53" s="13">
        <f t="shared" si="9"/>
        <v>25.358122459682676</v>
      </c>
      <c r="T53" s="12">
        <f t="shared" si="3"/>
        <v>9.9448736299545608</v>
      </c>
      <c r="U53" s="12">
        <f t="shared" si="4"/>
        <v>3.5476931779441019</v>
      </c>
      <c r="V53" s="12">
        <f t="shared" si="5"/>
        <v>0.16935416398264719</v>
      </c>
      <c r="W53" s="12">
        <f t="shared" si="6"/>
        <v>3.5677852077868528</v>
      </c>
      <c r="X53" s="12">
        <f t="shared" si="7"/>
        <v>1.2109671702512279</v>
      </c>
      <c r="Y53" s="12"/>
      <c r="Z53" s="12">
        <v>5.6451612903225701E-2</v>
      </c>
      <c r="AA53" s="12">
        <v>4.0322580645161199E-2</v>
      </c>
      <c r="AB53" s="12">
        <v>7.48525345622119E-2</v>
      </c>
      <c r="AC53" s="14" t="s">
        <v>570</v>
      </c>
      <c r="AD53" s="12">
        <v>9.6774193548387094E-2</v>
      </c>
      <c r="AE53" s="14" t="s">
        <v>571</v>
      </c>
      <c r="AF53" s="14" t="s">
        <v>572</v>
      </c>
      <c r="AG53" s="12">
        <v>9.4450873422604206E-2</v>
      </c>
      <c r="AH53" s="12">
        <v>2.3452057241341199E-2</v>
      </c>
      <c r="AI53" s="12">
        <v>6.30581174059432E-3</v>
      </c>
      <c r="AJ53" s="12">
        <v>1.1138204661927499E-2</v>
      </c>
      <c r="AK53" s="14" t="s">
        <v>573</v>
      </c>
      <c r="AL53" s="12">
        <v>9.3918972072898801E-2</v>
      </c>
    </row>
    <row r="54" spans="1:38">
      <c r="A54" s="12" t="s">
        <v>574</v>
      </c>
      <c r="B54" s="12" t="s">
        <v>39</v>
      </c>
      <c r="C54" s="12" t="s">
        <v>18</v>
      </c>
      <c r="D54" s="12">
        <v>62</v>
      </c>
      <c r="E54" s="12">
        <v>65.67</v>
      </c>
      <c r="F54" s="12">
        <v>273</v>
      </c>
      <c r="G54" s="13">
        <f t="shared" si="8"/>
        <v>2.4999999999999942</v>
      </c>
      <c r="H54" s="13">
        <f t="shared" si="8"/>
        <v>2.4999999999999942</v>
      </c>
      <c r="I54" s="13">
        <f t="shared" si="8"/>
        <v>3.6024545454545387</v>
      </c>
      <c r="J54" s="13">
        <f t="shared" si="8"/>
        <v>16.830303030302996</v>
      </c>
      <c r="K54" s="13">
        <f t="shared" si="8"/>
        <v>1.9999999999999978</v>
      </c>
      <c r="L54" s="13">
        <f t="shared" si="2"/>
        <v>57.650649045980444</v>
      </c>
      <c r="M54" s="13">
        <f t="shared" si="2"/>
        <v>31.538317172348805</v>
      </c>
      <c r="N54" s="13">
        <f t="shared" si="2"/>
        <v>29.076165154832523</v>
      </c>
      <c r="O54" s="13">
        <f t="shared" si="2"/>
        <v>9.185454659197525</v>
      </c>
      <c r="P54" s="13">
        <f t="shared" si="2"/>
        <v>1.1853512300789004</v>
      </c>
      <c r="Q54" s="13">
        <f t="shared" si="10"/>
        <v>3.4512824522990266</v>
      </c>
      <c r="R54" s="13">
        <f t="shared" si="9"/>
        <v>62.996397325617757</v>
      </c>
      <c r="S54" s="13">
        <f t="shared" si="9"/>
        <v>21.003605846958763</v>
      </c>
      <c r="T54" s="12">
        <f t="shared" si="3"/>
        <v>8.6335857458589889</v>
      </c>
      <c r="U54" s="12">
        <f t="shared" si="4"/>
        <v>2.8785206734068658</v>
      </c>
      <c r="V54" s="12">
        <f t="shared" si="5"/>
        <v>0.15381974900607689</v>
      </c>
      <c r="W54" s="12">
        <f t="shared" si="6"/>
        <v>3.984855891480017</v>
      </c>
      <c r="X54" s="12">
        <f t="shared" si="7"/>
        <v>1.1977197334085459</v>
      </c>
      <c r="Y54" s="12"/>
      <c r="Z54" s="12">
        <v>4.0322580645161199E-2</v>
      </c>
      <c r="AA54" s="12">
        <v>4.0322580645161199E-2</v>
      </c>
      <c r="AB54" s="12">
        <v>5.8104105571847399E-2</v>
      </c>
      <c r="AC54" s="14" t="s">
        <v>575</v>
      </c>
      <c r="AD54" s="12">
        <v>3.2258064516128997E-2</v>
      </c>
      <c r="AE54" s="14" t="s">
        <v>512</v>
      </c>
      <c r="AF54" s="14" t="s">
        <v>576</v>
      </c>
      <c r="AG54" s="14" t="s">
        <v>577</v>
      </c>
      <c r="AH54" s="12">
        <v>3.3646354062994599E-2</v>
      </c>
      <c r="AI54" s="12">
        <v>4.3419458977249099E-3</v>
      </c>
      <c r="AJ54" s="14" t="s">
        <v>578</v>
      </c>
      <c r="AK54" s="12">
        <v>0.230756034159772</v>
      </c>
      <c r="AL54" s="12">
        <v>7.6936285153695105E-2</v>
      </c>
    </row>
    <row r="55" spans="1:38">
      <c r="A55" s="12" t="s">
        <v>579</v>
      </c>
      <c r="B55" s="12" t="s">
        <v>148</v>
      </c>
      <c r="C55" s="12" t="s">
        <v>18</v>
      </c>
      <c r="D55" s="12">
        <v>54</v>
      </c>
      <c r="E55" s="12">
        <v>55.67</v>
      </c>
      <c r="F55" s="12">
        <v>230</v>
      </c>
      <c r="G55" s="13">
        <f t="shared" si="8"/>
        <v>1.999999999999998</v>
      </c>
      <c r="H55" s="13">
        <f t="shared" si="8"/>
        <v>1.999999999999998</v>
      </c>
      <c r="I55" s="13">
        <f t="shared" si="8"/>
        <v>10.489499999999946</v>
      </c>
      <c r="J55" s="13">
        <f t="shared" si="8"/>
        <v>7.2399999999999967</v>
      </c>
      <c r="K55" s="13">
        <f t="shared" si="8"/>
        <v>3.999999999999996</v>
      </c>
      <c r="L55" s="13">
        <f t="shared" si="2"/>
        <v>46.531395784383662</v>
      </c>
      <c r="M55" s="13">
        <f t="shared" si="2"/>
        <v>26.65594034119929</v>
      </c>
      <c r="N55" s="13">
        <f t="shared" si="2"/>
        <v>24.75669969693854</v>
      </c>
      <c r="O55" s="13">
        <f t="shared" si="2"/>
        <v>8.5798685599482294</v>
      </c>
      <c r="P55" s="13">
        <f t="shared" si="2"/>
        <v>1.6599511599511483</v>
      </c>
      <c r="Q55" s="13">
        <f t="shared" si="10"/>
        <v>2.8488609663908262</v>
      </c>
      <c r="R55" s="13">
        <f t="shared" si="9"/>
        <v>61.028251302482332</v>
      </c>
      <c r="S55" s="13">
        <f t="shared" si="9"/>
        <v>18.308366533864518</v>
      </c>
      <c r="T55" s="12">
        <f t="shared" si="3"/>
        <v>9.8662522314054417</v>
      </c>
      <c r="U55" s="12">
        <f t="shared" si="4"/>
        <v>2.9598580708600801</v>
      </c>
      <c r="V55" s="12">
        <f t="shared" si="5"/>
        <v>0.18573862942877312</v>
      </c>
      <c r="W55" s="12">
        <f t="shared" si="6"/>
        <v>4.002340529413452</v>
      </c>
      <c r="X55" s="12">
        <f t="shared" si="7"/>
        <v>1.1647164059322468</v>
      </c>
      <c r="Y55" s="12"/>
      <c r="Z55" s="12">
        <v>3.7037037037037E-2</v>
      </c>
      <c r="AA55" s="12">
        <v>3.7037037037037E-2</v>
      </c>
      <c r="AB55" s="14" t="s">
        <v>580</v>
      </c>
      <c r="AC55" s="14" t="s">
        <v>581</v>
      </c>
      <c r="AD55" s="12">
        <v>7.4074074074074001E-2</v>
      </c>
      <c r="AE55" s="14" t="s">
        <v>582</v>
      </c>
      <c r="AF55" s="14" t="s">
        <v>583</v>
      </c>
      <c r="AG55" s="14" t="s">
        <v>584</v>
      </c>
      <c r="AH55" s="12">
        <v>3.7303776347601E-2</v>
      </c>
      <c r="AI55" s="12">
        <v>7.2171789563093402E-3</v>
      </c>
      <c r="AJ55" s="14" t="s">
        <v>585</v>
      </c>
      <c r="AK55" s="14" t="s">
        <v>586</v>
      </c>
      <c r="AL55" s="12">
        <v>7.9601593625497902E-2</v>
      </c>
    </row>
    <row r="56" spans="1:38">
      <c r="A56" s="12" t="s">
        <v>587</v>
      </c>
      <c r="B56" s="12" t="s">
        <v>46</v>
      </c>
      <c r="C56" s="12" t="s">
        <v>18</v>
      </c>
      <c r="D56" s="12">
        <v>62</v>
      </c>
      <c r="E56" s="12">
        <v>63</v>
      </c>
      <c r="F56" s="12">
        <v>270</v>
      </c>
      <c r="G56" s="13">
        <f t="shared" si="8"/>
        <v>3.4999999999999933</v>
      </c>
      <c r="H56" s="13">
        <f t="shared" si="8"/>
        <v>2.4999999999999942</v>
      </c>
      <c r="I56" s="13">
        <f t="shared" si="8"/>
        <v>3.9751874999999917</v>
      </c>
      <c r="J56" s="13">
        <f t="shared" si="8"/>
        <v>15.112499999999939</v>
      </c>
      <c r="K56" s="13">
        <f t="shared" si="8"/>
        <v>4.9999999999999947</v>
      </c>
      <c r="L56" s="13">
        <f t="shared" si="2"/>
        <v>50.513882791922725</v>
      </c>
      <c r="M56" s="13">
        <f t="shared" si="2"/>
        <v>26.008834503950812</v>
      </c>
      <c r="N56" s="13">
        <f t="shared" si="2"/>
        <v>24.008724758560113</v>
      </c>
      <c r="O56" s="13">
        <f t="shared" si="2"/>
        <v>5.2944324113112211</v>
      </c>
      <c r="P56" s="13">
        <f t="shared" si="2"/>
        <v>2.0030015971801429</v>
      </c>
      <c r="Q56" s="13">
        <f t="shared" si="10"/>
        <v>3.5038959613695901</v>
      </c>
      <c r="R56" s="13">
        <f t="shared" si="9"/>
        <v>70.243375219490517</v>
      </c>
      <c r="S56" s="13">
        <f t="shared" si="9"/>
        <v>30.703751616030839</v>
      </c>
      <c r="T56" s="12">
        <f t="shared" si="3"/>
        <v>10.034767888498644</v>
      </c>
      <c r="U56" s="12">
        <f t="shared" si="4"/>
        <v>4.386250230861549</v>
      </c>
      <c r="V56" s="12">
        <f t="shared" si="5"/>
        <v>0.146443050383184</v>
      </c>
      <c r="W56" s="12">
        <f t="shared" si="6"/>
        <v>3.4298178226514451</v>
      </c>
      <c r="X56" s="12">
        <f t="shared" si="7"/>
        <v>1.2891688001262471</v>
      </c>
      <c r="Y56" s="12"/>
      <c r="Z56" s="12">
        <v>5.6451612903225701E-2</v>
      </c>
      <c r="AA56" s="12">
        <v>4.0322580645161199E-2</v>
      </c>
      <c r="AB56" s="12">
        <v>6.4115927419354707E-2</v>
      </c>
      <c r="AC56" s="14" t="s">
        <v>588</v>
      </c>
      <c r="AD56" s="12">
        <v>8.0645161290322495E-2</v>
      </c>
      <c r="AE56" s="12">
        <v>0.18708845478489899</v>
      </c>
      <c r="AF56" s="12">
        <v>9.6329016681299298E-2</v>
      </c>
      <c r="AG56" s="12">
        <v>8.8921202809481903E-2</v>
      </c>
      <c r="AH56" s="14" t="s">
        <v>589</v>
      </c>
      <c r="AI56" s="12">
        <v>7.4185244340005301E-3</v>
      </c>
      <c r="AJ56" s="12">
        <v>1.2977392449517001E-2</v>
      </c>
      <c r="AK56" s="14" t="s">
        <v>590</v>
      </c>
      <c r="AL56" s="14" t="s">
        <v>591</v>
      </c>
    </row>
    <row r="57" spans="1:38">
      <c r="A57" s="12" t="s">
        <v>592</v>
      </c>
      <c r="B57" s="12" t="s">
        <v>46</v>
      </c>
      <c r="C57" s="12" t="s">
        <v>18</v>
      </c>
      <c r="D57" s="12">
        <v>58</v>
      </c>
      <c r="E57" s="12">
        <v>59.33</v>
      </c>
      <c r="F57" s="12">
        <v>249</v>
      </c>
      <c r="G57" s="13">
        <f t="shared" si="8"/>
        <v>2.9999999999999951</v>
      </c>
      <c r="H57" s="13">
        <f t="shared" si="8"/>
        <v>2.9999999999999951</v>
      </c>
      <c r="I57" s="13">
        <f t="shared" si="8"/>
        <v>0.98262295081966766</v>
      </c>
      <c r="J57" s="13">
        <f t="shared" si="8"/>
        <v>17.642622950819668</v>
      </c>
      <c r="K57" s="13">
        <f t="shared" si="8"/>
        <v>1.9999999999999967</v>
      </c>
      <c r="L57" s="13">
        <f t="shared" si="2"/>
        <v>45.95045248868766</v>
      </c>
      <c r="M57" s="13">
        <f t="shared" si="2"/>
        <v>26.618212669683064</v>
      </c>
      <c r="N57" s="13">
        <f t="shared" si="2"/>
        <v>24.684049773755643</v>
      </c>
      <c r="O57" s="13">
        <f t="shared" si="2"/>
        <v>7.5328186630239795</v>
      </c>
      <c r="P57" s="13">
        <f t="shared" si="2"/>
        <v>0.98823529411763555</v>
      </c>
      <c r="Q57" s="13">
        <f t="shared" si="10"/>
        <v>2.901244343891368</v>
      </c>
      <c r="R57" s="13">
        <f t="shared" si="9"/>
        <v>77.840934841628879</v>
      </c>
      <c r="S57" s="13">
        <f t="shared" si="9"/>
        <v>27.564787880986856</v>
      </c>
      <c r="T57" s="12">
        <f t="shared" si="3"/>
        <v>11.80799618362818</v>
      </c>
      <c r="U57" s="12">
        <f t="shared" si="4"/>
        <v>4.1814106005205076</v>
      </c>
      <c r="V57" s="12">
        <f t="shared" si="5"/>
        <v>0.20191223678972703</v>
      </c>
      <c r="W57" s="12">
        <f t="shared" si="6"/>
        <v>3.7444201578257341</v>
      </c>
      <c r="X57" s="12">
        <f t="shared" si="7"/>
        <v>1.2390905169336679</v>
      </c>
      <c r="Y57" s="12"/>
      <c r="Z57" s="12">
        <v>5.1724137931034399E-2</v>
      </c>
      <c r="AA57" s="12">
        <v>5.1724137931034399E-2</v>
      </c>
      <c r="AB57" s="14" t="s">
        <v>593</v>
      </c>
      <c r="AC57" s="14" t="s">
        <v>594</v>
      </c>
      <c r="AD57" s="12">
        <v>3.4482758620689599E-2</v>
      </c>
      <c r="AE57" s="14" t="s">
        <v>595</v>
      </c>
      <c r="AF57" s="14" t="s">
        <v>596</v>
      </c>
      <c r="AG57" s="12">
        <v>9.9132730015082896E-2</v>
      </c>
      <c r="AH57" s="14" t="s">
        <v>597</v>
      </c>
      <c r="AI57" s="12">
        <v>3.9688164422395002E-3</v>
      </c>
      <c r="AJ57" s="14" t="s">
        <v>598</v>
      </c>
      <c r="AK57" s="14" t="s">
        <v>599</v>
      </c>
      <c r="AL57" s="14" t="s">
        <v>600</v>
      </c>
    </row>
    <row r="58" spans="1:38">
      <c r="A58" s="12" t="s">
        <v>601</v>
      </c>
      <c r="B58" s="12" t="s">
        <v>29</v>
      </c>
      <c r="C58" s="12" t="s">
        <v>18</v>
      </c>
      <c r="D58" s="12">
        <v>59</v>
      </c>
      <c r="E58" s="12">
        <v>59.67</v>
      </c>
      <c r="F58" s="12">
        <v>249</v>
      </c>
      <c r="G58" s="13">
        <f t="shared" si="8"/>
        <v>2.4999999999999938</v>
      </c>
      <c r="H58" s="13">
        <f t="shared" si="8"/>
        <v>2.4999999999999938</v>
      </c>
      <c r="I58" s="13">
        <f t="shared" si="8"/>
        <v>3.599571428571422</v>
      </c>
      <c r="J58" s="13">
        <f t="shared" si="8"/>
        <v>16.047619047618994</v>
      </c>
      <c r="K58" s="13">
        <f t="shared" si="8"/>
        <v>1.9999999999999962</v>
      </c>
      <c r="L58" s="13">
        <f t="shared" si="2"/>
        <v>47.419972174530599</v>
      </c>
      <c r="M58" s="13">
        <f t="shared" si="2"/>
        <v>22.550929489077006</v>
      </c>
      <c r="N58" s="13">
        <f t="shared" si="2"/>
        <v>20.634524302883161</v>
      </c>
      <c r="O58" s="13">
        <f t="shared" si="2"/>
        <v>4.8735275853675892</v>
      </c>
      <c r="P58" s="13">
        <f t="shared" si="2"/>
        <v>1.1742471599446944</v>
      </c>
      <c r="Q58" s="13">
        <f t="shared" si="10"/>
        <v>2.8746077792907405</v>
      </c>
      <c r="R58" s="13">
        <f t="shared" si="9"/>
        <v>69.23483218873946</v>
      </c>
      <c r="S58" s="13">
        <f t="shared" si="9"/>
        <v>23.877602255639093</v>
      </c>
      <c r="T58" s="12">
        <f t="shared" si="3"/>
        <v>10.442659455315152</v>
      </c>
      <c r="U58" s="12">
        <f t="shared" si="4"/>
        <v>3.6014483040179628</v>
      </c>
      <c r="V58" s="12">
        <f t="shared" si="5"/>
        <v>0.18215754993212999</v>
      </c>
      <c r="W58" s="12">
        <f t="shared" si="6"/>
        <v>3.1122962749446699</v>
      </c>
      <c r="X58" s="12">
        <f t="shared" si="7"/>
        <v>1.1948646628149771</v>
      </c>
      <c r="Y58" s="12"/>
      <c r="Z58" s="14" t="s">
        <v>602</v>
      </c>
      <c r="AA58" s="14" t="s">
        <v>602</v>
      </c>
      <c r="AB58" s="12">
        <v>6.1009685230024098E-2</v>
      </c>
      <c r="AC58" s="14" t="s">
        <v>603</v>
      </c>
      <c r="AD58" s="12">
        <v>3.38983050847457E-2</v>
      </c>
      <c r="AE58" s="14" t="s">
        <v>604</v>
      </c>
      <c r="AF58" s="12">
        <v>9.0565981883843405E-2</v>
      </c>
      <c r="AG58" s="12">
        <v>8.2869575513586993E-2</v>
      </c>
      <c r="AH58" s="14" t="s">
        <v>605</v>
      </c>
      <c r="AI58" s="12">
        <v>4.71585204797066E-3</v>
      </c>
      <c r="AJ58" s="12">
        <v>1.15446095553845E-2</v>
      </c>
      <c r="AK58" s="14" t="s">
        <v>606</v>
      </c>
      <c r="AL58" s="12">
        <v>9.5893984962406004E-2</v>
      </c>
    </row>
    <row r="59" spans="1:38">
      <c r="A59" s="12" t="s">
        <v>607</v>
      </c>
      <c r="B59" s="12" t="s">
        <v>29</v>
      </c>
      <c r="C59" s="12" t="s">
        <v>18</v>
      </c>
      <c r="D59" s="12">
        <v>63</v>
      </c>
      <c r="E59" s="12">
        <v>65</v>
      </c>
      <c r="F59" s="12">
        <v>269</v>
      </c>
      <c r="G59" s="13">
        <f t="shared" si="8"/>
        <v>3.4999999999999964</v>
      </c>
      <c r="H59" s="13">
        <f t="shared" si="8"/>
        <v>1.9999999999999973</v>
      </c>
      <c r="I59" s="13">
        <f t="shared" si="8"/>
        <v>2.8970999999999947</v>
      </c>
      <c r="J59" s="13">
        <f t="shared" si="8"/>
        <v>17.479999999999972</v>
      </c>
      <c r="K59" s="13">
        <f t="shared" si="8"/>
        <v>3.9999999999999947</v>
      </c>
      <c r="L59" s="13">
        <f t="shared" si="2"/>
        <v>55.47236545072078</v>
      </c>
      <c r="M59" s="13">
        <f t="shared" si="2"/>
        <v>23.18781104099326</v>
      </c>
      <c r="N59" s="13">
        <f t="shared" si="2"/>
        <v>21.259087527576806</v>
      </c>
      <c r="O59" s="13">
        <f t="shared" si="2"/>
        <v>4.3149193256780807</v>
      </c>
      <c r="P59" s="13">
        <f t="shared" si="2"/>
        <v>1.4755288647810831</v>
      </c>
      <c r="Q59" s="13">
        <f t="shared" si="10"/>
        <v>2.8930852701246592</v>
      </c>
      <c r="R59" s="13">
        <f t="shared" si="9"/>
        <v>62.137200323225855</v>
      </c>
      <c r="S59" s="13">
        <f t="shared" si="9"/>
        <v>19.917051650381016</v>
      </c>
      <c r="T59" s="12">
        <f t="shared" si="3"/>
        <v>8.6036123524466568</v>
      </c>
      <c r="U59" s="12">
        <f t="shared" si="4"/>
        <v>2.7577456131296789</v>
      </c>
      <c r="V59" s="12">
        <f t="shared" si="5"/>
        <v>0.15695222554960908</v>
      </c>
      <c r="W59" s="12">
        <f t="shared" si="6"/>
        <v>2.9435659653567883</v>
      </c>
      <c r="X59" s="12">
        <f t="shared" si="7"/>
        <v>1.159837186170797</v>
      </c>
      <c r="Y59" s="12"/>
      <c r="Z59" s="14" t="s">
        <v>339</v>
      </c>
      <c r="AA59" s="12">
        <v>3.1746031746031703E-2</v>
      </c>
      <c r="AB59" s="14" t="s">
        <v>608</v>
      </c>
      <c r="AC59" s="14" t="s">
        <v>609</v>
      </c>
      <c r="AD59" s="12">
        <v>6.3492063492063405E-2</v>
      </c>
      <c r="AE59" s="14" t="s">
        <v>610</v>
      </c>
      <c r="AF59" s="12">
        <v>8.6200041044584605E-2</v>
      </c>
      <c r="AG59" s="12">
        <v>7.9030065158278096E-2</v>
      </c>
      <c r="AH59" s="12">
        <v>1.6040592288766101E-2</v>
      </c>
      <c r="AI59" s="12">
        <v>5.4852374155430596E-3</v>
      </c>
      <c r="AJ59" s="12">
        <v>1.07549638294597E-2</v>
      </c>
      <c r="AK59" s="14" t="s">
        <v>611</v>
      </c>
      <c r="AL59" s="12">
        <v>7.4041084202159907E-2</v>
      </c>
    </row>
    <row r="60" spans="1:38">
      <c r="A60" s="12" t="s">
        <v>612</v>
      </c>
      <c r="B60" s="12" t="s">
        <v>613</v>
      </c>
      <c r="C60" s="12" t="s">
        <v>18</v>
      </c>
      <c r="D60" s="12">
        <v>63</v>
      </c>
      <c r="E60" s="12">
        <v>63.67</v>
      </c>
      <c r="F60" s="12">
        <v>268</v>
      </c>
      <c r="G60" s="13">
        <f t="shared" si="8"/>
        <v>3.4999999999999964</v>
      </c>
      <c r="H60" s="13">
        <f t="shared" si="8"/>
        <v>2.4999999999999947</v>
      </c>
      <c r="I60" s="13">
        <f t="shared" si="8"/>
        <v>5.2870153846153771</v>
      </c>
      <c r="J60" s="13">
        <f t="shared" si="8"/>
        <v>16.913846153846123</v>
      </c>
      <c r="K60" s="13">
        <f t="shared" si="8"/>
        <v>2.9999999999999991</v>
      </c>
      <c r="L60" s="13">
        <f t="shared" si="2"/>
        <v>51.919708029196919</v>
      </c>
      <c r="M60" s="13">
        <f t="shared" si="2"/>
        <v>26.715328467153284</v>
      </c>
      <c r="N60" s="13">
        <f t="shared" si="2"/>
        <v>24.737226277372244</v>
      </c>
      <c r="O60" s="13">
        <f t="shared" si="2"/>
        <v>6.9334263632460118</v>
      </c>
      <c r="P60" s="13">
        <f t="shared" si="2"/>
        <v>1.1870036101082788</v>
      </c>
      <c r="Q60" s="13">
        <f t="shared" si="10"/>
        <v>3.9671532846715198</v>
      </c>
      <c r="R60" s="13">
        <f t="shared" si="9"/>
        <v>71.388394160583744</v>
      </c>
      <c r="S60" s="13">
        <f t="shared" si="9"/>
        <v>25.141785959639307</v>
      </c>
      <c r="T60" s="12">
        <f t="shared" si="3"/>
        <v>10.091024775329883</v>
      </c>
      <c r="U60" s="12">
        <f t="shared" si="4"/>
        <v>3.553888387572699</v>
      </c>
      <c r="V60" s="12">
        <f t="shared" si="5"/>
        <v>0.1725619708990464</v>
      </c>
      <c r="W60" s="12">
        <f t="shared" si="6"/>
        <v>3.4967023165753131</v>
      </c>
      <c r="X60" s="12">
        <f t="shared" si="7"/>
        <v>1.2103265900555398</v>
      </c>
      <c r="Y60" s="12"/>
      <c r="Z60" s="14" t="s">
        <v>339</v>
      </c>
      <c r="AA60" s="12">
        <v>3.9682539682539597E-2</v>
      </c>
      <c r="AB60" s="12">
        <v>8.3920879120879005E-2</v>
      </c>
      <c r="AC60" s="14" t="s">
        <v>614</v>
      </c>
      <c r="AD60" s="12">
        <v>4.7619047619047603E-2</v>
      </c>
      <c r="AE60" s="14" t="s">
        <v>615</v>
      </c>
      <c r="AF60" s="12">
        <v>9.9684061444601804E-2</v>
      </c>
      <c r="AG60" s="12">
        <v>9.2303083124523302E-2</v>
      </c>
      <c r="AH60" s="14" t="s">
        <v>616</v>
      </c>
      <c r="AI60" s="12">
        <v>4.4291179481652197E-3</v>
      </c>
      <c r="AJ60" s="12">
        <v>1.48028107636997E-2</v>
      </c>
      <c r="AK60" s="14" t="s">
        <v>617</v>
      </c>
      <c r="AL60" s="12">
        <v>9.3812634177758605E-2</v>
      </c>
    </row>
    <row r="61" spans="1:38">
      <c r="A61" s="12" t="s">
        <v>618</v>
      </c>
      <c r="B61" s="12" t="s">
        <v>111</v>
      </c>
      <c r="C61" s="12" t="s">
        <v>18</v>
      </c>
      <c r="D61" s="12">
        <v>66</v>
      </c>
      <c r="E61" s="12">
        <v>66.33</v>
      </c>
      <c r="F61" s="12">
        <v>286</v>
      </c>
      <c r="G61" s="13">
        <f t="shared" si="8"/>
        <v>2.9999999999999964</v>
      </c>
      <c r="H61" s="13">
        <f t="shared" si="8"/>
        <v>2.4999999999999947</v>
      </c>
      <c r="I61" s="13">
        <f t="shared" si="8"/>
        <v>5.2518857142857094</v>
      </c>
      <c r="J61" s="13">
        <f t="shared" si="8"/>
        <v>17.051428571428549</v>
      </c>
      <c r="K61" s="13">
        <f t="shared" si="8"/>
        <v>2.9999999999999964</v>
      </c>
      <c r="L61" s="13">
        <f t="shared" si="2"/>
        <v>58.963416305092437</v>
      </c>
      <c r="M61" s="13">
        <f t="shared" si="2"/>
        <v>34.324571820050224</v>
      </c>
      <c r="N61" s="13">
        <f t="shared" si="2"/>
        <v>31.917835122173859</v>
      </c>
      <c r="O61" s="13">
        <f t="shared" si="2"/>
        <v>8.7992564178626242</v>
      </c>
      <c r="P61" s="13">
        <f t="shared" si="2"/>
        <v>1.9692818937065959</v>
      </c>
      <c r="Q61" s="13">
        <f t="shared" si="10"/>
        <v>3.3929435944279018</v>
      </c>
      <c r="R61" s="13">
        <f t="shared" si="9"/>
        <v>70.261068463119244</v>
      </c>
      <c r="S61" s="13">
        <f t="shared" si="9"/>
        <v>29.9924999009922</v>
      </c>
      <c r="T61" s="12">
        <f t="shared" si="3"/>
        <v>9.533387851169504</v>
      </c>
      <c r="U61" s="12">
        <f t="shared" si="4"/>
        <v>4.0695386568510452</v>
      </c>
      <c r="V61" s="12">
        <f t="shared" si="5"/>
        <v>0.14079919077666803</v>
      </c>
      <c r="W61" s="12">
        <f t="shared" si="6"/>
        <v>4.3307781712583253</v>
      </c>
      <c r="X61" s="12">
        <f t="shared" si="7"/>
        <v>1.3411113554362226</v>
      </c>
      <c r="Y61" s="12"/>
      <c r="Z61" s="12">
        <v>4.54545454545454E-2</v>
      </c>
      <c r="AA61" s="12">
        <v>3.7878787878787797E-2</v>
      </c>
      <c r="AB61" s="12">
        <v>7.9574025974025894E-2</v>
      </c>
      <c r="AC61" s="14" t="s">
        <v>619</v>
      </c>
      <c r="AD61" s="12">
        <v>4.54545454545454E-2</v>
      </c>
      <c r="AE61" s="14" t="s">
        <v>620</v>
      </c>
      <c r="AF61" s="12">
        <v>0.120015985384791</v>
      </c>
      <c r="AG61" s="14" t="s">
        <v>621</v>
      </c>
      <c r="AH61" s="12">
        <v>3.07666308316875E-2</v>
      </c>
      <c r="AI61" s="12">
        <v>6.8856010269461396E-3</v>
      </c>
      <c r="AJ61" s="14" t="s">
        <v>622</v>
      </c>
      <c r="AK61" s="14" t="s">
        <v>623</v>
      </c>
      <c r="AL61" s="14" t="s">
        <v>624</v>
      </c>
    </row>
    <row r="62" spans="1:38">
      <c r="E62" s="13" t="s">
        <v>627</v>
      </c>
      <c r="T62" s="12"/>
      <c r="U62" s="12"/>
      <c r="V62" s="12"/>
      <c r="W62" s="12"/>
      <c r="X62" s="12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6E12-FC18-1A42-98F5-BEE5612164CD}">
  <dimension ref="A1:AW63"/>
  <sheetViews>
    <sheetView tabSelected="1" workbookViewId="0">
      <selection activeCell="A24" sqref="A24"/>
    </sheetView>
  </sheetViews>
  <sheetFormatPr baseColWidth="10" defaultRowHeight="15"/>
  <cols>
    <col min="1" max="5" width="11" style="13"/>
    <col min="6" max="6" width="11" style="15"/>
    <col min="7" max="17" width="11" style="13"/>
    <col min="19" max="49" width="11" style="13"/>
  </cols>
  <sheetData>
    <row r="1" spans="1:49">
      <c r="A1" s="13" t="s">
        <v>0</v>
      </c>
      <c r="B1" s="13" t="s">
        <v>1</v>
      </c>
      <c r="C1" s="13" t="s">
        <v>2</v>
      </c>
      <c r="D1" s="13" t="s">
        <v>630</v>
      </c>
      <c r="E1" s="13" t="s">
        <v>626</v>
      </c>
      <c r="F1" s="15" t="s">
        <v>296</v>
      </c>
      <c r="G1" s="13" t="s">
        <v>631</v>
      </c>
      <c r="H1" s="13" t="s">
        <v>263</v>
      </c>
      <c r="I1" s="13" t="s">
        <v>265</v>
      </c>
      <c r="J1" s="13" t="s">
        <v>277</v>
      </c>
      <c r="K1" s="13" t="s">
        <v>281</v>
      </c>
      <c r="L1" s="13" t="s">
        <v>289</v>
      </c>
      <c r="M1" s="13" t="s">
        <v>290</v>
      </c>
      <c r="N1" s="13" t="s">
        <v>294</v>
      </c>
      <c r="O1" s="13" t="s">
        <v>269</v>
      </c>
      <c r="P1" s="13" t="s">
        <v>628</v>
      </c>
      <c r="Q1" s="13" t="s">
        <v>297</v>
      </c>
      <c r="T1" s="13" t="s">
        <v>263</v>
      </c>
      <c r="U1" s="13" t="s">
        <v>265</v>
      </c>
      <c r="V1" s="13" t="s">
        <v>277</v>
      </c>
      <c r="W1" s="13" t="s">
        <v>281</v>
      </c>
      <c r="X1" s="13" t="s">
        <v>289</v>
      </c>
      <c r="Y1" s="13" t="s">
        <v>290</v>
      </c>
      <c r="Z1" s="13" t="s">
        <v>294</v>
      </c>
      <c r="AA1" s="13" t="s">
        <v>269</v>
      </c>
      <c r="AB1" s="13" t="s">
        <v>628</v>
      </c>
      <c r="AC1" s="13" t="s">
        <v>297</v>
      </c>
      <c r="AE1" s="13" t="str">
        <f>'2026_Fantasy_Relievers'!G1</f>
        <v>W</v>
      </c>
      <c r="AF1" s="13" t="str">
        <f>'2026_Fantasy_Relievers'!H1</f>
        <v>L</v>
      </c>
      <c r="AG1" s="13" t="str">
        <f>'2026_Fantasy_Relievers'!I1</f>
        <v>SV</v>
      </c>
      <c r="AH1" s="13" t="str">
        <f>'2026_Fantasy_Relievers'!J1</f>
        <v>HLD</v>
      </c>
      <c r="AI1" s="13" t="s">
        <v>287</v>
      </c>
      <c r="AJ1" s="13" t="str">
        <f>'2026_Fantasy_Relievers'!K1</f>
        <v>BS</v>
      </c>
      <c r="AK1" s="13" t="str">
        <f>'2026_Fantasy_Relievers'!L1</f>
        <v>H</v>
      </c>
      <c r="AL1" s="13" t="str">
        <f>'2026_Fantasy_Relievers'!M1</f>
        <v>R</v>
      </c>
      <c r="AM1" s="13" t="str">
        <f>'2026_Fantasy_Relievers'!N1</f>
        <v>ER</v>
      </c>
      <c r="AN1" s="13" t="str">
        <f>'2026_Fantasy_Relievers'!O1</f>
        <v>HR</v>
      </c>
      <c r="AO1" s="13" t="str">
        <f>'2026_Fantasy_Relievers'!P1</f>
        <v>IBB</v>
      </c>
      <c r="AP1" s="13" t="str">
        <f>'2026_Fantasy_Relievers'!Q1</f>
        <v>HBP</v>
      </c>
      <c r="AQ1" s="13" t="str">
        <f>'2026_Fantasy_Relievers'!R1</f>
        <v>K</v>
      </c>
      <c r="AR1" s="13" t="str">
        <f>'2026_Fantasy_Relievers'!S1</f>
        <v>BB</v>
      </c>
      <c r="AS1" s="13" t="str">
        <f>'2026_Fantasy_Relievers'!T1</f>
        <v>K/9</v>
      </c>
      <c r="AT1" s="13" t="str">
        <f>'2026_Fantasy_Relievers'!U1</f>
        <v>BB/9</v>
      </c>
      <c r="AU1" s="13" t="str">
        <f>'2026_Fantasy_Relievers'!V1</f>
        <v>K-BB%</v>
      </c>
      <c r="AV1" s="13" t="str">
        <f>'2026_Fantasy_Relievers'!W1</f>
        <v>ERA</v>
      </c>
      <c r="AW1" s="13" t="str">
        <f>'2026_Fantasy_Relievers'!X1</f>
        <v>WHIP</v>
      </c>
    </row>
    <row r="2" spans="1:49">
      <c r="A2" s="13" t="s">
        <v>16</v>
      </c>
      <c r="B2" s="13" t="s">
        <v>17</v>
      </c>
      <c r="C2" s="13" t="s">
        <v>18</v>
      </c>
      <c r="D2" s="13">
        <v>59</v>
      </c>
      <c r="E2" s="13">
        <v>64.67</v>
      </c>
      <c r="F2" s="15">
        <f t="shared" ref="F2:F33" si="0">H2+I2+J2+K2+L2+M2+N2+O2+P2+Q2</f>
        <v>14.412747887393964</v>
      </c>
      <c r="G2" s="13">
        <v>254</v>
      </c>
      <c r="H2" s="13">
        <f t="shared" ref="H2:H33" si="1">(T2-T$62)/T$63</f>
        <v>-0.65711041473647291</v>
      </c>
      <c r="I2" s="13">
        <f t="shared" ref="I2:I33" si="2">(U2-U$62)/U$63</f>
        <v>1.6084195043324678</v>
      </c>
      <c r="J2" s="13">
        <f t="shared" ref="J2:J33" si="3">(V2-V$62)/V$63</f>
        <v>0.69788984556456479</v>
      </c>
      <c r="K2" s="13">
        <f t="shared" ref="K2:K33" si="4">(W2-W$62)/W$63</f>
        <v>0.24202759120097764</v>
      </c>
      <c r="L2" s="13">
        <f t="shared" ref="L2:L33" si="5">(X2-X$62)/X$63</f>
        <v>2.6858032767601157</v>
      </c>
      <c r="M2" s="13">
        <f t="shared" ref="M2:M33" si="6">(Y2-Y$62)/Y$63</f>
        <v>2.9054732180450555</v>
      </c>
      <c r="N2" s="13">
        <f t="shared" ref="N2:N33" si="7">(Z2-Z$62)/Z$63</f>
        <v>2.7018095468253751</v>
      </c>
      <c r="O2" s="13">
        <f t="shared" ref="O2:O33" si="8">(AA2-AA$62)/AA$63</f>
        <v>-0.31815953576166639</v>
      </c>
      <c r="P2" s="13">
        <f t="shared" ref="P2:P33" si="9">(AB2-AB$62)/AB$63</f>
        <v>1.5072316205212326</v>
      </c>
      <c r="Q2" s="13">
        <f t="shared" ref="Q2:Q33" si="10">(AC2-AC$62)/AC$63</f>
        <v>3.0393632346423138</v>
      </c>
      <c r="T2" s="13">
        <f t="shared" ref="T2:T33" si="11">(AE2-AVERAGE(AE$2:AE$61))/AVERAGE(AE$2:AE$61)*100+100</f>
        <v>90.671641791044749</v>
      </c>
      <c r="U2" s="13">
        <f t="shared" ref="U2:U33" si="12">(AVERAGE(AF$2:AF$61)-AF2)/AVERAGE(AF$2:AF$61)*100+100</f>
        <v>124.53709095143827</v>
      </c>
      <c r="V2" s="13">
        <f t="shared" ref="V2:V33" si="13">(AVERAGE(AN$2:AN$61)-AN2)/AVERAGE(AN$2:AN$61)*100+100</f>
        <v>114.23632882532016</v>
      </c>
      <c r="W2" s="13">
        <f t="shared" ref="W2:W33" si="14">(AVERAGE(AP$2:AP$61)-AP2)/AVERAGE(AP$2:AP$61)*100+100</f>
        <v>103.30808223520556</v>
      </c>
      <c r="X2" s="13">
        <f t="shared" ref="X2:X33" si="15">(AVERAGE(AV$2:AV$61)-AV2)/AVERAGE(AV$2:AV$61)*100+100</f>
        <v>133.51676461791308</v>
      </c>
      <c r="Y2" s="13">
        <f t="shared" ref="Y2:Y33" si="16">(AVERAGE(AW$2:AW$61)-AW2)/AVERAGE(AW$2:AW$61)*100+100</f>
        <v>118.45526563238406</v>
      </c>
      <c r="Z2" s="13">
        <f>(AS2-AVERAGE(AS$2:AS61))/AVERAGE(AS$2:AS$61)*100+100</f>
        <v>136.51296302091754</v>
      </c>
      <c r="AA2" s="13">
        <f t="shared" ref="AA2:AA33" si="17">(AVERAGE(AJ$2:AJ$61)-AJ2)/AVERAGE(AJ$2:AJ$61)*100+100</f>
        <v>86.79245283018868</v>
      </c>
      <c r="AB2" s="13">
        <f t="shared" ref="AB2:AB33" si="18">(AI2-AVERAGE(AI$2:AI$61))/AVERAGE(AI$2:AI$61)*100+100</f>
        <v>140.59592004658464</v>
      </c>
      <c r="AC2" s="13">
        <f t="shared" ref="AC2:AC33" si="19">(AU2-AVERAGE(AU$2:AU$61))/AVERAGE(AU$2:AU$61)*100+100</f>
        <v>162.36261182137866</v>
      </c>
      <c r="AE2" s="13">
        <f>'2026_Fantasy_Relievers'!G2</f>
        <v>2.9999999999999973</v>
      </c>
      <c r="AF2" s="13">
        <f>'2026_Fantasy_Relievers'!H2</f>
        <v>1.9999999999999962</v>
      </c>
      <c r="AG2" s="13">
        <f>'2026_Fantasy_Relievers'!I2</f>
        <v>31.503818181818144</v>
      </c>
      <c r="AH2" s="13">
        <f>'2026_Fantasy_Relievers'!J2</f>
        <v>2.5575757575757518</v>
      </c>
      <c r="AI2" s="13">
        <f t="shared" ref="AI2:AI33" si="20">AG2+AH2</f>
        <v>34.061393939393895</v>
      </c>
      <c r="AJ2" s="13">
        <f>'2026_Fantasy_Relievers'!K2</f>
        <v>3.9999999999999982</v>
      </c>
      <c r="AK2" s="13">
        <f>'2026_Fantasy_Relievers'!L2</f>
        <v>38.32312711382464</v>
      </c>
      <c r="AL2" s="13">
        <f>'2026_Fantasy_Relievers'!M2</f>
        <v>17.690521085869896</v>
      </c>
      <c r="AM2" s="13">
        <f>'2026_Fantasy_Relievers'!N2</f>
        <v>16.707925533506916</v>
      </c>
      <c r="AN2" s="13">
        <f>'2026_Fantasy_Relievers'!O2</f>
        <v>5.9093643373439537</v>
      </c>
      <c r="AO2" s="13">
        <f>'2026_Fantasy_Relievers'!P2</f>
        <v>1.9770094614908296</v>
      </c>
      <c r="AP2" s="13">
        <f>'2026_Fantasy_Relievers'!Q2</f>
        <v>2.9477866570889613</v>
      </c>
      <c r="AQ2" s="13">
        <f>'2026_Fantasy_Relievers'!R2</f>
        <v>97.423086378737523</v>
      </c>
      <c r="AR2" s="13">
        <f>'2026_Fantasy_Relievers'!S2</f>
        <v>24.258133928571407</v>
      </c>
      <c r="AS2" s="13">
        <f>'2026_Fantasy_Relievers'!T2</f>
        <v>13.558184280325307</v>
      </c>
      <c r="AT2" s="13">
        <f>'2026_Fantasy_Relievers'!U2</f>
        <v>3.3759580231504973</v>
      </c>
      <c r="AU2" s="13">
        <f>'2026_Fantasy_Relievers'!V2</f>
        <v>0.28805099389829181</v>
      </c>
      <c r="AV2" s="13">
        <f>'2026_Fantasy_Relievers'!W2</f>
        <v>2.3252099861073487</v>
      </c>
      <c r="AW2" s="13">
        <f>'2026_Fantasy_Relievers'!X2</f>
        <v>0.96770157789386191</v>
      </c>
    </row>
    <row r="3" spans="1:49">
      <c r="A3" s="13" t="s">
        <v>632</v>
      </c>
      <c r="B3" s="13" t="s">
        <v>51</v>
      </c>
      <c r="C3" s="13" t="s">
        <v>18</v>
      </c>
      <c r="D3" s="13">
        <v>57</v>
      </c>
      <c r="E3" s="13">
        <v>57.33</v>
      </c>
      <c r="F3" s="15">
        <f t="shared" si="0"/>
        <v>9.3886867290897005</v>
      </c>
      <c r="G3" s="13">
        <v>234</v>
      </c>
      <c r="H3" s="13">
        <f t="shared" si="1"/>
        <v>0.40740845713660701</v>
      </c>
      <c r="I3" s="13">
        <f t="shared" si="2"/>
        <v>0.3717609390649706</v>
      </c>
      <c r="J3" s="13">
        <f t="shared" si="3"/>
        <v>1.1864035034845737</v>
      </c>
      <c r="K3" s="13">
        <f t="shared" si="4"/>
        <v>1.6730921261898433</v>
      </c>
      <c r="L3" s="13">
        <f t="shared" si="5"/>
        <v>1.1954260075379792</v>
      </c>
      <c r="M3" s="13">
        <f t="shared" si="6"/>
        <v>0.71797620806338192</v>
      </c>
      <c r="N3" s="13">
        <f t="shared" si="7"/>
        <v>1.7075334583661206</v>
      </c>
      <c r="O3" s="13">
        <f t="shared" si="8"/>
        <v>-0.31815953576166639</v>
      </c>
      <c r="P3" s="13">
        <f t="shared" si="9"/>
        <v>1.1971782744461881</v>
      </c>
      <c r="Q3" s="13">
        <f t="shared" si="10"/>
        <v>1.2500672905617018</v>
      </c>
      <c r="T3" s="13">
        <f t="shared" si="11"/>
        <v>105.7835820895521</v>
      </c>
      <c r="U3" s="13">
        <f t="shared" si="12"/>
        <v>105.67136368929771</v>
      </c>
      <c r="V3" s="13">
        <f t="shared" si="13"/>
        <v>124.20157063820713</v>
      </c>
      <c r="W3" s="13">
        <f t="shared" si="14"/>
        <v>122.86816272907865</v>
      </c>
      <c r="X3" s="13">
        <f t="shared" si="15"/>
        <v>114.91799956440389</v>
      </c>
      <c r="Y3" s="13">
        <f t="shared" si="16"/>
        <v>104.56051067868975</v>
      </c>
      <c r="Z3" s="13">
        <f>(AS3-AVERAGE(AS$2:AS62))/AVERAGE(AS$2:AS$61)*100+100</f>
        <v>123.0760551185258</v>
      </c>
      <c r="AA3" s="13">
        <f t="shared" si="17"/>
        <v>86.79245283018868</v>
      </c>
      <c r="AB3" s="13">
        <f t="shared" si="18"/>
        <v>132.244913687598</v>
      </c>
      <c r="AC3" s="13">
        <f t="shared" si="19"/>
        <v>125.64927426355354</v>
      </c>
      <c r="AE3" s="13">
        <f>'2026_Fantasy_Relievers'!G8</f>
        <v>3.4999999999999929</v>
      </c>
      <c r="AF3" s="13">
        <f>'2026_Fantasy_Relievers'!H8</f>
        <v>2.4999999999999991</v>
      </c>
      <c r="AG3" s="13">
        <f>'2026_Fantasy_Relievers'!I8</f>
        <v>29.470499999999962</v>
      </c>
      <c r="AH3" s="13">
        <f>'2026_Fantasy_Relievers'!J8</f>
        <v>2.5677419354838666</v>
      </c>
      <c r="AI3" s="13">
        <f t="shared" si="20"/>
        <v>32.038241935483832</v>
      </c>
      <c r="AJ3" s="13">
        <f>'2026_Fantasy_Relievers'!K8</f>
        <v>3.9999999999999982</v>
      </c>
      <c r="AK3" s="13">
        <f>'2026_Fantasy_Relievers'!L8</f>
        <v>39.229411764705787</v>
      </c>
      <c r="AL3" s="13">
        <f>'2026_Fantasy_Relievers'!M8</f>
        <v>20.388970588235278</v>
      </c>
      <c r="AM3" s="13">
        <f>'2026_Fantasy_Relievers'!N8</f>
        <v>18.955147058823528</v>
      </c>
      <c r="AN3" s="13">
        <f>'2026_Fantasy_Relievers'!O8</f>
        <v>5.2227304307549742</v>
      </c>
      <c r="AO3" s="13">
        <f>'2026_Fantasy_Relievers'!P8</f>
        <v>0.9753124999999867</v>
      </c>
      <c r="AP3" s="13">
        <f>'2026_Fantasy_Relievers'!Q8</f>
        <v>2.3514705882352853</v>
      </c>
      <c r="AQ3" s="13">
        <f>'2026_Fantasy_Relievers'!R8</f>
        <v>77.864704411764578</v>
      </c>
      <c r="AR3" s="13">
        <f>'2026_Fantasy_Relievers'!S8</f>
        <v>25.70210912459455</v>
      </c>
      <c r="AS3" s="13">
        <f>'2026_Fantasy_Relievers'!T8</f>
        <v>12.223658463385334</v>
      </c>
      <c r="AT3" s="13">
        <f>'2026_Fantasy_Relievers'!U8</f>
        <v>4.0348679944418446</v>
      </c>
      <c r="AU3" s="13">
        <f>'2026_Fantasy_Relievers'!V8</f>
        <v>0.22291707387679499</v>
      </c>
      <c r="AV3" s="13">
        <f>'2026_Fantasy_Relievers'!W8</f>
        <v>2.975690276110444</v>
      </c>
      <c r="AW3" s="13">
        <f>'2026_Fantasy_Relievers'!X8</f>
        <v>1.1325923755328859</v>
      </c>
    </row>
    <row r="4" spans="1:49">
      <c r="A4" s="13" t="s">
        <v>23</v>
      </c>
      <c r="B4" s="13" t="s">
        <v>24</v>
      </c>
      <c r="C4" s="13" t="s">
        <v>18</v>
      </c>
      <c r="D4" s="13">
        <v>64</v>
      </c>
      <c r="E4" s="13">
        <v>65.67</v>
      </c>
      <c r="F4" s="15">
        <f t="shared" si="0"/>
        <v>9.1508160931753313</v>
      </c>
      <c r="G4" s="13">
        <v>265</v>
      </c>
      <c r="H4" s="13">
        <f t="shared" si="1"/>
        <v>1.471927329009711</v>
      </c>
      <c r="I4" s="13">
        <f t="shared" si="2"/>
        <v>1.6084195043324585</v>
      </c>
      <c r="J4" s="13">
        <f t="shared" si="3"/>
        <v>-0.3465930013588262</v>
      </c>
      <c r="K4" s="13">
        <f t="shared" si="4"/>
        <v>-0.9366354157564093</v>
      </c>
      <c r="L4" s="13">
        <f t="shared" si="5"/>
        <v>1.0719546253039165</v>
      </c>
      <c r="M4" s="13">
        <f t="shared" si="6"/>
        <v>1.3831467441820822</v>
      </c>
      <c r="N4" s="13">
        <f t="shared" si="7"/>
        <v>1.6792147274680067</v>
      </c>
      <c r="O4" s="13">
        <f t="shared" si="8"/>
        <v>-0.99992996953666513</v>
      </c>
      <c r="P4" s="13">
        <f t="shared" si="9"/>
        <v>2.3021761826513516</v>
      </c>
      <c r="Q4" s="13">
        <f t="shared" si="10"/>
        <v>1.9171353668797046</v>
      </c>
      <c r="T4" s="13">
        <f t="shared" si="11"/>
        <v>120.89552238805979</v>
      </c>
      <c r="U4" s="13">
        <f t="shared" si="12"/>
        <v>124.53709095143813</v>
      </c>
      <c r="V4" s="13">
        <f t="shared" si="13"/>
        <v>92.929812681387631</v>
      </c>
      <c r="W4" s="13">
        <f t="shared" si="14"/>
        <v>87.197877050492238</v>
      </c>
      <c r="X4" s="13">
        <f t="shared" si="15"/>
        <v>113.37717142885273</v>
      </c>
      <c r="Y4" s="13">
        <f t="shared" si="16"/>
        <v>108.78560518607115</v>
      </c>
      <c r="Z4" s="13">
        <f>(AS4-AVERAGE(AS$2:AS63))/AVERAGE(AS$2:AS$61)*100+100</f>
        <v>122.69334835990283</v>
      </c>
      <c r="AA4" s="13">
        <f t="shared" si="17"/>
        <v>58.490566037735789</v>
      </c>
      <c r="AB4" s="13">
        <f t="shared" si="18"/>
        <v>162.00703260972301</v>
      </c>
      <c r="AC4" s="13">
        <f t="shared" si="19"/>
        <v>139.33638708629883</v>
      </c>
      <c r="AE4" s="13">
        <f>'2026_Fantasy_Relievers'!G3</f>
        <v>4</v>
      </c>
      <c r="AF4" s="13">
        <f>'2026_Fantasy_Relievers'!H3</f>
        <v>2</v>
      </c>
      <c r="AG4" s="13">
        <f>'2026_Fantasy_Relievers'!I3</f>
        <v>36.266727272727231</v>
      </c>
      <c r="AH4" s="13">
        <f>'2026_Fantasy_Relievers'!J3</f>
        <v>2.9818181818181761</v>
      </c>
      <c r="AI4" s="13">
        <f t="shared" si="20"/>
        <v>39.248545454545408</v>
      </c>
      <c r="AJ4" s="13">
        <f>'2026_Fantasy_Relievers'!K3</f>
        <v>5</v>
      </c>
      <c r="AK4" s="13">
        <f>'2026_Fantasy_Relievers'!L3</f>
        <v>47.6779616676762</v>
      </c>
      <c r="AL4" s="13">
        <f>'2026_Fantasy_Relievers'!M3</f>
        <v>24.072499586936146</v>
      </c>
      <c r="AM4" s="13">
        <f>'2026_Fantasy_Relievers'!N3</f>
        <v>22.105833838189131</v>
      </c>
      <c r="AN4" s="13">
        <f>'2026_Fantasy_Relievers'!O3</f>
        <v>7.3774447603187827</v>
      </c>
      <c r="AO4" s="13">
        <f>'2026_Fantasy_Relievers'!P3</f>
        <v>0.99038395588415751</v>
      </c>
      <c r="AP4" s="13">
        <f>'2026_Fantasy_Relievers'!Q3</f>
        <v>3.4389285124194413</v>
      </c>
      <c r="AQ4" s="13">
        <f>'2026_Fantasy_Relievers'!R3</f>
        <v>88.914617571735221</v>
      </c>
      <c r="AR4" s="13">
        <f>'2026_Fantasy_Relievers'!S3</f>
        <v>23.406703840348793</v>
      </c>
      <c r="AS4" s="13">
        <f>'2026_Fantasy_Relievers'!T3</f>
        <v>12.185648822074265</v>
      </c>
      <c r="AT4" s="13">
        <f>'2026_Fantasy_Relievers'!U3</f>
        <v>3.2078625637755311</v>
      </c>
      <c r="AU4" s="13">
        <f>'2026_Fantasy_Relievers'!V3</f>
        <v>0.24719967445806199</v>
      </c>
      <c r="AV4" s="13">
        <f>'2026_Fantasy_Relievers'!W3</f>
        <v>3.0295797859555686</v>
      </c>
      <c r="AW4" s="13">
        <f>'2026_Fantasy_Relievers'!X3</f>
        <v>1.0824526497338967</v>
      </c>
    </row>
    <row r="5" spans="1:49">
      <c r="A5" s="13" t="s">
        <v>38</v>
      </c>
      <c r="B5" s="13" t="s">
        <v>39</v>
      </c>
      <c r="C5" s="13" t="s">
        <v>18</v>
      </c>
      <c r="D5" s="13">
        <v>67</v>
      </c>
      <c r="E5" s="13">
        <v>69</v>
      </c>
      <c r="F5" s="15">
        <f t="shared" si="0"/>
        <v>8.3061591990621153</v>
      </c>
      <c r="G5" s="13">
        <v>277</v>
      </c>
      <c r="H5" s="13">
        <f t="shared" si="1"/>
        <v>1.471927329009691</v>
      </c>
      <c r="I5" s="13">
        <f t="shared" si="2"/>
        <v>0.37176093906498364</v>
      </c>
      <c r="J5" s="13">
        <f t="shared" si="3"/>
        <v>0.87443390542315513</v>
      </c>
      <c r="K5" s="13">
        <f t="shared" si="4"/>
        <v>-0.88039126552539426</v>
      </c>
      <c r="L5" s="13">
        <f t="shared" si="5"/>
        <v>1.5985002758453568</v>
      </c>
      <c r="M5" s="13">
        <f t="shared" si="6"/>
        <v>1.6924609388949494</v>
      </c>
      <c r="N5" s="13">
        <f t="shared" si="7"/>
        <v>1.0671304377015973</v>
      </c>
      <c r="O5" s="13">
        <f t="shared" si="8"/>
        <v>-0.9999299695366608</v>
      </c>
      <c r="P5" s="13">
        <f t="shared" si="9"/>
        <v>1.4644356604155662</v>
      </c>
      <c r="Q5" s="13">
        <f t="shared" si="10"/>
        <v>1.6458309477688691</v>
      </c>
      <c r="T5" s="13">
        <f t="shared" si="11"/>
        <v>120.8955223880595</v>
      </c>
      <c r="U5" s="13">
        <f t="shared" si="12"/>
        <v>105.67136368929791</v>
      </c>
      <c r="V5" s="13">
        <f t="shared" si="13"/>
        <v>117.83766978804861</v>
      </c>
      <c r="W5" s="13">
        <f t="shared" si="14"/>
        <v>87.966633510407377</v>
      </c>
      <c r="X5" s="13">
        <f t="shared" si="15"/>
        <v>119.94805723515509</v>
      </c>
      <c r="Y5" s="13">
        <f t="shared" si="16"/>
        <v>110.75033698667397</v>
      </c>
      <c r="Z5" s="13">
        <f>(AS5-AVERAGE(AS$2:AS64))/AVERAGE(AS$2:AS$61)*100+100</f>
        <v>114.42148069099716</v>
      </c>
      <c r="AA5" s="13">
        <f t="shared" si="17"/>
        <v>58.490566037735967</v>
      </c>
      <c r="AB5" s="13">
        <f t="shared" si="18"/>
        <v>139.44324958033894</v>
      </c>
      <c r="AC5" s="13">
        <f t="shared" si="19"/>
        <v>133.76967759215546</v>
      </c>
      <c r="AE5" s="13">
        <f>'2026_Fantasy_Relievers'!G6</f>
        <v>3.9999999999999911</v>
      </c>
      <c r="AF5" s="13">
        <f>'2026_Fantasy_Relievers'!H6</f>
        <v>2.4999999999999938</v>
      </c>
      <c r="AG5" s="13">
        <f>'2026_Fantasy_Relievers'!I6</f>
        <v>30.207857142857076</v>
      </c>
      <c r="AH5" s="13">
        <f>'2026_Fantasy_Relievers'!J6</f>
        <v>3.5742857142857112</v>
      </c>
      <c r="AI5" s="13">
        <f t="shared" si="20"/>
        <v>33.782142857142787</v>
      </c>
      <c r="AJ5" s="13">
        <f>'2026_Fantasy_Relievers'!K6</f>
        <v>4.9999999999999938</v>
      </c>
      <c r="AK5" s="13">
        <f>'2026_Fantasy_Relievers'!L6</f>
        <v>51.694302895046718</v>
      </c>
      <c r="AL5" s="13">
        <f>'2026_Fantasy_Relievers'!M6</f>
        <v>22.926210402330899</v>
      </c>
      <c r="AM5" s="13">
        <f>'2026_Fantasy_Relievers'!N6</f>
        <v>21.464881284483269</v>
      </c>
      <c r="AN5" s="13">
        <f>'2026_Fantasy_Relievers'!O6</f>
        <v>5.6612215566038673</v>
      </c>
      <c r="AO5" s="13">
        <f>'2026_Fantasy_Relievers'!P6</f>
        <v>1.9760510817680033</v>
      </c>
      <c r="AP5" s="13">
        <f>'2026_Fantasy_Relievers'!Q6</f>
        <v>3.4154919099869483</v>
      </c>
      <c r="AQ5" s="13">
        <f>'2026_Fantasy_Relievers'!R6</f>
        <v>87.124797991445035</v>
      </c>
      <c r="AR5" s="13">
        <f>'2026_Fantasy_Relievers'!S6</f>
        <v>21.386145366938447</v>
      </c>
      <c r="AS5" s="13">
        <f>'2026_Fantasy_Relievers'!T6</f>
        <v>11.364104085840657</v>
      </c>
      <c r="AT5" s="13">
        <f>'2026_Fantasy_Relievers'!U6</f>
        <v>2.7894972217745799</v>
      </c>
      <c r="AU5" s="13">
        <f>'2026_Fantasy_Relievers'!V6</f>
        <v>0.23732365568413932</v>
      </c>
      <c r="AV5" s="13">
        <f>'2026_Fantasy_Relievers'!W6</f>
        <v>2.7997671240630351</v>
      </c>
      <c r="AW5" s="13">
        <f>'2026_Fantasy_Relievers'!X6</f>
        <v>1.0591369313331185</v>
      </c>
    </row>
    <row r="6" spans="1:49">
      <c r="A6" s="13" t="s">
        <v>633</v>
      </c>
      <c r="B6" s="13" t="s">
        <v>66</v>
      </c>
      <c r="C6" s="13" t="s">
        <v>18</v>
      </c>
      <c r="D6" s="13">
        <v>53</v>
      </c>
      <c r="E6" s="13">
        <v>56</v>
      </c>
      <c r="F6" s="15">
        <f t="shared" si="0"/>
        <v>8.2603488759299282</v>
      </c>
      <c r="G6" s="13">
        <v>225</v>
      </c>
      <c r="H6" s="13">
        <f t="shared" si="1"/>
        <v>0.40740845713661</v>
      </c>
      <c r="I6" s="13">
        <f t="shared" si="2"/>
        <v>0.37176093906498364</v>
      </c>
      <c r="J6" s="13">
        <f t="shared" si="3"/>
        <v>-0.30673652903293203</v>
      </c>
      <c r="K6" s="13">
        <f t="shared" si="4"/>
        <v>0.745856694262508</v>
      </c>
      <c r="L6" s="13">
        <f t="shared" si="5"/>
        <v>0.80110904321859067</v>
      </c>
      <c r="M6" s="13">
        <f t="shared" si="6"/>
        <v>1.6351172433710051</v>
      </c>
      <c r="N6" s="13">
        <f t="shared" si="7"/>
        <v>1.671422774851512</v>
      </c>
      <c r="O6" s="13">
        <f t="shared" si="8"/>
        <v>0.36361089801333196</v>
      </c>
      <c r="P6" s="13">
        <f t="shared" si="9"/>
        <v>0.81200110805798753</v>
      </c>
      <c r="Q6" s="13">
        <f t="shared" si="10"/>
        <v>1.7587982469863306</v>
      </c>
      <c r="T6" s="13">
        <f t="shared" si="11"/>
        <v>105.78358208955214</v>
      </c>
      <c r="U6" s="13">
        <f t="shared" si="12"/>
        <v>105.67136368929791</v>
      </c>
      <c r="V6" s="13">
        <f t="shared" si="13"/>
        <v>93.742849078828968</v>
      </c>
      <c r="W6" s="13">
        <f t="shared" si="14"/>
        <v>110.19452066624116</v>
      </c>
      <c r="X6" s="13">
        <f t="shared" si="15"/>
        <v>109.99722632970676</v>
      </c>
      <c r="Y6" s="13">
        <f t="shared" si="16"/>
        <v>110.38609575854487</v>
      </c>
      <c r="Z6" s="13">
        <f>(AS6-AVERAGE(AS$2:AS65))/AVERAGE(AS$2:AS$61)*100+100</f>
        <v>122.5880458680669</v>
      </c>
      <c r="AA6" s="13">
        <f t="shared" si="17"/>
        <v>115.09433962264156</v>
      </c>
      <c r="AB6" s="13">
        <f t="shared" si="18"/>
        <v>121.8705151959727</v>
      </c>
      <c r="AC6" s="13">
        <f t="shared" si="19"/>
        <v>136.08757620634896</v>
      </c>
      <c r="AE6" s="13">
        <f>'2026_Fantasy_Relievers'!G10</f>
        <v>3.4999999999999947</v>
      </c>
      <c r="AF6" s="13">
        <f>'2026_Fantasy_Relievers'!H10</f>
        <v>2.4999999999999938</v>
      </c>
      <c r="AG6" s="13">
        <f>'2026_Fantasy_Relievers'!I10</f>
        <v>27.603681818181787</v>
      </c>
      <c r="AH6" s="13">
        <f>'2026_Fantasy_Relievers'!J10</f>
        <v>1.9212121212121169</v>
      </c>
      <c r="AI6" s="13">
        <f t="shared" si="20"/>
        <v>29.524893939393905</v>
      </c>
      <c r="AJ6" s="13">
        <f>'2026_Fantasy_Relievers'!K10</f>
        <v>2.9999999999999969</v>
      </c>
      <c r="AK6" s="13">
        <f>'2026_Fantasy_Relievers'!L10</f>
        <v>38.120062803591381</v>
      </c>
      <c r="AL6" s="13">
        <f>'2026_Fantasy_Relievers'!M10</f>
        <v>21.41148618811636</v>
      </c>
      <c r="AM6" s="13">
        <f>'2026_Fantasy_Relievers'!N10</f>
        <v>19.586256807811186</v>
      </c>
      <c r="AN6" s="13">
        <f>'2026_Fantasy_Relievers'!O10</f>
        <v>7.3214242072548075</v>
      </c>
      <c r="AO6" s="13">
        <f>'2026_Fantasy_Relievers'!P10</f>
        <v>0.96081148584410836</v>
      </c>
      <c r="AP6" s="13">
        <f>'2026_Fantasy_Relievers'!Q10</f>
        <v>2.7378440704577698</v>
      </c>
      <c r="AQ6" s="13">
        <f>'2026_Fantasy_Relievers'!R10</f>
        <v>75.756740248270347</v>
      </c>
      <c r="AR6" s="13">
        <f>'2026_Fantasy_Relievers'!S10</f>
        <v>21.433665142905951</v>
      </c>
      <c r="AS6" s="13">
        <f>'2026_Fantasy_Relievers'!T10</f>
        <v>12.175190397043448</v>
      </c>
      <c r="AT6" s="13">
        <f>'2026_Fantasy_Relievers'!U10</f>
        <v>3.4446961836813133</v>
      </c>
      <c r="AU6" s="13">
        <f>'2026_Fantasy_Relievers'!V10</f>
        <v>0.24143588935717508</v>
      </c>
      <c r="AV6" s="13">
        <f>'2026_Fantasy_Relievers'!W10</f>
        <v>3.1477912726839405</v>
      </c>
      <c r="AW6" s="13">
        <f>'2026_Fantasy_Relievers'!X10</f>
        <v>1.0634594276160239</v>
      </c>
    </row>
    <row r="7" spans="1:49">
      <c r="A7" s="13" t="s">
        <v>58</v>
      </c>
      <c r="B7" s="13" t="s">
        <v>59</v>
      </c>
      <c r="C7" s="13" t="s">
        <v>18</v>
      </c>
      <c r="D7" s="13">
        <v>64</v>
      </c>
      <c r="E7" s="13">
        <v>64.33</v>
      </c>
      <c r="F7" s="15">
        <f t="shared" si="0"/>
        <v>7.3061336859079695</v>
      </c>
      <c r="G7" s="13">
        <v>263</v>
      </c>
      <c r="H7" s="13">
        <f t="shared" si="1"/>
        <v>1.471927329009711</v>
      </c>
      <c r="I7" s="13">
        <f t="shared" si="2"/>
        <v>-0.86489762620252286</v>
      </c>
      <c r="J7" s="13">
        <f t="shared" si="3"/>
        <v>0.62808109377805021</v>
      </c>
      <c r="K7" s="13">
        <f t="shared" si="4"/>
        <v>0.13015227245703115</v>
      </c>
      <c r="L7" s="13">
        <f t="shared" si="5"/>
        <v>1.4570984198669956</v>
      </c>
      <c r="M7" s="13">
        <f t="shared" si="6"/>
        <v>0.83571939449863952</v>
      </c>
      <c r="N7" s="13">
        <f t="shared" si="7"/>
        <v>1.3017154174381449</v>
      </c>
      <c r="O7" s="13">
        <f t="shared" si="8"/>
        <v>-0.31815953576166744</v>
      </c>
      <c r="P7" s="13">
        <f t="shared" si="9"/>
        <v>1.6259420290900217</v>
      </c>
      <c r="Q7" s="13">
        <f t="shared" si="10"/>
        <v>1.0385548917335663</v>
      </c>
      <c r="T7" s="13">
        <f t="shared" si="11"/>
        <v>120.89552238805979</v>
      </c>
      <c r="U7" s="13">
        <f t="shared" si="12"/>
        <v>86.805636427157197</v>
      </c>
      <c r="V7" s="13">
        <f t="shared" si="13"/>
        <v>112.81229270896999</v>
      </c>
      <c r="W7" s="13">
        <f t="shared" si="14"/>
        <v>101.77894767390059</v>
      </c>
      <c r="X7" s="13">
        <f t="shared" si="15"/>
        <v>118.1834705417172</v>
      </c>
      <c r="Y7" s="13">
        <f t="shared" si="16"/>
        <v>105.30840323146575</v>
      </c>
      <c r="Z7" s="13">
        <f>(AS7-AVERAGE(AS$2:AS66))/AVERAGE(AS$2:AS$61)*100+100</f>
        <v>117.59172364925733</v>
      </c>
      <c r="AA7" s="13">
        <f t="shared" si="17"/>
        <v>86.792452830188637</v>
      </c>
      <c r="AB7" s="13">
        <f t="shared" si="18"/>
        <v>143.79327749937573</v>
      </c>
      <c r="AC7" s="13">
        <f t="shared" si="19"/>
        <v>121.30939626766801</v>
      </c>
      <c r="AE7" s="13">
        <f>'2026_Fantasy_Relievers'!G9</f>
        <v>4</v>
      </c>
      <c r="AF7" s="13">
        <f>'2026_Fantasy_Relievers'!H9</f>
        <v>3</v>
      </c>
      <c r="AG7" s="13">
        <f>'2026_Fantasy_Relievers'!I9</f>
        <v>30.635999999999999</v>
      </c>
      <c r="AH7" s="13">
        <f>'2026_Fantasy_Relievers'!J9</f>
        <v>4.2</v>
      </c>
      <c r="AI7" s="13">
        <f t="shared" si="20"/>
        <v>34.835999999999999</v>
      </c>
      <c r="AJ7" s="13">
        <f>'2026_Fantasy_Relievers'!K9</f>
        <v>4</v>
      </c>
      <c r="AK7" s="13">
        <f>'2026_Fantasy_Relievers'!L9</f>
        <v>45.412292956934905</v>
      </c>
      <c r="AL7" s="13">
        <f>'2026_Fantasy_Relievers'!M9</f>
        <v>22.449510298141981</v>
      </c>
      <c r="AM7" s="13">
        <f>'2026_Fantasy_Relievers'!N9</f>
        <v>20.453240674060186</v>
      </c>
      <c r="AN7" s="13">
        <f>'2026_Fantasy_Relievers'!O9</f>
        <v>6.0074845335271352</v>
      </c>
      <c r="AO7" s="13">
        <f>'2026_Fantasy_Relievers'!P9</f>
        <v>0.99548020995884112</v>
      </c>
      <c r="AP7" s="13">
        <f>'2026_Fantasy_Relievers'!Q9</f>
        <v>2.9944044361227076</v>
      </c>
      <c r="AQ7" s="13">
        <f>'2026_Fantasy_Relievers'!R9</f>
        <v>83.478653924816172</v>
      </c>
      <c r="AR7" s="13">
        <f>'2026_Fantasy_Relievers'!S9</f>
        <v>26.876424285460608</v>
      </c>
      <c r="AS7" s="13">
        <f>'2026_Fantasy_Relievers'!T9</f>
        <v>11.678966039535918</v>
      </c>
      <c r="AT7" s="13">
        <f>'2026_Fantasy_Relievers'!U9</f>
        <v>3.7601091025827058</v>
      </c>
      <c r="AU7" s="13">
        <f>'2026_Fantasy_Relievers'!V9</f>
        <v>0.21521760319146599</v>
      </c>
      <c r="AV7" s="13">
        <f>'2026_Fantasy_Relievers'!W9</f>
        <v>2.8614824509022494</v>
      </c>
      <c r="AW7" s="13">
        <f>'2026_Fantasy_Relievers'!X9</f>
        <v>1.1237170409201851</v>
      </c>
    </row>
    <row r="8" spans="1:49">
      <c r="A8" s="13" t="s">
        <v>28</v>
      </c>
      <c r="B8" s="13" t="s">
        <v>29</v>
      </c>
      <c r="C8" s="13" t="s">
        <v>18</v>
      </c>
      <c r="D8" s="13">
        <v>60</v>
      </c>
      <c r="E8" s="13">
        <v>61.67</v>
      </c>
      <c r="F8" s="15">
        <f t="shared" si="0"/>
        <v>6.2544426273275242</v>
      </c>
      <c r="G8" s="13">
        <v>253</v>
      </c>
      <c r="H8" s="13">
        <f t="shared" si="1"/>
        <v>0.407408457136617</v>
      </c>
      <c r="I8" s="13">
        <f t="shared" si="2"/>
        <v>0.37176093906497804</v>
      </c>
      <c r="J8" s="13">
        <f t="shared" si="3"/>
        <v>1.3815937118307378</v>
      </c>
      <c r="K8" s="13">
        <f t="shared" si="4"/>
        <v>-0.99190614576421499</v>
      </c>
      <c r="L8" s="13">
        <f t="shared" si="5"/>
        <v>1.9012680680712744</v>
      </c>
      <c r="M8" s="13">
        <f t="shared" si="6"/>
        <v>0.88516157455195532</v>
      </c>
      <c r="N8" s="13">
        <f t="shared" si="7"/>
        <v>0.95516557586337358</v>
      </c>
      <c r="O8" s="13">
        <f t="shared" si="8"/>
        <v>-0.99992996953666391</v>
      </c>
      <c r="P8" s="13">
        <f t="shared" si="9"/>
        <v>1.5511164371777169</v>
      </c>
      <c r="Q8" s="13">
        <f t="shared" si="10"/>
        <v>0.79280397893175092</v>
      </c>
      <c r="T8" s="13">
        <f t="shared" si="11"/>
        <v>105.78358208955224</v>
      </c>
      <c r="U8" s="13">
        <f t="shared" si="12"/>
        <v>105.67136368929782</v>
      </c>
      <c r="V8" s="13">
        <f t="shared" si="13"/>
        <v>128.18327635746834</v>
      </c>
      <c r="W8" s="13">
        <f t="shared" si="14"/>
        <v>86.442425495740224</v>
      </c>
      <c r="X8" s="13">
        <f t="shared" si="15"/>
        <v>123.72636702937152</v>
      </c>
      <c r="Y8" s="13">
        <f t="shared" si="16"/>
        <v>105.62245484985996</v>
      </c>
      <c r="Z8" s="13">
        <f>(AS8-AVERAGE(AS$2:AS67))/AVERAGE(AS$2:AS$61)*100+100</f>
        <v>112.90835817473956</v>
      </c>
      <c r="AA8" s="13">
        <f t="shared" si="17"/>
        <v>58.490566037735839</v>
      </c>
      <c r="AB8" s="13">
        <f t="shared" si="18"/>
        <v>141.77791787889495</v>
      </c>
      <c r="AC8" s="13">
        <f t="shared" si="19"/>
        <v>116.26700166174237</v>
      </c>
      <c r="AE8" s="13">
        <f>'2026_Fantasy_Relievers'!G4</f>
        <v>3.4999999999999978</v>
      </c>
      <c r="AF8" s="13">
        <f>'2026_Fantasy_Relievers'!H4</f>
        <v>2.499999999999996</v>
      </c>
      <c r="AG8" s="13">
        <f>'2026_Fantasy_Relievers'!I4</f>
        <v>31.385250000000003</v>
      </c>
      <c r="AH8" s="13">
        <f>'2026_Fantasy_Relievers'!J4</f>
        <v>2.9625000000000004</v>
      </c>
      <c r="AI8" s="13">
        <f t="shared" si="20"/>
        <v>34.347750000000005</v>
      </c>
      <c r="AJ8" s="13">
        <f>'2026_Fantasy_Relievers'!K4</f>
        <v>4.9999999999999982</v>
      </c>
      <c r="AK8" s="13">
        <f>'2026_Fantasy_Relievers'!L4</f>
        <v>44.416940339353914</v>
      </c>
      <c r="AL8" s="13">
        <f>'2026_Fantasy_Relievers'!M4</f>
        <v>20.252463054187182</v>
      </c>
      <c r="AM8" s="13">
        <f>'2026_Fantasy_Relievers'!N4</f>
        <v>18.27914614121508</v>
      </c>
      <c r="AN8" s="13">
        <f>'2026_Fantasy_Relievers'!O4</f>
        <v>4.9483794210917216</v>
      </c>
      <c r="AO8" s="13">
        <f>'2026_Fantasy_Relievers'!P4</f>
        <v>1.9828320802004922</v>
      </c>
      <c r="AP8" s="13">
        <f>'2026_Fantasy_Relievers'!Q4</f>
        <v>3.4619594964422435</v>
      </c>
      <c r="AQ8" s="13">
        <f>'2026_Fantasy_Relievers'!R4</f>
        <v>76.839613300492388</v>
      </c>
      <c r="AR8" s="13">
        <f>'2026_Fantasy_Relievers'!S4</f>
        <v>24.65285227425197</v>
      </c>
      <c r="AS8" s="13">
        <f>'2026_Fantasy_Relievers'!T4</f>
        <v>11.213823896617992</v>
      </c>
      <c r="AT8" s="13">
        <f>'2026_Fantasy_Relievers'!U4</f>
        <v>3.5977893703302692</v>
      </c>
      <c r="AU8" s="13">
        <f>'2026_Fantasy_Relievers'!V4</f>
        <v>0.20627178271241273</v>
      </c>
      <c r="AV8" s="13">
        <f>'2026_Fantasy_Relievers'!W4</f>
        <v>2.6676230788217237</v>
      </c>
      <c r="AW8" s="13">
        <f>'2026_Fantasy_Relievers'!X4</f>
        <v>1.1199901510232833</v>
      </c>
    </row>
    <row r="9" spans="1:49">
      <c r="A9" s="13" t="s">
        <v>538</v>
      </c>
      <c r="B9" s="13" t="s">
        <v>29</v>
      </c>
      <c r="C9" s="13" t="s">
        <v>18</v>
      </c>
      <c r="D9" s="13">
        <v>60</v>
      </c>
      <c r="E9" s="13">
        <v>56.67</v>
      </c>
      <c r="F9" s="15">
        <f t="shared" si="0"/>
        <v>6.1923779528835006</v>
      </c>
      <c r="G9" s="13">
        <v>229</v>
      </c>
      <c r="H9" s="13">
        <f t="shared" si="1"/>
        <v>-0.65711041473646692</v>
      </c>
      <c r="I9" s="13">
        <f t="shared" si="2"/>
        <v>0.37176093906497804</v>
      </c>
      <c r="J9" s="13">
        <f t="shared" si="3"/>
        <v>0.62301398802065144</v>
      </c>
      <c r="K9" s="13">
        <f t="shared" si="4"/>
        <v>2.6581769382469518</v>
      </c>
      <c r="L9" s="13">
        <f t="shared" si="5"/>
        <v>0.94156547314324834</v>
      </c>
      <c r="M9" s="13">
        <f t="shared" si="6"/>
        <v>1.4834176143090858</v>
      </c>
      <c r="N9" s="13">
        <f t="shared" si="7"/>
        <v>0.47760830374008223</v>
      </c>
      <c r="O9" s="13">
        <f t="shared" si="8"/>
        <v>0.36361089801332991</v>
      </c>
      <c r="P9" s="13">
        <f t="shared" si="9"/>
        <v>-1.1153245840901238</v>
      </c>
      <c r="Q9" s="13">
        <f t="shared" si="10"/>
        <v>1.0456587971717641</v>
      </c>
      <c r="T9" s="13">
        <f t="shared" si="11"/>
        <v>90.671641791044834</v>
      </c>
      <c r="U9" s="13">
        <f t="shared" si="12"/>
        <v>105.67136368929782</v>
      </c>
      <c r="V9" s="13">
        <f t="shared" si="13"/>
        <v>112.70892828231517</v>
      </c>
      <c r="W9" s="13">
        <f t="shared" si="14"/>
        <v>136.33250185986341</v>
      </c>
      <c r="X9" s="13">
        <f t="shared" si="15"/>
        <v>111.75001483122948</v>
      </c>
      <c r="Y9" s="13">
        <f t="shared" si="16"/>
        <v>109.42251539122846</v>
      </c>
      <c r="Z9" s="13">
        <f>(AS9-AVERAGE(AS$2:AS68))/AVERAGE(AS$2:AS$61)*100+100</f>
        <v>106.45452391469836</v>
      </c>
      <c r="AA9" s="13">
        <f t="shared" si="17"/>
        <v>115.09433962264147</v>
      </c>
      <c r="AB9" s="13">
        <f t="shared" si="18"/>
        <v>69.959741405866311</v>
      </c>
      <c r="AC9" s="13">
        <f t="shared" si="19"/>
        <v>121.45515643618246</v>
      </c>
      <c r="AE9" s="13">
        <f>'2026_Fantasy_Relievers'!G48</f>
        <v>3</v>
      </c>
      <c r="AF9" s="13">
        <f>'2026_Fantasy_Relievers'!H48</f>
        <v>2.499999999999996</v>
      </c>
      <c r="AG9" s="13">
        <f>'2026_Fantasy_Relievers'!I48</f>
        <v>0.66599999999999404</v>
      </c>
      <c r="AH9" s="13">
        <f>'2026_Fantasy_Relievers'!J48</f>
        <v>16.28275862068962</v>
      </c>
      <c r="AI9" s="13">
        <f t="shared" si="20"/>
        <v>16.948758620689613</v>
      </c>
      <c r="AJ9" s="13">
        <f>'2026_Fantasy_Relievers'!K48</f>
        <v>3</v>
      </c>
      <c r="AK9" s="13">
        <f>'2026_Fantasy_Relievers'!L48</f>
        <v>43.684648122542008</v>
      </c>
      <c r="AL9" s="13">
        <f>'2026_Fantasy_Relievers'!M48</f>
        <v>20.884165065455115</v>
      </c>
      <c r="AM9" s="13">
        <f>'2026_Fantasy_Relievers'!N48</f>
        <v>19.434589760626352</v>
      </c>
      <c r="AN9" s="13">
        <f>'2026_Fantasy_Relievers'!O48</f>
        <v>6.0146066406881022</v>
      </c>
      <c r="AO9" s="13">
        <f>'2026_Fantasy_Relievers'!P48</f>
        <v>1.9745735203952692</v>
      </c>
      <c r="AP9" s="13">
        <f>'2026_Fantasy_Relievers'!Q48</f>
        <v>1.9409916138416337</v>
      </c>
      <c r="AQ9" s="13">
        <f>'2026_Fantasy_Relievers'!R48</f>
        <v>66.573664733241074</v>
      </c>
      <c r="AR9" s="13">
        <f>'2026_Fantasy_Relievers'!S48</f>
        <v>17.229615062761489</v>
      </c>
      <c r="AS9" s="13">
        <f>'2026_Fantasy_Relievers'!T48</f>
        <v>10.572842466899059</v>
      </c>
      <c r="AT9" s="13">
        <f>'2026_Fantasy_Relievers'!U48</f>
        <v>2.736307315420035</v>
      </c>
      <c r="AU9" s="13">
        <f>'2026_Fantasy_Relievers'!V48</f>
        <v>0.21547619943440868</v>
      </c>
      <c r="AV9" s="13">
        <f>'2026_Fantasy_Relievers'!W48</f>
        <v>3.0864885803006383</v>
      </c>
      <c r="AW9" s="13">
        <f>'2026_Fantasy_Relievers'!X48</f>
        <v>1.0748943565432061</v>
      </c>
    </row>
    <row r="10" spans="1:49">
      <c r="A10" s="13" t="s">
        <v>33</v>
      </c>
      <c r="B10" s="13" t="s">
        <v>34</v>
      </c>
      <c r="C10" s="13" t="s">
        <v>18</v>
      </c>
      <c r="D10" s="13">
        <v>65</v>
      </c>
      <c r="E10" s="13">
        <v>66.33</v>
      </c>
      <c r="F10" s="15">
        <f t="shared" si="0"/>
        <v>5.7583469216991849</v>
      </c>
      <c r="G10" s="13">
        <v>271</v>
      </c>
      <c r="H10" s="13">
        <f t="shared" si="1"/>
        <v>1.471927329009705</v>
      </c>
      <c r="I10" s="13">
        <f t="shared" si="2"/>
        <v>-0.86489762620251354</v>
      </c>
      <c r="J10" s="13">
        <f t="shared" si="3"/>
        <v>1.5642754224832622</v>
      </c>
      <c r="K10" s="13">
        <f t="shared" si="4"/>
        <v>-0.87120434476920616</v>
      </c>
      <c r="L10" s="13">
        <f t="shared" si="5"/>
        <v>1.5017734349699692</v>
      </c>
      <c r="M10" s="13">
        <f t="shared" si="6"/>
        <v>0.8607008894336462</v>
      </c>
      <c r="N10" s="13">
        <f t="shared" si="7"/>
        <v>0.25247465941731717</v>
      </c>
      <c r="O10" s="13">
        <f t="shared" si="8"/>
        <v>-0.31815953576166572</v>
      </c>
      <c r="P10" s="13">
        <f t="shared" si="9"/>
        <v>1.4828588147112909</v>
      </c>
      <c r="Q10" s="13">
        <f t="shared" si="10"/>
        <v>0.67859787840737928</v>
      </c>
      <c r="T10" s="13">
        <f t="shared" si="11"/>
        <v>120.8955223880597</v>
      </c>
      <c r="U10" s="13">
        <f t="shared" si="12"/>
        <v>86.805636427157339</v>
      </c>
      <c r="V10" s="13">
        <f t="shared" si="13"/>
        <v>131.90981990835991</v>
      </c>
      <c r="W10" s="13">
        <f t="shared" si="14"/>
        <v>88.092202207757055</v>
      </c>
      <c r="X10" s="13">
        <f t="shared" si="15"/>
        <v>118.74098046005878</v>
      </c>
      <c r="Y10" s="13">
        <f t="shared" si="16"/>
        <v>105.46708310573071</v>
      </c>
      <c r="Z10" s="13">
        <f>(AS10-AVERAGE(AS$2:AS69))/AVERAGE(AS$2:AS$61)*100+100</f>
        <v>103.41200878272676</v>
      </c>
      <c r="AA10" s="13">
        <f t="shared" si="17"/>
        <v>86.792452830188708</v>
      </c>
      <c r="AB10" s="13">
        <f t="shared" si="18"/>
        <v>139.93946057313678</v>
      </c>
      <c r="AC10" s="13">
        <f t="shared" si="19"/>
        <v>113.92368493228508</v>
      </c>
      <c r="AE10" s="13">
        <f>'2026_Fantasy_Relievers'!G5</f>
        <v>3.9999999999999973</v>
      </c>
      <c r="AF10" s="13">
        <f>'2026_Fantasy_Relievers'!H5</f>
        <v>2.9999999999999964</v>
      </c>
      <c r="AG10" s="13">
        <f>'2026_Fantasy_Relievers'!I5</f>
        <v>30.945214285714236</v>
      </c>
      <c r="AH10" s="13">
        <f>'2026_Fantasy_Relievers'!J5</f>
        <v>2.9571428571428511</v>
      </c>
      <c r="AI10" s="13">
        <f t="shared" si="20"/>
        <v>33.902357142857085</v>
      </c>
      <c r="AJ10" s="13">
        <f>'2026_Fantasy_Relievers'!K5</f>
        <v>3.9999999999999973</v>
      </c>
      <c r="AK10" s="13">
        <f>'2026_Fantasy_Relievers'!L5</f>
        <v>53.489454405243805</v>
      </c>
      <c r="AL10" s="13">
        <f>'2026_Fantasy_Relievers'!M5</f>
        <v>22.888972431077665</v>
      </c>
      <c r="AM10" s="13">
        <f>'2026_Fantasy_Relievers'!N5</f>
        <v>20.945421245421219</v>
      </c>
      <c r="AN10" s="13">
        <f>'2026_Fantasy_Relievers'!O5</f>
        <v>4.6916098208685062</v>
      </c>
      <c r="AO10" s="13">
        <f>'2026_Fantasy_Relievers'!P5</f>
        <v>1.9759552727973735</v>
      </c>
      <c r="AP10" s="13">
        <f>'2026_Fantasy_Relievers'!Q5</f>
        <v>3.4116637748216512</v>
      </c>
      <c r="AQ10" s="13">
        <f>'2026_Fantasy_Relievers'!R5</f>
        <v>75.694809716599138</v>
      </c>
      <c r="AR10" s="13">
        <f>'2026_Fantasy_Relievers'!S5</f>
        <v>20.921792624166031</v>
      </c>
      <c r="AS10" s="13">
        <f>'2026_Fantasy_Relievers'!T5</f>
        <v>10.270666175929327</v>
      </c>
      <c r="AT10" s="13">
        <f>'2026_Fantasy_Relievers'!U5</f>
        <v>2.8387778323156079</v>
      </c>
      <c r="AU10" s="13">
        <f>'2026_Fantasy_Relievers'!V5</f>
        <v>0.2021144542156203</v>
      </c>
      <c r="AV10" s="13">
        <f>'2026_Fantasy_Relievers'!W5</f>
        <v>2.8419838867600027</v>
      </c>
      <c r="AW10" s="13">
        <f>'2026_Fantasy_Relievers'!X5</f>
        <v>1.1218339669743682</v>
      </c>
    </row>
    <row r="11" spans="1:49">
      <c r="A11" s="13" t="s">
        <v>634</v>
      </c>
      <c r="B11" s="13" t="s">
        <v>497</v>
      </c>
      <c r="C11" s="13" t="s">
        <v>18</v>
      </c>
      <c r="D11" s="13">
        <v>67</v>
      </c>
      <c r="E11" s="13">
        <v>68.67</v>
      </c>
      <c r="F11" s="15">
        <f t="shared" si="0"/>
        <v>5.5758590138266957</v>
      </c>
      <c r="G11" s="13">
        <v>282</v>
      </c>
      <c r="H11" s="13">
        <f t="shared" si="1"/>
        <v>0.40740845713660001</v>
      </c>
      <c r="I11" s="13">
        <f t="shared" si="2"/>
        <v>0.37176093906498364</v>
      </c>
      <c r="J11" s="13">
        <f t="shared" si="3"/>
        <v>-1.0205408065298935</v>
      </c>
      <c r="K11" s="13">
        <f t="shared" si="4"/>
        <v>0.26662895361354416</v>
      </c>
      <c r="L11" s="13">
        <f t="shared" si="5"/>
        <v>0.95340424496466114</v>
      </c>
      <c r="M11" s="13">
        <f t="shared" si="6"/>
        <v>1.0421239158128053</v>
      </c>
      <c r="N11" s="13">
        <f t="shared" si="7"/>
        <v>1.5436944309407978</v>
      </c>
      <c r="O11" s="13">
        <f t="shared" si="8"/>
        <v>1.0453813317883287</v>
      </c>
      <c r="P11" s="13">
        <f t="shared" si="9"/>
        <v>-0.3918695440764402</v>
      </c>
      <c r="Q11" s="13">
        <f t="shared" si="10"/>
        <v>1.3578670911113095</v>
      </c>
      <c r="T11" s="13">
        <f t="shared" si="11"/>
        <v>105.783582089552</v>
      </c>
      <c r="U11" s="13">
        <f t="shared" si="12"/>
        <v>105.67136368929791</v>
      </c>
      <c r="V11" s="13">
        <f t="shared" si="13"/>
        <v>79.181880072113813</v>
      </c>
      <c r="W11" s="13">
        <f t="shared" si="14"/>
        <v>103.64433864942275</v>
      </c>
      <c r="X11" s="13">
        <f t="shared" si="15"/>
        <v>111.89775362205489</v>
      </c>
      <c r="Y11" s="13">
        <f t="shared" si="16"/>
        <v>106.61946342122067</v>
      </c>
      <c r="Z11" s="13">
        <f>(AS11-AVERAGE(AS$2:AS70))/AVERAGE(AS$2:AS$61)*100+100</f>
        <v>120.86189151961742</v>
      </c>
      <c r="AA11" s="13">
        <f t="shared" si="17"/>
        <v>143.39622641509436</v>
      </c>
      <c r="AB11" s="13">
        <f t="shared" si="18"/>
        <v>89.445348370201145</v>
      </c>
      <c r="AC11" s="13">
        <f t="shared" si="19"/>
        <v>127.86114451304294</v>
      </c>
      <c r="AE11" s="13">
        <f>'2026_Fantasy_Relievers'!G51</f>
        <v>3.4999999999999898</v>
      </c>
      <c r="AF11" s="13">
        <f>'2026_Fantasy_Relievers'!H51</f>
        <v>2.4999999999999938</v>
      </c>
      <c r="AG11" s="13">
        <f>'2026_Fantasy_Relievers'!I51</f>
        <v>1.997999999999996</v>
      </c>
      <c r="AH11" s="13">
        <f>'2026_Fantasy_Relievers'!J51</f>
        <v>19.671428571428553</v>
      </c>
      <c r="AI11" s="13">
        <f t="shared" si="20"/>
        <v>21.669428571428551</v>
      </c>
      <c r="AJ11" s="13">
        <f>'2026_Fantasy_Relievers'!K51</f>
        <v>1.9999999999999989</v>
      </c>
      <c r="AK11" s="13">
        <f>'2026_Fantasy_Relievers'!L51</f>
        <v>48.477834175276975</v>
      </c>
      <c r="AL11" s="13">
        <f>'2026_Fantasy_Relievers'!M51</f>
        <v>25.468840046779089</v>
      </c>
      <c r="AM11" s="13">
        <f>'2026_Fantasy_Relievers'!N51</f>
        <v>23.510483102853751</v>
      </c>
      <c r="AN11" s="13">
        <f>'2026_Fantasy_Relievers'!O51</f>
        <v>8.3247169743076324</v>
      </c>
      <c r="AO11" s="13">
        <f>'2026_Fantasy_Relievers'!P51</f>
        <v>1.9798584570126234</v>
      </c>
      <c r="AP11" s="13">
        <f>'2026_Fantasy_Relievers'!Q51</f>
        <v>2.937535415888004</v>
      </c>
      <c r="AQ11" s="13">
        <f>'2026_Fantasy_Relievers'!R51</f>
        <v>91.588630264157061</v>
      </c>
      <c r="AR11" s="13">
        <f>'2026_Fantasy_Relievers'!S51</f>
        <v>27.619411764705873</v>
      </c>
      <c r="AS11" s="13">
        <f>'2026_Fantasy_Relievers'!T51</f>
        <v>12.003752328198829</v>
      </c>
      <c r="AT11" s="13">
        <f>'2026_Fantasy_Relievers'!U51</f>
        <v>3.6198442679824212</v>
      </c>
      <c r="AU11" s="13">
        <f>'2026_Fantasy_Relievers'!V51</f>
        <v>0.22684120035266381</v>
      </c>
      <c r="AV11" s="13">
        <f>'2026_Fantasy_Relievers'!W51</f>
        <v>3.081321507582405</v>
      </c>
      <c r="AW11" s="13">
        <f>'2026_Fantasy_Relievers'!X51</f>
        <v>1.1081585254111381</v>
      </c>
    </row>
    <row r="12" spans="1:49">
      <c r="A12" s="13" t="s">
        <v>229</v>
      </c>
      <c r="B12" s="13" t="s">
        <v>230</v>
      </c>
      <c r="C12" s="13" t="s">
        <v>18</v>
      </c>
      <c r="D12" s="13">
        <v>65</v>
      </c>
      <c r="E12" s="13">
        <v>65.67</v>
      </c>
      <c r="F12" s="15">
        <f t="shared" si="0"/>
        <v>4.7605216481956232</v>
      </c>
      <c r="G12" s="13">
        <v>265</v>
      </c>
      <c r="H12" s="13">
        <f t="shared" si="1"/>
        <v>0.407408457136615</v>
      </c>
      <c r="I12" s="13">
        <f t="shared" si="2"/>
        <v>-0.86489762620251354</v>
      </c>
      <c r="J12" s="13">
        <f t="shared" si="3"/>
        <v>0.58050175188820252</v>
      </c>
      <c r="K12" s="13">
        <f t="shared" si="4"/>
        <v>0.2760270597182341</v>
      </c>
      <c r="L12" s="13">
        <f t="shared" si="5"/>
        <v>1.407605699139882</v>
      </c>
      <c r="M12" s="13">
        <f t="shared" si="6"/>
        <v>1.7201729127292582</v>
      </c>
      <c r="N12" s="13">
        <f t="shared" si="7"/>
        <v>0.94118960712027411</v>
      </c>
      <c r="O12" s="13">
        <f t="shared" si="8"/>
        <v>-1.6817004033116618</v>
      </c>
      <c r="P12" s="13">
        <f t="shared" si="9"/>
        <v>0.30352745497548378</v>
      </c>
      <c r="Q12" s="13">
        <f t="shared" si="10"/>
        <v>1.6706867350018484</v>
      </c>
      <c r="T12" s="13">
        <f t="shared" si="11"/>
        <v>105.78358208955221</v>
      </c>
      <c r="U12" s="13">
        <f t="shared" si="12"/>
        <v>86.805636427157339</v>
      </c>
      <c r="V12" s="13">
        <f t="shared" si="13"/>
        <v>111.84171667789413</v>
      </c>
      <c r="W12" s="13">
        <f t="shared" si="14"/>
        <v>103.77279387097509</v>
      </c>
      <c r="X12" s="13">
        <f t="shared" si="15"/>
        <v>117.56583935284181</v>
      </c>
      <c r="Y12" s="13">
        <f t="shared" si="16"/>
        <v>110.9263605807424</v>
      </c>
      <c r="Z12" s="13">
        <f>(AS12-AVERAGE(AS$2:AS71))/AVERAGE(AS$2:AS$61)*100+100</f>
        <v>112.71948326662552</v>
      </c>
      <c r="AA12" s="13">
        <f t="shared" si="17"/>
        <v>30.188679245282984</v>
      </c>
      <c r="AB12" s="13">
        <f t="shared" si="18"/>
        <v>108.17523738645214</v>
      </c>
      <c r="AC12" s="13">
        <f t="shared" si="19"/>
        <v>134.27967646068737</v>
      </c>
      <c r="AE12" s="13">
        <f>'2026_Fantasy_Relievers'!G36</f>
        <v>3.4999999999999969</v>
      </c>
      <c r="AF12" s="13">
        <f>'2026_Fantasy_Relievers'!H36</f>
        <v>2.9999999999999964</v>
      </c>
      <c r="AG12" s="13">
        <f>'2026_Fantasy_Relievers'!I36</f>
        <v>13.866716417910395</v>
      </c>
      <c r="AH12" s="13">
        <f>'2026_Fantasy_Relievers'!J36</f>
        <v>12.34029850746264</v>
      </c>
      <c r="AI12" s="13">
        <f t="shared" si="20"/>
        <v>26.207014925373034</v>
      </c>
      <c r="AJ12" s="13">
        <f>'2026_Fantasy_Relievers'!K36</f>
        <v>5.9999999999999991</v>
      </c>
      <c r="AK12" s="13">
        <f>'2026_Fantasy_Relievers'!L36</f>
        <v>50.860226034858236</v>
      </c>
      <c r="AL12" s="13">
        <f>'2026_Fantasy_Relievers'!M36</f>
        <v>22.992647058823518</v>
      </c>
      <c r="AM12" s="13">
        <f>'2026_Fantasy_Relievers'!N36</f>
        <v>21.036900871459657</v>
      </c>
      <c r="AN12" s="13">
        <f>'2026_Fantasy_Relievers'!O36</f>
        <v>6.0743600217864797</v>
      </c>
      <c r="AO12" s="13">
        <f>'2026_Fantasy_Relievers'!P36</f>
        <v>1.6827228327228239</v>
      </c>
      <c r="AP12" s="13">
        <f>'2026_Fantasy_Relievers'!Q36</f>
        <v>2.933619281045726</v>
      </c>
      <c r="AQ12" s="13">
        <f>'2026_Fantasy_Relievers'!R36</f>
        <v>81.686659313725443</v>
      </c>
      <c r="AR12" s="13">
        <f>'2026_Fantasy_Relievers'!S36</f>
        <v>18.556118574090107</v>
      </c>
      <c r="AS12" s="13">
        <f>'2026_Fantasy_Relievers'!T36</f>
        <v>11.195065232580005</v>
      </c>
      <c r="AT12" s="13">
        <f>'2026_Fantasy_Relievers'!U36</f>
        <v>2.5430952819675796</v>
      </c>
      <c r="AU12" s="13">
        <f>'2026_Fantasy_Relievers'!V36</f>
        <v>0.23822845562126543</v>
      </c>
      <c r="AV12" s="13">
        <f>'2026_Fantasy_Relievers'!W36</f>
        <v>2.8830837192498389</v>
      </c>
      <c r="AW12" s="13">
        <f>'2026_Fantasy_Relievers'!X36</f>
        <v>1.0570480372917368</v>
      </c>
    </row>
    <row r="13" spans="1:49">
      <c r="A13" s="13" t="s">
        <v>205</v>
      </c>
      <c r="B13" s="13" t="s">
        <v>104</v>
      </c>
      <c r="C13" s="13" t="s">
        <v>18</v>
      </c>
      <c r="D13" s="13">
        <v>67</v>
      </c>
      <c r="E13" s="13">
        <v>68.67</v>
      </c>
      <c r="F13" s="15">
        <f t="shared" si="0"/>
        <v>4.3621602763118981</v>
      </c>
      <c r="G13" s="13">
        <v>286</v>
      </c>
      <c r="H13" s="13">
        <f t="shared" si="1"/>
        <v>0.40740845713660001</v>
      </c>
      <c r="I13" s="13">
        <f t="shared" si="2"/>
        <v>0.37176093906498364</v>
      </c>
      <c r="J13" s="13">
        <f t="shared" si="3"/>
        <v>1.7759919072554036</v>
      </c>
      <c r="K13" s="13">
        <f t="shared" si="4"/>
        <v>-0.9099622607433302</v>
      </c>
      <c r="L13" s="13">
        <f t="shared" si="5"/>
        <v>1.4124881770501629</v>
      </c>
      <c r="M13" s="13">
        <f t="shared" si="6"/>
        <v>-8.2946118689939785E-2</v>
      </c>
      <c r="N13" s="13">
        <f t="shared" si="7"/>
        <v>0.43244356125751438</v>
      </c>
      <c r="O13" s="13">
        <f t="shared" si="8"/>
        <v>0.36361089801333335</v>
      </c>
      <c r="P13" s="13">
        <f t="shared" si="9"/>
        <v>0.79997213186173988</v>
      </c>
      <c r="Q13" s="13">
        <f t="shared" si="10"/>
        <v>-0.20860741589456996</v>
      </c>
      <c r="T13" s="13">
        <f t="shared" si="11"/>
        <v>105.783582089552</v>
      </c>
      <c r="U13" s="13">
        <f t="shared" si="12"/>
        <v>105.67136368929791</v>
      </c>
      <c r="V13" s="13">
        <f t="shared" si="13"/>
        <v>136.2286468895991</v>
      </c>
      <c r="W13" s="13">
        <f t="shared" si="14"/>
        <v>87.562451146436445</v>
      </c>
      <c r="X13" s="13">
        <f t="shared" si="15"/>
        <v>117.62676893181992</v>
      </c>
      <c r="Y13" s="13">
        <f t="shared" si="16"/>
        <v>99.473134825648785</v>
      </c>
      <c r="Z13" s="13">
        <f>(AS13-AVERAGE(AS$2:AS72))/AVERAGE(AS$2:AS$61)*100+100</f>
        <v>105.84415573606306</v>
      </c>
      <c r="AA13" s="13">
        <f t="shared" si="17"/>
        <v>115.09433962264161</v>
      </c>
      <c r="AB13" s="13">
        <f t="shared" si="18"/>
        <v>121.54652560521805</v>
      </c>
      <c r="AC13" s="13">
        <f t="shared" si="19"/>
        <v>95.719727358607386</v>
      </c>
      <c r="AE13" s="13">
        <f>'2026_Fantasy_Relievers'!G33</f>
        <v>3.4999999999999898</v>
      </c>
      <c r="AF13" s="13">
        <f>'2026_Fantasy_Relievers'!H33</f>
        <v>2.4999999999999938</v>
      </c>
      <c r="AG13" s="13">
        <f>'2026_Fantasy_Relievers'!I33</f>
        <v>16.543624999999935</v>
      </c>
      <c r="AH13" s="13">
        <f>'2026_Fantasy_Relievers'!J33</f>
        <v>12.902777777777752</v>
      </c>
      <c r="AI13" s="13">
        <f t="shared" si="20"/>
        <v>29.446402777777685</v>
      </c>
      <c r="AJ13" s="13">
        <f>'2026_Fantasy_Relievers'!K33</f>
        <v>2.9999999999999951</v>
      </c>
      <c r="AK13" s="13">
        <f>'2026_Fantasy_Relievers'!L33</f>
        <v>50.280715043175185</v>
      </c>
      <c r="AL13" s="13">
        <f>'2026_Fantasy_Relievers'!M33</f>
        <v>23.934706862596556</v>
      </c>
      <c r="AM13" s="13">
        <f>'2026_Fantasy_Relievers'!N33</f>
        <v>21.981669444023602</v>
      </c>
      <c r="AN13" s="13">
        <f>'2026_Fantasy_Relievers'!O33</f>
        <v>4.3940301837968541</v>
      </c>
      <c r="AO13" s="13">
        <f>'2026_Fantasy_Relievers'!P33</f>
        <v>1.9767173546853476</v>
      </c>
      <c r="AP13" s="13">
        <f>'2026_Fantasy_Relievers'!Q33</f>
        <v>3.4278139675806596</v>
      </c>
      <c r="AQ13" s="13">
        <f>'2026_Fantasy_Relievers'!R33</f>
        <v>80.208253597939603</v>
      </c>
      <c r="AR13" s="13">
        <f>'2026_Fantasy_Relievers'!S33</f>
        <v>31.640184782608404</v>
      </c>
      <c r="AS13" s="13">
        <f>'2026_Fantasy_Relievers'!T33</f>
        <v>10.512221965653945</v>
      </c>
      <c r="AT13" s="13">
        <f>'2026_Fantasy_Relievers'!U33</f>
        <v>4.146813208729804</v>
      </c>
      <c r="AU13" s="13">
        <f>'2026_Fantasy_Relievers'!V33</f>
        <v>0.16981842243122797</v>
      </c>
      <c r="AV13" s="13">
        <f>'2026_Fantasy_Relievers'!W33</f>
        <v>2.8809527449572219</v>
      </c>
      <c r="AW13" s="13">
        <f>'2026_Fantasy_Relievers'!X33</f>
        <v>1.1929649020792716</v>
      </c>
    </row>
    <row r="14" spans="1:49">
      <c r="A14" s="13" t="s">
        <v>45</v>
      </c>
      <c r="B14" s="13" t="s">
        <v>46</v>
      </c>
      <c r="C14" s="13" t="s">
        <v>18</v>
      </c>
      <c r="D14" s="13">
        <v>62</v>
      </c>
      <c r="E14" s="13">
        <v>63.67</v>
      </c>
      <c r="F14" s="15">
        <f t="shared" si="0"/>
        <v>4.1492953783657622</v>
      </c>
      <c r="G14" s="13">
        <v>259</v>
      </c>
      <c r="H14" s="13">
        <f t="shared" si="1"/>
        <v>0.407408457136608</v>
      </c>
      <c r="I14" s="13">
        <f t="shared" si="2"/>
        <v>-0.86489762620249955</v>
      </c>
      <c r="J14" s="13">
        <f t="shared" si="3"/>
        <v>1.2003663718026684E-2</v>
      </c>
      <c r="K14" s="13">
        <f t="shared" si="4"/>
        <v>0.25216627747270492</v>
      </c>
      <c r="L14" s="13">
        <f t="shared" si="5"/>
        <v>0.70084446876183293</v>
      </c>
      <c r="M14" s="13">
        <f t="shared" si="6"/>
        <v>1.0379414609131405</v>
      </c>
      <c r="N14" s="13">
        <f t="shared" si="7"/>
        <v>0.56327200172306169</v>
      </c>
      <c r="O14" s="13">
        <f t="shared" si="8"/>
        <v>-0.31815953576166472</v>
      </c>
      <c r="P14" s="13">
        <f t="shared" si="9"/>
        <v>1.5452321259873478</v>
      </c>
      <c r="Q14" s="13">
        <f t="shared" si="10"/>
        <v>0.81348408461720401</v>
      </c>
      <c r="T14" s="13">
        <f t="shared" si="11"/>
        <v>105.78358208955211</v>
      </c>
      <c r="U14" s="13">
        <f t="shared" si="12"/>
        <v>86.805636427157552</v>
      </c>
      <c r="V14" s="13">
        <f t="shared" si="13"/>
        <v>100.24486400666873</v>
      </c>
      <c r="W14" s="13">
        <f t="shared" si="14"/>
        <v>103.44665985677918</v>
      </c>
      <c r="X14" s="13">
        <f t="shared" si="15"/>
        <v>108.74600135330559</v>
      </c>
      <c r="Y14" s="13">
        <f t="shared" si="16"/>
        <v>106.59289689990862</v>
      </c>
      <c r="Z14" s="13">
        <f>(AS14-AVERAGE(AS$2:AS73))/AVERAGE(AS$2:AS$61)*100+100</f>
        <v>107.61220560264812</v>
      </c>
      <c r="AA14" s="13">
        <f t="shared" si="17"/>
        <v>86.792452830188751</v>
      </c>
      <c r="AB14" s="13">
        <f t="shared" si="18"/>
        <v>141.6194292807518</v>
      </c>
      <c r="AC14" s="13">
        <f t="shared" si="19"/>
        <v>116.69132258152831</v>
      </c>
      <c r="AE14" s="13">
        <f>'2026_Fantasy_Relievers'!G7</f>
        <v>3.4999999999999933</v>
      </c>
      <c r="AF14" s="13">
        <f>'2026_Fantasy_Relievers'!H7</f>
        <v>2.9999999999999907</v>
      </c>
      <c r="AG14" s="13">
        <f>'2026_Fantasy_Relievers'!I7</f>
        <v>31.127815384615356</v>
      </c>
      <c r="AH14" s="13">
        <f>'2026_Fantasy_Relievers'!J7</f>
        <v>3.1815384615384557</v>
      </c>
      <c r="AI14" s="13">
        <f t="shared" si="20"/>
        <v>34.309353846153812</v>
      </c>
      <c r="AJ14" s="13">
        <f>'2026_Fantasy_Relievers'!K7</f>
        <v>3.9999999999999956</v>
      </c>
      <c r="AK14" s="13">
        <f>'2026_Fantasy_Relievers'!L7</f>
        <v>48.585496577553776</v>
      </c>
      <c r="AL14" s="13">
        <f>'2026_Fantasy_Relievers'!M7</f>
        <v>24.540832579964686</v>
      </c>
      <c r="AM14" s="13">
        <f>'2026_Fantasy_Relievers'!N7</f>
        <v>22.578457962030207</v>
      </c>
      <c r="AN14" s="13">
        <f>'2026_Fantasy_Relievers'!O7</f>
        <v>6.8734166230505771</v>
      </c>
      <c r="AO14" s="13">
        <f>'2026_Fantasy_Relievers'!P7</f>
        <v>1.9819694630296687</v>
      </c>
      <c r="AP14" s="13">
        <f>'2026_Fantasy_Relievers'!Q7</f>
        <v>2.9435619269016926</v>
      </c>
      <c r="AQ14" s="13">
        <f>'2026_Fantasy_Relievers'!R7</f>
        <v>75.610395970553796</v>
      </c>
      <c r="AR14" s="13">
        <f>'2026_Fantasy_Relievers'!S7</f>
        <v>21.991029863985776</v>
      </c>
      <c r="AS14" s="13">
        <f>'2026_Fantasy_Relievers'!T7</f>
        <v>10.68782101044423</v>
      </c>
      <c r="AT14" s="13">
        <f>'2026_Fantasy_Relievers'!U7</f>
        <v>3.1085168647066435</v>
      </c>
      <c r="AU14" s="13">
        <f>'2026_Fantasy_Relievers'!V7</f>
        <v>0.20702457956203868</v>
      </c>
      <c r="AV14" s="13">
        <f>'2026_Fantasy_Relievers'!W7</f>
        <v>3.1915520913816846</v>
      </c>
      <c r="AW14" s="13">
        <f>'2026_Fantasy_Relievers'!X7</f>
        <v>1.1084737936475508</v>
      </c>
    </row>
    <row r="15" spans="1:49">
      <c r="A15" s="13" t="s">
        <v>171</v>
      </c>
      <c r="B15" s="13" t="s">
        <v>24</v>
      </c>
      <c r="C15" s="13" t="s">
        <v>18</v>
      </c>
      <c r="D15" s="13">
        <v>62</v>
      </c>
      <c r="E15" s="13">
        <v>61.67</v>
      </c>
      <c r="F15" s="15">
        <f t="shared" si="0"/>
        <v>3.6989893861190506</v>
      </c>
      <c r="G15" s="13">
        <v>254</v>
      </c>
      <c r="H15" s="13">
        <f t="shared" si="1"/>
        <v>0.407408457136608</v>
      </c>
      <c r="I15" s="13">
        <f t="shared" si="2"/>
        <v>1.6084195043324641</v>
      </c>
      <c r="J15" s="13">
        <f t="shared" si="3"/>
        <v>-1.0559925882081269</v>
      </c>
      <c r="K15" s="13">
        <f t="shared" si="4"/>
        <v>7.3925936004768766E-2</v>
      </c>
      <c r="L15" s="13">
        <f t="shared" si="5"/>
        <v>0.10918006915418864</v>
      </c>
      <c r="M15" s="13">
        <f t="shared" si="6"/>
        <v>0.69118471678991777</v>
      </c>
      <c r="N15" s="13">
        <f t="shared" si="7"/>
        <v>1.0338726165808101</v>
      </c>
      <c r="O15" s="13">
        <f t="shared" si="8"/>
        <v>0.36361089801333196</v>
      </c>
      <c r="P15" s="13">
        <f t="shared" si="9"/>
        <v>-0.32136616058187073</v>
      </c>
      <c r="Q15" s="13">
        <f t="shared" si="10"/>
        <v>0.78874593689695893</v>
      </c>
      <c r="T15" s="13">
        <f t="shared" si="11"/>
        <v>105.78358208955211</v>
      </c>
      <c r="U15" s="13">
        <f t="shared" si="12"/>
        <v>124.53709095143822</v>
      </c>
      <c r="V15" s="13">
        <f t="shared" si="13"/>
        <v>78.458695425392804</v>
      </c>
      <c r="W15" s="13">
        <f t="shared" si="14"/>
        <v>101.01043469632869</v>
      </c>
      <c r="X15" s="13">
        <f t="shared" si="15"/>
        <v>101.36248351116114</v>
      </c>
      <c r="Y15" s="13">
        <f t="shared" si="16"/>
        <v>104.39033389472608</v>
      </c>
      <c r="Z15" s="13">
        <f>(AS15-AVERAGE(AS$2:AS74))/AVERAGE(AS$2:AS$61)*100+100</f>
        <v>113.97202577136137</v>
      </c>
      <c r="AA15" s="13">
        <f t="shared" si="17"/>
        <v>115.09433962264156</v>
      </c>
      <c r="AB15" s="13">
        <f t="shared" si="18"/>
        <v>91.344293217423399</v>
      </c>
      <c r="AC15" s="13">
        <f t="shared" si="19"/>
        <v>116.18373747755862</v>
      </c>
      <c r="AE15" s="13">
        <f>'2026_Fantasy_Relievers'!G26</f>
        <v>3.4999999999999933</v>
      </c>
      <c r="AF15" s="13">
        <f>'2026_Fantasy_Relievers'!H26</f>
        <v>1.9999999999999978</v>
      </c>
      <c r="AG15" s="13">
        <f>'2026_Fantasy_Relievers'!I26</f>
        <v>1.670459016393439</v>
      </c>
      <c r="AH15" s="13">
        <f>'2026_Fantasy_Relievers'!J26</f>
        <v>20.459016393442571</v>
      </c>
      <c r="AI15" s="13">
        <f t="shared" si="20"/>
        <v>22.129475409836012</v>
      </c>
      <c r="AJ15" s="13">
        <f>'2026_Fantasy_Relievers'!K26</f>
        <v>2.9999999999999969</v>
      </c>
      <c r="AK15" s="13">
        <f>'2026_Fantasy_Relievers'!L26</f>
        <v>44.763535980927038</v>
      </c>
      <c r="AL15" s="13">
        <f>'2026_Fantasy_Relievers'!M26</f>
        <v>25.650589748415641</v>
      </c>
      <c r="AM15" s="13">
        <f>'2026_Fantasy_Relievers'!N26</f>
        <v>23.638700671309334</v>
      </c>
      <c r="AN15" s="13">
        <f>'2026_Fantasy_Relievers'!O26</f>
        <v>8.3745464825611169</v>
      </c>
      <c r="AO15" s="13">
        <f>'2026_Fantasy_Relievers'!P26</f>
        <v>2.0000926440614966</v>
      </c>
      <c r="AP15" s="13">
        <f>'2026_Fantasy_Relievers'!Q26</f>
        <v>3.0178336156596863</v>
      </c>
      <c r="AQ15" s="13">
        <f>'2026_Fantasy_Relievers'!R26</f>
        <v>77.563490683229588</v>
      </c>
      <c r="AR15" s="13">
        <f>'2026_Fantasy_Relievers'!S26</f>
        <v>25.207978951378603</v>
      </c>
      <c r="AS15" s="13">
        <f>'2026_Fantasy_Relievers'!T26</f>
        <v>11.319465155652122</v>
      </c>
      <c r="AT15" s="13">
        <f>'2026_Fantasy_Relievers'!U26</f>
        <v>3.6788034792023256</v>
      </c>
      <c r="AU15" s="13">
        <f>'2026_Fantasy_Relievers'!V26</f>
        <v>0.20612406193642124</v>
      </c>
      <c r="AV15" s="13">
        <f>'2026_Fantasy_Relievers'!W26</f>
        <v>3.4497860554853901</v>
      </c>
      <c r="AW15" s="13">
        <f>'2026_Fantasy_Relievers'!X26</f>
        <v>1.1346118847463214</v>
      </c>
    </row>
    <row r="16" spans="1:49">
      <c r="A16" s="13" t="s">
        <v>184</v>
      </c>
      <c r="B16" s="13" t="s">
        <v>51</v>
      </c>
      <c r="C16" s="13" t="s">
        <v>18</v>
      </c>
      <c r="D16" s="13">
        <v>58</v>
      </c>
      <c r="E16" s="13">
        <v>64</v>
      </c>
      <c r="F16" s="15">
        <f t="shared" si="0"/>
        <v>3.6603741576871882</v>
      </c>
      <c r="G16" s="13">
        <v>262</v>
      </c>
      <c r="H16" s="13">
        <f t="shared" si="1"/>
        <v>0.40740845713661</v>
      </c>
      <c r="I16" s="13">
        <f t="shared" si="2"/>
        <v>0.37176093906497804</v>
      </c>
      <c r="J16" s="13">
        <f t="shared" si="3"/>
        <v>0.50402319637243376</v>
      </c>
      <c r="K16" s="13">
        <f t="shared" si="4"/>
        <v>0.45303388365770653</v>
      </c>
      <c r="L16" s="13">
        <f t="shared" si="5"/>
        <v>0.34965185915460262</v>
      </c>
      <c r="M16" s="13">
        <f t="shared" si="6"/>
        <v>0.6428257534905446</v>
      </c>
      <c r="N16" s="13">
        <f t="shared" si="7"/>
        <v>-4.806039821576847E-2</v>
      </c>
      <c r="O16" s="13">
        <f t="shared" si="8"/>
        <v>1.04538133178833</v>
      </c>
      <c r="P16" s="13">
        <f t="shared" si="9"/>
        <v>-0.6459142235971872</v>
      </c>
      <c r="Q16" s="13">
        <f t="shared" si="10"/>
        <v>0.58026335883493863</v>
      </c>
      <c r="T16" s="13">
        <f t="shared" si="11"/>
        <v>105.78358208955214</v>
      </c>
      <c r="U16" s="13">
        <f t="shared" si="12"/>
        <v>105.67136368929782</v>
      </c>
      <c r="V16" s="13">
        <f t="shared" si="13"/>
        <v>110.28162252932944</v>
      </c>
      <c r="W16" s="13">
        <f t="shared" si="14"/>
        <v>106.19215906350838</v>
      </c>
      <c r="X16" s="13">
        <f t="shared" si="15"/>
        <v>104.36338698478215</v>
      </c>
      <c r="Y16" s="13">
        <f t="shared" si="16"/>
        <v>104.0831627572144</v>
      </c>
      <c r="Z16" s="13">
        <f>(AS16-AVERAGE(AS$2:AS75))/AVERAGE(AS$2:AS$61)*100+100</f>
        <v>99.350499170126582</v>
      </c>
      <c r="AA16" s="13">
        <f t="shared" si="17"/>
        <v>143.39622641509442</v>
      </c>
      <c r="AB16" s="13">
        <f t="shared" si="18"/>
        <v>82.602884771595143</v>
      </c>
      <c r="AC16" s="13">
        <f t="shared" si="19"/>
        <v>111.90602629812069</v>
      </c>
      <c r="AE16" s="13">
        <f>'2026_Fantasy_Relievers'!G28</f>
        <v>3.4999999999999947</v>
      </c>
      <c r="AF16" s="13">
        <f>'2026_Fantasy_Relievers'!H28</f>
        <v>2.499999999999996</v>
      </c>
      <c r="AG16" s="13">
        <f>'2026_Fantasy_Relievers'!I28</f>
        <v>3.4917428571428517</v>
      </c>
      <c r="AH16" s="13">
        <f>'2026_Fantasy_Relievers'!J28</f>
        <v>16.519999999999968</v>
      </c>
      <c r="AI16" s="13">
        <f t="shared" si="20"/>
        <v>20.011742857142821</v>
      </c>
      <c r="AJ16" s="13">
        <f>'2026_Fantasy_Relievers'!K28</f>
        <v>1.9999999999999967</v>
      </c>
      <c r="AK16" s="13">
        <f>'2026_Fantasy_Relievers'!L28</f>
        <v>54.697231833910003</v>
      </c>
      <c r="AL16" s="13">
        <f>'2026_Fantasy_Relievers'!M28</f>
        <v>25.692041522491326</v>
      </c>
      <c r="AM16" s="13">
        <f>'2026_Fantasy_Relievers'!N28</f>
        <v>23.785467128027665</v>
      </c>
      <c r="AN16" s="13">
        <f>'2026_Fantasy_Relievers'!O28</f>
        <v>6.1818550088614845</v>
      </c>
      <c r="AO16" s="13">
        <f>'2026_Fantasy_Relievers'!P28</f>
        <v>1.1601374570446545</v>
      </c>
      <c r="AP16" s="13">
        <f>'2026_Fantasy_Relievers'!Q28</f>
        <v>2.8598615916954815</v>
      </c>
      <c r="AQ16" s="13">
        <f>'2026_Fantasy_Relievers'!R28</f>
        <v>70.167363321799172</v>
      </c>
      <c r="AR16" s="13">
        <f>'2026_Fantasy_Relievers'!S28</f>
        <v>18.151224045428776</v>
      </c>
      <c r="AS16" s="13">
        <f>'2026_Fantasy_Relievers'!T28</f>
        <v>9.8672854671280081</v>
      </c>
      <c r="AT16" s="13">
        <f>'2026_Fantasy_Relievers'!U28</f>
        <v>2.5525158813884214</v>
      </c>
      <c r="AU16" s="13">
        <f>'2026_Fantasy_Relievers'!V28</f>
        <v>0.19853488273423817</v>
      </c>
      <c r="AV16" s="13">
        <f>'2026_Fantasy_Relievers'!W28</f>
        <v>3.3448313148788906</v>
      </c>
      <c r="AW16" s="13">
        <f>'2026_Fantasy_Relievers'!X28</f>
        <v>1.1382571231146685</v>
      </c>
    </row>
    <row r="17" spans="1:49">
      <c r="A17" s="13" t="s">
        <v>188</v>
      </c>
      <c r="B17" s="13" t="s">
        <v>17</v>
      </c>
      <c r="C17" s="13" t="s">
        <v>18</v>
      </c>
      <c r="D17" s="13">
        <v>65</v>
      </c>
      <c r="E17" s="13">
        <v>66.33</v>
      </c>
      <c r="F17" s="15">
        <f t="shared" si="0"/>
        <v>3.4334588010957976</v>
      </c>
      <c r="G17" s="13">
        <v>274</v>
      </c>
      <c r="H17" s="13">
        <f t="shared" si="1"/>
        <v>2.5364462008827959</v>
      </c>
      <c r="I17" s="13">
        <f t="shared" si="2"/>
        <v>-0.86489762620251354</v>
      </c>
      <c r="J17" s="13">
        <f t="shared" si="3"/>
        <v>0.47648083378204653</v>
      </c>
      <c r="K17" s="13">
        <f t="shared" si="4"/>
        <v>1.4187659084178528</v>
      </c>
      <c r="L17" s="13">
        <f t="shared" si="5"/>
        <v>0.64917464596913055</v>
      </c>
      <c r="M17" s="13">
        <f t="shared" si="6"/>
        <v>0.13108916793459655</v>
      </c>
      <c r="N17" s="13">
        <f t="shared" si="7"/>
        <v>-0.63660797350501974</v>
      </c>
      <c r="O17" s="13">
        <f t="shared" si="8"/>
        <v>1.0453813317883307</v>
      </c>
      <c r="P17" s="13">
        <f t="shared" si="9"/>
        <v>-0.91771115865231934</v>
      </c>
      <c r="Q17" s="13">
        <f t="shared" si="10"/>
        <v>-0.40466252931910246</v>
      </c>
      <c r="T17" s="13">
        <f t="shared" si="11"/>
        <v>136.00746268656721</v>
      </c>
      <c r="U17" s="13">
        <f t="shared" si="12"/>
        <v>86.805636427157339</v>
      </c>
      <c r="V17" s="13">
        <f t="shared" si="13"/>
        <v>109.71978295972551</v>
      </c>
      <c r="W17" s="13">
        <f t="shared" si="14"/>
        <v>119.39198036993638</v>
      </c>
      <c r="X17" s="13">
        <f t="shared" si="15"/>
        <v>108.10120160070369</v>
      </c>
      <c r="Y17" s="13">
        <f t="shared" si="16"/>
        <v>100.83266484809968</v>
      </c>
      <c r="Z17" s="13">
        <f>(AS17-AVERAGE(AS$2:AS76))/AVERAGE(AS$2:AS$61)*100+100</f>
        <v>91.396712835394951</v>
      </c>
      <c r="AA17" s="13">
        <f t="shared" si="17"/>
        <v>143.39622641509445</v>
      </c>
      <c r="AB17" s="13">
        <f t="shared" si="18"/>
        <v>75.2822802313393</v>
      </c>
      <c r="AC17" s="13">
        <f t="shared" si="19"/>
        <v>91.697006811509183</v>
      </c>
      <c r="AE17" s="13">
        <f>'2026_Fantasy_Relievers'!G30</f>
        <v>4.4999999999999982</v>
      </c>
      <c r="AF17" s="13">
        <f>'2026_Fantasy_Relievers'!H30</f>
        <v>2.9999999999999964</v>
      </c>
      <c r="AG17" s="13">
        <f>'2026_Fantasy_Relievers'!I30</f>
        <v>2.9529264705882303</v>
      </c>
      <c r="AH17" s="13">
        <f>'2026_Fantasy_Relievers'!J30</f>
        <v>15.285294117646997</v>
      </c>
      <c r="AI17" s="13">
        <f t="shared" si="20"/>
        <v>18.238220588235226</v>
      </c>
      <c r="AJ17" s="13">
        <f>'2026_Fantasy_Relievers'!K30</f>
        <v>1.9999999999999956</v>
      </c>
      <c r="AK17" s="13">
        <f>'2026_Fantasy_Relievers'!L30</f>
        <v>55.734042553191443</v>
      </c>
      <c r="AL17" s="13">
        <f>'2026_Fantasy_Relievers'!M30</f>
        <v>25.659574468085108</v>
      </c>
      <c r="AM17" s="13">
        <f>'2026_Fantasy_Relievers'!N30</f>
        <v>23.687943262411345</v>
      </c>
      <c r="AN17" s="13">
        <f>'2026_Fantasy_Relievers'!O30</f>
        <v>6.2205673758864908</v>
      </c>
      <c r="AO17" s="13">
        <f>'2026_Fantasy_Relievers'!P30</f>
        <v>1.488652482269492</v>
      </c>
      <c r="AP17" s="13">
        <f>'2026_Fantasy_Relievers'!Q30</f>
        <v>2.4574468085106322</v>
      </c>
      <c r="AQ17" s="13">
        <f>'2026_Fantasy_Relievers'!R30</f>
        <v>66.899936170212499</v>
      </c>
      <c r="AR17" s="13">
        <f>'2026_Fantasy_Relievers'!S30</f>
        <v>22.325170212765926</v>
      </c>
      <c r="AS17" s="13">
        <f>'2026_Fantasy_Relievers'!T30</f>
        <v>9.0773319091197422</v>
      </c>
      <c r="AT17" s="13">
        <f>'2026_Fantasy_Relievers'!U30</f>
        <v>3.0291954155720391</v>
      </c>
      <c r="AU17" s="13">
        <f>'2026_Fantasy_Relievers'!V30</f>
        <v>0.16268162758192178</v>
      </c>
      <c r="AV17" s="13">
        <f>'2026_Fantasy_Relievers'!W30</f>
        <v>3.2141035634208066</v>
      </c>
      <c r="AW17" s="13">
        <f>'2026_Fantasy_Relievers'!X30</f>
        <v>1.1768311889937793</v>
      </c>
    </row>
    <row r="18" spans="1:49">
      <c r="A18" s="13" t="s">
        <v>607</v>
      </c>
      <c r="B18" s="13" t="s">
        <v>29</v>
      </c>
      <c r="C18" s="13" t="s">
        <v>18</v>
      </c>
      <c r="D18" s="13">
        <v>63</v>
      </c>
      <c r="E18" s="13">
        <v>65</v>
      </c>
      <c r="F18" s="15">
        <f t="shared" si="0"/>
        <v>3.3872876528503202</v>
      </c>
      <c r="G18" s="13">
        <v>269</v>
      </c>
      <c r="H18" s="13">
        <f t="shared" si="1"/>
        <v>0.407408457136614</v>
      </c>
      <c r="I18" s="13">
        <f t="shared" si="2"/>
        <v>1.6084195043324658</v>
      </c>
      <c r="J18" s="13">
        <f t="shared" si="3"/>
        <v>1.8322762449642427</v>
      </c>
      <c r="K18" s="13">
        <f t="shared" si="4"/>
        <v>0.373302294312363</v>
      </c>
      <c r="L18" s="13">
        <f t="shared" si="5"/>
        <v>1.2690290717237502</v>
      </c>
      <c r="M18" s="13">
        <f t="shared" si="6"/>
        <v>0.35653734876197779</v>
      </c>
      <c r="N18" s="13">
        <f t="shared" si="7"/>
        <v>-0.98954833768289174</v>
      </c>
      <c r="O18" s="13">
        <f t="shared" si="8"/>
        <v>-0.318159535761664</v>
      </c>
      <c r="P18" s="13">
        <f t="shared" si="9"/>
        <v>-0.58992228407097091</v>
      </c>
      <c r="Q18" s="13">
        <f t="shared" si="10"/>
        <v>-0.56205511086556637</v>
      </c>
      <c r="T18" s="13">
        <f t="shared" si="11"/>
        <v>105.7835820895522</v>
      </c>
      <c r="U18" s="13">
        <f t="shared" si="12"/>
        <v>124.53709095143824</v>
      </c>
      <c r="V18" s="13">
        <f t="shared" si="13"/>
        <v>137.37679705173565</v>
      </c>
      <c r="W18" s="13">
        <f t="shared" si="14"/>
        <v>105.10237151908329</v>
      </c>
      <c r="X18" s="13">
        <f t="shared" si="15"/>
        <v>115.83650934463154</v>
      </c>
      <c r="Y18" s="13">
        <f t="shared" si="16"/>
        <v>102.26468839513021</v>
      </c>
      <c r="Z18" s="13">
        <f>(AS18-AVERAGE(AS$2:AS77))/AVERAGE(AS$2:AS$61)*100+100</f>
        <v>86.626984161899841</v>
      </c>
      <c r="AA18" s="13">
        <f t="shared" si="17"/>
        <v>86.792452830188779</v>
      </c>
      <c r="AB18" s="13">
        <f t="shared" si="18"/>
        <v>84.110977004608017</v>
      </c>
      <c r="AC18" s="13">
        <f t="shared" si="19"/>
        <v>88.467576266758272</v>
      </c>
      <c r="AE18" s="13">
        <f>'2026_Fantasy_Relievers'!G59</f>
        <v>3.4999999999999964</v>
      </c>
      <c r="AF18" s="13">
        <f>'2026_Fantasy_Relievers'!H59</f>
        <v>1.9999999999999973</v>
      </c>
      <c r="AG18" s="13">
        <f>'2026_Fantasy_Relievers'!I59</f>
        <v>2.8970999999999947</v>
      </c>
      <c r="AH18" s="13">
        <f>'2026_Fantasy_Relievers'!J59</f>
        <v>17.479999999999972</v>
      </c>
      <c r="AI18" s="13">
        <f t="shared" si="20"/>
        <v>20.377099999999967</v>
      </c>
      <c r="AJ18" s="13">
        <f>'2026_Fantasy_Relievers'!K59</f>
        <v>3.9999999999999947</v>
      </c>
      <c r="AK18" s="13">
        <f>'2026_Fantasy_Relievers'!L59</f>
        <v>55.47236545072078</v>
      </c>
      <c r="AL18" s="13">
        <f>'2026_Fantasy_Relievers'!M59</f>
        <v>23.18781104099326</v>
      </c>
      <c r="AM18" s="13">
        <f>'2026_Fantasy_Relievers'!N59</f>
        <v>21.259087527576806</v>
      </c>
      <c r="AN18" s="13">
        <f>'2026_Fantasy_Relievers'!O59</f>
        <v>4.3149193256780807</v>
      </c>
      <c r="AO18" s="13">
        <f>'2026_Fantasy_Relievers'!P59</f>
        <v>1.4755288647810831</v>
      </c>
      <c r="AP18" s="13">
        <f>'2026_Fantasy_Relievers'!Q59</f>
        <v>2.8930852701246592</v>
      </c>
      <c r="AQ18" s="13">
        <f>'2026_Fantasy_Relievers'!R59</f>
        <v>62.137200323225855</v>
      </c>
      <c r="AR18" s="13">
        <f>'2026_Fantasy_Relievers'!S59</f>
        <v>19.917051650381016</v>
      </c>
      <c r="AS18" s="13">
        <f>'2026_Fantasy_Relievers'!T59</f>
        <v>8.6036123524466568</v>
      </c>
      <c r="AT18" s="13">
        <f>'2026_Fantasy_Relievers'!U59</f>
        <v>2.7577456131296789</v>
      </c>
      <c r="AU18" s="13">
        <f>'2026_Fantasy_Relievers'!V59</f>
        <v>0.15695222554960908</v>
      </c>
      <c r="AV18" s="13">
        <f>'2026_Fantasy_Relievers'!W59</f>
        <v>2.9435659653567883</v>
      </c>
      <c r="AW18" s="13">
        <f>'2026_Fantasy_Relievers'!X59</f>
        <v>1.159837186170797</v>
      </c>
    </row>
    <row r="19" spans="1:49">
      <c r="A19" s="13" t="s">
        <v>601</v>
      </c>
      <c r="B19" s="13" t="s">
        <v>29</v>
      </c>
      <c r="C19" s="13" t="s">
        <v>18</v>
      </c>
      <c r="D19" s="13">
        <v>59</v>
      </c>
      <c r="E19" s="13">
        <v>59.67</v>
      </c>
      <c r="F19" s="15">
        <f t="shared" si="0"/>
        <v>2.1314872506154154</v>
      </c>
      <c r="G19" s="13">
        <v>249</v>
      </c>
      <c r="H19" s="13">
        <f t="shared" si="1"/>
        <v>-1.7216292866095688</v>
      </c>
      <c r="I19" s="13">
        <f t="shared" si="2"/>
        <v>0.37176093906498364</v>
      </c>
      <c r="J19" s="13">
        <f t="shared" si="3"/>
        <v>1.4348479186514786</v>
      </c>
      <c r="K19" s="13">
        <f t="shared" si="4"/>
        <v>0.41764535868564817</v>
      </c>
      <c r="L19" s="13">
        <f t="shared" si="5"/>
        <v>0.88243500899297056</v>
      </c>
      <c r="M19" s="13">
        <f t="shared" si="6"/>
        <v>-0.10814898621523221</v>
      </c>
      <c r="N19" s="13">
        <f t="shared" si="7"/>
        <v>0.38061665779479087</v>
      </c>
      <c r="O19" s="13">
        <f t="shared" si="8"/>
        <v>1.04538133178833</v>
      </c>
      <c r="P19" s="13">
        <f t="shared" si="9"/>
        <v>-0.7017828312527008</v>
      </c>
      <c r="Q19" s="13">
        <f t="shared" si="10"/>
        <v>0.13036113971471577</v>
      </c>
      <c r="T19" s="13">
        <f t="shared" si="11"/>
        <v>75.559701492537172</v>
      </c>
      <c r="U19" s="13">
        <f t="shared" si="12"/>
        <v>105.67136368929791</v>
      </c>
      <c r="V19" s="13">
        <f t="shared" si="13"/>
        <v>129.26961455890523</v>
      </c>
      <c r="W19" s="13">
        <f t="shared" si="14"/>
        <v>105.70846152221037</v>
      </c>
      <c r="X19" s="13">
        <f t="shared" si="15"/>
        <v>111.01211199753291</v>
      </c>
      <c r="Y19" s="13">
        <f t="shared" si="16"/>
        <v>99.313048815566745</v>
      </c>
      <c r="Z19" s="13">
        <f>(AS19-AVERAGE(AS$2:AS78))/AVERAGE(AS$2:AS$61)*100+100</f>
        <v>105.14375336616004</v>
      </c>
      <c r="AA19" s="13">
        <f t="shared" si="17"/>
        <v>143.39622641509442</v>
      </c>
      <c r="AB19" s="13">
        <f t="shared" si="18"/>
        <v>81.098114370936415</v>
      </c>
      <c r="AC19" s="13">
        <f t="shared" si="19"/>
        <v>102.67479091013548</v>
      </c>
      <c r="AE19" s="13">
        <f>'2026_Fantasy_Relievers'!G58</f>
        <v>2.4999999999999938</v>
      </c>
      <c r="AF19" s="13">
        <f>'2026_Fantasy_Relievers'!H58</f>
        <v>2.4999999999999938</v>
      </c>
      <c r="AG19" s="13">
        <f>'2026_Fantasy_Relievers'!I58</f>
        <v>3.599571428571422</v>
      </c>
      <c r="AH19" s="13">
        <f>'2026_Fantasy_Relievers'!J58</f>
        <v>16.047619047618994</v>
      </c>
      <c r="AI19" s="13">
        <f t="shared" si="20"/>
        <v>19.647190476190417</v>
      </c>
      <c r="AJ19" s="13">
        <f>'2026_Fantasy_Relievers'!K58</f>
        <v>1.9999999999999962</v>
      </c>
      <c r="AK19" s="13">
        <f>'2026_Fantasy_Relievers'!L58</f>
        <v>47.419972174530599</v>
      </c>
      <c r="AL19" s="13">
        <f>'2026_Fantasy_Relievers'!M58</f>
        <v>22.550929489077006</v>
      </c>
      <c r="AM19" s="13">
        <f>'2026_Fantasy_Relievers'!N58</f>
        <v>20.634524302883161</v>
      </c>
      <c r="AN19" s="13">
        <f>'2026_Fantasy_Relievers'!O58</f>
        <v>4.8735275853675892</v>
      </c>
      <c r="AO19" s="13">
        <f>'2026_Fantasy_Relievers'!P58</f>
        <v>1.1742471599446944</v>
      </c>
      <c r="AP19" s="13">
        <f>'2026_Fantasy_Relievers'!Q58</f>
        <v>2.8746077792907405</v>
      </c>
      <c r="AQ19" s="13">
        <f>'2026_Fantasy_Relievers'!R58</f>
        <v>69.23483218873946</v>
      </c>
      <c r="AR19" s="13">
        <f>'2026_Fantasy_Relievers'!S58</f>
        <v>23.877602255639093</v>
      </c>
      <c r="AS19" s="13">
        <f>'2026_Fantasy_Relievers'!T58</f>
        <v>10.442659455315152</v>
      </c>
      <c r="AT19" s="13">
        <f>'2026_Fantasy_Relievers'!U58</f>
        <v>3.6014483040179628</v>
      </c>
      <c r="AU19" s="13">
        <f>'2026_Fantasy_Relievers'!V58</f>
        <v>0.18215754993212999</v>
      </c>
      <c r="AV19" s="13">
        <f>'2026_Fantasy_Relievers'!W58</f>
        <v>3.1122962749446699</v>
      </c>
      <c r="AW19" s="13">
        <f>'2026_Fantasy_Relievers'!X58</f>
        <v>1.1948646628149771</v>
      </c>
    </row>
    <row r="20" spans="1:49">
      <c r="A20" s="13" t="s">
        <v>213</v>
      </c>
      <c r="B20" s="13" t="s">
        <v>66</v>
      </c>
      <c r="C20" s="13" t="s">
        <v>18</v>
      </c>
      <c r="D20" s="13">
        <v>65</v>
      </c>
      <c r="E20" s="13">
        <v>67.33</v>
      </c>
      <c r="F20" s="15">
        <f t="shared" si="0"/>
        <v>1.6709727142302824</v>
      </c>
      <c r="G20" s="13">
        <v>279</v>
      </c>
      <c r="H20" s="13">
        <f t="shared" si="1"/>
        <v>-0.65711041473647491</v>
      </c>
      <c r="I20" s="13">
        <f t="shared" si="2"/>
        <v>0.37176093906497804</v>
      </c>
      <c r="J20" s="13">
        <f t="shared" si="3"/>
        <v>0.12478732120775834</v>
      </c>
      <c r="K20" s="13">
        <f t="shared" si="4"/>
        <v>-0.97307477359231975</v>
      </c>
      <c r="L20" s="13">
        <f t="shared" si="5"/>
        <v>0.60661428487667746</v>
      </c>
      <c r="M20" s="13">
        <f t="shared" si="6"/>
        <v>0.21833600869829106</v>
      </c>
      <c r="N20" s="13">
        <f t="shared" si="7"/>
        <v>1.3500527226210495</v>
      </c>
      <c r="O20" s="13">
        <f t="shared" si="8"/>
        <v>-0.31815953576166572</v>
      </c>
      <c r="P20" s="13">
        <f t="shared" si="9"/>
        <v>-2.9458970790101451E-2</v>
      </c>
      <c r="Q20" s="13">
        <f t="shared" si="10"/>
        <v>0.97722513264208977</v>
      </c>
      <c r="T20" s="13">
        <f t="shared" si="11"/>
        <v>90.671641791044721</v>
      </c>
      <c r="U20" s="13">
        <f t="shared" si="12"/>
        <v>105.67136368929782</v>
      </c>
      <c r="V20" s="13">
        <f t="shared" si="13"/>
        <v>102.54554977298365</v>
      </c>
      <c r="W20" s="13">
        <f t="shared" si="14"/>
        <v>86.699816512348164</v>
      </c>
      <c r="X20" s="13">
        <f t="shared" si="15"/>
        <v>107.57008094226518</v>
      </c>
      <c r="Y20" s="13">
        <f t="shared" si="16"/>
        <v>101.38684776463116</v>
      </c>
      <c r="Z20" s="13">
        <f>(AS20-AVERAGE(AS$2:AS79))/AVERAGE(AS$2:AS$61)*100+100</f>
        <v>118.24496667252964</v>
      </c>
      <c r="AA20" s="13">
        <f t="shared" si="17"/>
        <v>86.792452830188708</v>
      </c>
      <c r="AB20" s="13">
        <f t="shared" si="18"/>
        <v>99.206549274466454</v>
      </c>
      <c r="AC20" s="13">
        <f t="shared" si="19"/>
        <v>120.05101296035971</v>
      </c>
      <c r="AE20" s="13">
        <f>'2026_Fantasy_Relievers'!G34</f>
        <v>2.9999999999999964</v>
      </c>
      <c r="AF20" s="13">
        <f>'2026_Fantasy_Relievers'!H34</f>
        <v>2.499999999999996</v>
      </c>
      <c r="AG20" s="13">
        <f>'2026_Fantasy_Relievers'!I34</f>
        <v>6.9489264705881801</v>
      </c>
      <c r="AH20" s="13">
        <f>'2026_Fantasy_Relievers'!J34</f>
        <v>17.085294117647013</v>
      </c>
      <c r="AI20" s="13">
        <f t="shared" si="20"/>
        <v>24.034220588235193</v>
      </c>
      <c r="AJ20" s="13">
        <f>'2026_Fantasy_Relievers'!K34</f>
        <v>3.9999999999999973</v>
      </c>
      <c r="AK20" s="13">
        <f>'2026_Fantasy_Relievers'!L34</f>
        <v>50.359073480025863</v>
      </c>
      <c r="AL20" s="13">
        <f>'2026_Fantasy_Relievers'!M34</f>
        <v>26.159309057190093</v>
      </c>
      <c r="AM20" s="13">
        <f>'2026_Fantasy_Relievers'!N34</f>
        <v>24.184032128715312</v>
      </c>
      <c r="AN20" s="13">
        <f>'2026_Fantasy_Relievers'!O34</f>
        <v>6.7148927372061236</v>
      </c>
      <c r="AO20" s="13">
        <f>'2026_Fantasy_Relievers'!P34</f>
        <v>0.99259065028467452</v>
      </c>
      <c r="AP20" s="13">
        <f>'2026_Fantasy_Relievers'!Q34</f>
        <v>3.4541125758107065</v>
      </c>
      <c r="AQ20" s="13">
        <f>'2026_Fantasy_Relievers'!R34</f>
        <v>87.857007681319217</v>
      </c>
      <c r="AR20" s="13">
        <f>'2026_Fantasy_Relievers'!S34</f>
        <v>28.43417081850507</v>
      </c>
      <c r="AS20" s="13">
        <f>'2026_Fantasy_Relievers'!T34</f>
        <v>11.743844781403133</v>
      </c>
      <c r="AT20" s="13">
        <f>'2026_Fantasy_Relievers'!U34</f>
        <v>3.8007951487679437</v>
      </c>
      <c r="AU20" s="13">
        <f>'2026_Fantasy_Relievers'!V34</f>
        <v>0.21298507836134101</v>
      </c>
      <c r="AV20" s="13">
        <f>'2026_Fantasy_Relievers'!W34</f>
        <v>3.2326791795401428</v>
      </c>
      <c r="AW20" s="13">
        <f>'2026_Fantasy_Relievers'!X34</f>
        <v>1.170254630900504</v>
      </c>
    </row>
    <row r="21" spans="1:49">
      <c r="A21" s="13" t="s">
        <v>243</v>
      </c>
      <c r="B21" s="13" t="s">
        <v>230</v>
      </c>
      <c r="C21" s="13" t="s">
        <v>18</v>
      </c>
      <c r="D21" s="13">
        <v>63</v>
      </c>
      <c r="E21" s="13">
        <v>68.33</v>
      </c>
      <c r="F21" s="15">
        <f t="shared" si="0"/>
        <v>1.4896502862318706</v>
      </c>
      <c r="G21" s="13">
        <v>283</v>
      </c>
      <c r="H21" s="13">
        <f t="shared" si="1"/>
        <v>1.471927329009699</v>
      </c>
      <c r="I21" s="13">
        <f t="shared" si="2"/>
        <v>0.37176093906498175</v>
      </c>
      <c r="J21" s="13">
        <f t="shared" si="3"/>
        <v>-1.746184443218139</v>
      </c>
      <c r="K21" s="13">
        <f t="shared" si="4"/>
        <v>-0.92958314260215147</v>
      </c>
      <c r="L21" s="13">
        <f t="shared" si="5"/>
        <v>-0.28410233400310414</v>
      </c>
      <c r="M21" s="13">
        <f t="shared" si="6"/>
        <v>0.27148896398971534</v>
      </c>
      <c r="N21" s="13">
        <f t="shared" si="7"/>
        <v>0.54561930905934963</v>
      </c>
      <c r="O21" s="13">
        <f t="shared" si="8"/>
        <v>1.0453813317883294</v>
      </c>
      <c r="P21" s="13">
        <f t="shared" si="9"/>
        <v>0.20014275287033209</v>
      </c>
      <c r="Q21" s="13">
        <f t="shared" si="10"/>
        <v>0.54319958027285786</v>
      </c>
      <c r="T21" s="13">
        <f t="shared" si="11"/>
        <v>120.89552238805962</v>
      </c>
      <c r="U21" s="13">
        <f t="shared" si="12"/>
        <v>105.67136368929788</v>
      </c>
      <c r="V21" s="13">
        <f t="shared" si="13"/>
        <v>64.379398724161135</v>
      </c>
      <c r="W21" s="13">
        <f t="shared" si="14"/>
        <v>87.294268951199314</v>
      </c>
      <c r="X21" s="13">
        <f t="shared" si="15"/>
        <v>96.454620806156512</v>
      </c>
      <c r="Y21" s="13">
        <f t="shared" si="16"/>
        <v>101.72446984387011</v>
      </c>
      <c r="Z21" s="13">
        <f>(AS21-AVERAGE(AS$2:AS80))/AVERAGE(AS$2:AS$61)*100+100</f>
        <v>107.37364248290228</v>
      </c>
      <c r="AA21" s="13">
        <f t="shared" si="17"/>
        <v>143.39622641509439</v>
      </c>
      <c r="AB21" s="13">
        <f t="shared" si="18"/>
        <v>105.39066397148537</v>
      </c>
      <c r="AC21" s="13">
        <f t="shared" si="19"/>
        <v>111.14554001969383</v>
      </c>
      <c r="AE21" s="13">
        <f>'2026_Fantasy_Relievers'!G38</f>
        <v>3.9999999999999947</v>
      </c>
      <c r="AF21" s="13">
        <f>'2026_Fantasy_Relievers'!H38</f>
        <v>2.4999999999999947</v>
      </c>
      <c r="AG21" s="13">
        <f>'2026_Fantasy_Relievers'!I38</f>
        <v>11.694176470588184</v>
      </c>
      <c r="AH21" s="13">
        <f>'2026_Fantasy_Relievers'!J38</f>
        <v>13.838235294117592</v>
      </c>
      <c r="AI21" s="13">
        <f t="shared" si="20"/>
        <v>25.532411764705778</v>
      </c>
      <c r="AJ21" s="13">
        <f>'2026_Fantasy_Relievers'!K38</f>
        <v>1.9999999999999973</v>
      </c>
      <c r="AK21" s="13">
        <f>'2026_Fantasy_Relievers'!L38</f>
        <v>54.528852182300199</v>
      </c>
      <c r="AL21" s="13">
        <f>'2026_Fantasy_Relievers'!M38</f>
        <v>29.460115746322604</v>
      </c>
      <c r="AM21" s="13">
        <f>'2026_Fantasy_Relievers'!N38</f>
        <v>27.494743187846616</v>
      </c>
      <c r="AN21" s="13">
        <f>'2026_Fantasy_Relievers'!O38</f>
        <v>9.3446506383368781</v>
      </c>
      <c r="AO21" s="13">
        <f>'2026_Fantasy_Relievers'!P38</f>
        <v>1.9841087906750676</v>
      </c>
      <c r="AP21" s="13">
        <f>'2026_Fantasy_Relievers'!Q38</f>
        <v>3.435989872196719</v>
      </c>
      <c r="AQ21" s="13">
        <f>'2026_Fantasy_Relievers'!R38</f>
        <v>80.964425150711108</v>
      </c>
      <c r="AR21" s="13">
        <f>'2026_Fantasy_Relievers'!S38</f>
        <v>25.160875529400151</v>
      </c>
      <c r="AS21" s="13">
        <f>'2026_Fantasy_Relievers'!T38</f>
        <v>10.664127416309087</v>
      </c>
      <c r="AT21" s="13">
        <f>'2026_Fantasy_Relievers'!U38</f>
        <v>3.31403307133911</v>
      </c>
      <c r="AU21" s="13">
        <f>'2026_Fantasy_Relievers'!V38</f>
        <v>0.19718568770781258</v>
      </c>
      <c r="AV21" s="13">
        <f>'2026_Fantasy_Relievers'!W38</f>
        <v>3.6214355142780557</v>
      </c>
      <c r="AW21" s="13">
        <f>'2026_Fantasy_Relievers'!X38</f>
        <v>1.1662480273920732</v>
      </c>
    </row>
    <row r="22" spans="1:49">
      <c r="A22" s="13" t="s">
        <v>496</v>
      </c>
      <c r="B22" s="13" t="s">
        <v>497</v>
      </c>
      <c r="C22" s="13" t="s">
        <v>18</v>
      </c>
      <c r="D22" s="13">
        <v>49</v>
      </c>
      <c r="E22" s="13">
        <v>50.33</v>
      </c>
      <c r="F22" s="15">
        <f t="shared" si="0"/>
        <v>1.3590430289409676</v>
      </c>
      <c r="G22" s="13">
        <v>208</v>
      </c>
      <c r="H22" s="13">
        <f t="shared" si="1"/>
        <v>-1.7216292866095659</v>
      </c>
      <c r="I22" s="13">
        <f t="shared" si="2"/>
        <v>2.8450780695999605</v>
      </c>
      <c r="J22" s="13">
        <f t="shared" si="3"/>
        <v>1.1541023905327743</v>
      </c>
      <c r="K22" s="13">
        <f t="shared" si="4"/>
        <v>0.71030477161476191</v>
      </c>
      <c r="L22" s="13">
        <f t="shared" si="5"/>
        <v>2.5179199242756734E-2</v>
      </c>
      <c r="M22" s="13">
        <f t="shared" si="6"/>
        <v>0.1180155668367852</v>
      </c>
      <c r="N22" s="13">
        <f t="shared" si="7"/>
        <v>-0.29429540377373986</v>
      </c>
      <c r="O22" s="13">
        <f t="shared" si="8"/>
        <v>0.3636108980133323</v>
      </c>
      <c r="P22" s="13">
        <f t="shared" si="9"/>
        <v>-1.4533126259289777</v>
      </c>
      <c r="Q22" s="13">
        <f t="shared" si="10"/>
        <v>-0.38801055058711997</v>
      </c>
      <c r="T22" s="13">
        <f t="shared" si="11"/>
        <v>75.559701492537215</v>
      </c>
      <c r="U22" s="13">
        <f t="shared" si="12"/>
        <v>143.40281821357877</v>
      </c>
      <c r="V22" s="13">
        <f t="shared" si="13"/>
        <v>123.54265681630788</v>
      </c>
      <c r="W22" s="13">
        <f t="shared" si="14"/>
        <v>109.70858977235085</v>
      </c>
      <c r="X22" s="13">
        <f t="shared" si="15"/>
        <v>100.31421709161992</v>
      </c>
      <c r="Y22" s="13">
        <f t="shared" si="16"/>
        <v>100.74962268493898</v>
      </c>
      <c r="Z22" s="13">
        <f>(AS22-AVERAGE(AS$2:AS81))/AVERAGE(AS$2:AS$61)*100+100</f>
        <v>96.022814706594431</v>
      </c>
      <c r="AA22" s="13">
        <f t="shared" si="17"/>
        <v>115.09433962264157</v>
      </c>
      <c r="AB22" s="13">
        <f t="shared" si="18"/>
        <v>60.856339290107329</v>
      </c>
      <c r="AC22" s="13">
        <f t="shared" si="19"/>
        <v>92.038677354168982</v>
      </c>
      <c r="AE22" s="13">
        <f>'2026_Fantasy_Relievers'!G41</f>
        <v>2.4999999999999951</v>
      </c>
      <c r="AF22" s="13">
        <f>'2026_Fantasy_Relievers'!H41</f>
        <v>1.4999999999999958</v>
      </c>
      <c r="AG22" s="13">
        <f>'2026_Fantasy_Relievers'!I41</f>
        <v>0.93349180327868364</v>
      </c>
      <c r="AH22" s="13">
        <f>'2026_Fantasy_Relievers'!J41</f>
        <v>13.809836065573757</v>
      </c>
      <c r="AI22" s="13">
        <f t="shared" si="20"/>
        <v>14.74332786885244</v>
      </c>
      <c r="AJ22" s="13">
        <f>'2026_Fantasy_Relievers'!K41</f>
        <v>2.9999999999999964</v>
      </c>
      <c r="AK22" s="13">
        <f>'2026_Fantasy_Relievers'!L41</f>
        <v>39.91154261057163</v>
      </c>
      <c r="AL22" s="13">
        <f>'2026_Fantasy_Relievers'!M41</f>
        <v>21.332100477731473</v>
      </c>
      <c r="AM22" s="13">
        <f>'2026_Fantasy_Relievers'!N41</f>
        <v>19.496994914470633</v>
      </c>
      <c r="AN22" s="13">
        <f>'2026_Fantasy_Relievers'!O41</f>
        <v>5.2681314937829757</v>
      </c>
      <c r="AO22" s="13">
        <f>'2026_Fantasy_Relievers'!P41</f>
        <v>1.1266480299195285</v>
      </c>
      <c r="AP22" s="13">
        <f>'2026_Fantasy_Relievers'!Q41</f>
        <v>2.7526583448913535</v>
      </c>
      <c r="AQ22" s="13">
        <f>'2026_Fantasy_Relievers'!R41</f>
        <v>53.331830790568517</v>
      </c>
      <c r="AR22" s="13">
        <f>'2026_Fantasy_Relievers'!S41</f>
        <v>19.367969924812019</v>
      </c>
      <c r="AS22" s="13">
        <f>'2026_Fantasy_Relievers'!T41</f>
        <v>9.5367867497539578</v>
      </c>
      <c r="AT22" s="13">
        <f>'2026_Fantasy_Relievers'!U41</f>
        <v>3.46337630286724</v>
      </c>
      <c r="AU22" s="13">
        <f>'2026_Fantasy_Relievers'!V41</f>
        <v>0.16328779262382931</v>
      </c>
      <c r="AV22" s="13">
        <f>'2026_Fantasy_Relievers'!W41</f>
        <v>3.4864485243440431</v>
      </c>
      <c r="AW22" s="13">
        <f>'2026_Fantasy_Relievers'!X41</f>
        <v>1.1778166607467444</v>
      </c>
    </row>
    <row r="23" spans="1:49">
      <c r="A23" s="13" t="s">
        <v>103</v>
      </c>
      <c r="B23" s="13" t="s">
        <v>104</v>
      </c>
      <c r="C23" s="13" t="s">
        <v>18</v>
      </c>
      <c r="D23" s="13">
        <v>61</v>
      </c>
      <c r="E23" s="13">
        <v>64</v>
      </c>
      <c r="F23" s="15">
        <f t="shared" si="0"/>
        <v>0.93119649677609606</v>
      </c>
      <c r="G23" s="13">
        <v>263</v>
      </c>
      <c r="H23" s="13">
        <f t="shared" si="1"/>
        <v>0.407408457136613</v>
      </c>
      <c r="I23" s="13">
        <f t="shared" si="2"/>
        <v>0.37176093906497615</v>
      </c>
      <c r="J23" s="13">
        <f t="shared" si="3"/>
        <v>-0.58013788598157867</v>
      </c>
      <c r="K23" s="13">
        <f t="shared" si="4"/>
        <v>0.38034967405698256</v>
      </c>
      <c r="L23" s="13">
        <f t="shared" si="5"/>
        <v>9.2963238376732968E-2</v>
      </c>
      <c r="M23" s="13">
        <f t="shared" si="6"/>
        <v>0.52437037685490695</v>
      </c>
      <c r="N23" s="13">
        <f t="shared" si="7"/>
        <v>0.66368032911181862</v>
      </c>
      <c r="O23" s="13">
        <f t="shared" si="8"/>
        <v>-1.6817004033116618</v>
      </c>
      <c r="P23" s="13">
        <f t="shared" si="9"/>
        <v>2.1867749404791838E-2</v>
      </c>
      <c r="Q23" s="13">
        <f t="shared" si="10"/>
        <v>0.73063402206251482</v>
      </c>
      <c r="T23" s="13">
        <f t="shared" si="11"/>
        <v>105.78358208955218</v>
      </c>
      <c r="U23" s="13">
        <f t="shared" si="12"/>
        <v>105.67136368929779</v>
      </c>
      <c r="V23" s="13">
        <f t="shared" si="13"/>
        <v>88.165705861247091</v>
      </c>
      <c r="W23" s="13">
        <f t="shared" si="14"/>
        <v>105.19869653567433</v>
      </c>
      <c r="X23" s="13">
        <f t="shared" si="15"/>
        <v>101.16010990296741</v>
      </c>
      <c r="Y23" s="13">
        <f t="shared" si="16"/>
        <v>103.3307464458826</v>
      </c>
      <c r="Z23" s="13">
        <f>(AS23-AVERAGE(AS$2:AS82))/AVERAGE(AS$2:AS$61)*100+100</f>
        <v>108.96915008056132</v>
      </c>
      <c r="AA23" s="13">
        <f t="shared" si="17"/>
        <v>30.188679245282984</v>
      </c>
      <c r="AB23" s="13">
        <f t="shared" si="18"/>
        <v>100.58898804559888</v>
      </c>
      <c r="AC23" s="13">
        <f t="shared" si="19"/>
        <v>114.99137891188559</v>
      </c>
      <c r="AE23" s="13">
        <f>'2026_Fantasy_Relievers'!G16</f>
        <v>3.499999999999996</v>
      </c>
      <c r="AF23" s="13">
        <f>'2026_Fantasy_Relievers'!H16</f>
        <v>2.4999999999999969</v>
      </c>
      <c r="AG23" s="13">
        <f>'2026_Fantasy_Relievers'!I16</f>
        <v>16.705499999999944</v>
      </c>
      <c r="AH23" s="13">
        <f>'2026_Fantasy_Relievers'!J16</f>
        <v>7.6636363636363525</v>
      </c>
      <c r="AI23" s="13">
        <f t="shared" si="20"/>
        <v>24.369136363636297</v>
      </c>
      <c r="AJ23" s="13">
        <f>'2026_Fantasy_Relievers'!K16</f>
        <v>5.9999999999999991</v>
      </c>
      <c r="AK23" s="13">
        <f>'2026_Fantasy_Relievers'!L16</f>
        <v>50.113554637183313</v>
      </c>
      <c r="AL23" s="13">
        <f>'2026_Fantasy_Relievers'!M16</f>
        <v>26.508909403177135</v>
      </c>
      <c r="AM23" s="13">
        <f>'2026_Fantasy_Relievers'!N16</f>
        <v>24.582143623872884</v>
      </c>
      <c r="AN23" s="13">
        <f>'2026_Fantasy_Relievers'!O16</f>
        <v>7.7057054627424826</v>
      </c>
      <c r="AO23" s="13">
        <f>'2026_Fantasy_Relievers'!P16</f>
        <v>1.9654950441714953</v>
      </c>
      <c r="AP23" s="13">
        <f>'2026_Fantasy_Relievers'!Q16</f>
        <v>2.8901486689565901</v>
      </c>
      <c r="AQ23" s="13">
        <f>'2026_Fantasy_Relievers'!R16</f>
        <v>76.960639437526709</v>
      </c>
      <c r="AR23" s="13">
        <f>'2026_Fantasy_Relievers'!S16</f>
        <v>23.306358433974751</v>
      </c>
      <c r="AS23" s="13">
        <f>'2026_Fantasy_Relievers'!T16</f>
        <v>10.822589920902193</v>
      </c>
      <c r="AT23" s="13">
        <f>'2026_Fantasy_Relievers'!U16</f>
        <v>3.2774566547776995</v>
      </c>
      <c r="AU23" s="13">
        <f>'2026_Fantasy_Relievers'!V16</f>
        <v>0.20400867301730782</v>
      </c>
      <c r="AV23" s="13">
        <f>'2026_Fantasy_Relievers'!W16</f>
        <v>3.4568639471071245</v>
      </c>
      <c r="AW23" s="13">
        <f>'2026_Fantasy_Relievers'!X16</f>
        <v>1.1471861417368447</v>
      </c>
    </row>
    <row r="24" spans="1:49">
      <c r="A24" s="13" t="s">
        <v>520</v>
      </c>
      <c r="B24" s="13" t="s">
        <v>29</v>
      </c>
      <c r="C24" s="13" t="s">
        <v>18</v>
      </c>
      <c r="D24" s="13">
        <v>60</v>
      </c>
      <c r="E24" s="13">
        <v>63.33</v>
      </c>
      <c r="F24" s="15">
        <f t="shared" si="0"/>
        <v>0.56458115841780554</v>
      </c>
      <c r="G24" s="13">
        <v>262</v>
      </c>
      <c r="H24" s="13">
        <f t="shared" si="1"/>
        <v>-0.65711041473646692</v>
      </c>
      <c r="I24" s="13">
        <f t="shared" si="2"/>
        <v>1.6084195043324641</v>
      </c>
      <c r="J24" s="13">
        <f t="shared" si="3"/>
        <v>-0.41369307281781004</v>
      </c>
      <c r="K24" s="13">
        <f t="shared" si="4"/>
        <v>0.43797584067153689</v>
      </c>
      <c r="L24" s="13">
        <f t="shared" si="5"/>
        <v>-0.24472892549057965</v>
      </c>
      <c r="M24" s="13">
        <f t="shared" si="6"/>
        <v>0.23809684266693876</v>
      </c>
      <c r="N24" s="13">
        <f t="shared" si="7"/>
        <v>-0.46820651594219537</v>
      </c>
      <c r="O24" s="13">
        <f t="shared" si="8"/>
        <v>2.4089221993383227</v>
      </c>
      <c r="P24" s="13">
        <f t="shared" si="9"/>
        <v>-2.0324414211767383</v>
      </c>
      <c r="Q24" s="13">
        <f t="shared" si="10"/>
        <v>-0.31265287842766648</v>
      </c>
      <c r="T24" s="13">
        <f t="shared" si="11"/>
        <v>90.671641791044834</v>
      </c>
      <c r="U24" s="13">
        <f t="shared" si="12"/>
        <v>124.53709095143822</v>
      </c>
      <c r="V24" s="13">
        <f t="shared" si="13"/>
        <v>91.561031221729323</v>
      </c>
      <c r="W24" s="13">
        <f t="shared" si="14"/>
        <v>105.98634267599518</v>
      </c>
      <c r="X24" s="13">
        <f t="shared" si="15"/>
        <v>96.945970741104517</v>
      </c>
      <c r="Y24" s="13">
        <f t="shared" si="16"/>
        <v>101.51236653993558</v>
      </c>
      <c r="Z24" s="13">
        <f>(AS24-AVERAGE(AS$2:AS83))/AVERAGE(AS$2:AS$61)*100+100</f>
        <v>93.6725343121104</v>
      </c>
      <c r="AA24" s="13">
        <f t="shared" si="17"/>
        <v>200</v>
      </c>
      <c r="AB24" s="13">
        <f t="shared" si="18"/>
        <v>45.258029150871636</v>
      </c>
      <c r="AC24" s="13">
        <f t="shared" si="19"/>
        <v>93.584889798630485</v>
      </c>
      <c r="AE24" s="13">
        <f>'2026_Fantasy_Relievers'!G45</f>
        <v>3</v>
      </c>
      <c r="AF24" s="13">
        <f>'2026_Fantasy_Relievers'!H45</f>
        <v>1.9999999999999978</v>
      </c>
      <c r="AG24" s="13">
        <f>'2026_Fantasy_Relievers'!I45</f>
        <v>0.29382352941176282</v>
      </c>
      <c r="AH24" s="13">
        <f>'2026_Fantasy_Relievers'!J45</f>
        <v>10.67058823529406</v>
      </c>
      <c r="AI24" s="13">
        <f t="shared" si="20"/>
        <v>10.964411764705822</v>
      </c>
      <c r="AJ24" s="13">
        <f>'2026_Fantasy_Relievers'!K45</f>
        <v>0</v>
      </c>
      <c r="AK24" s="13">
        <f>'2026_Fantasy_Relievers'!L45</f>
        <v>52.053348920003096</v>
      </c>
      <c r="AL24" s="13">
        <f>'2026_Fantasy_Relievers'!M45</f>
        <v>27.272669305773228</v>
      </c>
      <c r="AM24" s="13">
        <f>'2026_Fantasy_Relievers'!N45</f>
        <v>25.361911846754666</v>
      </c>
      <c r="AN24" s="13">
        <f>'2026_Fantasy_Relievers'!O45</f>
        <v>7.47175775126862</v>
      </c>
      <c r="AO24" s="13">
        <f>'2026_Fantasy_Relievers'!P45</f>
        <v>1.1619222882380633</v>
      </c>
      <c r="AP24" s="13">
        <f>'2026_Fantasy_Relievers'!Q45</f>
        <v>2.8661361885278405</v>
      </c>
      <c r="AQ24" s="13">
        <f>'2026_Fantasy_Relievers'!R45</f>
        <v>65.464655702861293</v>
      </c>
      <c r="AR24" s="13">
        <f>'2026_Fantasy_Relievers'!S45</f>
        <v>21.96454384149418</v>
      </c>
      <c r="AS24" s="13">
        <f>'2026_Fantasy_Relievers'!T45</f>
        <v>9.3033617768159118</v>
      </c>
      <c r="AT24" s="13">
        <f>'2026_Fantasy_Relievers'!U45</f>
        <v>3.1214415691370223</v>
      </c>
      <c r="AU24" s="13">
        <f>'2026_Fantasy_Relievers'!V45</f>
        <v>0.16603096130292788</v>
      </c>
      <c r="AV24" s="13">
        <f>'2026_Fantasy_Relievers'!W45</f>
        <v>3.6042508545837992</v>
      </c>
      <c r="AW24" s="13">
        <f>'2026_Fantasy_Relievers'!X45</f>
        <v>1.1687650838701609</v>
      </c>
    </row>
    <row r="25" spans="1:49">
      <c r="A25" s="13" t="s">
        <v>70</v>
      </c>
      <c r="B25" s="13" t="s">
        <v>71</v>
      </c>
      <c r="C25" s="13" t="s">
        <v>18</v>
      </c>
      <c r="D25" s="13">
        <v>62</v>
      </c>
      <c r="E25" s="13">
        <v>63.67</v>
      </c>
      <c r="F25" s="15">
        <f t="shared" si="0"/>
        <v>0.52908841354699299</v>
      </c>
      <c r="G25" s="13">
        <v>260</v>
      </c>
      <c r="H25" s="13">
        <f t="shared" si="1"/>
        <v>-0.65711041473648701</v>
      </c>
      <c r="I25" s="13">
        <f t="shared" si="2"/>
        <v>0.3717609390649827</v>
      </c>
      <c r="J25" s="13">
        <f t="shared" si="3"/>
        <v>-0.85663616726813785</v>
      </c>
      <c r="K25" s="13">
        <f t="shared" si="4"/>
        <v>1.4952495755696058</v>
      </c>
      <c r="L25" s="13">
        <f t="shared" si="5"/>
        <v>-0.64560673069324948</v>
      </c>
      <c r="M25" s="13">
        <f t="shared" si="6"/>
        <v>0.46648301816239623</v>
      </c>
      <c r="N25" s="13">
        <f t="shared" si="7"/>
        <v>-0.4143746069013276</v>
      </c>
      <c r="O25" s="13">
        <f t="shared" si="8"/>
        <v>-0.31815953576166472</v>
      </c>
      <c r="P25" s="13">
        <f t="shared" si="9"/>
        <v>0.79298152906207919</v>
      </c>
      <c r="Q25" s="13">
        <f t="shared" si="10"/>
        <v>0.29450080704879578</v>
      </c>
      <c r="T25" s="13">
        <f t="shared" si="11"/>
        <v>90.67164179104455</v>
      </c>
      <c r="U25" s="13">
        <f t="shared" si="12"/>
        <v>105.67136368929789</v>
      </c>
      <c r="V25" s="13">
        <f t="shared" si="13"/>
        <v>82.525388156313284</v>
      </c>
      <c r="W25" s="13">
        <f t="shared" si="14"/>
        <v>120.43737465466479</v>
      </c>
      <c r="X25" s="13">
        <f t="shared" si="15"/>
        <v>91.943323244996193</v>
      </c>
      <c r="Y25" s="13">
        <f t="shared" si="16"/>
        <v>102.96305192548836</v>
      </c>
      <c r="Z25" s="13">
        <f>(AS25-AVERAGE(AS$2:AS84))/AVERAGE(AS$2:AS$61)*100+100</f>
        <v>94.400032853398827</v>
      </c>
      <c r="AA25" s="13">
        <f t="shared" si="17"/>
        <v>86.792452830188751</v>
      </c>
      <c r="AB25" s="13">
        <f t="shared" si="18"/>
        <v>121.35824004348447</v>
      </c>
      <c r="AC25" s="13">
        <f t="shared" si="19"/>
        <v>106.04266028546209</v>
      </c>
      <c r="AE25" s="13">
        <f>'2026_Fantasy_Relievers'!G11</f>
        <v>2.9999999999999907</v>
      </c>
      <c r="AF25" s="13">
        <f>'2026_Fantasy_Relievers'!H11</f>
        <v>2.4999999999999942</v>
      </c>
      <c r="AG25" s="13">
        <f>'2026_Fantasy_Relievers'!I11</f>
        <v>25.449272727272707</v>
      </c>
      <c r="AH25" s="13">
        <f>'2026_Fantasy_Relievers'!J11</f>
        <v>3.9515151515151472</v>
      </c>
      <c r="AI25" s="13">
        <f t="shared" si="20"/>
        <v>29.400787878787852</v>
      </c>
      <c r="AJ25" s="13">
        <f>'2026_Fantasy_Relievers'!K11</f>
        <v>3.9999999999999956</v>
      </c>
      <c r="AK25" s="13">
        <f>'2026_Fantasy_Relievers'!L11</f>
        <v>55.906359189377838</v>
      </c>
      <c r="AL25" s="13">
        <f>'2026_Fantasy_Relievers'!M11</f>
        <v>28.679944095038341</v>
      </c>
      <c r="AM25" s="13">
        <f>'2026_Fantasy_Relievers'!N11</f>
        <v>26.735849056603698</v>
      </c>
      <c r="AN25" s="13">
        <f>'2026_Fantasy_Relievers'!O11</f>
        <v>8.0943396226414794</v>
      </c>
      <c r="AO25" s="13">
        <f>'2026_Fantasy_Relievers'!P11</f>
        <v>1.1711512168443958</v>
      </c>
      <c r="AP25" s="13">
        <f>'2026_Fantasy_Relievers'!Q11</f>
        <v>2.4255765199161341</v>
      </c>
      <c r="AQ25" s="13">
        <f>'2026_Fantasy_Relievers'!R11</f>
        <v>66.32727044025134</v>
      </c>
      <c r="AR25" s="13">
        <f>'2026_Fantasy_Relievers'!S11</f>
        <v>17.412805031446528</v>
      </c>
      <c r="AS25" s="13">
        <f>'2026_Fantasy_Relievers'!T11</f>
        <v>9.3756154226835573</v>
      </c>
      <c r="AT25" s="13">
        <f>'2026_Fantasy_Relievers'!U11</f>
        <v>2.4613671318206176</v>
      </c>
      <c r="AU25" s="13">
        <f>'2026_Fantasy_Relievers'!V11</f>
        <v>0.1881325592646339</v>
      </c>
      <c r="AV25" s="13">
        <f>'2026_Fantasy_Relievers'!W11</f>
        <v>3.7792153527474994</v>
      </c>
      <c r="AW25" s="13">
        <f>'2026_Fantasy_Relievers'!X11</f>
        <v>1.1515496186716563</v>
      </c>
    </row>
    <row r="26" spans="1:49">
      <c r="A26" s="13" t="s">
        <v>491</v>
      </c>
      <c r="B26" s="13" t="s">
        <v>492</v>
      </c>
      <c r="C26" s="13" t="s">
        <v>18</v>
      </c>
      <c r="D26" s="13">
        <v>69</v>
      </c>
      <c r="E26" s="13">
        <v>82.33</v>
      </c>
      <c r="F26" s="15">
        <f t="shared" si="0"/>
        <v>0.48829906653072019</v>
      </c>
      <c r="G26" s="13">
        <v>344</v>
      </c>
      <c r="H26" s="13">
        <f t="shared" si="1"/>
        <v>0.407408457136619</v>
      </c>
      <c r="I26" s="13">
        <f t="shared" si="2"/>
        <v>-2.1015561914700096</v>
      </c>
      <c r="J26" s="13">
        <f t="shared" si="3"/>
        <v>0.18250271982845473</v>
      </c>
      <c r="K26" s="13">
        <f t="shared" si="4"/>
        <v>-1.8058710384164913</v>
      </c>
      <c r="L26" s="13">
        <f t="shared" si="5"/>
        <v>1.238786186968188</v>
      </c>
      <c r="M26" s="13">
        <f t="shared" si="6"/>
        <v>0.73753202428328801</v>
      </c>
      <c r="N26" s="13">
        <f t="shared" si="7"/>
        <v>0.75929458728330268</v>
      </c>
      <c r="O26" s="13">
        <f t="shared" si="8"/>
        <v>1.045381331788328</v>
      </c>
      <c r="P26" s="13">
        <f t="shared" si="9"/>
        <v>-0.72655274213450372</v>
      </c>
      <c r="Q26" s="13">
        <f t="shared" si="10"/>
        <v>0.75137373126354401</v>
      </c>
      <c r="T26" s="13">
        <f t="shared" si="11"/>
        <v>105.78358208955227</v>
      </c>
      <c r="U26" s="13">
        <f t="shared" si="12"/>
        <v>67.939909165016786</v>
      </c>
      <c r="V26" s="13">
        <f t="shared" si="13"/>
        <v>103.72289229812668</v>
      </c>
      <c r="W26" s="13">
        <f t="shared" si="14"/>
        <v>75.31698815158218</v>
      </c>
      <c r="X26" s="13">
        <f t="shared" si="15"/>
        <v>115.45910134215802</v>
      </c>
      <c r="Y26" s="13">
        <f t="shared" si="16"/>
        <v>104.6847272024405</v>
      </c>
      <c r="Z26" s="13">
        <f>(AS26-AVERAGE(AS$2:AS85))/AVERAGE(AS$2:AS$61)*100+100</f>
        <v>110.26130624937417</v>
      </c>
      <c r="AA26" s="13">
        <f t="shared" si="17"/>
        <v>143.39622641509433</v>
      </c>
      <c r="AB26" s="13">
        <f t="shared" si="18"/>
        <v>80.430959231654668</v>
      </c>
      <c r="AC26" s="13">
        <f t="shared" si="19"/>
        <v>115.41692279537087</v>
      </c>
      <c r="AE26" s="13">
        <f>'2026_Fantasy_Relievers'!G40</f>
        <v>3.4999999999999987</v>
      </c>
      <c r="AF26" s="13">
        <f>'2026_Fantasy_Relievers'!H40</f>
        <v>3.4999999999999987</v>
      </c>
      <c r="AG26" s="13">
        <f>'2026_Fantasy_Relievers'!I40</f>
        <v>6.0980624999999966</v>
      </c>
      <c r="AH26" s="13">
        <f>'2026_Fantasy_Relievers'!J40</f>
        <v>13.387499999999946</v>
      </c>
      <c r="AI26" s="13">
        <f t="shared" si="20"/>
        <v>19.485562499999943</v>
      </c>
      <c r="AJ26" s="13">
        <f>'2026_Fantasy_Relievers'!K40</f>
        <v>1.9999999999999993</v>
      </c>
      <c r="AK26" s="13">
        <f>'2026_Fantasy_Relievers'!L40</f>
        <v>63.387039243513151</v>
      </c>
      <c r="AL26" s="13">
        <f>'2026_Fantasy_Relievers'!M40</f>
        <v>28.87791328633115</v>
      </c>
      <c r="AM26" s="13">
        <f>'2026_Fantasy_Relievers'!N40</f>
        <v>27.047834435025443</v>
      </c>
      <c r="AN26" s="13">
        <f>'2026_Fantasy_Relievers'!O40</f>
        <v>6.6337704410680729</v>
      </c>
      <c r="AO26" s="13">
        <f>'2026_Fantasy_Relievers'!P40</f>
        <v>1.960817338391599</v>
      </c>
      <c r="AP26" s="13">
        <f>'2026_Fantasy_Relievers'!Q40</f>
        <v>3.8011338195450701</v>
      </c>
      <c r="AQ26" s="13">
        <f>'2026_Fantasy_Relievers'!R40</f>
        <v>100.17662095972429</v>
      </c>
      <c r="AR26" s="13">
        <f>'2026_Fantasy_Relievers'!S40</f>
        <v>29.737928953465705</v>
      </c>
      <c r="AS26" s="13">
        <f>'2026_Fantasy_Relievers'!T40</f>
        <v>10.950924190908765</v>
      </c>
      <c r="AT26" s="13">
        <f>'2026_Fantasy_Relievers'!U40</f>
        <v>3.2508363971965424</v>
      </c>
      <c r="AU26" s="13">
        <f>'2026_Fantasy_Relievers'!V40</f>
        <v>0.2047636395530773</v>
      </c>
      <c r="AV26" s="13">
        <f>'2026_Fantasy_Relievers'!W40</f>
        <v>2.9567655765240977</v>
      </c>
      <c r="AW26" s="13">
        <f>'2026_Fantasy_Relievers'!X40</f>
        <v>1.131118282484864</v>
      </c>
    </row>
    <row r="27" spans="1:49">
      <c r="A27" s="13" t="s">
        <v>117</v>
      </c>
      <c r="B27" s="13" t="s">
        <v>118</v>
      </c>
      <c r="C27" s="13" t="s">
        <v>18</v>
      </c>
      <c r="D27" s="13">
        <v>62</v>
      </c>
      <c r="E27" s="13">
        <v>64.67</v>
      </c>
      <c r="F27" s="15">
        <f t="shared" si="0"/>
        <v>0.45973277255159084</v>
      </c>
      <c r="G27" s="13">
        <v>273</v>
      </c>
      <c r="H27" s="13">
        <f t="shared" si="1"/>
        <v>-0.65711041473647291</v>
      </c>
      <c r="I27" s="13">
        <f t="shared" si="2"/>
        <v>0.3717609390649827</v>
      </c>
      <c r="J27" s="13">
        <f t="shared" si="3"/>
        <v>0.34930002343270183</v>
      </c>
      <c r="K27" s="13">
        <f t="shared" si="4"/>
        <v>-0.98595718699035195</v>
      </c>
      <c r="L27" s="13">
        <f t="shared" si="5"/>
        <v>0.30300194888627902</v>
      </c>
      <c r="M27" s="13">
        <f t="shared" si="6"/>
        <v>-0.22535342190662377</v>
      </c>
      <c r="N27" s="13">
        <f t="shared" si="7"/>
        <v>0.39169216062238138</v>
      </c>
      <c r="O27" s="13">
        <f t="shared" si="8"/>
        <v>-0.31815953576166472</v>
      </c>
      <c r="P27" s="13">
        <f t="shared" si="9"/>
        <v>1.2677563449174625</v>
      </c>
      <c r="Q27" s="13">
        <f t="shared" si="10"/>
        <v>-3.7198084977103092E-2</v>
      </c>
      <c r="T27" s="13">
        <f t="shared" si="11"/>
        <v>90.671641791044749</v>
      </c>
      <c r="U27" s="13">
        <f t="shared" si="12"/>
        <v>105.67136368929789</v>
      </c>
      <c r="V27" s="13">
        <f t="shared" si="13"/>
        <v>107.12540814841232</v>
      </c>
      <c r="W27" s="13">
        <f t="shared" si="14"/>
        <v>86.52373707158219</v>
      </c>
      <c r="X27" s="13">
        <f t="shared" si="15"/>
        <v>103.78123188971641</v>
      </c>
      <c r="Y27" s="13">
        <f t="shared" si="16"/>
        <v>98.568578351841836</v>
      </c>
      <c r="Z27" s="13">
        <f>(AS27-AVERAGE(AS$2:AS86))/AVERAGE(AS$2:AS$61)*100+100</f>
        <v>105.29343061697035</v>
      </c>
      <c r="AA27" s="13">
        <f t="shared" si="17"/>
        <v>86.792452830188751</v>
      </c>
      <c r="AB27" s="13">
        <f t="shared" si="18"/>
        <v>134.14587016096553</v>
      </c>
      <c r="AC27" s="13">
        <f t="shared" si="19"/>
        <v>99.236757980261999</v>
      </c>
      <c r="AE27" s="13">
        <f>'2026_Fantasy_Relievers'!G18</f>
        <v>2.9999999999999969</v>
      </c>
      <c r="AF27" s="13">
        <f>'2026_Fantasy_Relievers'!H18</f>
        <v>2.4999999999999942</v>
      </c>
      <c r="AG27" s="13">
        <f>'2026_Fantasy_Relievers'!I18</f>
        <v>28.558477611940276</v>
      </c>
      <c r="AH27" s="13">
        <f>'2026_Fantasy_Relievers'!J18</f>
        <v>3.9402985074626784</v>
      </c>
      <c r="AI27" s="13">
        <f t="shared" si="20"/>
        <v>32.498776119402955</v>
      </c>
      <c r="AJ27" s="13">
        <f>'2026_Fantasy_Relievers'!K18</f>
        <v>3.9999999999999956</v>
      </c>
      <c r="AK27" s="13">
        <f>'2026_Fantasy_Relievers'!L18</f>
        <v>50.763962765957253</v>
      </c>
      <c r="AL27" s="13">
        <f>'2026_Fantasy_Relievers'!M18</f>
        <v>26.152534418022505</v>
      </c>
      <c r="AM27" s="13">
        <f>'2026_Fantasy_Relievers'!N18</f>
        <v>24.180772841051301</v>
      </c>
      <c r="AN27" s="13">
        <f>'2026_Fantasy_Relievers'!O18</f>
        <v>6.3993272841051096</v>
      </c>
      <c r="AO27" s="13">
        <f>'2026_Fantasy_Relievers'!P18</f>
        <v>1.1883369837296411</v>
      </c>
      <c r="AP27" s="13">
        <f>'2026_Fantasy_Relievers'!Q18</f>
        <v>3.4594806007509109</v>
      </c>
      <c r="AQ27" s="13">
        <f>'2026_Fantasy_Relievers'!R18</f>
        <v>75.143127503128767</v>
      </c>
      <c r="AR27" s="13">
        <f>'2026_Fantasy_Relievers'!S18</f>
        <v>27.079276595744645</v>
      </c>
      <c r="AS27" s="13">
        <f>'2026_Fantasy_Relievers'!T18</f>
        <v>10.457525089348367</v>
      </c>
      <c r="AT27" s="13">
        <f>'2026_Fantasy_Relievers'!U18</f>
        <v>3.768571043168421</v>
      </c>
      <c r="AU27" s="13">
        <f>'2026_Fantasy_Relievers'!V18</f>
        <v>0.17605806193180998</v>
      </c>
      <c r="AV27" s="13">
        <f>'2026_Fantasy_Relievers'!W18</f>
        <v>3.3651918288149325</v>
      </c>
      <c r="AW27" s="13">
        <f>'2026_Fantasy_Relievers'!X18</f>
        <v>1.2036993870682218</v>
      </c>
    </row>
    <row r="28" spans="1:49">
      <c r="A28" s="13" t="s">
        <v>515</v>
      </c>
      <c r="B28" s="13" t="s">
        <v>230</v>
      </c>
      <c r="C28" s="13" t="s">
        <v>18</v>
      </c>
      <c r="D28" s="13">
        <v>64</v>
      </c>
      <c r="E28" s="13">
        <v>63.67</v>
      </c>
      <c r="F28" s="15">
        <f t="shared" si="0"/>
        <v>3.1632520000813291E-2</v>
      </c>
      <c r="G28" s="13">
        <v>263</v>
      </c>
      <c r="H28" s="13">
        <f t="shared" si="1"/>
        <v>0.40740845713662199</v>
      </c>
      <c r="I28" s="13">
        <f t="shared" si="2"/>
        <v>-0.86489762620252286</v>
      </c>
      <c r="J28" s="13">
        <f t="shared" si="3"/>
        <v>-0.42557856273265887</v>
      </c>
      <c r="K28" s="13">
        <f t="shared" si="4"/>
        <v>-0.8223994279651029</v>
      </c>
      <c r="L28" s="13">
        <f t="shared" si="5"/>
        <v>0.16831034346162788</v>
      </c>
      <c r="M28" s="13">
        <f t="shared" si="6"/>
        <v>0.41581040857185003</v>
      </c>
      <c r="N28" s="13">
        <f t="shared" si="7"/>
        <v>0.63404488978189333</v>
      </c>
      <c r="O28" s="13">
        <f t="shared" si="8"/>
        <v>-0.31815953576166744</v>
      </c>
      <c r="P28" s="13">
        <f t="shared" si="9"/>
        <v>0.21547921519138702</v>
      </c>
      <c r="Q28" s="13">
        <f t="shared" si="10"/>
        <v>0.62161435851938507</v>
      </c>
      <c r="T28" s="13">
        <f t="shared" si="11"/>
        <v>105.78358208955231</v>
      </c>
      <c r="U28" s="13">
        <f t="shared" si="12"/>
        <v>86.805636427157197</v>
      </c>
      <c r="V28" s="13">
        <f t="shared" si="13"/>
        <v>91.318577854979253</v>
      </c>
      <c r="W28" s="13">
        <f t="shared" si="14"/>
        <v>88.759277715426222</v>
      </c>
      <c r="X28" s="13">
        <f t="shared" si="15"/>
        <v>102.10038397576471</v>
      </c>
      <c r="Y28" s="13">
        <f t="shared" si="16"/>
        <v>102.64118474582499</v>
      </c>
      <c r="Z28" s="13">
        <f>(AS28-AVERAGE(AS$2:AS87))/AVERAGE(AS$2:AS$61)*100+100</f>
        <v>108.56864897875951</v>
      </c>
      <c r="AA28" s="13">
        <f t="shared" si="17"/>
        <v>86.792452830188637</v>
      </c>
      <c r="AB28" s="13">
        <f t="shared" si="18"/>
        <v>105.80373770859798</v>
      </c>
      <c r="AC28" s="13">
        <f t="shared" si="19"/>
        <v>112.7544791294094</v>
      </c>
      <c r="AE28" s="13">
        <f>'2026_Fantasy_Relievers'!G44</f>
        <v>3.5</v>
      </c>
      <c r="AF28" s="13">
        <f>'2026_Fantasy_Relievers'!H44</f>
        <v>3</v>
      </c>
      <c r="AG28" s="13">
        <f>'2026_Fantasy_Relievers'!I44</f>
        <v>7.9112727272727037</v>
      </c>
      <c r="AH28" s="13">
        <f>'2026_Fantasy_Relievers'!J44</f>
        <v>17.721212121212098</v>
      </c>
      <c r="AI28" s="13">
        <f t="shared" si="20"/>
        <v>25.6324848484848</v>
      </c>
      <c r="AJ28" s="13">
        <f>'2026_Fantasy_Relievers'!K44</f>
        <v>4</v>
      </c>
      <c r="AK28" s="13">
        <f>'2026_Fantasy_Relievers'!L44</f>
        <v>49.890506294768578</v>
      </c>
      <c r="AL28" s="13">
        <f>'2026_Fantasy_Relievers'!M44</f>
        <v>26.160136748426286</v>
      </c>
      <c r="AM28" s="13">
        <f>'2026_Fantasy_Relievers'!N44</f>
        <v>24.222745278923355</v>
      </c>
      <c r="AN28" s="13">
        <f>'2026_Fantasy_Relievers'!O44</f>
        <v>7.4884634876173317</v>
      </c>
      <c r="AO28" s="13">
        <f>'2026_Fantasy_Relievers'!P44</f>
        <v>0.98311471435880726</v>
      </c>
      <c r="AP28" s="13">
        <f>'2026_Fantasy_Relievers'!Q44</f>
        <v>3.3913270566529068</v>
      </c>
      <c r="AQ28" s="13">
        <f>'2026_Fantasy_Relievers'!R44</f>
        <v>76.28241139841542</v>
      </c>
      <c r="AR28" s="13">
        <f>'2026_Fantasy_Relievers'!S44</f>
        <v>23.671854286527797</v>
      </c>
      <c r="AS28" s="13">
        <f>'2026_Fantasy_Relievers'!T44</f>
        <v>10.782812982342371</v>
      </c>
      <c r="AT28" s="13">
        <f>'2026_Fantasy_Relievers'!U44</f>
        <v>3.3461078777878148</v>
      </c>
      <c r="AU28" s="13">
        <f>'2026_Fantasy_Relievers'!V44</f>
        <v>0.20004014110983886</v>
      </c>
      <c r="AV28" s="13">
        <f>'2026_Fantasy_Relievers'!W44</f>
        <v>3.4239784436989193</v>
      </c>
      <c r="AW28" s="13">
        <f>'2026_Fantasy_Relievers'!X44</f>
        <v>1.1553692568131988</v>
      </c>
    </row>
    <row r="29" spans="1:49">
      <c r="A29" s="13" t="s">
        <v>87</v>
      </c>
      <c r="B29" s="13" t="s">
        <v>88</v>
      </c>
      <c r="C29" s="13" t="s">
        <v>18</v>
      </c>
      <c r="D29" s="13">
        <v>61</v>
      </c>
      <c r="E29" s="13">
        <v>62</v>
      </c>
      <c r="F29" s="15">
        <f t="shared" si="0"/>
        <v>-8.8835791956895116E-2</v>
      </c>
      <c r="G29" s="13">
        <v>256</v>
      </c>
      <c r="H29" s="13">
        <f t="shared" si="1"/>
        <v>0.407408457136613</v>
      </c>
      <c r="I29" s="13">
        <f t="shared" si="2"/>
        <v>-0.86489762620251354</v>
      </c>
      <c r="J29" s="13">
        <f t="shared" si="3"/>
        <v>-0.8430615564652324</v>
      </c>
      <c r="K29" s="13">
        <f t="shared" si="4"/>
        <v>0.24106576403883556</v>
      </c>
      <c r="L29" s="13">
        <f t="shared" si="5"/>
        <v>-0.48349789680621552</v>
      </c>
      <c r="M29" s="13">
        <f t="shared" si="6"/>
        <v>0.11788841167324089</v>
      </c>
      <c r="N29" s="13">
        <f t="shared" si="7"/>
        <v>0.43288188308170672</v>
      </c>
      <c r="O29" s="13">
        <f t="shared" si="8"/>
        <v>-0.318159535761664</v>
      </c>
      <c r="P29" s="13">
        <f t="shared" si="9"/>
        <v>0.83481308126357712</v>
      </c>
      <c r="Q29" s="13">
        <f t="shared" si="10"/>
        <v>0.38672322608475701</v>
      </c>
      <c r="T29" s="13">
        <f t="shared" si="11"/>
        <v>105.78358208955218</v>
      </c>
      <c r="U29" s="13">
        <f t="shared" si="12"/>
        <v>86.805636427157339</v>
      </c>
      <c r="V29" s="13">
        <f t="shared" si="13"/>
        <v>82.802298078837765</v>
      </c>
      <c r="W29" s="13">
        <f t="shared" si="14"/>
        <v>103.29493578635388</v>
      </c>
      <c r="X29" s="13">
        <f t="shared" si="15"/>
        <v>93.966317138439635</v>
      </c>
      <c r="Y29" s="13">
        <f t="shared" si="16"/>
        <v>100.74881500848024</v>
      </c>
      <c r="Z29" s="13">
        <f>(AS29-AVERAGE(AS$2:AS88))/AVERAGE(AS$2:AS$61)*100+100</f>
        <v>105.85007933218655</v>
      </c>
      <c r="AA29" s="13">
        <f t="shared" si="17"/>
        <v>86.792452830188779</v>
      </c>
      <c r="AB29" s="13">
        <f t="shared" si="18"/>
        <v>122.48493505536942</v>
      </c>
      <c r="AC29" s="13">
        <f t="shared" si="19"/>
        <v>107.93490891636488</v>
      </c>
      <c r="AE29" s="13">
        <f>'2026_Fantasy_Relievers'!G14</f>
        <v>3.499999999999996</v>
      </c>
      <c r="AF29" s="13">
        <f>'2026_Fantasy_Relievers'!H14</f>
        <v>2.9999999999999964</v>
      </c>
      <c r="AG29" s="13">
        <f>'2026_Fantasy_Relievers'!I14</f>
        <v>25.699142857142807</v>
      </c>
      <c r="AH29" s="13">
        <f>'2026_Fantasy_Relievers'!J14</f>
        <v>3.9746031746031676</v>
      </c>
      <c r="AI29" s="13">
        <f t="shared" si="20"/>
        <v>29.673746031745974</v>
      </c>
      <c r="AJ29" s="13">
        <f>'2026_Fantasy_Relievers'!K14</f>
        <v>3.9999999999999951</v>
      </c>
      <c r="AK29" s="13">
        <f>'2026_Fantasy_Relievers'!L14</f>
        <v>49.62499263188915</v>
      </c>
      <c r="AL29" s="13">
        <f>'2026_Fantasy_Relievers'!M14</f>
        <v>27.512643678160895</v>
      </c>
      <c r="AM29" s="13">
        <f>'2026_Fantasy_Relievers'!N14</f>
        <v>25.547185381668122</v>
      </c>
      <c r="AN29" s="13">
        <f>'2026_Fantasy_Relievers'!O14</f>
        <v>8.0752597302067208</v>
      </c>
      <c r="AO29" s="13">
        <f>'2026_Fantasy_Relievers'!P14</f>
        <v>1.1850925682196991</v>
      </c>
      <c r="AP29" s="13">
        <f>'2026_Fantasy_Relievers'!Q14</f>
        <v>2.948187444739149</v>
      </c>
      <c r="AQ29" s="13">
        <f>'2026_Fantasy_Relievers'!R14</f>
        <v>72.421581962864636</v>
      </c>
      <c r="AR29" s="13">
        <f>'2026_Fantasy_Relievers'!S14</f>
        <v>23.400234591867264</v>
      </c>
      <c r="AS29" s="13">
        <f>'2026_Fantasy_Relievers'!T14</f>
        <v>10.512810284931962</v>
      </c>
      <c r="AT29" s="13">
        <f>'2026_Fantasy_Relievers'!U14</f>
        <v>3.396808247206538</v>
      </c>
      <c r="AU29" s="13">
        <f>'2026_Fantasy_Relievers'!V14</f>
        <v>0.1914896381679585</v>
      </c>
      <c r="AV29" s="13">
        <f>'2026_Fantasy_Relievers'!W14</f>
        <v>3.7084623941131145</v>
      </c>
      <c r="AW29" s="13">
        <f>'2026_Fantasy_Relievers'!X14</f>
        <v>1.1778262455444584</v>
      </c>
    </row>
    <row r="30" spans="1:49">
      <c r="A30" s="13" t="s">
        <v>510</v>
      </c>
      <c r="B30" s="13" t="s">
        <v>253</v>
      </c>
      <c r="C30" s="13" t="s">
        <v>18</v>
      </c>
      <c r="D30" s="13">
        <v>59</v>
      </c>
      <c r="E30" s="13">
        <v>66.33</v>
      </c>
      <c r="F30" s="15">
        <f t="shared" si="0"/>
        <v>-0.13020471537689371</v>
      </c>
      <c r="G30" s="13">
        <v>280</v>
      </c>
      <c r="H30" s="13">
        <f t="shared" si="1"/>
        <v>-0.65711041473647291</v>
      </c>
      <c r="I30" s="13">
        <f t="shared" si="2"/>
        <v>1.6084195043324678</v>
      </c>
      <c r="J30" s="13">
        <f t="shared" si="3"/>
        <v>0.79741831326442458</v>
      </c>
      <c r="K30" s="13">
        <f t="shared" si="4"/>
        <v>3.8655737450786924E-2</v>
      </c>
      <c r="L30" s="13">
        <f t="shared" si="5"/>
        <v>-0.15611312216826517</v>
      </c>
      <c r="M30" s="13">
        <f t="shared" si="6"/>
        <v>-0.99082783803897023</v>
      </c>
      <c r="N30" s="13">
        <f t="shared" si="7"/>
        <v>-0.99049808884200852</v>
      </c>
      <c r="O30" s="13">
        <f t="shared" si="8"/>
        <v>2.4089221993383227</v>
      </c>
      <c r="P30" s="13">
        <f t="shared" si="9"/>
        <v>-1.1279085348017306</v>
      </c>
      <c r="Q30" s="13">
        <f t="shared" si="10"/>
        <v>-1.0611624711754484</v>
      </c>
      <c r="T30" s="13">
        <f t="shared" si="11"/>
        <v>90.671641791044749</v>
      </c>
      <c r="U30" s="13">
        <f t="shared" si="12"/>
        <v>124.53709095143827</v>
      </c>
      <c r="V30" s="13">
        <f t="shared" si="13"/>
        <v>116.26662057216343</v>
      </c>
      <c r="W30" s="13">
        <f t="shared" si="14"/>
        <v>100.52835446452688</v>
      </c>
      <c r="X30" s="13">
        <f t="shared" si="15"/>
        <v>98.051827989504389</v>
      </c>
      <c r="Y30" s="13">
        <f t="shared" si="16"/>
        <v>93.706363963914384</v>
      </c>
      <c r="Z30" s="13">
        <f>(AS30-AVERAGE(AS$2:AS89))/AVERAGE(AS$2:AS$61)*100+100</f>
        <v>86.614148975573457</v>
      </c>
      <c r="AA30" s="13">
        <f t="shared" si="17"/>
        <v>200</v>
      </c>
      <c r="AB30" s="13">
        <f t="shared" si="18"/>
        <v>69.620804078647893</v>
      </c>
      <c r="AC30" s="13">
        <f t="shared" si="19"/>
        <v>78.226734299127784</v>
      </c>
      <c r="AE30" s="13">
        <f>'2026_Fantasy_Relievers'!G43</f>
        <v>2.9999999999999973</v>
      </c>
      <c r="AF30" s="13">
        <f>'2026_Fantasy_Relievers'!H43</f>
        <v>1.9999999999999962</v>
      </c>
      <c r="AG30" s="13">
        <f>'2026_Fantasy_Relievers'!I43</f>
        <v>5.1435692307692289</v>
      </c>
      <c r="AH30" s="13">
        <f>'2026_Fantasy_Relievers'!J43</f>
        <v>11.723076923076917</v>
      </c>
      <c r="AI30" s="13">
        <f t="shared" si="20"/>
        <v>16.866646153846148</v>
      </c>
      <c r="AJ30" s="13">
        <f>'2026_Fantasy_Relievers'!K43</f>
        <v>0</v>
      </c>
      <c r="AK30" s="13">
        <f>'2026_Fantasy_Relievers'!L43</f>
        <v>59.128870816390197</v>
      </c>
      <c r="AL30" s="13">
        <f>'2026_Fantasy_Relievers'!M43</f>
        <v>28.803565842977523</v>
      </c>
      <c r="AM30" s="13">
        <f>'2026_Fantasy_Relievers'!N43</f>
        <v>26.278281722448114</v>
      </c>
      <c r="AN30" s="13">
        <f>'2026_Fantasy_Relievers'!O43</f>
        <v>5.7694713794181798</v>
      </c>
      <c r="AO30" s="13">
        <f>'2026_Fantasy_Relievers'!P43</f>
        <v>1.5086956521739003</v>
      </c>
      <c r="AP30" s="13">
        <f>'2026_Fantasy_Relievers'!Q43</f>
        <v>3.0325304973412401</v>
      </c>
      <c r="AQ30" s="13">
        <f>'2026_Fantasy_Relievers'!R43</f>
        <v>63.399228026274564</v>
      </c>
      <c r="AR30" s="13">
        <f>'2026_Fantasy_Relievers'!S43</f>
        <v>24.539784172661857</v>
      </c>
      <c r="AS30" s="13">
        <f>'2026_Fantasy_Relievers'!T43</f>
        <v>8.6023375883683268</v>
      </c>
      <c r="AT30" s="13">
        <f>'2026_Fantasy_Relievers'!U43</f>
        <v>3.3296857764805776</v>
      </c>
      <c r="AU30" s="13">
        <f>'2026_Fantasy_Relievers'!V43</f>
        <v>0.1387837280486168</v>
      </c>
      <c r="AV30" s="13">
        <f>'2026_Fantasy_Relievers'!W43</f>
        <v>3.5655741821503546</v>
      </c>
      <c r="AW30" s="13">
        <f>'2026_Fantasy_Relievers'!X43</f>
        <v>1.2613998943020059</v>
      </c>
    </row>
    <row r="31" spans="1:49">
      <c r="A31" s="13" t="s">
        <v>551</v>
      </c>
      <c r="B31" s="13" t="s">
        <v>104</v>
      </c>
      <c r="C31" s="13" t="s">
        <v>18</v>
      </c>
      <c r="D31" s="13">
        <v>62</v>
      </c>
      <c r="E31" s="13">
        <v>64.33</v>
      </c>
      <c r="F31" s="15">
        <f t="shared" si="0"/>
        <v>-0.27743963416665285</v>
      </c>
      <c r="G31" s="13">
        <v>270</v>
      </c>
      <c r="H31" s="13">
        <f t="shared" si="1"/>
        <v>1.471927329009701</v>
      </c>
      <c r="I31" s="13">
        <f t="shared" si="2"/>
        <v>-0.86489762620249955</v>
      </c>
      <c r="J31" s="13">
        <f t="shared" si="3"/>
        <v>0.10770018270342741</v>
      </c>
      <c r="K31" s="13">
        <f t="shared" si="4"/>
        <v>0.18255835309762561</v>
      </c>
      <c r="L31" s="13">
        <f t="shared" si="5"/>
        <v>-8.8500286802602926E-2</v>
      </c>
      <c r="M31" s="13">
        <f t="shared" si="6"/>
        <v>-0.16669538213355908</v>
      </c>
      <c r="N31" s="13">
        <f t="shared" si="7"/>
        <v>-0.60515307852530698</v>
      </c>
      <c r="O31" s="13">
        <f t="shared" si="8"/>
        <v>1.0453813317883294</v>
      </c>
      <c r="P31" s="13">
        <f t="shared" si="9"/>
        <v>-0.81458001578659633</v>
      </c>
      <c r="Q31" s="13">
        <f t="shared" si="10"/>
        <v>-0.5451804413151714</v>
      </c>
      <c r="T31" s="13">
        <f t="shared" si="11"/>
        <v>120.89552238805965</v>
      </c>
      <c r="U31" s="13">
        <f t="shared" si="12"/>
        <v>86.805636427157552</v>
      </c>
      <c r="V31" s="13">
        <f t="shared" si="13"/>
        <v>102.19698742610689</v>
      </c>
      <c r="W31" s="13">
        <f t="shared" si="14"/>
        <v>102.49524461973078</v>
      </c>
      <c r="X31" s="13">
        <f t="shared" si="15"/>
        <v>98.895584309153492</v>
      </c>
      <c r="Y31" s="13">
        <f t="shared" si="16"/>
        <v>98.941168158818357</v>
      </c>
      <c r="Z31" s="13">
        <f>(AS31-AVERAGE(AS$2:AS90))/AVERAGE(AS$2:AS$61)*100+100</f>
        <v>91.821802538172335</v>
      </c>
      <c r="AA31" s="13">
        <f t="shared" si="17"/>
        <v>143.39622641509439</v>
      </c>
      <c r="AB31" s="13">
        <f t="shared" si="18"/>
        <v>78.060024257597149</v>
      </c>
      <c r="AC31" s="13">
        <f t="shared" si="19"/>
        <v>88.81381604974662</v>
      </c>
      <c r="AE31" s="13">
        <f>'2026_Fantasy_Relievers'!G50</f>
        <v>3.9999999999999956</v>
      </c>
      <c r="AF31" s="13">
        <f>'2026_Fantasy_Relievers'!H50</f>
        <v>2.9999999999999907</v>
      </c>
      <c r="AG31" s="13">
        <f>'2026_Fantasy_Relievers'!I50</f>
        <v>1.6496307692307655</v>
      </c>
      <c r="AH31" s="13">
        <f>'2026_Fantasy_Relievers'!J50</f>
        <v>17.26153846153845</v>
      </c>
      <c r="AI31" s="13">
        <f t="shared" si="20"/>
        <v>18.911169230769215</v>
      </c>
      <c r="AJ31" s="13">
        <f>'2026_Fantasy_Relievers'!K50</f>
        <v>1.9999999999999978</v>
      </c>
      <c r="AK31" s="13">
        <f>'2026_Fantasy_Relievers'!L50</f>
        <v>54.507972634470633</v>
      </c>
      <c r="AL31" s="13">
        <f>'2026_Fantasy_Relievers'!M50</f>
        <v>27.256713443046813</v>
      </c>
      <c r="AM31" s="13">
        <f>'2026_Fantasy_Relievers'!N50</f>
        <v>25.275002020093179</v>
      </c>
      <c r="AN31" s="13">
        <f>'2026_Fantasy_Relievers'!O50</f>
        <v>6.7389096883669382</v>
      </c>
      <c r="AO31" s="13">
        <f>'2026_Fantasy_Relievers'!P50</f>
        <v>1.9933903734641714</v>
      </c>
      <c r="AP31" s="13">
        <f>'2026_Fantasy_Relievers'!Q50</f>
        <v>2.9725671344304598</v>
      </c>
      <c r="AQ31" s="13">
        <f>'2026_Fantasy_Relievers'!R50</f>
        <v>65.184523527352056</v>
      </c>
      <c r="AR31" s="13">
        <f>'2026_Fantasy_Relievers'!S50</f>
        <v>22.641569343065683</v>
      </c>
      <c r="AS31" s="13">
        <f>'2026_Fantasy_Relievers'!T50</f>
        <v>9.1195509365174647</v>
      </c>
      <c r="AT31" s="13">
        <f>'2026_Fantasy_Relievers'!U50</f>
        <v>3.1676375577116609</v>
      </c>
      <c r="AU31" s="13">
        <f>'2026_Fantasy_Relievers'!V50</f>
        <v>0.1575664969788384</v>
      </c>
      <c r="AV31" s="13">
        <f>'2026_Fantasy_Relievers'!W50</f>
        <v>3.5360643273875119</v>
      </c>
      <c r="AW31" s="13">
        <f>'2026_Fantasy_Relievers'!X50</f>
        <v>1.199277817154303</v>
      </c>
    </row>
    <row r="32" spans="1:49">
      <c r="A32" s="13" t="s">
        <v>149</v>
      </c>
      <c r="B32" s="13" t="s">
        <v>78</v>
      </c>
      <c r="C32" s="13" t="s">
        <v>18</v>
      </c>
      <c r="D32" s="13">
        <v>62</v>
      </c>
      <c r="E32" s="13">
        <v>64.33</v>
      </c>
      <c r="F32" s="15">
        <f t="shared" si="0"/>
        <v>-0.51470219785169957</v>
      </c>
      <c r="G32" s="13">
        <v>262</v>
      </c>
      <c r="H32" s="13">
        <f t="shared" si="1"/>
        <v>0.407408457136608</v>
      </c>
      <c r="I32" s="13">
        <f t="shared" si="2"/>
        <v>0.3717609390649827</v>
      </c>
      <c r="J32" s="13">
        <f t="shared" si="3"/>
        <v>-0.94544533872434355</v>
      </c>
      <c r="K32" s="13">
        <f t="shared" si="4"/>
        <v>0.29040492342651886</v>
      </c>
      <c r="L32" s="13">
        <f t="shared" si="5"/>
        <v>-0.7425563871709574</v>
      </c>
      <c r="M32" s="13">
        <f t="shared" si="6"/>
        <v>0.5696482291094066</v>
      </c>
      <c r="N32" s="13">
        <f t="shared" si="7"/>
        <v>-0.3284126629136585</v>
      </c>
      <c r="O32" s="13">
        <f t="shared" si="8"/>
        <v>0.36361089801333196</v>
      </c>
      <c r="P32" s="13">
        <f t="shared" si="9"/>
        <v>-0.70307519534164409</v>
      </c>
      <c r="Q32" s="13">
        <f t="shared" si="10"/>
        <v>0.20195393954805593</v>
      </c>
      <c r="T32" s="13">
        <f t="shared" si="11"/>
        <v>105.78358208955211</v>
      </c>
      <c r="U32" s="13">
        <f t="shared" si="12"/>
        <v>105.67136368929789</v>
      </c>
      <c r="V32" s="13">
        <f t="shared" si="13"/>
        <v>80.713760468089788</v>
      </c>
      <c r="W32" s="13">
        <f t="shared" si="14"/>
        <v>103.96931343007812</v>
      </c>
      <c r="X32" s="13">
        <f t="shared" si="15"/>
        <v>90.73346590210447</v>
      </c>
      <c r="Y32" s="13">
        <f t="shared" si="16"/>
        <v>103.61834668443612</v>
      </c>
      <c r="Z32" s="13">
        <f>(AS32-AVERAGE(AS$2:AS91))/AVERAGE(AS$2:AS$61)*100+100</f>
        <v>95.561745116099189</v>
      </c>
      <c r="AA32" s="13">
        <f t="shared" si="17"/>
        <v>115.09433962264156</v>
      </c>
      <c r="AB32" s="13">
        <f t="shared" si="18"/>
        <v>81.063305713453715</v>
      </c>
      <c r="AC32" s="13">
        <f t="shared" si="19"/>
        <v>104.14375451880323</v>
      </c>
      <c r="AE32" s="13">
        <f>'2026_Fantasy_Relievers'!G23</f>
        <v>3.4999999999999933</v>
      </c>
      <c r="AF32" s="13">
        <f>'2026_Fantasy_Relievers'!H23</f>
        <v>2.4999999999999942</v>
      </c>
      <c r="AG32" s="13">
        <f>'2026_Fantasy_Relievers'!I23</f>
        <v>1.6448181818181768</v>
      </c>
      <c r="AH32" s="13">
        <f>'2026_Fantasy_Relievers'!J23</f>
        <v>17.993939393939375</v>
      </c>
      <c r="AI32" s="13">
        <f t="shared" si="20"/>
        <v>19.638757575757552</v>
      </c>
      <c r="AJ32" s="13">
        <f>'2026_Fantasy_Relievers'!K23</f>
        <v>2.9999999999999969</v>
      </c>
      <c r="AK32" s="13">
        <f>'2026_Fantasy_Relievers'!L23</f>
        <v>54.147490497461142</v>
      </c>
      <c r="AL32" s="13">
        <f>'2026_Fantasy_Relievers'!M23</f>
        <v>29.750589573564707</v>
      </c>
      <c r="AM32" s="13">
        <f>'2026_Fantasy_Relievers'!N23</f>
        <v>27.315442665704676</v>
      </c>
      <c r="AN32" s="13">
        <f>'2026_Fantasy_Relievers'!O23</f>
        <v>8.219165996171224</v>
      </c>
      <c r="AO32" s="13">
        <f>'2026_Fantasy_Relievers'!P23</f>
        <v>1.1765796308954071</v>
      </c>
      <c r="AP32" s="13">
        <f>'2026_Fantasy_Relievers'!Q23</f>
        <v>2.9276281108675728</v>
      </c>
      <c r="AQ32" s="13">
        <f>'2026_Fantasy_Relievers'!R23</f>
        <v>67.839517964653268</v>
      </c>
      <c r="AR32" s="13">
        <f>'2026_Fantasy_Relievers'!S23</f>
        <v>19.431436478650475</v>
      </c>
      <c r="AS32" s="13">
        <f>'2026_Fantasy_Relievers'!T23</f>
        <v>9.4909942745512126</v>
      </c>
      <c r="AT32" s="13">
        <f>'2026_Fantasy_Relievers'!U23</f>
        <v>2.7185283430414162</v>
      </c>
      <c r="AU32" s="13">
        <f>'2026_Fantasy_Relievers'!V23</f>
        <v>0.1847636697939038</v>
      </c>
      <c r="AV32" s="13">
        <f>'2026_Fantasy_Relievers'!W23</f>
        <v>3.8215293640811767</v>
      </c>
      <c r="AW32" s="13">
        <f>'2026_Fantasy_Relievers'!X23</f>
        <v>1.1437731536780913</v>
      </c>
    </row>
    <row r="33" spans="1:49">
      <c r="A33" s="13" t="s">
        <v>592</v>
      </c>
      <c r="B33" s="13" t="s">
        <v>46</v>
      </c>
      <c r="C33" s="13" t="s">
        <v>18</v>
      </c>
      <c r="D33" s="13">
        <v>58</v>
      </c>
      <c r="E33" s="13">
        <v>59.33</v>
      </c>
      <c r="F33" s="15">
        <f t="shared" si="0"/>
        <v>-0.62829635302983822</v>
      </c>
      <c r="G33" s="13">
        <v>249</v>
      </c>
      <c r="H33" s="13">
        <f t="shared" si="1"/>
        <v>-0.65711041473647691</v>
      </c>
      <c r="I33" s="13">
        <f t="shared" si="2"/>
        <v>-0.86489762620250987</v>
      </c>
      <c r="J33" s="13">
        <f t="shared" si="3"/>
        <v>-0.45713556680376094</v>
      </c>
      <c r="K33" s="13">
        <f t="shared" si="4"/>
        <v>0.35372180383800711</v>
      </c>
      <c r="L33" s="13">
        <f t="shared" si="5"/>
        <v>-0.56588414972264656</v>
      </c>
      <c r="M33" s="13">
        <f t="shared" si="6"/>
        <v>-0.69486410333360538</v>
      </c>
      <c r="N33" s="13">
        <f t="shared" si="7"/>
        <v>1.397848130146212</v>
      </c>
      <c r="O33" s="13">
        <f t="shared" si="8"/>
        <v>1.04538133178833</v>
      </c>
      <c r="P33" s="13">
        <f t="shared" si="9"/>
        <v>-0.85839851521041766</v>
      </c>
      <c r="Q33" s="13">
        <f t="shared" si="10"/>
        <v>0.67304275720703055</v>
      </c>
      <c r="T33" s="13">
        <f t="shared" si="11"/>
        <v>90.671641791044692</v>
      </c>
      <c r="U33" s="13">
        <f t="shared" si="12"/>
        <v>86.805636427157395</v>
      </c>
      <c r="V33" s="13">
        <f t="shared" si="13"/>
        <v>90.674843188894883</v>
      </c>
      <c r="W33" s="13">
        <f t="shared" si="14"/>
        <v>104.83474140148633</v>
      </c>
      <c r="X33" s="13">
        <f t="shared" si="15"/>
        <v>92.938199900425516</v>
      </c>
      <c r="Y33" s="13">
        <f t="shared" si="16"/>
        <v>95.586295022172465</v>
      </c>
      <c r="Z33" s="13">
        <f>(AS33-AVERAGE(AS$2:AS92))/AVERAGE(AS$2:AS$61)*100+100</f>
        <v>118.89088634869131</v>
      </c>
      <c r="AA33" s="13">
        <f t="shared" si="17"/>
        <v>143.39622641509442</v>
      </c>
      <c r="AB33" s="13">
        <f t="shared" si="18"/>
        <v>76.87981261994878</v>
      </c>
      <c r="AC33" s="13">
        <f t="shared" si="19"/>
        <v>113.80970320641255</v>
      </c>
      <c r="AE33" s="13">
        <f>'2026_Fantasy_Relievers'!G57</f>
        <v>2.9999999999999951</v>
      </c>
      <c r="AF33" s="13">
        <f>'2026_Fantasy_Relievers'!H57</f>
        <v>2.9999999999999951</v>
      </c>
      <c r="AG33" s="13">
        <f>'2026_Fantasy_Relievers'!I57</f>
        <v>0.98262295081966766</v>
      </c>
      <c r="AH33" s="13">
        <f>'2026_Fantasy_Relievers'!J57</f>
        <v>17.642622950819668</v>
      </c>
      <c r="AI33" s="13">
        <f t="shared" si="20"/>
        <v>18.625245901639335</v>
      </c>
      <c r="AJ33" s="13">
        <f>'2026_Fantasy_Relievers'!K57</f>
        <v>1.9999999999999967</v>
      </c>
      <c r="AK33" s="13">
        <f>'2026_Fantasy_Relievers'!L57</f>
        <v>45.95045248868766</v>
      </c>
      <c r="AL33" s="13">
        <f>'2026_Fantasy_Relievers'!M57</f>
        <v>26.618212669683064</v>
      </c>
      <c r="AM33" s="13">
        <f>'2026_Fantasy_Relievers'!N57</f>
        <v>24.684049773755643</v>
      </c>
      <c r="AN33" s="13">
        <f>'2026_Fantasy_Relievers'!O57</f>
        <v>7.5328186630239795</v>
      </c>
      <c r="AO33" s="13">
        <f>'2026_Fantasy_Relievers'!P57</f>
        <v>0.98823529411763555</v>
      </c>
      <c r="AP33" s="13">
        <f>'2026_Fantasy_Relievers'!Q57</f>
        <v>2.901244343891368</v>
      </c>
      <c r="AQ33" s="13">
        <f>'2026_Fantasy_Relievers'!R57</f>
        <v>77.840934841628879</v>
      </c>
      <c r="AR33" s="13">
        <f>'2026_Fantasy_Relievers'!S57</f>
        <v>27.564787880986856</v>
      </c>
      <c r="AS33" s="13">
        <f>'2026_Fantasy_Relievers'!T57</f>
        <v>11.80799618362818</v>
      </c>
      <c r="AT33" s="13">
        <f>'2026_Fantasy_Relievers'!U57</f>
        <v>4.1814106005205076</v>
      </c>
      <c r="AU33" s="13">
        <f>'2026_Fantasy_Relievers'!V57</f>
        <v>0.20191223678972703</v>
      </c>
      <c r="AV33" s="13">
        <f>'2026_Fantasy_Relievers'!W57</f>
        <v>3.7444201578257341</v>
      </c>
      <c r="AW33" s="13">
        <f>'2026_Fantasy_Relievers'!X57</f>
        <v>1.2390905169336679</v>
      </c>
    </row>
    <row r="34" spans="1:49">
      <c r="A34" s="13" t="s">
        <v>236</v>
      </c>
      <c r="B34" s="13" t="s">
        <v>237</v>
      </c>
      <c r="C34" s="13" t="s">
        <v>18</v>
      </c>
      <c r="D34" s="13">
        <v>62</v>
      </c>
      <c r="E34" s="13">
        <v>61.67</v>
      </c>
      <c r="F34" s="15">
        <f t="shared" ref="F34:F61" si="21">H34+I34+J34+K34+L34+M34+N34+O34+P34+Q34</f>
        <v>-0.71674966457166145</v>
      </c>
      <c r="G34" s="13">
        <v>257</v>
      </c>
      <c r="H34" s="13">
        <f t="shared" ref="H34:H61" si="22">(T34-T$62)/T$63</f>
        <v>0.407408457136608</v>
      </c>
      <c r="I34" s="13">
        <f t="shared" ref="I34:I61" si="23">(U34-U$62)/U$63</f>
        <v>-0.86489762620249955</v>
      </c>
      <c r="J34" s="13">
        <f t="shared" ref="J34:J61" si="24">(V34-V$62)/V$63</f>
        <v>5.8735988029573874E-2</v>
      </c>
      <c r="K34" s="13">
        <f t="shared" ref="K34:K61" si="25">(W34-W$62)/W$63</f>
        <v>1.5011756372127716</v>
      </c>
      <c r="L34" s="13">
        <f t="shared" ref="L34:L61" si="26">(X34-X$62)/X$63</f>
        <v>-0.27931586681650417</v>
      </c>
      <c r="M34" s="13">
        <f t="shared" ref="M34:M61" si="27">(Y34-Y$62)/Y$63</f>
        <v>-0.22526960983830221</v>
      </c>
      <c r="N34" s="13">
        <f t="shared" ref="N34:N61" si="28">(Z34-Z$62)/Z$63</f>
        <v>-0.29865774960486818</v>
      </c>
      <c r="O34" s="13">
        <f t="shared" ref="O34:O61" si="29">(AA34-AA$62)/AA$63</f>
        <v>-0.99992996953666158</v>
      </c>
      <c r="P34" s="13">
        <f t="shared" ref="P34:P61" si="30">(AB34-AB$62)/AB$63</f>
        <v>0.20075012906443732</v>
      </c>
      <c r="Q34" s="13">
        <f t="shared" ref="Q34:Q61" si="31">(AC34-AC$62)/AC$63</f>
        <v>-0.21674905401621658</v>
      </c>
      <c r="T34" s="13">
        <f t="shared" ref="T34:T61" si="32">(AE34-AVERAGE(AE$2:AE$61))/AVERAGE(AE$2:AE$61)*100+100</f>
        <v>105.78358208955211</v>
      </c>
      <c r="U34" s="13">
        <f t="shared" ref="U34:U61" si="33">(AVERAGE(AF$2:AF$61)-AF34)/AVERAGE(AF$2:AF$61)*100+100</f>
        <v>86.805636427157552</v>
      </c>
      <c r="V34" s="13">
        <f t="shared" ref="V34:V61" si="34">(AVERAGE(AN$2:AN$61)-AN34)/AVERAGE(AN$2:AN$61)*100+100</f>
        <v>101.19816163651531</v>
      </c>
      <c r="W34" s="13">
        <f t="shared" ref="W34:W61" si="35">(AVERAGE(AP$2:AP$61)-AP34)/AVERAGE(AP$2:AP$61)*100+100</f>
        <v>120.51837326787749</v>
      </c>
      <c r="X34" s="13">
        <f t="shared" ref="X34:X61" si="36">(AVERAGE(AV$2:AV$61)-AV34)/AVERAGE(AV$2:AV$61)*100+100</f>
        <v>96.514352244952789</v>
      </c>
      <c r="Y34" s="13">
        <f t="shared" ref="Y34:Y61" si="37">(AVERAGE(AW$2:AW$61)-AW34)/AVERAGE(AW$2:AW$61)*100+100</f>
        <v>98.569110717438761</v>
      </c>
      <c r="Z34" s="13">
        <f>(AS34-AVERAGE(AS$2:AS93))/AVERAGE(AS$2:AS$61)*100+100</f>
        <v>95.963860820594732</v>
      </c>
      <c r="AA34" s="13">
        <f t="shared" ref="AA34:AA61" si="38">(AVERAGE(AJ$2:AJ$61)-AJ34)/AVERAGE(AJ$2:AJ$61)*100+100</f>
        <v>58.490566037735938</v>
      </c>
      <c r="AB34" s="13">
        <f t="shared" ref="AB34:AB61" si="39">(AI34-AVERAGE(AI$2:AI$61))/AVERAGE(AI$2:AI$61)*100+100</f>
        <v>105.40702309975629</v>
      </c>
      <c r="AC34" s="13">
        <f t="shared" ref="AC34:AC61" si="40">(AU34-AVERAGE(AU$2:AU$61))/AVERAGE(AU$2:AU$61)*100+100</f>
        <v>95.552674664153727</v>
      </c>
      <c r="AE34" s="13">
        <f>'2026_Fantasy_Relievers'!G37</f>
        <v>3.4999999999999933</v>
      </c>
      <c r="AF34" s="13">
        <f>'2026_Fantasy_Relievers'!H37</f>
        <v>2.9999999999999907</v>
      </c>
      <c r="AG34" s="13">
        <f>'2026_Fantasy_Relievers'!I37</f>
        <v>17.773874999999972</v>
      </c>
      <c r="AH34" s="13">
        <f>'2026_Fantasy_Relievers'!J37</f>
        <v>7.7624999999999504</v>
      </c>
      <c r="AI34" s="13">
        <f t="shared" ref="AI34:AI61" si="41">AG34+AH34</f>
        <v>25.536374999999921</v>
      </c>
      <c r="AJ34" s="13">
        <f>'2026_Fantasy_Relievers'!K37</f>
        <v>4.9999999999999947</v>
      </c>
      <c r="AK34" s="13">
        <f>'2026_Fantasy_Relievers'!L37</f>
        <v>52.490857494138275</v>
      </c>
      <c r="AL34" s="13">
        <f>'2026_Fantasy_Relievers'!M37</f>
        <v>27.223673300165643</v>
      </c>
      <c r="AM34" s="13">
        <f>'2026_Fantasy_Relievers'!N37</f>
        <v>24.80056613484301</v>
      </c>
      <c r="AN34" s="13">
        <f>'2026_Fantasy_Relievers'!O37</f>
        <v>6.8077316664771104</v>
      </c>
      <c r="AO34" s="13">
        <f>'2026_Fantasy_Relievers'!P37</f>
        <v>1.9729607315301292</v>
      </c>
      <c r="AP34" s="13">
        <f>'2026_Fantasy_Relievers'!Q37</f>
        <v>2.4231071653227967</v>
      </c>
      <c r="AQ34" s="13">
        <f>'2026_Fantasy_Relievers'!R37</f>
        <v>65.308061116829549</v>
      </c>
      <c r="AR34" s="13">
        <f>'2026_Fantasy_Relievers'!S37</f>
        <v>21.740894096931058</v>
      </c>
      <c r="AS34" s="13">
        <f>'2026_Fantasy_Relievers'!T37</f>
        <v>9.5309315721009558</v>
      </c>
      <c r="AT34" s="13">
        <f>'2026_Fantasy_Relievers'!U37</f>
        <v>3.1728238506953059</v>
      </c>
      <c r="AU34" s="13">
        <f>'2026_Fantasy_Relievers'!V37</f>
        <v>0.16952205066108361</v>
      </c>
      <c r="AV34" s="13">
        <f>'2026_Fantasy_Relievers'!W37</f>
        <v>3.6193464441963208</v>
      </c>
      <c r="AW34" s="13">
        <f>'2026_Fantasy_Relievers'!X37</f>
        <v>1.2036930694189933</v>
      </c>
    </row>
    <row r="35" spans="1:49">
      <c r="A35" s="13" t="s">
        <v>81</v>
      </c>
      <c r="B35" s="13" t="s">
        <v>82</v>
      </c>
      <c r="C35" s="13" t="s">
        <v>18</v>
      </c>
      <c r="D35" s="13">
        <v>61</v>
      </c>
      <c r="E35" s="13">
        <v>63.33</v>
      </c>
      <c r="F35" s="15">
        <f t="shared" si="21"/>
        <v>-0.81248722350166269</v>
      </c>
      <c r="G35" s="13">
        <v>264</v>
      </c>
      <c r="H35" s="13">
        <f t="shared" si="22"/>
        <v>0.407408457136613</v>
      </c>
      <c r="I35" s="13">
        <f t="shared" si="23"/>
        <v>-0.86489762620251354</v>
      </c>
      <c r="J35" s="13">
        <f t="shared" si="24"/>
        <v>-0.40115540272073147</v>
      </c>
      <c r="K35" s="13">
        <f t="shared" si="25"/>
        <v>1.3617547768008997</v>
      </c>
      <c r="L35" s="13">
        <f t="shared" si="26"/>
        <v>-6.568300873733332E-2</v>
      </c>
      <c r="M35" s="13">
        <f t="shared" si="27"/>
        <v>0.10922400079744636</v>
      </c>
      <c r="N35" s="13">
        <f t="shared" si="28"/>
        <v>3.7720350187802044E-2</v>
      </c>
      <c r="O35" s="13">
        <f t="shared" si="29"/>
        <v>-2.3634708370866297</v>
      </c>
      <c r="P35" s="13">
        <f t="shared" si="30"/>
        <v>0.97849041560994976</v>
      </c>
      <c r="Q35" s="13">
        <f t="shared" si="31"/>
        <v>-1.1878349287165373E-2</v>
      </c>
      <c r="T35" s="13">
        <f t="shared" si="32"/>
        <v>105.78358208955218</v>
      </c>
      <c r="U35" s="13">
        <f t="shared" si="33"/>
        <v>86.805636427157339</v>
      </c>
      <c r="V35" s="13">
        <f t="shared" si="34"/>
        <v>91.81678848104437</v>
      </c>
      <c r="W35" s="13">
        <f t="shared" si="35"/>
        <v>118.61274065278199</v>
      </c>
      <c r="X35" s="13">
        <f t="shared" si="36"/>
        <v>99.180326436304981</v>
      </c>
      <c r="Y35" s="13">
        <f t="shared" si="37"/>
        <v>100.69377956596857</v>
      </c>
      <c r="Z35" s="13">
        <f>(AS35-AVERAGE(AS$2:AS94))/AVERAGE(AS$2:AS$61)*100+100</f>
        <v>100.50976270816776</v>
      </c>
      <c r="AA35" s="13">
        <f t="shared" si="38"/>
        <v>1.8867924528313722</v>
      </c>
      <c r="AB35" s="13">
        <f t="shared" si="39"/>
        <v>126.35475406541293</v>
      </c>
      <c r="AC35" s="13">
        <f t="shared" si="40"/>
        <v>99.756276289312453</v>
      </c>
      <c r="AE35" s="13">
        <f>'2026_Fantasy_Relievers'!G13</f>
        <v>3.499999999999996</v>
      </c>
      <c r="AF35" s="13">
        <f>'2026_Fantasy_Relievers'!H13</f>
        <v>2.9999999999999964</v>
      </c>
      <c r="AG35" s="13">
        <f>'2026_Fantasy_Relievers'!I13</f>
        <v>27.248765624999994</v>
      </c>
      <c r="AH35" s="13">
        <f>'2026_Fantasy_Relievers'!J13</f>
        <v>3.3624999999999918</v>
      </c>
      <c r="AI35" s="13">
        <f t="shared" si="41"/>
        <v>30.611265624999987</v>
      </c>
      <c r="AJ35" s="13">
        <f>'2026_Fantasy_Relievers'!K13</f>
        <v>6.9999999999999556</v>
      </c>
      <c r="AK35" s="13">
        <f>'2026_Fantasy_Relievers'!L13</f>
        <v>51.112781954886962</v>
      </c>
      <c r="AL35" s="13">
        <f>'2026_Fantasy_Relievers'!M13</f>
        <v>26.796992481202945</v>
      </c>
      <c r="AM35" s="13">
        <f>'2026_Fantasy_Relievers'!N13</f>
        <v>24.812030075187963</v>
      </c>
      <c r="AN35" s="13">
        <f>'2026_Fantasy_Relievers'!O13</f>
        <v>7.4541353383458464</v>
      </c>
      <c r="AO35" s="13">
        <f>'2026_Fantasy_Relievers'!P13</f>
        <v>1.693249978879771</v>
      </c>
      <c r="AP35" s="13">
        <f>'2026_Fantasy_Relievers'!Q13</f>
        <v>2.4812030075187961</v>
      </c>
      <c r="AQ35" s="13">
        <f>'2026_Fantasy_Relievers'!R13</f>
        <v>70.242969924811987</v>
      </c>
      <c r="AR35" s="13">
        <f>'2026_Fantasy_Relievers'!S13</f>
        <v>23.52031578947366</v>
      </c>
      <c r="AS35" s="13">
        <f>'2026_Fantasy_Relievers'!T13</f>
        <v>9.9824211167425858</v>
      </c>
      <c r="AT35" s="13">
        <f>'2026_Fantasy_Relievers'!U13</f>
        <v>3.3425365877982465</v>
      </c>
      <c r="AU35" s="13">
        <f>'2026_Fantasy_Relievers'!V13</f>
        <v>0.1769797505126452</v>
      </c>
      <c r="AV35" s="13">
        <f>'2026_Fantasy_Relievers'!W13</f>
        <v>3.5261056478239645</v>
      </c>
      <c r="AW35" s="13">
        <f>'2026_Fantasy_Relievers'!X13</f>
        <v>1.1784793580350643</v>
      </c>
    </row>
    <row r="36" spans="1:49">
      <c r="A36" s="13" t="s">
        <v>95</v>
      </c>
      <c r="B36" s="13" t="s">
        <v>96</v>
      </c>
      <c r="C36" s="13" t="s">
        <v>18</v>
      </c>
      <c r="D36" s="13">
        <v>55</v>
      </c>
      <c r="E36" s="13">
        <v>56</v>
      </c>
      <c r="F36" s="15">
        <f t="shared" si="21"/>
        <v>-1.2841999242063429</v>
      </c>
      <c r="G36" s="13">
        <v>233</v>
      </c>
      <c r="H36" s="13">
        <f t="shared" si="22"/>
        <v>-0.65711041473648391</v>
      </c>
      <c r="I36" s="13">
        <f t="shared" si="23"/>
        <v>0.37176093906497615</v>
      </c>
      <c r="J36" s="13">
        <f t="shared" si="24"/>
        <v>-0.94203723299387676</v>
      </c>
      <c r="K36" s="13">
        <f t="shared" si="25"/>
        <v>1.5614288749574292</v>
      </c>
      <c r="L36" s="13">
        <f t="shared" si="26"/>
        <v>-0.8668682722480141</v>
      </c>
      <c r="M36" s="13">
        <f t="shared" si="27"/>
        <v>2.208984706789165E-2</v>
      </c>
      <c r="N36" s="13">
        <f t="shared" si="28"/>
        <v>-0.62708399693055472</v>
      </c>
      <c r="O36" s="13">
        <f t="shared" si="29"/>
        <v>0.36361089801333163</v>
      </c>
      <c r="P36" s="13">
        <f t="shared" si="30"/>
        <v>0.11948154156931941</v>
      </c>
      <c r="Q36" s="13">
        <f t="shared" si="31"/>
        <v>-0.62947210797036146</v>
      </c>
      <c r="T36" s="13">
        <f t="shared" si="32"/>
        <v>90.671641791044593</v>
      </c>
      <c r="U36" s="13">
        <f t="shared" si="33"/>
        <v>105.67136368929779</v>
      </c>
      <c r="V36" s="13">
        <f t="shared" si="34"/>
        <v>80.783282777604313</v>
      </c>
      <c r="W36" s="13">
        <f t="shared" si="35"/>
        <v>121.34192674955968</v>
      </c>
      <c r="X36" s="13">
        <f t="shared" si="36"/>
        <v>89.182148935821346</v>
      </c>
      <c r="Y36" s="13">
        <f t="shared" si="37"/>
        <v>100.14031242583299</v>
      </c>
      <c r="Z36" s="13">
        <f>(AS36-AVERAGE(AS$2:AS95))/AVERAGE(AS$2:AS$61)*100+100</f>
        <v>91.525422353386006</v>
      </c>
      <c r="AA36" s="13">
        <f t="shared" si="38"/>
        <v>115.09433962264154</v>
      </c>
      <c r="AB36" s="13">
        <f t="shared" si="39"/>
        <v>103.21812722248578</v>
      </c>
      <c r="AC36" s="13">
        <f t="shared" si="40"/>
        <v>87.084293093266794</v>
      </c>
      <c r="AE36" s="13">
        <f>'2026_Fantasy_Relievers'!G15</f>
        <v>2.999999999999992</v>
      </c>
      <c r="AF36" s="13">
        <f>'2026_Fantasy_Relievers'!H15</f>
        <v>2.4999999999999969</v>
      </c>
      <c r="AG36" s="13">
        <f>'2026_Fantasy_Relievers'!I15</f>
        <v>21.672750000000001</v>
      </c>
      <c r="AH36" s="13">
        <f>'2026_Fantasy_Relievers'!J15</f>
        <v>3.3333333333333273</v>
      </c>
      <c r="AI36" s="13">
        <f t="shared" si="41"/>
        <v>25.006083333333329</v>
      </c>
      <c r="AJ36" s="13">
        <f>'2026_Fantasy_Relievers'!K15</f>
        <v>2.9999999999999978</v>
      </c>
      <c r="AK36" s="13">
        <f>'2026_Fantasy_Relievers'!L15</f>
        <v>45.799999999999955</v>
      </c>
      <c r="AL36" s="13">
        <f>'2026_Fantasy_Relievers'!M15</f>
        <v>26.513999999999996</v>
      </c>
      <c r="AM36" s="13">
        <f>'2026_Fantasy_Relievers'!N15</f>
        <v>24.115999999999818</v>
      </c>
      <c r="AN36" s="13">
        <f>'2026_Fantasy_Relievers'!O15</f>
        <v>8.2143757085020059</v>
      </c>
      <c r="AO36" s="13">
        <f>'2026_Fantasy_Relievers'!P15</f>
        <v>1.1669291338582575</v>
      </c>
      <c r="AP36" s="13">
        <f>'2026_Fantasy_Relievers'!Q15</f>
        <v>2.3979999999999695</v>
      </c>
      <c r="AQ36" s="13">
        <f>'2026_Fantasy_Relievers'!R15</f>
        <v>56.56071599999995</v>
      </c>
      <c r="AR36" s="13">
        <f>'2026_Fantasy_Relievers'!S15</f>
        <v>20.562655627530351</v>
      </c>
      <c r="AS36" s="13">
        <f>'2026_Fantasy_Relievers'!T15</f>
        <v>9.0901150714285635</v>
      </c>
      <c r="AT36" s="13">
        <f>'2026_Fantasy_Relievers'!U15</f>
        <v>3.3047125115673777</v>
      </c>
      <c r="AU36" s="13">
        <f>'2026_Fantasy_Relievers'!V15</f>
        <v>0.15449811318656481</v>
      </c>
      <c r="AV36" s="13">
        <f>'2026_Fantasy_Relievers'!W15</f>
        <v>3.8757857142856849</v>
      </c>
      <c r="AW36" s="13">
        <f>'2026_Fantasy_Relievers'!X15</f>
        <v>1.1850474219201839</v>
      </c>
    </row>
    <row r="37" spans="1:49">
      <c r="A37" s="13" t="s">
        <v>569</v>
      </c>
      <c r="B37" s="13" t="s">
        <v>24</v>
      </c>
      <c r="C37" s="13" t="s">
        <v>18</v>
      </c>
      <c r="D37" s="13">
        <v>62</v>
      </c>
      <c r="E37" s="13">
        <v>64.33</v>
      </c>
      <c r="F37" s="15">
        <f t="shared" si="21"/>
        <v>-1.4430106450194629</v>
      </c>
      <c r="G37" s="13">
        <v>270</v>
      </c>
      <c r="H37" s="13">
        <f t="shared" si="22"/>
        <v>0.407408457136608</v>
      </c>
      <c r="I37" s="13">
        <f t="shared" si="23"/>
        <v>0.3717609390649827</v>
      </c>
      <c r="J37" s="13">
        <f t="shared" si="24"/>
        <v>0.39716134649954987</v>
      </c>
      <c r="K37" s="13">
        <f t="shared" si="25"/>
        <v>9.9168334069049097E-2</v>
      </c>
      <c r="L37" s="13">
        <f t="shared" si="26"/>
        <v>-0.16117901332737833</v>
      </c>
      <c r="M37" s="13">
        <f t="shared" si="27"/>
        <v>-0.32177028815785702</v>
      </c>
      <c r="N37" s="13">
        <f t="shared" si="28"/>
        <v>9.7459432327717012E-3</v>
      </c>
      <c r="O37" s="13">
        <f t="shared" si="29"/>
        <v>-1.6817004033116627</v>
      </c>
      <c r="P37" s="13">
        <f t="shared" si="30"/>
        <v>-0.34224488604082737</v>
      </c>
      <c r="Q37" s="13">
        <f t="shared" si="31"/>
        <v>-0.2213610741846988</v>
      </c>
      <c r="T37" s="13">
        <f t="shared" si="32"/>
        <v>105.78358208955211</v>
      </c>
      <c r="U37" s="13">
        <f t="shared" si="33"/>
        <v>105.67136368929789</v>
      </c>
      <c r="V37" s="13">
        <f t="shared" si="34"/>
        <v>108.1017363433631</v>
      </c>
      <c r="W37" s="13">
        <f t="shared" si="35"/>
        <v>101.35545291592949</v>
      </c>
      <c r="X37" s="13">
        <f t="shared" si="36"/>
        <v>97.988609553876898</v>
      </c>
      <c r="Y37" s="13">
        <f t="shared" si="37"/>
        <v>97.956148381034595</v>
      </c>
      <c r="Z37" s="13">
        <f>(AS37-AVERAGE(AS$2:AS96))/AVERAGE(AS$2:AS$61)*100+100</f>
        <v>100.13170923364314</v>
      </c>
      <c r="AA37" s="13">
        <f t="shared" si="38"/>
        <v>30.188679245282941</v>
      </c>
      <c r="AB37" s="13">
        <f t="shared" si="39"/>
        <v>90.781943636996417</v>
      </c>
      <c r="AC37" s="13">
        <f t="shared" si="40"/>
        <v>95.458043782197535</v>
      </c>
      <c r="AE37" s="13">
        <f>'2026_Fantasy_Relievers'!G53</f>
        <v>3.4999999999999933</v>
      </c>
      <c r="AF37" s="13">
        <f>'2026_Fantasy_Relievers'!H53</f>
        <v>2.4999999999999942</v>
      </c>
      <c r="AG37" s="13">
        <f>'2026_Fantasy_Relievers'!I53</f>
        <v>4.6408571428571381</v>
      </c>
      <c r="AH37" s="13">
        <f>'2026_Fantasy_Relievers'!J53</f>
        <v>17.352380952380912</v>
      </c>
      <c r="AI37" s="13">
        <f t="shared" si="41"/>
        <v>21.993238095238048</v>
      </c>
      <c r="AJ37" s="13">
        <f>'2026_Fantasy_Relievers'!K53</f>
        <v>6</v>
      </c>
      <c r="AK37" s="13">
        <f>'2026_Fantasy_Relievers'!L53</f>
        <v>52.543395602578805</v>
      </c>
      <c r="AL37" s="13">
        <f>'2026_Fantasy_Relievers'!M53</f>
        <v>27.506612663249939</v>
      </c>
      <c r="AM37" s="13">
        <f>'2026_Fantasy_Relievers'!N53</f>
        <v>25.501735824103136</v>
      </c>
      <c r="AN37" s="13">
        <f>'2026_Fantasy_Relievers'!O53</f>
        <v>6.3320554551621235</v>
      </c>
      <c r="AO37" s="13">
        <f>'2026_Fantasy_Relievers'!P53</f>
        <v>1.7025691699604664</v>
      </c>
      <c r="AP37" s="13">
        <f>'2026_Fantasy_Relievers'!Q53</f>
        <v>3.0073152587204248</v>
      </c>
      <c r="AQ37" s="13">
        <f>'2026_Fantasy_Relievers'!R53</f>
        <v>71.083746734997419</v>
      </c>
      <c r="AR37" s="13">
        <f>'2026_Fantasy_Relievers'!S53</f>
        <v>25.358122459682676</v>
      </c>
      <c r="AS37" s="13">
        <f>'2026_Fantasy_Relievers'!T53</f>
        <v>9.9448736299545608</v>
      </c>
      <c r="AT37" s="13">
        <f>'2026_Fantasy_Relievers'!U53</f>
        <v>3.5476931779441019</v>
      </c>
      <c r="AU37" s="13">
        <f>'2026_Fantasy_Relievers'!V53</f>
        <v>0.16935416398264719</v>
      </c>
      <c r="AV37" s="13">
        <f>'2026_Fantasy_Relievers'!W53</f>
        <v>3.5677852077868528</v>
      </c>
      <c r="AW37" s="13">
        <f>'2026_Fantasy_Relievers'!X53</f>
        <v>1.2109671702512279</v>
      </c>
    </row>
    <row r="38" spans="1:49">
      <c r="A38" s="13" t="s">
        <v>143</v>
      </c>
      <c r="B38" s="13" t="s">
        <v>144</v>
      </c>
      <c r="C38" s="13" t="s">
        <v>18</v>
      </c>
      <c r="D38" s="13">
        <v>60</v>
      </c>
      <c r="E38" s="13">
        <v>62</v>
      </c>
      <c r="F38" s="15">
        <f t="shared" si="21"/>
        <v>-1.6289215460429995</v>
      </c>
      <c r="G38" s="13">
        <v>261</v>
      </c>
      <c r="H38" s="13">
        <f t="shared" si="22"/>
        <v>0.407408457136617</v>
      </c>
      <c r="I38" s="13">
        <f t="shared" si="23"/>
        <v>-0.8648976262025071</v>
      </c>
      <c r="J38" s="13">
        <f t="shared" si="24"/>
        <v>0.84374434905107154</v>
      </c>
      <c r="K38" s="13">
        <f t="shared" si="25"/>
        <v>-0.95207131689159863</v>
      </c>
      <c r="L38" s="13">
        <f t="shared" si="26"/>
        <v>-0.33681610778015358</v>
      </c>
      <c r="M38" s="13">
        <f t="shared" si="27"/>
        <v>-0.55407851233993344</v>
      </c>
      <c r="N38" s="13">
        <f t="shared" si="28"/>
        <v>-0.4466007933396251</v>
      </c>
      <c r="O38" s="13">
        <f t="shared" si="29"/>
        <v>-0.31815953576166472</v>
      </c>
      <c r="P38" s="13">
        <f t="shared" si="30"/>
        <v>0.80806928271242295</v>
      </c>
      <c r="Q38" s="13">
        <f t="shared" si="31"/>
        <v>-0.21551974262762799</v>
      </c>
      <c r="T38" s="13">
        <f t="shared" si="32"/>
        <v>105.78358208955224</v>
      </c>
      <c r="U38" s="13">
        <f t="shared" si="33"/>
        <v>86.805636427157438</v>
      </c>
      <c r="V38" s="13">
        <f t="shared" si="34"/>
        <v>117.21163027938842</v>
      </c>
      <c r="W38" s="13">
        <f t="shared" si="35"/>
        <v>86.986896021113211</v>
      </c>
      <c r="X38" s="13">
        <f t="shared" si="36"/>
        <v>95.796793346083348</v>
      </c>
      <c r="Y38" s="13">
        <f t="shared" si="37"/>
        <v>96.480550547524928</v>
      </c>
      <c r="Z38" s="13">
        <f>(AS38-AVERAGE(AS$2:AS97))/AVERAGE(AS$2:AS$61)*100+100</f>
        <v>93.964519715505986</v>
      </c>
      <c r="AA38" s="13">
        <f t="shared" si="38"/>
        <v>86.792452830188751</v>
      </c>
      <c r="AB38" s="13">
        <f t="shared" si="39"/>
        <v>121.76461503756806</v>
      </c>
      <c r="AC38" s="13">
        <f t="shared" si="40"/>
        <v>95.577898062285399</v>
      </c>
      <c r="AE38" s="13">
        <f>'2026_Fantasy_Relievers'!G22</f>
        <v>3.4999999999999978</v>
      </c>
      <c r="AF38" s="13">
        <f>'2026_Fantasy_Relievers'!H22</f>
        <v>2.9999999999999938</v>
      </c>
      <c r="AG38" s="13">
        <f>'2026_Fantasy_Relievers'!I22</f>
        <v>24.5468571428571</v>
      </c>
      <c r="AH38" s="13">
        <f>'2026_Fantasy_Relievers'!J22</f>
        <v>4.9523809523809499</v>
      </c>
      <c r="AI38" s="13">
        <f t="shared" si="41"/>
        <v>29.499238095238049</v>
      </c>
      <c r="AJ38" s="13">
        <f>'2026_Fantasy_Relievers'!K22</f>
        <v>3.9999999999999956</v>
      </c>
      <c r="AK38" s="13">
        <f>'2026_Fantasy_Relievers'!L22</f>
        <v>56.132988721804402</v>
      </c>
      <c r="AL38" s="13">
        <f>'2026_Fantasy_Relievers'!M22</f>
        <v>27.07599965823627</v>
      </c>
      <c r="AM38" s="13">
        <f>'2026_Fantasy_Relievers'!N22</f>
        <v>25.10616028708132</v>
      </c>
      <c r="AN38" s="13">
        <f>'2026_Fantasy_Relievers'!O22</f>
        <v>5.7043574846206369</v>
      </c>
      <c r="AO38" s="13">
        <f>'2026_Fantasy_Relievers'!P22</f>
        <v>0.99359754347699991</v>
      </c>
      <c r="AP38" s="13">
        <f>'2026_Fantasy_Relievers'!Q22</f>
        <v>3.4453605604921171</v>
      </c>
      <c r="AQ38" s="13">
        <f>'2026_Fantasy_Relievers'!R22</f>
        <v>64.289599111414802</v>
      </c>
      <c r="AR38" s="13">
        <f>'2026_Fantasy_Relievers'!S22</f>
        <v>20.032664302802434</v>
      </c>
      <c r="AS38" s="13">
        <f>'2026_Fantasy_Relievers'!T22</f>
        <v>9.332361161334406</v>
      </c>
      <c r="AT38" s="13">
        <f>'2026_Fantasy_Relievers'!U22</f>
        <v>2.9079673987939021</v>
      </c>
      <c r="AU38" s="13">
        <f>'2026_Fantasy_Relievers'!V22</f>
        <v>0.16956680003299759</v>
      </c>
      <c r="AV38" s="13">
        <f>'2026_Fantasy_Relievers'!W22</f>
        <v>3.6444426223182562</v>
      </c>
      <c r="AW38" s="13">
        <f>'2026_Fantasy_Relievers'!X22</f>
        <v>1.2284782745904328</v>
      </c>
    </row>
    <row r="39" spans="1:49">
      <c r="A39" s="13" t="s">
        <v>612</v>
      </c>
      <c r="B39" s="13" t="s">
        <v>613</v>
      </c>
      <c r="C39" s="13" t="s">
        <v>18</v>
      </c>
      <c r="D39" s="13">
        <v>63</v>
      </c>
      <c r="E39" s="13">
        <v>63.67</v>
      </c>
      <c r="F39" s="15">
        <f t="shared" si="21"/>
        <v>-1.7288194788427118</v>
      </c>
      <c r="G39" s="13">
        <v>268</v>
      </c>
      <c r="H39" s="13">
        <f t="shared" si="22"/>
        <v>0.407408457136614</v>
      </c>
      <c r="I39" s="13">
        <f t="shared" si="23"/>
        <v>0.37176093906498175</v>
      </c>
      <c r="J39" s="13">
        <f t="shared" si="24"/>
        <v>-3.0690962067835781E-2</v>
      </c>
      <c r="K39" s="13">
        <f t="shared" si="25"/>
        <v>-2.2042915758958892</v>
      </c>
      <c r="L39" s="13">
        <f t="shared" si="26"/>
        <v>1.6857604719388501E-3</v>
      </c>
      <c r="M39" s="13">
        <f t="shared" si="27"/>
        <v>-0.31327213493896949</v>
      </c>
      <c r="N39" s="13">
        <f t="shared" si="28"/>
        <v>0.11863449922999984</v>
      </c>
      <c r="O39" s="13">
        <f t="shared" si="29"/>
        <v>0.36361089801333057</v>
      </c>
      <c r="P39" s="13">
        <f t="shared" si="30"/>
        <v>-0.31042604930950962</v>
      </c>
      <c r="Q39" s="13">
        <f t="shared" si="31"/>
        <v>-0.13323931054737273</v>
      </c>
      <c r="T39" s="13">
        <f t="shared" si="32"/>
        <v>105.7835820895522</v>
      </c>
      <c r="U39" s="13">
        <f t="shared" si="33"/>
        <v>105.67136368929788</v>
      </c>
      <c r="V39" s="13">
        <f t="shared" si="34"/>
        <v>99.373931816403328</v>
      </c>
      <c r="W39" s="13">
        <f t="shared" si="35"/>
        <v>69.871295387230475</v>
      </c>
      <c r="X39" s="13">
        <f t="shared" si="36"/>
        <v>100.02103699754515</v>
      </c>
      <c r="Y39" s="13">
        <f t="shared" si="37"/>
        <v>98.010127772090485</v>
      </c>
      <c r="Z39" s="13">
        <f>(AS39-AVERAGE(AS$2:AS98))/AVERAGE(AS$2:AS$61)*100+100</f>
        <v>101.60325774571332</v>
      </c>
      <c r="AA39" s="13">
        <f t="shared" si="38"/>
        <v>115.0943396226415</v>
      </c>
      <c r="AB39" s="13">
        <f t="shared" si="39"/>
        <v>91.638955216592393</v>
      </c>
      <c r="AC39" s="13">
        <f t="shared" si="40"/>
        <v>97.266153874500006</v>
      </c>
      <c r="AE39" s="13">
        <f>'2026_Fantasy_Relievers'!G60</f>
        <v>3.4999999999999964</v>
      </c>
      <c r="AF39" s="13">
        <f>'2026_Fantasy_Relievers'!H60</f>
        <v>2.4999999999999947</v>
      </c>
      <c r="AG39" s="13">
        <f>'2026_Fantasy_Relievers'!I60</f>
        <v>5.2870153846153771</v>
      </c>
      <c r="AH39" s="13">
        <f>'2026_Fantasy_Relievers'!J60</f>
        <v>16.913846153846123</v>
      </c>
      <c r="AI39" s="13">
        <f t="shared" si="41"/>
        <v>22.200861538461499</v>
      </c>
      <c r="AJ39" s="13">
        <f>'2026_Fantasy_Relievers'!K60</f>
        <v>2.9999999999999991</v>
      </c>
      <c r="AK39" s="13">
        <f>'2026_Fantasy_Relievers'!L60</f>
        <v>51.919708029196919</v>
      </c>
      <c r="AL39" s="13">
        <f>'2026_Fantasy_Relievers'!M60</f>
        <v>26.715328467153284</v>
      </c>
      <c r="AM39" s="13">
        <f>'2026_Fantasy_Relievers'!N60</f>
        <v>24.737226277372244</v>
      </c>
      <c r="AN39" s="13">
        <f>'2026_Fantasy_Relievers'!O60</f>
        <v>6.9334263632460118</v>
      </c>
      <c r="AO39" s="13">
        <f>'2026_Fantasy_Relievers'!P60</f>
        <v>1.1870036101082788</v>
      </c>
      <c r="AP39" s="13">
        <f>'2026_Fantasy_Relievers'!Q60</f>
        <v>3.9671532846715198</v>
      </c>
      <c r="AQ39" s="13">
        <f>'2026_Fantasy_Relievers'!R60</f>
        <v>71.388394160583744</v>
      </c>
      <c r="AR39" s="13">
        <f>'2026_Fantasy_Relievers'!S60</f>
        <v>25.141785959639307</v>
      </c>
      <c r="AS39" s="13">
        <f>'2026_Fantasy_Relievers'!T60</f>
        <v>10.091024775329883</v>
      </c>
      <c r="AT39" s="13">
        <f>'2026_Fantasy_Relievers'!U60</f>
        <v>3.553888387572699</v>
      </c>
      <c r="AU39" s="13">
        <f>'2026_Fantasy_Relievers'!V60</f>
        <v>0.1725619708990464</v>
      </c>
      <c r="AV39" s="13">
        <f>'2026_Fantasy_Relievers'!W60</f>
        <v>3.4967023165753131</v>
      </c>
      <c r="AW39" s="13">
        <f>'2026_Fantasy_Relievers'!X60</f>
        <v>1.2103265900555398</v>
      </c>
    </row>
    <row r="40" spans="1:49">
      <c r="A40" s="13" t="s">
        <v>427</v>
      </c>
      <c r="B40" s="13" t="s">
        <v>96</v>
      </c>
      <c r="C40" s="13" t="s">
        <v>18</v>
      </c>
      <c r="D40" s="13">
        <v>61</v>
      </c>
      <c r="E40" s="13">
        <v>68</v>
      </c>
      <c r="F40" s="15">
        <f t="shared" si="21"/>
        <v>-2.2591930054373046</v>
      </c>
      <c r="G40" s="13">
        <v>277</v>
      </c>
      <c r="H40" s="13">
        <f t="shared" si="22"/>
        <v>0.407408457136613</v>
      </c>
      <c r="I40" s="13">
        <f t="shared" si="23"/>
        <v>0.37176093906497615</v>
      </c>
      <c r="J40" s="13">
        <f t="shared" si="24"/>
        <v>-0.79127431866525233</v>
      </c>
      <c r="K40" s="13">
        <f t="shared" si="25"/>
        <v>1.5334270736894098</v>
      </c>
      <c r="L40" s="13">
        <f t="shared" si="26"/>
        <v>-0.49431976092983421</v>
      </c>
      <c r="M40" s="13">
        <f t="shared" si="27"/>
        <v>0.32333385411725535</v>
      </c>
      <c r="N40" s="13">
        <f t="shared" si="28"/>
        <v>-1.873898996956147</v>
      </c>
      <c r="O40" s="13">
        <f t="shared" si="29"/>
        <v>1.0453813317883294</v>
      </c>
      <c r="P40" s="13">
        <f t="shared" si="30"/>
        <v>-1.6713881388093947</v>
      </c>
      <c r="Q40" s="13">
        <f t="shared" si="31"/>
        <v>-1.1096234458732601</v>
      </c>
      <c r="T40" s="13">
        <f t="shared" si="32"/>
        <v>105.78358208955218</v>
      </c>
      <c r="U40" s="13">
        <f t="shared" si="33"/>
        <v>105.67136368929779</v>
      </c>
      <c r="V40" s="13">
        <f t="shared" si="34"/>
        <v>83.858711423954077</v>
      </c>
      <c r="W40" s="13">
        <f t="shared" si="35"/>
        <v>120.95919244695874</v>
      </c>
      <c r="X40" s="13">
        <f t="shared" si="36"/>
        <v>93.831268575614175</v>
      </c>
      <c r="Y40" s="13">
        <f t="shared" si="37"/>
        <v>102.05378322836219</v>
      </c>
      <c r="Z40" s="13">
        <f>(AS40-AVERAGE(AS$2:AS99))/AVERAGE(AS$2:AS$61)*100+100</f>
        <v>74.675637347869412</v>
      </c>
      <c r="AA40" s="13">
        <f t="shared" si="38"/>
        <v>143.39622641509439</v>
      </c>
      <c r="AB40" s="13">
        <f t="shared" si="39"/>
        <v>54.982672652228665</v>
      </c>
      <c r="AC40" s="13">
        <f t="shared" si="40"/>
        <v>77.232396761870262</v>
      </c>
      <c r="AE40" s="13">
        <f>'2026_Fantasy_Relievers'!G29</f>
        <v>3.499999999999996</v>
      </c>
      <c r="AF40" s="13">
        <f>'2026_Fantasy_Relievers'!H29</f>
        <v>2.4999999999999969</v>
      </c>
      <c r="AG40" s="13">
        <f>'2026_Fantasy_Relievers'!I29</f>
        <v>0.94812499999999711</v>
      </c>
      <c r="AH40" s="13">
        <f>'2026_Fantasy_Relievers'!J29</f>
        <v>12.372222222222216</v>
      </c>
      <c r="AI40" s="13">
        <f t="shared" si="41"/>
        <v>13.320347222222214</v>
      </c>
      <c r="AJ40" s="13">
        <f>'2026_Fantasy_Relievers'!K29</f>
        <v>1.9999999999999976</v>
      </c>
      <c r="AK40" s="13">
        <f>'2026_Fantasy_Relievers'!L29</f>
        <v>60.956810062154197</v>
      </c>
      <c r="AL40" s="13">
        <f>'2026_Fantasy_Relievers'!M29</f>
        <v>30.464848529339612</v>
      </c>
      <c r="AM40" s="13">
        <f>'2026_Fantasy_Relievers'!N29</f>
        <v>28.055180345519268</v>
      </c>
      <c r="AN40" s="13">
        <f>'2026_Fantasy_Relievers'!O29</f>
        <v>8.0024698034041517</v>
      </c>
      <c r="AO40" s="13">
        <f>'2026_Fantasy_Relievers'!P29</f>
        <v>1.1633945475198535</v>
      </c>
      <c r="AP40" s="13">
        <f>'2026_Fantasy_Relievers'!Q29</f>
        <v>2.4096681838202731</v>
      </c>
      <c r="AQ40" s="13">
        <f>'2026_Fantasy_Relievers'!R29</f>
        <v>56.036755322272775</v>
      </c>
      <c r="AR40" s="13">
        <f>'2026_Fantasy_Relievers'!S29</f>
        <v>18.082311583788414</v>
      </c>
      <c r="AS40" s="13">
        <f>'2026_Fantasy_Relievers'!T29</f>
        <v>7.4166293808890442</v>
      </c>
      <c r="AT40" s="13">
        <f>'2026_Fantasy_Relievers'!U29</f>
        <v>2.3932471213837609</v>
      </c>
      <c r="AU40" s="13">
        <f>'2026_Fantasy_Relievers'!V29</f>
        <v>0.1370196524855031</v>
      </c>
      <c r="AV40" s="13">
        <f>'2026_Fantasy_Relievers'!W29</f>
        <v>3.7131856339657858</v>
      </c>
      <c r="AW40" s="13">
        <f>'2026_Fantasy_Relievers'!X29</f>
        <v>1.1623400242050383</v>
      </c>
    </row>
    <row r="41" spans="1:49">
      <c r="A41" s="13" t="s">
        <v>124</v>
      </c>
      <c r="B41" s="13" t="s">
        <v>125</v>
      </c>
      <c r="C41" s="13" t="s">
        <v>18</v>
      </c>
      <c r="D41" s="13">
        <v>61</v>
      </c>
      <c r="E41" s="13">
        <v>63</v>
      </c>
      <c r="F41" s="15">
        <f t="shared" si="21"/>
        <v>-2.3507861600634938</v>
      </c>
      <c r="G41" s="13">
        <v>261</v>
      </c>
      <c r="H41" s="13">
        <f t="shared" si="22"/>
        <v>-0.65711041473647491</v>
      </c>
      <c r="I41" s="13">
        <f t="shared" si="23"/>
        <v>-0.86489762620251354</v>
      </c>
      <c r="J41" s="13">
        <f t="shared" si="24"/>
        <v>0.75244361337419097</v>
      </c>
      <c r="K41" s="13">
        <f t="shared" si="25"/>
        <v>8.7322324267203835E-2</v>
      </c>
      <c r="L41" s="13">
        <f t="shared" si="26"/>
        <v>-3.1034432558103252E-2</v>
      </c>
      <c r="M41" s="13">
        <f t="shared" si="27"/>
        <v>-0.3722473827625718</v>
      </c>
      <c r="N41" s="13">
        <f t="shared" si="28"/>
        <v>-0.61001886350874301</v>
      </c>
      <c r="O41" s="13">
        <f t="shared" si="29"/>
        <v>-0.9999299695366608</v>
      </c>
      <c r="P41" s="13">
        <f t="shared" si="30"/>
        <v>0.90765935633824346</v>
      </c>
      <c r="Q41" s="13">
        <f t="shared" si="31"/>
        <v>-0.56297276473806501</v>
      </c>
      <c r="T41" s="13">
        <f t="shared" si="32"/>
        <v>90.671641791044721</v>
      </c>
      <c r="U41" s="13">
        <f t="shared" si="33"/>
        <v>86.805636427157339</v>
      </c>
      <c r="V41" s="13">
        <f t="shared" si="34"/>
        <v>115.34917690891669</v>
      </c>
      <c r="W41" s="13">
        <f t="shared" si="35"/>
        <v>101.19353924985076</v>
      </c>
      <c r="X41" s="13">
        <f t="shared" si="36"/>
        <v>99.61271408814595</v>
      </c>
      <c r="Y41" s="13">
        <f t="shared" si="37"/>
        <v>97.635523092356905</v>
      </c>
      <c r="Z41" s="13">
        <f>(AS41-AVERAGE(AS$2:AS100))/AVERAGE(AS$2:AS$61)*100+100</f>
        <v>91.756045043393812</v>
      </c>
      <c r="AA41" s="13">
        <f t="shared" si="38"/>
        <v>58.490566037735967</v>
      </c>
      <c r="AB41" s="13">
        <f t="shared" si="39"/>
        <v>124.44698356759476</v>
      </c>
      <c r="AC41" s="13">
        <f t="shared" si="40"/>
        <v>88.448747555670124</v>
      </c>
      <c r="AE41" s="13">
        <f>'2026_Fantasy_Relievers'!G19</f>
        <v>2.9999999999999964</v>
      </c>
      <c r="AF41" s="13">
        <f>'2026_Fantasy_Relievers'!H19</f>
        <v>2.9999999999999964</v>
      </c>
      <c r="AG41" s="13">
        <f>'2026_Fantasy_Relievers'!I19</f>
        <v>26.161983870967717</v>
      </c>
      <c r="AH41" s="13">
        <f>'2026_Fantasy_Relievers'!J19</f>
        <v>3.9870967741935401</v>
      </c>
      <c r="AI41" s="13">
        <f t="shared" si="41"/>
        <v>30.149080645161256</v>
      </c>
      <c r="AJ41" s="13">
        <f>'2026_Fantasy_Relievers'!K19</f>
        <v>4.9999999999999938</v>
      </c>
      <c r="AK41" s="13">
        <f>'2026_Fantasy_Relievers'!L19</f>
        <v>53.695312499999822</v>
      </c>
      <c r="AL41" s="13">
        <f>'2026_Fantasy_Relievers'!M19</f>
        <v>27.094815340909083</v>
      </c>
      <c r="AM41" s="13">
        <f>'2026_Fantasy_Relievers'!N19</f>
        <v>24.576882102272716</v>
      </c>
      <c r="AN41" s="13">
        <f>'2026_Fantasy_Relievers'!O19</f>
        <v>5.8326858942687654</v>
      </c>
      <c r="AO41" s="13">
        <f>'2026_Fantasy_Relievers'!P19</f>
        <v>0.99813531063529115</v>
      </c>
      <c r="AP41" s="13">
        <f>'2026_Fantasy_Relievers'!Q19</f>
        <v>3.0122514204545241</v>
      </c>
      <c r="AQ41" s="13">
        <f>'2026_Fantasy_Relievers'!R19</f>
        <v>63.79114026988622</v>
      </c>
      <c r="AR41" s="13">
        <f>'2026_Fantasy_Relievers'!S19</f>
        <v>22.835327955163034</v>
      </c>
      <c r="AS41" s="13">
        <f>'2026_Fantasy_Relievers'!T19</f>
        <v>9.1130200385551738</v>
      </c>
      <c r="AT41" s="13">
        <f>'2026_Fantasy_Relievers'!U19</f>
        <v>3.2621897078804332</v>
      </c>
      <c r="AU41" s="13">
        <f>'2026_Fantasy_Relievers'!V19</f>
        <v>0.1569188211292076</v>
      </c>
      <c r="AV41" s="13">
        <f>'2026_Fantasy_Relievers'!W19</f>
        <v>3.510983157467531</v>
      </c>
      <c r="AW41" s="13">
        <f>'2026_Fantasy_Relievers'!X19</f>
        <v>1.2147720707168708</v>
      </c>
    </row>
    <row r="42" spans="1:49">
      <c r="A42" s="13" t="s">
        <v>543</v>
      </c>
      <c r="B42" s="13" t="s">
        <v>104</v>
      </c>
      <c r="C42" s="13" t="s">
        <v>18</v>
      </c>
      <c r="D42" s="13">
        <v>56</v>
      </c>
      <c r="E42" s="13">
        <v>67.67</v>
      </c>
      <c r="F42" s="15">
        <f t="shared" si="21"/>
        <v>-2.5298624587309915</v>
      </c>
      <c r="G42" s="13">
        <v>290</v>
      </c>
      <c r="H42" s="13">
        <f t="shared" si="22"/>
        <v>0.40740845713661</v>
      </c>
      <c r="I42" s="13">
        <f t="shared" si="23"/>
        <v>0.37176093906498825</v>
      </c>
      <c r="J42" s="13">
        <f t="shared" si="24"/>
        <v>1.2906486138601223</v>
      </c>
      <c r="K42" s="13">
        <f t="shared" si="25"/>
        <v>-1.2283682423142797</v>
      </c>
      <c r="L42" s="13">
        <f t="shared" si="26"/>
        <v>0.25087849251620076</v>
      </c>
      <c r="M42" s="13">
        <f t="shared" si="27"/>
        <v>-1.7880709941861956</v>
      </c>
      <c r="N42" s="13">
        <f t="shared" si="28"/>
        <v>-0.37979774444378478</v>
      </c>
      <c r="O42" s="13">
        <f t="shared" si="29"/>
        <v>1.7271517655633271</v>
      </c>
      <c r="P42" s="13">
        <f t="shared" si="30"/>
        <v>-1.8074722087110129</v>
      </c>
      <c r="Q42" s="13">
        <f t="shared" si="31"/>
        <v>-1.3740015372169665</v>
      </c>
      <c r="T42" s="13">
        <f t="shared" si="32"/>
        <v>105.78358208955214</v>
      </c>
      <c r="U42" s="13">
        <f t="shared" si="33"/>
        <v>105.67136368929798</v>
      </c>
      <c r="V42" s="13">
        <f t="shared" si="34"/>
        <v>126.32807767820792</v>
      </c>
      <c r="W42" s="13">
        <f t="shared" si="35"/>
        <v>83.210413570921446</v>
      </c>
      <c r="X42" s="13">
        <f t="shared" si="36"/>
        <v>103.13077113805056</v>
      </c>
      <c r="Y42" s="13">
        <f t="shared" si="37"/>
        <v>88.642357822361603</v>
      </c>
      <c r="Z42" s="13">
        <f>(AS42-AVERAGE(AS$2:AS101))/AVERAGE(AS$2:AS$61)*100+100</f>
        <v>94.867313643702886</v>
      </c>
      <c r="AA42" s="13">
        <f t="shared" si="38"/>
        <v>171.69811320754724</v>
      </c>
      <c r="AB42" s="13">
        <f t="shared" si="39"/>
        <v>51.317371350077472</v>
      </c>
      <c r="AC42" s="13">
        <f t="shared" si="40"/>
        <v>71.807803841674314</v>
      </c>
      <c r="AE42" s="13">
        <f>'2026_Fantasy_Relievers'!G49</f>
        <v>3.4999999999999947</v>
      </c>
      <c r="AF42" s="13">
        <f>'2026_Fantasy_Relievers'!H49</f>
        <v>2.499999999999992</v>
      </c>
      <c r="AG42" s="13">
        <f>'2026_Fantasy_Relievers'!I49</f>
        <v>0.95737499999999764</v>
      </c>
      <c r="AH42" s="13">
        <f>'2026_Fantasy_Relievers'!J49</f>
        <v>11.474999999999984</v>
      </c>
      <c r="AI42" s="13">
        <f t="shared" si="41"/>
        <v>12.432374999999981</v>
      </c>
      <c r="AJ42" s="13">
        <f>'2026_Fantasy_Relievers'!K49</f>
        <v>0.99999999999999689</v>
      </c>
      <c r="AK42" s="13">
        <f>'2026_Fantasy_Relievers'!L49</f>
        <v>55.5271873455264</v>
      </c>
      <c r="AL42" s="13">
        <f>'2026_Fantasy_Relievers'!M49</f>
        <v>27.512728620860084</v>
      </c>
      <c r="AM42" s="13">
        <f>'2026_Fantasy_Relievers'!N49</f>
        <v>25.473554127533344</v>
      </c>
      <c r="AN42" s="13">
        <f>'2026_Fantasy_Relievers'!O49</f>
        <v>5.0762079615885485</v>
      </c>
      <c r="AO42" s="13">
        <f>'2026_Fantasy_Relievers'!P49</f>
        <v>1.3137549566842417</v>
      </c>
      <c r="AP42" s="13">
        <f>'2026_Fantasy_Relievers'!Q49</f>
        <v>3.5604918437963269</v>
      </c>
      <c r="AQ42" s="13">
        <f>'2026_Fantasy_Relievers'!R49</f>
        <v>70.843157439446259</v>
      </c>
      <c r="AR42" s="13">
        <f>'2026_Fantasy_Relievers'!S49</f>
        <v>33.898385364635068</v>
      </c>
      <c r="AS42" s="13">
        <f>'2026_Fantasy_Relievers'!T49</f>
        <v>9.4220247813656908</v>
      </c>
      <c r="AT42" s="13">
        <f>'2026_Fantasy_Relievers'!U49</f>
        <v>4.508430150461292</v>
      </c>
      <c r="AU42" s="13">
        <f>'2026_Fantasy_Relievers'!V49</f>
        <v>0.127395765775211</v>
      </c>
      <c r="AV42" s="13">
        <f>'2026_Fantasy_Relievers'!W49</f>
        <v>3.3879412907906028</v>
      </c>
      <c r="AW42" s="13">
        <f>'2026_Fantasy_Relievers'!X49</f>
        <v>1.3214950895546249</v>
      </c>
    </row>
    <row r="43" spans="1:49">
      <c r="A43" s="13" t="s">
        <v>587</v>
      </c>
      <c r="B43" s="13" t="s">
        <v>46</v>
      </c>
      <c r="C43" s="13" t="s">
        <v>18</v>
      </c>
      <c r="D43" s="13">
        <v>62</v>
      </c>
      <c r="E43" s="13">
        <v>63</v>
      </c>
      <c r="F43" s="15">
        <f t="shared" si="21"/>
        <v>-2.943765948915015</v>
      </c>
      <c r="G43" s="13">
        <v>270</v>
      </c>
      <c r="H43" s="13">
        <f t="shared" si="22"/>
        <v>0.407408457136608</v>
      </c>
      <c r="I43" s="13">
        <f t="shared" si="23"/>
        <v>0.3717609390649827</v>
      </c>
      <c r="J43" s="13">
        <f t="shared" si="24"/>
        <v>1.1353902976619121</v>
      </c>
      <c r="K43" s="13">
        <f t="shared" si="25"/>
        <v>-1.0925470488270781</v>
      </c>
      <c r="L43" s="13">
        <f t="shared" si="26"/>
        <v>0.15493118687384319</v>
      </c>
      <c r="M43" s="13">
        <f t="shared" si="27"/>
        <v>-1.3592195210846845</v>
      </c>
      <c r="N43" s="13">
        <f t="shared" si="28"/>
        <v>7.6720827214485574E-2</v>
      </c>
      <c r="O43" s="13">
        <f t="shared" si="29"/>
        <v>-0.99992996953666158</v>
      </c>
      <c r="P43" s="13">
        <f t="shared" si="30"/>
        <v>-0.78752812847779119</v>
      </c>
      <c r="Q43" s="13">
        <f t="shared" si="31"/>
        <v>-0.85075298894063123</v>
      </c>
      <c r="T43" s="13">
        <f t="shared" si="32"/>
        <v>105.78358208955211</v>
      </c>
      <c r="U43" s="13">
        <f t="shared" si="33"/>
        <v>105.67136368929789</v>
      </c>
      <c r="V43" s="13">
        <f t="shared" si="34"/>
        <v>123.16094685332078</v>
      </c>
      <c r="W43" s="13">
        <f t="shared" si="35"/>
        <v>85.066845207950479</v>
      </c>
      <c r="X43" s="13">
        <f t="shared" si="36"/>
        <v>101.93342236468204</v>
      </c>
      <c r="Y43" s="13">
        <f t="shared" si="37"/>
        <v>91.366378062428694</v>
      </c>
      <c r="Z43" s="13">
        <f>(AS43-AVERAGE(AS$2:AS102))/AVERAGE(AS$2:AS$61)*100+100</f>
        <v>101.03682538627054</v>
      </c>
      <c r="AA43" s="13">
        <f t="shared" si="38"/>
        <v>58.490566037735938</v>
      </c>
      <c r="AB43" s="13">
        <f t="shared" si="39"/>
        <v>78.78864236734573</v>
      </c>
      <c r="AC43" s="13">
        <f t="shared" si="40"/>
        <v>82.543982305087624</v>
      </c>
      <c r="AE43" s="13">
        <f>'2026_Fantasy_Relievers'!G56</f>
        <v>3.4999999999999933</v>
      </c>
      <c r="AF43" s="13">
        <f>'2026_Fantasy_Relievers'!H56</f>
        <v>2.4999999999999942</v>
      </c>
      <c r="AG43" s="13">
        <f>'2026_Fantasy_Relievers'!I56</f>
        <v>3.9751874999999917</v>
      </c>
      <c r="AH43" s="13">
        <f>'2026_Fantasy_Relievers'!J56</f>
        <v>15.112499999999939</v>
      </c>
      <c r="AI43" s="13">
        <f t="shared" si="41"/>
        <v>19.08768749999993</v>
      </c>
      <c r="AJ43" s="13">
        <f>'2026_Fantasy_Relievers'!K56</f>
        <v>4.9999999999999947</v>
      </c>
      <c r="AK43" s="13">
        <f>'2026_Fantasy_Relievers'!L56</f>
        <v>50.513882791922725</v>
      </c>
      <c r="AL43" s="13">
        <f>'2026_Fantasy_Relievers'!M56</f>
        <v>26.008834503950812</v>
      </c>
      <c r="AM43" s="13">
        <f>'2026_Fantasy_Relievers'!N56</f>
        <v>24.008724758560113</v>
      </c>
      <c r="AN43" s="13">
        <f>'2026_Fantasy_Relievers'!O56</f>
        <v>5.2944324113112211</v>
      </c>
      <c r="AO43" s="13">
        <f>'2026_Fantasy_Relievers'!P56</f>
        <v>2.0030015971801429</v>
      </c>
      <c r="AP43" s="13">
        <f>'2026_Fantasy_Relievers'!Q56</f>
        <v>3.5038959613695901</v>
      </c>
      <c r="AQ43" s="13">
        <f>'2026_Fantasy_Relievers'!R56</f>
        <v>70.243375219490517</v>
      </c>
      <c r="AR43" s="13">
        <f>'2026_Fantasy_Relievers'!S56</f>
        <v>30.703751616030839</v>
      </c>
      <c r="AS43" s="13">
        <f>'2026_Fantasy_Relievers'!T56</f>
        <v>10.034767888498644</v>
      </c>
      <c r="AT43" s="13">
        <f>'2026_Fantasy_Relievers'!U56</f>
        <v>4.386250230861549</v>
      </c>
      <c r="AU43" s="13">
        <f>'2026_Fantasy_Relievers'!V56</f>
        <v>0.146443050383184</v>
      </c>
      <c r="AV43" s="13">
        <f>'2026_Fantasy_Relievers'!W56</f>
        <v>3.4298178226514451</v>
      </c>
      <c r="AW43" s="13">
        <f>'2026_Fantasy_Relievers'!X56</f>
        <v>1.2891688001262471</v>
      </c>
    </row>
    <row r="44" spans="1:49">
      <c r="A44" s="13" t="s">
        <v>192</v>
      </c>
      <c r="B44" s="13" t="s">
        <v>96</v>
      </c>
      <c r="C44" s="13" t="s">
        <v>18</v>
      </c>
      <c r="D44" s="13">
        <v>61</v>
      </c>
      <c r="E44" s="13">
        <v>64</v>
      </c>
      <c r="F44" s="15">
        <f t="shared" si="21"/>
        <v>-3.2642295028814501</v>
      </c>
      <c r="G44" s="13">
        <v>265</v>
      </c>
      <c r="H44" s="13">
        <f t="shared" si="22"/>
        <v>-0.65711041473647491</v>
      </c>
      <c r="I44" s="13">
        <f t="shared" si="23"/>
        <v>-0.86489762620251354</v>
      </c>
      <c r="J44" s="13">
        <f t="shared" si="24"/>
        <v>0.92752711741148852</v>
      </c>
      <c r="K44" s="13">
        <f t="shared" si="25"/>
        <v>0.38725890068041602</v>
      </c>
      <c r="L44" s="13">
        <f t="shared" si="26"/>
        <v>-5.6397661105643287E-2</v>
      </c>
      <c r="M44" s="13">
        <f t="shared" si="27"/>
        <v>-0.21072638776044794</v>
      </c>
      <c r="N44" s="13">
        <f t="shared" si="28"/>
        <v>-0.70587569690679741</v>
      </c>
      <c r="O44" s="13">
        <f t="shared" si="29"/>
        <v>-0.9999299695366608</v>
      </c>
      <c r="P44" s="13">
        <f t="shared" si="30"/>
        <v>-0.6923802249281451</v>
      </c>
      <c r="Q44" s="13">
        <f t="shared" si="31"/>
        <v>-0.39169753979667188</v>
      </c>
      <c r="T44" s="13">
        <f t="shared" si="32"/>
        <v>90.671641791044721</v>
      </c>
      <c r="U44" s="13">
        <f t="shared" si="33"/>
        <v>86.805636427157339</v>
      </c>
      <c r="V44" s="13">
        <f t="shared" si="34"/>
        <v>118.9207238388593</v>
      </c>
      <c r="W44" s="13">
        <f t="shared" si="35"/>
        <v>105.29313324736729</v>
      </c>
      <c r="X44" s="13">
        <f t="shared" si="36"/>
        <v>99.29620045197089</v>
      </c>
      <c r="Y44" s="13">
        <f t="shared" si="37"/>
        <v>98.661487761195559</v>
      </c>
      <c r="Z44" s="13">
        <f>(AS44-AVERAGE(AS$2:AS103))/AVERAGE(AS$2:AS$61)*100+100</f>
        <v>90.460610649330789</v>
      </c>
      <c r="AA44" s="13">
        <f t="shared" si="38"/>
        <v>58.490566037735967</v>
      </c>
      <c r="AB44" s="13">
        <f t="shared" si="39"/>
        <v>81.351365065377905</v>
      </c>
      <c r="AC44" s="13">
        <f t="shared" si="40"/>
        <v>91.963026548683089</v>
      </c>
      <c r="AE44" s="13">
        <f>'2026_Fantasy_Relievers'!G31</f>
        <v>2.9999999999999964</v>
      </c>
      <c r="AF44" s="13">
        <f>'2026_Fantasy_Relievers'!H31</f>
        <v>2.9999999999999964</v>
      </c>
      <c r="AG44" s="13">
        <f>'2026_Fantasy_Relievers'!I31</f>
        <v>6.155602941176423</v>
      </c>
      <c r="AH44" s="13">
        <f>'2026_Fantasy_Relievers'!J31</f>
        <v>13.552941176470577</v>
      </c>
      <c r="AI44" s="13">
        <f t="shared" si="41"/>
        <v>19.708544117647001</v>
      </c>
      <c r="AJ44" s="13">
        <f>'2026_Fantasy_Relievers'!K31</f>
        <v>4.9999999999999938</v>
      </c>
      <c r="AK44" s="13">
        <f>'2026_Fantasy_Relievers'!L31</f>
        <v>56.313111339608</v>
      </c>
      <c r="AL44" s="13">
        <f>'2026_Fantasy_Relievers'!M31</f>
        <v>26.970556829866069</v>
      </c>
      <c r="AM44" s="13">
        <f>'2026_Fantasy_Relievers'!N31</f>
        <v>25.045710406285423</v>
      </c>
      <c r="AN44" s="13">
        <f>'2026_Fantasy_Relievers'!O31</f>
        <v>5.5865960083313242</v>
      </c>
      <c r="AO44" s="13">
        <f>'2026_Fantasy_Relievers'!P31</f>
        <v>1.1700973373441597</v>
      </c>
      <c r="AP44" s="13">
        <f>'2026_Fantasy_Relievers'!Q31</f>
        <v>2.8872696353713319</v>
      </c>
      <c r="AQ44" s="13">
        <f>'2026_Fantasy_Relievers'!R31</f>
        <v>63.888783516570243</v>
      </c>
      <c r="AR44" s="13">
        <f>'2026_Fantasy_Relievers'!S31</f>
        <v>20.653085106382964</v>
      </c>
      <c r="AS44" s="13">
        <f>'2026_Fantasy_Relievers'!T31</f>
        <v>8.9843601820176904</v>
      </c>
      <c r="AT44" s="13">
        <f>'2026_Fantasy_Relievers'!U31</f>
        <v>2.9043400930851044</v>
      </c>
      <c r="AU44" s="13">
        <f>'2026_Fantasy_Relievers'!V31</f>
        <v>0.16315357890636711</v>
      </c>
      <c r="AV44" s="13">
        <f>'2026_Fantasy_Relievers'!W31</f>
        <v>3.5220530258838876</v>
      </c>
      <c r="AW44" s="13">
        <f>'2026_Fantasy_Relievers'!X31</f>
        <v>1.2025968194686087</v>
      </c>
    </row>
    <row r="45" spans="1:49">
      <c r="A45" s="13" t="s">
        <v>130</v>
      </c>
      <c r="B45" s="13" t="s">
        <v>131</v>
      </c>
      <c r="C45" s="13" t="s">
        <v>18</v>
      </c>
      <c r="D45" s="13">
        <v>64</v>
      </c>
      <c r="E45" s="13">
        <v>66.67</v>
      </c>
      <c r="F45" s="15">
        <f t="shared" si="21"/>
        <v>-3.3785963841372944</v>
      </c>
      <c r="G45" s="13">
        <v>280</v>
      </c>
      <c r="H45" s="13">
        <f t="shared" si="22"/>
        <v>0.40740845713662199</v>
      </c>
      <c r="I45" s="13">
        <f t="shared" si="23"/>
        <v>0.37176093906496777</v>
      </c>
      <c r="J45" s="13">
        <f t="shared" si="24"/>
        <v>6.1674845153782798E-2</v>
      </c>
      <c r="K45" s="13">
        <f t="shared" si="25"/>
        <v>-0.9318037773684037</v>
      </c>
      <c r="L45" s="13">
        <f t="shared" si="26"/>
        <v>-1.4056953331088036</v>
      </c>
      <c r="M45" s="13">
        <f t="shared" si="27"/>
        <v>-0.85448314069106701</v>
      </c>
      <c r="N45" s="13">
        <f t="shared" si="28"/>
        <v>-1.2427243647021311</v>
      </c>
      <c r="O45" s="13">
        <f t="shared" si="29"/>
        <v>0.36361089801332991</v>
      </c>
      <c r="P45" s="13">
        <f t="shared" si="30"/>
        <v>0.92678554508641675</v>
      </c>
      <c r="Q45" s="13">
        <f t="shared" si="31"/>
        <v>-1.075130452722008</v>
      </c>
      <c r="T45" s="13">
        <f t="shared" si="32"/>
        <v>105.78358208955231</v>
      </c>
      <c r="U45" s="13">
        <f t="shared" si="33"/>
        <v>105.67136368929766</v>
      </c>
      <c r="V45" s="13">
        <f t="shared" si="34"/>
        <v>101.25811169404484</v>
      </c>
      <c r="W45" s="13">
        <f t="shared" si="35"/>
        <v>87.263916864543958</v>
      </c>
      <c r="X45" s="13">
        <f t="shared" si="36"/>
        <v>82.458000549786718</v>
      </c>
      <c r="Y45" s="13">
        <f t="shared" si="37"/>
        <v>94.572411391746343</v>
      </c>
      <c r="Z45" s="13">
        <f>(AS45-AVERAGE(AS$2:AS104))/AVERAGE(AS$2:AS$61)*100+100</f>
        <v>83.20549691340068</v>
      </c>
      <c r="AA45" s="13">
        <f t="shared" si="38"/>
        <v>115.09433962264147</v>
      </c>
      <c r="AB45" s="13">
        <f t="shared" si="39"/>
        <v>124.96213015730618</v>
      </c>
      <c r="AC45" s="13">
        <f t="shared" si="40"/>
        <v>77.940134855801034</v>
      </c>
      <c r="AE45" s="13">
        <f>'2026_Fantasy_Relievers'!G20</f>
        <v>3.5</v>
      </c>
      <c r="AF45" s="13">
        <f>'2026_Fantasy_Relievers'!H20</f>
        <v>2.5</v>
      </c>
      <c r="AG45" s="13">
        <f>'2026_Fantasy_Relievers'!I20</f>
        <v>24.132705882352894</v>
      </c>
      <c r="AH45" s="13">
        <f>'2026_Fantasy_Relievers'!J20</f>
        <v>6.1411764705882304</v>
      </c>
      <c r="AI45" s="13">
        <f t="shared" si="41"/>
        <v>30.273882352941126</v>
      </c>
      <c r="AJ45" s="13">
        <f>'2026_Fantasy_Relievers'!K20</f>
        <v>3</v>
      </c>
      <c r="AK45" s="13">
        <f>'2026_Fantasy_Relievers'!L20</f>
        <v>60.91303063134044</v>
      </c>
      <c r="AL45" s="13">
        <f>'2026_Fantasy_Relievers'!M20</f>
        <v>32.910962277159399</v>
      </c>
      <c r="AM45" s="13">
        <f>'2026_Fantasy_Relievers'!N20</f>
        <v>30.453068058701682</v>
      </c>
      <c r="AN45" s="13">
        <f>'2026_Fantasy_Relievers'!O20</f>
        <v>6.8036009345817234</v>
      </c>
      <c r="AO45" s="13">
        <f>'2026_Fantasy_Relievers'!P20</f>
        <v>1.4722923124984761</v>
      </c>
      <c r="AP45" s="13">
        <f>'2026_Fantasy_Relievers'!Q20</f>
        <v>3.4369151974785601</v>
      </c>
      <c r="AQ45" s="13">
        <f>'2026_Fantasy_Relievers'!R20</f>
        <v>61.21637427361344</v>
      </c>
      <c r="AR45" s="13">
        <f>'2026_Fantasy_Relievers'!S20</f>
        <v>22.499299842375521</v>
      </c>
      <c r="AS45" s="13">
        <f>'2026_Fantasy_Relievers'!T20</f>
        <v>8.2637973370709616</v>
      </c>
      <c r="AT45" s="13">
        <f>'2026_Fantasy_Relievers'!U20</f>
        <v>3.0372536160398931</v>
      </c>
      <c r="AU45" s="13">
        <f>'2026_Fantasy_Relievers'!V20</f>
        <v>0.1382752658258497</v>
      </c>
      <c r="AV45" s="13">
        <f>'2026_Fantasy_Relievers'!W20</f>
        <v>4.1109586399927274</v>
      </c>
      <c r="AW45" s="13">
        <f>'2026_Fantasy_Relievers'!X20</f>
        <v>1.2511224009856903</v>
      </c>
    </row>
    <row r="46" spans="1:49">
      <c r="A46" s="13" t="s">
        <v>563</v>
      </c>
      <c r="B46" s="13" t="s">
        <v>253</v>
      </c>
      <c r="C46" s="13" t="s">
        <v>18</v>
      </c>
      <c r="D46" s="13">
        <v>63</v>
      </c>
      <c r="E46" s="13">
        <v>63.67</v>
      </c>
      <c r="F46" s="15">
        <f t="shared" si="21"/>
        <v>-3.6596992689726831</v>
      </c>
      <c r="G46" s="13">
        <v>269</v>
      </c>
      <c r="H46" s="13">
        <f t="shared" si="22"/>
        <v>0.407408457136614</v>
      </c>
      <c r="I46" s="13">
        <f t="shared" si="23"/>
        <v>-0.86489762620250332</v>
      </c>
      <c r="J46" s="13">
        <f t="shared" si="24"/>
        <v>0.64285720238618471</v>
      </c>
      <c r="K46" s="13">
        <f t="shared" si="25"/>
        <v>0.14329032157884011</v>
      </c>
      <c r="L46" s="13">
        <f t="shared" si="26"/>
        <v>-0.69888968508684612</v>
      </c>
      <c r="M46" s="13">
        <f t="shared" si="27"/>
        <v>-1.5730689240135485</v>
      </c>
      <c r="N46" s="13">
        <f t="shared" si="28"/>
        <v>-1.2431126167340907</v>
      </c>
      <c r="O46" s="13">
        <f t="shared" si="29"/>
        <v>0.36361089801333057</v>
      </c>
      <c r="P46" s="13">
        <f t="shared" si="30"/>
        <v>0.60175955607373288</v>
      </c>
      <c r="Q46" s="13">
        <f t="shared" si="31"/>
        <v>-1.4386568521243972</v>
      </c>
      <c r="T46" s="13">
        <f t="shared" si="32"/>
        <v>105.7835820895522</v>
      </c>
      <c r="U46" s="13">
        <f t="shared" si="33"/>
        <v>86.805636427157495</v>
      </c>
      <c r="V46" s="13">
        <f t="shared" si="34"/>
        <v>113.11371211239157</v>
      </c>
      <c r="W46" s="13">
        <f t="shared" si="35"/>
        <v>101.95852119561954</v>
      </c>
      <c r="X46" s="13">
        <f t="shared" si="36"/>
        <v>91.278392847446199</v>
      </c>
      <c r="Y46" s="13">
        <f t="shared" si="37"/>
        <v>90.008028754003675</v>
      </c>
      <c r="Z46" s="13">
        <f>(AS46-AVERAGE(AS$2:AS105))/AVERAGE(AS$2:AS$61)*100+100</f>
        <v>83.20024997358496</v>
      </c>
      <c r="AA46" s="13">
        <f t="shared" si="38"/>
        <v>115.0943396226415</v>
      </c>
      <c r="AB46" s="13">
        <f t="shared" si="39"/>
        <v>116.20784920713741</v>
      </c>
      <c r="AC46" s="13">
        <f t="shared" si="40"/>
        <v>70.481185733050779</v>
      </c>
      <c r="AE46" s="13">
        <f>'2026_Fantasy_Relievers'!G52</f>
        <v>3.4999999999999964</v>
      </c>
      <c r="AF46" s="13">
        <f>'2026_Fantasy_Relievers'!H52</f>
        <v>2.9999999999999925</v>
      </c>
      <c r="AG46" s="13">
        <f>'2026_Fantasy_Relievers'!I52</f>
        <v>12.581156249999946</v>
      </c>
      <c r="AH46" s="13">
        <f>'2026_Fantasy_Relievers'!J52</f>
        <v>15.571874999999997</v>
      </c>
      <c r="AI46" s="13">
        <f t="shared" si="41"/>
        <v>28.153031249999941</v>
      </c>
      <c r="AJ46" s="13">
        <f>'2026_Fantasy_Relievers'!K52</f>
        <v>2.9999999999999991</v>
      </c>
      <c r="AK46" s="13">
        <f>'2026_Fantasy_Relievers'!L52</f>
        <v>58.285977859778384</v>
      </c>
      <c r="AL46" s="13">
        <f>'2026_Fantasy_Relievers'!M52</f>
        <v>28.892988929889132</v>
      </c>
      <c r="AM46" s="13">
        <f>'2026_Fantasy_Relievers'!N52</f>
        <v>26.900369003689903</v>
      </c>
      <c r="AN46" s="13">
        <f>'2026_Fantasy_Relievers'!O52</f>
        <v>5.9867158671586553</v>
      </c>
      <c r="AO46" s="13">
        <f>'2026_Fantasy_Relievers'!P52</f>
        <v>1.6927007299270047</v>
      </c>
      <c r="AP46" s="13">
        <f>'2026_Fantasy_Relievers'!Q52</f>
        <v>2.9889298892988747</v>
      </c>
      <c r="AQ46" s="13">
        <f>'2026_Fantasy_Relievers'!R52</f>
        <v>58.458088560885443</v>
      </c>
      <c r="AR46" s="13">
        <f>'2026_Fantasy_Relievers'!S52</f>
        <v>24.821741032667639</v>
      </c>
      <c r="AS46" s="13">
        <f>'2026_Fantasy_Relievers'!T52</f>
        <v>8.2632762218936548</v>
      </c>
      <c r="AT46" s="13">
        <f>'2026_Fantasy_Relievers'!U52</f>
        <v>3.5086488031099221</v>
      </c>
      <c r="AU46" s="13">
        <f>'2026_Fantasy_Relievers'!V52</f>
        <v>0.12504218411976881</v>
      </c>
      <c r="AV46" s="13">
        <f>'2026_Fantasy_Relievers'!W52</f>
        <v>3.8024708816272832</v>
      </c>
      <c r="AW46" s="13">
        <f>'2026_Fantasy_Relievers'!X52</f>
        <v>1.3052885015304858</v>
      </c>
    </row>
    <row r="47" spans="1:49">
      <c r="A47" s="13" t="s">
        <v>110</v>
      </c>
      <c r="B47" s="13" t="s">
        <v>111</v>
      </c>
      <c r="C47" s="13" t="s">
        <v>18</v>
      </c>
      <c r="D47" s="13">
        <v>63</v>
      </c>
      <c r="E47" s="13">
        <v>65</v>
      </c>
      <c r="F47" s="15">
        <f t="shared" si="21"/>
        <v>-3.7390227285508524</v>
      </c>
      <c r="G47" s="13">
        <v>267</v>
      </c>
      <c r="H47" s="13">
        <f t="shared" si="22"/>
        <v>-0.65711041473646892</v>
      </c>
      <c r="I47" s="13">
        <f t="shared" si="23"/>
        <v>0.37176093906498175</v>
      </c>
      <c r="J47" s="13">
        <f t="shared" si="24"/>
        <v>-2.6911130405090566</v>
      </c>
      <c r="K47" s="13">
        <f t="shared" si="25"/>
        <v>0.23602896431691656</v>
      </c>
      <c r="L47" s="13">
        <f t="shared" si="26"/>
        <v>-1.0331114828337999</v>
      </c>
      <c r="M47" s="13">
        <f t="shared" si="27"/>
        <v>0.13975639196329406</v>
      </c>
      <c r="N47" s="13">
        <f t="shared" si="28"/>
        <v>-6.1890155018501827E-2</v>
      </c>
      <c r="O47" s="13">
        <f t="shared" si="29"/>
        <v>-0.99992996953666269</v>
      </c>
      <c r="P47" s="13">
        <f t="shared" si="30"/>
        <v>0.86365652917177194</v>
      </c>
      <c r="Q47" s="13">
        <f t="shared" si="31"/>
        <v>9.2929509566673743E-2</v>
      </c>
      <c r="T47" s="13">
        <f t="shared" si="32"/>
        <v>90.671641791044806</v>
      </c>
      <c r="U47" s="13">
        <f t="shared" si="33"/>
        <v>105.67136368929788</v>
      </c>
      <c r="V47" s="13">
        <f t="shared" si="34"/>
        <v>45.103700255444068</v>
      </c>
      <c r="W47" s="13">
        <f t="shared" si="35"/>
        <v>103.22609178555344</v>
      </c>
      <c r="X47" s="13">
        <f t="shared" si="36"/>
        <v>87.107561192652241</v>
      </c>
      <c r="Y47" s="13">
        <f t="shared" si="37"/>
        <v>100.88771815946788</v>
      </c>
      <c r="Z47" s="13">
        <f>(AS47-AVERAGE(AS$2:AS106))/AVERAGE(AS$2:AS$61)*100+100</f>
        <v>99.163600208532557</v>
      </c>
      <c r="AA47" s="13">
        <f t="shared" si="38"/>
        <v>58.490566037735888</v>
      </c>
      <c r="AB47" s="13">
        <f t="shared" si="39"/>
        <v>123.26180722896672</v>
      </c>
      <c r="AC47" s="13">
        <f t="shared" si="40"/>
        <v>101.90675693704623</v>
      </c>
      <c r="AE47" s="13">
        <f>'2026_Fantasy_Relievers'!G17</f>
        <v>2.9999999999999991</v>
      </c>
      <c r="AF47" s="13">
        <f>'2026_Fantasy_Relievers'!H17</f>
        <v>2.4999999999999947</v>
      </c>
      <c r="AG47" s="13">
        <f>'2026_Fantasy_Relievers'!I17</f>
        <v>25.898318181818144</v>
      </c>
      <c r="AH47" s="13">
        <f>'2026_Fantasy_Relievers'!J17</f>
        <v>3.9636363636363563</v>
      </c>
      <c r="AI47" s="13">
        <f t="shared" si="41"/>
        <v>29.861954545454502</v>
      </c>
      <c r="AJ47" s="13">
        <f>'2026_Fantasy_Relievers'!K17</f>
        <v>4.9999999999999964</v>
      </c>
      <c r="AK47" s="13">
        <f>'2026_Fantasy_Relievers'!L17</f>
        <v>53.594150206207722</v>
      </c>
      <c r="AL47" s="13">
        <f>'2026_Fantasy_Relievers'!M17</f>
        <v>30.975288962448339</v>
      </c>
      <c r="AM47" s="13">
        <f>'2026_Fantasy_Relievers'!N17</f>
        <v>28.515811536791674</v>
      </c>
      <c r="AN47" s="13">
        <f>'2026_Fantasy_Relievers'!O17</f>
        <v>10.672801865403999</v>
      </c>
      <c r="AO47" s="13">
        <f>'2026_Fantasy_Relievers'!P17</f>
        <v>0.98657162505288398</v>
      </c>
      <c r="AP47" s="13">
        <f>'2026_Fantasy_Relievers'!Q17</f>
        <v>2.9502862491860089</v>
      </c>
      <c r="AQ47" s="13">
        <f>'2026_Fantasy_Relievers'!R17</f>
        <v>71.129666472215959</v>
      </c>
      <c r="AR47" s="13">
        <f>'2026_Fantasy_Relievers'!S17</f>
        <v>22.85741098312122</v>
      </c>
      <c r="AS47" s="13">
        <f>'2026_Fantasy_Relievers'!T17</f>
        <v>9.8487230499991316</v>
      </c>
      <c r="AT47" s="13">
        <f>'2026_Fantasy_Relievers'!U17</f>
        <v>3.1648722899706305</v>
      </c>
      <c r="AU47" s="13">
        <f>'2026_Fantasy_Relievers'!V17</f>
        <v>0.18079496437863199</v>
      </c>
      <c r="AV47" s="13">
        <f>'2026_Fantasy_Relievers'!W17</f>
        <v>3.9483431358634626</v>
      </c>
      <c r="AW47" s="13">
        <f>'2026_Fantasy_Relievers'!X17</f>
        <v>1.1761778644512144</v>
      </c>
    </row>
    <row r="48" spans="1:49">
      <c r="A48" s="13" t="s">
        <v>137</v>
      </c>
      <c r="B48" s="13" t="s">
        <v>71</v>
      </c>
      <c r="C48" s="13" t="s">
        <v>18</v>
      </c>
      <c r="D48" s="13">
        <v>64</v>
      </c>
      <c r="E48" s="13">
        <v>66.33</v>
      </c>
      <c r="F48" s="15">
        <f t="shared" si="21"/>
        <v>-3.8022847740539247</v>
      </c>
      <c r="G48" s="13">
        <v>273</v>
      </c>
      <c r="H48" s="13">
        <f t="shared" si="22"/>
        <v>1.471927329009711</v>
      </c>
      <c r="I48" s="13">
        <f t="shared" si="23"/>
        <v>-2.1015561914700136</v>
      </c>
      <c r="J48" s="13">
        <f t="shared" si="24"/>
        <v>-0.87990639748929633</v>
      </c>
      <c r="K48" s="13">
        <f t="shared" si="25"/>
        <v>0.27119031480331279</v>
      </c>
      <c r="L48" s="13">
        <f t="shared" si="26"/>
        <v>-0.65125733383807693</v>
      </c>
      <c r="M48" s="13">
        <f t="shared" si="27"/>
        <v>-7.6206792779180965E-2</v>
      </c>
      <c r="N48" s="13">
        <f t="shared" si="28"/>
        <v>-0.46269877163252993</v>
      </c>
      <c r="O48" s="13">
        <f t="shared" si="29"/>
        <v>-0.99992996953666513</v>
      </c>
      <c r="P48" s="13">
        <f t="shared" si="30"/>
        <v>-0.25351608461038871</v>
      </c>
      <c r="Q48" s="13">
        <f t="shared" si="31"/>
        <v>-0.12033087651079713</v>
      </c>
      <c r="T48" s="13">
        <f t="shared" si="32"/>
        <v>120.89552238805979</v>
      </c>
      <c r="U48" s="13">
        <f t="shared" si="33"/>
        <v>67.939909165016729</v>
      </c>
      <c r="V48" s="13">
        <f t="shared" si="34"/>
        <v>82.050696267077782</v>
      </c>
      <c r="W48" s="13">
        <f t="shared" si="35"/>
        <v>103.70668425987714</v>
      </c>
      <c r="X48" s="13">
        <f t="shared" si="36"/>
        <v>91.87280805231876</v>
      </c>
      <c r="Y48" s="13">
        <f t="shared" si="37"/>
        <v>99.515942327398861</v>
      </c>
      <c r="Z48" s="13">
        <f>(AS48-AVERAGE(AS$2:AS107))/AVERAGE(AS$2:AS$61)*100+100</f>
        <v>93.746967413638146</v>
      </c>
      <c r="AA48" s="13">
        <f t="shared" si="38"/>
        <v>58.490566037735789</v>
      </c>
      <c r="AB48" s="13">
        <f t="shared" si="39"/>
        <v>93.171773627063715</v>
      </c>
      <c r="AC48" s="13">
        <f t="shared" si="40"/>
        <v>97.531013188408096</v>
      </c>
      <c r="AE48" s="13">
        <f>'2026_Fantasy_Relievers'!G21</f>
        <v>4</v>
      </c>
      <c r="AF48" s="13">
        <f>'2026_Fantasy_Relievers'!H21</f>
        <v>3.5</v>
      </c>
      <c r="AG48" s="13">
        <f>'2026_Fantasy_Relievers'!I21</f>
        <v>9.8707164179103994</v>
      </c>
      <c r="AH48" s="13">
        <f>'2026_Fantasy_Relievers'!J21</f>
        <v>12.701492537313408</v>
      </c>
      <c r="AI48" s="13">
        <f t="shared" si="41"/>
        <v>22.572208955223807</v>
      </c>
      <c r="AJ48" s="13">
        <f>'2026_Fantasy_Relievers'!K21</f>
        <v>5</v>
      </c>
      <c r="AK48" s="13">
        <f>'2026_Fantasy_Relievers'!L21</f>
        <v>57.713105592455854</v>
      </c>
      <c r="AL48" s="13">
        <f>'2026_Fantasy_Relievers'!M21</f>
        <v>29.828083045338122</v>
      </c>
      <c r="AM48" s="13">
        <f>'2026_Fantasy_Relievers'!N21</f>
        <v>27.870993229440817</v>
      </c>
      <c r="AN48" s="13">
        <f>'2026_Fantasy_Relievers'!O21</f>
        <v>8.1270472631033872</v>
      </c>
      <c r="AO48" s="13">
        <f>'2026_Fantasy_Relievers'!P21</f>
        <v>1.9757239048618671</v>
      </c>
      <c r="AP48" s="13">
        <f>'2026_Fantasy_Relievers'!Q21</f>
        <v>2.9356347238459604</v>
      </c>
      <c r="AQ48" s="13">
        <f>'2026_Fantasy_Relievers'!R21</f>
        <v>68.620259323971808</v>
      </c>
      <c r="AR48" s="13">
        <f>'2026_Fantasy_Relievers'!S21</f>
        <v>21.382560590744973</v>
      </c>
      <c r="AS48" s="13">
        <f>'2026_Fantasy_Relievers'!T21</f>
        <v>9.3107543180423065</v>
      </c>
      <c r="AT48" s="13">
        <f>'2026_Fantasy_Relievers'!U21</f>
        <v>2.9012972307659393</v>
      </c>
      <c r="AU48" s="13">
        <f>'2026_Fantasy_Relievers'!V21</f>
        <v>0.17303186349167343</v>
      </c>
      <c r="AV48" s="13">
        <f>'2026_Fantasy_Relievers'!W21</f>
        <v>3.781681577943123</v>
      </c>
      <c r="AW48" s="13">
        <f>'2026_Fantasy_Relievers'!X21</f>
        <v>1.1924569000934844</v>
      </c>
    </row>
    <row r="49" spans="1:49">
      <c r="A49" s="13" t="s">
        <v>579</v>
      </c>
      <c r="B49" s="13" t="s">
        <v>148</v>
      </c>
      <c r="C49" s="13" t="s">
        <v>18</v>
      </c>
      <c r="D49" s="13">
        <v>54</v>
      </c>
      <c r="E49" s="13">
        <v>55.67</v>
      </c>
      <c r="F49" s="15">
        <f t="shared" si="21"/>
        <v>-3.8993150149787459</v>
      </c>
      <c r="G49" s="13">
        <v>230</v>
      </c>
      <c r="H49" s="13">
        <f t="shared" si="22"/>
        <v>-2.7861481584826482</v>
      </c>
      <c r="I49" s="13">
        <f t="shared" si="23"/>
        <v>1.6084195043324641</v>
      </c>
      <c r="J49" s="13">
        <f t="shared" si="24"/>
        <v>-1.2020713619383536</v>
      </c>
      <c r="K49" s="13">
        <f t="shared" si="25"/>
        <v>0.47943364975231428</v>
      </c>
      <c r="L49" s="13">
        <f t="shared" si="26"/>
        <v>-1.1568300476864919</v>
      </c>
      <c r="M49" s="13">
        <f t="shared" si="27"/>
        <v>0.29180797154966859</v>
      </c>
      <c r="N49" s="13">
        <f t="shared" si="28"/>
        <v>-4.8830200912463102E-2</v>
      </c>
      <c r="O49" s="13">
        <f t="shared" si="29"/>
        <v>-0.31815953576166472</v>
      </c>
      <c r="P49" s="13">
        <f t="shared" si="30"/>
        <v>-0.9956739218528966</v>
      </c>
      <c r="Q49" s="13">
        <f t="shared" si="31"/>
        <v>0.22873708602132564</v>
      </c>
      <c r="T49" s="13">
        <f t="shared" si="32"/>
        <v>60.44776119402983</v>
      </c>
      <c r="U49" s="13">
        <f t="shared" si="33"/>
        <v>124.53709095143822</v>
      </c>
      <c r="V49" s="13">
        <f t="shared" si="34"/>
        <v>75.478819058885819</v>
      </c>
      <c r="W49" s="13">
        <f t="shared" si="35"/>
        <v>106.55299642423158</v>
      </c>
      <c r="X49" s="13">
        <f t="shared" si="36"/>
        <v>85.563648407634048</v>
      </c>
      <c r="Y49" s="13">
        <f t="shared" si="37"/>
        <v>101.85353408014542</v>
      </c>
      <c r="Z49" s="13">
        <f>(AS49-AVERAGE(AS$2:AS108))/AVERAGE(AS$2:AS$61)*100+100</f>
        <v>99.340095854529878</v>
      </c>
      <c r="AA49" s="13">
        <f t="shared" si="38"/>
        <v>86.792452830188751</v>
      </c>
      <c r="AB49" s="13">
        <f t="shared" si="39"/>
        <v>73.182423740532045</v>
      </c>
      <c r="AC49" s="13">
        <f t="shared" si="40"/>
        <v>104.69329955107517</v>
      </c>
      <c r="AE49" s="13">
        <f>'2026_Fantasy_Relievers'!G55</f>
        <v>1.999999999999998</v>
      </c>
      <c r="AF49" s="13">
        <f>'2026_Fantasy_Relievers'!H55</f>
        <v>1.999999999999998</v>
      </c>
      <c r="AG49" s="13">
        <f>'2026_Fantasy_Relievers'!I55</f>
        <v>10.489499999999946</v>
      </c>
      <c r="AH49" s="13">
        <f>'2026_Fantasy_Relievers'!J55</f>
        <v>7.2399999999999967</v>
      </c>
      <c r="AI49" s="13">
        <f t="shared" si="41"/>
        <v>17.729499999999945</v>
      </c>
      <c r="AJ49" s="13">
        <f>'2026_Fantasy_Relievers'!K55</f>
        <v>3.999999999999996</v>
      </c>
      <c r="AK49" s="13">
        <f>'2026_Fantasy_Relievers'!L55</f>
        <v>46.531395784383662</v>
      </c>
      <c r="AL49" s="13">
        <f>'2026_Fantasy_Relievers'!M55</f>
        <v>26.65594034119929</v>
      </c>
      <c r="AM49" s="13">
        <f>'2026_Fantasy_Relievers'!N55</f>
        <v>24.75669969693854</v>
      </c>
      <c r="AN49" s="13">
        <f>'2026_Fantasy_Relievers'!O55</f>
        <v>8.5798685599482294</v>
      </c>
      <c r="AO49" s="13">
        <f>'2026_Fantasy_Relievers'!P55</f>
        <v>1.6599511599511483</v>
      </c>
      <c r="AP49" s="13">
        <f>'2026_Fantasy_Relievers'!Q55</f>
        <v>2.8488609663908262</v>
      </c>
      <c r="AQ49" s="13">
        <f>'2026_Fantasy_Relievers'!R55</f>
        <v>61.028251302482332</v>
      </c>
      <c r="AR49" s="13">
        <f>'2026_Fantasy_Relievers'!S55</f>
        <v>18.308366533864518</v>
      </c>
      <c r="AS49" s="13">
        <f>'2026_Fantasy_Relievers'!T55</f>
        <v>9.8662522314054417</v>
      </c>
      <c r="AT49" s="13">
        <f>'2026_Fantasy_Relievers'!U55</f>
        <v>2.9598580708600801</v>
      </c>
      <c r="AU49" s="13">
        <f>'2026_Fantasy_Relievers'!V55</f>
        <v>0.18573862942877312</v>
      </c>
      <c r="AV49" s="13">
        <f>'2026_Fantasy_Relievers'!W55</f>
        <v>4.002340529413452</v>
      </c>
      <c r="AW49" s="13">
        <f>'2026_Fantasy_Relievers'!X55</f>
        <v>1.1647164059322468</v>
      </c>
    </row>
    <row r="50" spans="1:49">
      <c r="A50" s="13" t="s">
        <v>165</v>
      </c>
      <c r="B50" s="13" t="s">
        <v>59</v>
      </c>
      <c r="C50" s="13" t="s">
        <v>18</v>
      </c>
      <c r="D50" s="13">
        <v>60</v>
      </c>
      <c r="E50" s="13">
        <v>67.67</v>
      </c>
      <c r="F50" s="15">
        <f t="shared" si="21"/>
        <v>-4.1834738297017235</v>
      </c>
      <c r="G50" s="13">
        <v>280</v>
      </c>
      <c r="H50" s="13">
        <f t="shared" si="22"/>
        <v>0.407408457136617</v>
      </c>
      <c r="I50" s="13">
        <f t="shared" si="23"/>
        <v>-0.8648976262025071</v>
      </c>
      <c r="J50" s="13">
        <f t="shared" si="24"/>
        <v>-2.1024418842442198</v>
      </c>
      <c r="K50" s="13">
        <f t="shared" si="25"/>
        <v>0.21803758342075552</v>
      </c>
      <c r="L50" s="13">
        <f t="shared" si="26"/>
        <v>-0.99874048666519888</v>
      </c>
      <c r="M50" s="13">
        <f t="shared" si="27"/>
        <v>-0.10619284082754224</v>
      </c>
      <c r="N50" s="13">
        <f t="shared" si="28"/>
        <v>-0.43652823236020039</v>
      </c>
      <c r="O50" s="13">
        <f t="shared" si="29"/>
        <v>0.36361089801332991</v>
      </c>
      <c r="P50" s="13">
        <f t="shared" si="30"/>
        <v>-0.45916737707743432</v>
      </c>
      <c r="Q50" s="13">
        <f t="shared" si="31"/>
        <v>-0.20456232089532295</v>
      </c>
      <c r="T50" s="13">
        <f t="shared" si="32"/>
        <v>105.78358208955224</v>
      </c>
      <c r="U50" s="13">
        <f t="shared" si="33"/>
        <v>86.805636427157438</v>
      </c>
      <c r="V50" s="13">
        <f t="shared" si="34"/>
        <v>57.112065477878517</v>
      </c>
      <c r="W50" s="13">
        <f t="shared" si="35"/>
        <v>102.98018194017558</v>
      </c>
      <c r="X50" s="13">
        <f t="shared" si="36"/>
        <v>87.536484858891811</v>
      </c>
      <c r="Y50" s="13">
        <f t="shared" si="37"/>
        <v>99.325474048923283</v>
      </c>
      <c r="Z50" s="13">
        <f>(AS50-AVERAGE(AS$2:AS109))/AVERAGE(AS$2:AS$61)*100+100</f>
        <v>94.100642947063818</v>
      </c>
      <c r="AA50" s="13">
        <f t="shared" si="38"/>
        <v>115.09433962264147</v>
      </c>
      <c r="AB50" s="13">
        <f t="shared" si="39"/>
        <v>87.632742125334829</v>
      </c>
      <c r="AC50" s="13">
        <f t="shared" si="40"/>
        <v>95.802725891439323</v>
      </c>
      <c r="AE50" s="13">
        <f>'2026_Fantasy_Relievers'!G25</f>
        <v>3.4999999999999978</v>
      </c>
      <c r="AF50" s="13">
        <f>'2026_Fantasy_Relievers'!H25</f>
        <v>2.9999999999999938</v>
      </c>
      <c r="AG50" s="13">
        <f>'2026_Fantasy_Relievers'!I25</f>
        <v>4.5228358208955184</v>
      </c>
      <c r="AH50" s="13">
        <f>'2026_Fantasy_Relievers'!J25</f>
        <v>16.707462686567162</v>
      </c>
      <c r="AI50" s="13">
        <f t="shared" si="41"/>
        <v>21.230298507462681</v>
      </c>
      <c r="AJ50" s="13">
        <f>'2026_Fantasy_Relievers'!K25</f>
        <v>3</v>
      </c>
      <c r="AK50" s="13">
        <f>'2026_Fantasy_Relievers'!L25</f>
        <v>58.16626371582656</v>
      </c>
      <c r="AL50" s="13">
        <f>'2026_Fantasy_Relievers'!M25</f>
        <v>32.040915008368842</v>
      </c>
      <c r="AM50" s="13">
        <f>'2026_Fantasy_Relievers'!N25</f>
        <v>29.57435992808864</v>
      </c>
      <c r="AN50" s="13">
        <f>'2026_Fantasy_Relievers'!O25</f>
        <v>9.8453908623147832</v>
      </c>
      <c r="AO50" s="13">
        <f>'2026_Fantasy_Relievers'!P25</f>
        <v>1.3926016107885169</v>
      </c>
      <c r="AP50" s="13">
        <f>'2026_Fantasy_Relievers'!Q25</f>
        <v>2.957783150455616</v>
      </c>
      <c r="AQ50" s="13">
        <f>'2026_Fantasy_Relievers'!R25</f>
        <v>70.270638088153163</v>
      </c>
      <c r="AR50" s="13">
        <f>'2026_Fantasy_Relievers'!S25</f>
        <v>22.680249953505651</v>
      </c>
      <c r="AS50" s="13">
        <f>'2026_Fantasy_Relievers'!T25</f>
        <v>9.3458806382943465</v>
      </c>
      <c r="AT50" s="13">
        <f>'2026_Fantasy_Relievers'!U25</f>
        <v>3.0164363762605415</v>
      </c>
      <c r="AU50" s="13">
        <f>'2026_Fantasy_Relievers'!V25</f>
        <v>0.16996567190945538</v>
      </c>
      <c r="AV50" s="13">
        <f>'2026_Fantasy_Relievers'!W25</f>
        <v>3.9333417962582793</v>
      </c>
      <c r="AW50" s="13">
        <f>'2026_Fantasy_Relievers'!X25</f>
        <v>1.1947172110142192</v>
      </c>
    </row>
    <row r="51" spans="1:49">
      <c r="A51" s="13" t="s">
        <v>198</v>
      </c>
      <c r="B51" s="13" t="s">
        <v>148</v>
      </c>
      <c r="C51" s="13" t="s">
        <v>18</v>
      </c>
      <c r="D51" s="13">
        <v>55</v>
      </c>
      <c r="E51" s="13">
        <v>56.33</v>
      </c>
      <c r="F51" s="15">
        <f t="shared" si="21"/>
        <v>-4.7101565871993172</v>
      </c>
      <c r="G51" s="13">
        <v>239</v>
      </c>
      <c r="H51" s="13">
        <f t="shared" si="22"/>
        <v>-1.6822026617253774</v>
      </c>
      <c r="I51" s="13">
        <f t="shared" si="23"/>
        <v>0.32595876998099876</v>
      </c>
      <c r="J51" s="13">
        <f t="shared" si="24"/>
        <v>-0.67436499022415486</v>
      </c>
      <c r="K51" s="13">
        <f t="shared" si="25"/>
        <v>8.6346050670207078E-2</v>
      </c>
      <c r="L51" s="13">
        <f t="shared" si="26"/>
        <v>-1.5415926203942198</v>
      </c>
      <c r="M51" s="13">
        <f t="shared" si="27"/>
        <v>-1.2831870818599627</v>
      </c>
      <c r="N51" s="13">
        <f t="shared" si="28"/>
        <v>0.39180890845021571</v>
      </c>
      <c r="O51" s="13">
        <f t="shared" si="29"/>
        <v>1.04538133178833</v>
      </c>
      <c r="P51" s="13">
        <f t="shared" si="30"/>
        <v>-0.96977909416715002</v>
      </c>
      <c r="Q51" s="13">
        <f t="shared" si="31"/>
        <v>-0.4085251997182025</v>
      </c>
      <c r="T51" s="13">
        <f t="shared" si="32"/>
        <v>76.11940298507453</v>
      </c>
      <c r="U51" s="13">
        <f t="shared" si="33"/>
        <v>104.97263304995931</v>
      </c>
      <c r="V51" s="13">
        <f t="shared" si="34"/>
        <v>86.243557188672753</v>
      </c>
      <c r="W51" s="13">
        <f t="shared" si="35"/>
        <v>101.18019534419562</v>
      </c>
      <c r="X51" s="13">
        <f t="shared" si="36"/>
        <v>80.762106651089596</v>
      </c>
      <c r="Y51" s="13">
        <f t="shared" si="37"/>
        <v>91.849328259269427</v>
      </c>
      <c r="Z51" s="13">
        <f>(AS51-AVERAGE(AS$2:AS110))/AVERAGE(AS$2:AS$61)*100+100</f>
        <v>105.29500837774387</v>
      </c>
      <c r="AA51" s="13">
        <f t="shared" si="38"/>
        <v>143.39622641509442</v>
      </c>
      <c r="AB51" s="13">
        <f t="shared" si="39"/>
        <v>73.879877496171218</v>
      </c>
      <c r="AC51" s="13">
        <f t="shared" si="40"/>
        <v>91.617751324061217</v>
      </c>
      <c r="AE51" s="13">
        <f>'2026_Fantasy_Relievers'!G32</f>
        <v>2.5185185185185137</v>
      </c>
      <c r="AF51" s="13">
        <f>'2026_Fantasy_Relievers'!H32</f>
        <v>2.5185185185185137</v>
      </c>
      <c r="AG51" s="13">
        <f>'2026_Fantasy_Relievers'!I32</f>
        <v>7.6968809523809503</v>
      </c>
      <c r="AH51" s="13">
        <f>'2026_Fantasy_Relievers'!J32</f>
        <v>10.201587301587274</v>
      </c>
      <c r="AI51" s="13">
        <f t="shared" si="41"/>
        <v>17.898468253968225</v>
      </c>
      <c r="AJ51" s="13">
        <f>'2026_Fantasy_Relievers'!K32</f>
        <v>1.9999999999999964</v>
      </c>
      <c r="AK51" s="13">
        <f>'2026_Fantasy_Relievers'!L32</f>
        <v>45.689873417721408</v>
      </c>
      <c r="AL51" s="13">
        <f>'2026_Fantasy_Relievers'!M32</f>
        <v>28.109704641350184</v>
      </c>
      <c r="AM51" s="13">
        <f>'2026_Fantasy_Relievers'!N32</f>
        <v>26.101265822784654</v>
      </c>
      <c r="AN51" s="13">
        <f>'2026_Fantasy_Relievers'!O32</f>
        <v>7.838147050902216</v>
      </c>
      <c r="AO51" s="13">
        <f>'2026_Fantasy_Relievers'!P32</f>
        <v>1.2016806722688964</v>
      </c>
      <c r="AP51" s="13">
        <f>'2026_Fantasy_Relievers'!Q32</f>
        <v>3.0126582278480782</v>
      </c>
      <c r="AQ51" s="13">
        <f>'2026_Fantasy_Relievers'!R32</f>
        <v>65.453468354430242</v>
      </c>
      <c r="AR51" s="13">
        <f>'2026_Fantasy_Relievers'!S32</f>
        <v>26.606164880150676</v>
      </c>
      <c r="AS51" s="13">
        <f>'2026_Fantasy_Relievers'!T32</f>
        <v>10.457681789275203</v>
      </c>
      <c r="AT51" s="13">
        <f>'2026_Fantasy_Relievers'!U32</f>
        <v>4.2509405986393762</v>
      </c>
      <c r="AU51" s="13">
        <f>'2026_Fantasy_Relievers'!V32</f>
        <v>0.16254101872083498</v>
      </c>
      <c r="AV51" s="13">
        <f>'2026_Fantasy_Relievers'!W32</f>
        <v>4.1702714788755886</v>
      </c>
      <c r="AW51" s="13">
        <f>'2026_Fantasy_Relievers'!X32</f>
        <v>1.2834375696409035</v>
      </c>
    </row>
    <row r="52" spans="1:49">
      <c r="A52" s="13" t="s">
        <v>157</v>
      </c>
      <c r="B52" s="13" t="s">
        <v>88</v>
      </c>
      <c r="C52" s="13" t="s">
        <v>18</v>
      </c>
      <c r="D52" s="13">
        <v>68</v>
      </c>
      <c r="E52" s="13">
        <v>69</v>
      </c>
      <c r="F52" s="15">
        <f t="shared" si="21"/>
        <v>-4.8594081493559305</v>
      </c>
      <c r="G52" s="13">
        <v>286</v>
      </c>
      <c r="H52" s="13">
        <f t="shared" si="22"/>
        <v>0.40740845713661999</v>
      </c>
      <c r="I52" s="13">
        <f t="shared" si="23"/>
        <v>-0.86489762620251731</v>
      </c>
      <c r="J52" s="13">
        <f t="shared" si="24"/>
        <v>0.110979150306866</v>
      </c>
      <c r="K52" s="13">
        <f t="shared" si="25"/>
        <v>0.36793381870992098</v>
      </c>
      <c r="L52" s="13">
        <f t="shared" si="26"/>
        <v>-0.33738253351319208</v>
      </c>
      <c r="M52" s="13">
        <f t="shared" si="27"/>
        <v>-8.3308639037043317E-2</v>
      </c>
      <c r="N52" s="13">
        <f t="shared" si="28"/>
        <v>-2.7433914166922673</v>
      </c>
      <c r="O52" s="13">
        <f t="shared" si="29"/>
        <v>0.36361089801333163</v>
      </c>
      <c r="P52" s="13">
        <f t="shared" si="30"/>
        <v>-0.24127133006280302</v>
      </c>
      <c r="Q52" s="13">
        <f t="shared" si="31"/>
        <v>-1.8390889280148459</v>
      </c>
      <c r="T52" s="13">
        <f t="shared" si="32"/>
        <v>105.78358208955228</v>
      </c>
      <c r="U52" s="13">
        <f t="shared" si="33"/>
        <v>86.805636427157282</v>
      </c>
      <c r="V52" s="13">
        <f t="shared" si="34"/>
        <v>102.2638754333</v>
      </c>
      <c r="W52" s="13">
        <f t="shared" si="35"/>
        <v>105.02899410503538</v>
      </c>
      <c r="X52" s="13">
        <f t="shared" si="36"/>
        <v>95.78972478743944</v>
      </c>
      <c r="Y52" s="13">
        <f t="shared" si="37"/>
        <v>99.470832133866466</v>
      </c>
      <c r="Z52" s="13">
        <f>(AS52-AVERAGE(AS$2:AS111))/AVERAGE(AS$2:AS$61)*100+100</f>
        <v>62.925088680922592</v>
      </c>
      <c r="AA52" s="13">
        <f t="shared" si="38"/>
        <v>115.09433962264154</v>
      </c>
      <c r="AB52" s="13">
        <f t="shared" si="39"/>
        <v>93.501575012488431</v>
      </c>
      <c r="AC52" s="13">
        <f t="shared" si="40"/>
        <v>62.264994320008391</v>
      </c>
      <c r="AE52" s="13">
        <f>'2026_Fantasy_Relievers'!G24</f>
        <v>3.4999999999999991</v>
      </c>
      <c r="AF52" s="13">
        <f>'2026_Fantasy_Relievers'!H24</f>
        <v>2.9999999999999978</v>
      </c>
      <c r="AG52" s="13">
        <f>'2026_Fantasy_Relievers'!I24</f>
        <v>1.9439999999999966</v>
      </c>
      <c r="AH52" s="13">
        <f>'2026_Fantasy_Relievers'!J24</f>
        <v>20.7081081081081</v>
      </c>
      <c r="AI52" s="13">
        <f t="shared" si="41"/>
        <v>22.652108108108095</v>
      </c>
      <c r="AJ52" s="13">
        <f>'2026_Fantasy_Relievers'!K24</f>
        <v>2.9999999999999978</v>
      </c>
      <c r="AK52" s="13">
        <f>'2026_Fantasy_Relievers'!L24</f>
        <v>65.996125572358409</v>
      </c>
      <c r="AL52" s="13">
        <f>'2026_Fantasy_Relievers'!M24</f>
        <v>30.332644041220949</v>
      </c>
      <c r="AM52" s="13">
        <f>'2026_Fantasy_Relievers'!N24</f>
        <v>27.942622112642436</v>
      </c>
      <c r="AN52" s="13">
        <f>'2026_Fantasy_Relievers'!O24</f>
        <v>6.7343009117265593</v>
      </c>
      <c r="AO52" s="13">
        <f>'2026_Fantasy_Relievers'!P24</f>
        <v>1.1652055284698115</v>
      </c>
      <c r="AP52" s="13">
        <f>'2026_Fantasy_Relievers'!Q24</f>
        <v>2.8953222819355977</v>
      </c>
      <c r="AQ52" s="13">
        <f>'2026_Fantasy_Relievers'!R24</f>
        <v>47.91351769624935</v>
      </c>
      <c r="AR52" s="13">
        <f>'2026_Fantasy_Relievers'!S24</f>
        <v>16.320338188008311</v>
      </c>
      <c r="AS52" s="13">
        <f>'2026_Fantasy_Relievers'!T24</f>
        <v>6.2495892647281757</v>
      </c>
      <c r="AT52" s="13">
        <f>'2026_Fantasy_Relievers'!U24</f>
        <v>2.1287397636532579</v>
      </c>
      <c r="AU52" s="13">
        <f>'2026_Fantasy_Relievers'!V24</f>
        <v>0.11046566261622739</v>
      </c>
      <c r="AV52" s="13">
        <f>'2026_Fantasy_Relievers'!W24</f>
        <v>3.6446898407794479</v>
      </c>
      <c r="AW52" s="13">
        <f>'2026_Fantasy_Relievers'!X24</f>
        <v>1.1929922284111119</v>
      </c>
    </row>
    <row r="53" spans="1:49">
      <c r="A53" s="13" t="s">
        <v>503</v>
      </c>
      <c r="B53" s="13" t="s">
        <v>39</v>
      </c>
      <c r="C53" s="13" t="s">
        <v>18</v>
      </c>
      <c r="D53" s="13">
        <v>64</v>
      </c>
      <c r="E53" s="13">
        <v>67.33</v>
      </c>
      <c r="F53" s="15">
        <f t="shared" si="21"/>
        <v>-5.0875772411906226</v>
      </c>
      <c r="G53" s="13">
        <v>279</v>
      </c>
      <c r="H53" s="13">
        <f t="shared" si="22"/>
        <v>-1.7216292866095559</v>
      </c>
      <c r="I53" s="13">
        <f t="shared" si="23"/>
        <v>0.37176093906496777</v>
      </c>
      <c r="J53" s="13">
        <f t="shared" si="24"/>
        <v>-0.69135670062627586</v>
      </c>
      <c r="K53" s="13">
        <f t="shared" si="25"/>
        <v>-0.92291137177101956</v>
      </c>
      <c r="L53" s="13">
        <f t="shared" si="26"/>
        <v>-0.84763252240158027</v>
      </c>
      <c r="M53" s="13">
        <f t="shared" si="27"/>
        <v>-0.13605109631397536</v>
      </c>
      <c r="N53" s="13">
        <f t="shared" si="28"/>
        <v>-0.85223639766951975</v>
      </c>
      <c r="O53" s="13">
        <f t="shared" si="29"/>
        <v>1.0453813317883272</v>
      </c>
      <c r="P53" s="13">
        <f t="shared" si="30"/>
        <v>-0.83927962273050105</v>
      </c>
      <c r="Q53" s="13">
        <f t="shared" si="31"/>
        <v>-0.49362251392148992</v>
      </c>
      <c r="T53" s="13">
        <f t="shared" si="32"/>
        <v>75.559701492537357</v>
      </c>
      <c r="U53" s="13">
        <f t="shared" si="33"/>
        <v>105.67136368929766</v>
      </c>
      <c r="V53" s="13">
        <f t="shared" si="34"/>
        <v>85.896941489753218</v>
      </c>
      <c r="W53" s="13">
        <f t="shared" si="35"/>
        <v>87.385460068932261</v>
      </c>
      <c r="X53" s="13">
        <f t="shared" si="36"/>
        <v>89.422196338187206</v>
      </c>
      <c r="Y53" s="13">
        <f t="shared" si="37"/>
        <v>99.13581749559512</v>
      </c>
      <c r="Z53" s="13">
        <f>(AS53-AVERAGE(AS$2:AS112))/AVERAGE(AS$2:AS$61)*100+100</f>
        <v>88.482653742285237</v>
      </c>
      <c r="AA53" s="13">
        <f t="shared" si="38"/>
        <v>143.3962264150943</v>
      </c>
      <c r="AB53" s="13">
        <f t="shared" si="39"/>
        <v>77.394762691275929</v>
      </c>
      <c r="AC53" s="13">
        <f t="shared" si="40"/>
        <v>89.871697837523584</v>
      </c>
      <c r="AE53" s="13">
        <f>'2026_Fantasy_Relievers'!G42</f>
        <v>2.5</v>
      </c>
      <c r="AF53" s="13">
        <f>'2026_Fantasy_Relievers'!H42</f>
        <v>2.5</v>
      </c>
      <c r="AG53" s="13">
        <f>'2026_Fantasy_Relievers'!I42</f>
        <v>2.9382352941176446</v>
      </c>
      <c r="AH53" s="13">
        <f>'2026_Fantasy_Relievers'!J42</f>
        <v>15.811764705882304</v>
      </c>
      <c r="AI53" s="13">
        <f t="shared" si="41"/>
        <v>18.74999999999995</v>
      </c>
      <c r="AJ53" s="13">
        <f>'2026_Fantasy_Relievers'!K42</f>
        <v>2</v>
      </c>
      <c r="AK53" s="13">
        <f>'2026_Fantasy_Relievers'!L42</f>
        <v>59.333172720533632</v>
      </c>
      <c r="AL53" s="13">
        <f>'2026_Fantasy_Relievers'!M42</f>
        <v>30.893717568569258</v>
      </c>
      <c r="AM53" s="13">
        <f>'2026_Fantasy_Relievers'!N42</f>
        <v>28.932375833951003</v>
      </c>
      <c r="AN53" s="13">
        <f>'2026_Fantasy_Relievers'!O42</f>
        <v>7.8620298724034878</v>
      </c>
      <c r="AO53" s="13">
        <f>'2026_Fantasy_Relievers'!P42</f>
        <v>0.98914339696715659</v>
      </c>
      <c r="AP53" s="13">
        <f>'2026_Fantasy_Relievers'!Q42</f>
        <v>3.4332097850259164</v>
      </c>
      <c r="AQ53" s="13">
        <f>'2026_Fantasy_Relievers'!R42</f>
        <v>65.74335811712362</v>
      </c>
      <c r="AR53" s="13">
        <f>'2026_Fantasy_Relievers'!S42</f>
        <v>21.258675251959659</v>
      </c>
      <c r="AS53" s="13">
        <f>'2026_Fantasy_Relievers'!T42</f>
        <v>8.7879136054375842</v>
      </c>
      <c r="AT53" s="13">
        <f>'2026_Fantasy_Relievers'!U42</f>
        <v>2.8416467736170645</v>
      </c>
      <c r="AU53" s="13">
        <f>'2026_Fantasy_Relievers'!V42</f>
        <v>0.1594433077604443</v>
      </c>
      <c r="AV53" s="13">
        <f>'2026_Fantasy_Relievers'!W42</f>
        <v>3.8673902050432059</v>
      </c>
      <c r="AW53" s="13">
        <f>'2026_Fantasy_Relievers'!X42</f>
        <v>1.1969678890909445</v>
      </c>
    </row>
    <row r="54" spans="1:49">
      <c r="A54" s="13" t="s">
        <v>525</v>
      </c>
      <c r="B54" s="13" t="s">
        <v>118</v>
      </c>
      <c r="C54" s="13" t="s">
        <v>18</v>
      </c>
      <c r="D54" s="13">
        <v>57</v>
      </c>
      <c r="E54" s="13">
        <v>65</v>
      </c>
      <c r="F54" s="15">
        <f t="shared" si="21"/>
        <v>-5.8389935042416869</v>
      </c>
      <c r="G54" s="13">
        <v>275</v>
      </c>
      <c r="H54" s="13">
        <f t="shared" si="22"/>
        <v>-0.65711041473646992</v>
      </c>
      <c r="I54" s="13">
        <f t="shared" si="23"/>
        <v>-0.8648976262025192</v>
      </c>
      <c r="J54" s="13">
        <f t="shared" si="24"/>
        <v>-0.13492276952160812</v>
      </c>
      <c r="K54" s="13">
        <f t="shared" si="25"/>
        <v>0.41473295730569454</v>
      </c>
      <c r="L54" s="13">
        <f t="shared" si="26"/>
        <v>-0.80590086914455694</v>
      </c>
      <c r="M54" s="13">
        <f t="shared" si="27"/>
        <v>-1.3076749181087834</v>
      </c>
      <c r="N54" s="13">
        <f t="shared" si="28"/>
        <v>-1.2270104892671945</v>
      </c>
      <c r="O54" s="13">
        <f t="shared" si="29"/>
        <v>1.045381331788328</v>
      </c>
      <c r="P54" s="13">
        <f t="shared" si="30"/>
        <v>-0.75428301499637074</v>
      </c>
      <c r="Q54" s="13">
        <f t="shared" si="31"/>
        <v>-1.5473076913582076</v>
      </c>
      <c r="T54" s="13">
        <f t="shared" si="32"/>
        <v>90.671641791044792</v>
      </c>
      <c r="U54" s="13">
        <f t="shared" si="33"/>
        <v>86.805636427157253</v>
      </c>
      <c r="V54" s="13">
        <f t="shared" si="34"/>
        <v>97.247696144111856</v>
      </c>
      <c r="W54" s="13">
        <f t="shared" si="35"/>
        <v>105.66865422908728</v>
      </c>
      <c r="X54" s="13">
        <f t="shared" si="36"/>
        <v>89.94297535854021</v>
      </c>
      <c r="Y54" s="13">
        <f t="shared" si="37"/>
        <v>91.693784053964933</v>
      </c>
      <c r="Z54" s="13">
        <f>(AS54-AVERAGE(AS$2:AS113))/AVERAGE(AS$2:AS$61)*100+100</f>
        <v>83.417858348478632</v>
      </c>
      <c r="AA54" s="13">
        <f t="shared" si="38"/>
        <v>143.39622641509433</v>
      </c>
      <c r="AB54" s="13">
        <f t="shared" si="39"/>
        <v>79.684069420796646</v>
      </c>
      <c r="AC54" s="13">
        <f t="shared" si="40"/>
        <v>68.251853603881116</v>
      </c>
      <c r="AE54" s="13">
        <f>'2026_Fantasy_Relievers'!G46</f>
        <v>2.9999999999999987</v>
      </c>
      <c r="AF54" s="13">
        <f>'2026_Fantasy_Relievers'!H46</f>
        <v>2.9999999999999987</v>
      </c>
      <c r="AG54" s="13">
        <f>'2026_Fantasy_Relievers'!I46</f>
        <v>3.2222647058823481</v>
      </c>
      <c r="AH54" s="13">
        <f>'2026_Fantasy_Relievers'!J46</f>
        <v>16.082352941176449</v>
      </c>
      <c r="AI54" s="13">
        <f t="shared" si="41"/>
        <v>19.304617647058798</v>
      </c>
      <c r="AJ54" s="13">
        <f>'2026_Fantasy_Relievers'!K46</f>
        <v>1.9999999999999991</v>
      </c>
      <c r="AK54" s="13">
        <f>'2026_Fantasy_Relievers'!L46</f>
        <v>57.007062781630502</v>
      </c>
      <c r="AL54" s="13">
        <f>'2026_Fantasy_Relievers'!M46</f>
        <v>30.186103992323677</v>
      </c>
      <c r="AM54" s="13">
        <f>'2026_Fantasy_Relievers'!N46</f>
        <v>27.799606476139303</v>
      </c>
      <c r="AN54" s="13">
        <f>'2026_Fantasy_Relievers'!O46</f>
        <v>7.0799301343944796</v>
      </c>
      <c r="AO54" s="13">
        <f>'2026_Fantasy_Relievers'!P46</f>
        <v>1.1703066348169322</v>
      </c>
      <c r="AP54" s="13">
        <f>'2026_Fantasy_Relievers'!Q46</f>
        <v>2.8758213596006121</v>
      </c>
      <c r="AQ54" s="13">
        <f>'2026_Fantasy_Relievers'!R46</f>
        <v>59.835306802861425</v>
      </c>
      <c r="AR54" s="13">
        <f>'2026_Fantasy_Relievers'!S46</f>
        <v>26.53636031204287</v>
      </c>
      <c r="AS54" s="13">
        <f>'2026_Fantasy_Relievers'!T46</f>
        <v>8.2848886342423516</v>
      </c>
      <c r="AT54" s="13">
        <f>'2026_Fantasy_Relievers'!U46</f>
        <v>3.6742652739751667</v>
      </c>
      <c r="AU54" s="13">
        <f>'2026_Fantasy_Relievers'!V46</f>
        <v>0.12108707814843112</v>
      </c>
      <c r="AV54" s="13">
        <f>'2026_Fantasy_Relievers'!W46</f>
        <v>3.8491762813115957</v>
      </c>
      <c r="AW54" s="13">
        <f>'2026_Fantasy_Relievers'!X46</f>
        <v>1.2852834322103595</v>
      </c>
    </row>
    <row r="55" spans="1:49">
      <c r="A55" s="13" t="s">
        <v>178</v>
      </c>
      <c r="B55" s="13" t="s">
        <v>96</v>
      </c>
      <c r="C55" s="13" t="s">
        <v>18</v>
      </c>
      <c r="D55" s="13">
        <v>59</v>
      </c>
      <c r="E55" s="13">
        <v>61</v>
      </c>
      <c r="F55" s="15">
        <f t="shared" si="21"/>
        <v>-6.2581940830819276</v>
      </c>
      <c r="G55" s="13">
        <v>256</v>
      </c>
      <c r="H55" s="13">
        <f t="shared" si="22"/>
        <v>-0.65711041473647291</v>
      </c>
      <c r="I55" s="13">
        <f t="shared" si="23"/>
        <v>-0.86489762620251542</v>
      </c>
      <c r="J55" s="13">
        <f t="shared" si="24"/>
        <v>-6.4549421012309163E-2</v>
      </c>
      <c r="K55" s="13">
        <f t="shared" si="25"/>
        <v>1.5219027899080315</v>
      </c>
      <c r="L55" s="13">
        <f t="shared" si="26"/>
        <v>-1.0096107517668722</v>
      </c>
      <c r="M55" s="13">
        <f t="shared" si="27"/>
        <v>-1.1589330203609185</v>
      </c>
      <c r="N55" s="13">
        <f t="shared" si="28"/>
        <v>-1.0213161019374564</v>
      </c>
      <c r="O55" s="13">
        <f t="shared" si="29"/>
        <v>-0.99992996953666513</v>
      </c>
      <c r="P55" s="13">
        <f t="shared" si="30"/>
        <v>-0.95102951787142476</v>
      </c>
      <c r="Q55" s="13">
        <f t="shared" si="31"/>
        <v>-1.0527200495653239</v>
      </c>
      <c r="T55" s="13">
        <f t="shared" si="32"/>
        <v>90.671641791044749</v>
      </c>
      <c r="U55" s="13">
        <f t="shared" si="33"/>
        <v>86.80563642715731</v>
      </c>
      <c r="V55" s="13">
        <f t="shared" si="34"/>
        <v>98.683249528767817</v>
      </c>
      <c r="W55" s="13">
        <f t="shared" si="35"/>
        <v>120.80167619742095</v>
      </c>
      <c r="X55" s="13">
        <f t="shared" si="36"/>
        <v>87.400832288988553</v>
      </c>
      <c r="Y55" s="13">
        <f t="shared" si="37"/>
        <v>92.638577217623407</v>
      </c>
      <c r="Z55" s="13">
        <f>(AS55-AVERAGE(AS$2:AS114))/AVERAGE(AS$2:AS$61)*100+100</f>
        <v>86.197666261662548</v>
      </c>
      <c r="AA55" s="13">
        <f t="shared" si="38"/>
        <v>58.490566037735789</v>
      </c>
      <c r="AB55" s="13">
        <f t="shared" si="39"/>
        <v>74.384880370212159</v>
      </c>
      <c r="AC55" s="13">
        <f t="shared" si="40"/>
        <v>78.399958563902629</v>
      </c>
      <c r="AE55" s="13">
        <f>'2026_Fantasy_Relievers'!G27</f>
        <v>2.9999999999999973</v>
      </c>
      <c r="AF55" s="13">
        <f>'2026_Fantasy_Relievers'!H27</f>
        <v>2.9999999999999973</v>
      </c>
      <c r="AG55" s="13">
        <f>'2026_Fantasy_Relievers'!I27</f>
        <v>5.2239374999999981</v>
      </c>
      <c r="AH55" s="13">
        <f>'2026_Fantasy_Relievers'!J27</f>
        <v>12.796874999999943</v>
      </c>
      <c r="AI55" s="13">
        <f t="shared" si="41"/>
        <v>18.020812499999941</v>
      </c>
      <c r="AJ55" s="13">
        <f>'2026_Fantasy_Relievers'!K27</f>
        <v>5</v>
      </c>
      <c r="AK55" s="13">
        <f>'2026_Fantasy_Relievers'!L27</f>
        <v>55.301291989664001</v>
      </c>
      <c r="AL55" s="13">
        <f>'2026_Fantasy_Relievers'!M27</f>
        <v>28.631869078380543</v>
      </c>
      <c r="AM55" s="13">
        <f>'2026_Fantasy_Relievers'!N27</f>
        <v>26.691472868216831</v>
      </c>
      <c r="AN55" s="13">
        <f>'2026_Fantasy_Relievers'!O27</f>
        <v>6.9810163652023807</v>
      </c>
      <c r="AO55" s="13">
        <f>'2026_Fantasy_Relievers'!P27</f>
        <v>1.6769336778639052</v>
      </c>
      <c r="AP55" s="13">
        <f>'2026_Fantasy_Relievers'!Q27</f>
        <v>2.4144702842377215</v>
      </c>
      <c r="AQ55" s="13">
        <f>'2026_Fantasy_Relievers'!R27</f>
        <v>58.024375193798399</v>
      </c>
      <c r="AR55" s="13">
        <f>'2026_Fantasy_Relievers'!S27</f>
        <v>22.417066666666624</v>
      </c>
      <c r="AS55" s="13">
        <f>'2026_Fantasy_Relievers'!T27</f>
        <v>8.5609733892489448</v>
      </c>
      <c r="AT55" s="13">
        <f>'2026_Fantasy_Relievers'!U27</f>
        <v>3.3074360655737642</v>
      </c>
      <c r="AU55" s="13">
        <f>'2026_Fantasy_Relievers'!V27</f>
        <v>0.13909104893410851</v>
      </c>
      <c r="AV55" s="13">
        <f>'2026_Fantasy_Relievers'!W27</f>
        <v>3.9380861608844504</v>
      </c>
      <c r="AW55" s="13">
        <f>'2026_Fantasy_Relievers'!X27</f>
        <v>1.2740714533824693</v>
      </c>
    </row>
    <row r="56" spans="1:49">
      <c r="A56" s="13" t="s">
        <v>574</v>
      </c>
      <c r="B56" s="13" t="s">
        <v>39</v>
      </c>
      <c r="C56" s="13" t="s">
        <v>18</v>
      </c>
      <c r="D56" s="13">
        <v>62</v>
      </c>
      <c r="E56" s="13">
        <v>65.67</v>
      </c>
      <c r="F56" s="15">
        <f t="shared" si="21"/>
        <v>-6.363204228802303</v>
      </c>
      <c r="G56" s="13">
        <v>273</v>
      </c>
      <c r="H56" s="13">
        <f t="shared" si="22"/>
        <v>-1.7216292866095679</v>
      </c>
      <c r="I56" s="13">
        <f t="shared" si="23"/>
        <v>0.3717609390649827</v>
      </c>
      <c r="J56" s="13">
        <f t="shared" si="24"/>
        <v>-1.632922617157347</v>
      </c>
      <c r="K56" s="13">
        <f t="shared" si="25"/>
        <v>-0.96628292343307642</v>
      </c>
      <c r="L56" s="13">
        <f t="shared" si="26"/>
        <v>-1.1167693304948207</v>
      </c>
      <c r="M56" s="13">
        <f t="shared" si="27"/>
        <v>-0.14602531695135282</v>
      </c>
      <c r="N56" s="13">
        <f t="shared" si="28"/>
        <v>-0.96721693878331993</v>
      </c>
      <c r="O56" s="13">
        <f t="shared" si="29"/>
        <v>1.0453813317883294</v>
      </c>
      <c r="P56" s="13">
        <f t="shared" si="30"/>
        <v>-0.58139261474078319</v>
      </c>
      <c r="Q56" s="13">
        <f t="shared" si="31"/>
        <v>-0.64810747148534731</v>
      </c>
      <c r="T56" s="13">
        <f t="shared" si="32"/>
        <v>75.559701492537187</v>
      </c>
      <c r="U56" s="13">
        <f t="shared" si="33"/>
        <v>105.67136368929789</v>
      </c>
      <c r="V56" s="13">
        <f t="shared" si="34"/>
        <v>66.689838701767144</v>
      </c>
      <c r="W56" s="13">
        <f t="shared" si="35"/>
        <v>86.792648898707426</v>
      </c>
      <c r="X56" s="13">
        <f t="shared" si="36"/>
        <v>86.063575427664247</v>
      </c>
      <c r="Y56" s="13">
        <f t="shared" si="37"/>
        <v>99.072462276832283</v>
      </c>
      <c r="Z56" s="13">
        <f>(AS56-AVERAGE(AS$2:AS115))/AVERAGE(AS$2:AS$61)*100+100</f>
        <v>86.928776545150356</v>
      </c>
      <c r="AA56" s="13">
        <f t="shared" si="38"/>
        <v>143.39622641509439</v>
      </c>
      <c r="AB56" s="13">
        <f t="shared" si="39"/>
        <v>84.340715930886887</v>
      </c>
      <c r="AC56" s="13">
        <f t="shared" si="40"/>
        <v>86.7019268371414</v>
      </c>
      <c r="AE56" s="13">
        <f>'2026_Fantasy_Relievers'!G54</f>
        <v>2.4999999999999942</v>
      </c>
      <c r="AF56" s="13">
        <f>'2026_Fantasy_Relievers'!H54</f>
        <v>2.4999999999999942</v>
      </c>
      <c r="AG56" s="13">
        <f>'2026_Fantasy_Relievers'!I54</f>
        <v>3.6024545454545387</v>
      </c>
      <c r="AH56" s="13">
        <f>'2026_Fantasy_Relievers'!J54</f>
        <v>16.830303030302996</v>
      </c>
      <c r="AI56" s="13">
        <f t="shared" si="41"/>
        <v>20.432757575757535</v>
      </c>
      <c r="AJ56" s="13">
        <f>'2026_Fantasy_Relievers'!K54</f>
        <v>1.9999999999999978</v>
      </c>
      <c r="AK56" s="13">
        <f>'2026_Fantasy_Relievers'!L54</f>
        <v>57.650649045980444</v>
      </c>
      <c r="AL56" s="13">
        <f>'2026_Fantasy_Relievers'!M54</f>
        <v>31.538317172348805</v>
      </c>
      <c r="AM56" s="13">
        <f>'2026_Fantasy_Relievers'!N54</f>
        <v>29.076165154832523</v>
      </c>
      <c r="AN56" s="13">
        <f>'2026_Fantasy_Relievers'!O54</f>
        <v>9.185454659197525</v>
      </c>
      <c r="AO56" s="13">
        <f>'2026_Fantasy_Relievers'!P54</f>
        <v>1.1853512300789004</v>
      </c>
      <c r="AP56" s="13">
        <f>'2026_Fantasy_Relievers'!Q54</f>
        <v>3.4512824522990266</v>
      </c>
      <c r="AQ56" s="13">
        <f>'2026_Fantasy_Relievers'!R54</f>
        <v>62.996397325617757</v>
      </c>
      <c r="AR56" s="13">
        <f>'2026_Fantasy_Relievers'!S54</f>
        <v>21.003605846958763</v>
      </c>
      <c r="AS56" s="13">
        <f>'2026_Fantasy_Relievers'!T54</f>
        <v>8.6335857458589889</v>
      </c>
      <c r="AT56" s="13">
        <f>'2026_Fantasy_Relievers'!U54</f>
        <v>2.8785206734068658</v>
      </c>
      <c r="AU56" s="13">
        <f>'2026_Fantasy_Relievers'!V54</f>
        <v>0.15381974900607689</v>
      </c>
      <c r="AV56" s="13">
        <f>'2026_Fantasy_Relievers'!W54</f>
        <v>3.984855891480017</v>
      </c>
      <c r="AW56" s="13">
        <f>'2026_Fantasy_Relievers'!X54</f>
        <v>1.1977197334085459</v>
      </c>
    </row>
    <row r="57" spans="1:49">
      <c r="A57" s="13" t="s">
        <v>252</v>
      </c>
      <c r="B57" s="13" t="s">
        <v>253</v>
      </c>
      <c r="C57" s="13" t="s">
        <v>18</v>
      </c>
      <c r="D57" s="13">
        <v>61</v>
      </c>
      <c r="E57" s="13">
        <v>63.33</v>
      </c>
      <c r="F57" s="15">
        <f t="shared" si="21"/>
        <v>-6.4207893847138973</v>
      </c>
      <c r="G57" s="13">
        <v>275</v>
      </c>
      <c r="H57" s="13">
        <f t="shared" si="22"/>
        <v>-0.65711041473647491</v>
      </c>
      <c r="I57" s="13">
        <f t="shared" si="23"/>
        <v>0.37176093906497615</v>
      </c>
      <c r="J57" s="13">
        <f t="shared" si="24"/>
        <v>0.82728430206786963</v>
      </c>
      <c r="K57" s="13">
        <f t="shared" si="25"/>
        <v>-2.3447181583150711</v>
      </c>
      <c r="L57" s="13">
        <f t="shared" si="26"/>
        <v>-0.67682727790194375</v>
      </c>
      <c r="M57" s="13">
        <f t="shared" si="27"/>
        <v>-1.8357812368433468</v>
      </c>
      <c r="N57" s="13">
        <f t="shared" si="28"/>
        <v>-0.41896281977066191</v>
      </c>
      <c r="O57" s="13">
        <f t="shared" si="29"/>
        <v>-0.9999299695366608</v>
      </c>
      <c r="P57" s="13">
        <f t="shared" si="30"/>
        <v>0.44922462316428324</v>
      </c>
      <c r="Q57" s="13">
        <f t="shared" si="31"/>
        <v>-1.1357293719068671</v>
      </c>
      <c r="T57" s="13">
        <f t="shared" si="32"/>
        <v>90.671641791044721</v>
      </c>
      <c r="U57" s="13">
        <f t="shared" si="33"/>
        <v>105.67136368929779</v>
      </c>
      <c r="V57" s="13">
        <f t="shared" si="34"/>
        <v>116.87586003882342</v>
      </c>
      <c r="W57" s="13">
        <f t="shared" si="35"/>
        <v>67.951916359631227</v>
      </c>
      <c r="X57" s="13">
        <f t="shared" si="36"/>
        <v>91.553714765071135</v>
      </c>
      <c r="Y57" s="13">
        <f t="shared" si="37"/>
        <v>88.339307291331181</v>
      </c>
      <c r="Z57" s="13">
        <f>(AS57-AVERAGE(AS$2:AS116))/AVERAGE(AS$2:AS$61)*100+100</f>
        <v>94.338026540989816</v>
      </c>
      <c r="AA57" s="13">
        <f t="shared" si="38"/>
        <v>58.490566037735967</v>
      </c>
      <c r="AB57" s="13">
        <f t="shared" si="39"/>
        <v>112.09945879361773</v>
      </c>
      <c r="AC57" s="13">
        <f t="shared" si="40"/>
        <v>76.696747151808751</v>
      </c>
      <c r="AE57" s="13">
        <f>'2026_Fantasy_Relievers'!G39</f>
        <v>2.9999999999999964</v>
      </c>
      <c r="AF57" s="13">
        <f>'2026_Fantasy_Relievers'!H39</f>
        <v>2.4999999999999969</v>
      </c>
      <c r="AG57" s="13">
        <f>'2026_Fantasy_Relievers'!I39</f>
        <v>15.814857142857113</v>
      </c>
      <c r="AH57" s="13">
        <f>'2026_Fantasy_Relievers'!J39</f>
        <v>11.342857142857115</v>
      </c>
      <c r="AI57" s="13">
        <f t="shared" si="41"/>
        <v>27.157714285714228</v>
      </c>
      <c r="AJ57" s="13">
        <f>'2026_Fantasy_Relievers'!K39</f>
        <v>4.9999999999999938</v>
      </c>
      <c r="AK57" s="13">
        <f>'2026_Fantasy_Relievers'!L39</f>
        <v>55.407363675396972</v>
      </c>
      <c r="AL57" s="13">
        <f>'2026_Fantasy_Relievers'!M39</f>
        <v>28.703641584370775</v>
      </c>
      <c r="AM57" s="13">
        <f>'2026_Fantasy_Relievers'!N39</f>
        <v>26.688962537569747</v>
      </c>
      <c r="AN57" s="13">
        <f>'2026_Fantasy_Relievers'!O39</f>
        <v>5.7274930227565326</v>
      </c>
      <c r="AO57" s="13">
        <f>'2026_Fantasy_Relievers'!P39</f>
        <v>2.0111117141073889</v>
      </c>
      <c r="AP57" s="13">
        <f>'2026_Fantasy_Relievers'!Q39</f>
        <v>4.0256682052382677</v>
      </c>
      <c r="AQ57" s="13">
        <f>'2026_Fantasy_Relievers'!R39</f>
        <v>65.92974635036488</v>
      </c>
      <c r="AR57" s="13">
        <f>'2026_Fantasy_Relievers'!S39</f>
        <v>28.510676470588127</v>
      </c>
      <c r="AS57" s="13">
        <f>'2026_Fantasy_Relievers'!T39</f>
        <v>9.3694570843720815</v>
      </c>
      <c r="AT57" s="13">
        <f>'2026_Fantasy_Relievers'!U39</f>
        <v>4.0517304316326088</v>
      </c>
      <c r="AU57" s="13">
        <f>'2026_Fantasy_Relievers'!V39</f>
        <v>0.13606934501737</v>
      </c>
      <c r="AV57" s="13">
        <f>'2026_Fantasy_Relievers'!W39</f>
        <v>3.7928416680582306</v>
      </c>
      <c r="AW57" s="13">
        <f>'2026_Fantasy_Relievers'!X39</f>
        <v>1.3250914281696684</v>
      </c>
    </row>
    <row r="58" spans="1:49">
      <c r="A58" s="13" t="s">
        <v>220</v>
      </c>
      <c r="B58" s="13" t="s">
        <v>221</v>
      </c>
      <c r="C58" s="13" t="s">
        <v>18</v>
      </c>
      <c r="D58" s="13">
        <v>62</v>
      </c>
      <c r="E58" s="13">
        <v>61.67</v>
      </c>
      <c r="F58" s="15">
        <f t="shared" si="21"/>
        <v>-7.1197884562431923</v>
      </c>
      <c r="G58" s="13">
        <v>262</v>
      </c>
      <c r="H58" s="13">
        <f t="shared" si="22"/>
        <v>-1.7216292866095679</v>
      </c>
      <c r="I58" s="13">
        <f t="shared" si="23"/>
        <v>-0.86489762620249955</v>
      </c>
      <c r="J58" s="13">
        <f t="shared" si="24"/>
        <v>-0.52131215278715681</v>
      </c>
      <c r="K58" s="13">
        <f t="shared" si="25"/>
        <v>-1.0026056363511964</v>
      </c>
      <c r="L58" s="13">
        <f t="shared" si="26"/>
        <v>-0.59054221007981245</v>
      </c>
      <c r="M58" s="13">
        <f t="shared" si="27"/>
        <v>-1.1327692976780657</v>
      </c>
      <c r="N58" s="13">
        <f t="shared" si="28"/>
        <v>7.2296517874064742E-2</v>
      </c>
      <c r="O58" s="13">
        <f t="shared" si="29"/>
        <v>-0.99992996953666158</v>
      </c>
      <c r="P58" s="13">
        <f t="shared" si="30"/>
        <v>0.35168297914898949</v>
      </c>
      <c r="Q58" s="13">
        <f t="shared" si="31"/>
        <v>-0.7100817740212868</v>
      </c>
      <c r="T58" s="13">
        <f t="shared" si="32"/>
        <v>75.559701492537187</v>
      </c>
      <c r="U58" s="13">
        <f t="shared" si="33"/>
        <v>86.805636427157552</v>
      </c>
      <c r="V58" s="13">
        <f t="shared" si="34"/>
        <v>89.365698218878933</v>
      </c>
      <c r="W58" s="13">
        <f t="shared" si="35"/>
        <v>86.296182686972401</v>
      </c>
      <c r="X58" s="13">
        <f t="shared" si="36"/>
        <v>92.630486222332763</v>
      </c>
      <c r="Y58" s="13">
        <f t="shared" si="37"/>
        <v>92.804766480372479</v>
      </c>
      <c r="Z58" s="13">
        <f>(AS58-AVERAGE(AS$2:AS117))/AVERAGE(AS$2:AS$61)*100+100</f>
        <v>100.97703410915047</v>
      </c>
      <c r="AA58" s="13">
        <f t="shared" si="38"/>
        <v>58.490566037735938</v>
      </c>
      <c r="AB58" s="13">
        <f t="shared" si="39"/>
        <v>109.47226286185516</v>
      </c>
      <c r="AC58" s="13">
        <f t="shared" si="40"/>
        <v>85.430318584498863</v>
      </c>
      <c r="AE58" s="13">
        <f>'2026_Fantasy_Relievers'!G35</f>
        <v>2.4999999999999942</v>
      </c>
      <c r="AF58" s="13">
        <f>'2026_Fantasy_Relievers'!H35</f>
        <v>2.9999999999999907</v>
      </c>
      <c r="AG58" s="13">
        <f>'2026_Fantasy_Relievers'!I35</f>
        <v>20.540285714285712</v>
      </c>
      <c r="AH58" s="13">
        <f>'2026_Fantasy_Relievers'!J35</f>
        <v>5.9809523809523792</v>
      </c>
      <c r="AI58" s="13">
        <f t="shared" si="41"/>
        <v>26.52123809523809</v>
      </c>
      <c r="AJ58" s="13">
        <f>'2026_Fantasy_Relievers'!K35</f>
        <v>4.9999999999999947</v>
      </c>
      <c r="AK58" s="13">
        <f>'2026_Fantasy_Relievers'!L35</f>
        <v>49.440298507462551</v>
      </c>
      <c r="AL58" s="13">
        <f>'2026_Fantasy_Relievers'!M35</f>
        <v>28.197761194029649</v>
      </c>
      <c r="AM58" s="13">
        <f>'2026_Fantasy_Relievers'!N35</f>
        <v>25.731343283582071</v>
      </c>
      <c r="AN58" s="13">
        <f>'2026_Fantasy_Relievers'!O35</f>
        <v>7.623022527810372</v>
      </c>
      <c r="AO58" s="13">
        <f>'2026_Fantasy_Relievers'!P35</f>
        <v>0.99552238805968196</v>
      </c>
      <c r="AP58" s="13">
        <f>'2026_Fantasy_Relievers'!Q35</f>
        <v>3.4664179104477411</v>
      </c>
      <c r="AQ58" s="13">
        <f>'2026_Fantasy_Relievers'!R35</f>
        <v>68.719768656716198</v>
      </c>
      <c r="AR58" s="13">
        <f>'2026_Fantasy_Relievers'!S35</f>
        <v>29.010063139359129</v>
      </c>
      <c r="AS58" s="13">
        <f>'2026_Fantasy_Relievers'!T35</f>
        <v>10.028829542896801</v>
      </c>
      <c r="AT58" s="13">
        <f>'2026_Fantasy_Relievers'!U35</f>
        <v>4.2336722596762142</v>
      </c>
      <c r="AU58" s="13">
        <f>'2026_Fantasy_Relievers'!V35</f>
        <v>0.15156376151663001</v>
      </c>
      <c r="AV58" s="13">
        <f>'2026_Fantasy_Relievers'!W35</f>
        <v>3.755182253157753</v>
      </c>
      <c r="AW58" s="13">
        <f>'2026_Fantasy_Relievers'!X35</f>
        <v>1.2720992645828064</v>
      </c>
    </row>
    <row r="59" spans="1:49">
      <c r="A59" s="13" t="s">
        <v>618</v>
      </c>
      <c r="B59" s="13" t="s">
        <v>111</v>
      </c>
      <c r="C59" s="13" t="s">
        <v>18</v>
      </c>
      <c r="D59" s="13">
        <v>66</v>
      </c>
      <c r="E59" s="13">
        <v>66.33</v>
      </c>
      <c r="F59" s="15">
        <f t="shared" si="21"/>
        <v>-7.6611748644372692</v>
      </c>
      <c r="G59" s="13">
        <v>286</v>
      </c>
      <c r="H59" s="13">
        <f t="shared" si="22"/>
        <v>-0.65711041473647491</v>
      </c>
      <c r="I59" s="13">
        <f t="shared" si="23"/>
        <v>0.37176093906498175</v>
      </c>
      <c r="J59" s="13">
        <f t="shared" si="24"/>
        <v>-1.3581573983903095</v>
      </c>
      <c r="K59" s="13">
        <f t="shared" si="25"/>
        <v>-0.82627886372089587</v>
      </c>
      <c r="L59" s="13">
        <f t="shared" si="26"/>
        <v>-1.9093447714764951</v>
      </c>
      <c r="M59" s="13">
        <f t="shared" si="27"/>
        <v>-2.0483070023650103</v>
      </c>
      <c r="N59" s="13">
        <f t="shared" si="28"/>
        <v>-0.29682772165528498</v>
      </c>
      <c r="O59" s="13">
        <f t="shared" si="29"/>
        <v>0.3636108980133323</v>
      </c>
      <c r="P59" s="13">
        <f t="shared" si="30"/>
        <v>-0.29472489732542473</v>
      </c>
      <c r="Q59" s="13">
        <f t="shared" si="31"/>
        <v>-1.0057956318456878</v>
      </c>
      <c r="T59" s="13">
        <f t="shared" si="32"/>
        <v>90.671641791044721</v>
      </c>
      <c r="U59" s="13">
        <f t="shared" si="33"/>
        <v>105.67136368929788</v>
      </c>
      <c r="V59" s="13">
        <f t="shared" si="34"/>
        <v>72.294803480935443</v>
      </c>
      <c r="W59" s="13">
        <f t="shared" si="35"/>
        <v>88.706252800197845</v>
      </c>
      <c r="X59" s="13">
        <f t="shared" si="36"/>
        <v>76.17284190775942</v>
      </c>
      <c r="Y59" s="13">
        <f t="shared" si="37"/>
        <v>86.98936559093336</v>
      </c>
      <c r="Z59" s="13">
        <f>(AS59-AVERAGE(AS$2:AS118))/AVERAGE(AS$2:AS$61)*100+100</f>
        <v>95.988592298403333</v>
      </c>
      <c r="AA59" s="13">
        <f t="shared" si="38"/>
        <v>115.09433962264157</v>
      </c>
      <c r="AB59" s="13">
        <f t="shared" si="39"/>
        <v>92.061851539829533</v>
      </c>
      <c r="AC59" s="13">
        <f t="shared" si="40"/>
        <v>79.36276854128208</v>
      </c>
      <c r="AE59" s="13">
        <f>'2026_Fantasy_Relievers'!G61</f>
        <v>2.9999999999999964</v>
      </c>
      <c r="AF59" s="13">
        <f>'2026_Fantasy_Relievers'!H61</f>
        <v>2.4999999999999947</v>
      </c>
      <c r="AG59" s="13">
        <f>'2026_Fantasy_Relievers'!I61</f>
        <v>5.2518857142857094</v>
      </c>
      <c r="AH59" s="13">
        <f>'2026_Fantasy_Relievers'!J61</f>
        <v>17.051428571428549</v>
      </c>
      <c r="AI59" s="13">
        <f t="shared" si="41"/>
        <v>22.303314285714258</v>
      </c>
      <c r="AJ59" s="13">
        <f>'2026_Fantasy_Relievers'!K61</f>
        <v>2.9999999999999964</v>
      </c>
      <c r="AK59" s="13">
        <f>'2026_Fantasy_Relievers'!L61</f>
        <v>58.963416305092437</v>
      </c>
      <c r="AL59" s="13">
        <f>'2026_Fantasy_Relievers'!M61</f>
        <v>34.324571820050224</v>
      </c>
      <c r="AM59" s="13">
        <f>'2026_Fantasy_Relievers'!N61</f>
        <v>31.917835122173859</v>
      </c>
      <c r="AN59" s="13">
        <f>'2026_Fantasy_Relievers'!O61</f>
        <v>8.7992564178626242</v>
      </c>
      <c r="AO59" s="13">
        <f>'2026_Fantasy_Relievers'!P61</f>
        <v>1.9692818937065959</v>
      </c>
      <c r="AP59" s="13">
        <f>'2026_Fantasy_Relievers'!Q61</f>
        <v>3.3929435944279018</v>
      </c>
      <c r="AQ59" s="13">
        <f>'2026_Fantasy_Relievers'!R61</f>
        <v>70.261068463119244</v>
      </c>
      <c r="AR59" s="13">
        <f>'2026_Fantasy_Relievers'!S61</f>
        <v>29.9924999009922</v>
      </c>
      <c r="AS59" s="13">
        <f>'2026_Fantasy_Relievers'!T61</f>
        <v>9.533387851169504</v>
      </c>
      <c r="AT59" s="13">
        <f>'2026_Fantasy_Relievers'!U61</f>
        <v>4.0695386568510452</v>
      </c>
      <c r="AU59" s="13">
        <f>'2026_Fantasy_Relievers'!V61</f>
        <v>0.14079919077666803</v>
      </c>
      <c r="AV59" s="13">
        <f>'2026_Fantasy_Relievers'!W61</f>
        <v>4.3307781712583253</v>
      </c>
      <c r="AW59" s="13">
        <f>'2026_Fantasy_Relievers'!X61</f>
        <v>1.3411113554362226</v>
      </c>
    </row>
    <row r="60" spans="1:49">
      <c r="A60" s="13" t="s">
        <v>77</v>
      </c>
      <c r="B60" s="13" t="s">
        <v>78</v>
      </c>
      <c r="C60" s="13" t="s">
        <v>18</v>
      </c>
      <c r="D60" s="13">
        <v>63</v>
      </c>
      <c r="E60" s="13">
        <v>64.67</v>
      </c>
      <c r="F60" s="15">
        <f t="shared" si="21"/>
        <v>-8.6291029305745148</v>
      </c>
      <c r="G60" s="13">
        <v>273</v>
      </c>
      <c r="H60" s="13">
        <f t="shared" si="22"/>
        <v>0.407408457136614</v>
      </c>
      <c r="I60" s="13">
        <f t="shared" si="23"/>
        <v>-0.86489762620250332</v>
      </c>
      <c r="J60" s="13">
        <f t="shared" si="24"/>
        <v>-1.3984620079546015</v>
      </c>
      <c r="K60" s="13">
        <f t="shared" si="25"/>
        <v>0.18146774882945049</v>
      </c>
      <c r="L60" s="13">
        <f t="shared" si="26"/>
        <v>-2.4173490933184234</v>
      </c>
      <c r="M60" s="13">
        <f t="shared" si="27"/>
        <v>-1.7523586024329825</v>
      </c>
      <c r="N60" s="13">
        <f t="shared" si="28"/>
        <v>-1.5653284732004717</v>
      </c>
      <c r="O60" s="13">
        <f t="shared" si="29"/>
        <v>-0.99992996953666269</v>
      </c>
      <c r="P60" s="13">
        <f t="shared" si="30"/>
        <v>1.3913216981818071</v>
      </c>
      <c r="Q60" s="13">
        <f t="shared" si="31"/>
        <v>-1.6109750620767411</v>
      </c>
      <c r="T60" s="13">
        <f t="shared" si="32"/>
        <v>105.7835820895522</v>
      </c>
      <c r="U60" s="13">
        <f t="shared" si="33"/>
        <v>86.805636427157495</v>
      </c>
      <c r="V60" s="13">
        <f t="shared" si="34"/>
        <v>71.47262548453655</v>
      </c>
      <c r="W60" s="13">
        <f t="shared" si="35"/>
        <v>102.48033801925897</v>
      </c>
      <c r="X60" s="13">
        <f t="shared" si="36"/>
        <v>69.833337660598858</v>
      </c>
      <c r="Y60" s="13">
        <f t="shared" si="37"/>
        <v>88.869199244295885</v>
      </c>
      <c r="Z60" s="13">
        <f>(AS60-AVERAGE(AS$2:AS119))/AVERAGE(AS$2:AS$61)*100+100</f>
        <v>78.845740357711335</v>
      </c>
      <c r="AA60" s="13">
        <f t="shared" si="38"/>
        <v>58.490566037735888</v>
      </c>
      <c r="AB60" s="13">
        <f t="shared" si="39"/>
        <v>137.47399115667062</v>
      </c>
      <c r="AC60" s="13">
        <f t="shared" si="40"/>
        <v>66.945506445189181</v>
      </c>
      <c r="AE60" s="13">
        <f>'2026_Fantasy_Relievers'!G12</f>
        <v>3.4999999999999964</v>
      </c>
      <c r="AF60" s="13">
        <f>'2026_Fantasy_Relievers'!H12</f>
        <v>2.9999999999999925</v>
      </c>
      <c r="AG60" s="13">
        <f>'2026_Fantasy_Relievers'!I12</f>
        <v>31.317369230769174</v>
      </c>
      <c r="AH60" s="13">
        <f>'2026_Fantasy_Relievers'!J12</f>
        <v>1.9876923076923043</v>
      </c>
      <c r="AI60" s="13">
        <f t="shared" si="41"/>
        <v>33.30506153846148</v>
      </c>
      <c r="AJ60" s="13">
        <f>'2026_Fantasy_Relievers'!K12</f>
        <v>4.9999999999999964</v>
      </c>
      <c r="AK60" s="13">
        <f>'2026_Fantasy_Relievers'!L12</f>
        <v>61.442446043165184</v>
      </c>
      <c r="AL60" s="13">
        <f>'2026_Fantasy_Relievers'!M12</f>
        <v>35.194244604316431</v>
      </c>
      <c r="AM60" s="13">
        <f>'2026_Fantasy_Relievers'!N12</f>
        <v>32.712230215827162</v>
      </c>
      <c r="AN60" s="13">
        <f>'2026_Fantasy_Relievers'!O12</f>
        <v>8.85590685346458</v>
      </c>
      <c r="AO60" s="13">
        <f>'2026_Fantasy_Relievers'!P12</f>
        <v>2.4778207327376358</v>
      </c>
      <c r="AP60" s="13">
        <f>'2026_Fantasy_Relievers'!Q12</f>
        <v>2.9730215827337845</v>
      </c>
      <c r="AQ60" s="13">
        <f>'2026_Fantasy_Relievers'!R12</f>
        <v>56.268615107913391</v>
      </c>
      <c r="AR60" s="13">
        <f>'2026_Fantasy_Relievers'!S12</f>
        <v>23.844552631578942</v>
      </c>
      <c r="AS60" s="13">
        <f>'2026_Fantasy_Relievers'!T12</f>
        <v>7.8307953606188416</v>
      </c>
      <c r="AT60" s="13">
        <f>'2026_Fantasy_Relievers'!U12</f>
        <v>3.3184007064204497</v>
      </c>
      <c r="AU60" s="13">
        <f>'2026_Fantasy_Relievers'!V12</f>
        <v>0.11876945962027269</v>
      </c>
      <c r="AV60" s="13">
        <f>'2026_Fantasy_Relievers'!W12</f>
        <v>4.5524984064086045</v>
      </c>
      <c r="AW60" s="13">
        <f>'2026_Fantasy_Relievers'!X12</f>
        <v>1.3188031339839821</v>
      </c>
    </row>
    <row r="61" spans="1:49">
      <c r="A61" s="13" t="s">
        <v>532</v>
      </c>
      <c r="B61" s="13" t="s">
        <v>78</v>
      </c>
      <c r="C61" s="13" t="s">
        <v>18</v>
      </c>
      <c r="D61" s="13">
        <v>59</v>
      </c>
      <c r="E61" s="13">
        <v>62</v>
      </c>
      <c r="F61" s="15">
        <f t="shared" si="21"/>
        <v>-9.5014043139332536</v>
      </c>
      <c r="G61" s="13">
        <v>263</v>
      </c>
      <c r="H61" s="13">
        <f t="shared" si="22"/>
        <v>-0.65711041473647291</v>
      </c>
      <c r="I61" s="13">
        <f t="shared" si="23"/>
        <v>-2.1015561914700007</v>
      </c>
      <c r="J61" s="13">
        <f t="shared" si="24"/>
        <v>1.1783994134548919</v>
      </c>
      <c r="K61" s="13">
        <f t="shared" si="25"/>
        <v>-0.98412394196398756</v>
      </c>
      <c r="L61" s="13">
        <f t="shared" si="26"/>
        <v>-1.0305822052310523</v>
      </c>
      <c r="M61" s="13">
        <f t="shared" si="27"/>
        <v>-1.677092426474881</v>
      </c>
      <c r="N61" s="13">
        <f t="shared" si="28"/>
        <v>-1.2860392266572198</v>
      </c>
      <c r="O61" s="13">
        <f t="shared" si="29"/>
        <v>-0.31815953576166639</v>
      </c>
      <c r="P61" s="13">
        <f t="shared" si="30"/>
        <v>-1.1424182495227442</v>
      </c>
      <c r="Q61" s="13">
        <f t="shared" si="31"/>
        <v>-1.4827215355701193</v>
      </c>
      <c r="T61" s="13">
        <f t="shared" si="32"/>
        <v>90.671641791044749</v>
      </c>
      <c r="U61" s="13">
        <f t="shared" si="33"/>
        <v>67.939909165016928</v>
      </c>
      <c r="V61" s="13">
        <f t="shared" si="34"/>
        <v>124.03829435852744</v>
      </c>
      <c r="W61" s="13">
        <f t="shared" si="35"/>
        <v>86.548794236653336</v>
      </c>
      <c r="X61" s="13">
        <f t="shared" si="36"/>
        <v>87.139124636929111</v>
      </c>
      <c r="Y61" s="13">
        <f t="shared" si="37"/>
        <v>89.347282216051909</v>
      </c>
      <c r="Z61" s="13">
        <f>(AS61-AVERAGE(AS$2:AS120))/AVERAGE(AS$2:AS$61)*100+100</f>
        <v>82.620128505519887</v>
      </c>
      <c r="AA61" s="13">
        <f t="shared" si="38"/>
        <v>86.79245283018868</v>
      </c>
      <c r="AB61" s="13">
        <f t="shared" si="39"/>
        <v>69.229998040151088</v>
      </c>
      <c r="AC61" s="13">
        <f t="shared" si="40"/>
        <v>69.577052683918566</v>
      </c>
      <c r="AE61" s="13">
        <f>'2026_Fantasy_Relievers'!G47</f>
        <v>2.9999999999999973</v>
      </c>
      <c r="AF61" s="13">
        <f>'2026_Fantasy_Relievers'!H47</f>
        <v>3.4999999999999951</v>
      </c>
      <c r="AG61" s="13">
        <f>'2026_Fantasy_Relievers'!I47</f>
        <v>3.2977741935483857</v>
      </c>
      <c r="AH61" s="13">
        <f>'2026_Fantasy_Relievers'!J47</f>
        <v>13.474193548387071</v>
      </c>
      <c r="AI61" s="13">
        <f t="shared" si="41"/>
        <v>16.771967741935455</v>
      </c>
      <c r="AJ61" s="13">
        <f>'2026_Fantasy_Relievers'!K47</f>
        <v>3.9999999999999982</v>
      </c>
      <c r="AK61" s="13">
        <f>'2026_Fantasy_Relievers'!L47</f>
        <v>57.350392198430946</v>
      </c>
      <c r="AL61" s="13">
        <f>'2026_Fantasy_Relievers'!M47</f>
        <v>29.169563988410562</v>
      </c>
      <c r="AM61" s="13">
        <f>'2026_Fantasy_Relievers'!N47</f>
        <v>27.192092431630201</v>
      </c>
      <c r="AN61" s="13">
        <f>'2026_Fantasy_Relievers'!O47</f>
        <v>5.2339806374107525</v>
      </c>
      <c r="AO61" s="13">
        <f>'2026_Fantasy_Relievers'!P47</f>
        <v>1.6970323355347645</v>
      </c>
      <c r="AP61" s="13">
        <f>'2026_Fantasy_Relievers'!Q47</f>
        <v>3.4587166984665352</v>
      </c>
      <c r="AQ61" s="13">
        <f>'2026_Fantasy_Relievers'!R47</f>
        <v>56.527878354886404</v>
      </c>
      <c r="AR61" s="13">
        <f>'2026_Fantasy_Relievers'!S47</f>
        <v>24.063646936612244</v>
      </c>
      <c r="AS61" s="13">
        <f>'2026_Fantasy_Relievers'!T47</f>
        <v>8.2056597611931874</v>
      </c>
      <c r="AT61" s="13">
        <f>'2026_Fantasy_Relievers'!U47</f>
        <v>3.4931100391856482</v>
      </c>
      <c r="AU61" s="13">
        <f>'2026_Fantasy_Relievers'!V47</f>
        <v>0.12343814227480671</v>
      </c>
      <c r="AV61" s="13">
        <f>'2026_Fantasy_Relievers'!W47</f>
        <v>3.9472392239463194</v>
      </c>
      <c r="AW61" s="13">
        <f>'2026_Fantasy_Relievers'!X47</f>
        <v>1.3131296634684386</v>
      </c>
    </row>
    <row r="62" spans="1:49" s="18" customFormat="1">
      <c r="A62" s="17"/>
      <c r="B62" s="17"/>
      <c r="C62" s="17"/>
      <c r="D62" s="17"/>
      <c r="E62" s="17"/>
      <c r="F62" s="15"/>
      <c r="G62" s="17"/>
      <c r="H62" s="13"/>
      <c r="I62" s="13"/>
      <c r="J62" s="13"/>
      <c r="K62" s="13"/>
      <c r="L62" s="13"/>
      <c r="M62" s="13"/>
      <c r="N62" s="13"/>
      <c r="O62" s="13"/>
      <c r="P62" s="13"/>
      <c r="Q62" s="13"/>
      <c r="S62" s="17" t="s">
        <v>285</v>
      </c>
      <c r="T62" s="17">
        <f>AVERAGE(T2:T61)</f>
        <v>99.999999999999957</v>
      </c>
      <c r="U62" s="17">
        <f t="shared" ref="U62:AC62" si="42">AVERAGE(U2:U61)</f>
        <v>100.00000000000007</v>
      </c>
      <c r="V62" s="17">
        <f t="shared" si="42"/>
        <v>99.999999999999957</v>
      </c>
      <c r="W62" s="17">
        <f t="shared" si="42"/>
        <v>100.00000000000003</v>
      </c>
      <c r="X62" s="17">
        <f t="shared" si="42"/>
        <v>99.999999999999929</v>
      </c>
      <c r="Y62" s="17">
        <f t="shared" si="42"/>
        <v>100</v>
      </c>
      <c r="Z62" s="17">
        <f t="shared" si="42"/>
        <v>99.999999999999972</v>
      </c>
      <c r="AA62" s="17">
        <f t="shared" si="42"/>
        <v>100.00000000000004</v>
      </c>
      <c r="AB62" s="17">
        <f t="shared" si="42"/>
        <v>99.999999999999972</v>
      </c>
      <c r="AC62" s="17">
        <f t="shared" si="42"/>
        <v>99.999999999999972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s="18" customFormat="1">
      <c r="A63" s="17"/>
      <c r="B63" s="17"/>
      <c r="C63" s="17"/>
      <c r="D63" s="17"/>
      <c r="E63" s="17"/>
      <c r="F63" s="15"/>
      <c r="G63" s="17"/>
      <c r="H63" s="13"/>
      <c r="I63" s="13"/>
      <c r="J63" s="13"/>
      <c r="K63" s="13"/>
      <c r="L63" s="13"/>
      <c r="M63" s="13"/>
      <c r="N63" s="13"/>
      <c r="O63" s="13"/>
      <c r="P63" s="13"/>
      <c r="Q63" s="13"/>
      <c r="S63" s="17" t="s">
        <v>629</v>
      </c>
      <c r="T63" s="17">
        <f>STDEV(T2:T61)</f>
        <v>14.196028551299474</v>
      </c>
      <c r="U63" s="17">
        <f t="shared" ref="U63:AC63" si="43">STDEV(U2:U61)</f>
        <v>15.255405001832328</v>
      </c>
      <c r="V63" s="17">
        <f t="shared" si="43"/>
        <v>20.399105841414819</v>
      </c>
      <c r="W63" s="17">
        <f t="shared" si="43"/>
        <v>13.668202946574505</v>
      </c>
      <c r="X63" s="17">
        <f t="shared" si="43"/>
        <v>12.479232901355465</v>
      </c>
      <c r="Y63" s="17">
        <f t="shared" si="43"/>
        <v>6.3518966610202172</v>
      </c>
      <c r="Z63" s="17">
        <f t="shared" si="43"/>
        <v>13.514262344590604</v>
      </c>
      <c r="AA63" s="17">
        <f t="shared" si="43"/>
        <v>41.512341090744954</v>
      </c>
      <c r="AB63" s="17">
        <f t="shared" si="43"/>
        <v>26.934095260385885</v>
      </c>
      <c r="AC63" s="17">
        <f t="shared" si="43"/>
        <v>20.518314859697185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</sheetData>
  <sortState xmlns:xlrd2="http://schemas.microsoft.com/office/spreadsheetml/2017/richdata2" ref="A2:AW61">
    <sortCondition descending="1" ref="R2:R61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P14_Relievers</vt:lpstr>
      <vt:lpstr>P14_Rank</vt:lpstr>
      <vt:lpstr>2026_Fantasy_Relievers</vt:lpstr>
      <vt:lpstr>CKBT_Rank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Chang</dc:creator>
  <cp:lastModifiedBy>張書綸</cp:lastModifiedBy>
  <dcterms:created xsi:type="dcterms:W3CDTF">2025-02-09T17:26:49Z</dcterms:created>
  <dcterms:modified xsi:type="dcterms:W3CDTF">2026-03-14T05:10:52Z</dcterms:modified>
</cp:coreProperties>
</file>