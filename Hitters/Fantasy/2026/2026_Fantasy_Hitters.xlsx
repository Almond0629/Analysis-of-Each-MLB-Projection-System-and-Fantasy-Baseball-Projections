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mond/Desktop/Baseball/Projection_model/Hitters/Fantasy/2026/"/>
    </mc:Choice>
  </mc:AlternateContent>
  <xr:revisionPtr revIDLastSave="0" documentId="13_ncr:1_{CEAD06D2-76A4-FA4D-AD42-340C6581AD9F}" xr6:coauthVersionLast="47" xr6:coauthVersionMax="47" xr10:uidLastSave="{00000000-0000-0000-0000-000000000000}"/>
  <bookViews>
    <workbookView xWindow="20240" yWindow="760" windowWidth="10000" windowHeight="17400" activeTab="1" xr2:uid="{00000000-000D-0000-FFFF-FFFF00000000}"/>
  </bookViews>
  <sheets>
    <sheet name="2026_Fantasy_Hitters" sheetId="3" r:id="rId1"/>
    <sheet name="CKBT_Rank" sheetId="4" r:id="rId2"/>
    <sheet name="P14_Hitters" sheetId="1" r:id="rId3"/>
    <sheet name="P14_Rank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4" l="1"/>
  <c r="AD2" i="4"/>
  <c r="AE2" i="4"/>
  <c r="AF2" i="4"/>
  <c r="AG2" i="4"/>
  <c r="AZ2" i="4" s="1"/>
  <c r="AH2" i="4"/>
  <c r="AI2" i="4"/>
  <c r="AJ2" i="4"/>
  <c r="AK2" i="4"/>
  <c r="AL2" i="4"/>
  <c r="AM2" i="4"/>
  <c r="AN2" i="4"/>
  <c r="AO2" i="4"/>
  <c r="AP2" i="4"/>
  <c r="AQ2" i="4"/>
  <c r="AR2" i="4"/>
  <c r="AS2" i="4"/>
  <c r="AT2" i="4"/>
  <c r="AU2" i="4"/>
  <c r="AV2" i="4"/>
  <c r="AW2" i="4"/>
  <c r="AX2" i="4"/>
  <c r="AY2" i="4"/>
  <c r="AC3" i="4"/>
  <c r="AD3" i="4"/>
  <c r="AE3" i="4"/>
  <c r="AF3" i="4"/>
  <c r="AG3" i="4"/>
  <c r="AZ3" i="4" s="1"/>
  <c r="AH3" i="4"/>
  <c r="AI3" i="4"/>
  <c r="AJ3" i="4"/>
  <c r="AK3" i="4"/>
  <c r="AL3" i="4"/>
  <c r="AM3" i="4"/>
  <c r="AN3" i="4"/>
  <c r="AO3" i="4"/>
  <c r="AP3" i="4"/>
  <c r="AQ3" i="4"/>
  <c r="AR3" i="4"/>
  <c r="AS3" i="4"/>
  <c r="AT3" i="4"/>
  <c r="AU3" i="4"/>
  <c r="AV3" i="4"/>
  <c r="AW3" i="4"/>
  <c r="AX3" i="4"/>
  <c r="AY3" i="4"/>
  <c r="AC5" i="4"/>
  <c r="AD5" i="4"/>
  <c r="AE5" i="4"/>
  <c r="AF5" i="4"/>
  <c r="AG5" i="4"/>
  <c r="AZ5" i="4" s="1"/>
  <c r="AH5" i="4"/>
  <c r="AI5" i="4"/>
  <c r="AJ5" i="4"/>
  <c r="AK5" i="4"/>
  <c r="AL5" i="4"/>
  <c r="AM5" i="4"/>
  <c r="AN5" i="4"/>
  <c r="AO5" i="4"/>
  <c r="AP5" i="4"/>
  <c r="AQ5" i="4"/>
  <c r="AR5" i="4"/>
  <c r="AS5" i="4"/>
  <c r="AT5" i="4"/>
  <c r="AU5" i="4"/>
  <c r="AV5" i="4"/>
  <c r="AW5" i="4"/>
  <c r="AX5" i="4"/>
  <c r="AY5" i="4"/>
  <c r="AC4" i="4"/>
  <c r="AD4" i="4"/>
  <c r="AE4" i="4"/>
  <c r="AF4" i="4"/>
  <c r="AG4" i="4"/>
  <c r="AZ4" i="4" s="1"/>
  <c r="AH4" i="4"/>
  <c r="AI4" i="4"/>
  <c r="AJ4" i="4"/>
  <c r="AK4" i="4"/>
  <c r="AL4" i="4"/>
  <c r="AM4" i="4"/>
  <c r="AN4" i="4"/>
  <c r="AO4" i="4"/>
  <c r="AP4" i="4"/>
  <c r="AQ4" i="4"/>
  <c r="AR4" i="4"/>
  <c r="AS4" i="4"/>
  <c r="AT4" i="4"/>
  <c r="AU4" i="4"/>
  <c r="AV4" i="4"/>
  <c r="AW4" i="4"/>
  <c r="AX4" i="4"/>
  <c r="AY4" i="4"/>
  <c r="AC16" i="4"/>
  <c r="AD16" i="4"/>
  <c r="AE16" i="4"/>
  <c r="AF16" i="4"/>
  <c r="AG16" i="4"/>
  <c r="AZ16" i="4" s="1"/>
  <c r="AH16" i="4"/>
  <c r="AI16" i="4"/>
  <c r="AJ16" i="4"/>
  <c r="AK16" i="4"/>
  <c r="AL16" i="4"/>
  <c r="AM16" i="4"/>
  <c r="AN16" i="4"/>
  <c r="AO16" i="4"/>
  <c r="AP16" i="4"/>
  <c r="AQ16" i="4"/>
  <c r="AR16" i="4"/>
  <c r="AS16" i="4"/>
  <c r="AT16" i="4"/>
  <c r="AU16" i="4"/>
  <c r="AV16" i="4"/>
  <c r="AW16" i="4"/>
  <c r="AX16" i="4"/>
  <c r="AY16" i="4"/>
  <c r="AC27" i="4"/>
  <c r="AD27" i="4"/>
  <c r="AE27" i="4"/>
  <c r="AF27" i="4"/>
  <c r="AG27" i="4"/>
  <c r="AH27" i="4"/>
  <c r="AI27" i="4"/>
  <c r="AJ27" i="4"/>
  <c r="AK27" i="4"/>
  <c r="AL27" i="4"/>
  <c r="AM27" i="4"/>
  <c r="AN27" i="4"/>
  <c r="AO27" i="4"/>
  <c r="AP27" i="4"/>
  <c r="AQ27" i="4"/>
  <c r="AR27" i="4"/>
  <c r="AS27" i="4"/>
  <c r="AT27" i="4"/>
  <c r="AU27" i="4"/>
  <c r="AV27" i="4"/>
  <c r="AW27" i="4"/>
  <c r="AX27" i="4"/>
  <c r="AY27" i="4"/>
  <c r="AC7" i="4"/>
  <c r="AD7" i="4"/>
  <c r="AE7" i="4"/>
  <c r="AF7" i="4"/>
  <c r="AG7" i="4"/>
  <c r="AZ7" i="4" s="1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C10" i="4"/>
  <c r="AD10" i="4"/>
  <c r="AE10" i="4"/>
  <c r="AF10" i="4"/>
  <c r="AG10" i="4"/>
  <c r="AZ10" i="4" s="1"/>
  <c r="AH10" i="4"/>
  <c r="AI10" i="4"/>
  <c r="AJ10" i="4"/>
  <c r="AK10" i="4"/>
  <c r="AL10" i="4"/>
  <c r="AM10" i="4"/>
  <c r="AN10" i="4"/>
  <c r="AO10" i="4"/>
  <c r="AP10" i="4"/>
  <c r="AQ10" i="4"/>
  <c r="AR10" i="4"/>
  <c r="AS10" i="4"/>
  <c r="AT10" i="4"/>
  <c r="AU10" i="4"/>
  <c r="AV10" i="4"/>
  <c r="AW10" i="4"/>
  <c r="AX10" i="4"/>
  <c r="AY10" i="4"/>
  <c r="AC14" i="4"/>
  <c r="AD14" i="4"/>
  <c r="AE14" i="4"/>
  <c r="AF14" i="4"/>
  <c r="AG14" i="4"/>
  <c r="AZ14" i="4" s="1"/>
  <c r="AH14" i="4"/>
  <c r="AI14" i="4"/>
  <c r="AJ14" i="4"/>
  <c r="AK14" i="4"/>
  <c r="AL14" i="4"/>
  <c r="AM14" i="4"/>
  <c r="AN14" i="4"/>
  <c r="AO14" i="4"/>
  <c r="AP14" i="4"/>
  <c r="AQ14" i="4"/>
  <c r="AR14" i="4"/>
  <c r="AS14" i="4"/>
  <c r="AT14" i="4"/>
  <c r="AU14" i="4"/>
  <c r="AV14" i="4"/>
  <c r="AW14" i="4"/>
  <c r="AX14" i="4"/>
  <c r="AY14" i="4"/>
  <c r="AC22" i="4"/>
  <c r="AD22" i="4"/>
  <c r="AE22" i="4"/>
  <c r="AF22" i="4"/>
  <c r="AG22" i="4"/>
  <c r="AZ22" i="4" s="1"/>
  <c r="AH22" i="4"/>
  <c r="AI22" i="4"/>
  <c r="AJ22" i="4"/>
  <c r="AK22" i="4"/>
  <c r="AL22" i="4"/>
  <c r="AM22" i="4"/>
  <c r="AN22" i="4"/>
  <c r="AO22" i="4"/>
  <c r="AP22" i="4"/>
  <c r="AQ22" i="4"/>
  <c r="AR22" i="4"/>
  <c r="AS22" i="4"/>
  <c r="AT22" i="4"/>
  <c r="AU22" i="4"/>
  <c r="AV22" i="4"/>
  <c r="AW22" i="4"/>
  <c r="AX22" i="4"/>
  <c r="AY22" i="4"/>
  <c r="AC15" i="4"/>
  <c r="AD15" i="4"/>
  <c r="AE15" i="4"/>
  <c r="AF15" i="4"/>
  <c r="AG15" i="4"/>
  <c r="AZ15" i="4" s="1"/>
  <c r="AH15" i="4"/>
  <c r="AI15" i="4"/>
  <c r="AJ15" i="4"/>
  <c r="AK15" i="4"/>
  <c r="AL15" i="4"/>
  <c r="AM15" i="4"/>
  <c r="AN15" i="4"/>
  <c r="AO15" i="4"/>
  <c r="AP15" i="4"/>
  <c r="AQ15" i="4"/>
  <c r="AR15" i="4"/>
  <c r="AS15" i="4"/>
  <c r="AT15" i="4"/>
  <c r="AU15" i="4"/>
  <c r="AV15" i="4"/>
  <c r="AW15" i="4"/>
  <c r="AX15" i="4"/>
  <c r="AY15" i="4"/>
  <c r="AC17" i="4"/>
  <c r="AD17" i="4"/>
  <c r="AE17" i="4"/>
  <c r="AF17" i="4"/>
  <c r="AG17" i="4"/>
  <c r="AZ17" i="4" s="1"/>
  <c r="AH17" i="4"/>
  <c r="AI17" i="4"/>
  <c r="AJ17" i="4"/>
  <c r="AK17" i="4"/>
  <c r="AL17" i="4"/>
  <c r="AM17" i="4"/>
  <c r="AN17" i="4"/>
  <c r="AO17" i="4"/>
  <c r="AP17" i="4"/>
  <c r="AQ17" i="4"/>
  <c r="AR17" i="4"/>
  <c r="AS17" i="4"/>
  <c r="AT17" i="4"/>
  <c r="AU17" i="4"/>
  <c r="AV17" i="4"/>
  <c r="AW17" i="4"/>
  <c r="AX17" i="4"/>
  <c r="AY17" i="4"/>
  <c r="AC18" i="4"/>
  <c r="AD18" i="4"/>
  <c r="AE18" i="4"/>
  <c r="AF18" i="4"/>
  <c r="AG18" i="4"/>
  <c r="AZ18" i="4" s="1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C11" i="4"/>
  <c r="AD11" i="4"/>
  <c r="AE11" i="4"/>
  <c r="AF11" i="4"/>
  <c r="AG11" i="4"/>
  <c r="AZ11" i="4" s="1"/>
  <c r="AH11" i="4"/>
  <c r="AI11" i="4"/>
  <c r="AJ11" i="4"/>
  <c r="AK11" i="4"/>
  <c r="AL11" i="4"/>
  <c r="AM11" i="4"/>
  <c r="AN11" i="4"/>
  <c r="AO11" i="4"/>
  <c r="AP11" i="4"/>
  <c r="AQ11" i="4"/>
  <c r="AR11" i="4"/>
  <c r="AS11" i="4"/>
  <c r="AT11" i="4"/>
  <c r="AU11" i="4"/>
  <c r="AV11" i="4"/>
  <c r="AW11" i="4"/>
  <c r="AX11" i="4"/>
  <c r="AY11" i="4"/>
  <c r="AC6" i="4"/>
  <c r="AD6" i="4"/>
  <c r="AE6" i="4"/>
  <c r="AF6" i="4"/>
  <c r="AG6" i="4"/>
  <c r="AZ6" i="4" s="1"/>
  <c r="AH6" i="4"/>
  <c r="AI6" i="4"/>
  <c r="AJ6" i="4"/>
  <c r="AK6" i="4"/>
  <c r="AL6" i="4"/>
  <c r="AM6" i="4"/>
  <c r="AN6" i="4"/>
  <c r="AO6" i="4"/>
  <c r="AP6" i="4"/>
  <c r="AQ6" i="4"/>
  <c r="AR6" i="4"/>
  <c r="AS6" i="4"/>
  <c r="AT6" i="4"/>
  <c r="AU6" i="4"/>
  <c r="AV6" i="4"/>
  <c r="AW6" i="4"/>
  <c r="AX6" i="4"/>
  <c r="AY6" i="4"/>
  <c r="AC12" i="4"/>
  <c r="AD12" i="4"/>
  <c r="AE12" i="4"/>
  <c r="AF12" i="4"/>
  <c r="AG12" i="4"/>
  <c r="AZ12" i="4" s="1"/>
  <c r="AH12" i="4"/>
  <c r="AI12" i="4"/>
  <c r="AJ12" i="4"/>
  <c r="AK12" i="4"/>
  <c r="AL12" i="4"/>
  <c r="AM12" i="4"/>
  <c r="AN12" i="4"/>
  <c r="AO12" i="4"/>
  <c r="AP12" i="4"/>
  <c r="AQ12" i="4"/>
  <c r="AR12" i="4"/>
  <c r="AS12" i="4"/>
  <c r="AT12" i="4"/>
  <c r="AU12" i="4"/>
  <c r="AV12" i="4"/>
  <c r="AW12" i="4"/>
  <c r="AX12" i="4"/>
  <c r="AY12" i="4"/>
  <c r="AC21" i="4"/>
  <c r="AD21" i="4"/>
  <c r="AE21" i="4"/>
  <c r="AF21" i="4"/>
  <c r="AG21" i="4"/>
  <c r="AZ21" i="4" s="1"/>
  <c r="AH21" i="4"/>
  <c r="AI21" i="4"/>
  <c r="AJ21" i="4"/>
  <c r="AK21" i="4"/>
  <c r="AL21" i="4"/>
  <c r="AM21" i="4"/>
  <c r="AN21" i="4"/>
  <c r="AO21" i="4"/>
  <c r="AP21" i="4"/>
  <c r="AQ21" i="4"/>
  <c r="AR21" i="4"/>
  <c r="AS21" i="4"/>
  <c r="AT21" i="4"/>
  <c r="AU21" i="4"/>
  <c r="AV21" i="4"/>
  <c r="AW21" i="4"/>
  <c r="AX21" i="4"/>
  <c r="AY21" i="4"/>
  <c r="AC9" i="4"/>
  <c r="AD9" i="4"/>
  <c r="AE9" i="4"/>
  <c r="AF9" i="4"/>
  <c r="AG9" i="4"/>
  <c r="AZ9" i="4" s="1"/>
  <c r="AH9" i="4"/>
  <c r="AI9" i="4"/>
  <c r="AJ9" i="4"/>
  <c r="AK9" i="4"/>
  <c r="AL9" i="4"/>
  <c r="AM9" i="4"/>
  <c r="AN9" i="4"/>
  <c r="AO9" i="4"/>
  <c r="AP9" i="4"/>
  <c r="AQ9" i="4"/>
  <c r="AR9" i="4"/>
  <c r="AS9" i="4"/>
  <c r="AT9" i="4"/>
  <c r="AU9" i="4"/>
  <c r="AV9" i="4"/>
  <c r="AW9" i="4"/>
  <c r="AX9" i="4"/>
  <c r="AY9" i="4"/>
  <c r="AC26" i="4"/>
  <c r="AD26" i="4"/>
  <c r="AE26" i="4"/>
  <c r="AF26" i="4"/>
  <c r="AG26" i="4"/>
  <c r="AZ26" i="4" s="1"/>
  <c r="AH26" i="4"/>
  <c r="AI26" i="4"/>
  <c r="AJ26" i="4"/>
  <c r="AK26" i="4"/>
  <c r="AL26" i="4"/>
  <c r="AM26" i="4"/>
  <c r="AN26" i="4"/>
  <c r="AO26" i="4"/>
  <c r="AP26" i="4"/>
  <c r="AQ26" i="4"/>
  <c r="AR26" i="4"/>
  <c r="AS26" i="4"/>
  <c r="AT26" i="4"/>
  <c r="AU26" i="4"/>
  <c r="AV26" i="4"/>
  <c r="AW26" i="4"/>
  <c r="AX26" i="4"/>
  <c r="AY26" i="4"/>
  <c r="AC43" i="4"/>
  <c r="AD43" i="4"/>
  <c r="AE43" i="4"/>
  <c r="AF43" i="4"/>
  <c r="AG43" i="4"/>
  <c r="AZ43" i="4" s="1"/>
  <c r="AH43" i="4"/>
  <c r="AI43" i="4"/>
  <c r="AJ43" i="4"/>
  <c r="AK43" i="4"/>
  <c r="AL43" i="4"/>
  <c r="AM43" i="4"/>
  <c r="AN43" i="4"/>
  <c r="AO43" i="4"/>
  <c r="AP43" i="4"/>
  <c r="AQ43" i="4"/>
  <c r="AR43" i="4"/>
  <c r="AS43" i="4"/>
  <c r="AT43" i="4"/>
  <c r="AU43" i="4"/>
  <c r="AV43" i="4"/>
  <c r="AW43" i="4"/>
  <c r="AX43" i="4"/>
  <c r="AY43" i="4"/>
  <c r="AC34" i="4"/>
  <c r="AD34" i="4"/>
  <c r="AE34" i="4"/>
  <c r="AF34" i="4"/>
  <c r="AG34" i="4"/>
  <c r="AZ34" i="4" s="1"/>
  <c r="AH34" i="4"/>
  <c r="AI34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C19" i="4"/>
  <c r="AD19" i="4"/>
  <c r="AE19" i="4"/>
  <c r="AF19" i="4"/>
  <c r="AG19" i="4"/>
  <c r="AZ19" i="4" s="1"/>
  <c r="AH19" i="4"/>
  <c r="AI19" i="4"/>
  <c r="AJ19" i="4"/>
  <c r="AK19" i="4"/>
  <c r="AL19" i="4"/>
  <c r="AM19" i="4"/>
  <c r="AN19" i="4"/>
  <c r="AO19" i="4"/>
  <c r="AP19" i="4"/>
  <c r="AQ19" i="4"/>
  <c r="AR19" i="4"/>
  <c r="AS19" i="4"/>
  <c r="AT19" i="4"/>
  <c r="AU19" i="4"/>
  <c r="AV19" i="4"/>
  <c r="AW19" i="4"/>
  <c r="AX19" i="4"/>
  <c r="AY19" i="4"/>
  <c r="AC35" i="4"/>
  <c r="AD35" i="4"/>
  <c r="AE35" i="4"/>
  <c r="AF35" i="4"/>
  <c r="AG35" i="4"/>
  <c r="AZ35" i="4" s="1"/>
  <c r="AH35" i="4"/>
  <c r="AI35" i="4"/>
  <c r="AJ35" i="4"/>
  <c r="AK35" i="4"/>
  <c r="AL35" i="4"/>
  <c r="AM35" i="4"/>
  <c r="AN35" i="4"/>
  <c r="AO35" i="4"/>
  <c r="AP35" i="4"/>
  <c r="AQ35" i="4"/>
  <c r="AR35" i="4"/>
  <c r="AS35" i="4"/>
  <c r="AT35" i="4"/>
  <c r="AU35" i="4"/>
  <c r="AV35" i="4"/>
  <c r="AW35" i="4"/>
  <c r="AX35" i="4"/>
  <c r="AY35" i="4"/>
  <c r="AC49" i="4"/>
  <c r="AD49" i="4"/>
  <c r="AE49" i="4"/>
  <c r="AF49" i="4"/>
  <c r="AG49" i="4"/>
  <c r="AZ49" i="4" s="1"/>
  <c r="AH49" i="4"/>
  <c r="AI49" i="4"/>
  <c r="AJ49" i="4"/>
  <c r="AK49" i="4"/>
  <c r="AL49" i="4"/>
  <c r="AM49" i="4"/>
  <c r="AN49" i="4"/>
  <c r="AO49" i="4"/>
  <c r="AP49" i="4"/>
  <c r="AQ49" i="4"/>
  <c r="AR49" i="4"/>
  <c r="AS49" i="4"/>
  <c r="AT49" i="4"/>
  <c r="AU49" i="4"/>
  <c r="AV49" i="4"/>
  <c r="AW49" i="4"/>
  <c r="AX49" i="4"/>
  <c r="AY49" i="4"/>
  <c r="AC24" i="4"/>
  <c r="AD24" i="4"/>
  <c r="AE24" i="4"/>
  <c r="AF24" i="4"/>
  <c r="AG24" i="4"/>
  <c r="AZ24" i="4" s="1"/>
  <c r="AH24" i="4"/>
  <c r="AI24" i="4"/>
  <c r="AJ24" i="4"/>
  <c r="AK24" i="4"/>
  <c r="AL24" i="4"/>
  <c r="AM24" i="4"/>
  <c r="AN24" i="4"/>
  <c r="AO24" i="4"/>
  <c r="AP24" i="4"/>
  <c r="AQ24" i="4"/>
  <c r="AR24" i="4"/>
  <c r="AS24" i="4"/>
  <c r="AT24" i="4"/>
  <c r="AU24" i="4"/>
  <c r="AV24" i="4"/>
  <c r="AW24" i="4"/>
  <c r="AX24" i="4"/>
  <c r="AY24" i="4"/>
  <c r="AC8" i="4"/>
  <c r="AD8" i="4"/>
  <c r="AE8" i="4"/>
  <c r="AF8" i="4"/>
  <c r="AG8" i="4"/>
  <c r="AZ8" i="4" s="1"/>
  <c r="AH8" i="4"/>
  <c r="AI8" i="4"/>
  <c r="AJ8" i="4"/>
  <c r="AK8" i="4"/>
  <c r="AL8" i="4"/>
  <c r="AM8" i="4"/>
  <c r="AN8" i="4"/>
  <c r="AO8" i="4"/>
  <c r="AP8" i="4"/>
  <c r="AQ8" i="4"/>
  <c r="AR8" i="4"/>
  <c r="AS8" i="4"/>
  <c r="AT8" i="4"/>
  <c r="AU8" i="4"/>
  <c r="AV8" i="4"/>
  <c r="AW8" i="4"/>
  <c r="AX8" i="4"/>
  <c r="AY8" i="4"/>
  <c r="AC51" i="4"/>
  <c r="AD51" i="4"/>
  <c r="AE51" i="4"/>
  <c r="AF51" i="4"/>
  <c r="AG51" i="4"/>
  <c r="AZ51" i="4" s="1"/>
  <c r="AH51" i="4"/>
  <c r="AI51" i="4"/>
  <c r="AJ51" i="4"/>
  <c r="AK51" i="4"/>
  <c r="AL51" i="4"/>
  <c r="AM51" i="4"/>
  <c r="AN51" i="4"/>
  <c r="AO51" i="4"/>
  <c r="AP51" i="4"/>
  <c r="AQ51" i="4"/>
  <c r="AR51" i="4"/>
  <c r="AS51" i="4"/>
  <c r="AT51" i="4"/>
  <c r="AU51" i="4"/>
  <c r="AV51" i="4"/>
  <c r="AW51" i="4"/>
  <c r="AX51" i="4"/>
  <c r="AY51" i="4"/>
  <c r="AC20" i="4"/>
  <c r="AD20" i="4"/>
  <c r="AE20" i="4"/>
  <c r="AF20" i="4"/>
  <c r="AG20" i="4"/>
  <c r="AZ20" i="4" s="1"/>
  <c r="AH20" i="4"/>
  <c r="AI20" i="4"/>
  <c r="AJ20" i="4"/>
  <c r="AK20" i="4"/>
  <c r="AL20" i="4"/>
  <c r="AM20" i="4"/>
  <c r="AN20" i="4"/>
  <c r="AO20" i="4"/>
  <c r="AP20" i="4"/>
  <c r="AQ20" i="4"/>
  <c r="AR20" i="4"/>
  <c r="AS20" i="4"/>
  <c r="AT20" i="4"/>
  <c r="AU20" i="4"/>
  <c r="AV20" i="4"/>
  <c r="AW20" i="4"/>
  <c r="AX20" i="4"/>
  <c r="AY20" i="4"/>
  <c r="AC13" i="4"/>
  <c r="AD13" i="4"/>
  <c r="AE13" i="4"/>
  <c r="AF13" i="4"/>
  <c r="AG13" i="4"/>
  <c r="AZ13" i="4" s="1"/>
  <c r="AH13" i="4"/>
  <c r="AI13" i="4"/>
  <c r="AJ13" i="4"/>
  <c r="AK13" i="4"/>
  <c r="AL13" i="4"/>
  <c r="AM13" i="4"/>
  <c r="AN13" i="4"/>
  <c r="AO13" i="4"/>
  <c r="AP13" i="4"/>
  <c r="AQ13" i="4"/>
  <c r="AR13" i="4"/>
  <c r="AS13" i="4"/>
  <c r="AT13" i="4"/>
  <c r="AU13" i="4"/>
  <c r="AV13" i="4"/>
  <c r="AW13" i="4"/>
  <c r="AX13" i="4"/>
  <c r="AY13" i="4"/>
  <c r="AZ38" i="4"/>
  <c r="AC38" i="4"/>
  <c r="AD38" i="4"/>
  <c r="AE38" i="4"/>
  <c r="AF38" i="4"/>
  <c r="AG38" i="4"/>
  <c r="AH38" i="4"/>
  <c r="AI38" i="4"/>
  <c r="AJ38" i="4"/>
  <c r="AK38" i="4"/>
  <c r="AL38" i="4"/>
  <c r="AM38" i="4"/>
  <c r="AN38" i="4"/>
  <c r="AO38" i="4"/>
  <c r="AP38" i="4"/>
  <c r="AQ38" i="4"/>
  <c r="AR38" i="4"/>
  <c r="AS38" i="4"/>
  <c r="AT38" i="4"/>
  <c r="AU38" i="4"/>
  <c r="AV38" i="4"/>
  <c r="AW38" i="4"/>
  <c r="AX38" i="4"/>
  <c r="AY38" i="4"/>
  <c r="AC48" i="4"/>
  <c r="AD48" i="4"/>
  <c r="AE48" i="4"/>
  <c r="AF48" i="4"/>
  <c r="AG48" i="4"/>
  <c r="AZ48" i="4" s="1"/>
  <c r="AH48" i="4"/>
  <c r="AI48" i="4"/>
  <c r="AJ48" i="4"/>
  <c r="AK48" i="4"/>
  <c r="AL48" i="4"/>
  <c r="AM48" i="4"/>
  <c r="AN48" i="4"/>
  <c r="AO48" i="4"/>
  <c r="AP48" i="4"/>
  <c r="AQ48" i="4"/>
  <c r="AR48" i="4"/>
  <c r="AS48" i="4"/>
  <c r="AT48" i="4"/>
  <c r="AU48" i="4"/>
  <c r="AV48" i="4"/>
  <c r="AW48" i="4"/>
  <c r="AX48" i="4"/>
  <c r="AY48" i="4"/>
  <c r="AC23" i="4"/>
  <c r="AD23" i="4"/>
  <c r="AE23" i="4"/>
  <c r="AF23" i="4"/>
  <c r="AG23" i="4"/>
  <c r="AZ23" i="4" s="1"/>
  <c r="AH23" i="4"/>
  <c r="AI23" i="4"/>
  <c r="AJ23" i="4"/>
  <c r="AK23" i="4"/>
  <c r="AL23" i="4"/>
  <c r="AM23" i="4"/>
  <c r="AN23" i="4"/>
  <c r="AO23" i="4"/>
  <c r="AP23" i="4"/>
  <c r="AQ23" i="4"/>
  <c r="AR23" i="4"/>
  <c r="AS23" i="4"/>
  <c r="AT23" i="4"/>
  <c r="AU23" i="4"/>
  <c r="AV23" i="4"/>
  <c r="AW23" i="4"/>
  <c r="AX23" i="4"/>
  <c r="AY23" i="4"/>
  <c r="AC41" i="4"/>
  <c r="AD41" i="4"/>
  <c r="AE41" i="4"/>
  <c r="AF41" i="4"/>
  <c r="AG41" i="4"/>
  <c r="AZ41" i="4" s="1"/>
  <c r="AH41" i="4"/>
  <c r="AI41" i="4"/>
  <c r="AJ41" i="4"/>
  <c r="AK41" i="4"/>
  <c r="AL41" i="4"/>
  <c r="AM41" i="4"/>
  <c r="AN41" i="4"/>
  <c r="AO41" i="4"/>
  <c r="AP41" i="4"/>
  <c r="AQ41" i="4"/>
  <c r="AR41" i="4"/>
  <c r="AS41" i="4"/>
  <c r="AT41" i="4"/>
  <c r="AU41" i="4"/>
  <c r="AV41" i="4"/>
  <c r="AW41" i="4"/>
  <c r="AX41" i="4"/>
  <c r="AY41" i="4"/>
  <c r="AC47" i="4"/>
  <c r="AD47" i="4"/>
  <c r="AE47" i="4"/>
  <c r="AF47" i="4"/>
  <c r="AG47" i="4"/>
  <c r="AZ47" i="4" s="1"/>
  <c r="AH47" i="4"/>
  <c r="AI47" i="4"/>
  <c r="AJ47" i="4"/>
  <c r="AK47" i="4"/>
  <c r="AL47" i="4"/>
  <c r="AM47" i="4"/>
  <c r="AN47" i="4"/>
  <c r="AO47" i="4"/>
  <c r="AP47" i="4"/>
  <c r="AQ47" i="4"/>
  <c r="AR47" i="4"/>
  <c r="AS47" i="4"/>
  <c r="AT47" i="4"/>
  <c r="AU47" i="4"/>
  <c r="AV47" i="4"/>
  <c r="AW47" i="4"/>
  <c r="AX47" i="4"/>
  <c r="AY47" i="4"/>
  <c r="AC62" i="4"/>
  <c r="AD62" i="4"/>
  <c r="AE62" i="4"/>
  <c r="AF62" i="4"/>
  <c r="AG62" i="4"/>
  <c r="AZ62" i="4" s="1"/>
  <c r="AH62" i="4"/>
  <c r="AI62" i="4"/>
  <c r="AJ62" i="4"/>
  <c r="AK62" i="4"/>
  <c r="AL62" i="4"/>
  <c r="AM62" i="4"/>
  <c r="AN62" i="4"/>
  <c r="AO62" i="4"/>
  <c r="AP62" i="4"/>
  <c r="AQ62" i="4"/>
  <c r="AR62" i="4"/>
  <c r="AS62" i="4"/>
  <c r="AT62" i="4"/>
  <c r="AU62" i="4"/>
  <c r="AV62" i="4"/>
  <c r="AW62" i="4"/>
  <c r="AX62" i="4"/>
  <c r="AY62" i="4"/>
  <c r="AZ29" i="4"/>
  <c r="AC29" i="4"/>
  <c r="AD29" i="4"/>
  <c r="AE29" i="4"/>
  <c r="AF29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AX29" i="4"/>
  <c r="AY29" i="4"/>
  <c r="AC64" i="4"/>
  <c r="AD64" i="4"/>
  <c r="AE64" i="4"/>
  <c r="AF64" i="4"/>
  <c r="AG64" i="4"/>
  <c r="AZ64" i="4" s="1"/>
  <c r="AH64" i="4"/>
  <c r="AI64" i="4"/>
  <c r="AJ64" i="4"/>
  <c r="AK64" i="4"/>
  <c r="AL64" i="4"/>
  <c r="AM64" i="4"/>
  <c r="AN64" i="4"/>
  <c r="AO64" i="4"/>
  <c r="AP64" i="4"/>
  <c r="AQ64" i="4"/>
  <c r="AR64" i="4"/>
  <c r="AS64" i="4"/>
  <c r="AT64" i="4"/>
  <c r="AU64" i="4"/>
  <c r="AV64" i="4"/>
  <c r="AW64" i="4"/>
  <c r="AX64" i="4"/>
  <c r="AY64" i="4"/>
  <c r="AC104" i="4"/>
  <c r="AD104" i="4"/>
  <c r="AE104" i="4"/>
  <c r="AF104" i="4"/>
  <c r="AG104" i="4"/>
  <c r="AZ104" i="4" s="1"/>
  <c r="AH104" i="4"/>
  <c r="AI104" i="4"/>
  <c r="AJ104" i="4"/>
  <c r="AK104" i="4"/>
  <c r="AL104" i="4"/>
  <c r="AM104" i="4"/>
  <c r="AN104" i="4"/>
  <c r="AO104" i="4"/>
  <c r="AP104" i="4"/>
  <c r="AQ104" i="4"/>
  <c r="AR104" i="4"/>
  <c r="AS104" i="4"/>
  <c r="AT104" i="4"/>
  <c r="AU104" i="4"/>
  <c r="AV104" i="4"/>
  <c r="AW104" i="4"/>
  <c r="AX104" i="4"/>
  <c r="AY104" i="4"/>
  <c r="AC42" i="4"/>
  <c r="AD42" i="4"/>
  <c r="AE42" i="4"/>
  <c r="AF42" i="4"/>
  <c r="AG42" i="4"/>
  <c r="AZ42" i="4" s="1"/>
  <c r="AH42" i="4"/>
  <c r="AI42" i="4"/>
  <c r="AJ42" i="4"/>
  <c r="AK42" i="4"/>
  <c r="AL42" i="4"/>
  <c r="AM42" i="4"/>
  <c r="AN42" i="4"/>
  <c r="AO42" i="4"/>
  <c r="AP42" i="4"/>
  <c r="AQ42" i="4"/>
  <c r="AR42" i="4"/>
  <c r="AS42" i="4"/>
  <c r="AT42" i="4"/>
  <c r="AU42" i="4"/>
  <c r="AV42" i="4"/>
  <c r="AW42" i="4"/>
  <c r="AX42" i="4"/>
  <c r="AY42" i="4"/>
  <c r="AC89" i="4"/>
  <c r="AD89" i="4"/>
  <c r="AE89" i="4"/>
  <c r="AF89" i="4"/>
  <c r="AG89" i="4"/>
  <c r="AZ89" i="4" s="1"/>
  <c r="AH89" i="4"/>
  <c r="AI89" i="4"/>
  <c r="AJ89" i="4"/>
  <c r="AK89" i="4"/>
  <c r="AL89" i="4"/>
  <c r="AM89" i="4"/>
  <c r="AN89" i="4"/>
  <c r="AO89" i="4"/>
  <c r="AP89" i="4"/>
  <c r="AQ89" i="4"/>
  <c r="AR89" i="4"/>
  <c r="AS89" i="4"/>
  <c r="AT89" i="4"/>
  <c r="AU89" i="4"/>
  <c r="AV89" i="4"/>
  <c r="AW89" i="4"/>
  <c r="AX89" i="4"/>
  <c r="AY89" i="4"/>
  <c r="AC83" i="4"/>
  <c r="AD83" i="4"/>
  <c r="AE83" i="4"/>
  <c r="AF83" i="4"/>
  <c r="AG83" i="4"/>
  <c r="AZ83" i="4" s="1"/>
  <c r="AH83" i="4"/>
  <c r="AI83" i="4"/>
  <c r="AJ83" i="4"/>
  <c r="AK83" i="4"/>
  <c r="AL83" i="4"/>
  <c r="AM83" i="4"/>
  <c r="AN83" i="4"/>
  <c r="AO83" i="4"/>
  <c r="AP83" i="4"/>
  <c r="AQ83" i="4"/>
  <c r="AR83" i="4"/>
  <c r="AS83" i="4"/>
  <c r="AT83" i="4"/>
  <c r="AU83" i="4"/>
  <c r="AV83" i="4"/>
  <c r="AW83" i="4"/>
  <c r="AX83" i="4"/>
  <c r="AY83" i="4"/>
  <c r="AC71" i="4"/>
  <c r="AD71" i="4"/>
  <c r="AE71" i="4"/>
  <c r="AF71" i="4"/>
  <c r="AG71" i="4"/>
  <c r="AZ71" i="4" s="1"/>
  <c r="AH71" i="4"/>
  <c r="AI71" i="4"/>
  <c r="AJ71" i="4"/>
  <c r="AK71" i="4"/>
  <c r="AL71" i="4"/>
  <c r="AM71" i="4"/>
  <c r="AN71" i="4"/>
  <c r="AO71" i="4"/>
  <c r="AP71" i="4"/>
  <c r="AQ71" i="4"/>
  <c r="AR71" i="4"/>
  <c r="AS71" i="4"/>
  <c r="AT71" i="4"/>
  <c r="AU71" i="4"/>
  <c r="AV71" i="4"/>
  <c r="AW71" i="4"/>
  <c r="AX71" i="4"/>
  <c r="AY71" i="4"/>
  <c r="AC65" i="4"/>
  <c r="AD65" i="4"/>
  <c r="AE65" i="4"/>
  <c r="AF65" i="4"/>
  <c r="AG65" i="4"/>
  <c r="AZ65" i="4" s="1"/>
  <c r="AH65" i="4"/>
  <c r="AI65" i="4"/>
  <c r="AJ65" i="4"/>
  <c r="AK65" i="4"/>
  <c r="AL65" i="4"/>
  <c r="AM65" i="4"/>
  <c r="AN65" i="4"/>
  <c r="AO65" i="4"/>
  <c r="AP65" i="4"/>
  <c r="AQ65" i="4"/>
  <c r="AR65" i="4"/>
  <c r="AS65" i="4"/>
  <c r="AT65" i="4"/>
  <c r="AU65" i="4"/>
  <c r="AV65" i="4"/>
  <c r="AW65" i="4"/>
  <c r="AX65" i="4"/>
  <c r="AY65" i="4"/>
  <c r="AC57" i="4"/>
  <c r="AD57" i="4"/>
  <c r="AE57" i="4"/>
  <c r="AF57" i="4"/>
  <c r="AG57" i="4"/>
  <c r="AZ57" i="4" s="1"/>
  <c r="AH57" i="4"/>
  <c r="AI57" i="4"/>
  <c r="AJ57" i="4"/>
  <c r="AK57" i="4"/>
  <c r="AL57" i="4"/>
  <c r="AM57" i="4"/>
  <c r="AN57" i="4"/>
  <c r="AO57" i="4"/>
  <c r="AP57" i="4"/>
  <c r="AQ57" i="4"/>
  <c r="AR57" i="4"/>
  <c r="AS57" i="4"/>
  <c r="AT57" i="4"/>
  <c r="AU57" i="4"/>
  <c r="AV57" i="4"/>
  <c r="AW57" i="4"/>
  <c r="AX57" i="4"/>
  <c r="AY57" i="4"/>
  <c r="AZ30" i="4"/>
  <c r="AC30" i="4"/>
  <c r="AD30" i="4"/>
  <c r="AE30" i="4"/>
  <c r="AF30" i="4"/>
  <c r="AG30" i="4"/>
  <c r="AH30" i="4"/>
  <c r="AI30" i="4"/>
  <c r="AJ30" i="4"/>
  <c r="AK30" i="4"/>
  <c r="AL30" i="4"/>
  <c r="AM30" i="4"/>
  <c r="AN30" i="4"/>
  <c r="AO30" i="4"/>
  <c r="AP30" i="4"/>
  <c r="AQ30" i="4"/>
  <c r="AR30" i="4"/>
  <c r="AS30" i="4"/>
  <c r="AT30" i="4"/>
  <c r="AU30" i="4"/>
  <c r="AV30" i="4"/>
  <c r="AW30" i="4"/>
  <c r="AX30" i="4"/>
  <c r="AY30" i="4"/>
  <c r="AC28" i="4"/>
  <c r="AD28" i="4"/>
  <c r="AE28" i="4"/>
  <c r="AF28" i="4"/>
  <c r="AG28" i="4"/>
  <c r="AZ28" i="4" s="1"/>
  <c r="AH28" i="4"/>
  <c r="AI28" i="4"/>
  <c r="AJ28" i="4"/>
  <c r="AK28" i="4"/>
  <c r="AL28" i="4"/>
  <c r="AM28" i="4"/>
  <c r="AN28" i="4"/>
  <c r="AO28" i="4"/>
  <c r="AP28" i="4"/>
  <c r="AQ28" i="4"/>
  <c r="AR28" i="4"/>
  <c r="AS28" i="4"/>
  <c r="AT28" i="4"/>
  <c r="AU28" i="4"/>
  <c r="AV28" i="4"/>
  <c r="AW28" i="4"/>
  <c r="AX28" i="4"/>
  <c r="AY28" i="4"/>
  <c r="AC31" i="4"/>
  <c r="AD31" i="4"/>
  <c r="AE31" i="4"/>
  <c r="AF31" i="4"/>
  <c r="AG31" i="4"/>
  <c r="AZ31" i="4" s="1"/>
  <c r="AH31" i="4"/>
  <c r="AI31" i="4"/>
  <c r="AJ31" i="4"/>
  <c r="AK31" i="4"/>
  <c r="AL31" i="4"/>
  <c r="AM31" i="4"/>
  <c r="AN31" i="4"/>
  <c r="AO31" i="4"/>
  <c r="AP31" i="4"/>
  <c r="AQ31" i="4"/>
  <c r="AR31" i="4"/>
  <c r="AS31" i="4"/>
  <c r="AT31" i="4"/>
  <c r="AU31" i="4"/>
  <c r="AV31" i="4"/>
  <c r="AW31" i="4"/>
  <c r="AX31" i="4"/>
  <c r="AY31" i="4"/>
  <c r="AC76" i="4"/>
  <c r="AD76" i="4"/>
  <c r="AE76" i="4"/>
  <c r="AF76" i="4"/>
  <c r="AG76" i="4"/>
  <c r="AZ76" i="4" s="1"/>
  <c r="AH76" i="4"/>
  <c r="AI76" i="4"/>
  <c r="AJ76" i="4"/>
  <c r="AK76" i="4"/>
  <c r="AL76" i="4"/>
  <c r="AM76" i="4"/>
  <c r="AN76" i="4"/>
  <c r="AO76" i="4"/>
  <c r="AP76" i="4"/>
  <c r="AQ76" i="4"/>
  <c r="AR76" i="4"/>
  <c r="AS76" i="4"/>
  <c r="AT76" i="4"/>
  <c r="AU76" i="4"/>
  <c r="AV76" i="4"/>
  <c r="AW76" i="4"/>
  <c r="AX76" i="4"/>
  <c r="AY76" i="4"/>
  <c r="AC86" i="4"/>
  <c r="AD86" i="4"/>
  <c r="AE86" i="4"/>
  <c r="AF86" i="4"/>
  <c r="AG86" i="4"/>
  <c r="AZ86" i="4" s="1"/>
  <c r="AH86" i="4"/>
  <c r="AI86" i="4"/>
  <c r="AJ86" i="4"/>
  <c r="AK86" i="4"/>
  <c r="AL86" i="4"/>
  <c r="AM86" i="4"/>
  <c r="AN86" i="4"/>
  <c r="AO86" i="4"/>
  <c r="AP86" i="4"/>
  <c r="AQ86" i="4"/>
  <c r="AR86" i="4"/>
  <c r="AS86" i="4"/>
  <c r="AT86" i="4"/>
  <c r="AU86" i="4"/>
  <c r="AV86" i="4"/>
  <c r="AW86" i="4"/>
  <c r="AX86" i="4"/>
  <c r="AY86" i="4"/>
  <c r="AC25" i="4"/>
  <c r="AD25" i="4"/>
  <c r="AE25" i="4"/>
  <c r="AF25" i="4"/>
  <c r="AG25" i="4"/>
  <c r="AZ25" i="4" s="1"/>
  <c r="AH25" i="4"/>
  <c r="AI25" i="4"/>
  <c r="AJ25" i="4"/>
  <c r="AK25" i="4"/>
  <c r="AL25" i="4"/>
  <c r="AM25" i="4"/>
  <c r="AN25" i="4"/>
  <c r="AO25" i="4"/>
  <c r="AP25" i="4"/>
  <c r="AQ25" i="4"/>
  <c r="AR25" i="4"/>
  <c r="AS25" i="4"/>
  <c r="AT25" i="4"/>
  <c r="AU25" i="4"/>
  <c r="AV25" i="4"/>
  <c r="AW25" i="4"/>
  <c r="AX25" i="4"/>
  <c r="AY25" i="4"/>
  <c r="AC58" i="4"/>
  <c r="AD58" i="4"/>
  <c r="AE58" i="4"/>
  <c r="AF58" i="4"/>
  <c r="AG58" i="4"/>
  <c r="AH58" i="4"/>
  <c r="AI58" i="4"/>
  <c r="AJ58" i="4"/>
  <c r="AK58" i="4"/>
  <c r="AL58" i="4"/>
  <c r="AM58" i="4"/>
  <c r="AN58" i="4"/>
  <c r="AO58" i="4"/>
  <c r="AP58" i="4"/>
  <c r="AQ58" i="4"/>
  <c r="AR58" i="4"/>
  <c r="AS58" i="4"/>
  <c r="AT58" i="4"/>
  <c r="AU58" i="4"/>
  <c r="AV58" i="4"/>
  <c r="AW58" i="4"/>
  <c r="AX58" i="4"/>
  <c r="AY58" i="4"/>
  <c r="AC67" i="4"/>
  <c r="AD67" i="4"/>
  <c r="AE67" i="4"/>
  <c r="AF67" i="4"/>
  <c r="AG67" i="4"/>
  <c r="AZ67" i="4" s="1"/>
  <c r="AH67" i="4"/>
  <c r="AI67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C53" i="4"/>
  <c r="AD53" i="4"/>
  <c r="AE53" i="4"/>
  <c r="AF53" i="4"/>
  <c r="AG53" i="4"/>
  <c r="AZ53" i="4" s="1"/>
  <c r="AH53" i="4"/>
  <c r="AI53" i="4"/>
  <c r="AJ53" i="4"/>
  <c r="AK53" i="4"/>
  <c r="AL53" i="4"/>
  <c r="AM53" i="4"/>
  <c r="AN53" i="4"/>
  <c r="AO53" i="4"/>
  <c r="AP53" i="4"/>
  <c r="AQ53" i="4"/>
  <c r="AR53" i="4"/>
  <c r="AS53" i="4"/>
  <c r="AT53" i="4"/>
  <c r="AU53" i="4"/>
  <c r="AV53" i="4"/>
  <c r="AW53" i="4"/>
  <c r="AX53" i="4"/>
  <c r="AY53" i="4"/>
  <c r="AC45" i="4"/>
  <c r="AD45" i="4"/>
  <c r="AE45" i="4"/>
  <c r="AF45" i="4"/>
  <c r="AG45" i="4"/>
  <c r="AZ45" i="4" s="1"/>
  <c r="AH45" i="4"/>
  <c r="AI45" i="4"/>
  <c r="AJ45" i="4"/>
  <c r="AK45" i="4"/>
  <c r="AL45" i="4"/>
  <c r="AM45" i="4"/>
  <c r="AN45" i="4"/>
  <c r="AO45" i="4"/>
  <c r="AP45" i="4"/>
  <c r="AQ45" i="4"/>
  <c r="AR45" i="4"/>
  <c r="AS45" i="4"/>
  <c r="AT45" i="4"/>
  <c r="AU45" i="4"/>
  <c r="AV45" i="4"/>
  <c r="AW45" i="4"/>
  <c r="AX45" i="4"/>
  <c r="AY45" i="4"/>
  <c r="AC69" i="4"/>
  <c r="AD69" i="4"/>
  <c r="AE69" i="4"/>
  <c r="AF69" i="4"/>
  <c r="AG69" i="4"/>
  <c r="AZ69" i="4" s="1"/>
  <c r="AH69" i="4"/>
  <c r="AI69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C55" i="4"/>
  <c r="AD55" i="4"/>
  <c r="AE55" i="4"/>
  <c r="AF55" i="4"/>
  <c r="AG55" i="4"/>
  <c r="AZ55" i="4" s="1"/>
  <c r="AH55" i="4"/>
  <c r="AI55" i="4"/>
  <c r="AJ55" i="4"/>
  <c r="AK55" i="4"/>
  <c r="AL55" i="4"/>
  <c r="AM55" i="4"/>
  <c r="AN55" i="4"/>
  <c r="AO55" i="4"/>
  <c r="AP55" i="4"/>
  <c r="AQ55" i="4"/>
  <c r="AR55" i="4"/>
  <c r="AS55" i="4"/>
  <c r="AT55" i="4"/>
  <c r="AU55" i="4"/>
  <c r="AV55" i="4"/>
  <c r="AW55" i="4"/>
  <c r="AX55" i="4"/>
  <c r="AY55" i="4"/>
  <c r="AC68" i="4"/>
  <c r="AD68" i="4"/>
  <c r="AE68" i="4"/>
  <c r="AF68" i="4"/>
  <c r="AG68" i="4"/>
  <c r="AZ68" i="4" s="1"/>
  <c r="AH68" i="4"/>
  <c r="AI68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C33" i="4"/>
  <c r="AD33" i="4"/>
  <c r="AE33" i="4"/>
  <c r="AF33" i="4"/>
  <c r="AG33" i="4"/>
  <c r="AZ33" i="4" s="1"/>
  <c r="AH33" i="4"/>
  <c r="AI33" i="4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C72" i="4"/>
  <c r="AD72" i="4"/>
  <c r="AE72" i="4"/>
  <c r="AF72" i="4"/>
  <c r="AG72" i="4"/>
  <c r="AZ72" i="4" s="1"/>
  <c r="AH72" i="4"/>
  <c r="AI72" i="4"/>
  <c r="AJ72" i="4"/>
  <c r="AK72" i="4"/>
  <c r="AL72" i="4"/>
  <c r="AM72" i="4"/>
  <c r="AN72" i="4"/>
  <c r="AO72" i="4"/>
  <c r="AP72" i="4"/>
  <c r="AQ72" i="4"/>
  <c r="AR72" i="4"/>
  <c r="AS72" i="4"/>
  <c r="AT72" i="4"/>
  <c r="AU72" i="4"/>
  <c r="AV72" i="4"/>
  <c r="AW72" i="4"/>
  <c r="AX72" i="4"/>
  <c r="AY72" i="4"/>
  <c r="AC32" i="4"/>
  <c r="AD32" i="4"/>
  <c r="AE32" i="4"/>
  <c r="AF32" i="4"/>
  <c r="AG32" i="4"/>
  <c r="AZ32" i="4" s="1"/>
  <c r="AH32" i="4"/>
  <c r="AI32" i="4"/>
  <c r="AJ32" i="4"/>
  <c r="AK32" i="4"/>
  <c r="AL32" i="4"/>
  <c r="AM32" i="4"/>
  <c r="AN32" i="4"/>
  <c r="AO32" i="4"/>
  <c r="AP32" i="4"/>
  <c r="AQ32" i="4"/>
  <c r="AR32" i="4"/>
  <c r="AS32" i="4"/>
  <c r="AT32" i="4"/>
  <c r="AU32" i="4"/>
  <c r="AV32" i="4"/>
  <c r="AW32" i="4"/>
  <c r="AX32" i="4"/>
  <c r="AY32" i="4"/>
  <c r="AC91" i="4"/>
  <c r="AD91" i="4"/>
  <c r="AE91" i="4"/>
  <c r="AF91" i="4"/>
  <c r="AG91" i="4"/>
  <c r="AZ91" i="4" s="1"/>
  <c r="AH91" i="4"/>
  <c r="AI91" i="4"/>
  <c r="AJ91" i="4"/>
  <c r="AK91" i="4"/>
  <c r="AL91" i="4"/>
  <c r="AM91" i="4"/>
  <c r="AN91" i="4"/>
  <c r="AO91" i="4"/>
  <c r="AP91" i="4"/>
  <c r="AQ91" i="4"/>
  <c r="AR91" i="4"/>
  <c r="AS91" i="4"/>
  <c r="AT91" i="4"/>
  <c r="AU91" i="4"/>
  <c r="AV91" i="4"/>
  <c r="AW91" i="4"/>
  <c r="AX91" i="4"/>
  <c r="AY91" i="4"/>
  <c r="AC37" i="4"/>
  <c r="AD37" i="4"/>
  <c r="AE37" i="4"/>
  <c r="AF37" i="4"/>
  <c r="AG37" i="4"/>
  <c r="AZ37" i="4" s="1"/>
  <c r="AH37" i="4"/>
  <c r="AI37" i="4"/>
  <c r="AJ37" i="4"/>
  <c r="AK37" i="4"/>
  <c r="AL37" i="4"/>
  <c r="AM37" i="4"/>
  <c r="AN37" i="4"/>
  <c r="AO37" i="4"/>
  <c r="AP37" i="4"/>
  <c r="AQ37" i="4"/>
  <c r="AR37" i="4"/>
  <c r="AS37" i="4"/>
  <c r="AT37" i="4"/>
  <c r="AU37" i="4"/>
  <c r="AV37" i="4"/>
  <c r="AW37" i="4"/>
  <c r="AX37" i="4"/>
  <c r="AY37" i="4"/>
  <c r="AC40" i="4"/>
  <c r="AD40" i="4"/>
  <c r="AE40" i="4"/>
  <c r="AF40" i="4"/>
  <c r="AG40" i="4"/>
  <c r="AZ40" i="4" s="1"/>
  <c r="AH40" i="4"/>
  <c r="AI40" i="4"/>
  <c r="AJ40" i="4"/>
  <c r="AK40" i="4"/>
  <c r="AL40" i="4"/>
  <c r="AM40" i="4"/>
  <c r="AN40" i="4"/>
  <c r="AO40" i="4"/>
  <c r="AP40" i="4"/>
  <c r="AQ40" i="4"/>
  <c r="AR40" i="4"/>
  <c r="AS40" i="4"/>
  <c r="AT40" i="4"/>
  <c r="AU40" i="4"/>
  <c r="AV40" i="4"/>
  <c r="AW40" i="4"/>
  <c r="AX40" i="4"/>
  <c r="AY40" i="4"/>
  <c r="AC60" i="4"/>
  <c r="AD60" i="4"/>
  <c r="AE60" i="4"/>
  <c r="AF60" i="4"/>
  <c r="AG60" i="4"/>
  <c r="AZ60" i="4" s="1"/>
  <c r="AH60" i="4"/>
  <c r="AI60" i="4"/>
  <c r="AJ60" i="4"/>
  <c r="AK60" i="4"/>
  <c r="AL60" i="4"/>
  <c r="AM60" i="4"/>
  <c r="AN60" i="4"/>
  <c r="AO60" i="4"/>
  <c r="AP60" i="4"/>
  <c r="AQ60" i="4"/>
  <c r="AR60" i="4"/>
  <c r="AS60" i="4"/>
  <c r="AT60" i="4"/>
  <c r="AU60" i="4"/>
  <c r="AV60" i="4"/>
  <c r="AW60" i="4"/>
  <c r="AX60" i="4"/>
  <c r="AY60" i="4"/>
  <c r="AC105" i="4"/>
  <c r="AD105" i="4"/>
  <c r="AE105" i="4"/>
  <c r="AF105" i="4"/>
  <c r="AG105" i="4"/>
  <c r="AZ105" i="4" s="1"/>
  <c r="AH105" i="4"/>
  <c r="AI105" i="4"/>
  <c r="AJ105" i="4"/>
  <c r="AK105" i="4"/>
  <c r="AL105" i="4"/>
  <c r="AM105" i="4"/>
  <c r="AN105" i="4"/>
  <c r="AO105" i="4"/>
  <c r="AP105" i="4"/>
  <c r="AQ105" i="4"/>
  <c r="AR105" i="4"/>
  <c r="AS105" i="4"/>
  <c r="AT105" i="4"/>
  <c r="AU105" i="4"/>
  <c r="AV105" i="4"/>
  <c r="AW105" i="4"/>
  <c r="AX105" i="4"/>
  <c r="AY105" i="4"/>
  <c r="AC88" i="4"/>
  <c r="AD88" i="4"/>
  <c r="AE88" i="4"/>
  <c r="AF88" i="4"/>
  <c r="AG88" i="4"/>
  <c r="AZ88" i="4" s="1"/>
  <c r="AH88" i="4"/>
  <c r="AI88" i="4"/>
  <c r="AJ88" i="4"/>
  <c r="AK88" i="4"/>
  <c r="AL88" i="4"/>
  <c r="AM88" i="4"/>
  <c r="AN88" i="4"/>
  <c r="AO88" i="4"/>
  <c r="AP88" i="4"/>
  <c r="AQ88" i="4"/>
  <c r="AR88" i="4"/>
  <c r="AS88" i="4"/>
  <c r="AT88" i="4"/>
  <c r="AU88" i="4"/>
  <c r="AV88" i="4"/>
  <c r="AW88" i="4"/>
  <c r="AX88" i="4"/>
  <c r="AY88" i="4"/>
  <c r="AC87" i="4"/>
  <c r="AD87" i="4"/>
  <c r="AE87" i="4"/>
  <c r="AF87" i="4"/>
  <c r="AG87" i="4"/>
  <c r="AZ87" i="4" s="1"/>
  <c r="AH87" i="4"/>
  <c r="AI87" i="4"/>
  <c r="AJ87" i="4"/>
  <c r="AK87" i="4"/>
  <c r="AL87" i="4"/>
  <c r="AM87" i="4"/>
  <c r="AN87" i="4"/>
  <c r="AO87" i="4"/>
  <c r="AP87" i="4"/>
  <c r="AQ87" i="4"/>
  <c r="AR87" i="4"/>
  <c r="AS87" i="4"/>
  <c r="AT87" i="4"/>
  <c r="AU87" i="4"/>
  <c r="AV87" i="4"/>
  <c r="AW87" i="4"/>
  <c r="AX87" i="4"/>
  <c r="AY87" i="4"/>
  <c r="AC56" i="4"/>
  <c r="AD56" i="4"/>
  <c r="AE56" i="4"/>
  <c r="AF56" i="4"/>
  <c r="AG56" i="4"/>
  <c r="AZ56" i="4" s="1"/>
  <c r="AH56" i="4"/>
  <c r="AI56" i="4"/>
  <c r="AJ56" i="4"/>
  <c r="AK56" i="4"/>
  <c r="AL56" i="4"/>
  <c r="AM56" i="4"/>
  <c r="AN56" i="4"/>
  <c r="AO56" i="4"/>
  <c r="AP56" i="4"/>
  <c r="AQ56" i="4"/>
  <c r="AR56" i="4"/>
  <c r="AS56" i="4"/>
  <c r="AT56" i="4"/>
  <c r="AU56" i="4"/>
  <c r="AV56" i="4"/>
  <c r="AW56" i="4"/>
  <c r="AX56" i="4"/>
  <c r="AY56" i="4"/>
  <c r="AC78" i="4"/>
  <c r="AD78" i="4"/>
  <c r="AE78" i="4"/>
  <c r="AF78" i="4"/>
  <c r="AG78" i="4"/>
  <c r="AZ78" i="4" s="1"/>
  <c r="AH78" i="4"/>
  <c r="AI78" i="4"/>
  <c r="AJ78" i="4"/>
  <c r="AK78" i="4"/>
  <c r="AL78" i="4"/>
  <c r="AM78" i="4"/>
  <c r="AN78" i="4"/>
  <c r="AO78" i="4"/>
  <c r="AP78" i="4"/>
  <c r="AQ78" i="4"/>
  <c r="AR78" i="4"/>
  <c r="AS78" i="4"/>
  <c r="AT78" i="4"/>
  <c r="AU78" i="4"/>
  <c r="AV78" i="4"/>
  <c r="AW78" i="4"/>
  <c r="AX78" i="4"/>
  <c r="AY78" i="4"/>
  <c r="AC46" i="4"/>
  <c r="AD46" i="4"/>
  <c r="AE46" i="4"/>
  <c r="AF46" i="4"/>
  <c r="AG46" i="4"/>
  <c r="AZ46" i="4" s="1"/>
  <c r="AH46" i="4"/>
  <c r="AI46" i="4"/>
  <c r="AJ46" i="4"/>
  <c r="AK46" i="4"/>
  <c r="AL46" i="4"/>
  <c r="AM46" i="4"/>
  <c r="AN46" i="4"/>
  <c r="AO46" i="4"/>
  <c r="AP46" i="4"/>
  <c r="AQ46" i="4"/>
  <c r="AR46" i="4"/>
  <c r="AS46" i="4"/>
  <c r="AT46" i="4"/>
  <c r="AU46" i="4"/>
  <c r="AV46" i="4"/>
  <c r="AW46" i="4"/>
  <c r="AX46" i="4"/>
  <c r="AY46" i="4"/>
  <c r="AC50" i="4"/>
  <c r="AD50" i="4"/>
  <c r="AE50" i="4"/>
  <c r="AF50" i="4"/>
  <c r="AG50" i="4"/>
  <c r="AZ50" i="4" s="1"/>
  <c r="AH50" i="4"/>
  <c r="AI50" i="4"/>
  <c r="AJ50" i="4"/>
  <c r="AK50" i="4"/>
  <c r="AL50" i="4"/>
  <c r="AM50" i="4"/>
  <c r="AN50" i="4"/>
  <c r="AO50" i="4"/>
  <c r="AP50" i="4"/>
  <c r="AQ50" i="4"/>
  <c r="AR50" i="4"/>
  <c r="AS50" i="4"/>
  <c r="AT50" i="4"/>
  <c r="AU50" i="4"/>
  <c r="AV50" i="4"/>
  <c r="AW50" i="4"/>
  <c r="AX50" i="4"/>
  <c r="AY50" i="4"/>
  <c r="AC66" i="4"/>
  <c r="AD66" i="4"/>
  <c r="AE66" i="4"/>
  <c r="AF66" i="4"/>
  <c r="AG66" i="4"/>
  <c r="AZ66" i="4" s="1"/>
  <c r="AH66" i="4"/>
  <c r="AI66" i="4"/>
  <c r="AJ66" i="4"/>
  <c r="AK66" i="4"/>
  <c r="AL66" i="4"/>
  <c r="AM66" i="4"/>
  <c r="AN66" i="4"/>
  <c r="AO66" i="4"/>
  <c r="AP66" i="4"/>
  <c r="AQ66" i="4"/>
  <c r="AR66" i="4"/>
  <c r="AS66" i="4"/>
  <c r="AT66" i="4"/>
  <c r="AU66" i="4"/>
  <c r="AV66" i="4"/>
  <c r="AW66" i="4"/>
  <c r="AX66" i="4"/>
  <c r="AY66" i="4"/>
  <c r="AC113" i="4"/>
  <c r="AD113" i="4"/>
  <c r="AE113" i="4"/>
  <c r="AF113" i="4"/>
  <c r="AG113" i="4"/>
  <c r="AZ113" i="4" s="1"/>
  <c r="AH113" i="4"/>
  <c r="AI113" i="4"/>
  <c r="AJ113" i="4"/>
  <c r="AK113" i="4"/>
  <c r="AL113" i="4"/>
  <c r="AM113" i="4"/>
  <c r="AN113" i="4"/>
  <c r="AO113" i="4"/>
  <c r="AP113" i="4"/>
  <c r="AQ113" i="4"/>
  <c r="AR113" i="4"/>
  <c r="AS113" i="4"/>
  <c r="AT113" i="4"/>
  <c r="AU113" i="4"/>
  <c r="AV113" i="4"/>
  <c r="AW113" i="4"/>
  <c r="AX113" i="4"/>
  <c r="AY113" i="4"/>
  <c r="AC73" i="4"/>
  <c r="AD73" i="4"/>
  <c r="AE73" i="4"/>
  <c r="AF73" i="4"/>
  <c r="AG73" i="4"/>
  <c r="AZ73" i="4" s="1"/>
  <c r="AH73" i="4"/>
  <c r="AI73" i="4"/>
  <c r="AJ73" i="4"/>
  <c r="AK73" i="4"/>
  <c r="AL73" i="4"/>
  <c r="AM73" i="4"/>
  <c r="AN73" i="4"/>
  <c r="AO73" i="4"/>
  <c r="AP73" i="4"/>
  <c r="AQ73" i="4"/>
  <c r="AR73" i="4"/>
  <c r="AS73" i="4"/>
  <c r="AT73" i="4"/>
  <c r="AU73" i="4"/>
  <c r="AV73" i="4"/>
  <c r="AW73" i="4"/>
  <c r="AX73" i="4"/>
  <c r="AY73" i="4"/>
  <c r="AC100" i="4"/>
  <c r="AD100" i="4"/>
  <c r="AE100" i="4"/>
  <c r="AF100" i="4"/>
  <c r="AG100" i="4"/>
  <c r="AZ100" i="4" s="1"/>
  <c r="AH100" i="4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C142" i="4"/>
  <c r="AD142" i="4"/>
  <c r="AE142" i="4"/>
  <c r="AF142" i="4"/>
  <c r="AG142" i="4"/>
  <c r="AZ142" i="4" s="1"/>
  <c r="AH142" i="4"/>
  <c r="AI142" i="4"/>
  <c r="AJ142" i="4"/>
  <c r="AK142" i="4"/>
  <c r="AL142" i="4"/>
  <c r="AM142" i="4"/>
  <c r="AN142" i="4"/>
  <c r="AO142" i="4"/>
  <c r="AP142" i="4"/>
  <c r="AQ142" i="4"/>
  <c r="AR142" i="4"/>
  <c r="AS142" i="4"/>
  <c r="AT142" i="4"/>
  <c r="AU142" i="4"/>
  <c r="AV142" i="4"/>
  <c r="AW142" i="4"/>
  <c r="AX142" i="4"/>
  <c r="AY142" i="4"/>
  <c r="AC39" i="4"/>
  <c r="AD39" i="4"/>
  <c r="AE39" i="4"/>
  <c r="AF39" i="4"/>
  <c r="AG39" i="4"/>
  <c r="AZ39" i="4" s="1"/>
  <c r="AH39" i="4"/>
  <c r="AI39" i="4"/>
  <c r="AJ39" i="4"/>
  <c r="AK39" i="4"/>
  <c r="AL39" i="4"/>
  <c r="AM39" i="4"/>
  <c r="AN39" i="4"/>
  <c r="AO39" i="4"/>
  <c r="AP39" i="4"/>
  <c r="AQ39" i="4"/>
  <c r="AR39" i="4"/>
  <c r="AS39" i="4"/>
  <c r="AT39" i="4"/>
  <c r="AU39" i="4"/>
  <c r="AV39" i="4"/>
  <c r="AW39" i="4"/>
  <c r="AX39" i="4"/>
  <c r="AY39" i="4"/>
  <c r="AC36" i="4"/>
  <c r="AD36" i="4"/>
  <c r="AE36" i="4"/>
  <c r="AF36" i="4"/>
  <c r="AG36" i="4"/>
  <c r="AZ36" i="4" s="1"/>
  <c r="AH36" i="4"/>
  <c r="AI36" i="4"/>
  <c r="AJ36" i="4"/>
  <c r="AK36" i="4"/>
  <c r="AL36" i="4"/>
  <c r="AM36" i="4"/>
  <c r="AN36" i="4"/>
  <c r="AO36" i="4"/>
  <c r="AP36" i="4"/>
  <c r="AQ36" i="4"/>
  <c r="AR36" i="4"/>
  <c r="AS36" i="4"/>
  <c r="AT36" i="4"/>
  <c r="AU36" i="4"/>
  <c r="AV36" i="4"/>
  <c r="AW36" i="4"/>
  <c r="AX36" i="4"/>
  <c r="AY36" i="4"/>
  <c r="AC44" i="4"/>
  <c r="AD44" i="4"/>
  <c r="AE44" i="4"/>
  <c r="AF44" i="4"/>
  <c r="AG44" i="4"/>
  <c r="AZ44" i="4" s="1"/>
  <c r="AH44" i="4"/>
  <c r="AI44" i="4"/>
  <c r="AJ44" i="4"/>
  <c r="AK44" i="4"/>
  <c r="AL44" i="4"/>
  <c r="AM44" i="4"/>
  <c r="AN44" i="4"/>
  <c r="AO44" i="4"/>
  <c r="AP44" i="4"/>
  <c r="AQ44" i="4"/>
  <c r="AR44" i="4"/>
  <c r="AS44" i="4"/>
  <c r="AT44" i="4"/>
  <c r="AU44" i="4"/>
  <c r="AV44" i="4"/>
  <c r="AW44" i="4"/>
  <c r="AX44" i="4"/>
  <c r="AY44" i="4"/>
  <c r="AC54" i="4"/>
  <c r="AD54" i="4"/>
  <c r="AE54" i="4"/>
  <c r="AF54" i="4"/>
  <c r="AG54" i="4"/>
  <c r="AZ54" i="4" s="1"/>
  <c r="AH54" i="4"/>
  <c r="AI54" i="4"/>
  <c r="AJ54" i="4"/>
  <c r="AK54" i="4"/>
  <c r="AL54" i="4"/>
  <c r="AM54" i="4"/>
  <c r="AN54" i="4"/>
  <c r="AO54" i="4"/>
  <c r="AP54" i="4"/>
  <c r="AQ54" i="4"/>
  <c r="AR54" i="4"/>
  <c r="AS54" i="4"/>
  <c r="AT54" i="4"/>
  <c r="AU54" i="4"/>
  <c r="AV54" i="4"/>
  <c r="AW54" i="4"/>
  <c r="AX54" i="4"/>
  <c r="AY54" i="4"/>
  <c r="AC106" i="4"/>
  <c r="AD106" i="4"/>
  <c r="AE106" i="4"/>
  <c r="AF106" i="4"/>
  <c r="AG106" i="4"/>
  <c r="AH106" i="4"/>
  <c r="AI106" i="4"/>
  <c r="AJ106" i="4"/>
  <c r="AK106" i="4"/>
  <c r="AL106" i="4"/>
  <c r="AM106" i="4"/>
  <c r="AN106" i="4"/>
  <c r="AO106" i="4"/>
  <c r="AP106" i="4"/>
  <c r="AQ106" i="4"/>
  <c r="AR106" i="4"/>
  <c r="AS106" i="4"/>
  <c r="AT106" i="4"/>
  <c r="AU106" i="4"/>
  <c r="AV106" i="4"/>
  <c r="AW106" i="4"/>
  <c r="AX106" i="4"/>
  <c r="AY106" i="4"/>
  <c r="AC158" i="4"/>
  <c r="AD158" i="4"/>
  <c r="AE158" i="4"/>
  <c r="AF158" i="4"/>
  <c r="AG158" i="4"/>
  <c r="AZ158" i="4" s="1"/>
  <c r="AH158" i="4"/>
  <c r="AI158" i="4"/>
  <c r="AJ158" i="4"/>
  <c r="AK158" i="4"/>
  <c r="AL158" i="4"/>
  <c r="AM158" i="4"/>
  <c r="AN158" i="4"/>
  <c r="AO158" i="4"/>
  <c r="AP158" i="4"/>
  <c r="AQ158" i="4"/>
  <c r="AR158" i="4"/>
  <c r="AS158" i="4"/>
  <c r="AT158" i="4"/>
  <c r="AU158" i="4"/>
  <c r="AV158" i="4"/>
  <c r="AW158" i="4"/>
  <c r="AX158" i="4"/>
  <c r="AY158" i="4"/>
  <c r="AC52" i="4"/>
  <c r="AD52" i="4"/>
  <c r="AE52" i="4"/>
  <c r="AF52" i="4"/>
  <c r="AG52" i="4"/>
  <c r="AZ52" i="4" s="1"/>
  <c r="AH52" i="4"/>
  <c r="AI52" i="4"/>
  <c r="AJ52" i="4"/>
  <c r="AK52" i="4"/>
  <c r="AL52" i="4"/>
  <c r="AM52" i="4"/>
  <c r="AN52" i="4"/>
  <c r="AO52" i="4"/>
  <c r="AP52" i="4"/>
  <c r="AQ52" i="4"/>
  <c r="AR52" i="4"/>
  <c r="AS52" i="4"/>
  <c r="AT52" i="4"/>
  <c r="AU52" i="4"/>
  <c r="AV52" i="4"/>
  <c r="AW52" i="4"/>
  <c r="AX52" i="4"/>
  <c r="AY52" i="4"/>
  <c r="AC80" i="4"/>
  <c r="AD80" i="4"/>
  <c r="AE80" i="4"/>
  <c r="AF80" i="4"/>
  <c r="AG80" i="4"/>
  <c r="AZ80" i="4" s="1"/>
  <c r="AH80" i="4"/>
  <c r="AI80" i="4"/>
  <c r="AJ80" i="4"/>
  <c r="AK80" i="4"/>
  <c r="AL80" i="4"/>
  <c r="AM80" i="4"/>
  <c r="AN80" i="4"/>
  <c r="AO80" i="4"/>
  <c r="AP80" i="4"/>
  <c r="AQ80" i="4"/>
  <c r="AR80" i="4"/>
  <c r="AS80" i="4"/>
  <c r="AT80" i="4"/>
  <c r="AU80" i="4"/>
  <c r="AV80" i="4"/>
  <c r="AW80" i="4"/>
  <c r="AX80" i="4"/>
  <c r="AY80" i="4"/>
  <c r="AC147" i="4"/>
  <c r="AD147" i="4"/>
  <c r="AE147" i="4"/>
  <c r="AF147" i="4"/>
  <c r="AG147" i="4"/>
  <c r="AZ147" i="4" s="1"/>
  <c r="AH147" i="4"/>
  <c r="AI147" i="4"/>
  <c r="AJ147" i="4"/>
  <c r="AK147" i="4"/>
  <c r="AL147" i="4"/>
  <c r="AM147" i="4"/>
  <c r="AN147" i="4"/>
  <c r="AO147" i="4"/>
  <c r="AP147" i="4"/>
  <c r="AQ147" i="4"/>
  <c r="AR147" i="4"/>
  <c r="AS147" i="4"/>
  <c r="AT147" i="4"/>
  <c r="AU147" i="4"/>
  <c r="AV147" i="4"/>
  <c r="AW147" i="4"/>
  <c r="AX147" i="4"/>
  <c r="AY147" i="4"/>
  <c r="AC97" i="4"/>
  <c r="AD97" i="4"/>
  <c r="AE97" i="4"/>
  <c r="AF97" i="4"/>
  <c r="AG97" i="4"/>
  <c r="AZ97" i="4" s="1"/>
  <c r="AH97" i="4"/>
  <c r="AI97" i="4"/>
  <c r="AJ97" i="4"/>
  <c r="AK97" i="4"/>
  <c r="AL97" i="4"/>
  <c r="AM97" i="4"/>
  <c r="AN97" i="4"/>
  <c r="AO97" i="4"/>
  <c r="AP97" i="4"/>
  <c r="AQ97" i="4"/>
  <c r="AR97" i="4"/>
  <c r="AS97" i="4"/>
  <c r="AT97" i="4"/>
  <c r="AU97" i="4"/>
  <c r="AV97" i="4"/>
  <c r="AW97" i="4"/>
  <c r="AX97" i="4"/>
  <c r="AY97" i="4"/>
  <c r="AC70" i="4"/>
  <c r="AD70" i="4"/>
  <c r="AE70" i="4"/>
  <c r="AF70" i="4"/>
  <c r="AG70" i="4"/>
  <c r="AZ70" i="4" s="1"/>
  <c r="AH70" i="4"/>
  <c r="AI70" i="4"/>
  <c r="AJ70" i="4"/>
  <c r="AK70" i="4"/>
  <c r="AL70" i="4"/>
  <c r="AM70" i="4"/>
  <c r="AN70" i="4"/>
  <c r="AO70" i="4"/>
  <c r="AP70" i="4"/>
  <c r="AQ70" i="4"/>
  <c r="AR70" i="4"/>
  <c r="AS70" i="4"/>
  <c r="AT70" i="4"/>
  <c r="AU70" i="4"/>
  <c r="AV70" i="4"/>
  <c r="AW70" i="4"/>
  <c r="AX70" i="4"/>
  <c r="AY70" i="4"/>
  <c r="AC139" i="4"/>
  <c r="AD139" i="4"/>
  <c r="AE139" i="4"/>
  <c r="AF139" i="4"/>
  <c r="AG139" i="4"/>
  <c r="AZ139" i="4" s="1"/>
  <c r="AH139" i="4"/>
  <c r="AI139" i="4"/>
  <c r="AJ139" i="4"/>
  <c r="AK139" i="4"/>
  <c r="AL139" i="4"/>
  <c r="AM139" i="4"/>
  <c r="AN139" i="4"/>
  <c r="AO139" i="4"/>
  <c r="AP139" i="4"/>
  <c r="AQ139" i="4"/>
  <c r="AR139" i="4"/>
  <c r="AS139" i="4"/>
  <c r="AT139" i="4"/>
  <c r="AU139" i="4"/>
  <c r="AV139" i="4"/>
  <c r="AW139" i="4"/>
  <c r="AX139" i="4"/>
  <c r="AY139" i="4"/>
  <c r="AC112" i="4"/>
  <c r="AD112" i="4"/>
  <c r="AE112" i="4"/>
  <c r="AF112" i="4"/>
  <c r="AG112" i="4"/>
  <c r="AZ112" i="4" s="1"/>
  <c r="AH112" i="4"/>
  <c r="AI112" i="4"/>
  <c r="AJ112" i="4"/>
  <c r="AK112" i="4"/>
  <c r="AL112" i="4"/>
  <c r="AM112" i="4"/>
  <c r="AN112" i="4"/>
  <c r="AO112" i="4"/>
  <c r="AP112" i="4"/>
  <c r="AQ112" i="4"/>
  <c r="AR112" i="4"/>
  <c r="AS112" i="4"/>
  <c r="AT112" i="4"/>
  <c r="AU112" i="4"/>
  <c r="AV112" i="4"/>
  <c r="AW112" i="4"/>
  <c r="AX112" i="4"/>
  <c r="AY112" i="4"/>
  <c r="AC128" i="4"/>
  <c r="AD128" i="4"/>
  <c r="AE128" i="4"/>
  <c r="AF128" i="4"/>
  <c r="AG128" i="4"/>
  <c r="AZ128" i="4" s="1"/>
  <c r="AH128" i="4"/>
  <c r="AI128" i="4"/>
  <c r="AJ128" i="4"/>
  <c r="AK128" i="4"/>
  <c r="AL128" i="4"/>
  <c r="AM128" i="4"/>
  <c r="AN128" i="4"/>
  <c r="AO128" i="4"/>
  <c r="AP128" i="4"/>
  <c r="AQ128" i="4"/>
  <c r="AR128" i="4"/>
  <c r="AS128" i="4"/>
  <c r="AT128" i="4"/>
  <c r="AU128" i="4"/>
  <c r="AV128" i="4"/>
  <c r="AW128" i="4"/>
  <c r="AX128" i="4"/>
  <c r="AY128" i="4"/>
  <c r="AC63" i="4"/>
  <c r="AD63" i="4"/>
  <c r="AE63" i="4"/>
  <c r="AF63" i="4"/>
  <c r="AG63" i="4"/>
  <c r="AZ63" i="4" s="1"/>
  <c r="AH63" i="4"/>
  <c r="AI63" i="4"/>
  <c r="AJ63" i="4"/>
  <c r="AK63" i="4"/>
  <c r="AL63" i="4"/>
  <c r="AM63" i="4"/>
  <c r="AN63" i="4"/>
  <c r="AO63" i="4"/>
  <c r="AP63" i="4"/>
  <c r="AQ63" i="4"/>
  <c r="AR63" i="4"/>
  <c r="AS63" i="4"/>
  <c r="AT63" i="4"/>
  <c r="AU63" i="4"/>
  <c r="AV63" i="4"/>
  <c r="AW63" i="4"/>
  <c r="AX63" i="4"/>
  <c r="AY63" i="4"/>
  <c r="AC59" i="4"/>
  <c r="AD59" i="4"/>
  <c r="AE59" i="4"/>
  <c r="AF59" i="4"/>
  <c r="AG59" i="4"/>
  <c r="AZ59" i="4" s="1"/>
  <c r="AH59" i="4"/>
  <c r="AI59" i="4"/>
  <c r="AJ59" i="4"/>
  <c r="AK59" i="4"/>
  <c r="AL59" i="4"/>
  <c r="AM59" i="4"/>
  <c r="AN59" i="4"/>
  <c r="AO59" i="4"/>
  <c r="AP59" i="4"/>
  <c r="AQ59" i="4"/>
  <c r="AR59" i="4"/>
  <c r="AS59" i="4"/>
  <c r="AT59" i="4"/>
  <c r="AU59" i="4"/>
  <c r="AV59" i="4"/>
  <c r="AW59" i="4"/>
  <c r="AX59" i="4"/>
  <c r="AY59" i="4"/>
  <c r="AC165" i="4"/>
  <c r="AD165" i="4"/>
  <c r="AE165" i="4"/>
  <c r="AF165" i="4"/>
  <c r="AG165" i="4"/>
  <c r="AZ165" i="4" s="1"/>
  <c r="AH165" i="4"/>
  <c r="AI165" i="4"/>
  <c r="AJ165" i="4"/>
  <c r="AK165" i="4"/>
  <c r="AL165" i="4"/>
  <c r="AM165" i="4"/>
  <c r="AN165" i="4"/>
  <c r="AO165" i="4"/>
  <c r="AP165" i="4"/>
  <c r="AQ165" i="4"/>
  <c r="AR165" i="4"/>
  <c r="AS165" i="4"/>
  <c r="AT165" i="4"/>
  <c r="AU165" i="4"/>
  <c r="AV165" i="4"/>
  <c r="AW165" i="4"/>
  <c r="AX165" i="4"/>
  <c r="AY165" i="4"/>
  <c r="AC134" i="4"/>
  <c r="AD134" i="4"/>
  <c r="AE134" i="4"/>
  <c r="AF134" i="4"/>
  <c r="AG134" i="4"/>
  <c r="AZ134" i="4" s="1"/>
  <c r="AH134" i="4"/>
  <c r="AI134" i="4"/>
  <c r="AJ134" i="4"/>
  <c r="AK134" i="4"/>
  <c r="AL134" i="4"/>
  <c r="AM134" i="4"/>
  <c r="AN134" i="4"/>
  <c r="AO134" i="4"/>
  <c r="AP134" i="4"/>
  <c r="AQ134" i="4"/>
  <c r="AR134" i="4"/>
  <c r="AS134" i="4"/>
  <c r="AT134" i="4"/>
  <c r="AU134" i="4"/>
  <c r="AV134" i="4"/>
  <c r="AW134" i="4"/>
  <c r="AX134" i="4"/>
  <c r="AY134" i="4"/>
  <c r="AC77" i="4"/>
  <c r="AD77" i="4"/>
  <c r="AE77" i="4"/>
  <c r="AF77" i="4"/>
  <c r="AG77" i="4"/>
  <c r="AZ77" i="4" s="1"/>
  <c r="AH77" i="4"/>
  <c r="AI77" i="4"/>
  <c r="AJ77" i="4"/>
  <c r="AK77" i="4"/>
  <c r="AL77" i="4"/>
  <c r="AM77" i="4"/>
  <c r="AN77" i="4"/>
  <c r="AO77" i="4"/>
  <c r="AP77" i="4"/>
  <c r="AQ77" i="4"/>
  <c r="AR77" i="4"/>
  <c r="AS77" i="4"/>
  <c r="AT77" i="4"/>
  <c r="AU77" i="4"/>
  <c r="AV77" i="4"/>
  <c r="AW77" i="4"/>
  <c r="AX77" i="4"/>
  <c r="AY77" i="4"/>
  <c r="AC121" i="4"/>
  <c r="AD121" i="4"/>
  <c r="AE121" i="4"/>
  <c r="AF121" i="4"/>
  <c r="AG121" i="4"/>
  <c r="AZ121" i="4" s="1"/>
  <c r="AH121" i="4"/>
  <c r="AI121" i="4"/>
  <c r="AJ121" i="4"/>
  <c r="AK121" i="4"/>
  <c r="AL121" i="4"/>
  <c r="AM121" i="4"/>
  <c r="AN121" i="4"/>
  <c r="AO121" i="4"/>
  <c r="AP121" i="4"/>
  <c r="AQ121" i="4"/>
  <c r="AR121" i="4"/>
  <c r="AS121" i="4"/>
  <c r="AT121" i="4"/>
  <c r="AU121" i="4"/>
  <c r="AV121" i="4"/>
  <c r="AW121" i="4"/>
  <c r="AX121" i="4"/>
  <c r="AY121" i="4"/>
  <c r="AC164" i="4"/>
  <c r="AD164" i="4"/>
  <c r="AE164" i="4"/>
  <c r="AF164" i="4"/>
  <c r="AG164" i="4"/>
  <c r="AZ164" i="4" s="1"/>
  <c r="AH164" i="4"/>
  <c r="AI164" i="4"/>
  <c r="AJ164" i="4"/>
  <c r="AK164" i="4"/>
  <c r="AL164" i="4"/>
  <c r="AM164" i="4"/>
  <c r="AN164" i="4"/>
  <c r="AO164" i="4"/>
  <c r="AP164" i="4"/>
  <c r="AQ164" i="4"/>
  <c r="AR164" i="4"/>
  <c r="AS164" i="4"/>
  <c r="AT164" i="4"/>
  <c r="AU164" i="4"/>
  <c r="AV164" i="4"/>
  <c r="AW164" i="4"/>
  <c r="AX164" i="4"/>
  <c r="AY164" i="4"/>
  <c r="AC90" i="4"/>
  <c r="AD90" i="4"/>
  <c r="AE90" i="4"/>
  <c r="AF90" i="4"/>
  <c r="AG90" i="4"/>
  <c r="AZ90" i="4" s="1"/>
  <c r="AH90" i="4"/>
  <c r="AI90" i="4"/>
  <c r="AJ90" i="4"/>
  <c r="AK90" i="4"/>
  <c r="AL90" i="4"/>
  <c r="AM90" i="4"/>
  <c r="AN90" i="4"/>
  <c r="AO90" i="4"/>
  <c r="AP90" i="4"/>
  <c r="AQ90" i="4"/>
  <c r="AR90" i="4"/>
  <c r="AS90" i="4"/>
  <c r="AT90" i="4"/>
  <c r="AU90" i="4"/>
  <c r="AV90" i="4"/>
  <c r="AW90" i="4"/>
  <c r="AX90" i="4"/>
  <c r="AY90" i="4"/>
  <c r="AC151" i="4"/>
  <c r="AD151" i="4"/>
  <c r="AE151" i="4"/>
  <c r="AF151" i="4"/>
  <c r="AG151" i="4"/>
  <c r="AZ151" i="4" s="1"/>
  <c r="AH151" i="4"/>
  <c r="AI151" i="4"/>
  <c r="AJ151" i="4"/>
  <c r="AK151" i="4"/>
  <c r="AL151" i="4"/>
  <c r="AM151" i="4"/>
  <c r="AN151" i="4"/>
  <c r="AO151" i="4"/>
  <c r="AP151" i="4"/>
  <c r="AQ151" i="4"/>
  <c r="AR151" i="4"/>
  <c r="AS151" i="4"/>
  <c r="AT151" i="4"/>
  <c r="AU151" i="4"/>
  <c r="AV151" i="4"/>
  <c r="AW151" i="4"/>
  <c r="AX151" i="4"/>
  <c r="AY151" i="4"/>
  <c r="AC75" i="4"/>
  <c r="AD75" i="4"/>
  <c r="AE75" i="4"/>
  <c r="AF75" i="4"/>
  <c r="AG75" i="4"/>
  <c r="AZ75" i="4" s="1"/>
  <c r="AH75" i="4"/>
  <c r="AI75" i="4"/>
  <c r="AJ75" i="4"/>
  <c r="AK75" i="4"/>
  <c r="AL75" i="4"/>
  <c r="AM75" i="4"/>
  <c r="AN75" i="4"/>
  <c r="AO75" i="4"/>
  <c r="AP75" i="4"/>
  <c r="AQ75" i="4"/>
  <c r="AR75" i="4"/>
  <c r="AS75" i="4"/>
  <c r="AT75" i="4"/>
  <c r="AU75" i="4"/>
  <c r="AV75" i="4"/>
  <c r="AW75" i="4"/>
  <c r="AX75" i="4"/>
  <c r="AY75" i="4"/>
  <c r="AC85" i="4"/>
  <c r="AD85" i="4"/>
  <c r="AE85" i="4"/>
  <c r="AF85" i="4"/>
  <c r="AG85" i="4"/>
  <c r="AZ85" i="4" s="1"/>
  <c r="AH85" i="4"/>
  <c r="AI85" i="4"/>
  <c r="AJ85" i="4"/>
  <c r="AK85" i="4"/>
  <c r="AL85" i="4"/>
  <c r="AM85" i="4"/>
  <c r="AN85" i="4"/>
  <c r="AO85" i="4"/>
  <c r="AP85" i="4"/>
  <c r="AQ85" i="4"/>
  <c r="AR85" i="4"/>
  <c r="AS85" i="4"/>
  <c r="AT85" i="4"/>
  <c r="AU85" i="4"/>
  <c r="AV85" i="4"/>
  <c r="AW85" i="4"/>
  <c r="AX85" i="4"/>
  <c r="AY85" i="4"/>
  <c r="AC122" i="4"/>
  <c r="AD122" i="4"/>
  <c r="AE122" i="4"/>
  <c r="AF122" i="4"/>
  <c r="AG122" i="4"/>
  <c r="AZ122" i="4" s="1"/>
  <c r="AH122" i="4"/>
  <c r="AI122" i="4"/>
  <c r="AJ122" i="4"/>
  <c r="AK122" i="4"/>
  <c r="AL122" i="4"/>
  <c r="AM122" i="4"/>
  <c r="AN122" i="4"/>
  <c r="AO122" i="4"/>
  <c r="AP122" i="4"/>
  <c r="AQ122" i="4"/>
  <c r="AR122" i="4"/>
  <c r="AS122" i="4"/>
  <c r="AT122" i="4"/>
  <c r="AU122" i="4"/>
  <c r="AV122" i="4"/>
  <c r="AW122" i="4"/>
  <c r="AX122" i="4"/>
  <c r="AY122" i="4"/>
  <c r="AC98" i="4"/>
  <c r="AD98" i="4"/>
  <c r="AE98" i="4"/>
  <c r="AF98" i="4"/>
  <c r="AG98" i="4"/>
  <c r="AZ98" i="4" s="1"/>
  <c r="AH98" i="4"/>
  <c r="AI98" i="4"/>
  <c r="AJ98" i="4"/>
  <c r="AK98" i="4"/>
  <c r="AL98" i="4"/>
  <c r="AM98" i="4"/>
  <c r="AN98" i="4"/>
  <c r="AO98" i="4"/>
  <c r="AP98" i="4"/>
  <c r="AQ98" i="4"/>
  <c r="AR98" i="4"/>
  <c r="AS98" i="4"/>
  <c r="AT98" i="4"/>
  <c r="AU98" i="4"/>
  <c r="AV98" i="4"/>
  <c r="AW98" i="4"/>
  <c r="AX98" i="4"/>
  <c r="AY98" i="4"/>
  <c r="AC94" i="4"/>
  <c r="AD94" i="4"/>
  <c r="AE94" i="4"/>
  <c r="AF94" i="4"/>
  <c r="AG94" i="4"/>
  <c r="AZ94" i="4" s="1"/>
  <c r="AH94" i="4"/>
  <c r="AI94" i="4"/>
  <c r="AJ94" i="4"/>
  <c r="AK94" i="4"/>
  <c r="AL94" i="4"/>
  <c r="AM94" i="4"/>
  <c r="AN94" i="4"/>
  <c r="AO94" i="4"/>
  <c r="AP94" i="4"/>
  <c r="AQ94" i="4"/>
  <c r="AR94" i="4"/>
  <c r="AS94" i="4"/>
  <c r="AT94" i="4"/>
  <c r="AU94" i="4"/>
  <c r="AV94" i="4"/>
  <c r="AW94" i="4"/>
  <c r="AX94" i="4"/>
  <c r="AY94" i="4"/>
  <c r="AC84" i="4"/>
  <c r="AD84" i="4"/>
  <c r="AE84" i="4"/>
  <c r="AF84" i="4"/>
  <c r="AG84" i="4"/>
  <c r="AZ84" i="4" s="1"/>
  <c r="AH84" i="4"/>
  <c r="AI84" i="4"/>
  <c r="AJ84" i="4"/>
  <c r="AK84" i="4"/>
  <c r="AL84" i="4"/>
  <c r="AM84" i="4"/>
  <c r="AN84" i="4"/>
  <c r="AO84" i="4"/>
  <c r="AP84" i="4"/>
  <c r="AQ84" i="4"/>
  <c r="AR84" i="4"/>
  <c r="AS84" i="4"/>
  <c r="AT84" i="4"/>
  <c r="AU84" i="4"/>
  <c r="AV84" i="4"/>
  <c r="AW84" i="4"/>
  <c r="AX84" i="4"/>
  <c r="AY84" i="4"/>
  <c r="AC81" i="4"/>
  <c r="AD81" i="4"/>
  <c r="AE81" i="4"/>
  <c r="AF81" i="4"/>
  <c r="AG81" i="4"/>
  <c r="AZ81" i="4" s="1"/>
  <c r="AH81" i="4"/>
  <c r="AI81" i="4"/>
  <c r="AJ81" i="4"/>
  <c r="AK81" i="4"/>
  <c r="AL81" i="4"/>
  <c r="AM81" i="4"/>
  <c r="AN81" i="4"/>
  <c r="AO81" i="4"/>
  <c r="AP81" i="4"/>
  <c r="AQ81" i="4"/>
  <c r="AR81" i="4"/>
  <c r="AS81" i="4"/>
  <c r="AT81" i="4"/>
  <c r="AU81" i="4"/>
  <c r="AV81" i="4"/>
  <c r="AW81" i="4"/>
  <c r="AX81" i="4"/>
  <c r="AY81" i="4"/>
  <c r="AC92" i="4"/>
  <c r="AD92" i="4"/>
  <c r="AE92" i="4"/>
  <c r="AF92" i="4"/>
  <c r="AG92" i="4"/>
  <c r="AZ92" i="4" s="1"/>
  <c r="AH92" i="4"/>
  <c r="AI92" i="4"/>
  <c r="AJ92" i="4"/>
  <c r="AK92" i="4"/>
  <c r="AL92" i="4"/>
  <c r="AM92" i="4"/>
  <c r="AN92" i="4"/>
  <c r="AO92" i="4"/>
  <c r="AP92" i="4"/>
  <c r="AQ92" i="4"/>
  <c r="AR92" i="4"/>
  <c r="AS92" i="4"/>
  <c r="AT92" i="4"/>
  <c r="AU92" i="4"/>
  <c r="AV92" i="4"/>
  <c r="AW92" i="4"/>
  <c r="AX92" i="4"/>
  <c r="AY92" i="4"/>
  <c r="AC126" i="4"/>
  <c r="AD126" i="4"/>
  <c r="AE126" i="4"/>
  <c r="AF126" i="4"/>
  <c r="AG126" i="4"/>
  <c r="AZ126" i="4" s="1"/>
  <c r="AH126" i="4"/>
  <c r="AI126" i="4"/>
  <c r="AJ126" i="4"/>
  <c r="AK126" i="4"/>
  <c r="AL126" i="4"/>
  <c r="AM126" i="4"/>
  <c r="AN126" i="4"/>
  <c r="AO126" i="4"/>
  <c r="AP126" i="4"/>
  <c r="AQ126" i="4"/>
  <c r="AR126" i="4"/>
  <c r="AS126" i="4"/>
  <c r="AT126" i="4"/>
  <c r="AU126" i="4"/>
  <c r="AV126" i="4"/>
  <c r="AW126" i="4"/>
  <c r="AX126" i="4"/>
  <c r="AY126" i="4"/>
  <c r="AC182" i="4"/>
  <c r="AD182" i="4"/>
  <c r="AE182" i="4"/>
  <c r="AF182" i="4"/>
  <c r="AG182" i="4"/>
  <c r="AZ182" i="4" s="1"/>
  <c r="AH182" i="4"/>
  <c r="AI182" i="4"/>
  <c r="AJ182" i="4"/>
  <c r="AK182" i="4"/>
  <c r="AL182" i="4"/>
  <c r="AM182" i="4"/>
  <c r="AN182" i="4"/>
  <c r="AO182" i="4"/>
  <c r="AP182" i="4"/>
  <c r="AQ182" i="4"/>
  <c r="AR182" i="4"/>
  <c r="AS182" i="4"/>
  <c r="AT182" i="4"/>
  <c r="AU182" i="4"/>
  <c r="AV182" i="4"/>
  <c r="AW182" i="4"/>
  <c r="AX182" i="4"/>
  <c r="AY182" i="4"/>
  <c r="AC95" i="4"/>
  <c r="AD95" i="4"/>
  <c r="AE95" i="4"/>
  <c r="AF95" i="4"/>
  <c r="AG95" i="4"/>
  <c r="AZ95" i="4" s="1"/>
  <c r="AH95" i="4"/>
  <c r="AI95" i="4"/>
  <c r="AJ95" i="4"/>
  <c r="AK95" i="4"/>
  <c r="AL95" i="4"/>
  <c r="AM95" i="4"/>
  <c r="AN95" i="4"/>
  <c r="AO95" i="4"/>
  <c r="AP95" i="4"/>
  <c r="AQ95" i="4"/>
  <c r="AR95" i="4"/>
  <c r="AS95" i="4"/>
  <c r="AT95" i="4"/>
  <c r="AU95" i="4"/>
  <c r="AV95" i="4"/>
  <c r="AW95" i="4"/>
  <c r="AX95" i="4"/>
  <c r="AY95" i="4"/>
  <c r="AC138" i="4"/>
  <c r="AD138" i="4"/>
  <c r="AE138" i="4"/>
  <c r="AF138" i="4"/>
  <c r="AG138" i="4"/>
  <c r="AZ138" i="4" s="1"/>
  <c r="AH138" i="4"/>
  <c r="AI138" i="4"/>
  <c r="AJ138" i="4"/>
  <c r="AK138" i="4"/>
  <c r="AL138" i="4"/>
  <c r="AM138" i="4"/>
  <c r="AN138" i="4"/>
  <c r="AO138" i="4"/>
  <c r="AP138" i="4"/>
  <c r="AQ138" i="4"/>
  <c r="AR138" i="4"/>
  <c r="AS138" i="4"/>
  <c r="AT138" i="4"/>
  <c r="AU138" i="4"/>
  <c r="AV138" i="4"/>
  <c r="AW138" i="4"/>
  <c r="AX138" i="4"/>
  <c r="AY138" i="4"/>
  <c r="AC173" i="4"/>
  <c r="AD173" i="4"/>
  <c r="AE173" i="4"/>
  <c r="AF173" i="4"/>
  <c r="AG173" i="4"/>
  <c r="AZ173" i="4" s="1"/>
  <c r="AH173" i="4"/>
  <c r="AI173" i="4"/>
  <c r="AJ173" i="4"/>
  <c r="AK173" i="4"/>
  <c r="AL173" i="4"/>
  <c r="AM173" i="4"/>
  <c r="AN173" i="4"/>
  <c r="AO173" i="4"/>
  <c r="AP173" i="4"/>
  <c r="AQ173" i="4"/>
  <c r="AR173" i="4"/>
  <c r="AS173" i="4"/>
  <c r="AT173" i="4"/>
  <c r="AU173" i="4"/>
  <c r="AV173" i="4"/>
  <c r="AW173" i="4"/>
  <c r="AX173" i="4"/>
  <c r="AY173" i="4"/>
  <c r="AC79" i="4"/>
  <c r="AD79" i="4"/>
  <c r="AE79" i="4"/>
  <c r="AF79" i="4"/>
  <c r="AG79" i="4"/>
  <c r="AZ79" i="4" s="1"/>
  <c r="AH79" i="4"/>
  <c r="AI79" i="4"/>
  <c r="AJ79" i="4"/>
  <c r="AK79" i="4"/>
  <c r="AL79" i="4"/>
  <c r="AM79" i="4"/>
  <c r="AN79" i="4"/>
  <c r="AO79" i="4"/>
  <c r="AP79" i="4"/>
  <c r="AQ79" i="4"/>
  <c r="AR79" i="4"/>
  <c r="AS79" i="4"/>
  <c r="AT79" i="4"/>
  <c r="AU79" i="4"/>
  <c r="AV79" i="4"/>
  <c r="AW79" i="4"/>
  <c r="AX79" i="4"/>
  <c r="AY79" i="4"/>
  <c r="AC123" i="4"/>
  <c r="AD123" i="4"/>
  <c r="AE123" i="4"/>
  <c r="AF123" i="4"/>
  <c r="AG123" i="4"/>
  <c r="AZ123" i="4" s="1"/>
  <c r="AH123" i="4"/>
  <c r="AI123" i="4"/>
  <c r="AJ123" i="4"/>
  <c r="AK123" i="4"/>
  <c r="AL123" i="4"/>
  <c r="AM123" i="4"/>
  <c r="AN123" i="4"/>
  <c r="AO123" i="4"/>
  <c r="AP123" i="4"/>
  <c r="AQ123" i="4"/>
  <c r="AR123" i="4"/>
  <c r="AS123" i="4"/>
  <c r="AT123" i="4"/>
  <c r="AU123" i="4"/>
  <c r="AV123" i="4"/>
  <c r="AW123" i="4"/>
  <c r="AX123" i="4"/>
  <c r="AY123" i="4"/>
  <c r="AC116" i="4"/>
  <c r="AD116" i="4"/>
  <c r="AE116" i="4"/>
  <c r="AF116" i="4"/>
  <c r="AG116" i="4"/>
  <c r="AZ116" i="4" s="1"/>
  <c r="AH116" i="4"/>
  <c r="AI116" i="4"/>
  <c r="AJ116" i="4"/>
  <c r="AK116" i="4"/>
  <c r="AL116" i="4"/>
  <c r="AM116" i="4"/>
  <c r="AN116" i="4"/>
  <c r="AO116" i="4"/>
  <c r="AP116" i="4"/>
  <c r="AQ116" i="4"/>
  <c r="AR116" i="4"/>
  <c r="AS116" i="4"/>
  <c r="AT116" i="4"/>
  <c r="AU116" i="4"/>
  <c r="AV116" i="4"/>
  <c r="AW116" i="4"/>
  <c r="AX116" i="4"/>
  <c r="AY116" i="4"/>
  <c r="AC190" i="4"/>
  <c r="AD190" i="4"/>
  <c r="AE190" i="4"/>
  <c r="AF190" i="4"/>
  <c r="AG190" i="4"/>
  <c r="AZ190" i="4" s="1"/>
  <c r="AH190" i="4"/>
  <c r="AI190" i="4"/>
  <c r="AJ190" i="4"/>
  <c r="AK190" i="4"/>
  <c r="AL190" i="4"/>
  <c r="AM190" i="4"/>
  <c r="AN190" i="4"/>
  <c r="AO190" i="4"/>
  <c r="AP190" i="4"/>
  <c r="AQ190" i="4"/>
  <c r="AR190" i="4"/>
  <c r="AS190" i="4"/>
  <c r="AT190" i="4"/>
  <c r="AU190" i="4"/>
  <c r="AV190" i="4"/>
  <c r="AW190" i="4"/>
  <c r="AX190" i="4"/>
  <c r="AY190" i="4"/>
  <c r="AC198" i="4"/>
  <c r="AD198" i="4"/>
  <c r="AE198" i="4"/>
  <c r="AF198" i="4"/>
  <c r="AG198" i="4"/>
  <c r="AZ198" i="4" s="1"/>
  <c r="AH198" i="4"/>
  <c r="AI198" i="4"/>
  <c r="AJ198" i="4"/>
  <c r="AK198" i="4"/>
  <c r="AL198" i="4"/>
  <c r="AM198" i="4"/>
  <c r="AN198" i="4"/>
  <c r="AO198" i="4"/>
  <c r="AP198" i="4"/>
  <c r="AQ198" i="4"/>
  <c r="AR198" i="4"/>
  <c r="AS198" i="4"/>
  <c r="AT198" i="4"/>
  <c r="AU198" i="4"/>
  <c r="AV198" i="4"/>
  <c r="AW198" i="4"/>
  <c r="AX198" i="4"/>
  <c r="AY198" i="4"/>
  <c r="AC162" i="4"/>
  <c r="AD162" i="4"/>
  <c r="AE162" i="4"/>
  <c r="AF162" i="4"/>
  <c r="AG162" i="4"/>
  <c r="AZ162" i="4" s="1"/>
  <c r="AH162" i="4"/>
  <c r="AI162" i="4"/>
  <c r="AJ162" i="4"/>
  <c r="AK162" i="4"/>
  <c r="AL162" i="4"/>
  <c r="AM162" i="4"/>
  <c r="AN162" i="4"/>
  <c r="AO162" i="4"/>
  <c r="AP162" i="4"/>
  <c r="AQ162" i="4"/>
  <c r="AR162" i="4"/>
  <c r="AS162" i="4"/>
  <c r="AT162" i="4"/>
  <c r="AU162" i="4"/>
  <c r="AV162" i="4"/>
  <c r="AW162" i="4"/>
  <c r="AX162" i="4"/>
  <c r="AY162" i="4"/>
  <c r="AC210" i="4"/>
  <c r="AD210" i="4"/>
  <c r="AE210" i="4"/>
  <c r="AF210" i="4"/>
  <c r="AG210" i="4"/>
  <c r="AZ210" i="4" s="1"/>
  <c r="AH210" i="4"/>
  <c r="AI210" i="4"/>
  <c r="AJ210" i="4"/>
  <c r="AK210" i="4"/>
  <c r="AL210" i="4"/>
  <c r="AM210" i="4"/>
  <c r="AN210" i="4"/>
  <c r="AO210" i="4"/>
  <c r="AP210" i="4"/>
  <c r="AQ210" i="4"/>
  <c r="AR210" i="4"/>
  <c r="AS210" i="4"/>
  <c r="AT210" i="4"/>
  <c r="AU210" i="4"/>
  <c r="AV210" i="4"/>
  <c r="AW210" i="4"/>
  <c r="AX210" i="4"/>
  <c r="AY210" i="4"/>
  <c r="AC141" i="4"/>
  <c r="AD141" i="4"/>
  <c r="AE141" i="4"/>
  <c r="AF141" i="4"/>
  <c r="AG141" i="4"/>
  <c r="AZ141" i="4" s="1"/>
  <c r="AH141" i="4"/>
  <c r="AI141" i="4"/>
  <c r="AJ141" i="4"/>
  <c r="AK141" i="4"/>
  <c r="AL141" i="4"/>
  <c r="AM141" i="4"/>
  <c r="AN141" i="4"/>
  <c r="AO141" i="4"/>
  <c r="AP141" i="4"/>
  <c r="AQ141" i="4"/>
  <c r="AR141" i="4"/>
  <c r="AS141" i="4"/>
  <c r="AT141" i="4"/>
  <c r="AU141" i="4"/>
  <c r="AV141" i="4"/>
  <c r="AW141" i="4"/>
  <c r="AX141" i="4"/>
  <c r="AY141" i="4"/>
  <c r="AC204" i="4"/>
  <c r="AD204" i="4"/>
  <c r="AE204" i="4"/>
  <c r="AF204" i="4"/>
  <c r="AG204" i="4"/>
  <c r="AZ204" i="4" s="1"/>
  <c r="AH204" i="4"/>
  <c r="AI204" i="4"/>
  <c r="AJ204" i="4"/>
  <c r="AK204" i="4"/>
  <c r="AL204" i="4"/>
  <c r="AM204" i="4"/>
  <c r="AN204" i="4"/>
  <c r="AO204" i="4"/>
  <c r="AP204" i="4"/>
  <c r="AQ204" i="4"/>
  <c r="AR204" i="4"/>
  <c r="AS204" i="4"/>
  <c r="AT204" i="4"/>
  <c r="AU204" i="4"/>
  <c r="AV204" i="4"/>
  <c r="AW204" i="4"/>
  <c r="AX204" i="4"/>
  <c r="AY204" i="4"/>
  <c r="AC144" i="4"/>
  <c r="AD144" i="4"/>
  <c r="AE144" i="4"/>
  <c r="AF144" i="4"/>
  <c r="AG144" i="4"/>
  <c r="AZ144" i="4" s="1"/>
  <c r="AH144" i="4"/>
  <c r="AI144" i="4"/>
  <c r="AJ144" i="4"/>
  <c r="AK144" i="4"/>
  <c r="AL144" i="4"/>
  <c r="AM144" i="4"/>
  <c r="AN144" i="4"/>
  <c r="AO144" i="4"/>
  <c r="AP144" i="4"/>
  <c r="AQ144" i="4"/>
  <c r="AR144" i="4"/>
  <c r="AS144" i="4"/>
  <c r="AT144" i="4"/>
  <c r="AU144" i="4"/>
  <c r="AV144" i="4"/>
  <c r="AW144" i="4"/>
  <c r="AX144" i="4"/>
  <c r="AY144" i="4"/>
  <c r="AC192" i="4"/>
  <c r="AD192" i="4"/>
  <c r="AE192" i="4"/>
  <c r="AF192" i="4"/>
  <c r="AG192" i="4"/>
  <c r="AZ192" i="4" s="1"/>
  <c r="AH192" i="4"/>
  <c r="AI192" i="4"/>
  <c r="AJ192" i="4"/>
  <c r="AK192" i="4"/>
  <c r="AL192" i="4"/>
  <c r="AM192" i="4"/>
  <c r="AN192" i="4"/>
  <c r="AO192" i="4"/>
  <c r="AP192" i="4"/>
  <c r="AQ192" i="4"/>
  <c r="AR192" i="4"/>
  <c r="AS192" i="4"/>
  <c r="AT192" i="4"/>
  <c r="AU192" i="4"/>
  <c r="AV192" i="4"/>
  <c r="AW192" i="4"/>
  <c r="AX192" i="4"/>
  <c r="AY192" i="4"/>
  <c r="AC201" i="4"/>
  <c r="AD201" i="4"/>
  <c r="AE201" i="4"/>
  <c r="AF201" i="4"/>
  <c r="AG201" i="4"/>
  <c r="AZ201" i="4" s="1"/>
  <c r="AH201" i="4"/>
  <c r="AI201" i="4"/>
  <c r="AJ201" i="4"/>
  <c r="AK201" i="4"/>
  <c r="AL201" i="4"/>
  <c r="AM201" i="4"/>
  <c r="AN201" i="4"/>
  <c r="AO201" i="4"/>
  <c r="AP201" i="4"/>
  <c r="AQ201" i="4"/>
  <c r="AR201" i="4"/>
  <c r="AS201" i="4"/>
  <c r="AT201" i="4"/>
  <c r="AU201" i="4"/>
  <c r="AV201" i="4"/>
  <c r="AW201" i="4"/>
  <c r="AX201" i="4"/>
  <c r="AY201" i="4"/>
  <c r="AC140" i="4"/>
  <c r="AD140" i="4"/>
  <c r="AE140" i="4"/>
  <c r="AF140" i="4"/>
  <c r="AG140" i="4"/>
  <c r="AH140" i="4"/>
  <c r="AI140" i="4"/>
  <c r="AJ140" i="4"/>
  <c r="AK140" i="4"/>
  <c r="AL140" i="4"/>
  <c r="AM140" i="4"/>
  <c r="AN140" i="4"/>
  <c r="AO140" i="4"/>
  <c r="AP140" i="4"/>
  <c r="AQ140" i="4"/>
  <c r="AR140" i="4"/>
  <c r="AS140" i="4"/>
  <c r="AT140" i="4"/>
  <c r="AU140" i="4"/>
  <c r="AV140" i="4"/>
  <c r="AW140" i="4"/>
  <c r="AX140" i="4"/>
  <c r="AY140" i="4"/>
  <c r="AC216" i="4"/>
  <c r="AD216" i="4"/>
  <c r="AE216" i="4"/>
  <c r="AF216" i="4"/>
  <c r="AG216" i="4"/>
  <c r="AZ216" i="4" s="1"/>
  <c r="AH216" i="4"/>
  <c r="AI216" i="4"/>
  <c r="AJ216" i="4"/>
  <c r="AK216" i="4"/>
  <c r="AL216" i="4"/>
  <c r="AM216" i="4"/>
  <c r="AN216" i="4"/>
  <c r="AO216" i="4"/>
  <c r="AP216" i="4"/>
  <c r="AQ216" i="4"/>
  <c r="AR216" i="4"/>
  <c r="AS216" i="4"/>
  <c r="AT216" i="4"/>
  <c r="AU216" i="4"/>
  <c r="AV216" i="4"/>
  <c r="AW216" i="4"/>
  <c r="AX216" i="4"/>
  <c r="AY216" i="4"/>
  <c r="AC170" i="4"/>
  <c r="AD170" i="4"/>
  <c r="AE170" i="4"/>
  <c r="AF170" i="4"/>
  <c r="AG170" i="4"/>
  <c r="AZ170" i="4" s="1"/>
  <c r="AH170" i="4"/>
  <c r="AI170" i="4"/>
  <c r="AJ170" i="4"/>
  <c r="AK170" i="4"/>
  <c r="AL170" i="4"/>
  <c r="AM170" i="4"/>
  <c r="AN170" i="4"/>
  <c r="AO170" i="4"/>
  <c r="AP170" i="4"/>
  <c r="AQ170" i="4"/>
  <c r="AR170" i="4"/>
  <c r="AS170" i="4"/>
  <c r="AT170" i="4"/>
  <c r="AU170" i="4"/>
  <c r="AV170" i="4"/>
  <c r="AW170" i="4"/>
  <c r="AX170" i="4"/>
  <c r="AY170" i="4"/>
  <c r="AC161" i="4"/>
  <c r="AD161" i="4"/>
  <c r="AE161" i="4"/>
  <c r="AF161" i="4"/>
  <c r="AG161" i="4"/>
  <c r="AZ161" i="4" s="1"/>
  <c r="AH161" i="4"/>
  <c r="AI161" i="4"/>
  <c r="AJ161" i="4"/>
  <c r="AK161" i="4"/>
  <c r="AL161" i="4"/>
  <c r="AM161" i="4"/>
  <c r="AN161" i="4"/>
  <c r="AO161" i="4"/>
  <c r="AP161" i="4"/>
  <c r="AQ161" i="4"/>
  <c r="AR161" i="4"/>
  <c r="AS161" i="4"/>
  <c r="AT161" i="4"/>
  <c r="AU161" i="4"/>
  <c r="AV161" i="4"/>
  <c r="AW161" i="4"/>
  <c r="AX161" i="4"/>
  <c r="AY161" i="4"/>
  <c r="AC137" i="4"/>
  <c r="AD137" i="4"/>
  <c r="AE137" i="4"/>
  <c r="AF137" i="4"/>
  <c r="AG137" i="4"/>
  <c r="AZ137" i="4" s="1"/>
  <c r="AH137" i="4"/>
  <c r="AI137" i="4"/>
  <c r="AJ137" i="4"/>
  <c r="AK137" i="4"/>
  <c r="AL137" i="4"/>
  <c r="AM137" i="4"/>
  <c r="AN137" i="4"/>
  <c r="AO137" i="4"/>
  <c r="AP137" i="4"/>
  <c r="AQ137" i="4"/>
  <c r="AR137" i="4"/>
  <c r="AS137" i="4"/>
  <c r="AT137" i="4"/>
  <c r="AU137" i="4"/>
  <c r="AV137" i="4"/>
  <c r="AW137" i="4"/>
  <c r="AX137" i="4"/>
  <c r="AY137" i="4"/>
  <c r="AC206" i="4"/>
  <c r="AD206" i="4"/>
  <c r="AE206" i="4"/>
  <c r="AF206" i="4"/>
  <c r="AG206" i="4"/>
  <c r="AZ206" i="4" s="1"/>
  <c r="AH206" i="4"/>
  <c r="AI206" i="4"/>
  <c r="AJ206" i="4"/>
  <c r="AK206" i="4"/>
  <c r="AL206" i="4"/>
  <c r="AM206" i="4"/>
  <c r="AN206" i="4"/>
  <c r="AO206" i="4"/>
  <c r="AP206" i="4"/>
  <c r="AQ206" i="4"/>
  <c r="AR206" i="4"/>
  <c r="AS206" i="4"/>
  <c r="AT206" i="4"/>
  <c r="AU206" i="4"/>
  <c r="AV206" i="4"/>
  <c r="AW206" i="4"/>
  <c r="AX206" i="4"/>
  <c r="AY206" i="4"/>
  <c r="AC156" i="4"/>
  <c r="AD156" i="4"/>
  <c r="AE156" i="4"/>
  <c r="AF156" i="4"/>
  <c r="AG156" i="4"/>
  <c r="AZ156" i="4" s="1"/>
  <c r="AH156" i="4"/>
  <c r="AI156" i="4"/>
  <c r="AJ156" i="4"/>
  <c r="AK156" i="4"/>
  <c r="AL156" i="4"/>
  <c r="AM156" i="4"/>
  <c r="AN156" i="4"/>
  <c r="AO156" i="4"/>
  <c r="AP156" i="4"/>
  <c r="AQ156" i="4"/>
  <c r="AR156" i="4"/>
  <c r="AS156" i="4"/>
  <c r="AT156" i="4"/>
  <c r="AU156" i="4"/>
  <c r="AV156" i="4"/>
  <c r="AW156" i="4"/>
  <c r="AX156" i="4"/>
  <c r="AY156" i="4"/>
  <c r="AC194" i="4"/>
  <c r="AD194" i="4"/>
  <c r="AE194" i="4"/>
  <c r="AF194" i="4"/>
  <c r="AG194" i="4"/>
  <c r="AZ194" i="4" s="1"/>
  <c r="AH194" i="4"/>
  <c r="AI194" i="4"/>
  <c r="AJ194" i="4"/>
  <c r="AK194" i="4"/>
  <c r="AL194" i="4"/>
  <c r="AM194" i="4"/>
  <c r="AN194" i="4"/>
  <c r="AO194" i="4"/>
  <c r="AP194" i="4"/>
  <c r="AQ194" i="4"/>
  <c r="AR194" i="4"/>
  <c r="AS194" i="4"/>
  <c r="AT194" i="4"/>
  <c r="AU194" i="4"/>
  <c r="AV194" i="4"/>
  <c r="AW194" i="4"/>
  <c r="AX194" i="4"/>
  <c r="AY194" i="4"/>
  <c r="AC168" i="4"/>
  <c r="AD168" i="4"/>
  <c r="AE168" i="4"/>
  <c r="AF168" i="4"/>
  <c r="AG168" i="4"/>
  <c r="AZ168" i="4" s="1"/>
  <c r="AH168" i="4"/>
  <c r="AI168" i="4"/>
  <c r="AJ168" i="4"/>
  <c r="AK168" i="4"/>
  <c r="AL168" i="4"/>
  <c r="AM168" i="4"/>
  <c r="AN168" i="4"/>
  <c r="AO168" i="4"/>
  <c r="AP168" i="4"/>
  <c r="AQ168" i="4"/>
  <c r="AR168" i="4"/>
  <c r="AS168" i="4"/>
  <c r="AT168" i="4"/>
  <c r="AU168" i="4"/>
  <c r="AV168" i="4"/>
  <c r="AW168" i="4"/>
  <c r="AX168" i="4"/>
  <c r="AY168" i="4"/>
  <c r="AC188" i="4"/>
  <c r="AD188" i="4"/>
  <c r="AE188" i="4"/>
  <c r="AF188" i="4"/>
  <c r="AG188" i="4"/>
  <c r="AZ188" i="4" s="1"/>
  <c r="AH188" i="4"/>
  <c r="AI188" i="4"/>
  <c r="AJ188" i="4"/>
  <c r="AK188" i="4"/>
  <c r="AL188" i="4"/>
  <c r="AM188" i="4"/>
  <c r="AN188" i="4"/>
  <c r="AO188" i="4"/>
  <c r="AP188" i="4"/>
  <c r="AQ188" i="4"/>
  <c r="AR188" i="4"/>
  <c r="AS188" i="4"/>
  <c r="AT188" i="4"/>
  <c r="AU188" i="4"/>
  <c r="AV188" i="4"/>
  <c r="AW188" i="4"/>
  <c r="AX188" i="4"/>
  <c r="AY188" i="4"/>
  <c r="AC195" i="4"/>
  <c r="AD195" i="4"/>
  <c r="AE195" i="4"/>
  <c r="AF195" i="4"/>
  <c r="AG195" i="4"/>
  <c r="AZ195" i="4" s="1"/>
  <c r="AH195" i="4"/>
  <c r="AI195" i="4"/>
  <c r="AJ195" i="4"/>
  <c r="AK195" i="4"/>
  <c r="AL195" i="4"/>
  <c r="AM195" i="4"/>
  <c r="AN195" i="4"/>
  <c r="AO195" i="4"/>
  <c r="AP195" i="4"/>
  <c r="AQ195" i="4"/>
  <c r="AR195" i="4"/>
  <c r="AS195" i="4"/>
  <c r="AT195" i="4"/>
  <c r="AU195" i="4"/>
  <c r="AV195" i="4"/>
  <c r="AW195" i="4"/>
  <c r="AX195" i="4"/>
  <c r="AY195" i="4"/>
  <c r="AC181" i="4"/>
  <c r="AD181" i="4"/>
  <c r="AE181" i="4"/>
  <c r="AF181" i="4"/>
  <c r="AG181" i="4"/>
  <c r="AZ181" i="4" s="1"/>
  <c r="AH181" i="4"/>
  <c r="AI181" i="4"/>
  <c r="AJ181" i="4"/>
  <c r="AK181" i="4"/>
  <c r="AL181" i="4"/>
  <c r="AM181" i="4"/>
  <c r="AN181" i="4"/>
  <c r="AO181" i="4"/>
  <c r="AP181" i="4"/>
  <c r="AQ181" i="4"/>
  <c r="AR181" i="4"/>
  <c r="AS181" i="4"/>
  <c r="AT181" i="4"/>
  <c r="AU181" i="4"/>
  <c r="AV181" i="4"/>
  <c r="AW181" i="4"/>
  <c r="AX181" i="4"/>
  <c r="AY181" i="4"/>
  <c r="AC82" i="4"/>
  <c r="AD82" i="4"/>
  <c r="AE82" i="4"/>
  <c r="AF82" i="4"/>
  <c r="AG82" i="4"/>
  <c r="AZ82" i="4" s="1"/>
  <c r="AH82" i="4"/>
  <c r="AI82" i="4"/>
  <c r="AJ82" i="4"/>
  <c r="AK82" i="4"/>
  <c r="AL82" i="4"/>
  <c r="AM82" i="4"/>
  <c r="AN82" i="4"/>
  <c r="AO82" i="4"/>
  <c r="AP82" i="4"/>
  <c r="AQ82" i="4"/>
  <c r="AR82" i="4"/>
  <c r="AS82" i="4"/>
  <c r="AT82" i="4"/>
  <c r="AU82" i="4"/>
  <c r="AV82" i="4"/>
  <c r="AW82" i="4"/>
  <c r="AX82" i="4"/>
  <c r="AY82" i="4"/>
  <c r="AC217" i="4"/>
  <c r="AD217" i="4"/>
  <c r="AE217" i="4"/>
  <c r="AF217" i="4"/>
  <c r="AG217" i="4"/>
  <c r="AZ217" i="4" s="1"/>
  <c r="AH217" i="4"/>
  <c r="AI217" i="4"/>
  <c r="AJ217" i="4"/>
  <c r="AK217" i="4"/>
  <c r="AL217" i="4"/>
  <c r="AM217" i="4"/>
  <c r="AN217" i="4"/>
  <c r="AO217" i="4"/>
  <c r="AP217" i="4"/>
  <c r="AQ217" i="4"/>
  <c r="AR217" i="4"/>
  <c r="AS217" i="4"/>
  <c r="AT217" i="4"/>
  <c r="AU217" i="4"/>
  <c r="AV217" i="4"/>
  <c r="AW217" i="4"/>
  <c r="AX217" i="4"/>
  <c r="AY217" i="4"/>
  <c r="AC174" i="4"/>
  <c r="AD174" i="4"/>
  <c r="AE174" i="4"/>
  <c r="AF174" i="4"/>
  <c r="AG174" i="4"/>
  <c r="AZ174" i="4" s="1"/>
  <c r="AH174" i="4"/>
  <c r="AI174" i="4"/>
  <c r="AJ174" i="4"/>
  <c r="AK174" i="4"/>
  <c r="AL174" i="4"/>
  <c r="AM174" i="4"/>
  <c r="AN174" i="4"/>
  <c r="AO174" i="4"/>
  <c r="AP174" i="4"/>
  <c r="AQ174" i="4"/>
  <c r="AR174" i="4"/>
  <c r="AS174" i="4"/>
  <c r="AT174" i="4"/>
  <c r="AU174" i="4"/>
  <c r="AV174" i="4"/>
  <c r="AW174" i="4"/>
  <c r="AX174" i="4"/>
  <c r="AY174" i="4"/>
  <c r="AC167" i="4"/>
  <c r="AD167" i="4"/>
  <c r="AE167" i="4"/>
  <c r="AF167" i="4"/>
  <c r="AG167" i="4"/>
  <c r="AZ167" i="4" s="1"/>
  <c r="AH167" i="4"/>
  <c r="AI167" i="4"/>
  <c r="AJ167" i="4"/>
  <c r="AK167" i="4"/>
  <c r="AL167" i="4"/>
  <c r="AM167" i="4"/>
  <c r="AN167" i="4"/>
  <c r="AO167" i="4"/>
  <c r="AP167" i="4"/>
  <c r="AQ167" i="4"/>
  <c r="AR167" i="4"/>
  <c r="AS167" i="4"/>
  <c r="AT167" i="4"/>
  <c r="AU167" i="4"/>
  <c r="AV167" i="4"/>
  <c r="AW167" i="4"/>
  <c r="AX167" i="4"/>
  <c r="AY167" i="4"/>
  <c r="AC202" i="4"/>
  <c r="AD202" i="4"/>
  <c r="AE202" i="4"/>
  <c r="AF202" i="4"/>
  <c r="AG202" i="4"/>
  <c r="AZ202" i="4" s="1"/>
  <c r="AH202" i="4"/>
  <c r="AI202" i="4"/>
  <c r="AJ202" i="4"/>
  <c r="AK202" i="4"/>
  <c r="AL202" i="4"/>
  <c r="AM202" i="4"/>
  <c r="AN202" i="4"/>
  <c r="AO202" i="4"/>
  <c r="AP202" i="4"/>
  <c r="AQ202" i="4"/>
  <c r="AR202" i="4"/>
  <c r="AS202" i="4"/>
  <c r="AT202" i="4"/>
  <c r="AU202" i="4"/>
  <c r="AV202" i="4"/>
  <c r="AW202" i="4"/>
  <c r="AX202" i="4"/>
  <c r="AY202" i="4"/>
  <c r="AC205" i="4"/>
  <c r="AD205" i="4"/>
  <c r="AE205" i="4"/>
  <c r="AF205" i="4"/>
  <c r="AG205" i="4"/>
  <c r="AZ205" i="4" s="1"/>
  <c r="AH205" i="4"/>
  <c r="AI205" i="4"/>
  <c r="AJ205" i="4"/>
  <c r="AK205" i="4"/>
  <c r="AL205" i="4"/>
  <c r="AM205" i="4"/>
  <c r="AN205" i="4"/>
  <c r="AO205" i="4"/>
  <c r="AP205" i="4"/>
  <c r="AQ205" i="4"/>
  <c r="AR205" i="4"/>
  <c r="AS205" i="4"/>
  <c r="AT205" i="4"/>
  <c r="AU205" i="4"/>
  <c r="AV205" i="4"/>
  <c r="AW205" i="4"/>
  <c r="AX205" i="4"/>
  <c r="AY205" i="4"/>
  <c r="AC208" i="4"/>
  <c r="AD208" i="4"/>
  <c r="AE208" i="4"/>
  <c r="AF208" i="4"/>
  <c r="AG208" i="4"/>
  <c r="AZ208" i="4" s="1"/>
  <c r="AH208" i="4"/>
  <c r="AI208" i="4"/>
  <c r="AJ208" i="4"/>
  <c r="AK208" i="4"/>
  <c r="AL208" i="4"/>
  <c r="AM208" i="4"/>
  <c r="AN208" i="4"/>
  <c r="AO208" i="4"/>
  <c r="AP208" i="4"/>
  <c r="AQ208" i="4"/>
  <c r="AR208" i="4"/>
  <c r="AS208" i="4"/>
  <c r="AT208" i="4"/>
  <c r="AU208" i="4"/>
  <c r="AV208" i="4"/>
  <c r="AW208" i="4"/>
  <c r="AX208" i="4"/>
  <c r="AY208" i="4"/>
  <c r="AC185" i="4"/>
  <c r="AD185" i="4"/>
  <c r="AE185" i="4"/>
  <c r="AF185" i="4"/>
  <c r="AG185" i="4"/>
  <c r="AZ185" i="4" s="1"/>
  <c r="AH185" i="4"/>
  <c r="AI185" i="4"/>
  <c r="AJ185" i="4"/>
  <c r="AK185" i="4"/>
  <c r="AL185" i="4"/>
  <c r="AM185" i="4"/>
  <c r="AN185" i="4"/>
  <c r="AO185" i="4"/>
  <c r="AP185" i="4"/>
  <c r="AQ185" i="4"/>
  <c r="AR185" i="4"/>
  <c r="AS185" i="4"/>
  <c r="AT185" i="4"/>
  <c r="AU185" i="4"/>
  <c r="AV185" i="4"/>
  <c r="AW185" i="4"/>
  <c r="AX185" i="4"/>
  <c r="AY185" i="4"/>
  <c r="AC124" i="4"/>
  <c r="AD124" i="4"/>
  <c r="AE124" i="4"/>
  <c r="AF124" i="4"/>
  <c r="AG124" i="4"/>
  <c r="AZ124" i="4" s="1"/>
  <c r="AH124" i="4"/>
  <c r="AI124" i="4"/>
  <c r="AJ124" i="4"/>
  <c r="AK124" i="4"/>
  <c r="AL124" i="4"/>
  <c r="AM124" i="4"/>
  <c r="AN124" i="4"/>
  <c r="AO124" i="4"/>
  <c r="AP124" i="4"/>
  <c r="AQ124" i="4"/>
  <c r="AR124" i="4"/>
  <c r="AS124" i="4"/>
  <c r="AT124" i="4"/>
  <c r="AU124" i="4"/>
  <c r="AV124" i="4"/>
  <c r="AW124" i="4"/>
  <c r="AX124" i="4"/>
  <c r="AY124" i="4"/>
  <c r="AC74" i="4"/>
  <c r="AD74" i="4"/>
  <c r="AE74" i="4"/>
  <c r="AF74" i="4"/>
  <c r="AG74" i="4"/>
  <c r="AZ74" i="4" s="1"/>
  <c r="AH74" i="4"/>
  <c r="AI74" i="4"/>
  <c r="AJ74" i="4"/>
  <c r="AK74" i="4"/>
  <c r="AL74" i="4"/>
  <c r="AM74" i="4"/>
  <c r="AN74" i="4"/>
  <c r="AO74" i="4"/>
  <c r="AP74" i="4"/>
  <c r="AQ74" i="4"/>
  <c r="AR74" i="4"/>
  <c r="AS74" i="4"/>
  <c r="AT74" i="4"/>
  <c r="AU74" i="4"/>
  <c r="AV74" i="4"/>
  <c r="AW74" i="4"/>
  <c r="AX74" i="4"/>
  <c r="AY74" i="4"/>
  <c r="AC171" i="4"/>
  <c r="AD171" i="4"/>
  <c r="AE171" i="4"/>
  <c r="AF171" i="4"/>
  <c r="AG171" i="4"/>
  <c r="AZ171" i="4" s="1"/>
  <c r="AH171" i="4"/>
  <c r="AI171" i="4"/>
  <c r="AJ171" i="4"/>
  <c r="AK171" i="4"/>
  <c r="AL171" i="4"/>
  <c r="AM171" i="4"/>
  <c r="AN171" i="4"/>
  <c r="AO171" i="4"/>
  <c r="AP171" i="4"/>
  <c r="AQ171" i="4"/>
  <c r="AR171" i="4"/>
  <c r="AS171" i="4"/>
  <c r="AT171" i="4"/>
  <c r="AU171" i="4"/>
  <c r="AV171" i="4"/>
  <c r="AW171" i="4"/>
  <c r="AX171" i="4"/>
  <c r="AY171" i="4"/>
  <c r="AC196" i="4"/>
  <c r="AD196" i="4"/>
  <c r="AE196" i="4"/>
  <c r="AF196" i="4"/>
  <c r="AG196" i="4"/>
  <c r="AZ196" i="4" s="1"/>
  <c r="AH196" i="4"/>
  <c r="AI196" i="4"/>
  <c r="AJ196" i="4"/>
  <c r="AK196" i="4"/>
  <c r="AL196" i="4"/>
  <c r="AM196" i="4"/>
  <c r="AN196" i="4"/>
  <c r="AO196" i="4"/>
  <c r="AP196" i="4"/>
  <c r="AQ196" i="4"/>
  <c r="AR196" i="4"/>
  <c r="AS196" i="4"/>
  <c r="AT196" i="4"/>
  <c r="AU196" i="4"/>
  <c r="AV196" i="4"/>
  <c r="AW196" i="4"/>
  <c r="AX196" i="4"/>
  <c r="AY196" i="4"/>
  <c r="AC148" i="4"/>
  <c r="AD148" i="4"/>
  <c r="AE148" i="4"/>
  <c r="AF148" i="4"/>
  <c r="AG148" i="4"/>
  <c r="AZ148" i="4" s="1"/>
  <c r="AH148" i="4"/>
  <c r="AI148" i="4"/>
  <c r="AJ148" i="4"/>
  <c r="AK148" i="4"/>
  <c r="AL148" i="4"/>
  <c r="AM148" i="4"/>
  <c r="AN148" i="4"/>
  <c r="AO148" i="4"/>
  <c r="AP148" i="4"/>
  <c r="AQ148" i="4"/>
  <c r="AR148" i="4"/>
  <c r="AS148" i="4"/>
  <c r="AT148" i="4"/>
  <c r="AU148" i="4"/>
  <c r="AV148" i="4"/>
  <c r="AW148" i="4"/>
  <c r="AX148" i="4"/>
  <c r="AY148" i="4"/>
  <c r="AC183" i="4"/>
  <c r="AD183" i="4"/>
  <c r="AE183" i="4"/>
  <c r="AF183" i="4"/>
  <c r="AG183" i="4"/>
  <c r="AZ183" i="4" s="1"/>
  <c r="AH183" i="4"/>
  <c r="AI183" i="4"/>
  <c r="AJ183" i="4"/>
  <c r="AK183" i="4"/>
  <c r="AL183" i="4"/>
  <c r="AM183" i="4"/>
  <c r="AN183" i="4"/>
  <c r="AO183" i="4"/>
  <c r="AP183" i="4"/>
  <c r="AQ183" i="4"/>
  <c r="AR183" i="4"/>
  <c r="AS183" i="4"/>
  <c r="AT183" i="4"/>
  <c r="AU183" i="4"/>
  <c r="AV183" i="4"/>
  <c r="AW183" i="4"/>
  <c r="AX183" i="4"/>
  <c r="AY183" i="4"/>
  <c r="AC135" i="4"/>
  <c r="AD135" i="4"/>
  <c r="AE135" i="4"/>
  <c r="AF135" i="4"/>
  <c r="AG135" i="4"/>
  <c r="AZ135" i="4" s="1"/>
  <c r="AH135" i="4"/>
  <c r="AI135" i="4"/>
  <c r="AJ135" i="4"/>
  <c r="AK135" i="4"/>
  <c r="AL135" i="4"/>
  <c r="AM135" i="4"/>
  <c r="AN135" i="4"/>
  <c r="AO135" i="4"/>
  <c r="AP135" i="4"/>
  <c r="AQ135" i="4"/>
  <c r="AR135" i="4"/>
  <c r="AS135" i="4"/>
  <c r="AT135" i="4"/>
  <c r="AU135" i="4"/>
  <c r="AV135" i="4"/>
  <c r="AW135" i="4"/>
  <c r="AX135" i="4"/>
  <c r="AY135" i="4"/>
  <c r="AC131" i="4"/>
  <c r="AD131" i="4"/>
  <c r="AE131" i="4"/>
  <c r="AF131" i="4"/>
  <c r="AG131" i="4"/>
  <c r="AZ131" i="4" s="1"/>
  <c r="AH131" i="4"/>
  <c r="AI131" i="4"/>
  <c r="AJ131" i="4"/>
  <c r="AK131" i="4"/>
  <c r="AL131" i="4"/>
  <c r="AM131" i="4"/>
  <c r="AN131" i="4"/>
  <c r="AO131" i="4"/>
  <c r="AP131" i="4"/>
  <c r="AQ131" i="4"/>
  <c r="AR131" i="4"/>
  <c r="AS131" i="4"/>
  <c r="AT131" i="4"/>
  <c r="AU131" i="4"/>
  <c r="AV131" i="4"/>
  <c r="AW131" i="4"/>
  <c r="AX131" i="4"/>
  <c r="AY131" i="4"/>
  <c r="AC155" i="4"/>
  <c r="AD155" i="4"/>
  <c r="AE155" i="4"/>
  <c r="AF155" i="4"/>
  <c r="AG155" i="4"/>
  <c r="AZ155" i="4" s="1"/>
  <c r="AH155" i="4"/>
  <c r="AI155" i="4"/>
  <c r="AJ155" i="4"/>
  <c r="AK155" i="4"/>
  <c r="AL155" i="4"/>
  <c r="AM155" i="4"/>
  <c r="AN155" i="4"/>
  <c r="AO155" i="4"/>
  <c r="AP155" i="4"/>
  <c r="AQ155" i="4"/>
  <c r="AR155" i="4"/>
  <c r="AS155" i="4"/>
  <c r="AT155" i="4"/>
  <c r="AU155" i="4"/>
  <c r="AV155" i="4"/>
  <c r="AW155" i="4"/>
  <c r="AX155" i="4"/>
  <c r="AY155" i="4"/>
  <c r="AC177" i="4"/>
  <c r="AD177" i="4"/>
  <c r="AE177" i="4"/>
  <c r="AF177" i="4"/>
  <c r="AG177" i="4"/>
  <c r="AZ177" i="4" s="1"/>
  <c r="AH177" i="4"/>
  <c r="AI177" i="4"/>
  <c r="AJ177" i="4"/>
  <c r="AK177" i="4"/>
  <c r="AL177" i="4"/>
  <c r="AM177" i="4"/>
  <c r="AN177" i="4"/>
  <c r="AO177" i="4"/>
  <c r="AP177" i="4"/>
  <c r="AQ177" i="4"/>
  <c r="AR177" i="4"/>
  <c r="AS177" i="4"/>
  <c r="AT177" i="4"/>
  <c r="AU177" i="4"/>
  <c r="AV177" i="4"/>
  <c r="AW177" i="4"/>
  <c r="AX177" i="4"/>
  <c r="AY177" i="4"/>
  <c r="AC180" i="4"/>
  <c r="AD180" i="4"/>
  <c r="AE180" i="4"/>
  <c r="AF180" i="4"/>
  <c r="AG180" i="4"/>
  <c r="AZ180" i="4" s="1"/>
  <c r="AH180" i="4"/>
  <c r="AI180" i="4"/>
  <c r="AJ180" i="4"/>
  <c r="AK180" i="4"/>
  <c r="AL180" i="4"/>
  <c r="AM180" i="4"/>
  <c r="AN180" i="4"/>
  <c r="AO180" i="4"/>
  <c r="AP180" i="4"/>
  <c r="AQ180" i="4"/>
  <c r="AR180" i="4"/>
  <c r="AS180" i="4"/>
  <c r="AT180" i="4"/>
  <c r="AU180" i="4"/>
  <c r="AV180" i="4"/>
  <c r="AW180" i="4"/>
  <c r="AX180" i="4"/>
  <c r="AY180" i="4"/>
  <c r="AC186" i="4"/>
  <c r="AD186" i="4"/>
  <c r="AE186" i="4"/>
  <c r="AF186" i="4"/>
  <c r="AG186" i="4"/>
  <c r="AZ186" i="4" s="1"/>
  <c r="AH186" i="4"/>
  <c r="AI186" i="4"/>
  <c r="AJ186" i="4"/>
  <c r="AK186" i="4"/>
  <c r="AL186" i="4"/>
  <c r="AM186" i="4"/>
  <c r="AN186" i="4"/>
  <c r="AO186" i="4"/>
  <c r="AP186" i="4"/>
  <c r="AQ186" i="4"/>
  <c r="AR186" i="4"/>
  <c r="AS186" i="4"/>
  <c r="AT186" i="4"/>
  <c r="AU186" i="4"/>
  <c r="AV186" i="4"/>
  <c r="AW186" i="4"/>
  <c r="AX186" i="4"/>
  <c r="AY186" i="4"/>
  <c r="AC127" i="4"/>
  <c r="AD127" i="4"/>
  <c r="AE127" i="4"/>
  <c r="AF127" i="4"/>
  <c r="AG127" i="4"/>
  <c r="AZ127" i="4" s="1"/>
  <c r="AH127" i="4"/>
  <c r="AI127" i="4"/>
  <c r="AJ127" i="4"/>
  <c r="AK127" i="4"/>
  <c r="AL127" i="4"/>
  <c r="AM127" i="4"/>
  <c r="AN127" i="4"/>
  <c r="AO127" i="4"/>
  <c r="AP127" i="4"/>
  <c r="AQ127" i="4"/>
  <c r="AR127" i="4"/>
  <c r="AS127" i="4"/>
  <c r="AT127" i="4"/>
  <c r="AU127" i="4"/>
  <c r="AV127" i="4"/>
  <c r="AW127" i="4"/>
  <c r="AX127" i="4"/>
  <c r="AY127" i="4"/>
  <c r="AC169" i="4"/>
  <c r="AD169" i="4"/>
  <c r="AE169" i="4"/>
  <c r="AF169" i="4"/>
  <c r="AG169" i="4"/>
  <c r="AZ169" i="4" s="1"/>
  <c r="AH169" i="4"/>
  <c r="AI169" i="4"/>
  <c r="AJ169" i="4"/>
  <c r="AK169" i="4"/>
  <c r="AL169" i="4"/>
  <c r="AM169" i="4"/>
  <c r="AN169" i="4"/>
  <c r="AO169" i="4"/>
  <c r="AP169" i="4"/>
  <c r="AQ169" i="4"/>
  <c r="AR169" i="4"/>
  <c r="AS169" i="4"/>
  <c r="AT169" i="4"/>
  <c r="AU169" i="4"/>
  <c r="AV169" i="4"/>
  <c r="AW169" i="4"/>
  <c r="AX169" i="4"/>
  <c r="AY169" i="4"/>
  <c r="AC154" i="4"/>
  <c r="AD154" i="4"/>
  <c r="AE154" i="4"/>
  <c r="AF154" i="4"/>
  <c r="AG154" i="4"/>
  <c r="AZ154" i="4" s="1"/>
  <c r="AH154" i="4"/>
  <c r="AI154" i="4"/>
  <c r="AJ154" i="4"/>
  <c r="AK154" i="4"/>
  <c r="AL154" i="4"/>
  <c r="AM154" i="4"/>
  <c r="AN154" i="4"/>
  <c r="AO154" i="4"/>
  <c r="AP154" i="4"/>
  <c r="AQ154" i="4"/>
  <c r="AR154" i="4"/>
  <c r="AS154" i="4"/>
  <c r="AT154" i="4"/>
  <c r="AU154" i="4"/>
  <c r="AV154" i="4"/>
  <c r="AW154" i="4"/>
  <c r="AX154" i="4"/>
  <c r="AY154" i="4"/>
  <c r="AC191" i="4"/>
  <c r="AD191" i="4"/>
  <c r="AE191" i="4"/>
  <c r="AF191" i="4"/>
  <c r="AG191" i="4"/>
  <c r="AH191" i="4"/>
  <c r="AI191" i="4"/>
  <c r="AJ191" i="4"/>
  <c r="AK191" i="4"/>
  <c r="AL191" i="4"/>
  <c r="AM191" i="4"/>
  <c r="AN191" i="4"/>
  <c r="AO191" i="4"/>
  <c r="AP191" i="4"/>
  <c r="AQ191" i="4"/>
  <c r="AR191" i="4"/>
  <c r="AS191" i="4"/>
  <c r="AT191" i="4"/>
  <c r="AU191" i="4"/>
  <c r="AV191" i="4"/>
  <c r="AW191" i="4"/>
  <c r="AX191" i="4"/>
  <c r="AY191" i="4"/>
  <c r="AC149" i="4"/>
  <c r="AD149" i="4"/>
  <c r="AE149" i="4"/>
  <c r="AF149" i="4"/>
  <c r="AG149" i="4"/>
  <c r="AZ149" i="4" s="1"/>
  <c r="AH149" i="4"/>
  <c r="AI149" i="4"/>
  <c r="AJ149" i="4"/>
  <c r="AK149" i="4"/>
  <c r="AL149" i="4"/>
  <c r="AM149" i="4"/>
  <c r="AN149" i="4"/>
  <c r="AO149" i="4"/>
  <c r="AP149" i="4"/>
  <c r="AQ149" i="4"/>
  <c r="AR149" i="4"/>
  <c r="AS149" i="4"/>
  <c r="AT149" i="4"/>
  <c r="AU149" i="4"/>
  <c r="AV149" i="4"/>
  <c r="AW149" i="4"/>
  <c r="AX149" i="4"/>
  <c r="AY149" i="4"/>
  <c r="AC207" i="4"/>
  <c r="AD207" i="4"/>
  <c r="AE207" i="4"/>
  <c r="AF207" i="4"/>
  <c r="AG207" i="4"/>
  <c r="AZ207" i="4" s="1"/>
  <c r="AH207" i="4"/>
  <c r="AI207" i="4"/>
  <c r="AJ207" i="4"/>
  <c r="AK207" i="4"/>
  <c r="AL207" i="4"/>
  <c r="AM207" i="4"/>
  <c r="AN207" i="4"/>
  <c r="AO207" i="4"/>
  <c r="AP207" i="4"/>
  <c r="AQ207" i="4"/>
  <c r="AR207" i="4"/>
  <c r="AS207" i="4"/>
  <c r="AT207" i="4"/>
  <c r="AU207" i="4"/>
  <c r="AV207" i="4"/>
  <c r="AW207" i="4"/>
  <c r="AX207" i="4"/>
  <c r="AY207" i="4"/>
  <c r="AC193" i="4"/>
  <c r="AD193" i="4"/>
  <c r="AE193" i="4"/>
  <c r="AF193" i="4"/>
  <c r="AG193" i="4"/>
  <c r="AZ193" i="4" s="1"/>
  <c r="AH193" i="4"/>
  <c r="AI193" i="4"/>
  <c r="AJ193" i="4"/>
  <c r="AK193" i="4"/>
  <c r="AL193" i="4"/>
  <c r="AM193" i="4"/>
  <c r="AN193" i="4"/>
  <c r="AO193" i="4"/>
  <c r="AP193" i="4"/>
  <c r="AQ193" i="4"/>
  <c r="AR193" i="4"/>
  <c r="AS193" i="4"/>
  <c r="AT193" i="4"/>
  <c r="AU193" i="4"/>
  <c r="AV193" i="4"/>
  <c r="AW193" i="4"/>
  <c r="AX193" i="4"/>
  <c r="AY193" i="4"/>
  <c r="AC150" i="4"/>
  <c r="AD150" i="4"/>
  <c r="AE150" i="4"/>
  <c r="AF150" i="4"/>
  <c r="AG150" i="4"/>
  <c r="AZ150" i="4" s="1"/>
  <c r="AH150" i="4"/>
  <c r="AI150" i="4"/>
  <c r="AJ150" i="4"/>
  <c r="AK150" i="4"/>
  <c r="AL150" i="4"/>
  <c r="AM150" i="4"/>
  <c r="AN150" i="4"/>
  <c r="AO150" i="4"/>
  <c r="AP150" i="4"/>
  <c r="AQ150" i="4"/>
  <c r="AR150" i="4"/>
  <c r="AS150" i="4"/>
  <c r="AT150" i="4"/>
  <c r="AU150" i="4"/>
  <c r="AV150" i="4"/>
  <c r="AW150" i="4"/>
  <c r="AX150" i="4"/>
  <c r="AY150" i="4"/>
  <c r="AC213" i="4"/>
  <c r="AD213" i="4"/>
  <c r="AE213" i="4"/>
  <c r="AF213" i="4"/>
  <c r="AG213" i="4"/>
  <c r="AZ213" i="4" s="1"/>
  <c r="AH213" i="4"/>
  <c r="AI213" i="4"/>
  <c r="AJ213" i="4"/>
  <c r="AK213" i="4"/>
  <c r="AL213" i="4"/>
  <c r="AM213" i="4"/>
  <c r="AN213" i="4"/>
  <c r="AO213" i="4"/>
  <c r="AP213" i="4"/>
  <c r="AQ213" i="4"/>
  <c r="AR213" i="4"/>
  <c r="AS213" i="4"/>
  <c r="AT213" i="4"/>
  <c r="AU213" i="4"/>
  <c r="AV213" i="4"/>
  <c r="AW213" i="4"/>
  <c r="AX213" i="4"/>
  <c r="AY213" i="4"/>
  <c r="AC114" i="4"/>
  <c r="AD114" i="4"/>
  <c r="AE114" i="4"/>
  <c r="AF114" i="4"/>
  <c r="AG114" i="4"/>
  <c r="AZ114" i="4" s="1"/>
  <c r="AH114" i="4"/>
  <c r="AI114" i="4"/>
  <c r="AJ114" i="4"/>
  <c r="AK114" i="4"/>
  <c r="AL114" i="4"/>
  <c r="AM114" i="4"/>
  <c r="AN114" i="4"/>
  <c r="AO114" i="4"/>
  <c r="AP114" i="4"/>
  <c r="AQ114" i="4"/>
  <c r="AR114" i="4"/>
  <c r="AS114" i="4"/>
  <c r="AT114" i="4"/>
  <c r="AU114" i="4"/>
  <c r="AV114" i="4"/>
  <c r="AW114" i="4"/>
  <c r="AX114" i="4"/>
  <c r="AY114" i="4"/>
  <c r="AC119" i="4"/>
  <c r="AD119" i="4"/>
  <c r="AE119" i="4"/>
  <c r="AF119" i="4"/>
  <c r="AG119" i="4"/>
  <c r="AZ119" i="4" s="1"/>
  <c r="AH119" i="4"/>
  <c r="AI119" i="4"/>
  <c r="AJ119" i="4"/>
  <c r="AK119" i="4"/>
  <c r="AL119" i="4"/>
  <c r="AM119" i="4"/>
  <c r="AN119" i="4"/>
  <c r="AO119" i="4"/>
  <c r="AP119" i="4"/>
  <c r="AQ119" i="4"/>
  <c r="AR119" i="4"/>
  <c r="AS119" i="4"/>
  <c r="AT119" i="4"/>
  <c r="AU119" i="4"/>
  <c r="AV119" i="4"/>
  <c r="AW119" i="4"/>
  <c r="AX119" i="4"/>
  <c r="AY119" i="4"/>
  <c r="AC136" i="4"/>
  <c r="AD136" i="4"/>
  <c r="AE136" i="4"/>
  <c r="AF136" i="4"/>
  <c r="AG136" i="4"/>
  <c r="AZ136" i="4" s="1"/>
  <c r="AH136" i="4"/>
  <c r="AI136" i="4"/>
  <c r="AJ136" i="4"/>
  <c r="AK136" i="4"/>
  <c r="AL136" i="4"/>
  <c r="AM136" i="4"/>
  <c r="AN136" i="4"/>
  <c r="AO136" i="4"/>
  <c r="AP136" i="4"/>
  <c r="AQ136" i="4"/>
  <c r="AR136" i="4"/>
  <c r="AS136" i="4"/>
  <c r="AT136" i="4"/>
  <c r="AU136" i="4"/>
  <c r="AV136" i="4"/>
  <c r="AW136" i="4"/>
  <c r="AX136" i="4"/>
  <c r="AY136" i="4"/>
  <c r="AC179" i="4"/>
  <c r="AD179" i="4"/>
  <c r="AE179" i="4"/>
  <c r="AF179" i="4"/>
  <c r="AG179" i="4"/>
  <c r="AZ179" i="4" s="1"/>
  <c r="AH179" i="4"/>
  <c r="AI179" i="4"/>
  <c r="AJ179" i="4"/>
  <c r="AK179" i="4"/>
  <c r="AL179" i="4"/>
  <c r="AM179" i="4"/>
  <c r="AN179" i="4"/>
  <c r="AO179" i="4"/>
  <c r="AP179" i="4"/>
  <c r="AQ179" i="4"/>
  <c r="AR179" i="4"/>
  <c r="AS179" i="4"/>
  <c r="AT179" i="4"/>
  <c r="AU179" i="4"/>
  <c r="AV179" i="4"/>
  <c r="AW179" i="4"/>
  <c r="AX179" i="4"/>
  <c r="AY179" i="4"/>
  <c r="AC211" i="4"/>
  <c r="AD211" i="4"/>
  <c r="AE211" i="4"/>
  <c r="AF211" i="4"/>
  <c r="AG211" i="4"/>
  <c r="AZ211" i="4" s="1"/>
  <c r="AH211" i="4"/>
  <c r="AI211" i="4"/>
  <c r="AJ211" i="4"/>
  <c r="AK211" i="4"/>
  <c r="AL211" i="4"/>
  <c r="AM211" i="4"/>
  <c r="AN211" i="4"/>
  <c r="AO211" i="4"/>
  <c r="AP211" i="4"/>
  <c r="AQ211" i="4"/>
  <c r="AR211" i="4"/>
  <c r="AS211" i="4"/>
  <c r="AT211" i="4"/>
  <c r="AU211" i="4"/>
  <c r="AV211" i="4"/>
  <c r="AW211" i="4"/>
  <c r="AX211" i="4"/>
  <c r="AY211" i="4"/>
  <c r="AC133" i="4"/>
  <c r="AD133" i="4"/>
  <c r="AE133" i="4"/>
  <c r="AF133" i="4"/>
  <c r="AG133" i="4"/>
  <c r="AZ133" i="4" s="1"/>
  <c r="AH133" i="4"/>
  <c r="AI133" i="4"/>
  <c r="AJ133" i="4"/>
  <c r="AK133" i="4"/>
  <c r="AL133" i="4"/>
  <c r="AM133" i="4"/>
  <c r="AN133" i="4"/>
  <c r="AO133" i="4"/>
  <c r="AP133" i="4"/>
  <c r="AQ133" i="4"/>
  <c r="AR133" i="4"/>
  <c r="AS133" i="4"/>
  <c r="AT133" i="4"/>
  <c r="AU133" i="4"/>
  <c r="AV133" i="4"/>
  <c r="AW133" i="4"/>
  <c r="AX133" i="4"/>
  <c r="AY133" i="4"/>
  <c r="AC109" i="4"/>
  <c r="AD109" i="4"/>
  <c r="AE109" i="4"/>
  <c r="AF109" i="4"/>
  <c r="AG109" i="4"/>
  <c r="AZ109" i="4" s="1"/>
  <c r="AH109" i="4"/>
  <c r="AI109" i="4"/>
  <c r="AJ109" i="4"/>
  <c r="AK109" i="4"/>
  <c r="AL109" i="4"/>
  <c r="AM109" i="4"/>
  <c r="AN109" i="4"/>
  <c r="AO109" i="4"/>
  <c r="AP109" i="4"/>
  <c r="AQ109" i="4"/>
  <c r="AR109" i="4"/>
  <c r="AS109" i="4"/>
  <c r="AT109" i="4"/>
  <c r="AU109" i="4"/>
  <c r="AV109" i="4"/>
  <c r="AW109" i="4"/>
  <c r="AX109" i="4"/>
  <c r="AY109" i="4"/>
  <c r="AC163" i="4"/>
  <c r="AD163" i="4"/>
  <c r="AE163" i="4"/>
  <c r="AF163" i="4"/>
  <c r="AG163" i="4"/>
  <c r="AZ163" i="4" s="1"/>
  <c r="AH163" i="4"/>
  <c r="AI163" i="4"/>
  <c r="AJ163" i="4"/>
  <c r="AK163" i="4"/>
  <c r="AL163" i="4"/>
  <c r="AM163" i="4"/>
  <c r="AN163" i="4"/>
  <c r="AO163" i="4"/>
  <c r="AP163" i="4"/>
  <c r="AQ163" i="4"/>
  <c r="AR163" i="4"/>
  <c r="AS163" i="4"/>
  <c r="AT163" i="4"/>
  <c r="AU163" i="4"/>
  <c r="AV163" i="4"/>
  <c r="AW163" i="4"/>
  <c r="AX163" i="4"/>
  <c r="AY163" i="4"/>
  <c r="AC107" i="4"/>
  <c r="AD107" i="4"/>
  <c r="AE107" i="4"/>
  <c r="AF107" i="4"/>
  <c r="AG107" i="4"/>
  <c r="AZ107" i="4" s="1"/>
  <c r="AH107" i="4"/>
  <c r="AI107" i="4"/>
  <c r="AJ107" i="4"/>
  <c r="AK107" i="4"/>
  <c r="AL107" i="4"/>
  <c r="AM107" i="4"/>
  <c r="AN107" i="4"/>
  <c r="AO107" i="4"/>
  <c r="AP107" i="4"/>
  <c r="AQ107" i="4"/>
  <c r="AR107" i="4"/>
  <c r="AS107" i="4"/>
  <c r="AT107" i="4"/>
  <c r="AU107" i="4"/>
  <c r="AV107" i="4"/>
  <c r="AW107" i="4"/>
  <c r="AX107" i="4"/>
  <c r="AY107" i="4"/>
  <c r="AC130" i="4"/>
  <c r="AD130" i="4"/>
  <c r="AE130" i="4"/>
  <c r="AF130" i="4"/>
  <c r="AG130" i="4"/>
  <c r="AZ130" i="4" s="1"/>
  <c r="AH130" i="4"/>
  <c r="AI130" i="4"/>
  <c r="AJ130" i="4"/>
  <c r="AK130" i="4"/>
  <c r="AL130" i="4"/>
  <c r="AM130" i="4"/>
  <c r="AN130" i="4"/>
  <c r="AO130" i="4"/>
  <c r="AP130" i="4"/>
  <c r="AQ130" i="4"/>
  <c r="AR130" i="4"/>
  <c r="AS130" i="4"/>
  <c r="AT130" i="4"/>
  <c r="AU130" i="4"/>
  <c r="AV130" i="4"/>
  <c r="AW130" i="4"/>
  <c r="AX130" i="4"/>
  <c r="AY130" i="4"/>
  <c r="AC96" i="4"/>
  <c r="AD96" i="4"/>
  <c r="AE96" i="4"/>
  <c r="AF96" i="4"/>
  <c r="AG96" i="4"/>
  <c r="AZ96" i="4" s="1"/>
  <c r="AH96" i="4"/>
  <c r="AI96" i="4"/>
  <c r="AJ96" i="4"/>
  <c r="AK96" i="4"/>
  <c r="AL96" i="4"/>
  <c r="AM96" i="4"/>
  <c r="AN96" i="4"/>
  <c r="AO96" i="4"/>
  <c r="AP96" i="4"/>
  <c r="AQ96" i="4"/>
  <c r="AR96" i="4"/>
  <c r="AS96" i="4"/>
  <c r="AT96" i="4"/>
  <c r="AU96" i="4"/>
  <c r="AV96" i="4"/>
  <c r="AW96" i="4"/>
  <c r="AX96" i="4"/>
  <c r="AY96" i="4"/>
  <c r="AC120" i="4"/>
  <c r="AD120" i="4"/>
  <c r="AE120" i="4"/>
  <c r="AF120" i="4"/>
  <c r="AG120" i="4"/>
  <c r="AZ120" i="4" s="1"/>
  <c r="AH120" i="4"/>
  <c r="AI120" i="4"/>
  <c r="AJ120" i="4"/>
  <c r="AK120" i="4"/>
  <c r="AL120" i="4"/>
  <c r="AM120" i="4"/>
  <c r="AN120" i="4"/>
  <c r="AO120" i="4"/>
  <c r="AP120" i="4"/>
  <c r="AQ120" i="4"/>
  <c r="AR120" i="4"/>
  <c r="AS120" i="4"/>
  <c r="AT120" i="4"/>
  <c r="AU120" i="4"/>
  <c r="AV120" i="4"/>
  <c r="AW120" i="4"/>
  <c r="AX120" i="4"/>
  <c r="AY120" i="4"/>
  <c r="AC145" i="4"/>
  <c r="AD145" i="4"/>
  <c r="AE145" i="4"/>
  <c r="AF145" i="4"/>
  <c r="AG145" i="4"/>
  <c r="AZ145" i="4" s="1"/>
  <c r="AH145" i="4"/>
  <c r="AI145" i="4"/>
  <c r="AJ145" i="4"/>
  <c r="AK145" i="4"/>
  <c r="AL145" i="4"/>
  <c r="AM145" i="4"/>
  <c r="AN145" i="4"/>
  <c r="AO145" i="4"/>
  <c r="AP145" i="4"/>
  <c r="AQ145" i="4"/>
  <c r="AR145" i="4"/>
  <c r="AS145" i="4"/>
  <c r="AT145" i="4"/>
  <c r="AU145" i="4"/>
  <c r="AV145" i="4"/>
  <c r="AW145" i="4"/>
  <c r="AX145" i="4"/>
  <c r="AY145" i="4"/>
  <c r="AC152" i="4"/>
  <c r="AD152" i="4"/>
  <c r="AE152" i="4"/>
  <c r="AF152" i="4"/>
  <c r="AG152" i="4"/>
  <c r="AZ152" i="4" s="1"/>
  <c r="AH152" i="4"/>
  <c r="AI152" i="4"/>
  <c r="AJ152" i="4"/>
  <c r="AK152" i="4"/>
  <c r="AL152" i="4"/>
  <c r="AM152" i="4"/>
  <c r="AN152" i="4"/>
  <c r="AO152" i="4"/>
  <c r="AP152" i="4"/>
  <c r="AQ152" i="4"/>
  <c r="AR152" i="4"/>
  <c r="AS152" i="4"/>
  <c r="AT152" i="4"/>
  <c r="AU152" i="4"/>
  <c r="AV152" i="4"/>
  <c r="AW152" i="4"/>
  <c r="AX152" i="4"/>
  <c r="AY152" i="4"/>
  <c r="AC172" i="4"/>
  <c r="AD172" i="4"/>
  <c r="AE172" i="4"/>
  <c r="AF172" i="4"/>
  <c r="AG172" i="4"/>
  <c r="AZ172" i="4" s="1"/>
  <c r="AH172" i="4"/>
  <c r="AI172" i="4"/>
  <c r="AJ172" i="4"/>
  <c r="AK172" i="4"/>
  <c r="AL172" i="4"/>
  <c r="AM172" i="4"/>
  <c r="AN172" i="4"/>
  <c r="AO172" i="4"/>
  <c r="AP172" i="4"/>
  <c r="AQ172" i="4"/>
  <c r="AR172" i="4"/>
  <c r="AS172" i="4"/>
  <c r="AT172" i="4"/>
  <c r="AU172" i="4"/>
  <c r="AV172" i="4"/>
  <c r="AW172" i="4"/>
  <c r="AX172" i="4"/>
  <c r="AY172" i="4"/>
  <c r="AC146" i="4"/>
  <c r="AD146" i="4"/>
  <c r="AE146" i="4"/>
  <c r="AF146" i="4"/>
  <c r="AG146" i="4"/>
  <c r="AZ146" i="4" s="1"/>
  <c r="AH146" i="4"/>
  <c r="AI146" i="4"/>
  <c r="AJ146" i="4"/>
  <c r="AK146" i="4"/>
  <c r="AL146" i="4"/>
  <c r="AM146" i="4"/>
  <c r="AN146" i="4"/>
  <c r="AO146" i="4"/>
  <c r="AP146" i="4"/>
  <c r="AQ146" i="4"/>
  <c r="AR146" i="4"/>
  <c r="AS146" i="4"/>
  <c r="AT146" i="4"/>
  <c r="AU146" i="4"/>
  <c r="AV146" i="4"/>
  <c r="AW146" i="4"/>
  <c r="AX146" i="4"/>
  <c r="AY146" i="4"/>
  <c r="AC175" i="4"/>
  <c r="AD175" i="4"/>
  <c r="AE175" i="4"/>
  <c r="AF175" i="4"/>
  <c r="AG175" i="4"/>
  <c r="AZ175" i="4" s="1"/>
  <c r="AH175" i="4"/>
  <c r="AI175" i="4"/>
  <c r="AJ175" i="4"/>
  <c r="AK175" i="4"/>
  <c r="AL175" i="4"/>
  <c r="AM175" i="4"/>
  <c r="AN175" i="4"/>
  <c r="AO175" i="4"/>
  <c r="AP175" i="4"/>
  <c r="AQ175" i="4"/>
  <c r="AR175" i="4"/>
  <c r="AS175" i="4"/>
  <c r="AT175" i="4"/>
  <c r="AU175" i="4"/>
  <c r="AV175" i="4"/>
  <c r="AW175" i="4"/>
  <c r="AX175" i="4"/>
  <c r="AY175" i="4"/>
  <c r="AC176" i="4"/>
  <c r="AD176" i="4"/>
  <c r="AE176" i="4"/>
  <c r="AF176" i="4"/>
  <c r="AG176" i="4"/>
  <c r="AZ176" i="4" s="1"/>
  <c r="AH176" i="4"/>
  <c r="AI176" i="4"/>
  <c r="AJ176" i="4"/>
  <c r="AK176" i="4"/>
  <c r="AL176" i="4"/>
  <c r="AM176" i="4"/>
  <c r="AN176" i="4"/>
  <c r="AO176" i="4"/>
  <c r="AP176" i="4"/>
  <c r="AQ176" i="4"/>
  <c r="AR176" i="4"/>
  <c r="AS176" i="4"/>
  <c r="AT176" i="4"/>
  <c r="AU176" i="4"/>
  <c r="AV176" i="4"/>
  <c r="AW176" i="4"/>
  <c r="AX176" i="4"/>
  <c r="AY176" i="4"/>
  <c r="AC102" i="4"/>
  <c r="AD102" i="4"/>
  <c r="AE102" i="4"/>
  <c r="AF102" i="4"/>
  <c r="AG102" i="4"/>
  <c r="AZ102" i="4" s="1"/>
  <c r="AH102" i="4"/>
  <c r="AI102" i="4"/>
  <c r="AJ102" i="4"/>
  <c r="AK102" i="4"/>
  <c r="AL102" i="4"/>
  <c r="AM102" i="4"/>
  <c r="AN102" i="4"/>
  <c r="AO102" i="4"/>
  <c r="AP102" i="4"/>
  <c r="AQ102" i="4"/>
  <c r="AR102" i="4"/>
  <c r="AS102" i="4"/>
  <c r="AT102" i="4"/>
  <c r="AU102" i="4"/>
  <c r="AV102" i="4"/>
  <c r="AW102" i="4"/>
  <c r="AX102" i="4"/>
  <c r="AY102" i="4"/>
  <c r="AC99" i="4"/>
  <c r="AD99" i="4"/>
  <c r="AE99" i="4"/>
  <c r="AF99" i="4"/>
  <c r="AG99" i="4"/>
  <c r="AH99" i="4"/>
  <c r="AI99" i="4"/>
  <c r="AJ99" i="4"/>
  <c r="AK99" i="4"/>
  <c r="AL99" i="4"/>
  <c r="AM99" i="4"/>
  <c r="AN99" i="4"/>
  <c r="AO99" i="4"/>
  <c r="AP99" i="4"/>
  <c r="AQ99" i="4"/>
  <c r="AR99" i="4"/>
  <c r="AS99" i="4"/>
  <c r="AT99" i="4"/>
  <c r="AU99" i="4"/>
  <c r="AV99" i="4"/>
  <c r="AW99" i="4"/>
  <c r="AX99" i="4"/>
  <c r="AY99" i="4"/>
  <c r="AC153" i="4"/>
  <c r="AD153" i="4"/>
  <c r="AE153" i="4"/>
  <c r="AF153" i="4"/>
  <c r="AG153" i="4"/>
  <c r="AH153" i="4"/>
  <c r="AI153" i="4"/>
  <c r="AJ153" i="4"/>
  <c r="AK153" i="4"/>
  <c r="AL153" i="4"/>
  <c r="AM153" i="4"/>
  <c r="AN153" i="4"/>
  <c r="AO153" i="4"/>
  <c r="AP153" i="4"/>
  <c r="AQ153" i="4"/>
  <c r="AR153" i="4"/>
  <c r="AS153" i="4"/>
  <c r="AT153" i="4"/>
  <c r="AU153" i="4"/>
  <c r="AV153" i="4"/>
  <c r="AW153" i="4"/>
  <c r="AX153" i="4"/>
  <c r="AY153" i="4"/>
  <c r="AC61" i="4"/>
  <c r="AD61" i="4"/>
  <c r="AE61" i="4"/>
  <c r="AF61" i="4"/>
  <c r="AG61" i="4"/>
  <c r="AZ61" i="4" s="1"/>
  <c r="AH61" i="4"/>
  <c r="AI61" i="4"/>
  <c r="AJ61" i="4"/>
  <c r="AK61" i="4"/>
  <c r="AL61" i="4"/>
  <c r="AM61" i="4"/>
  <c r="AN61" i="4"/>
  <c r="AO61" i="4"/>
  <c r="AP61" i="4"/>
  <c r="AQ61" i="4"/>
  <c r="AR61" i="4"/>
  <c r="AS61" i="4"/>
  <c r="AT61" i="4"/>
  <c r="AU61" i="4"/>
  <c r="AV61" i="4"/>
  <c r="AW61" i="4"/>
  <c r="AX61" i="4"/>
  <c r="AY61" i="4"/>
  <c r="AC101" i="4"/>
  <c r="AD101" i="4"/>
  <c r="AE101" i="4"/>
  <c r="AF101" i="4"/>
  <c r="AG101" i="4"/>
  <c r="AZ101" i="4" s="1"/>
  <c r="AH101" i="4"/>
  <c r="AI101" i="4"/>
  <c r="AJ101" i="4"/>
  <c r="AK101" i="4"/>
  <c r="AL101" i="4"/>
  <c r="AM101" i="4"/>
  <c r="AN101" i="4"/>
  <c r="AO101" i="4"/>
  <c r="AP101" i="4"/>
  <c r="AQ101" i="4"/>
  <c r="AR101" i="4"/>
  <c r="AS101" i="4"/>
  <c r="AT101" i="4"/>
  <c r="AU101" i="4"/>
  <c r="AV101" i="4"/>
  <c r="AW101" i="4"/>
  <c r="AX101" i="4"/>
  <c r="AY101" i="4"/>
  <c r="AC166" i="4"/>
  <c r="AD166" i="4"/>
  <c r="AE166" i="4"/>
  <c r="AF166" i="4"/>
  <c r="AG166" i="4"/>
  <c r="AZ166" i="4" s="1"/>
  <c r="AH166" i="4"/>
  <c r="AI166" i="4"/>
  <c r="AJ166" i="4"/>
  <c r="AK166" i="4"/>
  <c r="AL166" i="4"/>
  <c r="AM166" i="4"/>
  <c r="AN166" i="4"/>
  <c r="AO166" i="4"/>
  <c r="AP166" i="4"/>
  <c r="AQ166" i="4"/>
  <c r="AR166" i="4"/>
  <c r="AS166" i="4"/>
  <c r="AT166" i="4"/>
  <c r="AU166" i="4"/>
  <c r="AV166" i="4"/>
  <c r="AW166" i="4"/>
  <c r="AX166" i="4"/>
  <c r="AY166" i="4"/>
  <c r="AC143" i="4"/>
  <c r="AD143" i="4"/>
  <c r="AE143" i="4"/>
  <c r="AF143" i="4"/>
  <c r="AG143" i="4"/>
  <c r="AZ143" i="4" s="1"/>
  <c r="AH143" i="4"/>
  <c r="AI143" i="4"/>
  <c r="AJ143" i="4"/>
  <c r="AK143" i="4"/>
  <c r="AL143" i="4"/>
  <c r="AM143" i="4"/>
  <c r="AN143" i="4"/>
  <c r="AO143" i="4"/>
  <c r="AP143" i="4"/>
  <c r="AQ143" i="4"/>
  <c r="AR143" i="4"/>
  <c r="AS143" i="4"/>
  <c r="AT143" i="4"/>
  <c r="AU143" i="4"/>
  <c r="AV143" i="4"/>
  <c r="AW143" i="4"/>
  <c r="AX143" i="4"/>
  <c r="AY143" i="4"/>
  <c r="AC93" i="4"/>
  <c r="AD93" i="4"/>
  <c r="AE93" i="4"/>
  <c r="AF93" i="4"/>
  <c r="AG93" i="4"/>
  <c r="AZ93" i="4" s="1"/>
  <c r="AH93" i="4"/>
  <c r="AI93" i="4"/>
  <c r="AJ93" i="4"/>
  <c r="AK93" i="4"/>
  <c r="AL93" i="4"/>
  <c r="AM93" i="4"/>
  <c r="AN93" i="4"/>
  <c r="AO93" i="4"/>
  <c r="AP93" i="4"/>
  <c r="AQ93" i="4"/>
  <c r="AR93" i="4"/>
  <c r="AS93" i="4"/>
  <c r="AT93" i="4"/>
  <c r="AU93" i="4"/>
  <c r="AV93" i="4"/>
  <c r="AW93" i="4"/>
  <c r="AX93" i="4"/>
  <c r="AY93" i="4"/>
  <c r="AC118" i="4"/>
  <c r="AD118" i="4"/>
  <c r="AE118" i="4"/>
  <c r="AF118" i="4"/>
  <c r="AG118" i="4"/>
  <c r="AZ118" i="4" s="1"/>
  <c r="AH118" i="4"/>
  <c r="AI118" i="4"/>
  <c r="AJ118" i="4"/>
  <c r="AK118" i="4"/>
  <c r="AL118" i="4"/>
  <c r="AM118" i="4"/>
  <c r="AN118" i="4"/>
  <c r="AO118" i="4"/>
  <c r="AP118" i="4"/>
  <c r="AQ118" i="4"/>
  <c r="AR118" i="4"/>
  <c r="AS118" i="4"/>
  <c r="AT118" i="4"/>
  <c r="AU118" i="4"/>
  <c r="AV118" i="4"/>
  <c r="AW118" i="4"/>
  <c r="AX118" i="4"/>
  <c r="AY118" i="4"/>
  <c r="AC209" i="4"/>
  <c r="AD209" i="4"/>
  <c r="AE209" i="4"/>
  <c r="AF209" i="4"/>
  <c r="AG209" i="4"/>
  <c r="AZ209" i="4" s="1"/>
  <c r="AH209" i="4"/>
  <c r="AI209" i="4"/>
  <c r="AJ209" i="4"/>
  <c r="AK209" i="4"/>
  <c r="AL209" i="4"/>
  <c r="AM209" i="4"/>
  <c r="AN209" i="4"/>
  <c r="AO209" i="4"/>
  <c r="AP209" i="4"/>
  <c r="AQ209" i="4"/>
  <c r="AR209" i="4"/>
  <c r="AS209" i="4"/>
  <c r="AT209" i="4"/>
  <c r="AU209" i="4"/>
  <c r="AV209" i="4"/>
  <c r="AW209" i="4"/>
  <c r="AX209" i="4"/>
  <c r="AY209" i="4"/>
  <c r="AC219" i="4"/>
  <c r="AD219" i="4"/>
  <c r="AE219" i="4"/>
  <c r="AF219" i="4"/>
  <c r="AG219" i="4"/>
  <c r="AZ219" i="4" s="1"/>
  <c r="AH219" i="4"/>
  <c r="AI219" i="4"/>
  <c r="AJ219" i="4"/>
  <c r="AK219" i="4"/>
  <c r="AL219" i="4"/>
  <c r="AM219" i="4"/>
  <c r="AN219" i="4"/>
  <c r="AO219" i="4"/>
  <c r="AP219" i="4"/>
  <c r="AQ219" i="4"/>
  <c r="AR219" i="4"/>
  <c r="AS219" i="4"/>
  <c r="AT219" i="4"/>
  <c r="AU219" i="4"/>
  <c r="AV219" i="4"/>
  <c r="AW219" i="4"/>
  <c r="AX219" i="4"/>
  <c r="AY219" i="4"/>
  <c r="AC115" i="4"/>
  <c r="AD115" i="4"/>
  <c r="AE115" i="4"/>
  <c r="AF115" i="4"/>
  <c r="AG115" i="4"/>
  <c r="AH115" i="4"/>
  <c r="AI115" i="4"/>
  <c r="AJ115" i="4"/>
  <c r="AK115" i="4"/>
  <c r="AL115" i="4"/>
  <c r="AM115" i="4"/>
  <c r="AN115" i="4"/>
  <c r="AO115" i="4"/>
  <c r="AP115" i="4"/>
  <c r="AQ115" i="4"/>
  <c r="AR115" i="4"/>
  <c r="AS115" i="4"/>
  <c r="AT115" i="4"/>
  <c r="AU115" i="4"/>
  <c r="AV115" i="4"/>
  <c r="AW115" i="4"/>
  <c r="AX115" i="4"/>
  <c r="AY115" i="4"/>
  <c r="AC125" i="4"/>
  <c r="AD125" i="4"/>
  <c r="AE125" i="4"/>
  <c r="AF125" i="4"/>
  <c r="AG125" i="4"/>
  <c r="AH125" i="4"/>
  <c r="AI125" i="4"/>
  <c r="AJ125" i="4"/>
  <c r="AK125" i="4"/>
  <c r="AL125" i="4"/>
  <c r="AM125" i="4"/>
  <c r="AN125" i="4"/>
  <c r="AO125" i="4"/>
  <c r="AP125" i="4"/>
  <c r="AQ125" i="4"/>
  <c r="AR125" i="4"/>
  <c r="AS125" i="4"/>
  <c r="AT125" i="4"/>
  <c r="AU125" i="4"/>
  <c r="AV125" i="4"/>
  <c r="AW125" i="4"/>
  <c r="AX125" i="4"/>
  <c r="AY125" i="4"/>
  <c r="AC103" i="4"/>
  <c r="AD103" i="4"/>
  <c r="AE103" i="4"/>
  <c r="AF103" i="4"/>
  <c r="AG103" i="4"/>
  <c r="AZ103" i="4" s="1"/>
  <c r="AH103" i="4"/>
  <c r="AI103" i="4"/>
  <c r="AJ103" i="4"/>
  <c r="AK103" i="4"/>
  <c r="AL103" i="4"/>
  <c r="AM103" i="4"/>
  <c r="AN103" i="4"/>
  <c r="AO103" i="4"/>
  <c r="AP103" i="4"/>
  <c r="AQ103" i="4"/>
  <c r="AR103" i="4"/>
  <c r="AS103" i="4"/>
  <c r="AT103" i="4"/>
  <c r="AU103" i="4"/>
  <c r="AV103" i="4"/>
  <c r="AW103" i="4"/>
  <c r="AX103" i="4"/>
  <c r="AY103" i="4"/>
  <c r="AC215" i="4"/>
  <c r="AD215" i="4"/>
  <c r="AE215" i="4"/>
  <c r="AF215" i="4"/>
  <c r="AG215" i="4"/>
  <c r="AZ215" i="4" s="1"/>
  <c r="AH215" i="4"/>
  <c r="AI215" i="4"/>
  <c r="AJ215" i="4"/>
  <c r="AK215" i="4"/>
  <c r="AL215" i="4"/>
  <c r="AM215" i="4"/>
  <c r="AN215" i="4"/>
  <c r="AO215" i="4"/>
  <c r="AP215" i="4"/>
  <c r="AQ215" i="4"/>
  <c r="AR215" i="4"/>
  <c r="AS215" i="4"/>
  <c r="AT215" i="4"/>
  <c r="AU215" i="4"/>
  <c r="AV215" i="4"/>
  <c r="AW215" i="4"/>
  <c r="AX215" i="4"/>
  <c r="AY215" i="4"/>
  <c r="AC157" i="4"/>
  <c r="AD157" i="4"/>
  <c r="AE157" i="4"/>
  <c r="AF157" i="4"/>
  <c r="AG157" i="4"/>
  <c r="AZ157" i="4" s="1"/>
  <c r="AH157" i="4"/>
  <c r="AI157" i="4"/>
  <c r="AJ157" i="4"/>
  <c r="AK157" i="4"/>
  <c r="AL157" i="4"/>
  <c r="AM157" i="4"/>
  <c r="AN157" i="4"/>
  <c r="AO157" i="4"/>
  <c r="AP157" i="4"/>
  <c r="AQ157" i="4"/>
  <c r="AR157" i="4"/>
  <c r="AS157" i="4"/>
  <c r="AT157" i="4"/>
  <c r="AU157" i="4"/>
  <c r="AV157" i="4"/>
  <c r="AW157" i="4"/>
  <c r="AX157" i="4"/>
  <c r="AY157" i="4"/>
  <c r="AC110" i="4"/>
  <c r="AD110" i="4"/>
  <c r="AE110" i="4"/>
  <c r="AF110" i="4"/>
  <c r="AG110" i="4"/>
  <c r="AZ110" i="4" s="1"/>
  <c r="AH110" i="4"/>
  <c r="AI110" i="4"/>
  <c r="AJ110" i="4"/>
  <c r="AK110" i="4"/>
  <c r="AL110" i="4"/>
  <c r="AM110" i="4"/>
  <c r="AN110" i="4"/>
  <c r="AO110" i="4"/>
  <c r="AP110" i="4"/>
  <c r="AQ110" i="4"/>
  <c r="AR110" i="4"/>
  <c r="AS110" i="4"/>
  <c r="AT110" i="4"/>
  <c r="AU110" i="4"/>
  <c r="AV110" i="4"/>
  <c r="AW110" i="4"/>
  <c r="AX110" i="4"/>
  <c r="AY110" i="4"/>
  <c r="AC108" i="4"/>
  <c r="AD108" i="4"/>
  <c r="AE108" i="4"/>
  <c r="AF108" i="4"/>
  <c r="AG108" i="4"/>
  <c r="AZ108" i="4" s="1"/>
  <c r="AH108" i="4"/>
  <c r="AI108" i="4"/>
  <c r="AJ108" i="4"/>
  <c r="AK108" i="4"/>
  <c r="AL108" i="4"/>
  <c r="AM108" i="4"/>
  <c r="AN108" i="4"/>
  <c r="AO108" i="4"/>
  <c r="AP108" i="4"/>
  <c r="AQ108" i="4"/>
  <c r="AR108" i="4"/>
  <c r="AS108" i="4"/>
  <c r="AT108" i="4"/>
  <c r="AU108" i="4"/>
  <c r="AV108" i="4"/>
  <c r="AW108" i="4"/>
  <c r="AX108" i="4"/>
  <c r="AY108" i="4"/>
  <c r="AC117" i="4"/>
  <c r="AD117" i="4"/>
  <c r="AE117" i="4"/>
  <c r="AF117" i="4"/>
  <c r="AG117" i="4"/>
  <c r="AZ117" i="4" s="1"/>
  <c r="AH117" i="4"/>
  <c r="AI117" i="4"/>
  <c r="AJ117" i="4"/>
  <c r="AK117" i="4"/>
  <c r="AL117" i="4"/>
  <c r="AM117" i="4"/>
  <c r="AN117" i="4"/>
  <c r="AO117" i="4"/>
  <c r="AP117" i="4"/>
  <c r="AQ117" i="4"/>
  <c r="AR117" i="4"/>
  <c r="AS117" i="4"/>
  <c r="AT117" i="4"/>
  <c r="AU117" i="4"/>
  <c r="AV117" i="4"/>
  <c r="AW117" i="4"/>
  <c r="AX117" i="4"/>
  <c r="AY117" i="4"/>
  <c r="AC184" i="4"/>
  <c r="AD184" i="4"/>
  <c r="AE184" i="4"/>
  <c r="AF184" i="4"/>
  <c r="AG184" i="4"/>
  <c r="AZ184" i="4" s="1"/>
  <c r="AH184" i="4"/>
  <c r="AI184" i="4"/>
  <c r="AJ184" i="4"/>
  <c r="AK184" i="4"/>
  <c r="AL184" i="4"/>
  <c r="AM184" i="4"/>
  <c r="AN184" i="4"/>
  <c r="AO184" i="4"/>
  <c r="AP184" i="4"/>
  <c r="AQ184" i="4"/>
  <c r="AR184" i="4"/>
  <c r="AS184" i="4"/>
  <c r="AT184" i="4"/>
  <c r="AU184" i="4"/>
  <c r="AV184" i="4"/>
  <c r="AW184" i="4"/>
  <c r="AX184" i="4"/>
  <c r="AY184" i="4"/>
  <c r="AC132" i="4"/>
  <c r="AD132" i="4"/>
  <c r="AE132" i="4"/>
  <c r="AF132" i="4"/>
  <c r="AG132" i="4"/>
  <c r="AZ132" i="4" s="1"/>
  <c r="AH132" i="4"/>
  <c r="AI132" i="4"/>
  <c r="AJ132" i="4"/>
  <c r="AK132" i="4"/>
  <c r="AL132" i="4"/>
  <c r="AM132" i="4"/>
  <c r="AN132" i="4"/>
  <c r="AO132" i="4"/>
  <c r="AP132" i="4"/>
  <c r="AQ132" i="4"/>
  <c r="AR132" i="4"/>
  <c r="AS132" i="4"/>
  <c r="AT132" i="4"/>
  <c r="AU132" i="4"/>
  <c r="AV132" i="4"/>
  <c r="AW132" i="4"/>
  <c r="AX132" i="4"/>
  <c r="AY132" i="4"/>
  <c r="AC218" i="4"/>
  <c r="AD218" i="4"/>
  <c r="AE218" i="4"/>
  <c r="AF218" i="4"/>
  <c r="AG218" i="4"/>
  <c r="AZ218" i="4" s="1"/>
  <c r="AH218" i="4"/>
  <c r="AI218" i="4"/>
  <c r="AJ218" i="4"/>
  <c r="AK218" i="4"/>
  <c r="AL218" i="4"/>
  <c r="AM218" i="4"/>
  <c r="AN218" i="4"/>
  <c r="AO218" i="4"/>
  <c r="AP218" i="4"/>
  <c r="AQ218" i="4"/>
  <c r="AR218" i="4"/>
  <c r="AS218" i="4"/>
  <c r="AT218" i="4"/>
  <c r="AU218" i="4"/>
  <c r="AV218" i="4"/>
  <c r="AW218" i="4"/>
  <c r="AX218" i="4"/>
  <c r="AY218" i="4"/>
  <c r="AC160" i="4"/>
  <c r="AD160" i="4"/>
  <c r="AE160" i="4"/>
  <c r="AF160" i="4"/>
  <c r="AG160" i="4"/>
  <c r="AZ160" i="4" s="1"/>
  <c r="AH160" i="4"/>
  <c r="AI160" i="4"/>
  <c r="AJ160" i="4"/>
  <c r="AK160" i="4"/>
  <c r="AL160" i="4"/>
  <c r="AM160" i="4"/>
  <c r="AN160" i="4"/>
  <c r="AO160" i="4"/>
  <c r="AP160" i="4"/>
  <c r="AQ160" i="4"/>
  <c r="AR160" i="4"/>
  <c r="AS160" i="4"/>
  <c r="AT160" i="4"/>
  <c r="AU160" i="4"/>
  <c r="AV160" i="4"/>
  <c r="AW160" i="4"/>
  <c r="AX160" i="4"/>
  <c r="AY160" i="4"/>
  <c r="AC203" i="4"/>
  <c r="AD203" i="4"/>
  <c r="AE203" i="4"/>
  <c r="AF203" i="4"/>
  <c r="AG203" i="4"/>
  <c r="AZ203" i="4" s="1"/>
  <c r="AH203" i="4"/>
  <c r="AI203" i="4"/>
  <c r="AJ203" i="4"/>
  <c r="AK203" i="4"/>
  <c r="AL203" i="4"/>
  <c r="AM203" i="4"/>
  <c r="AN203" i="4"/>
  <c r="AO203" i="4"/>
  <c r="AP203" i="4"/>
  <c r="AQ203" i="4"/>
  <c r="AR203" i="4"/>
  <c r="AS203" i="4"/>
  <c r="AT203" i="4"/>
  <c r="AU203" i="4"/>
  <c r="AV203" i="4"/>
  <c r="AW203" i="4"/>
  <c r="AX203" i="4"/>
  <c r="AY203" i="4"/>
  <c r="AC189" i="4"/>
  <c r="AD189" i="4"/>
  <c r="AE189" i="4"/>
  <c r="AF189" i="4"/>
  <c r="AG189" i="4"/>
  <c r="AZ189" i="4" s="1"/>
  <c r="AH189" i="4"/>
  <c r="AI189" i="4"/>
  <c r="AJ189" i="4"/>
  <c r="AK189" i="4"/>
  <c r="AL189" i="4"/>
  <c r="AM189" i="4"/>
  <c r="AN189" i="4"/>
  <c r="AO189" i="4"/>
  <c r="AP189" i="4"/>
  <c r="AQ189" i="4"/>
  <c r="AR189" i="4"/>
  <c r="AS189" i="4"/>
  <c r="AT189" i="4"/>
  <c r="AU189" i="4"/>
  <c r="AV189" i="4"/>
  <c r="AW189" i="4"/>
  <c r="AX189" i="4"/>
  <c r="AY189" i="4"/>
  <c r="AC178" i="4"/>
  <c r="AD178" i="4"/>
  <c r="AE178" i="4"/>
  <c r="AF178" i="4"/>
  <c r="AG178" i="4"/>
  <c r="AZ178" i="4" s="1"/>
  <c r="AH178" i="4"/>
  <c r="AI178" i="4"/>
  <c r="AJ178" i="4"/>
  <c r="AK178" i="4"/>
  <c r="AL178" i="4"/>
  <c r="AM178" i="4"/>
  <c r="AN178" i="4"/>
  <c r="AO178" i="4"/>
  <c r="AP178" i="4"/>
  <c r="AQ178" i="4"/>
  <c r="AR178" i="4"/>
  <c r="AS178" i="4"/>
  <c r="AT178" i="4"/>
  <c r="AU178" i="4"/>
  <c r="AV178" i="4"/>
  <c r="AW178" i="4"/>
  <c r="AX178" i="4"/>
  <c r="AY178" i="4"/>
  <c r="AC129" i="4"/>
  <c r="AD129" i="4"/>
  <c r="AE129" i="4"/>
  <c r="AF129" i="4"/>
  <c r="AG129" i="4"/>
  <c r="AZ129" i="4" s="1"/>
  <c r="AH129" i="4"/>
  <c r="AI129" i="4"/>
  <c r="AJ129" i="4"/>
  <c r="AK129" i="4"/>
  <c r="AL129" i="4"/>
  <c r="AM129" i="4"/>
  <c r="AN129" i="4"/>
  <c r="AO129" i="4"/>
  <c r="AP129" i="4"/>
  <c r="AQ129" i="4"/>
  <c r="AR129" i="4"/>
  <c r="AS129" i="4"/>
  <c r="AT129" i="4"/>
  <c r="AU129" i="4"/>
  <c r="AV129" i="4"/>
  <c r="AW129" i="4"/>
  <c r="AX129" i="4"/>
  <c r="AY129" i="4"/>
  <c r="AC200" i="4"/>
  <c r="AD200" i="4"/>
  <c r="AE200" i="4"/>
  <c r="AF200" i="4"/>
  <c r="AG200" i="4"/>
  <c r="AZ200" i="4" s="1"/>
  <c r="AH200" i="4"/>
  <c r="AI200" i="4"/>
  <c r="AJ200" i="4"/>
  <c r="AK200" i="4"/>
  <c r="AL200" i="4"/>
  <c r="AM200" i="4"/>
  <c r="AN200" i="4"/>
  <c r="AO200" i="4"/>
  <c r="AP200" i="4"/>
  <c r="AQ200" i="4"/>
  <c r="AR200" i="4"/>
  <c r="AS200" i="4"/>
  <c r="AT200" i="4"/>
  <c r="AU200" i="4"/>
  <c r="AV200" i="4"/>
  <c r="AW200" i="4"/>
  <c r="AX200" i="4"/>
  <c r="AY200" i="4"/>
  <c r="AC214" i="4"/>
  <c r="AD214" i="4"/>
  <c r="AE214" i="4"/>
  <c r="AF214" i="4"/>
  <c r="AG214" i="4"/>
  <c r="AZ214" i="4" s="1"/>
  <c r="AH214" i="4"/>
  <c r="AI214" i="4"/>
  <c r="AJ214" i="4"/>
  <c r="AK214" i="4"/>
  <c r="AL214" i="4"/>
  <c r="AM214" i="4"/>
  <c r="AN214" i="4"/>
  <c r="AO214" i="4"/>
  <c r="AP214" i="4"/>
  <c r="AQ214" i="4"/>
  <c r="AR214" i="4"/>
  <c r="AS214" i="4"/>
  <c r="AT214" i="4"/>
  <c r="AU214" i="4"/>
  <c r="AV214" i="4"/>
  <c r="AW214" i="4"/>
  <c r="AX214" i="4"/>
  <c r="AY214" i="4"/>
  <c r="AC187" i="4"/>
  <c r="AD187" i="4"/>
  <c r="AE187" i="4"/>
  <c r="AF187" i="4"/>
  <c r="AG187" i="4"/>
  <c r="AZ187" i="4" s="1"/>
  <c r="AH187" i="4"/>
  <c r="AI187" i="4"/>
  <c r="AJ187" i="4"/>
  <c r="AK187" i="4"/>
  <c r="AL187" i="4"/>
  <c r="AM187" i="4"/>
  <c r="AN187" i="4"/>
  <c r="AO187" i="4"/>
  <c r="AP187" i="4"/>
  <c r="AQ187" i="4"/>
  <c r="AR187" i="4"/>
  <c r="AS187" i="4"/>
  <c r="AT187" i="4"/>
  <c r="AU187" i="4"/>
  <c r="AV187" i="4"/>
  <c r="AW187" i="4"/>
  <c r="AX187" i="4"/>
  <c r="AY187" i="4"/>
  <c r="AC199" i="4"/>
  <c r="AD199" i="4"/>
  <c r="AE199" i="4"/>
  <c r="AF199" i="4"/>
  <c r="AG199" i="4"/>
  <c r="AZ199" i="4" s="1"/>
  <c r="AH199" i="4"/>
  <c r="AI199" i="4"/>
  <c r="AJ199" i="4"/>
  <c r="AK199" i="4"/>
  <c r="AL199" i="4"/>
  <c r="AM199" i="4"/>
  <c r="AN199" i="4"/>
  <c r="AO199" i="4"/>
  <c r="AP199" i="4"/>
  <c r="AQ199" i="4"/>
  <c r="AR199" i="4"/>
  <c r="AS199" i="4"/>
  <c r="AT199" i="4"/>
  <c r="AU199" i="4"/>
  <c r="AV199" i="4"/>
  <c r="AW199" i="4"/>
  <c r="AX199" i="4"/>
  <c r="AY199" i="4"/>
  <c r="AC197" i="4"/>
  <c r="AD197" i="4"/>
  <c r="AE197" i="4"/>
  <c r="AF197" i="4"/>
  <c r="AG197" i="4"/>
  <c r="AZ197" i="4" s="1"/>
  <c r="AH197" i="4"/>
  <c r="AI197" i="4"/>
  <c r="AJ197" i="4"/>
  <c r="AK197" i="4"/>
  <c r="AL197" i="4"/>
  <c r="AM197" i="4"/>
  <c r="AN197" i="4"/>
  <c r="AO197" i="4"/>
  <c r="AP197" i="4"/>
  <c r="AQ197" i="4"/>
  <c r="AR197" i="4"/>
  <c r="AS197" i="4"/>
  <c r="AT197" i="4"/>
  <c r="AU197" i="4"/>
  <c r="AV197" i="4"/>
  <c r="AW197" i="4"/>
  <c r="AX197" i="4"/>
  <c r="AY197" i="4"/>
  <c r="AC111" i="4"/>
  <c r="AD111" i="4"/>
  <c r="AE111" i="4"/>
  <c r="AF111" i="4"/>
  <c r="AG111" i="4"/>
  <c r="AZ111" i="4" s="1"/>
  <c r="AH111" i="4"/>
  <c r="AI111" i="4"/>
  <c r="AJ111" i="4"/>
  <c r="AK111" i="4"/>
  <c r="AL111" i="4"/>
  <c r="AM111" i="4"/>
  <c r="AN111" i="4"/>
  <c r="AO111" i="4"/>
  <c r="AP111" i="4"/>
  <c r="AQ111" i="4"/>
  <c r="AR111" i="4"/>
  <c r="AS111" i="4"/>
  <c r="AT111" i="4"/>
  <c r="AU111" i="4"/>
  <c r="AV111" i="4"/>
  <c r="AW111" i="4"/>
  <c r="AX111" i="4"/>
  <c r="AY111" i="4"/>
  <c r="AC212" i="4"/>
  <c r="AD212" i="4"/>
  <c r="AE212" i="4"/>
  <c r="AF212" i="4"/>
  <c r="AG212" i="4"/>
  <c r="AZ212" i="4" s="1"/>
  <c r="AH212" i="4"/>
  <c r="AI212" i="4"/>
  <c r="AJ212" i="4"/>
  <c r="AK212" i="4"/>
  <c r="AL212" i="4"/>
  <c r="AM212" i="4"/>
  <c r="AN212" i="4"/>
  <c r="AO212" i="4"/>
  <c r="AP212" i="4"/>
  <c r="AQ212" i="4"/>
  <c r="AR212" i="4"/>
  <c r="AS212" i="4"/>
  <c r="AT212" i="4"/>
  <c r="AU212" i="4"/>
  <c r="AV212" i="4"/>
  <c r="AW212" i="4"/>
  <c r="AX212" i="4"/>
  <c r="AY212" i="4"/>
  <c r="AC220" i="4"/>
  <c r="AD220" i="4"/>
  <c r="AE220" i="4"/>
  <c r="AF220" i="4"/>
  <c r="AG220" i="4"/>
  <c r="AZ220" i="4" s="1"/>
  <c r="AH220" i="4"/>
  <c r="AI220" i="4"/>
  <c r="AJ220" i="4"/>
  <c r="AK220" i="4"/>
  <c r="AL220" i="4"/>
  <c r="AM220" i="4"/>
  <c r="AN220" i="4"/>
  <c r="AO220" i="4"/>
  <c r="AP220" i="4"/>
  <c r="AQ220" i="4"/>
  <c r="AR220" i="4"/>
  <c r="AS220" i="4"/>
  <c r="AT220" i="4"/>
  <c r="AU220" i="4"/>
  <c r="AV220" i="4"/>
  <c r="AW220" i="4"/>
  <c r="AX220" i="4"/>
  <c r="AY220" i="4"/>
  <c r="AC159" i="4"/>
  <c r="AD159" i="4"/>
  <c r="AE159" i="4"/>
  <c r="AF159" i="4"/>
  <c r="AG159" i="4"/>
  <c r="AZ159" i="4" s="1"/>
  <c r="AH159" i="4"/>
  <c r="AI159" i="4"/>
  <c r="AJ159" i="4"/>
  <c r="AK159" i="4"/>
  <c r="AL159" i="4"/>
  <c r="AM159" i="4"/>
  <c r="AN159" i="4"/>
  <c r="AO159" i="4"/>
  <c r="AP159" i="4"/>
  <c r="AQ159" i="4"/>
  <c r="AR159" i="4"/>
  <c r="AS159" i="4"/>
  <c r="AT159" i="4"/>
  <c r="AU159" i="4"/>
  <c r="AV159" i="4"/>
  <c r="AW159" i="4"/>
  <c r="AX159" i="4"/>
  <c r="AY159" i="4"/>
  <c r="AC1" i="4"/>
  <c r="AD1" i="4"/>
  <c r="AE1" i="4"/>
  <c r="AF1" i="4"/>
  <c r="AG1" i="4"/>
  <c r="AH1" i="4"/>
  <c r="AI1" i="4"/>
  <c r="AJ1" i="4"/>
  <c r="AK1" i="4"/>
  <c r="AL1" i="4"/>
  <c r="AM1" i="4"/>
  <c r="AN1" i="4"/>
  <c r="AO1" i="4"/>
  <c r="AP1" i="4"/>
  <c r="AQ1" i="4"/>
  <c r="AR1" i="4"/>
  <c r="AS1" i="4"/>
  <c r="AT1" i="4"/>
  <c r="AU1" i="4"/>
  <c r="AV1" i="4"/>
  <c r="AW1" i="4"/>
  <c r="AX1" i="4"/>
  <c r="AY1" i="4"/>
  <c r="AD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" i="3"/>
  <c r="I3" i="3"/>
  <c r="G5" i="3"/>
  <c r="H5" i="3"/>
  <c r="I5" i="3"/>
  <c r="H15" i="3"/>
  <c r="I15" i="3"/>
  <c r="G23" i="3"/>
  <c r="G33" i="3"/>
  <c r="G43" i="3"/>
  <c r="G56" i="3"/>
  <c r="H56" i="3"/>
  <c r="G66" i="3"/>
  <c r="X66" i="3" s="1"/>
  <c r="H66" i="3"/>
  <c r="G76" i="3"/>
  <c r="X76" i="3" s="1"/>
  <c r="H76" i="3"/>
  <c r="I83" i="3"/>
  <c r="G85" i="3"/>
  <c r="I93" i="3"/>
  <c r="G95" i="3"/>
  <c r="X95" i="3" s="1"/>
  <c r="H95" i="3"/>
  <c r="I95" i="3"/>
  <c r="I103" i="3"/>
  <c r="G105" i="3"/>
  <c r="X105" i="3" s="1"/>
  <c r="H105" i="3"/>
  <c r="I105" i="3"/>
  <c r="G106" i="3"/>
  <c r="H106" i="3"/>
  <c r="H115" i="3"/>
  <c r="I115" i="3"/>
  <c r="G116" i="3"/>
  <c r="H116" i="3"/>
  <c r="G123" i="3"/>
  <c r="G126" i="3"/>
  <c r="H126" i="3"/>
  <c r="G133" i="3"/>
  <c r="X133" i="3" s="1"/>
  <c r="I133" i="3"/>
  <c r="G135" i="3"/>
  <c r="H145" i="3"/>
  <c r="I145" i="3"/>
  <c r="G146" i="3"/>
  <c r="X146" i="3" s="1"/>
  <c r="H146" i="3"/>
  <c r="G153" i="3"/>
  <c r="G156" i="3"/>
  <c r="X156" i="3" s="1"/>
  <c r="H156" i="3"/>
  <c r="G163" i="3"/>
  <c r="I164" i="3"/>
  <c r="G165" i="3"/>
  <c r="G173" i="3"/>
  <c r="I174" i="3"/>
  <c r="G175" i="3"/>
  <c r="H175" i="3"/>
  <c r="I175" i="3"/>
  <c r="I184" i="3"/>
  <c r="G185" i="3"/>
  <c r="X185" i="3" s="1"/>
  <c r="H185" i="3"/>
  <c r="I185" i="3"/>
  <c r="G186" i="3"/>
  <c r="H186" i="3"/>
  <c r="H195" i="3"/>
  <c r="I195" i="3"/>
  <c r="G196" i="3"/>
  <c r="X196" i="3" s="1"/>
  <c r="H196" i="3"/>
  <c r="G203" i="3"/>
  <c r="G206" i="3"/>
  <c r="X206" i="3" s="1"/>
  <c r="H206" i="3"/>
  <c r="G213" i="3"/>
  <c r="I214" i="3"/>
  <c r="G215" i="3"/>
  <c r="V75" i="3"/>
  <c r="V85" i="3"/>
  <c r="V95" i="3"/>
  <c r="V105" i="3"/>
  <c r="V156" i="3"/>
  <c r="V175" i="3"/>
  <c r="V176" i="3"/>
  <c r="V196" i="3"/>
  <c r="V206" i="3"/>
  <c r="F6" i="3"/>
  <c r="F11" i="3"/>
  <c r="F16" i="3"/>
  <c r="F21" i="3"/>
  <c r="F26" i="3"/>
  <c r="F36" i="3"/>
  <c r="F41" i="3"/>
  <c r="F46" i="3"/>
  <c r="F51" i="3"/>
  <c r="F56" i="3"/>
  <c r="F66" i="3"/>
  <c r="F71" i="3"/>
  <c r="F76" i="3"/>
  <c r="F81" i="3"/>
  <c r="F86" i="3"/>
  <c r="F87" i="3"/>
  <c r="F96" i="3"/>
  <c r="F106" i="3"/>
  <c r="F111" i="3"/>
  <c r="F116" i="3"/>
  <c r="F117" i="3"/>
  <c r="F126" i="3"/>
  <c r="F131" i="3"/>
  <c r="F136" i="3"/>
  <c r="W136" i="3" s="1"/>
  <c r="F137" i="3"/>
  <c r="F146" i="3"/>
  <c r="W146" i="3" s="1"/>
  <c r="Y146" i="3" s="1"/>
  <c r="F151" i="3"/>
  <c r="F156" i="3"/>
  <c r="W156" i="3" s="1"/>
  <c r="Y156" i="3" s="1"/>
  <c r="F161" i="3"/>
  <c r="F166" i="3"/>
  <c r="W166" i="3" s="1"/>
  <c r="F169" i="3"/>
  <c r="F176" i="3"/>
  <c r="W176" i="3" s="1"/>
  <c r="F181" i="3"/>
  <c r="F186" i="3"/>
  <c r="W186" i="3" s="1"/>
  <c r="F187" i="3"/>
  <c r="F196" i="3"/>
  <c r="W196" i="3" s="1"/>
  <c r="Y196" i="3" s="1"/>
  <c r="F201" i="3"/>
  <c r="F206" i="3"/>
  <c r="W206" i="3" s="1"/>
  <c r="Y206" i="3" s="1"/>
  <c r="F211" i="3"/>
  <c r="F216" i="3"/>
  <c r="W216" i="3" s="1"/>
  <c r="F219" i="3"/>
  <c r="AD3" i="3"/>
  <c r="AD4" i="3"/>
  <c r="F4" i="3" s="1"/>
  <c r="AD5" i="3"/>
  <c r="F5" i="3" s="1"/>
  <c r="AD6" i="3"/>
  <c r="I6" i="3" s="1"/>
  <c r="AD7" i="3"/>
  <c r="AD8" i="3"/>
  <c r="AD9" i="3"/>
  <c r="AD10" i="3"/>
  <c r="AD11" i="3"/>
  <c r="AD12" i="3"/>
  <c r="AD13" i="3"/>
  <c r="AD14" i="3"/>
  <c r="F14" i="3" s="1"/>
  <c r="AD15" i="3"/>
  <c r="G15" i="3" s="1"/>
  <c r="AD16" i="3"/>
  <c r="I16" i="3" s="1"/>
  <c r="AD17" i="3"/>
  <c r="F17" i="3" s="1"/>
  <c r="AD18" i="3"/>
  <c r="AD19" i="3"/>
  <c r="AD20" i="3"/>
  <c r="AD21" i="3"/>
  <c r="AD22" i="3"/>
  <c r="AD23" i="3"/>
  <c r="AD24" i="3"/>
  <c r="F24" i="3" s="1"/>
  <c r="AD25" i="3"/>
  <c r="F25" i="3" s="1"/>
  <c r="W25" i="3" s="1"/>
  <c r="AD26" i="3"/>
  <c r="I26" i="3" s="1"/>
  <c r="AD27" i="3"/>
  <c r="AD28" i="3"/>
  <c r="AD29" i="3"/>
  <c r="AD30" i="3"/>
  <c r="AD31" i="3"/>
  <c r="AD32" i="3"/>
  <c r="AD33" i="3"/>
  <c r="H33" i="3" s="1"/>
  <c r="AD34" i="3"/>
  <c r="F34" i="3" s="1"/>
  <c r="AD35" i="3"/>
  <c r="F35" i="3" s="1"/>
  <c r="W35" i="3" s="1"/>
  <c r="AD36" i="3"/>
  <c r="AD37" i="3"/>
  <c r="AD38" i="3"/>
  <c r="AD39" i="3"/>
  <c r="AD40" i="3"/>
  <c r="AD41" i="3"/>
  <c r="AD42" i="3"/>
  <c r="AD43" i="3"/>
  <c r="H43" i="3" s="1"/>
  <c r="AD44" i="3"/>
  <c r="F44" i="3" s="1"/>
  <c r="AD45" i="3"/>
  <c r="G45" i="3" s="1"/>
  <c r="AD46" i="3"/>
  <c r="AD47" i="3"/>
  <c r="F47" i="3" s="1"/>
  <c r="AD48" i="3"/>
  <c r="AD49" i="3"/>
  <c r="AD50" i="3"/>
  <c r="AD51" i="3"/>
  <c r="AD52" i="3"/>
  <c r="AD53" i="3"/>
  <c r="AD54" i="3"/>
  <c r="F54" i="3" s="1"/>
  <c r="AD55" i="3"/>
  <c r="G55" i="3" s="1"/>
  <c r="AD56" i="3"/>
  <c r="I56" i="3" s="1"/>
  <c r="AD57" i="3"/>
  <c r="F57" i="3" s="1"/>
  <c r="AD58" i="3"/>
  <c r="AD59" i="3"/>
  <c r="AD60" i="3"/>
  <c r="AD61" i="3"/>
  <c r="AD62" i="3"/>
  <c r="AD63" i="3"/>
  <c r="AD64" i="3"/>
  <c r="F64" i="3" s="1"/>
  <c r="AD65" i="3"/>
  <c r="G65" i="3" s="1"/>
  <c r="AD66" i="3"/>
  <c r="I66" i="3" s="1"/>
  <c r="AD67" i="3"/>
  <c r="AD68" i="3"/>
  <c r="AD69" i="3"/>
  <c r="AD70" i="3"/>
  <c r="AD71" i="3"/>
  <c r="AD72" i="3"/>
  <c r="AD73" i="3"/>
  <c r="AD74" i="3"/>
  <c r="F74" i="3" s="1"/>
  <c r="AD75" i="3"/>
  <c r="F75" i="3" s="1"/>
  <c r="W75" i="3" s="1"/>
  <c r="AD76" i="3"/>
  <c r="I76" i="3" s="1"/>
  <c r="AD77" i="3"/>
  <c r="AD78" i="3"/>
  <c r="AD79" i="3"/>
  <c r="AD80" i="3"/>
  <c r="AD81" i="3"/>
  <c r="AD82" i="3"/>
  <c r="AD83" i="3"/>
  <c r="H83" i="3" s="1"/>
  <c r="AD84" i="3"/>
  <c r="F84" i="3" s="1"/>
  <c r="AD85" i="3"/>
  <c r="F85" i="3" s="1"/>
  <c r="W85" i="3" s="1"/>
  <c r="AD86" i="3"/>
  <c r="AD87" i="3"/>
  <c r="AD88" i="3"/>
  <c r="AD89" i="3"/>
  <c r="AD90" i="3"/>
  <c r="AD91" i="3"/>
  <c r="AD92" i="3"/>
  <c r="AD93" i="3"/>
  <c r="H93" i="3" s="1"/>
  <c r="AD94" i="3"/>
  <c r="F94" i="3" s="1"/>
  <c r="AD95" i="3"/>
  <c r="F95" i="3" s="1"/>
  <c r="W95" i="3" s="1"/>
  <c r="Y95" i="3" s="1"/>
  <c r="AD96" i="3"/>
  <c r="AD97" i="3"/>
  <c r="AD98" i="3"/>
  <c r="AD99" i="3"/>
  <c r="AD100" i="3"/>
  <c r="AD101" i="3"/>
  <c r="AD102" i="3"/>
  <c r="AD103" i="3"/>
  <c r="AD104" i="3"/>
  <c r="F104" i="3" s="1"/>
  <c r="AD105" i="3"/>
  <c r="F105" i="3" s="1"/>
  <c r="W105" i="3" s="1"/>
  <c r="Y105" i="3" s="1"/>
  <c r="AD106" i="3"/>
  <c r="I106" i="3" s="1"/>
  <c r="AD107" i="3"/>
  <c r="AD108" i="3"/>
  <c r="AD109" i="3"/>
  <c r="AD110" i="3"/>
  <c r="AD111" i="3"/>
  <c r="AD112" i="3"/>
  <c r="AD113" i="3"/>
  <c r="AD114" i="3"/>
  <c r="F114" i="3" s="1"/>
  <c r="AD115" i="3"/>
  <c r="G115" i="3" s="1"/>
  <c r="AD116" i="3"/>
  <c r="I116" i="3" s="1"/>
  <c r="AD117" i="3"/>
  <c r="AD118" i="3"/>
  <c r="AD119" i="3"/>
  <c r="AD120" i="3"/>
  <c r="F120" i="3" s="1"/>
  <c r="AD121" i="3"/>
  <c r="AD122" i="3"/>
  <c r="AD123" i="3"/>
  <c r="AD124" i="3"/>
  <c r="F124" i="3" s="1"/>
  <c r="AD125" i="3"/>
  <c r="F125" i="3" s="1"/>
  <c r="W125" i="3" s="1"/>
  <c r="AD126" i="3"/>
  <c r="I126" i="3" s="1"/>
  <c r="AD127" i="3"/>
  <c r="AD128" i="3"/>
  <c r="AD129" i="3"/>
  <c r="AD130" i="3"/>
  <c r="AD131" i="3"/>
  <c r="AD132" i="3"/>
  <c r="AD133" i="3"/>
  <c r="H133" i="3" s="1"/>
  <c r="AD134" i="3"/>
  <c r="F134" i="3" s="1"/>
  <c r="AD135" i="3"/>
  <c r="F135" i="3" s="1"/>
  <c r="W135" i="3" s="1"/>
  <c r="AD136" i="3"/>
  <c r="AD137" i="3"/>
  <c r="AD138" i="3"/>
  <c r="F138" i="3" s="1"/>
  <c r="AD139" i="3"/>
  <c r="AD140" i="3"/>
  <c r="AD141" i="3"/>
  <c r="AD142" i="3"/>
  <c r="AD143" i="3"/>
  <c r="AD144" i="3"/>
  <c r="I144" i="3" s="1"/>
  <c r="AD145" i="3"/>
  <c r="G145" i="3" s="1"/>
  <c r="X145" i="3" s="1"/>
  <c r="AD146" i="3"/>
  <c r="I146" i="3" s="1"/>
  <c r="AD147" i="3"/>
  <c r="AD148" i="3"/>
  <c r="AD149" i="3"/>
  <c r="AD150" i="3"/>
  <c r="AD151" i="3"/>
  <c r="AD152" i="3"/>
  <c r="AD153" i="3"/>
  <c r="AD154" i="3"/>
  <c r="F154" i="3" s="1"/>
  <c r="AD155" i="3"/>
  <c r="G155" i="3" s="1"/>
  <c r="AD156" i="3"/>
  <c r="I156" i="3" s="1"/>
  <c r="AD157" i="3"/>
  <c r="AD158" i="3"/>
  <c r="AD159" i="3"/>
  <c r="AD160" i="3"/>
  <c r="AD161" i="3"/>
  <c r="AD162" i="3"/>
  <c r="AD163" i="3"/>
  <c r="AD164" i="3"/>
  <c r="F164" i="3" s="1"/>
  <c r="AD165" i="3"/>
  <c r="I165" i="3" s="1"/>
  <c r="AD166" i="3"/>
  <c r="I166" i="3" s="1"/>
  <c r="AD167" i="3"/>
  <c r="F167" i="3" s="1"/>
  <c r="AD168" i="3"/>
  <c r="F168" i="3" s="1"/>
  <c r="AD169" i="3"/>
  <c r="AD170" i="3"/>
  <c r="F170" i="3" s="1"/>
  <c r="AD171" i="3"/>
  <c r="AD172" i="3"/>
  <c r="AD173" i="3"/>
  <c r="AD174" i="3"/>
  <c r="F174" i="3" s="1"/>
  <c r="AD175" i="3"/>
  <c r="F175" i="3" s="1"/>
  <c r="W175" i="3" s="1"/>
  <c r="AD176" i="3"/>
  <c r="I176" i="3" s="1"/>
  <c r="AD177" i="3"/>
  <c r="AD178" i="3"/>
  <c r="AD179" i="3"/>
  <c r="AD180" i="3"/>
  <c r="AD181" i="3"/>
  <c r="AD182" i="3"/>
  <c r="AD183" i="3"/>
  <c r="AD184" i="3"/>
  <c r="F184" i="3" s="1"/>
  <c r="AD185" i="3"/>
  <c r="F185" i="3" s="1"/>
  <c r="W185" i="3" s="1"/>
  <c r="Y185" i="3" s="1"/>
  <c r="AD186" i="3"/>
  <c r="I186" i="3" s="1"/>
  <c r="AD187" i="3"/>
  <c r="AD188" i="3"/>
  <c r="F188" i="3" s="1"/>
  <c r="AD189" i="3"/>
  <c r="AD190" i="3"/>
  <c r="AD191" i="3"/>
  <c r="AD192" i="3"/>
  <c r="AD193" i="3"/>
  <c r="AD194" i="3"/>
  <c r="I194" i="3" s="1"/>
  <c r="AD195" i="3"/>
  <c r="G195" i="3" s="1"/>
  <c r="X195" i="3" s="1"/>
  <c r="AD196" i="3"/>
  <c r="I196" i="3" s="1"/>
  <c r="AD197" i="3"/>
  <c r="AD198" i="3"/>
  <c r="AD199" i="3"/>
  <c r="AD200" i="3"/>
  <c r="AD201" i="3"/>
  <c r="AD202" i="3"/>
  <c r="AD203" i="3"/>
  <c r="AD204" i="3"/>
  <c r="F204" i="3" s="1"/>
  <c r="AD205" i="3"/>
  <c r="G205" i="3" s="1"/>
  <c r="AD206" i="3"/>
  <c r="I206" i="3" s="1"/>
  <c r="AD207" i="3"/>
  <c r="AD208" i="3"/>
  <c r="AD209" i="3"/>
  <c r="AD210" i="3"/>
  <c r="AD211" i="3"/>
  <c r="AD212" i="3"/>
  <c r="AD213" i="3"/>
  <c r="AD214" i="3"/>
  <c r="F214" i="3" s="1"/>
  <c r="AD215" i="3"/>
  <c r="I215" i="3" s="1"/>
  <c r="AD216" i="3"/>
  <c r="I216" i="3" s="1"/>
  <c r="AD217" i="3"/>
  <c r="F217" i="3" s="1"/>
  <c r="AD218" i="3"/>
  <c r="F218" i="3" s="1"/>
  <c r="AD219" i="3"/>
  <c r="AD220" i="3"/>
  <c r="F220" i="3" s="1"/>
  <c r="P3" i="3"/>
  <c r="Q3" i="3"/>
  <c r="R3" i="3"/>
  <c r="S3" i="3"/>
  <c r="T3" i="3"/>
  <c r="P4" i="3"/>
  <c r="Q4" i="3"/>
  <c r="R4" i="3"/>
  <c r="S4" i="3"/>
  <c r="T4" i="3"/>
  <c r="P5" i="3"/>
  <c r="Q5" i="3"/>
  <c r="R5" i="3"/>
  <c r="S5" i="3"/>
  <c r="T5" i="3"/>
  <c r="P6" i="3"/>
  <c r="Q6" i="3"/>
  <c r="R6" i="3"/>
  <c r="S6" i="3"/>
  <c r="T6" i="3"/>
  <c r="P7" i="3"/>
  <c r="Q7" i="3"/>
  <c r="R7" i="3"/>
  <c r="S7" i="3"/>
  <c r="T7" i="3"/>
  <c r="P8" i="3"/>
  <c r="Q8" i="3"/>
  <c r="R8" i="3"/>
  <c r="S8" i="3"/>
  <c r="T8" i="3"/>
  <c r="P9" i="3"/>
  <c r="Q9" i="3"/>
  <c r="R9" i="3"/>
  <c r="S9" i="3"/>
  <c r="T9" i="3"/>
  <c r="P10" i="3"/>
  <c r="Q10" i="3"/>
  <c r="R10" i="3"/>
  <c r="S10" i="3"/>
  <c r="T10" i="3"/>
  <c r="P11" i="3"/>
  <c r="Q11" i="3"/>
  <c r="R11" i="3"/>
  <c r="S11" i="3"/>
  <c r="T11" i="3"/>
  <c r="P12" i="3"/>
  <c r="Q12" i="3"/>
  <c r="R12" i="3"/>
  <c r="S12" i="3"/>
  <c r="T12" i="3"/>
  <c r="P13" i="3"/>
  <c r="Q13" i="3"/>
  <c r="R13" i="3"/>
  <c r="S13" i="3"/>
  <c r="T13" i="3"/>
  <c r="P14" i="3"/>
  <c r="Q14" i="3"/>
  <c r="R14" i="3"/>
  <c r="S14" i="3"/>
  <c r="T14" i="3"/>
  <c r="P15" i="3"/>
  <c r="Q15" i="3"/>
  <c r="R15" i="3"/>
  <c r="S15" i="3"/>
  <c r="T15" i="3"/>
  <c r="P16" i="3"/>
  <c r="Q16" i="3"/>
  <c r="R16" i="3"/>
  <c r="S16" i="3"/>
  <c r="T16" i="3"/>
  <c r="P17" i="3"/>
  <c r="Q17" i="3"/>
  <c r="R17" i="3"/>
  <c r="S17" i="3"/>
  <c r="T17" i="3"/>
  <c r="P18" i="3"/>
  <c r="Q18" i="3"/>
  <c r="R18" i="3"/>
  <c r="S18" i="3"/>
  <c r="T18" i="3"/>
  <c r="P19" i="3"/>
  <c r="Q19" i="3"/>
  <c r="R19" i="3"/>
  <c r="S19" i="3"/>
  <c r="T19" i="3"/>
  <c r="P20" i="3"/>
  <c r="Q20" i="3"/>
  <c r="R20" i="3"/>
  <c r="S20" i="3"/>
  <c r="T20" i="3"/>
  <c r="P21" i="3"/>
  <c r="Q21" i="3"/>
  <c r="R21" i="3"/>
  <c r="S21" i="3"/>
  <c r="T21" i="3"/>
  <c r="P22" i="3"/>
  <c r="Q22" i="3"/>
  <c r="R22" i="3"/>
  <c r="S22" i="3"/>
  <c r="T22" i="3"/>
  <c r="P23" i="3"/>
  <c r="Q23" i="3"/>
  <c r="R23" i="3"/>
  <c r="S23" i="3"/>
  <c r="T23" i="3"/>
  <c r="P24" i="3"/>
  <c r="Q24" i="3"/>
  <c r="R24" i="3"/>
  <c r="S24" i="3"/>
  <c r="T24" i="3"/>
  <c r="P25" i="3"/>
  <c r="Q25" i="3"/>
  <c r="R25" i="3"/>
  <c r="S25" i="3"/>
  <c r="T25" i="3"/>
  <c r="P26" i="3"/>
  <c r="Q26" i="3"/>
  <c r="R26" i="3"/>
  <c r="S26" i="3"/>
  <c r="T26" i="3"/>
  <c r="P27" i="3"/>
  <c r="Q27" i="3"/>
  <c r="R27" i="3"/>
  <c r="S27" i="3"/>
  <c r="T27" i="3"/>
  <c r="P28" i="3"/>
  <c r="Q28" i="3"/>
  <c r="R28" i="3"/>
  <c r="S28" i="3"/>
  <c r="T28" i="3"/>
  <c r="P29" i="3"/>
  <c r="Q29" i="3"/>
  <c r="R29" i="3"/>
  <c r="S29" i="3"/>
  <c r="T29" i="3"/>
  <c r="P30" i="3"/>
  <c r="Q30" i="3"/>
  <c r="R30" i="3"/>
  <c r="S30" i="3"/>
  <c r="T30" i="3"/>
  <c r="P31" i="3"/>
  <c r="Q31" i="3"/>
  <c r="R31" i="3"/>
  <c r="S31" i="3"/>
  <c r="T31" i="3"/>
  <c r="P32" i="3"/>
  <c r="Q32" i="3"/>
  <c r="R32" i="3"/>
  <c r="S32" i="3"/>
  <c r="T32" i="3"/>
  <c r="P33" i="3"/>
  <c r="Q33" i="3"/>
  <c r="R33" i="3"/>
  <c r="S33" i="3"/>
  <c r="T33" i="3"/>
  <c r="P34" i="3"/>
  <c r="Q34" i="3"/>
  <c r="R34" i="3"/>
  <c r="S34" i="3"/>
  <c r="T34" i="3"/>
  <c r="P35" i="3"/>
  <c r="Q35" i="3"/>
  <c r="R35" i="3"/>
  <c r="S35" i="3"/>
  <c r="T35" i="3"/>
  <c r="P36" i="3"/>
  <c r="Q36" i="3"/>
  <c r="R36" i="3"/>
  <c r="S36" i="3"/>
  <c r="T36" i="3"/>
  <c r="P37" i="3"/>
  <c r="Q37" i="3"/>
  <c r="R37" i="3"/>
  <c r="S37" i="3"/>
  <c r="T37" i="3"/>
  <c r="P38" i="3"/>
  <c r="Q38" i="3"/>
  <c r="R38" i="3"/>
  <c r="S38" i="3"/>
  <c r="T38" i="3"/>
  <c r="P39" i="3"/>
  <c r="Q39" i="3"/>
  <c r="R39" i="3"/>
  <c r="S39" i="3"/>
  <c r="T39" i="3"/>
  <c r="P40" i="3"/>
  <c r="Q40" i="3"/>
  <c r="R40" i="3"/>
  <c r="S40" i="3"/>
  <c r="T40" i="3"/>
  <c r="P41" i="3"/>
  <c r="Q41" i="3"/>
  <c r="R41" i="3"/>
  <c r="S41" i="3"/>
  <c r="T41" i="3"/>
  <c r="P42" i="3"/>
  <c r="Q42" i="3"/>
  <c r="R42" i="3"/>
  <c r="S42" i="3"/>
  <c r="T42" i="3"/>
  <c r="P43" i="3"/>
  <c r="Q43" i="3"/>
  <c r="R43" i="3"/>
  <c r="S43" i="3"/>
  <c r="T43" i="3"/>
  <c r="P44" i="3"/>
  <c r="Q44" i="3"/>
  <c r="R44" i="3"/>
  <c r="S44" i="3"/>
  <c r="T44" i="3"/>
  <c r="P45" i="3"/>
  <c r="Q45" i="3"/>
  <c r="R45" i="3"/>
  <c r="S45" i="3"/>
  <c r="T45" i="3"/>
  <c r="P46" i="3"/>
  <c r="Q46" i="3"/>
  <c r="R46" i="3"/>
  <c r="S46" i="3"/>
  <c r="T46" i="3"/>
  <c r="P47" i="3"/>
  <c r="Q47" i="3"/>
  <c r="R47" i="3"/>
  <c r="S47" i="3"/>
  <c r="T47" i="3"/>
  <c r="P48" i="3"/>
  <c r="Q48" i="3"/>
  <c r="R48" i="3"/>
  <c r="S48" i="3"/>
  <c r="T48" i="3"/>
  <c r="P49" i="3"/>
  <c r="Q49" i="3"/>
  <c r="R49" i="3"/>
  <c r="S49" i="3"/>
  <c r="T49" i="3"/>
  <c r="P50" i="3"/>
  <c r="Q50" i="3"/>
  <c r="R50" i="3"/>
  <c r="S50" i="3"/>
  <c r="T50" i="3"/>
  <c r="P51" i="3"/>
  <c r="Q51" i="3"/>
  <c r="R51" i="3"/>
  <c r="S51" i="3"/>
  <c r="T51" i="3"/>
  <c r="P52" i="3"/>
  <c r="Q52" i="3"/>
  <c r="R52" i="3"/>
  <c r="S52" i="3"/>
  <c r="T52" i="3"/>
  <c r="P53" i="3"/>
  <c r="Q53" i="3"/>
  <c r="R53" i="3"/>
  <c r="S53" i="3"/>
  <c r="T53" i="3"/>
  <c r="P54" i="3"/>
  <c r="Q54" i="3"/>
  <c r="R54" i="3"/>
  <c r="S54" i="3"/>
  <c r="T54" i="3"/>
  <c r="P55" i="3"/>
  <c r="Q55" i="3"/>
  <c r="R55" i="3"/>
  <c r="S55" i="3"/>
  <c r="T55" i="3"/>
  <c r="P56" i="3"/>
  <c r="Q56" i="3"/>
  <c r="R56" i="3"/>
  <c r="S56" i="3"/>
  <c r="T56" i="3"/>
  <c r="P57" i="3"/>
  <c r="Q57" i="3"/>
  <c r="R57" i="3"/>
  <c r="S57" i="3"/>
  <c r="T57" i="3"/>
  <c r="P58" i="3"/>
  <c r="Q58" i="3"/>
  <c r="R58" i="3"/>
  <c r="S58" i="3"/>
  <c r="T58" i="3"/>
  <c r="P59" i="3"/>
  <c r="Q59" i="3"/>
  <c r="R59" i="3"/>
  <c r="S59" i="3"/>
  <c r="T59" i="3"/>
  <c r="P60" i="3"/>
  <c r="Q60" i="3"/>
  <c r="R60" i="3"/>
  <c r="S60" i="3"/>
  <c r="T60" i="3"/>
  <c r="P61" i="3"/>
  <c r="Q61" i="3"/>
  <c r="R61" i="3"/>
  <c r="S61" i="3"/>
  <c r="T61" i="3"/>
  <c r="P62" i="3"/>
  <c r="Q62" i="3"/>
  <c r="R62" i="3"/>
  <c r="S62" i="3"/>
  <c r="T62" i="3"/>
  <c r="P63" i="3"/>
  <c r="Q63" i="3"/>
  <c r="R63" i="3"/>
  <c r="S63" i="3"/>
  <c r="T63" i="3"/>
  <c r="P64" i="3"/>
  <c r="Q64" i="3"/>
  <c r="R64" i="3"/>
  <c r="S64" i="3"/>
  <c r="T64" i="3"/>
  <c r="P65" i="3"/>
  <c r="Q65" i="3"/>
  <c r="R65" i="3"/>
  <c r="S65" i="3"/>
  <c r="T65" i="3"/>
  <c r="P66" i="3"/>
  <c r="Q66" i="3"/>
  <c r="R66" i="3"/>
  <c r="S66" i="3"/>
  <c r="T66" i="3"/>
  <c r="P67" i="3"/>
  <c r="Q67" i="3"/>
  <c r="R67" i="3"/>
  <c r="S67" i="3"/>
  <c r="T67" i="3"/>
  <c r="P68" i="3"/>
  <c r="Q68" i="3"/>
  <c r="R68" i="3"/>
  <c r="S68" i="3"/>
  <c r="T68" i="3"/>
  <c r="P69" i="3"/>
  <c r="Q69" i="3"/>
  <c r="R69" i="3"/>
  <c r="S69" i="3"/>
  <c r="T69" i="3"/>
  <c r="P70" i="3"/>
  <c r="Q70" i="3"/>
  <c r="R70" i="3"/>
  <c r="S70" i="3"/>
  <c r="T70" i="3"/>
  <c r="P71" i="3"/>
  <c r="Q71" i="3"/>
  <c r="R71" i="3"/>
  <c r="S71" i="3"/>
  <c r="T71" i="3"/>
  <c r="P72" i="3"/>
  <c r="Q72" i="3"/>
  <c r="R72" i="3"/>
  <c r="S72" i="3"/>
  <c r="T72" i="3"/>
  <c r="P73" i="3"/>
  <c r="Q73" i="3"/>
  <c r="R73" i="3"/>
  <c r="S73" i="3"/>
  <c r="T73" i="3"/>
  <c r="P74" i="3"/>
  <c r="Q74" i="3"/>
  <c r="R74" i="3"/>
  <c r="S74" i="3"/>
  <c r="T74" i="3"/>
  <c r="P75" i="3"/>
  <c r="Q75" i="3"/>
  <c r="R75" i="3"/>
  <c r="S75" i="3"/>
  <c r="T75" i="3"/>
  <c r="P76" i="3"/>
  <c r="Q76" i="3"/>
  <c r="R76" i="3"/>
  <c r="S76" i="3"/>
  <c r="T76" i="3"/>
  <c r="P77" i="3"/>
  <c r="Q77" i="3"/>
  <c r="R77" i="3"/>
  <c r="S77" i="3"/>
  <c r="T77" i="3"/>
  <c r="P78" i="3"/>
  <c r="Q78" i="3"/>
  <c r="R78" i="3"/>
  <c r="S78" i="3"/>
  <c r="T78" i="3"/>
  <c r="P79" i="3"/>
  <c r="Q79" i="3"/>
  <c r="R79" i="3"/>
  <c r="S79" i="3"/>
  <c r="T79" i="3"/>
  <c r="P80" i="3"/>
  <c r="Q80" i="3"/>
  <c r="R80" i="3"/>
  <c r="S80" i="3"/>
  <c r="T80" i="3"/>
  <c r="P81" i="3"/>
  <c r="Q81" i="3"/>
  <c r="R81" i="3"/>
  <c r="S81" i="3"/>
  <c r="T81" i="3"/>
  <c r="P82" i="3"/>
  <c r="Q82" i="3"/>
  <c r="R82" i="3"/>
  <c r="S82" i="3"/>
  <c r="T82" i="3"/>
  <c r="P83" i="3"/>
  <c r="Q83" i="3"/>
  <c r="R83" i="3"/>
  <c r="S83" i="3"/>
  <c r="T83" i="3"/>
  <c r="P84" i="3"/>
  <c r="Q84" i="3"/>
  <c r="R84" i="3"/>
  <c r="S84" i="3"/>
  <c r="T84" i="3"/>
  <c r="P85" i="3"/>
  <c r="Q85" i="3"/>
  <c r="R85" i="3"/>
  <c r="S85" i="3"/>
  <c r="T85" i="3"/>
  <c r="P86" i="3"/>
  <c r="Q86" i="3"/>
  <c r="R86" i="3"/>
  <c r="S86" i="3"/>
  <c r="T86" i="3"/>
  <c r="P87" i="3"/>
  <c r="Q87" i="3"/>
  <c r="R87" i="3"/>
  <c r="S87" i="3"/>
  <c r="T87" i="3"/>
  <c r="P88" i="3"/>
  <c r="Q88" i="3"/>
  <c r="R88" i="3"/>
  <c r="S88" i="3"/>
  <c r="T88" i="3"/>
  <c r="P89" i="3"/>
  <c r="Q89" i="3"/>
  <c r="R89" i="3"/>
  <c r="S89" i="3"/>
  <c r="T89" i="3"/>
  <c r="P90" i="3"/>
  <c r="Q90" i="3"/>
  <c r="R90" i="3"/>
  <c r="S90" i="3"/>
  <c r="T90" i="3"/>
  <c r="P91" i="3"/>
  <c r="Q91" i="3"/>
  <c r="R91" i="3"/>
  <c r="S91" i="3"/>
  <c r="T91" i="3"/>
  <c r="P92" i="3"/>
  <c r="Q92" i="3"/>
  <c r="R92" i="3"/>
  <c r="S92" i="3"/>
  <c r="T92" i="3"/>
  <c r="P93" i="3"/>
  <c r="Q93" i="3"/>
  <c r="R93" i="3"/>
  <c r="S93" i="3"/>
  <c r="T93" i="3"/>
  <c r="P94" i="3"/>
  <c r="Q94" i="3"/>
  <c r="R94" i="3"/>
  <c r="S94" i="3"/>
  <c r="T94" i="3"/>
  <c r="P95" i="3"/>
  <c r="Q95" i="3"/>
  <c r="R95" i="3"/>
  <c r="S95" i="3"/>
  <c r="T95" i="3"/>
  <c r="P96" i="3"/>
  <c r="Q96" i="3"/>
  <c r="R96" i="3"/>
  <c r="S96" i="3"/>
  <c r="T96" i="3"/>
  <c r="P97" i="3"/>
  <c r="Q97" i="3"/>
  <c r="R97" i="3"/>
  <c r="S97" i="3"/>
  <c r="T97" i="3"/>
  <c r="P98" i="3"/>
  <c r="Q98" i="3"/>
  <c r="R98" i="3"/>
  <c r="S98" i="3"/>
  <c r="T98" i="3"/>
  <c r="P99" i="3"/>
  <c r="Q99" i="3"/>
  <c r="R99" i="3"/>
  <c r="S99" i="3"/>
  <c r="T99" i="3"/>
  <c r="P100" i="3"/>
  <c r="Q100" i="3"/>
  <c r="R100" i="3"/>
  <c r="S100" i="3"/>
  <c r="T100" i="3"/>
  <c r="P101" i="3"/>
  <c r="Q101" i="3"/>
  <c r="R101" i="3"/>
  <c r="S101" i="3"/>
  <c r="T101" i="3"/>
  <c r="P102" i="3"/>
  <c r="Q102" i="3"/>
  <c r="R102" i="3"/>
  <c r="S102" i="3"/>
  <c r="T102" i="3"/>
  <c r="P103" i="3"/>
  <c r="Q103" i="3"/>
  <c r="R103" i="3"/>
  <c r="S103" i="3"/>
  <c r="T103" i="3"/>
  <c r="P104" i="3"/>
  <c r="Q104" i="3"/>
  <c r="R104" i="3"/>
  <c r="S104" i="3"/>
  <c r="T104" i="3"/>
  <c r="P105" i="3"/>
  <c r="Q105" i="3"/>
  <c r="R105" i="3"/>
  <c r="S105" i="3"/>
  <c r="T105" i="3"/>
  <c r="P106" i="3"/>
  <c r="Q106" i="3"/>
  <c r="R106" i="3"/>
  <c r="S106" i="3"/>
  <c r="T106" i="3"/>
  <c r="P107" i="3"/>
  <c r="Q107" i="3"/>
  <c r="R107" i="3"/>
  <c r="S107" i="3"/>
  <c r="T107" i="3"/>
  <c r="P108" i="3"/>
  <c r="Q108" i="3"/>
  <c r="R108" i="3"/>
  <c r="S108" i="3"/>
  <c r="T108" i="3"/>
  <c r="P109" i="3"/>
  <c r="Q109" i="3"/>
  <c r="R109" i="3"/>
  <c r="S109" i="3"/>
  <c r="T109" i="3"/>
  <c r="P110" i="3"/>
  <c r="Q110" i="3"/>
  <c r="R110" i="3"/>
  <c r="S110" i="3"/>
  <c r="T110" i="3"/>
  <c r="P111" i="3"/>
  <c r="Q111" i="3"/>
  <c r="R111" i="3"/>
  <c r="S111" i="3"/>
  <c r="T111" i="3"/>
  <c r="P112" i="3"/>
  <c r="Q112" i="3"/>
  <c r="R112" i="3"/>
  <c r="S112" i="3"/>
  <c r="T112" i="3"/>
  <c r="P113" i="3"/>
  <c r="Q113" i="3"/>
  <c r="R113" i="3"/>
  <c r="S113" i="3"/>
  <c r="T113" i="3"/>
  <c r="P114" i="3"/>
  <c r="Q114" i="3"/>
  <c r="R114" i="3"/>
  <c r="S114" i="3"/>
  <c r="T114" i="3"/>
  <c r="P115" i="3"/>
  <c r="Q115" i="3"/>
  <c r="R115" i="3"/>
  <c r="S115" i="3"/>
  <c r="T115" i="3"/>
  <c r="P116" i="3"/>
  <c r="Q116" i="3"/>
  <c r="R116" i="3"/>
  <c r="S116" i="3"/>
  <c r="T116" i="3"/>
  <c r="P117" i="3"/>
  <c r="Q117" i="3"/>
  <c r="R117" i="3"/>
  <c r="S117" i="3"/>
  <c r="T117" i="3"/>
  <c r="P118" i="3"/>
  <c r="Q118" i="3"/>
  <c r="R118" i="3"/>
  <c r="S118" i="3"/>
  <c r="T118" i="3"/>
  <c r="P119" i="3"/>
  <c r="Q119" i="3"/>
  <c r="R119" i="3"/>
  <c r="S119" i="3"/>
  <c r="T119" i="3"/>
  <c r="P120" i="3"/>
  <c r="Q120" i="3"/>
  <c r="R120" i="3"/>
  <c r="S120" i="3"/>
  <c r="T120" i="3"/>
  <c r="P121" i="3"/>
  <c r="Q121" i="3"/>
  <c r="R121" i="3"/>
  <c r="S121" i="3"/>
  <c r="T121" i="3"/>
  <c r="P122" i="3"/>
  <c r="Q122" i="3"/>
  <c r="R122" i="3"/>
  <c r="S122" i="3"/>
  <c r="T122" i="3"/>
  <c r="P123" i="3"/>
  <c r="Q123" i="3"/>
  <c r="R123" i="3"/>
  <c r="S123" i="3"/>
  <c r="T123" i="3"/>
  <c r="P124" i="3"/>
  <c r="Q124" i="3"/>
  <c r="R124" i="3"/>
  <c r="S124" i="3"/>
  <c r="T124" i="3"/>
  <c r="P125" i="3"/>
  <c r="Q125" i="3"/>
  <c r="R125" i="3"/>
  <c r="S125" i="3"/>
  <c r="T125" i="3"/>
  <c r="P126" i="3"/>
  <c r="Q126" i="3"/>
  <c r="R126" i="3"/>
  <c r="S126" i="3"/>
  <c r="T126" i="3"/>
  <c r="P127" i="3"/>
  <c r="Q127" i="3"/>
  <c r="R127" i="3"/>
  <c r="S127" i="3"/>
  <c r="T127" i="3"/>
  <c r="P128" i="3"/>
  <c r="Q128" i="3"/>
  <c r="R128" i="3"/>
  <c r="S128" i="3"/>
  <c r="T128" i="3"/>
  <c r="P129" i="3"/>
  <c r="Q129" i="3"/>
  <c r="R129" i="3"/>
  <c r="S129" i="3"/>
  <c r="T129" i="3"/>
  <c r="P130" i="3"/>
  <c r="Q130" i="3"/>
  <c r="R130" i="3"/>
  <c r="S130" i="3"/>
  <c r="T130" i="3"/>
  <c r="P131" i="3"/>
  <c r="Q131" i="3"/>
  <c r="R131" i="3"/>
  <c r="S131" i="3"/>
  <c r="T131" i="3"/>
  <c r="P132" i="3"/>
  <c r="Q132" i="3"/>
  <c r="R132" i="3"/>
  <c r="S132" i="3"/>
  <c r="T132" i="3"/>
  <c r="P133" i="3"/>
  <c r="Q133" i="3"/>
  <c r="R133" i="3"/>
  <c r="S133" i="3"/>
  <c r="T133" i="3"/>
  <c r="P134" i="3"/>
  <c r="Q134" i="3"/>
  <c r="R134" i="3"/>
  <c r="S134" i="3"/>
  <c r="T134" i="3"/>
  <c r="P135" i="3"/>
  <c r="Q135" i="3"/>
  <c r="R135" i="3"/>
  <c r="S135" i="3"/>
  <c r="T135" i="3"/>
  <c r="P136" i="3"/>
  <c r="Q136" i="3"/>
  <c r="R136" i="3"/>
  <c r="S136" i="3"/>
  <c r="T136" i="3"/>
  <c r="P137" i="3"/>
  <c r="Q137" i="3"/>
  <c r="R137" i="3"/>
  <c r="S137" i="3"/>
  <c r="T137" i="3"/>
  <c r="P138" i="3"/>
  <c r="Q138" i="3"/>
  <c r="R138" i="3"/>
  <c r="S138" i="3"/>
  <c r="T138" i="3"/>
  <c r="P139" i="3"/>
  <c r="Q139" i="3"/>
  <c r="R139" i="3"/>
  <c r="S139" i="3"/>
  <c r="T139" i="3"/>
  <c r="P140" i="3"/>
  <c r="Q140" i="3"/>
  <c r="R140" i="3"/>
  <c r="S140" i="3"/>
  <c r="T140" i="3"/>
  <c r="P141" i="3"/>
  <c r="Q141" i="3"/>
  <c r="R141" i="3"/>
  <c r="S141" i="3"/>
  <c r="T141" i="3"/>
  <c r="P142" i="3"/>
  <c r="Q142" i="3"/>
  <c r="R142" i="3"/>
  <c r="S142" i="3"/>
  <c r="T142" i="3"/>
  <c r="P143" i="3"/>
  <c r="Q143" i="3"/>
  <c r="R143" i="3"/>
  <c r="S143" i="3"/>
  <c r="T143" i="3"/>
  <c r="P144" i="3"/>
  <c r="Q144" i="3"/>
  <c r="R144" i="3"/>
  <c r="S144" i="3"/>
  <c r="T144" i="3"/>
  <c r="P145" i="3"/>
  <c r="Q145" i="3"/>
  <c r="R145" i="3"/>
  <c r="S145" i="3"/>
  <c r="T145" i="3"/>
  <c r="P146" i="3"/>
  <c r="Q146" i="3"/>
  <c r="R146" i="3"/>
  <c r="S146" i="3"/>
  <c r="T146" i="3"/>
  <c r="P147" i="3"/>
  <c r="Q147" i="3"/>
  <c r="R147" i="3"/>
  <c r="S147" i="3"/>
  <c r="T147" i="3"/>
  <c r="P148" i="3"/>
  <c r="Q148" i="3"/>
  <c r="R148" i="3"/>
  <c r="S148" i="3"/>
  <c r="T148" i="3"/>
  <c r="P149" i="3"/>
  <c r="Q149" i="3"/>
  <c r="R149" i="3"/>
  <c r="S149" i="3"/>
  <c r="T149" i="3"/>
  <c r="P150" i="3"/>
  <c r="Q150" i="3"/>
  <c r="R150" i="3"/>
  <c r="S150" i="3"/>
  <c r="T150" i="3"/>
  <c r="P151" i="3"/>
  <c r="Q151" i="3"/>
  <c r="R151" i="3"/>
  <c r="S151" i="3"/>
  <c r="T151" i="3"/>
  <c r="P152" i="3"/>
  <c r="Q152" i="3"/>
  <c r="R152" i="3"/>
  <c r="S152" i="3"/>
  <c r="T152" i="3"/>
  <c r="P153" i="3"/>
  <c r="Q153" i="3"/>
  <c r="R153" i="3"/>
  <c r="S153" i="3"/>
  <c r="T153" i="3"/>
  <c r="P154" i="3"/>
  <c r="Q154" i="3"/>
  <c r="R154" i="3"/>
  <c r="S154" i="3"/>
  <c r="T154" i="3"/>
  <c r="P155" i="3"/>
  <c r="Q155" i="3"/>
  <c r="R155" i="3"/>
  <c r="S155" i="3"/>
  <c r="T155" i="3"/>
  <c r="P156" i="3"/>
  <c r="Q156" i="3"/>
  <c r="R156" i="3"/>
  <c r="S156" i="3"/>
  <c r="T156" i="3"/>
  <c r="P157" i="3"/>
  <c r="Q157" i="3"/>
  <c r="R157" i="3"/>
  <c r="S157" i="3"/>
  <c r="T157" i="3"/>
  <c r="P158" i="3"/>
  <c r="Q158" i="3"/>
  <c r="R158" i="3"/>
  <c r="S158" i="3"/>
  <c r="T158" i="3"/>
  <c r="P159" i="3"/>
  <c r="Q159" i="3"/>
  <c r="R159" i="3"/>
  <c r="S159" i="3"/>
  <c r="T159" i="3"/>
  <c r="P160" i="3"/>
  <c r="Q160" i="3"/>
  <c r="R160" i="3"/>
  <c r="S160" i="3"/>
  <c r="T160" i="3"/>
  <c r="P161" i="3"/>
  <c r="Q161" i="3"/>
  <c r="R161" i="3"/>
  <c r="S161" i="3"/>
  <c r="T161" i="3"/>
  <c r="P162" i="3"/>
  <c r="Q162" i="3"/>
  <c r="R162" i="3"/>
  <c r="S162" i="3"/>
  <c r="T162" i="3"/>
  <c r="P163" i="3"/>
  <c r="Q163" i="3"/>
  <c r="R163" i="3"/>
  <c r="S163" i="3"/>
  <c r="T163" i="3"/>
  <c r="P164" i="3"/>
  <c r="Q164" i="3"/>
  <c r="R164" i="3"/>
  <c r="S164" i="3"/>
  <c r="T164" i="3"/>
  <c r="P165" i="3"/>
  <c r="Q165" i="3"/>
  <c r="R165" i="3"/>
  <c r="S165" i="3"/>
  <c r="T165" i="3"/>
  <c r="P166" i="3"/>
  <c r="Q166" i="3"/>
  <c r="R166" i="3"/>
  <c r="S166" i="3"/>
  <c r="T166" i="3"/>
  <c r="P167" i="3"/>
  <c r="Q167" i="3"/>
  <c r="R167" i="3"/>
  <c r="S167" i="3"/>
  <c r="T167" i="3"/>
  <c r="P168" i="3"/>
  <c r="Q168" i="3"/>
  <c r="R168" i="3"/>
  <c r="S168" i="3"/>
  <c r="T168" i="3"/>
  <c r="P169" i="3"/>
  <c r="Q169" i="3"/>
  <c r="R169" i="3"/>
  <c r="S169" i="3"/>
  <c r="T169" i="3"/>
  <c r="P170" i="3"/>
  <c r="Q170" i="3"/>
  <c r="R170" i="3"/>
  <c r="S170" i="3"/>
  <c r="T170" i="3"/>
  <c r="P171" i="3"/>
  <c r="Q171" i="3"/>
  <c r="R171" i="3"/>
  <c r="S171" i="3"/>
  <c r="T171" i="3"/>
  <c r="P172" i="3"/>
  <c r="Q172" i="3"/>
  <c r="R172" i="3"/>
  <c r="S172" i="3"/>
  <c r="T172" i="3"/>
  <c r="P173" i="3"/>
  <c r="Q173" i="3"/>
  <c r="R173" i="3"/>
  <c r="S173" i="3"/>
  <c r="T173" i="3"/>
  <c r="P174" i="3"/>
  <c r="Q174" i="3"/>
  <c r="R174" i="3"/>
  <c r="S174" i="3"/>
  <c r="T174" i="3"/>
  <c r="P175" i="3"/>
  <c r="Q175" i="3"/>
  <c r="R175" i="3"/>
  <c r="S175" i="3"/>
  <c r="T175" i="3"/>
  <c r="P176" i="3"/>
  <c r="Q176" i="3"/>
  <c r="R176" i="3"/>
  <c r="S176" i="3"/>
  <c r="T176" i="3"/>
  <c r="P177" i="3"/>
  <c r="Q177" i="3"/>
  <c r="R177" i="3"/>
  <c r="S177" i="3"/>
  <c r="T177" i="3"/>
  <c r="P178" i="3"/>
  <c r="Q178" i="3"/>
  <c r="R178" i="3"/>
  <c r="S178" i="3"/>
  <c r="T178" i="3"/>
  <c r="P179" i="3"/>
  <c r="Q179" i="3"/>
  <c r="R179" i="3"/>
  <c r="S179" i="3"/>
  <c r="T179" i="3"/>
  <c r="P180" i="3"/>
  <c r="Q180" i="3"/>
  <c r="R180" i="3"/>
  <c r="S180" i="3"/>
  <c r="T180" i="3"/>
  <c r="P181" i="3"/>
  <c r="Q181" i="3"/>
  <c r="R181" i="3"/>
  <c r="S181" i="3"/>
  <c r="T181" i="3"/>
  <c r="P182" i="3"/>
  <c r="Q182" i="3"/>
  <c r="R182" i="3"/>
  <c r="S182" i="3"/>
  <c r="T182" i="3"/>
  <c r="P183" i="3"/>
  <c r="Q183" i="3"/>
  <c r="R183" i="3"/>
  <c r="S183" i="3"/>
  <c r="T183" i="3"/>
  <c r="P184" i="3"/>
  <c r="Q184" i="3"/>
  <c r="R184" i="3"/>
  <c r="S184" i="3"/>
  <c r="T184" i="3"/>
  <c r="P185" i="3"/>
  <c r="Q185" i="3"/>
  <c r="R185" i="3"/>
  <c r="S185" i="3"/>
  <c r="T185" i="3"/>
  <c r="P186" i="3"/>
  <c r="Q186" i="3"/>
  <c r="R186" i="3"/>
  <c r="S186" i="3"/>
  <c r="T186" i="3"/>
  <c r="P187" i="3"/>
  <c r="Q187" i="3"/>
  <c r="R187" i="3"/>
  <c r="S187" i="3"/>
  <c r="T187" i="3"/>
  <c r="P188" i="3"/>
  <c r="Q188" i="3"/>
  <c r="R188" i="3"/>
  <c r="S188" i="3"/>
  <c r="T188" i="3"/>
  <c r="P189" i="3"/>
  <c r="Q189" i="3"/>
  <c r="R189" i="3"/>
  <c r="S189" i="3"/>
  <c r="T189" i="3"/>
  <c r="P190" i="3"/>
  <c r="Q190" i="3"/>
  <c r="R190" i="3"/>
  <c r="S190" i="3"/>
  <c r="T190" i="3"/>
  <c r="P191" i="3"/>
  <c r="Q191" i="3"/>
  <c r="R191" i="3"/>
  <c r="S191" i="3"/>
  <c r="T191" i="3"/>
  <c r="P192" i="3"/>
  <c r="Q192" i="3"/>
  <c r="R192" i="3"/>
  <c r="S192" i="3"/>
  <c r="T192" i="3"/>
  <c r="P193" i="3"/>
  <c r="Q193" i="3"/>
  <c r="R193" i="3"/>
  <c r="S193" i="3"/>
  <c r="T193" i="3"/>
  <c r="P194" i="3"/>
  <c r="Q194" i="3"/>
  <c r="R194" i="3"/>
  <c r="S194" i="3"/>
  <c r="T194" i="3"/>
  <c r="P195" i="3"/>
  <c r="Q195" i="3"/>
  <c r="R195" i="3"/>
  <c r="S195" i="3"/>
  <c r="T195" i="3"/>
  <c r="P196" i="3"/>
  <c r="Q196" i="3"/>
  <c r="R196" i="3"/>
  <c r="S196" i="3"/>
  <c r="T196" i="3"/>
  <c r="P197" i="3"/>
  <c r="Q197" i="3"/>
  <c r="R197" i="3"/>
  <c r="S197" i="3"/>
  <c r="T197" i="3"/>
  <c r="P198" i="3"/>
  <c r="Q198" i="3"/>
  <c r="R198" i="3"/>
  <c r="S198" i="3"/>
  <c r="T198" i="3"/>
  <c r="P199" i="3"/>
  <c r="Q199" i="3"/>
  <c r="R199" i="3"/>
  <c r="S199" i="3"/>
  <c r="T199" i="3"/>
  <c r="P200" i="3"/>
  <c r="Q200" i="3"/>
  <c r="R200" i="3"/>
  <c r="S200" i="3"/>
  <c r="T200" i="3"/>
  <c r="P201" i="3"/>
  <c r="Q201" i="3"/>
  <c r="R201" i="3"/>
  <c r="S201" i="3"/>
  <c r="T201" i="3"/>
  <c r="P202" i="3"/>
  <c r="Q202" i="3"/>
  <c r="R202" i="3"/>
  <c r="S202" i="3"/>
  <c r="T202" i="3"/>
  <c r="P203" i="3"/>
  <c r="Q203" i="3"/>
  <c r="R203" i="3"/>
  <c r="S203" i="3"/>
  <c r="T203" i="3"/>
  <c r="P204" i="3"/>
  <c r="Q204" i="3"/>
  <c r="R204" i="3"/>
  <c r="S204" i="3"/>
  <c r="T204" i="3"/>
  <c r="P205" i="3"/>
  <c r="Q205" i="3"/>
  <c r="R205" i="3"/>
  <c r="S205" i="3"/>
  <c r="T205" i="3"/>
  <c r="P206" i="3"/>
  <c r="Q206" i="3"/>
  <c r="R206" i="3"/>
  <c r="S206" i="3"/>
  <c r="T206" i="3"/>
  <c r="P207" i="3"/>
  <c r="Q207" i="3"/>
  <c r="R207" i="3"/>
  <c r="S207" i="3"/>
  <c r="T207" i="3"/>
  <c r="P208" i="3"/>
  <c r="Q208" i="3"/>
  <c r="R208" i="3"/>
  <c r="S208" i="3"/>
  <c r="T208" i="3"/>
  <c r="P209" i="3"/>
  <c r="Q209" i="3"/>
  <c r="R209" i="3"/>
  <c r="S209" i="3"/>
  <c r="T209" i="3"/>
  <c r="P210" i="3"/>
  <c r="Q210" i="3"/>
  <c r="R210" i="3"/>
  <c r="S210" i="3"/>
  <c r="T210" i="3"/>
  <c r="P211" i="3"/>
  <c r="Q211" i="3"/>
  <c r="R211" i="3"/>
  <c r="S211" i="3"/>
  <c r="T211" i="3"/>
  <c r="P212" i="3"/>
  <c r="Q212" i="3"/>
  <c r="R212" i="3"/>
  <c r="S212" i="3"/>
  <c r="T212" i="3"/>
  <c r="P213" i="3"/>
  <c r="Q213" i="3"/>
  <c r="R213" i="3"/>
  <c r="S213" i="3"/>
  <c r="T213" i="3"/>
  <c r="P214" i="3"/>
  <c r="Q214" i="3"/>
  <c r="R214" i="3"/>
  <c r="S214" i="3"/>
  <c r="T214" i="3"/>
  <c r="P215" i="3"/>
  <c r="Q215" i="3"/>
  <c r="R215" i="3"/>
  <c r="S215" i="3"/>
  <c r="T215" i="3"/>
  <c r="P216" i="3"/>
  <c r="Q216" i="3"/>
  <c r="R216" i="3"/>
  <c r="S216" i="3"/>
  <c r="T216" i="3"/>
  <c r="P217" i="3"/>
  <c r="Q217" i="3"/>
  <c r="R217" i="3"/>
  <c r="S217" i="3"/>
  <c r="T217" i="3"/>
  <c r="P218" i="3"/>
  <c r="Q218" i="3"/>
  <c r="R218" i="3"/>
  <c r="S218" i="3"/>
  <c r="T218" i="3"/>
  <c r="P219" i="3"/>
  <c r="Q219" i="3"/>
  <c r="R219" i="3"/>
  <c r="S219" i="3"/>
  <c r="T219" i="3"/>
  <c r="P220" i="3"/>
  <c r="Q220" i="3"/>
  <c r="R220" i="3"/>
  <c r="S220" i="3"/>
  <c r="T220" i="3"/>
  <c r="Q2" i="3"/>
  <c r="R2" i="3"/>
  <c r="S2" i="3"/>
  <c r="T2" i="3"/>
  <c r="P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" i="3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L2" i="3"/>
  <c r="K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" i="3"/>
  <c r="U6" i="1"/>
  <c r="U7" i="1"/>
  <c r="U8" i="1"/>
  <c r="U16" i="1"/>
  <c r="U17" i="1"/>
  <c r="U20" i="1"/>
  <c r="U26" i="1"/>
  <c r="U30" i="1"/>
  <c r="U32" i="1"/>
  <c r="U36" i="1"/>
  <c r="U37" i="1"/>
  <c r="U40" i="1"/>
  <c r="U46" i="1"/>
  <c r="U49" i="1"/>
  <c r="U50" i="1"/>
  <c r="U56" i="1"/>
  <c r="U57" i="1"/>
  <c r="U66" i="1"/>
  <c r="U67" i="1"/>
  <c r="U70" i="1"/>
  <c r="U76" i="1"/>
  <c r="U80" i="1"/>
  <c r="U82" i="1"/>
  <c r="U86" i="1"/>
  <c r="U87" i="1"/>
  <c r="U90" i="1"/>
  <c r="U96" i="1"/>
  <c r="U99" i="1"/>
  <c r="U100" i="1"/>
  <c r="U106" i="1"/>
  <c r="U107" i="1"/>
  <c r="U116" i="1"/>
  <c r="U117" i="1"/>
  <c r="U120" i="1"/>
  <c r="U126" i="1"/>
  <c r="U130" i="1"/>
  <c r="U136" i="1"/>
  <c r="U137" i="1"/>
  <c r="U140" i="1"/>
  <c r="U146" i="1"/>
  <c r="U150" i="1"/>
  <c r="U156" i="1"/>
  <c r="U157" i="1"/>
  <c r="U166" i="1"/>
  <c r="U167" i="1"/>
  <c r="U170" i="1"/>
  <c r="U176" i="1"/>
  <c r="U180" i="1"/>
  <c r="U186" i="1"/>
  <c r="U187" i="1"/>
  <c r="U190" i="1"/>
  <c r="U196" i="1"/>
  <c r="U200" i="1"/>
  <c r="R3" i="1"/>
  <c r="S3" i="1"/>
  <c r="U3" i="1" s="1"/>
  <c r="T3" i="1"/>
  <c r="R4" i="1"/>
  <c r="S4" i="1"/>
  <c r="T4" i="1"/>
  <c r="R5" i="1"/>
  <c r="S5" i="1"/>
  <c r="U5" i="1" s="1"/>
  <c r="T5" i="1"/>
  <c r="R6" i="1"/>
  <c r="S6" i="1"/>
  <c r="T6" i="1"/>
  <c r="R7" i="1"/>
  <c r="S7" i="1"/>
  <c r="T7" i="1"/>
  <c r="R8" i="1"/>
  <c r="S8" i="1"/>
  <c r="T8" i="1"/>
  <c r="R9" i="1"/>
  <c r="S9" i="1"/>
  <c r="U9" i="1" s="1"/>
  <c r="T9" i="1"/>
  <c r="R10" i="1"/>
  <c r="S10" i="1"/>
  <c r="T10" i="1"/>
  <c r="U10" i="1" s="1"/>
  <c r="R11" i="1"/>
  <c r="S11" i="1"/>
  <c r="T11" i="1"/>
  <c r="R12" i="1"/>
  <c r="S12" i="1"/>
  <c r="T12" i="1"/>
  <c r="U12" i="1" s="1"/>
  <c r="R13" i="1"/>
  <c r="S13" i="1"/>
  <c r="U13" i="1" s="1"/>
  <c r="T13" i="1"/>
  <c r="R14" i="1"/>
  <c r="S14" i="1"/>
  <c r="T14" i="1"/>
  <c r="R15" i="1"/>
  <c r="S15" i="1"/>
  <c r="U15" i="1" s="1"/>
  <c r="T15" i="1"/>
  <c r="R16" i="1"/>
  <c r="S16" i="1"/>
  <c r="T16" i="1"/>
  <c r="R17" i="1"/>
  <c r="S17" i="1"/>
  <c r="T17" i="1"/>
  <c r="R18" i="1"/>
  <c r="S18" i="1"/>
  <c r="U18" i="1" s="1"/>
  <c r="T18" i="1"/>
  <c r="R19" i="1"/>
  <c r="S19" i="1"/>
  <c r="U19" i="1" s="1"/>
  <c r="T19" i="1"/>
  <c r="R20" i="1"/>
  <c r="S20" i="1"/>
  <c r="T20" i="1"/>
  <c r="R21" i="1"/>
  <c r="S21" i="1"/>
  <c r="T21" i="1"/>
  <c r="R22" i="1"/>
  <c r="S22" i="1"/>
  <c r="T22" i="1"/>
  <c r="U22" i="1" s="1"/>
  <c r="R23" i="1"/>
  <c r="S23" i="1"/>
  <c r="U23" i="1" s="1"/>
  <c r="T23" i="1"/>
  <c r="R24" i="1"/>
  <c r="S24" i="1"/>
  <c r="T24" i="1"/>
  <c r="R25" i="1"/>
  <c r="S25" i="1"/>
  <c r="U25" i="1" s="1"/>
  <c r="T25" i="1"/>
  <c r="R26" i="1"/>
  <c r="S26" i="1"/>
  <c r="T26" i="1"/>
  <c r="R27" i="1"/>
  <c r="S27" i="1"/>
  <c r="U27" i="1" s="1"/>
  <c r="T27" i="1"/>
  <c r="R28" i="1"/>
  <c r="S28" i="1"/>
  <c r="U28" i="1" s="1"/>
  <c r="T28" i="1"/>
  <c r="R29" i="1"/>
  <c r="S29" i="1"/>
  <c r="U29" i="1" s="1"/>
  <c r="T29" i="1"/>
  <c r="R30" i="1"/>
  <c r="S30" i="1"/>
  <c r="T30" i="1"/>
  <c r="R31" i="1"/>
  <c r="S31" i="1"/>
  <c r="T31" i="1"/>
  <c r="R32" i="1"/>
  <c r="S32" i="1"/>
  <c r="T32" i="1"/>
  <c r="R33" i="1"/>
  <c r="S33" i="1"/>
  <c r="U33" i="1" s="1"/>
  <c r="T33" i="1"/>
  <c r="R34" i="1"/>
  <c r="S34" i="1"/>
  <c r="T34" i="1"/>
  <c r="R35" i="1"/>
  <c r="S35" i="1"/>
  <c r="U35" i="1" s="1"/>
  <c r="T35" i="1"/>
  <c r="R36" i="1"/>
  <c r="S36" i="1"/>
  <c r="T36" i="1"/>
  <c r="R37" i="1"/>
  <c r="S37" i="1"/>
  <c r="T37" i="1"/>
  <c r="R38" i="1"/>
  <c r="S38" i="1"/>
  <c r="U38" i="1" s="1"/>
  <c r="T38" i="1"/>
  <c r="R39" i="1"/>
  <c r="S39" i="1"/>
  <c r="U39" i="1" s="1"/>
  <c r="T39" i="1"/>
  <c r="R40" i="1"/>
  <c r="S40" i="1"/>
  <c r="T40" i="1"/>
  <c r="R41" i="1"/>
  <c r="S41" i="1"/>
  <c r="T41" i="1"/>
  <c r="R42" i="1"/>
  <c r="S42" i="1"/>
  <c r="T42" i="1"/>
  <c r="U42" i="1" s="1"/>
  <c r="R43" i="1"/>
  <c r="S43" i="1"/>
  <c r="U43" i="1" s="1"/>
  <c r="T43" i="1"/>
  <c r="R44" i="1"/>
  <c r="S44" i="1"/>
  <c r="T44" i="1"/>
  <c r="R45" i="1"/>
  <c r="S45" i="1"/>
  <c r="U45" i="1" s="1"/>
  <c r="T45" i="1"/>
  <c r="R46" i="1"/>
  <c r="S46" i="1"/>
  <c r="T46" i="1"/>
  <c r="R47" i="1"/>
  <c r="S47" i="1"/>
  <c r="U47" i="1" s="1"/>
  <c r="T47" i="1"/>
  <c r="R48" i="1"/>
  <c r="S48" i="1"/>
  <c r="U48" i="1" s="1"/>
  <c r="T48" i="1"/>
  <c r="R49" i="1"/>
  <c r="S49" i="1"/>
  <c r="T49" i="1"/>
  <c r="R50" i="1"/>
  <c r="S50" i="1"/>
  <c r="T50" i="1"/>
  <c r="R51" i="1"/>
  <c r="S51" i="1"/>
  <c r="T51" i="1"/>
  <c r="R52" i="1"/>
  <c r="S52" i="1"/>
  <c r="T52" i="1"/>
  <c r="U52" i="1" s="1"/>
  <c r="R53" i="1"/>
  <c r="S53" i="1"/>
  <c r="U53" i="1" s="1"/>
  <c r="T53" i="1"/>
  <c r="R54" i="1"/>
  <c r="S54" i="1"/>
  <c r="T54" i="1"/>
  <c r="R55" i="1"/>
  <c r="S55" i="1"/>
  <c r="U55" i="1" s="1"/>
  <c r="T55" i="1"/>
  <c r="R56" i="1"/>
  <c r="S56" i="1"/>
  <c r="T56" i="1"/>
  <c r="R57" i="1"/>
  <c r="S57" i="1"/>
  <c r="T57" i="1"/>
  <c r="R58" i="1"/>
  <c r="S58" i="1"/>
  <c r="T58" i="1"/>
  <c r="U58" i="1" s="1"/>
  <c r="R59" i="1"/>
  <c r="S59" i="1"/>
  <c r="U59" i="1" s="1"/>
  <c r="T59" i="1"/>
  <c r="R60" i="1"/>
  <c r="S60" i="1"/>
  <c r="T60" i="1"/>
  <c r="U60" i="1" s="1"/>
  <c r="R61" i="1"/>
  <c r="S61" i="1"/>
  <c r="T61" i="1"/>
  <c r="R62" i="1"/>
  <c r="S62" i="1"/>
  <c r="T62" i="1"/>
  <c r="U62" i="1" s="1"/>
  <c r="R63" i="1"/>
  <c r="S63" i="1"/>
  <c r="U63" i="1" s="1"/>
  <c r="T63" i="1"/>
  <c r="R64" i="1"/>
  <c r="S64" i="1"/>
  <c r="T64" i="1"/>
  <c r="R65" i="1"/>
  <c r="S65" i="1"/>
  <c r="U65" i="1" s="1"/>
  <c r="T65" i="1"/>
  <c r="R66" i="1"/>
  <c r="S66" i="1"/>
  <c r="T66" i="1"/>
  <c r="R67" i="1"/>
  <c r="S67" i="1"/>
  <c r="T67" i="1"/>
  <c r="R68" i="1"/>
  <c r="S68" i="1"/>
  <c r="U68" i="1" s="1"/>
  <c r="T68" i="1"/>
  <c r="R69" i="1"/>
  <c r="S69" i="1"/>
  <c r="U69" i="1" s="1"/>
  <c r="T69" i="1"/>
  <c r="R70" i="1"/>
  <c r="S70" i="1"/>
  <c r="T70" i="1"/>
  <c r="R71" i="1"/>
  <c r="S71" i="1"/>
  <c r="T71" i="1"/>
  <c r="R72" i="1"/>
  <c r="S72" i="1"/>
  <c r="T72" i="1"/>
  <c r="U72" i="1" s="1"/>
  <c r="R73" i="1"/>
  <c r="S73" i="1"/>
  <c r="U73" i="1" s="1"/>
  <c r="T73" i="1"/>
  <c r="R74" i="1"/>
  <c r="S74" i="1"/>
  <c r="T74" i="1"/>
  <c r="R75" i="1"/>
  <c r="S75" i="1"/>
  <c r="U75" i="1" s="1"/>
  <c r="T75" i="1"/>
  <c r="R76" i="1"/>
  <c r="S76" i="1"/>
  <c r="T76" i="1"/>
  <c r="R77" i="1"/>
  <c r="S77" i="1"/>
  <c r="U77" i="1" s="1"/>
  <c r="T77" i="1"/>
  <c r="R78" i="1"/>
  <c r="S78" i="1"/>
  <c r="U78" i="1" s="1"/>
  <c r="T78" i="1"/>
  <c r="R79" i="1"/>
  <c r="S79" i="1"/>
  <c r="U79" i="1" s="1"/>
  <c r="T79" i="1"/>
  <c r="R80" i="1"/>
  <c r="S80" i="1"/>
  <c r="T80" i="1"/>
  <c r="R81" i="1"/>
  <c r="S81" i="1"/>
  <c r="T81" i="1"/>
  <c r="R82" i="1"/>
  <c r="S82" i="1"/>
  <c r="T82" i="1"/>
  <c r="R83" i="1"/>
  <c r="S83" i="1"/>
  <c r="U83" i="1" s="1"/>
  <c r="T83" i="1"/>
  <c r="R84" i="1"/>
  <c r="S84" i="1"/>
  <c r="T84" i="1"/>
  <c r="R85" i="1"/>
  <c r="S85" i="1"/>
  <c r="U85" i="1" s="1"/>
  <c r="T85" i="1"/>
  <c r="R86" i="1"/>
  <c r="S86" i="1"/>
  <c r="T86" i="1"/>
  <c r="R87" i="1"/>
  <c r="S87" i="1"/>
  <c r="T87" i="1"/>
  <c r="R88" i="1"/>
  <c r="S88" i="1"/>
  <c r="U88" i="1" s="1"/>
  <c r="T88" i="1"/>
  <c r="R89" i="1"/>
  <c r="S89" i="1"/>
  <c r="U89" i="1" s="1"/>
  <c r="T89" i="1"/>
  <c r="R90" i="1"/>
  <c r="S90" i="1"/>
  <c r="T90" i="1"/>
  <c r="R91" i="1"/>
  <c r="S91" i="1"/>
  <c r="T91" i="1"/>
  <c r="R92" i="1"/>
  <c r="S92" i="1"/>
  <c r="T92" i="1"/>
  <c r="U92" i="1" s="1"/>
  <c r="R93" i="1"/>
  <c r="S93" i="1"/>
  <c r="U93" i="1" s="1"/>
  <c r="T93" i="1"/>
  <c r="R94" i="1"/>
  <c r="S94" i="1"/>
  <c r="T94" i="1"/>
  <c r="R95" i="1"/>
  <c r="S95" i="1"/>
  <c r="U95" i="1" s="1"/>
  <c r="T95" i="1"/>
  <c r="R96" i="1"/>
  <c r="S96" i="1"/>
  <c r="T96" i="1"/>
  <c r="R97" i="1"/>
  <c r="S97" i="1"/>
  <c r="U97" i="1" s="1"/>
  <c r="T97" i="1"/>
  <c r="R98" i="1"/>
  <c r="S98" i="1"/>
  <c r="U98" i="1" s="1"/>
  <c r="T98" i="1"/>
  <c r="R99" i="1"/>
  <c r="S99" i="1"/>
  <c r="T99" i="1"/>
  <c r="R100" i="1"/>
  <c r="S100" i="1"/>
  <c r="T100" i="1"/>
  <c r="R101" i="1"/>
  <c r="S101" i="1"/>
  <c r="T101" i="1"/>
  <c r="R102" i="1"/>
  <c r="S102" i="1"/>
  <c r="T102" i="1"/>
  <c r="U102" i="1" s="1"/>
  <c r="R103" i="1"/>
  <c r="S103" i="1"/>
  <c r="U103" i="1" s="1"/>
  <c r="T103" i="1"/>
  <c r="R104" i="1"/>
  <c r="S104" i="1"/>
  <c r="T104" i="1"/>
  <c r="R105" i="1"/>
  <c r="S105" i="1"/>
  <c r="U105" i="1" s="1"/>
  <c r="T105" i="1"/>
  <c r="R106" i="1"/>
  <c r="S106" i="1"/>
  <c r="T106" i="1"/>
  <c r="R107" i="1"/>
  <c r="S107" i="1"/>
  <c r="T107" i="1"/>
  <c r="R108" i="1"/>
  <c r="S108" i="1"/>
  <c r="T108" i="1"/>
  <c r="U108" i="1" s="1"/>
  <c r="R109" i="1"/>
  <c r="S109" i="1"/>
  <c r="U109" i="1" s="1"/>
  <c r="T109" i="1"/>
  <c r="R110" i="1"/>
  <c r="S110" i="1"/>
  <c r="T110" i="1"/>
  <c r="U110" i="1" s="1"/>
  <c r="R111" i="1"/>
  <c r="S111" i="1"/>
  <c r="T111" i="1"/>
  <c r="R112" i="1"/>
  <c r="S112" i="1"/>
  <c r="T112" i="1"/>
  <c r="U112" i="1" s="1"/>
  <c r="R113" i="1"/>
  <c r="S113" i="1"/>
  <c r="U113" i="1" s="1"/>
  <c r="T113" i="1"/>
  <c r="R114" i="1"/>
  <c r="S114" i="1"/>
  <c r="T114" i="1"/>
  <c r="R115" i="1"/>
  <c r="S115" i="1"/>
  <c r="U115" i="1" s="1"/>
  <c r="T115" i="1"/>
  <c r="R116" i="1"/>
  <c r="S116" i="1"/>
  <c r="T116" i="1"/>
  <c r="R117" i="1"/>
  <c r="S117" i="1"/>
  <c r="T117" i="1"/>
  <c r="R118" i="1"/>
  <c r="S118" i="1"/>
  <c r="U118" i="1" s="1"/>
  <c r="T118" i="1"/>
  <c r="R119" i="1"/>
  <c r="S119" i="1"/>
  <c r="U119" i="1" s="1"/>
  <c r="T119" i="1"/>
  <c r="R120" i="1"/>
  <c r="S120" i="1"/>
  <c r="T120" i="1"/>
  <c r="R121" i="1"/>
  <c r="S121" i="1"/>
  <c r="T121" i="1"/>
  <c r="R122" i="1"/>
  <c r="S122" i="1"/>
  <c r="T122" i="1"/>
  <c r="U122" i="1" s="1"/>
  <c r="R123" i="1"/>
  <c r="S123" i="1"/>
  <c r="U123" i="1" s="1"/>
  <c r="T123" i="1"/>
  <c r="R124" i="1"/>
  <c r="S124" i="1"/>
  <c r="T124" i="1"/>
  <c r="R125" i="1"/>
  <c r="S125" i="1"/>
  <c r="U125" i="1" s="1"/>
  <c r="T125" i="1"/>
  <c r="R126" i="1"/>
  <c r="S126" i="1"/>
  <c r="T126" i="1"/>
  <c r="R127" i="1"/>
  <c r="S127" i="1"/>
  <c r="U127" i="1" s="1"/>
  <c r="T127" i="1"/>
  <c r="R128" i="1"/>
  <c r="S128" i="1"/>
  <c r="U128" i="1" s="1"/>
  <c r="T128" i="1"/>
  <c r="R129" i="1"/>
  <c r="S129" i="1"/>
  <c r="U129" i="1" s="1"/>
  <c r="T129" i="1"/>
  <c r="R130" i="1"/>
  <c r="S130" i="1"/>
  <c r="T130" i="1"/>
  <c r="R131" i="1"/>
  <c r="S131" i="1"/>
  <c r="T131" i="1"/>
  <c r="R132" i="1"/>
  <c r="S132" i="1"/>
  <c r="T132" i="1"/>
  <c r="U132" i="1" s="1"/>
  <c r="R133" i="1"/>
  <c r="S133" i="1"/>
  <c r="U133" i="1" s="1"/>
  <c r="T133" i="1"/>
  <c r="R134" i="1"/>
  <c r="S134" i="1"/>
  <c r="T134" i="1"/>
  <c r="R135" i="1"/>
  <c r="S135" i="1"/>
  <c r="U135" i="1" s="1"/>
  <c r="T135" i="1"/>
  <c r="R136" i="1"/>
  <c r="S136" i="1"/>
  <c r="T136" i="1"/>
  <c r="R137" i="1"/>
  <c r="S137" i="1"/>
  <c r="T137" i="1"/>
  <c r="R138" i="1"/>
  <c r="S138" i="1"/>
  <c r="U138" i="1" s="1"/>
  <c r="T138" i="1"/>
  <c r="R139" i="1"/>
  <c r="S139" i="1"/>
  <c r="U139" i="1" s="1"/>
  <c r="T139" i="1"/>
  <c r="R140" i="1"/>
  <c r="S140" i="1"/>
  <c r="T140" i="1"/>
  <c r="R141" i="1"/>
  <c r="S141" i="1"/>
  <c r="T141" i="1"/>
  <c r="R142" i="1"/>
  <c r="S142" i="1"/>
  <c r="T142" i="1"/>
  <c r="U142" i="1" s="1"/>
  <c r="R143" i="1"/>
  <c r="S143" i="1"/>
  <c r="U143" i="1" s="1"/>
  <c r="T143" i="1"/>
  <c r="R144" i="1"/>
  <c r="S144" i="1"/>
  <c r="T144" i="1"/>
  <c r="R145" i="1"/>
  <c r="S145" i="1"/>
  <c r="U145" i="1" s="1"/>
  <c r="T145" i="1"/>
  <c r="R146" i="1"/>
  <c r="S146" i="1"/>
  <c r="T146" i="1"/>
  <c r="R147" i="1"/>
  <c r="S147" i="1"/>
  <c r="U147" i="1" s="1"/>
  <c r="T147" i="1"/>
  <c r="R148" i="1"/>
  <c r="S148" i="1"/>
  <c r="U148" i="1" s="1"/>
  <c r="T148" i="1"/>
  <c r="R149" i="1"/>
  <c r="S149" i="1"/>
  <c r="U149" i="1" s="1"/>
  <c r="T149" i="1"/>
  <c r="R150" i="1"/>
  <c r="S150" i="1"/>
  <c r="T150" i="1"/>
  <c r="R151" i="1"/>
  <c r="S151" i="1"/>
  <c r="T151" i="1"/>
  <c r="R152" i="1"/>
  <c r="S152" i="1"/>
  <c r="T152" i="1"/>
  <c r="U152" i="1" s="1"/>
  <c r="R153" i="1"/>
  <c r="S153" i="1"/>
  <c r="U153" i="1" s="1"/>
  <c r="T153" i="1"/>
  <c r="R154" i="1"/>
  <c r="S154" i="1"/>
  <c r="T154" i="1"/>
  <c r="R155" i="1"/>
  <c r="S155" i="1"/>
  <c r="U155" i="1" s="1"/>
  <c r="T155" i="1"/>
  <c r="R156" i="1"/>
  <c r="S156" i="1"/>
  <c r="T156" i="1"/>
  <c r="R157" i="1"/>
  <c r="S157" i="1"/>
  <c r="T157" i="1"/>
  <c r="R158" i="1"/>
  <c r="S158" i="1"/>
  <c r="T158" i="1"/>
  <c r="U158" i="1" s="1"/>
  <c r="R159" i="1"/>
  <c r="S159" i="1"/>
  <c r="U159" i="1" s="1"/>
  <c r="T159" i="1"/>
  <c r="R160" i="1"/>
  <c r="S160" i="1"/>
  <c r="T160" i="1"/>
  <c r="U160" i="1" s="1"/>
  <c r="R161" i="1"/>
  <c r="S161" i="1"/>
  <c r="T161" i="1"/>
  <c r="R162" i="1"/>
  <c r="S162" i="1"/>
  <c r="T162" i="1"/>
  <c r="U162" i="1" s="1"/>
  <c r="R163" i="1"/>
  <c r="S163" i="1"/>
  <c r="U163" i="1" s="1"/>
  <c r="T163" i="1"/>
  <c r="R164" i="1"/>
  <c r="S164" i="1"/>
  <c r="T164" i="1"/>
  <c r="R165" i="1"/>
  <c r="S165" i="1"/>
  <c r="U165" i="1" s="1"/>
  <c r="T165" i="1"/>
  <c r="R166" i="1"/>
  <c r="S166" i="1"/>
  <c r="T166" i="1"/>
  <c r="R167" i="1"/>
  <c r="S167" i="1"/>
  <c r="T167" i="1"/>
  <c r="R168" i="1"/>
  <c r="S168" i="1"/>
  <c r="U168" i="1" s="1"/>
  <c r="T168" i="1"/>
  <c r="R169" i="1"/>
  <c r="S169" i="1"/>
  <c r="U169" i="1" s="1"/>
  <c r="T169" i="1"/>
  <c r="R170" i="1"/>
  <c r="S170" i="1"/>
  <c r="T170" i="1"/>
  <c r="R171" i="1"/>
  <c r="S171" i="1"/>
  <c r="T171" i="1"/>
  <c r="R172" i="1"/>
  <c r="S172" i="1"/>
  <c r="T172" i="1"/>
  <c r="U172" i="1" s="1"/>
  <c r="R173" i="1"/>
  <c r="S173" i="1"/>
  <c r="U173" i="1" s="1"/>
  <c r="T173" i="1"/>
  <c r="R174" i="1"/>
  <c r="S174" i="1"/>
  <c r="T174" i="1"/>
  <c r="R175" i="1"/>
  <c r="S175" i="1"/>
  <c r="U175" i="1" s="1"/>
  <c r="T175" i="1"/>
  <c r="R176" i="1"/>
  <c r="S176" i="1"/>
  <c r="T176" i="1"/>
  <c r="R177" i="1"/>
  <c r="S177" i="1"/>
  <c r="U177" i="1" s="1"/>
  <c r="T177" i="1"/>
  <c r="R178" i="1"/>
  <c r="S178" i="1"/>
  <c r="U178" i="1" s="1"/>
  <c r="T178" i="1"/>
  <c r="R179" i="1"/>
  <c r="S179" i="1"/>
  <c r="U179" i="1" s="1"/>
  <c r="T179" i="1"/>
  <c r="R180" i="1"/>
  <c r="S180" i="1"/>
  <c r="T180" i="1"/>
  <c r="R181" i="1"/>
  <c r="S181" i="1"/>
  <c r="T181" i="1"/>
  <c r="R182" i="1"/>
  <c r="S182" i="1"/>
  <c r="T182" i="1"/>
  <c r="U182" i="1" s="1"/>
  <c r="R183" i="1"/>
  <c r="S183" i="1"/>
  <c r="U183" i="1" s="1"/>
  <c r="T183" i="1"/>
  <c r="R184" i="1"/>
  <c r="S184" i="1"/>
  <c r="T184" i="1"/>
  <c r="R185" i="1"/>
  <c r="S185" i="1"/>
  <c r="U185" i="1" s="1"/>
  <c r="T185" i="1"/>
  <c r="R186" i="1"/>
  <c r="S186" i="1"/>
  <c r="T186" i="1"/>
  <c r="R187" i="1"/>
  <c r="S187" i="1"/>
  <c r="T187" i="1"/>
  <c r="R188" i="1"/>
  <c r="S188" i="1"/>
  <c r="U188" i="1" s="1"/>
  <c r="T188" i="1"/>
  <c r="R189" i="1"/>
  <c r="S189" i="1"/>
  <c r="U189" i="1" s="1"/>
  <c r="T189" i="1"/>
  <c r="R190" i="1"/>
  <c r="S190" i="1"/>
  <c r="T190" i="1"/>
  <c r="R191" i="1"/>
  <c r="S191" i="1"/>
  <c r="T191" i="1"/>
  <c r="R192" i="1"/>
  <c r="S192" i="1"/>
  <c r="T192" i="1"/>
  <c r="U192" i="1" s="1"/>
  <c r="R193" i="1"/>
  <c r="S193" i="1"/>
  <c r="U193" i="1" s="1"/>
  <c r="T193" i="1"/>
  <c r="R194" i="1"/>
  <c r="S194" i="1"/>
  <c r="U194" i="1" s="1"/>
  <c r="T194" i="1"/>
  <c r="R195" i="1"/>
  <c r="S195" i="1"/>
  <c r="U195" i="1" s="1"/>
  <c r="T195" i="1"/>
  <c r="R196" i="1"/>
  <c r="S196" i="1"/>
  <c r="T196" i="1"/>
  <c r="R197" i="1"/>
  <c r="S197" i="1"/>
  <c r="U197" i="1" s="1"/>
  <c r="T197" i="1"/>
  <c r="R198" i="1"/>
  <c r="S198" i="1"/>
  <c r="U198" i="1" s="1"/>
  <c r="T198" i="1"/>
  <c r="R199" i="1"/>
  <c r="S199" i="1"/>
  <c r="U199" i="1" s="1"/>
  <c r="T199" i="1"/>
  <c r="R200" i="1"/>
  <c r="S200" i="1"/>
  <c r="T200" i="1"/>
  <c r="R201" i="1"/>
  <c r="S201" i="1"/>
  <c r="T201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K3" i="1"/>
  <c r="L3" i="1"/>
  <c r="M3" i="1"/>
  <c r="N3" i="1"/>
  <c r="K4" i="1"/>
  <c r="L4" i="1"/>
  <c r="M4" i="1"/>
  <c r="N4" i="1"/>
  <c r="K5" i="1"/>
  <c r="L5" i="1"/>
  <c r="M5" i="1"/>
  <c r="N5" i="1"/>
  <c r="K6" i="1"/>
  <c r="L6" i="1"/>
  <c r="M6" i="1"/>
  <c r="N6" i="1"/>
  <c r="K7" i="1"/>
  <c r="L7" i="1"/>
  <c r="M7" i="1"/>
  <c r="N7" i="1"/>
  <c r="K8" i="1"/>
  <c r="L8" i="1"/>
  <c r="M8" i="1"/>
  <c r="N8" i="1"/>
  <c r="K9" i="1"/>
  <c r="L9" i="1"/>
  <c r="M9" i="1"/>
  <c r="N9" i="1"/>
  <c r="K10" i="1"/>
  <c r="L10" i="1"/>
  <c r="M10" i="1"/>
  <c r="N10" i="1"/>
  <c r="K11" i="1"/>
  <c r="L11" i="1"/>
  <c r="M11" i="1"/>
  <c r="N11" i="1"/>
  <c r="K12" i="1"/>
  <c r="L12" i="1"/>
  <c r="M12" i="1"/>
  <c r="N12" i="1"/>
  <c r="K13" i="1"/>
  <c r="L13" i="1"/>
  <c r="M13" i="1"/>
  <c r="N13" i="1"/>
  <c r="K14" i="1"/>
  <c r="L14" i="1"/>
  <c r="M14" i="1"/>
  <c r="N14" i="1"/>
  <c r="K15" i="1"/>
  <c r="L15" i="1"/>
  <c r="M15" i="1"/>
  <c r="N15" i="1"/>
  <c r="K16" i="1"/>
  <c r="L16" i="1"/>
  <c r="M16" i="1"/>
  <c r="N16" i="1"/>
  <c r="K17" i="1"/>
  <c r="L17" i="1"/>
  <c r="M17" i="1"/>
  <c r="N17" i="1"/>
  <c r="K18" i="1"/>
  <c r="L18" i="1"/>
  <c r="M18" i="1"/>
  <c r="N18" i="1"/>
  <c r="K19" i="1"/>
  <c r="L19" i="1"/>
  <c r="M19" i="1"/>
  <c r="N19" i="1"/>
  <c r="K20" i="1"/>
  <c r="L20" i="1"/>
  <c r="M20" i="1"/>
  <c r="N20" i="1"/>
  <c r="K21" i="1"/>
  <c r="L21" i="1"/>
  <c r="M21" i="1"/>
  <c r="N21" i="1"/>
  <c r="K22" i="1"/>
  <c r="L22" i="1"/>
  <c r="M22" i="1"/>
  <c r="N22" i="1"/>
  <c r="K23" i="1"/>
  <c r="L23" i="1"/>
  <c r="M23" i="1"/>
  <c r="N23" i="1"/>
  <c r="K24" i="1"/>
  <c r="L24" i="1"/>
  <c r="M24" i="1"/>
  <c r="N24" i="1"/>
  <c r="K25" i="1"/>
  <c r="L25" i="1"/>
  <c r="M25" i="1"/>
  <c r="N25" i="1"/>
  <c r="K26" i="1"/>
  <c r="L26" i="1"/>
  <c r="M26" i="1"/>
  <c r="N26" i="1"/>
  <c r="K27" i="1"/>
  <c r="L27" i="1"/>
  <c r="M27" i="1"/>
  <c r="N27" i="1"/>
  <c r="K28" i="1"/>
  <c r="L28" i="1"/>
  <c r="M28" i="1"/>
  <c r="N28" i="1"/>
  <c r="K29" i="1"/>
  <c r="L29" i="1"/>
  <c r="M29" i="1"/>
  <c r="N29" i="1"/>
  <c r="K30" i="1"/>
  <c r="L30" i="1"/>
  <c r="M30" i="1"/>
  <c r="N30" i="1"/>
  <c r="K31" i="1"/>
  <c r="L31" i="1"/>
  <c r="M31" i="1"/>
  <c r="N31" i="1"/>
  <c r="K32" i="1"/>
  <c r="L32" i="1"/>
  <c r="M32" i="1"/>
  <c r="N32" i="1"/>
  <c r="K33" i="1"/>
  <c r="L33" i="1"/>
  <c r="M33" i="1"/>
  <c r="N33" i="1"/>
  <c r="K34" i="1"/>
  <c r="L34" i="1"/>
  <c r="M34" i="1"/>
  <c r="N34" i="1"/>
  <c r="K35" i="1"/>
  <c r="L35" i="1"/>
  <c r="M35" i="1"/>
  <c r="N35" i="1"/>
  <c r="K36" i="1"/>
  <c r="L36" i="1"/>
  <c r="M36" i="1"/>
  <c r="N36" i="1"/>
  <c r="K37" i="1"/>
  <c r="L37" i="1"/>
  <c r="M37" i="1"/>
  <c r="N37" i="1"/>
  <c r="K38" i="1"/>
  <c r="L38" i="1"/>
  <c r="M38" i="1"/>
  <c r="N38" i="1"/>
  <c r="K39" i="1"/>
  <c r="L39" i="1"/>
  <c r="M39" i="1"/>
  <c r="N39" i="1"/>
  <c r="K40" i="1"/>
  <c r="L40" i="1"/>
  <c r="M40" i="1"/>
  <c r="N40" i="1"/>
  <c r="K41" i="1"/>
  <c r="L41" i="1"/>
  <c r="M41" i="1"/>
  <c r="N41" i="1"/>
  <c r="K42" i="1"/>
  <c r="L42" i="1"/>
  <c r="M42" i="1"/>
  <c r="N42" i="1"/>
  <c r="K43" i="1"/>
  <c r="L43" i="1"/>
  <c r="M43" i="1"/>
  <c r="N43" i="1"/>
  <c r="K44" i="1"/>
  <c r="L44" i="1"/>
  <c r="M44" i="1"/>
  <c r="N44" i="1"/>
  <c r="K45" i="1"/>
  <c r="L45" i="1"/>
  <c r="M45" i="1"/>
  <c r="N45" i="1"/>
  <c r="K46" i="1"/>
  <c r="L46" i="1"/>
  <c r="M46" i="1"/>
  <c r="N46" i="1"/>
  <c r="K47" i="1"/>
  <c r="L47" i="1"/>
  <c r="M47" i="1"/>
  <c r="N47" i="1"/>
  <c r="K48" i="1"/>
  <c r="L48" i="1"/>
  <c r="M48" i="1"/>
  <c r="N48" i="1"/>
  <c r="K49" i="1"/>
  <c r="L49" i="1"/>
  <c r="M49" i="1"/>
  <c r="N49" i="1"/>
  <c r="K50" i="1"/>
  <c r="L50" i="1"/>
  <c r="M50" i="1"/>
  <c r="N50" i="1"/>
  <c r="K51" i="1"/>
  <c r="L51" i="1"/>
  <c r="M51" i="1"/>
  <c r="N51" i="1"/>
  <c r="K52" i="1"/>
  <c r="L52" i="1"/>
  <c r="M52" i="1"/>
  <c r="N52" i="1"/>
  <c r="K53" i="1"/>
  <c r="L53" i="1"/>
  <c r="M53" i="1"/>
  <c r="N53" i="1"/>
  <c r="K54" i="1"/>
  <c r="L54" i="1"/>
  <c r="M54" i="1"/>
  <c r="N54" i="1"/>
  <c r="K55" i="1"/>
  <c r="L55" i="1"/>
  <c r="M55" i="1"/>
  <c r="N55" i="1"/>
  <c r="K56" i="1"/>
  <c r="L56" i="1"/>
  <c r="M56" i="1"/>
  <c r="N56" i="1"/>
  <c r="K57" i="1"/>
  <c r="L57" i="1"/>
  <c r="M57" i="1"/>
  <c r="N57" i="1"/>
  <c r="K58" i="1"/>
  <c r="L58" i="1"/>
  <c r="M58" i="1"/>
  <c r="N58" i="1"/>
  <c r="K59" i="1"/>
  <c r="L59" i="1"/>
  <c r="M59" i="1"/>
  <c r="N59" i="1"/>
  <c r="K60" i="1"/>
  <c r="L60" i="1"/>
  <c r="M60" i="1"/>
  <c r="N60" i="1"/>
  <c r="K61" i="1"/>
  <c r="L61" i="1"/>
  <c r="M61" i="1"/>
  <c r="N61" i="1"/>
  <c r="K62" i="1"/>
  <c r="L62" i="1"/>
  <c r="M62" i="1"/>
  <c r="N62" i="1"/>
  <c r="K63" i="1"/>
  <c r="L63" i="1"/>
  <c r="M63" i="1"/>
  <c r="N63" i="1"/>
  <c r="K64" i="1"/>
  <c r="L64" i="1"/>
  <c r="M64" i="1"/>
  <c r="N64" i="1"/>
  <c r="K65" i="1"/>
  <c r="L65" i="1"/>
  <c r="M65" i="1"/>
  <c r="N65" i="1"/>
  <c r="K66" i="1"/>
  <c r="L66" i="1"/>
  <c r="M66" i="1"/>
  <c r="N66" i="1"/>
  <c r="K67" i="1"/>
  <c r="L67" i="1"/>
  <c r="M67" i="1"/>
  <c r="N67" i="1"/>
  <c r="K68" i="1"/>
  <c r="L68" i="1"/>
  <c r="M68" i="1"/>
  <c r="N68" i="1"/>
  <c r="K69" i="1"/>
  <c r="L69" i="1"/>
  <c r="M69" i="1"/>
  <c r="N69" i="1"/>
  <c r="K70" i="1"/>
  <c r="L70" i="1"/>
  <c r="M70" i="1"/>
  <c r="N70" i="1"/>
  <c r="K71" i="1"/>
  <c r="L71" i="1"/>
  <c r="M71" i="1"/>
  <c r="N71" i="1"/>
  <c r="K72" i="1"/>
  <c r="L72" i="1"/>
  <c r="M72" i="1"/>
  <c r="N72" i="1"/>
  <c r="K73" i="1"/>
  <c r="L73" i="1"/>
  <c r="M73" i="1"/>
  <c r="N73" i="1"/>
  <c r="K74" i="1"/>
  <c r="L74" i="1"/>
  <c r="M74" i="1"/>
  <c r="N74" i="1"/>
  <c r="K75" i="1"/>
  <c r="L75" i="1"/>
  <c r="M75" i="1"/>
  <c r="N75" i="1"/>
  <c r="K76" i="1"/>
  <c r="L76" i="1"/>
  <c r="M76" i="1"/>
  <c r="N76" i="1"/>
  <c r="K77" i="1"/>
  <c r="L77" i="1"/>
  <c r="M77" i="1"/>
  <c r="N77" i="1"/>
  <c r="K78" i="1"/>
  <c r="L78" i="1"/>
  <c r="M78" i="1"/>
  <c r="N78" i="1"/>
  <c r="K79" i="1"/>
  <c r="L79" i="1"/>
  <c r="M79" i="1"/>
  <c r="N79" i="1"/>
  <c r="K80" i="1"/>
  <c r="L80" i="1"/>
  <c r="M80" i="1"/>
  <c r="N80" i="1"/>
  <c r="K81" i="1"/>
  <c r="L81" i="1"/>
  <c r="M81" i="1"/>
  <c r="N81" i="1"/>
  <c r="K82" i="1"/>
  <c r="L82" i="1"/>
  <c r="M82" i="1"/>
  <c r="N82" i="1"/>
  <c r="K83" i="1"/>
  <c r="L83" i="1"/>
  <c r="M83" i="1"/>
  <c r="N83" i="1"/>
  <c r="K84" i="1"/>
  <c r="L84" i="1"/>
  <c r="M84" i="1"/>
  <c r="N84" i="1"/>
  <c r="K85" i="1"/>
  <c r="L85" i="1"/>
  <c r="M85" i="1"/>
  <c r="N85" i="1"/>
  <c r="K86" i="1"/>
  <c r="L86" i="1"/>
  <c r="M86" i="1"/>
  <c r="N86" i="1"/>
  <c r="K87" i="1"/>
  <c r="L87" i="1"/>
  <c r="M87" i="1"/>
  <c r="N87" i="1"/>
  <c r="K88" i="1"/>
  <c r="L88" i="1"/>
  <c r="M88" i="1"/>
  <c r="N88" i="1"/>
  <c r="K89" i="1"/>
  <c r="L89" i="1"/>
  <c r="M89" i="1"/>
  <c r="N89" i="1"/>
  <c r="K90" i="1"/>
  <c r="L90" i="1"/>
  <c r="M90" i="1"/>
  <c r="N90" i="1"/>
  <c r="K91" i="1"/>
  <c r="L91" i="1"/>
  <c r="M91" i="1"/>
  <c r="N91" i="1"/>
  <c r="K92" i="1"/>
  <c r="L92" i="1"/>
  <c r="M92" i="1"/>
  <c r="N92" i="1"/>
  <c r="K93" i="1"/>
  <c r="L93" i="1"/>
  <c r="M93" i="1"/>
  <c r="N93" i="1"/>
  <c r="K94" i="1"/>
  <c r="L94" i="1"/>
  <c r="M94" i="1"/>
  <c r="N94" i="1"/>
  <c r="K95" i="1"/>
  <c r="L95" i="1"/>
  <c r="M95" i="1"/>
  <c r="N95" i="1"/>
  <c r="K96" i="1"/>
  <c r="L96" i="1"/>
  <c r="M96" i="1"/>
  <c r="N96" i="1"/>
  <c r="K97" i="1"/>
  <c r="L97" i="1"/>
  <c r="M97" i="1"/>
  <c r="N97" i="1"/>
  <c r="K98" i="1"/>
  <c r="L98" i="1"/>
  <c r="M98" i="1"/>
  <c r="N98" i="1"/>
  <c r="K99" i="1"/>
  <c r="L99" i="1"/>
  <c r="M99" i="1"/>
  <c r="N99" i="1"/>
  <c r="K100" i="1"/>
  <c r="L100" i="1"/>
  <c r="M100" i="1"/>
  <c r="N100" i="1"/>
  <c r="K101" i="1"/>
  <c r="L101" i="1"/>
  <c r="M101" i="1"/>
  <c r="N101" i="1"/>
  <c r="K102" i="1"/>
  <c r="L102" i="1"/>
  <c r="M102" i="1"/>
  <c r="N102" i="1"/>
  <c r="K103" i="1"/>
  <c r="L103" i="1"/>
  <c r="M103" i="1"/>
  <c r="N103" i="1"/>
  <c r="K104" i="1"/>
  <c r="L104" i="1"/>
  <c r="M104" i="1"/>
  <c r="N104" i="1"/>
  <c r="K105" i="1"/>
  <c r="L105" i="1"/>
  <c r="M105" i="1"/>
  <c r="N105" i="1"/>
  <c r="K106" i="1"/>
  <c r="L106" i="1"/>
  <c r="M106" i="1"/>
  <c r="N106" i="1"/>
  <c r="K107" i="1"/>
  <c r="L107" i="1"/>
  <c r="M107" i="1"/>
  <c r="N107" i="1"/>
  <c r="K108" i="1"/>
  <c r="L108" i="1"/>
  <c r="M108" i="1"/>
  <c r="N108" i="1"/>
  <c r="K109" i="1"/>
  <c r="L109" i="1"/>
  <c r="M109" i="1"/>
  <c r="N109" i="1"/>
  <c r="K110" i="1"/>
  <c r="L110" i="1"/>
  <c r="M110" i="1"/>
  <c r="N110" i="1"/>
  <c r="K111" i="1"/>
  <c r="L111" i="1"/>
  <c r="M111" i="1"/>
  <c r="N111" i="1"/>
  <c r="K112" i="1"/>
  <c r="L112" i="1"/>
  <c r="M112" i="1"/>
  <c r="N112" i="1"/>
  <c r="K113" i="1"/>
  <c r="L113" i="1"/>
  <c r="M113" i="1"/>
  <c r="N113" i="1"/>
  <c r="K114" i="1"/>
  <c r="L114" i="1"/>
  <c r="M114" i="1"/>
  <c r="N114" i="1"/>
  <c r="K115" i="1"/>
  <c r="L115" i="1"/>
  <c r="M115" i="1"/>
  <c r="N115" i="1"/>
  <c r="K116" i="1"/>
  <c r="L116" i="1"/>
  <c r="M116" i="1"/>
  <c r="N116" i="1"/>
  <c r="K117" i="1"/>
  <c r="L117" i="1"/>
  <c r="M117" i="1"/>
  <c r="N117" i="1"/>
  <c r="K118" i="1"/>
  <c r="L118" i="1"/>
  <c r="M118" i="1"/>
  <c r="N118" i="1"/>
  <c r="K119" i="1"/>
  <c r="L119" i="1"/>
  <c r="M119" i="1"/>
  <c r="N119" i="1"/>
  <c r="K120" i="1"/>
  <c r="L120" i="1"/>
  <c r="M120" i="1"/>
  <c r="N120" i="1"/>
  <c r="K121" i="1"/>
  <c r="L121" i="1"/>
  <c r="M121" i="1"/>
  <c r="N121" i="1"/>
  <c r="K122" i="1"/>
  <c r="L122" i="1"/>
  <c r="M122" i="1"/>
  <c r="N122" i="1"/>
  <c r="K123" i="1"/>
  <c r="L123" i="1"/>
  <c r="M123" i="1"/>
  <c r="N123" i="1"/>
  <c r="K124" i="1"/>
  <c r="L124" i="1"/>
  <c r="M124" i="1"/>
  <c r="N124" i="1"/>
  <c r="K125" i="1"/>
  <c r="L125" i="1"/>
  <c r="M125" i="1"/>
  <c r="N125" i="1"/>
  <c r="K126" i="1"/>
  <c r="L126" i="1"/>
  <c r="M126" i="1"/>
  <c r="N126" i="1"/>
  <c r="K127" i="1"/>
  <c r="L127" i="1"/>
  <c r="M127" i="1"/>
  <c r="N127" i="1"/>
  <c r="K128" i="1"/>
  <c r="L128" i="1"/>
  <c r="M128" i="1"/>
  <c r="N128" i="1"/>
  <c r="K129" i="1"/>
  <c r="L129" i="1"/>
  <c r="M129" i="1"/>
  <c r="N129" i="1"/>
  <c r="K130" i="1"/>
  <c r="L130" i="1"/>
  <c r="M130" i="1"/>
  <c r="N130" i="1"/>
  <c r="K131" i="1"/>
  <c r="L131" i="1"/>
  <c r="M131" i="1"/>
  <c r="N131" i="1"/>
  <c r="K132" i="1"/>
  <c r="L132" i="1"/>
  <c r="M132" i="1"/>
  <c r="N132" i="1"/>
  <c r="K133" i="1"/>
  <c r="L133" i="1"/>
  <c r="M133" i="1"/>
  <c r="N133" i="1"/>
  <c r="K134" i="1"/>
  <c r="L134" i="1"/>
  <c r="M134" i="1"/>
  <c r="N134" i="1"/>
  <c r="K135" i="1"/>
  <c r="L135" i="1"/>
  <c r="M135" i="1"/>
  <c r="N135" i="1"/>
  <c r="K136" i="1"/>
  <c r="L136" i="1"/>
  <c r="M136" i="1"/>
  <c r="N136" i="1"/>
  <c r="K137" i="1"/>
  <c r="L137" i="1"/>
  <c r="M137" i="1"/>
  <c r="N137" i="1"/>
  <c r="K138" i="1"/>
  <c r="L138" i="1"/>
  <c r="M138" i="1"/>
  <c r="N138" i="1"/>
  <c r="K139" i="1"/>
  <c r="L139" i="1"/>
  <c r="M139" i="1"/>
  <c r="N139" i="1"/>
  <c r="K140" i="1"/>
  <c r="L140" i="1"/>
  <c r="M140" i="1"/>
  <c r="N140" i="1"/>
  <c r="K141" i="1"/>
  <c r="L141" i="1"/>
  <c r="M141" i="1"/>
  <c r="N141" i="1"/>
  <c r="K142" i="1"/>
  <c r="L142" i="1"/>
  <c r="M142" i="1"/>
  <c r="N142" i="1"/>
  <c r="K143" i="1"/>
  <c r="L143" i="1"/>
  <c r="M143" i="1"/>
  <c r="N143" i="1"/>
  <c r="K144" i="1"/>
  <c r="L144" i="1"/>
  <c r="M144" i="1"/>
  <c r="N144" i="1"/>
  <c r="K145" i="1"/>
  <c r="L145" i="1"/>
  <c r="M145" i="1"/>
  <c r="N145" i="1"/>
  <c r="K146" i="1"/>
  <c r="L146" i="1"/>
  <c r="M146" i="1"/>
  <c r="N146" i="1"/>
  <c r="K147" i="1"/>
  <c r="L147" i="1"/>
  <c r="M147" i="1"/>
  <c r="N147" i="1"/>
  <c r="K148" i="1"/>
  <c r="L148" i="1"/>
  <c r="M148" i="1"/>
  <c r="N148" i="1"/>
  <c r="K149" i="1"/>
  <c r="L149" i="1"/>
  <c r="M149" i="1"/>
  <c r="N149" i="1"/>
  <c r="K150" i="1"/>
  <c r="L150" i="1"/>
  <c r="M150" i="1"/>
  <c r="N150" i="1"/>
  <c r="K151" i="1"/>
  <c r="L151" i="1"/>
  <c r="M151" i="1"/>
  <c r="N151" i="1"/>
  <c r="K152" i="1"/>
  <c r="L152" i="1"/>
  <c r="M152" i="1"/>
  <c r="N152" i="1"/>
  <c r="K153" i="1"/>
  <c r="L153" i="1"/>
  <c r="M153" i="1"/>
  <c r="N153" i="1"/>
  <c r="K154" i="1"/>
  <c r="L154" i="1"/>
  <c r="M154" i="1"/>
  <c r="N154" i="1"/>
  <c r="K155" i="1"/>
  <c r="L155" i="1"/>
  <c r="M155" i="1"/>
  <c r="N155" i="1"/>
  <c r="K156" i="1"/>
  <c r="L156" i="1"/>
  <c r="M156" i="1"/>
  <c r="N156" i="1"/>
  <c r="K157" i="1"/>
  <c r="L157" i="1"/>
  <c r="M157" i="1"/>
  <c r="N157" i="1"/>
  <c r="K158" i="1"/>
  <c r="L158" i="1"/>
  <c r="M158" i="1"/>
  <c r="N158" i="1"/>
  <c r="K159" i="1"/>
  <c r="L159" i="1"/>
  <c r="M159" i="1"/>
  <c r="N159" i="1"/>
  <c r="K160" i="1"/>
  <c r="L160" i="1"/>
  <c r="M160" i="1"/>
  <c r="N160" i="1"/>
  <c r="K161" i="1"/>
  <c r="L161" i="1"/>
  <c r="M161" i="1"/>
  <c r="N161" i="1"/>
  <c r="K162" i="1"/>
  <c r="L162" i="1"/>
  <c r="M162" i="1"/>
  <c r="N162" i="1"/>
  <c r="K163" i="1"/>
  <c r="L163" i="1"/>
  <c r="M163" i="1"/>
  <c r="N163" i="1"/>
  <c r="K164" i="1"/>
  <c r="L164" i="1"/>
  <c r="M164" i="1"/>
  <c r="N164" i="1"/>
  <c r="K165" i="1"/>
  <c r="L165" i="1"/>
  <c r="M165" i="1"/>
  <c r="N165" i="1"/>
  <c r="K166" i="1"/>
  <c r="L166" i="1"/>
  <c r="M166" i="1"/>
  <c r="N166" i="1"/>
  <c r="K167" i="1"/>
  <c r="L167" i="1"/>
  <c r="M167" i="1"/>
  <c r="N167" i="1"/>
  <c r="K168" i="1"/>
  <c r="L168" i="1"/>
  <c r="M168" i="1"/>
  <c r="N168" i="1"/>
  <c r="K169" i="1"/>
  <c r="L169" i="1"/>
  <c r="M169" i="1"/>
  <c r="N169" i="1"/>
  <c r="K170" i="1"/>
  <c r="L170" i="1"/>
  <c r="M170" i="1"/>
  <c r="N170" i="1"/>
  <c r="K171" i="1"/>
  <c r="L171" i="1"/>
  <c r="M171" i="1"/>
  <c r="N171" i="1"/>
  <c r="K172" i="1"/>
  <c r="L172" i="1"/>
  <c r="M172" i="1"/>
  <c r="N172" i="1"/>
  <c r="K173" i="1"/>
  <c r="L173" i="1"/>
  <c r="M173" i="1"/>
  <c r="N173" i="1"/>
  <c r="K174" i="1"/>
  <c r="L174" i="1"/>
  <c r="M174" i="1"/>
  <c r="N174" i="1"/>
  <c r="K175" i="1"/>
  <c r="L175" i="1"/>
  <c r="M175" i="1"/>
  <c r="N175" i="1"/>
  <c r="K176" i="1"/>
  <c r="L176" i="1"/>
  <c r="M176" i="1"/>
  <c r="N176" i="1"/>
  <c r="K177" i="1"/>
  <c r="L177" i="1"/>
  <c r="M177" i="1"/>
  <c r="N177" i="1"/>
  <c r="K178" i="1"/>
  <c r="L178" i="1"/>
  <c r="M178" i="1"/>
  <c r="N178" i="1"/>
  <c r="K179" i="1"/>
  <c r="L179" i="1"/>
  <c r="M179" i="1"/>
  <c r="N179" i="1"/>
  <c r="K180" i="1"/>
  <c r="L180" i="1"/>
  <c r="M180" i="1"/>
  <c r="N180" i="1"/>
  <c r="K181" i="1"/>
  <c r="L181" i="1"/>
  <c r="M181" i="1"/>
  <c r="N181" i="1"/>
  <c r="K182" i="1"/>
  <c r="L182" i="1"/>
  <c r="M182" i="1"/>
  <c r="N182" i="1"/>
  <c r="K183" i="1"/>
  <c r="L183" i="1"/>
  <c r="M183" i="1"/>
  <c r="N183" i="1"/>
  <c r="K184" i="1"/>
  <c r="L184" i="1"/>
  <c r="M184" i="1"/>
  <c r="N184" i="1"/>
  <c r="K185" i="1"/>
  <c r="L185" i="1"/>
  <c r="M185" i="1"/>
  <c r="N185" i="1"/>
  <c r="K186" i="1"/>
  <c r="L186" i="1"/>
  <c r="M186" i="1"/>
  <c r="N186" i="1"/>
  <c r="K187" i="1"/>
  <c r="L187" i="1"/>
  <c r="M187" i="1"/>
  <c r="N187" i="1"/>
  <c r="K188" i="1"/>
  <c r="L188" i="1"/>
  <c r="M188" i="1"/>
  <c r="N188" i="1"/>
  <c r="K189" i="1"/>
  <c r="L189" i="1"/>
  <c r="M189" i="1"/>
  <c r="N189" i="1"/>
  <c r="K190" i="1"/>
  <c r="L190" i="1"/>
  <c r="M190" i="1"/>
  <c r="N190" i="1"/>
  <c r="K191" i="1"/>
  <c r="L191" i="1"/>
  <c r="M191" i="1"/>
  <c r="N191" i="1"/>
  <c r="K192" i="1"/>
  <c r="L192" i="1"/>
  <c r="M192" i="1"/>
  <c r="N192" i="1"/>
  <c r="K193" i="1"/>
  <c r="L193" i="1"/>
  <c r="M193" i="1"/>
  <c r="N193" i="1"/>
  <c r="K194" i="1"/>
  <c r="L194" i="1"/>
  <c r="M194" i="1"/>
  <c r="N194" i="1"/>
  <c r="K195" i="1"/>
  <c r="L195" i="1"/>
  <c r="M195" i="1"/>
  <c r="N195" i="1"/>
  <c r="K196" i="1"/>
  <c r="L196" i="1"/>
  <c r="M196" i="1"/>
  <c r="N196" i="1"/>
  <c r="K197" i="1"/>
  <c r="L197" i="1"/>
  <c r="M197" i="1"/>
  <c r="N197" i="1"/>
  <c r="K198" i="1"/>
  <c r="L198" i="1"/>
  <c r="M198" i="1"/>
  <c r="N198" i="1"/>
  <c r="K199" i="1"/>
  <c r="L199" i="1"/>
  <c r="M199" i="1"/>
  <c r="N199" i="1"/>
  <c r="K200" i="1"/>
  <c r="L200" i="1"/>
  <c r="M200" i="1"/>
  <c r="N200" i="1"/>
  <c r="K201" i="1"/>
  <c r="L201" i="1"/>
  <c r="M201" i="1"/>
  <c r="N201" i="1"/>
  <c r="N2" i="1"/>
  <c r="M2" i="1"/>
  <c r="Q2" i="1"/>
  <c r="R2" i="1"/>
  <c r="S2" i="1"/>
  <c r="U2" i="1" s="1"/>
  <c r="T2" i="1"/>
  <c r="P2" i="1"/>
  <c r="L2" i="1"/>
  <c r="K2" i="1"/>
  <c r="G28" i="1"/>
  <c r="X28" i="1" s="1"/>
  <c r="H28" i="1"/>
  <c r="G38" i="1"/>
  <c r="H38" i="1"/>
  <c r="G48" i="1"/>
  <c r="X48" i="1" s="1"/>
  <c r="H48" i="1"/>
  <c r="G58" i="1"/>
  <c r="H58" i="1"/>
  <c r="G68" i="1"/>
  <c r="H68" i="1"/>
  <c r="G78" i="1"/>
  <c r="H78" i="1"/>
  <c r="G88" i="1"/>
  <c r="H88" i="1"/>
  <c r="H98" i="1"/>
  <c r="H108" i="1"/>
  <c r="G118" i="1"/>
  <c r="X118" i="1" s="1"/>
  <c r="H118" i="1"/>
  <c r="G128" i="1"/>
  <c r="X128" i="1" s="1"/>
  <c r="H128" i="1"/>
  <c r="G138" i="1"/>
  <c r="H138" i="1"/>
  <c r="H158" i="1"/>
  <c r="G168" i="1"/>
  <c r="X168" i="1" s="1"/>
  <c r="H168" i="1"/>
  <c r="G178" i="1"/>
  <c r="H178" i="1"/>
  <c r="I178" i="1"/>
  <c r="G188" i="1"/>
  <c r="H188" i="1"/>
  <c r="I188" i="1"/>
  <c r="G198" i="1"/>
  <c r="X198" i="1" s="1"/>
  <c r="H198" i="1"/>
  <c r="I198" i="1"/>
  <c r="F8" i="1"/>
  <c r="F18" i="1"/>
  <c r="F28" i="1"/>
  <c r="F38" i="1"/>
  <c r="F48" i="1"/>
  <c r="F58" i="1"/>
  <c r="F68" i="1"/>
  <c r="F78" i="1"/>
  <c r="F88" i="1"/>
  <c r="F98" i="1"/>
  <c r="F108" i="1"/>
  <c r="F118" i="1"/>
  <c r="F128" i="1"/>
  <c r="F148" i="1"/>
  <c r="F158" i="1"/>
  <c r="F168" i="1"/>
  <c r="F178" i="1"/>
  <c r="F198" i="1"/>
  <c r="AD7" i="1"/>
  <c r="I7" i="1" s="1"/>
  <c r="AD9" i="1"/>
  <c r="AD27" i="1"/>
  <c r="AD37" i="1"/>
  <c r="AD39" i="1"/>
  <c r="AD47" i="1"/>
  <c r="AD49" i="1"/>
  <c r="G49" i="1" s="1"/>
  <c r="AD67" i="1"/>
  <c r="AD77" i="1"/>
  <c r="AD79" i="1"/>
  <c r="AD87" i="1"/>
  <c r="AD89" i="1"/>
  <c r="AD97" i="1"/>
  <c r="AD99" i="1"/>
  <c r="AD117" i="1"/>
  <c r="AD127" i="1"/>
  <c r="AD129" i="1"/>
  <c r="AD137" i="1"/>
  <c r="AD139" i="1"/>
  <c r="AD147" i="1"/>
  <c r="AD149" i="1"/>
  <c r="AD167" i="1"/>
  <c r="AD177" i="1"/>
  <c r="AD179" i="1"/>
  <c r="AD187" i="1"/>
  <c r="AD189" i="1"/>
  <c r="G189" i="1" s="1"/>
  <c r="AD197" i="1"/>
  <c r="AD199" i="1"/>
  <c r="G199" i="1" s="1"/>
  <c r="Q3" i="1"/>
  <c r="Q4" i="1"/>
  <c r="Q5" i="1"/>
  <c r="Q6" i="1"/>
  <c r="Q7" i="1"/>
  <c r="Q8" i="1"/>
  <c r="Q9" i="1"/>
  <c r="Q10" i="1"/>
  <c r="Q11" i="1"/>
  <c r="AD11" i="1" s="1"/>
  <c r="H11" i="1" s="1"/>
  <c r="Q12" i="1"/>
  <c r="Q13" i="1"/>
  <c r="Q14" i="1"/>
  <c r="Q15" i="1"/>
  <c r="Q16" i="1"/>
  <c r="Q17" i="1"/>
  <c r="Q18" i="1"/>
  <c r="Q19" i="1"/>
  <c r="AD19" i="1" s="1"/>
  <c r="Q20" i="1"/>
  <c r="Q21" i="1"/>
  <c r="AD21" i="1" s="1"/>
  <c r="Q22" i="1"/>
  <c r="Q23" i="1"/>
  <c r="Q24" i="1"/>
  <c r="Q25" i="1"/>
  <c r="Q26" i="1"/>
  <c r="Q27" i="1"/>
  <c r="Q28" i="1"/>
  <c r="Q29" i="1"/>
  <c r="AD29" i="1" s="1"/>
  <c r="Q30" i="1"/>
  <c r="Q31" i="1"/>
  <c r="AD31" i="1" s="1"/>
  <c r="Q32" i="1"/>
  <c r="Q33" i="1"/>
  <c r="Q34" i="1"/>
  <c r="Q35" i="1"/>
  <c r="Q36" i="1"/>
  <c r="Q37" i="1"/>
  <c r="Q38" i="1"/>
  <c r="Q39" i="1"/>
  <c r="Q40" i="1"/>
  <c r="Q41" i="1"/>
  <c r="AD41" i="1" s="1"/>
  <c r="Q42" i="1"/>
  <c r="Q43" i="1"/>
  <c r="Q44" i="1"/>
  <c r="Q45" i="1"/>
  <c r="Q46" i="1"/>
  <c r="Q47" i="1"/>
  <c r="Q48" i="1"/>
  <c r="Q49" i="1"/>
  <c r="Q50" i="1"/>
  <c r="Q51" i="1"/>
  <c r="AD51" i="1" s="1"/>
  <c r="Q52" i="1"/>
  <c r="Q53" i="1"/>
  <c r="Q54" i="1"/>
  <c r="Q55" i="1"/>
  <c r="Q56" i="1"/>
  <c r="Q57" i="1"/>
  <c r="Q58" i="1"/>
  <c r="Q59" i="1"/>
  <c r="AD59" i="1" s="1"/>
  <c r="Q60" i="1"/>
  <c r="Q61" i="1"/>
  <c r="AD61" i="1" s="1"/>
  <c r="Q62" i="1"/>
  <c r="Q63" i="1"/>
  <c r="Q64" i="1"/>
  <c r="Q65" i="1"/>
  <c r="Q66" i="1"/>
  <c r="Q67" i="1"/>
  <c r="Q68" i="1"/>
  <c r="Q69" i="1"/>
  <c r="AD69" i="1" s="1"/>
  <c r="Q70" i="1"/>
  <c r="Q71" i="1"/>
  <c r="AD71" i="1" s="1"/>
  <c r="Q72" i="1"/>
  <c r="Q73" i="1"/>
  <c r="Q74" i="1"/>
  <c r="Q75" i="1"/>
  <c r="Q76" i="1"/>
  <c r="Q77" i="1"/>
  <c r="Q78" i="1"/>
  <c r="Q79" i="1"/>
  <c r="Q80" i="1"/>
  <c r="Q81" i="1"/>
  <c r="AD81" i="1" s="1"/>
  <c r="Q82" i="1"/>
  <c r="Q83" i="1"/>
  <c r="Q84" i="1"/>
  <c r="Q85" i="1"/>
  <c r="Q86" i="1"/>
  <c r="Q87" i="1"/>
  <c r="Q88" i="1"/>
  <c r="Q89" i="1"/>
  <c r="Q90" i="1"/>
  <c r="Q91" i="1"/>
  <c r="AD91" i="1" s="1"/>
  <c r="Q92" i="1"/>
  <c r="Q93" i="1"/>
  <c r="Q94" i="1"/>
  <c r="Q95" i="1"/>
  <c r="Q96" i="1"/>
  <c r="Q97" i="1"/>
  <c r="Q98" i="1"/>
  <c r="Q99" i="1"/>
  <c r="Q100" i="1"/>
  <c r="Q101" i="1"/>
  <c r="AD101" i="1" s="1"/>
  <c r="Q102" i="1"/>
  <c r="Q103" i="1"/>
  <c r="Q104" i="1"/>
  <c r="Q105" i="1"/>
  <c r="Q106" i="1"/>
  <c r="Q107" i="1"/>
  <c r="Q108" i="1"/>
  <c r="Q109" i="1"/>
  <c r="AD109" i="1" s="1"/>
  <c r="Q110" i="1"/>
  <c r="Q111" i="1"/>
  <c r="AD111" i="1" s="1"/>
  <c r="Q112" i="1"/>
  <c r="Q113" i="1"/>
  <c r="Q114" i="1"/>
  <c r="Q115" i="1"/>
  <c r="Q116" i="1"/>
  <c r="Q117" i="1"/>
  <c r="Q118" i="1"/>
  <c r="Q119" i="1"/>
  <c r="AD119" i="1" s="1"/>
  <c r="Q120" i="1"/>
  <c r="Q121" i="1"/>
  <c r="AD121" i="1" s="1"/>
  <c r="Q122" i="1"/>
  <c r="Q123" i="1"/>
  <c r="Q124" i="1"/>
  <c r="Q125" i="1"/>
  <c r="Q126" i="1"/>
  <c r="Q127" i="1"/>
  <c r="Q128" i="1"/>
  <c r="Q129" i="1"/>
  <c r="Q130" i="1"/>
  <c r="Q131" i="1"/>
  <c r="AD131" i="1" s="1"/>
  <c r="Q132" i="1"/>
  <c r="Q133" i="1"/>
  <c r="Q134" i="1"/>
  <c r="Q135" i="1"/>
  <c r="Q136" i="1"/>
  <c r="Q137" i="1"/>
  <c r="Q138" i="1"/>
  <c r="Q139" i="1"/>
  <c r="Q140" i="1"/>
  <c r="Q141" i="1"/>
  <c r="AD141" i="1" s="1"/>
  <c r="Q142" i="1"/>
  <c r="Q143" i="1"/>
  <c r="Q144" i="1"/>
  <c r="Q145" i="1"/>
  <c r="Q146" i="1"/>
  <c r="Q147" i="1"/>
  <c r="Q148" i="1"/>
  <c r="Q149" i="1"/>
  <c r="Q150" i="1"/>
  <c r="Q151" i="1"/>
  <c r="AD151" i="1" s="1"/>
  <c r="Q152" i="1"/>
  <c r="Q153" i="1"/>
  <c r="Q154" i="1"/>
  <c r="Q155" i="1"/>
  <c r="Q156" i="1"/>
  <c r="Q157" i="1"/>
  <c r="Q158" i="1"/>
  <c r="Q159" i="1"/>
  <c r="Q160" i="1"/>
  <c r="Q161" i="1"/>
  <c r="AD161" i="1" s="1"/>
  <c r="Q162" i="1"/>
  <c r="Q163" i="1"/>
  <c r="Q164" i="1"/>
  <c r="Q165" i="1"/>
  <c r="Q166" i="1"/>
  <c r="Q167" i="1"/>
  <c r="Q168" i="1"/>
  <c r="Q169" i="1"/>
  <c r="Q170" i="1"/>
  <c r="Q171" i="1"/>
  <c r="AD171" i="1" s="1"/>
  <c r="Q172" i="1"/>
  <c r="Q173" i="1"/>
  <c r="Q174" i="1"/>
  <c r="Q175" i="1"/>
  <c r="Q176" i="1"/>
  <c r="Q177" i="1"/>
  <c r="Q178" i="1"/>
  <c r="Q179" i="1"/>
  <c r="Q180" i="1"/>
  <c r="Q181" i="1"/>
  <c r="AD181" i="1" s="1"/>
  <c r="Q182" i="1"/>
  <c r="Q183" i="1"/>
  <c r="Q184" i="1"/>
  <c r="Q185" i="1"/>
  <c r="Q186" i="1"/>
  <c r="Q187" i="1"/>
  <c r="Q188" i="1"/>
  <c r="Q189" i="1"/>
  <c r="Q190" i="1"/>
  <c r="Q191" i="1"/>
  <c r="AD191" i="1" s="1"/>
  <c r="Q192" i="1"/>
  <c r="Q193" i="1"/>
  <c r="Q194" i="1"/>
  <c r="Q195" i="1"/>
  <c r="Q196" i="1"/>
  <c r="Q197" i="1"/>
  <c r="Q198" i="1"/>
  <c r="Q199" i="1"/>
  <c r="Q200" i="1"/>
  <c r="Q201" i="1"/>
  <c r="AD201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" i="1"/>
  <c r="J3" i="1"/>
  <c r="AD3" i="1" s="1"/>
  <c r="J4" i="1"/>
  <c r="AD4" i="1" s="1"/>
  <c r="J5" i="1"/>
  <c r="AD5" i="1" s="1"/>
  <c r="J6" i="1"/>
  <c r="AD6" i="1" s="1"/>
  <c r="J7" i="1"/>
  <c r="J8" i="1"/>
  <c r="AD8" i="1" s="1"/>
  <c r="J9" i="1"/>
  <c r="J10" i="1"/>
  <c r="AD10" i="1" s="1"/>
  <c r="J11" i="1"/>
  <c r="J12" i="1"/>
  <c r="AD12" i="1" s="1"/>
  <c r="J13" i="1"/>
  <c r="AD13" i="1" s="1"/>
  <c r="J14" i="1"/>
  <c r="AD14" i="1" s="1"/>
  <c r="J15" i="1"/>
  <c r="AD15" i="1" s="1"/>
  <c r="J16" i="1"/>
  <c r="AD16" i="1" s="1"/>
  <c r="J17" i="1"/>
  <c r="AD17" i="1" s="1"/>
  <c r="J18" i="1"/>
  <c r="AD18" i="1" s="1"/>
  <c r="H18" i="1" s="1"/>
  <c r="J19" i="1"/>
  <c r="J20" i="1"/>
  <c r="AD20" i="1" s="1"/>
  <c r="J21" i="1"/>
  <c r="J22" i="1"/>
  <c r="AD22" i="1" s="1"/>
  <c r="J23" i="1"/>
  <c r="AD23" i="1" s="1"/>
  <c r="J24" i="1"/>
  <c r="AD24" i="1" s="1"/>
  <c r="J25" i="1"/>
  <c r="AD25" i="1" s="1"/>
  <c r="J26" i="1"/>
  <c r="AD26" i="1" s="1"/>
  <c r="J27" i="1"/>
  <c r="J28" i="1"/>
  <c r="AD28" i="1" s="1"/>
  <c r="I28" i="1" s="1"/>
  <c r="J29" i="1"/>
  <c r="J30" i="1"/>
  <c r="AD30" i="1" s="1"/>
  <c r="J31" i="1"/>
  <c r="J32" i="1"/>
  <c r="AD32" i="1" s="1"/>
  <c r="J33" i="1"/>
  <c r="AD33" i="1" s="1"/>
  <c r="J34" i="1"/>
  <c r="AD34" i="1" s="1"/>
  <c r="J35" i="1"/>
  <c r="AD35" i="1" s="1"/>
  <c r="J36" i="1"/>
  <c r="AD36" i="1" s="1"/>
  <c r="J37" i="1"/>
  <c r="J38" i="1"/>
  <c r="AD38" i="1" s="1"/>
  <c r="I38" i="1" s="1"/>
  <c r="J39" i="1"/>
  <c r="J40" i="1"/>
  <c r="AD40" i="1" s="1"/>
  <c r="J41" i="1"/>
  <c r="J42" i="1"/>
  <c r="AD42" i="1" s="1"/>
  <c r="J43" i="1"/>
  <c r="AD43" i="1" s="1"/>
  <c r="J44" i="1"/>
  <c r="AD44" i="1" s="1"/>
  <c r="J45" i="1"/>
  <c r="AD45" i="1" s="1"/>
  <c r="J46" i="1"/>
  <c r="AD46" i="1" s="1"/>
  <c r="J47" i="1"/>
  <c r="J48" i="1"/>
  <c r="AD48" i="1" s="1"/>
  <c r="I48" i="1" s="1"/>
  <c r="J49" i="1"/>
  <c r="J50" i="1"/>
  <c r="AD50" i="1" s="1"/>
  <c r="J51" i="1"/>
  <c r="J52" i="1"/>
  <c r="AD52" i="1" s="1"/>
  <c r="J53" i="1"/>
  <c r="AD53" i="1" s="1"/>
  <c r="J54" i="1"/>
  <c r="AD54" i="1" s="1"/>
  <c r="J55" i="1"/>
  <c r="AD55" i="1" s="1"/>
  <c r="J56" i="1"/>
  <c r="AD56" i="1" s="1"/>
  <c r="J57" i="1"/>
  <c r="AD57" i="1" s="1"/>
  <c r="J58" i="1"/>
  <c r="AD58" i="1" s="1"/>
  <c r="I58" i="1" s="1"/>
  <c r="J59" i="1"/>
  <c r="J60" i="1"/>
  <c r="AD60" i="1" s="1"/>
  <c r="J61" i="1"/>
  <c r="J62" i="1"/>
  <c r="AD62" i="1" s="1"/>
  <c r="J63" i="1"/>
  <c r="AD63" i="1" s="1"/>
  <c r="J64" i="1"/>
  <c r="AD64" i="1" s="1"/>
  <c r="J65" i="1"/>
  <c r="AD65" i="1" s="1"/>
  <c r="J66" i="1"/>
  <c r="AD66" i="1" s="1"/>
  <c r="J67" i="1"/>
  <c r="J68" i="1"/>
  <c r="AD68" i="1" s="1"/>
  <c r="I68" i="1" s="1"/>
  <c r="J69" i="1"/>
  <c r="J70" i="1"/>
  <c r="AD70" i="1" s="1"/>
  <c r="J71" i="1"/>
  <c r="J72" i="1"/>
  <c r="AD72" i="1" s="1"/>
  <c r="J73" i="1"/>
  <c r="AD73" i="1" s="1"/>
  <c r="J74" i="1"/>
  <c r="AD74" i="1" s="1"/>
  <c r="J75" i="1"/>
  <c r="AD75" i="1" s="1"/>
  <c r="J76" i="1"/>
  <c r="AD76" i="1" s="1"/>
  <c r="J77" i="1"/>
  <c r="J78" i="1"/>
  <c r="AD78" i="1" s="1"/>
  <c r="I78" i="1" s="1"/>
  <c r="J79" i="1"/>
  <c r="J80" i="1"/>
  <c r="AD80" i="1" s="1"/>
  <c r="J81" i="1"/>
  <c r="J82" i="1"/>
  <c r="AD82" i="1" s="1"/>
  <c r="J83" i="1"/>
  <c r="AD83" i="1" s="1"/>
  <c r="J84" i="1"/>
  <c r="AD84" i="1" s="1"/>
  <c r="J85" i="1"/>
  <c r="AD85" i="1" s="1"/>
  <c r="J86" i="1"/>
  <c r="AD86" i="1" s="1"/>
  <c r="J87" i="1"/>
  <c r="J88" i="1"/>
  <c r="AD88" i="1" s="1"/>
  <c r="I88" i="1" s="1"/>
  <c r="J89" i="1"/>
  <c r="J90" i="1"/>
  <c r="AD90" i="1" s="1"/>
  <c r="J91" i="1"/>
  <c r="J92" i="1"/>
  <c r="AD92" i="1" s="1"/>
  <c r="J93" i="1"/>
  <c r="AD93" i="1" s="1"/>
  <c r="J94" i="1"/>
  <c r="AD94" i="1" s="1"/>
  <c r="J95" i="1"/>
  <c r="AD95" i="1" s="1"/>
  <c r="J96" i="1"/>
  <c r="AD96" i="1" s="1"/>
  <c r="J97" i="1"/>
  <c r="J98" i="1"/>
  <c r="AD98" i="1" s="1"/>
  <c r="I98" i="1" s="1"/>
  <c r="J99" i="1"/>
  <c r="J100" i="1"/>
  <c r="AD100" i="1" s="1"/>
  <c r="J101" i="1"/>
  <c r="J102" i="1"/>
  <c r="AD102" i="1" s="1"/>
  <c r="J103" i="1"/>
  <c r="AD103" i="1" s="1"/>
  <c r="J104" i="1"/>
  <c r="AD104" i="1" s="1"/>
  <c r="J105" i="1"/>
  <c r="AD105" i="1" s="1"/>
  <c r="J106" i="1"/>
  <c r="AD106" i="1" s="1"/>
  <c r="J107" i="1"/>
  <c r="AD107" i="1" s="1"/>
  <c r="J108" i="1"/>
  <c r="AD108" i="1" s="1"/>
  <c r="I108" i="1" s="1"/>
  <c r="J109" i="1"/>
  <c r="J110" i="1"/>
  <c r="AD110" i="1" s="1"/>
  <c r="G110" i="1" s="1"/>
  <c r="J111" i="1"/>
  <c r="J112" i="1"/>
  <c r="AD112" i="1" s="1"/>
  <c r="J113" i="1"/>
  <c r="AD113" i="1" s="1"/>
  <c r="J114" i="1"/>
  <c r="AD114" i="1" s="1"/>
  <c r="J115" i="1"/>
  <c r="AD115" i="1" s="1"/>
  <c r="J116" i="1"/>
  <c r="AD116" i="1" s="1"/>
  <c r="J117" i="1"/>
  <c r="J118" i="1"/>
  <c r="AD118" i="1" s="1"/>
  <c r="I118" i="1" s="1"/>
  <c r="J119" i="1"/>
  <c r="J120" i="1"/>
  <c r="AD120" i="1" s="1"/>
  <c r="G120" i="1" s="1"/>
  <c r="J121" i="1"/>
  <c r="J122" i="1"/>
  <c r="AD122" i="1" s="1"/>
  <c r="J123" i="1"/>
  <c r="AD123" i="1" s="1"/>
  <c r="J124" i="1"/>
  <c r="AD124" i="1" s="1"/>
  <c r="J125" i="1"/>
  <c r="AD125" i="1" s="1"/>
  <c r="J126" i="1"/>
  <c r="AD126" i="1" s="1"/>
  <c r="J127" i="1"/>
  <c r="J128" i="1"/>
  <c r="AD128" i="1" s="1"/>
  <c r="I128" i="1" s="1"/>
  <c r="J129" i="1"/>
  <c r="J130" i="1"/>
  <c r="AD130" i="1" s="1"/>
  <c r="G130" i="1" s="1"/>
  <c r="J131" i="1"/>
  <c r="J132" i="1"/>
  <c r="AD132" i="1" s="1"/>
  <c r="J133" i="1"/>
  <c r="AD133" i="1" s="1"/>
  <c r="J134" i="1"/>
  <c r="AD134" i="1" s="1"/>
  <c r="J135" i="1"/>
  <c r="AD135" i="1" s="1"/>
  <c r="J136" i="1"/>
  <c r="AD136" i="1" s="1"/>
  <c r="J137" i="1"/>
  <c r="J138" i="1"/>
  <c r="AD138" i="1" s="1"/>
  <c r="I138" i="1" s="1"/>
  <c r="J139" i="1"/>
  <c r="J140" i="1"/>
  <c r="AD140" i="1" s="1"/>
  <c r="G140" i="1" s="1"/>
  <c r="J141" i="1"/>
  <c r="J142" i="1"/>
  <c r="AD142" i="1" s="1"/>
  <c r="J143" i="1"/>
  <c r="AD143" i="1" s="1"/>
  <c r="J144" i="1"/>
  <c r="AD144" i="1" s="1"/>
  <c r="J145" i="1"/>
  <c r="AD145" i="1" s="1"/>
  <c r="J146" i="1"/>
  <c r="AD146" i="1" s="1"/>
  <c r="J147" i="1"/>
  <c r="J148" i="1"/>
  <c r="AD148" i="1" s="1"/>
  <c r="I148" i="1" s="1"/>
  <c r="J149" i="1"/>
  <c r="J150" i="1"/>
  <c r="AD150" i="1" s="1"/>
  <c r="G150" i="1" s="1"/>
  <c r="J151" i="1"/>
  <c r="J152" i="1"/>
  <c r="AD152" i="1" s="1"/>
  <c r="J153" i="1"/>
  <c r="AD153" i="1" s="1"/>
  <c r="J154" i="1"/>
  <c r="AD154" i="1" s="1"/>
  <c r="J155" i="1"/>
  <c r="AD155" i="1" s="1"/>
  <c r="J156" i="1"/>
  <c r="AD156" i="1" s="1"/>
  <c r="J157" i="1"/>
  <c r="AD157" i="1" s="1"/>
  <c r="J158" i="1"/>
  <c r="AD158" i="1" s="1"/>
  <c r="I158" i="1" s="1"/>
  <c r="J159" i="1"/>
  <c r="AD159" i="1" s="1"/>
  <c r="J160" i="1"/>
  <c r="AD160" i="1" s="1"/>
  <c r="G160" i="1" s="1"/>
  <c r="J161" i="1"/>
  <c r="J162" i="1"/>
  <c r="AD162" i="1" s="1"/>
  <c r="J163" i="1"/>
  <c r="AD163" i="1" s="1"/>
  <c r="J164" i="1"/>
  <c r="AD164" i="1" s="1"/>
  <c r="J165" i="1"/>
  <c r="AD165" i="1" s="1"/>
  <c r="J166" i="1"/>
  <c r="AD166" i="1" s="1"/>
  <c r="J167" i="1"/>
  <c r="J168" i="1"/>
  <c r="AD168" i="1" s="1"/>
  <c r="I168" i="1" s="1"/>
  <c r="J169" i="1"/>
  <c r="AD169" i="1" s="1"/>
  <c r="J170" i="1"/>
  <c r="AD170" i="1" s="1"/>
  <c r="G170" i="1" s="1"/>
  <c r="J171" i="1"/>
  <c r="J172" i="1"/>
  <c r="AD172" i="1" s="1"/>
  <c r="J173" i="1"/>
  <c r="AD173" i="1" s="1"/>
  <c r="J174" i="1"/>
  <c r="AD174" i="1" s="1"/>
  <c r="J175" i="1"/>
  <c r="AD175" i="1" s="1"/>
  <c r="J176" i="1"/>
  <c r="AD176" i="1" s="1"/>
  <c r="J177" i="1"/>
  <c r="J178" i="1"/>
  <c r="AD178" i="1" s="1"/>
  <c r="J179" i="1"/>
  <c r="J180" i="1"/>
  <c r="AD180" i="1" s="1"/>
  <c r="G180" i="1" s="1"/>
  <c r="J181" i="1"/>
  <c r="J182" i="1"/>
  <c r="AD182" i="1" s="1"/>
  <c r="J183" i="1"/>
  <c r="AD183" i="1" s="1"/>
  <c r="J184" i="1"/>
  <c r="AD184" i="1" s="1"/>
  <c r="J185" i="1"/>
  <c r="AD185" i="1" s="1"/>
  <c r="J186" i="1"/>
  <c r="AD186" i="1" s="1"/>
  <c r="J187" i="1"/>
  <c r="J188" i="1"/>
  <c r="AD188" i="1" s="1"/>
  <c r="F188" i="1" s="1"/>
  <c r="J189" i="1"/>
  <c r="J190" i="1"/>
  <c r="AD190" i="1" s="1"/>
  <c r="J191" i="1"/>
  <c r="J192" i="1"/>
  <c r="AD192" i="1" s="1"/>
  <c r="J193" i="1"/>
  <c r="AD193" i="1" s="1"/>
  <c r="J194" i="1"/>
  <c r="AD194" i="1" s="1"/>
  <c r="J195" i="1"/>
  <c r="AD195" i="1" s="1"/>
  <c r="J196" i="1"/>
  <c r="AD196" i="1" s="1"/>
  <c r="J197" i="1"/>
  <c r="J198" i="1"/>
  <c r="AD198" i="1" s="1"/>
  <c r="J199" i="1"/>
  <c r="J200" i="1"/>
  <c r="AD200" i="1" s="1"/>
  <c r="G200" i="1" s="1"/>
  <c r="J201" i="1"/>
  <c r="J2" i="1"/>
  <c r="AD2" i="1" s="1"/>
  <c r="AZ115" i="4" l="1"/>
  <c r="AZ99" i="4"/>
  <c r="AZ191" i="4"/>
  <c r="AZ140" i="4"/>
  <c r="AZ125" i="4"/>
  <c r="AZ153" i="4"/>
  <c r="AZ106" i="4"/>
  <c r="AZ58" i="4"/>
  <c r="AZ27" i="4"/>
  <c r="Y159" i="4"/>
  <c r="X220" i="4"/>
  <c r="U220" i="4"/>
  <c r="T212" i="4"/>
  <c r="W197" i="4"/>
  <c r="S197" i="4"/>
  <c r="V220" i="4"/>
  <c r="Z212" i="4"/>
  <c r="R212" i="4"/>
  <c r="W203" i="4"/>
  <c r="W159" i="4"/>
  <c r="S159" i="4"/>
  <c r="Y220" i="4"/>
  <c r="X212" i="4"/>
  <c r="U212" i="4"/>
  <c r="V187" i="4"/>
  <c r="Z214" i="4"/>
  <c r="R214" i="4"/>
  <c r="V189" i="4"/>
  <c r="Z203" i="4"/>
  <c r="R203" i="4"/>
  <c r="V184" i="4"/>
  <c r="Z117" i="4"/>
  <c r="R117" i="4"/>
  <c r="V215" i="4"/>
  <c r="Z103" i="4"/>
  <c r="R103" i="4"/>
  <c r="V209" i="4"/>
  <c r="Z118" i="4"/>
  <c r="R118" i="4"/>
  <c r="V101" i="4"/>
  <c r="Z61" i="4"/>
  <c r="R61" i="4"/>
  <c r="V176" i="4"/>
  <c r="Z175" i="4"/>
  <c r="R175" i="4"/>
  <c r="V145" i="4"/>
  <c r="Z120" i="4"/>
  <c r="R120" i="4"/>
  <c r="V163" i="4"/>
  <c r="Z109" i="4"/>
  <c r="R109" i="4"/>
  <c r="V136" i="4"/>
  <c r="Z119" i="4"/>
  <c r="R119" i="4"/>
  <c r="V193" i="4"/>
  <c r="Z207" i="4"/>
  <c r="Y199" i="4"/>
  <c r="X187" i="4"/>
  <c r="U187" i="4"/>
  <c r="T214" i="4"/>
  <c r="W129" i="4"/>
  <c r="S129" i="4"/>
  <c r="Y178" i="4"/>
  <c r="X189" i="4"/>
  <c r="U189" i="4"/>
  <c r="T203" i="4"/>
  <c r="W218" i="4"/>
  <c r="S218" i="4"/>
  <c r="W212" i="4"/>
  <c r="U129" i="4"/>
  <c r="T132" i="4"/>
  <c r="X110" i="4"/>
  <c r="S103" i="4"/>
  <c r="U115" i="4"/>
  <c r="S118" i="4"/>
  <c r="W61" i="4"/>
  <c r="U99" i="4"/>
  <c r="S175" i="4"/>
  <c r="X172" i="4"/>
  <c r="S120" i="4"/>
  <c r="Y133" i="4"/>
  <c r="T150" i="4"/>
  <c r="X191" i="4"/>
  <c r="S212" i="4"/>
  <c r="U197" i="4"/>
  <c r="S214" i="4"/>
  <c r="X129" i="4"/>
  <c r="S203" i="4"/>
  <c r="U218" i="4"/>
  <c r="W117" i="4"/>
  <c r="S117" i="4"/>
  <c r="T157" i="4"/>
  <c r="W103" i="4"/>
  <c r="Y125" i="4"/>
  <c r="X115" i="4"/>
  <c r="T219" i="4"/>
  <c r="W118" i="4"/>
  <c r="Y93" i="4"/>
  <c r="X143" i="4"/>
  <c r="U143" i="4"/>
  <c r="T166" i="4"/>
  <c r="S61" i="4"/>
  <c r="Y153" i="4"/>
  <c r="X99" i="4"/>
  <c r="T102" i="4"/>
  <c r="W175" i="4"/>
  <c r="Y146" i="4"/>
  <c r="U172" i="4"/>
  <c r="T152" i="4"/>
  <c r="W120" i="4"/>
  <c r="Y96" i="4"/>
  <c r="X130" i="4"/>
  <c r="U130" i="4"/>
  <c r="T107" i="4"/>
  <c r="W109" i="4"/>
  <c r="S109" i="4"/>
  <c r="X211" i="4"/>
  <c r="U211" i="4"/>
  <c r="T179" i="4"/>
  <c r="W119" i="4"/>
  <c r="S119" i="4"/>
  <c r="Y114" i="4"/>
  <c r="X213" i="4"/>
  <c r="U213" i="4"/>
  <c r="W207" i="4"/>
  <c r="S207" i="4"/>
  <c r="Y149" i="4"/>
  <c r="U191" i="4"/>
  <c r="T154" i="4"/>
  <c r="Y111" i="4"/>
  <c r="T199" i="4"/>
  <c r="Y200" i="4"/>
  <c r="T178" i="4"/>
  <c r="Y160" i="4"/>
  <c r="X218" i="4"/>
  <c r="Y108" i="4"/>
  <c r="U110" i="4"/>
  <c r="T159" i="4"/>
  <c r="X197" i="4"/>
  <c r="W214" i="4"/>
  <c r="T111" i="4"/>
  <c r="W199" i="4"/>
  <c r="S199" i="4"/>
  <c r="Y187" i="4"/>
  <c r="X214" i="4"/>
  <c r="U214" i="4"/>
  <c r="T200" i="4"/>
  <c r="W178" i="4"/>
  <c r="S178" i="4"/>
  <c r="Y189" i="4"/>
  <c r="X203" i="4"/>
  <c r="U203" i="4"/>
  <c r="T160" i="4"/>
  <c r="W132" i="4"/>
  <c r="S132" i="4"/>
  <c r="Y184" i="4"/>
  <c r="X117" i="4"/>
  <c r="U117" i="4"/>
  <c r="T108" i="4"/>
  <c r="W157" i="4"/>
  <c r="S157" i="4"/>
  <c r="Y215" i="4"/>
  <c r="X103" i="4"/>
  <c r="U103" i="4"/>
  <c r="T125" i="4"/>
  <c r="W219" i="4"/>
  <c r="S219" i="4"/>
  <c r="Y209" i="4"/>
  <c r="X118" i="4"/>
  <c r="U118" i="4"/>
  <c r="T93" i="4"/>
  <c r="W166" i="4"/>
  <c r="S166" i="4"/>
  <c r="Y101" i="4"/>
  <c r="X61" i="4"/>
  <c r="U61" i="4"/>
  <c r="T153" i="4"/>
  <c r="W102" i="4"/>
  <c r="S102" i="4"/>
  <c r="Y176" i="4"/>
  <c r="X175" i="4"/>
  <c r="U175" i="4"/>
  <c r="T146" i="4"/>
  <c r="W152" i="4"/>
  <c r="S152" i="4"/>
  <c r="Y145" i="4"/>
  <c r="X120" i="4"/>
  <c r="U120" i="4"/>
  <c r="T96" i="4"/>
  <c r="W107" i="4"/>
  <c r="S107" i="4"/>
  <c r="Y163" i="4"/>
  <c r="X109" i="4"/>
  <c r="U109" i="4"/>
  <c r="T133" i="4"/>
  <c r="W179" i="4"/>
  <c r="S179" i="4"/>
  <c r="Y136" i="4"/>
  <c r="X119" i="4"/>
  <c r="U119" i="4"/>
  <c r="T114" i="4"/>
  <c r="W150" i="4"/>
  <c r="S150" i="4"/>
  <c r="Y193" i="4"/>
  <c r="X207" i="4"/>
  <c r="U207" i="4"/>
  <c r="T149" i="4"/>
  <c r="W154" i="4"/>
  <c r="S154" i="4"/>
  <c r="Y169" i="4"/>
  <c r="X127" i="4"/>
  <c r="U127" i="4"/>
  <c r="T186" i="4"/>
  <c r="W177" i="4"/>
  <c r="S177" i="4"/>
  <c r="Y155" i="4"/>
  <c r="X131" i="4"/>
  <c r="U131" i="4"/>
  <c r="T135" i="4"/>
  <c r="W148" i="4"/>
  <c r="S148" i="4"/>
  <c r="Y196" i="4"/>
  <c r="X171" i="4"/>
  <c r="U171" i="4"/>
  <c r="T74" i="4"/>
  <c r="W185" i="4"/>
  <c r="S185" i="4"/>
  <c r="Y208" i="4"/>
  <c r="X205" i="4"/>
  <c r="U205" i="4"/>
  <c r="T202" i="4"/>
  <c r="W174" i="4"/>
  <c r="S174" i="4"/>
  <c r="Y217" i="4"/>
  <c r="X82" i="4"/>
  <c r="U82" i="4"/>
  <c r="T181" i="4"/>
  <c r="W188" i="4"/>
  <c r="S188" i="4"/>
  <c r="Y168" i="4"/>
  <c r="X194" i="4"/>
  <c r="U194" i="4"/>
  <c r="T156" i="4"/>
  <c r="W137" i="4"/>
  <c r="S137" i="4"/>
  <c r="Y161" i="4"/>
  <c r="X170" i="4"/>
  <c r="U170" i="4"/>
  <c r="T216" i="4"/>
  <c r="W201" i="4"/>
  <c r="S201" i="4"/>
  <c r="Y192" i="4"/>
  <c r="X144" i="4"/>
  <c r="U144" i="4"/>
  <c r="T204" i="4"/>
  <c r="W210" i="4"/>
  <c r="S210" i="4"/>
  <c r="Y162" i="4"/>
  <c r="X198" i="4"/>
  <c r="U198" i="4"/>
  <c r="T190" i="4"/>
  <c r="W123" i="4"/>
  <c r="S123" i="4"/>
  <c r="Y79" i="4"/>
  <c r="X173" i="4"/>
  <c r="U173" i="4"/>
  <c r="T138" i="4"/>
  <c r="W182" i="4"/>
  <c r="S182" i="4"/>
  <c r="Y126" i="4"/>
  <c r="X92" i="4"/>
  <c r="U92" i="4"/>
  <c r="T81" i="4"/>
  <c r="W94" i="4"/>
  <c r="S94" i="4"/>
  <c r="Y98" i="4"/>
  <c r="X122" i="4"/>
  <c r="U122" i="4"/>
  <c r="T85" i="4"/>
  <c r="W151" i="4"/>
  <c r="S151" i="4"/>
  <c r="Y90" i="4"/>
  <c r="X164" i="4"/>
  <c r="U164" i="4"/>
  <c r="T121" i="4"/>
  <c r="W134" i="4"/>
  <c r="S134" i="4"/>
  <c r="Y165" i="4"/>
  <c r="X59" i="4"/>
  <c r="U59" i="4"/>
  <c r="T63" i="4"/>
  <c r="W112" i="4"/>
  <c r="S112" i="4"/>
  <c r="Y139" i="4"/>
  <c r="X70" i="4"/>
  <c r="U70" i="4"/>
  <c r="T97" i="4"/>
  <c r="W80" i="4"/>
  <c r="S80" i="4"/>
  <c r="Y52" i="4"/>
  <c r="X158" i="4"/>
  <c r="U158" i="4"/>
  <c r="T106" i="4"/>
  <c r="W44" i="4"/>
  <c r="S44" i="4"/>
  <c r="Y36" i="4"/>
  <c r="X39" i="4"/>
  <c r="U39" i="4"/>
  <c r="T142" i="4"/>
  <c r="W73" i="4"/>
  <c r="S73" i="4"/>
  <c r="Y113" i="4"/>
  <c r="X66" i="4"/>
  <c r="U66" i="4"/>
  <c r="T50" i="4"/>
  <c r="W78" i="4"/>
  <c r="S78" i="4"/>
  <c r="Y56" i="4"/>
  <c r="X87" i="4"/>
  <c r="U87" i="4"/>
  <c r="T88" i="4"/>
  <c r="W60" i="4"/>
  <c r="S60" i="4"/>
  <c r="Y40" i="4"/>
  <c r="X37" i="4"/>
  <c r="U37" i="4"/>
  <c r="T91" i="4"/>
  <c r="W72" i="4"/>
  <c r="S72" i="4"/>
  <c r="Y33" i="4"/>
  <c r="X68" i="4"/>
  <c r="U68" i="4"/>
  <c r="T55" i="4"/>
  <c r="W45" i="4"/>
  <c r="S45" i="4"/>
  <c r="Y53" i="4"/>
  <c r="X67" i="4"/>
  <c r="U67" i="4"/>
  <c r="T58" i="4"/>
  <c r="W86" i="4"/>
  <c r="S86" i="4"/>
  <c r="Y76" i="4"/>
  <c r="X31" i="4"/>
  <c r="U31" i="4"/>
  <c r="T28" i="4"/>
  <c r="W57" i="4"/>
  <c r="S57" i="4"/>
  <c r="Y65" i="4"/>
  <c r="X71" i="4"/>
  <c r="U71" i="4"/>
  <c r="T83" i="4"/>
  <c r="W42" i="4"/>
  <c r="S42" i="4"/>
  <c r="Y104" i="4"/>
  <c r="X64" i="4"/>
  <c r="U64" i="4"/>
  <c r="T29" i="4"/>
  <c r="W47" i="4"/>
  <c r="S47" i="4"/>
  <c r="Y41" i="4"/>
  <c r="X23" i="4"/>
  <c r="U23" i="4"/>
  <c r="T48" i="4"/>
  <c r="W13" i="4"/>
  <c r="S13" i="4"/>
  <c r="Y20" i="4"/>
  <c r="X51" i="4"/>
  <c r="U51" i="4"/>
  <c r="T8" i="4"/>
  <c r="U19" i="4"/>
  <c r="W26" i="4"/>
  <c r="S26" i="4"/>
  <c r="S14" i="4"/>
  <c r="Y10" i="4"/>
  <c r="T27" i="4"/>
  <c r="W84" i="4"/>
  <c r="S4" i="4"/>
  <c r="U6" i="4"/>
  <c r="T64" i="4"/>
  <c r="R207" i="4"/>
  <c r="V169" i="4"/>
  <c r="Z127" i="4"/>
  <c r="R127" i="4"/>
  <c r="V155" i="4"/>
  <c r="Z131" i="4"/>
  <c r="R131" i="4"/>
  <c r="V196" i="4"/>
  <c r="Z171" i="4"/>
  <c r="R171" i="4"/>
  <c r="V208" i="4"/>
  <c r="Z205" i="4"/>
  <c r="R205" i="4"/>
  <c r="V217" i="4"/>
  <c r="Z82" i="4"/>
  <c r="R82" i="4"/>
  <c r="V168" i="4"/>
  <c r="Z194" i="4"/>
  <c r="R194" i="4"/>
  <c r="V161" i="4"/>
  <c r="Z170" i="4"/>
  <c r="R170" i="4"/>
  <c r="V192" i="4"/>
  <c r="Z144" i="4"/>
  <c r="R144" i="4"/>
  <c r="V162" i="4"/>
  <c r="Z198" i="4"/>
  <c r="R198" i="4"/>
  <c r="V79" i="4"/>
  <c r="Z173" i="4"/>
  <c r="R173" i="4"/>
  <c r="V126" i="4"/>
  <c r="Z92" i="4"/>
  <c r="R92" i="4"/>
  <c r="V98" i="4"/>
  <c r="Z122" i="4"/>
  <c r="R122" i="4"/>
  <c r="V90" i="4"/>
  <c r="Z164" i="4"/>
  <c r="R164" i="4"/>
  <c r="V165" i="4"/>
  <c r="Z59" i="4"/>
  <c r="R59" i="4"/>
  <c r="V139" i="4"/>
  <c r="Z70" i="4"/>
  <c r="R70" i="4"/>
  <c r="V52" i="4"/>
  <c r="Z158" i="4"/>
  <c r="R158" i="4"/>
  <c r="V36" i="4"/>
  <c r="Z39" i="4"/>
  <c r="R39" i="4"/>
  <c r="V113" i="4"/>
  <c r="Z66" i="4"/>
  <c r="R66" i="4"/>
  <c r="V56" i="4"/>
  <c r="Z87" i="4"/>
  <c r="R87" i="4"/>
  <c r="V40" i="4"/>
  <c r="Z37" i="4"/>
  <c r="R37" i="4"/>
  <c r="V33" i="4"/>
  <c r="Z68" i="4"/>
  <c r="Z67" i="4"/>
  <c r="R31" i="4"/>
  <c r="R23" i="4"/>
  <c r="V26" i="4"/>
  <c r="V9" i="4"/>
  <c r="V10" i="4"/>
  <c r="Z43" i="4"/>
  <c r="R11" i="4"/>
  <c r="Y132" i="4"/>
  <c r="X184" i="4"/>
  <c r="U184" i="4"/>
  <c r="T117" i="4"/>
  <c r="W110" i="4"/>
  <c r="S110" i="4"/>
  <c r="Y157" i="4"/>
  <c r="X215" i="4"/>
  <c r="U215" i="4"/>
  <c r="T103" i="4"/>
  <c r="W115" i="4"/>
  <c r="S115" i="4"/>
  <c r="Y219" i="4"/>
  <c r="X209" i="4"/>
  <c r="U209" i="4"/>
  <c r="T118" i="4"/>
  <c r="W143" i="4"/>
  <c r="S143" i="4"/>
  <c r="Y166" i="4"/>
  <c r="X101" i="4"/>
  <c r="U101" i="4"/>
  <c r="T61" i="4"/>
  <c r="W99" i="4"/>
  <c r="S99" i="4"/>
  <c r="Y102" i="4"/>
  <c r="X176" i="4"/>
  <c r="U176" i="4"/>
  <c r="T175" i="4"/>
  <c r="W172" i="4"/>
  <c r="S172" i="4"/>
  <c r="Y152" i="4"/>
  <c r="X145" i="4"/>
  <c r="U145" i="4"/>
  <c r="T120" i="4"/>
  <c r="W130" i="4"/>
  <c r="S130" i="4"/>
  <c r="Y107" i="4"/>
  <c r="X163" i="4"/>
  <c r="U163" i="4"/>
  <c r="T109" i="4"/>
  <c r="W211" i="4"/>
  <c r="S211" i="4"/>
  <c r="Y179" i="4"/>
  <c r="X136" i="4"/>
  <c r="U136" i="4"/>
  <c r="T119" i="4"/>
  <c r="W213" i="4"/>
  <c r="S213" i="4"/>
  <c r="T207" i="4"/>
  <c r="S191" i="4"/>
  <c r="X169" i="4"/>
  <c r="T127" i="4"/>
  <c r="U155" i="4"/>
  <c r="S183" i="4"/>
  <c r="U196" i="4"/>
  <c r="T171" i="4"/>
  <c r="S167" i="4"/>
  <c r="X217" i="4"/>
  <c r="T82" i="4"/>
  <c r="W195" i="4"/>
  <c r="U168" i="4"/>
  <c r="S206" i="4"/>
  <c r="S141" i="4"/>
  <c r="T198" i="4"/>
  <c r="U79" i="4"/>
  <c r="X126" i="4"/>
  <c r="S77" i="4"/>
  <c r="T59" i="4"/>
  <c r="W147" i="4"/>
  <c r="U36" i="4"/>
  <c r="W100" i="4"/>
  <c r="Y73" i="4"/>
  <c r="T68" i="4"/>
  <c r="Y45" i="4"/>
  <c r="U53" i="4"/>
  <c r="S89" i="4"/>
  <c r="W24" i="4"/>
  <c r="W43" i="4"/>
  <c r="Y26" i="4"/>
  <c r="X9" i="4"/>
  <c r="T21" i="4"/>
  <c r="U18" i="4"/>
  <c r="Y14" i="4"/>
  <c r="W16" i="4"/>
  <c r="S16" i="4"/>
  <c r="V159" i="4"/>
  <c r="Z220" i="4"/>
  <c r="R220" i="4"/>
  <c r="V199" i="4"/>
  <c r="Z187" i="4"/>
  <c r="R187" i="4"/>
  <c r="V178" i="4"/>
  <c r="Z189" i="4"/>
  <c r="R189" i="4"/>
  <c r="V132" i="4"/>
  <c r="Z184" i="4"/>
  <c r="R184" i="4"/>
  <c r="V157" i="4"/>
  <c r="Z215" i="4"/>
  <c r="R215" i="4"/>
  <c r="V219" i="4"/>
  <c r="Z209" i="4"/>
  <c r="V102" i="4"/>
  <c r="R145" i="4"/>
  <c r="R136" i="4"/>
  <c r="V150" i="4"/>
  <c r="R196" i="4"/>
  <c r="V185" i="4"/>
  <c r="Z208" i="4"/>
  <c r="R217" i="4"/>
  <c r="V137" i="4"/>
  <c r="R162" i="4"/>
  <c r="Z126" i="4"/>
  <c r="V112" i="4"/>
  <c r="R36" i="4"/>
  <c r="V45" i="4"/>
  <c r="V42" i="4"/>
  <c r="V14" i="4"/>
  <c r="X159" i="4"/>
  <c r="T220" i="4"/>
  <c r="W200" i="4"/>
  <c r="X178" i="4"/>
  <c r="U178" i="4"/>
  <c r="T184" i="4"/>
  <c r="X219" i="4"/>
  <c r="W93" i="4"/>
  <c r="X166" i="4"/>
  <c r="U166" i="4"/>
  <c r="W153" i="4"/>
  <c r="W146" i="4"/>
  <c r="T136" i="4"/>
  <c r="W181" i="4"/>
  <c r="S156" i="4"/>
  <c r="T161" i="4"/>
  <c r="Y140" i="4"/>
  <c r="T165" i="4"/>
  <c r="U112" i="4"/>
  <c r="W97" i="4"/>
  <c r="W142" i="4"/>
  <c r="Y100" i="4"/>
  <c r="X73" i="4"/>
  <c r="S91" i="4"/>
  <c r="T33" i="4"/>
  <c r="Z159" i="4"/>
  <c r="R159" i="4"/>
  <c r="V197" i="4"/>
  <c r="Z199" i="4"/>
  <c r="R199" i="4"/>
  <c r="V129" i="4"/>
  <c r="Z178" i="4"/>
  <c r="R178" i="4"/>
  <c r="V218" i="4"/>
  <c r="Z132" i="4"/>
  <c r="R132" i="4"/>
  <c r="V110" i="4"/>
  <c r="Z157" i="4"/>
  <c r="R157" i="4"/>
  <c r="V115" i="4"/>
  <c r="Z219" i="4"/>
  <c r="R219" i="4"/>
  <c r="V143" i="4"/>
  <c r="Z166" i="4"/>
  <c r="R166" i="4"/>
  <c r="V99" i="4"/>
  <c r="Z102" i="4"/>
  <c r="R102" i="4"/>
  <c r="R152" i="4"/>
  <c r="V213" i="4"/>
  <c r="V183" i="4"/>
  <c r="Z148" i="4"/>
  <c r="R148" i="4"/>
  <c r="V124" i="4"/>
  <c r="R174" i="4"/>
  <c r="V206" i="4"/>
  <c r="R210" i="4"/>
  <c r="V95" i="4"/>
  <c r="Z182" i="4"/>
  <c r="V100" i="4"/>
  <c r="W127" i="4"/>
  <c r="S127" i="4"/>
  <c r="Y186" i="4"/>
  <c r="X180" i="4"/>
  <c r="U180" i="4"/>
  <c r="T177" i="4"/>
  <c r="W131" i="4"/>
  <c r="S131" i="4"/>
  <c r="Y135" i="4"/>
  <c r="X183" i="4"/>
  <c r="U183" i="4"/>
  <c r="T148" i="4"/>
  <c r="W171" i="4"/>
  <c r="S171" i="4"/>
  <c r="Y74" i="4"/>
  <c r="X124" i="4"/>
  <c r="U124" i="4"/>
  <c r="T185" i="4"/>
  <c r="W205" i="4"/>
  <c r="S205" i="4"/>
  <c r="Y202" i="4"/>
  <c r="X167" i="4"/>
  <c r="U167" i="4"/>
  <c r="T174" i="4"/>
  <c r="W82" i="4"/>
  <c r="S82" i="4"/>
  <c r="Y181" i="4"/>
  <c r="X195" i="4"/>
  <c r="U195" i="4"/>
  <c r="T188" i="4"/>
  <c r="W194" i="4"/>
  <c r="S194" i="4"/>
  <c r="Y156" i="4"/>
  <c r="X206" i="4"/>
  <c r="U206" i="4"/>
  <c r="T137" i="4"/>
  <c r="W170" i="4"/>
  <c r="S170" i="4"/>
  <c r="Y216" i="4"/>
  <c r="X140" i="4"/>
  <c r="U140" i="4"/>
  <c r="T201" i="4"/>
  <c r="W144" i="4"/>
  <c r="S144" i="4"/>
  <c r="Y204" i="4"/>
  <c r="X141" i="4"/>
  <c r="U141" i="4"/>
  <c r="T210" i="4"/>
  <c r="W198" i="4"/>
  <c r="S198" i="4"/>
  <c r="Y190" i="4"/>
  <c r="X116" i="4"/>
  <c r="U116" i="4"/>
  <c r="T123" i="4"/>
  <c r="W173" i="4"/>
  <c r="S173" i="4"/>
  <c r="Y138" i="4"/>
  <c r="X95" i="4"/>
  <c r="U95" i="4"/>
  <c r="T182" i="4"/>
  <c r="W92" i="4"/>
  <c r="S92" i="4"/>
  <c r="Y81" i="4"/>
  <c r="X84" i="4"/>
  <c r="U84" i="4"/>
  <c r="T94" i="4"/>
  <c r="W122" i="4"/>
  <c r="S122" i="4"/>
  <c r="Y85" i="4"/>
  <c r="X75" i="4"/>
  <c r="U75" i="4"/>
  <c r="T151" i="4"/>
  <c r="W164" i="4"/>
  <c r="S164" i="4"/>
  <c r="Y121" i="4"/>
  <c r="X77" i="4"/>
  <c r="U77" i="4"/>
  <c r="T134" i="4"/>
  <c r="W59" i="4"/>
  <c r="S59" i="4"/>
  <c r="Y63" i="4"/>
  <c r="X128" i="4"/>
  <c r="U128" i="4"/>
  <c r="T112" i="4"/>
  <c r="W70" i="4"/>
  <c r="S70" i="4"/>
  <c r="Y97" i="4"/>
  <c r="X147" i="4"/>
  <c r="U147" i="4"/>
  <c r="T80" i="4"/>
  <c r="W158" i="4"/>
  <c r="S158" i="4"/>
  <c r="Y106" i="4"/>
  <c r="X54" i="4"/>
  <c r="U54" i="4"/>
  <c r="T44" i="4"/>
  <c r="W39" i="4"/>
  <c r="S66" i="4"/>
  <c r="T78" i="4"/>
  <c r="V111" i="4"/>
  <c r="Z197" i="4"/>
  <c r="R197" i="4"/>
  <c r="V200" i="4"/>
  <c r="Z129" i="4"/>
  <c r="R129" i="4"/>
  <c r="V160" i="4"/>
  <c r="Z218" i="4"/>
  <c r="R218" i="4"/>
  <c r="V108" i="4"/>
  <c r="Z110" i="4"/>
  <c r="R110" i="4"/>
  <c r="V125" i="4"/>
  <c r="Z115" i="4"/>
  <c r="R115" i="4"/>
  <c r="V93" i="4"/>
  <c r="Z143" i="4"/>
  <c r="R143" i="4"/>
  <c r="V153" i="4"/>
  <c r="Z99" i="4"/>
  <c r="R99" i="4"/>
  <c r="V146" i="4"/>
  <c r="Z172" i="4"/>
  <c r="R172" i="4"/>
  <c r="V96" i="4"/>
  <c r="Z130" i="4"/>
  <c r="R130" i="4"/>
  <c r="V133" i="4"/>
  <c r="Z211" i="4"/>
  <c r="R211" i="4"/>
  <c r="V114" i="4"/>
  <c r="Z213" i="4"/>
  <c r="R213" i="4"/>
  <c r="V149" i="4"/>
  <c r="Z191" i="4"/>
  <c r="R191" i="4"/>
  <c r="V186" i="4"/>
  <c r="Z180" i="4"/>
  <c r="R180" i="4"/>
  <c r="V135" i="4"/>
  <c r="Z183" i="4"/>
  <c r="R183" i="4"/>
  <c r="V74" i="4"/>
  <c r="Z124" i="4"/>
  <c r="R124" i="4"/>
  <c r="V202" i="4"/>
  <c r="Z167" i="4"/>
  <c r="R167" i="4"/>
  <c r="V181" i="4"/>
  <c r="Z195" i="4"/>
  <c r="R195" i="4"/>
  <c r="V156" i="4"/>
  <c r="Z206" i="4"/>
  <c r="R206" i="4"/>
  <c r="V216" i="4"/>
  <c r="Z140" i="4"/>
  <c r="R140" i="4"/>
  <c r="V204" i="4"/>
  <c r="Z141" i="4"/>
  <c r="R141" i="4"/>
  <c r="V190" i="4"/>
  <c r="Z116" i="4"/>
  <c r="R116" i="4"/>
  <c r="V138" i="4"/>
  <c r="Z95" i="4"/>
  <c r="R95" i="4"/>
  <c r="V81" i="4"/>
  <c r="Z84" i="4"/>
  <c r="R84" i="4"/>
  <c r="V85" i="4"/>
  <c r="Z75" i="4"/>
  <c r="R75" i="4"/>
  <c r="V121" i="4"/>
  <c r="Z77" i="4"/>
  <c r="R77" i="4"/>
  <c r="V63" i="4"/>
  <c r="Z128" i="4"/>
  <c r="R128" i="4"/>
  <c r="V97" i="4"/>
  <c r="Z147" i="4"/>
  <c r="R147" i="4"/>
  <c r="V106" i="4"/>
  <c r="Z54" i="4"/>
  <c r="R54" i="4"/>
  <c r="V142" i="4"/>
  <c r="Z100" i="4"/>
  <c r="R100" i="4"/>
  <c r="V50" i="4"/>
  <c r="Z46" i="4"/>
  <c r="R46" i="4"/>
  <c r="V88" i="4"/>
  <c r="Z105" i="4"/>
  <c r="R105" i="4"/>
  <c r="V91" i="4"/>
  <c r="Z32" i="4"/>
  <c r="R32" i="4"/>
  <c r="V58" i="4"/>
  <c r="W220" i="4"/>
  <c r="S220" i="4"/>
  <c r="Y212" i="4"/>
  <c r="X111" i="4"/>
  <c r="U111" i="4"/>
  <c r="T197" i="4"/>
  <c r="W187" i="4"/>
  <c r="S187" i="4"/>
  <c r="Y214" i="4"/>
  <c r="X200" i="4"/>
  <c r="U200" i="4"/>
  <c r="T129" i="4"/>
  <c r="W189" i="4"/>
  <c r="S189" i="4"/>
  <c r="Y203" i="4"/>
  <c r="X160" i="4"/>
  <c r="U160" i="4"/>
  <c r="T218" i="4"/>
  <c r="W184" i="4"/>
  <c r="S184" i="4"/>
  <c r="Y117" i="4"/>
  <c r="X108" i="4"/>
  <c r="U108" i="4"/>
  <c r="T110" i="4"/>
  <c r="W215" i="4"/>
  <c r="S215" i="4"/>
  <c r="Y103" i="4"/>
  <c r="X125" i="4"/>
  <c r="U125" i="4"/>
  <c r="T115" i="4"/>
  <c r="W209" i="4"/>
  <c r="S209" i="4"/>
  <c r="Y118" i="4"/>
  <c r="X93" i="4"/>
  <c r="U93" i="4"/>
  <c r="T143" i="4"/>
  <c r="W101" i="4"/>
  <c r="S101" i="4"/>
  <c r="Y61" i="4"/>
  <c r="X153" i="4"/>
  <c r="U153" i="4"/>
  <c r="T99" i="4"/>
  <c r="W176" i="4"/>
  <c r="S176" i="4"/>
  <c r="Y175" i="4"/>
  <c r="X146" i="4"/>
  <c r="U146" i="4"/>
  <c r="T172" i="4"/>
  <c r="W145" i="4"/>
  <c r="S145" i="4"/>
  <c r="Y120" i="4"/>
  <c r="X96" i="4"/>
  <c r="U96" i="4"/>
  <c r="T130" i="4"/>
  <c r="W163" i="4"/>
  <c r="S163" i="4"/>
  <c r="Y109" i="4"/>
  <c r="X133" i="4"/>
  <c r="U133" i="4"/>
  <c r="T211" i="4"/>
  <c r="W136" i="4"/>
  <c r="S136" i="4"/>
  <c r="Y119" i="4"/>
  <c r="X114" i="4"/>
  <c r="U114" i="4"/>
  <c r="T213" i="4"/>
  <c r="W193" i="4"/>
  <c r="S193" i="4"/>
  <c r="Y207" i="4"/>
  <c r="X149" i="4"/>
  <c r="U149" i="4"/>
  <c r="T191" i="4"/>
  <c r="W169" i="4"/>
  <c r="S169" i="4"/>
  <c r="Y127" i="4"/>
  <c r="X186" i="4"/>
  <c r="U186" i="4"/>
  <c r="T180" i="4"/>
  <c r="W155" i="4"/>
  <c r="S155" i="4"/>
  <c r="Y131" i="4"/>
  <c r="X135" i="4"/>
  <c r="U135" i="4"/>
  <c r="T183" i="4"/>
  <c r="W196" i="4"/>
  <c r="S196" i="4"/>
  <c r="Y171" i="4"/>
  <c r="X74" i="4"/>
  <c r="U74" i="4"/>
  <c r="T124" i="4"/>
  <c r="W208" i="4"/>
  <c r="S208" i="4"/>
  <c r="Y205" i="4"/>
  <c r="X202" i="4"/>
  <c r="U202" i="4"/>
  <c r="T167" i="4"/>
  <c r="W217" i="4"/>
  <c r="S217" i="4"/>
  <c r="Y82" i="4"/>
  <c r="X181" i="4"/>
  <c r="U181" i="4"/>
  <c r="T195" i="4"/>
  <c r="W168" i="4"/>
  <c r="S168" i="4"/>
  <c r="Y194" i="4"/>
  <c r="X156" i="4"/>
  <c r="U156" i="4"/>
  <c r="T206" i="4"/>
  <c r="W161" i="4"/>
  <c r="S161" i="4"/>
  <c r="Y170" i="4"/>
  <c r="X216" i="4"/>
  <c r="U216" i="4"/>
  <c r="T140" i="4"/>
  <c r="W192" i="4"/>
  <c r="S192" i="4"/>
  <c r="Y144" i="4"/>
  <c r="X204" i="4"/>
  <c r="U204" i="4"/>
  <c r="T141" i="4"/>
  <c r="W162" i="4"/>
  <c r="S162" i="4"/>
  <c r="Y198" i="4"/>
  <c r="X190" i="4"/>
  <c r="U190" i="4"/>
  <c r="T116" i="4"/>
  <c r="W79" i="4"/>
  <c r="S79" i="4"/>
  <c r="Y173" i="4"/>
  <c r="X138" i="4"/>
  <c r="U138" i="4"/>
  <c r="T95" i="4"/>
  <c r="W126" i="4"/>
  <c r="S126" i="4"/>
  <c r="Y92" i="4"/>
  <c r="X81" i="4"/>
  <c r="U81" i="4"/>
  <c r="T84" i="4"/>
  <c r="W98" i="4"/>
  <c r="S98" i="4"/>
  <c r="Y122" i="4"/>
  <c r="X85" i="4"/>
  <c r="U85" i="4"/>
  <c r="T75" i="4"/>
  <c r="W90" i="4"/>
  <c r="S90" i="4"/>
  <c r="Y164" i="4"/>
  <c r="X121" i="4"/>
  <c r="U121" i="4"/>
  <c r="T77" i="4"/>
  <c r="W165" i="4"/>
  <c r="S165" i="4"/>
  <c r="Y59" i="4"/>
  <c r="X63" i="4"/>
  <c r="U63" i="4"/>
  <c r="T128" i="4"/>
  <c r="W139" i="4"/>
  <c r="S139" i="4"/>
  <c r="Y70" i="4"/>
  <c r="X97" i="4"/>
  <c r="U97" i="4"/>
  <c r="T147" i="4"/>
  <c r="W52" i="4"/>
  <c r="S52" i="4"/>
  <c r="Y158" i="4"/>
  <c r="X106" i="4"/>
  <c r="U106" i="4"/>
  <c r="T54" i="4"/>
  <c r="W36" i="4"/>
  <c r="S36" i="4"/>
  <c r="Y39" i="4"/>
  <c r="X142" i="4"/>
  <c r="U142" i="4"/>
  <c r="T100" i="4"/>
  <c r="W113" i="4"/>
  <c r="S113" i="4"/>
  <c r="Y66" i="4"/>
  <c r="X50" i="4"/>
  <c r="U50" i="4"/>
  <c r="T46" i="4"/>
  <c r="W56" i="4"/>
  <c r="S56" i="4"/>
  <c r="Y87" i="4"/>
  <c r="X88" i="4"/>
  <c r="U88" i="4"/>
  <c r="T105" i="4"/>
  <c r="W40" i="4"/>
  <c r="S40" i="4"/>
  <c r="Y37" i="4"/>
  <c r="X91" i="4"/>
  <c r="U91" i="4"/>
  <c r="T32" i="4"/>
  <c r="W33" i="4"/>
  <c r="S33" i="4"/>
  <c r="Y68" i="4"/>
  <c r="X55" i="4"/>
  <c r="U55" i="4"/>
  <c r="T69" i="4"/>
  <c r="W53" i="4"/>
  <c r="S53" i="4"/>
  <c r="Y67" i="4"/>
  <c r="X58" i="4"/>
  <c r="U58" i="4"/>
  <c r="T25" i="4"/>
  <c r="W76" i="4"/>
  <c r="S76" i="4"/>
  <c r="Y31" i="4"/>
  <c r="X28" i="4"/>
  <c r="U28" i="4"/>
  <c r="T30" i="4"/>
  <c r="W65" i="4"/>
  <c r="S65" i="4"/>
  <c r="Y71" i="4"/>
  <c r="X83" i="4"/>
  <c r="U83" i="4"/>
  <c r="T89" i="4"/>
  <c r="W104" i="4"/>
  <c r="S104" i="4"/>
  <c r="Y64" i="4"/>
  <c r="X29" i="4"/>
  <c r="U29" i="4"/>
  <c r="T62" i="4"/>
  <c r="W41" i="4"/>
  <c r="S41" i="4"/>
  <c r="Y23" i="4"/>
  <c r="X48" i="4"/>
  <c r="U48" i="4"/>
  <c r="T38" i="4"/>
  <c r="W20" i="4"/>
  <c r="S20" i="4"/>
  <c r="Y51" i="4"/>
  <c r="X8" i="4"/>
  <c r="U8" i="4"/>
  <c r="T24" i="4"/>
  <c r="W35" i="4"/>
  <c r="U34" i="4"/>
  <c r="S10" i="4"/>
  <c r="Y84" i="4"/>
  <c r="X45" i="4"/>
  <c r="V212" i="4"/>
  <c r="Z111" i="4"/>
  <c r="R111" i="4"/>
  <c r="V214" i="4"/>
  <c r="Z200" i="4"/>
  <c r="R200" i="4"/>
  <c r="V203" i="4"/>
  <c r="Z160" i="4"/>
  <c r="R160" i="4"/>
  <c r="V117" i="4"/>
  <c r="Z108" i="4"/>
  <c r="R108" i="4"/>
  <c r="V103" i="4"/>
  <c r="Z125" i="4"/>
  <c r="R125" i="4"/>
  <c r="V118" i="4"/>
  <c r="Z93" i="4"/>
  <c r="R93" i="4"/>
  <c r="V61" i="4"/>
  <c r="Z153" i="4"/>
  <c r="R153" i="4"/>
  <c r="V175" i="4"/>
  <c r="Z146" i="4"/>
  <c r="R146" i="4"/>
  <c r="V120" i="4"/>
  <c r="Z96" i="4"/>
  <c r="R96" i="4"/>
  <c r="V109" i="4"/>
  <c r="Z133" i="4"/>
  <c r="R133" i="4"/>
  <c r="V119" i="4"/>
  <c r="Z114" i="4"/>
  <c r="R114" i="4"/>
  <c r="V207" i="4"/>
  <c r="Z149" i="4"/>
  <c r="R149" i="4"/>
  <c r="V127" i="4"/>
  <c r="Z186" i="4"/>
  <c r="R186" i="4"/>
  <c r="V131" i="4"/>
  <c r="Z135" i="4"/>
  <c r="R135" i="4"/>
  <c r="V171" i="4"/>
  <c r="Z74" i="4"/>
  <c r="R74" i="4"/>
  <c r="V205" i="4"/>
  <c r="Z202" i="4"/>
  <c r="R202" i="4"/>
  <c r="V82" i="4"/>
  <c r="Z181" i="4"/>
  <c r="R181" i="4"/>
  <c r="V194" i="4"/>
  <c r="Z156" i="4"/>
  <c r="R156" i="4"/>
  <c r="V170" i="4"/>
  <c r="Z216" i="4"/>
  <c r="R216" i="4"/>
  <c r="V144" i="4"/>
  <c r="Z204" i="4"/>
  <c r="R204" i="4"/>
  <c r="V198" i="4"/>
  <c r="Z190" i="4"/>
  <c r="R190" i="4"/>
  <c r="V173" i="4"/>
  <c r="Z138" i="4"/>
  <c r="R138" i="4"/>
  <c r="V92" i="4"/>
  <c r="Z81" i="4"/>
  <c r="R81" i="4"/>
  <c r="V122" i="4"/>
  <c r="Z85" i="4"/>
  <c r="R85" i="4"/>
  <c r="V164" i="4"/>
  <c r="Z121" i="4"/>
  <c r="R121" i="4"/>
  <c r="V59" i="4"/>
  <c r="Z63" i="4"/>
  <c r="R63" i="4"/>
  <c r="V70" i="4"/>
  <c r="Z97" i="4"/>
  <c r="R97" i="4"/>
  <c r="V158" i="4"/>
  <c r="Z106" i="4"/>
  <c r="R106" i="4"/>
  <c r="V39" i="4"/>
  <c r="Z142" i="4"/>
  <c r="R142" i="4"/>
  <c r="V66" i="4"/>
  <c r="Z50" i="4"/>
  <c r="R50" i="4"/>
  <c r="V87" i="4"/>
  <c r="Z88" i="4"/>
  <c r="R88" i="4"/>
  <c r="V37" i="4"/>
  <c r="Z91" i="4"/>
  <c r="R91" i="4"/>
  <c r="V68" i="4"/>
  <c r="Z55" i="4"/>
  <c r="R55" i="4"/>
  <c r="V67" i="4"/>
  <c r="Z58" i="4"/>
  <c r="R58" i="4"/>
  <c r="V31" i="4"/>
  <c r="Z28" i="4"/>
  <c r="R28" i="4"/>
  <c r="V71" i="4"/>
  <c r="Z83" i="4"/>
  <c r="R83" i="4"/>
  <c r="V64" i="4"/>
  <c r="V23" i="4"/>
  <c r="R48" i="4"/>
  <c r="Z21" i="4"/>
  <c r="R8" i="4"/>
  <c r="V2" i="4"/>
  <c r="R34" i="4"/>
  <c r="V21" i="4"/>
  <c r="Z12" i="4"/>
  <c r="V172" i="4"/>
  <c r="Z152" i="4"/>
  <c r="V130" i="4"/>
  <c r="Z107" i="4"/>
  <c r="R107" i="4"/>
  <c r="V211" i="4"/>
  <c r="Z179" i="4"/>
  <c r="R179" i="4"/>
  <c r="Z150" i="4"/>
  <c r="R150" i="4"/>
  <c r="V191" i="4"/>
  <c r="Z154" i="4"/>
  <c r="R154" i="4"/>
  <c r="V180" i="4"/>
  <c r="Z177" i="4"/>
  <c r="R177" i="4"/>
  <c r="Z185" i="4"/>
  <c r="R185" i="4"/>
  <c r="V167" i="4"/>
  <c r="Z174" i="4"/>
  <c r="V195" i="4"/>
  <c r="Z188" i="4"/>
  <c r="R188" i="4"/>
  <c r="Z137" i="4"/>
  <c r="R137" i="4"/>
  <c r="V140" i="4"/>
  <c r="Z201" i="4"/>
  <c r="R201" i="4"/>
  <c r="V141" i="4"/>
  <c r="Z210" i="4"/>
  <c r="V116" i="4"/>
  <c r="Z123" i="4"/>
  <c r="R123" i="4"/>
  <c r="V84" i="4"/>
  <c r="Z94" i="4"/>
  <c r="R94" i="4"/>
  <c r="V75" i="4"/>
  <c r="Z151" i="4"/>
  <c r="R151" i="4"/>
  <c r="Z134" i="4"/>
  <c r="R134" i="4"/>
  <c r="V128" i="4"/>
  <c r="Z112" i="4"/>
  <c r="V147" i="4"/>
  <c r="Z80" i="4"/>
  <c r="R80" i="4"/>
  <c r="V54" i="4"/>
  <c r="Z44" i="4"/>
  <c r="Z73" i="4"/>
  <c r="R73" i="4"/>
  <c r="V46" i="4"/>
  <c r="Z78" i="4"/>
  <c r="R78" i="4"/>
  <c r="V105" i="4"/>
  <c r="Z60" i="4"/>
  <c r="V32" i="4"/>
  <c r="Z72" i="4"/>
  <c r="R45" i="4"/>
  <c r="V30" i="4"/>
  <c r="V89" i="4"/>
  <c r="Z42" i="4"/>
  <c r="R49" i="4"/>
  <c r="V43" i="4"/>
  <c r="R14" i="4"/>
  <c r="R57" i="4"/>
  <c r="U3" i="4"/>
  <c r="W68" i="4"/>
  <c r="X4" i="4"/>
  <c r="W87" i="4"/>
  <c r="U105" i="4"/>
  <c r="Y55" i="4"/>
  <c r="S67" i="4"/>
  <c r="T86" i="4"/>
  <c r="U30" i="4"/>
  <c r="W64" i="4"/>
  <c r="Y29" i="4"/>
  <c r="T47" i="4"/>
  <c r="S23" i="4"/>
  <c r="T13" i="4"/>
  <c r="U24" i="4"/>
  <c r="W21" i="4"/>
  <c r="S21" i="4"/>
  <c r="T11" i="4"/>
  <c r="U22" i="4"/>
  <c r="W7" i="4"/>
  <c r="X16" i="4"/>
  <c r="R62" i="4"/>
  <c r="R18" i="4"/>
  <c r="S135" i="4"/>
  <c r="S32" i="4"/>
  <c r="S51" i="4"/>
  <c r="T176" i="4"/>
  <c r="T4" i="4"/>
  <c r="V182" i="4"/>
  <c r="V73" i="4"/>
  <c r="V47" i="4"/>
  <c r="W114" i="4"/>
  <c r="W55" i="4"/>
  <c r="X154" i="4"/>
  <c r="X69" i="4"/>
  <c r="Y57" i="4"/>
  <c r="Z26" i="4"/>
  <c r="V55" i="4"/>
  <c r="Z69" i="4"/>
  <c r="R69" i="4"/>
  <c r="V83" i="4"/>
  <c r="R24" i="4"/>
  <c r="V34" i="4"/>
  <c r="R22" i="4"/>
  <c r="V27" i="4"/>
  <c r="Z16" i="4"/>
  <c r="V3" i="4"/>
  <c r="R182" i="4"/>
  <c r="R112" i="4"/>
  <c r="R60" i="4"/>
  <c r="R47" i="4"/>
  <c r="R17" i="4"/>
  <c r="S34" i="4"/>
  <c r="T42" i="4"/>
  <c r="T5" i="4"/>
  <c r="W69" i="4"/>
  <c r="Z9" i="4"/>
  <c r="S35" i="4"/>
  <c r="Y19" i="4"/>
  <c r="X34" i="4"/>
  <c r="T43" i="4"/>
  <c r="W9" i="4"/>
  <c r="S9" i="4"/>
  <c r="Y21" i="4"/>
  <c r="X12" i="4"/>
  <c r="U12" i="4"/>
  <c r="T6" i="4"/>
  <c r="W18" i="4"/>
  <c r="S18" i="4"/>
  <c r="Y17" i="4"/>
  <c r="X15" i="4"/>
  <c r="U15" i="4"/>
  <c r="T22" i="4"/>
  <c r="W10" i="4"/>
  <c r="Y7" i="4"/>
  <c r="X27" i="4"/>
  <c r="U27" i="4"/>
  <c r="T16" i="4"/>
  <c r="W5" i="4"/>
  <c r="S5" i="4"/>
  <c r="Y3" i="4"/>
  <c r="X2" i="4"/>
  <c r="X14" i="4"/>
  <c r="R126" i="4"/>
  <c r="R41" i="4"/>
  <c r="R5" i="4"/>
  <c r="S116" i="4"/>
  <c r="S43" i="4"/>
  <c r="T196" i="4"/>
  <c r="T79" i="4"/>
  <c r="T113" i="4"/>
  <c r="T104" i="4"/>
  <c r="T3" i="4"/>
  <c r="U46" i="4"/>
  <c r="U62" i="4"/>
  <c r="V48" i="4"/>
  <c r="W81" i="4"/>
  <c r="W25" i="4"/>
  <c r="X30" i="4"/>
  <c r="Z29" i="4"/>
  <c r="R29" i="4"/>
  <c r="Z48" i="4"/>
  <c r="V51" i="4"/>
  <c r="Z8" i="4"/>
  <c r="V19" i="4"/>
  <c r="Z34" i="4"/>
  <c r="R12" i="4"/>
  <c r="V17" i="4"/>
  <c r="R27" i="4"/>
  <c r="R72" i="4"/>
  <c r="R3" i="4"/>
  <c r="S133" i="4"/>
  <c r="S95" i="4"/>
  <c r="S39" i="4"/>
  <c r="T173" i="4"/>
  <c r="T66" i="4"/>
  <c r="U2" i="4"/>
  <c r="U182" i="4"/>
  <c r="U78" i="4"/>
  <c r="U41" i="4"/>
  <c r="V38" i="4"/>
  <c r="W186" i="4"/>
  <c r="X94" i="4"/>
  <c r="X57" i="4"/>
  <c r="Y180" i="4"/>
  <c r="Y77" i="4"/>
  <c r="Y83" i="4"/>
  <c r="Z113" i="4"/>
  <c r="W49" i="4"/>
  <c r="S49" i="4"/>
  <c r="Y35" i="4"/>
  <c r="X19" i="4"/>
  <c r="T34" i="4"/>
  <c r="Y9" i="4"/>
  <c r="X21" i="4"/>
  <c r="U21" i="4"/>
  <c r="T12" i="4"/>
  <c r="W11" i="4"/>
  <c r="S11" i="4"/>
  <c r="Y18" i="4"/>
  <c r="X17" i="4"/>
  <c r="U17" i="4"/>
  <c r="T15" i="4"/>
  <c r="W14" i="4"/>
  <c r="X7" i="4"/>
  <c r="U7" i="4"/>
  <c r="W4" i="4"/>
  <c r="Y5" i="4"/>
  <c r="X3" i="4"/>
  <c r="T2" i="4"/>
  <c r="S2" i="4"/>
  <c r="R44" i="4"/>
  <c r="R53" i="4"/>
  <c r="S100" i="4"/>
  <c r="S71" i="4"/>
  <c r="U179" i="4"/>
  <c r="U90" i="4"/>
  <c r="U33" i="4"/>
  <c r="V77" i="4"/>
  <c r="V69" i="4"/>
  <c r="W62" i="4"/>
  <c r="Y34" i="4"/>
  <c r="Z53" i="4"/>
  <c r="R68" i="4"/>
  <c r="V53" i="4"/>
  <c r="R67" i="4"/>
  <c r="V76" i="4"/>
  <c r="Z31" i="4"/>
  <c r="V65" i="4"/>
  <c r="Z71" i="4"/>
  <c r="R71" i="4"/>
  <c r="V104" i="4"/>
  <c r="Z64" i="4"/>
  <c r="R64" i="4"/>
  <c r="V41" i="4"/>
  <c r="Z23" i="4"/>
  <c r="V20" i="4"/>
  <c r="Z51" i="4"/>
  <c r="R51" i="4"/>
  <c r="V35" i="4"/>
  <c r="Z19" i="4"/>
  <c r="R19" i="4"/>
  <c r="R21" i="4"/>
  <c r="V18" i="4"/>
  <c r="Z17" i="4"/>
  <c r="Z7" i="4"/>
  <c r="R7" i="4"/>
  <c r="V5" i="4"/>
  <c r="Z3" i="4"/>
  <c r="Z2" i="4"/>
  <c r="Z27" i="4"/>
  <c r="R15" i="4"/>
  <c r="R4" i="4"/>
  <c r="R2" i="4"/>
  <c r="R86" i="4"/>
  <c r="S83" i="4"/>
  <c r="T49" i="4"/>
  <c r="W8" i="4"/>
  <c r="X24" i="4"/>
  <c r="Y142" i="4"/>
  <c r="Y43" i="4"/>
  <c r="Y150" i="4"/>
  <c r="X193" i="4"/>
  <c r="U193" i="4"/>
  <c r="W191" i="4"/>
  <c r="Y154" i="4"/>
  <c r="U169" i="4"/>
  <c r="W180" i="4"/>
  <c r="S180" i="4"/>
  <c r="Y177" i="4"/>
  <c r="X155" i="4"/>
  <c r="T131" i="4"/>
  <c r="W183" i="4"/>
  <c r="Y148" i="4"/>
  <c r="X196" i="4"/>
  <c r="W124" i="4"/>
  <c r="S124" i="4"/>
  <c r="Y185" i="4"/>
  <c r="X208" i="4"/>
  <c r="U208" i="4"/>
  <c r="T205" i="4"/>
  <c r="W167" i="4"/>
  <c r="Y174" i="4"/>
  <c r="U217" i="4"/>
  <c r="S195" i="4"/>
  <c r="Y188" i="4"/>
  <c r="X168" i="4"/>
  <c r="T194" i="4"/>
  <c r="W206" i="4"/>
  <c r="Y137" i="4"/>
  <c r="X161" i="4"/>
  <c r="U161" i="4"/>
  <c r="T170" i="4"/>
  <c r="W140" i="4"/>
  <c r="S140" i="4"/>
  <c r="Y201" i="4"/>
  <c r="X192" i="4"/>
  <c r="U192" i="4"/>
  <c r="T144" i="4"/>
  <c r="W141" i="4"/>
  <c r="Y210" i="4"/>
  <c r="X162" i="4"/>
  <c r="U162" i="4"/>
  <c r="W116" i="4"/>
  <c r="Y123" i="4"/>
  <c r="X79" i="4"/>
  <c r="W95" i="4"/>
  <c r="Y182" i="4"/>
  <c r="U126" i="4"/>
  <c r="T92" i="4"/>
  <c r="S84" i="4"/>
  <c r="Y94" i="4"/>
  <c r="X98" i="4"/>
  <c r="U98" i="4"/>
  <c r="T122" i="4"/>
  <c r="W75" i="4"/>
  <c r="S75" i="4"/>
  <c r="Y151" i="4"/>
  <c r="X90" i="4"/>
  <c r="T164" i="4"/>
  <c r="W77" i="4"/>
  <c r="Y134" i="4"/>
  <c r="X165" i="4"/>
  <c r="U165" i="4"/>
  <c r="W128" i="4"/>
  <c r="S128" i="4"/>
  <c r="Y112" i="4"/>
  <c r="X139" i="4"/>
  <c r="U139" i="4"/>
  <c r="T70" i="4"/>
  <c r="S147" i="4"/>
  <c r="Y80" i="4"/>
  <c r="X52" i="4"/>
  <c r="U52" i="4"/>
  <c r="T158" i="4"/>
  <c r="W54" i="4"/>
  <c r="S54" i="4"/>
  <c r="Y44" i="4"/>
  <c r="X36" i="4"/>
  <c r="T39" i="4"/>
  <c r="X113" i="4"/>
  <c r="U113" i="4"/>
  <c r="W46" i="4"/>
  <c r="S46" i="4"/>
  <c r="Y78" i="4"/>
  <c r="X56" i="4"/>
  <c r="U56" i="4"/>
  <c r="T87" i="4"/>
  <c r="W105" i="4"/>
  <c r="S105" i="4"/>
  <c r="Y60" i="4"/>
  <c r="X40" i="4"/>
  <c r="U40" i="4"/>
  <c r="T37" i="4"/>
  <c r="W32" i="4"/>
  <c r="Y72" i="4"/>
  <c r="X33" i="4"/>
  <c r="S69" i="4"/>
  <c r="X53" i="4"/>
  <c r="T67" i="4"/>
  <c r="S25" i="4"/>
  <c r="Y86" i="4"/>
  <c r="X76" i="4"/>
  <c r="U76" i="4"/>
  <c r="T31" i="4"/>
  <c r="W30" i="4"/>
  <c r="S30" i="4"/>
  <c r="X65" i="4"/>
  <c r="U65" i="4"/>
  <c r="T71" i="4"/>
  <c r="W89" i="4"/>
  <c r="Y42" i="4"/>
  <c r="X104" i="4"/>
  <c r="U104" i="4"/>
  <c r="S62" i="4"/>
  <c r="Y47" i="4"/>
  <c r="X41" i="4"/>
  <c r="T23" i="4"/>
  <c r="W38" i="4"/>
  <c r="S38" i="4"/>
  <c r="Y13" i="4"/>
  <c r="X20" i="4"/>
  <c r="U20" i="4"/>
  <c r="T51" i="4"/>
  <c r="S24" i="4"/>
  <c r="Y49" i="4"/>
  <c r="X35" i="4"/>
  <c r="U35" i="4"/>
  <c r="T19" i="4"/>
  <c r="U9" i="4"/>
  <c r="W6" i="4"/>
  <c r="S6" i="4"/>
  <c r="Y11" i="4"/>
  <c r="X18" i="4"/>
  <c r="T17" i="4"/>
  <c r="W22" i="4"/>
  <c r="S22" i="4"/>
  <c r="X10" i="4"/>
  <c r="U10" i="4"/>
  <c r="T7" i="4"/>
  <c r="Y4" i="4"/>
  <c r="X5" i="4"/>
  <c r="U5" i="4"/>
  <c r="S7" i="4"/>
  <c r="T72" i="4"/>
  <c r="T35" i="4"/>
  <c r="U43" i="4"/>
  <c r="X49" i="4"/>
  <c r="R209" i="4"/>
  <c r="V166" i="4"/>
  <c r="Z101" i="4"/>
  <c r="R101" i="4"/>
  <c r="Z176" i="4"/>
  <c r="R176" i="4"/>
  <c r="V152" i="4"/>
  <c r="Z145" i="4"/>
  <c r="V107" i="4"/>
  <c r="Z163" i="4"/>
  <c r="R163" i="4"/>
  <c r="V179" i="4"/>
  <c r="Z136" i="4"/>
  <c r="Z193" i="4"/>
  <c r="R193" i="4"/>
  <c r="V154" i="4"/>
  <c r="Z169" i="4"/>
  <c r="R169" i="4"/>
  <c r="V177" i="4"/>
  <c r="Z155" i="4"/>
  <c r="R155" i="4"/>
  <c r="V148" i="4"/>
  <c r="Z196" i="4"/>
  <c r="R208" i="4"/>
  <c r="V174" i="4"/>
  <c r="Z217" i="4"/>
  <c r="V188" i="4"/>
  <c r="Z168" i="4"/>
  <c r="R168" i="4"/>
  <c r="Z161" i="4"/>
  <c r="R161" i="4"/>
  <c r="V201" i="4"/>
  <c r="Z192" i="4"/>
  <c r="R192" i="4"/>
  <c r="V210" i="4"/>
  <c r="Z162" i="4"/>
  <c r="V123" i="4"/>
  <c r="Z79" i="4"/>
  <c r="R79" i="4"/>
  <c r="V94" i="4"/>
  <c r="Z98" i="4"/>
  <c r="R98" i="4"/>
  <c r="V151" i="4"/>
  <c r="Z90" i="4"/>
  <c r="R90" i="4"/>
  <c r="V134" i="4"/>
  <c r="Z165" i="4"/>
  <c r="R165" i="4"/>
  <c r="Z139" i="4"/>
  <c r="R139" i="4"/>
  <c r="V80" i="4"/>
  <c r="Z52" i="4"/>
  <c r="R52" i="4"/>
  <c r="V44" i="4"/>
  <c r="Z36" i="4"/>
  <c r="R113" i="4"/>
  <c r="V78" i="4"/>
  <c r="Z56" i="4"/>
  <c r="R56" i="4"/>
  <c r="V60" i="4"/>
  <c r="Z40" i="4"/>
  <c r="R40" i="4"/>
  <c r="V72" i="4"/>
  <c r="Z33" i="4"/>
  <c r="R33" i="4"/>
  <c r="V86" i="4"/>
  <c r="Z76" i="4"/>
  <c r="R76" i="4"/>
  <c r="V57" i="4"/>
  <c r="Z65" i="4"/>
  <c r="R65" i="4"/>
  <c r="Z104" i="4"/>
  <c r="R104" i="4"/>
  <c r="Z41" i="4"/>
  <c r="V13" i="4"/>
  <c r="Z20" i="4"/>
  <c r="R20" i="4"/>
  <c r="V49" i="4"/>
  <c r="Z35" i="4"/>
  <c r="R35" i="4"/>
  <c r="R9" i="4"/>
  <c r="V11" i="4"/>
  <c r="Z18" i="4"/>
  <c r="Z10" i="4"/>
  <c r="R10" i="4"/>
  <c r="V4" i="4"/>
  <c r="V7" i="4"/>
  <c r="Z5" i="4"/>
  <c r="R43" i="4"/>
  <c r="T9" i="4"/>
  <c r="U69" i="4"/>
  <c r="X100" i="4"/>
  <c r="X26" i="4"/>
  <c r="U159" i="4"/>
  <c r="W111" i="4"/>
  <c r="S111" i="4"/>
  <c r="Y197" i="4"/>
  <c r="X199" i="4"/>
  <c r="U199" i="4"/>
  <c r="T187" i="4"/>
  <c r="S200" i="4"/>
  <c r="Y129" i="4"/>
  <c r="T189" i="4"/>
  <c r="W160" i="4"/>
  <c r="S160" i="4"/>
  <c r="Y218" i="4"/>
  <c r="X132" i="4"/>
  <c r="U132" i="4"/>
  <c r="W108" i="4"/>
  <c r="S108" i="4"/>
  <c r="Y110" i="4"/>
  <c r="X157" i="4"/>
  <c r="U157" i="4"/>
  <c r="T215" i="4"/>
  <c r="W125" i="4"/>
  <c r="S125" i="4"/>
  <c r="Y115" i="4"/>
  <c r="U219" i="4"/>
  <c r="T209" i="4"/>
  <c r="S93" i="4"/>
  <c r="Y143" i="4"/>
  <c r="T101" i="4"/>
  <c r="S153" i="4"/>
  <c r="Y99" i="4"/>
  <c r="X102" i="4"/>
  <c r="U102" i="4"/>
  <c r="S146" i="4"/>
  <c r="Y172" i="4"/>
  <c r="X152" i="4"/>
  <c r="U152" i="4"/>
  <c r="T145" i="4"/>
  <c r="W96" i="4"/>
  <c r="S96" i="4"/>
  <c r="Y130" i="4"/>
  <c r="X107" i="4"/>
  <c r="U107" i="4"/>
  <c r="T163" i="4"/>
  <c r="W133" i="4"/>
  <c r="Y211" i="4"/>
  <c r="X179" i="4"/>
  <c r="S114" i="4"/>
  <c r="Y213" i="4"/>
  <c r="X150" i="4"/>
  <c r="U150" i="4"/>
  <c r="T193" i="4"/>
  <c r="W149" i="4"/>
  <c r="S149" i="4"/>
  <c r="Y191" i="4"/>
  <c r="U154" i="4"/>
  <c r="T169" i="4"/>
  <c r="S186" i="4"/>
  <c r="X177" i="4"/>
  <c r="U177" i="4"/>
  <c r="T155" i="4"/>
  <c r="W135" i="4"/>
  <c r="Y183" i="4"/>
  <c r="X148" i="4"/>
  <c r="U148" i="4"/>
  <c r="W74" i="4"/>
  <c r="S74" i="4"/>
  <c r="Y124" i="4"/>
  <c r="X185" i="4"/>
  <c r="U185" i="4"/>
  <c r="T208" i="4"/>
  <c r="W202" i="4"/>
  <c r="S202" i="4"/>
  <c r="Y167" i="4"/>
  <c r="X174" i="4"/>
  <c r="U174" i="4"/>
  <c r="T217" i="4"/>
  <c r="S181" i="4"/>
  <c r="Y195" i="4"/>
  <c r="X188" i="4"/>
  <c r="U188" i="4"/>
  <c r="T168" i="4"/>
  <c r="W156" i="4"/>
  <c r="Y206" i="4"/>
  <c r="X137" i="4"/>
  <c r="U137" i="4"/>
  <c r="W216" i="4"/>
  <c r="S216" i="4"/>
  <c r="X201" i="4"/>
  <c r="U201" i="4"/>
  <c r="T192" i="4"/>
  <c r="W204" i="4"/>
  <c r="S204" i="4"/>
  <c r="Y141" i="4"/>
  <c r="X210" i="4"/>
  <c r="U210" i="4"/>
  <c r="T162" i="4"/>
  <c r="W190" i="4"/>
  <c r="S190" i="4"/>
  <c r="Y116" i="4"/>
  <c r="X123" i="4"/>
  <c r="U123" i="4"/>
  <c r="W138" i="4"/>
  <c r="S138" i="4"/>
  <c r="Y95" i="4"/>
  <c r="X182" i="4"/>
  <c r="T126" i="4"/>
  <c r="S81" i="4"/>
  <c r="U94" i="4"/>
  <c r="T98" i="4"/>
  <c r="W85" i="4"/>
  <c r="S85" i="4"/>
  <c r="Y75" i="4"/>
  <c r="X151" i="4"/>
  <c r="U151" i="4"/>
  <c r="T90" i="4"/>
  <c r="W121" i="4"/>
  <c r="S121" i="4"/>
  <c r="X134" i="4"/>
  <c r="U134" i="4"/>
  <c r="W63" i="4"/>
  <c r="S63" i="4"/>
  <c r="Y128" i="4"/>
  <c r="X112" i="4"/>
  <c r="T139" i="4"/>
  <c r="S97" i="4"/>
  <c r="Y147" i="4"/>
  <c r="X80" i="4"/>
  <c r="U80" i="4"/>
  <c r="T52" i="4"/>
  <c r="W106" i="4"/>
  <c r="S106" i="4"/>
  <c r="Y54" i="4"/>
  <c r="X44" i="4"/>
  <c r="U44" i="4"/>
  <c r="T36" i="4"/>
  <c r="S142" i="4"/>
  <c r="U73" i="4"/>
  <c r="W50" i="4"/>
  <c r="S50" i="4"/>
  <c r="Y46" i="4"/>
  <c r="X78" i="4"/>
  <c r="T56" i="4"/>
  <c r="W88" i="4"/>
  <c r="S88" i="4"/>
  <c r="Y105" i="4"/>
  <c r="X60" i="4"/>
  <c r="U60" i="4"/>
  <c r="T40" i="4"/>
  <c r="W91" i="4"/>
  <c r="Y32" i="4"/>
  <c r="X72" i="4"/>
  <c r="U72" i="4"/>
  <c r="S55" i="4"/>
  <c r="Y69" i="4"/>
  <c r="U45" i="4"/>
  <c r="S58" i="4"/>
  <c r="T76" i="4"/>
  <c r="X42" i="4"/>
  <c r="W29" i="4"/>
  <c r="S48" i="4"/>
  <c r="T20" i="4"/>
  <c r="T18" i="4"/>
  <c r="U14" i="4"/>
  <c r="W27" i="4"/>
  <c r="W2" i="4"/>
  <c r="R30" i="4"/>
  <c r="R6" i="4"/>
  <c r="S37" i="4"/>
  <c r="V25" i="4"/>
  <c r="Z89" i="4"/>
  <c r="Z25" i="4"/>
  <c r="R25" i="4"/>
  <c r="V28" i="4"/>
  <c r="Z30" i="4"/>
  <c r="R89" i="4"/>
  <c r="V29" i="4"/>
  <c r="Z62" i="4"/>
  <c r="Z38" i="4"/>
  <c r="R38" i="4"/>
  <c r="V8" i="4"/>
  <c r="Z24" i="4"/>
  <c r="V12" i="4"/>
  <c r="Z6" i="4"/>
  <c r="V15" i="4"/>
  <c r="Z22" i="4"/>
  <c r="R16" i="4"/>
  <c r="T53" i="4"/>
  <c r="W58" i="4"/>
  <c r="Y25" i="4"/>
  <c r="X86" i="4"/>
  <c r="U86" i="4"/>
  <c r="W28" i="4"/>
  <c r="S28" i="4"/>
  <c r="Y30" i="4"/>
  <c r="U57" i="4"/>
  <c r="T65" i="4"/>
  <c r="W83" i="4"/>
  <c r="Y89" i="4"/>
  <c r="U42" i="4"/>
  <c r="S29" i="4"/>
  <c r="Y62" i="4"/>
  <c r="X47" i="4"/>
  <c r="U47" i="4"/>
  <c r="T41" i="4"/>
  <c r="W48" i="4"/>
  <c r="Y38" i="4"/>
  <c r="X13" i="4"/>
  <c r="U13" i="4"/>
  <c r="S8" i="4"/>
  <c r="Y24" i="4"/>
  <c r="U49" i="4"/>
  <c r="W34" i="4"/>
  <c r="U26" i="4"/>
  <c r="W12" i="4"/>
  <c r="S12" i="4"/>
  <c r="Y6" i="4"/>
  <c r="X11" i="4"/>
  <c r="U11" i="4"/>
  <c r="W15" i="4"/>
  <c r="S15" i="4"/>
  <c r="Y22" i="4"/>
  <c r="T10" i="4"/>
  <c r="S27" i="4"/>
  <c r="Y16" i="4"/>
  <c r="U4" i="4"/>
  <c r="Z45" i="4"/>
  <c r="Z86" i="4"/>
  <c r="Z57" i="4"/>
  <c r="R42" i="4"/>
  <c r="V62" i="4"/>
  <c r="Z47" i="4"/>
  <c r="Z13" i="4"/>
  <c r="R13" i="4"/>
  <c r="V24" i="4"/>
  <c r="Z49" i="4"/>
  <c r="R26" i="4"/>
  <c r="V6" i="4"/>
  <c r="Z11" i="4"/>
  <c r="V22" i="4"/>
  <c r="Z14" i="4"/>
  <c r="V16" i="4"/>
  <c r="Z4" i="4"/>
  <c r="U100" i="4"/>
  <c r="T73" i="4"/>
  <c r="W66" i="4"/>
  <c r="Y50" i="4"/>
  <c r="X46" i="4"/>
  <c r="S87" i="4"/>
  <c r="Y88" i="4"/>
  <c r="X105" i="4"/>
  <c r="T60" i="4"/>
  <c r="W37" i="4"/>
  <c r="Y91" i="4"/>
  <c r="X32" i="4"/>
  <c r="U32" i="4"/>
  <c r="S68" i="4"/>
  <c r="T45" i="4"/>
  <c r="W67" i="4"/>
  <c r="Y58" i="4"/>
  <c r="X25" i="4"/>
  <c r="U25" i="4"/>
  <c r="W31" i="4"/>
  <c r="S31" i="4"/>
  <c r="Y28" i="4"/>
  <c r="T57" i="4"/>
  <c r="W71" i="4"/>
  <c r="X89" i="4"/>
  <c r="U89" i="4"/>
  <c r="S64" i="4"/>
  <c r="X62" i="4"/>
  <c r="W23" i="4"/>
  <c r="Y48" i="4"/>
  <c r="X38" i="4"/>
  <c r="U38" i="4"/>
  <c r="W51" i="4"/>
  <c r="Y8" i="4"/>
  <c r="W19" i="4"/>
  <c r="S19" i="4"/>
  <c r="X43" i="4"/>
  <c r="T26" i="4"/>
  <c r="Y12" i="4"/>
  <c r="X6" i="4"/>
  <c r="W17" i="4"/>
  <c r="S17" i="4"/>
  <c r="Y15" i="4"/>
  <c r="X22" i="4"/>
  <c r="T14" i="4"/>
  <c r="Y27" i="4"/>
  <c r="U16" i="4"/>
  <c r="W3" i="4"/>
  <c r="S3" i="4"/>
  <c r="Y2" i="4"/>
  <c r="Z15" i="4"/>
  <c r="W220" i="3"/>
  <c r="V220" i="3"/>
  <c r="W170" i="3"/>
  <c r="V170" i="3"/>
  <c r="W120" i="3"/>
  <c r="V120" i="3"/>
  <c r="W188" i="3"/>
  <c r="Y188" i="3" s="1"/>
  <c r="V188" i="3"/>
  <c r="W168" i="3"/>
  <c r="V168" i="3"/>
  <c r="W138" i="3"/>
  <c r="V138" i="3"/>
  <c r="W217" i="3"/>
  <c r="V217" i="3"/>
  <c r="V167" i="3"/>
  <c r="W167" i="3"/>
  <c r="W57" i="3"/>
  <c r="Y57" i="3" s="1"/>
  <c r="V57" i="3"/>
  <c r="W47" i="3"/>
  <c r="V47" i="3"/>
  <c r="W17" i="3"/>
  <c r="V17" i="3"/>
  <c r="W218" i="3"/>
  <c r="V218" i="3"/>
  <c r="H2" i="3"/>
  <c r="G2" i="3"/>
  <c r="X2" i="3" s="1"/>
  <c r="I2" i="3"/>
  <c r="G211" i="3"/>
  <c r="X211" i="3" s="1"/>
  <c r="H211" i="3"/>
  <c r="I211" i="3"/>
  <c r="G201" i="3"/>
  <c r="H201" i="3"/>
  <c r="I201" i="3"/>
  <c r="G191" i="3"/>
  <c r="H191" i="3"/>
  <c r="I191" i="3"/>
  <c r="G181" i="3"/>
  <c r="H181" i="3"/>
  <c r="I181" i="3"/>
  <c r="G171" i="3"/>
  <c r="X171" i="3" s="1"/>
  <c r="I171" i="3"/>
  <c r="H171" i="3"/>
  <c r="G161" i="3"/>
  <c r="H161" i="3"/>
  <c r="I161" i="3"/>
  <c r="G151" i="3"/>
  <c r="H151" i="3"/>
  <c r="I151" i="3"/>
  <c r="G141" i="3"/>
  <c r="H141" i="3"/>
  <c r="I141" i="3"/>
  <c r="G131" i="3"/>
  <c r="H131" i="3"/>
  <c r="I131" i="3"/>
  <c r="G121" i="3"/>
  <c r="H121" i="3"/>
  <c r="I121" i="3"/>
  <c r="G111" i="3"/>
  <c r="X111" i="3" s="1"/>
  <c r="H111" i="3"/>
  <c r="I111" i="3"/>
  <c r="G101" i="3"/>
  <c r="H101" i="3"/>
  <c r="I101" i="3"/>
  <c r="G91" i="3"/>
  <c r="H91" i="3"/>
  <c r="I91" i="3"/>
  <c r="G81" i="3"/>
  <c r="H81" i="3"/>
  <c r="I81" i="3"/>
  <c r="G71" i="3"/>
  <c r="X71" i="3" s="1"/>
  <c r="H71" i="3"/>
  <c r="I71" i="3"/>
  <c r="G61" i="3"/>
  <c r="H61" i="3"/>
  <c r="I61" i="3"/>
  <c r="G51" i="3"/>
  <c r="H51" i="3"/>
  <c r="I51" i="3"/>
  <c r="G41" i="3"/>
  <c r="H41" i="3"/>
  <c r="I41" i="3"/>
  <c r="G31" i="3"/>
  <c r="H31" i="3"/>
  <c r="I31" i="3"/>
  <c r="G21" i="3"/>
  <c r="H21" i="3"/>
  <c r="I21" i="3"/>
  <c r="G11" i="3"/>
  <c r="X11" i="3" s="1"/>
  <c r="H11" i="3"/>
  <c r="I11" i="3"/>
  <c r="F91" i="3"/>
  <c r="V26" i="3"/>
  <c r="W26" i="3"/>
  <c r="V125" i="3"/>
  <c r="V25" i="3"/>
  <c r="H220" i="3"/>
  <c r="I220" i="3"/>
  <c r="G220" i="3"/>
  <c r="X220" i="3" s="1"/>
  <c r="H210" i="3"/>
  <c r="I210" i="3"/>
  <c r="G210" i="3"/>
  <c r="H200" i="3"/>
  <c r="I200" i="3"/>
  <c r="G200" i="3"/>
  <c r="X200" i="3" s="1"/>
  <c r="H190" i="3"/>
  <c r="I190" i="3"/>
  <c r="G190" i="3"/>
  <c r="X190" i="3" s="1"/>
  <c r="H180" i="3"/>
  <c r="I180" i="3"/>
  <c r="G180" i="3"/>
  <c r="H170" i="3"/>
  <c r="I170" i="3"/>
  <c r="G170" i="3"/>
  <c r="X170" i="3" s="1"/>
  <c r="H160" i="3"/>
  <c r="I160" i="3"/>
  <c r="G160" i="3"/>
  <c r="X160" i="3" s="1"/>
  <c r="H150" i="3"/>
  <c r="I150" i="3"/>
  <c r="G150" i="3"/>
  <c r="H140" i="3"/>
  <c r="I140" i="3"/>
  <c r="G140" i="3"/>
  <c r="I130" i="3"/>
  <c r="G130" i="3"/>
  <c r="H130" i="3"/>
  <c r="I120" i="3"/>
  <c r="G120" i="3"/>
  <c r="H120" i="3"/>
  <c r="I110" i="3"/>
  <c r="G110" i="3"/>
  <c r="X110" i="3" s="1"/>
  <c r="H110" i="3"/>
  <c r="I100" i="3"/>
  <c r="G100" i="3"/>
  <c r="H100" i="3"/>
  <c r="F100" i="3"/>
  <c r="I90" i="3"/>
  <c r="G90" i="3"/>
  <c r="H90" i="3"/>
  <c r="F90" i="3"/>
  <c r="I80" i="3"/>
  <c r="G80" i="3"/>
  <c r="H80" i="3"/>
  <c r="F80" i="3"/>
  <c r="I70" i="3"/>
  <c r="G70" i="3"/>
  <c r="H70" i="3"/>
  <c r="F70" i="3"/>
  <c r="I60" i="3"/>
  <c r="G60" i="3"/>
  <c r="H60" i="3"/>
  <c r="F60" i="3"/>
  <c r="I50" i="3"/>
  <c r="G50" i="3"/>
  <c r="H50" i="3"/>
  <c r="F50" i="3"/>
  <c r="I40" i="3"/>
  <c r="G40" i="3"/>
  <c r="H40" i="3"/>
  <c r="F40" i="3"/>
  <c r="I30" i="3"/>
  <c r="G30" i="3"/>
  <c r="H30" i="3"/>
  <c r="F30" i="3"/>
  <c r="I20" i="3"/>
  <c r="G20" i="3"/>
  <c r="H20" i="3"/>
  <c r="F20" i="3"/>
  <c r="I10" i="3"/>
  <c r="G10" i="3"/>
  <c r="H10" i="3"/>
  <c r="F10" i="3"/>
  <c r="W219" i="3"/>
  <c r="V219" i="3"/>
  <c r="W201" i="3"/>
  <c r="V201" i="3"/>
  <c r="W187" i="3"/>
  <c r="V187" i="3"/>
  <c r="W169" i="3"/>
  <c r="V169" i="3"/>
  <c r="W151" i="3"/>
  <c r="V151" i="3"/>
  <c r="V137" i="3"/>
  <c r="W137" i="3"/>
  <c r="W117" i="3"/>
  <c r="V117" i="3"/>
  <c r="W87" i="3"/>
  <c r="Y87" i="3" s="1"/>
  <c r="V87" i="3"/>
  <c r="W56" i="3"/>
  <c r="Y56" i="3" s="1"/>
  <c r="V56" i="3"/>
  <c r="W21" i="3"/>
  <c r="V21" i="3"/>
  <c r="G219" i="3"/>
  <c r="H219" i="3"/>
  <c r="I219" i="3"/>
  <c r="I209" i="3"/>
  <c r="G209" i="3"/>
  <c r="H209" i="3"/>
  <c r="G199" i="3"/>
  <c r="H199" i="3"/>
  <c r="I199" i="3"/>
  <c r="G189" i="3"/>
  <c r="H189" i="3"/>
  <c r="I189" i="3"/>
  <c r="G179" i="3"/>
  <c r="H179" i="3"/>
  <c r="I179" i="3"/>
  <c r="G169" i="3"/>
  <c r="X169" i="3" s="1"/>
  <c r="H169" i="3"/>
  <c r="I169" i="3"/>
  <c r="I159" i="3"/>
  <c r="G159" i="3"/>
  <c r="H159" i="3"/>
  <c r="G149" i="3"/>
  <c r="H149" i="3"/>
  <c r="I149" i="3"/>
  <c r="G139" i="3"/>
  <c r="H139" i="3"/>
  <c r="I139" i="3"/>
  <c r="I129" i="3"/>
  <c r="H129" i="3"/>
  <c r="G129" i="3"/>
  <c r="G119" i="3"/>
  <c r="H119" i="3"/>
  <c r="I119" i="3"/>
  <c r="F119" i="3"/>
  <c r="G109" i="3"/>
  <c r="I109" i="3"/>
  <c r="F109" i="3"/>
  <c r="H109" i="3"/>
  <c r="I99" i="3"/>
  <c r="F99" i="3"/>
  <c r="G99" i="3"/>
  <c r="H99" i="3"/>
  <c r="I89" i="3"/>
  <c r="F89" i="3"/>
  <c r="G89" i="3"/>
  <c r="H89" i="3"/>
  <c r="I79" i="3"/>
  <c r="H79" i="3"/>
  <c r="F79" i="3"/>
  <c r="G79" i="3"/>
  <c r="G69" i="3"/>
  <c r="H69" i="3"/>
  <c r="I69" i="3"/>
  <c r="F69" i="3"/>
  <c r="G59" i="3"/>
  <c r="H59" i="3"/>
  <c r="I59" i="3"/>
  <c r="F59" i="3"/>
  <c r="G49" i="3"/>
  <c r="H49" i="3"/>
  <c r="I49" i="3"/>
  <c r="F49" i="3"/>
  <c r="G39" i="3"/>
  <c r="H39" i="3"/>
  <c r="I39" i="3"/>
  <c r="F39" i="3"/>
  <c r="I29" i="3"/>
  <c r="H29" i="3"/>
  <c r="G29" i="3"/>
  <c r="F29" i="3"/>
  <c r="G19" i="3"/>
  <c r="H19" i="3"/>
  <c r="I19" i="3"/>
  <c r="F19" i="3"/>
  <c r="G9" i="3"/>
  <c r="H9" i="3"/>
  <c r="I9" i="3"/>
  <c r="F9" i="3"/>
  <c r="F200" i="3"/>
  <c r="F150" i="3"/>
  <c r="W116" i="3"/>
  <c r="Y116" i="3" s="1"/>
  <c r="V116" i="3"/>
  <c r="W86" i="3"/>
  <c r="V86" i="3"/>
  <c r="W51" i="3"/>
  <c r="V51" i="3"/>
  <c r="V166" i="3"/>
  <c r="G218" i="3"/>
  <c r="H218" i="3"/>
  <c r="I218" i="3"/>
  <c r="G208" i="3"/>
  <c r="H208" i="3"/>
  <c r="I208" i="3"/>
  <c r="G198" i="3"/>
  <c r="H198" i="3"/>
  <c r="I198" i="3"/>
  <c r="H188" i="3"/>
  <c r="I188" i="3"/>
  <c r="G188" i="3"/>
  <c r="X188" i="3" s="1"/>
  <c r="G178" i="3"/>
  <c r="H178" i="3"/>
  <c r="I178" i="3"/>
  <c r="G168" i="3"/>
  <c r="X168" i="3" s="1"/>
  <c r="H168" i="3"/>
  <c r="I168" i="3"/>
  <c r="G158" i="3"/>
  <c r="H158" i="3"/>
  <c r="I158" i="3"/>
  <c r="G148" i="3"/>
  <c r="H148" i="3"/>
  <c r="I148" i="3"/>
  <c r="G138" i="3"/>
  <c r="H138" i="3"/>
  <c r="I138" i="3"/>
  <c r="G128" i="3"/>
  <c r="X128" i="3" s="1"/>
  <c r="H128" i="3"/>
  <c r="I128" i="3"/>
  <c r="G118" i="3"/>
  <c r="I118" i="3"/>
  <c r="H118" i="3"/>
  <c r="F118" i="3"/>
  <c r="G108" i="3"/>
  <c r="H108" i="3"/>
  <c r="I108" i="3"/>
  <c r="F108" i="3"/>
  <c r="G98" i="3"/>
  <c r="H98" i="3"/>
  <c r="F98" i="3"/>
  <c r="I98" i="3"/>
  <c r="G88" i="3"/>
  <c r="F88" i="3"/>
  <c r="H88" i="3"/>
  <c r="I88" i="3"/>
  <c r="G78" i="3"/>
  <c r="X78" i="3" s="1"/>
  <c r="F78" i="3"/>
  <c r="H78" i="3"/>
  <c r="I78" i="3"/>
  <c r="G68" i="3"/>
  <c r="I68" i="3"/>
  <c r="F68" i="3"/>
  <c r="H68" i="3"/>
  <c r="G58" i="3"/>
  <c r="H58" i="3"/>
  <c r="I58" i="3"/>
  <c r="F58" i="3"/>
  <c r="G48" i="3"/>
  <c r="H48" i="3"/>
  <c r="I48" i="3"/>
  <c r="F48" i="3"/>
  <c r="G38" i="3"/>
  <c r="H38" i="3"/>
  <c r="I38" i="3"/>
  <c r="F38" i="3"/>
  <c r="G28" i="3"/>
  <c r="H28" i="3"/>
  <c r="I28" i="3"/>
  <c r="F28" i="3"/>
  <c r="G18" i="3"/>
  <c r="I18" i="3"/>
  <c r="H18" i="3"/>
  <c r="F18" i="3"/>
  <c r="G8" i="3"/>
  <c r="H8" i="3"/>
  <c r="I8" i="3"/>
  <c r="F8" i="3"/>
  <c r="F199" i="3"/>
  <c r="W181" i="3"/>
  <c r="V181" i="3"/>
  <c r="F149" i="3"/>
  <c r="W131" i="3"/>
  <c r="V131" i="3"/>
  <c r="W111" i="3"/>
  <c r="Y111" i="3" s="1"/>
  <c r="V111" i="3"/>
  <c r="W81" i="3"/>
  <c r="V81" i="3"/>
  <c r="W16" i="3"/>
  <c r="V16" i="3"/>
  <c r="G217" i="3"/>
  <c r="H217" i="3"/>
  <c r="I217" i="3"/>
  <c r="G207" i="3"/>
  <c r="H207" i="3"/>
  <c r="I207" i="3"/>
  <c r="G197" i="3"/>
  <c r="X197" i="3" s="1"/>
  <c r="H197" i="3"/>
  <c r="I197" i="3"/>
  <c r="G187" i="3"/>
  <c r="H187" i="3"/>
  <c r="I187" i="3"/>
  <c r="G177" i="3"/>
  <c r="H177" i="3"/>
  <c r="I177" i="3"/>
  <c r="G167" i="3"/>
  <c r="H167" i="3"/>
  <c r="I167" i="3"/>
  <c r="G157" i="3"/>
  <c r="H157" i="3"/>
  <c r="I157" i="3"/>
  <c r="G147" i="3"/>
  <c r="H147" i="3"/>
  <c r="I147" i="3"/>
  <c r="H137" i="3"/>
  <c r="I137" i="3"/>
  <c r="G137" i="3"/>
  <c r="H127" i="3"/>
  <c r="I127" i="3"/>
  <c r="G127" i="3"/>
  <c r="X127" i="3" s="1"/>
  <c r="H117" i="3"/>
  <c r="I117" i="3"/>
  <c r="G117" i="3"/>
  <c r="X117" i="3" s="1"/>
  <c r="H107" i="3"/>
  <c r="I107" i="3"/>
  <c r="G107" i="3"/>
  <c r="H97" i="3"/>
  <c r="I97" i="3"/>
  <c r="G97" i="3"/>
  <c r="H87" i="3"/>
  <c r="I87" i="3"/>
  <c r="G87" i="3"/>
  <c r="X87" i="3" s="1"/>
  <c r="H77" i="3"/>
  <c r="I77" i="3"/>
  <c r="G77" i="3"/>
  <c r="X77" i="3" s="1"/>
  <c r="H67" i="3"/>
  <c r="I67" i="3"/>
  <c r="G67" i="3"/>
  <c r="H57" i="3"/>
  <c r="I57" i="3"/>
  <c r="G57" i="3"/>
  <c r="X57" i="3" s="1"/>
  <c r="H47" i="3"/>
  <c r="I47" i="3"/>
  <c r="G47" i="3"/>
  <c r="X47" i="3" s="1"/>
  <c r="H37" i="3"/>
  <c r="I37" i="3"/>
  <c r="G37" i="3"/>
  <c r="H27" i="3"/>
  <c r="I27" i="3"/>
  <c r="G27" i="3"/>
  <c r="X27" i="3" s="1"/>
  <c r="H17" i="3"/>
  <c r="I17" i="3"/>
  <c r="G17" i="3"/>
  <c r="X17" i="3" s="1"/>
  <c r="H7" i="3"/>
  <c r="I7" i="3"/>
  <c r="G7" i="3"/>
  <c r="F198" i="3"/>
  <c r="F180" i="3"/>
  <c r="F148" i="3"/>
  <c r="F130" i="3"/>
  <c r="F110" i="3"/>
  <c r="F77" i="3"/>
  <c r="V46" i="3"/>
  <c r="W46" i="3"/>
  <c r="V11" i="3"/>
  <c r="W11" i="3"/>
  <c r="W211" i="3"/>
  <c r="V211" i="3"/>
  <c r="F197" i="3"/>
  <c r="F179" i="3"/>
  <c r="W161" i="3"/>
  <c r="V161" i="3"/>
  <c r="F147" i="3"/>
  <c r="F129" i="3"/>
  <c r="F107" i="3"/>
  <c r="V76" i="3"/>
  <c r="W76" i="3"/>
  <c r="Y76" i="3" s="1"/>
  <c r="W41" i="3"/>
  <c r="V41" i="3"/>
  <c r="F7" i="3"/>
  <c r="X205" i="3"/>
  <c r="X55" i="3"/>
  <c r="X45" i="3"/>
  <c r="W5" i="3"/>
  <c r="V5" i="3"/>
  <c r="F210" i="3"/>
  <c r="F178" i="3"/>
  <c r="F160" i="3"/>
  <c r="F128" i="3"/>
  <c r="W106" i="3"/>
  <c r="Y106" i="3" s="1"/>
  <c r="V106" i="3"/>
  <c r="W71" i="3"/>
  <c r="Y71" i="3" s="1"/>
  <c r="V71" i="3"/>
  <c r="F37" i="3"/>
  <c r="W6" i="3"/>
  <c r="V6" i="3"/>
  <c r="V146" i="3"/>
  <c r="V214" i="3"/>
  <c r="W214" i="3"/>
  <c r="W204" i="3"/>
  <c r="V204" i="3"/>
  <c r="V184" i="3"/>
  <c r="W184" i="3"/>
  <c r="W174" i="3"/>
  <c r="V174" i="3"/>
  <c r="V164" i="3"/>
  <c r="W164" i="3"/>
  <c r="V154" i="3"/>
  <c r="W154" i="3"/>
  <c r="V134" i="3"/>
  <c r="W134" i="3"/>
  <c r="V124" i="3"/>
  <c r="W124" i="3"/>
  <c r="V114" i="3"/>
  <c r="W114" i="3"/>
  <c r="W104" i="3"/>
  <c r="V104" i="3"/>
  <c r="V94" i="3"/>
  <c r="W94" i="3"/>
  <c r="W84" i="3"/>
  <c r="V84" i="3"/>
  <c r="V74" i="3"/>
  <c r="W74" i="3"/>
  <c r="V64" i="3"/>
  <c r="W64" i="3"/>
  <c r="W54" i="3"/>
  <c r="V54" i="3"/>
  <c r="V44" i="3"/>
  <c r="W44" i="3"/>
  <c r="W34" i="3"/>
  <c r="V34" i="3"/>
  <c r="V24" i="3"/>
  <c r="W24" i="3"/>
  <c r="V14" i="3"/>
  <c r="W14" i="3"/>
  <c r="W4" i="3"/>
  <c r="V4" i="3"/>
  <c r="F209" i="3"/>
  <c r="F191" i="3"/>
  <c r="F177" i="3"/>
  <c r="F159" i="3"/>
  <c r="F141" i="3"/>
  <c r="F127" i="3"/>
  <c r="F101" i="3"/>
  <c r="F67" i="3"/>
  <c r="W36" i="3"/>
  <c r="V36" i="3"/>
  <c r="V186" i="3"/>
  <c r="F208" i="3"/>
  <c r="F190" i="3"/>
  <c r="Y176" i="3"/>
  <c r="F158" i="3"/>
  <c r="F140" i="3"/>
  <c r="V126" i="3"/>
  <c r="W126" i="3"/>
  <c r="Y126" i="3" s="1"/>
  <c r="F97" i="3"/>
  <c r="W66" i="3"/>
  <c r="Y66" i="3" s="1"/>
  <c r="V66" i="3"/>
  <c r="F31" i="3"/>
  <c r="V216" i="3"/>
  <c r="V185" i="3"/>
  <c r="V136" i="3"/>
  <c r="X123" i="3"/>
  <c r="G212" i="3"/>
  <c r="H212" i="3"/>
  <c r="I212" i="3"/>
  <c r="F212" i="3"/>
  <c r="G202" i="3"/>
  <c r="H202" i="3"/>
  <c r="I202" i="3"/>
  <c r="F202" i="3"/>
  <c r="G192" i="3"/>
  <c r="H192" i="3"/>
  <c r="I192" i="3"/>
  <c r="F192" i="3"/>
  <c r="H182" i="3"/>
  <c r="I182" i="3"/>
  <c r="G182" i="3"/>
  <c r="X182" i="3" s="1"/>
  <c r="F182" i="3"/>
  <c r="G172" i="3"/>
  <c r="H172" i="3"/>
  <c r="I172" i="3"/>
  <c r="F172" i="3"/>
  <c r="G162" i="3"/>
  <c r="H162" i="3"/>
  <c r="I162" i="3"/>
  <c r="F162" i="3"/>
  <c r="G152" i="3"/>
  <c r="H152" i="3"/>
  <c r="I152" i="3"/>
  <c r="F152" i="3"/>
  <c r="G142" i="3"/>
  <c r="H142" i="3"/>
  <c r="I142" i="3"/>
  <c r="F142" i="3"/>
  <c r="G132" i="3"/>
  <c r="H132" i="3"/>
  <c r="I132" i="3"/>
  <c r="F132" i="3"/>
  <c r="G122" i="3"/>
  <c r="H122" i="3"/>
  <c r="I122" i="3"/>
  <c r="F122" i="3"/>
  <c r="I112" i="3"/>
  <c r="G112" i="3"/>
  <c r="X112" i="3" s="1"/>
  <c r="H112" i="3"/>
  <c r="F112" i="3"/>
  <c r="H102" i="3"/>
  <c r="I102" i="3"/>
  <c r="G102" i="3"/>
  <c r="X102" i="3" s="1"/>
  <c r="F102" i="3"/>
  <c r="G92" i="3"/>
  <c r="H92" i="3"/>
  <c r="I92" i="3"/>
  <c r="F92" i="3"/>
  <c r="H82" i="3"/>
  <c r="I82" i="3"/>
  <c r="G82" i="3"/>
  <c r="X82" i="3" s="1"/>
  <c r="F82" i="3"/>
  <c r="H72" i="3"/>
  <c r="I72" i="3"/>
  <c r="G72" i="3"/>
  <c r="X72" i="3" s="1"/>
  <c r="F72" i="3"/>
  <c r="I62" i="3"/>
  <c r="H62" i="3"/>
  <c r="G62" i="3"/>
  <c r="F62" i="3"/>
  <c r="H52" i="3"/>
  <c r="I52" i="3"/>
  <c r="G52" i="3"/>
  <c r="X52" i="3" s="1"/>
  <c r="F52" i="3"/>
  <c r="G42" i="3"/>
  <c r="H42" i="3"/>
  <c r="I42" i="3"/>
  <c r="F42" i="3"/>
  <c r="G32" i="3"/>
  <c r="H32" i="3"/>
  <c r="I32" i="3"/>
  <c r="F32" i="3"/>
  <c r="G22" i="3"/>
  <c r="H22" i="3"/>
  <c r="I22" i="3"/>
  <c r="F22" i="3"/>
  <c r="I12" i="3"/>
  <c r="G12" i="3"/>
  <c r="X12" i="3" s="1"/>
  <c r="H12" i="3"/>
  <c r="F12" i="3"/>
  <c r="F2" i="3"/>
  <c r="F207" i="3"/>
  <c r="F189" i="3"/>
  <c r="F171" i="3"/>
  <c r="F157" i="3"/>
  <c r="F139" i="3"/>
  <c r="F121" i="3"/>
  <c r="V96" i="3"/>
  <c r="W96" i="3"/>
  <c r="F61" i="3"/>
  <c r="F27" i="3"/>
  <c r="V135" i="3"/>
  <c r="V35" i="3"/>
  <c r="I213" i="3"/>
  <c r="H213" i="3"/>
  <c r="X213" i="3" s="1"/>
  <c r="I203" i="3"/>
  <c r="X203" i="3" s="1"/>
  <c r="H203" i="3"/>
  <c r="I193" i="3"/>
  <c r="H193" i="3"/>
  <c r="I183" i="3"/>
  <c r="H183" i="3"/>
  <c r="I173" i="3"/>
  <c r="H173" i="3"/>
  <c r="X173" i="3" s="1"/>
  <c r="I163" i="3"/>
  <c r="H163" i="3"/>
  <c r="X163" i="3" s="1"/>
  <c r="I153" i="3"/>
  <c r="X153" i="3" s="1"/>
  <c r="H153" i="3"/>
  <c r="I143" i="3"/>
  <c r="H143" i="3"/>
  <c r="H123" i="3"/>
  <c r="I123" i="3"/>
  <c r="H113" i="3"/>
  <c r="G113" i="3"/>
  <c r="I113" i="3"/>
  <c r="H103" i="3"/>
  <c r="G103" i="3"/>
  <c r="X103" i="3" s="1"/>
  <c r="H73" i="3"/>
  <c r="I73" i="3"/>
  <c r="H63" i="3"/>
  <c r="G63" i="3"/>
  <c r="I63" i="3"/>
  <c r="H53" i="3"/>
  <c r="G53" i="3"/>
  <c r="H23" i="3"/>
  <c r="X23" i="3" s="1"/>
  <c r="I23" i="3"/>
  <c r="H13" i="3"/>
  <c r="G13" i="3"/>
  <c r="I13" i="3"/>
  <c r="H3" i="3"/>
  <c r="G3" i="3"/>
  <c r="X3" i="3" s="1"/>
  <c r="H215" i="3"/>
  <c r="I204" i="3"/>
  <c r="G176" i="3"/>
  <c r="X176" i="3" s="1"/>
  <c r="H165" i="3"/>
  <c r="I154" i="3"/>
  <c r="I53" i="3"/>
  <c r="I43" i="3"/>
  <c r="X43" i="3" s="1"/>
  <c r="I33" i="3"/>
  <c r="X33" i="3" s="1"/>
  <c r="G26" i="3"/>
  <c r="G16" i="3"/>
  <c r="G6" i="3"/>
  <c r="X215" i="3"/>
  <c r="X165" i="3"/>
  <c r="X135" i="3"/>
  <c r="Y135" i="3" s="1"/>
  <c r="X186" i="3"/>
  <c r="Y186" i="3" s="1"/>
  <c r="X126" i="3"/>
  <c r="X116" i="3"/>
  <c r="X106" i="3"/>
  <c r="X175" i="3"/>
  <c r="Y175" i="3" s="1"/>
  <c r="X5" i="3"/>
  <c r="X85" i="3"/>
  <c r="Y85" i="3" s="1"/>
  <c r="X56" i="3"/>
  <c r="I136" i="3"/>
  <c r="G136" i="3"/>
  <c r="H136" i="3"/>
  <c r="I96" i="3"/>
  <c r="H96" i="3"/>
  <c r="G96" i="3"/>
  <c r="X96" i="3" s="1"/>
  <c r="I86" i="3"/>
  <c r="G86" i="3"/>
  <c r="H86" i="3"/>
  <c r="I46" i="3"/>
  <c r="H46" i="3"/>
  <c r="G46" i="3"/>
  <c r="I36" i="3"/>
  <c r="G36" i="3"/>
  <c r="H36" i="3"/>
  <c r="F215" i="3"/>
  <c r="F205" i="3"/>
  <c r="F195" i="3"/>
  <c r="F165" i="3"/>
  <c r="F155" i="3"/>
  <c r="F145" i="3"/>
  <c r="F115" i="3"/>
  <c r="F65" i="3"/>
  <c r="F55" i="3"/>
  <c r="F45" i="3"/>
  <c r="F15" i="3"/>
  <c r="H216" i="3"/>
  <c r="I205" i="3"/>
  <c r="G183" i="3"/>
  <c r="X183" i="3" s="1"/>
  <c r="H166" i="3"/>
  <c r="I155" i="3"/>
  <c r="G93" i="3"/>
  <c r="X93" i="3" s="1"/>
  <c r="G83" i="3"/>
  <c r="X83" i="3" s="1"/>
  <c r="G73" i="3"/>
  <c r="I65" i="3"/>
  <c r="I55" i="3"/>
  <c r="I45" i="3"/>
  <c r="I135" i="3"/>
  <c r="H135" i="3"/>
  <c r="G125" i="3"/>
  <c r="H125" i="3"/>
  <c r="I125" i="3"/>
  <c r="X115" i="3"/>
  <c r="I85" i="3"/>
  <c r="H85" i="3"/>
  <c r="G75" i="3"/>
  <c r="H75" i="3"/>
  <c r="I75" i="3"/>
  <c r="X65" i="3"/>
  <c r="I35" i="3"/>
  <c r="H35" i="3"/>
  <c r="G25" i="3"/>
  <c r="H25" i="3"/>
  <c r="I25" i="3"/>
  <c r="X15" i="3"/>
  <c r="F194" i="3"/>
  <c r="F144" i="3"/>
  <c r="G216" i="3"/>
  <c r="X216" i="3" s="1"/>
  <c r="Y216" i="3" s="1"/>
  <c r="H205" i="3"/>
  <c r="G166" i="3"/>
  <c r="X166" i="3" s="1"/>
  <c r="Y166" i="3" s="1"/>
  <c r="H155" i="3"/>
  <c r="X155" i="3" s="1"/>
  <c r="H65" i="3"/>
  <c r="H55" i="3"/>
  <c r="H45" i="3"/>
  <c r="G214" i="3"/>
  <c r="H214" i="3"/>
  <c r="G204" i="3"/>
  <c r="H204" i="3"/>
  <c r="G194" i="3"/>
  <c r="H194" i="3"/>
  <c r="G184" i="3"/>
  <c r="X184" i="3" s="1"/>
  <c r="H184" i="3"/>
  <c r="G174" i="3"/>
  <c r="X174" i="3" s="1"/>
  <c r="H174" i="3"/>
  <c r="G164" i="3"/>
  <c r="H164" i="3"/>
  <c r="G154" i="3"/>
  <c r="H154" i="3"/>
  <c r="G144" i="3"/>
  <c r="H144" i="3"/>
  <c r="G134" i="3"/>
  <c r="X134" i="3" s="1"/>
  <c r="H134" i="3"/>
  <c r="I134" i="3"/>
  <c r="G124" i="3"/>
  <c r="H124" i="3"/>
  <c r="I124" i="3"/>
  <c r="G114" i="3"/>
  <c r="H114" i="3"/>
  <c r="I114" i="3"/>
  <c r="G104" i="3"/>
  <c r="H104" i="3"/>
  <c r="I104" i="3"/>
  <c r="G94" i="3"/>
  <c r="X94" i="3" s="1"/>
  <c r="H94" i="3"/>
  <c r="I94" i="3"/>
  <c r="G84" i="3"/>
  <c r="H84" i="3"/>
  <c r="I84" i="3"/>
  <c r="G74" i="3"/>
  <c r="H74" i="3"/>
  <c r="I74" i="3"/>
  <c r="G64" i="3"/>
  <c r="H64" i="3"/>
  <c r="I64" i="3"/>
  <c r="G54" i="3"/>
  <c r="H54" i="3"/>
  <c r="I54" i="3"/>
  <c r="G44" i="3"/>
  <c r="H44" i="3"/>
  <c r="I44" i="3"/>
  <c r="G34" i="3"/>
  <c r="X34" i="3" s="1"/>
  <c r="H34" i="3"/>
  <c r="I34" i="3"/>
  <c r="G24" i="3"/>
  <c r="H24" i="3"/>
  <c r="I24" i="3"/>
  <c r="G14" i="3"/>
  <c r="H14" i="3"/>
  <c r="I14" i="3"/>
  <c r="G4" i="3"/>
  <c r="X4" i="3" s="1"/>
  <c r="H4" i="3"/>
  <c r="I4" i="3"/>
  <c r="F213" i="3"/>
  <c r="F203" i="3"/>
  <c r="F193" i="3"/>
  <c r="F183" i="3"/>
  <c r="F173" i="3"/>
  <c r="F163" i="3"/>
  <c r="F153" i="3"/>
  <c r="F143" i="3"/>
  <c r="F133" i="3"/>
  <c r="F123" i="3"/>
  <c r="F113" i="3"/>
  <c r="F103" i="3"/>
  <c r="F93" i="3"/>
  <c r="F83" i="3"/>
  <c r="F73" i="3"/>
  <c r="F63" i="3"/>
  <c r="F53" i="3"/>
  <c r="F43" i="3"/>
  <c r="F33" i="3"/>
  <c r="F23" i="3"/>
  <c r="F13" i="3"/>
  <c r="F3" i="3"/>
  <c r="G193" i="3"/>
  <c r="H176" i="3"/>
  <c r="G143" i="3"/>
  <c r="G35" i="3"/>
  <c r="H26" i="3"/>
  <c r="H16" i="3"/>
  <c r="H6" i="3"/>
  <c r="G176" i="1"/>
  <c r="H176" i="1"/>
  <c r="F176" i="1"/>
  <c r="I176" i="1"/>
  <c r="G106" i="1"/>
  <c r="H106" i="1"/>
  <c r="I106" i="1"/>
  <c r="F106" i="1"/>
  <c r="G185" i="1"/>
  <c r="X185" i="1" s="1"/>
  <c r="F185" i="1"/>
  <c r="H185" i="1"/>
  <c r="I185" i="1"/>
  <c r="H125" i="1"/>
  <c r="G125" i="1"/>
  <c r="I125" i="1"/>
  <c r="F125" i="1"/>
  <c r="H85" i="1"/>
  <c r="F85" i="1"/>
  <c r="G85" i="1"/>
  <c r="I85" i="1"/>
  <c r="G184" i="1"/>
  <c r="H184" i="1"/>
  <c r="I184" i="1"/>
  <c r="F184" i="1"/>
  <c r="G144" i="1"/>
  <c r="H144" i="1"/>
  <c r="F144" i="1"/>
  <c r="I144" i="1"/>
  <c r="G84" i="1"/>
  <c r="H84" i="1"/>
  <c r="I84" i="1"/>
  <c r="F84" i="1"/>
  <c r="G44" i="1"/>
  <c r="H44" i="1"/>
  <c r="I44" i="1"/>
  <c r="F44" i="1"/>
  <c r="F169" i="1"/>
  <c r="H169" i="1"/>
  <c r="I169" i="1"/>
  <c r="G169" i="1"/>
  <c r="X169" i="1" s="1"/>
  <c r="F159" i="1"/>
  <c r="H159" i="1"/>
  <c r="I159" i="1"/>
  <c r="G159" i="1"/>
  <c r="X159" i="1" s="1"/>
  <c r="G157" i="1"/>
  <c r="H157" i="1"/>
  <c r="I157" i="1"/>
  <c r="F157" i="1"/>
  <c r="G107" i="1"/>
  <c r="H107" i="1"/>
  <c r="I107" i="1"/>
  <c r="F107" i="1"/>
  <c r="G57" i="1"/>
  <c r="H57" i="1"/>
  <c r="I57" i="1"/>
  <c r="F57" i="1"/>
  <c r="G17" i="1"/>
  <c r="F17" i="1"/>
  <c r="H17" i="1"/>
  <c r="I17" i="1"/>
  <c r="G136" i="1"/>
  <c r="H136" i="1"/>
  <c r="F136" i="1"/>
  <c r="I136" i="1"/>
  <c r="G66" i="1"/>
  <c r="H66" i="1"/>
  <c r="I66" i="1"/>
  <c r="F66" i="1"/>
  <c r="G56" i="1"/>
  <c r="H56" i="1"/>
  <c r="I56" i="1"/>
  <c r="F56" i="1"/>
  <c r="G46" i="1"/>
  <c r="H46" i="1"/>
  <c r="I46" i="1"/>
  <c r="F46" i="1"/>
  <c r="G36" i="1"/>
  <c r="H36" i="1"/>
  <c r="I36" i="1"/>
  <c r="F36" i="1"/>
  <c r="G26" i="1"/>
  <c r="H26" i="1"/>
  <c r="I26" i="1"/>
  <c r="F26" i="1"/>
  <c r="G16" i="1"/>
  <c r="H16" i="1"/>
  <c r="I16" i="1"/>
  <c r="F16" i="1"/>
  <c r="G6" i="1"/>
  <c r="H6" i="1"/>
  <c r="I6" i="1"/>
  <c r="F6" i="1"/>
  <c r="H145" i="1"/>
  <c r="F145" i="1"/>
  <c r="G145" i="1"/>
  <c r="X145" i="1" s="1"/>
  <c r="I145" i="1"/>
  <c r="H95" i="1"/>
  <c r="G95" i="1"/>
  <c r="I95" i="1"/>
  <c r="F95" i="1"/>
  <c r="H55" i="1"/>
  <c r="F55" i="1"/>
  <c r="G55" i="1"/>
  <c r="I55" i="1"/>
  <c r="H35" i="1"/>
  <c r="F35" i="1"/>
  <c r="G35" i="1"/>
  <c r="I35" i="1"/>
  <c r="H25" i="1"/>
  <c r="F25" i="1"/>
  <c r="G25" i="1"/>
  <c r="I25" i="1"/>
  <c r="H15" i="1"/>
  <c r="G15" i="1"/>
  <c r="X15" i="1" s="1"/>
  <c r="I15" i="1"/>
  <c r="F15" i="1"/>
  <c r="H5" i="1"/>
  <c r="G5" i="1"/>
  <c r="F5" i="1"/>
  <c r="I5" i="1"/>
  <c r="G104" i="1"/>
  <c r="H104" i="1"/>
  <c r="F104" i="1"/>
  <c r="I104" i="1"/>
  <c r="G14" i="1"/>
  <c r="H14" i="1"/>
  <c r="I14" i="1"/>
  <c r="F14" i="1"/>
  <c r="H186" i="1"/>
  <c r="F186" i="1"/>
  <c r="G186" i="1"/>
  <c r="I186" i="1"/>
  <c r="G166" i="1"/>
  <c r="H166" i="1"/>
  <c r="I166" i="1"/>
  <c r="F166" i="1"/>
  <c r="G96" i="1"/>
  <c r="H96" i="1"/>
  <c r="I96" i="1"/>
  <c r="F96" i="1"/>
  <c r="I195" i="1"/>
  <c r="F195" i="1"/>
  <c r="G195" i="1"/>
  <c r="H195" i="1"/>
  <c r="H165" i="1"/>
  <c r="G165" i="1"/>
  <c r="I165" i="1"/>
  <c r="F165" i="1"/>
  <c r="H105" i="1"/>
  <c r="I105" i="1"/>
  <c r="F105" i="1"/>
  <c r="G105" i="1"/>
  <c r="H65" i="1"/>
  <c r="G65" i="1"/>
  <c r="X65" i="1" s="1"/>
  <c r="I65" i="1"/>
  <c r="F65" i="1"/>
  <c r="G194" i="1"/>
  <c r="H194" i="1"/>
  <c r="F194" i="1"/>
  <c r="I194" i="1"/>
  <c r="G154" i="1"/>
  <c r="H154" i="1"/>
  <c r="F154" i="1"/>
  <c r="I154" i="1"/>
  <c r="G124" i="1"/>
  <c r="H124" i="1"/>
  <c r="I124" i="1"/>
  <c r="F124" i="1"/>
  <c r="G74" i="1"/>
  <c r="H74" i="1"/>
  <c r="I74" i="1"/>
  <c r="F74" i="1"/>
  <c r="G34" i="1"/>
  <c r="H34" i="1"/>
  <c r="I34" i="1"/>
  <c r="F34" i="1"/>
  <c r="I173" i="1"/>
  <c r="G173" i="1"/>
  <c r="H173" i="1"/>
  <c r="F173" i="1"/>
  <c r="I143" i="1"/>
  <c r="G143" i="1"/>
  <c r="F143" i="1"/>
  <c r="H143" i="1"/>
  <c r="I93" i="1"/>
  <c r="G93" i="1"/>
  <c r="X93" i="1" s="1"/>
  <c r="H93" i="1"/>
  <c r="F93" i="1"/>
  <c r="I33" i="1"/>
  <c r="G33" i="1"/>
  <c r="X33" i="1" s="1"/>
  <c r="H33" i="1"/>
  <c r="F33" i="1"/>
  <c r="G3" i="1"/>
  <c r="H3" i="1"/>
  <c r="I3" i="1"/>
  <c r="F3" i="1"/>
  <c r="G172" i="1"/>
  <c r="I172" i="1"/>
  <c r="H172" i="1"/>
  <c r="F172" i="1"/>
  <c r="G132" i="1"/>
  <c r="I132" i="1"/>
  <c r="H132" i="1"/>
  <c r="F132" i="1"/>
  <c r="G82" i="1"/>
  <c r="I82" i="1"/>
  <c r="F82" i="1"/>
  <c r="H82" i="1"/>
  <c r="G22" i="1"/>
  <c r="X22" i="1" s="1"/>
  <c r="I22" i="1"/>
  <c r="F22" i="1"/>
  <c r="H22" i="1"/>
  <c r="G201" i="1"/>
  <c r="X201" i="1" s="1"/>
  <c r="I201" i="1"/>
  <c r="F201" i="1"/>
  <c r="H201" i="1"/>
  <c r="G181" i="1"/>
  <c r="F181" i="1"/>
  <c r="H181" i="1"/>
  <c r="I181" i="1"/>
  <c r="G171" i="1"/>
  <c r="F171" i="1"/>
  <c r="H171" i="1"/>
  <c r="I171" i="1"/>
  <c r="G161" i="1"/>
  <c r="F161" i="1"/>
  <c r="H161" i="1"/>
  <c r="I161" i="1"/>
  <c r="G151" i="1"/>
  <c r="X151" i="1" s="1"/>
  <c r="F151" i="1"/>
  <c r="H151" i="1"/>
  <c r="I151" i="1"/>
  <c r="G141" i="1"/>
  <c r="F141" i="1"/>
  <c r="H141" i="1"/>
  <c r="I141" i="1"/>
  <c r="G131" i="1"/>
  <c r="F131" i="1"/>
  <c r="H131" i="1"/>
  <c r="I131" i="1"/>
  <c r="G121" i="1"/>
  <c r="F121" i="1"/>
  <c r="H121" i="1"/>
  <c r="I121" i="1"/>
  <c r="G111" i="1"/>
  <c r="F111" i="1"/>
  <c r="H111" i="1"/>
  <c r="I111" i="1"/>
  <c r="G101" i="1"/>
  <c r="X101" i="1" s="1"/>
  <c r="F101" i="1"/>
  <c r="H101" i="1"/>
  <c r="I101" i="1"/>
  <c r="G91" i="1"/>
  <c r="X91" i="1" s="1"/>
  <c r="F91" i="1"/>
  <c r="H91" i="1"/>
  <c r="I91" i="1"/>
  <c r="G81" i="1"/>
  <c r="F81" i="1"/>
  <c r="H81" i="1"/>
  <c r="I81" i="1"/>
  <c r="G71" i="1"/>
  <c r="F71" i="1"/>
  <c r="H71" i="1"/>
  <c r="I71" i="1"/>
  <c r="G61" i="1"/>
  <c r="F61" i="1"/>
  <c r="I61" i="1"/>
  <c r="H61" i="1"/>
  <c r="G51" i="1"/>
  <c r="X51" i="1" s="1"/>
  <c r="F51" i="1"/>
  <c r="H51" i="1"/>
  <c r="I51" i="1"/>
  <c r="H196" i="1"/>
  <c r="G196" i="1"/>
  <c r="X196" i="1" s="1"/>
  <c r="I196" i="1"/>
  <c r="F196" i="1"/>
  <c r="G146" i="1"/>
  <c r="H146" i="1"/>
  <c r="F146" i="1"/>
  <c r="I146" i="1"/>
  <c r="G116" i="1"/>
  <c r="H116" i="1"/>
  <c r="I116" i="1"/>
  <c r="F116" i="1"/>
  <c r="G76" i="1"/>
  <c r="H76" i="1"/>
  <c r="I76" i="1"/>
  <c r="F76" i="1"/>
  <c r="G175" i="1"/>
  <c r="H175" i="1"/>
  <c r="F175" i="1"/>
  <c r="I175" i="1"/>
  <c r="H135" i="1"/>
  <c r="F135" i="1"/>
  <c r="G135" i="1"/>
  <c r="X135" i="1" s="1"/>
  <c r="I135" i="1"/>
  <c r="H75" i="1"/>
  <c r="G75" i="1"/>
  <c r="X75" i="1" s="1"/>
  <c r="I75" i="1"/>
  <c r="F75" i="1"/>
  <c r="G164" i="1"/>
  <c r="H164" i="1"/>
  <c r="I164" i="1"/>
  <c r="F164" i="1"/>
  <c r="G134" i="1"/>
  <c r="X134" i="1" s="1"/>
  <c r="H134" i="1"/>
  <c r="I134" i="1"/>
  <c r="F134" i="1"/>
  <c r="G64" i="1"/>
  <c r="H64" i="1"/>
  <c r="I64" i="1"/>
  <c r="F64" i="1"/>
  <c r="G24" i="1"/>
  <c r="X24" i="1" s="1"/>
  <c r="H24" i="1"/>
  <c r="F24" i="1"/>
  <c r="I24" i="1"/>
  <c r="I193" i="1"/>
  <c r="G193" i="1"/>
  <c r="X193" i="1" s="1"/>
  <c r="F193" i="1"/>
  <c r="H193" i="1"/>
  <c r="I163" i="1"/>
  <c r="G163" i="1"/>
  <c r="X163" i="1" s="1"/>
  <c r="F163" i="1"/>
  <c r="H163" i="1"/>
  <c r="I133" i="1"/>
  <c r="G133" i="1"/>
  <c r="X133" i="1" s="1"/>
  <c r="H133" i="1"/>
  <c r="F133" i="1"/>
  <c r="I113" i="1"/>
  <c r="G113" i="1"/>
  <c r="F113" i="1"/>
  <c r="H113" i="1"/>
  <c r="I83" i="1"/>
  <c r="G83" i="1"/>
  <c r="X83" i="1" s="1"/>
  <c r="H83" i="1"/>
  <c r="F83" i="1"/>
  <c r="I53" i="1"/>
  <c r="G53" i="1"/>
  <c r="X53" i="1" s="1"/>
  <c r="H53" i="1"/>
  <c r="F53" i="1"/>
  <c r="I23" i="1"/>
  <c r="G23" i="1"/>
  <c r="H23" i="1"/>
  <c r="F23" i="1"/>
  <c r="G182" i="1"/>
  <c r="X182" i="1" s="1"/>
  <c r="H182" i="1"/>
  <c r="I182" i="1"/>
  <c r="F182" i="1"/>
  <c r="G152" i="1"/>
  <c r="I152" i="1"/>
  <c r="H152" i="1"/>
  <c r="F152" i="1"/>
  <c r="G112" i="1"/>
  <c r="X112" i="1" s="1"/>
  <c r="I112" i="1"/>
  <c r="F112" i="1"/>
  <c r="H112" i="1"/>
  <c r="G102" i="1"/>
  <c r="I102" i="1"/>
  <c r="H102" i="1"/>
  <c r="F102" i="1"/>
  <c r="G52" i="1"/>
  <c r="I52" i="1"/>
  <c r="H52" i="1"/>
  <c r="F52" i="1"/>
  <c r="G32" i="1"/>
  <c r="X32" i="1" s="1"/>
  <c r="I32" i="1"/>
  <c r="H32" i="1"/>
  <c r="F32" i="1"/>
  <c r="V188" i="1"/>
  <c r="W188" i="1"/>
  <c r="G156" i="1"/>
  <c r="H156" i="1"/>
  <c r="I156" i="1"/>
  <c r="F156" i="1"/>
  <c r="G126" i="1"/>
  <c r="H126" i="1"/>
  <c r="I126" i="1"/>
  <c r="F126" i="1"/>
  <c r="G86" i="1"/>
  <c r="H86" i="1"/>
  <c r="I86" i="1"/>
  <c r="F86" i="1"/>
  <c r="H155" i="1"/>
  <c r="I155" i="1"/>
  <c r="F155" i="1"/>
  <c r="G155" i="1"/>
  <c r="H115" i="1"/>
  <c r="G115" i="1"/>
  <c r="I115" i="1"/>
  <c r="F115" i="1"/>
  <c r="H45" i="1"/>
  <c r="G45" i="1"/>
  <c r="I45" i="1"/>
  <c r="F45" i="1"/>
  <c r="G174" i="1"/>
  <c r="X174" i="1" s="1"/>
  <c r="H174" i="1"/>
  <c r="F174" i="1"/>
  <c r="I174" i="1"/>
  <c r="G114" i="1"/>
  <c r="H114" i="1"/>
  <c r="I114" i="1"/>
  <c r="F114" i="1"/>
  <c r="G94" i="1"/>
  <c r="X94" i="1" s="1"/>
  <c r="H94" i="1"/>
  <c r="F94" i="1"/>
  <c r="I94" i="1"/>
  <c r="G54" i="1"/>
  <c r="X54" i="1" s="1"/>
  <c r="H54" i="1"/>
  <c r="F54" i="1"/>
  <c r="I54" i="1"/>
  <c r="H4" i="1"/>
  <c r="I4" i="1"/>
  <c r="G4" i="1"/>
  <c r="X4" i="1" s="1"/>
  <c r="F4" i="1"/>
  <c r="I183" i="1"/>
  <c r="G183" i="1"/>
  <c r="H183" i="1"/>
  <c r="F183" i="1"/>
  <c r="I153" i="1"/>
  <c r="G153" i="1"/>
  <c r="F153" i="1"/>
  <c r="H153" i="1"/>
  <c r="I123" i="1"/>
  <c r="G123" i="1"/>
  <c r="H123" i="1"/>
  <c r="F123" i="1"/>
  <c r="I103" i="1"/>
  <c r="G103" i="1"/>
  <c r="H103" i="1"/>
  <c r="F103" i="1"/>
  <c r="I73" i="1"/>
  <c r="G73" i="1"/>
  <c r="H73" i="1"/>
  <c r="F73" i="1"/>
  <c r="I63" i="1"/>
  <c r="G63" i="1"/>
  <c r="H63" i="1"/>
  <c r="F63" i="1"/>
  <c r="I43" i="1"/>
  <c r="G43" i="1"/>
  <c r="H43" i="1"/>
  <c r="F43" i="1"/>
  <c r="G13" i="1"/>
  <c r="X13" i="1" s="1"/>
  <c r="H13" i="1"/>
  <c r="F13" i="1"/>
  <c r="I13" i="1"/>
  <c r="G192" i="1"/>
  <c r="X192" i="1" s="1"/>
  <c r="H192" i="1"/>
  <c r="F192" i="1"/>
  <c r="I192" i="1"/>
  <c r="G162" i="1"/>
  <c r="I162" i="1"/>
  <c r="F162" i="1"/>
  <c r="H162" i="1"/>
  <c r="G142" i="1"/>
  <c r="X142" i="1" s="1"/>
  <c r="I142" i="1"/>
  <c r="F142" i="1"/>
  <c r="H142" i="1"/>
  <c r="G122" i="1"/>
  <c r="I122" i="1"/>
  <c r="H122" i="1"/>
  <c r="F122" i="1"/>
  <c r="G92" i="1"/>
  <c r="X92" i="1" s="1"/>
  <c r="I92" i="1"/>
  <c r="F92" i="1"/>
  <c r="H92" i="1"/>
  <c r="G72" i="1"/>
  <c r="X72" i="1" s="1"/>
  <c r="I72" i="1"/>
  <c r="H72" i="1"/>
  <c r="F72" i="1"/>
  <c r="G62" i="1"/>
  <c r="I62" i="1"/>
  <c r="H62" i="1"/>
  <c r="F62" i="1"/>
  <c r="G42" i="1"/>
  <c r="X42" i="1" s="1"/>
  <c r="I42" i="1"/>
  <c r="F42" i="1"/>
  <c r="H42" i="1"/>
  <c r="I12" i="1"/>
  <c r="G12" i="1"/>
  <c r="H12" i="1"/>
  <c r="F12" i="1"/>
  <c r="G191" i="1"/>
  <c r="X191" i="1" s="1"/>
  <c r="H191" i="1"/>
  <c r="F191" i="1"/>
  <c r="I191" i="1"/>
  <c r="X200" i="1"/>
  <c r="X140" i="1"/>
  <c r="X130" i="1"/>
  <c r="X120" i="1"/>
  <c r="F119" i="1"/>
  <c r="H119" i="1"/>
  <c r="I119" i="1"/>
  <c r="G119" i="1"/>
  <c r="F109" i="1"/>
  <c r="H109" i="1"/>
  <c r="I109" i="1"/>
  <c r="G109" i="1"/>
  <c r="X109" i="1" s="1"/>
  <c r="F69" i="1"/>
  <c r="H69" i="1"/>
  <c r="I69" i="1"/>
  <c r="G69" i="1"/>
  <c r="X69" i="1" s="1"/>
  <c r="F59" i="1"/>
  <c r="H59" i="1"/>
  <c r="I59" i="1"/>
  <c r="G59" i="1"/>
  <c r="X59" i="1" s="1"/>
  <c r="F29" i="1"/>
  <c r="H29" i="1"/>
  <c r="I29" i="1"/>
  <c r="G29" i="1"/>
  <c r="H19" i="1"/>
  <c r="F19" i="1"/>
  <c r="G19" i="1"/>
  <c r="I19" i="1"/>
  <c r="G167" i="1"/>
  <c r="H167" i="1"/>
  <c r="I167" i="1"/>
  <c r="F167" i="1"/>
  <c r="G117" i="1"/>
  <c r="H117" i="1"/>
  <c r="I117" i="1"/>
  <c r="F117" i="1"/>
  <c r="G67" i="1"/>
  <c r="H67" i="1"/>
  <c r="I67" i="1"/>
  <c r="F67" i="1"/>
  <c r="G27" i="1"/>
  <c r="H27" i="1"/>
  <c r="I27" i="1"/>
  <c r="F27" i="1"/>
  <c r="V198" i="1"/>
  <c r="W198" i="1"/>
  <c r="Y198" i="1" s="1"/>
  <c r="H189" i="1"/>
  <c r="X189" i="1" s="1"/>
  <c r="F179" i="1"/>
  <c r="I179" i="1"/>
  <c r="F129" i="1"/>
  <c r="H129" i="1"/>
  <c r="I129" i="1"/>
  <c r="F79" i="1"/>
  <c r="H79" i="1"/>
  <c r="I79" i="1"/>
  <c r="V148" i="1"/>
  <c r="W148" i="1"/>
  <c r="V98" i="1"/>
  <c r="W98" i="1"/>
  <c r="V48" i="1"/>
  <c r="W48" i="1"/>
  <c r="Y48" i="1" s="1"/>
  <c r="X138" i="1"/>
  <c r="G129" i="1"/>
  <c r="X38" i="1"/>
  <c r="I11" i="1"/>
  <c r="G177" i="1"/>
  <c r="X177" i="1" s="1"/>
  <c r="H177" i="1"/>
  <c r="I177" i="1"/>
  <c r="F177" i="1"/>
  <c r="G127" i="1"/>
  <c r="H127" i="1"/>
  <c r="I127" i="1"/>
  <c r="F127" i="1"/>
  <c r="G77" i="1"/>
  <c r="H77" i="1"/>
  <c r="I77" i="1"/>
  <c r="F77" i="1"/>
  <c r="F39" i="1"/>
  <c r="H39" i="1"/>
  <c r="I39" i="1"/>
  <c r="H199" i="1"/>
  <c r="X199" i="1" s="1"/>
  <c r="X178" i="1"/>
  <c r="F189" i="1"/>
  <c r="I189" i="1"/>
  <c r="F139" i="1"/>
  <c r="H139" i="1"/>
  <c r="I139" i="1"/>
  <c r="F89" i="1"/>
  <c r="H89" i="1"/>
  <c r="I89" i="1"/>
  <c r="G37" i="1"/>
  <c r="H37" i="1"/>
  <c r="I37" i="1"/>
  <c r="F37" i="1"/>
  <c r="H9" i="1"/>
  <c r="I9" i="1"/>
  <c r="F9" i="1"/>
  <c r="G9" i="1"/>
  <c r="V178" i="1"/>
  <c r="W178" i="1"/>
  <c r="V128" i="1"/>
  <c r="W128" i="1"/>
  <c r="Y128" i="1" s="1"/>
  <c r="V78" i="1"/>
  <c r="W78" i="1"/>
  <c r="Y78" i="1" s="1"/>
  <c r="V28" i="1"/>
  <c r="W28" i="1"/>
  <c r="Y28" i="1" s="1"/>
  <c r="G79" i="1"/>
  <c r="X58" i="1"/>
  <c r="G41" i="1"/>
  <c r="F41" i="1"/>
  <c r="G31" i="1"/>
  <c r="F31" i="1"/>
  <c r="G21" i="1"/>
  <c r="F21" i="1"/>
  <c r="G11" i="1"/>
  <c r="X11" i="1" s="1"/>
  <c r="F11" i="1"/>
  <c r="G187" i="1"/>
  <c r="H187" i="1"/>
  <c r="I187" i="1"/>
  <c r="F187" i="1"/>
  <c r="G137" i="1"/>
  <c r="H137" i="1"/>
  <c r="I137" i="1"/>
  <c r="F137" i="1"/>
  <c r="G87" i="1"/>
  <c r="H87" i="1"/>
  <c r="I87" i="1"/>
  <c r="F87" i="1"/>
  <c r="H7" i="1"/>
  <c r="F7" i="1"/>
  <c r="X188" i="1"/>
  <c r="G89" i="1"/>
  <c r="X89" i="1" s="1"/>
  <c r="X68" i="1"/>
  <c r="G7" i="1"/>
  <c r="X7" i="1" s="1"/>
  <c r="F199" i="1"/>
  <c r="I199" i="1"/>
  <c r="F149" i="1"/>
  <c r="H149" i="1"/>
  <c r="I149" i="1"/>
  <c r="F99" i="1"/>
  <c r="H99" i="1"/>
  <c r="I99" i="1"/>
  <c r="F49" i="1"/>
  <c r="H49" i="1"/>
  <c r="X49" i="1" s="1"/>
  <c r="I49" i="1"/>
  <c r="V158" i="1"/>
  <c r="W158" i="1"/>
  <c r="V108" i="1"/>
  <c r="W108" i="1"/>
  <c r="V58" i="1"/>
  <c r="W58" i="1"/>
  <c r="Y58" i="1" s="1"/>
  <c r="V8" i="1"/>
  <c r="W8" i="1"/>
  <c r="G99" i="1"/>
  <c r="X99" i="1" s="1"/>
  <c r="X78" i="1"/>
  <c r="I21" i="1"/>
  <c r="H170" i="1"/>
  <c r="X170" i="1" s="1"/>
  <c r="I170" i="1"/>
  <c r="F170" i="1"/>
  <c r="H30" i="1"/>
  <c r="I30" i="1"/>
  <c r="F30" i="1"/>
  <c r="G30" i="1"/>
  <c r="X30" i="1" s="1"/>
  <c r="G147" i="1"/>
  <c r="H147" i="1"/>
  <c r="I147" i="1"/>
  <c r="F147" i="1"/>
  <c r="X88" i="1"/>
  <c r="I31" i="1"/>
  <c r="H21" i="1"/>
  <c r="H190" i="1"/>
  <c r="I190" i="1"/>
  <c r="F190" i="1"/>
  <c r="H150" i="1"/>
  <c r="X150" i="1" s="1"/>
  <c r="I150" i="1"/>
  <c r="F150" i="1"/>
  <c r="H120" i="1"/>
  <c r="I120" i="1"/>
  <c r="F120" i="1"/>
  <c r="H90" i="1"/>
  <c r="I90" i="1"/>
  <c r="F90" i="1"/>
  <c r="G90" i="1"/>
  <c r="X90" i="1" s="1"/>
  <c r="H50" i="1"/>
  <c r="I50" i="1"/>
  <c r="F50" i="1"/>
  <c r="G50" i="1"/>
  <c r="G10" i="1"/>
  <c r="H10" i="1"/>
  <c r="I10" i="1"/>
  <c r="F10" i="1"/>
  <c r="G197" i="1"/>
  <c r="H197" i="1"/>
  <c r="I197" i="1"/>
  <c r="F197" i="1"/>
  <c r="G97" i="1"/>
  <c r="X97" i="1" s="1"/>
  <c r="H97" i="1"/>
  <c r="I97" i="1"/>
  <c r="F97" i="1"/>
  <c r="G47" i="1"/>
  <c r="H47" i="1"/>
  <c r="I47" i="1"/>
  <c r="F47" i="1"/>
  <c r="F138" i="1"/>
  <c r="V88" i="1"/>
  <c r="W88" i="1"/>
  <c r="Y88" i="1" s="1"/>
  <c r="V38" i="1"/>
  <c r="W38" i="1"/>
  <c r="G158" i="1"/>
  <c r="X158" i="1" s="1"/>
  <c r="G149" i="1"/>
  <c r="X149" i="1" s="1"/>
  <c r="G108" i="1"/>
  <c r="X108" i="1" s="1"/>
  <c r="G98" i="1"/>
  <c r="X98" i="1" s="1"/>
  <c r="I41" i="1"/>
  <c r="H31" i="1"/>
  <c r="H160" i="1"/>
  <c r="X160" i="1" s="1"/>
  <c r="I160" i="1"/>
  <c r="F160" i="1"/>
  <c r="H130" i="1"/>
  <c r="I130" i="1"/>
  <c r="F130" i="1"/>
  <c r="H100" i="1"/>
  <c r="I100" i="1"/>
  <c r="F100" i="1"/>
  <c r="G100" i="1"/>
  <c r="X100" i="1" s="1"/>
  <c r="H70" i="1"/>
  <c r="I70" i="1"/>
  <c r="F70" i="1"/>
  <c r="G70" i="1"/>
  <c r="H40" i="1"/>
  <c r="F40" i="1"/>
  <c r="I40" i="1"/>
  <c r="G40" i="1"/>
  <c r="X40" i="1" s="1"/>
  <c r="I18" i="1"/>
  <c r="G18" i="1"/>
  <c r="X18" i="1" s="1"/>
  <c r="I8" i="1"/>
  <c r="G8" i="1"/>
  <c r="X8" i="1" s="1"/>
  <c r="H8" i="1"/>
  <c r="H179" i="1"/>
  <c r="H148" i="1"/>
  <c r="H41" i="1"/>
  <c r="H200" i="1"/>
  <c r="I200" i="1"/>
  <c r="F200" i="1"/>
  <c r="H180" i="1"/>
  <c r="X180" i="1" s="1"/>
  <c r="I180" i="1"/>
  <c r="F180" i="1"/>
  <c r="H140" i="1"/>
  <c r="I140" i="1"/>
  <c r="F140" i="1"/>
  <c r="H110" i="1"/>
  <c r="I110" i="1"/>
  <c r="X110" i="1" s="1"/>
  <c r="F110" i="1"/>
  <c r="H80" i="1"/>
  <c r="I80" i="1"/>
  <c r="F80" i="1"/>
  <c r="G80" i="1"/>
  <c r="X80" i="1" s="1"/>
  <c r="H60" i="1"/>
  <c r="I60" i="1"/>
  <c r="F60" i="1"/>
  <c r="G60" i="1"/>
  <c r="X60" i="1" s="1"/>
  <c r="H20" i="1"/>
  <c r="I20" i="1"/>
  <c r="F20" i="1"/>
  <c r="G20" i="1"/>
  <c r="X20" i="1" s="1"/>
  <c r="V168" i="1"/>
  <c r="W168" i="1"/>
  <c r="Y168" i="1" s="1"/>
  <c r="V118" i="1"/>
  <c r="W118" i="1"/>
  <c r="Y118" i="1" s="1"/>
  <c r="V68" i="1"/>
  <c r="W68" i="1"/>
  <c r="V18" i="1"/>
  <c r="W18" i="1"/>
  <c r="G190" i="1"/>
  <c r="X190" i="1" s="1"/>
  <c r="G179" i="1"/>
  <c r="X179" i="1" s="1"/>
  <c r="G148" i="1"/>
  <c r="X148" i="1" s="1"/>
  <c r="G139" i="1"/>
  <c r="X139" i="1" s="1"/>
  <c r="G39" i="1"/>
  <c r="U201" i="1"/>
  <c r="U191" i="1"/>
  <c r="U181" i="1"/>
  <c r="U171" i="1"/>
  <c r="U161" i="1"/>
  <c r="U151" i="1"/>
  <c r="U141" i="1"/>
  <c r="U131" i="1"/>
  <c r="U121" i="1"/>
  <c r="U111" i="1"/>
  <c r="U101" i="1"/>
  <c r="U91" i="1"/>
  <c r="U81" i="1"/>
  <c r="U71" i="1"/>
  <c r="U61" i="1"/>
  <c r="U51" i="1"/>
  <c r="U41" i="1"/>
  <c r="U31" i="1"/>
  <c r="U21" i="1"/>
  <c r="U11" i="1"/>
  <c r="U184" i="1"/>
  <c r="U174" i="1"/>
  <c r="U164" i="1"/>
  <c r="U154" i="1"/>
  <c r="U144" i="1"/>
  <c r="U134" i="1"/>
  <c r="U124" i="1"/>
  <c r="U114" i="1"/>
  <c r="U104" i="1"/>
  <c r="U94" i="1"/>
  <c r="U84" i="1"/>
  <c r="U74" i="1"/>
  <c r="U64" i="1"/>
  <c r="U54" i="1"/>
  <c r="U44" i="1"/>
  <c r="U34" i="1"/>
  <c r="U24" i="1"/>
  <c r="U14" i="1"/>
  <c r="U4" i="1"/>
  <c r="I2" i="1"/>
  <c r="F2" i="1"/>
  <c r="G2" i="1"/>
  <c r="H2" i="1"/>
  <c r="AA27" i="4" l="1"/>
  <c r="AA13" i="4"/>
  <c r="AA16" i="4"/>
  <c r="AA54" i="4"/>
  <c r="AA195" i="4"/>
  <c r="AA110" i="4"/>
  <c r="AA86" i="4"/>
  <c r="AA151" i="4"/>
  <c r="AA177" i="4"/>
  <c r="AA132" i="4"/>
  <c r="AA55" i="4"/>
  <c r="AA65" i="4"/>
  <c r="AA90" i="4"/>
  <c r="AA196" i="4"/>
  <c r="AA215" i="4"/>
  <c r="AA3" i="4"/>
  <c r="AA67" i="4"/>
  <c r="AA198" i="4"/>
  <c r="AA119" i="4"/>
  <c r="AA212" i="4"/>
  <c r="AA138" i="4"/>
  <c r="AA149" i="4"/>
  <c r="AA42" i="4"/>
  <c r="AA22" i="4"/>
  <c r="AA147" i="4"/>
  <c r="AA167" i="4"/>
  <c r="AA218" i="4"/>
  <c r="AA45" i="4"/>
  <c r="AA94" i="4"/>
  <c r="AA154" i="4"/>
  <c r="AA178" i="4"/>
  <c r="AA88" i="4"/>
  <c r="AA76" i="4"/>
  <c r="AA98" i="4"/>
  <c r="AA155" i="4"/>
  <c r="AA184" i="4"/>
  <c r="AA7" i="4"/>
  <c r="AA68" i="4"/>
  <c r="AA144" i="4"/>
  <c r="AA109" i="4"/>
  <c r="AA2" i="4"/>
  <c r="AA190" i="4"/>
  <c r="AA114" i="4"/>
  <c r="AA58" i="4"/>
  <c r="AA57" i="4"/>
  <c r="AA43" i="4"/>
  <c r="AA128" i="4"/>
  <c r="AA124" i="4"/>
  <c r="AA129" i="4"/>
  <c r="AA72" i="4"/>
  <c r="AA123" i="4"/>
  <c r="AA150" i="4"/>
  <c r="AA199" i="4"/>
  <c r="AA142" i="4"/>
  <c r="AA53" i="4"/>
  <c r="AA126" i="4"/>
  <c r="AA169" i="4"/>
  <c r="AA189" i="4"/>
  <c r="AA17" i="4"/>
  <c r="AA37" i="4"/>
  <c r="AA170" i="4"/>
  <c r="AA120" i="4"/>
  <c r="AA15" i="4"/>
  <c r="AA204" i="4"/>
  <c r="AA133" i="4"/>
  <c r="AA106" i="4"/>
  <c r="AA182" i="4"/>
  <c r="AA24" i="4"/>
  <c r="AA77" i="4"/>
  <c r="AA183" i="4"/>
  <c r="AA197" i="4"/>
  <c r="AA60" i="4"/>
  <c r="AA210" i="4"/>
  <c r="AA179" i="4"/>
  <c r="AA12" i="4"/>
  <c r="AA10" i="4"/>
  <c r="AA33" i="4"/>
  <c r="AA79" i="4"/>
  <c r="AA193" i="4"/>
  <c r="AA187" i="4"/>
  <c r="AA21" i="4"/>
  <c r="AA66" i="4"/>
  <c r="AA194" i="4"/>
  <c r="AA175" i="4"/>
  <c r="AA91" i="4"/>
  <c r="AA216" i="4"/>
  <c r="AA96" i="4"/>
  <c r="AA153" i="4"/>
  <c r="AA159" i="4"/>
  <c r="AA89" i="4"/>
  <c r="AA75" i="4"/>
  <c r="AA180" i="4"/>
  <c r="AA4" i="4"/>
  <c r="AA78" i="4"/>
  <c r="AA201" i="4"/>
  <c r="AA107" i="4"/>
  <c r="AA34" i="4"/>
  <c r="AA18" i="4"/>
  <c r="AA40" i="4"/>
  <c r="AA162" i="4"/>
  <c r="AA136" i="4"/>
  <c r="AA220" i="4"/>
  <c r="AA19" i="4"/>
  <c r="AA158" i="4"/>
  <c r="AA82" i="4"/>
  <c r="AA61" i="4"/>
  <c r="AA50" i="4"/>
  <c r="AA156" i="4"/>
  <c r="AA146" i="4"/>
  <c r="AA125" i="4"/>
  <c r="AA5" i="4"/>
  <c r="AA69" i="4"/>
  <c r="AA84" i="4"/>
  <c r="AA213" i="4"/>
  <c r="AA14" i="4"/>
  <c r="AA73" i="4"/>
  <c r="AA137" i="4"/>
  <c r="AA152" i="4"/>
  <c r="AA8" i="4"/>
  <c r="AA9" i="4"/>
  <c r="AA56" i="4"/>
  <c r="AA192" i="4"/>
  <c r="AA163" i="4"/>
  <c r="AA6" i="4"/>
  <c r="AA51" i="4"/>
  <c r="AA70" i="4"/>
  <c r="AA205" i="4"/>
  <c r="AA118" i="4"/>
  <c r="AA97" i="4"/>
  <c r="AA181" i="4"/>
  <c r="AA93" i="4"/>
  <c r="AA140" i="4"/>
  <c r="AA52" i="4"/>
  <c r="AA32" i="4"/>
  <c r="AA95" i="4"/>
  <c r="AA211" i="4"/>
  <c r="AA11" i="4"/>
  <c r="AA44" i="4"/>
  <c r="AA188" i="4"/>
  <c r="AA102" i="4"/>
  <c r="AA48" i="4"/>
  <c r="AA35" i="4"/>
  <c r="AA113" i="4"/>
  <c r="AA161" i="4"/>
  <c r="AA145" i="4"/>
  <c r="AA38" i="4"/>
  <c r="AA23" i="4"/>
  <c r="AA59" i="4"/>
  <c r="AA171" i="4"/>
  <c r="AA103" i="4"/>
  <c r="AA63" i="4"/>
  <c r="AA202" i="4"/>
  <c r="AA108" i="4"/>
  <c r="AA191" i="4"/>
  <c r="AA87" i="4"/>
  <c r="AA105" i="4"/>
  <c r="AA116" i="4"/>
  <c r="AA130" i="4"/>
  <c r="AA26" i="4"/>
  <c r="AA80" i="4"/>
  <c r="AA174" i="4"/>
  <c r="AA166" i="4"/>
  <c r="AA29" i="4"/>
  <c r="AA20" i="4"/>
  <c r="AA36" i="4"/>
  <c r="AA168" i="4"/>
  <c r="AA176" i="4"/>
  <c r="AA62" i="4"/>
  <c r="AA64" i="4"/>
  <c r="AA164" i="4"/>
  <c r="AA131" i="4"/>
  <c r="AA117" i="4"/>
  <c r="AA121" i="4"/>
  <c r="AA74" i="4"/>
  <c r="AA160" i="4"/>
  <c r="AA99" i="4"/>
  <c r="AA39" i="4"/>
  <c r="AA46" i="4"/>
  <c r="AA141" i="4"/>
  <c r="AA172" i="4"/>
  <c r="AA49" i="4"/>
  <c r="AA112" i="4"/>
  <c r="AA185" i="4"/>
  <c r="AA219" i="4"/>
  <c r="AA83" i="4"/>
  <c r="AA41" i="4"/>
  <c r="AA139" i="4"/>
  <c r="AA217" i="4"/>
  <c r="AA101" i="4"/>
  <c r="AA30" i="4"/>
  <c r="AA71" i="4"/>
  <c r="AA92" i="4"/>
  <c r="AA127" i="4"/>
  <c r="AA203" i="4"/>
  <c r="AA85" i="4"/>
  <c r="AA135" i="4"/>
  <c r="AA200" i="4"/>
  <c r="AA115" i="4"/>
  <c r="AA122" i="4"/>
  <c r="AA100" i="4"/>
  <c r="AA206" i="4"/>
  <c r="AA143" i="4"/>
  <c r="AA47" i="4"/>
  <c r="AA134" i="4"/>
  <c r="AA148" i="4"/>
  <c r="AA157" i="4"/>
  <c r="AA28" i="4"/>
  <c r="AA104" i="4"/>
  <c r="AA165" i="4"/>
  <c r="AA208" i="4"/>
  <c r="AA209" i="4"/>
  <c r="AA25" i="4"/>
  <c r="AA31" i="4"/>
  <c r="AA173" i="4"/>
  <c r="AA207" i="4"/>
  <c r="AA214" i="4"/>
  <c r="AA81" i="4"/>
  <c r="AA186" i="4"/>
  <c r="AA111" i="4"/>
  <c r="S222" i="4"/>
  <c r="S221" i="4"/>
  <c r="X222" i="4"/>
  <c r="X221" i="4"/>
  <c r="V222" i="4"/>
  <c r="V221" i="4"/>
  <c r="K54" i="4" s="1"/>
  <c r="Z222" i="4"/>
  <c r="Z221" i="4"/>
  <c r="T221" i="4"/>
  <c r="T222" i="4"/>
  <c r="W222" i="4"/>
  <c r="W221" i="4"/>
  <c r="Y222" i="4"/>
  <c r="Y221" i="4"/>
  <c r="R221" i="4"/>
  <c r="R222" i="4"/>
  <c r="U221" i="4"/>
  <c r="U222" i="4"/>
  <c r="X194" i="3"/>
  <c r="W52" i="3"/>
  <c r="Y52" i="3" s="1"/>
  <c r="V52" i="3"/>
  <c r="W202" i="3"/>
  <c r="V202" i="3"/>
  <c r="Y134" i="3"/>
  <c r="W7" i="3"/>
  <c r="Y7" i="3" s="1"/>
  <c r="V7" i="3"/>
  <c r="X208" i="3"/>
  <c r="Y187" i="3"/>
  <c r="X51" i="3"/>
  <c r="X151" i="3"/>
  <c r="X44" i="3"/>
  <c r="X53" i="3"/>
  <c r="V13" i="3"/>
  <c r="W13" i="3"/>
  <c r="V113" i="3"/>
  <c r="W113" i="3"/>
  <c r="Y113" i="3" s="1"/>
  <c r="V213" i="3"/>
  <c r="W213" i="3"/>
  <c r="Y213" i="3" s="1"/>
  <c r="W65" i="3"/>
  <c r="Y65" i="3" s="1"/>
  <c r="V65" i="3"/>
  <c r="V42" i="3"/>
  <c r="W42" i="3"/>
  <c r="V92" i="3"/>
  <c r="W92" i="3"/>
  <c r="Y92" i="3" s="1"/>
  <c r="V142" i="3"/>
  <c r="W142" i="3"/>
  <c r="V192" i="3"/>
  <c r="W192" i="3"/>
  <c r="Y192" i="3" s="1"/>
  <c r="W67" i="3"/>
  <c r="V67" i="3"/>
  <c r="Y114" i="3"/>
  <c r="Y6" i="3"/>
  <c r="W129" i="3"/>
  <c r="Y129" i="3" s="1"/>
  <c r="V129" i="3"/>
  <c r="X37" i="3"/>
  <c r="X137" i="3"/>
  <c r="W8" i="3"/>
  <c r="V8" i="3"/>
  <c r="W58" i="3"/>
  <c r="V58" i="3"/>
  <c r="W78" i="3"/>
  <c r="Y78" i="3" s="1"/>
  <c r="V78" i="3"/>
  <c r="W108" i="3"/>
  <c r="Y108" i="3" s="1"/>
  <c r="V108" i="3"/>
  <c r="V9" i="3"/>
  <c r="W9" i="3"/>
  <c r="Y9" i="3" s="1"/>
  <c r="W59" i="3"/>
  <c r="V59" i="3"/>
  <c r="Y151" i="3"/>
  <c r="X180" i="3"/>
  <c r="V23" i="3"/>
  <c r="W23" i="3"/>
  <c r="Y23" i="3" s="1"/>
  <c r="V123" i="3"/>
  <c r="W123" i="3"/>
  <c r="Y123" i="3" s="1"/>
  <c r="X64" i="3"/>
  <c r="Y64" i="3" s="1"/>
  <c r="X25" i="3"/>
  <c r="Y25" i="3" s="1"/>
  <c r="W115" i="3"/>
  <c r="Y115" i="3" s="1"/>
  <c r="V115" i="3"/>
  <c r="X46" i="3"/>
  <c r="Y46" i="3" s="1"/>
  <c r="X136" i="3"/>
  <c r="Y136" i="3" s="1"/>
  <c r="X13" i="3"/>
  <c r="W121" i="3"/>
  <c r="Y121" i="3" s="1"/>
  <c r="V121" i="3"/>
  <c r="X162" i="3"/>
  <c r="X212" i="3"/>
  <c r="W101" i="3"/>
  <c r="V101" i="3"/>
  <c r="Y174" i="3"/>
  <c r="W37" i="3"/>
  <c r="Y37" i="3" s="1"/>
  <c r="V37" i="3"/>
  <c r="Y5" i="3"/>
  <c r="W147" i="3"/>
  <c r="V147" i="3"/>
  <c r="X7" i="3"/>
  <c r="X107" i="3"/>
  <c r="X167" i="3"/>
  <c r="Y167" i="3" s="1"/>
  <c r="X28" i="3"/>
  <c r="X198" i="3"/>
  <c r="Y51" i="3"/>
  <c r="W109" i="3"/>
  <c r="Y109" i="3" s="1"/>
  <c r="V109" i="3"/>
  <c r="X199" i="3"/>
  <c r="X10" i="3"/>
  <c r="W40" i="3"/>
  <c r="V40" i="3"/>
  <c r="X60" i="3"/>
  <c r="W90" i="3"/>
  <c r="Y90" i="3" s="1"/>
  <c r="V90" i="3"/>
  <c r="X150" i="3"/>
  <c r="X41" i="3"/>
  <c r="Y41" i="3" s="1"/>
  <c r="X141" i="3"/>
  <c r="Y47" i="3"/>
  <c r="Y168" i="3"/>
  <c r="V172" i="3"/>
  <c r="W172" i="3"/>
  <c r="W39" i="3"/>
  <c r="Y39" i="3" s="1"/>
  <c r="V39" i="3"/>
  <c r="Y169" i="3"/>
  <c r="X40" i="3"/>
  <c r="X81" i="3"/>
  <c r="Y81" i="3" s="1"/>
  <c r="V133" i="3"/>
  <c r="W133" i="3"/>
  <c r="Y133" i="3" s="1"/>
  <c r="W145" i="3"/>
  <c r="Y145" i="3" s="1"/>
  <c r="V145" i="3"/>
  <c r="W140" i="3"/>
  <c r="V140" i="3"/>
  <c r="V143" i="3"/>
  <c r="W143" i="3"/>
  <c r="Y143" i="3" s="1"/>
  <c r="X125" i="3"/>
  <c r="Y125" i="3" s="1"/>
  <c r="X142" i="3"/>
  <c r="X207" i="3"/>
  <c r="X108" i="3"/>
  <c r="X9" i="3"/>
  <c r="X109" i="3"/>
  <c r="W70" i="3"/>
  <c r="Y70" i="3" s="1"/>
  <c r="V70" i="3"/>
  <c r="X120" i="3"/>
  <c r="V153" i="3"/>
  <c r="W153" i="3"/>
  <c r="Y153" i="3" s="1"/>
  <c r="W102" i="3"/>
  <c r="Y102" i="3" s="1"/>
  <c r="V102" i="3"/>
  <c r="W159" i="3"/>
  <c r="V159" i="3"/>
  <c r="W179" i="3"/>
  <c r="V179" i="3"/>
  <c r="W18" i="3"/>
  <c r="Y18" i="3" s="1"/>
  <c r="V18" i="3"/>
  <c r="W118" i="3"/>
  <c r="V118" i="3"/>
  <c r="W119" i="3"/>
  <c r="V119" i="3"/>
  <c r="V63" i="3"/>
  <c r="W63" i="3"/>
  <c r="W195" i="3"/>
  <c r="Y195" i="3" s="1"/>
  <c r="V195" i="3"/>
  <c r="X122" i="3"/>
  <c r="Y34" i="3"/>
  <c r="X147" i="3"/>
  <c r="W68" i="3"/>
  <c r="Y68" i="3" s="1"/>
  <c r="V68" i="3"/>
  <c r="X178" i="3"/>
  <c r="X20" i="3"/>
  <c r="W100" i="3"/>
  <c r="Y100" i="3" s="1"/>
  <c r="V100" i="3"/>
  <c r="X21" i="3"/>
  <c r="Y21" i="3" s="1"/>
  <c r="Y120" i="3"/>
  <c r="V73" i="3"/>
  <c r="W73" i="3"/>
  <c r="X154" i="3"/>
  <c r="Y154" i="3" s="1"/>
  <c r="W144" i="3"/>
  <c r="V144" i="3"/>
  <c r="V132" i="3"/>
  <c r="W132" i="3"/>
  <c r="V182" i="3"/>
  <c r="W182" i="3"/>
  <c r="Y182" i="3" s="1"/>
  <c r="W208" i="3"/>
  <c r="Y208" i="3" s="1"/>
  <c r="V208" i="3"/>
  <c r="Y94" i="3"/>
  <c r="X217" i="3"/>
  <c r="W48" i="3"/>
  <c r="V48" i="3"/>
  <c r="X148" i="3"/>
  <c r="W49" i="3"/>
  <c r="Y49" i="3" s="1"/>
  <c r="V49" i="3"/>
  <c r="Y117" i="3"/>
  <c r="V83" i="3"/>
  <c r="W83" i="3"/>
  <c r="Y83" i="3" s="1"/>
  <c r="V183" i="3"/>
  <c r="W183" i="3"/>
  <c r="Y183" i="3" s="1"/>
  <c r="X84" i="3"/>
  <c r="V194" i="3"/>
  <c r="W194" i="3"/>
  <c r="Y194" i="3" s="1"/>
  <c r="X75" i="3"/>
  <c r="Y75" i="3" s="1"/>
  <c r="W15" i="3"/>
  <c r="Y15" i="3" s="1"/>
  <c r="V15" i="3"/>
  <c r="W215" i="3"/>
  <c r="Y215" i="3" s="1"/>
  <c r="V215" i="3"/>
  <c r="X6" i="3"/>
  <c r="W27" i="3"/>
  <c r="Y27" i="3" s="1"/>
  <c r="V27" i="3"/>
  <c r="W2" i="3"/>
  <c r="Y2" i="3" s="1"/>
  <c r="V2" i="3"/>
  <c r="X152" i="3"/>
  <c r="X202" i="3"/>
  <c r="W209" i="3"/>
  <c r="V209" i="3"/>
  <c r="W160" i="3"/>
  <c r="Y160" i="3" s="1"/>
  <c r="V160" i="3"/>
  <c r="Y211" i="3"/>
  <c r="X187" i="3"/>
  <c r="X18" i="3"/>
  <c r="X68" i="3"/>
  <c r="W98" i="3"/>
  <c r="V98" i="3"/>
  <c r="X118" i="3"/>
  <c r="X218" i="3"/>
  <c r="Y218" i="3" s="1"/>
  <c r="W150" i="3"/>
  <c r="V150" i="3"/>
  <c r="X19" i="3"/>
  <c r="X69" i="3"/>
  <c r="X99" i="3"/>
  <c r="X119" i="3"/>
  <c r="X219" i="3"/>
  <c r="Y219" i="3" s="1"/>
  <c r="Y137" i="3"/>
  <c r="W30" i="3"/>
  <c r="Y30" i="3" s="1"/>
  <c r="V30" i="3"/>
  <c r="X50" i="3"/>
  <c r="W80" i="3"/>
  <c r="V80" i="3"/>
  <c r="X100" i="3"/>
  <c r="X61" i="3"/>
  <c r="X161" i="3"/>
  <c r="Y161" i="3" s="1"/>
  <c r="Y217" i="3"/>
  <c r="Y170" i="3"/>
  <c r="W139" i="3"/>
  <c r="V139" i="3"/>
  <c r="V72" i="3"/>
  <c r="W72" i="3"/>
  <c r="Y72" i="3" s="1"/>
  <c r="V122" i="3"/>
  <c r="W122" i="3"/>
  <c r="V127" i="3"/>
  <c r="W127" i="3"/>
  <c r="Y127" i="3" s="1"/>
  <c r="W155" i="3"/>
  <c r="Y155" i="3" s="1"/>
  <c r="V155" i="3"/>
  <c r="W157" i="3"/>
  <c r="V157" i="3"/>
  <c r="X192" i="3"/>
  <c r="W158" i="3"/>
  <c r="V158" i="3"/>
  <c r="X58" i="3"/>
  <c r="X138" i="3"/>
  <c r="Y138" i="3" s="1"/>
  <c r="X89" i="3"/>
  <c r="X209" i="3"/>
  <c r="W20" i="3"/>
  <c r="Y20" i="3" s="1"/>
  <c r="V20" i="3"/>
  <c r="X90" i="3"/>
  <c r="X144" i="3"/>
  <c r="V152" i="3"/>
  <c r="W152" i="3"/>
  <c r="W19" i="3"/>
  <c r="Y19" i="3" s="1"/>
  <c r="V19" i="3"/>
  <c r="W89" i="3"/>
  <c r="Y89" i="3" s="1"/>
  <c r="V89" i="3"/>
  <c r="X35" i="3"/>
  <c r="Y35" i="3" s="1"/>
  <c r="V163" i="3"/>
  <c r="W163" i="3"/>
  <c r="Y163" i="3" s="1"/>
  <c r="X86" i="3"/>
  <c r="Y86" i="3" s="1"/>
  <c r="X22" i="3"/>
  <c r="X172" i="3"/>
  <c r="W190" i="3"/>
  <c r="Y190" i="3" s="1"/>
  <c r="V190" i="3"/>
  <c r="Y84" i="3"/>
  <c r="V197" i="3"/>
  <c r="W197" i="3"/>
  <c r="Y197" i="3" s="1"/>
  <c r="X38" i="3"/>
  <c r="X39" i="3"/>
  <c r="W50" i="3"/>
  <c r="V50" i="3"/>
  <c r="X121" i="3"/>
  <c r="W173" i="3"/>
  <c r="Y173" i="3" s="1"/>
  <c r="V173" i="3"/>
  <c r="X204" i="3"/>
  <c r="Y204" i="3" s="1"/>
  <c r="V32" i="3"/>
  <c r="W32" i="3"/>
  <c r="Y44" i="3"/>
  <c r="W148" i="3"/>
  <c r="V148" i="3"/>
  <c r="W149" i="3"/>
  <c r="V149" i="3"/>
  <c r="X149" i="3"/>
  <c r="X193" i="3"/>
  <c r="V93" i="3"/>
  <c r="W93" i="3"/>
  <c r="Y93" i="3" s="1"/>
  <c r="V193" i="3"/>
  <c r="W193" i="3"/>
  <c r="X54" i="3"/>
  <c r="Y54" i="3" s="1"/>
  <c r="X164" i="3"/>
  <c r="Y164" i="3" s="1"/>
  <c r="X214" i="3"/>
  <c r="Y214" i="3" s="1"/>
  <c r="W45" i="3"/>
  <c r="Y45" i="3" s="1"/>
  <c r="V45" i="3"/>
  <c r="X16" i="3"/>
  <c r="Y16" i="3" s="1"/>
  <c r="X63" i="3"/>
  <c r="W61" i="3"/>
  <c r="V61" i="3"/>
  <c r="V12" i="3"/>
  <c r="W12" i="3"/>
  <c r="Y12" i="3" s="1"/>
  <c r="V62" i="3"/>
  <c r="W62" i="3"/>
  <c r="V112" i="3"/>
  <c r="W112" i="3"/>
  <c r="Y112" i="3" s="1"/>
  <c r="V162" i="3"/>
  <c r="W162" i="3"/>
  <c r="Y162" i="3" s="1"/>
  <c r="V212" i="3"/>
  <c r="W212" i="3"/>
  <c r="Y212" i="3" s="1"/>
  <c r="W178" i="3"/>
  <c r="Y178" i="3" s="1"/>
  <c r="V178" i="3"/>
  <c r="W180" i="3"/>
  <c r="V180" i="3"/>
  <c r="X97" i="3"/>
  <c r="X157" i="3"/>
  <c r="Y181" i="3"/>
  <c r="W28" i="3"/>
  <c r="V28" i="3"/>
  <c r="W29" i="3"/>
  <c r="V29" i="3"/>
  <c r="X79" i="3"/>
  <c r="W99" i="3"/>
  <c r="Y99" i="3" s="1"/>
  <c r="V99" i="3"/>
  <c r="X129" i="3"/>
  <c r="X159" i="3"/>
  <c r="X189" i="3"/>
  <c r="X140" i="3"/>
  <c r="X31" i="3"/>
  <c r="X131" i="3"/>
  <c r="Y131" i="3" s="1"/>
  <c r="V33" i="3"/>
  <c r="W33" i="3"/>
  <c r="Y33" i="3" s="1"/>
  <c r="V22" i="3"/>
  <c r="W22" i="3"/>
  <c r="Y22" i="3" s="1"/>
  <c r="Y24" i="3"/>
  <c r="Y184" i="3"/>
  <c r="W38" i="3"/>
  <c r="V38" i="3"/>
  <c r="V43" i="3"/>
  <c r="W43" i="3"/>
  <c r="Y43" i="3" s="1"/>
  <c r="X104" i="3"/>
  <c r="X42" i="3"/>
  <c r="X92" i="3"/>
  <c r="W141" i="3"/>
  <c r="V141" i="3"/>
  <c r="W77" i="3"/>
  <c r="Y77" i="3" s="1"/>
  <c r="V77" i="3"/>
  <c r="X8" i="3"/>
  <c r="X59" i="3"/>
  <c r="X139" i="3"/>
  <c r="X181" i="3"/>
  <c r="W53" i="3"/>
  <c r="Y53" i="3" s="1"/>
  <c r="V53" i="3"/>
  <c r="X74" i="3"/>
  <c r="Y74" i="3" s="1"/>
  <c r="W165" i="3"/>
  <c r="Y165" i="3" s="1"/>
  <c r="V165" i="3"/>
  <c r="W171" i="3"/>
  <c r="Y171" i="3" s="1"/>
  <c r="V171" i="3"/>
  <c r="W110" i="3"/>
  <c r="Y110" i="3" s="1"/>
  <c r="V110" i="3"/>
  <c r="X177" i="3"/>
  <c r="W88" i="3"/>
  <c r="V88" i="3"/>
  <c r="W69" i="3"/>
  <c r="Y69" i="3" s="1"/>
  <c r="V69" i="3"/>
  <c r="X113" i="3"/>
  <c r="W189" i="3"/>
  <c r="V189" i="3"/>
  <c r="W177" i="3"/>
  <c r="V177" i="3"/>
  <c r="W130" i="3"/>
  <c r="V130" i="3"/>
  <c r="X88" i="3"/>
  <c r="X179" i="3"/>
  <c r="X70" i="3"/>
  <c r="X143" i="3"/>
  <c r="X14" i="3"/>
  <c r="Y14" i="3" s="1"/>
  <c r="X114" i="3"/>
  <c r="W205" i="3"/>
  <c r="Y205" i="3" s="1"/>
  <c r="V205" i="3"/>
  <c r="W207" i="3"/>
  <c r="Y207" i="3" s="1"/>
  <c r="V207" i="3"/>
  <c r="V82" i="3"/>
  <c r="W82" i="3"/>
  <c r="Y82" i="3" s="1"/>
  <c r="W31" i="3"/>
  <c r="Y31" i="3" s="1"/>
  <c r="V31" i="3"/>
  <c r="W191" i="3"/>
  <c r="V191" i="3"/>
  <c r="W128" i="3"/>
  <c r="Y128" i="3" s="1"/>
  <c r="V128" i="3"/>
  <c r="Y201" i="3"/>
  <c r="X130" i="3"/>
  <c r="X91" i="3"/>
  <c r="X191" i="3"/>
  <c r="W3" i="3"/>
  <c r="Y3" i="3" s="1"/>
  <c r="V3" i="3"/>
  <c r="W103" i="3"/>
  <c r="Y103" i="3" s="1"/>
  <c r="V103" i="3"/>
  <c r="W203" i="3"/>
  <c r="Y203" i="3" s="1"/>
  <c r="V203" i="3"/>
  <c r="X24" i="3"/>
  <c r="X124" i="3"/>
  <c r="Y124" i="3" s="1"/>
  <c r="X73" i="3"/>
  <c r="W55" i="3"/>
  <c r="Y55" i="3" s="1"/>
  <c r="V55" i="3"/>
  <c r="X36" i="3"/>
  <c r="X26" i="3"/>
  <c r="Y26" i="3" s="1"/>
  <c r="Y96" i="3"/>
  <c r="X32" i="3"/>
  <c r="X62" i="3"/>
  <c r="X132" i="3"/>
  <c r="W97" i="3"/>
  <c r="Y97" i="3" s="1"/>
  <c r="V97" i="3"/>
  <c r="Y36" i="3"/>
  <c r="Y4" i="3"/>
  <c r="Y104" i="3"/>
  <c r="W210" i="3"/>
  <c r="V210" i="3"/>
  <c r="W107" i="3"/>
  <c r="Y107" i="3" s="1"/>
  <c r="V107" i="3"/>
  <c r="Y11" i="3"/>
  <c r="W198" i="3"/>
  <c r="Y198" i="3" s="1"/>
  <c r="V198" i="3"/>
  <c r="X67" i="3"/>
  <c r="W199" i="3"/>
  <c r="Y199" i="3" s="1"/>
  <c r="V199" i="3"/>
  <c r="X48" i="3"/>
  <c r="X98" i="3"/>
  <c r="X158" i="3"/>
  <c r="W200" i="3"/>
  <c r="Y200" i="3" s="1"/>
  <c r="V200" i="3"/>
  <c r="X29" i="3"/>
  <c r="X49" i="3"/>
  <c r="W79" i="3"/>
  <c r="V79" i="3"/>
  <c r="V10" i="3"/>
  <c r="W10" i="3"/>
  <c r="Y10" i="3" s="1"/>
  <c r="X30" i="3"/>
  <c r="W60" i="3"/>
  <c r="Y60" i="3" s="1"/>
  <c r="V60" i="3"/>
  <c r="X80" i="3"/>
  <c r="X210" i="3"/>
  <c r="W91" i="3"/>
  <c r="V91" i="3"/>
  <c r="X101" i="3"/>
  <c r="X201" i="3"/>
  <c r="Y17" i="3"/>
  <c r="Y220" i="3"/>
  <c r="V180" i="1"/>
  <c r="W180" i="1"/>
  <c r="Y180" i="1" s="1"/>
  <c r="W173" i="1"/>
  <c r="V173" i="1"/>
  <c r="W96" i="1"/>
  <c r="V96" i="1"/>
  <c r="W186" i="1"/>
  <c r="V186" i="1"/>
  <c r="W25" i="1"/>
  <c r="Y25" i="1" s="1"/>
  <c r="V25" i="1"/>
  <c r="W95" i="1"/>
  <c r="V95" i="1"/>
  <c r="W36" i="1"/>
  <c r="V36" i="1"/>
  <c r="W185" i="1"/>
  <c r="Y185" i="1" s="1"/>
  <c r="V185" i="1"/>
  <c r="W42" i="1"/>
  <c r="Y42" i="1" s="1"/>
  <c r="V42" i="1"/>
  <c r="W174" i="1"/>
  <c r="Y174" i="1" s="1"/>
  <c r="V174" i="1"/>
  <c r="W32" i="1"/>
  <c r="Y32" i="1" s="1"/>
  <c r="V32" i="1"/>
  <c r="W182" i="1"/>
  <c r="Y182" i="1" s="1"/>
  <c r="V182" i="1"/>
  <c r="W133" i="1"/>
  <c r="Y133" i="1" s="1"/>
  <c r="V133" i="1"/>
  <c r="V76" i="1"/>
  <c r="W76" i="1"/>
  <c r="V80" i="1"/>
  <c r="W80" i="1"/>
  <c r="Y80" i="1" s="1"/>
  <c r="W197" i="1"/>
  <c r="V197" i="1"/>
  <c r="V199" i="1"/>
  <c r="W199" i="1"/>
  <c r="Y199" i="1" s="1"/>
  <c r="X87" i="1"/>
  <c r="V139" i="1"/>
  <c r="W139" i="1"/>
  <c r="Y139" i="1" s="1"/>
  <c r="V119" i="1"/>
  <c r="W119" i="1"/>
  <c r="Y119" i="1" s="1"/>
  <c r="X63" i="1"/>
  <c r="W123" i="1"/>
  <c r="V123" i="1"/>
  <c r="X183" i="1"/>
  <c r="X155" i="1"/>
  <c r="X102" i="1"/>
  <c r="X146" i="1"/>
  <c r="W81" i="1"/>
  <c r="V81" i="1"/>
  <c r="W131" i="1"/>
  <c r="V131" i="1"/>
  <c r="W181" i="1"/>
  <c r="V181" i="1"/>
  <c r="X74" i="1"/>
  <c r="W194" i="1"/>
  <c r="V194" i="1"/>
  <c r="W5" i="1"/>
  <c r="Y5" i="1" s="1"/>
  <c r="V5" i="1"/>
  <c r="X6" i="1"/>
  <c r="X56" i="1"/>
  <c r="X107" i="1"/>
  <c r="X84" i="1"/>
  <c r="X85" i="1"/>
  <c r="X147" i="1"/>
  <c r="W137" i="1"/>
  <c r="V137" i="1"/>
  <c r="W21" i="1"/>
  <c r="Y21" i="1" s="1"/>
  <c r="V21" i="1"/>
  <c r="W37" i="1"/>
  <c r="Y37" i="1" s="1"/>
  <c r="V37" i="1"/>
  <c r="X77" i="1"/>
  <c r="W27" i="1"/>
  <c r="V27" i="1"/>
  <c r="X29" i="1"/>
  <c r="W191" i="1"/>
  <c r="Y191" i="1" s="1"/>
  <c r="V191" i="1"/>
  <c r="W92" i="1"/>
  <c r="Y92" i="1" s="1"/>
  <c r="V92" i="1"/>
  <c r="W13" i="1"/>
  <c r="Y13" i="1" s="1"/>
  <c r="V13" i="1"/>
  <c r="W94" i="1"/>
  <c r="Y94" i="1" s="1"/>
  <c r="V94" i="1"/>
  <c r="W155" i="1"/>
  <c r="V155" i="1"/>
  <c r="X126" i="1"/>
  <c r="W83" i="1"/>
  <c r="Y83" i="1" s="1"/>
  <c r="V83" i="1"/>
  <c r="W196" i="1"/>
  <c r="Y196" i="1" s="1"/>
  <c r="V196" i="1"/>
  <c r="X81" i="1"/>
  <c r="X131" i="1"/>
  <c r="X181" i="1"/>
  <c r="W82" i="1"/>
  <c r="V82" i="1"/>
  <c r="X172" i="1"/>
  <c r="W93" i="1"/>
  <c r="Y93" i="1" s="1"/>
  <c r="V93" i="1"/>
  <c r="X173" i="1"/>
  <c r="W124" i="1"/>
  <c r="Y124" i="1" s="1"/>
  <c r="V124" i="1"/>
  <c r="W165" i="1"/>
  <c r="Y165" i="1" s="1"/>
  <c r="V165" i="1"/>
  <c r="W14" i="1"/>
  <c r="V14" i="1"/>
  <c r="X5" i="1"/>
  <c r="X95" i="1"/>
  <c r="W16" i="1"/>
  <c r="V16" i="1"/>
  <c r="W66" i="1"/>
  <c r="V66" i="1"/>
  <c r="W17" i="1"/>
  <c r="V17" i="1"/>
  <c r="W157" i="1"/>
  <c r="V157" i="1"/>
  <c r="W85" i="1"/>
  <c r="Y85" i="1" s="1"/>
  <c r="V85" i="1"/>
  <c r="W106" i="1"/>
  <c r="Y106" i="1" s="1"/>
  <c r="V106" i="1"/>
  <c r="V200" i="1"/>
  <c r="W200" i="1"/>
  <c r="Y200" i="1" s="1"/>
  <c r="Y8" i="1"/>
  <c r="V49" i="1"/>
  <c r="W49" i="1"/>
  <c r="Y49" i="1" s="1"/>
  <c r="X21" i="1"/>
  <c r="V189" i="1"/>
  <c r="W189" i="1"/>
  <c r="Y189" i="1" s="1"/>
  <c r="W127" i="1"/>
  <c r="Y127" i="1" s="1"/>
  <c r="V127" i="1"/>
  <c r="X129" i="1"/>
  <c r="V79" i="1"/>
  <c r="W79" i="1"/>
  <c r="Y79" i="1" s="1"/>
  <c r="X117" i="1"/>
  <c r="V69" i="1"/>
  <c r="W69" i="1"/>
  <c r="Y69" i="1" s="1"/>
  <c r="W62" i="1"/>
  <c r="Y62" i="1" s="1"/>
  <c r="V62" i="1"/>
  <c r="W73" i="1"/>
  <c r="Y73" i="1" s="1"/>
  <c r="V73" i="1"/>
  <c r="X123" i="1"/>
  <c r="W4" i="1"/>
  <c r="Y4" i="1" s="1"/>
  <c r="V4" i="1"/>
  <c r="W45" i="1"/>
  <c r="V45" i="1"/>
  <c r="W156" i="1"/>
  <c r="V156" i="1"/>
  <c r="W112" i="1"/>
  <c r="Y112" i="1" s="1"/>
  <c r="V112" i="1"/>
  <c r="W24" i="1"/>
  <c r="Y24" i="1" s="1"/>
  <c r="V24" i="1"/>
  <c r="X76" i="1"/>
  <c r="W61" i="1"/>
  <c r="Y61" i="1" s="1"/>
  <c r="V61" i="1"/>
  <c r="W111" i="1"/>
  <c r="V111" i="1"/>
  <c r="W161" i="1"/>
  <c r="Y161" i="1" s="1"/>
  <c r="V161" i="1"/>
  <c r="X194" i="1"/>
  <c r="X96" i="1"/>
  <c r="X35" i="1"/>
  <c r="X36" i="1"/>
  <c r="X17" i="1"/>
  <c r="V169" i="1"/>
  <c r="W169" i="1"/>
  <c r="Y169" i="1" s="1"/>
  <c r="W144" i="1"/>
  <c r="Y144" i="1" s="1"/>
  <c r="V144" i="1"/>
  <c r="W31" i="1"/>
  <c r="V31" i="1"/>
  <c r="W167" i="1"/>
  <c r="V167" i="1"/>
  <c r="W162" i="1"/>
  <c r="Y162" i="1" s="1"/>
  <c r="V162" i="1"/>
  <c r="W52" i="1"/>
  <c r="V52" i="1"/>
  <c r="W23" i="1"/>
  <c r="V23" i="1"/>
  <c r="W164" i="1"/>
  <c r="V164" i="1"/>
  <c r="W135" i="1"/>
  <c r="Y135" i="1" s="1"/>
  <c r="V135" i="1"/>
  <c r="W116" i="1"/>
  <c r="V116" i="1"/>
  <c r="X61" i="1"/>
  <c r="X111" i="1"/>
  <c r="X161" i="1"/>
  <c r="W201" i="1"/>
  <c r="Y201" i="1" s="1"/>
  <c r="V201" i="1"/>
  <c r="X82" i="1"/>
  <c r="W3" i="1"/>
  <c r="V3" i="1"/>
  <c r="W34" i="1"/>
  <c r="V34" i="1"/>
  <c r="W65" i="1"/>
  <c r="Y65" i="1" s="1"/>
  <c r="V65" i="1"/>
  <c r="X165" i="1"/>
  <c r="W166" i="1"/>
  <c r="Y166" i="1" s="1"/>
  <c r="V166" i="1"/>
  <c r="W15" i="1"/>
  <c r="Y15" i="1" s="1"/>
  <c r="V15" i="1"/>
  <c r="W35" i="1"/>
  <c r="Y35" i="1" s="1"/>
  <c r="V35" i="1"/>
  <c r="W46" i="1"/>
  <c r="Y46" i="1" s="1"/>
  <c r="V46" i="1"/>
  <c r="W57" i="1"/>
  <c r="V57" i="1"/>
  <c r="W44" i="1"/>
  <c r="Y44" i="1" s="1"/>
  <c r="V44" i="1"/>
  <c r="W125" i="1"/>
  <c r="V125" i="1"/>
  <c r="W122" i="1"/>
  <c r="V122" i="1"/>
  <c r="W43" i="1"/>
  <c r="Y43" i="1" s="1"/>
  <c r="V43" i="1"/>
  <c r="X73" i="1"/>
  <c r="W114" i="1"/>
  <c r="V114" i="1"/>
  <c r="X45" i="1"/>
  <c r="W86" i="1"/>
  <c r="Y86" i="1" s="1"/>
  <c r="V86" i="1"/>
  <c r="W163" i="1"/>
  <c r="Y163" i="1" s="1"/>
  <c r="V163" i="1"/>
  <c r="W91" i="1"/>
  <c r="Y91" i="1" s="1"/>
  <c r="V91" i="1"/>
  <c r="W141" i="1"/>
  <c r="V141" i="1"/>
  <c r="W132" i="1"/>
  <c r="V132" i="1"/>
  <c r="X124" i="1"/>
  <c r="X14" i="1"/>
  <c r="X16" i="1"/>
  <c r="X66" i="1"/>
  <c r="X157" i="1"/>
  <c r="X144" i="1"/>
  <c r="X106" i="1"/>
  <c r="W142" i="1"/>
  <c r="Y142" i="1" s="1"/>
  <c r="V142" i="1"/>
  <c r="W152" i="1"/>
  <c r="V152" i="1"/>
  <c r="W64" i="1"/>
  <c r="V64" i="1"/>
  <c r="X141" i="1"/>
  <c r="W145" i="1"/>
  <c r="Y145" i="1" s="1"/>
  <c r="V145" i="1"/>
  <c r="V26" i="1"/>
  <c r="W26" i="1"/>
  <c r="W184" i="1"/>
  <c r="Y184" i="1" s="1"/>
  <c r="V184" i="1"/>
  <c r="X125" i="1"/>
  <c r="V150" i="1"/>
  <c r="W150" i="1"/>
  <c r="Y150" i="1" s="1"/>
  <c r="W11" i="1"/>
  <c r="Y11" i="1" s="1"/>
  <c r="V11" i="1"/>
  <c r="V20" i="1"/>
  <c r="W20" i="1"/>
  <c r="Y20" i="1" s="1"/>
  <c r="V100" i="1"/>
  <c r="W100" i="1"/>
  <c r="Y100" i="1" s="1"/>
  <c r="W47" i="1"/>
  <c r="V47" i="1"/>
  <c r="V190" i="1"/>
  <c r="W190" i="1"/>
  <c r="Y190" i="1" s="1"/>
  <c r="Y18" i="1"/>
  <c r="W110" i="1"/>
  <c r="Y110" i="1" s="1"/>
  <c r="V110" i="1"/>
  <c r="W12" i="1"/>
  <c r="V12" i="1"/>
  <c r="V40" i="1"/>
  <c r="W40" i="1"/>
  <c r="Y40" i="1" s="1"/>
  <c r="V130" i="1"/>
  <c r="W130" i="1"/>
  <c r="Y130" i="1" s="1"/>
  <c r="W7" i="1"/>
  <c r="Y7" i="1" s="1"/>
  <c r="V7" i="1"/>
  <c r="W41" i="1"/>
  <c r="Y41" i="1" s="1"/>
  <c r="V41" i="1"/>
  <c r="X127" i="1"/>
  <c r="W67" i="1"/>
  <c r="V67" i="1"/>
  <c r="X23" i="1"/>
  <c r="X2" i="1"/>
  <c r="V140" i="1"/>
  <c r="W140" i="1"/>
  <c r="Y140" i="1" s="1"/>
  <c r="W97" i="1"/>
  <c r="Y97" i="1" s="1"/>
  <c r="V97" i="1"/>
  <c r="V120" i="1"/>
  <c r="W120" i="1"/>
  <c r="Y120" i="1" s="1"/>
  <c r="V170" i="1"/>
  <c r="W170" i="1"/>
  <c r="Y170" i="1" s="1"/>
  <c r="Y108" i="1"/>
  <c r="X41" i="1"/>
  <c r="W177" i="1"/>
  <c r="Y177" i="1" s="1"/>
  <c r="V177" i="1"/>
  <c r="Y98" i="1"/>
  <c r="X167" i="1"/>
  <c r="W109" i="1"/>
  <c r="Y109" i="1" s="1"/>
  <c r="V109" i="1"/>
  <c r="X12" i="1"/>
  <c r="W72" i="1"/>
  <c r="Y72" i="1" s="1"/>
  <c r="V72" i="1"/>
  <c r="X43" i="1"/>
  <c r="W103" i="1"/>
  <c r="V103" i="1"/>
  <c r="X153" i="1"/>
  <c r="W115" i="1"/>
  <c r="Y115" i="1" s="1"/>
  <c r="V115" i="1"/>
  <c r="Y188" i="1"/>
  <c r="X52" i="1"/>
  <c r="W113" i="1"/>
  <c r="V113" i="1"/>
  <c r="X164" i="1"/>
  <c r="W175" i="1"/>
  <c r="V175" i="1"/>
  <c r="X116" i="1"/>
  <c r="W71" i="1"/>
  <c r="Y71" i="1" s="1"/>
  <c r="V71" i="1"/>
  <c r="W121" i="1"/>
  <c r="V121" i="1"/>
  <c r="W171" i="1"/>
  <c r="Y171" i="1" s="1"/>
  <c r="V171" i="1"/>
  <c r="X3" i="1"/>
  <c r="W143" i="1"/>
  <c r="Y143" i="1" s="1"/>
  <c r="V143" i="1"/>
  <c r="X34" i="1"/>
  <c r="W154" i="1"/>
  <c r="Y154" i="1" s="1"/>
  <c r="V154" i="1"/>
  <c r="X195" i="1"/>
  <c r="X166" i="1"/>
  <c r="W104" i="1"/>
  <c r="V104" i="1"/>
  <c r="X55" i="1"/>
  <c r="X46" i="1"/>
  <c r="W136" i="1"/>
  <c r="V136" i="1"/>
  <c r="X57" i="1"/>
  <c r="X44" i="1"/>
  <c r="V176" i="1"/>
  <c r="W176" i="1"/>
  <c r="W117" i="1"/>
  <c r="Y117" i="1" s="1"/>
  <c r="V117" i="1"/>
  <c r="W134" i="1"/>
  <c r="Y134" i="1" s="1"/>
  <c r="V134" i="1"/>
  <c r="X137" i="1"/>
  <c r="X27" i="1"/>
  <c r="W187" i="1"/>
  <c r="Y187" i="1" s="1"/>
  <c r="V187" i="1"/>
  <c r="W60" i="1"/>
  <c r="Y60" i="1" s="1"/>
  <c r="V60" i="1"/>
  <c r="V2" i="1"/>
  <c r="W2" i="1"/>
  <c r="X70" i="1"/>
  <c r="Y38" i="1"/>
  <c r="X10" i="1"/>
  <c r="W87" i="1"/>
  <c r="Y87" i="1" s="1"/>
  <c r="V87" i="1"/>
  <c r="X9" i="1"/>
  <c r="V89" i="1"/>
  <c r="W89" i="1"/>
  <c r="Y89" i="1" s="1"/>
  <c r="V39" i="1"/>
  <c r="W39" i="1"/>
  <c r="V179" i="1"/>
  <c r="W179" i="1"/>
  <c r="Y179" i="1" s="1"/>
  <c r="X119" i="1"/>
  <c r="X122" i="1"/>
  <c r="W192" i="1"/>
  <c r="Y192" i="1" s="1"/>
  <c r="V192" i="1"/>
  <c r="W54" i="1"/>
  <c r="Y54" i="1" s="1"/>
  <c r="V54" i="1"/>
  <c r="X114" i="1"/>
  <c r="X86" i="1"/>
  <c r="W102" i="1"/>
  <c r="Y102" i="1" s="1"/>
  <c r="V102" i="1"/>
  <c r="W53" i="1"/>
  <c r="Y53" i="1" s="1"/>
  <c r="V53" i="1"/>
  <c r="X113" i="1"/>
  <c r="W75" i="1"/>
  <c r="Y75" i="1" s="1"/>
  <c r="V75" i="1"/>
  <c r="X71" i="1"/>
  <c r="X121" i="1"/>
  <c r="X171" i="1"/>
  <c r="W22" i="1"/>
  <c r="Y22" i="1" s="1"/>
  <c r="V22" i="1"/>
  <c r="X132" i="1"/>
  <c r="W33" i="1"/>
  <c r="Y33" i="1" s="1"/>
  <c r="V33" i="1"/>
  <c r="X143" i="1"/>
  <c r="W74" i="1"/>
  <c r="Y74" i="1" s="1"/>
  <c r="V74" i="1"/>
  <c r="X105" i="1"/>
  <c r="W195" i="1"/>
  <c r="Y195" i="1" s="1"/>
  <c r="V195" i="1"/>
  <c r="W55" i="1"/>
  <c r="V55" i="1"/>
  <c r="W6" i="1"/>
  <c r="Y6" i="1" s="1"/>
  <c r="V6" i="1"/>
  <c r="W56" i="1"/>
  <c r="V56" i="1"/>
  <c r="W107" i="1"/>
  <c r="V107" i="1"/>
  <c r="W84" i="1"/>
  <c r="Y84" i="1" s="1"/>
  <c r="V84" i="1"/>
  <c r="V50" i="1"/>
  <c r="W50" i="1"/>
  <c r="Y50" i="1" s="1"/>
  <c r="V19" i="1"/>
  <c r="W19" i="1"/>
  <c r="Y19" i="1" s="1"/>
  <c r="V138" i="1"/>
  <c r="W138" i="1"/>
  <c r="Y138" i="1" s="1"/>
  <c r="X197" i="1"/>
  <c r="V90" i="1"/>
  <c r="W90" i="1"/>
  <c r="Y90" i="1" s="1"/>
  <c r="V30" i="1"/>
  <c r="W30" i="1"/>
  <c r="Y30" i="1" s="1"/>
  <c r="W10" i="1"/>
  <c r="Y10" i="1" s="1"/>
  <c r="V10" i="1"/>
  <c r="X31" i="1"/>
  <c r="X37" i="1"/>
  <c r="V29" i="1"/>
  <c r="W29" i="1"/>
  <c r="Y29" i="1" s="1"/>
  <c r="Y68" i="1"/>
  <c r="X47" i="1"/>
  <c r="V99" i="1"/>
  <c r="W99" i="1"/>
  <c r="Y99" i="1" s="1"/>
  <c r="Y178" i="1"/>
  <c r="V129" i="1"/>
  <c r="W129" i="1"/>
  <c r="Y129" i="1" s="1"/>
  <c r="X62" i="1"/>
  <c r="X162" i="1"/>
  <c r="W153" i="1"/>
  <c r="V153" i="1"/>
  <c r="X156" i="1"/>
  <c r="X39" i="1"/>
  <c r="V70" i="1"/>
  <c r="W70" i="1"/>
  <c r="Y70" i="1" s="1"/>
  <c r="W160" i="1"/>
  <c r="Y160" i="1" s="1"/>
  <c r="V160" i="1"/>
  <c r="X50" i="1"/>
  <c r="W147" i="1"/>
  <c r="Y147" i="1" s="1"/>
  <c r="V147" i="1"/>
  <c r="Y158" i="1"/>
  <c r="V149" i="1"/>
  <c r="W149" i="1"/>
  <c r="Y149" i="1" s="1"/>
  <c r="X187" i="1"/>
  <c r="X79" i="1"/>
  <c r="W9" i="1"/>
  <c r="Y9" i="1" s="1"/>
  <c r="V9" i="1"/>
  <c r="W77" i="1"/>
  <c r="V77" i="1"/>
  <c r="Y148" i="1"/>
  <c r="X67" i="1"/>
  <c r="X19" i="1"/>
  <c r="W59" i="1"/>
  <c r="Y59" i="1" s="1"/>
  <c r="V59" i="1"/>
  <c r="W63" i="1"/>
  <c r="V63" i="1"/>
  <c r="X103" i="1"/>
  <c r="W183" i="1"/>
  <c r="Y183" i="1" s="1"/>
  <c r="V183" i="1"/>
  <c r="X115" i="1"/>
  <c r="V126" i="1"/>
  <c r="W126" i="1"/>
  <c r="Y126" i="1" s="1"/>
  <c r="X152" i="1"/>
  <c r="W193" i="1"/>
  <c r="Y193" i="1" s="1"/>
  <c r="V193" i="1"/>
  <c r="X64" i="1"/>
  <c r="X175" i="1"/>
  <c r="W146" i="1"/>
  <c r="V146" i="1"/>
  <c r="W51" i="1"/>
  <c r="Y51" i="1" s="1"/>
  <c r="V51" i="1"/>
  <c r="W101" i="1"/>
  <c r="Y101" i="1" s="1"/>
  <c r="V101" i="1"/>
  <c r="W151" i="1"/>
  <c r="Y151" i="1" s="1"/>
  <c r="V151" i="1"/>
  <c r="W172" i="1"/>
  <c r="Y172" i="1" s="1"/>
  <c r="V172" i="1"/>
  <c r="X154" i="1"/>
  <c r="W105" i="1"/>
  <c r="V105" i="1"/>
  <c r="X186" i="1"/>
  <c r="X104" i="1"/>
  <c r="X25" i="1"/>
  <c r="X26" i="1"/>
  <c r="X136" i="1"/>
  <c r="W159" i="1"/>
  <c r="Y159" i="1" s="1"/>
  <c r="V159" i="1"/>
  <c r="X184" i="1"/>
  <c r="X176" i="1"/>
  <c r="I65" i="4" l="1"/>
  <c r="O91" i="4"/>
  <c r="G72" i="4"/>
  <c r="N198" i="4"/>
  <c r="M188" i="4"/>
  <c r="J40" i="4"/>
  <c r="J161" i="4"/>
  <c r="J96" i="4"/>
  <c r="J97" i="4"/>
  <c r="J22" i="4"/>
  <c r="J35" i="4"/>
  <c r="J134" i="4"/>
  <c r="J174" i="4"/>
  <c r="J2" i="4"/>
  <c r="J59" i="4"/>
  <c r="J183" i="4"/>
  <c r="J120" i="4"/>
  <c r="J110" i="4"/>
  <c r="J200" i="4"/>
  <c r="J164" i="4"/>
  <c r="J133" i="4"/>
  <c r="J145" i="4"/>
  <c r="J123" i="4"/>
  <c r="J52" i="4"/>
  <c r="J202" i="4"/>
  <c r="J85" i="4"/>
  <c r="J30" i="4"/>
  <c r="J16" i="4"/>
  <c r="J94" i="4"/>
  <c r="J182" i="4"/>
  <c r="J201" i="4"/>
  <c r="J169" i="4"/>
  <c r="J111" i="4"/>
  <c r="J107" i="4"/>
  <c r="J14" i="4"/>
  <c r="J165" i="4"/>
  <c r="J88" i="4"/>
  <c r="J8" i="4"/>
  <c r="J42" i="4"/>
  <c r="J208" i="4"/>
  <c r="J41" i="4"/>
  <c r="J153" i="4"/>
  <c r="J78" i="4"/>
  <c r="J32" i="4"/>
  <c r="J45" i="4"/>
  <c r="J154" i="4"/>
  <c r="J10" i="4"/>
  <c r="J44" i="4"/>
  <c r="J19" i="4"/>
  <c r="J25" i="4"/>
  <c r="J102" i="4"/>
  <c r="J98" i="4"/>
  <c r="J100" i="4"/>
  <c r="J114" i="4"/>
  <c r="J49" i="4"/>
  <c r="J150" i="4"/>
  <c r="J63" i="4"/>
  <c r="J5" i="4"/>
  <c r="J162" i="4"/>
  <c r="J113" i="4"/>
  <c r="J217" i="4"/>
  <c r="J15" i="4"/>
  <c r="J26" i="4"/>
  <c r="J104" i="4"/>
  <c r="J93" i="4"/>
  <c r="J20" i="4"/>
  <c r="J188" i="4"/>
  <c r="J72" i="4"/>
  <c r="J47" i="4"/>
  <c r="J76" i="4"/>
  <c r="J193" i="4"/>
  <c r="J190" i="4"/>
  <c r="J86" i="4"/>
  <c r="J46" i="4"/>
  <c r="J83" i="4"/>
  <c r="J159" i="4"/>
  <c r="J17" i="4"/>
  <c r="L28" i="4"/>
  <c r="L135" i="4"/>
  <c r="L138" i="4"/>
  <c r="L202" i="4"/>
  <c r="L96" i="4"/>
  <c r="L17" i="4"/>
  <c r="L76" i="4"/>
  <c r="L114" i="4"/>
  <c r="L141" i="4"/>
  <c r="L136" i="4"/>
  <c r="L216" i="4"/>
  <c r="L51" i="4"/>
  <c r="L107" i="4"/>
  <c r="L117" i="4"/>
  <c r="L97" i="4"/>
  <c r="L189" i="4"/>
  <c r="L134" i="4"/>
  <c r="L131" i="4"/>
  <c r="L152" i="4"/>
  <c r="L173" i="4"/>
  <c r="L91" i="4"/>
  <c r="L10" i="4"/>
  <c r="L46" i="4"/>
  <c r="L167" i="4"/>
  <c r="L186" i="4"/>
  <c r="L176" i="4"/>
  <c r="L77" i="4"/>
  <c r="L62" i="4"/>
  <c r="L165" i="4"/>
  <c r="L2" i="4"/>
  <c r="L74" i="4"/>
  <c r="L133" i="4"/>
  <c r="L146" i="4"/>
  <c r="L151" i="4"/>
  <c r="L127" i="4"/>
  <c r="L149" i="4"/>
  <c r="L191" i="4"/>
  <c r="L196" i="4"/>
  <c r="L126" i="4"/>
  <c r="L7" i="4"/>
  <c r="L71" i="4"/>
  <c r="L180" i="4"/>
  <c r="L54" i="4"/>
  <c r="L125" i="4"/>
  <c r="L3" i="4"/>
  <c r="L32" i="4"/>
  <c r="L113" i="4"/>
  <c r="L68" i="4"/>
  <c r="L85" i="4"/>
  <c r="L156" i="4"/>
  <c r="L88" i="4"/>
  <c r="L116" i="4"/>
  <c r="L14" i="4"/>
  <c r="L111" i="4"/>
  <c r="L63" i="4"/>
  <c r="L140" i="4"/>
  <c r="L163" i="4"/>
  <c r="L204" i="4"/>
  <c r="L37" i="4"/>
  <c r="L106" i="4"/>
  <c r="L128" i="4"/>
  <c r="L90" i="4"/>
  <c r="L55" i="4"/>
  <c r="L58" i="4"/>
  <c r="L35" i="4"/>
  <c r="L9" i="4"/>
  <c r="L34" i="4"/>
  <c r="L50" i="4"/>
  <c r="L87" i="4"/>
  <c r="L183" i="4"/>
  <c r="L31" i="4"/>
  <c r="L23" i="4"/>
  <c r="L192" i="4"/>
  <c r="L52" i="4"/>
  <c r="H85" i="4"/>
  <c r="H24" i="4"/>
  <c r="H195" i="4"/>
  <c r="H46" i="4"/>
  <c r="H6" i="4"/>
  <c r="H147" i="4"/>
  <c r="H208" i="4"/>
  <c r="H98" i="4"/>
  <c r="H124" i="4"/>
  <c r="H83" i="4"/>
  <c r="H92" i="4"/>
  <c r="H188" i="4"/>
  <c r="H203" i="4"/>
  <c r="H130" i="4"/>
  <c r="H214" i="4"/>
  <c r="H16" i="4"/>
  <c r="H45" i="4"/>
  <c r="H173" i="4"/>
  <c r="H212" i="4"/>
  <c r="H156" i="4"/>
  <c r="H62" i="4"/>
  <c r="H168" i="4"/>
  <c r="H56" i="4"/>
  <c r="H49" i="4"/>
  <c r="H20" i="4"/>
  <c r="H216" i="4"/>
  <c r="H30" i="4"/>
  <c r="H88" i="4"/>
  <c r="H163" i="4"/>
  <c r="H172" i="4"/>
  <c r="H120" i="4"/>
  <c r="H72" i="4"/>
  <c r="H63" i="4"/>
  <c r="H15" i="4"/>
  <c r="H106" i="4"/>
  <c r="H31" i="4"/>
  <c r="H33" i="4"/>
  <c r="H133" i="4"/>
  <c r="H84" i="4"/>
  <c r="H2" i="4"/>
  <c r="H114" i="4"/>
  <c r="H74" i="4"/>
  <c r="H32" i="4"/>
  <c r="H90" i="4"/>
  <c r="H29" i="4"/>
  <c r="H96" i="4"/>
  <c r="H55" i="4"/>
  <c r="H149" i="4"/>
  <c r="H100" i="4"/>
  <c r="H9" i="4"/>
  <c r="H125" i="4"/>
  <c r="H160" i="4"/>
  <c r="H48" i="4"/>
  <c r="H111" i="4"/>
  <c r="H7" i="4"/>
  <c r="H34" i="4"/>
  <c r="H169" i="4"/>
  <c r="H146" i="4"/>
  <c r="H52" i="4"/>
  <c r="H27" i="4"/>
  <c r="H135" i="4"/>
  <c r="H71" i="4"/>
  <c r="H39" i="4"/>
  <c r="H176" i="4"/>
  <c r="H3" i="4"/>
  <c r="H204" i="4"/>
  <c r="H11" i="4"/>
  <c r="H138" i="4"/>
  <c r="H95" i="4"/>
  <c r="H202" i="4"/>
  <c r="H190" i="4"/>
  <c r="H121" i="4"/>
  <c r="H28" i="4"/>
  <c r="H140" i="4"/>
  <c r="H41" i="4"/>
  <c r="I166" i="4"/>
  <c r="I114" i="4"/>
  <c r="M158" i="4"/>
  <c r="G170" i="4"/>
  <c r="M169" i="4"/>
  <c r="G178" i="4"/>
  <c r="L164" i="4"/>
  <c r="O77" i="4"/>
  <c r="J186" i="4"/>
  <c r="N66" i="4"/>
  <c r="O186" i="4"/>
  <c r="K195" i="4"/>
  <c r="J220" i="4"/>
  <c r="M130" i="4"/>
  <c r="J127" i="4"/>
  <c r="N113" i="4"/>
  <c r="O92" i="4"/>
  <c r="H206" i="4"/>
  <c r="O166" i="4"/>
  <c r="I112" i="4"/>
  <c r="K142" i="4"/>
  <c r="M74" i="4"/>
  <c r="H40" i="4"/>
  <c r="K82" i="4"/>
  <c r="O123" i="4"/>
  <c r="I6" i="4"/>
  <c r="H103" i="4"/>
  <c r="H166" i="4"/>
  <c r="H112" i="4"/>
  <c r="O144" i="4"/>
  <c r="H141" i="4"/>
  <c r="G174" i="4"/>
  <c r="G129" i="4"/>
  <c r="L184" i="4"/>
  <c r="N173" i="4"/>
  <c r="M45" i="4"/>
  <c r="K23" i="4"/>
  <c r="G182" i="4"/>
  <c r="M99" i="4"/>
  <c r="L177" i="4"/>
  <c r="N40" i="4"/>
  <c r="G66" i="4"/>
  <c r="G189" i="4"/>
  <c r="H82" i="4"/>
  <c r="K186" i="4"/>
  <c r="K187" i="4"/>
  <c r="M214" i="4"/>
  <c r="I204" i="4"/>
  <c r="H13" i="4"/>
  <c r="N102" i="4"/>
  <c r="N140" i="4"/>
  <c r="L122" i="4"/>
  <c r="G128" i="4"/>
  <c r="I203" i="4"/>
  <c r="J61" i="4"/>
  <c r="J70" i="4"/>
  <c r="O198" i="4"/>
  <c r="M126" i="4"/>
  <c r="K95" i="4"/>
  <c r="G218" i="4"/>
  <c r="M108" i="4"/>
  <c r="N146" i="4"/>
  <c r="M131" i="4"/>
  <c r="I91" i="4"/>
  <c r="K9" i="4"/>
  <c r="G196" i="4"/>
  <c r="N216" i="4"/>
  <c r="O195" i="4"/>
  <c r="O118" i="4"/>
  <c r="L178" i="4"/>
  <c r="N162" i="4"/>
  <c r="J51" i="4"/>
  <c r="I175" i="4"/>
  <c r="G199" i="4"/>
  <c r="H59" i="4"/>
  <c r="K88" i="4"/>
  <c r="M172" i="4"/>
  <c r="I96" i="4"/>
  <c r="H80" i="4"/>
  <c r="G164" i="4"/>
  <c r="O208" i="4"/>
  <c r="N190" i="4"/>
  <c r="G75" i="4"/>
  <c r="J129" i="4"/>
  <c r="N169" i="4"/>
  <c r="N33" i="4"/>
  <c r="I103" i="4"/>
  <c r="O148" i="4"/>
  <c r="O172" i="4"/>
  <c r="H196" i="4"/>
  <c r="I89" i="4"/>
  <c r="O174" i="4"/>
  <c r="G41" i="4"/>
  <c r="G67" i="4"/>
  <c r="N49" i="4"/>
  <c r="J132" i="4"/>
  <c r="O30" i="4"/>
  <c r="M24" i="4"/>
  <c r="M134" i="4"/>
  <c r="J90" i="4"/>
  <c r="J56" i="4"/>
  <c r="J199" i="4"/>
  <c r="I36" i="4"/>
  <c r="M22" i="4"/>
  <c r="I53" i="4"/>
  <c r="L29" i="4"/>
  <c r="O31" i="4"/>
  <c r="H69" i="4"/>
  <c r="H108" i="4"/>
  <c r="M60" i="4"/>
  <c r="L206" i="4"/>
  <c r="K179" i="4"/>
  <c r="H145" i="4"/>
  <c r="I46" i="4"/>
  <c r="O85" i="4"/>
  <c r="G112" i="4"/>
  <c r="J177" i="4"/>
  <c r="L56" i="4"/>
  <c r="G85" i="4"/>
  <c r="G60" i="4"/>
  <c r="K35" i="4"/>
  <c r="K201" i="4"/>
  <c r="H162" i="4"/>
  <c r="K103" i="4"/>
  <c r="K32" i="4"/>
  <c r="K38" i="4"/>
  <c r="N60" i="4"/>
  <c r="J185" i="4"/>
  <c r="L33" i="4"/>
  <c r="G17" i="4"/>
  <c r="M220" i="4"/>
  <c r="N96" i="4"/>
  <c r="M127" i="4"/>
  <c r="H73" i="4"/>
  <c r="K126" i="4"/>
  <c r="J168" i="4"/>
  <c r="K143" i="4"/>
  <c r="J128" i="4"/>
  <c r="G54" i="4"/>
  <c r="N171" i="4"/>
  <c r="L40" i="4"/>
  <c r="G202" i="4"/>
  <c r="K116" i="4"/>
  <c r="N220" i="4"/>
  <c r="N114" i="4"/>
  <c r="N196" i="4"/>
  <c r="L60" i="4"/>
  <c r="G59" i="4"/>
  <c r="N73" i="4"/>
  <c r="K124" i="4"/>
  <c r="M54" i="4"/>
  <c r="O32" i="4"/>
  <c r="H217" i="4"/>
  <c r="I69" i="4"/>
  <c r="O204" i="4"/>
  <c r="K128" i="4"/>
  <c r="J27" i="4"/>
  <c r="M191" i="4"/>
  <c r="M109" i="4"/>
  <c r="I106" i="4"/>
  <c r="G92" i="4"/>
  <c r="I68" i="4"/>
  <c r="J180" i="4"/>
  <c r="K93" i="4"/>
  <c r="J125" i="4"/>
  <c r="L98" i="4"/>
  <c r="K117" i="4"/>
  <c r="G154" i="4"/>
  <c r="H35" i="4"/>
  <c r="I107" i="4"/>
  <c r="J171" i="4"/>
  <c r="L45" i="4"/>
  <c r="G31" i="4"/>
  <c r="G145" i="4"/>
  <c r="I137" i="4"/>
  <c r="O167" i="4"/>
  <c r="G175" i="4"/>
  <c r="H132" i="4"/>
  <c r="M173" i="4"/>
  <c r="I27" i="4"/>
  <c r="L130" i="4"/>
  <c r="G159" i="4"/>
  <c r="J77" i="4"/>
  <c r="K50" i="4"/>
  <c r="L61" i="4"/>
  <c r="L179" i="4"/>
  <c r="N36" i="4"/>
  <c r="G122" i="4"/>
  <c r="H89" i="4"/>
  <c r="H131" i="4"/>
  <c r="K153" i="4"/>
  <c r="H209" i="4"/>
  <c r="M211" i="4"/>
  <c r="H185" i="4"/>
  <c r="H57" i="4"/>
  <c r="N157" i="4"/>
  <c r="K42" i="4"/>
  <c r="L198" i="4"/>
  <c r="G141" i="4"/>
  <c r="G120" i="4"/>
  <c r="J117" i="4"/>
  <c r="L182" i="4"/>
  <c r="J6" i="4"/>
  <c r="H213" i="4"/>
  <c r="K115" i="4"/>
  <c r="I80" i="4"/>
  <c r="M111" i="4"/>
  <c r="J218" i="4"/>
  <c r="M119" i="4"/>
  <c r="I142" i="4"/>
  <c r="O43" i="4"/>
  <c r="M159" i="4"/>
  <c r="L92" i="4"/>
  <c r="K106" i="4"/>
  <c r="J143" i="4"/>
  <c r="L148" i="4"/>
  <c r="L86" i="4"/>
  <c r="H191" i="4"/>
  <c r="H127" i="4"/>
  <c r="G213" i="4"/>
  <c r="I167" i="4"/>
  <c r="M48" i="4"/>
  <c r="O210" i="4"/>
  <c r="J62" i="4"/>
  <c r="N154" i="4"/>
  <c r="L22" i="4"/>
  <c r="J219" i="4"/>
  <c r="K15" i="4"/>
  <c r="J126" i="4"/>
  <c r="H37" i="4"/>
  <c r="K76" i="4"/>
  <c r="M35" i="4"/>
  <c r="L108" i="4"/>
  <c r="N105" i="4"/>
  <c r="G27" i="4"/>
  <c r="O86" i="4"/>
  <c r="G42" i="4"/>
  <c r="O51" i="4"/>
  <c r="M10" i="4"/>
  <c r="H93" i="4"/>
  <c r="H58" i="4"/>
  <c r="J139" i="4"/>
  <c r="O52" i="4"/>
  <c r="I211" i="4"/>
  <c r="M91" i="4"/>
  <c r="G48" i="4"/>
  <c r="N19" i="4"/>
  <c r="H8" i="4"/>
  <c r="J91" i="4"/>
  <c r="K158" i="4"/>
  <c r="M34" i="4"/>
  <c r="O2" i="4"/>
  <c r="J13" i="4"/>
  <c r="I95" i="4"/>
  <c r="O146" i="4"/>
  <c r="J3" i="4"/>
  <c r="N35" i="4"/>
  <c r="H25" i="4"/>
  <c r="H50" i="4"/>
  <c r="J58" i="4"/>
  <c r="M2" i="4"/>
  <c r="H159" i="4"/>
  <c r="H119" i="4"/>
  <c r="H148" i="4"/>
  <c r="I88" i="4"/>
  <c r="O59" i="4"/>
  <c r="L100" i="4"/>
  <c r="G148" i="4"/>
  <c r="N106" i="4"/>
  <c r="K91" i="4"/>
  <c r="L217" i="4"/>
  <c r="J55" i="4"/>
  <c r="K144" i="4"/>
  <c r="G134" i="4"/>
  <c r="O117" i="4"/>
  <c r="N200" i="4"/>
  <c r="L174" i="4"/>
  <c r="J68" i="4"/>
  <c r="K113" i="4"/>
  <c r="J18" i="4"/>
  <c r="M180" i="4"/>
  <c r="O129" i="4"/>
  <c r="H187" i="4"/>
  <c r="I206" i="4"/>
  <c r="M28" i="4"/>
  <c r="G81" i="4"/>
  <c r="O78" i="4"/>
  <c r="H116" i="4"/>
  <c r="L103" i="4"/>
  <c r="H150" i="4"/>
  <c r="M66" i="4"/>
  <c r="K139" i="4"/>
  <c r="N14" i="4"/>
  <c r="N74" i="4"/>
  <c r="O130" i="4"/>
  <c r="N61" i="4"/>
  <c r="J121" i="4"/>
  <c r="G133" i="4"/>
  <c r="G188" i="4"/>
  <c r="L197" i="4"/>
  <c r="J213" i="4"/>
  <c r="N217" i="4"/>
  <c r="J31" i="4"/>
  <c r="I117" i="4"/>
  <c r="K112" i="4"/>
  <c r="M141" i="4"/>
  <c r="K81" i="4"/>
  <c r="K193" i="4"/>
  <c r="I125" i="4"/>
  <c r="H94" i="4"/>
  <c r="O131" i="4"/>
  <c r="J136" i="4"/>
  <c r="K110" i="4"/>
  <c r="N97" i="4"/>
  <c r="L220" i="4"/>
  <c r="I219" i="4"/>
  <c r="J207" i="4"/>
  <c r="L78" i="4"/>
  <c r="K52" i="4"/>
  <c r="K159" i="4"/>
  <c r="I185" i="4"/>
  <c r="O211" i="4"/>
  <c r="O212" i="4"/>
  <c r="N149" i="4"/>
  <c r="M170" i="4"/>
  <c r="I29" i="4"/>
  <c r="L143" i="4"/>
  <c r="M166" i="4"/>
  <c r="J95" i="4"/>
  <c r="K85" i="4"/>
  <c r="M187" i="4"/>
  <c r="N209" i="4"/>
  <c r="J122" i="4"/>
  <c r="G194" i="4"/>
  <c r="M217" i="4"/>
  <c r="K213" i="4"/>
  <c r="K111" i="4"/>
  <c r="H189" i="4"/>
  <c r="M143" i="4"/>
  <c r="H154" i="4"/>
  <c r="M87" i="4"/>
  <c r="J215" i="4"/>
  <c r="L153" i="4"/>
  <c r="J75" i="4"/>
  <c r="O105" i="4"/>
  <c r="L120" i="4"/>
  <c r="J205" i="4"/>
  <c r="J71" i="4"/>
  <c r="L195" i="4"/>
  <c r="I148" i="4"/>
  <c r="K121" i="4"/>
  <c r="M156" i="4"/>
  <c r="J34" i="4"/>
  <c r="O134" i="4"/>
  <c r="L69" i="4"/>
  <c r="L124" i="4"/>
  <c r="I35" i="4"/>
  <c r="J148" i="4"/>
  <c r="N30" i="4"/>
  <c r="L105" i="4"/>
  <c r="J11" i="4"/>
  <c r="K20" i="4"/>
  <c r="H22" i="4"/>
  <c r="I209" i="4"/>
  <c r="O22" i="4"/>
  <c r="K65" i="4"/>
  <c r="L19" i="4"/>
  <c r="H64" i="4"/>
  <c r="K5" i="4"/>
  <c r="M49" i="4"/>
  <c r="J152" i="4"/>
  <c r="L38" i="4"/>
  <c r="M100" i="4"/>
  <c r="M149" i="4"/>
  <c r="H53" i="4"/>
  <c r="O107" i="4"/>
  <c r="H18" i="4"/>
  <c r="J149" i="4"/>
  <c r="N67" i="4"/>
  <c r="O88" i="4"/>
  <c r="N17" i="4"/>
  <c r="N142" i="4"/>
  <c r="H19" i="4"/>
  <c r="M85" i="4"/>
  <c r="G190" i="4"/>
  <c r="N29" i="4"/>
  <c r="M17" i="4"/>
  <c r="L89" i="4"/>
  <c r="L169" i="4"/>
  <c r="N71" i="4"/>
  <c r="G44" i="4"/>
  <c r="I3" i="4"/>
  <c r="I140" i="4"/>
  <c r="I32" i="4"/>
  <c r="I40" i="4"/>
  <c r="I194" i="4"/>
  <c r="I213" i="4"/>
  <c r="I109" i="4"/>
  <c r="I58" i="4"/>
  <c r="I182" i="4"/>
  <c r="I181" i="4"/>
  <c r="I165" i="4"/>
  <c r="I161" i="4"/>
  <c r="I120" i="4"/>
  <c r="I146" i="4"/>
  <c r="I56" i="4"/>
  <c r="I168" i="4"/>
  <c r="I173" i="4"/>
  <c r="I25" i="4"/>
  <c r="I43" i="4"/>
  <c r="I217" i="4"/>
  <c r="I23" i="4"/>
  <c r="I57" i="4"/>
  <c r="I101" i="4"/>
  <c r="I73" i="4"/>
  <c r="I128" i="4"/>
  <c r="I31" i="4"/>
  <c r="I22" i="4"/>
  <c r="I131" i="4"/>
  <c r="I47" i="4"/>
  <c r="I191" i="4"/>
  <c r="I141" i="4"/>
  <c r="I71" i="4"/>
  <c r="I49" i="4"/>
  <c r="I201" i="4"/>
  <c r="I220" i="4"/>
  <c r="I42" i="4"/>
  <c r="I183" i="4"/>
  <c r="I208" i="4"/>
  <c r="I67" i="4"/>
  <c r="I19" i="4"/>
  <c r="I163" i="4"/>
  <c r="I100" i="4"/>
  <c r="I104" i="4"/>
  <c r="I155" i="4"/>
  <c r="I14" i="4"/>
  <c r="I158" i="4"/>
  <c r="I15" i="4"/>
  <c r="I193" i="4"/>
  <c r="I215" i="4"/>
  <c r="I18" i="4"/>
  <c r="I144" i="4"/>
  <c r="I51" i="4"/>
  <c r="I170" i="4"/>
  <c r="I34" i="4"/>
  <c r="I130" i="4"/>
  <c r="I60" i="4"/>
  <c r="I26" i="4"/>
  <c r="I10" i="4"/>
  <c r="I192" i="4"/>
  <c r="I122" i="4"/>
  <c r="I13" i="4"/>
  <c r="I75" i="4"/>
  <c r="I20" i="4"/>
  <c r="I72" i="4"/>
  <c r="I17" i="4"/>
  <c r="I37" i="4"/>
  <c r="K184" i="4"/>
  <c r="I199" i="4"/>
  <c r="I202" i="4"/>
  <c r="M68" i="4"/>
  <c r="G39" i="4"/>
  <c r="I21" i="4"/>
  <c r="N186" i="4"/>
  <c r="K200" i="4"/>
  <c r="L187" i="4"/>
  <c r="J156" i="4"/>
  <c r="N31" i="4"/>
  <c r="O81" i="4"/>
  <c r="K46" i="4"/>
  <c r="G61" i="4"/>
  <c r="L199" i="4"/>
  <c r="J194" i="4"/>
  <c r="N76" i="4"/>
  <c r="O68" i="4"/>
  <c r="K178" i="4"/>
  <c r="H171" i="4"/>
  <c r="G115" i="4"/>
  <c r="I218" i="4"/>
  <c r="M204" i="4"/>
  <c r="H104" i="4"/>
  <c r="K70" i="4"/>
  <c r="G49" i="4"/>
  <c r="L81" i="4"/>
  <c r="N153" i="4"/>
  <c r="I186" i="4"/>
  <c r="H60" i="4"/>
  <c r="O66" i="4"/>
  <c r="O189" i="4"/>
  <c r="L82" i="4"/>
  <c r="G191" i="4"/>
  <c r="L145" i="4"/>
  <c r="L36" i="4"/>
  <c r="K131" i="4"/>
  <c r="G123" i="4"/>
  <c r="J212" i="4"/>
  <c r="N160" i="4"/>
  <c r="L137" i="4"/>
  <c r="N104" i="4"/>
  <c r="M209" i="4"/>
  <c r="I184" i="4"/>
  <c r="I94" i="4"/>
  <c r="O128" i="4"/>
  <c r="J189" i="4"/>
  <c r="M61" i="4"/>
  <c r="I121" i="4"/>
  <c r="G82" i="4"/>
  <c r="J196" i="4"/>
  <c r="O102" i="4"/>
  <c r="L39" i="4"/>
  <c r="N117" i="4"/>
  <c r="L175" i="4"/>
  <c r="N155" i="4"/>
  <c r="J37" i="4"/>
  <c r="O87" i="4"/>
  <c r="O184" i="4"/>
  <c r="M195" i="4"/>
  <c r="G180" i="4"/>
  <c r="G214" i="4"/>
  <c r="I200" i="4"/>
  <c r="H210" i="4"/>
  <c r="M51" i="4"/>
  <c r="J176" i="4"/>
  <c r="J112" i="4"/>
  <c r="N85" i="4"/>
  <c r="O147" i="4"/>
  <c r="H218" i="4"/>
  <c r="L102" i="4"/>
  <c r="L80" i="4"/>
  <c r="K79" i="4"/>
  <c r="I59" i="4"/>
  <c r="K100" i="4"/>
  <c r="O110" i="4"/>
  <c r="I110" i="4"/>
  <c r="I152" i="4"/>
  <c r="I135" i="4"/>
  <c r="M71" i="4"/>
  <c r="N166" i="4"/>
  <c r="L142" i="4"/>
  <c r="N63" i="4"/>
  <c r="L215" i="4"/>
  <c r="L119" i="4"/>
  <c r="N168" i="4"/>
  <c r="N41" i="4"/>
  <c r="J36" i="4"/>
  <c r="M167" i="4"/>
  <c r="O54" i="4"/>
  <c r="H192" i="4"/>
  <c r="K127" i="4"/>
  <c r="G73" i="4"/>
  <c r="J12" i="4"/>
  <c r="N188" i="4"/>
  <c r="O145" i="4"/>
  <c r="M174" i="4"/>
  <c r="I41" i="4"/>
  <c r="N143" i="4"/>
  <c r="L67" i="4"/>
  <c r="G7" i="4"/>
  <c r="J43" i="4"/>
  <c r="M152" i="4"/>
  <c r="J57" i="4"/>
  <c r="M208" i="4"/>
  <c r="N129" i="4"/>
  <c r="L18" i="4"/>
  <c r="L8" i="4"/>
  <c r="O163" i="4"/>
  <c r="M179" i="4"/>
  <c r="N38" i="4"/>
  <c r="G163" i="4"/>
  <c r="N89" i="4"/>
  <c r="H155" i="4"/>
  <c r="I30" i="4"/>
  <c r="K180" i="4"/>
  <c r="L5" i="4"/>
  <c r="N131" i="4"/>
  <c r="L65" i="4"/>
  <c r="O177" i="4"/>
  <c r="H5" i="4"/>
  <c r="N177" i="4"/>
  <c r="M150" i="4"/>
  <c r="H165" i="4"/>
  <c r="K164" i="4"/>
  <c r="M16" i="4"/>
  <c r="O19" i="4"/>
  <c r="N13" i="4"/>
  <c r="J135" i="4"/>
  <c r="L41" i="4"/>
  <c r="N94" i="4"/>
  <c r="O61" i="4"/>
  <c r="I111" i="4"/>
  <c r="M194" i="4"/>
  <c r="H86" i="4"/>
  <c r="K33" i="4"/>
  <c r="G187" i="4"/>
  <c r="L171" i="4"/>
  <c r="O115" i="4"/>
  <c r="J160" i="4"/>
  <c r="N144" i="4"/>
  <c r="L104" i="4"/>
  <c r="G63" i="4"/>
  <c r="O42" i="4"/>
  <c r="K136" i="4"/>
  <c r="J203" i="4"/>
  <c r="N192" i="4"/>
  <c r="L42" i="4"/>
  <c r="M184" i="4"/>
  <c r="O209" i="4"/>
  <c r="I174" i="4"/>
  <c r="K96" i="4"/>
  <c r="M125" i="4"/>
  <c r="H79" i="4"/>
  <c r="I38" i="4"/>
  <c r="O50" i="4"/>
  <c r="H67" i="4"/>
  <c r="I212" i="4"/>
  <c r="J130" i="4"/>
  <c r="M171" i="4"/>
  <c r="I55" i="4"/>
  <c r="O67" i="4"/>
  <c r="K102" i="4"/>
  <c r="J206" i="4"/>
  <c r="K202" i="4"/>
  <c r="N207" i="4"/>
  <c r="J50" i="4"/>
  <c r="O181" i="4"/>
  <c r="O112" i="4"/>
  <c r="K215" i="4"/>
  <c r="N187" i="4"/>
  <c r="J144" i="4"/>
  <c r="L13" i="4"/>
  <c r="H99" i="4"/>
  <c r="O159" i="4"/>
  <c r="M77" i="4"/>
  <c r="G100" i="4"/>
  <c r="H118" i="4"/>
  <c r="H152" i="4"/>
  <c r="M70" i="4"/>
  <c r="K162" i="4"/>
  <c r="J79" i="4"/>
  <c r="G210" i="4"/>
  <c r="G143" i="4"/>
  <c r="L209" i="4"/>
  <c r="H109" i="4"/>
  <c r="L185" i="4"/>
  <c r="N53" i="4"/>
  <c r="K26" i="4"/>
  <c r="K150" i="4"/>
  <c r="H170" i="4"/>
  <c r="K181" i="4"/>
  <c r="O120" i="4"/>
  <c r="M117" i="4"/>
  <c r="I138" i="4"/>
  <c r="H4" i="4"/>
  <c r="N107" i="4"/>
  <c r="O199" i="4"/>
  <c r="L59" i="4"/>
  <c r="G46" i="4"/>
  <c r="H175" i="4"/>
  <c r="N136" i="4"/>
  <c r="J39" i="4"/>
  <c r="O164" i="4"/>
  <c r="L43" i="4"/>
  <c r="M183" i="4"/>
  <c r="G99" i="4"/>
  <c r="M93" i="4"/>
  <c r="I179" i="4"/>
  <c r="M205" i="4"/>
  <c r="H47" i="4"/>
  <c r="L172" i="4"/>
  <c r="K129" i="4"/>
  <c r="L158" i="4"/>
  <c r="N159" i="4"/>
  <c r="N111" i="4"/>
  <c r="L201" i="4"/>
  <c r="O170" i="4"/>
  <c r="M9" i="4"/>
  <c r="H194" i="4"/>
  <c r="G105" i="4"/>
  <c r="I116" i="4"/>
  <c r="O202" i="4"/>
  <c r="K89" i="4"/>
  <c r="O34" i="4"/>
  <c r="N201" i="4"/>
  <c r="G169" i="4"/>
  <c r="M137" i="4"/>
  <c r="L12" i="4"/>
  <c r="H186" i="4"/>
  <c r="O18" i="4"/>
  <c r="M168" i="4"/>
  <c r="K107" i="4"/>
  <c r="N211" i="4"/>
  <c r="L48" i="4"/>
  <c r="M90" i="4"/>
  <c r="N213" i="4"/>
  <c r="I16" i="4"/>
  <c r="J192" i="4"/>
  <c r="O155" i="4"/>
  <c r="I169" i="4"/>
  <c r="N6" i="4"/>
  <c r="K80" i="4"/>
  <c r="H87" i="4"/>
  <c r="I124" i="4"/>
  <c r="O108" i="4"/>
  <c r="O137" i="4"/>
  <c r="I196" i="4"/>
  <c r="L208" i="4"/>
  <c r="J29" i="4"/>
  <c r="G137" i="4"/>
  <c r="I79" i="4"/>
  <c r="I92" i="4"/>
  <c r="L15" i="4"/>
  <c r="I147" i="4"/>
  <c r="O106" i="4"/>
  <c r="K47" i="4"/>
  <c r="O27" i="4"/>
  <c r="L6" i="4"/>
  <c r="N205" i="4"/>
  <c r="K207" i="4"/>
  <c r="G101" i="4"/>
  <c r="G109" i="4"/>
  <c r="M203" i="4"/>
  <c r="H201" i="4"/>
  <c r="I83" i="4"/>
  <c r="N132" i="4"/>
  <c r="K219" i="4"/>
  <c r="J167" i="4"/>
  <c r="G172" i="4"/>
  <c r="N103" i="4"/>
  <c r="L79" i="4"/>
  <c r="J48" i="4"/>
  <c r="K66" i="4"/>
  <c r="N55" i="4"/>
  <c r="H129" i="4"/>
  <c r="N215" i="4"/>
  <c r="L123" i="4"/>
  <c r="J23" i="4"/>
  <c r="H115" i="4"/>
  <c r="G162" i="4"/>
  <c r="M206" i="4"/>
  <c r="O191" i="4"/>
  <c r="H101" i="4"/>
  <c r="I84" i="4"/>
  <c r="N84" i="4"/>
  <c r="G55" i="4"/>
  <c r="H21" i="4"/>
  <c r="M212" i="4"/>
  <c r="M213" i="4"/>
  <c r="H174" i="4"/>
  <c r="M31" i="4"/>
  <c r="J184" i="4"/>
  <c r="O126" i="4"/>
  <c r="N204" i="4"/>
  <c r="G95" i="4"/>
  <c r="L155" i="4"/>
  <c r="N37" i="4"/>
  <c r="G204" i="4"/>
  <c r="G78" i="4"/>
  <c r="O175" i="4"/>
  <c r="L132" i="4"/>
  <c r="N79" i="4"/>
  <c r="N10" i="4"/>
  <c r="M136" i="4"/>
  <c r="G132" i="4"/>
  <c r="H70" i="4"/>
  <c r="K58" i="4"/>
  <c r="J197" i="4"/>
  <c r="I133" i="4"/>
  <c r="H44" i="4"/>
  <c r="O122" i="4"/>
  <c r="J53" i="4"/>
  <c r="J124" i="4"/>
  <c r="K133" i="4"/>
  <c r="K220" i="4"/>
  <c r="H207" i="4"/>
  <c r="J82" i="4"/>
  <c r="L57" i="4"/>
  <c r="H110" i="4"/>
  <c r="K45" i="4"/>
  <c r="I210" i="4"/>
  <c r="G84" i="4"/>
  <c r="N199" i="4"/>
  <c r="H219" i="4"/>
  <c r="M122" i="4"/>
  <c r="K196" i="4"/>
  <c r="L213" i="4"/>
  <c r="G157" i="4"/>
  <c r="J147" i="4"/>
  <c r="N212" i="4"/>
  <c r="N93" i="4"/>
  <c r="L154" i="4"/>
  <c r="N56" i="4"/>
  <c r="G158" i="4"/>
  <c r="G220" i="4"/>
  <c r="H205" i="4"/>
  <c r="K114" i="4"/>
  <c r="L203" i="4"/>
  <c r="I154" i="4"/>
  <c r="I216" i="4"/>
  <c r="I8" i="4"/>
  <c r="J163" i="4"/>
  <c r="O219" i="4"/>
  <c r="K146" i="4"/>
  <c r="L159" i="4"/>
  <c r="L214" i="4"/>
  <c r="J198" i="4"/>
  <c r="G173" i="4"/>
  <c r="O187" i="4"/>
  <c r="I151" i="4"/>
  <c r="I197" i="4"/>
  <c r="M81" i="4"/>
  <c r="G216" i="4"/>
  <c r="J105" i="4"/>
  <c r="I66" i="4"/>
  <c r="M79" i="4"/>
  <c r="O56" i="4"/>
  <c r="M210" i="4"/>
  <c r="N16" i="4"/>
  <c r="L190" i="4"/>
  <c r="I98" i="4"/>
  <c r="M192" i="4"/>
  <c r="K177" i="4"/>
  <c r="J137" i="4"/>
  <c r="H12" i="4"/>
  <c r="M53" i="4"/>
  <c r="M201" i="4"/>
  <c r="H43" i="4"/>
  <c r="N182" i="4"/>
  <c r="O161" i="4"/>
  <c r="I162" i="4"/>
  <c r="O45" i="4"/>
  <c r="H200" i="4"/>
  <c r="K72" i="4"/>
  <c r="M181" i="4"/>
  <c r="G153" i="4"/>
  <c r="K84" i="4"/>
  <c r="H180" i="4"/>
  <c r="J181" i="4"/>
  <c r="N51" i="4"/>
  <c r="O94" i="4"/>
  <c r="O29" i="4"/>
  <c r="I164" i="4"/>
  <c r="I99" i="4"/>
  <c r="M58" i="4"/>
  <c r="G88" i="4"/>
  <c r="K83" i="4"/>
  <c r="N43" i="4"/>
  <c r="N4" i="4"/>
  <c r="L168" i="4"/>
  <c r="K173" i="4"/>
  <c r="L160" i="4"/>
  <c r="L129" i="4"/>
  <c r="H157" i="4"/>
  <c r="I190" i="4"/>
  <c r="M23" i="4"/>
  <c r="L115" i="4"/>
  <c r="K137" i="4"/>
  <c r="N156" i="4"/>
  <c r="K149" i="4"/>
  <c r="L101" i="4"/>
  <c r="J81" i="4"/>
  <c r="H10" i="4"/>
  <c r="O55" i="4"/>
  <c r="L21" i="4"/>
  <c r="M110" i="4"/>
  <c r="L166" i="4"/>
  <c r="J92" i="4"/>
  <c r="H26" i="4"/>
  <c r="I61" i="4"/>
  <c r="M178" i="4"/>
  <c r="H144" i="4"/>
  <c r="G124" i="4"/>
  <c r="I172" i="4"/>
  <c r="M121" i="4"/>
  <c r="G160" i="4"/>
  <c r="K64" i="4"/>
  <c r="I176" i="4"/>
  <c r="G117" i="4"/>
  <c r="I178" i="4"/>
  <c r="I156" i="4"/>
  <c r="H42" i="4"/>
  <c r="N219" i="4"/>
  <c r="J178" i="4"/>
  <c r="J84" i="4"/>
  <c r="K63" i="4"/>
  <c r="J74" i="4"/>
  <c r="L53" i="4"/>
  <c r="K122" i="4"/>
  <c r="K43" i="4"/>
  <c r="G119" i="4"/>
  <c r="J103" i="4"/>
  <c r="L94" i="4"/>
  <c r="O82" i="4"/>
  <c r="H183" i="4"/>
  <c r="K99" i="4"/>
  <c r="I44" i="4"/>
  <c r="M200" i="4"/>
  <c r="M115" i="4"/>
  <c r="M207" i="4"/>
  <c r="I50" i="4"/>
  <c r="G70" i="4"/>
  <c r="K132" i="4"/>
  <c r="N181" i="4"/>
  <c r="O180" i="4"/>
  <c r="O214" i="4"/>
  <c r="N108" i="4"/>
  <c r="N161" i="4"/>
  <c r="J64" i="4"/>
  <c r="I118" i="4"/>
  <c r="L93" i="4"/>
  <c r="H122" i="4"/>
  <c r="K97" i="4"/>
  <c r="L218" i="4"/>
  <c r="I153" i="4"/>
  <c r="H134" i="4"/>
  <c r="O194" i="4"/>
  <c r="H167" i="4"/>
  <c r="G152" i="4"/>
  <c r="I78" i="4"/>
  <c r="J108" i="4"/>
  <c r="J172" i="4"/>
  <c r="J131" i="4"/>
  <c r="L72" i="4"/>
  <c r="K40" i="4"/>
  <c r="K157" i="4"/>
  <c r="I188" i="4"/>
  <c r="O183" i="4"/>
  <c r="O203" i="4"/>
  <c r="H178" i="4"/>
  <c r="M198" i="4"/>
  <c r="I64" i="4"/>
  <c r="I207" i="4"/>
  <c r="K183" i="4"/>
  <c r="O213" i="4"/>
  <c r="G203" i="4"/>
  <c r="N189" i="4"/>
  <c r="N126" i="4"/>
  <c r="K165" i="4"/>
  <c r="G215" i="4"/>
  <c r="M128" i="4"/>
  <c r="M160" i="4"/>
  <c r="H113" i="4"/>
  <c r="K92" i="4"/>
  <c r="J24" i="4"/>
  <c r="N77" i="4"/>
  <c r="L75" i="4"/>
  <c r="G76" i="4"/>
  <c r="N95" i="4"/>
  <c r="N28" i="4"/>
  <c r="I76" i="4"/>
  <c r="K25" i="4"/>
  <c r="L95" i="4"/>
  <c r="G168" i="4"/>
  <c r="J210" i="4"/>
  <c r="J4" i="4"/>
  <c r="I145" i="4"/>
  <c r="J80" i="4"/>
  <c r="L25" i="4"/>
  <c r="N151" i="4"/>
  <c r="K94" i="4"/>
  <c r="I126" i="4"/>
  <c r="G26" i="4"/>
  <c r="O62" i="4"/>
  <c r="H153" i="4"/>
  <c r="H161" i="4"/>
  <c r="K119" i="4"/>
  <c r="K147" i="4"/>
  <c r="J65" i="4"/>
  <c r="N170" i="4"/>
  <c r="O114" i="4"/>
  <c r="O80" i="4"/>
  <c r="I70" i="4"/>
  <c r="M96" i="4"/>
  <c r="H65" i="4"/>
  <c r="K31" i="4"/>
  <c r="N3" i="4"/>
  <c r="M155" i="4"/>
  <c r="K151" i="4"/>
  <c r="J216" i="4"/>
  <c r="O121" i="4"/>
  <c r="H126" i="4"/>
  <c r="G20" i="4"/>
  <c r="G126" i="4"/>
  <c r="G138" i="4"/>
  <c r="G90" i="4"/>
  <c r="G4" i="4"/>
  <c r="G45" i="4"/>
  <c r="G121" i="4"/>
  <c r="G71" i="4"/>
  <c r="G94" i="4"/>
  <c r="G69" i="4"/>
  <c r="G107" i="4"/>
  <c r="G16" i="4"/>
  <c r="G35" i="4"/>
  <c r="G40" i="4"/>
  <c r="G9" i="4"/>
  <c r="G89" i="4"/>
  <c r="G65" i="4"/>
  <c r="G165" i="4"/>
  <c r="G150" i="4"/>
  <c r="G96" i="4"/>
  <c r="G116" i="4"/>
  <c r="G110" i="4"/>
  <c r="G118" i="4"/>
  <c r="G87" i="4"/>
  <c r="G131" i="4"/>
  <c r="G140" i="4"/>
  <c r="G127" i="4"/>
  <c r="G25" i="4"/>
  <c r="G64" i="4"/>
  <c r="G151" i="4"/>
  <c r="G21" i="4"/>
  <c r="G62" i="4"/>
  <c r="G108" i="4"/>
  <c r="G56" i="4"/>
  <c r="G12" i="4"/>
  <c r="G161" i="4"/>
  <c r="G5" i="4"/>
  <c r="G207" i="4"/>
  <c r="G98" i="4"/>
  <c r="G68" i="4"/>
  <c r="G47" i="4"/>
  <c r="G177" i="4"/>
  <c r="G114" i="4"/>
  <c r="G58" i="4"/>
  <c r="G14" i="4"/>
  <c r="G97" i="4"/>
  <c r="G30" i="4"/>
  <c r="G209" i="4"/>
  <c r="G155" i="4"/>
  <c r="G86" i="4"/>
  <c r="G176" i="4"/>
  <c r="G149" i="4"/>
  <c r="G193" i="4"/>
  <c r="G201" i="4"/>
  <c r="G74" i="4"/>
  <c r="G106" i="4"/>
  <c r="G104" i="4"/>
  <c r="G22" i="4"/>
  <c r="G53" i="4"/>
  <c r="G185" i="4"/>
  <c r="G15" i="4"/>
  <c r="G13" i="4"/>
  <c r="G179" i="4"/>
  <c r="G192" i="4"/>
  <c r="G19" i="4"/>
  <c r="G10" i="4"/>
  <c r="G200" i="4"/>
  <c r="G34" i="4"/>
  <c r="G125" i="4"/>
  <c r="G208" i="4"/>
  <c r="G156" i="4"/>
  <c r="G91" i="4"/>
  <c r="G18" i="4"/>
  <c r="G28" i="4"/>
  <c r="G6" i="4"/>
  <c r="G113" i="4"/>
  <c r="G33" i="4"/>
  <c r="G2" i="4"/>
  <c r="G24" i="4"/>
  <c r="G146" i="4"/>
  <c r="I132" i="4"/>
  <c r="I93" i="4"/>
  <c r="M92" i="4"/>
  <c r="L26" i="4"/>
  <c r="J101" i="4"/>
  <c r="L200" i="4"/>
  <c r="L144" i="4"/>
  <c r="O124" i="4"/>
  <c r="J146" i="4"/>
  <c r="N164" i="4"/>
  <c r="O160" i="4"/>
  <c r="G83" i="4"/>
  <c r="H51" i="4"/>
  <c r="I150" i="4"/>
  <c r="J175" i="4"/>
  <c r="N90" i="4"/>
  <c r="O127" i="4"/>
  <c r="M145" i="4"/>
  <c r="L181" i="4"/>
  <c r="I123" i="4"/>
  <c r="K216" i="4"/>
  <c r="M133" i="4"/>
  <c r="H139" i="4"/>
  <c r="K61" i="4"/>
  <c r="O152" i="4"/>
  <c r="O26" i="4"/>
  <c r="K176" i="4"/>
  <c r="H199" i="4"/>
  <c r="M144" i="4"/>
  <c r="I48" i="4"/>
  <c r="L99" i="4"/>
  <c r="I33" i="4"/>
  <c r="N121" i="4"/>
  <c r="O100" i="4"/>
  <c r="N82" i="4"/>
  <c r="J28" i="4"/>
  <c r="O97" i="4"/>
  <c r="I86" i="4"/>
  <c r="M189" i="4"/>
  <c r="N101" i="4"/>
  <c r="N139" i="4"/>
  <c r="G144" i="4"/>
  <c r="I198" i="4"/>
  <c r="K206" i="4"/>
  <c r="K160" i="4"/>
  <c r="H184" i="4"/>
  <c r="I102" i="4"/>
  <c r="H177" i="4"/>
  <c r="M37" i="4"/>
  <c r="G23" i="4"/>
  <c r="G136" i="4"/>
  <c r="L170" i="4"/>
  <c r="G167" i="4"/>
  <c r="G103" i="4"/>
  <c r="J214" i="4"/>
  <c r="L210" i="4"/>
  <c r="N20" i="4"/>
  <c r="M176" i="4"/>
  <c r="K197" i="4"/>
  <c r="I134" i="4"/>
  <c r="O46" i="4"/>
  <c r="J99" i="4"/>
  <c r="M120" i="4"/>
  <c r="I97" i="4"/>
  <c r="G198" i="4"/>
  <c r="H77" i="4"/>
  <c r="O182" i="4"/>
  <c r="O99" i="4"/>
  <c r="N118" i="4"/>
  <c r="J211" i="4"/>
  <c r="N208" i="4"/>
  <c r="J67" i="4"/>
  <c r="K10" i="4"/>
  <c r="K185" i="4"/>
  <c r="M140" i="4"/>
  <c r="G195" i="4"/>
  <c r="K163" i="4"/>
  <c r="I108" i="4"/>
  <c r="H182" i="4"/>
  <c r="G171" i="4"/>
  <c r="I82" i="4"/>
  <c r="N202" i="4"/>
  <c r="G183" i="4"/>
  <c r="K101" i="4"/>
  <c r="L157" i="4"/>
  <c r="N52" i="4"/>
  <c r="O39" i="4"/>
  <c r="G217" i="4"/>
  <c r="H158" i="4"/>
  <c r="H215" i="4"/>
  <c r="I105" i="4"/>
  <c r="O63" i="4"/>
  <c r="I5" i="4"/>
  <c r="J21" i="4"/>
  <c r="H128" i="4"/>
  <c r="K49" i="4"/>
  <c r="J151" i="4"/>
  <c r="J38" i="4"/>
  <c r="L83" i="4"/>
  <c r="N83" i="4"/>
  <c r="H75" i="4"/>
  <c r="G79" i="4"/>
  <c r="M182" i="4"/>
  <c r="O49" i="4"/>
  <c r="H181" i="4"/>
  <c r="O38" i="4"/>
  <c r="L11" i="4"/>
  <c r="M139" i="4"/>
  <c r="G139" i="4"/>
  <c r="L121" i="4"/>
  <c r="N50" i="4"/>
  <c r="M11" i="4"/>
  <c r="I77" i="4"/>
  <c r="O135" i="4"/>
  <c r="K105" i="4"/>
  <c r="J69" i="4"/>
  <c r="L162" i="4"/>
  <c r="G135" i="4"/>
  <c r="O60" i="4"/>
  <c r="I2" i="4"/>
  <c r="H38" i="4"/>
  <c r="H136" i="4"/>
  <c r="I62" i="4"/>
  <c r="G8" i="4"/>
  <c r="I113" i="4"/>
  <c r="I205" i="4"/>
  <c r="G52" i="4"/>
  <c r="O185" i="4"/>
  <c r="I24" i="4"/>
  <c r="N22" i="4"/>
  <c r="N12" i="4"/>
  <c r="N25" i="4"/>
  <c r="N124" i="4"/>
  <c r="N206" i="4"/>
  <c r="N180" i="4"/>
  <c r="N194" i="4"/>
  <c r="N59" i="4"/>
  <c r="N18" i="4"/>
  <c r="N69" i="4"/>
  <c r="N191" i="4"/>
  <c r="N72" i="4"/>
  <c r="N100" i="4"/>
  <c r="N203" i="4"/>
  <c r="N165" i="4"/>
  <c r="N135" i="4"/>
  <c r="N145" i="4"/>
  <c r="N70" i="4"/>
  <c r="N62" i="4"/>
  <c r="N110" i="4"/>
  <c r="N167" i="4"/>
  <c r="N68" i="4"/>
  <c r="N195" i="4"/>
  <c r="N137" i="4"/>
  <c r="N120" i="4"/>
  <c r="N8" i="4"/>
  <c r="N185" i="4"/>
  <c r="N176" i="4"/>
  <c r="N26" i="4"/>
  <c r="N116" i="4"/>
  <c r="N21" i="4"/>
  <c r="N42" i="4"/>
  <c r="N122" i="4"/>
  <c r="N88" i="4"/>
  <c r="N172" i="4"/>
  <c r="N91" i="4"/>
  <c r="N218" i="4"/>
  <c r="N127" i="4"/>
  <c r="N86" i="4"/>
  <c r="N150" i="4"/>
  <c r="N46" i="4"/>
  <c r="N24" i="4"/>
  <c r="N78" i="4"/>
  <c r="N158" i="4"/>
  <c r="N27" i="4"/>
  <c r="N9" i="4"/>
  <c r="N54" i="4"/>
  <c r="N130" i="4"/>
  <c r="N115" i="4"/>
  <c r="N175" i="4"/>
  <c r="N11" i="4"/>
  <c r="N80" i="4"/>
  <c r="N48" i="4"/>
  <c r="N183" i="4"/>
  <c r="N148" i="4"/>
  <c r="N92" i="4"/>
  <c r="N174" i="4"/>
  <c r="N134" i="4"/>
  <c r="N34" i="4"/>
  <c r="N32" i="4"/>
  <c r="N75" i="4"/>
  <c r="N99" i="4"/>
  <c r="N197" i="4"/>
  <c r="N123" i="4"/>
  <c r="N23" i="4"/>
  <c r="N2" i="4"/>
  <c r="N128" i="4"/>
  <c r="N58" i="4"/>
  <c r="N141" i="4"/>
  <c r="N119" i="4"/>
  <c r="M83" i="4"/>
  <c r="M19" i="4"/>
  <c r="M15" i="4"/>
  <c r="M42" i="4"/>
  <c r="M153" i="4"/>
  <c r="M80" i="4"/>
  <c r="M30" i="4"/>
  <c r="M41" i="4"/>
  <c r="M185" i="4"/>
  <c r="M32" i="4"/>
  <c r="M106" i="4"/>
  <c r="M197" i="4"/>
  <c r="M163" i="4"/>
  <c r="M67" i="4"/>
  <c r="M95" i="4"/>
  <c r="M82" i="4"/>
  <c r="M218" i="4"/>
  <c r="M164" i="4"/>
  <c r="M107" i="4"/>
  <c r="M123" i="4"/>
  <c r="M25" i="4"/>
  <c r="M38" i="4"/>
  <c r="M196" i="4"/>
  <c r="M14" i="4"/>
  <c r="M20" i="4"/>
  <c r="M135" i="4"/>
  <c r="M3" i="4"/>
  <c r="M138" i="4"/>
  <c r="M56" i="4"/>
  <c r="M69" i="4"/>
  <c r="M116" i="4"/>
  <c r="M102" i="4"/>
  <c r="M62" i="4"/>
  <c r="M43" i="4"/>
  <c r="M148" i="4"/>
  <c r="M52" i="4"/>
  <c r="M202" i="4"/>
  <c r="M142" i="4"/>
  <c r="M157" i="4"/>
  <c r="M29" i="4"/>
  <c r="M177" i="4"/>
  <c r="M65" i="4"/>
  <c r="M26" i="4"/>
  <c r="M33" i="4"/>
  <c r="M27" i="4"/>
  <c r="M146" i="4"/>
  <c r="M101" i="4"/>
  <c r="M47" i="4"/>
  <c r="M86" i="4"/>
  <c r="M165" i="4"/>
  <c r="M88" i="4"/>
  <c r="M98" i="4"/>
  <c r="M40" i="4"/>
  <c r="M72" i="4"/>
  <c r="M6" i="4"/>
  <c r="M36" i="4"/>
  <c r="M44" i="4"/>
  <c r="M18" i="4"/>
  <c r="M154" i="4"/>
  <c r="M114" i="4"/>
  <c r="M46" i="4"/>
  <c r="M112" i="4"/>
  <c r="M57" i="4"/>
  <c r="M63" i="4"/>
  <c r="M105" i="4"/>
  <c r="M13" i="4"/>
  <c r="M151" i="4"/>
  <c r="M132" i="4"/>
  <c r="M94" i="4"/>
  <c r="M7" i="4"/>
  <c r="M104" i="4"/>
  <c r="M78" i="4"/>
  <c r="M21" i="4"/>
  <c r="M76" i="4"/>
  <c r="M193" i="4"/>
  <c r="M4" i="4"/>
  <c r="M190" i="4"/>
  <c r="M5" i="4"/>
  <c r="M162" i="4"/>
  <c r="M113" i="4"/>
  <c r="N133" i="4"/>
  <c r="M175" i="4"/>
  <c r="H151" i="4"/>
  <c r="K169" i="4"/>
  <c r="N152" i="4"/>
  <c r="I136" i="4"/>
  <c r="J116" i="4"/>
  <c r="G206" i="4"/>
  <c r="N109" i="4"/>
  <c r="L139" i="4"/>
  <c r="G93" i="4"/>
  <c r="K172" i="4"/>
  <c r="N57" i="4"/>
  <c r="I157" i="4"/>
  <c r="N163" i="4"/>
  <c r="L112" i="4"/>
  <c r="G205" i="4"/>
  <c r="H211" i="4"/>
  <c r="H91" i="4"/>
  <c r="M84" i="4"/>
  <c r="O95" i="4"/>
  <c r="H193" i="4"/>
  <c r="I54" i="4"/>
  <c r="O133" i="4"/>
  <c r="O154" i="4"/>
  <c r="K3" i="4"/>
  <c r="O119" i="4"/>
  <c r="I160" i="4"/>
  <c r="H123" i="4"/>
  <c r="H14" i="4"/>
  <c r="N179" i="4"/>
  <c r="O132" i="4"/>
  <c r="L70" i="4"/>
  <c r="G32" i="4"/>
  <c r="L161" i="4"/>
  <c r="N64" i="4"/>
  <c r="G50" i="4"/>
  <c r="I11" i="4"/>
  <c r="J115" i="4"/>
  <c r="J109" i="4"/>
  <c r="L44" i="4"/>
  <c r="K98" i="4"/>
  <c r="N45" i="4"/>
  <c r="I177" i="4"/>
  <c r="O143" i="4"/>
  <c r="I115" i="4"/>
  <c r="L109" i="4"/>
  <c r="I74" i="4"/>
  <c r="I28" i="4"/>
  <c r="L110" i="4"/>
  <c r="G36" i="4"/>
  <c r="J141" i="4"/>
  <c r="K204" i="4"/>
  <c r="K145" i="4"/>
  <c r="N184" i="4"/>
  <c r="J173" i="4"/>
  <c r="L84" i="4"/>
  <c r="I119" i="4"/>
  <c r="O157" i="4"/>
  <c r="M147" i="4"/>
  <c r="H220" i="4"/>
  <c r="M129" i="4"/>
  <c r="H179" i="4"/>
  <c r="M39" i="4"/>
  <c r="K90" i="4"/>
  <c r="L24" i="4"/>
  <c r="L205" i="4"/>
  <c r="G211" i="4"/>
  <c r="G212" i="4"/>
  <c r="J191" i="4"/>
  <c r="L188" i="4"/>
  <c r="N65" i="4"/>
  <c r="M215" i="4"/>
  <c r="K14" i="4"/>
  <c r="H198" i="4"/>
  <c r="O75" i="4"/>
  <c r="J187" i="4"/>
  <c r="M118" i="4"/>
  <c r="I85" i="4"/>
  <c r="K161" i="4"/>
  <c r="L147" i="4"/>
  <c r="L194" i="4"/>
  <c r="K156" i="4"/>
  <c r="O109" i="4"/>
  <c r="J118" i="4"/>
  <c r="L73" i="4"/>
  <c r="G37" i="4"/>
  <c r="O178" i="4"/>
  <c r="G197" i="4"/>
  <c r="I143" i="4"/>
  <c r="M55" i="4"/>
  <c r="G142" i="4"/>
  <c r="M12" i="4"/>
  <c r="J7" i="4"/>
  <c r="L30" i="4"/>
  <c r="O5" i="4"/>
  <c r="I139" i="4"/>
  <c r="H17" i="4"/>
  <c r="K6" i="4"/>
  <c r="I12" i="4"/>
  <c r="N112" i="4"/>
  <c r="O35" i="4"/>
  <c r="I90" i="4"/>
  <c r="L66" i="4"/>
  <c r="H81" i="4"/>
  <c r="O57" i="4"/>
  <c r="N5" i="4"/>
  <c r="N44" i="4"/>
  <c r="I9" i="4"/>
  <c r="N147" i="4"/>
  <c r="H68" i="4"/>
  <c r="M89" i="4"/>
  <c r="I52" i="4"/>
  <c r="M97" i="4"/>
  <c r="G181" i="4"/>
  <c r="K182" i="4"/>
  <c r="J73" i="4"/>
  <c r="J138" i="4"/>
  <c r="K194" i="4"/>
  <c r="G57" i="4"/>
  <c r="K69" i="4"/>
  <c r="J9" i="4"/>
  <c r="I195" i="4"/>
  <c r="M8" i="4"/>
  <c r="K211" i="4"/>
  <c r="G29" i="4"/>
  <c r="M161" i="4"/>
  <c r="I189" i="4"/>
  <c r="J142" i="4"/>
  <c r="O4" i="4"/>
  <c r="O24" i="4"/>
  <c r="O6" i="4"/>
  <c r="O162" i="4"/>
  <c r="O73" i="4"/>
  <c r="O10" i="4"/>
  <c r="O125" i="4"/>
  <c r="O196" i="4"/>
  <c r="O156" i="4"/>
  <c r="O58" i="4"/>
  <c r="O113" i="4"/>
  <c r="O37" i="4"/>
  <c r="O171" i="4"/>
  <c r="O220" i="4"/>
  <c r="O141" i="4"/>
  <c r="O218" i="4"/>
  <c r="O103" i="4"/>
  <c r="O153" i="4"/>
  <c r="O140" i="4"/>
  <c r="O76" i="4"/>
  <c r="O217" i="4"/>
  <c r="O216" i="4"/>
  <c r="O44" i="4"/>
  <c r="O138" i="4"/>
  <c r="O41" i="4"/>
  <c r="O28" i="4"/>
  <c r="O136" i="4"/>
  <c r="O21" i="4"/>
  <c r="O65" i="4"/>
  <c r="O98" i="4"/>
  <c r="O79" i="4"/>
  <c r="O7" i="4"/>
  <c r="O12" i="4"/>
  <c r="O93" i="4"/>
  <c r="O206" i="4"/>
  <c r="O197" i="4"/>
  <c r="O40" i="4"/>
  <c r="O64" i="4"/>
  <c r="O151" i="4"/>
  <c r="O33" i="4"/>
  <c r="O101" i="4"/>
  <c r="O111" i="4"/>
  <c r="O139" i="4"/>
  <c r="O104" i="4"/>
  <c r="O168" i="4"/>
  <c r="O23" i="4"/>
  <c r="O83" i="4"/>
  <c r="O14" i="4"/>
  <c r="O165" i="4"/>
  <c r="O53" i="4"/>
  <c r="O48" i="4"/>
  <c r="O25" i="4"/>
  <c r="O17" i="4"/>
  <c r="O150" i="4"/>
  <c r="O96" i="4"/>
  <c r="O176" i="4"/>
  <c r="O149" i="4"/>
  <c r="O90" i="4"/>
  <c r="O13" i="4"/>
  <c r="O89" i="4"/>
  <c r="O11" i="4"/>
  <c r="O169" i="4"/>
  <c r="O20" i="4"/>
  <c r="O3" i="4"/>
  <c r="O200" i="4"/>
  <c r="O193" i="4"/>
  <c r="O201" i="4"/>
  <c r="O74" i="4"/>
  <c r="O8" i="4"/>
  <c r="O142" i="4"/>
  <c r="O47" i="4"/>
  <c r="O15" i="4"/>
  <c r="O36" i="4"/>
  <c r="O179" i="4"/>
  <c r="O192" i="4"/>
  <c r="K18" i="4"/>
  <c r="K2" i="4"/>
  <c r="K175" i="4"/>
  <c r="K77" i="4"/>
  <c r="K212" i="4"/>
  <c r="K57" i="4"/>
  <c r="K48" i="4"/>
  <c r="K27" i="4"/>
  <c r="K208" i="4"/>
  <c r="K199" i="4"/>
  <c r="K190" i="4"/>
  <c r="K108" i="4"/>
  <c r="K209" i="4"/>
  <c r="K56" i="4"/>
  <c r="K155" i="4"/>
  <c r="K55" i="4"/>
  <c r="K130" i="4"/>
  <c r="K16" i="4"/>
  <c r="K11" i="4"/>
  <c r="K28" i="4"/>
  <c r="K210" i="4"/>
  <c r="K214" i="4"/>
  <c r="K140" i="4"/>
  <c r="K171" i="4"/>
  <c r="K73" i="4"/>
  <c r="K87" i="4"/>
  <c r="K29" i="4"/>
  <c r="K148" i="4"/>
  <c r="K36" i="4"/>
  <c r="K62" i="4"/>
  <c r="K78" i="4"/>
  <c r="K19" i="4"/>
  <c r="K154" i="4"/>
  <c r="K141" i="4"/>
  <c r="K205" i="4"/>
  <c r="K174" i="4"/>
  <c r="K170" i="4"/>
  <c r="K37" i="4"/>
  <c r="K22" i="4"/>
  <c r="K60" i="4"/>
  <c r="K17" i="4"/>
  <c r="K24" i="4"/>
  <c r="K203" i="4"/>
  <c r="K74" i="4"/>
  <c r="K8" i="4"/>
  <c r="K166" i="4"/>
  <c r="K167" i="4"/>
  <c r="K44" i="4"/>
  <c r="K123" i="4"/>
  <c r="K188" i="4"/>
  <c r="K41" i="4"/>
  <c r="K4" i="4"/>
  <c r="K21" i="4"/>
  <c r="K118" i="4"/>
  <c r="K34" i="4"/>
  <c r="K120" i="4"/>
  <c r="K53" i="4"/>
  <c r="K71" i="4"/>
  <c r="K104" i="4"/>
  <c r="K75" i="4"/>
  <c r="K13" i="4"/>
  <c r="K12" i="4"/>
  <c r="K152" i="4"/>
  <c r="K86" i="4"/>
  <c r="K7" i="4"/>
  <c r="K134" i="4"/>
  <c r="K30" i="4"/>
  <c r="K59" i="4"/>
  <c r="K51" i="4"/>
  <c r="K39" i="4"/>
  <c r="H117" i="4"/>
  <c r="H107" i="4"/>
  <c r="I63" i="4"/>
  <c r="O205" i="4"/>
  <c r="L211" i="4"/>
  <c r="M73" i="4"/>
  <c r="N81" i="4"/>
  <c r="K138" i="4"/>
  <c r="L193" i="4"/>
  <c r="J106" i="4"/>
  <c r="K109" i="4"/>
  <c r="K191" i="4"/>
  <c r="O16" i="4"/>
  <c r="H61" i="4"/>
  <c r="L150" i="4"/>
  <c r="J158" i="4"/>
  <c r="K192" i="4"/>
  <c r="I127" i="4"/>
  <c r="K218" i="4"/>
  <c r="H164" i="4"/>
  <c r="G77" i="4"/>
  <c r="I180" i="4"/>
  <c r="M50" i="4"/>
  <c r="G186" i="4"/>
  <c r="O188" i="4"/>
  <c r="O9" i="4"/>
  <c r="N178" i="4"/>
  <c r="M103" i="4"/>
  <c r="I81" i="4"/>
  <c r="K217" i="4"/>
  <c r="J155" i="4"/>
  <c r="G166" i="4"/>
  <c r="J54" i="4"/>
  <c r="N214" i="4"/>
  <c r="J204" i="4"/>
  <c r="L20" i="4"/>
  <c r="K67" i="4"/>
  <c r="I4" i="4"/>
  <c r="N125" i="4"/>
  <c r="N193" i="4"/>
  <c r="J66" i="4"/>
  <c r="O70" i="4"/>
  <c r="L16" i="4"/>
  <c r="M124" i="4"/>
  <c r="G130" i="4"/>
  <c r="H197" i="4"/>
  <c r="L207" i="4"/>
  <c r="H137" i="4"/>
  <c r="M64" i="4"/>
  <c r="J209" i="4"/>
  <c r="M219" i="4"/>
  <c r="N138" i="4"/>
  <c r="O84" i="4"/>
  <c r="O207" i="4"/>
  <c r="L219" i="4"/>
  <c r="N98" i="4"/>
  <c r="K168" i="4"/>
  <c r="I171" i="4"/>
  <c r="G102" i="4"/>
  <c r="H66" i="4"/>
  <c r="I129" i="4"/>
  <c r="L118" i="4"/>
  <c r="I149" i="4"/>
  <c r="H78" i="4"/>
  <c r="O158" i="4"/>
  <c r="G184" i="4"/>
  <c r="J195" i="4"/>
  <c r="K135" i="4"/>
  <c r="K189" i="4"/>
  <c r="I159" i="4"/>
  <c r="J170" i="4"/>
  <c r="L47" i="4"/>
  <c r="H143" i="4"/>
  <c r="J166" i="4"/>
  <c r="M75" i="4"/>
  <c r="G147" i="4"/>
  <c r="L212" i="4"/>
  <c r="H102" i="4"/>
  <c r="M59" i="4"/>
  <c r="O173" i="4"/>
  <c r="O215" i="4"/>
  <c r="J140" i="4"/>
  <c r="O116" i="4"/>
  <c r="I214" i="4"/>
  <c r="J119" i="4"/>
  <c r="J87" i="4"/>
  <c r="G11" i="4"/>
  <c r="G219" i="4"/>
  <c r="K125" i="4"/>
  <c r="M186" i="4"/>
  <c r="H76" i="4"/>
  <c r="K68" i="4"/>
  <c r="N7" i="4"/>
  <c r="J179" i="4"/>
  <c r="N47" i="4"/>
  <c r="M199" i="4"/>
  <c r="L27" i="4"/>
  <c r="L49" i="4"/>
  <c r="I39" i="4"/>
  <c r="L4" i="4"/>
  <c r="H54" i="4"/>
  <c r="G43" i="4"/>
  <c r="H97" i="4"/>
  <c r="N15" i="4"/>
  <c r="J60" i="4"/>
  <c r="J89" i="4"/>
  <c r="J33" i="4"/>
  <c r="I87" i="4"/>
  <c r="I187" i="4"/>
  <c r="H142" i="4"/>
  <c r="G51" i="4"/>
  <c r="H105" i="4"/>
  <c r="G38" i="4"/>
  <c r="H36" i="4"/>
  <c r="K198" i="4"/>
  <c r="O69" i="4"/>
  <c r="I45" i="4"/>
  <c r="N39" i="4"/>
  <c r="O190" i="4"/>
  <c r="L64" i="4"/>
  <c r="O71" i="4"/>
  <c r="I7" i="4"/>
  <c r="M216" i="4"/>
  <c r="G111" i="4"/>
  <c r="G80" i="4"/>
  <c r="G3" i="4"/>
  <c r="N210" i="4"/>
  <c r="J157" i="4"/>
  <c r="N87" i="4"/>
  <c r="O72" i="4"/>
  <c r="H23" i="4"/>
  <c r="AA222" i="4"/>
  <c r="AA221" i="4"/>
  <c r="Y118" i="3"/>
  <c r="Y91" i="3"/>
  <c r="Y189" i="3"/>
  <c r="Y157" i="3"/>
  <c r="Y80" i="3"/>
  <c r="Y38" i="3"/>
  <c r="Y28" i="3"/>
  <c r="Y61" i="3"/>
  <c r="Y32" i="3"/>
  <c r="Y139" i="3"/>
  <c r="Y150" i="3"/>
  <c r="Y73" i="3"/>
  <c r="Y119" i="3"/>
  <c r="Y209" i="3"/>
  <c r="Y13" i="3"/>
  <c r="Y149" i="3"/>
  <c r="Y158" i="3"/>
  <c r="Y63" i="3"/>
  <c r="Y179" i="3"/>
  <c r="Y58" i="3"/>
  <c r="Y147" i="3"/>
  <c r="Y88" i="3"/>
  <c r="Y62" i="3"/>
  <c r="Y152" i="3"/>
  <c r="Y177" i="3"/>
  <c r="Y148" i="3"/>
  <c r="Y50" i="3"/>
  <c r="Y48" i="3"/>
  <c r="Y140" i="3"/>
  <c r="Y172" i="3"/>
  <c r="Y142" i="3"/>
  <c r="Y141" i="3"/>
  <c r="Y130" i="3"/>
  <c r="Y98" i="3"/>
  <c r="Y180" i="3"/>
  <c r="Y122" i="3"/>
  <c r="Y132" i="3"/>
  <c r="Y42" i="3"/>
  <c r="Y202" i="3"/>
  <c r="Y210" i="3"/>
  <c r="Y79" i="3"/>
  <c r="Y191" i="3"/>
  <c r="Y29" i="3"/>
  <c r="Y193" i="3"/>
  <c r="Y144" i="3"/>
  <c r="Y159" i="3"/>
  <c r="Y40" i="3"/>
  <c r="Y101" i="3"/>
  <c r="Y59" i="3"/>
  <c r="Y8" i="3"/>
  <c r="Y67" i="3"/>
  <c r="Y17" i="1"/>
  <c r="Y66" i="1"/>
  <c r="Y76" i="1"/>
  <c r="Y55" i="1"/>
  <c r="Y175" i="1"/>
  <c r="Y103" i="1"/>
  <c r="Y64" i="1"/>
  <c r="Y3" i="1"/>
  <c r="Y167" i="1"/>
  <c r="Y81" i="1"/>
  <c r="Y186" i="1"/>
  <c r="Y152" i="1"/>
  <c r="Y96" i="1"/>
  <c r="Y137" i="1"/>
  <c r="Y194" i="1"/>
  <c r="Y164" i="1"/>
  <c r="Y107" i="1"/>
  <c r="Y176" i="1"/>
  <c r="Y67" i="1"/>
  <c r="Y26" i="1"/>
  <c r="Y114" i="1"/>
  <c r="Y23" i="1"/>
  <c r="Y156" i="1"/>
  <c r="Y36" i="1"/>
  <c r="Y173" i="1"/>
  <c r="Y34" i="1"/>
  <c r="Y131" i="1"/>
  <c r="Y16" i="1"/>
  <c r="Y39" i="1"/>
  <c r="Y104" i="1"/>
  <c r="Y121" i="1"/>
  <c r="Y12" i="1"/>
  <c r="Y141" i="1"/>
  <c r="Y57" i="1"/>
  <c r="Y111" i="1"/>
  <c r="Y157" i="1"/>
  <c r="Y14" i="1"/>
  <c r="Y82" i="1"/>
  <c r="Y155" i="1"/>
  <c r="Y116" i="1"/>
  <c r="Y63" i="1"/>
  <c r="Y136" i="1"/>
  <c r="Y122" i="1"/>
  <c r="Y125" i="1"/>
  <c r="Y2" i="1"/>
  <c r="Y47" i="1"/>
  <c r="Y31" i="1"/>
  <c r="Y113" i="1"/>
  <c r="Y132" i="1"/>
  <c r="Y153" i="1"/>
  <c r="Y105" i="1"/>
  <c r="Y146" i="1"/>
  <c r="Y77" i="1"/>
  <c r="Y56" i="1"/>
  <c r="Y52" i="1"/>
  <c r="Y45" i="1"/>
  <c r="Y27" i="1"/>
  <c r="Y181" i="1"/>
  <c r="Y123" i="1"/>
  <c r="Y197" i="1"/>
  <c r="Y95" i="1"/>
  <c r="P110" i="4" l="1"/>
  <c r="F110" i="4" s="1"/>
  <c r="P208" i="4"/>
  <c r="F208" i="4" s="1"/>
  <c r="P14" i="4"/>
  <c r="F14" i="4" s="1"/>
  <c r="P176" i="4"/>
  <c r="F176" i="4" s="1"/>
  <c r="P24" i="4"/>
  <c r="F24" i="4" s="1"/>
  <c r="P62" i="4"/>
  <c r="F62" i="4" s="1"/>
  <c r="P119" i="4"/>
  <c r="F119" i="4" s="1"/>
  <c r="P8" i="4"/>
  <c r="F8" i="4" s="1"/>
  <c r="P154" i="4"/>
  <c r="F154" i="4" s="1"/>
  <c r="P181" i="4"/>
  <c r="F181" i="4" s="1"/>
  <c r="P5" i="4"/>
  <c r="F5" i="4" s="1"/>
  <c r="P147" i="4"/>
  <c r="F147" i="4" s="1"/>
  <c r="P79" i="4"/>
  <c r="F79" i="4" s="1"/>
  <c r="P46" i="4"/>
  <c r="F46" i="4" s="1"/>
  <c r="P94" i="4"/>
  <c r="F94" i="4" s="1"/>
  <c r="P97" i="4"/>
  <c r="F97" i="4" s="1"/>
  <c r="P109" i="4"/>
  <c r="F109" i="4" s="1"/>
  <c r="P102" i="4"/>
  <c r="F102" i="4" s="1"/>
  <c r="P219" i="4"/>
  <c r="F219" i="4" s="1"/>
  <c r="P138" i="4"/>
  <c r="F138" i="4" s="1"/>
  <c r="P175" i="4"/>
  <c r="F175" i="4" s="1"/>
  <c r="P139" i="4"/>
  <c r="F139" i="4" s="1"/>
  <c r="P153" i="4"/>
  <c r="F153" i="4" s="1"/>
  <c r="P217" i="4"/>
  <c r="F217" i="4" s="1"/>
  <c r="P144" i="4"/>
  <c r="F144" i="4" s="1"/>
  <c r="P188" i="4"/>
  <c r="F188" i="4" s="1"/>
  <c r="P72" i="4"/>
  <c r="F72" i="4" s="1"/>
  <c r="P103" i="4"/>
  <c r="F103" i="4" s="1"/>
  <c r="P209" i="4"/>
  <c r="F209" i="4" s="1"/>
  <c r="P179" i="4"/>
  <c r="F179" i="4" s="1"/>
  <c r="P168" i="4"/>
  <c r="F168" i="4" s="1"/>
  <c r="P191" i="4"/>
  <c r="F191" i="4" s="1"/>
  <c r="P85" i="4"/>
  <c r="F85" i="4" s="1"/>
  <c r="P15" i="4"/>
  <c r="F15" i="4" s="1"/>
  <c r="P57" i="4"/>
  <c r="F57" i="4" s="1"/>
  <c r="P34" i="4"/>
  <c r="F34" i="4" s="1"/>
  <c r="P18" i="4"/>
  <c r="F18" i="4" s="1"/>
  <c r="P115" i="4"/>
  <c r="F115" i="4" s="1"/>
  <c r="P129" i="4"/>
  <c r="F129" i="4" s="1"/>
  <c r="P171" i="4"/>
  <c r="F171" i="4" s="1"/>
  <c r="P37" i="4"/>
  <c r="F37" i="4" s="1"/>
  <c r="P80" i="4"/>
  <c r="F80" i="4" s="1"/>
  <c r="P150" i="4"/>
  <c r="F150" i="4" s="1"/>
  <c r="P99" i="4"/>
  <c r="F99" i="4" s="1"/>
  <c r="P83" i="4"/>
  <c r="F83" i="4" s="1"/>
  <c r="P48" i="4"/>
  <c r="F48" i="4" s="1"/>
  <c r="P121" i="4"/>
  <c r="F121" i="4" s="1"/>
  <c r="P87" i="4"/>
  <c r="F87" i="4" s="1"/>
  <c r="P151" i="4"/>
  <c r="F151" i="4" s="1"/>
  <c r="P156" i="4"/>
  <c r="F156" i="4" s="1"/>
  <c r="P104" i="4"/>
  <c r="F104" i="4" s="1"/>
  <c r="P17" i="4"/>
  <c r="F17" i="4" s="1"/>
  <c r="P26" i="4"/>
  <c r="F26" i="4" s="1"/>
  <c r="P183" i="4"/>
  <c r="F183" i="4" s="1"/>
  <c r="P164" i="4"/>
  <c r="F164" i="4" s="1"/>
  <c r="P35" i="4"/>
  <c r="F35" i="4" s="1"/>
  <c r="P33" i="4"/>
  <c r="F33" i="4" s="1"/>
  <c r="P199" i="4"/>
  <c r="F199" i="4" s="1"/>
  <c r="P96" i="4"/>
  <c r="F96" i="4" s="1"/>
  <c r="P203" i="4"/>
  <c r="F203" i="4" s="1"/>
  <c r="P145" i="4"/>
  <c r="F145" i="4" s="1"/>
  <c r="P67" i="4"/>
  <c r="F67" i="4" s="1"/>
  <c r="P77" i="4"/>
  <c r="F77" i="4" s="1"/>
  <c r="P187" i="4"/>
  <c r="F187" i="4" s="1"/>
  <c r="P172" i="4"/>
  <c r="F172" i="4" s="1"/>
  <c r="P75" i="4"/>
  <c r="F75" i="4" s="1"/>
  <c r="P192" i="4"/>
  <c r="F192" i="4" s="1"/>
  <c r="P163" i="4"/>
  <c r="F163" i="4" s="1"/>
  <c r="P195" i="4"/>
  <c r="F195" i="4" s="1"/>
  <c r="P38" i="4"/>
  <c r="F38" i="4" s="1"/>
  <c r="P116" i="4"/>
  <c r="F116" i="4" s="1"/>
  <c r="P177" i="4"/>
  <c r="F177" i="4" s="1"/>
  <c r="P146" i="4"/>
  <c r="F146" i="4" s="1"/>
  <c r="P206" i="4"/>
  <c r="F206" i="4" s="1"/>
  <c r="P20" i="4"/>
  <c r="F20" i="4" s="1"/>
  <c r="P134" i="4"/>
  <c r="F134" i="4" s="1"/>
  <c r="P126" i="4"/>
  <c r="F126" i="4" s="1"/>
  <c r="P55" i="4"/>
  <c r="F55" i="4" s="1"/>
  <c r="P113" i="4"/>
  <c r="F113" i="4" s="1"/>
  <c r="P51" i="4"/>
  <c r="F51" i="4" s="1"/>
  <c r="P202" i="4"/>
  <c r="F202" i="4" s="1"/>
  <c r="P10" i="4"/>
  <c r="F10" i="4" s="1"/>
  <c r="P93" i="4"/>
  <c r="F93" i="4" s="1"/>
  <c r="P29" i="4"/>
  <c r="F29" i="4" s="1"/>
  <c r="P216" i="4"/>
  <c r="F216" i="4" s="1"/>
  <c r="P117" i="4"/>
  <c r="F117" i="4" s="1"/>
  <c r="P54" i="4"/>
  <c r="F54" i="4" s="1"/>
  <c r="P50" i="4"/>
  <c r="F50" i="4" s="1"/>
  <c r="P123" i="4"/>
  <c r="F123" i="4" s="1"/>
  <c r="P66" i="4"/>
  <c r="F66" i="4" s="1"/>
  <c r="P194" i="4"/>
  <c r="F194" i="4" s="1"/>
  <c r="P196" i="4"/>
  <c r="F196" i="4" s="1"/>
  <c r="P133" i="4"/>
  <c r="F133" i="4" s="1"/>
  <c r="P137" i="4"/>
  <c r="F137" i="4" s="1"/>
  <c r="P198" i="4"/>
  <c r="F198" i="4" s="1"/>
  <c r="P186" i="4"/>
  <c r="F186" i="4" s="1"/>
  <c r="P170" i="4"/>
  <c r="F170" i="4" s="1"/>
  <c r="P174" i="4"/>
  <c r="F174" i="4" s="1"/>
  <c r="P214" i="4"/>
  <c r="F214" i="4" s="1"/>
  <c r="P180" i="4"/>
  <c r="F180" i="4" s="1"/>
  <c r="P92" i="4"/>
  <c r="F92" i="4" s="1"/>
  <c r="P81" i="4"/>
  <c r="F81" i="4" s="1"/>
  <c r="P4" i="4"/>
  <c r="F4" i="4" s="1"/>
  <c r="P127" i="4"/>
  <c r="F127" i="4" s="1"/>
  <c r="P22" i="4"/>
  <c r="F22" i="4" s="1"/>
  <c r="P32" i="4"/>
  <c r="F32" i="4" s="1"/>
  <c r="P12" i="4"/>
  <c r="F12" i="4" s="1"/>
  <c r="P3" i="4"/>
  <c r="F3" i="4" s="1"/>
  <c r="P73" i="4"/>
  <c r="F73" i="4" s="1"/>
  <c r="P218" i="4"/>
  <c r="F218" i="4" s="1"/>
  <c r="P205" i="4"/>
  <c r="F205" i="4" s="1"/>
  <c r="P45" i="4"/>
  <c r="F45" i="4" s="1"/>
  <c r="P118" i="4"/>
  <c r="F118" i="4" s="1"/>
  <c r="P64" i="4"/>
  <c r="F64" i="4" s="1"/>
  <c r="P193" i="4"/>
  <c r="F193" i="4" s="1"/>
  <c r="P101" i="4"/>
  <c r="F101" i="4" s="1"/>
  <c r="P89" i="4"/>
  <c r="F89" i="4" s="1"/>
  <c r="P30" i="4"/>
  <c r="F30" i="4" s="1"/>
  <c r="P71" i="4"/>
  <c r="F71" i="4" s="1"/>
  <c r="P6" i="4"/>
  <c r="F6" i="4" s="1"/>
  <c r="P161" i="4"/>
  <c r="F161" i="4" s="1"/>
  <c r="P82" i="4"/>
  <c r="F82" i="4" s="1"/>
  <c r="P169" i="4"/>
  <c r="F169" i="4" s="1"/>
  <c r="P130" i="4"/>
  <c r="F130" i="4" s="1"/>
  <c r="P212" i="4"/>
  <c r="F212" i="4" s="1"/>
  <c r="P27" i="4"/>
  <c r="F27" i="4" s="1"/>
  <c r="P88" i="4"/>
  <c r="F88" i="4" s="1"/>
  <c r="P76" i="4"/>
  <c r="F76" i="4" s="1"/>
  <c r="P204" i="4"/>
  <c r="F204" i="4" s="1"/>
  <c r="P182" i="4"/>
  <c r="F182" i="4" s="1"/>
  <c r="P190" i="4"/>
  <c r="F190" i="4" s="1"/>
  <c r="P160" i="4"/>
  <c r="F160" i="4" s="1"/>
  <c r="P106" i="4"/>
  <c r="F106" i="4" s="1"/>
  <c r="P56" i="4"/>
  <c r="F56" i="4" s="1"/>
  <c r="P108" i="4"/>
  <c r="F108" i="4" s="1"/>
  <c r="P95" i="4"/>
  <c r="F95" i="4" s="1"/>
  <c r="P178" i="4"/>
  <c r="F178" i="4" s="1"/>
  <c r="P166" i="4"/>
  <c r="F166" i="4" s="1"/>
  <c r="P78" i="4"/>
  <c r="F78" i="4" s="1"/>
  <c r="P200" i="4"/>
  <c r="F200" i="4" s="1"/>
  <c r="P2" i="4"/>
  <c r="F2" i="4" s="1"/>
  <c r="P36" i="4"/>
  <c r="F36" i="4" s="1"/>
  <c r="P210" i="4"/>
  <c r="F210" i="4" s="1"/>
  <c r="P53" i="4"/>
  <c r="F53" i="4" s="1"/>
  <c r="P107" i="4"/>
  <c r="F107" i="4" s="1"/>
  <c r="P63" i="4"/>
  <c r="F63" i="4" s="1"/>
  <c r="P112" i="4"/>
  <c r="F112" i="4" s="1"/>
  <c r="P185" i="4"/>
  <c r="F185" i="4" s="1"/>
  <c r="P213" i="4"/>
  <c r="F213" i="4" s="1"/>
  <c r="P61" i="4"/>
  <c r="F61" i="4" s="1"/>
  <c r="P152" i="4"/>
  <c r="F152" i="4" s="1"/>
  <c r="P141" i="4"/>
  <c r="F141" i="4" s="1"/>
  <c r="P197" i="4"/>
  <c r="F197" i="4" s="1"/>
  <c r="P131" i="4"/>
  <c r="F131" i="4" s="1"/>
  <c r="P13" i="4"/>
  <c r="F13" i="4" s="1"/>
  <c r="P220" i="4"/>
  <c r="F220" i="4" s="1"/>
  <c r="P143" i="4"/>
  <c r="F143" i="4" s="1"/>
  <c r="P16" i="4"/>
  <c r="F16" i="4" s="1"/>
  <c r="P19" i="4"/>
  <c r="F19" i="4" s="1"/>
  <c r="P47" i="4"/>
  <c r="F47" i="4" s="1"/>
  <c r="P98" i="4"/>
  <c r="F98" i="4" s="1"/>
  <c r="P74" i="4"/>
  <c r="F74" i="4" s="1"/>
  <c r="P91" i="4"/>
  <c r="F91" i="4" s="1"/>
  <c r="P167" i="4"/>
  <c r="F167" i="4" s="1"/>
  <c r="P70" i="4"/>
  <c r="F70" i="4" s="1"/>
  <c r="P7" i="4"/>
  <c r="F7" i="4" s="1"/>
  <c r="P11" i="4"/>
  <c r="F11" i="4" s="1"/>
  <c r="P68" i="4"/>
  <c r="F68" i="4" s="1"/>
  <c r="P44" i="4"/>
  <c r="F44" i="4" s="1"/>
  <c r="P122" i="4"/>
  <c r="F122" i="4" s="1"/>
  <c r="P159" i="4"/>
  <c r="F159" i="4" s="1"/>
  <c r="P165" i="4"/>
  <c r="F165" i="4" s="1"/>
  <c r="P162" i="4"/>
  <c r="F162" i="4" s="1"/>
  <c r="P100" i="4"/>
  <c r="F100" i="4" s="1"/>
  <c r="P149" i="4"/>
  <c r="F149" i="4" s="1"/>
  <c r="P42" i="4"/>
  <c r="F42" i="4" s="1"/>
  <c r="P142" i="4"/>
  <c r="F142" i="4" s="1"/>
  <c r="P43" i="4"/>
  <c r="F43" i="4" s="1"/>
  <c r="P189" i="4"/>
  <c r="F189" i="4" s="1"/>
  <c r="P9" i="4"/>
  <c r="F9" i="4" s="1"/>
  <c r="P136" i="4"/>
  <c r="F136" i="4" s="1"/>
  <c r="P140" i="4"/>
  <c r="F140" i="4" s="1"/>
  <c r="P52" i="4"/>
  <c r="F52" i="4" s="1"/>
  <c r="P215" i="4"/>
  <c r="F215" i="4" s="1"/>
  <c r="P105" i="4"/>
  <c r="F105" i="4" s="1"/>
  <c r="P114" i="4"/>
  <c r="F114" i="4" s="1"/>
  <c r="P39" i="4"/>
  <c r="F39" i="4" s="1"/>
  <c r="P173" i="4"/>
  <c r="F173" i="4" s="1"/>
  <c r="P155" i="4"/>
  <c r="F155" i="4" s="1"/>
  <c r="P120" i="4"/>
  <c r="F120" i="4" s="1"/>
  <c r="P135" i="4"/>
  <c r="F135" i="4" s="1"/>
  <c r="P41" i="4"/>
  <c r="F41" i="4" s="1"/>
  <c r="P60" i="4"/>
  <c r="F60" i="4" s="1"/>
  <c r="P207" i="4"/>
  <c r="F207" i="4" s="1"/>
  <c r="P158" i="4"/>
  <c r="F158" i="4" s="1"/>
  <c r="P86" i="4"/>
  <c r="F86" i="4" s="1"/>
  <c r="P148" i="4"/>
  <c r="F148" i="4" s="1"/>
  <c r="P157" i="4"/>
  <c r="F157" i="4" s="1"/>
  <c r="P21" i="4"/>
  <c r="F21" i="4" s="1"/>
  <c r="P49" i="4"/>
  <c r="F49" i="4" s="1"/>
  <c r="P65" i="4"/>
  <c r="F65" i="4" s="1"/>
  <c r="P69" i="4"/>
  <c r="F69" i="4" s="1"/>
  <c r="P25" i="4"/>
  <c r="F25" i="4" s="1"/>
  <c r="P90" i="4"/>
  <c r="F90" i="4" s="1"/>
  <c r="P84" i="4"/>
  <c r="F84" i="4" s="1"/>
  <c r="P31" i="4"/>
  <c r="F31" i="4" s="1"/>
  <c r="P58" i="4"/>
  <c r="F58" i="4" s="1"/>
  <c r="P28" i="4"/>
  <c r="F28" i="4" s="1"/>
  <c r="P201" i="4"/>
  <c r="F201" i="4" s="1"/>
  <c r="P184" i="4"/>
  <c r="F184" i="4" s="1"/>
  <c r="P211" i="4"/>
  <c r="F211" i="4" s="1"/>
  <c r="P128" i="4"/>
  <c r="F128" i="4" s="1"/>
  <c r="P23" i="4"/>
  <c r="F23" i="4" s="1"/>
  <c r="P124" i="4"/>
  <c r="F124" i="4" s="1"/>
  <c r="P59" i="4"/>
  <c r="F59" i="4" s="1"/>
  <c r="P111" i="4"/>
  <c r="F111" i="4" s="1"/>
  <c r="P40" i="4"/>
  <c r="F40" i="4" s="1"/>
  <c r="P132" i="4"/>
  <c r="F132" i="4" s="1"/>
  <c r="P125" i="4"/>
  <c r="F125" i="4" s="1"/>
</calcChain>
</file>

<file path=xl/sharedStrings.xml><?xml version="1.0" encoding="utf-8"?>
<sst xmlns="http://schemas.openxmlformats.org/spreadsheetml/2006/main" count="3833" uniqueCount="1377">
  <si>
    <t>Name</t>
  </si>
  <si>
    <t>Team</t>
  </si>
  <si>
    <t>Position</t>
  </si>
  <si>
    <t>BABIP</t>
  </si>
  <si>
    <t>K%</t>
  </si>
  <si>
    <t>BB%</t>
  </si>
  <si>
    <t>HR%</t>
  </si>
  <si>
    <t>1B%</t>
  </si>
  <si>
    <t>2B%</t>
  </si>
  <si>
    <t>3B%</t>
  </si>
  <si>
    <t>R%</t>
  </si>
  <si>
    <t>RBI%</t>
  </si>
  <si>
    <t>IBB%</t>
  </si>
  <si>
    <t>HBP%</t>
  </si>
  <si>
    <t>SF%</t>
  </si>
  <si>
    <t>SH%</t>
  </si>
  <si>
    <t>SB%</t>
  </si>
  <si>
    <t>CS%</t>
  </si>
  <si>
    <t>Aaron Judge</t>
  </si>
  <si>
    <t xml:space="preserve">NYY </t>
  </si>
  <si>
    <t>OF</t>
  </si>
  <si>
    <t>0.7367747098839537</t>
  </si>
  <si>
    <t>0.25924369747899156</t>
  </si>
  <si>
    <t>0.16959145682630972</t>
  </si>
  <si>
    <t>0.1758241758241758</t>
  </si>
  <si>
    <t>0.014998976179100402</t>
  </si>
  <si>
    <t>Shohei Ohtani</t>
  </si>
  <si>
    <t xml:space="preserve">LAD </t>
  </si>
  <si>
    <t>Util</t>
  </si>
  <si>
    <t>0.6960263835263836</t>
  </si>
  <si>
    <t>0.049646000850129254</t>
  </si>
  <si>
    <t>0.18742157512460134</t>
  </si>
  <si>
    <t>Bobby Witt Jr.</t>
  </si>
  <si>
    <t xml:space="preserve">KC </t>
  </si>
  <si>
    <t>SS</t>
  </si>
  <si>
    <t>0.7117252610403296</t>
  </si>
  <si>
    <t>0.24735606858894527</t>
  </si>
  <si>
    <t>0.15374507313154534</t>
  </si>
  <si>
    <t>0.1393939393939394</t>
  </si>
  <si>
    <t>Juan Soto</t>
  </si>
  <si>
    <t xml:space="preserve">NYM </t>
  </si>
  <si>
    <t>0.17550000000000002</t>
  </si>
  <si>
    <t>0.056446865885201675</t>
  </si>
  <si>
    <t>0.7545621351125938</t>
  </si>
  <si>
    <t>0.23515429524603831</t>
  </si>
  <si>
    <t>0.1628882987710049</t>
  </si>
  <si>
    <t>0.1466666666666666</t>
  </si>
  <si>
    <t>Jose Ramirez</t>
  </si>
  <si>
    <t xml:space="preserve">CLE </t>
  </si>
  <si>
    <t>3B</t>
  </si>
  <si>
    <t>0.11699999999999999</t>
  </si>
  <si>
    <t>0.7316860465116279</t>
  </si>
  <si>
    <t>0.24627543604651164</t>
  </si>
  <si>
    <t>0.021237747453392217</t>
  </si>
  <si>
    <t>0.1404765610995472</t>
  </si>
  <si>
    <t>0.1371340523882896</t>
  </si>
  <si>
    <t>0.028341365023247814</t>
  </si>
  <si>
    <t>Elly De La Cruz</t>
  </si>
  <si>
    <t xml:space="preserve">CIN </t>
  </si>
  <si>
    <t>0.7277658536585365</t>
  </si>
  <si>
    <t>0.2427317073170731</t>
  </si>
  <si>
    <t>0.040630081300812984</t>
  </si>
  <si>
    <t>0.14344164998992961</t>
  </si>
  <si>
    <t>0.1210691823899371</t>
  </si>
  <si>
    <t>0.016677638189308286</t>
  </si>
  <si>
    <t>Ronald Acuna Jr.</t>
  </si>
  <si>
    <t xml:space="preserve">ATL </t>
  </si>
  <si>
    <t>0.20440000000000003</t>
  </si>
  <si>
    <t>0.7723210533688192</t>
  </si>
  <si>
    <t>0.20435635243031236</t>
  </si>
  <si>
    <t>0.17130584765277637</t>
  </si>
  <si>
    <t>0.1240063593004769</t>
  </si>
  <si>
    <t>0.012177503147008679</t>
  </si>
  <si>
    <t>Julio Rodriguez</t>
  </si>
  <si>
    <t xml:space="preserve">SEA </t>
  </si>
  <si>
    <t>0.31489999999999996</t>
  </si>
  <si>
    <t>0.21999999999999997</t>
  </si>
  <si>
    <t>0.7683088317809449</t>
  </si>
  <si>
    <t>0.1989787902592301</t>
  </si>
  <si>
    <t>0.14135970730022696</t>
  </si>
  <si>
    <t>0.1380880121396054</t>
  </si>
  <si>
    <t>Kyle Tucker</t>
  </si>
  <si>
    <t>0.7269595448798989</t>
  </si>
  <si>
    <t>0.2484513274336283</t>
  </si>
  <si>
    <t>0.1540014610446469</t>
  </si>
  <si>
    <t>0.1419354838709677</t>
  </si>
  <si>
    <t>Cal Raleigh</t>
  </si>
  <si>
    <t>C</t>
  </si>
  <si>
    <t>0.7208478513356562</t>
  </si>
  <si>
    <t>0.2699477351916376</t>
  </si>
  <si>
    <t>0.1629392971246006</t>
  </si>
  <si>
    <t>Corbin Carroll</t>
  </si>
  <si>
    <t xml:space="preserve">AZ </t>
  </si>
  <si>
    <t>0.29279999999999995</t>
  </si>
  <si>
    <t>0.20949999999999996</t>
  </si>
  <si>
    <t>0.042665291499294294</t>
  </si>
  <si>
    <t>0.6696592398427261</t>
  </si>
  <si>
    <t>0.25556192660550453</t>
  </si>
  <si>
    <t>0.15925995162769513</t>
  </si>
  <si>
    <t>0.1274834437086092</t>
  </si>
  <si>
    <t>Junior Caminero</t>
  </si>
  <si>
    <t xml:space="preserve">TB </t>
  </si>
  <si>
    <t>0.7706681608068358</t>
  </si>
  <si>
    <t>0.2271116402857543</t>
  </si>
  <si>
    <t>0.13273249604012863</t>
  </si>
  <si>
    <t>0.1632329635499207</t>
  </si>
  <si>
    <t>Gunnar Henderson</t>
  </si>
  <si>
    <t xml:space="preserve">BAL </t>
  </si>
  <si>
    <t>0.20999999999999996</t>
  </si>
  <si>
    <t>0.038308527077741746</t>
  </si>
  <si>
    <t>0.7153846153846154</t>
  </si>
  <si>
    <t>0.25923076923076915</t>
  </si>
  <si>
    <t>0.14738137252705114</t>
  </si>
  <si>
    <t>0.1263318112633181</t>
  </si>
  <si>
    <t>0.035905903457273305</t>
  </si>
  <si>
    <t>Kyle Schwarber</t>
  </si>
  <si>
    <t xml:space="preserve">PHI </t>
  </si>
  <si>
    <t>0.28559999999999997</t>
  </si>
  <si>
    <t>0.7384274640088594</t>
  </si>
  <si>
    <t>0.24235880398671092</t>
  </si>
  <si>
    <t>0.14865610057308548</t>
  </si>
  <si>
    <t>0.1598173515981735</t>
  </si>
  <si>
    <t>Vladimir Guerrero Jr.</t>
  </si>
  <si>
    <t xml:space="preserve">TOR </t>
  </si>
  <si>
    <t>1B</t>
  </si>
  <si>
    <t>0.11019999999999999</t>
  </si>
  <si>
    <t>0.7787234042553192</t>
  </si>
  <si>
    <t>0.22198581560283687</t>
  </si>
  <si>
    <t>0.14395982024847997</t>
  </si>
  <si>
    <t>Fernando Tatis Jr.</t>
  </si>
  <si>
    <t xml:space="preserve">SD </t>
  </si>
  <si>
    <t>0.7500000000000001</t>
  </si>
  <si>
    <t>0.22016129032258058</t>
  </si>
  <si>
    <t>0.1518384756648654</t>
  </si>
  <si>
    <t>0.1253869969040247</t>
  </si>
  <si>
    <t>Nick Kurtz</t>
  </si>
  <si>
    <t xml:space="preserve">ATH </t>
  </si>
  <si>
    <t>0.11430000000000001</t>
  </si>
  <si>
    <t>0.7200458190148913</t>
  </si>
  <si>
    <t>0.25930126002290943</t>
  </si>
  <si>
    <t>0.15681490658464337</t>
  </si>
  <si>
    <t>0.1649305555555555</t>
  </si>
  <si>
    <t>Pete Alonso</t>
  </si>
  <si>
    <t>0.7505625757313485</t>
  </si>
  <si>
    <t>0.24876233339103337</t>
  </si>
  <si>
    <t>0.13123808370743129</t>
  </si>
  <si>
    <t>0.1572519083969465</t>
  </si>
  <si>
    <t>Francisco Lindor</t>
  </si>
  <si>
    <t>0.040394257362590225</t>
  </si>
  <si>
    <t>0.7499850074962519</t>
  </si>
  <si>
    <t>0.23417541229385297</t>
  </si>
  <si>
    <t>0.010420184644519818</t>
  </si>
  <si>
    <t>0.14624158293480877</t>
  </si>
  <si>
    <t>0.1229773462783171</t>
  </si>
  <si>
    <t>0.037250732008013564</t>
  </si>
  <si>
    <t>Jackson Chourio</t>
  </si>
  <si>
    <t xml:space="preserve">MIL </t>
  </si>
  <si>
    <t>0.20120000000000002</t>
  </si>
  <si>
    <t>0.7339019189765459</t>
  </si>
  <si>
    <t>0.23340814723375597</t>
  </si>
  <si>
    <t>0.13727801034973708</t>
  </si>
  <si>
    <t>0.1335453100158982</t>
  </si>
  <si>
    <t>Jazz Chisholm Jr.</t>
  </si>
  <si>
    <t>2B,3B</t>
  </si>
  <si>
    <t>0.7609549647314162</t>
  </si>
  <si>
    <t>0.21349972870320127</t>
  </si>
  <si>
    <t>0.13443038170243615</t>
  </si>
  <si>
    <t>0.1302876480541455</t>
  </si>
  <si>
    <t>Ketel Marte</t>
  </si>
  <si>
    <t>2B</t>
  </si>
  <si>
    <t>0.28889999999999993</t>
  </si>
  <si>
    <t>0.2595285571855861</t>
  </si>
  <si>
    <t>0.14527808817322493</t>
  </si>
  <si>
    <t>0.1412337662337662</t>
  </si>
  <si>
    <t>Trea Turner</t>
  </si>
  <si>
    <t>0.32430000000000003</t>
  </si>
  <si>
    <t>0.027424829518152283</t>
  </si>
  <si>
    <t>0.7655938697318008</t>
  </si>
  <si>
    <t>0.20097222222222222</t>
  </si>
  <si>
    <t>0.14170952142397067</t>
  </si>
  <si>
    <t>0.1130573248407643</t>
  </si>
  <si>
    <t>0.044608735213830686</t>
  </si>
  <si>
    <t>Manny Machado</t>
  </si>
  <si>
    <t>0.28459999999999996</t>
  </si>
  <si>
    <t>0.19690000000000002</t>
  </si>
  <si>
    <t>0.7794665184773548</t>
  </si>
  <si>
    <t>0.22656293414837453</t>
  </si>
  <si>
    <t>0.12477309156481664</t>
  </si>
  <si>
    <t>0.1394230769230769</t>
  </si>
  <si>
    <t>Bryce Harper</t>
  </si>
  <si>
    <t>0.31220000000000003</t>
  </si>
  <si>
    <t>0.12300000000000001</t>
  </si>
  <si>
    <t>0.043420863825512974</t>
  </si>
  <si>
    <t>0.7413188142770719</t>
  </si>
  <si>
    <t>0.2546884452510586</t>
  </si>
  <si>
    <t>0.13651747916763657</t>
  </si>
  <si>
    <t>0.1386138613861386</t>
  </si>
  <si>
    <t>0.012167426986333281</t>
  </si>
  <si>
    <t>0.015527432442492321</t>
  </si>
  <si>
    <t>Yordan Alvarez</t>
  </si>
  <si>
    <t xml:space="preserve">HOU </t>
  </si>
  <si>
    <t>0.059639727361246314</t>
  </si>
  <si>
    <t>0.7363834422657952</t>
  </si>
  <si>
    <t>0.2602941176470588</t>
  </si>
  <si>
    <t>0.14591592479250703</t>
  </si>
  <si>
    <t>0.1518987341772152</t>
  </si>
  <si>
    <t>Matt Olson</t>
  </si>
  <si>
    <t>0.24100000000000002</t>
  </si>
  <si>
    <t>0.12109999999999999</t>
  </si>
  <si>
    <t>0.7456945115081282</t>
  </si>
  <si>
    <t>0.2459198454852728</t>
  </si>
  <si>
    <t>0.13020859449430877</t>
  </si>
  <si>
    <t>0.1381381381381381</t>
  </si>
  <si>
    <t>Zach Neto</t>
  </si>
  <si>
    <t xml:space="preserve">LAA </t>
  </si>
  <si>
    <t>0.23929999999999998</t>
  </si>
  <si>
    <t>0.7285430968726163</t>
  </si>
  <si>
    <t>0.2563310450038139</t>
  </si>
  <si>
    <t>0.13816495641167725</t>
  </si>
  <si>
    <t>0.1182965299684542</t>
  </si>
  <si>
    <t>0.025922523243210552</t>
  </si>
  <si>
    <t>0.043296411375441726</t>
  </si>
  <si>
    <t>Brent Rooker</t>
  </si>
  <si>
    <t>0.7177129384025936</t>
  </si>
  <si>
    <t>0.2725906277630415</t>
  </si>
  <si>
    <t>0.015775733634006278</t>
  </si>
  <si>
    <t>0.1357300392960748</t>
  </si>
  <si>
    <t>Pete Crow-Armstrong</t>
  </si>
  <si>
    <t xml:space="preserve">CHC </t>
  </si>
  <si>
    <t>0.29259999999999997</t>
  </si>
  <si>
    <t>0.24080000000000001</t>
  </si>
  <si>
    <t>0.23883295194508003</t>
  </si>
  <si>
    <t>0.039734820089955006</t>
  </si>
  <si>
    <t>0.1373069048717659</t>
  </si>
  <si>
    <t>0.1274193548387096</t>
  </si>
  <si>
    <t>Mookie Betts</t>
  </si>
  <si>
    <t>0.27149999999999996</t>
  </si>
  <si>
    <t>0.10249999999999998</t>
  </si>
  <si>
    <t>0.7342967741935484</t>
  </si>
  <si>
    <t>0.14290789076904079</t>
  </si>
  <si>
    <t>0.1304347826086956</t>
  </si>
  <si>
    <t>0.015147265077138832</t>
  </si>
  <si>
    <t>Rafael Devers</t>
  </si>
  <si>
    <t xml:space="preserve">SF </t>
  </si>
  <si>
    <t>0.7464285714285716</t>
  </si>
  <si>
    <t>0.13491086812639816</t>
  </si>
  <si>
    <t>0.1402439024390244</t>
  </si>
  <si>
    <t>James Wood</t>
  </si>
  <si>
    <t xml:space="preserve">WSH </t>
  </si>
  <si>
    <t>0.34419999999999995</t>
  </si>
  <si>
    <t>0.29059999999999997</t>
  </si>
  <si>
    <t>0.036771307249014215</t>
  </si>
  <si>
    <t>0.7406779661016949</t>
  </si>
  <si>
    <t>0.2508474576271187</t>
  </si>
  <si>
    <t>0.13394317627355562</t>
  </si>
  <si>
    <t>0.1269841269841269</t>
  </si>
  <si>
    <t>Jarren Duran</t>
  </si>
  <si>
    <t xml:space="preserve">BOS </t>
  </si>
  <si>
    <t>0.030925658978583192</t>
  </si>
  <si>
    <t>0.6956903225806452</t>
  </si>
  <si>
    <t>0.2735354838709677</t>
  </si>
  <si>
    <t>0.13262125107988537</t>
  </si>
  <si>
    <t>0.1136738056013179</t>
  </si>
  <si>
    <t>0.011611700261296279</t>
  </si>
  <si>
    <t>Roman Anthony</t>
  </si>
  <si>
    <t>0.24659999999999999</t>
  </si>
  <si>
    <t>0.11879999999999999</t>
  </si>
  <si>
    <t>0.031907747424988725</t>
  </si>
  <si>
    <t>0.7280508474576272</t>
  </si>
  <si>
    <t>0.25546610169491524</t>
  </si>
  <si>
    <t>0.14115042046076526</t>
  </si>
  <si>
    <t>0.1116584564860427</t>
  </si>
  <si>
    <t>Freddie Freeman</t>
  </si>
  <si>
    <t>0.30579999999999996</t>
  </si>
  <si>
    <t>0.18580000000000002</t>
  </si>
  <si>
    <t>0.7371824186991871</t>
  </si>
  <si>
    <t>0.25376651422764224</t>
  </si>
  <si>
    <t>0.015341668343008201</t>
  </si>
  <si>
    <t>0.1361426256077795</t>
  </si>
  <si>
    <t>0.012103799890659921</t>
  </si>
  <si>
    <t>Jackson Merrill</t>
  </si>
  <si>
    <t>0.7214566929133859</t>
  </si>
  <si>
    <t>0.2568036417322834</t>
  </si>
  <si>
    <t>0.1286527224150986</t>
  </si>
  <si>
    <t>0.1336633663366336</t>
  </si>
  <si>
    <t>0.012365236523652358</t>
  </si>
  <si>
    <t>Brice Turang</t>
  </si>
  <si>
    <t>0.7887645687645688</t>
  </si>
  <si>
    <t>0.1796620046620046</t>
  </si>
  <si>
    <t>0.12530042789488813</t>
  </si>
  <si>
    <t>0.1058451816745655</t>
  </si>
  <si>
    <t>0.045153282227124086</t>
  </si>
  <si>
    <t>Riley Greene</t>
  </si>
  <si>
    <t xml:space="preserve">DET </t>
  </si>
  <si>
    <t>0.043262335818246296</t>
  </si>
  <si>
    <t>0.7397089397089398</t>
  </si>
  <si>
    <t>0.23319473319473313</t>
  </si>
  <si>
    <t>0.12880336469329562</t>
  </si>
  <si>
    <t>0.1412698412698412</t>
  </si>
  <si>
    <t>Cody Bellinger</t>
  </si>
  <si>
    <t>0.14629999999999999</t>
  </si>
  <si>
    <t>0.7566798418972333</t>
  </si>
  <si>
    <t>0.21533596837944657</t>
  </si>
  <si>
    <t>0.026484597951989212</t>
  </si>
  <si>
    <t>0.12947440320536766</t>
  </si>
  <si>
    <t>0.1346801346801346</t>
  </si>
  <si>
    <t>0.018740981240981197</t>
  </si>
  <si>
    <t>Geraldo Perdomo</t>
  </si>
  <si>
    <t>0.28469999999999995</t>
  </si>
  <si>
    <t>0.7714217557251909</t>
  </si>
  <si>
    <t>0.20084088740458012</t>
  </si>
  <si>
    <t>0.13571158622179028</t>
  </si>
  <si>
    <t>0.1003086419753086</t>
  </si>
  <si>
    <t>0.011592903537866201</t>
  </si>
  <si>
    <t>Josh Naylor</t>
  </si>
  <si>
    <t>0.22159540064678396</t>
  </si>
  <si>
    <t>0.11868637268192073</t>
  </si>
  <si>
    <t>0.1416803953871499</t>
  </si>
  <si>
    <t>William Contreras</t>
  </si>
  <si>
    <t>0.7674507310870948</t>
  </si>
  <si>
    <t>0.22848061029879208</t>
  </si>
  <si>
    <t>0.12652511019002793</t>
  </si>
  <si>
    <t>0.1276948590381426</t>
  </si>
  <si>
    <t>Shea Langeliers</t>
  </si>
  <si>
    <t>0.22369999999999998</t>
  </si>
  <si>
    <t>0.7198223468910707</t>
  </si>
  <si>
    <t>0.2696937821411874</t>
  </si>
  <si>
    <t>0.13371404522102565</t>
  </si>
  <si>
    <t>0.1444866920152091</t>
  </si>
  <si>
    <t>Austin Riley</t>
  </si>
  <si>
    <t>0.7335003684598379</t>
  </si>
  <si>
    <t>0.24162122328666172</t>
  </si>
  <si>
    <t>0.13061226827197653</t>
  </si>
  <si>
    <t>0.012438279904860091</t>
  </si>
  <si>
    <t>Wyatt Langford</t>
  </si>
  <si>
    <t xml:space="preserve">TEX </t>
  </si>
  <si>
    <t>0.7227319062181448</t>
  </si>
  <si>
    <t>0.25206422018348623</t>
  </si>
  <si>
    <t>0.13918179624080165</t>
  </si>
  <si>
    <t>0.1207177814029363</t>
  </si>
  <si>
    <t>Corey Seager</t>
  </si>
  <si>
    <t>0.18209999999999998</t>
  </si>
  <si>
    <t>0.7598484848484849</t>
  </si>
  <si>
    <t>0.24043560606060602</t>
  </si>
  <si>
    <t>0.13454973967718514</t>
  </si>
  <si>
    <t>Bo Bichette</t>
  </si>
  <si>
    <t>0.7907057481525567</t>
  </si>
  <si>
    <t>0.19201507712146004</t>
  </si>
  <si>
    <t>0.011979990812107539</t>
  </si>
  <si>
    <t>0.12303241299952497</t>
  </si>
  <si>
    <t>0.1268533772652388</t>
  </si>
  <si>
    <t>Maikel Garcia</t>
  </si>
  <si>
    <t>2B,3B,SS,OF</t>
  </si>
  <si>
    <t>0.15039999999999998</t>
  </si>
  <si>
    <t>0.020300196850393623</t>
  </si>
  <si>
    <t>0.7620617320946959</t>
  </si>
  <si>
    <t>0.22150634302267502</t>
  </si>
  <si>
    <t>0.1298315948582085</t>
  </si>
  <si>
    <t>Randy Arozarena</t>
  </si>
  <si>
    <t>0.26380000000000003</t>
  </si>
  <si>
    <t>0.10009999999999998</t>
  </si>
  <si>
    <t>0.7462264150943396</t>
  </si>
  <si>
    <t>0.23731656184486372</t>
  </si>
  <si>
    <t>0.1276569734491014</t>
  </si>
  <si>
    <t>0.1116207951070336</t>
  </si>
  <si>
    <t>Ben Rice</t>
  </si>
  <si>
    <t>C,1B</t>
  </si>
  <si>
    <t>0.20989999999999998</t>
  </si>
  <si>
    <t>0.7268864468864469</t>
  </si>
  <si>
    <t>0.2535897435897435</t>
  </si>
  <si>
    <t>0.1365320812872935</t>
  </si>
  <si>
    <t>0.1386321626617375</t>
  </si>
  <si>
    <t>Alex Bregman</t>
  </si>
  <si>
    <t>0.22941176470588232</t>
  </si>
  <si>
    <t>0.12585419010123733</t>
  </si>
  <si>
    <t>Hunter Goodman</t>
  </si>
  <si>
    <t xml:space="preserve">COL </t>
  </si>
  <si>
    <t>0.7015919238982722</t>
  </si>
  <si>
    <t>0.2862842166569598</t>
  </si>
  <si>
    <t>0.12668225211131207</t>
  </si>
  <si>
    <t>0.1541218637992831</t>
  </si>
  <si>
    <t>Jeremy Pena</t>
  </si>
  <si>
    <t>0.17820000000000003</t>
  </si>
  <si>
    <t>0.027206659220575337</t>
  </si>
  <si>
    <t>0.7715416238437821</t>
  </si>
  <si>
    <t>0.20818602261048297</t>
  </si>
  <si>
    <t>0.12840681746276728</t>
  </si>
  <si>
    <t>0.1090047393364928</t>
  </si>
  <si>
    <t>0.018051732636486892</t>
  </si>
  <si>
    <t>0.029530216000174688</t>
  </si>
  <si>
    <t>Tyler Soderstrom</t>
  </si>
  <si>
    <t>1B,OF</t>
  </si>
  <si>
    <t>0.7238493038493039</t>
  </si>
  <si>
    <t>0.25021294021294016</t>
  </si>
  <si>
    <t>0.12298215808979013</t>
  </si>
  <si>
    <t>0.1333333333333333</t>
  </si>
  <si>
    <t>0.010301377309944968</t>
  </si>
  <si>
    <t>Vinnie Pasquantino</t>
  </si>
  <si>
    <t>0.7321212121212122</t>
  </si>
  <si>
    <t>0.2518595041322314</t>
  </si>
  <si>
    <t>0.010190310106907241</t>
  </si>
  <si>
    <t>0.11627720486988216</t>
  </si>
  <si>
    <t>0.1476190476190476</t>
  </si>
  <si>
    <t>Oneil Cruz</t>
  </si>
  <si>
    <t xml:space="preserve">PIT </t>
  </si>
  <si>
    <t>0.31020000000000003</t>
  </si>
  <si>
    <t>0.10089999999999999</t>
  </si>
  <si>
    <t>0.045034393036578066</t>
  </si>
  <si>
    <t>0.2608239700374531</t>
  </si>
  <si>
    <t>0.033150228880565916</t>
  </si>
  <si>
    <t>0.1324154224728109</t>
  </si>
  <si>
    <t>0.1209829867674858</t>
  </si>
  <si>
    <t>George Springer</t>
  </si>
  <si>
    <t>0.7624092888243832</t>
  </si>
  <si>
    <t>0.21707184325108847</t>
  </si>
  <si>
    <t>0.14435318945330114</t>
  </si>
  <si>
    <t>0.024536631554030013</t>
  </si>
  <si>
    <t>CJ Abrams</t>
  </si>
  <si>
    <t>0.061599999999999995</t>
  </si>
  <si>
    <t>0.026523887973640813</t>
  </si>
  <si>
    <t>0.7361344537815127</t>
  </si>
  <si>
    <t>0.23781512605042013</t>
  </si>
  <si>
    <t>0.032021810631436234</t>
  </si>
  <si>
    <t>0.1318454015323867</t>
  </si>
  <si>
    <t>0.1054365733113673</t>
  </si>
  <si>
    <t>Eugenio Suarez</t>
  </si>
  <si>
    <t>0.057114190157668374</t>
  </si>
  <si>
    <t>0.7397979797979799</t>
  </si>
  <si>
    <t>0.25962121212121203</t>
  </si>
  <si>
    <t>0.011357694592988679</t>
  </si>
  <si>
    <t>0.12678828205043033</t>
  </si>
  <si>
    <t>0.1588628762541806</t>
  </si>
  <si>
    <t>Michael Harris II</t>
  </si>
  <si>
    <t>0.19219999999999998</t>
  </si>
  <si>
    <t>0.7520661157024795</t>
  </si>
  <si>
    <t>0.23027548209366389</t>
  </si>
  <si>
    <t>0.027023234055824054</t>
  </si>
  <si>
    <t>0.1232672219873805</t>
  </si>
  <si>
    <t>0.1234567901234567</t>
  </si>
  <si>
    <t>Byron Buxton</t>
  </si>
  <si>
    <t xml:space="preserve">MIN </t>
  </si>
  <si>
    <t>0.6711950970377937</t>
  </si>
  <si>
    <t>0.2990423901940756</t>
  </si>
  <si>
    <t>0.043747923255842536</t>
  </si>
  <si>
    <t>0.14932907690827601</t>
  </si>
  <si>
    <t>0.1387283236994219</t>
  </si>
  <si>
    <t>Seiya Suzuki</t>
  </si>
  <si>
    <t>0.30389999999999995</t>
  </si>
  <si>
    <t>0.10629999999999998</t>
  </si>
  <si>
    <t>0.24819514704621448</t>
  </si>
  <si>
    <t>0.12774459963425244</t>
  </si>
  <si>
    <t>0.1393034825870646</t>
  </si>
  <si>
    <t>0.012936121958426128</t>
  </si>
  <si>
    <t>Salvador Perez</t>
  </si>
  <si>
    <t>0.20950000000000002</t>
  </si>
  <si>
    <t>0.051699999999999996</t>
  </si>
  <si>
    <t>0.7548103866990474</t>
  </si>
  <si>
    <t>0.24402204371380531</t>
  </si>
  <si>
    <t>0.10663484376756288</t>
  </si>
  <si>
    <t>0.1530434782608695</t>
  </si>
  <si>
    <t>Nico Hoerner</t>
  </si>
  <si>
    <t>0.060899999999999996</t>
  </si>
  <si>
    <t>0.7950758978156239</t>
  </si>
  <si>
    <t>0.17938726397630506</t>
  </si>
  <si>
    <t>0.11997230122612018</t>
  </si>
  <si>
    <t>0.015056010733845122</t>
  </si>
  <si>
    <t>Jose Altuve</t>
  </si>
  <si>
    <t>2B,OF</t>
  </si>
  <si>
    <t>0.17320000000000002</t>
  </si>
  <si>
    <t>0.034002075406433685</t>
  </si>
  <si>
    <t>0.7812280701754386</t>
  </si>
  <si>
    <t>0.20986842105263148</t>
  </si>
  <si>
    <t>0.12767945723328367</t>
  </si>
  <si>
    <t>0.1152542372881356</t>
  </si>
  <si>
    <t>Christian Yelich</t>
  </si>
  <si>
    <t>0.11139999999999999</t>
  </si>
  <si>
    <t>0.7736566186107471</t>
  </si>
  <si>
    <t>0.2002129750982962</t>
  </si>
  <si>
    <t>0.011535936804628371</t>
  </si>
  <si>
    <t>0.12796012431521278</t>
  </si>
  <si>
    <t>0.1284722222222222</t>
  </si>
  <si>
    <t>0.028888888888888818</t>
  </si>
  <si>
    <t>Teoscar Hernandez</t>
  </si>
  <si>
    <t>0.7452830188679245</t>
  </si>
  <si>
    <t>0.23867924528301884</t>
  </si>
  <si>
    <t>0.12943229736442244</t>
  </si>
  <si>
    <t>0.1500904159132007</t>
  </si>
  <si>
    <t>0.011551962557174758</t>
  </si>
  <si>
    <t>Kyle Stowers</t>
  </si>
  <si>
    <t xml:space="preserve">MIA </t>
  </si>
  <si>
    <t>0.29879999999999995</t>
  </si>
  <si>
    <t>0.7198979591836736</t>
  </si>
  <si>
    <t>0.25576105442176866</t>
  </si>
  <si>
    <t>0.11933941925553355</t>
  </si>
  <si>
    <t>0.1423611111111111</t>
  </si>
  <si>
    <t>Willy Adames</t>
  </si>
  <si>
    <t>0.7233287101248267</t>
  </si>
  <si>
    <t>0.2645769764216365</t>
  </si>
  <si>
    <t>0.12700527678377155</t>
  </si>
  <si>
    <t>0.1294298921417565</t>
  </si>
  <si>
    <t>Will Smith</t>
  </si>
  <si>
    <t>0.28969999999999996</t>
  </si>
  <si>
    <t>0.19390000000000002</t>
  </si>
  <si>
    <t>0.11319999999999998</t>
  </si>
  <si>
    <t>0.7521739130434784</t>
  </si>
  <si>
    <t>0.22826086956521727</t>
  </si>
  <si>
    <t>0.13745908183632735</t>
  </si>
  <si>
    <t>0.1377245508982036</t>
  </si>
  <si>
    <t>0.011976047904191602</t>
  </si>
  <si>
    <t>Michael Busch</t>
  </si>
  <si>
    <t>0.7194343434343434</t>
  </si>
  <si>
    <t>0.25775757575757574</t>
  </si>
  <si>
    <t>0.13438860433313277</t>
  </si>
  <si>
    <t>0.1352739726027397</t>
  </si>
  <si>
    <t>Ozzie Albies</t>
  </si>
  <si>
    <t>0.14750000000000002</t>
  </si>
  <si>
    <t>0.7487179487179488</t>
  </si>
  <si>
    <t>0.23798076923076913</t>
  </si>
  <si>
    <t>0.1173960086460086</t>
  </si>
  <si>
    <t>0.1199324324324324</t>
  </si>
  <si>
    <t>Trevor Story</t>
  </si>
  <si>
    <t>0.7608751608751609</t>
  </si>
  <si>
    <t>0.22360360360360354</t>
  </si>
  <si>
    <t>0.013790218790218769</t>
  </si>
  <si>
    <t>0.12507213549446167</t>
  </si>
  <si>
    <t>0.1252173913043478</t>
  </si>
  <si>
    <t>Luke Keaschall</t>
  </si>
  <si>
    <t>0.23259109311740883</t>
  </si>
  <si>
    <t>0.013437244226184098</t>
  </si>
  <si>
    <t>0.12939413229047372</t>
  </si>
  <si>
    <t>0.1031894934333958</t>
  </si>
  <si>
    <t>0.019099607480729513</t>
  </si>
  <si>
    <t>Agustin Ramirez</t>
  </si>
  <si>
    <t>0.27690000000000003</t>
  </si>
  <si>
    <t>0.7324359531046462</t>
  </si>
  <si>
    <t>0.25121580547112454</t>
  </si>
  <si>
    <t>0.1218320033233947</t>
  </si>
  <si>
    <t>0.010505044291338559</t>
  </si>
  <si>
    <t>Yandy Diaz</t>
  </si>
  <si>
    <t>0.8090443500054485</t>
  </si>
  <si>
    <t>0.1850114416475972</t>
  </si>
  <si>
    <t>0.12437478141698895</t>
  </si>
  <si>
    <t>0.1205211726384364</t>
  </si>
  <si>
    <t>Willson Contreras</t>
  </si>
  <si>
    <t>0.7545754575457546</t>
  </si>
  <si>
    <t>0.22981298129812977</t>
  </si>
  <si>
    <t>0.12466754040366698</t>
  </si>
  <si>
    <t>0.1316725978647686</t>
  </si>
  <si>
    <t>0.030231727820480492</t>
  </si>
  <si>
    <t>Taylor Ward</t>
  </si>
  <si>
    <t>0.28769999999999996</t>
  </si>
  <si>
    <t>0.043297343231249286</t>
  </si>
  <si>
    <t>0.7457943925233644</t>
  </si>
  <si>
    <t>0.2429906542056074</t>
  </si>
  <si>
    <t>0.12842765150073437</t>
  </si>
  <si>
    <t>0.1303656597774244</t>
  </si>
  <si>
    <t>Jo Adell</t>
  </si>
  <si>
    <t>0.26869999999999994</t>
  </si>
  <si>
    <t>0.7355555555555555</t>
  </si>
  <si>
    <t>0.2522222222222221</t>
  </si>
  <si>
    <t>0.014262845746076721</t>
  </si>
  <si>
    <t>0.12129109595251743</t>
  </si>
  <si>
    <t>0.014579884960598482</t>
  </si>
  <si>
    <t>Jakob Marsee</t>
  </si>
  <si>
    <t>0.28519999999999995</t>
  </si>
  <si>
    <t>0.10439999999999999</t>
  </si>
  <si>
    <t>0.7369579288025889</t>
  </si>
  <si>
    <t>0.23561719833564487</t>
  </si>
  <si>
    <t>0.037547619047619024</t>
  </si>
  <si>
    <t>0.1245568978271073</t>
  </si>
  <si>
    <t>Jordan Westburg</t>
  </si>
  <si>
    <t>0.30319999999999997</t>
  </si>
  <si>
    <t>0.7334974267173865</t>
  </si>
  <si>
    <t>0.2300626538375475</t>
  </si>
  <si>
    <t>0.13615452109697632</t>
  </si>
  <si>
    <t>0.1274509803921568</t>
  </si>
  <si>
    <t>Matt Chapman</t>
  </si>
  <si>
    <t>0.11259999999999998</t>
  </si>
  <si>
    <t>0.042564140083894225</t>
  </si>
  <si>
    <t>0.7074041384720996</t>
  </si>
  <si>
    <t>0.27246248896734326</t>
  </si>
  <si>
    <t>0.13279179208997033</t>
  </si>
  <si>
    <t>0.1209150326797385</t>
  </si>
  <si>
    <t>0.011676254173802409</t>
  </si>
  <si>
    <t>0.015073529411764649</t>
  </si>
  <si>
    <t>Ian Happ</t>
  </si>
  <si>
    <t>0.12360000000000002</t>
  </si>
  <si>
    <t>0.7208970438328237</t>
  </si>
  <si>
    <t>0.2612979952429493</t>
  </si>
  <si>
    <t>0.12710426914064646</t>
  </si>
  <si>
    <t>0.1188589540412044</t>
  </si>
  <si>
    <t>Drake Baldwin</t>
  </si>
  <si>
    <t>0.2087184466019417</t>
  </si>
  <si>
    <t>0.12039627871339931</t>
  </si>
  <si>
    <t>0.1447876447876447</t>
  </si>
  <si>
    <t>Lawrence Butler</t>
  </si>
  <si>
    <t>0.29589999999999994</t>
  </si>
  <si>
    <t>0.039412330479946106</t>
  </si>
  <si>
    <t>0.7261264902000405</t>
  </si>
  <si>
    <t>0.25579915134370573</t>
  </si>
  <si>
    <t>0.13075046831274584</t>
  </si>
  <si>
    <t>0.1156583629893238</t>
  </si>
  <si>
    <t>Andy Pages</t>
  </si>
  <si>
    <t>0.7216656131479141</t>
  </si>
  <si>
    <t>0.12702321660479265</t>
  </si>
  <si>
    <t>0.1329879101899827</t>
  </si>
  <si>
    <t>0.014176203922810451</t>
  </si>
  <si>
    <t>0.016010534832079548</t>
  </si>
  <si>
    <t>Noelvi Marte</t>
  </si>
  <si>
    <t>3B,OF</t>
  </si>
  <si>
    <t>0.7524752475247526</t>
  </si>
  <si>
    <t>0.2293168316831683</t>
  </si>
  <si>
    <t>0.12263846984749516</t>
  </si>
  <si>
    <t>0.1156862745098039</t>
  </si>
  <si>
    <t>Luis Robert Jr.</t>
  </si>
  <si>
    <t>0.29469999999999996</t>
  </si>
  <si>
    <t>0.7582905982905983</t>
  </si>
  <si>
    <t>0.21371184371184365</t>
  </si>
  <si>
    <t>0.12630138001031072</t>
  </si>
  <si>
    <t>0.1170825335892514</t>
  </si>
  <si>
    <t>0.011001732011463431</t>
  </si>
  <si>
    <t>0.056501369297274534</t>
  </si>
  <si>
    <t>0.014144329559773912</t>
  </si>
  <si>
    <t>Jacob Wilson</t>
  </si>
  <si>
    <t>0.013063485956136923</t>
  </si>
  <si>
    <t>0.8038167217760983</t>
  </si>
  <si>
    <t>0.1867264997638167</t>
  </si>
  <si>
    <t>0.12109670802456485</t>
  </si>
  <si>
    <t>0.1113043478260869</t>
  </si>
  <si>
    <t>Munetaka Murakami</t>
  </si>
  <si>
    <t xml:space="preserve">CWS </t>
  </si>
  <si>
    <t>1B,3B</t>
  </si>
  <si>
    <t>0.28159999999999996</t>
  </si>
  <si>
    <t>0.14290000000000003</t>
  </si>
  <si>
    <t>0.7435885919604762</t>
  </si>
  <si>
    <t>0.23788457219851783</t>
  </si>
  <si>
    <t>0.12973204601869567</t>
  </si>
  <si>
    <t>0.1349353049907578</t>
  </si>
  <si>
    <t>0.010552304270183832</t>
  </si>
  <si>
    <t>Brandon Nimmo</t>
  </si>
  <si>
    <t>0.035260263758795755</t>
  </si>
  <si>
    <t>0.7569415292353823</t>
  </si>
  <si>
    <t>0.22291604197901047</t>
  </si>
  <si>
    <t>0.12655547640868478</t>
  </si>
  <si>
    <t>0.1157556270096463</t>
  </si>
  <si>
    <t>0.014665152681888751</t>
  </si>
  <si>
    <t>0.014872148216199579</t>
  </si>
  <si>
    <t>Jackson Holliday</t>
  </si>
  <si>
    <t>2B,SS</t>
  </si>
  <si>
    <t>0.025421132621963327</t>
  </si>
  <si>
    <t>0.2241589267285861</t>
  </si>
  <si>
    <t>0.022486711829077587</t>
  </si>
  <si>
    <t>0.13040384676047018</t>
  </si>
  <si>
    <t>Colson Montgomery</t>
  </si>
  <si>
    <t>3B,SS</t>
  </si>
  <si>
    <t>0.040780709124516853</t>
  </si>
  <si>
    <t>0.7379518072289157</t>
  </si>
  <si>
    <t>0.23653184165232355</t>
  </si>
  <si>
    <t>0.11396309394942414</t>
  </si>
  <si>
    <t>0.1272727272727272</t>
  </si>
  <si>
    <t>0.016598386506883993</t>
  </si>
  <si>
    <t>Dansby Swanson</t>
  </si>
  <si>
    <t>0.7565522501906943</t>
  </si>
  <si>
    <t>0.23100686498855827</t>
  </si>
  <si>
    <t>0.12190674717881436</t>
  </si>
  <si>
    <t>0.1194267515923566</t>
  </si>
  <si>
    <t>0.025490705836474666</t>
  </si>
  <si>
    <t>Ceddanne Rafaela</t>
  </si>
  <si>
    <t>0.043899999999999995</t>
  </si>
  <si>
    <t>0.7372049689440994</t>
  </si>
  <si>
    <t>0.22929347826086954</t>
  </si>
  <si>
    <t>0.033169940126461794</t>
  </si>
  <si>
    <t>0.12617107523879822</t>
  </si>
  <si>
    <t>0.1129032258064516</t>
  </si>
  <si>
    <t>Xavier Edwards</t>
  </si>
  <si>
    <t>0.8192356752895557</t>
  </si>
  <si>
    <t>0.15972753711924073</t>
  </si>
  <si>
    <t>0.11799833609076386</t>
  </si>
  <si>
    <t>0.045823159748629015</t>
  </si>
  <si>
    <t>Mike Trout</t>
  </si>
  <si>
    <t>0.30169999999999997</t>
  </si>
  <si>
    <t>0.048417240130387465</t>
  </si>
  <si>
    <t>0.7386666666666667</t>
  </si>
  <si>
    <t>0.24533333333333326</t>
  </si>
  <si>
    <t>0.13007534795881404</t>
  </si>
  <si>
    <t>0.1274900398406374</t>
  </si>
  <si>
    <t>Steven Kwan</t>
  </si>
  <si>
    <t>0.2859999999999999</t>
  </si>
  <si>
    <t>0.8138720353006068</t>
  </si>
  <si>
    <t>0.16425353925353925</t>
  </si>
  <si>
    <t>0.12417694637493489</t>
  </si>
  <si>
    <t>Ivan Herrera</t>
  </si>
  <si>
    <t xml:space="preserve">STL </t>
  </si>
  <si>
    <t>0.032414153404365674</t>
  </si>
  <si>
    <t>0.7840211640211641</t>
  </si>
  <si>
    <t>0.20777777777777773</t>
  </si>
  <si>
    <t>0.12665950069806603</t>
  </si>
  <si>
    <t>Kazuma Okamoto</t>
  </si>
  <si>
    <t>0.7326186009112838</t>
  </si>
  <si>
    <t>0.2636290538729563</t>
  </si>
  <si>
    <t>0.11970582303487655</t>
  </si>
  <si>
    <t>0.1340996168582375</t>
  </si>
  <si>
    <t>0.013762941224423179</t>
  </si>
  <si>
    <t>Adley Rutschman</t>
  </si>
  <si>
    <t>0.27180000000000004</t>
  </si>
  <si>
    <t>0.15739999999999998</t>
  </si>
  <si>
    <t>0.10869999999999999</t>
  </si>
  <si>
    <t>0.7585804132973945</t>
  </si>
  <si>
    <t>0.2374213836477987</t>
  </si>
  <si>
    <t>0.11819980203391287</t>
  </si>
  <si>
    <t>0.1142857142857142</t>
  </si>
  <si>
    <t>Alec Burleson</t>
  </si>
  <si>
    <t>0.13890000000000002</t>
  </si>
  <si>
    <t>0.7805555555555556</t>
  </si>
  <si>
    <t>0.21207264957264949</t>
  </si>
  <si>
    <t>0.11404515258651443</t>
  </si>
  <si>
    <t>Christian Walker</t>
  </si>
  <si>
    <t>0.7522471910112359</t>
  </si>
  <si>
    <t>0.23364680019540782</t>
  </si>
  <si>
    <t>0.11822069253233206</t>
  </si>
  <si>
    <t>0.1365248226950354</t>
  </si>
  <si>
    <t>0.013292233666641522</t>
  </si>
  <si>
    <t>Bryan Reynolds</t>
  </si>
  <si>
    <t>0.31829999999999997</t>
  </si>
  <si>
    <t>0.22650918635170603</t>
  </si>
  <si>
    <t>0.11513844117724134</t>
  </si>
  <si>
    <t>0.1170886075949367</t>
  </si>
  <si>
    <t>Jurickson Profar</t>
  </si>
  <si>
    <t>0.26990000000000003</t>
  </si>
  <si>
    <t>0.16160000000000002</t>
  </si>
  <si>
    <t>0.11129999999999998</t>
  </si>
  <si>
    <t>0.7772053634438956</t>
  </si>
  <si>
    <t>0.22361503175723352</t>
  </si>
  <si>
    <t>0.12661511354201901</t>
  </si>
  <si>
    <t>0.1120543293718166</t>
  </si>
  <si>
    <t>Brenton Doyle</t>
  </si>
  <si>
    <t>0.32020000000000004</t>
  </si>
  <si>
    <t>0.035571258801129574</t>
  </si>
  <si>
    <t>0.7352638352638353</t>
  </si>
  <si>
    <t>0.2273648648648648</t>
  </si>
  <si>
    <t>0.12190207593317552</t>
  </si>
  <si>
    <t>0.1136767317939609</t>
  </si>
  <si>
    <t>Marcus Semien</t>
  </si>
  <si>
    <t>0.7566217430368374</t>
  </si>
  <si>
    <t>0.20893081761006285</t>
  </si>
  <si>
    <t>0.12574150604136058</t>
  </si>
  <si>
    <t>0.1157167530224525</t>
  </si>
  <si>
    <t>Ernie Clement</t>
  </si>
  <si>
    <t>1B,2B,3B,SS</t>
  </si>
  <si>
    <t>0.7673846153846154</t>
  </si>
  <si>
    <t>0.20838974358974355</t>
  </si>
  <si>
    <t>0.016844375963019992</t>
  </si>
  <si>
    <t>0.11622983348078969</t>
  </si>
  <si>
    <t>Gleyber Torres</t>
  </si>
  <si>
    <t>0.026792898999323602</t>
  </si>
  <si>
    <t>0.7829493087557604</t>
  </si>
  <si>
    <t>0.21432411674347152</t>
  </si>
  <si>
    <t>0.12315452290921905</t>
  </si>
  <si>
    <t>Yainer Diaz</t>
  </si>
  <si>
    <t>0.7795163584637269</t>
  </si>
  <si>
    <t>0.21223328591749635</t>
  </si>
  <si>
    <t>0.1298449612403101</t>
  </si>
  <si>
    <t>Max Muncy</t>
  </si>
  <si>
    <t>0.059300000000000005</t>
  </si>
  <si>
    <t>0.037772490066780524</t>
  </si>
  <si>
    <t>0.7259882337387625</t>
  </si>
  <si>
    <t>0.2532410926758329</t>
  </si>
  <si>
    <t>0.12107263556341212</t>
  </si>
  <si>
    <t>0.1254111033949606</t>
  </si>
  <si>
    <t>0.012702087651435583</t>
  </si>
  <si>
    <t>Spencer Torkelson</t>
  </si>
  <si>
    <t>0.2722363945578231</t>
  </si>
  <si>
    <t>0.12209321875068899</t>
  </si>
  <si>
    <t>0.1282467532467532</t>
  </si>
  <si>
    <t>Brendan Donovan</t>
  </si>
  <si>
    <t>2B,SS,OF</t>
  </si>
  <si>
    <t>0.28909999999999997</t>
  </si>
  <si>
    <t>0.21772013153087316</t>
  </si>
  <si>
    <t>0.11800825686163555</t>
  </si>
  <si>
    <t>Alejandro Kirk</t>
  </si>
  <si>
    <t>0.7946475059877122</t>
  </si>
  <si>
    <t>0.19468915963761324</t>
  </si>
  <si>
    <t>0.10923798528476004</t>
  </si>
  <si>
    <t>0.1301652892561983</t>
  </si>
  <si>
    <t>Chandler Simpson</t>
  </si>
  <si>
    <t>0.10550000000000001</t>
  </si>
  <si>
    <t>0.052199999999999996</t>
  </si>
  <si>
    <t>0.8414005602240897</t>
  </si>
  <si>
    <t>0.1278361344537815</t>
  </si>
  <si>
    <t>0.12269121606869945</t>
  </si>
  <si>
    <t>Ryan McMahon</t>
  </si>
  <si>
    <t>0.7624624624624625</t>
  </si>
  <si>
    <t>0.23419669669669668</t>
  </si>
  <si>
    <t>0.11012593645052954</t>
  </si>
  <si>
    <t>0.1075949367088607</t>
  </si>
  <si>
    <t>Addison Barger</t>
  </si>
  <si>
    <t>0.28319999999999995</t>
  </si>
  <si>
    <t>0.7178481367329784</t>
  </si>
  <si>
    <t>0.27769683384701593</t>
  </si>
  <si>
    <t>0.011795020614017479</t>
  </si>
  <si>
    <t>0.12368943308557868</t>
  </si>
  <si>
    <t>0.1263157894736842</t>
  </si>
  <si>
    <t>Paul Goldschmidt</t>
  </si>
  <si>
    <t>0.1077348066298342</t>
  </si>
  <si>
    <t>Andres Gimenez</t>
  </si>
  <si>
    <t>0.28369999999999995</t>
  </si>
  <si>
    <t>0.054599999999999996</t>
  </si>
  <si>
    <t>0.015062235255783601</t>
  </si>
  <si>
    <t>0.7817042606516291</t>
  </si>
  <si>
    <t>0.1966948621553884</t>
  </si>
  <si>
    <t>0.11428655215751984</t>
  </si>
  <si>
    <t>Carson Kelly</t>
  </si>
  <si>
    <t>0.7942956349206349</t>
  </si>
  <si>
    <t>0.2053819444444444</t>
  </si>
  <si>
    <t>0.11200678983564513</t>
  </si>
  <si>
    <t>0.1168478260869565</t>
  </si>
  <si>
    <t>0.010896814823785869</t>
  </si>
  <si>
    <t>J.T. Realmuto</t>
  </si>
  <si>
    <t>0.7537294850028297</t>
  </si>
  <si>
    <t>0.23190718732314652</t>
  </si>
  <si>
    <t>0.024840262712116198</t>
  </si>
  <si>
    <t>0.11532625561453655</t>
  </si>
  <si>
    <t>0.1139240506329113</t>
  </si>
  <si>
    <t>0.014460759493670839</t>
  </si>
  <si>
    <t>Brett Baty</t>
  </si>
  <si>
    <t>0.7906353507979524</t>
  </si>
  <si>
    <t>0.2054501656127672</t>
  </si>
  <si>
    <t>0.11711392561221592</t>
  </si>
  <si>
    <t>Dillon Dingler</t>
  </si>
  <si>
    <t>0.30069999999999997</t>
  </si>
  <si>
    <t>0.026913741598207534</t>
  </si>
  <si>
    <t>0.24624999999999997</t>
  </si>
  <si>
    <t>0.1080126863845896</t>
  </si>
  <si>
    <t>0.1177884615384615</t>
  </si>
  <si>
    <t>Jorge Polanco</t>
  </si>
  <si>
    <t>0.27090000000000003</t>
  </si>
  <si>
    <t>0.20129999999999998</t>
  </si>
  <si>
    <t>0.7449067786146438</t>
  </si>
  <si>
    <t>0.23439930855661184</t>
  </si>
  <si>
    <t>0.11999240916254664</t>
  </si>
  <si>
    <t>0.1355599214145383</t>
  </si>
  <si>
    <t>Javier Baez</t>
  </si>
  <si>
    <t>0.23709999999999998</t>
  </si>
  <si>
    <t>0.7632944915254238</t>
  </si>
  <si>
    <t>0.23172669491525422</t>
  </si>
  <si>
    <t>0.10551221940998293</t>
  </si>
  <si>
    <t>0.1151515151515151</t>
  </si>
  <si>
    <t>0.015324675324675258</t>
  </si>
  <si>
    <t>J.P. Crawford</t>
  </si>
  <si>
    <t>0.28809999999999997</t>
  </si>
  <si>
    <t>0.19169999999999998</t>
  </si>
  <si>
    <t>0.11049999999999999</t>
  </si>
  <si>
    <t>0.7791492004347151</t>
  </si>
  <si>
    <t>0.20563577084303672</t>
  </si>
  <si>
    <t>0.10778577039341325</t>
  </si>
  <si>
    <t>Giancarlo Stanton</t>
  </si>
  <si>
    <t>0.26039999999999996</t>
  </si>
  <si>
    <t>0.060476995185409485</t>
  </si>
  <si>
    <t>0.7732538894405827</t>
  </si>
  <si>
    <t>0.2216484607745779</t>
  </si>
  <si>
    <t>0.11793155040960263</t>
  </si>
  <si>
    <t>0.1612090680100755</t>
  </si>
  <si>
    <t>Isaac Paredes</t>
  </si>
  <si>
    <t>0.7755555555555557</t>
  </si>
  <si>
    <t>0.22416666666666668</t>
  </si>
  <si>
    <t>0.1222897605060618</t>
  </si>
  <si>
    <t>0.1267893660531697</t>
  </si>
  <si>
    <t>Zach McKinstry</t>
  </si>
  <si>
    <t>3B,SS,OF</t>
  </si>
  <si>
    <t>0.21570000000000003</t>
  </si>
  <si>
    <t>0.7290575127973502</t>
  </si>
  <si>
    <t>0.20910870219813305</t>
  </si>
  <si>
    <t>0.1163396185815894</t>
  </si>
  <si>
    <t>Nolan Arenado</t>
  </si>
  <si>
    <t>0.7788081659641293</t>
  </si>
  <si>
    <t>0.2189933052318373</t>
  </si>
  <si>
    <t>0.10748259952516709</t>
  </si>
  <si>
    <t>0.1234119782214156</t>
  </si>
  <si>
    <t>JJ Wetherholt</t>
  </si>
  <si>
    <t>2B,3B,SS</t>
  </si>
  <si>
    <t>0.7584219858156029</t>
  </si>
  <si>
    <t>0.22200797872340422</t>
  </si>
  <si>
    <t>0.11357005730679129</t>
  </si>
  <si>
    <t>Luis Arraez</t>
  </si>
  <si>
    <t>1B,2B</t>
  </si>
  <si>
    <t>0.8213571295779885</t>
  </si>
  <si>
    <t>0.15759434839189435</t>
  </si>
  <si>
    <t>0.11326276564618369</t>
  </si>
  <si>
    <t>0.010359912253851598</t>
  </si>
  <si>
    <t>Anthony Volpe</t>
  </si>
  <si>
    <t>0.029213416561314747</t>
  </si>
  <si>
    <t>0.7425000000000002</t>
  </si>
  <si>
    <t>0.11727453149401348</t>
  </si>
  <si>
    <t>0.1084070796460177</t>
  </si>
  <si>
    <t>0.037415408641332575</t>
  </si>
  <si>
    <t>Tommy Edman</t>
  </si>
  <si>
    <t>2B,3B,OF</t>
  </si>
  <si>
    <t>0.17600000000000002</t>
  </si>
  <si>
    <t>0.025221088435374142</t>
  </si>
  <si>
    <t>0.7580593424218124</t>
  </si>
  <si>
    <t>0.21915263298583262</t>
  </si>
  <si>
    <t>0.020333789329685298</t>
  </si>
  <si>
    <t>0.12491496598639454</t>
  </si>
  <si>
    <t>0.1133786848072562</t>
  </si>
  <si>
    <t>Austin Wells</t>
  </si>
  <si>
    <t>0.25329999999999997</t>
  </si>
  <si>
    <t>0.25528169014084506</t>
  </si>
  <si>
    <t>0.11296589479765064</t>
  </si>
  <si>
    <t>0.1300448430493273</t>
  </si>
  <si>
    <t>0.011233571202410711</t>
  </si>
  <si>
    <t>Ezequiel Tovar</t>
  </si>
  <si>
    <t>0.048999999999999995</t>
  </si>
  <si>
    <t>0.25169172932330824</t>
  </si>
  <si>
    <t>0.12392117721878147</t>
  </si>
  <si>
    <t>Matt Shaw</t>
  </si>
  <si>
    <t>0.2054545454545454</t>
  </si>
  <si>
    <t>0.1252326573134362</t>
  </si>
  <si>
    <t>0.1050847457627118</t>
  </si>
  <si>
    <t>Logan O'Hoppe</t>
  </si>
  <si>
    <t>0.27980000000000005</t>
  </si>
  <si>
    <t>0.7658947368421054</t>
  </si>
  <si>
    <t>0.21787719298245606</t>
  </si>
  <si>
    <t>0.10634456177922026</t>
  </si>
  <si>
    <t>0.1175166297117516</t>
  </si>
  <si>
    <t>Josh Jung</t>
  </si>
  <si>
    <t>0.7675394723938413</t>
  </si>
  <si>
    <t>0.22254584681769146</t>
  </si>
  <si>
    <t>0.10861565518782898</t>
  </si>
  <si>
    <t>0.1190019193857965</t>
  </si>
  <si>
    <t>Chase DeLauter</t>
  </si>
  <si>
    <t>0.024500057464659223</t>
  </si>
  <si>
    <t>0.2431228206121658</t>
  </si>
  <si>
    <t>0.011325919011893379</t>
  </si>
  <si>
    <t>0.11359309612823405</t>
  </si>
  <si>
    <t>0.1103896103896103</t>
  </si>
  <si>
    <t>Marcelo Mayer</t>
  </si>
  <si>
    <t>0.30179999999999996</t>
  </si>
  <si>
    <t>0.26523148148148146</t>
  </si>
  <si>
    <t>0.11768830225085966</t>
  </si>
  <si>
    <t>0.1111111111111111</t>
  </si>
  <si>
    <t>Jose Caballero</t>
  </si>
  <si>
    <t>0.7782795698924732</t>
  </si>
  <si>
    <t>0.2194086021505376</t>
  </si>
  <si>
    <t>0.12604403472071068</t>
  </si>
  <si>
    <t>0.017242041145527652</t>
  </si>
  <si>
    <t>0.10433802308802304</t>
  </si>
  <si>
    <t>Tyler Stephenson</t>
  </si>
  <si>
    <t>0.30399999999999994</t>
  </si>
  <si>
    <t>0.035436974789915955</t>
  </si>
  <si>
    <t>0.7630319634703197</t>
  </si>
  <si>
    <t>0.23101369863013693</t>
  </si>
  <si>
    <t>0.11134267040149391</t>
  </si>
  <si>
    <t>0.1223529411764706</t>
  </si>
  <si>
    <t>Brandon Lowe</t>
  </si>
  <si>
    <t>0.28619999999999995</t>
  </si>
  <si>
    <t>0.039908417337106816</t>
  </si>
  <si>
    <t>0.7396914446002806</t>
  </si>
  <si>
    <t>0.25357643758765774</t>
  </si>
  <si>
    <t>0.011121685700928328</t>
  </si>
  <si>
    <t>0.1248129001126107</t>
  </si>
  <si>
    <t>0.1350844277673546</t>
  </si>
  <si>
    <t>Jonathan Aranda</t>
  </si>
  <si>
    <t>0.2311493854942011</t>
  </si>
  <si>
    <t>0.12333992301915314</t>
  </si>
  <si>
    <t>0.1305114638447971</t>
  </si>
  <si>
    <t>Colt Keith</t>
  </si>
  <si>
    <t>1B,2B,3B</t>
  </si>
  <si>
    <t>0.29989999999999994</t>
  </si>
  <si>
    <t>0.21540965816603358</t>
  </si>
  <si>
    <t>0.029919699838698303</t>
  </si>
  <si>
    <t>0.12755600898207947</t>
  </si>
  <si>
    <t>Samuel Basallo</t>
  </si>
  <si>
    <t>0.2368421052631578</t>
  </si>
  <si>
    <t>0.1181545231121765</t>
  </si>
  <si>
    <t>0.1297169811320754</t>
  </si>
  <si>
    <t>Ryan O'Hearn</t>
  </si>
  <si>
    <t>0.30419999999999997</t>
  </si>
  <si>
    <t>0.18929999999999997</t>
  </si>
  <si>
    <t>0.7779629968858766</t>
  </si>
  <si>
    <t>0.2146089027294376</t>
  </si>
  <si>
    <t>0.1169868001465081</t>
  </si>
  <si>
    <t>0.1174168297455968</t>
  </si>
  <si>
    <t>Bryce Eldridge</t>
  </si>
  <si>
    <t>Matt McLain</t>
  </si>
  <si>
    <t>0.7407780320366133</t>
  </si>
  <si>
    <t>0.22925629290617838</t>
  </si>
  <si>
    <t>0.1226656997724413</t>
  </si>
  <si>
    <t>0.1048689138576779</t>
  </si>
  <si>
    <t>0.030152852765212297</t>
  </si>
  <si>
    <t>Jonathan India</t>
  </si>
  <si>
    <t>0.10199999999999998</t>
  </si>
  <si>
    <t>0.7412891804644381</t>
  </si>
  <si>
    <t>0.24592314901593249</t>
  </si>
  <si>
    <t>0.11904780022786898</t>
  </si>
  <si>
    <t>0.025160175865378113</t>
  </si>
  <si>
    <t>Luis Garcia Jr.</t>
  </si>
  <si>
    <t>0.15589999999999998</t>
  </si>
  <si>
    <t>0.028085121342442315</t>
  </si>
  <si>
    <t>0.7696669146210431</t>
  </si>
  <si>
    <t>0.11699325419610875</t>
  </si>
  <si>
    <t>0.025740378343117987</t>
  </si>
  <si>
    <t>Francisco Alvarez</t>
  </si>
  <si>
    <t>0.039577651693259344</t>
  </si>
  <si>
    <t>0.7828571428571429</t>
  </si>
  <si>
    <t>0.21428571428571416</t>
  </si>
  <si>
    <t>0.11812251833482032</t>
  </si>
  <si>
    <t>0.1324200913242009</t>
  </si>
  <si>
    <t>0.013708119528805839</t>
  </si>
  <si>
    <t>Kyle Teel</t>
  </si>
  <si>
    <t>0.31310000000000004</t>
  </si>
  <si>
    <t>0.10419999999999999</t>
  </si>
  <si>
    <t>0.20454545454545447</t>
  </si>
  <si>
    <t>0.12052305619139031</t>
  </si>
  <si>
    <t>0.1049250535331905</t>
  </si>
  <si>
    <t>0.014165989810234019</t>
  </si>
  <si>
    <t>Spencer Steer</t>
  </si>
  <si>
    <t>0.27030000000000004</t>
  </si>
  <si>
    <t>0.7415384615384615</t>
  </si>
  <si>
    <t>0.24651282051282042</t>
  </si>
  <si>
    <t>0.11519125508964305</t>
  </si>
  <si>
    <t>0.1214953271028037</t>
  </si>
  <si>
    <t>0.012912002074225291</t>
  </si>
  <si>
    <t>0.016162290461355797</t>
  </si>
  <si>
    <t>Alec Bohm</t>
  </si>
  <si>
    <t>0.15489999999999998</t>
  </si>
  <si>
    <t>0.7834500000000001</t>
  </si>
  <si>
    <t>0.20653749999999998</t>
  </si>
  <si>
    <t>0.11359581672217091</t>
  </si>
  <si>
    <t>0.1252204585537918</t>
  </si>
  <si>
    <t>Gabriel Moreno</t>
  </si>
  <si>
    <t>0.7752577319587629</t>
  </si>
  <si>
    <t>0.20618556701030918</t>
  </si>
  <si>
    <t>0.11960318285833155</t>
  </si>
  <si>
    <t>0.1227272727272727</t>
  </si>
  <si>
    <t>Jung Hoo Lee</t>
  </si>
  <si>
    <t>0.7224806201550387</t>
  </si>
  <si>
    <t>0.24108527131782942</t>
  </si>
  <si>
    <t>0.11341602811200265</t>
  </si>
  <si>
    <t>Brooks Lee</t>
  </si>
  <si>
    <t>0.26870000000000005</t>
  </si>
  <si>
    <t>0.7740081114441898</t>
  </si>
  <si>
    <t>0.20976900017633568</t>
  </si>
  <si>
    <t>0.10266186951680815</t>
  </si>
  <si>
    <t>0.1129326047358834</t>
  </si>
  <si>
    <t>Jeff McNeil</t>
  </si>
  <si>
    <t>0.7453173241852487</t>
  </si>
  <si>
    <t>0.2360034305317324</t>
  </si>
  <si>
    <t>0.11287694295281302</t>
  </si>
  <si>
    <t>0.1065420560747663</t>
  </si>
  <si>
    <t>Carter Jensen</t>
  </si>
  <si>
    <t>0.29969999999999997</t>
  </si>
  <si>
    <t>0.26030000000000003</t>
  </si>
  <si>
    <t>0.028584517625965644</t>
  </si>
  <si>
    <t>0.7190923317683882</t>
  </si>
  <si>
    <t>0.23843896713615018</t>
  </si>
  <si>
    <t>0.11636206633204732</t>
  </si>
  <si>
    <t>0.1202046035805626</t>
  </si>
  <si>
    <t>Victor Scott II</t>
  </si>
  <si>
    <t>0.17536231884057965</t>
  </si>
  <si>
    <t>0.11201182832867941</t>
  </si>
  <si>
    <t>0.013699260930628749</t>
  </si>
  <si>
    <t>Carlos Correa</t>
  </si>
  <si>
    <t>0.20450000000000002</t>
  </si>
  <si>
    <t>0.7971936538308221</t>
  </si>
  <si>
    <t>0.20245555289803074</t>
  </si>
  <si>
    <t>0.11607651607651606</t>
  </si>
  <si>
    <t>0.1153846153846153</t>
  </si>
  <si>
    <t>Ha-Seong Kim</t>
  </si>
  <si>
    <t>0.023152454780361688</t>
  </si>
  <si>
    <t>0.7734262125902993</t>
  </si>
  <si>
    <t>0.1924406604747161</t>
  </si>
  <si>
    <t>0.015209539193251631</t>
  </si>
  <si>
    <t>0.11985833474107022</t>
  </si>
  <si>
    <t>0.010388936957320408</t>
  </si>
  <si>
    <t>Bryson Stott</t>
  </si>
  <si>
    <t>0.28759999999999997</t>
  </si>
  <si>
    <t>0.7766218585622443</t>
  </si>
  <si>
    <t>0.19981005260081822</t>
  </si>
  <si>
    <t>0.11921588884482048</t>
  </si>
  <si>
    <t>0.1045296167247386</t>
  </si>
  <si>
    <t>0.041620013310887445</t>
  </si>
  <si>
    <t>Colton Cowser</t>
  </si>
  <si>
    <t>0.7160068846815836</t>
  </si>
  <si>
    <t>0.26285140562248993</t>
  </si>
  <si>
    <t>0.012571715433161169</t>
  </si>
  <si>
    <t>0.1196911196911196</t>
  </si>
  <si>
    <t>0.013834159856361472</t>
  </si>
  <si>
    <t>0.025429735018776028</t>
  </si>
  <si>
    <t>Caleb Durbin</t>
  </si>
  <si>
    <t>0.11000000000000001</t>
  </si>
  <si>
    <t>0.7750040950040951</t>
  </si>
  <si>
    <t>0.20390663390663388</t>
  </si>
  <si>
    <t>0.11910377037057597</t>
  </si>
  <si>
    <t>0.1009345794392523</t>
  </si>
  <si>
    <t>0.011863777171059511</t>
  </si>
  <si>
    <t>Josh Smith</t>
  </si>
  <si>
    <t>1B,3B,SS,OF</t>
  </si>
  <si>
    <t>0.7628360215053764</t>
  </si>
  <si>
    <t>0.2192876344086021</t>
  </si>
  <si>
    <t>0.11513780273157412</t>
  </si>
  <si>
    <t>0.020844244315130253</t>
  </si>
  <si>
    <t>Nick Castellanos</t>
  </si>
  <si>
    <t>Jake Cronenworth</t>
  </si>
  <si>
    <t>1B,2B,SS</t>
  </si>
  <si>
    <t>0.27549999999999997</t>
  </si>
  <si>
    <t>0.7455929944793451</t>
  </si>
  <si>
    <t>0.23460879497430034</t>
  </si>
  <si>
    <t>0.11270842213546894</t>
  </si>
  <si>
    <t>0.1053540587219343</t>
  </si>
  <si>
    <t>Daulton Varsho</t>
  </si>
  <si>
    <t>0.7204761904761905</t>
  </si>
  <si>
    <t>0.2623214285714286</t>
  </si>
  <si>
    <t>0.12964081238422975</t>
  </si>
  <si>
    <t>0.1381215469613259</t>
  </si>
  <si>
    <t>Jac Caglianone</t>
  </si>
  <si>
    <t>0.033651115618661215</t>
  </si>
  <si>
    <t>0.7455555555555556</t>
  </si>
  <si>
    <t>0.23151515151515145</t>
  </si>
  <si>
    <t>0.1187236633783948</t>
  </si>
  <si>
    <t>Adolis Garcia</t>
  </si>
  <si>
    <t>0.27430000000000004</t>
  </si>
  <si>
    <t>0.042321933221687175</t>
  </si>
  <si>
    <t>0.7500672043010753</t>
  </si>
  <si>
    <t>0.24059139784946232</t>
  </si>
  <si>
    <t>0.12140469882885044</t>
  </si>
  <si>
    <t>0.1387900355871886</t>
  </si>
  <si>
    <t>Willi Castro</t>
  </si>
  <si>
    <t>0.22419999999999998</t>
  </si>
  <si>
    <t>0.7435520166176216</t>
  </si>
  <si>
    <t>0.2128007616409901</t>
  </si>
  <si>
    <t>0.12620235998098592</t>
  </si>
  <si>
    <t>0.022259632135625883</t>
  </si>
  <si>
    <t>Jake Burger</t>
  </si>
  <si>
    <t>0.27490000000000003</t>
  </si>
  <si>
    <t>0.7432584269662922</t>
  </si>
  <si>
    <t>0.24477283829995108</t>
  </si>
  <si>
    <t>0.11693023921367383</t>
  </si>
  <si>
    <t>0.1382575757575757</t>
  </si>
  <si>
    <t>Dylan Crews</t>
  </si>
  <si>
    <t>0.028871641408887903</t>
  </si>
  <si>
    <t>0.21237170596393895</t>
  </si>
  <si>
    <t>0.11958756035179835</t>
  </si>
  <si>
    <t>0.1061946902654867</t>
  </si>
  <si>
    <t>0.015467617300644892</t>
  </si>
  <si>
    <t>Nolan Schanuel</t>
  </si>
  <si>
    <t>0.28579999999999994</t>
  </si>
  <si>
    <t>0.014295125164690321</t>
  </si>
  <si>
    <t>0.7963961522828886</t>
  </si>
  <si>
    <t>0.18325430158515102</t>
  </si>
  <si>
    <t>0.010113622632251509</t>
  </si>
  <si>
    <t>0.11919256267082348</t>
  </si>
  <si>
    <t>0.010403183772748958</t>
  </si>
  <si>
    <t>Ryan Jeffers</t>
  </si>
  <si>
    <t>0.7590909090909091</t>
  </si>
  <si>
    <t>0.2420454545454545</t>
  </si>
  <si>
    <t>0.11321608869420158</t>
  </si>
  <si>
    <t>0.1128712871287128</t>
  </si>
  <si>
    <t>Konnor Griffin</t>
  </si>
  <si>
    <t>SS,OF</t>
  </si>
  <si>
    <t>0.027891864933845708</t>
  </si>
  <si>
    <t>0.7839890523434827</t>
  </si>
  <si>
    <t>0.2026513855627779</t>
  </si>
  <si>
    <t>0.13553365547820906</t>
  </si>
  <si>
    <t>0.1148825065274151</t>
  </si>
  <si>
    <t>0.050373273505653335</t>
  </si>
  <si>
    <t>Marcell Ozuna</t>
  </si>
  <si>
    <t>0.1312741312741312</t>
  </si>
  <si>
    <t>Sal Frelick</t>
  </si>
  <si>
    <t>0.28669999999999995</t>
  </si>
  <si>
    <t>0.011224772640276659</t>
  </si>
  <si>
    <t>0.7888418079096046</t>
  </si>
  <si>
    <t>0.17957627118644062</t>
  </si>
  <si>
    <t>0.11690128455508873</t>
  </si>
  <si>
    <t>Mark Vientos</t>
  </si>
  <si>
    <t>0.7653846153846154</t>
  </si>
  <si>
    <t>0.2290384615384615</t>
  </si>
  <si>
    <t>0.1145904701836584</t>
  </si>
  <si>
    <t>Trent Grisham</t>
  </si>
  <si>
    <t>0.7308219178082193</t>
  </si>
  <si>
    <t>0.2492970439798125</t>
  </si>
  <si>
    <t>0.13361242844607857</t>
  </si>
  <si>
    <t>0.1197718631178707</t>
  </si>
  <si>
    <t>0.010716407535380239</t>
  </si>
  <si>
    <t>Kerry Carpenter</t>
  </si>
  <si>
    <t>0.28509999999999996</t>
  </si>
  <si>
    <t>0.7312566844919786</t>
  </si>
  <si>
    <t>0.2294786096256684</t>
  </si>
  <si>
    <t>0.12675990898451422</t>
  </si>
  <si>
    <t>0.1464435146443514</t>
  </si>
  <si>
    <t>0.013876773436402349</t>
  </si>
  <si>
    <t>Masyn Winn</t>
  </si>
  <si>
    <t>0.7670541182352206</t>
  </si>
  <si>
    <t>0.21058617672790897</t>
  </si>
  <si>
    <t>0.11846946410492262</t>
  </si>
  <si>
    <t>Heliot Ramos</t>
  </si>
  <si>
    <t>0.23550000000000001</t>
  </si>
  <si>
    <t>0.039173750507268325</t>
  </si>
  <si>
    <t>0.7576416050992323</t>
  </si>
  <si>
    <t>0.21911487758945383</t>
  </si>
  <si>
    <t>0.017718622408436392</t>
  </si>
  <si>
    <t>0.12214501608510875</t>
  </si>
  <si>
    <t>0.1158238172920065</t>
  </si>
  <si>
    <t>Xander Bogaerts</t>
  </si>
  <si>
    <t>0.7795992714025501</t>
  </si>
  <si>
    <t>0.21104805940871507</t>
  </si>
  <si>
    <t>0.11975037526180587</t>
  </si>
  <si>
    <t>Royce Lewis</t>
  </si>
  <si>
    <t>0.7435029742233973</t>
  </si>
  <si>
    <t>0.2553337739590218</t>
  </si>
  <si>
    <t>0.11424856467409655</t>
  </si>
  <si>
    <t>0.1275720164609053</t>
  </si>
  <si>
    <t>TJ Friedl</t>
  </si>
  <si>
    <t>0.26549999999999996</t>
  </si>
  <si>
    <t>0.16879999999999998</t>
  </si>
  <si>
    <t>0.7985935042102342</t>
  </si>
  <si>
    <t>0.18775793467197183</t>
  </si>
  <si>
    <t>0.11909262345069405</t>
  </si>
  <si>
    <t>0.020244244615994993</t>
  </si>
  <si>
    <t>0.019785184340322278</t>
  </si>
  <si>
    <t>Miguel Vargas</t>
  </si>
  <si>
    <t>0.18710000000000002</t>
  </si>
  <si>
    <t>0.7139631610219846</t>
  </si>
  <si>
    <t>0.27700534759358286</t>
  </si>
  <si>
    <t>0.12380539485240763</t>
  </si>
  <si>
    <t>0.1137931034482758</t>
  </si>
  <si>
    <t>0.013387558712338118</t>
  </si>
  <si>
    <t>Sal Stewart</t>
  </si>
  <si>
    <t>0.7514500537056928</t>
  </si>
  <si>
    <t>0.24007518796992477</t>
  </si>
  <si>
    <t>0.1269277031407042</t>
  </si>
  <si>
    <t>0.1323529411764706</t>
  </si>
  <si>
    <t>0.014577497665732879</t>
  </si>
  <si>
    <t>Kevin McGonigle</t>
  </si>
  <si>
    <t>0.028003003003002933</t>
  </si>
  <si>
    <t>0.7222115384615385</t>
  </si>
  <si>
    <t>0.23653846153846148</t>
  </si>
  <si>
    <t>0.12681491014824342</t>
  </si>
  <si>
    <t>0.1201201201201201</t>
  </si>
  <si>
    <t>Anthony Santander</t>
  </si>
  <si>
    <t>0.7473684210526317</t>
  </si>
  <si>
    <t>0.2539473684210526</t>
  </si>
  <si>
    <t>0.12216228893058159</t>
  </si>
  <si>
    <t>0.1300813008130081</t>
  </si>
  <si>
    <t>0.013751458835000202</t>
  </si>
  <si>
    <t>Wilyer Abreu</t>
  </si>
  <si>
    <t>0.7078877005347595</t>
  </si>
  <si>
    <t>0.27122994652406407</t>
  </si>
  <si>
    <t>0.12739281187113616</t>
  </si>
  <si>
    <t>Otto Lopez</t>
  </si>
  <si>
    <t>0.14989999999999998</t>
  </si>
  <si>
    <t>0.7790222222222223</t>
  </si>
  <si>
    <t>0.2044444444444444</t>
  </si>
  <si>
    <t>0.11217183646321038</t>
  </si>
  <si>
    <t>0.1065719360568383</t>
  </si>
  <si>
    <t>Kyle Manzardo</t>
  </si>
  <si>
    <t>0.7323259718455379</t>
  </si>
  <si>
    <t>0.26595634766886217</t>
  </si>
  <si>
    <t>0.012342780479624282</t>
  </si>
  <si>
    <t>0.11473910711663765</t>
  </si>
  <si>
    <t>0.1347905282331511</t>
  </si>
  <si>
    <t>Jasson Dominguez</t>
  </si>
  <si>
    <t>0.25029999999999997</t>
  </si>
  <si>
    <t>0.7555555555555556</t>
  </si>
  <si>
    <t>0.22041666666666662</t>
  </si>
  <si>
    <t>0.1320300751879699</t>
  </si>
  <si>
    <t>0.1083333333333333</t>
  </si>
  <si>
    <t>Daylen Lile</t>
  </si>
  <si>
    <t>0.015387590796130531</t>
  </si>
  <si>
    <t>0.7221951219512196</t>
  </si>
  <si>
    <t>0.23823170731707313</t>
  </si>
  <si>
    <t>0.062322133852729486</t>
  </si>
  <si>
    <t>0.11736230779089918</t>
  </si>
  <si>
    <t>0.1088560885608856</t>
  </si>
  <si>
    <t>0.010125833972149282</t>
  </si>
  <si>
    <t>Ramon Laureano</t>
  </si>
  <si>
    <t>0.30079999999999996</t>
  </si>
  <si>
    <t>0.7402405180388529</t>
  </si>
  <si>
    <t>0.22238667900092496</t>
  </si>
  <si>
    <t>0.12548673115079365</t>
  </si>
  <si>
    <t>0.019214398499784503</t>
  </si>
  <si>
    <t>AB</t>
    <phoneticPr fontId="18" type="noConversion"/>
  </si>
  <si>
    <t>PA</t>
    <phoneticPr fontId="18" type="noConversion"/>
  </si>
  <si>
    <t>H</t>
    <phoneticPr fontId="18" type="noConversion"/>
  </si>
  <si>
    <t>1B</t>
    <phoneticPr fontId="18" type="noConversion"/>
  </si>
  <si>
    <t>2B</t>
    <phoneticPr fontId="18" type="noConversion"/>
  </si>
  <si>
    <t>3B</t>
    <phoneticPr fontId="18" type="noConversion"/>
  </si>
  <si>
    <t>HR</t>
    <phoneticPr fontId="18" type="noConversion"/>
  </si>
  <si>
    <t>R</t>
    <phoneticPr fontId="18" type="noConversion"/>
  </si>
  <si>
    <t>RBI</t>
    <phoneticPr fontId="18" type="noConversion"/>
  </si>
  <si>
    <t>BB</t>
    <phoneticPr fontId="18" type="noConversion"/>
  </si>
  <si>
    <t>IBB</t>
    <phoneticPr fontId="18" type="noConversion"/>
  </si>
  <si>
    <t>SO</t>
    <phoneticPr fontId="18" type="noConversion"/>
  </si>
  <si>
    <t>HBP</t>
    <phoneticPr fontId="18" type="noConversion"/>
  </si>
  <si>
    <t>SF</t>
    <phoneticPr fontId="18" type="noConversion"/>
  </si>
  <si>
    <t>SH</t>
    <phoneticPr fontId="18" type="noConversion"/>
  </si>
  <si>
    <t>SB</t>
    <phoneticPr fontId="18" type="noConversion"/>
  </si>
  <si>
    <t>CS</t>
    <phoneticPr fontId="18" type="noConversion"/>
  </si>
  <si>
    <t>NSB</t>
    <phoneticPr fontId="18" type="noConversion"/>
  </si>
  <si>
    <t>AVG</t>
    <phoneticPr fontId="18" type="noConversion"/>
  </si>
  <si>
    <t>OBP</t>
    <phoneticPr fontId="18" type="noConversion"/>
  </si>
  <si>
    <t>SLG</t>
    <phoneticPr fontId="18" type="noConversion"/>
  </si>
  <si>
    <t>OPS</t>
    <phoneticPr fontId="18" type="noConversion"/>
  </si>
  <si>
    <t>HIP</t>
    <phoneticPr fontId="18" type="noConversion"/>
  </si>
  <si>
    <t>HR+</t>
    <phoneticPr fontId="18" type="noConversion"/>
  </si>
  <si>
    <t>Total</t>
    <phoneticPr fontId="18" type="noConversion"/>
  </si>
  <si>
    <t>R+</t>
    <phoneticPr fontId="18" type="noConversion"/>
  </si>
  <si>
    <t>RBI+</t>
    <phoneticPr fontId="18" type="noConversion"/>
  </si>
  <si>
    <t>BB+</t>
    <phoneticPr fontId="18" type="noConversion"/>
  </si>
  <si>
    <t>Mean</t>
    <phoneticPr fontId="18" type="noConversion"/>
  </si>
  <si>
    <t>Standard Deviation</t>
    <phoneticPr fontId="18" type="noConversion"/>
  </si>
  <si>
    <t>OPS+</t>
    <phoneticPr fontId="18" type="noConversion"/>
  </si>
  <si>
    <t>SB+</t>
    <phoneticPr fontId="18" type="noConversion"/>
  </si>
  <si>
    <t>K+</t>
    <phoneticPr fontId="18" type="noConversion"/>
  </si>
  <si>
    <t>K</t>
    <phoneticPr fontId="18" type="noConversion"/>
  </si>
  <si>
    <t>AB</t>
  </si>
  <si>
    <t>PA</t>
  </si>
  <si>
    <t>H</t>
  </si>
  <si>
    <t>HR</t>
  </si>
  <si>
    <t>R</t>
  </si>
  <si>
    <t>RBI</t>
  </si>
  <si>
    <t>BB</t>
  </si>
  <si>
    <t>IBB</t>
  </si>
  <si>
    <t>SO</t>
  </si>
  <si>
    <t>HBP</t>
  </si>
  <si>
    <t>SF</t>
  </si>
  <si>
    <t>SH</t>
  </si>
  <si>
    <t>SB</t>
  </si>
  <si>
    <t>CS</t>
  </si>
  <si>
    <t>NSB</t>
  </si>
  <si>
    <t>AVG</t>
  </si>
  <si>
    <t>OBP</t>
  </si>
  <si>
    <t>SLG</t>
  </si>
  <si>
    <t>OPS</t>
  </si>
  <si>
    <t>NSB%</t>
  </si>
  <si>
    <t>Andrew Vaughn</t>
  </si>
  <si>
    <t>Mickey Moniak</t>
  </si>
  <si>
    <t>Spencer Horwitz</t>
  </si>
  <si>
    <t>Jordan Beck</t>
  </si>
  <si>
    <t>Jake Mangum</t>
  </si>
  <si>
    <t>Cedric Mullins</t>
  </si>
  <si>
    <t>Justin Crawford</t>
  </si>
  <si>
    <t>Josh Lowe</t>
  </si>
  <si>
    <t>Brandon Marsh</t>
  </si>
  <si>
    <t>Josh Bell</t>
  </si>
  <si>
    <t>Dominic Canzone</t>
  </si>
  <si>
    <t>Carson Benge</t>
  </si>
  <si>
    <t>NYM</t>
  </si>
  <si>
    <t>Evan Carter</t>
  </si>
  <si>
    <t>Cam Smith</t>
  </si>
  <si>
    <t>Chase Meidroth</t>
  </si>
  <si>
    <t>CHW</t>
  </si>
  <si>
    <t>Matt Wallner</t>
  </si>
  <si>
    <t>MIN</t>
  </si>
  <si>
    <t>Lenyn Sosa</t>
  </si>
  <si>
    <t>Zac Veen</t>
  </si>
  <si>
    <t>Jordan Walker</t>
  </si>
  <si>
    <t>Std</t>
    <phoneticPr fontId="18" type="noConversion"/>
  </si>
  <si>
    <t>HR%</t>
    <phoneticPr fontId="18" type="noConversion"/>
  </si>
  <si>
    <t>H+</t>
    <phoneticPr fontId="18" type="noConversion"/>
  </si>
  <si>
    <t>HBP+</t>
    <phoneticPr fontId="18" type="noConversion"/>
  </si>
  <si>
    <t>AVG+</t>
    <phoneticPr fontId="18" type="noConversion"/>
  </si>
  <si>
    <t>HR%+</t>
    <phoneticPr fontId="18" type="noConversion"/>
  </si>
  <si>
    <t>NSB+</t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</si>
  <si>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 </t>
    </r>
    <r>
      <rPr>
        <sz val="12"/>
        <color theme="1"/>
        <rFont val="新細明體"/>
        <family val="2"/>
        <charset val="136"/>
        <scheme val="minor"/>
      </rPr>
      <t>Julio Rodriguez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</si>
  <si>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 </t>
    </r>
    <r>
      <rPr>
        <sz val="12"/>
        <color theme="1"/>
        <rFont val="新細明體"/>
        <family val="2"/>
        <charset val="136"/>
        <scheme val="minor"/>
      </rPr>
      <t>Fernando Tatis Jr.</t>
    </r>
    <phoneticPr fontId="18" type="noConversion"/>
  </si>
  <si>
    <r>
      <rPr>
        <b/>
        <sz val="12"/>
        <color theme="2" tint="-0.249977111117893"/>
        <rFont val="新細明體"/>
        <family val="1"/>
        <charset val="136"/>
        <scheme val="minor"/>
      </rPr>
      <t xml:space="preserve">3 </t>
    </r>
    <r>
      <rPr>
        <sz val="12"/>
        <color theme="2" tint="-0.249977111117893"/>
        <rFont val="新細明體"/>
        <family val="1"/>
        <charset val="136"/>
        <scheme val="minor"/>
      </rPr>
      <t>Yordan Alvarez</t>
    </r>
    <phoneticPr fontId="18" type="noConversion"/>
  </si>
  <si>
    <r>
      <rPr>
        <b/>
        <sz val="12"/>
        <color rgb="FF0070C0"/>
        <rFont val="新細明體"/>
        <family val="1"/>
        <charset val="136"/>
      </rPr>
      <t>5</t>
    </r>
    <r>
      <rPr>
        <sz val="12"/>
        <color theme="1"/>
        <rFont val="新細明體"/>
        <family val="2"/>
        <charset val="136"/>
        <scheme val="minor"/>
      </rPr>
      <t xml:space="preserve"> Eugenio Suarez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</si>
  <si>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7 </t>
    </r>
    <r>
      <rPr>
        <sz val="12"/>
        <color theme="1"/>
        <rFont val="新細明體"/>
        <family val="2"/>
        <charset val="136"/>
        <scheme val="minor"/>
      </rPr>
      <t>Willy Adames</t>
    </r>
    <phoneticPr fontId="18" type="noConversion"/>
  </si>
  <si>
    <r>
      <rPr>
        <b/>
        <sz val="12"/>
        <color rgb="FF0070C0"/>
        <rFont val="新細明體"/>
        <family val="1"/>
        <charset val="136"/>
      </rPr>
      <t>13</t>
    </r>
    <r>
      <rPr>
        <sz val="12"/>
        <color theme="1"/>
        <rFont val="新細明體"/>
        <family val="2"/>
        <charset val="136"/>
        <scheme val="minor"/>
      </rPr>
      <t xml:space="preserve"> Heliot Ramos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</si>
  <si>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14 </t>
    </r>
    <r>
      <rPr>
        <sz val="12"/>
        <color theme="1"/>
        <rFont val="新細明體"/>
        <family val="2"/>
        <charset val="136"/>
        <scheme val="minor"/>
      </rPr>
      <t>Jonathan Aranda</t>
    </r>
    <phoneticPr fontId="18" type="noConversion"/>
  </si>
  <si>
    <r>
      <rPr>
        <b/>
        <sz val="12"/>
        <color rgb="FF0070C0"/>
        <rFont val="新細明體"/>
        <family val="1"/>
        <charset val="136"/>
      </rPr>
      <t>16</t>
    </r>
    <r>
      <rPr>
        <sz val="12"/>
        <color theme="1"/>
        <rFont val="新細明體"/>
        <family val="2"/>
        <charset val="136"/>
        <scheme val="minor"/>
      </rPr>
      <t xml:space="preserve"> Miguel Vargas</t>
    </r>
    <phoneticPr fontId="18" type="noConversion"/>
  </si>
  <si>
    <r>
      <rPr>
        <b/>
        <sz val="12"/>
        <color rgb="FF0070C0"/>
        <rFont val="新細明體"/>
        <family val="1"/>
        <charset val="136"/>
      </rPr>
      <t>6</t>
    </r>
    <r>
      <rPr>
        <sz val="12"/>
        <color theme="1"/>
        <rFont val="新細明體"/>
        <family val="2"/>
        <charset val="136"/>
        <scheme val="minor"/>
      </rPr>
      <t xml:space="preserve"> Nico Hoerner</t>
    </r>
    <phoneticPr fontId="18" type="noConversion"/>
  </si>
  <si>
    <t>Ezequiel Tovar</t>
    <phoneticPr fontId="18" type="noConversion"/>
  </si>
  <si>
    <r>
      <rPr>
        <b/>
        <sz val="12"/>
        <color rgb="FF0070C0"/>
        <rFont val="新細明體"/>
        <family val="1"/>
        <charset val="136"/>
      </rPr>
      <t>14/15</t>
    </r>
    <r>
      <rPr>
        <sz val="12"/>
        <color theme="1"/>
        <rFont val="新細明體"/>
        <family val="2"/>
        <charset val="136"/>
        <scheme val="minor"/>
      </rPr>
      <t xml:space="preserve"> Sal Stewart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</si>
  <si>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17 </t>
    </r>
    <r>
      <rPr>
        <sz val="12"/>
        <color theme="1"/>
        <rFont val="新細明體"/>
        <family val="2"/>
        <charset val="136"/>
        <scheme val="minor"/>
      </rPr>
      <t>Mickey Moniak</t>
    </r>
    <phoneticPr fontId="18" type="noConversion"/>
  </si>
  <si>
    <r>
      <rPr>
        <b/>
        <sz val="12"/>
        <color rgb="FF0070C0"/>
        <rFont val="新細明體"/>
        <family val="1"/>
        <charset val="136"/>
      </rPr>
      <t xml:space="preserve">4 </t>
    </r>
    <r>
      <rPr>
        <sz val="12"/>
        <color theme="1"/>
        <rFont val="新細明體"/>
        <family val="2"/>
        <charset val="136"/>
        <scheme val="minor"/>
      </rPr>
      <t>Wyatt Langford</t>
    </r>
    <phoneticPr fontId="18" type="noConversion"/>
  </si>
  <si>
    <r>
      <rPr>
        <b/>
        <sz val="12"/>
        <color theme="2" tint="-0.249977111117893"/>
        <rFont val="新細明體"/>
        <family val="1"/>
        <charset val="136"/>
        <scheme val="minor"/>
      </rPr>
      <t xml:space="preserve">9 </t>
    </r>
    <r>
      <rPr>
        <sz val="12"/>
        <color theme="2" tint="-0.249977111117893"/>
        <rFont val="新細明體"/>
        <family val="1"/>
        <charset val="136"/>
        <scheme val="minor"/>
      </rPr>
      <t>Willson Contreras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</si>
</sst>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b/>
      <sz val="12"/>
      <color rgb="FF00206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2"/>
      <color theme="2" tint="-0.249977111117893"/>
      <name val="新細明體"/>
      <family val="1"/>
      <charset val="136"/>
      <scheme val="minor"/>
    </font>
    <font>
      <b/>
      <sz val="12"/>
      <color theme="2" tint="-0.249977111117893"/>
      <name val="新細明體"/>
      <family val="1"/>
      <charset val="136"/>
      <scheme val="minor"/>
    </font>
    <font>
      <sz val="12"/>
      <color theme="2" tint="-0.249977111117893"/>
      <name val="新細明體"/>
      <family val="2"/>
      <scheme val="minor"/>
    </font>
    <font>
      <b/>
      <sz val="12"/>
      <color theme="2" tint="-0.249977111117893"/>
      <name val="新細明體"/>
      <family val="2"/>
      <scheme val="minor"/>
    </font>
    <font>
      <sz val="12"/>
      <color rgb="FF000000"/>
      <name val="新細明體"/>
      <family val="1"/>
      <charset val="136"/>
      <scheme val="minor"/>
    </font>
    <font>
      <b/>
      <sz val="12"/>
      <color rgb="FF0070C0"/>
      <name val="新細明體"/>
      <family val="1"/>
      <charset val="136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9" fillId="0" borderId="0" xfId="0" applyFont="1">
      <alignment vertical="center"/>
    </xf>
    <xf numFmtId="1" fontId="19" fillId="0" borderId="0" xfId="0" applyNumberFormat="1" applyFont="1">
      <alignment vertical="center"/>
    </xf>
    <xf numFmtId="176" fontId="19" fillId="0" borderId="0" xfId="0" applyNumberFormat="1" applyFont="1">
      <alignment vertical="center"/>
    </xf>
    <xf numFmtId="0" fontId="19" fillId="0" borderId="0" xfId="0" quotePrefix="1" applyFont="1">
      <alignment vertical="center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0" fontId="27" fillId="0" borderId="0" xfId="0" applyFont="1">
      <alignment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11" fontId="29" fillId="0" borderId="0" xfId="0" applyNumberFormat="1" applyFont="1">
      <alignment vertical="center"/>
    </xf>
    <xf numFmtId="1" fontId="0" fillId="0" borderId="0" xfId="0" applyNumberFormat="1">
      <alignment vertical="center"/>
    </xf>
    <xf numFmtId="0" fontId="0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E916E-6577-774A-ADA3-963B34F3EE76}">
  <dimension ref="A1:AQ220"/>
  <sheetViews>
    <sheetView topLeftCell="O1" zoomScaleNormal="100" workbookViewId="0">
      <selection activeCell="Y193" sqref="Y193"/>
    </sheetView>
  </sheetViews>
  <sheetFormatPr baseColWidth="10" defaultRowHeight="15"/>
  <sheetData>
    <row r="1" spans="1:43">
      <c r="A1" s="14" t="s">
        <v>0</v>
      </c>
      <c r="B1" s="14" t="s">
        <v>1</v>
      </c>
      <c r="C1" s="14" t="s">
        <v>2</v>
      </c>
      <c r="D1" t="s">
        <v>1314</v>
      </c>
      <c r="E1" t="s">
        <v>1315</v>
      </c>
      <c r="F1" t="s">
        <v>1282</v>
      </c>
      <c r="G1" t="s">
        <v>1283</v>
      </c>
      <c r="H1" t="s">
        <v>1284</v>
      </c>
      <c r="I1" t="s">
        <v>1285</v>
      </c>
      <c r="J1" t="s">
        <v>1286</v>
      </c>
      <c r="K1" t="s">
        <v>1287</v>
      </c>
      <c r="L1" t="s">
        <v>1288</v>
      </c>
      <c r="M1" t="s">
        <v>1289</v>
      </c>
      <c r="N1" t="s">
        <v>1290</v>
      </c>
      <c r="O1" t="s">
        <v>1291</v>
      </c>
      <c r="P1" t="s">
        <v>1292</v>
      </c>
      <c r="Q1" t="s">
        <v>1293</v>
      </c>
      <c r="R1" t="s">
        <v>1294</v>
      </c>
      <c r="S1" t="s">
        <v>1295</v>
      </c>
      <c r="T1" t="s">
        <v>1296</v>
      </c>
      <c r="U1" t="s">
        <v>1297</v>
      </c>
      <c r="V1" s="14" t="s">
        <v>1298</v>
      </c>
      <c r="W1" s="14" t="s">
        <v>1299</v>
      </c>
      <c r="X1" s="14" t="s">
        <v>1300</v>
      </c>
      <c r="Y1" s="14" t="s">
        <v>1301</v>
      </c>
      <c r="Z1" s="14" t="s">
        <v>3</v>
      </c>
      <c r="AA1" s="14" t="s">
        <v>4</v>
      </c>
      <c r="AB1" s="14" t="s">
        <v>5</v>
      </c>
      <c r="AD1" s="14" t="s">
        <v>1302</v>
      </c>
      <c r="AE1" s="14" t="s">
        <v>6</v>
      </c>
      <c r="AF1" s="14" t="s">
        <v>7</v>
      </c>
      <c r="AG1" s="14" t="s">
        <v>8</v>
      </c>
      <c r="AH1" s="14" t="s">
        <v>9</v>
      </c>
      <c r="AI1" s="14" t="s">
        <v>10</v>
      </c>
      <c r="AJ1" s="14" t="s">
        <v>11</v>
      </c>
      <c r="AK1" s="14" t="s">
        <v>12</v>
      </c>
      <c r="AL1" s="14" t="s">
        <v>13</v>
      </c>
      <c r="AM1" s="14" t="s">
        <v>14</v>
      </c>
      <c r="AN1" s="14" t="s">
        <v>15</v>
      </c>
      <c r="AO1" s="14" t="s">
        <v>16</v>
      </c>
      <c r="AP1" s="14" t="s">
        <v>17</v>
      </c>
      <c r="AQ1" s="14" t="s">
        <v>1333</v>
      </c>
    </row>
    <row r="2" spans="1:43">
      <c r="A2" s="14" t="s">
        <v>18</v>
      </c>
      <c r="B2" s="14" t="s">
        <v>19</v>
      </c>
      <c r="C2" s="14" t="s">
        <v>20</v>
      </c>
      <c r="D2">
        <v>512</v>
      </c>
      <c r="E2">
        <v>637</v>
      </c>
      <c r="F2" s="16">
        <f>J2+AD2</f>
        <v>148.48627125720998</v>
      </c>
      <c r="G2" s="16">
        <f>$AD2*AF2</f>
        <v>72.679744824900197</v>
      </c>
      <c r="H2" s="16">
        <f t="shared" ref="H2:I2" si="0">$AD2*AG2</f>
        <v>25.691118561060076</v>
      </c>
      <c r="I2" s="16">
        <f t="shared" si="0"/>
        <v>0.9721978087230394</v>
      </c>
      <c r="J2" s="16">
        <f>$E2*AE2</f>
        <v>49.770752849999994</v>
      </c>
      <c r="K2" s="16">
        <f>$E2*AI2</f>
        <v>105.16509433962231</v>
      </c>
      <c r="L2" s="16">
        <f>$E2*AJ2</f>
        <v>111.99999999999947</v>
      </c>
      <c r="M2" s="16">
        <f>$E2*AB2</f>
        <v>110.0099</v>
      </c>
      <c r="N2" s="16">
        <f>$E2*AK2</f>
        <v>21.508591650000003</v>
      </c>
      <c r="O2" s="16">
        <f>$E2*AA2</f>
        <v>158.23080000000002</v>
      </c>
      <c r="P2" s="16">
        <f>$E2*AL2</f>
        <v>6.0084897599999998</v>
      </c>
      <c r="Q2" s="16">
        <f t="shared" ref="Q2:T2" si="1">$E2*AM2</f>
        <v>4.0062904699999997</v>
      </c>
      <c r="R2" s="16">
        <f t="shared" si="1"/>
        <v>0.89999819000000003</v>
      </c>
      <c r="S2" s="16">
        <f t="shared" si="1"/>
        <v>9.4701070099999995</v>
      </c>
      <c r="T2" s="16">
        <f t="shared" si="1"/>
        <v>2.75315859</v>
      </c>
      <c r="U2" s="16">
        <f>S2-T2</f>
        <v>6.7169484199999996</v>
      </c>
      <c r="V2">
        <f>F2/D2</f>
        <v>0.29001224854923824</v>
      </c>
      <c r="W2">
        <f>(F2+M2+N2+P2)/(D2+M2+N2+Q2)</f>
        <v>0.44170240362199098</v>
      </c>
      <c r="X2">
        <f>(G2+H2*2+I2*3+J2*4)/D2</f>
        <v>0.63683903666638564</v>
      </c>
      <c r="Y2">
        <f>W2+X2</f>
        <v>1.0785414402883766</v>
      </c>
      <c r="Z2" s="14">
        <v>0.32050000000000001</v>
      </c>
      <c r="AA2" s="14">
        <v>0.24840000000000001</v>
      </c>
      <c r="AB2" s="14">
        <v>0.17269999999999999</v>
      </c>
      <c r="AD2">
        <f>(D2-J2-O2+Q2)*Z2</f>
        <v>98.715518407209984</v>
      </c>
      <c r="AE2" s="14">
        <v>7.8133049999999996E-2</v>
      </c>
      <c r="AF2" s="14">
        <v>0.73625450180072005</v>
      </c>
      <c r="AG2" s="14">
        <v>0.26025410164065599</v>
      </c>
      <c r="AH2" s="14">
        <v>9.8484799999999997E-3</v>
      </c>
      <c r="AI2" s="14">
        <v>0.165094339622641</v>
      </c>
      <c r="AJ2" s="14">
        <v>0.17582417582417501</v>
      </c>
      <c r="AK2" s="14">
        <v>3.3765450000000002E-2</v>
      </c>
      <c r="AL2" s="14">
        <v>9.43248E-3</v>
      </c>
      <c r="AM2" s="14">
        <v>6.2893100000000002E-3</v>
      </c>
      <c r="AN2" s="14">
        <v>1.4128700000000001E-3</v>
      </c>
      <c r="AO2" s="14">
        <v>1.486673E-2</v>
      </c>
      <c r="AP2" s="14">
        <v>4.3220699999999999E-3</v>
      </c>
      <c r="AQ2" s="14">
        <v>1.0544660000000001E-2</v>
      </c>
    </row>
    <row r="3" spans="1:43">
      <c r="A3" s="14" t="s">
        <v>26</v>
      </c>
      <c r="B3" s="14" t="s">
        <v>27</v>
      </c>
      <c r="C3" s="14" t="s">
        <v>28</v>
      </c>
      <c r="D3">
        <v>559</v>
      </c>
      <c r="E3">
        <v>659</v>
      </c>
      <c r="F3" s="16">
        <f t="shared" ref="F3:F66" si="2">J3+AD3</f>
        <v>158.44481940403</v>
      </c>
      <c r="G3" s="16">
        <f t="shared" ref="G3:G66" si="3">$AD3*AF3</f>
        <v>77.438557378630236</v>
      </c>
      <c r="H3" s="16">
        <f t="shared" ref="H3:H66" si="4">$AD3*AG3</f>
        <v>30.034507466529746</v>
      </c>
      <c r="I3" s="16">
        <f t="shared" ref="I3:I66" si="5">$AD3*AH3</f>
        <v>5.417833422284609</v>
      </c>
      <c r="J3" s="16">
        <f t="shared" ref="J3:J66" si="6">$E3*AE3</f>
        <v>47.093444819999995</v>
      </c>
      <c r="K3" s="16">
        <f t="shared" ref="K3:K66" si="7">$E3*AI3</f>
        <v>121.55335365853651</v>
      </c>
      <c r="L3" s="16">
        <f t="shared" ref="L3:L66" si="8">$E3*AJ3</f>
        <v>108.99999708000001</v>
      </c>
      <c r="M3" s="16">
        <f t="shared" ref="M3:M66" si="9">$E3*AB3</f>
        <v>90.678399999999996</v>
      </c>
      <c r="N3" s="16">
        <f t="shared" ref="N3:N66" si="10">$E3*AK3</f>
        <v>14.605456710909145</v>
      </c>
      <c r="O3" s="16">
        <f t="shared" ref="O3:O66" si="11">$E3*AA3</f>
        <v>158.45654999999999</v>
      </c>
      <c r="P3" s="16">
        <f t="shared" ref="P3:P66" si="12">$E3*AL3</f>
        <v>5.0205783200000003</v>
      </c>
      <c r="Q3" s="16">
        <f t="shared" ref="Q3:Q66" si="13">$E3*AM3</f>
        <v>4.0182920400000004</v>
      </c>
      <c r="R3" s="16">
        <f t="shared" ref="R3:R66" si="14">$E3*AN3</f>
        <v>0.90000289</v>
      </c>
      <c r="S3" s="16">
        <f t="shared" ref="S3:S66" si="15">$E3*AO3</f>
        <v>24.065908970000002</v>
      </c>
      <c r="T3" s="16">
        <f t="shared" ref="T3:T66" si="16">$E3*AP3</f>
        <v>6.7522787500000003</v>
      </c>
      <c r="U3" s="16">
        <f t="shared" ref="U3:U66" si="17">S3-T3</f>
        <v>17.31363022</v>
      </c>
      <c r="V3">
        <f t="shared" ref="V3:V66" si="18">F3/D3</f>
        <v>0.28344332630416813</v>
      </c>
      <c r="W3">
        <f t="shared" ref="W3:W66" si="19">(F3+M3+N3+P3)/(D3+M3+N3+Q3)</f>
        <v>0.40213734900784814</v>
      </c>
      <c r="X3">
        <f t="shared" ref="X3:X66" si="20">(G3+H3*2+I3*3+J3*4)/D3</f>
        <v>0.61204803552512255</v>
      </c>
      <c r="Y3">
        <f t="shared" ref="Y3:Y66" si="21">W3+X3</f>
        <v>1.0141853845329707</v>
      </c>
      <c r="Z3" s="14">
        <v>0.3115</v>
      </c>
      <c r="AA3" s="14">
        <v>0.24045</v>
      </c>
      <c r="AB3" s="14">
        <v>0.1376</v>
      </c>
      <c r="AD3">
        <f t="shared" ref="AD3:AD66" si="22">(D3-J3-O3+Q3)*Z3</f>
        <v>111.35137458403</v>
      </c>
      <c r="AE3" s="14">
        <v>7.1461979999999994E-2</v>
      </c>
      <c r="AF3" s="14">
        <v>0.69544320999999998</v>
      </c>
      <c r="AG3" s="14">
        <v>0.26972731660231603</v>
      </c>
      <c r="AH3" s="14">
        <v>4.8655289999999997E-2</v>
      </c>
      <c r="AI3" s="14">
        <v>0.18445121951219501</v>
      </c>
      <c r="AJ3" s="14">
        <v>0.16540212000000001</v>
      </c>
      <c r="AK3" s="14">
        <v>2.2163060259346199E-2</v>
      </c>
      <c r="AL3" s="14">
        <v>7.6184800000000004E-3</v>
      </c>
      <c r="AM3" s="14">
        <v>6.0975600000000001E-3</v>
      </c>
      <c r="AN3" s="14">
        <v>1.36571E-3</v>
      </c>
      <c r="AO3" s="14">
        <v>3.6518830000000002E-2</v>
      </c>
      <c r="AP3" s="14">
        <v>1.024625E-2</v>
      </c>
      <c r="AQ3" s="14">
        <v>2.6272573760974801E-2</v>
      </c>
    </row>
    <row r="4" spans="1:43">
      <c r="A4" s="14" t="s">
        <v>32</v>
      </c>
      <c r="B4" s="14" t="s">
        <v>33</v>
      </c>
      <c r="C4" s="14" t="s">
        <v>34</v>
      </c>
      <c r="D4">
        <v>598</v>
      </c>
      <c r="E4">
        <v>660</v>
      </c>
      <c r="F4" s="16">
        <f t="shared" si="2"/>
        <v>174.39367601283976</v>
      </c>
      <c r="G4" s="16">
        <f t="shared" si="3"/>
        <v>102.2053662361416</v>
      </c>
      <c r="H4" s="16">
        <f t="shared" si="4"/>
        <v>35.43920916955846</v>
      </c>
      <c r="I4" s="16">
        <f t="shared" si="5"/>
        <v>5.7236924029653036</v>
      </c>
      <c r="J4" s="16">
        <f t="shared" si="6"/>
        <v>30.8701206</v>
      </c>
      <c r="K4" s="16">
        <f t="shared" si="7"/>
        <v>104.63414634146298</v>
      </c>
      <c r="L4" s="16">
        <f t="shared" si="8"/>
        <v>91.99999999999973</v>
      </c>
      <c r="M4" s="16">
        <f t="shared" si="9"/>
        <v>48.18</v>
      </c>
      <c r="N4" s="16">
        <f t="shared" si="10"/>
        <v>5.7286548000000002</v>
      </c>
      <c r="O4" s="16">
        <f t="shared" si="11"/>
        <v>112.85999999999933</v>
      </c>
      <c r="P4" s="16">
        <f t="shared" si="12"/>
        <v>6.1329245999999999</v>
      </c>
      <c r="Q4" s="16">
        <f t="shared" si="13"/>
        <v>6.0365843999999997</v>
      </c>
      <c r="R4" s="16">
        <f t="shared" si="14"/>
        <v>0.90000239999999998</v>
      </c>
      <c r="S4" s="16">
        <f t="shared" si="15"/>
        <v>34.0051536</v>
      </c>
      <c r="T4" s="16">
        <f t="shared" si="16"/>
        <v>9.3525236593059482</v>
      </c>
      <c r="U4" s="16">
        <f t="shared" si="17"/>
        <v>24.652629940694052</v>
      </c>
      <c r="V4">
        <f t="shared" si="18"/>
        <v>0.29162822075725714</v>
      </c>
      <c r="W4">
        <f t="shared" si="19"/>
        <v>0.35631423626971015</v>
      </c>
      <c r="X4">
        <f t="shared" si="20"/>
        <v>0.52464104378621146</v>
      </c>
      <c r="Y4">
        <f t="shared" si="21"/>
        <v>0.88095528005592161</v>
      </c>
      <c r="Z4" s="14">
        <v>0.31179999999999902</v>
      </c>
      <c r="AA4" s="14">
        <v>0.17099999999999899</v>
      </c>
      <c r="AB4" s="14">
        <v>7.2999999999999995E-2</v>
      </c>
      <c r="AD4">
        <f t="shared" si="22"/>
        <v>143.52355541283976</v>
      </c>
      <c r="AE4" s="14">
        <v>4.6772910000000001E-2</v>
      </c>
      <c r="AF4" s="14">
        <v>0.71211562410192497</v>
      </c>
      <c r="AG4" s="14">
        <v>0.24692259794999499</v>
      </c>
      <c r="AH4" s="14">
        <v>3.9879811968852999E-2</v>
      </c>
      <c r="AI4" s="14">
        <v>0.15853658536585299</v>
      </c>
      <c r="AJ4" s="14">
        <v>0.13939393939393899</v>
      </c>
      <c r="AK4" s="14">
        <v>8.6797799999999998E-3</v>
      </c>
      <c r="AL4" s="14">
        <v>9.2923099999999998E-3</v>
      </c>
      <c r="AM4" s="14">
        <v>9.1463399999999993E-3</v>
      </c>
      <c r="AN4" s="14">
        <v>1.3636399999999999E-3</v>
      </c>
      <c r="AO4" s="14">
        <v>5.152296E-2</v>
      </c>
      <c r="AP4" s="14">
        <v>1.41704903928878E-2</v>
      </c>
      <c r="AQ4" s="14">
        <v>3.7352469999999999E-2</v>
      </c>
    </row>
    <row r="5" spans="1:43">
      <c r="A5" s="14" t="s">
        <v>39</v>
      </c>
      <c r="B5" s="14" t="s">
        <v>40</v>
      </c>
      <c r="C5" s="14" t="s">
        <v>20</v>
      </c>
      <c r="D5">
        <v>542</v>
      </c>
      <c r="E5">
        <v>675</v>
      </c>
      <c r="F5" s="16">
        <f t="shared" si="2"/>
        <v>147.19717494899231</v>
      </c>
      <c r="G5" s="16">
        <f t="shared" si="3"/>
        <v>82.257491586620574</v>
      </c>
      <c r="H5" s="16">
        <f t="shared" si="4"/>
        <v>25.715702357936191</v>
      </c>
      <c r="I5" s="16">
        <f t="shared" si="5"/>
        <v>1.0166264311273763</v>
      </c>
      <c r="J5" s="16">
        <f t="shared" si="6"/>
        <v>38.10163447251108</v>
      </c>
      <c r="K5" s="16">
        <f t="shared" si="7"/>
        <v>107.31797919762209</v>
      </c>
      <c r="L5" s="16">
        <f t="shared" si="8"/>
        <v>98.999999999999545</v>
      </c>
      <c r="M5" s="16">
        <f t="shared" si="9"/>
        <v>121.83749999999999</v>
      </c>
      <c r="N5" s="16">
        <f t="shared" si="10"/>
        <v>8.8957757354692504</v>
      </c>
      <c r="O5" s="16">
        <f t="shared" si="11"/>
        <v>120.01500000000001</v>
      </c>
      <c r="P5" s="16">
        <f t="shared" si="12"/>
        <v>4.0107014999999997</v>
      </c>
      <c r="Q5" s="16">
        <f t="shared" si="13"/>
        <v>4.0118894999999997</v>
      </c>
      <c r="R5" s="16">
        <f t="shared" si="14"/>
        <v>0.99839925000000007</v>
      </c>
      <c r="S5" s="16">
        <f t="shared" si="15"/>
        <v>21.161810250000002</v>
      </c>
      <c r="T5" s="16">
        <f t="shared" si="16"/>
        <v>5.3804317500000005</v>
      </c>
      <c r="U5" s="16">
        <f t="shared" si="17"/>
        <v>15.781378500000002</v>
      </c>
      <c r="V5">
        <f t="shared" si="18"/>
        <v>0.27158150359592675</v>
      </c>
      <c r="W5">
        <f t="shared" si="19"/>
        <v>0.41661347087180428</v>
      </c>
      <c r="X5">
        <f t="shared" si="20"/>
        <v>0.53347843816590301</v>
      </c>
      <c r="Y5">
        <f t="shared" si="21"/>
        <v>0.95009190903770735</v>
      </c>
      <c r="Z5" s="14">
        <v>0.28125</v>
      </c>
      <c r="AA5" s="14">
        <v>0.17780000000000001</v>
      </c>
      <c r="AB5" s="14">
        <v>0.18049999999999999</v>
      </c>
      <c r="AD5">
        <f t="shared" si="22"/>
        <v>109.09554047648125</v>
      </c>
      <c r="AE5" s="14">
        <v>5.6446865885201598E-2</v>
      </c>
      <c r="AF5" s="14">
        <v>0.75399499582985796</v>
      </c>
      <c r="AG5" s="14">
        <v>0.23571726438698901</v>
      </c>
      <c r="AH5" s="14">
        <v>9.3186799999999993E-3</v>
      </c>
      <c r="AI5" s="14">
        <v>0.15898959881129199</v>
      </c>
      <c r="AJ5" s="14">
        <v>0.146666666666666</v>
      </c>
      <c r="AK5" s="14">
        <v>1.317892701551E-2</v>
      </c>
      <c r="AL5" s="14">
        <v>5.9417799999999998E-3</v>
      </c>
      <c r="AM5" s="14">
        <v>5.9435399999999998E-3</v>
      </c>
      <c r="AN5" s="14">
        <v>1.4791100000000001E-3</v>
      </c>
      <c r="AO5" s="14">
        <v>3.1350830000000003E-2</v>
      </c>
      <c r="AP5" s="14">
        <v>7.9710100000000006E-3</v>
      </c>
      <c r="AQ5" s="14">
        <v>2.3379811551949899E-2</v>
      </c>
    </row>
    <row r="6" spans="1:43">
      <c r="A6" s="14" t="s">
        <v>47</v>
      </c>
      <c r="B6" s="14" t="s">
        <v>48</v>
      </c>
      <c r="C6" s="14" t="s">
        <v>49</v>
      </c>
      <c r="D6">
        <v>575</v>
      </c>
      <c r="E6">
        <v>649</v>
      </c>
      <c r="F6" s="16">
        <f t="shared" si="2"/>
        <v>155.28163979282198</v>
      </c>
      <c r="G6" s="16">
        <f t="shared" si="3"/>
        <v>94.374098072910883</v>
      </c>
      <c r="H6" s="16">
        <f t="shared" si="4"/>
        <v>31.648065461821787</v>
      </c>
      <c r="I6" s="16">
        <f t="shared" si="5"/>
        <v>2.780108457848196</v>
      </c>
      <c r="J6" s="16">
        <f t="shared" si="6"/>
        <v>26.418349759999998</v>
      </c>
      <c r="K6" s="16">
        <f t="shared" si="7"/>
        <v>90.839813374805516</v>
      </c>
      <c r="L6" s="16">
        <f t="shared" si="8"/>
        <v>88.999999999999559</v>
      </c>
      <c r="M6" s="16">
        <f t="shared" si="9"/>
        <v>62.693400000000004</v>
      </c>
      <c r="N6" s="16">
        <f t="shared" si="10"/>
        <v>17.60825913</v>
      </c>
      <c r="O6" s="16">
        <f t="shared" si="11"/>
        <v>75.413799999999995</v>
      </c>
      <c r="P6" s="16">
        <f t="shared" si="12"/>
        <v>4.0335934099999999</v>
      </c>
      <c r="Q6" s="16">
        <f t="shared" si="13"/>
        <v>6.0559877399999991</v>
      </c>
      <c r="R6" s="16">
        <f t="shared" si="14"/>
        <v>0</v>
      </c>
      <c r="S6" s="16">
        <f t="shared" si="15"/>
        <v>33.830267239999998</v>
      </c>
      <c r="T6" s="16">
        <f t="shared" si="16"/>
        <v>7.8803807947019635</v>
      </c>
      <c r="U6" s="16">
        <f t="shared" si="17"/>
        <v>25.949886445298034</v>
      </c>
      <c r="V6">
        <f t="shared" si="18"/>
        <v>0.27005502572664691</v>
      </c>
      <c r="W6">
        <f t="shared" si="19"/>
        <v>0.36231060979918234</v>
      </c>
      <c r="X6">
        <f t="shared" si="20"/>
        <v>0.47249383201756356</v>
      </c>
      <c r="Y6">
        <f t="shared" si="21"/>
        <v>0.83480444181674596</v>
      </c>
      <c r="Z6" s="14">
        <v>0.26889999999999997</v>
      </c>
      <c r="AA6" s="14">
        <v>0.1162</v>
      </c>
      <c r="AB6" s="14">
        <v>9.6600000000000005E-2</v>
      </c>
      <c r="AD6">
        <f t="shared" si="22"/>
        <v>128.86329003282199</v>
      </c>
      <c r="AE6" s="14">
        <v>4.0706239999999998E-2</v>
      </c>
      <c r="AF6" s="14">
        <v>0.73235828488372001</v>
      </c>
      <c r="AG6" s="14">
        <v>0.245594113372093</v>
      </c>
      <c r="AH6" s="14">
        <v>2.1574091870074801E-2</v>
      </c>
      <c r="AI6" s="14">
        <v>0.139968895800933</v>
      </c>
      <c r="AJ6" s="14">
        <v>0.13713405238828899</v>
      </c>
      <c r="AK6" s="14">
        <v>2.7131369999999998E-2</v>
      </c>
      <c r="AL6" s="14">
        <v>6.2150900000000004E-3</v>
      </c>
      <c r="AM6" s="14">
        <v>9.3312599999999992E-3</v>
      </c>
      <c r="AN6" s="14">
        <v>0</v>
      </c>
      <c r="AO6" s="14">
        <v>5.2126760000000001E-2</v>
      </c>
      <c r="AP6" s="14">
        <v>1.21423432892172E-2</v>
      </c>
      <c r="AQ6" s="14">
        <v>3.9984409999999998E-2</v>
      </c>
    </row>
    <row r="7" spans="1:43">
      <c r="A7" s="14" t="s">
        <v>57</v>
      </c>
      <c r="B7" s="14" t="s">
        <v>58</v>
      </c>
      <c r="C7" s="14" t="s">
        <v>34</v>
      </c>
      <c r="D7">
        <v>568</v>
      </c>
      <c r="E7">
        <v>636</v>
      </c>
      <c r="F7" s="16">
        <f t="shared" si="2"/>
        <v>147.99414329265198</v>
      </c>
      <c r="G7" s="16">
        <f t="shared" si="3"/>
        <v>92.320982584123939</v>
      </c>
      <c r="H7" s="16">
        <f t="shared" si="4"/>
        <v>30.774896801005127</v>
      </c>
      <c r="I7" s="16">
        <f t="shared" si="5"/>
        <v>5.1324971020190526</v>
      </c>
      <c r="J7" s="16">
        <f t="shared" si="6"/>
        <v>21.310331159999997</v>
      </c>
      <c r="K7" s="16">
        <f t="shared" si="7"/>
        <v>91.001589825118884</v>
      </c>
      <c r="L7" s="16">
        <f t="shared" si="8"/>
        <v>76.999999999999929</v>
      </c>
      <c r="M7" s="16">
        <f t="shared" si="9"/>
        <v>58.193999999999996</v>
      </c>
      <c r="N7" s="16">
        <f t="shared" si="10"/>
        <v>5.5172745600000006</v>
      </c>
      <c r="O7" s="16">
        <f t="shared" si="11"/>
        <v>166.02780000000001</v>
      </c>
      <c r="P7" s="16">
        <f t="shared" si="12"/>
        <v>3.0300502800000002</v>
      </c>
      <c r="Q7" s="16">
        <f t="shared" si="13"/>
        <v>4.0445148</v>
      </c>
      <c r="R7" s="16">
        <f t="shared" si="14"/>
        <v>0.99464039999999998</v>
      </c>
      <c r="S7" s="16">
        <f t="shared" si="15"/>
        <v>39.700894439999999</v>
      </c>
      <c r="T7" s="16">
        <f t="shared" si="16"/>
        <v>10.334683954619054</v>
      </c>
      <c r="U7" s="16">
        <f t="shared" si="17"/>
        <v>29.366210485380947</v>
      </c>
      <c r="V7">
        <f t="shared" si="18"/>
        <v>0.26055306917720422</v>
      </c>
      <c r="W7">
        <f t="shared" si="19"/>
        <v>0.33776407816721732</v>
      </c>
      <c r="X7">
        <f t="shared" si="20"/>
        <v>0.44808026783836508</v>
      </c>
      <c r="Y7">
        <f t="shared" si="21"/>
        <v>0.78584434600558239</v>
      </c>
      <c r="Z7" s="14">
        <v>0.32929999999999998</v>
      </c>
      <c r="AA7" s="14">
        <v>0.26105</v>
      </c>
      <c r="AB7" s="14">
        <v>9.1499999999999998E-2</v>
      </c>
      <c r="AD7">
        <f t="shared" si="22"/>
        <v>126.68381213265198</v>
      </c>
      <c r="AE7" s="14">
        <v>3.3506809999999998E-2</v>
      </c>
      <c r="AF7" s="14">
        <v>0.72875121951219501</v>
      </c>
      <c r="AG7" s="14">
        <v>0.24292682926829201</v>
      </c>
      <c r="AH7" s="14">
        <v>4.0514229999999998E-2</v>
      </c>
      <c r="AI7" s="14">
        <v>0.143084260731319</v>
      </c>
      <c r="AJ7" s="14">
        <v>0.121069182389937</v>
      </c>
      <c r="AK7" s="14">
        <v>8.6749600000000007E-3</v>
      </c>
      <c r="AL7" s="14">
        <v>4.7642300000000004E-3</v>
      </c>
      <c r="AM7" s="14">
        <v>6.3593E-3</v>
      </c>
      <c r="AN7" s="14">
        <v>1.5639E-3</v>
      </c>
      <c r="AO7" s="14">
        <v>6.2422789999999999E-2</v>
      </c>
      <c r="AP7" s="14">
        <v>1.6249503073300399E-2</v>
      </c>
      <c r="AQ7" s="14">
        <v>4.6173279999999997E-2</v>
      </c>
    </row>
    <row r="8" spans="1:43">
      <c r="A8" s="14" t="s">
        <v>65</v>
      </c>
      <c r="B8" s="14" t="s">
        <v>66</v>
      </c>
      <c r="C8" s="14" t="s">
        <v>20</v>
      </c>
      <c r="D8">
        <v>533</v>
      </c>
      <c r="E8">
        <v>629</v>
      </c>
      <c r="F8" s="16">
        <f t="shared" si="2"/>
        <v>150.43351275433619</v>
      </c>
      <c r="G8" s="16">
        <f t="shared" si="3"/>
        <v>93.634355153568521</v>
      </c>
      <c r="H8" s="16">
        <f t="shared" si="4"/>
        <v>24.765240654401975</v>
      </c>
      <c r="I8" s="16">
        <f t="shared" si="5"/>
        <v>1.9731801243268414</v>
      </c>
      <c r="J8" s="16">
        <f t="shared" si="6"/>
        <v>29.151363530000001</v>
      </c>
      <c r="K8" s="16">
        <f t="shared" si="7"/>
        <v>101.97271268057774</v>
      </c>
      <c r="L8" s="16">
        <f t="shared" si="8"/>
        <v>77.999999999999403</v>
      </c>
      <c r="M8" s="16">
        <f t="shared" si="9"/>
        <v>83.342500000000001</v>
      </c>
      <c r="N8" s="16">
        <f t="shared" si="10"/>
        <v>3.7529536600000002</v>
      </c>
      <c r="O8" s="16">
        <f t="shared" si="11"/>
        <v>129.82559999999938</v>
      </c>
      <c r="P8" s="16">
        <f t="shared" si="12"/>
        <v>7.9693419399999996</v>
      </c>
      <c r="Q8" s="16">
        <f t="shared" si="13"/>
        <v>4.0385259499999995</v>
      </c>
      <c r="R8" s="16">
        <f t="shared" si="14"/>
        <v>0.89999836</v>
      </c>
      <c r="S8" s="16">
        <f t="shared" si="15"/>
        <v>24.788789360000003</v>
      </c>
      <c r="T8" s="16">
        <f t="shared" si="16"/>
        <v>6.645710059171507</v>
      </c>
      <c r="U8" s="16">
        <f t="shared" si="17"/>
        <v>18.143079300828497</v>
      </c>
      <c r="V8">
        <f t="shared" si="18"/>
        <v>0.28223923593684086</v>
      </c>
      <c r="W8">
        <f t="shared" si="19"/>
        <v>0.39334232131975844</v>
      </c>
      <c r="X8">
        <f t="shared" si="20"/>
        <v>0.49847998303068103</v>
      </c>
      <c r="Y8">
        <f t="shared" si="21"/>
        <v>0.89182230435043941</v>
      </c>
      <c r="Z8" s="14">
        <v>0.32079999999999997</v>
      </c>
      <c r="AA8" s="14">
        <v>0.206399999999999</v>
      </c>
      <c r="AB8" s="14">
        <v>0.13250000000000001</v>
      </c>
      <c r="AD8">
        <f t="shared" si="22"/>
        <v>121.28214922433618</v>
      </c>
      <c r="AE8" s="14">
        <v>4.6345570000000003E-2</v>
      </c>
      <c r="AF8" s="14">
        <v>0.77203739999999998</v>
      </c>
      <c r="AG8" s="14">
        <v>0.20419526544333899</v>
      </c>
      <c r="AH8" s="14">
        <v>1.6269336723882099E-2</v>
      </c>
      <c r="AI8" s="14">
        <v>0.16211878009630801</v>
      </c>
      <c r="AJ8" s="14">
        <v>0.124006359300476</v>
      </c>
      <c r="AK8" s="14">
        <v>5.9665400000000002E-3</v>
      </c>
      <c r="AL8" s="14">
        <v>1.266986E-2</v>
      </c>
      <c r="AM8" s="14">
        <v>6.4205499999999997E-3</v>
      </c>
      <c r="AN8" s="14">
        <v>1.4308400000000001E-3</v>
      </c>
      <c r="AO8" s="14">
        <v>3.9409840000000002E-2</v>
      </c>
      <c r="AP8" s="14">
        <v>1.05655167872361E-2</v>
      </c>
      <c r="AQ8" s="14">
        <v>2.8844318637779399E-2</v>
      </c>
    </row>
    <row r="9" spans="1:43">
      <c r="A9" s="14" t="s">
        <v>73</v>
      </c>
      <c r="B9" s="14" t="s">
        <v>74</v>
      </c>
      <c r="C9" s="14" t="s">
        <v>20</v>
      </c>
      <c r="D9">
        <v>599</v>
      </c>
      <c r="E9">
        <v>659</v>
      </c>
      <c r="F9" s="16">
        <f t="shared" si="2"/>
        <v>163.7204867471365</v>
      </c>
      <c r="G9" s="16">
        <f t="shared" si="3"/>
        <v>104.06217176818876</v>
      </c>
      <c r="H9" s="16">
        <f t="shared" si="4"/>
        <v>26.835560621669309</v>
      </c>
      <c r="I9" s="16">
        <f t="shared" si="5"/>
        <v>2.9853303297974771</v>
      </c>
      <c r="J9" s="16">
        <f t="shared" si="6"/>
        <v>28.292662480000001</v>
      </c>
      <c r="K9" s="16">
        <f t="shared" si="7"/>
        <v>95.726299694189279</v>
      </c>
      <c r="L9" s="16">
        <f t="shared" si="8"/>
        <v>90.999999999999702</v>
      </c>
      <c r="M9" s="16">
        <f t="shared" si="9"/>
        <v>47.447999999999993</v>
      </c>
      <c r="N9" s="16">
        <f t="shared" si="10"/>
        <v>4.6069899200000002</v>
      </c>
      <c r="O9" s="16">
        <f t="shared" si="11"/>
        <v>145.01294999999999</v>
      </c>
      <c r="P9" s="16">
        <f t="shared" si="12"/>
        <v>9.0619287699999997</v>
      </c>
      <c r="Q9" s="16">
        <f t="shared" si="13"/>
        <v>4.0305823900000002</v>
      </c>
      <c r="R9" s="16">
        <f t="shared" si="14"/>
        <v>0</v>
      </c>
      <c r="S9" s="16">
        <f t="shared" si="15"/>
        <v>27.964651819999997</v>
      </c>
      <c r="T9" s="16">
        <f t="shared" si="16"/>
        <v>6.8495141999999998</v>
      </c>
      <c r="U9" s="16">
        <f t="shared" si="17"/>
        <v>21.115137619999999</v>
      </c>
      <c r="V9">
        <f t="shared" si="18"/>
        <v>0.27332301627234806</v>
      </c>
      <c r="W9">
        <f t="shared" si="19"/>
        <v>0.34321837472973504</v>
      </c>
      <c r="X9">
        <f t="shared" si="20"/>
        <v>0.4672119097177293</v>
      </c>
      <c r="Y9">
        <f t="shared" si="21"/>
        <v>0.81043028444746434</v>
      </c>
      <c r="Z9" s="14">
        <v>0.31514999999999999</v>
      </c>
      <c r="AA9" s="14">
        <v>0.22005</v>
      </c>
      <c r="AB9" s="14">
        <v>7.1999999999999995E-2</v>
      </c>
      <c r="AD9">
        <f t="shared" si="22"/>
        <v>135.42782426713651</v>
      </c>
      <c r="AE9" s="14">
        <v>4.2932720000000001E-2</v>
      </c>
      <c r="AF9" s="14">
        <v>0.76839580294018595</v>
      </c>
      <c r="AG9" s="14">
        <v>0.198153967007069</v>
      </c>
      <c r="AH9" s="14">
        <v>2.2043699999999999E-2</v>
      </c>
      <c r="AI9" s="14">
        <v>0.14525993883791999</v>
      </c>
      <c r="AJ9" s="14">
        <v>0.138088012139605</v>
      </c>
      <c r="AK9" s="14">
        <v>6.9908799999999997E-3</v>
      </c>
      <c r="AL9" s="14">
        <v>1.3751029999999999E-2</v>
      </c>
      <c r="AM9" s="14">
        <v>6.1162100000000004E-3</v>
      </c>
      <c r="AN9" s="14">
        <v>0</v>
      </c>
      <c r="AO9" s="14">
        <v>4.2434979999999997E-2</v>
      </c>
      <c r="AP9" s="14">
        <v>1.03938E-2</v>
      </c>
      <c r="AQ9" s="14">
        <v>3.2041176908445802E-2</v>
      </c>
    </row>
    <row r="10" spans="1:43">
      <c r="A10" s="14" t="s">
        <v>81</v>
      </c>
      <c r="B10" s="14" t="s">
        <v>27</v>
      </c>
      <c r="C10" s="14" t="s">
        <v>20</v>
      </c>
      <c r="D10">
        <v>528</v>
      </c>
      <c r="E10">
        <v>620</v>
      </c>
      <c r="F10" s="16">
        <f t="shared" si="2"/>
        <v>141.54998574353002</v>
      </c>
      <c r="G10" s="16">
        <f t="shared" si="3"/>
        <v>82.185198784918114</v>
      </c>
      <c r="H10" s="16">
        <f t="shared" si="4"/>
        <v>28.088261559648682</v>
      </c>
      <c r="I10" s="16">
        <f t="shared" si="5"/>
        <v>2.0720206102972889</v>
      </c>
      <c r="J10" s="16">
        <f t="shared" si="6"/>
        <v>28.446251</v>
      </c>
      <c r="K10" s="16">
        <f t="shared" si="7"/>
        <v>95.928338762214594</v>
      </c>
      <c r="L10" s="16">
        <f t="shared" si="8"/>
        <v>87.999999999999531</v>
      </c>
      <c r="M10" s="16">
        <f t="shared" si="9"/>
        <v>81.715999999999994</v>
      </c>
      <c r="N10" s="16">
        <f t="shared" si="10"/>
        <v>5.7945076000000002</v>
      </c>
      <c r="O10" s="16">
        <f t="shared" si="11"/>
        <v>90.984999999999999</v>
      </c>
      <c r="P10" s="16">
        <f t="shared" si="12"/>
        <v>3.9351772</v>
      </c>
      <c r="Q10" s="16">
        <f t="shared" si="13"/>
        <v>5.0488584000000003</v>
      </c>
      <c r="R10" s="16">
        <f t="shared" si="14"/>
        <v>0.99523640000000002</v>
      </c>
      <c r="S10" s="16">
        <f t="shared" si="15"/>
        <v>22.964285714285626</v>
      </c>
      <c r="T10" s="16">
        <f t="shared" si="16"/>
        <v>4.853205</v>
      </c>
      <c r="U10" s="16">
        <f t="shared" si="17"/>
        <v>18.111080714285627</v>
      </c>
      <c r="V10">
        <f t="shared" si="18"/>
        <v>0.26808709421123111</v>
      </c>
      <c r="W10">
        <f t="shared" si="19"/>
        <v>0.37546072673976855</v>
      </c>
      <c r="X10">
        <f t="shared" si="20"/>
        <v>0.4893234616195215</v>
      </c>
      <c r="Y10">
        <f t="shared" si="21"/>
        <v>0.86478418835929005</v>
      </c>
      <c r="Z10" s="14">
        <v>0.27345000000000003</v>
      </c>
      <c r="AA10" s="14">
        <v>0.14674999999999999</v>
      </c>
      <c r="AB10" s="14">
        <v>0.1318</v>
      </c>
      <c r="AD10">
        <f t="shared" si="22"/>
        <v>113.10373474353001</v>
      </c>
      <c r="AE10" s="14">
        <v>4.588105E-2</v>
      </c>
      <c r="AF10" s="14">
        <v>0.72663558786346305</v>
      </c>
      <c r="AG10" s="14">
        <v>0.248340707964601</v>
      </c>
      <c r="AH10" s="14">
        <v>1.8319648020427699E-2</v>
      </c>
      <c r="AI10" s="14">
        <v>0.15472312703582999</v>
      </c>
      <c r="AJ10" s="14">
        <v>0.14193548387096699</v>
      </c>
      <c r="AK10" s="14">
        <v>9.3459800000000003E-3</v>
      </c>
      <c r="AL10" s="14">
        <v>6.3470599999999999E-3</v>
      </c>
      <c r="AM10" s="14">
        <v>8.1433200000000008E-3</v>
      </c>
      <c r="AN10" s="14">
        <v>1.6052200000000001E-3</v>
      </c>
      <c r="AO10" s="14">
        <v>3.70391705069123E-2</v>
      </c>
      <c r="AP10" s="14">
        <v>7.8277499999999996E-3</v>
      </c>
      <c r="AQ10" s="14">
        <v>2.9211423979533201E-2</v>
      </c>
    </row>
    <row r="11" spans="1:43">
      <c r="A11" s="14" t="s">
        <v>86</v>
      </c>
      <c r="B11" s="14" t="s">
        <v>74</v>
      </c>
      <c r="C11" s="14" t="s">
        <v>87</v>
      </c>
      <c r="D11">
        <v>540</v>
      </c>
      <c r="E11">
        <v>626</v>
      </c>
      <c r="F11" s="16">
        <f t="shared" si="2"/>
        <v>122.628108807232</v>
      </c>
      <c r="G11" s="16">
        <f t="shared" si="3"/>
        <v>60.102107089721123</v>
      </c>
      <c r="H11" s="16">
        <f t="shared" si="4"/>
        <v>22.494844530245775</v>
      </c>
      <c r="I11" s="16">
        <f t="shared" si="5"/>
        <v>0</v>
      </c>
      <c r="J11" s="16">
        <f t="shared" si="6"/>
        <v>39.212502280000002</v>
      </c>
      <c r="K11" s="16">
        <f t="shared" si="7"/>
        <v>82.262820512820255</v>
      </c>
      <c r="L11" s="16">
        <f t="shared" si="8"/>
        <v>101.9999999999996</v>
      </c>
      <c r="M11" s="16">
        <f t="shared" si="9"/>
        <v>74.869600000000005</v>
      </c>
      <c r="N11" s="16">
        <f t="shared" si="10"/>
        <v>9.8152167600000002</v>
      </c>
      <c r="O11" s="16">
        <f t="shared" si="11"/>
        <v>168.98870000000002</v>
      </c>
      <c r="P11" s="16">
        <f t="shared" si="12"/>
        <v>6.0173060600000001</v>
      </c>
      <c r="Q11" s="16">
        <f t="shared" si="13"/>
        <v>4.0128227599999997</v>
      </c>
      <c r="R11" s="16">
        <f t="shared" si="14"/>
        <v>0.90000020000000003</v>
      </c>
      <c r="S11" s="16">
        <f t="shared" si="15"/>
        <v>8.2111459968602265</v>
      </c>
      <c r="T11" s="16">
        <f t="shared" si="16"/>
        <v>2.26341568</v>
      </c>
      <c r="U11" s="16">
        <f t="shared" si="17"/>
        <v>5.9477303168602269</v>
      </c>
      <c r="V11">
        <f t="shared" si="18"/>
        <v>0.22708909038376296</v>
      </c>
      <c r="W11">
        <f t="shared" si="19"/>
        <v>0.33932087257414562</v>
      </c>
      <c r="X11">
        <f t="shared" si="20"/>
        <v>0.48507741716706054</v>
      </c>
      <c r="Y11">
        <f t="shared" si="21"/>
        <v>0.8243982897412061</v>
      </c>
      <c r="Z11" s="14">
        <v>0.24840000000000001</v>
      </c>
      <c r="AA11" s="14">
        <v>0.26995000000000002</v>
      </c>
      <c r="AB11" s="14">
        <v>0.1196</v>
      </c>
      <c r="AD11">
        <f t="shared" si="22"/>
        <v>83.415606527231986</v>
      </c>
      <c r="AE11" s="14">
        <v>6.2639780000000006E-2</v>
      </c>
      <c r="AF11" s="14">
        <v>0.72051393728222901</v>
      </c>
      <c r="AG11" s="14">
        <v>0.26967189314750201</v>
      </c>
      <c r="AH11" s="14">
        <v>0</v>
      </c>
      <c r="AI11" s="14">
        <v>0.131410256410256</v>
      </c>
      <c r="AJ11" s="14">
        <v>0.16293929712460001</v>
      </c>
      <c r="AK11" s="14">
        <v>1.567926E-2</v>
      </c>
      <c r="AL11" s="14">
        <v>9.6123100000000006E-3</v>
      </c>
      <c r="AM11" s="14">
        <v>6.4102600000000001E-3</v>
      </c>
      <c r="AN11" s="14">
        <v>1.4377000000000001E-3</v>
      </c>
      <c r="AO11" s="14">
        <v>1.3116846640351801E-2</v>
      </c>
      <c r="AP11" s="14">
        <v>3.61568E-3</v>
      </c>
      <c r="AQ11" s="14">
        <v>9.5011699999999998E-3</v>
      </c>
    </row>
    <row r="12" spans="1:43">
      <c r="A12" s="14" t="s">
        <v>91</v>
      </c>
      <c r="B12" s="14" t="s">
        <v>92</v>
      </c>
      <c r="C12" s="14" t="s">
        <v>20</v>
      </c>
      <c r="D12">
        <v>525</v>
      </c>
      <c r="E12">
        <v>604</v>
      </c>
      <c r="F12" s="16">
        <f t="shared" si="2"/>
        <v>136.23297674957516</v>
      </c>
      <c r="G12" s="16">
        <f t="shared" si="3"/>
        <v>73.972210399968333</v>
      </c>
      <c r="H12" s="16">
        <f t="shared" si="4"/>
        <v>28.292154745552146</v>
      </c>
      <c r="I12" s="16">
        <f t="shared" si="5"/>
        <v>9.8881411772705956</v>
      </c>
      <c r="J12" s="16">
        <f t="shared" si="6"/>
        <v>25.769836065573696</v>
      </c>
      <c r="K12" s="16">
        <f t="shared" si="7"/>
        <v>96.045901639343683</v>
      </c>
      <c r="L12" s="16">
        <f t="shared" si="8"/>
        <v>76.999999999999844</v>
      </c>
      <c r="M12" s="16">
        <f t="shared" si="9"/>
        <v>62.997199999999999</v>
      </c>
      <c r="N12" s="16">
        <f t="shared" si="10"/>
        <v>2.87901432</v>
      </c>
      <c r="O12" s="16">
        <f t="shared" si="11"/>
        <v>126.0548</v>
      </c>
      <c r="P12" s="16">
        <f t="shared" si="12"/>
        <v>7.9291791200000006</v>
      </c>
      <c r="Q12" s="16">
        <f t="shared" si="13"/>
        <v>3.9606575199999998</v>
      </c>
      <c r="R12" s="16">
        <f t="shared" si="14"/>
        <v>1.9896364</v>
      </c>
      <c r="S12" s="16">
        <f t="shared" si="15"/>
        <v>32.296703296703249</v>
      </c>
      <c r="T12" s="16">
        <f t="shared" si="16"/>
        <v>7.2401178000000002</v>
      </c>
      <c r="U12" s="16">
        <f t="shared" si="17"/>
        <v>25.056585496703249</v>
      </c>
      <c r="V12">
        <f t="shared" si="18"/>
        <v>0.25949138428490504</v>
      </c>
      <c r="W12">
        <f t="shared" si="19"/>
        <v>0.35310247251463517</v>
      </c>
      <c r="X12">
        <f t="shared" si="20"/>
        <v>0.50152435749557944</v>
      </c>
      <c r="Y12">
        <f t="shared" si="21"/>
        <v>0.85462683001021467</v>
      </c>
      <c r="Z12" s="14">
        <v>0.29289999999999999</v>
      </c>
      <c r="AA12" s="14">
        <v>0.2087</v>
      </c>
      <c r="AB12" s="14">
        <v>0.1043</v>
      </c>
      <c r="AD12">
        <f t="shared" si="22"/>
        <v>110.46314068400146</v>
      </c>
      <c r="AE12" s="14">
        <v>4.2665291499294197E-2</v>
      </c>
      <c r="AF12" s="14">
        <v>0.66965514416775795</v>
      </c>
      <c r="AG12" s="14">
        <v>0.256123034076015</v>
      </c>
      <c r="AH12" s="14">
        <v>8.9515300000000006E-2</v>
      </c>
      <c r="AI12" s="14">
        <v>0.159016393442622</v>
      </c>
      <c r="AJ12" s="14">
        <v>0.12748344370860901</v>
      </c>
      <c r="AK12" s="14">
        <v>4.7665800000000003E-3</v>
      </c>
      <c r="AL12" s="14">
        <v>1.312778E-2</v>
      </c>
      <c r="AM12" s="14">
        <v>6.5573799999999998E-3</v>
      </c>
      <c r="AN12" s="14">
        <v>3.2940999999999999E-3</v>
      </c>
      <c r="AO12" s="14">
        <v>5.3471363074011999E-2</v>
      </c>
      <c r="AP12" s="14">
        <v>1.198695E-2</v>
      </c>
      <c r="AQ12" s="14">
        <v>4.1484417177899399E-2</v>
      </c>
    </row>
    <row r="13" spans="1:43">
      <c r="A13" s="14" t="s">
        <v>100</v>
      </c>
      <c r="B13" s="14" t="s">
        <v>101</v>
      </c>
      <c r="C13" s="14" t="s">
        <v>49</v>
      </c>
      <c r="D13">
        <v>579</v>
      </c>
      <c r="E13">
        <v>631</v>
      </c>
      <c r="F13" s="16">
        <f t="shared" si="2"/>
        <v>156.40466769696016</v>
      </c>
      <c r="G13" s="16">
        <f t="shared" si="3"/>
        <v>92.608172187718921</v>
      </c>
      <c r="H13" s="16">
        <f t="shared" si="4"/>
        <v>27.320607794363315</v>
      </c>
      <c r="I13" s="16">
        <f t="shared" si="5"/>
        <v>1.0556017076277719</v>
      </c>
      <c r="J13" s="16">
        <f t="shared" si="6"/>
        <v>36.25878702</v>
      </c>
      <c r="K13" s="16">
        <f t="shared" si="7"/>
        <v>81.646964856229772</v>
      </c>
      <c r="L13" s="16">
        <f t="shared" si="8"/>
        <v>102.99999999999953</v>
      </c>
      <c r="M13" s="16">
        <f t="shared" si="9"/>
        <v>41.582900000000002</v>
      </c>
      <c r="N13" s="16">
        <f t="shared" si="10"/>
        <v>1.21405031</v>
      </c>
      <c r="O13" s="16">
        <f t="shared" si="11"/>
        <v>121.27819999999937</v>
      </c>
      <c r="P13" s="16">
        <f t="shared" si="12"/>
        <v>4.9359407099999997</v>
      </c>
      <c r="Q13" s="16">
        <f t="shared" si="13"/>
        <v>5.0399358200000002</v>
      </c>
      <c r="R13" s="16">
        <f t="shared" si="14"/>
        <v>0</v>
      </c>
      <c r="S13" s="16">
        <f t="shared" si="15"/>
        <v>5.6860924400000004</v>
      </c>
      <c r="T13" s="16">
        <f t="shared" si="16"/>
        <v>2.1044039300000001</v>
      </c>
      <c r="U13" s="16">
        <f t="shared" si="17"/>
        <v>3.5816885100000002</v>
      </c>
      <c r="V13">
        <f t="shared" si="18"/>
        <v>0.27012895975295365</v>
      </c>
      <c r="W13">
        <f t="shared" si="19"/>
        <v>0.32566296469449313</v>
      </c>
      <c r="X13">
        <f t="shared" si="20"/>
        <v>0.51027865454115517</v>
      </c>
      <c r="Y13">
        <f t="shared" si="21"/>
        <v>0.83594161923564836</v>
      </c>
      <c r="Z13" s="14">
        <v>0.28170000000000001</v>
      </c>
      <c r="AA13" s="14">
        <v>0.19219999999999901</v>
      </c>
      <c r="AB13" s="14">
        <v>6.59E-2</v>
      </c>
      <c r="AD13">
        <f t="shared" si="22"/>
        <v>120.14588067696016</v>
      </c>
      <c r="AE13" s="14">
        <v>5.746242E-2</v>
      </c>
      <c r="AF13" s="14">
        <v>0.770797730774618</v>
      </c>
      <c r="AG13" s="14">
        <v>0.22739529345846701</v>
      </c>
      <c r="AH13" s="14">
        <v>8.7860000000000004E-3</v>
      </c>
      <c r="AI13" s="14">
        <v>0.12939297124600599</v>
      </c>
      <c r="AJ13" s="14">
        <v>0.16323296354992001</v>
      </c>
      <c r="AK13" s="14">
        <v>1.9240100000000001E-3</v>
      </c>
      <c r="AL13" s="14">
        <v>7.8224100000000001E-3</v>
      </c>
      <c r="AM13" s="14">
        <v>7.9872199999999997E-3</v>
      </c>
      <c r="AN13" s="14">
        <v>0</v>
      </c>
      <c r="AO13" s="14">
        <v>9.0112400000000002E-3</v>
      </c>
      <c r="AP13" s="14">
        <v>3.3350300000000001E-3</v>
      </c>
      <c r="AQ13" s="14">
        <v>5.6762000000000002E-3</v>
      </c>
    </row>
    <row r="14" spans="1:43">
      <c r="A14" s="14" t="s">
        <v>106</v>
      </c>
      <c r="B14" s="14" t="s">
        <v>107</v>
      </c>
      <c r="C14" s="14" t="s">
        <v>34</v>
      </c>
      <c r="D14">
        <v>579</v>
      </c>
      <c r="E14">
        <v>657</v>
      </c>
      <c r="F14" s="16">
        <f t="shared" si="2"/>
        <v>155.95968295953779</v>
      </c>
      <c r="G14" s="16">
        <f t="shared" si="3"/>
        <v>93.565855401999329</v>
      </c>
      <c r="H14" s="16">
        <f t="shared" si="4"/>
        <v>33.955350750725508</v>
      </c>
      <c r="I14" s="16">
        <f t="shared" si="5"/>
        <v>4.0776991783475482</v>
      </c>
      <c r="J14" s="16">
        <f t="shared" si="6"/>
        <v>25.168702290076293</v>
      </c>
      <c r="K14" s="16">
        <f t="shared" si="7"/>
        <v>93.283969465648539</v>
      </c>
      <c r="L14" s="16">
        <f t="shared" si="8"/>
        <v>82.999999999999929</v>
      </c>
      <c r="M14" s="16">
        <f t="shared" si="9"/>
        <v>65.634299999999996</v>
      </c>
      <c r="N14" s="16">
        <f t="shared" si="10"/>
        <v>3.5399882699999998</v>
      </c>
      <c r="O14" s="16">
        <f t="shared" si="11"/>
        <v>137.28014999999934</v>
      </c>
      <c r="P14" s="16">
        <f t="shared" si="12"/>
        <v>6.0164906400000007</v>
      </c>
      <c r="Q14" s="16">
        <f t="shared" si="13"/>
        <v>5.0152686299999996</v>
      </c>
      <c r="R14" s="16">
        <f t="shared" si="14"/>
        <v>0.89999802000000007</v>
      </c>
      <c r="S14" s="16">
        <f t="shared" si="15"/>
        <v>23.866071428571406</v>
      </c>
      <c r="T14" s="16">
        <f t="shared" si="16"/>
        <v>5.3167725000000008</v>
      </c>
      <c r="U14" s="16">
        <f t="shared" si="17"/>
        <v>18.549298928571403</v>
      </c>
      <c r="V14">
        <f t="shared" si="18"/>
        <v>0.26936041961923624</v>
      </c>
      <c r="W14">
        <f t="shared" si="19"/>
        <v>0.35387960420948028</v>
      </c>
      <c r="X14">
        <f t="shared" si="20"/>
        <v>0.4738937195143319</v>
      </c>
      <c r="Y14">
        <f t="shared" si="21"/>
        <v>0.82777332372381218</v>
      </c>
      <c r="Z14" s="14">
        <v>0.31025000000000003</v>
      </c>
      <c r="AA14" s="14">
        <v>0.208949999999999</v>
      </c>
      <c r="AB14" s="14">
        <v>9.9900000000000003E-2</v>
      </c>
      <c r="AD14">
        <f t="shared" si="22"/>
        <v>130.7909806694615</v>
      </c>
      <c r="AE14" s="14">
        <v>3.8308527077741697E-2</v>
      </c>
      <c r="AF14" s="14">
        <v>0.71538461538461495</v>
      </c>
      <c r="AG14" s="14">
        <v>0.25961538461538403</v>
      </c>
      <c r="AH14" s="14">
        <v>3.1177219999999999E-2</v>
      </c>
      <c r="AI14" s="14">
        <v>0.141984732824427</v>
      </c>
      <c r="AJ14" s="14">
        <v>0.12633181126331799</v>
      </c>
      <c r="AK14" s="14">
        <v>5.3881099999999998E-3</v>
      </c>
      <c r="AL14" s="14">
        <v>9.1575200000000006E-3</v>
      </c>
      <c r="AM14" s="14">
        <v>7.63359E-3</v>
      </c>
      <c r="AN14" s="14">
        <v>1.3698600000000001E-3</v>
      </c>
      <c r="AO14" s="14">
        <v>3.6325831702543998E-2</v>
      </c>
      <c r="AP14" s="14">
        <v>8.0925000000000007E-3</v>
      </c>
      <c r="AQ14" s="14">
        <v>2.8233331466611E-2</v>
      </c>
    </row>
    <row r="15" spans="1:43">
      <c r="A15" s="14" t="s">
        <v>115</v>
      </c>
      <c r="B15" s="14" t="s">
        <v>116</v>
      </c>
      <c r="C15" s="14" t="s">
        <v>20</v>
      </c>
      <c r="D15">
        <v>549</v>
      </c>
      <c r="E15">
        <v>657</v>
      </c>
      <c r="F15" s="16">
        <f t="shared" si="2"/>
        <v>125.53042429737016</v>
      </c>
      <c r="G15" s="16">
        <f t="shared" si="3"/>
        <v>62.681664605311042</v>
      </c>
      <c r="H15" s="16">
        <f t="shared" si="4"/>
        <v>20.639572871465894</v>
      </c>
      <c r="I15" s="16">
        <f t="shared" si="5"/>
        <v>1.0237571703423614</v>
      </c>
      <c r="J15" s="16">
        <f t="shared" si="6"/>
        <v>40.476074940000004</v>
      </c>
      <c r="K15" s="16">
        <f t="shared" si="7"/>
        <v>94.720858895705319</v>
      </c>
      <c r="L15" s="16">
        <f t="shared" si="8"/>
        <v>104.99999999999966</v>
      </c>
      <c r="M15" s="16">
        <f t="shared" si="9"/>
        <v>97.695899999999995</v>
      </c>
      <c r="N15" s="16">
        <f t="shared" si="10"/>
        <v>4.5960763499999997</v>
      </c>
      <c r="O15" s="16">
        <f t="shared" si="11"/>
        <v>185.66819999999936</v>
      </c>
      <c r="P15" s="16">
        <f t="shared" si="12"/>
        <v>7.0483128834355462</v>
      </c>
      <c r="Q15" s="16">
        <f t="shared" si="13"/>
        <v>3.0230081100000001</v>
      </c>
      <c r="R15" s="16">
        <f t="shared" si="14"/>
        <v>0.89999802000000007</v>
      </c>
      <c r="S15" s="16">
        <f t="shared" si="15"/>
        <v>5.9365863000000001</v>
      </c>
      <c r="T15" s="16">
        <f t="shared" si="16"/>
        <v>2.0247623099999998</v>
      </c>
      <c r="U15" s="16">
        <f t="shared" si="17"/>
        <v>3.9118239900000003</v>
      </c>
      <c r="V15">
        <f t="shared" si="18"/>
        <v>0.22865286757262324</v>
      </c>
      <c r="W15">
        <f t="shared" si="19"/>
        <v>0.35895664795853993</v>
      </c>
      <c r="X15">
        <f t="shared" si="20"/>
        <v>0.48986590458883411</v>
      </c>
      <c r="Y15">
        <f t="shared" si="21"/>
        <v>0.84882255254737404</v>
      </c>
      <c r="Z15" s="14">
        <v>0.26100000000000001</v>
      </c>
      <c r="AA15" s="14">
        <v>0.28259999999999902</v>
      </c>
      <c r="AB15" s="14">
        <v>0.1487</v>
      </c>
      <c r="AD15">
        <f t="shared" si="22"/>
        <v>85.054349357370157</v>
      </c>
      <c r="AE15" s="14">
        <v>6.1607420000000003E-2</v>
      </c>
      <c r="AF15" s="14">
        <v>0.73696013289036499</v>
      </c>
      <c r="AG15" s="14">
        <v>0.24266334440753001</v>
      </c>
      <c r="AH15" s="14">
        <v>1.2036505811606099E-2</v>
      </c>
      <c r="AI15" s="14">
        <v>0.14417177914110399</v>
      </c>
      <c r="AJ15" s="14">
        <v>0.15981735159817301</v>
      </c>
      <c r="AK15" s="14">
        <v>6.9955499999999997E-3</v>
      </c>
      <c r="AL15" s="14">
        <v>1.0728025697770999E-2</v>
      </c>
      <c r="AM15" s="14">
        <v>4.6012300000000004E-3</v>
      </c>
      <c r="AN15" s="14">
        <v>1.3698600000000001E-3</v>
      </c>
      <c r="AO15" s="14">
        <v>9.0358999999999995E-3</v>
      </c>
      <c r="AP15" s="14">
        <v>3.0818299999999998E-3</v>
      </c>
      <c r="AQ15" s="14">
        <v>5.9540799999999996E-3</v>
      </c>
    </row>
    <row r="16" spans="1:43">
      <c r="A16" s="14" t="s">
        <v>122</v>
      </c>
      <c r="B16" s="14" t="s">
        <v>123</v>
      </c>
      <c r="C16" s="14" t="s">
        <v>124</v>
      </c>
      <c r="D16">
        <v>577</v>
      </c>
      <c r="E16">
        <v>663</v>
      </c>
      <c r="F16" s="16">
        <f t="shared" si="2"/>
        <v>171.810634895227</v>
      </c>
      <c r="G16" s="16">
        <f t="shared" si="3"/>
        <v>109.15711589366798</v>
      </c>
      <c r="H16" s="16">
        <f t="shared" si="4"/>
        <v>31.052889136796644</v>
      </c>
      <c r="I16" s="16">
        <f t="shared" si="5"/>
        <v>0.41539020523153608</v>
      </c>
      <c r="J16" s="16">
        <f t="shared" si="6"/>
        <v>31.699999110000004</v>
      </c>
      <c r="K16" s="16">
        <f t="shared" si="7"/>
        <v>96.99999999999973</v>
      </c>
      <c r="L16" s="16">
        <f t="shared" si="8"/>
        <v>94.999997040000011</v>
      </c>
      <c r="M16" s="16">
        <f t="shared" si="9"/>
        <v>73.062599999999335</v>
      </c>
      <c r="N16" s="16">
        <f t="shared" si="10"/>
        <v>8.440944720000001</v>
      </c>
      <c r="O16" s="16">
        <f t="shared" si="11"/>
        <v>89.770199999999988</v>
      </c>
      <c r="P16" s="16">
        <f t="shared" si="12"/>
        <v>6.9000001199999996</v>
      </c>
      <c r="Q16" s="16">
        <f t="shared" si="13"/>
        <v>3.9999983399999999</v>
      </c>
      <c r="R16" s="16">
        <f t="shared" si="14"/>
        <v>0</v>
      </c>
      <c r="S16" s="16">
        <f t="shared" si="15"/>
        <v>5.2146541200000005</v>
      </c>
      <c r="T16" s="16">
        <f t="shared" si="16"/>
        <v>2.0204063100000003</v>
      </c>
      <c r="U16" s="16">
        <f t="shared" si="17"/>
        <v>3.1942478100000002</v>
      </c>
      <c r="V16">
        <f t="shared" si="18"/>
        <v>0.29776539843193589</v>
      </c>
      <c r="W16">
        <f t="shared" si="19"/>
        <v>0.39277401979367255</v>
      </c>
      <c r="X16">
        <f t="shared" si="20"/>
        <v>0.51873320835867576</v>
      </c>
      <c r="Y16">
        <f t="shared" si="21"/>
        <v>0.9115072281523483</v>
      </c>
      <c r="Z16" s="14">
        <v>0.3049</v>
      </c>
      <c r="AA16" s="14">
        <v>0.13539999999999999</v>
      </c>
      <c r="AB16" s="14">
        <v>0.11019999999999899</v>
      </c>
      <c r="AD16">
        <f t="shared" si="22"/>
        <v>140.110635785227</v>
      </c>
      <c r="AE16" s="14">
        <v>4.7812970000000003E-2</v>
      </c>
      <c r="AF16" s="14">
        <v>0.77907801418439704</v>
      </c>
      <c r="AG16" s="14">
        <v>0.22163120567375799</v>
      </c>
      <c r="AH16" s="14">
        <v>2.9647300000000001E-3</v>
      </c>
      <c r="AI16" s="14">
        <v>0.14630467571644001</v>
      </c>
      <c r="AJ16" s="14">
        <v>0.14328808000000001</v>
      </c>
      <c r="AK16" s="14">
        <v>1.273144E-2</v>
      </c>
      <c r="AL16" s="14">
        <v>1.040724E-2</v>
      </c>
      <c r="AM16" s="14">
        <v>6.03318E-3</v>
      </c>
      <c r="AN16" s="14">
        <v>0</v>
      </c>
      <c r="AO16" s="14">
        <v>7.8652400000000008E-3</v>
      </c>
      <c r="AP16" s="14">
        <v>3.0473700000000002E-3</v>
      </c>
      <c r="AQ16" s="14">
        <v>4.8178700000000001E-3</v>
      </c>
    </row>
    <row r="17" spans="1:43">
      <c r="A17" s="14" t="s">
        <v>129</v>
      </c>
      <c r="B17" s="14" t="s">
        <v>130</v>
      </c>
      <c r="C17" s="14" t="s">
        <v>20</v>
      </c>
      <c r="D17">
        <v>565</v>
      </c>
      <c r="E17">
        <v>646</v>
      </c>
      <c r="F17" s="16">
        <f t="shared" si="2"/>
        <v>154.08166731143399</v>
      </c>
      <c r="G17" s="16">
        <f t="shared" si="3"/>
        <v>93.82545644357549</v>
      </c>
      <c r="H17" s="16">
        <f t="shared" si="4"/>
        <v>27.491867048872869</v>
      </c>
      <c r="I17" s="16">
        <f t="shared" si="5"/>
        <v>2.2318524035511342</v>
      </c>
      <c r="J17" s="16">
        <f t="shared" si="6"/>
        <v>28.981058719999996</v>
      </c>
      <c r="K17" s="16">
        <f t="shared" si="7"/>
        <v>98.304347826086783</v>
      </c>
      <c r="L17" s="16">
        <f t="shared" si="8"/>
        <v>80.999999999999503</v>
      </c>
      <c r="M17" s="16">
        <f t="shared" si="9"/>
        <v>69.509600000000006</v>
      </c>
      <c r="N17" s="16">
        <f t="shared" si="10"/>
        <v>3.6353262399999999</v>
      </c>
      <c r="O17" s="16">
        <f t="shared" si="11"/>
        <v>126.6806</v>
      </c>
      <c r="P17" s="16">
        <f t="shared" si="12"/>
        <v>6.0167729400000001</v>
      </c>
      <c r="Q17" s="16">
        <f t="shared" si="13"/>
        <v>4.01242228</v>
      </c>
      <c r="R17" s="16">
        <f t="shared" si="14"/>
        <v>0.90000074000000008</v>
      </c>
      <c r="S17" s="16">
        <f t="shared" si="15"/>
        <v>25.748511904761816</v>
      </c>
      <c r="T17" s="16">
        <f t="shared" si="16"/>
        <v>5.8946466400000004</v>
      </c>
      <c r="U17" s="16">
        <f t="shared" si="17"/>
        <v>19.853865264761815</v>
      </c>
      <c r="V17">
        <f t="shared" si="18"/>
        <v>0.2727109155954584</v>
      </c>
      <c r="W17">
        <f t="shared" si="19"/>
        <v>0.36321840282447476</v>
      </c>
      <c r="X17">
        <f t="shared" si="20"/>
        <v>0.48040527899464536</v>
      </c>
      <c r="Y17">
        <f t="shared" si="21"/>
        <v>0.84362368181912006</v>
      </c>
      <c r="Z17" s="14">
        <v>0.30264999999999997</v>
      </c>
      <c r="AA17" s="14">
        <v>0.1961</v>
      </c>
      <c r="AB17" s="14">
        <v>0.1076</v>
      </c>
      <c r="AD17">
        <f t="shared" si="22"/>
        <v>125.100608591434</v>
      </c>
      <c r="AE17" s="14">
        <v>4.4862319999999997E-2</v>
      </c>
      <c r="AF17" s="14">
        <v>0.75</v>
      </c>
      <c r="AG17" s="14">
        <v>0.21975806000000001</v>
      </c>
      <c r="AH17" s="14">
        <v>1.7840459999999999E-2</v>
      </c>
      <c r="AI17" s="14">
        <v>0.15217391304347799</v>
      </c>
      <c r="AJ17" s="14">
        <v>0.125386996904024</v>
      </c>
      <c r="AK17" s="14">
        <v>5.62744E-3</v>
      </c>
      <c r="AL17" s="14">
        <v>9.31389E-3</v>
      </c>
      <c r="AM17" s="14">
        <v>6.2111800000000002E-3</v>
      </c>
      <c r="AN17" s="14">
        <v>1.3931900000000001E-3</v>
      </c>
      <c r="AO17" s="14">
        <v>3.9858377561550799E-2</v>
      </c>
      <c r="AP17" s="14">
        <v>9.1248400000000004E-3</v>
      </c>
      <c r="AQ17" s="14">
        <v>3.073354E-2</v>
      </c>
    </row>
    <row r="18" spans="1:43">
      <c r="A18" s="14" t="s">
        <v>135</v>
      </c>
      <c r="B18" s="14" t="s">
        <v>136</v>
      </c>
      <c r="C18" s="14" t="s">
        <v>124</v>
      </c>
      <c r="D18">
        <v>514</v>
      </c>
      <c r="E18">
        <v>576</v>
      </c>
      <c r="F18" s="16">
        <f t="shared" si="2"/>
        <v>134.69919454335999</v>
      </c>
      <c r="G18" s="16">
        <f t="shared" si="3"/>
        <v>72.697838399583162</v>
      </c>
      <c r="H18" s="16">
        <f t="shared" si="4"/>
        <v>26.097030332767755</v>
      </c>
      <c r="I18" s="16">
        <f t="shared" si="5"/>
        <v>1.9077240526832724</v>
      </c>
      <c r="J18" s="16">
        <f t="shared" si="6"/>
        <v>33.812634240000001</v>
      </c>
      <c r="K18" s="16">
        <f t="shared" si="7"/>
        <v>83.87368421052615</v>
      </c>
      <c r="L18" s="16">
        <f t="shared" si="8"/>
        <v>94.999999999999673</v>
      </c>
      <c r="M18" s="16">
        <f t="shared" si="9"/>
        <v>65.836799999999997</v>
      </c>
      <c r="N18" s="16">
        <f t="shared" si="10"/>
        <v>3.11020992</v>
      </c>
      <c r="O18" s="16">
        <f t="shared" si="11"/>
        <v>166.17599999999999</v>
      </c>
      <c r="P18" s="16">
        <f t="shared" si="12"/>
        <v>4.03789248</v>
      </c>
      <c r="Q18" s="16">
        <f t="shared" si="13"/>
        <v>4.0421030399999998</v>
      </c>
      <c r="R18" s="16">
        <f t="shared" si="14"/>
        <v>0.9</v>
      </c>
      <c r="S18" s="16">
        <f t="shared" si="15"/>
        <v>2.9512972799999999</v>
      </c>
      <c r="T18" s="16">
        <f t="shared" si="16"/>
        <v>1.0420876800000001</v>
      </c>
      <c r="U18" s="16">
        <f t="shared" si="17"/>
        <v>1.9092095999999998</v>
      </c>
      <c r="V18">
        <f t="shared" si="18"/>
        <v>0.2620606897730739</v>
      </c>
      <c r="W18">
        <f t="shared" si="19"/>
        <v>0.35381251944533509</v>
      </c>
      <c r="X18">
        <f t="shared" si="20"/>
        <v>0.51724826494779863</v>
      </c>
      <c r="Y18">
        <f t="shared" si="21"/>
        <v>0.87106078439313372</v>
      </c>
      <c r="Z18" s="14">
        <v>0.31719999999999998</v>
      </c>
      <c r="AA18" s="14">
        <v>0.28849999999999998</v>
      </c>
      <c r="AB18" s="14">
        <v>0.1143</v>
      </c>
      <c r="AD18">
        <f t="shared" si="22"/>
        <v>100.88656030335999</v>
      </c>
      <c r="AE18" s="14">
        <v>5.8702490000000003E-2</v>
      </c>
      <c r="AF18" s="14">
        <v>0.72058991981672305</v>
      </c>
      <c r="AG18" s="14">
        <v>0.25867697594501698</v>
      </c>
      <c r="AH18" s="14">
        <v>1.8909595559079999E-2</v>
      </c>
      <c r="AI18" s="14">
        <v>0.145614035087719</v>
      </c>
      <c r="AJ18" s="14">
        <v>0.164930555555555</v>
      </c>
      <c r="AK18" s="14">
        <v>5.3996699999999996E-3</v>
      </c>
      <c r="AL18" s="14">
        <v>7.0102300000000001E-3</v>
      </c>
      <c r="AM18" s="14">
        <v>7.0175400000000001E-3</v>
      </c>
      <c r="AN18" s="14">
        <v>1.5625000000000001E-3</v>
      </c>
      <c r="AO18" s="14">
        <v>5.1237799999999997E-3</v>
      </c>
      <c r="AP18" s="14">
        <v>1.8091800000000001E-3</v>
      </c>
      <c r="AQ18" s="14">
        <v>3.3146E-3</v>
      </c>
    </row>
    <row r="19" spans="1:43">
      <c r="A19" s="14" t="s">
        <v>142</v>
      </c>
      <c r="B19" s="14" t="s">
        <v>107</v>
      </c>
      <c r="C19" s="14" t="s">
        <v>124</v>
      </c>
      <c r="D19">
        <v>575</v>
      </c>
      <c r="E19">
        <v>655</v>
      </c>
      <c r="F19" s="16">
        <f t="shared" si="2"/>
        <v>145.31558754196001</v>
      </c>
      <c r="G19" s="16">
        <f t="shared" si="3"/>
        <v>81.292758877910728</v>
      </c>
      <c r="H19" s="16">
        <f t="shared" si="4"/>
        <v>26.843273385813934</v>
      </c>
      <c r="I19" s="16">
        <f t="shared" si="5"/>
        <v>1.1518537107970575</v>
      </c>
      <c r="J19" s="16">
        <f t="shared" si="6"/>
        <v>37.156152249999998</v>
      </c>
      <c r="K19" s="16">
        <f t="shared" si="7"/>
        <v>87.669230769230211</v>
      </c>
      <c r="L19" s="16">
        <f t="shared" si="8"/>
        <v>102.99999999999963</v>
      </c>
      <c r="M19" s="16">
        <f t="shared" si="9"/>
        <v>61.6355</v>
      </c>
      <c r="N19" s="16">
        <f t="shared" si="10"/>
        <v>4.8632308999999996</v>
      </c>
      <c r="O19" s="16">
        <f t="shared" si="11"/>
        <v>149.50375</v>
      </c>
      <c r="P19" s="16">
        <f t="shared" si="12"/>
        <v>13.089999999999947</v>
      </c>
      <c r="Q19" s="16">
        <f t="shared" si="13"/>
        <v>5.0384630499999998</v>
      </c>
      <c r="R19" s="16">
        <f t="shared" si="14"/>
        <v>0</v>
      </c>
      <c r="S19" s="16">
        <f t="shared" si="15"/>
        <v>2.2234891999999999</v>
      </c>
      <c r="T19" s="16">
        <f t="shared" si="16"/>
        <v>1.0050647499999998</v>
      </c>
      <c r="U19" s="16">
        <f t="shared" si="17"/>
        <v>1.2184244500000001</v>
      </c>
      <c r="V19">
        <f t="shared" si="18"/>
        <v>0.25272276094253915</v>
      </c>
      <c r="W19">
        <f t="shared" si="19"/>
        <v>0.34785983010182853</v>
      </c>
      <c r="X19">
        <f t="shared" si="20"/>
        <v>0.4992338709250953</v>
      </c>
      <c r="Y19">
        <f t="shared" si="21"/>
        <v>0.84709370102692383</v>
      </c>
      <c r="Z19" s="14">
        <v>0.27495000000000003</v>
      </c>
      <c r="AA19" s="14">
        <v>0.22825000000000001</v>
      </c>
      <c r="AB19" s="14">
        <v>9.4100000000000003E-2</v>
      </c>
      <c r="AD19">
        <f t="shared" si="22"/>
        <v>108.15943529196002</v>
      </c>
      <c r="AE19" s="14">
        <v>5.6726949999999998E-2</v>
      </c>
      <c r="AF19" s="14">
        <v>0.75160117708152996</v>
      </c>
      <c r="AG19" s="14">
        <v>0.248182447637181</v>
      </c>
      <c r="AH19" s="14">
        <v>1.06495906500233E-2</v>
      </c>
      <c r="AI19" s="14">
        <v>0.133846153846153</v>
      </c>
      <c r="AJ19" s="14">
        <v>0.157251908396946</v>
      </c>
      <c r="AK19" s="14">
        <v>7.4247799999999997E-3</v>
      </c>
      <c r="AL19" s="14">
        <v>1.9984732824427399E-2</v>
      </c>
      <c r="AM19" s="14">
        <v>7.6923099999999999E-3</v>
      </c>
      <c r="AN19" s="14">
        <v>0</v>
      </c>
      <c r="AO19" s="14">
        <v>3.39464E-3</v>
      </c>
      <c r="AP19" s="14">
        <v>1.5344499999999999E-3</v>
      </c>
      <c r="AQ19" s="14">
        <v>1.8602E-3</v>
      </c>
    </row>
    <row r="20" spans="1:43">
      <c r="A20" s="14" t="s">
        <v>147</v>
      </c>
      <c r="B20" s="14" t="s">
        <v>40</v>
      </c>
      <c r="C20" s="14" t="s">
        <v>34</v>
      </c>
      <c r="D20">
        <v>547</v>
      </c>
      <c r="E20">
        <v>618</v>
      </c>
      <c r="F20" s="16">
        <f t="shared" si="2"/>
        <v>141.28706723849552</v>
      </c>
      <c r="G20" s="16">
        <f t="shared" si="3"/>
        <v>87.178034908942664</v>
      </c>
      <c r="H20" s="16">
        <f t="shared" si="4"/>
        <v>27.251855805310484</v>
      </c>
      <c r="I20" s="16">
        <f t="shared" si="5"/>
        <v>1.1602202221707059</v>
      </c>
      <c r="J20" s="16">
        <f t="shared" si="6"/>
        <v>24.963651050080742</v>
      </c>
      <c r="K20" s="16">
        <f t="shared" si="7"/>
        <v>84.862681744749054</v>
      </c>
      <c r="L20" s="16">
        <f t="shared" si="8"/>
        <v>75.999999999999901</v>
      </c>
      <c r="M20" s="16">
        <f t="shared" si="9"/>
        <v>53.7042</v>
      </c>
      <c r="N20" s="16">
        <f t="shared" si="10"/>
        <v>1.72118562</v>
      </c>
      <c r="O20" s="16">
        <f t="shared" si="11"/>
        <v>113.43389999999999</v>
      </c>
      <c r="P20" s="16">
        <f t="shared" si="12"/>
        <v>9.0869113200000005</v>
      </c>
      <c r="Q20" s="16">
        <f t="shared" si="13"/>
        <v>4.9919197199999994</v>
      </c>
      <c r="R20" s="16">
        <f t="shared" si="14"/>
        <v>0.89999957999999991</v>
      </c>
      <c r="S20" s="16">
        <f t="shared" si="15"/>
        <v>23.13571374</v>
      </c>
      <c r="T20" s="16">
        <f t="shared" si="16"/>
        <v>5.0205578400000004</v>
      </c>
      <c r="U20" s="16">
        <f t="shared" si="17"/>
        <v>18.115155899999998</v>
      </c>
      <c r="V20">
        <f t="shared" si="18"/>
        <v>0.25829445564624409</v>
      </c>
      <c r="W20">
        <f t="shared" si="19"/>
        <v>0.3388105053465672</v>
      </c>
      <c r="X20">
        <f t="shared" si="20"/>
        <v>0.44792872282705432</v>
      </c>
      <c r="Y20">
        <f t="shared" si="21"/>
        <v>0.78673922817362152</v>
      </c>
      <c r="Z20" s="14">
        <v>0.28125</v>
      </c>
      <c r="AA20" s="14">
        <v>0.18354999999999999</v>
      </c>
      <c r="AB20" s="14">
        <v>8.6900000000000005E-2</v>
      </c>
      <c r="AD20">
        <f t="shared" si="22"/>
        <v>116.32341618841478</v>
      </c>
      <c r="AE20" s="14">
        <v>4.0394257362590197E-2</v>
      </c>
      <c r="AF20" s="14">
        <v>0.74944527736131905</v>
      </c>
      <c r="AG20" s="14">
        <v>0.23427661169415201</v>
      </c>
      <c r="AH20" s="14">
        <v>9.9740899999999997E-3</v>
      </c>
      <c r="AI20" s="14">
        <v>0.137318255250403</v>
      </c>
      <c r="AJ20" s="14">
        <v>0.122977346278317</v>
      </c>
      <c r="AK20" s="14">
        <v>2.78509E-3</v>
      </c>
      <c r="AL20" s="14">
        <v>1.470374E-2</v>
      </c>
      <c r="AM20" s="14">
        <v>8.0775399999999994E-3</v>
      </c>
      <c r="AN20" s="14">
        <v>1.4563099999999999E-3</v>
      </c>
      <c r="AO20" s="14">
        <v>3.743643E-2</v>
      </c>
      <c r="AP20" s="14">
        <v>8.12388E-3</v>
      </c>
      <c r="AQ20" s="14">
        <v>2.9312548665352701E-2</v>
      </c>
    </row>
    <row r="21" spans="1:43">
      <c r="A21" s="14" t="s">
        <v>155</v>
      </c>
      <c r="B21" s="14" t="s">
        <v>156</v>
      </c>
      <c r="C21" s="14" t="s">
        <v>20</v>
      </c>
      <c r="D21">
        <v>580</v>
      </c>
      <c r="E21">
        <v>629</v>
      </c>
      <c r="F21" s="16">
        <f t="shared" si="2"/>
        <v>156.00404968651998</v>
      </c>
      <c r="G21" s="16">
        <f t="shared" si="3"/>
        <v>99.009300136428308</v>
      </c>
      <c r="H21" s="16">
        <f t="shared" si="4"/>
        <v>31.222263452797481</v>
      </c>
      <c r="I21" s="16">
        <f t="shared" si="5"/>
        <v>3.7039038143637248</v>
      </c>
      <c r="J21" s="16">
        <f t="shared" si="6"/>
        <v>21.320961399999998</v>
      </c>
      <c r="K21" s="16">
        <f t="shared" si="7"/>
        <v>80.512</v>
      </c>
      <c r="L21" s="16">
        <f t="shared" si="8"/>
        <v>83.999999999999844</v>
      </c>
      <c r="M21" s="16">
        <f t="shared" si="9"/>
        <v>39.438300000000005</v>
      </c>
      <c r="N21" s="16">
        <f t="shared" si="10"/>
        <v>2.10218719</v>
      </c>
      <c r="O21" s="16">
        <f t="shared" si="11"/>
        <v>126.71204999999999</v>
      </c>
      <c r="P21" s="16">
        <f t="shared" si="12"/>
        <v>4.0230399700000001</v>
      </c>
      <c r="Q21" s="16">
        <f t="shared" si="13"/>
        <v>5.032</v>
      </c>
      <c r="R21" s="16">
        <f t="shared" si="14"/>
        <v>0.99661905000000006</v>
      </c>
      <c r="S21" s="16">
        <f t="shared" si="15"/>
        <v>24.038788630000003</v>
      </c>
      <c r="T21" s="16">
        <f t="shared" si="16"/>
        <v>6.8383810700000005</v>
      </c>
      <c r="U21" s="16">
        <f t="shared" si="17"/>
        <v>17.200407560000002</v>
      </c>
      <c r="V21">
        <f t="shared" si="18"/>
        <v>0.26897249945951718</v>
      </c>
      <c r="W21">
        <f t="shared" si="19"/>
        <v>0.32169873552937733</v>
      </c>
      <c r="X21">
        <f t="shared" si="20"/>
        <v>0.44456790359502485</v>
      </c>
      <c r="Y21">
        <f t="shared" si="21"/>
        <v>0.76626663912440218</v>
      </c>
      <c r="Z21" s="14">
        <v>0.30819999999999997</v>
      </c>
      <c r="AA21" s="14">
        <v>0.20144999999999999</v>
      </c>
      <c r="AB21" s="14">
        <v>6.2700000000000006E-2</v>
      </c>
      <c r="AD21">
        <f t="shared" si="22"/>
        <v>134.68308828651999</v>
      </c>
      <c r="AE21" s="14">
        <v>3.3896599999999999E-2</v>
      </c>
      <c r="AF21" s="14">
        <v>0.73512793176972202</v>
      </c>
      <c r="AG21" s="14">
        <v>0.23182022219728399</v>
      </c>
      <c r="AH21" s="14">
        <v>2.7500882712788499E-2</v>
      </c>
      <c r="AI21" s="14">
        <v>0.128</v>
      </c>
      <c r="AJ21" s="14">
        <v>0.13354531001589801</v>
      </c>
      <c r="AK21" s="14">
        <v>3.3421100000000001E-3</v>
      </c>
      <c r="AL21" s="14">
        <v>6.3959300000000002E-3</v>
      </c>
      <c r="AM21" s="14">
        <v>8.0000000000000002E-3</v>
      </c>
      <c r="AN21" s="14">
        <v>1.5844500000000001E-3</v>
      </c>
      <c r="AO21" s="14">
        <v>3.8217470000000003E-2</v>
      </c>
      <c r="AP21" s="14">
        <v>1.0871830000000001E-2</v>
      </c>
      <c r="AQ21" s="14">
        <v>2.7345629999999999E-2</v>
      </c>
    </row>
    <row r="22" spans="1:43">
      <c r="A22" s="14" t="s">
        <v>162</v>
      </c>
      <c r="B22" s="14" t="s">
        <v>19</v>
      </c>
      <c r="C22" s="14" t="s">
        <v>163</v>
      </c>
      <c r="D22">
        <v>524</v>
      </c>
      <c r="E22">
        <v>591</v>
      </c>
      <c r="F22" s="16">
        <f t="shared" si="2"/>
        <v>124.29605663082</v>
      </c>
      <c r="G22" s="16">
        <f t="shared" si="3"/>
        <v>73.761581500710022</v>
      </c>
      <c r="H22" s="16">
        <f t="shared" si="4"/>
        <v>20.838121923142907</v>
      </c>
      <c r="I22" s="16">
        <f t="shared" si="5"/>
        <v>1.9265622325579133</v>
      </c>
      <c r="J22" s="16">
        <f t="shared" si="6"/>
        <v>27.265589970000001</v>
      </c>
      <c r="K22" s="16">
        <f t="shared" si="7"/>
        <v>85.579216354343728</v>
      </c>
      <c r="L22" s="16">
        <f t="shared" si="8"/>
        <v>76.999999999999702</v>
      </c>
      <c r="M22" s="16">
        <f t="shared" si="9"/>
        <v>56.322299999999998</v>
      </c>
      <c r="N22" s="16">
        <f t="shared" si="10"/>
        <v>1.95771114</v>
      </c>
      <c r="O22" s="16">
        <f t="shared" si="11"/>
        <v>154.84200000000001</v>
      </c>
      <c r="P22" s="16">
        <f t="shared" si="12"/>
        <v>5.0306629200000001</v>
      </c>
      <c r="Q22" s="16">
        <f t="shared" si="13"/>
        <v>4.0272572100000001</v>
      </c>
      <c r="R22" s="16">
        <f t="shared" si="14"/>
        <v>0.99704654999999998</v>
      </c>
      <c r="S22" s="16">
        <f t="shared" si="15"/>
        <v>32.998768679999998</v>
      </c>
      <c r="T22" s="16">
        <f t="shared" si="16"/>
        <v>8.1569343065693189</v>
      </c>
      <c r="U22" s="16">
        <f t="shared" si="17"/>
        <v>24.841834373430679</v>
      </c>
      <c r="V22">
        <f t="shared" si="18"/>
        <v>0.23720621494431299</v>
      </c>
      <c r="W22">
        <f t="shared" si="19"/>
        <v>0.31998022337124926</v>
      </c>
      <c r="X22">
        <f t="shared" si="20"/>
        <v>0.43946540443639232</v>
      </c>
      <c r="Y22">
        <f t="shared" si="21"/>
        <v>0.75944562780764158</v>
      </c>
      <c r="Z22" s="14">
        <v>0.28050000000000003</v>
      </c>
      <c r="AA22" s="14">
        <v>0.26200000000000001</v>
      </c>
      <c r="AB22" s="14">
        <v>9.5299999999999996E-2</v>
      </c>
      <c r="AD22">
        <f t="shared" si="22"/>
        <v>97.030466660819997</v>
      </c>
      <c r="AE22" s="14">
        <v>4.6134670000000003E-2</v>
      </c>
      <c r="AF22" s="14">
        <v>0.76018990775908801</v>
      </c>
      <c r="AG22" s="14">
        <v>0.21475854584915799</v>
      </c>
      <c r="AH22" s="14">
        <v>1.9855230000000001E-2</v>
      </c>
      <c r="AI22" s="14">
        <v>0.14480408858603</v>
      </c>
      <c r="AJ22" s="14">
        <v>0.130287648054145</v>
      </c>
      <c r="AK22" s="14">
        <v>3.3125400000000001E-3</v>
      </c>
      <c r="AL22" s="14">
        <v>8.5121199999999998E-3</v>
      </c>
      <c r="AM22" s="14">
        <v>6.8143099999999996E-3</v>
      </c>
      <c r="AN22" s="14">
        <v>1.6870500000000001E-3</v>
      </c>
      <c r="AO22" s="14">
        <v>5.583548E-2</v>
      </c>
      <c r="AP22" s="14">
        <v>1.38019193004557E-2</v>
      </c>
      <c r="AQ22" s="14">
        <v>4.2033560349131999E-2</v>
      </c>
    </row>
    <row r="23" spans="1:43">
      <c r="A23" s="14" t="s">
        <v>168</v>
      </c>
      <c r="B23" s="14" t="s">
        <v>92</v>
      </c>
      <c r="C23" s="14" t="s">
        <v>169</v>
      </c>
      <c r="D23">
        <v>536</v>
      </c>
      <c r="E23">
        <v>616</v>
      </c>
      <c r="F23" s="16">
        <f t="shared" si="2"/>
        <v>147.59457784919198</v>
      </c>
      <c r="G23" s="16">
        <f t="shared" si="3"/>
        <v>85.53759135724367</v>
      </c>
      <c r="H23" s="16">
        <f t="shared" si="4"/>
        <v>30.81206189193891</v>
      </c>
      <c r="I23" s="16">
        <f t="shared" si="5"/>
        <v>2.140271449598885</v>
      </c>
      <c r="J23" s="16">
        <f t="shared" si="6"/>
        <v>29.113582960000002</v>
      </c>
      <c r="K23" s="16">
        <f t="shared" si="7"/>
        <v>86.703764320785297</v>
      </c>
      <c r="L23" s="16">
        <f t="shared" si="8"/>
        <v>86.999999999999844</v>
      </c>
      <c r="M23" s="16">
        <f t="shared" si="9"/>
        <v>67.328800000000001</v>
      </c>
      <c r="N23" s="16">
        <f t="shared" si="10"/>
        <v>5.4565587999999998</v>
      </c>
      <c r="O23" s="16">
        <f t="shared" si="11"/>
        <v>100.80839999999999</v>
      </c>
      <c r="P23" s="16">
        <f t="shared" si="12"/>
        <v>6.1441872799999997</v>
      </c>
      <c r="Q23" s="16">
        <f t="shared" si="13"/>
        <v>4.0327302400000002</v>
      </c>
      <c r="R23" s="16">
        <f t="shared" si="14"/>
        <v>0.90000064000000002</v>
      </c>
      <c r="S23" s="16">
        <f t="shared" si="15"/>
        <v>5.2005492000000002</v>
      </c>
      <c r="T23" s="16">
        <f t="shared" si="16"/>
        <v>2.0124781600000001</v>
      </c>
      <c r="U23" s="16">
        <f t="shared" si="17"/>
        <v>3.1880710400000001</v>
      </c>
      <c r="V23">
        <f t="shared" si="18"/>
        <v>0.27536301837535815</v>
      </c>
      <c r="W23">
        <f t="shared" si="19"/>
        <v>0.36964333785259113</v>
      </c>
      <c r="X23">
        <f t="shared" si="20"/>
        <v>0.50380011442148898</v>
      </c>
      <c r="Y23">
        <f t="shared" si="21"/>
        <v>0.87344345227408016</v>
      </c>
      <c r="Z23" s="14">
        <v>0.28889999999999999</v>
      </c>
      <c r="AA23" s="14">
        <v>0.16364999999999999</v>
      </c>
      <c r="AB23" s="14">
        <v>0.10929999999999999</v>
      </c>
      <c r="AD23">
        <f t="shared" si="22"/>
        <v>118.48099488919198</v>
      </c>
      <c r="AE23" s="14">
        <v>4.7262310000000002E-2</v>
      </c>
      <c r="AF23" s="14">
        <v>0.72195200113943803</v>
      </c>
      <c r="AG23" s="14">
        <v>0.260059108389118</v>
      </c>
      <c r="AH23" s="14">
        <v>1.8064259602145898E-2</v>
      </c>
      <c r="AI23" s="14">
        <v>0.14075286415711899</v>
      </c>
      <c r="AJ23" s="14">
        <v>0.14123376623376599</v>
      </c>
      <c r="AK23" s="14">
        <v>8.8580499999999993E-3</v>
      </c>
      <c r="AL23" s="14">
        <v>9.97433E-3</v>
      </c>
      <c r="AM23" s="14">
        <v>6.5466400000000003E-3</v>
      </c>
      <c r="AN23" s="14">
        <v>1.46104E-3</v>
      </c>
      <c r="AO23" s="14">
        <v>8.4424500000000006E-3</v>
      </c>
      <c r="AP23" s="14">
        <v>3.2670099999999999E-3</v>
      </c>
      <c r="AQ23" s="14">
        <v>5.1754399999999999E-3</v>
      </c>
    </row>
    <row r="24" spans="1:43">
      <c r="A24" s="14" t="s">
        <v>174</v>
      </c>
      <c r="B24" s="14" t="s">
        <v>116</v>
      </c>
      <c r="C24" s="14" t="s">
        <v>34</v>
      </c>
      <c r="D24">
        <v>578</v>
      </c>
      <c r="E24">
        <v>628</v>
      </c>
      <c r="F24" s="16">
        <f t="shared" si="2"/>
        <v>163.37949766026716</v>
      </c>
      <c r="G24" s="16">
        <f t="shared" si="3"/>
        <v>111.83437856062433</v>
      </c>
      <c r="H24" s="16">
        <f t="shared" si="4"/>
        <v>29.383587511993071</v>
      </c>
      <c r="I24" s="16">
        <f t="shared" si="5"/>
        <v>4.0958151069660431</v>
      </c>
      <c r="J24" s="16">
        <f t="shared" si="6"/>
        <v>17.222792937399582</v>
      </c>
      <c r="K24" s="16">
        <f t="shared" si="7"/>
        <v>85.682182985553524</v>
      </c>
      <c r="L24" s="16">
        <f t="shared" si="8"/>
        <v>70.999999999999787</v>
      </c>
      <c r="M24" s="16">
        <f t="shared" si="9"/>
        <v>39.752399999999994</v>
      </c>
      <c r="N24" s="16">
        <f t="shared" si="10"/>
        <v>0.83136524000000001</v>
      </c>
      <c r="O24" s="16">
        <f t="shared" si="11"/>
        <v>114.2646</v>
      </c>
      <c r="P24" s="16">
        <f t="shared" si="12"/>
        <v>5.0361141199999997</v>
      </c>
      <c r="Q24" s="16">
        <f t="shared" si="13"/>
        <v>4.0321053999999998</v>
      </c>
      <c r="R24" s="16">
        <f t="shared" si="14"/>
        <v>0.89999936000000003</v>
      </c>
      <c r="S24" s="16">
        <f t="shared" si="15"/>
        <v>28.069873000000001</v>
      </c>
      <c r="T24" s="16">
        <f t="shared" si="16"/>
        <v>5.0389966400000006</v>
      </c>
      <c r="U24" s="16">
        <f t="shared" si="17"/>
        <v>23.030876360000001</v>
      </c>
      <c r="V24">
        <f t="shared" si="18"/>
        <v>0.28266349076170788</v>
      </c>
      <c r="W24">
        <f t="shared" si="19"/>
        <v>0.33567948855115487</v>
      </c>
      <c r="X24">
        <f t="shared" si="20"/>
        <v>0.43560583158323002</v>
      </c>
      <c r="Y24">
        <f t="shared" si="21"/>
        <v>0.77128532013438489</v>
      </c>
      <c r="Z24" s="14">
        <v>0.32440000000000002</v>
      </c>
      <c r="AA24" s="14">
        <v>0.18195</v>
      </c>
      <c r="AB24" s="14">
        <v>6.3299999999999995E-2</v>
      </c>
      <c r="AD24">
        <f t="shared" si="22"/>
        <v>146.15670472286757</v>
      </c>
      <c r="AE24" s="14">
        <v>2.7424829518152199E-2</v>
      </c>
      <c r="AF24" s="14">
        <v>0.76516762452107201</v>
      </c>
      <c r="AG24" s="14">
        <v>0.20104166666666601</v>
      </c>
      <c r="AH24" s="14">
        <v>2.8023449999999998E-2</v>
      </c>
      <c r="AI24" s="14">
        <v>0.13643659711075401</v>
      </c>
      <c r="AJ24" s="14">
        <v>0.113057324840764</v>
      </c>
      <c r="AK24" s="14">
        <v>1.32383E-3</v>
      </c>
      <c r="AL24" s="14">
        <v>8.0192900000000001E-3</v>
      </c>
      <c r="AM24" s="14">
        <v>6.4205499999999997E-3</v>
      </c>
      <c r="AN24" s="14">
        <v>1.43312E-3</v>
      </c>
      <c r="AO24" s="14">
        <v>4.4697250000000001E-2</v>
      </c>
      <c r="AP24" s="14">
        <v>8.0238800000000006E-3</v>
      </c>
      <c r="AQ24" s="14">
        <v>3.6673369999999997E-2</v>
      </c>
    </row>
    <row r="25" spans="1:43">
      <c r="A25" s="14" t="s">
        <v>182</v>
      </c>
      <c r="B25" s="14" t="s">
        <v>130</v>
      </c>
      <c r="C25" s="14" t="s">
        <v>49</v>
      </c>
      <c r="D25">
        <v>566</v>
      </c>
      <c r="E25">
        <v>624</v>
      </c>
      <c r="F25" s="16">
        <f t="shared" si="2"/>
        <v>147.90452094948014</v>
      </c>
      <c r="G25" s="16">
        <f t="shared" si="3"/>
        <v>93.496557765693453</v>
      </c>
      <c r="H25" s="16">
        <f t="shared" si="4"/>
        <v>27.219388358523958</v>
      </c>
      <c r="I25" s="16">
        <f t="shared" si="5"/>
        <v>0.14868842355667566</v>
      </c>
      <c r="J25" s="16">
        <f t="shared" si="6"/>
        <v>27.962581919999998</v>
      </c>
      <c r="K25" s="16">
        <f t="shared" si="7"/>
        <v>78.503225806451468</v>
      </c>
      <c r="L25" s="16">
        <f t="shared" si="8"/>
        <v>86.999999999999432</v>
      </c>
      <c r="M25" s="16">
        <f t="shared" si="9"/>
        <v>50.980799999999995</v>
      </c>
      <c r="N25" s="16">
        <f t="shared" si="10"/>
        <v>3.9107015999999999</v>
      </c>
      <c r="O25" s="16">
        <f t="shared" si="11"/>
        <v>122.11679999999939</v>
      </c>
      <c r="P25" s="16">
        <f t="shared" si="12"/>
        <v>2.0116137599999999</v>
      </c>
      <c r="Q25" s="16">
        <f t="shared" si="13"/>
        <v>6.0387100800000004</v>
      </c>
      <c r="R25" s="16">
        <f t="shared" si="14"/>
        <v>0</v>
      </c>
      <c r="S25" s="16">
        <f t="shared" si="15"/>
        <v>9.4145962732918509</v>
      </c>
      <c r="T25" s="16">
        <f t="shared" si="16"/>
        <v>3.0378816</v>
      </c>
      <c r="U25" s="16">
        <f t="shared" si="17"/>
        <v>6.3767146732918505</v>
      </c>
      <c r="V25">
        <f t="shared" si="18"/>
        <v>0.26131540803795078</v>
      </c>
      <c r="W25">
        <f t="shared" si="19"/>
        <v>0.32668330939204882</v>
      </c>
      <c r="X25">
        <f t="shared" si="20"/>
        <v>0.459773370023695</v>
      </c>
      <c r="Y25">
        <f t="shared" si="21"/>
        <v>0.78645667941574382</v>
      </c>
      <c r="Z25" s="14">
        <v>0.28425</v>
      </c>
      <c r="AA25" s="14">
        <v>0.19569999999999901</v>
      </c>
      <c r="AB25" s="14">
        <v>8.1699999999999995E-2</v>
      </c>
      <c r="AD25">
        <f t="shared" si="22"/>
        <v>119.94193902948015</v>
      </c>
      <c r="AE25" s="14">
        <v>4.4811829999999997E-2</v>
      </c>
      <c r="AF25" s="14">
        <v>0.77951514309530401</v>
      </c>
      <c r="AG25" s="14">
        <v>0.22693803834398399</v>
      </c>
      <c r="AH25" s="14">
        <v>1.23967E-3</v>
      </c>
      <c r="AI25" s="14">
        <v>0.12580645161290299</v>
      </c>
      <c r="AJ25" s="14">
        <v>0.13942307692307601</v>
      </c>
      <c r="AK25" s="14">
        <v>6.26715E-3</v>
      </c>
      <c r="AL25" s="14">
        <v>3.2237400000000001E-3</v>
      </c>
      <c r="AM25" s="14">
        <v>9.6774200000000008E-3</v>
      </c>
      <c r="AN25" s="14">
        <v>0</v>
      </c>
      <c r="AO25" s="14">
        <v>1.50874940277113E-2</v>
      </c>
      <c r="AP25" s="14">
        <v>4.8684000000000002E-3</v>
      </c>
      <c r="AQ25" s="14">
        <v>1.02190985343159E-2</v>
      </c>
    </row>
    <row r="26" spans="1:43">
      <c r="A26" s="14" t="s">
        <v>189</v>
      </c>
      <c r="B26" s="14" t="s">
        <v>116</v>
      </c>
      <c r="C26" s="14" t="s">
        <v>124</v>
      </c>
      <c r="D26">
        <v>523</v>
      </c>
      <c r="E26">
        <v>606</v>
      </c>
      <c r="F26" s="16">
        <f t="shared" si="2"/>
        <v>142.27984783141997</v>
      </c>
      <c r="G26" s="16">
        <f t="shared" si="3"/>
        <v>86.09289965643552</v>
      </c>
      <c r="H26" s="16">
        <f t="shared" si="4"/>
        <v>29.360016710101</v>
      </c>
      <c r="I26" s="16">
        <f t="shared" si="5"/>
        <v>1.0076529580452527</v>
      </c>
      <c r="J26" s="16">
        <f t="shared" si="6"/>
        <v>26.313043478260816</v>
      </c>
      <c r="K26" s="16">
        <f t="shared" si="7"/>
        <v>84.110367892976228</v>
      </c>
      <c r="L26" s="16">
        <f t="shared" si="8"/>
        <v>83.999999999999616</v>
      </c>
      <c r="M26" s="16">
        <f t="shared" si="9"/>
        <v>74.537999999999997</v>
      </c>
      <c r="N26" s="16">
        <f t="shared" si="10"/>
        <v>7.3317159956747284</v>
      </c>
      <c r="O26" s="16">
        <f t="shared" si="11"/>
        <v>129.2900999999994</v>
      </c>
      <c r="P26" s="16">
        <f t="shared" si="12"/>
        <v>5.0602030200000003</v>
      </c>
      <c r="Q26" s="16">
        <f t="shared" si="13"/>
        <v>4.0535097599999999</v>
      </c>
      <c r="R26" s="16">
        <f t="shared" si="14"/>
        <v>0</v>
      </c>
      <c r="S26" s="16">
        <f t="shared" si="15"/>
        <v>9.2560137000000005</v>
      </c>
      <c r="T26" s="16">
        <f t="shared" si="16"/>
        <v>3.0100322999999998</v>
      </c>
      <c r="U26" s="16">
        <f t="shared" si="17"/>
        <v>6.2459814000000007</v>
      </c>
      <c r="V26">
        <f t="shared" si="18"/>
        <v>0.27204559814803053</v>
      </c>
      <c r="W26">
        <f t="shared" si="19"/>
        <v>0.37641817088294666</v>
      </c>
      <c r="X26">
        <f t="shared" si="20"/>
        <v>0.4839159959155192</v>
      </c>
      <c r="Y26">
        <f t="shared" si="21"/>
        <v>0.86033416679846586</v>
      </c>
      <c r="Z26" s="14">
        <v>0.31219999999999998</v>
      </c>
      <c r="AA26" s="14">
        <v>0.21334999999999901</v>
      </c>
      <c r="AB26" s="14">
        <v>0.123</v>
      </c>
      <c r="AD26">
        <f t="shared" si="22"/>
        <v>115.96680435315915</v>
      </c>
      <c r="AE26" s="14">
        <v>4.3420863825512898E-2</v>
      </c>
      <c r="AF26" s="14">
        <v>0.74239261947973301</v>
      </c>
      <c r="AG26" s="14">
        <v>0.253176043557168</v>
      </c>
      <c r="AH26" s="14">
        <v>8.6891499999999997E-3</v>
      </c>
      <c r="AI26" s="14">
        <v>0.13879598662207299</v>
      </c>
      <c r="AJ26" s="14">
        <v>0.13861386138613799</v>
      </c>
      <c r="AK26" s="14">
        <v>1.2098541246988E-2</v>
      </c>
      <c r="AL26" s="14">
        <v>8.3501700000000005E-3</v>
      </c>
      <c r="AM26" s="14">
        <v>6.6889599999999999E-3</v>
      </c>
      <c r="AN26" s="14">
        <v>0</v>
      </c>
      <c r="AO26" s="14">
        <v>1.527395E-2</v>
      </c>
      <c r="AP26" s="14">
        <v>4.9670499999999998E-3</v>
      </c>
      <c r="AQ26" s="14">
        <v>1.0306900000000001E-2</v>
      </c>
    </row>
    <row r="27" spans="1:43">
      <c r="A27" s="14" t="s">
        <v>199</v>
      </c>
      <c r="B27" s="14" t="s">
        <v>200</v>
      </c>
      <c r="C27" s="14" t="s">
        <v>20</v>
      </c>
      <c r="D27">
        <v>469</v>
      </c>
      <c r="E27">
        <v>553</v>
      </c>
      <c r="F27" s="16">
        <f t="shared" si="2"/>
        <v>136.92857437053843</v>
      </c>
      <c r="G27" s="16">
        <f t="shared" si="3"/>
        <v>76.517134338996783</v>
      </c>
      <c r="H27" s="16">
        <f t="shared" si="4"/>
        <v>27.133434429866139</v>
      </c>
      <c r="I27" s="16">
        <f t="shared" si="5"/>
        <v>1.1956990518531825</v>
      </c>
      <c r="J27" s="16">
        <f t="shared" si="6"/>
        <v>32.980769230769205</v>
      </c>
      <c r="K27" s="16">
        <f t="shared" si="7"/>
        <v>83.051282051281959</v>
      </c>
      <c r="L27" s="16">
        <f t="shared" si="8"/>
        <v>83.999999999999901</v>
      </c>
      <c r="M27" s="16">
        <f t="shared" si="9"/>
        <v>69.290899999999993</v>
      </c>
      <c r="N27" s="16">
        <f t="shared" si="10"/>
        <v>10.514182692307639</v>
      </c>
      <c r="O27" s="16">
        <f t="shared" si="11"/>
        <v>94.590650000000011</v>
      </c>
      <c r="P27" s="16">
        <f t="shared" si="12"/>
        <v>7.9923099199999994</v>
      </c>
      <c r="Q27" s="16">
        <f t="shared" si="13"/>
        <v>5.0641030300000001</v>
      </c>
      <c r="R27" s="16">
        <f t="shared" si="14"/>
        <v>0.90000197000000004</v>
      </c>
      <c r="S27" s="16">
        <f t="shared" si="15"/>
        <v>3.48437558</v>
      </c>
      <c r="T27" s="16">
        <f t="shared" si="16"/>
        <v>1.00090788</v>
      </c>
      <c r="U27" s="16">
        <f t="shared" si="17"/>
        <v>2.4834677000000003</v>
      </c>
      <c r="V27">
        <f t="shared" si="18"/>
        <v>0.29195858074741671</v>
      </c>
      <c r="W27">
        <f t="shared" si="19"/>
        <v>0.40573834539969611</v>
      </c>
      <c r="X27">
        <f t="shared" si="20"/>
        <v>0.56779142276623751</v>
      </c>
      <c r="Y27">
        <f t="shared" si="21"/>
        <v>0.97352976816593362</v>
      </c>
      <c r="Z27" s="14">
        <v>0.3</v>
      </c>
      <c r="AA27" s="14">
        <v>0.17105000000000001</v>
      </c>
      <c r="AB27" s="14">
        <v>0.12529999999999999</v>
      </c>
      <c r="AD27">
        <f t="shared" si="22"/>
        <v>103.94780513976922</v>
      </c>
      <c r="AE27" s="14">
        <v>5.96397273612463E-2</v>
      </c>
      <c r="AF27" s="14">
        <v>0.73611111111111105</v>
      </c>
      <c r="AG27" s="14">
        <v>0.26102941176470501</v>
      </c>
      <c r="AH27" s="14">
        <v>1.15028792598885E-2</v>
      </c>
      <c r="AI27" s="14">
        <v>0.15018315018315001</v>
      </c>
      <c r="AJ27" s="14">
        <v>0.151898734177215</v>
      </c>
      <c r="AK27" s="14">
        <v>1.90129885936847E-2</v>
      </c>
      <c r="AL27" s="14">
        <v>1.4452639999999999E-2</v>
      </c>
      <c r="AM27" s="14">
        <v>9.1575100000000006E-3</v>
      </c>
      <c r="AN27" s="14">
        <v>1.6274900000000001E-3</v>
      </c>
      <c r="AO27" s="14">
        <v>6.3008600000000001E-3</v>
      </c>
      <c r="AP27" s="14">
        <v>1.80996E-3</v>
      </c>
      <c r="AQ27" s="14">
        <v>4.4908999999999999E-3</v>
      </c>
    </row>
    <row r="28" spans="1:43">
      <c r="A28" s="14" t="s">
        <v>206</v>
      </c>
      <c r="B28" s="14" t="s">
        <v>66</v>
      </c>
      <c r="C28" s="14" t="s">
        <v>124</v>
      </c>
      <c r="D28">
        <v>576</v>
      </c>
      <c r="E28">
        <v>666</v>
      </c>
      <c r="F28" s="16">
        <f t="shared" si="2"/>
        <v>137.55952663662598</v>
      </c>
      <c r="G28" s="16">
        <f t="shared" si="3"/>
        <v>82.990190013755509</v>
      </c>
      <c r="H28" s="16">
        <f t="shared" si="4"/>
        <v>27.171880981728641</v>
      </c>
      <c r="I28" s="16">
        <f t="shared" si="5"/>
        <v>0.98019899218177398</v>
      </c>
      <c r="J28" s="16">
        <f t="shared" si="6"/>
        <v>26.512727399999999</v>
      </c>
      <c r="K28" s="16">
        <f t="shared" si="7"/>
        <v>80.727272727272577</v>
      </c>
      <c r="L28" s="16">
        <f t="shared" si="8"/>
        <v>91.999999999999901</v>
      </c>
      <c r="M28" s="16">
        <f t="shared" si="9"/>
        <v>80.652599999999339</v>
      </c>
      <c r="N28" s="16">
        <f t="shared" si="10"/>
        <v>3.9179914199999999</v>
      </c>
      <c r="O28" s="16">
        <f t="shared" si="11"/>
        <v>159.84</v>
      </c>
      <c r="P28" s="16">
        <f t="shared" si="12"/>
        <v>5.9490916200000008</v>
      </c>
      <c r="Q28" s="16">
        <f t="shared" si="13"/>
        <v>5.0454561599999996</v>
      </c>
      <c r="R28" s="16">
        <f t="shared" si="14"/>
        <v>0.89999910000000005</v>
      </c>
      <c r="S28" s="16">
        <f t="shared" si="15"/>
        <v>0.99271295999999998</v>
      </c>
      <c r="T28" s="16">
        <f t="shared" si="16"/>
        <v>0</v>
      </c>
      <c r="U28" s="16">
        <f t="shared" si="17"/>
        <v>0.99271295999999998</v>
      </c>
      <c r="V28">
        <f t="shared" si="18"/>
        <v>0.23881862263303122</v>
      </c>
      <c r="W28">
        <f t="shared" si="19"/>
        <v>0.34265882036026607</v>
      </c>
      <c r="X28">
        <f t="shared" si="20"/>
        <v>0.42764836554471891</v>
      </c>
      <c r="Y28">
        <f t="shared" si="21"/>
        <v>0.77030718590498504</v>
      </c>
      <c r="Z28" s="14">
        <v>0.28134999999999999</v>
      </c>
      <c r="AA28" s="14">
        <v>0.24</v>
      </c>
      <c r="AB28" s="14">
        <v>0.121099999999999</v>
      </c>
      <c r="AD28">
        <f t="shared" si="22"/>
        <v>111.04679923662599</v>
      </c>
      <c r="AE28" s="14">
        <v>3.9808900000000001E-2</v>
      </c>
      <c r="AF28" s="14">
        <v>0.74734427812650805</v>
      </c>
      <c r="AG28" s="14">
        <v>0.244688556253017</v>
      </c>
      <c r="AH28" s="14">
        <v>8.8269000000000004E-3</v>
      </c>
      <c r="AI28" s="14">
        <v>0.12121212121212099</v>
      </c>
      <c r="AJ28" s="14">
        <v>0.13813813813813799</v>
      </c>
      <c r="AK28" s="14">
        <v>5.8828700000000001E-3</v>
      </c>
      <c r="AL28" s="14">
        <v>8.9325700000000008E-3</v>
      </c>
      <c r="AM28" s="14">
        <v>7.57576E-3</v>
      </c>
      <c r="AN28" s="14">
        <v>1.3513500000000001E-3</v>
      </c>
      <c r="AO28" s="14">
        <v>1.4905599999999999E-3</v>
      </c>
      <c r="AP28" s="14">
        <v>0</v>
      </c>
      <c r="AQ28" s="14">
        <v>1.4905599999999999E-3</v>
      </c>
    </row>
    <row r="29" spans="1:43">
      <c r="A29" s="14" t="s">
        <v>213</v>
      </c>
      <c r="B29" s="14" t="s">
        <v>214</v>
      </c>
      <c r="C29" s="14" t="s">
        <v>34</v>
      </c>
      <c r="D29">
        <v>567</v>
      </c>
      <c r="E29">
        <v>634</v>
      </c>
      <c r="F29" s="16">
        <f t="shared" si="2"/>
        <v>142.63074811709799</v>
      </c>
      <c r="G29" s="16">
        <f t="shared" si="3"/>
        <v>84.693597651946547</v>
      </c>
      <c r="H29" s="16">
        <f t="shared" si="4"/>
        <v>29.765791114789064</v>
      </c>
      <c r="I29" s="16">
        <f t="shared" si="5"/>
        <v>1.0276363807693589</v>
      </c>
      <c r="J29" s="16">
        <f t="shared" si="6"/>
        <v>26.361244499999998</v>
      </c>
      <c r="K29" s="16">
        <f t="shared" si="7"/>
        <v>84.937799043061744</v>
      </c>
      <c r="L29" s="16">
        <f t="shared" si="8"/>
        <v>74.999999999999829</v>
      </c>
      <c r="M29" s="16">
        <f t="shared" si="9"/>
        <v>43.936199999999999</v>
      </c>
      <c r="N29" s="16">
        <f t="shared" si="10"/>
        <v>3.6151757800000004</v>
      </c>
      <c r="O29" s="16">
        <f t="shared" si="11"/>
        <v>153.26949999999999</v>
      </c>
      <c r="P29" s="16">
        <f t="shared" si="12"/>
        <v>16.16076778</v>
      </c>
      <c r="Q29" s="16">
        <f t="shared" si="13"/>
        <v>4.04466006</v>
      </c>
      <c r="R29" s="16">
        <f t="shared" si="14"/>
        <v>2.8906786199999996</v>
      </c>
      <c r="S29" s="16">
        <f t="shared" si="15"/>
        <v>27.40037684</v>
      </c>
      <c r="T29" s="16">
        <f t="shared" si="16"/>
        <v>8.1168610799999996</v>
      </c>
      <c r="U29" s="16">
        <f t="shared" si="17"/>
        <v>19.28351576</v>
      </c>
      <c r="V29">
        <f t="shared" si="18"/>
        <v>0.25155334764920279</v>
      </c>
      <c r="W29">
        <f t="shared" si="19"/>
        <v>0.33356646296140929</v>
      </c>
      <c r="X29">
        <f t="shared" si="20"/>
        <v>0.44577260498030463</v>
      </c>
      <c r="Y29">
        <f t="shared" si="21"/>
        <v>0.77933906794171393</v>
      </c>
      <c r="Z29" s="14">
        <v>0.29704999999999998</v>
      </c>
      <c r="AA29" s="14">
        <v>0.24174999999999999</v>
      </c>
      <c r="AB29" s="14">
        <v>6.93E-2</v>
      </c>
      <c r="AD29">
        <f t="shared" si="22"/>
        <v>116.269503617098</v>
      </c>
      <c r="AE29" s="14">
        <v>4.1579249999999998E-2</v>
      </c>
      <c r="AF29" s="14">
        <v>0.72842486651411098</v>
      </c>
      <c r="AG29" s="14">
        <v>0.25600686498855801</v>
      </c>
      <c r="AH29" s="14">
        <v>8.8383999999999997E-3</v>
      </c>
      <c r="AI29" s="14">
        <v>0.13397129186602799</v>
      </c>
      <c r="AJ29" s="14">
        <v>0.118296529968454</v>
      </c>
      <c r="AK29" s="14">
        <v>5.7021700000000003E-3</v>
      </c>
      <c r="AL29" s="14">
        <v>2.5490169999999999E-2</v>
      </c>
      <c r="AM29" s="14">
        <v>6.3795900000000001E-3</v>
      </c>
      <c r="AN29" s="14">
        <v>4.5594299999999997E-3</v>
      </c>
      <c r="AO29" s="14">
        <v>4.3218260000000001E-2</v>
      </c>
      <c r="AP29" s="14">
        <v>1.2802620000000001E-2</v>
      </c>
      <c r="AQ29" s="14">
        <v>3.0415638019122102E-2</v>
      </c>
    </row>
    <row r="30" spans="1:43">
      <c r="A30" s="14" t="s">
        <v>222</v>
      </c>
      <c r="B30" s="14" t="s">
        <v>136</v>
      </c>
      <c r="C30" s="14" t="s">
        <v>20</v>
      </c>
      <c r="D30">
        <v>569</v>
      </c>
      <c r="E30">
        <v>640</v>
      </c>
      <c r="F30" s="16">
        <f t="shared" si="2"/>
        <v>151.18738481408019</v>
      </c>
      <c r="G30" s="16">
        <f t="shared" si="3"/>
        <v>83.941493040893477</v>
      </c>
      <c r="H30" s="16">
        <f t="shared" si="4"/>
        <v>31.969580329752066</v>
      </c>
      <c r="I30" s="16">
        <f t="shared" si="5"/>
        <v>1.8887397384539992</v>
      </c>
      <c r="J30" s="16">
        <f t="shared" si="6"/>
        <v>34.140947199999999</v>
      </c>
      <c r="K30" s="16">
        <f t="shared" si="7"/>
        <v>89.700787401574402</v>
      </c>
      <c r="L30" s="16">
        <f t="shared" si="8"/>
        <v>96</v>
      </c>
      <c r="M30" s="16">
        <f t="shared" si="9"/>
        <v>59.711999999999996</v>
      </c>
      <c r="N30" s="16">
        <f t="shared" si="10"/>
        <v>2.767776</v>
      </c>
      <c r="O30" s="16">
        <f t="shared" si="11"/>
        <v>161.50399999999937</v>
      </c>
      <c r="P30" s="16">
        <f t="shared" si="12"/>
        <v>7.8566929133857277</v>
      </c>
      <c r="Q30" s="16">
        <f t="shared" si="13"/>
        <v>4.0314944000000006</v>
      </c>
      <c r="R30" s="16">
        <f t="shared" si="14"/>
        <v>0</v>
      </c>
      <c r="S30" s="16">
        <f t="shared" si="15"/>
        <v>6.1842112</v>
      </c>
      <c r="T30" s="16">
        <f t="shared" si="16"/>
        <v>2.0263168</v>
      </c>
      <c r="U30" s="16">
        <f t="shared" si="17"/>
        <v>4.1578944</v>
      </c>
      <c r="V30">
        <f t="shared" si="18"/>
        <v>0.26570717893511459</v>
      </c>
      <c r="W30">
        <f t="shared" si="19"/>
        <v>0.34857580666985744</v>
      </c>
      <c r="X30">
        <f t="shared" si="20"/>
        <v>0.50986056540555291</v>
      </c>
      <c r="Y30">
        <f t="shared" si="21"/>
        <v>0.85843637207541035</v>
      </c>
      <c r="Z30" s="14">
        <v>0.31014999999999998</v>
      </c>
      <c r="AA30" s="14">
        <v>0.25234999999999902</v>
      </c>
      <c r="AB30" s="14">
        <v>9.3299999999999994E-2</v>
      </c>
      <c r="AD30">
        <f t="shared" si="22"/>
        <v>117.04643761408019</v>
      </c>
      <c r="AE30" s="14">
        <v>5.334523E-2</v>
      </c>
      <c r="AF30" s="14">
        <v>0.717164014146772</v>
      </c>
      <c r="AG30" s="14">
        <v>0.27313586796345402</v>
      </c>
      <c r="AH30" s="14">
        <v>1.6136669999999999E-2</v>
      </c>
      <c r="AI30" s="14">
        <v>0.14015748031496</v>
      </c>
      <c r="AJ30" s="14">
        <v>0.15</v>
      </c>
      <c r="AK30" s="14">
        <v>4.3246500000000002E-3</v>
      </c>
      <c r="AL30" s="14">
        <v>1.22760826771652E-2</v>
      </c>
      <c r="AM30" s="14">
        <v>6.2992100000000004E-3</v>
      </c>
      <c r="AN30" s="14">
        <v>0</v>
      </c>
      <c r="AO30" s="14">
        <v>9.6628300000000007E-3</v>
      </c>
      <c r="AP30" s="14">
        <v>3.1661200000000001E-3</v>
      </c>
      <c r="AQ30" s="14">
        <v>6.4967100000000002E-3</v>
      </c>
    </row>
    <row r="31" spans="1:43">
      <c r="A31" s="14" t="s">
        <v>227</v>
      </c>
      <c r="B31" s="14" t="s">
        <v>228</v>
      </c>
      <c r="C31" s="14" t="s">
        <v>20</v>
      </c>
      <c r="D31">
        <v>563</v>
      </c>
      <c r="E31">
        <v>620</v>
      </c>
      <c r="F31" s="16">
        <f t="shared" si="2"/>
        <v>138.25547859666003</v>
      </c>
      <c r="G31" s="16">
        <f t="shared" si="3"/>
        <v>83.302462982284126</v>
      </c>
      <c r="H31" s="16">
        <f t="shared" si="4"/>
        <v>27.657068724832623</v>
      </c>
      <c r="I31" s="16">
        <f t="shared" si="5"/>
        <v>4.6808024895453029</v>
      </c>
      <c r="J31" s="16">
        <f t="shared" si="6"/>
        <v>22.293482600000001</v>
      </c>
      <c r="K31" s="16">
        <f t="shared" si="7"/>
        <v>87.850162866449153</v>
      </c>
      <c r="L31" s="16">
        <f t="shared" si="8"/>
        <v>78.999999999999588</v>
      </c>
      <c r="M31" s="16">
        <f t="shared" si="9"/>
        <v>35.588000000000001</v>
      </c>
      <c r="N31" s="16">
        <f t="shared" si="10"/>
        <v>1.2249835999999998</v>
      </c>
      <c r="O31" s="16">
        <f t="shared" si="11"/>
        <v>149.57499999999999</v>
      </c>
      <c r="P31" s="16">
        <f t="shared" si="12"/>
        <v>8.070358306188858</v>
      </c>
      <c r="Q31" s="16">
        <f t="shared" si="13"/>
        <v>5.0488584000000003</v>
      </c>
      <c r="R31" s="16">
        <f t="shared" si="14"/>
        <v>7.7776395999999997</v>
      </c>
      <c r="S31" s="16">
        <f t="shared" si="15"/>
        <v>34.405281800000004</v>
      </c>
      <c r="T31" s="16">
        <f t="shared" si="16"/>
        <v>8.4800003999999998</v>
      </c>
      <c r="U31" s="16">
        <f t="shared" si="17"/>
        <v>25.925281400000003</v>
      </c>
      <c r="V31">
        <f t="shared" si="18"/>
        <v>0.2455692337418473</v>
      </c>
      <c r="W31">
        <f t="shared" si="19"/>
        <v>0.30277793668929925</v>
      </c>
      <c r="X31">
        <f t="shared" si="20"/>
        <v>0.42954340728345519</v>
      </c>
      <c r="Y31">
        <f t="shared" si="21"/>
        <v>0.7323213439727545</v>
      </c>
      <c r="Z31" s="14">
        <v>0.29270000000000002</v>
      </c>
      <c r="AA31" s="14">
        <v>0.24124999999999999</v>
      </c>
      <c r="AB31" s="14">
        <v>5.74E-2</v>
      </c>
      <c r="AD31">
        <f t="shared" si="22"/>
        <v>115.96199599666004</v>
      </c>
      <c r="AE31" s="14">
        <v>3.595723E-2</v>
      </c>
      <c r="AF31" s="14">
        <v>0.71836003051106001</v>
      </c>
      <c r="AG31" s="14">
        <v>0.23850114416475901</v>
      </c>
      <c r="AH31" s="14">
        <v>4.036497E-2</v>
      </c>
      <c r="AI31" s="14">
        <v>0.14169381107491799</v>
      </c>
      <c r="AJ31" s="14">
        <v>0.127419354838709</v>
      </c>
      <c r="AK31" s="14">
        <v>1.9757799999999999E-3</v>
      </c>
      <c r="AL31" s="14">
        <v>1.3016706945465899E-2</v>
      </c>
      <c r="AM31" s="14">
        <v>8.1433200000000008E-3</v>
      </c>
      <c r="AN31" s="14">
        <v>1.254458E-2</v>
      </c>
      <c r="AO31" s="14">
        <v>5.5492390000000003E-2</v>
      </c>
      <c r="AP31" s="14">
        <v>1.3677419999999999E-2</v>
      </c>
      <c r="AQ31" s="14">
        <v>4.1814966940492797E-2</v>
      </c>
    </row>
    <row r="32" spans="1:43">
      <c r="A32" s="14" t="s">
        <v>235</v>
      </c>
      <c r="B32" s="14" t="s">
        <v>27</v>
      </c>
      <c r="C32" s="14" t="s">
        <v>34</v>
      </c>
      <c r="D32">
        <v>545</v>
      </c>
      <c r="E32">
        <v>621</v>
      </c>
      <c r="F32" s="16">
        <f t="shared" si="2"/>
        <v>144.54468344089597</v>
      </c>
      <c r="G32" s="16">
        <f t="shared" si="3"/>
        <v>91.258815002371918</v>
      </c>
      <c r="H32" s="16">
        <f t="shared" si="4"/>
        <v>30.763898703671753</v>
      </c>
      <c r="I32" s="16">
        <f t="shared" si="5"/>
        <v>2.2823133600138061</v>
      </c>
      <c r="J32" s="16">
        <f t="shared" si="6"/>
        <v>20.246102820000001</v>
      </c>
      <c r="K32" s="16">
        <f t="shared" si="7"/>
        <v>83.673701298700834</v>
      </c>
      <c r="L32" s="16">
        <f t="shared" si="8"/>
        <v>80.999999999999602</v>
      </c>
      <c r="M32" s="16">
        <f t="shared" si="9"/>
        <v>63.652499999999378</v>
      </c>
      <c r="N32" s="16">
        <f t="shared" si="10"/>
        <v>2.4975315899999999</v>
      </c>
      <c r="O32" s="16">
        <f t="shared" si="11"/>
        <v>72.812249999999992</v>
      </c>
      <c r="P32" s="16">
        <f t="shared" si="12"/>
        <v>5.8438335599999993</v>
      </c>
      <c r="Q32" s="16">
        <f t="shared" si="13"/>
        <v>6.0487014600000002</v>
      </c>
      <c r="R32" s="16">
        <f t="shared" si="14"/>
        <v>0.90000288000000006</v>
      </c>
      <c r="S32" s="16">
        <f t="shared" si="15"/>
        <v>9.373271889400911</v>
      </c>
      <c r="T32" s="16">
        <f t="shared" si="16"/>
        <v>2.02537908</v>
      </c>
      <c r="U32" s="16">
        <f t="shared" si="17"/>
        <v>7.3478928094009106</v>
      </c>
      <c r="V32">
        <f t="shared" si="18"/>
        <v>0.26521960264384581</v>
      </c>
      <c r="W32">
        <f t="shared" si="19"/>
        <v>0.35084088316388934</v>
      </c>
      <c r="X32">
        <f t="shared" si="20"/>
        <v>0.4415008509536823</v>
      </c>
      <c r="Y32">
        <f t="shared" si="21"/>
        <v>0.79234173411757158</v>
      </c>
      <c r="Z32" s="14">
        <v>0.27139999999999997</v>
      </c>
      <c r="AA32" s="14">
        <v>0.11724999999999999</v>
      </c>
      <c r="AB32" s="14">
        <v>0.10249999999999899</v>
      </c>
      <c r="AD32">
        <f t="shared" si="22"/>
        <v>124.29858062089598</v>
      </c>
      <c r="AE32" s="14">
        <v>3.260242E-2</v>
      </c>
      <c r="AF32" s="14">
        <v>0.73419032258064498</v>
      </c>
      <c r="AG32" s="14">
        <v>0.2475</v>
      </c>
      <c r="AH32" s="14">
        <v>1.8361539999999999E-2</v>
      </c>
      <c r="AI32" s="14">
        <v>0.13474025974025899</v>
      </c>
      <c r="AJ32" s="14">
        <v>0.13043478260869501</v>
      </c>
      <c r="AK32" s="14">
        <v>4.0217899999999999E-3</v>
      </c>
      <c r="AL32" s="14">
        <v>9.4103599999999996E-3</v>
      </c>
      <c r="AM32" s="14">
        <v>9.7402600000000006E-3</v>
      </c>
      <c r="AN32" s="14">
        <v>1.4492800000000001E-3</v>
      </c>
      <c r="AO32" s="14">
        <v>1.50938355706939E-2</v>
      </c>
      <c r="AP32" s="14">
        <v>3.2614800000000002E-3</v>
      </c>
      <c r="AQ32" s="14">
        <v>1.18323529448326E-2</v>
      </c>
    </row>
    <row r="33" spans="1:43">
      <c r="A33" s="14" t="s">
        <v>242</v>
      </c>
      <c r="B33" s="14" t="s">
        <v>243</v>
      </c>
      <c r="C33" s="14" t="s">
        <v>124</v>
      </c>
      <c r="D33">
        <v>562</v>
      </c>
      <c r="E33">
        <v>656</v>
      </c>
      <c r="F33" s="16">
        <f t="shared" si="2"/>
        <v>141.68064302167963</v>
      </c>
      <c r="G33" s="16">
        <f t="shared" si="3"/>
        <v>81.842755456737308</v>
      </c>
      <c r="H33" s="16">
        <f t="shared" si="4"/>
        <v>27.378699555419907</v>
      </c>
      <c r="I33" s="16">
        <f t="shared" si="5"/>
        <v>1.0006520434232378</v>
      </c>
      <c r="J33" s="16">
        <f t="shared" si="6"/>
        <v>32.165844800000002</v>
      </c>
      <c r="K33" s="16">
        <f t="shared" si="7"/>
        <v>85.784615384614881</v>
      </c>
      <c r="L33" s="16">
        <f t="shared" si="8"/>
        <v>91.99999999999973</v>
      </c>
      <c r="M33" s="16">
        <f t="shared" si="9"/>
        <v>82.393599999999992</v>
      </c>
      <c r="N33" s="16">
        <f t="shared" si="10"/>
        <v>10.251674366449805</v>
      </c>
      <c r="O33" s="16">
        <f t="shared" si="11"/>
        <v>158.94880000000001</v>
      </c>
      <c r="P33" s="16">
        <f t="shared" si="12"/>
        <v>6.0498484800000005</v>
      </c>
      <c r="Q33" s="16">
        <f t="shared" si="13"/>
        <v>4.0369256</v>
      </c>
      <c r="R33" s="16">
        <f t="shared" si="14"/>
        <v>0.8999992</v>
      </c>
      <c r="S33" s="16">
        <f t="shared" si="15"/>
        <v>2.2172012799999998</v>
      </c>
      <c r="T33" s="16">
        <f t="shared" si="16"/>
        <v>1.01239824</v>
      </c>
      <c r="U33" s="16">
        <f t="shared" si="17"/>
        <v>1.2048030399999998</v>
      </c>
      <c r="V33">
        <f t="shared" si="18"/>
        <v>0.25210078829480359</v>
      </c>
      <c r="W33">
        <f t="shared" si="19"/>
        <v>0.36493435814778818</v>
      </c>
      <c r="X33">
        <f t="shared" si="20"/>
        <v>0.4773407293555994</v>
      </c>
      <c r="Y33">
        <f t="shared" si="21"/>
        <v>0.84227508750338753</v>
      </c>
      <c r="Z33" s="14">
        <v>0.29209999999999903</v>
      </c>
      <c r="AA33" s="14">
        <v>0.24229999999999999</v>
      </c>
      <c r="AB33" s="14">
        <v>0.12559999999999999</v>
      </c>
      <c r="AD33">
        <f t="shared" si="22"/>
        <v>109.51479822167963</v>
      </c>
      <c r="AE33" s="14">
        <v>4.9033300000000002E-2</v>
      </c>
      <c r="AF33" s="14">
        <v>0.74732142857142803</v>
      </c>
      <c r="AG33" s="14">
        <v>0.25</v>
      </c>
      <c r="AH33" s="14">
        <v>9.1371400000000002E-3</v>
      </c>
      <c r="AI33" s="14">
        <v>0.13076923076923</v>
      </c>
      <c r="AJ33" s="14">
        <v>0.14024390243902399</v>
      </c>
      <c r="AK33" s="14">
        <v>1.56275523878808E-2</v>
      </c>
      <c r="AL33" s="14">
        <v>9.2223300000000008E-3</v>
      </c>
      <c r="AM33" s="14">
        <v>6.1538499999999998E-3</v>
      </c>
      <c r="AN33" s="14">
        <v>1.37195E-3</v>
      </c>
      <c r="AO33" s="14">
        <v>3.37988E-3</v>
      </c>
      <c r="AP33" s="14">
        <v>1.5432899999999999E-3</v>
      </c>
      <c r="AQ33" s="14">
        <v>1.8365899999999999E-3</v>
      </c>
    </row>
    <row r="34" spans="1:43">
      <c r="A34" s="14" t="s">
        <v>247</v>
      </c>
      <c r="B34" s="14" t="s">
        <v>248</v>
      </c>
      <c r="C34" s="14" t="s">
        <v>20</v>
      </c>
      <c r="D34">
        <v>549</v>
      </c>
      <c r="E34">
        <v>630</v>
      </c>
      <c r="F34" s="16">
        <f t="shared" si="2"/>
        <v>142.39529959637906</v>
      </c>
      <c r="G34" s="16">
        <f t="shared" si="3"/>
        <v>88.462134503243419</v>
      </c>
      <c r="H34" s="16">
        <f t="shared" si="4"/>
        <v>29.807344007375029</v>
      </c>
      <c r="I34" s="16">
        <f t="shared" si="5"/>
        <v>1.8370732576568287</v>
      </c>
      <c r="J34" s="16">
        <f t="shared" si="6"/>
        <v>23.165923566878948</v>
      </c>
      <c r="K34" s="16">
        <f t="shared" si="7"/>
        <v>81.257961783439356</v>
      </c>
      <c r="L34" s="16">
        <f t="shared" si="8"/>
        <v>79.999999999999389</v>
      </c>
      <c r="M34" s="16">
        <f t="shared" si="9"/>
        <v>72.197999999999993</v>
      </c>
      <c r="N34" s="16">
        <f t="shared" si="10"/>
        <v>4.7703915000000006</v>
      </c>
      <c r="O34" s="16">
        <f t="shared" si="11"/>
        <v>182.44799999999938</v>
      </c>
      <c r="P34" s="16">
        <f t="shared" si="12"/>
        <v>3.9114621000000001</v>
      </c>
      <c r="Q34" s="16">
        <f t="shared" si="13"/>
        <v>3.0095540999999999</v>
      </c>
      <c r="R34" s="16">
        <f t="shared" si="14"/>
        <v>0.89999910000000005</v>
      </c>
      <c r="S34" s="16">
        <f t="shared" si="15"/>
        <v>16.157609999999998</v>
      </c>
      <c r="T34" s="16">
        <f t="shared" si="16"/>
        <v>6.0350849999999996</v>
      </c>
      <c r="U34" s="16">
        <f t="shared" si="17"/>
        <v>10.122525</v>
      </c>
      <c r="V34">
        <f t="shared" si="18"/>
        <v>0.25937213041234802</v>
      </c>
      <c r="W34">
        <f t="shared" si="19"/>
        <v>0.35498089362003071</v>
      </c>
      <c r="X34">
        <f t="shared" si="20"/>
        <v>0.44854596823038206</v>
      </c>
      <c r="Y34">
        <f t="shared" si="21"/>
        <v>0.80352686185041278</v>
      </c>
      <c r="Z34" s="14">
        <v>0.34419999999999901</v>
      </c>
      <c r="AA34" s="14">
        <v>0.28959999999999902</v>
      </c>
      <c r="AB34" s="14">
        <v>0.11459999999999999</v>
      </c>
      <c r="AD34">
        <f t="shared" si="22"/>
        <v>119.22937602950012</v>
      </c>
      <c r="AE34" s="14">
        <v>3.6771307249014201E-2</v>
      </c>
      <c r="AF34" s="14">
        <v>0.74194915254237204</v>
      </c>
      <c r="AG34" s="14">
        <v>0.25</v>
      </c>
      <c r="AH34" s="14">
        <v>1.5407891233132799E-2</v>
      </c>
      <c r="AI34" s="14">
        <v>0.128980891719745</v>
      </c>
      <c r="AJ34" s="14">
        <v>0.12698412698412601</v>
      </c>
      <c r="AK34" s="14">
        <v>7.5720500000000003E-3</v>
      </c>
      <c r="AL34" s="14">
        <v>6.2086700000000003E-3</v>
      </c>
      <c r="AM34" s="14">
        <v>4.7770699999999996E-3</v>
      </c>
      <c r="AN34" s="14">
        <v>1.4285700000000001E-3</v>
      </c>
      <c r="AO34" s="14">
        <v>2.5647E-2</v>
      </c>
      <c r="AP34" s="14">
        <v>9.5794999999999995E-3</v>
      </c>
      <c r="AQ34" s="14">
        <v>1.606749E-2</v>
      </c>
    </row>
    <row r="35" spans="1:43">
      <c r="A35" s="14" t="s">
        <v>256</v>
      </c>
      <c r="B35" s="14" t="s">
        <v>257</v>
      </c>
      <c r="C35" s="14" t="s">
        <v>20</v>
      </c>
      <c r="D35">
        <v>547</v>
      </c>
      <c r="E35">
        <v>607</v>
      </c>
      <c r="F35" s="16">
        <f t="shared" si="2"/>
        <v>142.97797489660098</v>
      </c>
      <c r="G35" s="16">
        <f t="shared" si="3"/>
        <v>86.592886864364786</v>
      </c>
      <c r="H35" s="16">
        <f t="shared" si="4"/>
        <v>33.988398239447235</v>
      </c>
      <c r="I35" s="16">
        <f t="shared" si="5"/>
        <v>7.1480088824874333</v>
      </c>
      <c r="J35" s="16">
        <f t="shared" si="6"/>
        <v>18.771874999999941</v>
      </c>
      <c r="K35" s="16">
        <f t="shared" si="7"/>
        <v>81.865131578947015</v>
      </c>
      <c r="L35" s="16">
        <f t="shared" si="8"/>
        <v>68.999999999999417</v>
      </c>
      <c r="M35" s="16">
        <f t="shared" si="9"/>
        <v>49.409799999999997</v>
      </c>
      <c r="N35" s="16">
        <f t="shared" si="10"/>
        <v>1.0059811000000001</v>
      </c>
      <c r="O35" s="16">
        <f t="shared" si="11"/>
        <v>141.0061</v>
      </c>
      <c r="P35" s="16">
        <f t="shared" si="12"/>
        <v>6.9896353500000004</v>
      </c>
      <c r="Q35" s="16">
        <f t="shared" si="13"/>
        <v>2.9950654699999997</v>
      </c>
      <c r="R35" s="16">
        <f t="shared" si="14"/>
        <v>1.0008276699999998</v>
      </c>
      <c r="S35" s="16">
        <f t="shared" si="15"/>
        <v>23.299834610000001</v>
      </c>
      <c r="T35" s="16">
        <f t="shared" si="16"/>
        <v>5.0649901000000002</v>
      </c>
      <c r="U35" s="16">
        <f t="shared" si="17"/>
        <v>18.234844510000002</v>
      </c>
      <c r="V35">
        <f t="shared" si="18"/>
        <v>0.26138569450932536</v>
      </c>
      <c r="W35">
        <f t="shared" si="19"/>
        <v>0.33374378975886632</v>
      </c>
      <c r="X35">
        <f t="shared" si="20"/>
        <v>0.45905157219510295</v>
      </c>
      <c r="Y35">
        <f t="shared" si="21"/>
        <v>0.79279536195396927</v>
      </c>
      <c r="Z35" s="14">
        <v>0.31830000000000003</v>
      </c>
      <c r="AA35" s="14">
        <v>0.23230000000000001</v>
      </c>
      <c r="AB35" s="14">
        <v>8.14E-2</v>
      </c>
      <c r="AD35">
        <f t="shared" si="22"/>
        <v>124.20609989660103</v>
      </c>
      <c r="AE35" s="14">
        <v>3.0925658978583102E-2</v>
      </c>
      <c r="AF35" s="14">
        <v>0.69717096774193499</v>
      </c>
      <c r="AG35" s="14">
        <v>0.27364516129032201</v>
      </c>
      <c r="AH35" s="14">
        <v>5.7549580000000003E-2</v>
      </c>
      <c r="AI35" s="14">
        <v>0.134868421052631</v>
      </c>
      <c r="AJ35" s="14">
        <v>0.113673805601317</v>
      </c>
      <c r="AK35" s="14">
        <v>1.6573E-3</v>
      </c>
      <c r="AL35" s="14">
        <v>1.1515050000000001E-2</v>
      </c>
      <c r="AM35" s="14">
        <v>4.9342099999999996E-3</v>
      </c>
      <c r="AN35" s="14">
        <v>1.6488099999999999E-3</v>
      </c>
      <c r="AO35" s="14">
        <v>3.8385229999999999E-2</v>
      </c>
      <c r="AP35" s="14">
        <v>8.3443000000000007E-3</v>
      </c>
      <c r="AQ35" s="14">
        <v>3.0040926775213202E-2</v>
      </c>
    </row>
    <row r="36" spans="1:43">
      <c r="A36" s="14" t="s">
        <v>264</v>
      </c>
      <c r="B36" s="14" t="s">
        <v>257</v>
      </c>
      <c r="C36" s="14" t="s">
        <v>20</v>
      </c>
      <c r="D36">
        <v>525</v>
      </c>
      <c r="E36">
        <v>609</v>
      </c>
      <c r="F36" s="16">
        <f t="shared" si="2"/>
        <v>138.65397081791838</v>
      </c>
      <c r="G36" s="16">
        <f t="shared" si="3"/>
        <v>86.822522300014199</v>
      </c>
      <c r="H36" s="16">
        <f t="shared" si="4"/>
        <v>30.432801603332205</v>
      </c>
      <c r="I36" s="16">
        <f t="shared" si="5"/>
        <v>2.0974610246685961</v>
      </c>
      <c r="J36" s="16">
        <f t="shared" si="6"/>
        <v>19.431818181818116</v>
      </c>
      <c r="K36" s="16">
        <f t="shared" si="7"/>
        <v>79.96969696969677</v>
      </c>
      <c r="L36" s="16">
        <f t="shared" si="8"/>
        <v>67.999999999999574</v>
      </c>
      <c r="M36" s="16">
        <f t="shared" si="9"/>
        <v>72.349199999999399</v>
      </c>
      <c r="N36" s="16">
        <f t="shared" si="10"/>
        <v>0.97879088999999997</v>
      </c>
      <c r="O36" s="16">
        <f t="shared" si="11"/>
        <v>150.02714999999938</v>
      </c>
      <c r="P36" s="16">
        <f t="shared" si="12"/>
        <v>5.1136390199999999</v>
      </c>
      <c r="Q36" s="16">
        <f t="shared" si="13"/>
        <v>3.0757605900000002</v>
      </c>
      <c r="R36" s="16">
        <f t="shared" si="14"/>
        <v>0.89999846999999999</v>
      </c>
      <c r="S36" s="16">
        <f t="shared" si="15"/>
        <v>10.1833326</v>
      </c>
      <c r="T36" s="16">
        <f t="shared" si="16"/>
        <v>2.8458874499999998</v>
      </c>
      <c r="U36" s="16">
        <f t="shared" si="17"/>
        <v>7.3374451500000006</v>
      </c>
      <c r="V36">
        <f t="shared" si="18"/>
        <v>0.26410280155793975</v>
      </c>
      <c r="W36">
        <f t="shared" si="19"/>
        <v>0.36098145412905297</v>
      </c>
      <c r="X36">
        <f t="shared" si="20"/>
        <v>0.44134815487229878</v>
      </c>
      <c r="Y36">
        <f t="shared" si="21"/>
        <v>0.80232960900135175</v>
      </c>
      <c r="Z36" s="14">
        <v>0.33245000000000002</v>
      </c>
      <c r="AA36" s="14">
        <v>0.24634999999999899</v>
      </c>
      <c r="AB36" s="14">
        <v>0.118799999999999</v>
      </c>
      <c r="AD36">
        <f t="shared" si="22"/>
        <v>119.22215263610028</v>
      </c>
      <c r="AE36" s="14">
        <v>3.1907747424988697E-2</v>
      </c>
      <c r="AF36" s="14">
        <v>0.728241525423728</v>
      </c>
      <c r="AG36" s="14">
        <v>0.25526129943502801</v>
      </c>
      <c r="AH36" s="14">
        <v>1.7592880000000002E-2</v>
      </c>
      <c r="AI36" s="14">
        <v>0.13131313131313099</v>
      </c>
      <c r="AJ36" s="14">
        <v>0.111658456486042</v>
      </c>
      <c r="AK36" s="14">
        <v>1.60721E-3</v>
      </c>
      <c r="AL36" s="14">
        <v>8.3967799999999995E-3</v>
      </c>
      <c r="AM36" s="14">
        <v>5.0505100000000002E-3</v>
      </c>
      <c r="AN36" s="14">
        <v>1.4778300000000001E-3</v>
      </c>
      <c r="AO36" s="14">
        <v>1.6721400000000001E-2</v>
      </c>
      <c r="AP36" s="14">
        <v>4.6730499999999998E-3</v>
      </c>
      <c r="AQ36" s="14">
        <v>1.2048349999999999E-2</v>
      </c>
    </row>
    <row r="37" spans="1:43">
      <c r="A37" s="14" t="s">
        <v>272</v>
      </c>
      <c r="B37" s="14" t="s">
        <v>27</v>
      </c>
      <c r="C37" s="14" t="s">
        <v>124</v>
      </c>
      <c r="D37">
        <v>540</v>
      </c>
      <c r="E37">
        <v>617</v>
      </c>
      <c r="F37" s="16">
        <f t="shared" si="2"/>
        <v>146.85570601453898</v>
      </c>
      <c r="G37" s="16">
        <f t="shared" si="3"/>
        <v>91.980841300274861</v>
      </c>
      <c r="H37" s="16">
        <f t="shared" si="4"/>
        <v>31.598829474854742</v>
      </c>
      <c r="I37" s="16">
        <f t="shared" si="5"/>
        <v>1.9181430167245213</v>
      </c>
      <c r="J37" s="16">
        <f t="shared" si="6"/>
        <v>22.194434010000002</v>
      </c>
      <c r="K37" s="16">
        <f t="shared" si="7"/>
        <v>82.805237315875431</v>
      </c>
      <c r="L37" s="16">
        <f t="shared" si="8"/>
        <v>83.999999999999645</v>
      </c>
      <c r="M37" s="16">
        <f t="shared" si="9"/>
        <v>63.304199999999994</v>
      </c>
      <c r="N37" s="16">
        <f t="shared" si="10"/>
        <v>7.7838900746930433</v>
      </c>
      <c r="O37" s="16">
        <f t="shared" si="11"/>
        <v>114.3301</v>
      </c>
      <c r="P37" s="16">
        <f t="shared" si="12"/>
        <v>7.1618657937806427</v>
      </c>
      <c r="Q37" s="16">
        <f t="shared" si="13"/>
        <v>5.0491022699999997</v>
      </c>
      <c r="R37" s="16">
        <f t="shared" si="14"/>
        <v>0</v>
      </c>
      <c r="S37" s="16">
        <f t="shared" si="15"/>
        <v>8.1324884792625962</v>
      </c>
      <c r="T37" s="16">
        <f t="shared" si="16"/>
        <v>1.9688469999999998</v>
      </c>
      <c r="U37" s="16">
        <f t="shared" si="17"/>
        <v>6.163641479262596</v>
      </c>
      <c r="V37">
        <f t="shared" si="18"/>
        <v>0.27195501113803516</v>
      </c>
      <c r="W37">
        <f t="shared" si="19"/>
        <v>0.36534990044405408</v>
      </c>
      <c r="X37">
        <f t="shared" si="20"/>
        <v>0.46242715803732948</v>
      </c>
      <c r="Y37">
        <f t="shared" si="21"/>
        <v>0.8277770584813835</v>
      </c>
      <c r="Z37" s="14">
        <v>0.30514999999999998</v>
      </c>
      <c r="AA37" s="14">
        <v>0.18529999999999999</v>
      </c>
      <c r="AB37" s="14">
        <v>0.1026</v>
      </c>
      <c r="AD37">
        <f t="shared" si="22"/>
        <v>124.66127200453899</v>
      </c>
      <c r="AE37" s="14">
        <v>3.5971530000000002E-2</v>
      </c>
      <c r="AF37" s="14">
        <v>0.73784616361788602</v>
      </c>
      <c r="AG37" s="14">
        <v>0.253477515243902</v>
      </c>
      <c r="AH37" s="14">
        <v>1.5386839760905701E-2</v>
      </c>
      <c r="AI37" s="14">
        <v>0.13420621931260199</v>
      </c>
      <c r="AJ37" s="14">
        <v>0.13614262560777901</v>
      </c>
      <c r="AK37" s="14">
        <v>1.26157051453696E-2</v>
      </c>
      <c r="AL37" s="14">
        <v>1.1607562064474299E-2</v>
      </c>
      <c r="AM37" s="14">
        <v>8.1833099999999992E-3</v>
      </c>
      <c r="AN37" s="14">
        <v>0</v>
      </c>
      <c r="AO37" s="14">
        <v>1.31806944558551E-2</v>
      </c>
      <c r="AP37" s="14">
        <v>3.1909999999999998E-3</v>
      </c>
      <c r="AQ37" s="14">
        <v>9.9897000000000007E-3</v>
      </c>
    </row>
    <row r="38" spans="1:43">
      <c r="A38" s="14" t="s">
        <v>280</v>
      </c>
      <c r="B38" s="14" t="s">
        <v>130</v>
      </c>
      <c r="C38" s="14" t="s">
        <v>20</v>
      </c>
      <c r="D38">
        <v>555</v>
      </c>
      <c r="E38">
        <v>606</v>
      </c>
      <c r="F38" s="16">
        <f t="shared" si="2"/>
        <v>150.59804624706018</v>
      </c>
      <c r="G38" s="16">
        <f t="shared" si="3"/>
        <v>92.667311290694101</v>
      </c>
      <c r="H38" s="16">
        <f t="shared" si="4"/>
        <v>33.20506157326782</v>
      </c>
      <c r="I38" s="16">
        <f t="shared" si="5"/>
        <v>4.0638429424145546</v>
      </c>
      <c r="J38" s="16">
        <f t="shared" si="6"/>
        <v>22.032729839999998</v>
      </c>
      <c r="K38" s="16">
        <f t="shared" si="7"/>
        <v>77.127272727272569</v>
      </c>
      <c r="L38" s="16">
        <f t="shared" si="8"/>
        <v>80.999999999999602</v>
      </c>
      <c r="M38" s="16">
        <f t="shared" si="9"/>
        <v>40.662600000000005</v>
      </c>
      <c r="N38" s="16">
        <f t="shared" si="10"/>
        <v>1.9433510999999999</v>
      </c>
      <c r="O38" s="16">
        <f t="shared" si="11"/>
        <v>117.1397999999994</v>
      </c>
      <c r="P38" s="16">
        <f t="shared" si="12"/>
        <v>3.1044652799999999</v>
      </c>
      <c r="Q38" s="16">
        <f t="shared" si="13"/>
        <v>5.00826276</v>
      </c>
      <c r="R38" s="16">
        <f t="shared" si="14"/>
        <v>2.9885738399999999</v>
      </c>
      <c r="S38" s="16">
        <f t="shared" si="15"/>
        <v>7.6833333333332856</v>
      </c>
      <c r="T38" s="16">
        <f t="shared" si="16"/>
        <v>2.01706494</v>
      </c>
      <c r="U38" s="16">
        <f t="shared" si="17"/>
        <v>5.6662683933332856</v>
      </c>
      <c r="V38">
        <f t="shared" si="18"/>
        <v>0.27134783107578409</v>
      </c>
      <c r="W38">
        <f t="shared" si="19"/>
        <v>0.32576142100867672</v>
      </c>
      <c r="X38">
        <f t="shared" si="20"/>
        <v>0.46738717589995205</v>
      </c>
      <c r="Y38">
        <f t="shared" si="21"/>
        <v>0.79314859690862871</v>
      </c>
      <c r="Z38" s="14">
        <v>0.30549999999999999</v>
      </c>
      <c r="AA38" s="14">
        <v>0.193299999999999</v>
      </c>
      <c r="AB38" s="14">
        <v>6.7100000000000007E-2</v>
      </c>
      <c r="AD38">
        <f t="shared" si="22"/>
        <v>128.56531640706018</v>
      </c>
      <c r="AE38" s="14">
        <v>3.6357639999999997E-2</v>
      </c>
      <c r="AF38" s="14">
        <v>0.72078001968503902</v>
      </c>
      <c r="AG38" s="14">
        <v>0.258273868110236</v>
      </c>
      <c r="AH38" s="14">
        <v>3.1609169999999999E-2</v>
      </c>
      <c r="AI38" s="14">
        <v>0.12727272727272701</v>
      </c>
      <c r="AJ38" s="14">
        <v>0.133663366336633</v>
      </c>
      <c r="AK38" s="14">
        <v>3.2068499999999998E-3</v>
      </c>
      <c r="AL38" s="14">
        <v>5.1228799999999998E-3</v>
      </c>
      <c r="AM38" s="14">
        <v>8.2644599999999995E-3</v>
      </c>
      <c r="AN38" s="14">
        <v>4.9316400000000002E-3</v>
      </c>
      <c r="AO38" s="14">
        <v>1.26787678767876E-2</v>
      </c>
      <c r="AP38" s="14">
        <v>3.3284899999999999E-3</v>
      </c>
      <c r="AQ38" s="14">
        <v>9.3502800000000007E-3</v>
      </c>
    </row>
    <row r="39" spans="1:43">
      <c r="A39" s="14" t="s">
        <v>286</v>
      </c>
      <c r="B39" s="14" t="s">
        <v>156</v>
      </c>
      <c r="C39" s="14" t="s">
        <v>169</v>
      </c>
      <c r="D39">
        <v>566</v>
      </c>
      <c r="E39">
        <v>633</v>
      </c>
      <c r="F39" s="16">
        <f t="shared" si="2"/>
        <v>144.67382938722201</v>
      </c>
      <c r="G39" s="16">
        <f t="shared" si="3"/>
        <v>104.35547879824141</v>
      </c>
      <c r="H39" s="16">
        <f t="shared" si="4"/>
        <v>23.656859690320683</v>
      </c>
      <c r="I39" s="16">
        <f t="shared" si="5"/>
        <v>2.8109962546986713</v>
      </c>
      <c r="J39" s="16">
        <f t="shared" si="6"/>
        <v>12.33423288</v>
      </c>
      <c r="K39" s="16">
        <f t="shared" si="7"/>
        <v>77.244057052297379</v>
      </c>
      <c r="L39" s="16">
        <f t="shared" si="8"/>
        <v>66.999999999999645</v>
      </c>
      <c r="M39" s="16">
        <f t="shared" si="9"/>
        <v>57.1599</v>
      </c>
      <c r="N39" s="16">
        <f t="shared" si="10"/>
        <v>0.97973840999999995</v>
      </c>
      <c r="O39" s="16">
        <f t="shared" si="11"/>
        <v>131.18924999999999</v>
      </c>
      <c r="P39" s="16">
        <f t="shared" si="12"/>
        <v>2.0057048100000001</v>
      </c>
      <c r="Q39" s="16">
        <f t="shared" si="13"/>
        <v>4.0126756200000004</v>
      </c>
      <c r="R39" s="16">
        <f t="shared" si="14"/>
        <v>2.9917035899999997</v>
      </c>
      <c r="S39" s="16">
        <f t="shared" si="15"/>
        <v>28.799537699999998</v>
      </c>
      <c r="T39" s="16">
        <f t="shared" si="16"/>
        <v>6.0489416700000005</v>
      </c>
      <c r="U39" s="16">
        <f t="shared" si="17"/>
        <v>22.750596029999997</v>
      </c>
      <c r="V39">
        <f t="shared" si="18"/>
        <v>0.25560747241558662</v>
      </c>
      <c r="W39">
        <f t="shared" si="19"/>
        <v>0.3260660958059291</v>
      </c>
      <c r="X39">
        <f t="shared" si="20"/>
        <v>0.37003377820314276</v>
      </c>
      <c r="Y39">
        <f t="shared" si="21"/>
        <v>0.69609987400907181</v>
      </c>
      <c r="Z39" s="14">
        <v>0.31030000000000002</v>
      </c>
      <c r="AA39" s="14">
        <v>0.20724999999999999</v>
      </c>
      <c r="AB39" s="14">
        <v>9.0300000000000005E-2</v>
      </c>
      <c r="AD39">
        <f t="shared" si="22"/>
        <v>132.33959650722201</v>
      </c>
      <c r="AE39" s="14">
        <v>1.948536E-2</v>
      </c>
      <c r="AF39" s="14">
        <v>0.78854312354312295</v>
      </c>
      <c r="AG39" s="14">
        <v>0.178758741258741</v>
      </c>
      <c r="AH39" s="14">
        <v>2.1240780000000001E-2</v>
      </c>
      <c r="AI39" s="14">
        <v>0.122028526148969</v>
      </c>
      <c r="AJ39" s="14">
        <v>0.105845181674565</v>
      </c>
      <c r="AK39" s="14">
        <v>1.54777E-3</v>
      </c>
      <c r="AL39" s="14">
        <v>3.1685699999999999E-3</v>
      </c>
      <c r="AM39" s="14">
        <v>6.3391400000000001E-3</v>
      </c>
      <c r="AN39" s="14">
        <v>4.7262299999999997E-3</v>
      </c>
      <c r="AO39" s="14">
        <v>4.54969E-2</v>
      </c>
      <c r="AP39" s="14">
        <v>9.5559900000000003E-3</v>
      </c>
      <c r="AQ39" s="14">
        <v>3.5940915528274199E-2</v>
      </c>
    </row>
    <row r="40" spans="1:43">
      <c r="A40" s="14" t="s">
        <v>292</v>
      </c>
      <c r="B40" s="14" t="s">
        <v>293</v>
      </c>
      <c r="C40" s="14" t="s">
        <v>20</v>
      </c>
      <c r="D40">
        <v>565</v>
      </c>
      <c r="E40">
        <v>630</v>
      </c>
      <c r="F40" s="16">
        <f t="shared" si="2"/>
        <v>143.62655341769056</v>
      </c>
      <c r="G40" s="16">
        <f t="shared" si="3"/>
        <v>86.052651628818495</v>
      </c>
      <c r="H40" s="16">
        <f t="shared" si="4"/>
        <v>27.157331367794015</v>
      </c>
      <c r="I40" s="16">
        <f t="shared" si="5"/>
        <v>2.9270028072098904</v>
      </c>
      <c r="J40" s="16">
        <f t="shared" si="6"/>
        <v>27.255271565495104</v>
      </c>
      <c r="K40" s="16">
        <f t="shared" si="7"/>
        <v>79.504792332267954</v>
      </c>
      <c r="L40" s="16">
        <f t="shared" si="8"/>
        <v>88.999999999999829</v>
      </c>
      <c r="M40" s="16">
        <f t="shared" si="9"/>
        <v>57.393000000000001</v>
      </c>
      <c r="N40" s="16">
        <f t="shared" si="10"/>
        <v>1.9535292</v>
      </c>
      <c r="O40" s="16">
        <f t="shared" si="11"/>
        <v>173.56499999999937</v>
      </c>
      <c r="P40" s="16">
        <f t="shared" si="12"/>
        <v>5.0287544999999998</v>
      </c>
      <c r="Q40" s="16">
        <f t="shared" si="13"/>
        <v>4.0255614</v>
      </c>
      <c r="R40" s="16">
        <f t="shared" si="14"/>
        <v>0</v>
      </c>
      <c r="S40" s="16">
        <f t="shared" si="15"/>
        <v>4.2096789000000001</v>
      </c>
      <c r="T40" s="16">
        <f t="shared" si="16"/>
        <v>1.0206188999999999</v>
      </c>
      <c r="U40" s="16">
        <f t="shared" si="17"/>
        <v>3.1890600000000004</v>
      </c>
      <c r="V40">
        <f t="shared" si="18"/>
        <v>0.25420628923485056</v>
      </c>
      <c r="W40">
        <f t="shared" si="19"/>
        <v>0.33101698854747086</v>
      </c>
      <c r="X40">
        <f t="shared" si="20"/>
        <v>0.4569370071646312</v>
      </c>
      <c r="Y40">
        <f t="shared" si="21"/>
        <v>0.78795399571210201</v>
      </c>
      <c r="Z40" s="14">
        <v>0.31605</v>
      </c>
      <c r="AA40" s="14">
        <v>0.27549999999999902</v>
      </c>
      <c r="AB40" s="14">
        <v>9.11E-2</v>
      </c>
      <c r="AD40">
        <f t="shared" si="22"/>
        <v>116.37128185219547</v>
      </c>
      <c r="AE40" s="14">
        <v>4.3262335818246199E-2</v>
      </c>
      <c r="AF40" s="14">
        <v>0.73946638946638898</v>
      </c>
      <c r="AG40" s="14">
        <v>0.23336798336798301</v>
      </c>
      <c r="AH40" s="14">
        <v>2.5152277783856598E-2</v>
      </c>
      <c r="AI40" s="14">
        <v>0.12619808306709199</v>
      </c>
      <c r="AJ40" s="14">
        <v>0.14126984126984099</v>
      </c>
      <c r="AK40" s="14">
        <v>3.1008400000000001E-3</v>
      </c>
      <c r="AL40" s="14">
        <v>7.9821500000000004E-3</v>
      </c>
      <c r="AM40" s="14">
        <v>6.3897800000000003E-3</v>
      </c>
      <c r="AN40" s="14">
        <v>0</v>
      </c>
      <c r="AO40" s="14">
        <v>6.6820300000000003E-3</v>
      </c>
      <c r="AP40" s="14">
        <v>1.62003E-3</v>
      </c>
      <c r="AQ40" s="14">
        <v>5.0619999999999997E-3</v>
      </c>
    </row>
    <row r="41" spans="1:43">
      <c r="A41" s="14" t="s">
        <v>299</v>
      </c>
      <c r="B41" s="14" t="s">
        <v>19</v>
      </c>
      <c r="C41" s="14" t="s">
        <v>20</v>
      </c>
      <c r="D41">
        <v>535</v>
      </c>
      <c r="E41">
        <v>594</v>
      </c>
      <c r="F41" s="16">
        <f t="shared" si="2"/>
        <v>134.51566594191914</v>
      </c>
      <c r="G41" s="16">
        <f t="shared" si="3"/>
        <v>85.610671015696937</v>
      </c>
      <c r="H41" s="16">
        <f t="shared" si="4"/>
        <v>24.433980489046483</v>
      </c>
      <c r="I41" s="16">
        <f t="shared" si="5"/>
        <v>2.9893019425390013</v>
      </c>
      <c r="J41" s="16">
        <f t="shared" si="6"/>
        <v>21.295939499999999</v>
      </c>
      <c r="K41" s="16">
        <f t="shared" si="7"/>
        <v>71.360406091370479</v>
      </c>
      <c r="L41" s="16">
        <f t="shared" si="8"/>
        <v>79.999999999999602</v>
      </c>
      <c r="M41" s="16">
        <f t="shared" si="9"/>
        <v>49.717799999999997</v>
      </c>
      <c r="N41" s="16">
        <f t="shared" si="10"/>
        <v>2.9219275800000002</v>
      </c>
      <c r="O41" s="16">
        <f t="shared" si="11"/>
        <v>89.159399999999408</v>
      </c>
      <c r="P41" s="16">
        <f t="shared" si="12"/>
        <v>3.0137065199999999</v>
      </c>
      <c r="Q41" s="16">
        <f t="shared" si="13"/>
        <v>6.0304543199999996</v>
      </c>
      <c r="R41" s="16">
        <f t="shared" si="14"/>
        <v>0</v>
      </c>
      <c r="S41" s="16">
        <f t="shared" si="15"/>
        <v>11.142857142857109</v>
      </c>
      <c r="T41" s="16">
        <f t="shared" si="16"/>
        <v>3.0261330000000002</v>
      </c>
      <c r="U41" s="16">
        <f t="shared" si="17"/>
        <v>8.1167241428571089</v>
      </c>
      <c r="V41">
        <f t="shared" si="18"/>
        <v>0.25143115129330679</v>
      </c>
      <c r="W41">
        <f t="shared" si="19"/>
        <v>0.32032786190018198</v>
      </c>
      <c r="X41">
        <f t="shared" si="20"/>
        <v>0.42734634732973259</v>
      </c>
      <c r="Y41">
        <f t="shared" si="21"/>
        <v>0.74767420922991457</v>
      </c>
      <c r="Z41" s="14">
        <v>0.26295000000000002</v>
      </c>
      <c r="AA41" s="14">
        <v>0.15009999999999901</v>
      </c>
      <c r="AB41" s="14">
        <v>8.3699999999999997E-2</v>
      </c>
      <c r="AD41">
        <f t="shared" si="22"/>
        <v>113.21972644191915</v>
      </c>
      <c r="AE41" s="14">
        <v>3.5851750000000002E-2</v>
      </c>
      <c r="AF41" s="14">
        <v>0.75614624505928796</v>
      </c>
      <c r="AG41" s="14">
        <v>0.21581027667984101</v>
      </c>
      <c r="AH41" s="14">
        <v>2.6402660000000001E-2</v>
      </c>
      <c r="AI41" s="14">
        <v>0.12013536379018599</v>
      </c>
      <c r="AJ41" s="14">
        <v>0.13468013468013401</v>
      </c>
      <c r="AK41" s="14">
        <v>4.9190700000000002E-3</v>
      </c>
      <c r="AL41" s="14">
        <v>5.0735800000000003E-3</v>
      </c>
      <c r="AM41" s="14">
        <v>1.015228E-2</v>
      </c>
      <c r="AN41" s="14">
        <v>0</v>
      </c>
      <c r="AO41" s="14">
        <v>1.8759018759018701E-2</v>
      </c>
      <c r="AP41" s="14">
        <v>5.0945000000000001E-3</v>
      </c>
      <c r="AQ41" s="14">
        <v>1.3664519999999999E-2</v>
      </c>
    </row>
    <row r="42" spans="1:43">
      <c r="A42" s="14" t="s">
        <v>307</v>
      </c>
      <c r="B42" s="14" t="s">
        <v>92</v>
      </c>
      <c r="C42" s="14" t="s">
        <v>34</v>
      </c>
      <c r="D42">
        <v>549</v>
      </c>
      <c r="E42">
        <v>648</v>
      </c>
      <c r="F42" s="16">
        <f t="shared" si="2"/>
        <v>141.47644890088799</v>
      </c>
      <c r="G42" s="16">
        <f t="shared" si="3"/>
        <v>100.46821332477346</v>
      </c>
      <c r="H42" s="16">
        <f t="shared" si="4"/>
        <v>26.020061489661259</v>
      </c>
      <c r="I42" s="16">
        <f t="shared" si="5"/>
        <v>3.8218094868584704</v>
      </c>
      <c r="J42" s="16">
        <f t="shared" si="6"/>
        <v>11.323748160000001</v>
      </c>
      <c r="K42" s="16">
        <f t="shared" si="7"/>
        <v>81</v>
      </c>
      <c r="L42" s="16">
        <f t="shared" si="8"/>
        <v>64.999999999999588</v>
      </c>
      <c r="M42" s="16">
        <f t="shared" si="9"/>
        <v>72.640799999999999</v>
      </c>
      <c r="N42" s="16">
        <f t="shared" si="10"/>
        <v>0.96032952000000005</v>
      </c>
      <c r="O42" s="16">
        <f t="shared" si="11"/>
        <v>85.179600000000008</v>
      </c>
      <c r="P42" s="16">
        <f t="shared" si="12"/>
        <v>7.1787513599999997</v>
      </c>
      <c r="Q42" s="16">
        <f t="shared" si="13"/>
        <v>5.0625</v>
      </c>
      <c r="R42" s="16">
        <f t="shared" si="14"/>
        <v>9.139068</v>
      </c>
      <c r="S42" s="16">
        <f t="shared" si="15"/>
        <v>20.70918576</v>
      </c>
      <c r="T42" s="16">
        <f t="shared" si="16"/>
        <v>5.1912835199999998</v>
      </c>
      <c r="U42" s="16">
        <f t="shared" si="17"/>
        <v>15.517902240000002</v>
      </c>
      <c r="V42">
        <f t="shared" si="18"/>
        <v>0.2576984497283934</v>
      </c>
      <c r="W42">
        <f t="shared" si="19"/>
        <v>0.3541010173727232</v>
      </c>
      <c r="X42">
        <f t="shared" si="20"/>
        <v>0.38118170747663277</v>
      </c>
      <c r="Y42">
        <f t="shared" si="21"/>
        <v>0.73528272484935597</v>
      </c>
      <c r="Z42" s="14">
        <v>0.28444999999999998</v>
      </c>
      <c r="AA42" s="14">
        <v>0.13145000000000001</v>
      </c>
      <c r="AB42" s="14">
        <v>0.11210000000000001</v>
      </c>
      <c r="AD42">
        <f t="shared" si="22"/>
        <v>130.15270074088798</v>
      </c>
      <c r="AE42" s="14">
        <v>1.7474920000000001E-2</v>
      </c>
      <c r="AF42" s="14">
        <v>0.77192569</v>
      </c>
      <c r="AG42" s="14">
        <v>0.19991948950381599</v>
      </c>
      <c r="AH42" s="14">
        <v>2.9364042890412601E-2</v>
      </c>
      <c r="AI42" s="14">
        <v>0.125</v>
      </c>
      <c r="AJ42" s="14">
        <v>0.100308641975308</v>
      </c>
      <c r="AK42" s="14">
        <v>1.4819900000000001E-3</v>
      </c>
      <c r="AL42" s="14">
        <v>1.1078319999999999E-2</v>
      </c>
      <c r="AM42" s="14">
        <v>7.8125E-3</v>
      </c>
      <c r="AN42" s="14">
        <v>1.41035E-2</v>
      </c>
      <c r="AO42" s="14">
        <v>3.195862E-2</v>
      </c>
      <c r="AP42" s="14">
        <v>8.0112399999999993E-3</v>
      </c>
      <c r="AQ42" s="14">
        <v>2.3947380454752001E-2</v>
      </c>
    </row>
    <row r="43" spans="1:43">
      <c r="A43" s="14" t="s">
        <v>314</v>
      </c>
      <c r="B43" s="14" t="s">
        <v>74</v>
      </c>
      <c r="C43" s="14" t="s">
        <v>124</v>
      </c>
      <c r="D43">
        <v>546</v>
      </c>
      <c r="E43">
        <v>607</v>
      </c>
      <c r="F43" s="16">
        <f t="shared" si="2"/>
        <v>137.65604612835202</v>
      </c>
      <c r="G43" s="16">
        <f t="shared" si="3"/>
        <v>91.582029247069002</v>
      </c>
      <c r="H43" s="16">
        <f t="shared" si="4"/>
        <v>25.919044485710224</v>
      </c>
      <c r="I43" s="16">
        <f t="shared" si="5"/>
        <v>0.25507929988489758</v>
      </c>
      <c r="J43" s="16">
        <f t="shared" si="6"/>
        <v>20.319403909999998</v>
      </c>
      <c r="K43" s="16">
        <f t="shared" si="7"/>
        <v>70.46434494195654</v>
      </c>
      <c r="L43" s="16">
        <f t="shared" si="8"/>
        <v>85.999999999999446</v>
      </c>
      <c r="M43" s="16">
        <f t="shared" si="9"/>
        <v>51.230800000000002</v>
      </c>
      <c r="N43" s="16">
        <f t="shared" si="10"/>
        <v>5.6394063399999999</v>
      </c>
      <c r="O43" s="16">
        <f t="shared" si="11"/>
        <v>90.260899999999992</v>
      </c>
      <c r="P43" s="16">
        <f t="shared" si="12"/>
        <v>5.9358226499999995</v>
      </c>
      <c r="Q43" s="16">
        <f t="shared" si="13"/>
        <v>5.0331650899999998</v>
      </c>
      <c r="R43" s="16">
        <f t="shared" si="14"/>
        <v>0</v>
      </c>
      <c r="S43" s="16">
        <f t="shared" si="15"/>
        <v>17.134430176564965</v>
      </c>
      <c r="T43" s="16">
        <f t="shared" si="16"/>
        <v>4.0649151099999994</v>
      </c>
      <c r="U43" s="16">
        <f t="shared" si="17"/>
        <v>13.069515066564966</v>
      </c>
      <c r="V43">
        <f t="shared" si="18"/>
        <v>0.25211730060137733</v>
      </c>
      <c r="W43">
        <f t="shared" si="19"/>
        <v>0.32975976864019613</v>
      </c>
      <c r="X43">
        <f t="shared" si="20"/>
        <v>0.41293584571088671</v>
      </c>
      <c r="Y43">
        <f t="shared" si="21"/>
        <v>0.74269561435108278</v>
      </c>
      <c r="Z43" s="14">
        <v>0.26640000000000003</v>
      </c>
      <c r="AA43" s="14">
        <v>0.1487</v>
      </c>
      <c r="AB43" s="14">
        <v>8.4400000000000003E-2</v>
      </c>
      <c r="AD43">
        <f t="shared" si="22"/>
        <v>117.33664221835201</v>
      </c>
      <c r="AE43" s="14">
        <v>3.3475129999999999E-2</v>
      </c>
      <c r="AF43" s="14">
        <v>0.78050664750269405</v>
      </c>
      <c r="AG43" s="14">
        <v>0.22089471793029</v>
      </c>
      <c r="AH43" s="14">
        <v>2.1739099999999998E-3</v>
      </c>
      <c r="AI43" s="14">
        <v>0.11608623548921999</v>
      </c>
      <c r="AJ43" s="14">
        <v>0.14168039538714899</v>
      </c>
      <c r="AK43" s="14">
        <v>9.2906199999999994E-3</v>
      </c>
      <c r="AL43" s="14">
        <v>9.7789499999999998E-3</v>
      </c>
      <c r="AM43" s="14">
        <v>8.2918699999999998E-3</v>
      </c>
      <c r="AN43" s="14">
        <v>0</v>
      </c>
      <c r="AO43" s="14">
        <v>2.8228056304060899E-2</v>
      </c>
      <c r="AP43" s="14">
        <v>6.6967299999999997E-3</v>
      </c>
      <c r="AQ43" s="14">
        <v>2.15313309651783E-2</v>
      </c>
    </row>
    <row r="44" spans="1:43">
      <c r="A44" s="14" t="s">
        <v>318</v>
      </c>
      <c r="B44" s="14" t="s">
        <v>156</v>
      </c>
      <c r="C44" s="14" t="s">
        <v>87</v>
      </c>
      <c r="D44">
        <v>526</v>
      </c>
      <c r="E44">
        <v>603</v>
      </c>
      <c r="F44" s="16">
        <f t="shared" si="2"/>
        <v>140.01176657432731</v>
      </c>
      <c r="G44" s="16">
        <f t="shared" si="3"/>
        <v>91.493910598016456</v>
      </c>
      <c r="H44" s="16">
        <f t="shared" si="4"/>
        <v>27.268654537036102</v>
      </c>
      <c r="I44" s="16">
        <f t="shared" si="5"/>
        <v>0.99434856312982323</v>
      </c>
      <c r="J44" s="16">
        <f t="shared" si="6"/>
        <v>20.862895499999997</v>
      </c>
      <c r="K44" s="16">
        <f t="shared" si="7"/>
        <v>72.239600665557305</v>
      </c>
      <c r="L44" s="16">
        <f t="shared" si="8"/>
        <v>76.999999999999631</v>
      </c>
      <c r="M44" s="16">
        <f t="shared" si="9"/>
        <v>67.475700000000003</v>
      </c>
      <c r="N44" s="16">
        <f t="shared" si="10"/>
        <v>3.7170729000000002</v>
      </c>
      <c r="O44" s="16">
        <f t="shared" si="11"/>
        <v>115.59509999999941</v>
      </c>
      <c r="P44" s="16">
        <f t="shared" si="12"/>
        <v>4.9149746099999998</v>
      </c>
      <c r="Q44" s="16">
        <f t="shared" si="13"/>
        <v>4.0133087100000004</v>
      </c>
      <c r="R44" s="16">
        <f t="shared" si="14"/>
        <v>0</v>
      </c>
      <c r="S44" s="16">
        <f t="shared" si="15"/>
        <v>6.2299186200000003</v>
      </c>
      <c r="T44" s="16">
        <f t="shared" si="16"/>
        <v>2.0145024</v>
      </c>
      <c r="U44" s="16">
        <f t="shared" si="17"/>
        <v>4.2154162199999998</v>
      </c>
      <c r="V44">
        <f t="shared" si="18"/>
        <v>0.26618206573066028</v>
      </c>
      <c r="W44">
        <f t="shared" si="19"/>
        <v>0.35947659329321818</v>
      </c>
      <c r="X44">
        <f t="shared" si="20"/>
        <v>0.44195028015490134</v>
      </c>
      <c r="Y44">
        <f t="shared" si="21"/>
        <v>0.80142687344811958</v>
      </c>
      <c r="Z44" s="14">
        <v>0.30274999999999902</v>
      </c>
      <c r="AA44" s="14">
        <v>0.19169999999999901</v>
      </c>
      <c r="AB44" s="14">
        <v>0.1119</v>
      </c>
      <c r="AD44">
        <f t="shared" si="22"/>
        <v>119.1488710743273</v>
      </c>
      <c r="AE44" s="14">
        <v>3.4598499999999997E-2</v>
      </c>
      <c r="AF44" s="14">
        <v>0.76789574062301302</v>
      </c>
      <c r="AG44" s="14">
        <v>0.22886204704386501</v>
      </c>
      <c r="AH44" s="14">
        <v>8.3454299999999992E-3</v>
      </c>
      <c r="AI44" s="14">
        <v>0.119800332778702</v>
      </c>
      <c r="AJ44" s="14">
        <v>0.12769485903814201</v>
      </c>
      <c r="AK44" s="14">
        <v>6.1643000000000002E-3</v>
      </c>
      <c r="AL44" s="14">
        <v>8.1508699999999993E-3</v>
      </c>
      <c r="AM44" s="14">
        <v>6.6555700000000004E-3</v>
      </c>
      <c r="AN44" s="14">
        <v>0</v>
      </c>
      <c r="AO44" s="14">
        <v>1.033154E-2</v>
      </c>
      <c r="AP44" s="14">
        <v>3.3408000000000001E-3</v>
      </c>
      <c r="AQ44" s="14">
        <v>6.9907299999999997E-3</v>
      </c>
    </row>
    <row r="45" spans="1:43">
      <c r="A45" s="14" t="s">
        <v>323</v>
      </c>
      <c r="B45" s="14" t="s">
        <v>136</v>
      </c>
      <c r="C45" s="14" t="s">
        <v>87</v>
      </c>
      <c r="D45">
        <v>478</v>
      </c>
      <c r="E45">
        <v>526</v>
      </c>
      <c r="F45" s="16">
        <f t="shared" si="2"/>
        <v>122.57536647417214</v>
      </c>
      <c r="G45" s="16">
        <f t="shared" si="3"/>
        <v>67.371857705088772</v>
      </c>
      <c r="H45" s="16">
        <f t="shared" si="4"/>
        <v>25.223023462664731</v>
      </c>
      <c r="I45" s="16">
        <f t="shared" si="5"/>
        <v>1.1873518151492164</v>
      </c>
      <c r="J45" s="16">
        <f t="shared" si="6"/>
        <v>29.00000008</v>
      </c>
      <c r="K45" s="16">
        <f t="shared" si="7"/>
        <v>70.999999999999531</v>
      </c>
      <c r="L45" s="16">
        <f t="shared" si="8"/>
        <v>75.999999999999929</v>
      </c>
      <c r="M45" s="16">
        <f t="shared" si="9"/>
        <v>38.923999999999999</v>
      </c>
      <c r="N45" s="16">
        <f t="shared" si="10"/>
        <v>1.00286108</v>
      </c>
      <c r="O45" s="16">
        <f t="shared" si="11"/>
        <v>118.98119999999948</v>
      </c>
      <c r="P45" s="16">
        <f t="shared" si="12"/>
        <v>3.9999985599999999</v>
      </c>
      <c r="Q45" s="16">
        <f t="shared" si="13"/>
        <v>3.9999985599999999</v>
      </c>
      <c r="R45" s="16">
        <f t="shared" si="14"/>
        <v>0.90000178000000008</v>
      </c>
      <c r="S45" s="16">
        <f t="shared" si="15"/>
        <v>6.0057251908396223</v>
      </c>
      <c r="T45" s="16">
        <f t="shared" si="16"/>
        <v>1.2845551199999998</v>
      </c>
      <c r="U45" s="16">
        <f t="shared" si="17"/>
        <v>4.7211700708396229</v>
      </c>
      <c r="V45">
        <f t="shared" si="18"/>
        <v>0.25643382107567392</v>
      </c>
      <c r="W45">
        <f t="shared" si="19"/>
        <v>0.3190144807435612</v>
      </c>
      <c r="X45">
        <f t="shared" si="20"/>
        <v>0.49661079580725087</v>
      </c>
      <c r="Y45">
        <f t="shared" si="21"/>
        <v>0.81562527655081207</v>
      </c>
      <c r="Z45" s="14">
        <v>0.28015000000000001</v>
      </c>
      <c r="AA45" s="14">
        <v>0.22619999999999901</v>
      </c>
      <c r="AB45" s="14">
        <v>7.3999999999999996E-2</v>
      </c>
      <c r="AD45">
        <f t="shared" si="22"/>
        <v>93.57536639417215</v>
      </c>
      <c r="AE45" s="14">
        <v>5.5133080000000001E-2</v>
      </c>
      <c r="AF45" s="14">
        <v>0.71997428705002298</v>
      </c>
      <c r="AG45" s="14">
        <v>0.269547685834502</v>
      </c>
      <c r="AH45" s="14">
        <v>1.26887220526359E-2</v>
      </c>
      <c r="AI45" s="14">
        <v>0.13498098859315499</v>
      </c>
      <c r="AJ45" s="14">
        <v>0.144486692015209</v>
      </c>
      <c r="AK45" s="14">
        <v>1.90658E-3</v>
      </c>
      <c r="AL45" s="14">
        <v>7.6045599999999998E-3</v>
      </c>
      <c r="AM45" s="14">
        <v>7.6045599999999998E-3</v>
      </c>
      <c r="AN45" s="14">
        <v>1.7110300000000001E-3</v>
      </c>
      <c r="AO45" s="14">
        <v>1.14177284996951E-2</v>
      </c>
      <c r="AP45" s="14">
        <v>2.4421199999999999E-3</v>
      </c>
      <c r="AQ45" s="14">
        <v>8.9756100000000002E-3</v>
      </c>
    </row>
    <row r="46" spans="1:43">
      <c r="A46" s="14" t="s">
        <v>329</v>
      </c>
      <c r="B46" s="14" t="s">
        <v>66</v>
      </c>
      <c r="C46" s="14" t="s">
        <v>49</v>
      </c>
      <c r="D46">
        <v>566</v>
      </c>
      <c r="E46">
        <v>625</v>
      </c>
      <c r="F46" s="16">
        <f t="shared" si="2"/>
        <v>146.6044515896875</v>
      </c>
      <c r="G46" s="16">
        <f t="shared" si="3"/>
        <v>85.998083999748005</v>
      </c>
      <c r="H46" s="16">
        <f t="shared" si="4"/>
        <v>28.394451461418019</v>
      </c>
      <c r="I46" s="16">
        <f t="shared" si="5"/>
        <v>2.0073729260867297</v>
      </c>
      <c r="J46" s="16">
        <f t="shared" si="6"/>
        <v>29.238412499999999</v>
      </c>
      <c r="K46" s="16">
        <f t="shared" si="7"/>
        <v>82.05024311183125</v>
      </c>
      <c r="L46" s="16">
        <f t="shared" si="8"/>
        <v>85</v>
      </c>
      <c r="M46" s="16">
        <f t="shared" si="9"/>
        <v>47.5625</v>
      </c>
      <c r="N46" s="16">
        <f t="shared" si="10"/>
        <v>0.94948749999999993</v>
      </c>
      <c r="O46" s="16">
        <f t="shared" si="11"/>
        <v>162.06249999999997</v>
      </c>
      <c r="P46" s="16">
        <f t="shared" si="12"/>
        <v>7.9933562499999997</v>
      </c>
      <c r="Q46" s="16">
        <f t="shared" si="13"/>
        <v>5.0648312500000001</v>
      </c>
      <c r="R46" s="16">
        <f t="shared" si="14"/>
        <v>0</v>
      </c>
      <c r="S46" s="16">
        <f t="shared" si="15"/>
        <v>2.1975437499999999</v>
      </c>
      <c r="T46" s="16">
        <f t="shared" si="16"/>
        <v>1.0099812500000001</v>
      </c>
      <c r="U46" s="16">
        <f t="shared" si="17"/>
        <v>1.1875624999999999</v>
      </c>
      <c r="V46">
        <f t="shared" si="18"/>
        <v>0.25901846570616166</v>
      </c>
      <c r="W46">
        <f t="shared" si="19"/>
        <v>0.32782019790453548</v>
      </c>
      <c r="X46">
        <f t="shared" si="20"/>
        <v>0.46954550477180962</v>
      </c>
      <c r="Y46">
        <f t="shared" si="21"/>
        <v>0.7973657026763451</v>
      </c>
      <c r="Z46" s="14">
        <v>0.30904999999999999</v>
      </c>
      <c r="AA46" s="14">
        <v>0.25929999999999997</v>
      </c>
      <c r="AB46" s="14">
        <v>7.6100000000000001E-2</v>
      </c>
      <c r="AD46">
        <f t="shared" si="22"/>
        <v>117.3660390896875</v>
      </c>
      <c r="AE46" s="14">
        <v>4.6781459999999997E-2</v>
      </c>
      <c r="AF46" s="14">
        <v>0.73273397199705204</v>
      </c>
      <c r="AG46" s="14">
        <v>0.24193072955047801</v>
      </c>
      <c r="AH46" s="14">
        <v>1.7103524508931899E-2</v>
      </c>
      <c r="AI46" s="14">
        <v>0.13128038897892999</v>
      </c>
      <c r="AJ46" s="14">
        <v>0.13600000000000001</v>
      </c>
      <c r="AK46" s="14">
        <v>1.51918E-3</v>
      </c>
      <c r="AL46" s="14">
        <v>1.278937E-2</v>
      </c>
      <c r="AM46" s="14">
        <v>8.10373E-3</v>
      </c>
      <c r="AN46" s="14">
        <v>0</v>
      </c>
      <c r="AO46" s="14">
        <v>3.51607E-3</v>
      </c>
      <c r="AP46" s="14">
        <v>1.61597E-3</v>
      </c>
      <c r="AQ46" s="14">
        <v>1.9001000000000001E-3</v>
      </c>
    </row>
    <row r="47" spans="1:43">
      <c r="A47" s="14" t="s">
        <v>334</v>
      </c>
      <c r="B47" s="14" t="s">
        <v>335</v>
      </c>
      <c r="C47" s="14" t="s">
        <v>20</v>
      </c>
      <c r="D47">
        <v>531</v>
      </c>
      <c r="E47">
        <v>613</v>
      </c>
      <c r="F47" s="16">
        <f t="shared" si="2"/>
        <v>134.39127904316399</v>
      </c>
      <c r="G47" s="16">
        <f t="shared" si="3"/>
        <v>79.03892827498521</v>
      </c>
      <c r="H47" s="16">
        <f t="shared" si="4"/>
        <v>27.533310134752799</v>
      </c>
      <c r="I47" s="16">
        <f t="shared" si="5"/>
        <v>2.0467258158393014</v>
      </c>
      <c r="J47" s="16">
        <f t="shared" si="6"/>
        <v>25.010657459999997</v>
      </c>
      <c r="K47" s="16">
        <f t="shared" si="7"/>
        <v>86.422952930000008</v>
      </c>
      <c r="L47" s="16">
        <f t="shared" si="8"/>
        <v>73.999999999999773</v>
      </c>
      <c r="M47" s="16">
        <f t="shared" si="9"/>
        <v>70.433700000000002</v>
      </c>
      <c r="N47" s="16">
        <f t="shared" si="10"/>
        <v>2.8939055700000003</v>
      </c>
      <c r="O47" s="16">
        <f t="shared" si="11"/>
        <v>139.91725</v>
      </c>
      <c r="P47" s="16">
        <f t="shared" si="12"/>
        <v>5.92655756</v>
      </c>
      <c r="Q47" s="16">
        <f t="shared" si="13"/>
        <v>4.0196739399999997</v>
      </c>
      <c r="R47" s="16">
        <f t="shared" si="14"/>
        <v>0.90000047000000005</v>
      </c>
      <c r="S47" s="16">
        <f t="shared" si="15"/>
        <v>22.723217309999999</v>
      </c>
      <c r="T47" s="16">
        <f t="shared" si="16"/>
        <v>5.3949026600000005</v>
      </c>
      <c r="U47" s="16">
        <f t="shared" si="17"/>
        <v>17.328314649999999</v>
      </c>
      <c r="V47">
        <f t="shared" si="18"/>
        <v>0.25309092098524294</v>
      </c>
      <c r="W47">
        <f t="shared" si="19"/>
        <v>0.35118993602674942</v>
      </c>
      <c r="X47">
        <f t="shared" si="20"/>
        <v>0.45252044412807668</v>
      </c>
      <c r="Y47">
        <f t="shared" si="21"/>
        <v>0.8037103801548261</v>
      </c>
      <c r="Z47" s="14">
        <v>0.29554999999999998</v>
      </c>
      <c r="AA47" s="14">
        <v>0.22825000000000001</v>
      </c>
      <c r="AB47" s="14">
        <v>0.1149</v>
      </c>
      <c r="AD47">
        <f t="shared" si="22"/>
        <v>109.38062158316399</v>
      </c>
      <c r="AE47" s="14">
        <v>4.0800419999999997E-2</v>
      </c>
      <c r="AF47" s="14">
        <v>0.72260449000000004</v>
      </c>
      <c r="AG47" s="14">
        <v>0.25172018348623798</v>
      </c>
      <c r="AH47" s="14">
        <v>1.871196E-2</v>
      </c>
      <c r="AI47" s="14">
        <v>0.14098361000000001</v>
      </c>
      <c r="AJ47" s="14">
        <v>0.120717781402936</v>
      </c>
      <c r="AK47" s="14">
        <v>4.7208900000000002E-3</v>
      </c>
      <c r="AL47" s="14">
        <v>9.6681200000000005E-3</v>
      </c>
      <c r="AM47" s="14">
        <v>6.5573799999999998E-3</v>
      </c>
      <c r="AN47" s="14">
        <v>1.4681900000000001E-3</v>
      </c>
      <c r="AO47" s="14">
        <v>3.7068869999999997E-2</v>
      </c>
      <c r="AP47" s="14">
        <v>8.8008200000000009E-3</v>
      </c>
      <c r="AQ47" s="14">
        <v>2.8268046779276301E-2</v>
      </c>
    </row>
    <row r="48" spans="1:43">
      <c r="A48" s="14" t="s">
        <v>340</v>
      </c>
      <c r="B48" s="14" t="s">
        <v>335</v>
      </c>
      <c r="C48" s="14" t="s">
        <v>34</v>
      </c>
      <c r="D48">
        <v>459</v>
      </c>
      <c r="E48">
        <v>526</v>
      </c>
      <c r="F48" s="16">
        <f t="shared" si="2"/>
        <v>127.33430156246001</v>
      </c>
      <c r="G48" s="16">
        <f t="shared" si="3"/>
        <v>75.535270361435835</v>
      </c>
      <c r="H48" s="16">
        <f t="shared" si="4"/>
        <v>23.882717406036139</v>
      </c>
      <c r="I48" s="16">
        <f t="shared" si="5"/>
        <v>0.40567219362906604</v>
      </c>
      <c r="J48" s="16">
        <f t="shared" si="6"/>
        <v>27.944549520000002</v>
      </c>
      <c r="K48" s="16">
        <f t="shared" si="7"/>
        <v>70.401529636710919</v>
      </c>
      <c r="L48" s="16">
        <f t="shared" si="8"/>
        <v>75.999999999999929</v>
      </c>
      <c r="M48" s="16">
        <f t="shared" si="9"/>
        <v>59.438000000000002</v>
      </c>
      <c r="N48" s="16">
        <f t="shared" si="10"/>
        <v>9.1515262223435521</v>
      </c>
      <c r="O48" s="16">
        <f t="shared" si="11"/>
        <v>96.442100000000011</v>
      </c>
      <c r="P48" s="16">
        <f t="shared" si="12"/>
        <v>4.9258111600000003</v>
      </c>
      <c r="Q48" s="16">
        <f t="shared" si="13"/>
        <v>4.0229426799999999</v>
      </c>
      <c r="R48" s="16">
        <f t="shared" si="14"/>
        <v>0</v>
      </c>
      <c r="S48" s="16">
        <f t="shared" si="15"/>
        <v>2.204466</v>
      </c>
      <c r="T48" s="16">
        <f t="shared" si="16"/>
        <v>1.0088574799999999</v>
      </c>
      <c r="U48" s="16">
        <f t="shared" si="17"/>
        <v>1.1956085200000002</v>
      </c>
      <c r="V48">
        <f t="shared" si="18"/>
        <v>0.27741677900318085</v>
      </c>
      <c r="W48">
        <f t="shared" si="19"/>
        <v>0.37781212950010651</v>
      </c>
      <c r="X48">
        <f t="shared" si="20"/>
        <v>0.51480592556513138</v>
      </c>
      <c r="Y48">
        <f t="shared" si="21"/>
        <v>0.89261805506523784</v>
      </c>
      <c r="Z48" s="14">
        <v>0.29349999999999998</v>
      </c>
      <c r="AA48" s="14">
        <v>0.18335000000000001</v>
      </c>
      <c r="AB48" s="14">
        <v>0.113</v>
      </c>
      <c r="AD48">
        <f t="shared" si="22"/>
        <v>99.389752042460003</v>
      </c>
      <c r="AE48" s="14">
        <v>5.3126520000000003E-2</v>
      </c>
      <c r="AF48" s="14">
        <v>0.75999053030302999</v>
      </c>
      <c r="AG48" s="14">
        <v>0.24029356060606</v>
      </c>
      <c r="AH48" s="14">
        <v>4.0816300000000002E-3</v>
      </c>
      <c r="AI48" s="14">
        <v>0.133843212237093</v>
      </c>
      <c r="AJ48" s="14">
        <v>0.144486692015209</v>
      </c>
      <c r="AK48" s="14">
        <v>1.7398338825748198E-2</v>
      </c>
      <c r="AL48" s="14">
        <v>9.3646600000000003E-3</v>
      </c>
      <c r="AM48" s="14">
        <v>7.6481800000000001E-3</v>
      </c>
      <c r="AN48" s="14">
        <v>0</v>
      </c>
      <c r="AO48" s="14">
        <v>4.1910000000000003E-3</v>
      </c>
      <c r="AP48" s="14">
        <v>1.9179799999999999E-3</v>
      </c>
      <c r="AQ48" s="14">
        <v>2.2730200000000002E-3</v>
      </c>
    </row>
    <row r="49" spans="1:43">
      <c r="A49" s="14" t="s">
        <v>345</v>
      </c>
      <c r="B49" s="14" t="s">
        <v>40</v>
      </c>
      <c r="C49" s="14" t="s">
        <v>34</v>
      </c>
      <c r="D49">
        <v>561</v>
      </c>
      <c r="E49">
        <v>607</v>
      </c>
      <c r="F49" s="16">
        <f t="shared" si="2"/>
        <v>159.57616213538</v>
      </c>
      <c r="G49" s="16">
        <f t="shared" si="3"/>
        <v>112.68255921214887</v>
      </c>
      <c r="H49" s="16">
        <f t="shared" si="4"/>
        <v>27.15182850528139</v>
      </c>
      <c r="I49" s="16">
        <f t="shared" si="5"/>
        <v>1.7528940607414101</v>
      </c>
      <c r="J49" s="16">
        <f t="shared" si="6"/>
        <v>17.230265579999998</v>
      </c>
      <c r="K49" s="16">
        <f t="shared" si="7"/>
        <v>74.098662207357421</v>
      </c>
      <c r="L49" s="16">
        <f t="shared" si="8"/>
        <v>76.99999999999946</v>
      </c>
      <c r="M49" s="16">
        <f t="shared" si="9"/>
        <v>36.116499999999995</v>
      </c>
      <c r="N49" s="16">
        <f t="shared" si="10"/>
        <v>0.94412779999999996</v>
      </c>
      <c r="O49" s="16">
        <f t="shared" si="11"/>
        <v>98.78925000000001</v>
      </c>
      <c r="P49" s="16">
        <f t="shared" si="12"/>
        <v>4.0541833499999997</v>
      </c>
      <c r="Q49" s="16">
        <f t="shared" si="13"/>
        <v>4.0601987199999998</v>
      </c>
      <c r="R49" s="16">
        <f t="shared" si="14"/>
        <v>0</v>
      </c>
      <c r="S49" s="16">
        <f t="shared" si="15"/>
        <v>5.3643624999999995</v>
      </c>
      <c r="T49" s="16">
        <f t="shared" si="16"/>
        <v>2.01880309</v>
      </c>
      <c r="U49" s="16">
        <f t="shared" si="17"/>
        <v>3.3455594099999995</v>
      </c>
      <c r="V49">
        <f t="shared" si="18"/>
        <v>0.28444948687233512</v>
      </c>
      <c r="W49">
        <f t="shared" si="19"/>
        <v>0.3333068122643883</v>
      </c>
      <c r="X49">
        <f t="shared" si="20"/>
        <v>0.42988584799453811</v>
      </c>
      <c r="Y49">
        <f t="shared" si="21"/>
        <v>0.7631926602589264</v>
      </c>
      <c r="Z49" s="14">
        <v>0.317</v>
      </c>
      <c r="AA49" s="14">
        <v>0.16275000000000001</v>
      </c>
      <c r="AB49" s="14">
        <v>5.9499999999999997E-2</v>
      </c>
      <c r="AD49">
        <f t="shared" si="22"/>
        <v>142.34589655537999</v>
      </c>
      <c r="AE49" s="14">
        <v>2.8385939999999998E-2</v>
      </c>
      <c r="AF49" s="14">
        <v>0.79161087139810504</v>
      </c>
      <c r="AG49" s="14">
        <v>0.19074542478797701</v>
      </c>
      <c r="AH49" s="14">
        <v>1.23143280077585E-2</v>
      </c>
      <c r="AI49" s="14">
        <v>0.12207357859531701</v>
      </c>
      <c r="AJ49" s="14">
        <v>0.12685337726523799</v>
      </c>
      <c r="AK49" s="14">
        <v>1.5554E-3</v>
      </c>
      <c r="AL49" s="14">
        <v>6.6790499999999997E-3</v>
      </c>
      <c r="AM49" s="14">
        <v>6.6889599999999999E-3</v>
      </c>
      <c r="AN49" s="14">
        <v>0</v>
      </c>
      <c r="AO49" s="14">
        <v>8.8374999999999999E-3</v>
      </c>
      <c r="AP49" s="14">
        <v>3.3258699999999999E-3</v>
      </c>
      <c r="AQ49" s="14">
        <v>5.51163E-3</v>
      </c>
    </row>
    <row r="50" spans="1:43">
      <c r="A50" s="14" t="s">
        <v>351</v>
      </c>
      <c r="B50" s="14" t="s">
        <v>33</v>
      </c>
      <c r="C50" s="14" t="s">
        <v>352</v>
      </c>
      <c r="D50">
        <v>577</v>
      </c>
      <c r="E50">
        <v>640</v>
      </c>
      <c r="F50" s="16">
        <f t="shared" si="2"/>
        <v>154.9463028626343</v>
      </c>
      <c r="G50" s="16">
        <f t="shared" si="3"/>
        <v>108.31609915390497</v>
      </c>
      <c r="H50" s="16">
        <f t="shared" si="4"/>
        <v>31.40475609243796</v>
      </c>
      <c r="I50" s="16">
        <f t="shared" si="5"/>
        <v>4.0187445792489562</v>
      </c>
      <c r="J50" s="16">
        <f t="shared" si="6"/>
        <v>12.992125984251903</v>
      </c>
      <c r="K50" s="16">
        <f t="shared" si="7"/>
        <v>81.637795275590406</v>
      </c>
      <c r="L50" s="16">
        <f t="shared" si="8"/>
        <v>65</v>
      </c>
      <c r="M50" s="16">
        <f t="shared" si="9"/>
        <v>52.671999999999997</v>
      </c>
      <c r="N50" s="16">
        <f t="shared" si="10"/>
        <v>0.1511808</v>
      </c>
      <c r="O50" s="16">
        <f t="shared" si="11"/>
        <v>94.656000000000006</v>
      </c>
      <c r="P50" s="16">
        <f t="shared" si="12"/>
        <v>2.014176</v>
      </c>
      <c r="Q50" s="16">
        <f t="shared" si="13"/>
        <v>6.0472447999999996</v>
      </c>
      <c r="R50" s="16">
        <f t="shared" si="14"/>
        <v>2.9887232000000004</v>
      </c>
      <c r="S50" s="16">
        <f t="shared" si="15"/>
        <v>26.2368448</v>
      </c>
      <c r="T50" s="16">
        <f t="shared" si="16"/>
        <v>7.0564516129031682</v>
      </c>
      <c r="U50" s="16">
        <f t="shared" si="17"/>
        <v>19.180393187096833</v>
      </c>
      <c r="V50">
        <f t="shared" si="18"/>
        <v>0.26853778659035404</v>
      </c>
      <c r="W50">
        <f t="shared" si="19"/>
        <v>0.32991573631480786</v>
      </c>
      <c r="X50">
        <f t="shared" si="20"/>
        <v>0.40753959967683778</v>
      </c>
      <c r="Y50">
        <f t="shared" si="21"/>
        <v>0.73745533599164559</v>
      </c>
      <c r="Z50" s="14">
        <v>0.29859999999999998</v>
      </c>
      <c r="AA50" s="14">
        <v>0.1479</v>
      </c>
      <c r="AB50" s="14">
        <v>8.2299999999999998E-2</v>
      </c>
      <c r="AD50">
        <f t="shared" si="22"/>
        <v>141.95417687838238</v>
      </c>
      <c r="AE50" s="14">
        <v>2.0300196850393599E-2</v>
      </c>
      <c r="AF50" s="14">
        <v>0.76303566077314899</v>
      </c>
      <c r="AG50" s="14">
        <v>0.22123164519029001</v>
      </c>
      <c r="AH50" s="14">
        <v>2.8310153794854302E-2</v>
      </c>
      <c r="AI50" s="14">
        <v>0.12755905511811</v>
      </c>
      <c r="AJ50" s="14">
        <v>0.1015625</v>
      </c>
      <c r="AK50" s="14">
        <v>2.3622000000000001E-4</v>
      </c>
      <c r="AL50" s="14">
        <v>3.14715E-3</v>
      </c>
      <c r="AM50" s="14">
        <v>9.4488200000000001E-3</v>
      </c>
      <c r="AN50" s="14">
        <v>4.6698800000000004E-3</v>
      </c>
      <c r="AO50" s="14">
        <v>4.0995070000000002E-2</v>
      </c>
      <c r="AP50" s="14">
        <v>1.1025705645161201E-2</v>
      </c>
      <c r="AQ50" s="14">
        <v>2.9969360144312399E-2</v>
      </c>
    </row>
    <row r="51" spans="1:43">
      <c r="A51" s="14" t="s">
        <v>358</v>
      </c>
      <c r="B51" s="14" t="s">
        <v>74</v>
      </c>
      <c r="C51" s="14" t="s">
        <v>20</v>
      </c>
      <c r="D51">
        <v>565</v>
      </c>
      <c r="E51">
        <v>654</v>
      </c>
      <c r="F51" s="16">
        <f t="shared" si="2"/>
        <v>131.13379713712598</v>
      </c>
      <c r="G51" s="16">
        <f t="shared" si="3"/>
        <v>79.871261734233272</v>
      </c>
      <c r="H51" s="16">
        <f t="shared" si="4"/>
        <v>25.382677526809875</v>
      </c>
      <c r="I51" s="16">
        <f t="shared" si="5"/>
        <v>1.8841764039747209</v>
      </c>
      <c r="J51" s="16">
        <f t="shared" si="6"/>
        <v>24.066408659999997</v>
      </c>
      <c r="K51" s="16">
        <f t="shared" si="7"/>
        <v>87.670261941448103</v>
      </c>
      <c r="L51" s="16">
        <f t="shared" si="8"/>
        <v>72.999999999999588</v>
      </c>
      <c r="M51" s="16">
        <f t="shared" si="9"/>
        <v>65.465399999999349</v>
      </c>
      <c r="N51" s="16">
        <f t="shared" si="10"/>
        <v>0.97354440000000009</v>
      </c>
      <c r="O51" s="16">
        <f t="shared" si="11"/>
        <v>172.36170000000001</v>
      </c>
      <c r="P51" s="16">
        <f t="shared" si="12"/>
        <v>17.31787422</v>
      </c>
      <c r="Q51" s="16">
        <f t="shared" si="13"/>
        <v>4.0308178200000002</v>
      </c>
      <c r="R51" s="16">
        <f t="shared" si="14"/>
        <v>0.90000210000000003</v>
      </c>
      <c r="S51" s="16">
        <f t="shared" si="15"/>
        <v>24.01988217967596</v>
      </c>
      <c r="T51" s="16">
        <f t="shared" si="16"/>
        <v>7.0637886000000005</v>
      </c>
      <c r="U51" s="16">
        <f t="shared" si="17"/>
        <v>16.956093579675958</v>
      </c>
      <c r="V51">
        <f t="shared" si="18"/>
        <v>0.2320952161719044</v>
      </c>
      <c r="W51">
        <f t="shared" si="19"/>
        <v>0.33816025330050281</v>
      </c>
      <c r="X51">
        <f t="shared" si="20"/>
        <v>0.41160138166332244</v>
      </c>
      <c r="Y51">
        <f t="shared" si="21"/>
        <v>0.7497616349638252</v>
      </c>
      <c r="Z51" s="14">
        <v>0.28734999999999999</v>
      </c>
      <c r="AA51" s="14">
        <v>0.26355000000000001</v>
      </c>
      <c r="AB51" s="14">
        <v>0.100099999999999</v>
      </c>
      <c r="AD51">
        <f t="shared" si="22"/>
        <v>107.06738847712599</v>
      </c>
      <c r="AE51" s="14">
        <v>3.6798789999999998E-2</v>
      </c>
      <c r="AF51" s="14">
        <v>0.74599056603773495</v>
      </c>
      <c r="AG51" s="14">
        <v>0.23707197763801499</v>
      </c>
      <c r="AH51" s="14">
        <v>1.7598042044121201E-2</v>
      </c>
      <c r="AI51" s="14">
        <v>0.134052388289676</v>
      </c>
      <c r="AJ51" s="14">
        <v>0.111620795107033</v>
      </c>
      <c r="AK51" s="14">
        <v>1.4886000000000001E-3</v>
      </c>
      <c r="AL51" s="14">
        <v>2.6479929999999999E-2</v>
      </c>
      <c r="AM51" s="14">
        <v>6.1633299999999999E-3</v>
      </c>
      <c r="AN51" s="14">
        <v>1.37615E-3</v>
      </c>
      <c r="AO51" s="14">
        <v>3.6727648592776697E-2</v>
      </c>
      <c r="AP51" s="14">
        <v>1.08009E-2</v>
      </c>
      <c r="AQ51" s="14">
        <v>2.5926750062702199E-2</v>
      </c>
    </row>
    <row r="52" spans="1:43">
      <c r="A52" s="14" t="s">
        <v>365</v>
      </c>
      <c r="B52" s="14" t="s">
        <v>19</v>
      </c>
      <c r="C52" s="14" t="s">
        <v>366</v>
      </c>
      <c r="D52">
        <v>475</v>
      </c>
      <c r="E52">
        <v>541</v>
      </c>
      <c r="F52" s="16">
        <f t="shared" si="2"/>
        <v>117.93070664030299</v>
      </c>
      <c r="G52" s="16">
        <f t="shared" si="3"/>
        <v>66.58686614877611</v>
      </c>
      <c r="H52" s="16">
        <f t="shared" si="4"/>
        <v>23.230253854404591</v>
      </c>
      <c r="I52" s="16">
        <f t="shared" si="5"/>
        <v>2.1227781707472717</v>
      </c>
      <c r="J52" s="16">
        <f t="shared" si="6"/>
        <v>26.274303379999999</v>
      </c>
      <c r="K52" s="16">
        <f t="shared" si="7"/>
        <v>72.53631284916159</v>
      </c>
      <c r="L52" s="16">
        <f t="shared" si="8"/>
        <v>74.999999999999716</v>
      </c>
      <c r="M52" s="16">
        <f t="shared" si="9"/>
        <v>53.559000000000005</v>
      </c>
      <c r="N52" s="16">
        <f t="shared" si="10"/>
        <v>0</v>
      </c>
      <c r="O52" s="16">
        <f t="shared" si="11"/>
        <v>113.6641</v>
      </c>
      <c r="P52" s="16">
        <f t="shared" si="12"/>
        <v>8.0536312849161753</v>
      </c>
      <c r="Q52" s="16">
        <f t="shared" si="13"/>
        <v>4.0297953900000003</v>
      </c>
      <c r="R52" s="16">
        <f t="shared" si="14"/>
        <v>0</v>
      </c>
      <c r="S52" s="16">
        <f t="shared" si="15"/>
        <v>4.2385510599999998</v>
      </c>
      <c r="T52" s="16">
        <f t="shared" si="16"/>
        <v>1.79086148</v>
      </c>
      <c r="U52" s="16">
        <f t="shared" si="17"/>
        <v>2.4476895799999996</v>
      </c>
      <c r="V52">
        <f t="shared" si="18"/>
        <v>0.24827517187432208</v>
      </c>
      <c r="W52">
        <f t="shared" si="19"/>
        <v>0.3371143731886897</v>
      </c>
      <c r="X52">
        <f t="shared" si="20"/>
        <v>0.47265878292595181</v>
      </c>
      <c r="Y52">
        <f t="shared" si="21"/>
        <v>0.80977315611464151</v>
      </c>
      <c r="Z52" s="14">
        <v>0.27029999999999998</v>
      </c>
      <c r="AA52" s="14">
        <v>0.21010000000000001</v>
      </c>
      <c r="AB52" s="14">
        <v>9.9000000000000005E-2</v>
      </c>
      <c r="AD52">
        <f t="shared" si="22"/>
        <v>91.656403260302994</v>
      </c>
      <c r="AE52" s="14">
        <v>4.856618E-2</v>
      </c>
      <c r="AF52" s="14">
        <v>0.72648351648351595</v>
      </c>
      <c r="AG52" s="14">
        <v>0.25344932844932799</v>
      </c>
      <c r="AH52" s="14">
        <v>2.31601731601731E-2</v>
      </c>
      <c r="AI52" s="14">
        <v>0.13407821229050201</v>
      </c>
      <c r="AJ52" s="14">
        <v>0.138632162661737</v>
      </c>
      <c r="AK52" s="14">
        <v>0</v>
      </c>
      <c r="AL52" s="14">
        <v>1.48865642974421E-2</v>
      </c>
      <c r="AM52" s="14">
        <v>7.4487900000000003E-3</v>
      </c>
      <c r="AN52" s="14">
        <v>0</v>
      </c>
      <c r="AO52" s="14">
        <v>7.8346600000000002E-3</v>
      </c>
      <c r="AP52" s="14">
        <v>3.3102800000000001E-3</v>
      </c>
      <c r="AQ52" s="14">
        <v>4.5243899999999997E-3</v>
      </c>
    </row>
    <row r="53" spans="1:43">
      <c r="A53" s="14" t="s">
        <v>372</v>
      </c>
      <c r="B53" s="14" t="s">
        <v>228</v>
      </c>
      <c r="C53" s="14" t="s">
        <v>49</v>
      </c>
      <c r="D53">
        <v>562</v>
      </c>
      <c r="E53">
        <v>640</v>
      </c>
      <c r="F53" s="16">
        <f t="shared" si="2"/>
        <v>141.39716456000002</v>
      </c>
      <c r="G53" s="16">
        <f t="shared" si="3"/>
        <v>90.257014347853101</v>
      </c>
      <c r="H53" s="16">
        <f t="shared" si="4"/>
        <v>27.282347481176419</v>
      </c>
      <c r="I53" s="16">
        <f t="shared" si="5"/>
        <v>0.99630449448173297</v>
      </c>
      <c r="J53" s="16">
        <f t="shared" si="6"/>
        <v>22.255904000000001</v>
      </c>
      <c r="K53" s="16">
        <f t="shared" si="7"/>
        <v>75.590551181102072</v>
      </c>
      <c r="L53" s="16">
        <f t="shared" si="8"/>
        <v>79</v>
      </c>
      <c r="M53" s="16">
        <f t="shared" si="9"/>
        <v>63.936</v>
      </c>
      <c r="N53" s="16">
        <f t="shared" si="10"/>
        <v>1.7797504</v>
      </c>
      <c r="O53" s="16">
        <f t="shared" si="11"/>
        <v>90.912000000000006</v>
      </c>
      <c r="P53" s="16">
        <f t="shared" si="12"/>
        <v>8.0566911999999995</v>
      </c>
      <c r="Q53" s="16">
        <f t="shared" si="13"/>
        <v>5.0393728000000007</v>
      </c>
      <c r="R53" s="16">
        <f t="shared" si="14"/>
        <v>0.89999999999999991</v>
      </c>
      <c r="S53" s="16">
        <f t="shared" si="15"/>
        <v>2.2142848000000002</v>
      </c>
      <c r="T53" s="16">
        <f t="shared" si="16"/>
        <v>1.0007808</v>
      </c>
      <c r="U53" s="16">
        <f t="shared" si="17"/>
        <v>1.2135040000000001</v>
      </c>
      <c r="V53">
        <f t="shared" si="18"/>
        <v>0.25159637822064063</v>
      </c>
      <c r="W53">
        <f t="shared" si="19"/>
        <v>0.34005193837362202</v>
      </c>
      <c r="X53">
        <f t="shared" si="20"/>
        <v>0.4214132362876355</v>
      </c>
      <c r="Y53">
        <f t="shared" si="21"/>
        <v>0.76146517466125752</v>
      </c>
      <c r="Z53" s="14">
        <v>0.26250000000000001</v>
      </c>
      <c r="AA53" s="14">
        <v>0.14205000000000001</v>
      </c>
      <c r="AB53" s="14">
        <v>9.9900000000000003E-2</v>
      </c>
      <c r="AD53">
        <f t="shared" si="22"/>
        <v>119.14126056000001</v>
      </c>
      <c r="AE53" s="14">
        <v>3.4774850000000003E-2</v>
      </c>
      <c r="AF53" s="14">
        <v>0.75756303000000003</v>
      </c>
      <c r="AG53" s="14">
        <v>0.22899159663865501</v>
      </c>
      <c r="AH53" s="14">
        <v>8.3623800000000009E-3</v>
      </c>
      <c r="AI53" s="14">
        <v>0.118110236220472</v>
      </c>
      <c r="AJ53" s="14">
        <v>0.12343750000000001</v>
      </c>
      <c r="AK53" s="14">
        <v>2.78086E-3</v>
      </c>
      <c r="AL53" s="14">
        <v>1.258858E-2</v>
      </c>
      <c r="AM53" s="14">
        <v>7.8740200000000007E-3</v>
      </c>
      <c r="AN53" s="14">
        <v>1.4062499999999999E-3</v>
      </c>
      <c r="AO53" s="14">
        <v>3.4598200000000002E-3</v>
      </c>
      <c r="AP53" s="14">
        <v>1.56372E-3</v>
      </c>
      <c r="AQ53" s="14">
        <v>1.8961E-3</v>
      </c>
    </row>
    <row r="54" spans="1:43">
      <c r="A54" s="14" t="s">
        <v>375</v>
      </c>
      <c r="B54" s="14" t="s">
        <v>376</v>
      </c>
      <c r="C54" s="14" t="s">
        <v>87</v>
      </c>
      <c r="D54">
        <v>514</v>
      </c>
      <c r="E54">
        <v>558</v>
      </c>
      <c r="F54" s="16">
        <f t="shared" si="2"/>
        <v>131.92183927330998</v>
      </c>
      <c r="G54" s="16">
        <f t="shared" si="3"/>
        <v>72.721811680141172</v>
      </c>
      <c r="H54" s="16">
        <f t="shared" si="4"/>
        <v>29.674111447402844</v>
      </c>
      <c r="I54" s="16">
        <f t="shared" si="5"/>
        <v>3.0394961132908471</v>
      </c>
      <c r="J54" s="16">
        <f t="shared" si="6"/>
        <v>28.320146099999999</v>
      </c>
      <c r="K54" s="16">
        <f t="shared" si="7"/>
        <v>69.876588021778318</v>
      </c>
      <c r="L54" s="16">
        <f t="shared" si="8"/>
        <v>85.999999999999915</v>
      </c>
      <c r="M54" s="16">
        <f t="shared" si="9"/>
        <v>33.870599999999996</v>
      </c>
      <c r="N54" s="16">
        <f t="shared" si="10"/>
        <v>0</v>
      </c>
      <c r="O54" s="16">
        <f t="shared" si="11"/>
        <v>143.37810000000002</v>
      </c>
      <c r="P54" s="16">
        <f t="shared" si="12"/>
        <v>6.0686015400000004</v>
      </c>
      <c r="Q54" s="16">
        <f t="shared" si="13"/>
        <v>5.0635207800000002</v>
      </c>
      <c r="R54" s="16">
        <f t="shared" si="14"/>
        <v>0</v>
      </c>
      <c r="S54" s="16">
        <f t="shared" si="15"/>
        <v>1.9785564</v>
      </c>
      <c r="T54" s="16">
        <f t="shared" si="16"/>
        <v>1.04744412</v>
      </c>
      <c r="U54" s="16">
        <f t="shared" si="17"/>
        <v>0.93111228000000001</v>
      </c>
      <c r="V54">
        <f t="shared" si="18"/>
        <v>0.25665727485079765</v>
      </c>
      <c r="W54">
        <f t="shared" si="19"/>
        <v>0.31081648672878631</v>
      </c>
      <c r="X54">
        <f t="shared" si="20"/>
        <v>0.49507608427007671</v>
      </c>
      <c r="Y54">
        <f t="shared" si="21"/>
        <v>0.80589257099886302</v>
      </c>
      <c r="Z54" s="14">
        <v>0.29825000000000002</v>
      </c>
      <c r="AA54" s="14">
        <v>0.25695000000000001</v>
      </c>
      <c r="AB54" s="14">
        <v>6.0699999999999997E-2</v>
      </c>
      <c r="AD54">
        <f t="shared" si="22"/>
        <v>103.60169317331</v>
      </c>
      <c r="AE54" s="14">
        <v>5.0752949999999998E-2</v>
      </c>
      <c r="AF54" s="14">
        <v>0.70193651718112904</v>
      </c>
      <c r="AG54" s="14">
        <v>0.28642496602601403</v>
      </c>
      <c r="AH54" s="14">
        <v>2.9338286085790401E-2</v>
      </c>
      <c r="AI54" s="14">
        <v>0.125226860254083</v>
      </c>
      <c r="AJ54" s="14">
        <v>0.154121863799283</v>
      </c>
      <c r="AK54" s="14">
        <v>0</v>
      </c>
      <c r="AL54" s="14">
        <v>1.0875630000000001E-2</v>
      </c>
      <c r="AM54" s="14">
        <v>9.0744099999999998E-3</v>
      </c>
      <c r="AN54" s="14">
        <v>0</v>
      </c>
      <c r="AO54" s="14">
        <v>3.5458E-3</v>
      </c>
      <c r="AP54" s="14">
        <v>1.87714E-3</v>
      </c>
      <c r="AQ54" s="14">
        <v>1.6686699999999999E-3</v>
      </c>
    </row>
    <row r="55" spans="1:43">
      <c r="A55" s="14" t="s">
        <v>381</v>
      </c>
      <c r="B55" s="14" t="s">
        <v>200</v>
      </c>
      <c r="C55" s="14" t="s">
        <v>34</v>
      </c>
      <c r="D55">
        <v>578</v>
      </c>
      <c r="E55">
        <v>633</v>
      </c>
      <c r="F55" s="16">
        <f t="shared" si="2"/>
        <v>157.54814404192717</v>
      </c>
      <c r="G55" s="16">
        <f t="shared" si="3"/>
        <v>108.2059493878218</v>
      </c>
      <c r="H55" s="16">
        <f t="shared" si="4"/>
        <v>29.224436221123014</v>
      </c>
      <c r="I55" s="16">
        <f t="shared" si="5"/>
        <v>2.0412569412390154</v>
      </c>
      <c r="J55" s="16">
        <f t="shared" si="6"/>
        <v>17.221815286624164</v>
      </c>
      <c r="K55" s="16">
        <f t="shared" si="7"/>
        <v>81.644904458598589</v>
      </c>
      <c r="L55" s="16">
        <f t="shared" si="8"/>
        <v>68.999999999999432</v>
      </c>
      <c r="M55" s="16">
        <f t="shared" si="9"/>
        <v>36.9039</v>
      </c>
      <c r="N55" s="16">
        <f t="shared" si="10"/>
        <v>1.4666293500000001</v>
      </c>
      <c r="O55" s="16">
        <f t="shared" si="11"/>
        <v>112.8006</v>
      </c>
      <c r="P55" s="16">
        <f t="shared" si="12"/>
        <v>11.17882431</v>
      </c>
      <c r="Q55" s="16">
        <f t="shared" si="13"/>
        <v>4.03184919</v>
      </c>
      <c r="R55" s="16">
        <f t="shared" si="14"/>
        <v>1.9944690599999999</v>
      </c>
      <c r="S55" s="16">
        <f t="shared" si="15"/>
        <v>18.868663594470011</v>
      </c>
      <c r="T55" s="16">
        <f t="shared" si="16"/>
        <v>4.3187501099999999</v>
      </c>
      <c r="U55" s="16">
        <f t="shared" si="17"/>
        <v>14.549913484470011</v>
      </c>
      <c r="V55">
        <f t="shared" si="18"/>
        <v>0.2725746436711543</v>
      </c>
      <c r="W55">
        <f t="shared" si="19"/>
        <v>0.33381157917107296</v>
      </c>
      <c r="X55">
        <f t="shared" si="20"/>
        <v>0.41810701349529678</v>
      </c>
      <c r="Y55">
        <f t="shared" si="21"/>
        <v>0.75191859266636973</v>
      </c>
      <c r="Z55" s="14">
        <v>0.31045</v>
      </c>
      <c r="AA55" s="14">
        <v>0.1782</v>
      </c>
      <c r="AB55" s="14">
        <v>5.8299999999999998E-2</v>
      </c>
      <c r="AD55">
        <f t="shared" si="22"/>
        <v>140.32632875530302</v>
      </c>
      <c r="AE55" s="14">
        <v>2.7206659220575299E-2</v>
      </c>
      <c r="AF55" s="14">
        <v>0.77110226104830404</v>
      </c>
      <c r="AG55" s="14">
        <v>0.20826053442959899</v>
      </c>
      <c r="AH55" s="14">
        <v>1.45465E-2</v>
      </c>
      <c r="AI55" s="14">
        <v>0.128980891719745</v>
      </c>
      <c r="AJ55" s="14">
        <v>0.109004739336492</v>
      </c>
      <c r="AK55" s="14">
        <v>2.3169499999999999E-3</v>
      </c>
      <c r="AL55" s="14">
        <v>1.766007E-2</v>
      </c>
      <c r="AM55" s="14">
        <v>6.3694299999999997E-3</v>
      </c>
      <c r="AN55" s="14">
        <v>3.1508199999999999E-3</v>
      </c>
      <c r="AO55" s="14">
        <v>2.9808315315118499E-2</v>
      </c>
      <c r="AP55" s="14">
        <v>6.8226700000000003E-3</v>
      </c>
      <c r="AQ55" s="14">
        <v>2.2985645488894198E-2</v>
      </c>
    </row>
    <row r="56" spans="1:43">
      <c r="A56" s="14" t="s">
        <v>390</v>
      </c>
      <c r="B56" s="14" t="s">
        <v>136</v>
      </c>
      <c r="C56" s="14" t="s">
        <v>391</v>
      </c>
      <c r="D56">
        <v>525</v>
      </c>
      <c r="E56">
        <v>585</v>
      </c>
      <c r="F56" s="16">
        <f t="shared" si="2"/>
        <v>135.50159745941252</v>
      </c>
      <c r="G56" s="16">
        <f t="shared" si="3"/>
        <v>81.248274413574208</v>
      </c>
      <c r="H56" s="16">
        <f t="shared" si="4"/>
        <v>28.153656882456549</v>
      </c>
      <c r="I56" s="16">
        <f t="shared" si="5"/>
        <v>1.2555231994771707</v>
      </c>
      <c r="J56" s="16">
        <f t="shared" si="6"/>
        <v>23.135445450000002</v>
      </c>
      <c r="K56" s="16">
        <f t="shared" si="7"/>
        <v>75.128424657533913</v>
      </c>
      <c r="L56" s="16">
        <f t="shared" si="8"/>
        <v>77.999999999999801</v>
      </c>
      <c r="M56" s="16">
        <f t="shared" si="9"/>
        <v>50.309999999999995</v>
      </c>
      <c r="N56" s="16">
        <f t="shared" si="10"/>
        <v>1.992861</v>
      </c>
      <c r="O56" s="16">
        <f t="shared" si="11"/>
        <v>134.4915</v>
      </c>
      <c r="P56" s="16">
        <f t="shared" si="12"/>
        <v>6.00924657534242</v>
      </c>
      <c r="Q56" s="16">
        <f t="shared" si="13"/>
        <v>5.0085594000000002</v>
      </c>
      <c r="R56" s="16">
        <f t="shared" si="14"/>
        <v>0</v>
      </c>
      <c r="S56" s="16">
        <f t="shared" si="15"/>
        <v>4.7448999000000001</v>
      </c>
      <c r="T56" s="16">
        <f t="shared" si="16"/>
        <v>2.1317517000000001</v>
      </c>
      <c r="U56" s="16">
        <f t="shared" si="17"/>
        <v>2.6131481999999999</v>
      </c>
      <c r="V56">
        <f t="shared" si="18"/>
        <v>0.25809828087507147</v>
      </c>
      <c r="W56">
        <f t="shared" si="19"/>
        <v>0.33283514326684671</v>
      </c>
      <c r="X56">
        <f t="shared" si="20"/>
        <v>0.44545512300365492</v>
      </c>
      <c r="Y56">
        <f t="shared" si="21"/>
        <v>0.77829026627050157</v>
      </c>
      <c r="Z56" s="14">
        <v>0.30175000000000002</v>
      </c>
      <c r="AA56" s="14">
        <v>0.22989999999999999</v>
      </c>
      <c r="AB56" s="14">
        <v>8.5999999999999993E-2</v>
      </c>
      <c r="AD56">
        <f t="shared" si="22"/>
        <v>112.36615200941252</v>
      </c>
      <c r="AE56" s="14">
        <v>3.9547770000000003E-2</v>
      </c>
      <c r="AF56" s="14">
        <v>0.72306716000000004</v>
      </c>
      <c r="AG56" s="14">
        <v>0.25055282555282499</v>
      </c>
      <c r="AH56" s="14">
        <v>1.1173499999999999E-2</v>
      </c>
      <c r="AI56" s="14">
        <v>0.12842465753424601</v>
      </c>
      <c r="AJ56" s="14">
        <v>0.133333333333333</v>
      </c>
      <c r="AK56" s="14">
        <v>3.4066000000000001E-3</v>
      </c>
      <c r="AL56" s="14">
        <v>1.02722163681067E-2</v>
      </c>
      <c r="AM56" s="14">
        <v>8.5616400000000006E-3</v>
      </c>
      <c r="AN56" s="14">
        <v>0</v>
      </c>
      <c r="AO56" s="14">
        <v>8.1109400000000005E-3</v>
      </c>
      <c r="AP56" s="14">
        <v>3.64402E-3</v>
      </c>
      <c r="AQ56" s="14">
        <v>4.4669200000000001E-3</v>
      </c>
    </row>
    <row r="57" spans="1:43">
      <c r="A57" s="14" t="s">
        <v>397</v>
      </c>
      <c r="B57" s="14" t="s">
        <v>33</v>
      </c>
      <c r="C57" s="14" t="s">
        <v>124</v>
      </c>
      <c r="D57">
        <v>566</v>
      </c>
      <c r="E57">
        <v>630</v>
      </c>
      <c r="F57" s="16">
        <f t="shared" si="2"/>
        <v>145.71780982057001</v>
      </c>
      <c r="G57" s="16">
        <f t="shared" si="3"/>
        <v>88.926896536641678</v>
      </c>
      <c r="H57" s="16">
        <f t="shared" si="4"/>
        <v>30.541758152488367</v>
      </c>
      <c r="I57" s="16">
        <f t="shared" si="5"/>
        <v>1.1815557800253029</v>
      </c>
      <c r="J57" s="16">
        <f t="shared" si="6"/>
        <v>24.3033462</v>
      </c>
      <c r="K57" s="16">
        <f t="shared" si="7"/>
        <v>73.349282296650159</v>
      </c>
      <c r="L57" s="16">
        <f t="shared" si="8"/>
        <v>92.999999999999616</v>
      </c>
      <c r="M57" s="16">
        <f t="shared" si="9"/>
        <v>52.100999999999999</v>
      </c>
      <c r="N57" s="16">
        <f t="shared" si="10"/>
        <v>3.5423703</v>
      </c>
      <c r="O57" s="16">
        <f t="shared" si="11"/>
        <v>92.798999999999992</v>
      </c>
      <c r="P57" s="16">
        <f t="shared" si="12"/>
        <v>6.0258365999999999</v>
      </c>
      <c r="Q57" s="16">
        <f t="shared" si="13"/>
        <v>7.0334900999999999</v>
      </c>
      <c r="R57" s="16">
        <f t="shared" si="14"/>
        <v>0</v>
      </c>
      <c r="S57" s="16">
        <f t="shared" si="15"/>
        <v>1.2391280999999998</v>
      </c>
      <c r="T57" s="16">
        <f t="shared" si="16"/>
        <v>0</v>
      </c>
      <c r="U57" s="16">
        <f t="shared" si="17"/>
        <v>1.2391280999999998</v>
      </c>
      <c r="V57">
        <f t="shared" si="18"/>
        <v>0.25745196081372795</v>
      </c>
      <c r="W57">
        <f t="shared" si="19"/>
        <v>0.32987855889688472</v>
      </c>
      <c r="X57">
        <f t="shared" si="20"/>
        <v>0.443053825055997</v>
      </c>
      <c r="Y57">
        <f t="shared" si="21"/>
        <v>0.77293238395288166</v>
      </c>
      <c r="Z57" s="14">
        <v>0.26629999999999998</v>
      </c>
      <c r="AA57" s="14">
        <v>0.14729999999999999</v>
      </c>
      <c r="AB57" s="14">
        <v>8.2699999999999996E-2</v>
      </c>
      <c r="AD57">
        <f t="shared" si="22"/>
        <v>121.41446362057</v>
      </c>
      <c r="AE57" s="14">
        <v>3.8576739999999998E-2</v>
      </c>
      <c r="AF57" s="14">
        <v>0.73242424242424198</v>
      </c>
      <c r="AG57" s="14">
        <v>0.25154958677685901</v>
      </c>
      <c r="AH57" s="14">
        <v>9.73159E-3</v>
      </c>
      <c r="AI57" s="14">
        <v>0.11642743221690501</v>
      </c>
      <c r="AJ57" s="14">
        <v>0.14761904761904701</v>
      </c>
      <c r="AK57" s="14">
        <v>5.6228099999999998E-3</v>
      </c>
      <c r="AL57" s="14">
        <v>9.5648199999999999E-3</v>
      </c>
      <c r="AM57" s="14">
        <v>1.116427E-2</v>
      </c>
      <c r="AN57" s="14">
        <v>0</v>
      </c>
      <c r="AO57" s="14">
        <v>1.9668699999999999E-3</v>
      </c>
      <c r="AP57" s="14">
        <v>0</v>
      </c>
      <c r="AQ57" s="14">
        <v>1.9668699999999999E-3</v>
      </c>
    </row>
    <row r="58" spans="1:43">
      <c r="A58" s="14" t="s">
        <v>403</v>
      </c>
      <c r="B58" s="14" t="s">
        <v>404</v>
      </c>
      <c r="C58" s="14" t="s">
        <v>20</v>
      </c>
      <c r="D58">
        <v>466</v>
      </c>
      <c r="E58">
        <v>529</v>
      </c>
      <c r="F58" s="16">
        <f t="shared" si="2"/>
        <v>112.43677380994998</v>
      </c>
      <c r="G58" s="16">
        <f t="shared" si="3"/>
        <v>63.120304799116759</v>
      </c>
      <c r="H58" s="16">
        <f t="shared" si="4"/>
        <v>23.198836084504258</v>
      </c>
      <c r="I58" s="16">
        <f t="shared" si="5"/>
        <v>2.9299397867253729</v>
      </c>
      <c r="J58" s="16">
        <f t="shared" si="6"/>
        <v>23.823193916349762</v>
      </c>
      <c r="K58" s="16">
        <f t="shared" si="7"/>
        <v>77.439163498098452</v>
      </c>
      <c r="L58" s="16">
        <f t="shared" si="8"/>
        <v>63.999999999999567</v>
      </c>
      <c r="M58" s="16">
        <f t="shared" si="9"/>
        <v>53.376099999999475</v>
      </c>
      <c r="N58" s="16">
        <f t="shared" si="10"/>
        <v>3.6969059199999998</v>
      </c>
      <c r="O58" s="16">
        <f t="shared" si="11"/>
        <v>159.75799999999998</v>
      </c>
      <c r="P58" s="16">
        <f t="shared" si="12"/>
        <v>4.0205322500000005</v>
      </c>
      <c r="Q58" s="16">
        <f t="shared" si="13"/>
        <v>3.0171091799999998</v>
      </c>
      <c r="R58" s="16">
        <f t="shared" si="14"/>
        <v>0</v>
      </c>
      <c r="S58" s="16">
        <f t="shared" si="15"/>
        <v>28.115493020000002</v>
      </c>
      <c r="T58" s="16">
        <f t="shared" si="16"/>
        <v>6.1394628099172737</v>
      </c>
      <c r="U58" s="16">
        <f t="shared" si="17"/>
        <v>21.97603021008273</v>
      </c>
      <c r="V58">
        <f t="shared" si="18"/>
        <v>0.24128063049345491</v>
      </c>
      <c r="W58">
        <f t="shared" si="19"/>
        <v>0.32984902585931447</v>
      </c>
      <c r="X58">
        <f t="shared" si="20"/>
        <v>0.45837032616673912</v>
      </c>
      <c r="Y58">
        <f t="shared" si="21"/>
        <v>0.78821935202605364</v>
      </c>
      <c r="Z58" s="14">
        <v>0.31045</v>
      </c>
      <c r="AA58" s="14">
        <v>0.30199999999999999</v>
      </c>
      <c r="AB58" s="14">
        <v>0.100899999999999</v>
      </c>
      <c r="AD58">
        <f t="shared" si="22"/>
        <v>88.613579893600217</v>
      </c>
      <c r="AE58" s="14">
        <v>4.5034393036578003E-2</v>
      </c>
      <c r="AF58" s="14">
        <v>0.71230961298377005</v>
      </c>
      <c r="AG58" s="14">
        <v>0.26179775280898798</v>
      </c>
      <c r="AH58" s="14">
        <v>3.306423E-2</v>
      </c>
      <c r="AI58" s="14">
        <v>0.146387832699619</v>
      </c>
      <c r="AJ58" s="14">
        <v>0.12098298676748501</v>
      </c>
      <c r="AK58" s="14">
        <v>6.98848E-3</v>
      </c>
      <c r="AL58" s="14">
        <v>7.6002500000000002E-3</v>
      </c>
      <c r="AM58" s="14">
        <v>5.7034199999999998E-3</v>
      </c>
      <c r="AN58" s="14">
        <v>0</v>
      </c>
      <c r="AO58" s="14">
        <v>5.3148380000000002E-2</v>
      </c>
      <c r="AP58" s="14">
        <v>1.1605789810807701E-2</v>
      </c>
      <c r="AQ58" s="14">
        <v>4.1542587601679698E-2</v>
      </c>
    </row>
    <row r="59" spans="1:43">
      <c r="A59" s="14" t="s">
        <v>412</v>
      </c>
      <c r="B59" s="14" t="s">
        <v>123</v>
      </c>
      <c r="C59" s="14" t="s">
        <v>20</v>
      </c>
      <c r="D59">
        <v>500</v>
      </c>
      <c r="E59">
        <v>568</v>
      </c>
      <c r="F59" s="16">
        <f t="shared" si="2"/>
        <v>131.05623676629216</v>
      </c>
      <c r="G59" s="16">
        <f t="shared" si="3"/>
        <v>80.016517292015905</v>
      </c>
      <c r="H59" s="16">
        <f t="shared" si="4"/>
        <v>22.874522127815982</v>
      </c>
      <c r="I59" s="16">
        <f t="shared" si="5"/>
        <v>1.7296767465559499</v>
      </c>
      <c r="J59" s="16">
        <f t="shared" si="6"/>
        <v>26.00781688</v>
      </c>
      <c r="K59" s="16">
        <f t="shared" si="7"/>
        <v>81.719360568383209</v>
      </c>
      <c r="L59" s="16">
        <f t="shared" si="8"/>
        <v>71</v>
      </c>
      <c r="M59" s="16">
        <f t="shared" si="9"/>
        <v>57.140799999999999</v>
      </c>
      <c r="N59" s="16">
        <f t="shared" si="10"/>
        <v>0.96729831999999993</v>
      </c>
      <c r="O59" s="16">
        <f t="shared" si="11"/>
        <v>110.53279999999943</v>
      </c>
      <c r="P59" s="16">
        <f t="shared" si="12"/>
        <v>6.1479581599999999</v>
      </c>
      <c r="Q59" s="16">
        <f t="shared" si="13"/>
        <v>4.0355264000000002</v>
      </c>
      <c r="R59" s="16">
        <f t="shared" si="14"/>
        <v>0.90000167999999992</v>
      </c>
      <c r="S59" s="16">
        <f t="shared" si="15"/>
        <v>14.079833919999999</v>
      </c>
      <c r="T59" s="16">
        <f t="shared" si="16"/>
        <v>2.9495047200000002</v>
      </c>
      <c r="U59" s="16">
        <f t="shared" si="17"/>
        <v>11.130329199999998</v>
      </c>
      <c r="V59">
        <f t="shared" si="18"/>
        <v>0.26211247353258432</v>
      </c>
      <c r="W59">
        <f t="shared" si="19"/>
        <v>0.34744197862881732</v>
      </c>
      <c r="X59">
        <f t="shared" si="20"/>
        <v>0.4699717186146315</v>
      </c>
      <c r="Y59">
        <f t="shared" si="21"/>
        <v>0.81741369724344881</v>
      </c>
      <c r="Z59" s="14">
        <v>0.28584999999999999</v>
      </c>
      <c r="AA59" s="14">
        <v>0.194599999999999</v>
      </c>
      <c r="AB59" s="14">
        <v>0.10059999999999999</v>
      </c>
      <c r="AD59">
        <f t="shared" si="22"/>
        <v>105.04841988629215</v>
      </c>
      <c r="AE59" s="14">
        <v>4.5788410000000002E-2</v>
      </c>
      <c r="AF59" s="14">
        <v>0.76171081277213304</v>
      </c>
      <c r="AG59" s="14">
        <v>0.21775217706821401</v>
      </c>
      <c r="AH59" s="14">
        <v>1.64655189333472E-2</v>
      </c>
      <c r="AI59" s="14">
        <v>0.143872113676731</v>
      </c>
      <c r="AJ59" s="14">
        <v>0.125</v>
      </c>
      <c r="AK59" s="14">
        <v>1.7029899999999999E-3</v>
      </c>
      <c r="AL59" s="14">
        <v>1.0823869999999999E-2</v>
      </c>
      <c r="AM59" s="14">
        <v>7.1047999999999997E-3</v>
      </c>
      <c r="AN59" s="14">
        <v>1.5845099999999999E-3</v>
      </c>
      <c r="AO59" s="14">
        <v>2.4788439999999998E-2</v>
      </c>
      <c r="AP59" s="14">
        <v>5.1927900000000001E-3</v>
      </c>
      <c r="AQ59" s="14">
        <v>1.9595640000000001E-2</v>
      </c>
    </row>
    <row r="60" spans="1:43">
      <c r="A60" s="14" t="s">
        <v>417</v>
      </c>
      <c r="B60" s="14" t="s">
        <v>248</v>
      </c>
      <c r="C60" s="14" t="s">
        <v>34</v>
      </c>
      <c r="D60">
        <v>550</v>
      </c>
      <c r="E60">
        <v>607</v>
      </c>
      <c r="F60" s="16">
        <f t="shared" si="2"/>
        <v>135.37600381345999</v>
      </c>
      <c r="G60" s="16">
        <f t="shared" si="3"/>
        <v>87.903407852440651</v>
      </c>
      <c r="H60" s="16">
        <f t="shared" si="4"/>
        <v>28.315521913699509</v>
      </c>
      <c r="I60" s="16">
        <f t="shared" si="5"/>
        <v>3.868607449766067</v>
      </c>
      <c r="J60" s="16">
        <f t="shared" si="6"/>
        <v>16.099999999999966</v>
      </c>
      <c r="K60" s="16">
        <f t="shared" si="7"/>
        <v>72.999999999999744</v>
      </c>
      <c r="L60" s="16">
        <f t="shared" si="8"/>
        <v>63.999999999999766</v>
      </c>
      <c r="M60" s="16">
        <f t="shared" si="9"/>
        <v>37.391199999999941</v>
      </c>
      <c r="N60" s="16">
        <f t="shared" si="10"/>
        <v>1.7952389200000001</v>
      </c>
      <c r="O60" s="16">
        <f t="shared" si="11"/>
        <v>114.93544999999999</v>
      </c>
      <c r="P60" s="16">
        <f t="shared" si="12"/>
        <v>12.0999987</v>
      </c>
      <c r="Q60" s="16">
        <f t="shared" si="13"/>
        <v>4.0000025299999997</v>
      </c>
      <c r="R60" s="16">
        <f t="shared" si="14"/>
        <v>1.8963469100000001</v>
      </c>
      <c r="S60" s="16">
        <f t="shared" si="15"/>
        <v>30.207936507936449</v>
      </c>
      <c r="T60" s="16">
        <f t="shared" si="16"/>
        <v>7.0473773265650861</v>
      </c>
      <c r="U60" s="16">
        <f t="shared" si="17"/>
        <v>23.160559181371362</v>
      </c>
      <c r="V60">
        <f t="shared" si="18"/>
        <v>0.24613818875174542</v>
      </c>
      <c r="W60">
        <f t="shared" si="19"/>
        <v>0.31467752529403331</v>
      </c>
      <c r="X60">
        <f t="shared" si="20"/>
        <v>0.40098231641661403</v>
      </c>
      <c r="Y60">
        <f t="shared" si="21"/>
        <v>0.71565984171064734</v>
      </c>
      <c r="Z60" s="14">
        <v>0.28199999999999997</v>
      </c>
      <c r="AA60" s="14">
        <v>0.18934999999999999</v>
      </c>
      <c r="AB60" s="14">
        <v>6.1599999999999898E-2</v>
      </c>
      <c r="AD60">
        <f t="shared" si="22"/>
        <v>119.27600381346002</v>
      </c>
      <c r="AE60" s="14">
        <v>2.6523887973640799E-2</v>
      </c>
      <c r="AF60" s="14">
        <v>0.73697478991596599</v>
      </c>
      <c r="AG60" s="14">
        <v>0.23739495798319299</v>
      </c>
      <c r="AH60" s="14">
        <v>3.2434079999999997E-2</v>
      </c>
      <c r="AI60" s="14">
        <v>0.120263591433278</v>
      </c>
      <c r="AJ60" s="14">
        <v>0.10543657331136699</v>
      </c>
      <c r="AK60" s="14">
        <v>2.9575600000000001E-3</v>
      </c>
      <c r="AL60" s="14">
        <v>1.99341E-2</v>
      </c>
      <c r="AM60" s="14">
        <v>6.5897899999999999E-3</v>
      </c>
      <c r="AN60" s="14">
        <v>3.1241300000000001E-3</v>
      </c>
      <c r="AO60" s="14">
        <v>4.9765958003190197E-2</v>
      </c>
      <c r="AP60" s="14">
        <v>1.16101768147695E-2</v>
      </c>
      <c r="AQ60" s="14">
        <v>3.8155781188420598E-2</v>
      </c>
    </row>
    <row r="61" spans="1:43">
      <c r="A61" s="14" t="s">
        <v>425</v>
      </c>
      <c r="B61" s="14" t="s">
        <v>58</v>
      </c>
      <c r="C61" s="14" t="s">
        <v>49</v>
      </c>
      <c r="D61">
        <v>532</v>
      </c>
      <c r="E61">
        <v>598</v>
      </c>
      <c r="F61" s="16">
        <f t="shared" si="2"/>
        <v>122.73121694772567</v>
      </c>
      <c r="G61" s="16">
        <f t="shared" si="3"/>
        <v>65.503311684486661</v>
      </c>
      <c r="H61" s="16">
        <f t="shared" si="4"/>
        <v>23.022173351519719</v>
      </c>
      <c r="I61" s="16">
        <f t="shared" si="5"/>
        <v>1.0020166663818466</v>
      </c>
      <c r="J61" s="16">
        <f t="shared" si="6"/>
        <v>34.154285714285642</v>
      </c>
      <c r="K61" s="16">
        <f t="shared" si="7"/>
        <v>73.368067226890702</v>
      </c>
      <c r="L61" s="16">
        <f t="shared" si="8"/>
        <v>94.999999999999645</v>
      </c>
      <c r="M61" s="16">
        <f t="shared" si="9"/>
        <v>49.873200000000004</v>
      </c>
      <c r="N61" s="16">
        <f t="shared" si="10"/>
        <v>0.97884227999999995</v>
      </c>
      <c r="O61" s="16">
        <f t="shared" si="11"/>
        <v>178.41329999999999</v>
      </c>
      <c r="P61" s="16">
        <f t="shared" si="12"/>
        <v>10.145380960000001</v>
      </c>
      <c r="Q61" s="16">
        <f t="shared" si="13"/>
        <v>5.0252092800000003</v>
      </c>
      <c r="R61" s="16">
        <f t="shared" si="14"/>
        <v>0</v>
      </c>
      <c r="S61" s="16">
        <f t="shared" si="15"/>
        <v>2.9780818599999996</v>
      </c>
      <c r="T61" s="16">
        <f t="shared" si="16"/>
        <v>1.0132033600000001</v>
      </c>
      <c r="U61" s="16">
        <f t="shared" si="17"/>
        <v>1.9648784999999995</v>
      </c>
      <c r="V61">
        <f t="shared" si="18"/>
        <v>0.23069777621752946</v>
      </c>
      <c r="W61">
        <f t="shared" si="19"/>
        <v>0.31252891602827049</v>
      </c>
      <c r="X61">
        <f t="shared" si="20"/>
        <v>0.4721256602327335</v>
      </c>
      <c r="Y61">
        <f t="shared" si="21"/>
        <v>0.78465457626100399</v>
      </c>
      <c r="Z61" s="14">
        <v>0.27300000000000002</v>
      </c>
      <c r="AA61" s="14">
        <v>0.29835</v>
      </c>
      <c r="AB61" s="14">
        <v>8.3400000000000002E-2</v>
      </c>
      <c r="AD61">
        <f t="shared" si="22"/>
        <v>88.576931233440021</v>
      </c>
      <c r="AE61" s="14">
        <v>5.7114190157668297E-2</v>
      </c>
      <c r="AF61" s="14">
        <v>0.73950757575757498</v>
      </c>
      <c r="AG61" s="14">
        <v>0.25991161616161601</v>
      </c>
      <c r="AH61" s="14">
        <v>1.1312388591800299E-2</v>
      </c>
      <c r="AI61" s="14">
        <v>0.122689075630252</v>
      </c>
      <c r="AJ61" s="14">
        <v>0.15886287625418</v>
      </c>
      <c r="AK61" s="14">
        <v>1.63686E-3</v>
      </c>
      <c r="AL61" s="14">
        <v>1.6965520000000001E-2</v>
      </c>
      <c r="AM61" s="14">
        <v>8.4033600000000003E-3</v>
      </c>
      <c r="AN61" s="14">
        <v>0</v>
      </c>
      <c r="AO61" s="14">
        <v>4.9800699999999996E-3</v>
      </c>
      <c r="AP61" s="14">
        <v>1.69432E-3</v>
      </c>
      <c r="AQ61" s="14">
        <v>3.28575E-3</v>
      </c>
    </row>
    <row r="62" spans="1:43">
      <c r="A62" s="14" t="s">
        <v>432</v>
      </c>
      <c r="B62" s="14" t="s">
        <v>66</v>
      </c>
      <c r="C62" s="14" t="s">
        <v>20</v>
      </c>
      <c r="D62">
        <v>532</v>
      </c>
      <c r="E62">
        <v>567</v>
      </c>
      <c r="F62" s="16">
        <f t="shared" si="2"/>
        <v>140.06753880115517</v>
      </c>
      <c r="G62" s="16">
        <f t="shared" si="3"/>
        <v>91.567989769773064</v>
      </c>
      <c r="H62" s="16">
        <f t="shared" si="4"/>
        <v>28.118610191845089</v>
      </c>
      <c r="I62" s="16">
        <f t="shared" si="5"/>
        <v>3.2639830272535337</v>
      </c>
      <c r="J62" s="16">
        <f t="shared" si="6"/>
        <v>18.228619080000001</v>
      </c>
      <c r="K62" s="16">
        <f t="shared" si="7"/>
        <v>72.127208160000009</v>
      </c>
      <c r="L62" s="16">
        <f t="shared" si="8"/>
        <v>69.999999999999559</v>
      </c>
      <c r="M62" s="16">
        <f t="shared" si="9"/>
        <v>26.932500000000001</v>
      </c>
      <c r="N62" s="16">
        <f t="shared" si="10"/>
        <v>1.2413841299999999</v>
      </c>
      <c r="O62" s="16">
        <f t="shared" si="11"/>
        <v>109.40264999999944</v>
      </c>
      <c r="P62" s="16">
        <f t="shared" si="12"/>
        <v>4.9079519999999999</v>
      </c>
      <c r="Q62" s="16">
        <f t="shared" si="13"/>
        <v>4.0070683800000007</v>
      </c>
      <c r="R62" s="16">
        <f t="shared" si="14"/>
        <v>1.9975636799999998</v>
      </c>
      <c r="S62" s="16">
        <f t="shared" si="15"/>
        <v>18.192075930000001</v>
      </c>
      <c r="T62" s="16">
        <f t="shared" si="16"/>
        <v>4.9190708700000005</v>
      </c>
      <c r="U62" s="16">
        <f t="shared" si="17"/>
        <v>13.273005060000001</v>
      </c>
      <c r="V62">
        <f t="shared" si="18"/>
        <v>0.26328484737059243</v>
      </c>
      <c r="W62">
        <f t="shared" si="19"/>
        <v>0.30690397143119807</v>
      </c>
      <c r="X62">
        <f t="shared" si="20"/>
        <v>0.43329254803613504</v>
      </c>
      <c r="Y62">
        <f t="shared" si="21"/>
        <v>0.74019651946733311</v>
      </c>
      <c r="Z62" s="14">
        <v>0.29835</v>
      </c>
      <c r="AA62" s="14">
        <v>0.19294999999999901</v>
      </c>
      <c r="AB62" s="14">
        <v>4.7500000000000001E-2</v>
      </c>
      <c r="AD62">
        <f t="shared" si="22"/>
        <v>121.83891972115516</v>
      </c>
      <c r="AE62" s="14">
        <v>3.2149240000000003E-2</v>
      </c>
      <c r="AF62" s="14">
        <v>0.75154958677685901</v>
      </c>
      <c r="AG62" s="14">
        <v>0.23078512396694201</v>
      </c>
      <c r="AH62" s="14">
        <v>2.678933E-2</v>
      </c>
      <c r="AI62" s="14">
        <v>0.12720848000000001</v>
      </c>
      <c r="AJ62" s="14">
        <v>0.12345679012345601</v>
      </c>
      <c r="AK62" s="14">
        <v>2.1893899999999998E-3</v>
      </c>
      <c r="AL62" s="14">
        <v>8.6560000000000005E-3</v>
      </c>
      <c r="AM62" s="14">
        <v>7.0671400000000004E-3</v>
      </c>
      <c r="AN62" s="14">
        <v>3.5230399999999999E-3</v>
      </c>
      <c r="AO62" s="14">
        <v>3.2084790000000002E-2</v>
      </c>
      <c r="AP62" s="14">
        <v>8.6756100000000003E-3</v>
      </c>
      <c r="AQ62" s="14">
        <v>2.3409172849705898E-2</v>
      </c>
    </row>
    <row r="63" spans="1:43">
      <c r="A63" s="14" t="s">
        <v>439</v>
      </c>
      <c r="B63" s="14" t="s">
        <v>440</v>
      </c>
      <c r="C63" s="14" t="s">
        <v>20</v>
      </c>
      <c r="D63">
        <v>466</v>
      </c>
      <c r="E63">
        <v>519</v>
      </c>
      <c r="F63" s="16">
        <f t="shared" si="2"/>
        <v>116.22927772853899</v>
      </c>
      <c r="G63" s="16">
        <f t="shared" si="3"/>
        <v>59.747088374998718</v>
      </c>
      <c r="H63" s="16">
        <f t="shared" si="4"/>
        <v>26.742289025486489</v>
      </c>
      <c r="I63" s="16">
        <f t="shared" si="5"/>
        <v>3.9291915858206776</v>
      </c>
      <c r="J63" s="16">
        <f t="shared" si="6"/>
        <v>27.188738820000001</v>
      </c>
      <c r="K63" s="16">
        <f t="shared" si="7"/>
        <v>73.56698883</v>
      </c>
      <c r="L63" s="16">
        <f t="shared" si="8"/>
        <v>71.999999999999503</v>
      </c>
      <c r="M63" s="16">
        <f t="shared" si="9"/>
        <v>40.845300000000002</v>
      </c>
      <c r="N63" s="16">
        <f t="shared" si="10"/>
        <v>2.9192919599999998</v>
      </c>
      <c r="O63" s="16">
        <f t="shared" si="11"/>
        <v>142.38764999999998</v>
      </c>
      <c r="P63" s="16">
        <f t="shared" si="12"/>
        <v>8.0559223300970295</v>
      </c>
      <c r="Q63" s="16">
        <f t="shared" si="13"/>
        <v>3.0232995599999999</v>
      </c>
      <c r="R63" s="16">
        <f t="shared" si="14"/>
        <v>0.89999789999999991</v>
      </c>
      <c r="S63" s="16">
        <f t="shared" si="15"/>
        <v>15.420535714285679</v>
      </c>
      <c r="T63" s="16">
        <f t="shared" si="16"/>
        <v>2.2960144799999997</v>
      </c>
      <c r="U63" s="16">
        <f t="shared" si="17"/>
        <v>13.124521234285679</v>
      </c>
      <c r="V63">
        <f t="shared" si="18"/>
        <v>0.24941905091961156</v>
      </c>
      <c r="W63">
        <f t="shared" si="19"/>
        <v>0.32771794107794694</v>
      </c>
      <c r="X63">
        <f t="shared" si="20"/>
        <v>0.50166136580135989</v>
      </c>
      <c r="Y63">
        <f t="shared" si="21"/>
        <v>0.82937930687930683</v>
      </c>
      <c r="Z63" s="14">
        <v>0.29735</v>
      </c>
      <c r="AA63" s="14">
        <v>0.27434999999999998</v>
      </c>
      <c r="AB63" s="14">
        <v>7.8700000000000006E-2</v>
      </c>
      <c r="AD63">
        <f t="shared" si="22"/>
        <v>89.040538908538991</v>
      </c>
      <c r="AE63" s="14">
        <v>5.2386780000000001E-2</v>
      </c>
      <c r="AF63" s="14">
        <v>0.67100995914198103</v>
      </c>
      <c r="AG63" s="14">
        <v>0.30033835546475901</v>
      </c>
      <c r="AH63" s="14">
        <v>4.412812E-2</v>
      </c>
      <c r="AI63" s="14">
        <v>0.14174756999999999</v>
      </c>
      <c r="AJ63" s="14">
        <v>0.13872832369942101</v>
      </c>
      <c r="AK63" s="14">
        <v>5.6248399999999999E-3</v>
      </c>
      <c r="AL63" s="14">
        <v>1.55220083431542E-2</v>
      </c>
      <c r="AM63" s="14">
        <v>5.8252399999999998E-3</v>
      </c>
      <c r="AN63" s="14">
        <v>1.7340999999999999E-3</v>
      </c>
      <c r="AO63" s="14">
        <v>2.9712014863748901E-2</v>
      </c>
      <c r="AP63" s="14">
        <v>4.4239199999999996E-3</v>
      </c>
      <c r="AQ63" s="14">
        <v>2.5288099122055999E-2</v>
      </c>
    </row>
    <row r="64" spans="1:43">
      <c r="A64" s="14" t="s">
        <v>446</v>
      </c>
      <c r="B64" s="14" t="s">
        <v>228</v>
      </c>
      <c r="C64" s="14" t="s">
        <v>20</v>
      </c>
      <c r="D64">
        <v>529</v>
      </c>
      <c r="E64">
        <v>603</v>
      </c>
      <c r="F64" s="16">
        <f t="shared" si="2"/>
        <v>134.76643695404999</v>
      </c>
      <c r="G64" s="16">
        <f t="shared" si="3"/>
        <v>78.623412314894651</v>
      </c>
      <c r="H64" s="16">
        <f t="shared" si="4"/>
        <v>26.816138519400241</v>
      </c>
      <c r="I64" s="16">
        <f t="shared" si="5"/>
        <v>3.0052182574501147</v>
      </c>
      <c r="J64" s="16">
        <f t="shared" si="6"/>
        <v>27.021497310000001</v>
      </c>
      <c r="K64" s="16">
        <f t="shared" si="7"/>
        <v>82.409999999999599</v>
      </c>
      <c r="L64" s="16">
        <f t="shared" si="8"/>
        <v>83.999999999999588</v>
      </c>
      <c r="M64" s="16">
        <f t="shared" si="9"/>
        <v>64.098899999999404</v>
      </c>
      <c r="N64" s="16">
        <f t="shared" si="10"/>
        <v>1.9533461400000001</v>
      </c>
      <c r="O64" s="16">
        <f t="shared" si="11"/>
        <v>152.28764999999999</v>
      </c>
      <c r="P64" s="16">
        <f t="shared" si="12"/>
        <v>3.9179985299999998</v>
      </c>
      <c r="Q64" s="16">
        <f t="shared" si="13"/>
        <v>5.0249979900000001</v>
      </c>
      <c r="R64" s="16">
        <f t="shared" si="14"/>
        <v>0</v>
      </c>
      <c r="S64" s="16">
        <f t="shared" si="15"/>
        <v>7.9357935600000005</v>
      </c>
      <c r="T64" s="16">
        <f t="shared" si="16"/>
        <v>3.0378898800000003</v>
      </c>
      <c r="U64" s="16">
        <f t="shared" si="17"/>
        <v>4.8979036800000006</v>
      </c>
      <c r="V64">
        <f t="shared" si="18"/>
        <v>0.25475696966739131</v>
      </c>
      <c r="W64">
        <f t="shared" si="19"/>
        <v>0.34118387862029259</v>
      </c>
      <c r="X64">
        <f t="shared" si="20"/>
        <v>0.47137492129687231</v>
      </c>
      <c r="Y64">
        <f t="shared" si="21"/>
        <v>0.81255879991716484</v>
      </c>
      <c r="Z64" s="14">
        <v>0.30375000000000002</v>
      </c>
      <c r="AA64" s="14">
        <v>0.25255</v>
      </c>
      <c r="AB64" s="14">
        <v>0.10629999999999901</v>
      </c>
      <c r="AD64">
        <f t="shared" si="22"/>
        <v>107.74493964405001</v>
      </c>
      <c r="AE64" s="14">
        <v>4.4811770000000001E-2</v>
      </c>
      <c r="AF64" s="14">
        <v>0.72971791134356501</v>
      </c>
      <c r="AG64" s="14">
        <v>0.24888536397153299</v>
      </c>
      <c r="AH64" s="14">
        <v>2.7891966596095E-2</v>
      </c>
      <c r="AI64" s="14">
        <v>0.13666666666666599</v>
      </c>
      <c r="AJ64" s="14">
        <v>0.13930348258706399</v>
      </c>
      <c r="AK64" s="14">
        <v>3.23938E-3</v>
      </c>
      <c r="AL64" s="14">
        <v>6.4975099999999997E-3</v>
      </c>
      <c r="AM64" s="14">
        <v>8.3333299999999999E-3</v>
      </c>
      <c r="AN64" s="14">
        <v>0</v>
      </c>
      <c r="AO64" s="14">
        <v>1.316052E-2</v>
      </c>
      <c r="AP64" s="14">
        <v>5.0379600000000002E-3</v>
      </c>
      <c r="AQ64" s="14">
        <v>8.1225599999999992E-3</v>
      </c>
    </row>
    <row r="65" spans="1:43">
      <c r="A65" s="14" t="s">
        <v>453</v>
      </c>
      <c r="B65" s="14" t="s">
        <v>33</v>
      </c>
      <c r="C65" s="14" t="s">
        <v>366</v>
      </c>
      <c r="D65">
        <v>532</v>
      </c>
      <c r="E65">
        <v>575</v>
      </c>
      <c r="F65" s="16">
        <f t="shared" si="2"/>
        <v>133.85771969212516</v>
      </c>
      <c r="G65" s="16">
        <f t="shared" si="3"/>
        <v>79.613907367187736</v>
      </c>
      <c r="H65" s="16">
        <f t="shared" si="4"/>
        <v>25.819860824180722</v>
      </c>
      <c r="I65" s="16">
        <f t="shared" si="5"/>
        <v>0.59749280633244128</v>
      </c>
      <c r="J65" s="16">
        <f t="shared" si="6"/>
        <v>28.300706499999997</v>
      </c>
      <c r="K65" s="16">
        <f t="shared" si="7"/>
        <v>65.017667844522691</v>
      </c>
      <c r="L65" s="16">
        <f t="shared" si="8"/>
        <v>87.999999999999673</v>
      </c>
      <c r="M65" s="16">
        <f t="shared" si="9"/>
        <v>29.727499999999942</v>
      </c>
      <c r="N65" s="16">
        <f t="shared" si="10"/>
        <v>5.0132927500000006</v>
      </c>
      <c r="O65" s="16">
        <f t="shared" si="11"/>
        <v>119.48499999999943</v>
      </c>
      <c r="P65" s="16">
        <f t="shared" si="12"/>
        <v>9.2287985865723527</v>
      </c>
      <c r="Q65" s="16">
        <f t="shared" si="13"/>
        <v>5.079504</v>
      </c>
      <c r="R65" s="16">
        <f t="shared" si="14"/>
        <v>0</v>
      </c>
      <c r="S65" s="16">
        <f t="shared" si="15"/>
        <v>0.229632</v>
      </c>
      <c r="T65" s="16">
        <f t="shared" si="16"/>
        <v>0</v>
      </c>
      <c r="U65" s="16">
        <f t="shared" si="17"/>
        <v>0.229632</v>
      </c>
      <c r="V65">
        <f t="shared" si="18"/>
        <v>0.25161225506038565</v>
      </c>
      <c r="W65">
        <f t="shared" si="19"/>
        <v>0.31098460834530961</v>
      </c>
      <c r="X65">
        <f t="shared" si="20"/>
        <v>0.46287393502734298</v>
      </c>
      <c r="Y65">
        <f t="shared" si="21"/>
        <v>0.77385854337265259</v>
      </c>
      <c r="Z65" s="14">
        <v>0.27115</v>
      </c>
      <c r="AA65" s="14">
        <v>0.20779999999999901</v>
      </c>
      <c r="AB65" s="14">
        <v>5.1699999999999899E-2</v>
      </c>
      <c r="AD65">
        <f t="shared" si="22"/>
        <v>105.55701319212515</v>
      </c>
      <c r="AE65" s="14">
        <v>4.9218619999999998E-2</v>
      </c>
      <c r="AF65" s="14">
        <v>0.75422660190547297</v>
      </c>
      <c r="AG65" s="14">
        <v>0.24460583</v>
      </c>
      <c r="AH65" s="14">
        <v>5.6603799999999996E-3</v>
      </c>
      <c r="AI65" s="14">
        <v>0.11307420494699599</v>
      </c>
      <c r="AJ65" s="14">
        <v>0.153043478260869</v>
      </c>
      <c r="AK65" s="14">
        <v>8.7187700000000007E-3</v>
      </c>
      <c r="AL65" s="14">
        <v>1.6050084498386699E-2</v>
      </c>
      <c r="AM65" s="14">
        <v>8.8339200000000003E-3</v>
      </c>
      <c r="AN65" s="14">
        <v>0</v>
      </c>
      <c r="AO65" s="14">
        <v>3.9936000000000003E-4</v>
      </c>
      <c r="AP65" s="14">
        <v>0</v>
      </c>
      <c r="AQ65" s="14">
        <v>3.9936000000000003E-4</v>
      </c>
    </row>
    <row r="66" spans="1:43">
      <c r="A66" s="14" t="s">
        <v>460</v>
      </c>
      <c r="B66" s="14" t="s">
        <v>228</v>
      </c>
      <c r="C66" s="14" t="s">
        <v>169</v>
      </c>
      <c r="D66">
        <v>557</v>
      </c>
      <c r="E66">
        <v>609</v>
      </c>
      <c r="F66" s="16">
        <f t="shared" si="2"/>
        <v>153.66526092601001</v>
      </c>
      <c r="G66" s="16">
        <f t="shared" si="3"/>
        <v>117.9486360351649</v>
      </c>
      <c r="H66" s="16">
        <f t="shared" si="4"/>
        <v>26.58427807010186</v>
      </c>
      <c r="I66" s="16">
        <f t="shared" si="5"/>
        <v>3.0410159375389929</v>
      </c>
      <c r="J66" s="16">
        <f t="shared" si="6"/>
        <v>5.2904499899999999</v>
      </c>
      <c r="K66" s="16">
        <f t="shared" si="7"/>
        <v>73.447236180903985</v>
      </c>
      <c r="L66" s="16">
        <f t="shared" si="8"/>
        <v>55.999998179999999</v>
      </c>
      <c r="M66" s="16">
        <f t="shared" si="9"/>
        <v>37.08809999999994</v>
      </c>
      <c r="N66" s="16">
        <f t="shared" si="10"/>
        <v>0.93985752</v>
      </c>
      <c r="O66" s="16">
        <f t="shared" si="11"/>
        <v>57.063300000000005</v>
      </c>
      <c r="P66" s="16">
        <f t="shared" si="12"/>
        <v>9.1628130300000006</v>
      </c>
      <c r="Q66" s="16">
        <f t="shared" si="13"/>
        <v>5.1005028899999996</v>
      </c>
      <c r="R66" s="16">
        <f t="shared" si="14"/>
        <v>0.89999846999999999</v>
      </c>
      <c r="S66" s="16">
        <f t="shared" si="15"/>
        <v>26.139473640000002</v>
      </c>
      <c r="T66" s="16">
        <f t="shared" si="16"/>
        <v>6.0615414300000001</v>
      </c>
      <c r="U66" s="16">
        <f t="shared" si="17"/>
        <v>20.07793221</v>
      </c>
      <c r="V66">
        <f t="shared" si="18"/>
        <v>0.27588018119570917</v>
      </c>
      <c r="W66">
        <f t="shared" si="19"/>
        <v>0.33468839544584789</v>
      </c>
      <c r="X66">
        <f t="shared" si="20"/>
        <v>0.36158355466424702</v>
      </c>
      <c r="Y66">
        <f t="shared" si="21"/>
        <v>0.69627195011009491</v>
      </c>
      <c r="Z66" s="14">
        <v>0.2969</v>
      </c>
      <c r="AA66" s="14">
        <v>9.3700000000000006E-2</v>
      </c>
      <c r="AB66" s="14">
        <v>6.0899999999999899E-2</v>
      </c>
      <c r="AD66">
        <f t="shared" si="22"/>
        <v>148.37481093600999</v>
      </c>
      <c r="AE66" s="14">
        <v>8.6871099999999996E-3</v>
      </c>
      <c r="AF66" s="14">
        <v>0.79493706034801903</v>
      </c>
      <c r="AG66" s="14">
        <v>0.179169751943724</v>
      </c>
      <c r="AH66" s="14">
        <v>2.04955E-2</v>
      </c>
      <c r="AI66" s="14">
        <v>0.120603015075376</v>
      </c>
      <c r="AJ66" s="14">
        <v>9.1954019999999997E-2</v>
      </c>
      <c r="AK66" s="14">
        <v>1.54328E-3</v>
      </c>
      <c r="AL66" s="14">
        <v>1.5045670000000001E-2</v>
      </c>
      <c r="AM66" s="14">
        <v>8.3752099999999993E-3</v>
      </c>
      <c r="AN66" s="14">
        <v>1.4778300000000001E-3</v>
      </c>
      <c r="AO66" s="14">
        <v>4.2921960000000002E-2</v>
      </c>
      <c r="AP66" s="14">
        <v>9.9532700000000002E-3</v>
      </c>
      <c r="AQ66" s="14">
        <v>3.2968690000000002E-2</v>
      </c>
    </row>
    <row r="67" spans="1:43">
      <c r="A67" s="14" t="s">
        <v>466</v>
      </c>
      <c r="B67" s="14" t="s">
        <v>200</v>
      </c>
      <c r="C67" s="14" t="s">
        <v>467</v>
      </c>
      <c r="D67">
        <v>531</v>
      </c>
      <c r="E67">
        <v>590</v>
      </c>
      <c r="F67" s="16">
        <f t="shared" ref="F67:F130" si="23">J67+AD67</f>
        <v>136.64612402144402</v>
      </c>
      <c r="G67" s="16">
        <f t="shared" ref="G67:G130" si="24">$AD67*AF67</f>
        <v>91.064055954347481</v>
      </c>
      <c r="H67" s="16">
        <f t="shared" ref="H67:H130" si="25">$AD67*AG67</f>
        <v>24.480272215252814</v>
      </c>
      <c r="I67" s="16">
        <f t="shared" ref="I67:I130" si="26">$AD67*AH67</f>
        <v>0.97401087483514559</v>
      </c>
      <c r="J67" s="16">
        <f t="shared" ref="J67:J130" si="27">$E67*AE67</f>
        <v>20.061224489795826</v>
      </c>
      <c r="K67" s="16">
        <f t="shared" ref="K67:K130" si="28">$E67*AI67</f>
        <v>73.24829931972755</v>
      </c>
      <c r="L67" s="16">
        <f t="shared" ref="L67:L130" si="29">$E67*AJ67</f>
        <v>67.999999999999645</v>
      </c>
      <c r="M67" s="16">
        <f t="shared" ref="M67:M130" si="30">$E67*AB67</f>
        <v>49.146999999999998</v>
      </c>
      <c r="N67" s="16">
        <f t="shared" ref="N67:N130" si="31">$E67*AK67</f>
        <v>2.6318366000000002</v>
      </c>
      <c r="O67" s="16">
        <f t="shared" ref="O67:O130" si="32">$E67*AA67</f>
        <v>102.3355</v>
      </c>
      <c r="P67" s="16">
        <f t="shared" ref="P67:P130" si="33">$E67*AL67</f>
        <v>5.0153067999999994</v>
      </c>
      <c r="Q67" s="16">
        <f t="shared" ref="Q67:Q130" si="34">$E67*AM67</f>
        <v>4.0136047999999995</v>
      </c>
      <c r="R67" s="16">
        <f t="shared" ref="R67:R130" si="35">$E67*AN67</f>
        <v>0.89999779999999996</v>
      </c>
      <c r="S67" s="16">
        <f t="shared" ref="S67:S130" si="36">$E67*AO67</f>
        <v>12.314606741572986</v>
      </c>
      <c r="T67" s="16">
        <f t="shared" ref="T67:T130" si="37">$E67*AP67</f>
        <v>3.7577040999999998</v>
      </c>
      <c r="U67" s="16">
        <f t="shared" ref="U67:U130" si="38">S67-T67</f>
        <v>8.5569026415729859</v>
      </c>
      <c r="V67">
        <f t="shared" ref="V67:V130" si="39">F67/D67</f>
        <v>0.25733733337371756</v>
      </c>
      <c r="W67">
        <f t="shared" ref="W67:W130" si="40">(F67+M67+N67+P67)/(D67+M67+N67+Q67)</f>
        <v>0.32965705379558757</v>
      </c>
      <c r="X67">
        <f t="shared" ref="X67:X130" si="41">(G67+H67*2+I67*3+J67*4)/D67</f>
        <v>0.42032303383906189</v>
      </c>
      <c r="Y67">
        <f t="shared" ref="Y67:Y130" si="42">W67+X67</f>
        <v>0.74998008763464941</v>
      </c>
      <c r="Z67" s="14">
        <v>0.28255000000000002</v>
      </c>
      <c r="AA67" s="14">
        <v>0.17344999999999999</v>
      </c>
      <c r="AB67" s="14">
        <v>8.3299999999999999E-2</v>
      </c>
      <c r="AD67">
        <f t="shared" ref="AD67:AD130" si="43">(D67-J67-O67+Q67)*Z67</f>
        <v>116.5848995316482</v>
      </c>
      <c r="AE67" s="14">
        <v>3.4002075406433602E-2</v>
      </c>
      <c r="AF67" s="14">
        <v>0.78109649122807001</v>
      </c>
      <c r="AG67" s="14">
        <v>0.20997807017543799</v>
      </c>
      <c r="AH67" s="14">
        <v>8.3545200000000007E-3</v>
      </c>
      <c r="AI67" s="14">
        <v>0.12414965986394499</v>
      </c>
      <c r="AJ67" s="14">
        <v>0.115254237288135</v>
      </c>
      <c r="AK67" s="14">
        <v>4.4607400000000004E-3</v>
      </c>
      <c r="AL67" s="14">
        <v>8.5005199999999993E-3</v>
      </c>
      <c r="AM67" s="14">
        <v>6.8027199999999999E-3</v>
      </c>
      <c r="AN67" s="14">
        <v>1.52542E-3</v>
      </c>
      <c r="AO67" s="14">
        <v>2.08722148162254E-2</v>
      </c>
      <c r="AP67" s="14">
        <v>6.3689899999999997E-3</v>
      </c>
      <c r="AQ67" s="14">
        <v>1.45032224781711E-2</v>
      </c>
    </row>
    <row r="68" spans="1:43">
      <c r="A68" s="14" t="s">
        <v>474</v>
      </c>
      <c r="B68" s="14" t="s">
        <v>156</v>
      </c>
      <c r="C68" s="14" t="s">
        <v>20</v>
      </c>
      <c r="D68">
        <v>506</v>
      </c>
      <c r="E68">
        <v>576</v>
      </c>
      <c r="F68" s="16">
        <f t="shared" si="23"/>
        <v>129.17492328726416</v>
      </c>
      <c r="G68" s="16">
        <f t="shared" si="24"/>
        <v>86.315525129181893</v>
      </c>
      <c r="H68" s="16">
        <f t="shared" si="25"/>
        <v>22.389381465266883</v>
      </c>
      <c r="I68" s="16">
        <f t="shared" si="26"/>
        <v>1.2215972308272633</v>
      </c>
      <c r="J68" s="16">
        <f t="shared" si="27"/>
        <v>17.497877760000002</v>
      </c>
      <c r="K68" s="16">
        <f t="shared" si="28"/>
        <v>72.382300884955583</v>
      </c>
      <c r="L68" s="16">
        <f t="shared" si="29"/>
        <v>73.999999999999858</v>
      </c>
      <c r="M68" s="16">
        <f t="shared" si="30"/>
        <v>64.166399999999427</v>
      </c>
      <c r="N68" s="16">
        <f t="shared" si="31"/>
        <v>4.9217472000000004</v>
      </c>
      <c r="O68" s="16">
        <f t="shared" si="32"/>
        <v>139.76639999999944</v>
      </c>
      <c r="P68" s="16">
        <f t="shared" si="33"/>
        <v>4.0700908800000004</v>
      </c>
      <c r="Q68" s="16">
        <f t="shared" si="34"/>
        <v>3.0584044800000001</v>
      </c>
      <c r="R68" s="16">
        <f t="shared" si="35"/>
        <v>0</v>
      </c>
      <c r="S68" s="16">
        <f t="shared" si="36"/>
        <v>16.571427840000002</v>
      </c>
      <c r="T68" s="16">
        <f t="shared" si="37"/>
        <v>3.9171974399999998</v>
      </c>
      <c r="U68" s="16">
        <f t="shared" si="38"/>
        <v>12.654230400000003</v>
      </c>
      <c r="V68">
        <f t="shared" si="39"/>
        <v>0.25528640965862481</v>
      </c>
      <c r="W68">
        <f t="shared" si="40"/>
        <v>0.34996863819271512</v>
      </c>
      <c r="X68">
        <f t="shared" si="41"/>
        <v>0.40464543634821637</v>
      </c>
      <c r="Y68">
        <f t="shared" si="42"/>
        <v>0.75461407454093155</v>
      </c>
      <c r="Z68" s="14">
        <v>0.31745000000000001</v>
      </c>
      <c r="AA68" s="14">
        <v>0.24264999999999901</v>
      </c>
      <c r="AB68" s="14">
        <v>0.111399999999999</v>
      </c>
      <c r="AD68">
        <f t="shared" si="43"/>
        <v>111.67704552726417</v>
      </c>
      <c r="AE68" s="14">
        <v>3.0378260000000001E-2</v>
      </c>
      <c r="AF68" s="14">
        <v>0.772903014416775</v>
      </c>
      <c r="AG68" s="14">
        <v>0.20048328964613299</v>
      </c>
      <c r="AH68" s="14">
        <v>1.0938659999999999E-2</v>
      </c>
      <c r="AI68" s="14">
        <v>0.125663716814159</v>
      </c>
      <c r="AJ68" s="14">
        <v>0.12847222222222199</v>
      </c>
      <c r="AK68" s="14">
        <v>8.5447000000000006E-3</v>
      </c>
      <c r="AL68" s="14">
        <v>7.0661300000000003E-3</v>
      </c>
      <c r="AM68" s="14">
        <v>5.3097300000000004E-3</v>
      </c>
      <c r="AN68" s="14">
        <v>0</v>
      </c>
      <c r="AO68" s="14">
        <v>2.8769840000000001E-2</v>
      </c>
      <c r="AP68" s="14">
        <v>6.8006899999999999E-3</v>
      </c>
      <c r="AQ68" s="14">
        <v>2.1969151248609799E-2</v>
      </c>
    </row>
    <row r="69" spans="1:43">
      <c r="A69" s="14" t="s">
        <v>482</v>
      </c>
      <c r="B69" s="14" t="s">
        <v>27</v>
      </c>
      <c r="C69" s="14" t="s">
        <v>20</v>
      </c>
      <c r="D69">
        <v>509</v>
      </c>
      <c r="E69">
        <v>553</v>
      </c>
      <c r="F69" s="16">
        <f t="shared" si="23"/>
        <v>132.86565015891</v>
      </c>
      <c r="G69" s="16">
        <f t="shared" si="24"/>
        <v>79.389158791357403</v>
      </c>
      <c r="H69" s="16">
        <f t="shared" si="25"/>
        <v>25.374383031414848</v>
      </c>
      <c r="I69" s="16">
        <f t="shared" si="26"/>
        <v>1.0133698312835795</v>
      </c>
      <c r="J69" s="16">
        <f t="shared" si="27"/>
        <v>26.34348773</v>
      </c>
      <c r="K69" s="16">
        <f t="shared" si="28"/>
        <v>77.115596330274869</v>
      </c>
      <c r="L69" s="16">
        <f t="shared" si="29"/>
        <v>82.999999999999602</v>
      </c>
      <c r="M69" s="16">
        <f t="shared" si="30"/>
        <v>35.447300000000006</v>
      </c>
      <c r="N69" s="16">
        <f t="shared" si="31"/>
        <v>0.94926321000000002</v>
      </c>
      <c r="O69" s="16">
        <f t="shared" si="32"/>
        <v>145.02424999999999</v>
      </c>
      <c r="P69" s="16">
        <f t="shared" si="33"/>
        <v>5.0660551200000006</v>
      </c>
      <c r="Q69" s="16">
        <f t="shared" si="34"/>
        <v>4.0587158499999996</v>
      </c>
      <c r="R69" s="16">
        <f t="shared" si="35"/>
        <v>0</v>
      </c>
      <c r="S69" s="16">
        <f t="shared" si="36"/>
        <v>6.358823529411751</v>
      </c>
      <c r="T69" s="16">
        <f t="shared" si="37"/>
        <v>2.0045641700000001</v>
      </c>
      <c r="U69" s="16">
        <f t="shared" si="38"/>
        <v>4.3542593594117509</v>
      </c>
      <c r="V69">
        <f t="shared" si="39"/>
        <v>0.26103271151062868</v>
      </c>
      <c r="W69">
        <f t="shared" si="40"/>
        <v>0.31727471758420123</v>
      </c>
      <c r="X69">
        <f t="shared" si="41"/>
        <v>0.46866794748141027</v>
      </c>
      <c r="Y69">
        <f t="shared" si="42"/>
        <v>0.7859426650656115</v>
      </c>
      <c r="Z69" s="14">
        <v>0.31175000000000003</v>
      </c>
      <c r="AA69" s="14">
        <v>0.26224999999999998</v>
      </c>
      <c r="AB69" s="14">
        <v>6.4100000000000004E-2</v>
      </c>
      <c r="AD69">
        <f t="shared" si="43"/>
        <v>106.52216242891001</v>
      </c>
      <c r="AE69" s="14">
        <v>4.7637409999999998E-2</v>
      </c>
      <c r="AF69" s="14">
        <v>0.74528301886792403</v>
      </c>
      <c r="AG69" s="14">
        <v>0.23820754716981099</v>
      </c>
      <c r="AH69" s="14">
        <v>9.5132299999999993E-3</v>
      </c>
      <c r="AI69" s="14">
        <v>0.13944954128440301</v>
      </c>
      <c r="AJ69" s="14">
        <v>0.15009041591319999</v>
      </c>
      <c r="AK69" s="14">
        <v>1.7165699999999999E-3</v>
      </c>
      <c r="AL69" s="14">
        <v>9.1610400000000005E-3</v>
      </c>
      <c r="AM69" s="14">
        <v>7.33945E-3</v>
      </c>
      <c r="AN69" s="14">
        <v>0</v>
      </c>
      <c r="AO69" s="14">
        <v>1.14987767258802E-2</v>
      </c>
      <c r="AP69" s="14">
        <v>3.62489E-3</v>
      </c>
      <c r="AQ69" s="14">
        <v>7.8738899999999997E-3</v>
      </c>
    </row>
    <row r="70" spans="1:43">
      <c r="A70" s="14" t="s">
        <v>488</v>
      </c>
      <c r="B70" s="14" t="s">
        <v>489</v>
      </c>
      <c r="C70" s="14" t="s">
        <v>20</v>
      </c>
      <c r="D70">
        <v>507</v>
      </c>
      <c r="E70">
        <v>576</v>
      </c>
      <c r="F70" s="16">
        <f t="shared" si="23"/>
        <v>120.71101988352</v>
      </c>
      <c r="G70" s="16">
        <f t="shared" si="24"/>
        <v>69.386240726103168</v>
      </c>
      <c r="H70" s="16">
        <f t="shared" si="25"/>
        <v>24.735778200093023</v>
      </c>
      <c r="I70" s="16">
        <f t="shared" si="26"/>
        <v>2.9364135367263962</v>
      </c>
      <c r="J70" s="16">
        <f t="shared" si="27"/>
        <v>24.289142400000003</v>
      </c>
      <c r="K70" s="16">
        <f t="shared" si="28"/>
        <v>67.586690017512581</v>
      </c>
      <c r="L70" s="16">
        <f t="shared" si="29"/>
        <v>81.999999999999929</v>
      </c>
      <c r="M70" s="16">
        <f t="shared" si="30"/>
        <v>54.604799999999997</v>
      </c>
      <c r="N70" s="16">
        <f t="shared" si="31"/>
        <v>2.6307072000000002</v>
      </c>
      <c r="O70" s="16">
        <f t="shared" si="32"/>
        <v>163.6704</v>
      </c>
      <c r="P70" s="16">
        <f t="shared" si="33"/>
        <v>7.0551648</v>
      </c>
      <c r="Q70" s="16">
        <f t="shared" si="34"/>
        <v>4.0350239999999999</v>
      </c>
      <c r="R70" s="16">
        <f t="shared" si="35"/>
        <v>0.9</v>
      </c>
      <c r="S70" s="16">
        <f t="shared" si="36"/>
        <v>4.6958112000000005</v>
      </c>
      <c r="T70" s="16">
        <f t="shared" si="37"/>
        <v>1.04150016</v>
      </c>
      <c r="U70" s="16">
        <f t="shared" si="38"/>
        <v>3.6543110400000005</v>
      </c>
      <c r="V70">
        <f t="shared" si="39"/>
        <v>0.23808879661443785</v>
      </c>
      <c r="W70">
        <f t="shared" si="40"/>
        <v>0.32555214765906904</v>
      </c>
      <c r="X70">
        <f t="shared" si="41"/>
        <v>0.44343906772478975</v>
      </c>
      <c r="Y70">
        <f t="shared" si="42"/>
        <v>0.76899121538385873</v>
      </c>
      <c r="Z70" s="14">
        <v>0.29844999999999999</v>
      </c>
      <c r="AA70" s="14">
        <v>0.28415000000000001</v>
      </c>
      <c r="AB70" s="14">
        <v>9.4799999999999995E-2</v>
      </c>
      <c r="AD70">
        <f t="shared" si="43"/>
        <v>96.421877483519992</v>
      </c>
      <c r="AE70" s="14">
        <v>4.2168650000000002E-2</v>
      </c>
      <c r="AF70" s="14">
        <v>0.71961096938775504</v>
      </c>
      <c r="AG70" s="14">
        <v>0.25653698979591799</v>
      </c>
      <c r="AH70" s="14">
        <v>3.0453810000000001E-2</v>
      </c>
      <c r="AI70" s="14">
        <v>0.11733800350262601</v>
      </c>
      <c r="AJ70" s="14">
        <v>0.14236111111111099</v>
      </c>
      <c r="AK70" s="14">
        <v>4.5672000000000004E-3</v>
      </c>
      <c r="AL70" s="14">
        <v>1.224855E-2</v>
      </c>
      <c r="AM70" s="14">
        <v>7.0052500000000002E-3</v>
      </c>
      <c r="AN70" s="14">
        <v>1.5625000000000001E-3</v>
      </c>
      <c r="AO70" s="14">
        <v>8.1524500000000003E-3</v>
      </c>
      <c r="AP70" s="14">
        <v>1.8081600000000001E-3</v>
      </c>
      <c r="AQ70" s="14">
        <v>6.3442999999999998E-3</v>
      </c>
    </row>
    <row r="71" spans="1:43">
      <c r="A71" s="14" t="s">
        <v>495</v>
      </c>
      <c r="B71" s="14" t="s">
        <v>243</v>
      </c>
      <c r="C71" s="14" t="s">
        <v>34</v>
      </c>
      <c r="D71">
        <v>570</v>
      </c>
      <c r="E71">
        <v>649</v>
      </c>
      <c r="F71" s="16">
        <f t="shared" si="23"/>
        <v>135.74260486188601</v>
      </c>
      <c r="G71" s="16">
        <f t="shared" si="24"/>
        <v>77.107250642111879</v>
      </c>
      <c r="H71" s="16">
        <f t="shared" si="25"/>
        <v>28.381068424855311</v>
      </c>
      <c r="I71" s="16">
        <f t="shared" si="26"/>
        <v>1.2855593388457633</v>
      </c>
      <c r="J71" s="16">
        <f t="shared" si="27"/>
        <v>28.961858640000003</v>
      </c>
      <c r="K71" s="16">
        <f t="shared" si="28"/>
        <v>84.520930232557561</v>
      </c>
      <c r="L71" s="16">
        <f t="shared" si="29"/>
        <v>83.999999999999631</v>
      </c>
      <c r="M71" s="16">
        <f t="shared" si="30"/>
        <v>68.988699999999355</v>
      </c>
      <c r="N71" s="16">
        <f t="shared" si="31"/>
        <v>1.9355840900000001</v>
      </c>
      <c r="O71" s="16">
        <f t="shared" si="32"/>
        <v>162.37979999999999</v>
      </c>
      <c r="P71" s="16">
        <f t="shared" si="33"/>
        <v>4.0223267700000003</v>
      </c>
      <c r="Q71" s="16">
        <f t="shared" si="34"/>
        <v>5.0310090599999997</v>
      </c>
      <c r="R71" s="16">
        <f t="shared" si="35"/>
        <v>0</v>
      </c>
      <c r="S71" s="16">
        <f t="shared" si="36"/>
        <v>11.356409680000001</v>
      </c>
      <c r="T71" s="16">
        <f t="shared" si="37"/>
        <v>3.2967772200000001</v>
      </c>
      <c r="U71" s="16">
        <f t="shared" si="38"/>
        <v>8.0596324599999996</v>
      </c>
      <c r="V71">
        <f t="shared" si="39"/>
        <v>0.23814492081032632</v>
      </c>
      <c r="W71">
        <f t="shared" si="40"/>
        <v>0.32616686937335854</v>
      </c>
      <c r="X71">
        <f t="shared" si="41"/>
        <v>0.44486578959361367</v>
      </c>
      <c r="Y71">
        <f t="shared" si="42"/>
        <v>0.77103265896697226</v>
      </c>
      <c r="Z71" s="14">
        <v>0.27829999999999999</v>
      </c>
      <c r="AA71" s="14">
        <v>0.25019999999999998</v>
      </c>
      <c r="AB71" s="14">
        <v>0.10629999999999901</v>
      </c>
      <c r="AD71">
        <f t="shared" si="43"/>
        <v>106.78074622188601</v>
      </c>
      <c r="AE71" s="14">
        <v>4.4625360000000003E-2</v>
      </c>
      <c r="AF71" s="14">
        <v>0.722108183079056</v>
      </c>
      <c r="AG71" s="14">
        <v>0.265788257050392</v>
      </c>
      <c r="AH71" s="14">
        <v>1.20392428816186E-2</v>
      </c>
      <c r="AI71" s="14">
        <v>0.13023255813953399</v>
      </c>
      <c r="AJ71" s="14">
        <v>0.12942989214175599</v>
      </c>
      <c r="AK71" s="14">
        <v>2.98241E-3</v>
      </c>
      <c r="AL71" s="14">
        <v>6.1977300000000003E-3</v>
      </c>
      <c r="AM71" s="14">
        <v>7.7519399999999997E-3</v>
      </c>
      <c r="AN71" s="14">
        <v>0</v>
      </c>
      <c r="AO71" s="14">
        <v>1.7498320000000001E-2</v>
      </c>
      <c r="AP71" s="14">
        <v>5.0797799999999999E-3</v>
      </c>
      <c r="AQ71" s="14">
        <v>1.2418539732772601E-2</v>
      </c>
    </row>
    <row r="72" spans="1:43">
      <c r="A72" s="14" t="s">
        <v>500</v>
      </c>
      <c r="B72" s="14" t="s">
        <v>27</v>
      </c>
      <c r="C72" s="14" t="s">
        <v>87</v>
      </c>
      <c r="D72">
        <v>429</v>
      </c>
      <c r="E72">
        <v>501</v>
      </c>
      <c r="F72" s="16">
        <f t="shared" si="23"/>
        <v>114.76939488030882</v>
      </c>
      <c r="G72" s="16">
        <f t="shared" si="24"/>
        <v>68.525691318965755</v>
      </c>
      <c r="H72" s="16">
        <f t="shared" si="25"/>
        <v>20.810405172787849</v>
      </c>
      <c r="I72" s="16">
        <f t="shared" si="26"/>
        <v>1.166626261974024</v>
      </c>
      <c r="J72" s="16">
        <f t="shared" si="27"/>
        <v>23.600000789999999</v>
      </c>
      <c r="K72" s="16">
        <f t="shared" si="28"/>
        <v>72.999999999999829</v>
      </c>
      <c r="L72" s="16">
        <f t="shared" si="29"/>
        <v>68.999999999999716</v>
      </c>
      <c r="M72" s="16">
        <f t="shared" si="30"/>
        <v>56.713199999999496</v>
      </c>
      <c r="N72" s="16">
        <f t="shared" si="31"/>
        <v>2.8544975999999997</v>
      </c>
      <c r="O72" s="16">
        <f t="shared" si="32"/>
        <v>96.6428999999995</v>
      </c>
      <c r="P72" s="16">
        <f t="shared" si="33"/>
        <v>8.8999994700000009</v>
      </c>
      <c r="Q72" s="16">
        <f t="shared" si="34"/>
        <v>6.0000010499999998</v>
      </c>
      <c r="R72" s="16">
        <f t="shared" si="35"/>
        <v>0</v>
      </c>
      <c r="S72" s="16">
        <f t="shared" si="36"/>
        <v>2.2514990099999999</v>
      </c>
      <c r="T72" s="16">
        <f t="shared" si="37"/>
        <v>1.0153616699999999</v>
      </c>
      <c r="U72" s="16">
        <f t="shared" si="38"/>
        <v>1.23613734</v>
      </c>
      <c r="V72">
        <f t="shared" si="39"/>
        <v>0.26752772699372684</v>
      </c>
      <c r="W72">
        <f t="shared" si="40"/>
        <v>0.37049951391989988</v>
      </c>
      <c r="X72">
        <f t="shared" si="41"/>
        <v>0.48495660515259564</v>
      </c>
      <c r="Y72">
        <f t="shared" si="42"/>
        <v>0.85545611907249552</v>
      </c>
      <c r="Z72" s="14">
        <v>0.28964999999999902</v>
      </c>
      <c r="AA72" s="14">
        <v>0.19289999999999899</v>
      </c>
      <c r="AB72" s="14">
        <v>0.113199999999999</v>
      </c>
      <c r="AD72">
        <f t="shared" si="43"/>
        <v>91.169394090308828</v>
      </c>
      <c r="AE72" s="14">
        <v>4.7105790000000002E-2</v>
      </c>
      <c r="AF72" s="14">
        <v>0.75163043478260805</v>
      </c>
      <c r="AG72" s="14">
        <v>0.22826086956521699</v>
      </c>
      <c r="AH72" s="14">
        <v>1.27962489343563E-2</v>
      </c>
      <c r="AI72" s="14">
        <v>0.145708582834331</v>
      </c>
      <c r="AJ72" s="14">
        <v>0.13772455089820301</v>
      </c>
      <c r="AK72" s="14">
        <v>5.6975999999999997E-3</v>
      </c>
      <c r="AL72" s="14">
        <v>1.7764470000000001E-2</v>
      </c>
      <c r="AM72" s="14">
        <v>1.197605E-2</v>
      </c>
      <c r="AN72" s="14">
        <v>0</v>
      </c>
      <c r="AO72" s="14">
        <v>4.4940099999999997E-3</v>
      </c>
      <c r="AP72" s="14">
        <v>2.0266699999999999E-3</v>
      </c>
      <c r="AQ72" s="14">
        <v>2.4673400000000002E-3</v>
      </c>
    </row>
    <row r="73" spans="1:43">
      <c r="A73" s="14" t="s">
        <v>509</v>
      </c>
      <c r="B73" s="14" t="s">
        <v>228</v>
      </c>
      <c r="C73" s="14" t="s">
        <v>124</v>
      </c>
      <c r="D73">
        <v>513</v>
      </c>
      <c r="E73">
        <v>584</v>
      </c>
      <c r="F73" s="16">
        <f t="shared" si="23"/>
        <v>125.60552915162799</v>
      </c>
      <c r="G73" s="16">
        <f t="shared" si="24"/>
        <v>72.69967402885807</v>
      </c>
      <c r="H73" s="16">
        <f t="shared" si="25"/>
        <v>26.079342061925779</v>
      </c>
      <c r="I73" s="16">
        <f t="shared" si="26"/>
        <v>3.0140475683500529</v>
      </c>
      <c r="J73" s="16">
        <f t="shared" si="27"/>
        <v>24.57422944</v>
      </c>
      <c r="K73" s="16">
        <f t="shared" si="28"/>
        <v>73.250859106528736</v>
      </c>
      <c r="L73" s="16">
        <f t="shared" si="29"/>
        <v>78.999999999999574</v>
      </c>
      <c r="M73" s="16">
        <f t="shared" si="30"/>
        <v>57.757600000000004</v>
      </c>
      <c r="N73" s="16">
        <f t="shared" si="31"/>
        <v>1.72278248</v>
      </c>
      <c r="O73" s="16">
        <f t="shared" si="32"/>
        <v>144.71519999999998</v>
      </c>
      <c r="P73" s="16">
        <f t="shared" si="33"/>
        <v>8.0247422680411873</v>
      </c>
      <c r="Q73" s="16">
        <f t="shared" si="34"/>
        <v>4.0137444000000002</v>
      </c>
      <c r="R73" s="16">
        <f t="shared" si="35"/>
        <v>0.90000239999999998</v>
      </c>
      <c r="S73" s="16">
        <f t="shared" si="36"/>
        <v>2.9861321599999999</v>
      </c>
      <c r="T73" s="16">
        <f t="shared" si="37"/>
        <v>1.0385388799999999</v>
      </c>
      <c r="U73" s="16">
        <f t="shared" si="38"/>
        <v>1.94759328</v>
      </c>
      <c r="V73">
        <f t="shared" si="39"/>
        <v>0.24484508606555164</v>
      </c>
      <c r="W73">
        <f t="shared" si="40"/>
        <v>0.33497419122860572</v>
      </c>
      <c r="X73">
        <f t="shared" si="41"/>
        <v>0.45262654701317701</v>
      </c>
      <c r="Y73">
        <f t="shared" si="42"/>
        <v>0.78760073824178267</v>
      </c>
      <c r="Z73" s="14">
        <v>0.29054999999999997</v>
      </c>
      <c r="AA73" s="14">
        <v>0.24779999999999999</v>
      </c>
      <c r="AB73" s="14">
        <v>9.8900000000000002E-2</v>
      </c>
      <c r="AD73">
        <f t="shared" si="43"/>
        <v>101.03129971162799</v>
      </c>
      <c r="AE73" s="14">
        <v>4.2079159999999997E-2</v>
      </c>
      <c r="AF73" s="14">
        <v>0.71957575757575698</v>
      </c>
      <c r="AG73" s="14">
        <v>0.25813131313131299</v>
      </c>
      <c r="AH73" s="14">
        <v>2.9832810000000001E-2</v>
      </c>
      <c r="AI73" s="14">
        <v>0.125429553264604</v>
      </c>
      <c r="AJ73" s="14">
        <v>0.13527397260273899</v>
      </c>
      <c r="AK73" s="14">
        <v>2.9499700000000001E-3</v>
      </c>
      <c r="AL73" s="14">
        <v>1.3740997034317101E-2</v>
      </c>
      <c r="AM73" s="14">
        <v>6.8728499999999998E-3</v>
      </c>
      <c r="AN73" s="14">
        <v>1.5410999999999999E-3</v>
      </c>
      <c r="AO73" s="14">
        <v>5.1132399999999998E-3</v>
      </c>
      <c r="AP73" s="14">
        <v>1.7783199999999999E-3</v>
      </c>
      <c r="AQ73" s="14">
        <v>3.3349299999999998E-3</v>
      </c>
    </row>
    <row r="74" spans="1:43">
      <c r="A74" s="14" t="s">
        <v>514</v>
      </c>
      <c r="B74" s="14" t="s">
        <v>66</v>
      </c>
      <c r="C74" s="14" t="s">
        <v>169</v>
      </c>
      <c r="D74">
        <v>538</v>
      </c>
      <c r="E74">
        <v>592</v>
      </c>
      <c r="F74" s="16">
        <f t="shared" si="23"/>
        <v>133.02257496940803</v>
      </c>
      <c r="G74" s="16">
        <f t="shared" si="24"/>
        <v>86.086037914354606</v>
      </c>
      <c r="H74" s="16">
        <f t="shared" si="25"/>
        <v>27.410028118246508</v>
      </c>
      <c r="I74" s="16">
        <f t="shared" si="26"/>
        <v>1.9988971857616062</v>
      </c>
      <c r="J74" s="16">
        <f t="shared" si="27"/>
        <v>18.093846559999999</v>
      </c>
      <c r="K74" s="16">
        <f t="shared" si="28"/>
        <v>67.80170940170909</v>
      </c>
      <c r="L74" s="16">
        <f t="shared" si="29"/>
        <v>70.999999999999744</v>
      </c>
      <c r="M74" s="16">
        <f t="shared" si="30"/>
        <v>42.801600000000001</v>
      </c>
      <c r="N74" s="16">
        <f t="shared" si="31"/>
        <v>0.95655952</v>
      </c>
      <c r="O74" s="16">
        <f t="shared" si="32"/>
        <v>88.237599999999986</v>
      </c>
      <c r="P74" s="16">
        <f t="shared" si="33"/>
        <v>5.0538448000000002</v>
      </c>
      <c r="Q74" s="16">
        <f t="shared" si="34"/>
        <v>6.0717947200000006</v>
      </c>
      <c r="R74" s="16">
        <f t="shared" si="35"/>
        <v>0.89999984</v>
      </c>
      <c r="S74" s="16">
        <f t="shared" si="36"/>
        <v>11.069047619047517</v>
      </c>
      <c r="T74" s="16">
        <f t="shared" si="37"/>
        <v>3.0631855999999997</v>
      </c>
      <c r="U74" s="16">
        <f t="shared" si="38"/>
        <v>8.005862019047516</v>
      </c>
      <c r="V74">
        <f t="shared" si="39"/>
        <v>0.24725385682046103</v>
      </c>
      <c r="W74">
        <f t="shared" si="40"/>
        <v>0.30933193856121255</v>
      </c>
      <c r="X74">
        <f t="shared" si="41"/>
        <v>0.40758024525675168</v>
      </c>
      <c r="Y74">
        <f t="shared" si="42"/>
        <v>0.71691218381796418</v>
      </c>
      <c r="Z74" s="14">
        <v>0.26255000000000001</v>
      </c>
      <c r="AA74" s="14">
        <v>0.14904999999999999</v>
      </c>
      <c r="AB74" s="14">
        <v>7.2300000000000003E-2</v>
      </c>
      <c r="AD74">
        <f t="shared" si="43"/>
        <v>114.92872840940802</v>
      </c>
      <c r="AE74" s="14">
        <v>3.056393E-2</v>
      </c>
      <c r="AF74" s="14">
        <v>0.74903846153846099</v>
      </c>
      <c r="AG74" s="14">
        <v>0.238495879120879</v>
      </c>
      <c r="AH74" s="14">
        <v>1.7392493708283101E-2</v>
      </c>
      <c r="AI74" s="14">
        <v>0.114529914529914</v>
      </c>
      <c r="AJ74" s="14">
        <v>0.119932432432432</v>
      </c>
      <c r="AK74" s="14">
        <v>1.6158100000000001E-3</v>
      </c>
      <c r="AL74" s="14">
        <v>8.5369E-3</v>
      </c>
      <c r="AM74" s="14">
        <v>1.0256410000000001E-2</v>
      </c>
      <c r="AN74" s="14">
        <v>1.52027E-3</v>
      </c>
      <c r="AO74" s="14">
        <v>1.86977155727154E-2</v>
      </c>
      <c r="AP74" s="14">
        <v>5.1742999999999997E-3</v>
      </c>
      <c r="AQ74" s="14">
        <v>1.35234135234135E-2</v>
      </c>
    </row>
    <row r="75" spans="1:43">
      <c r="A75" s="14" t="s">
        <v>520</v>
      </c>
      <c r="B75" s="14" t="s">
        <v>257</v>
      </c>
      <c r="C75" s="14" t="s">
        <v>34</v>
      </c>
      <c r="D75">
        <v>530</v>
      </c>
      <c r="E75">
        <v>575</v>
      </c>
      <c r="F75" s="16">
        <f t="shared" si="23"/>
        <v>133.15321097558751</v>
      </c>
      <c r="G75" s="16">
        <f t="shared" si="24"/>
        <v>84.97469462100014</v>
      </c>
      <c r="H75" s="16">
        <f t="shared" si="25"/>
        <v>24.878877909231537</v>
      </c>
      <c r="I75" s="16">
        <f t="shared" si="26"/>
        <v>1.4142093709925394</v>
      </c>
      <c r="J75" s="16">
        <f t="shared" si="27"/>
        <v>21.510773</v>
      </c>
      <c r="K75" s="16">
        <f t="shared" si="28"/>
        <v>74.326750448832769</v>
      </c>
      <c r="L75" s="16">
        <f t="shared" si="29"/>
        <v>71.999999999999531</v>
      </c>
      <c r="M75" s="16">
        <f t="shared" si="30"/>
        <v>35.477499999999999</v>
      </c>
      <c r="N75" s="16">
        <f t="shared" si="31"/>
        <v>1.6518427500000001</v>
      </c>
      <c r="O75" s="16">
        <f t="shared" si="32"/>
        <v>154.8475</v>
      </c>
      <c r="P75" s="16">
        <f t="shared" si="33"/>
        <v>6.0745062836624131</v>
      </c>
      <c r="Q75" s="16">
        <f t="shared" si="34"/>
        <v>4.1292647499999999</v>
      </c>
      <c r="R75" s="16">
        <f t="shared" si="35"/>
        <v>0.98646424999999993</v>
      </c>
      <c r="S75" s="16">
        <f t="shared" si="36"/>
        <v>23.086466165413523</v>
      </c>
      <c r="T75" s="16">
        <f t="shared" si="37"/>
        <v>5.0657902500000001</v>
      </c>
      <c r="U75" s="16">
        <f t="shared" si="38"/>
        <v>18.020675915413523</v>
      </c>
      <c r="V75">
        <f t="shared" si="39"/>
        <v>0.25123247353884437</v>
      </c>
      <c r="W75">
        <f t="shared" si="40"/>
        <v>0.30871667874037229</v>
      </c>
      <c r="X75">
        <f t="shared" si="41"/>
        <v>0.42456258594800156</v>
      </c>
      <c r="Y75">
        <f t="shared" si="42"/>
        <v>0.7332792646883739</v>
      </c>
      <c r="Z75" s="14">
        <v>0.31204999999999999</v>
      </c>
      <c r="AA75" s="14">
        <v>0.26929999999999998</v>
      </c>
      <c r="AB75" s="14">
        <v>6.1699999999999998E-2</v>
      </c>
      <c r="AD75">
        <f t="shared" si="43"/>
        <v>111.64243797558751</v>
      </c>
      <c r="AE75" s="14">
        <v>3.7410039999999999E-2</v>
      </c>
      <c r="AF75" s="14">
        <v>0.76113255999999996</v>
      </c>
      <c r="AG75" s="14">
        <v>0.222844272844272</v>
      </c>
      <c r="AH75" s="14">
        <v>1.2667309999999999E-2</v>
      </c>
      <c r="AI75" s="14">
        <v>0.129263913824057</v>
      </c>
      <c r="AJ75" s="14">
        <v>0.125217391304347</v>
      </c>
      <c r="AK75" s="14">
        <v>2.8727700000000002E-3</v>
      </c>
      <c r="AL75" s="14">
        <v>1.0564358754195501E-2</v>
      </c>
      <c r="AM75" s="14">
        <v>7.1813299999999997E-3</v>
      </c>
      <c r="AN75" s="14">
        <v>1.7155899999999999E-3</v>
      </c>
      <c r="AO75" s="14">
        <v>4.0150375939849603E-2</v>
      </c>
      <c r="AP75" s="14">
        <v>8.8100699999999997E-3</v>
      </c>
      <c r="AQ75" s="14">
        <v>3.1340310000000003E-2</v>
      </c>
    </row>
    <row r="76" spans="1:43">
      <c r="A76" s="14" t="s">
        <v>526</v>
      </c>
      <c r="B76" s="14" t="s">
        <v>440</v>
      </c>
      <c r="C76" s="14" t="s">
        <v>169</v>
      </c>
      <c r="D76">
        <v>468</v>
      </c>
      <c r="E76">
        <v>533</v>
      </c>
      <c r="F76" s="16">
        <f t="shared" si="23"/>
        <v>126.17305815216699</v>
      </c>
      <c r="G76" s="16">
        <f t="shared" si="24"/>
        <v>87.277844372068017</v>
      </c>
      <c r="H76" s="16">
        <f t="shared" si="25"/>
        <v>26.94251794208731</v>
      </c>
      <c r="I76" s="16">
        <f t="shared" si="26"/>
        <v>1.6551927324299496</v>
      </c>
      <c r="J76" s="16">
        <f t="shared" si="27"/>
        <v>10.18522492</v>
      </c>
      <c r="K76" s="16">
        <f t="shared" si="28"/>
        <v>67.634469696969489</v>
      </c>
      <c r="L76" s="16">
        <f t="shared" si="29"/>
        <v>54.999999999999531</v>
      </c>
      <c r="M76" s="16">
        <f t="shared" si="30"/>
        <v>46.424299999999995</v>
      </c>
      <c r="N76" s="16">
        <f t="shared" si="31"/>
        <v>0.40284140000000002</v>
      </c>
      <c r="O76" s="16">
        <f t="shared" si="32"/>
        <v>89.49069999999999</v>
      </c>
      <c r="P76" s="16">
        <f t="shared" si="33"/>
        <v>9.2767050999999991</v>
      </c>
      <c r="Q76" s="16">
        <f t="shared" si="34"/>
        <v>5.0473501000000001</v>
      </c>
      <c r="R76" s="16">
        <f t="shared" si="35"/>
        <v>0.90000247999999994</v>
      </c>
      <c r="S76" s="16">
        <f t="shared" si="36"/>
        <v>23.948660714285694</v>
      </c>
      <c r="T76" s="16">
        <f t="shared" si="37"/>
        <v>6.1656249999999666</v>
      </c>
      <c r="U76" s="16">
        <f t="shared" si="38"/>
        <v>17.783035714285727</v>
      </c>
      <c r="V76">
        <f t="shared" si="39"/>
        <v>0.26960055160719443</v>
      </c>
      <c r="W76">
        <f t="shared" si="40"/>
        <v>0.35061713477466694</v>
      </c>
      <c r="X76">
        <f t="shared" si="41"/>
        <v>0.39929350028532584</v>
      </c>
      <c r="Y76">
        <f t="shared" si="42"/>
        <v>0.74991063505999278</v>
      </c>
      <c r="Z76" s="14">
        <v>0.31064999999999998</v>
      </c>
      <c r="AA76" s="14">
        <v>0.16789999999999999</v>
      </c>
      <c r="AB76" s="14">
        <v>8.7099999999999997E-2</v>
      </c>
      <c r="AD76">
        <f t="shared" si="43"/>
        <v>115.98783323216699</v>
      </c>
      <c r="AE76" s="14">
        <v>1.910924E-2</v>
      </c>
      <c r="AF76" s="14">
        <v>0.75247413405308095</v>
      </c>
      <c r="AG76" s="14">
        <v>0.23228744939271201</v>
      </c>
      <c r="AH76" s="14">
        <v>1.42703996299063E-2</v>
      </c>
      <c r="AI76" s="14">
        <v>0.126893939393939</v>
      </c>
      <c r="AJ76" s="14">
        <v>0.10318949343339499</v>
      </c>
      <c r="AK76" s="14">
        <v>7.5580000000000005E-4</v>
      </c>
      <c r="AL76" s="14">
        <v>1.7404699999999999E-2</v>
      </c>
      <c r="AM76" s="14">
        <v>9.4696999999999993E-3</v>
      </c>
      <c r="AN76" s="14">
        <v>1.68856E-3</v>
      </c>
      <c r="AO76" s="14">
        <v>4.4931821227552897E-2</v>
      </c>
      <c r="AP76" s="14">
        <v>1.15677767354596E-2</v>
      </c>
      <c r="AQ76" s="14">
        <v>3.3364039999999998E-2</v>
      </c>
    </row>
    <row r="77" spans="1:43">
      <c r="A77" s="14" t="s">
        <v>532</v>
      </c>
      <c r="B77" s="14" t="s">
        <v>489</v>
      </c>
      <c r="C77" s="14" t="s">
        <v>87</v>
      </c>
      <c r="D77">
        <v>462</v>
      </c>
      <c r="E77">
        <v>508</v>
      </c>
      <c r="F77" s="16">
        <f t="shared" si="23"/>
        <v>113.78682037834</v>
      </c>
      <c r="G77" s="16">
        <f t="shared" si="24"/>
        <v>70.959097624533044</v>
      </c>
      <c r="H77" s="16">
        <f t="shared" si="25"/>
        <v>24.217350938293951</v>
      </c>
      <c r="I77" s="16">
        <f t="shared" si="26"/>
        <v>1.0763627156421254</v>
      </c>
      <c r="J77" s="16">
        <f t="shared" si="27"/>
        <v>16.98046896</v>
      </c>
      <c r="K77" s="16">
        <f t="shared" si="28"/>
        <v>58.539065039999997</v>
      </c>
      <c r="L77" s="16">
        <f t="shared" si="29"/>
        <v>63.000000999999997</v>
      </c>
      <c r="M77" s="16">
        <f t="shared" si="30"/>
        <v>35.864799999999995</v>
      </c>
      <c r="N77" s="16">
        <f t="shared" si="31"/>
        <v>1.56041852</v>
      </c>
      <c r="O77" s="16">
        <f t="shared" si="32"/>
        <v>99.822000000000003</v>
      </c>
      <c r="P77" s="16">
        <f t="shared" si="33"/>
        <v>5.0648412800000004</v>
      </c>
      <c r="Q77" s="16">
        <f t="shared" si="34"/>
        <v>3.96875</v>
      </c>
      <c r="R77" s="16">
        <f t="shared" si="35"/>
        <v>0</v>
      </c>
      <c r="S77" s="16">
        <f t="shared" si="36"/>
        <v>12.18828652</v>
      </c>
      <c r="T77" s="16">
        <f t="shared" si="37"/>
        <v>3.1571438000000001</v>
      </c>
      <c r="U77" s="16">
        <f t="shared" si="38"/>
        <v>9.0311427200000001</v>
      </c>
      <c r="V77">
        <f t="shared" si="39"/>
        <v>0.24629181900073593</v>
      </c>
      <c r="W77">
        <f t="shared" si="40"/>
        <v>0.31044646926899183</v>
      </c>
      <c r="X77">
        <f t="shared" si="41"/>
        <v>0.41243455300443144</v>
      </c>
      <c r="Y77">
        <f t="shared" si="42"/>
        <v>0.72288102227342321</v>
      </c>
      <c r="Z77" s="14">
        <v>0.27725</v>
      </c>
      <c r="AA77" s="14">
        <v>0.19650000000000001</v>
      </c>
      <c r="AB77" s="14">
        <v>7.0599999999999996E-2</v>
      </c>
      <c r="AD77">
        <f t="shared" si="43"/>
        <v>96.80635141834</v>
      </c>
      <c r="AE77" s="14">
        <v>3.3426119999999997E-2</v>
      </c>
      <c r="AF77" s="14">
        <v>0.73300043421623895</v>
      </c>
      <c r="AG77" s="14">
        <v>0.25016283108988202</v>
      </c>
      <c r="AH77" s="14">
        <v>1.111872E-2</v>
      </c>
      <c r="AI77" s="14">
        <v>0.11523438</v>
      </c>
      <c r="AJ77" s="14">
        <v>0.12401574999999999</v>
      </c>
      <c r="AK77" s="14">
        <v>3.0716900000000002E-3</v>
      </c>
      <c r="AL77" s="14">
        <v>9.9701600000000005E-3</v>
      </c>
      <c r="AM77" s="14">
        <v>7.8125E-3</v>
      </c>
      <c r="AN77" s="14">
        <v>0</v>
      </c>
      <c r="AO77" s="14">
        <v>2.3992690000000001E-2</v>
      </c>
      <c r="AP77" s="14">
        <v>6.2148500000000001E-3</v>
      </c>
      <c r="AQ77" s="14">
        <v>1.7777837916703801E-2</v>
      </c>
    </row>
    <row r="78" spans="1:43">
      <c r="A78" s="14" t="s">
        <v>538</v>
      </c>
      <c r="B78" s="14" t="s">
        <v>101</v>
      </c>
      <c r="C78" s="14" t="s">
        <v>124</v>
      </c>
      <c r="D78">
        <v>547</v>
      </c>
      <c r="E78">
        <v>614</v>
      </c>
      <c r="F78" s="16">
        <f t="shared" si="23"/>
        <v>157.18217987158602</v>
      </c>
      <c r="G78" s="16">
        <f t="shared" si="24"/>
        <v>108.84578420684471</v>
      </c>
      <c r="H78" s="16">
        <f t="shared" si="25"/>
        <v>24.765639999024177</v>
      </c>
      <c r="I78" s="16">
        <f t="shared" si="26"/>
        <v>0.98156143416142672</v>
      </c>
      <c r="J78" s="16">
        <f t="shared" si="27"/>
        <v>22.769950539999996</v>
      </c>
      <c r="K78" s="16">
        <f t="shared" si="28"/>
        <v>76.6239737274216</v>
      </c>
      <c r="L78" s="16">
        <f t="shared" si="29"/>
        <v>73.999999999999702</v>
      </c>
      <c r="M78" s="16">
        <f t="shared" si="30"/>
        <v>56.242400000000004</v>
      </c>
      <c r="N78" s="16">
        <f t="shared" si="31"/>
        <v>1.7659806599999999</v>
      </c>
      <c r="O78" s="16">
        <f t="shared" si="32"/>
        <v>92.284199999999998</v>
      </c>
      <c r="P78" s="16">
        <f t="shared" si="33"/>
        <v>5.1369450399999996</v>
      </c>
      <c r="Q78" s="16">
        <f t="shared" si="34"/>
        <v>4.0328379600000002</v>
      </c>
      <c r="R78" s="16">
        <f t="shared" si="35"/>
        <v>0.90000119999999995</v>
      </c>
      <c r="S78" s="16">
        <f t="shared" si="36"/>
        <v>1.9715847</v>
      </c>
      <c r="T78" s="16">
        <f t="shared" si="37"/>
        <v>1.00082</v>
      </c>
      <c r="U78" s="16">
        <f t="shared" si="38"/>
        <v>0.97076469999999992</v>
      </c>
      <c r="V78">
        <f t="shared" si="39"/>
        <v>0.28735316247090681</v>
      </c>
      <c r="W78">
        <f t="shared" si="40"/>
        <v>0.36176123854279768</v>
      </c>
      <c r="X78">
        <f t="shared" si="41"/>
        <v>0.46142879463871544</v>
      </c>
      <c r="Y78">
        <f t="shared" si="42"/>
        <v>0.82319003318151318</v>
      </c>
      <c r="Z78" s="14">
        <v>0.30830000000000002</v>
      </c>
      <c r="AA78" s="14">
        <v>0.15029999999999999</v>
      </c>
      <c r="AB78" s="14">
        <v>9.1600000000000001E-2</v>
      </c>
      <c r="AD78">
        <f t="shared" si="43"/>
        <v>134.41222933158602</v>
      </c>
      <c r="AE78" s="14">
        <v>3.7084609999999997E-2</v>
      </c>
      <c r="AF78" s="14">
        <v>0.80979078130107796</v>
      </c>
      <c r="AG78" s="14">
        <v>0.18425138934292201</v>
      </c>
      <c r="AH78" s="14">
        <v>7.3026200000000001E-3</v>
      </c>
      <c r="AI78" s="14">
        <v>0.1247947454844</v>
      </c>
      <c r="AJ78" s="14">
        <v>0.12052117263843599</v>
      </c>
      <c r="AK78" s="14">
        <v>2.8761899999999998E-3</v>
      </c>
      <c r="AL78" s="14">
        <v>8.3663599999999998E-3</v>
      </c>
      <c r="AM78" s="14">
        <v>6.5681400000000001E-3</v>
      </c>
      <c r="AN78" s="14">
        <v>1.4658E-3</v>
      </c>
      <c r="AO78" s="14">
        <v>3.21105E-3</v>
      </c>
      <c r="AP78" s="14">
        <v>1.6299999999999999E-3</v>
      </c>
      <c r="AQ78" s="14">
        <v>1.5810500000000001E-3</v>
      </c>
    </row>
    <row r="79" spans="1:43">
      <c r="A79" s="14" t="s">
        <v>543</v>
      </c>
      <c r="B79" s="14" t="s">
        <v>257</v>
      </c>
      <c r="C79" s="14" t="s">
        <v>124</v>
      </c>
      <c r="D79">
        <v>488</v>
      </c>
      <c r="E79">
        <v>562</v>
      </c>
      <c r="F79" s="16">
        <f t="shared" si="23"/>
        <v>123.75823326017601</v>
      </c>
      <c r="G79" s="16">
        <f t="shared" si="24"/>
        <v>76.589658031471046</v>
      </c>
      <c r="H79" s="16">
        <f t="shared" si="25"/>
        <v>23.174646278241493</v>
      </c>
      <c r="I79" s="16">
        <f t="shared" si="26"/>
        <v>1.0744507703669266</v>
      </c>
      <c r="J79" s="16">
        <f t="shared" si="27"/>
        <v>22.358697920000001</v>
      </c>
      <c r="K79" s="16">
        <f t="shared" si="28"/>
        <v>72.286231884057912</v>
      </c>
      <c r="L79" s="16">
        <f t="shared" si="29"/>
        <v>73.999999999999616</v>
      </c>
      <c r="M79" s="16">
        <f t="shared" si="30"/>
        <v>51.872599999999998</v>
      </c>
      <c r="N79" s="16">
        <f t="shared" si="31"/>
        <v>0.94483440000000007</v>
      </c>
      <c r="O79" s="16">
        <f t="shared" si="32"/>
        <v>140.92149999999998</v>
      </c>
      <c r="P79" s="16">
        <f t="shared" si="33"/>
        <v>16.360869565217335</v>
      </c>
      <c r="Q79" s="16">
        <f t="shared" si="34"/>
        <v>4.0724655600000004</v>
      </c>
      <c r="R79" s="16">
        <f t="shared" si="35"/>
        <v>0.99228406000000002</v>
      </c>
      <c r="S79" s="16">
        <f t="shared" si="36"/>
        <v>5.1342353000000003</v>
      </c>
      <c r="T79" s="16">
        <f t="shared" si="37"/>
        <v>1.05811674</v>
      </c>
      <c r="U79" s="16">
        <f t="shared" si="38"/>
        <v>4.0761185600000003</v>
      </c>
      <c r="V79">
        <f t="shared" si="39"/>
        <v>0.25360293700855741</v>
      </c>
      <c r="W79">
        <f t="shared" si="40"/>
        <v>0.35408352630422529</v>
      </c>
      <c r="X79">
        <f t="shared" si="41"/>
        <v>0.44179732495707952</v>
      </c>
      <c r="Y79">
        <f t="shared" si="42"/>
        <v>0.79588085126130481</v>
      </c>
      <c r="Z79" s="14">
        <v>0.30840000000000001</v>
      </c>
      <c r="AA79" s="14">
        <v>0.25074999999999997</v>
      </c>
      <c r="AB79" s="14">
        <v>9.2299999999999993E-2</v>
      </c>
      <c r="AD79">
        <f t="shared" si="43"/>
        <v>101.39953534017602</v>
      </c>
      <c r="AE79" s="14">
        <v>3.9784159999999999E-2</v>
      </c>
      <c r="AF79" s="14">
        <v>0.75532553255325496</v>
      </c>
      <c r="AG79" s="14">
        <v>0.22854785478547801</v>
      </c>
      <c r="AH79" s="14">
        <v>1.059621E-2</v>
      </c>
      <c r="AI79" s="14">
        <v>0.12862318840579701</v>
      </c>
      <c r="AJ79" s="14">
        <v>0.13167259786476801</v>
      </c>
      <c r="AK79" s="14">
        <v>1.6812000000000001E-3</v>
      </c>
      <c r="AL79" s="14">
        <v>2.91118675537675E-2</v>
      </c>
      <c r="AM79" s="14">
        <v>7.2463800000000002E-3</v>
      </c>
      <c r="AN79" s="14">
        <v>1.76563E-3</v>
      </c>
      <c r="AO79" s="14">
        <v>9.1356500000000004E-3</v>
      </c>
      <c r="AP79" s="14">
        <v>1.88277E-3</v>
      </c>
      <c r="AQ79" s="14">
        <v>7.2528899999999997E-3</v>
      </c>
    </row>
    <row r="80" spans="1:43">
      <c r="A80" s="14" t="s">
        <v>549</v>
      </c>
      <c r="B80" s="14" t="s">
        <v>107</v>
      </c>
      <c r="C80" s="14" t="s">
        <v>20</v>
      </c>
      <c r="D80">
        <v>553</v>
      </c>
      <c r="E80">
        <v>629</v>
      </c>
      <c r="F80" s="16">
        <f t="shared" si="23"/>
        <v>136.00780801347986</v>
      </c>
      <c r="G80" s="16">
        <f t="shared" si="24"/>
        <v>81.17370339078289</v>
      </c>
      <c r="H80" s="16">
        <f t="shared" si="25"/>
        <v>26.431011749033846</v>
      </c>
      <c r="I80" s="16">
        <f t="shared" si="26"/>
        <v>2.0506935662262173</v>
      </c>
      <c r="J80" s="16">
        <f t="shared" si="27"/>
        <v>27.234028892455747</v>
      </c>
      <c r="K80" s="16">
        <f t="shared" si="28"/>
        <v>80.770465489566064</v>
      </c>
      <c r="L80" s="16">
        <f t="shared" si="29"/>
        <v>81.999999999999702</v>
      </c>
      <c r="M80" s="16">
        <f t="shared" si="30"/>
        <v>65.856300000000005</v>
      </c>
      <c r="N80" s="16">
        <f t="shared" si="31"/>
        <v>0.15144432999999999</v>
      </c>
      <c r="O80" s="16">
        <f t="shared" si="32"/>
        <v>153.19295</v>
      </c>
      <c r="P80" s="16">
        <f t="shared" si="33"/>
        <v>6.9606712499999999</v>
      </c>
      <c r="Q80" s="16">
        <f t="shared" si="34"/>
        <v>5.04815272</v>
      </c>
      <c r="R80" s="16">
        <f t="shared" si="35"/>
        <v>0.89999836</v>
      </c>
      <c r="S80" s="16">
        <f t="shared" si="36"/>
        <v>5.1838909200000005</v>
      </c>
      <c r="T80" s="16">
        <f t="shared" si="37"/>
        <v>2.0198322200000001</v>
      </c>
      <c r="U80" s="16">
        <f t="shared" si="38"/>
        <v>3.1640587000000004</v>
      </c>
      <c r="V80">
        <f t="shared" si="39"/>
        <v>0.24594540327934875</v>
      </c>
      <c r="W80">
        <f t="shared" si="40"/>
        <v>0.33486779722992743</v>
      </c>
      <c r="X80">
        <f t="shared" si="41"/>
        <v>0.45049534024837651</v>
      </c>
      <c r="Y80">
        <f t="shared" si="42"/>
        <v>0.78536313747830389</v>
      </c>
      <c r="Z80" s="14">
        <v>0.28804999999999997</v>
      </c>
      <c r="AA80" s="14">
        <v>0.24354999999999999</v>
      </c>
      <c r="AB80" s="14">
        <v>0.1047</v>
      </c>
      <c r="AD80">
        <f t="shared" si="43"/>
        <v>108.77377912102412</v>
      </c>
      <c r="AE80" s="14">
        <v>4.3297343231249202E-2</v>
      </c>
      <c r="AF80" s="14">
        <v>0.74626168224299005</v>
      </c>
      <c r="AG80" s="14">
        <v>0.242990654205607</v>
      </c>
      <c r="AH80" s="14">
        <v>1.8852830000000001E-2</v>
      </c>
      <c r="AI80" s="14">
        <v>0.12841091492776799</v>
      </c>
      <c r="AJ80" s="14">
        <v>0.13036565977742401</v>
      </c>
      <c r="AK80" s="14">
        <v>2.4076999999999999E-4</v>
      </c>
      <c r="AL80" s="14">
        <v>1.106625E-2</v>
      </c>
      <c r="AM80" s="14">
        <v>8.0256800000000003E-3</v>
      </c>
      <c r="AN80" s="14">
        <v>1.4308400000000001E-3</v>
      </c>
      <c r="AO80" s="14">
        <v>8.2414800000000007E-3</v>
      </c>
      <c r="AP80" s="14">
        <v>3.2111800000000001E-3</v>
      </c>
      <c r="AQ80" s="14">
        <v>5.0302999999999997E-3</v>
      </c>
    </row>
    <row r="81" spans="1:43">
      <c r="A81" s="14" t="s">
        <v>556</v>
      </c>
      <c r="B81" s="14" t="s">
        <v>214</v>
      </c>
      <c r="C81" s="14" t="s">
        <v>20</v>
      </c>
      <c r="D81">
        <v>515</v>
      </c>
      <c r="E81">
        <v>566</v>
      </c>
      <c r="F81" s="16">
        <f t="shared" si="23"/>
        <v>121.82040747854215</v>
      </c>
      <c r="G81" s="16">
        <f t="shared" si="24"/>
        <v>67.203483422228473</v>
      </c>
      <c r="H81" s="16">
        <f t="shared" si="25"/>
        <v>23.11230911346475</v>
      </c>
      <c r="I81" s="16">
        <f t="shared" si="26"/>
        <v>1.2379704603758113</v>
      </c>
      <c r="J81" s="16">
        <f t="shared" si="27"/>
        <v>30.387096699999997</v>
      </c>
      <c r="K81" s="16">
        <f t="shared" si="28"/>
        <v>72.017921146953043</v>
      </c>
      <c r="L81" s="16">
        <f t="shared" si="29"/>
        <v>83.000000259999993</v>
      </c>
      <c r="M81" s="16">
        <f t="shared" si="30"/>
        <v>39.2804</v>
      </c>
      <c r="N81" s="16">
        <f t="shared" si="31"/>
        <v>0.95729843999999997</v>
      </c>
      <c r="O81" s="16">
        <f t="shared" si="32"/>
        <v>153.10299999999944</v>
      </c>
      <c r="P81" s="16">
        <f t="shared" si="33"/>
        <v>8.1032238999999997</v>
      </c>
      <c r="Q81" s="16">
        <f t="shared" si="34"/>
        <v>3.0430084400000004</v>
      </c>
      <c r="R81" s="16">
        <f t="shared" si="35"/>
        <v>0</v>
      </c>
      <c r="S81" s="16">
        <f t="shared" si="36"/>
        <v>9.3355481727574219</v>
      </c>
      <c r="T81" s="16">
        <f t="shared" si="37"/>
        <v>3.1728261999999998</v>
      </c>
      <c r="U81" s="16">
        <f t="shared" si="38"/>
        <v>6.1627219727574225</v>
      </c>
      <c r="V81">
        <f t="shared" si="39"/>
        <v>0.23654448054085855</v>
      </c>
      <c r="W81">
        <f t="shared" si="40"/>
        <v>0.30479528975576359</v>
      </c>
      <c r="X81">
        <f t="shared" si="41"/>
        <v>0.46347650452482603</v>
      </c>
      <c r="Y81">
        <f t="shared" si="42"/>
        <v>0.76827179428058967</v>
      </c>
      <c r="Z81" s="14">
        <v>0.27329999999999999</v>
      </c>
      <c r="AA81" s="14">
        <v>0.27049999999999902</v>
      </c>
      <c r="AB81" s="14">
        <v>6.9400000000000003E-2</v>
      </c>
      <c r="AD81">
        <f t="shared" si="43"/>
        <v>91.43331077854215</v>
      </c>
      <c r="AE81" s="14">
        <v>5.3687449999999998E-2</v>
      </c>
      <c r="AF81" s="14">
        <v>0.73499999999999999</v>
      </c>
      <c r="AG81" s="14">
        <v>0.25277777777777699</v>
      </c>
      <c r="AH81" s="14">
        <v>1.3539600062982099E-2</v>
      </c>
      <c r="AI81" s="14">
        <v>0.127240143369175</v>
      </c>
      <c r="AJ81" s="14">
        <v>0.14664310999999999</v>
      </c>
      <c r="AK81" s="14">
        <v>1.6913399999999999E-3</v>
      </c>
      <c r="AL81" s="14">
        <v>1.431665E-2</v>
      </c>
      <c r="AM81" s="14">
        <v>5.3763400000000003E-3</v>
      </c>
      <c r="AN81" s="14">
        <v>0</v>
      </c>
      <c r="AO81" s="14">
        <v>1.6493901365295799E-2</v>
      </c>
      <c r="AP81" s="14">
        <v>5.6056999999999999E-3</v>
      </c>
      <c r="AQ81" s="14">
        <v>1.0888201565019301E-2</v>
      </c>
    </row>
    <row r="82" spans="1:43">
      <c r="A82" s="14" t="s">
        <v>563</v>
      </c>
      <c r="B82" s="14" t="s">
        <v>489</v>
      </c>
      <c r="C82" s="14" t="s">
        <v>20</v>
      </c>
      <c r="D82">
        <v>495</v>
      </c>
      <c r="E82">
        <v>573</v>
      </c>
      <c r="F82" s="16">
        <f t="shared" si="23"/>
        <v>115.89099454596915</v>
      </c>
      <c r="G82" s="16">
        <f t="shared" si="24"/>
        <v>75.877964851039152</v>
      </c>
      <c r="H82" s="16">
        <f t="shared" si="25"/>
        <v>24.373761294364023</v>
      </c>
      <c r="I82" s="16">
        <f t="shared" si="26"/>
        <v>3.8880361152297218</v>
      </c>
      <c r="J82" s="16">
        <f t="shared" si="27"/>
        <v>12.961580880000001</v>
      </c>
      <c r="K82" s="16">
        <f t="shared" si="28"/>
        <v>70.368421052631206</v>
      </c>
      <c r="L82" s="16">
        <f t="shared" si="29"/>
        <v>56.00000052</v>
      </c>
      <c r="M82" s="16">
        <f t="shared" si="30"/>
        <v>59.821199999999422</v>
      </c>
      <c r="N82" s="16">
        <f t="shared" si="31"/>
        <v>0.15079068000000001</v>
      </c>
      <c r="O82" s="16">
        <f t="shared" si="32"/>
        <v>124.71344999999943</v>
      </c>
      <c r="P82" s="16">
        <f t="shared" si="33"/>
        <v>7.9378950599999998</v>
      </c>
      <c r="Q82" s="16">
        <f t="shared" si="34"/>
        <v>4.0210504199999999</v>
      </c>
      <c r="R82" s="16">
        <f t="shared" si="35"/>
        <v>4.3889851800000006</v>
      </c>
      <c r="S82" s="16">
        <f t="shared" si="36"/>
        <v>35.855423430000002</v>
      </c>
      <c r="T82" s="16">
        <f t="shared" si="37"/>
        <v>9.13308711</v>
      </c>
      <c r="U82" s="16">
        <f t="shared" si="38"/>
        <v>26.722336320000004</v>
      </c>
      <c r="V82">
        <f t="shared" si="39"/>
        <v>0.23412322130498819</v>
      </c>
      <c r="W82">
        <f t="shared" si="40"/>
        <v>0.3288070991443488</v>
      </c>
      <c r="X82">
        <f t="shared" si="41"/>
        <v>0.38007256425344715</v>
      </c>
      <c r="Y82">
        <f t="shared" si="42"/>
        <v>0.70887966339779596</v>
      </c>
      <c r="Z82" s="14">
        <v>0.28484999999999999</v>
      </c>
      <c r="AA82" s="14">
        <v>0.21764999999999901</v>
      </c>
      <c r="AB82" s="14">
        <v>0.10439999999999899</v>
      </c>
      <c r="AD82">
        <f t="shared" si="43"/>
        <v>102.92941366596915</v>
      </c>
      <c r="AE82" s="14">
        <v>2.2620560000000001E-2</v>
      </c>
      <c r="AF82" s="14">
        <v>0.73718446601941701</v>
      </c>
      <c r="AG82" s="14">
        <v>0.23680073971336099</v>
      </c>
      <c r="AH82" s="14">
        <v>3.7773809999999998E-2</v>
      </c>
      <c r="AI82" s="14">
        <v>0.122807017543859</v>
      </c>
      <c r="AJ82" s="14">
        <v>9.7731239999999997E-2</v>
      </c>
      <c r="AK82" s="14">
        <v>2.6316000000000002E-4</v>
      </c>
      <c r="AL82" s="14">
        <v>1.3853219999999999E-2</v>
      </c>
      <c r="AM82" s="14">
        <v>7.0175400000000001E-3</v>
      </c>
      <c r="AN82" s="14">
        <v>7.6596600000000004E-3</v>
      </c>
      <c r="AO82" s="14">
        <v>6.2574909999999997E-2</v>
      </c>
      <c r="AP82" s="14">
        <v>1.593907E-2</v>
      </c>
      <c r="AQ82" s="14">
        <v>4.6635839999999998E-2</v>
      </c>
    </row>
    <row r="83" spans="1:43">
      <c r="A83" s="14" t="s">
        <v>570</v>
      </c>
      <c r="B83" s="14" t="s">
        <v>107</v>
      </c>
      <c r="C83" s="14" t="s">
        <v>163</v>
      </c>
      <c r="D83">
        <v>375</v>
      </c>
      <c r="E83">
        <v>408</v>
      </c>
      <c r="F83" s="16">
        <f t="shared" si="23"/>
        <v>97.975760679899992</v>
      </c>
      <c r="G83" s="16">
        <f t="shared" si="24"/>
        <v>59.965943555473665</v>
      </c>
      <c r="H83" s="16">
        <f t="shared" si="25"/>
        <v>18.795944104375007</v>
      </c>
      <c r="I83" s="16">
        <f t="shared" si="26"/>
        <v>2.020809225265356</v>
      </c>
      <c r="J83" s="16">
        <f t="shared" si="27"/>
        <v>16.234781040000001</v>
      </c>
      <c r="K83" s="16">
        <f t="shared" si="28"/>
        <v>53.956521739130359</v>
      </c>
      <c r="L83" s="16">
        <f t="shared" si="29"/>
        <v>51.999999999999645</v>
      </c>
      <c r="M83" s="16">
        <f t="shared" si="30"/>
        <v>26.275199999999998</v>
      </c>
      <c r="N83" s="16">
        <f t="shared" si="31"/>
        <v>0</v>
      </c>
      <c r="O83" s="16">
        <f t="shared" si="32"/>
        <v>91.4328</v>
      </c>
      <c r="P83" s="16">
        <f t="shared" si="33"/>
        <v>5.156521739130393</v>
      </c>
      <c r="Q83" s="16">
        <f t="shared" si="34"/>
        <v>2.2173902400000003</v>
      </c>
      <c r="R83" s="16">
        <f t="shared" si="35"/>
        <v>0.89999903999999997</v>
      </c>
      <c r="S83" s="16">
        <f t="shared" si="36"/>
        <v>4.1038961038960657</v>
      </c>
      <c r="T83" s="16">
        <f t="shared" si="37"/>
        <v>1.7400016799999998</v>
      </c>
      <c r="U83" s="16">
        <f t="shared" si="38"/>
        <v>2.363894423896066</v>
      </c>
      <c r="V83">
        <f t="shared" si="39"/>
        <v>0.2612686951464</v>
      </c>
      <c r="W83">
        <f t="shared" si="40"/>
        <v>0.32071836149966959</v>
      </c>
      <c r="X83">
        <f t="shared" si="41"/>
        <v>0.4494916896000527</v>
      </c>
      <c r="Y83">
        <f t="shared" si="42"/>
        <v>0.77021005109972229</v>
      </c>
      <c r="Z83" s="14">
        <v>0.30325000000000002</v>
      </c>
      <c r="AA83" s="14">
        <v>0.22409999999999999</v>
      </c>
      <c r="AB83" s="14">
        <v>6.4399999999999999E-2</v>
      </c>
      <c r="AD83">
        <f t="shared" si="43"/>
        <v>81.74097963989999</v>
      </c>
      <c r="AE83" s="14">
        <v>3.9791130000000001E-2</v>
      </c>
      <c r="AF83" s="14">
        <v>0.73360930857014905</v>
      </c>
      <c r="AG83" s="14">
        <v>0.229945177892145</v>
      </c>
      <c r="AH83" s="14">
        <v>2.47221067592753E-2</v>
      </c>
      <c r="AI83" s="14">
        <v>0.13224637681159401</v>
      </c>
      <c r="AJ83" s="14">
        <v>0.12745098039215599</v>
      </c>
      <c r="AK83" s="14">
        <v>0</v>
      </c>
      <c r="AL83" s="14">
        <v>1.2638533674339199E-2</v>
      </c>
      <c r="AM83" s="14">
        <v>5.4347800000000002E-3</v>
      </c>
      <c r="AN83" s="14">
        <v>2.2058799999999999E-3</v>
      </c>
      <c r="AO83" s="14">
        <v>1.00585688820982E-2</v>
      </c>
      <c r="AP83" s="14">
        <v>4.2647099999999997E-3</v>
      </c>
      <c r="AQ83" s="14">
        <v>5.7938599999999996E-3</v>
      </c>
    </row>
    <row r="84" spans="1:43">
      <c r="A84" s="14" t="s">
        <v>576</v>
      </c>
      <c r="B84" s="14" t="s">
        <v>243</v>
      </c>
      <c r="C84" s="14" t="s">
        <v>49</v>
      </c>
      <c r="D84">
        <v>531</v>
      </c>
      <c r="E84">
        <v>612</v>
      </c>
      <c r="F84" s="16">
        <f t="shared" si="23"/>
        <v>127.03211900022382</v>
      </c>
      <c r="G84" s="16">
        <f t="shared" si="24"/>
        <v>71.427279091405708</v>
      </c>
      <c r="H84" s="16">
        <f t="shared" si="25"/>
        <v>27.518499251338792</v>
      </c>
      <c r="I84" s="16">
        <f t="shared" si="26"/>
        <v>2.1354281014364669</v>
      </c>
      <c r="J84" s="16">
        <f t="shared" si="27"/>
        <v>26.049253731343249</v>
      </c>
      <c r="K84" s="16">
        <f t="shared" si="28"/>
        <v>82.208955223880466</v>
      </c>
      <c r="L84" s="16">
        <f t="shared" si="29"/>
        <v>73.999999999999659</v>
      </c>
      <c r="M84" s="16">
        <f t="shared" si="30"/>
        <v>68.911199999999397</v>
      </c>
      <c r="N84" s="16">
        <f t="shared" si="31"/>
        <v>0.93527676000000004</v>
      </c>
      <c r="O84" s="16">
        <f t="shared" si="32"/>
        <v>151.1028</v>
      </c>
      <c r="P84" s="16">
        <f t="shared" si="33"/>
        <v>7.0940298507462352</v>
      </c>
      <c r="Q84" s="16">
        <f t="shared" si="34"/>
        <v>5.07462444</v>
      </c>
      <c r="R84" s="16">
        <f t="shared" si="35"/>
        <v>0</v>
      </c>
      <c r="S84" s="16">
        <f t="shared" si="36"/>
        <v>9.2544642857142332</v>
      </c>
      <c r="T84" s="16">
        <f t="shared" si="37"/>
        <v>3.0240327599999999</v>
      </c>
      <c r="U84" s="16">
        <f t="shared" si="38"/>
        <v>6.2304315257142333</v>
      </c>
      <c r="V84">
        <f t="shared" si="39"/>
        <v>0.23923186252396197</v>
      </c>
      <c r="W84">
        <f t="shared" si="40"/>
        <v>0.33663231930198645</v>
      </c>
      <c r="X84">
        <f t="shared" si="41"/>
        <v>0.44645494693741183</v>
      </c>
      <c r="Y84">
        <f t="shared" si="42"/>
        <v>0.78308726623939828</v>
      </c>
      <c r="Z84" s="14">
        <v>0.28134999999999999</v>
      </c>
      <c r="AA84" s="14">
        <v>0.24690000000000001</v>
      </c>
      <c r="AB84" s="14">
        <v>0.11259999999999901</v>
      </c>
      <c r="AD84">
        <f t="shared" si="43"/>
        <v>100.98286526888057</v>
      </c>
      <c r="AE84" s="14">
        <v>4.2564140083894197E-2</v>
      </c>
      <c r="AF84" s="14">
        <v>0.70732078062175097</v>
      </c>
      <c r="AG84" s="14">
        <v>0.27250661959399802</v>
      </c>
      <c r="AH84" s="14">
        <v>2.1146439999999999E-2</v>
      </c>
      <c r="AI84" s="14">
        <v>0.134328358208955</v>
      </c>
      <c r="AJ84" s="14">
        <v>0.12091503267973799</v>
      </c>
      <c r="AK84" s="14">
        <v>1.52823E-3</v>
      </c>
      <c r="AL84" s="14">
        <v>1.1591552043702999E-2</v>
      </c>
      <c r="AM84" s="14">
        <v>8.2918699999999998E-3</v>
      </c>
      <c r="AN84" s="14">
        <v>0</v>
      </c>
      <c r="AO84" s="14">
        <v>1.51216736694677E-2</v>
      </c>
      <c r="AP84" s="14">
        <v>4.9412299999999996E-3</v>
      </c>
      <c r="AQ84" s="14">
        <v>1.01804476006253E-2</v>
      </c>
    </row>
    <row r="85" spans="1:43">
      <c r="A85" s="14" t="s">
        <v>585</v>
      </c>
      <c r="B85" s="14" t="s">
        <v>228</v>
      </c>
      <c r="C85" s="14" t="s">
        <v>20</v>
      </c>
      <c r="D85">
        <v>543</v>
      </c>
      <c r="E85">
        <v>631</v>
      </c>
      <c r="F85" s="16">
        <f t="shared" si="23"/>
        <v>129.59875136911998</v>
      </c>
      <c r="G85" s="16">
        <f t="shared" si="24"/>
        <v>78.215623303759514</v>
      </c>
      <c r="H85" s="16">
        <f t="shared" si="25"/>
        <v>28.300342130330968</v>
      </c>
      <c r="I85" s="16">
        <f t="shared" si="26"/>
        <v>1.0000264025566814</v>
      </c>
      <c r="J85" s="16">
        <f t="shared" si="27"/>
        <v>21.150955939999999</v>
      </c>
      <c r="K85" s="16">
        <f t="shared" si="28"/>
        <v>79.630990415335049</v>
      </c>
      <c r="L85" s="16">
        <f t="shared" si="29"/>
        <v>74.99999999999973</v>
      </c>
      <c r="M85" s="16">
        <f t="shared" si="30"/>
        <v>77.991600000000005</v>
      </c>
      <c r="N85" s="16">
        <f t="shared" si="31"/>
        <v>1.9408487299999999</v>
      </c>
      <c r="O85" s="16">
        <f t="shared" si="32"/>
        <v>149.32615000000001</v>
      </c>
      <c r="P85" s="16">
        <f t="shared" si="33"/>
        <v>4.9359407099999997</v>
      </c>
      <c r="Q85" s="16">
        <f t="shared" si="34"/>
        <v>4.0319511800000001</v>
      </c>
      <c r="R85" s="16">
        <f t="shared" si="35"/>
        <v>0.90000161000000001</v>
      </c>
      <c r="S85" s="16">
        <f t="shared" si="36"/>
        <v>8.1576747720364438</v>
      </c>
      <c r="T85" s="16">
        <f t="shared" si="37"/>
        <v>2.0007937299999998</v>
      </c>
      <c r="U85" s="16">
        <f t="shared" si="38"/>
        <v>6.1568810420364439</v>
      </c>
      <c r="V85">
        <f t="shared" si="39"/>
        <v>0.23867173364478819</v>
      </c>
      <c r="W85">
        <f t="shared" si="40"/>
        <v>0.34207227848966626</v>
      </c>
      <c r="X85">
        <f t="shared" si="41"/>
        <v>0.40961364738875039</v>
      </c>
      <c r="Y85">
        <f t="shared" si="42"/>
        <v>0.75168592587841665</v>
      </c>
      <c r="Z85" s="14">
        <v>0.28799999999999998</v>
      </c>
      <c r="AA85" s="14">
        <v>0.23665</v>
      </c>
      <c r="AB85" s="14">
        <v>0.1236</v>
      </c>
      <c r="AD85">
        <f t="shared" si="43"/>
        <v>108.44779542911999</v>
      </c>
      <c r="AE85" s="14">
        <v>3.3519739999999999E-2</v>
      </c>
      <c r="AF85" s="14">
        <v>0.72122833843017298</v>
      </c>
      <c r="AG85" s="14">
        <v>0.26095820591233398</v>
      </c>
      <c r="AH85" s="14">
        <v>9.2212700000000002E-3</v>
      </c>
      <c r="AI85" s="14">
        <v>0.12619808306709199</v>
      </c>
      <c r="AJ85" s="14">
        <v>0.118858954041204</v>
      </c>
      <c r="AK85" s="14">
        <v>3.0758299999999999E-3</v>
      </c>
      <c r="AL85" s="14">
        <v>7.8224100000000001E-3</v>
      </c>
      <c r="AM85" s="14">
        <v>6.3897800000000003E-3</v>
      </c>
      <c r="AN85" s="14">
        <v>1.4263100000000001E-3</v>
      </c>
      <c r="AO85" s="14">
        <v>1.2928169210834299E-2</v>
      </c>
      <c r="AP85" s="14">
        <v>3.1708299999999999E-3</v>
      </c>
      <c r="AQ85" s="14">
        <v>9.7573399999999998E-3</v>
      </c>
    </row>
    <row r="86" spans="1:43">
      <c r="A86" s="14" t="s">
        <v>591</v>
      </c>
      <c r="B86" s="14" t="s">
        <v>66</v>
      </c>
      <c r="C86" s="14" t="s">
        <v>87</v>
      </c>
      <c r="D86">
        <v>465</v>
      </c>
      <c r="E86">
        <v>518</v>
      </c>
      <c r="F86" s="16">
        <f t="shared" si="23"/>
        <v>118.36198332344999</v>
      </c>
      <c r="G86" s="16">
        <f t="shared" si="24"/>
        <v>79.862081601210576</v>
      </c>
      <c r="H86" s="16">
        <f t="shared" si="25"/>
        <v>21.364461124657073</v>
      </c>
      <c r="I86" s="16">
        <f t="shared" si="26"/>
        <v>1.3043429409129619</v>
      </c>
      <c r="J86" s="16">
        <f t="shared" si="27"/>
        <v>15.605060799999999</v>
      </c>
      <c r="K86" s="16">
        <f t="shared" si="28"/>
        <v>58.451363459999996</v>
      </c>
      <c r="L86" s="16">
        <f t="shared" si="29"/>
        <v>74.999999999999588</v>
      </c>
      <c r="M86" s="16">
        <f t="shared" si="30"/>
        <v>44.289000000000001</v>
      </c>
      <c r="N86" s="16">
        <f t="shared" si="31"/>
        <v>0.98696094000000001</v>
      </c>
      <c r="O86" s="16">
        <f t="shared" si="32"/>
        <v>93.317700000000002</v>
      </c>
      <c r="P86" s="16">
        <f t="shared" si="33"/>
        <v>4.0280146200000004</v>
      </c>
      <c r="Q86" s="16">
        <f t="shared" si="34"/>
        <v>4.0311278000000001</v>
      </c>
      <c r="R86" s="16">
        <f t="shared" si="35"/>
        <v>0</v>
      </c>
      <c r="S86" s="16">
        <f t="shared" si="36"/>
        <v>0.99526448000000001</v>
      </c>
      <c r="T86" s="16">
        <f t="shared" si="37"/>
        <v>0</v>
      </c>
      <c r="U86" s="16">
        <f t="shared" si="38"/>
        <v>0.99526448000000001</v>
      </c>
      <c r="V86">
        <f t="shared" si="39"/>
        <v>0.25454189962032259</v>
      </c>
      <c r="W86">
        <f t="shared" si="40"/>
        <v>0.32600359309496296</v>
      </c>
      <c r="X86">
        <f t="shared" si="41"/>
        <v>0.40628876531884639</v>
      </c>
      <c r="Y86">
        <f t="shared" si="42"/>
        <v>0.73229235841380935</v>
      </c>
      <c r="Z86" s="14">
        <v>0.28534999999999999</v>
      </c>
      <c r="AA86" s="14">
        <v>0.18015</v>
      </c>
      <c r="AB86" s="14">
        <v>8.5500000000000007E-2</v>
      </c>
      <c r="AD86">
        <f t="shared" si="43"/>
        <v>102.75692252344999</v>
      </c>
      <c r="AE86" s="14">
        <v>3.0125599999999999E-2</v>
      </c>
      <c r="AF86" s="14">
        <v>0.77719417475728103</v>
      </c>
      <c r="AG86" s="14">
        <v>0.207912621359223</v>
      </c>
      <c r="AH86" s="14">
        <v>1.269348E-2</v>
      </c>
      <c r="AI86" s="14">
        <v>0.11284047</v>
      </c>
      <c r="AJ86" s="14">
        <v>0.144787644787644</v>
      </c>
      <c r="AK86" s="14">
        <v>1.90533E-3</v>
      </c>
      <c r="AL86" s="14">
        <v>7.7760900000000003E-3</v>
      </c>
      <c r="AM86" s="14">
        <v>7.7821000000000001E-3</v>
      </c>
      <c r="AN86" s="14">
        <v>0</v>
      </c>
      <c r="AO86" s="14">
        <v>1.92136E-3</v>
      </c>
      <c r="AP86" s="14">
        <v>0</v>
      </c>
      <c r="AQ86" s="14">
        <v>1.92136E-3</v>
      </c>
    </row>
    <row r="87" spans="1:43">
      <c r="A87" s="14" t="s">
        <v>595</v>
      </c>
      <c r="B87" s="14" t="s">
        <v>136</v>
      </c>
      <c r="C87" s="14" t="s">
        <v>20</v>
      </c>
      <c r="D87">
        <v>508</v>
      </c>
      <c r="E87">
        <v>562</v>
      </c>
      <c r="F87" s="16">
        <f t="shared" si="23"/>
        <v>124.08290697653521</v>
      </c>
      <c r="G87" s="16">
        <f t="shared" si="24"/>
        <v>73.97467186708333</v>
      </c>
      <c r="H87" s="16">
        <f t="shared" si="25"/>
        <v>26.062577118342368</v>
      </c>
      <c r="I87" s="16">
        <f t="shared" si="26"/>
        <v>1.8162930460343536</v>
      </c>
      <c r="J87" s="16">
        <f t="shared" si="27"/>
        <v>22.149729729729707</v>
      </c>
      <c r="K87" s="16">
        <f t="shared" si="28"/>
        <v>73.920720720720425</v>
      </c>
      <c r="L87" s="16">
        <f t="shared" si="29"/>
        <v>64.999999999999531</v>
      </c>
      <c r="M87" s="16">
        <f t="shared" si="30"/>
        <v>48.7254</v>
      </c>
      <c r="N87" s="16">
        <f t="shared" si="31"/>
        <v>0.15189174000000003</v>
      </c>
      <c r="O87" s="16">
        <f t="shared" si="32"/>
        <v>145.47370000000001</v>
      </c>
      <c r="P87" s="16">
        <f t="shared" si="33"/>
        <v>1.92270316</v>
      </c>
      <c r="Q87" s="16">
        <f t="shared" si="34"/>
        <v>4.0504520199999998</v>
      </c>
      <c r="R87" s="16">
        <f t="shared" si="35"/>
        <v>0.99557737999999996</v>
      </c>
      <c r="S87" s="16">
        <f t="shared" si="36"/>
        <v>18.517855040000001</v>
      </c>
      <c r="T87" s="16">
        <f t="shared" si="37"/>
        <v>4.17083242</v>
      </c>
      <c r="U87" s="16">
        <f t="shared" si="38"/>
        <v>14.347022620000001</v>
      </c>
      <c r="V87">
        <f t="shared" si="39"/>
        <v>0.24425769089869137</v>
      </c>
      <c r="W87">
        <f t="shared" si="40"/>
        <v>0.31177438417337594</v>
      </c>
      <c r="X87">
        <f t="shared" si="41"/>
        <v>0.43336146488344479</v>
      </c>
      <c r="Y87">
        <f t="shared" si="42"/>
        <v>0.74513584905682073</v>
      </c>
      <c r="Z87" s="14">
        <v>0.29594999999999999</v>
      </c>
      <c r="AA87" s="14">
        <v>0.25885000000000002</v>
      </c>
      <c r="AB87" s="14">
        <v>8.6699999999999999E-2</v>
      </c>
      <c r="AD87">
        <f t="shared" si="43"/>
        <v>101.9331772468055</v>
      </c>
      <c r="AE87" s="14">
        <v>3.9412330479946099E-2</v>
      </c>
      <c r="AF87" s="14">
        <v>0.72571731662962202</v>
      </c>
      <c r="AG87" s="14">
        <v>0.255682966255809</v>
      </c>
      <c r="AH87" s="14">
        <v>1.78184678933009E-2</v>
      </c>
      <c r="AI87" s="14">
        <v>0.13153153153153099</v>
      </c>
      <c r="AJ87" s="14">
        <v>0.115658362989323</v>
      </c>
      <c r="AK87" s="14">
        <v>2.7027000000000003E-4</v>
      </c>
      <c r="AL87" s="14">
        <v>3.4211799999999998E-3</v>
      </c>
      <c r="AM87" s="14">
        <v>7.2072100000000004E-3</v>
      </c>
      <c r="AN87" s="14">
        <v>1.7714899999999999E-3</v>
      </c>
      <c r="AO87" s="14">
        <v>3.2949920000000001E-2</v>
      </c>
      <c r="AP87" s="14">
        <v>7.4214099999999998E-3</v>
      </c>
      <c r="AQ87" s="14">
        <v>2.55285121165903E-2</v>
      </c>
    </row>
    <row r="88" spans="1:43">
      <c r="A88" s="14" t="s">
        <v>602</v>
      </c>
      <c r="B88" s="14" t="s">
        <v>27</v>
      </c>
      <c r="C88" s="14" t="s">
        <v>20</v>
      </c>
      <c r="D88">
        <v>530</v>
      </c>
      <c r="E88">
        <v>579</v>
      </c>
      <c r="F88" s="16">
        <f t="shared" si="23"/>
        <v>135.916904297435</v>
      </c>
      <c r="G88" s="16">
        <f t="shared" si="24"/>
        <v>81.925403365180557</v>
      </c>
      <c r="H88" s="16">
        <f t="shared" si="25"/>
        <v>28.9944973606678</v>
      </c>
      <c r="I88" s="16">
        <f t="shared" si="26"/>
        <v>1.6805309427442838</v>
      </c>
      <c r="J88" s="16">
        <f t="shared" si="27"/>
        <v>22.20312723</v>
      </c>
      <c r="K88" s="16">
        <f t="shared" si="28"/>
        <v>76.395833333333073</v>
      </c>
      <c r="L88" s="16">
        <f t="shared" si="29"/>
        <v>76.999999999999574</v>
      </c>
      <c r="M88" s="16">
        <f t="shared" si="30"/>
        <v>35.319000000000003</v>
      </c>
      <c r="N88" s="16">
        <f t="shared" si="31"/>
        <v>0.25078226999999997</v>
      </c>
      <c r="O88" s="16">
        <f t="shared" si="32"/>
        <v>125.38244999999999</v>
      </c>
      <c r="P88" s="16">
        <f t="shared" si="33"/>
        <v>8.0374985100000007</v>
      </c>
      <c r="Q88" s="16">
        <f t="shared" si="34"/>
        <v>5.0260442400000001</v>
      </c>
      <c r="R88" s="16">
        <f t="shared" si="35"/>
        <v>0.99618107999999994</v>
      </c>
      <c r="S88" s="16">
        <f t="shared" si="36"/>
        <v>9.4235897699999995</v>
      </c>
      <c r="T88" s="16">
        <f t="shared" si="37"/>
        <v>3.89352024</v>
      </c>
      <c r="U88" s="16">
        <f t="shared" si="38"/>
        <v>5.5300695299999996</v>
      </c>
      <c r="V88">
        <f t="shared" si="39"/>
        <v>0.2564469892404434</v>
      </c>
      <c r="W88">
        <f t="shared" si="40"/>
        <v>0.31462582924147758</v>
      </c>
      <c r="X88">
        <f t="shared" si="41"/>
        <v>0.44107264119763961</v>
      </c>
      <c r="Y88">
        <f t="shared" si="42"/>
        <v>0.7556984704391172</v>
      </c>
      <c r="Z88" s="14">
        <v>0.29349999999999998</v>
      </c>
      <c r="AA88" s="14">
        <v>0.21654999999999999</v>
      </c>
      <c r="AB88" s="14">
        <v>6.0999999999999999E-2</v>
      </c>
      <c r="AD88">
        <f t="shared" si="43"/>
        <v>113.71377706743499</v>
      </c>
      <c r="AE88" s="14">
        <v>3.8347369999999999E-2</v>
      </c>
      <c r="AF88" s="14">
        <v>0.72045274968394402</v>
      </c>
      <c r="AG88" s="14">
        <v>0.25497787610619399</v>
      </c>
      <c r="AH88" s="14">
        <v>1.47786045462872E-2</v>
      </c>
      <c r="AI88" s="14">
        <v>0.131944444444444</v>
      </c>
      <c r="AJ88" s="14">
        <v>0.13298791018998199</v>
      </c>
      <c r="AK88" s="14">
        <v>4.3313E-4</v>
      </c>
      <c r="AL88" s="14">
        <v>1.388169E-2</v>
      </c>
      <c r="AM88" s="14">
        <v>8.6805600000000004E-3</v>
      </c>
      <c r="AN88" s="14">
        <v>1.7205199999999999E-3</v>
      </c>
      <c r="AO88" s="14">
        <v>1.6275629999999999E-2</v>
      </c>
      <c r="AP88" s="14">
        <v>6.7245600000000001E-3</v>
      </c>
      <c r="AQ88" s="14">
        <v>9.55107E-3</v>
      </c>
    </row>
    <row r="89" spans="1:43">
      <c r="A89" s="14" t="s">
        <v>608</v>
      </c>
      <c r="B89" s="14" t="s">
        <v>58</v>
      </c>
      <c r="C89" s="14" t="s">
        <v>609</v>
      </c>
      <c r="D89">
        <v>471</v>
      </c>
      <c r="E89">
        <v>510</v>
      </c>
      <c r="F89" s="16">
        <f t="shared" si="23"/>
        <v>118.64172500583</v>
      </c>
      <c r="G89" s="16">
        <f t="shared" si="24"/>
        <v>76.449879864841193</v>
      </c>
      <c r="H89" s="16">
        <f t="shared" si="25"/>
        <v>23.328853875463722</v>
      </c>
      <c r="I89" s="16">
        <f t="shared" si="26"/>
        <v>1.9303532804638823</v>
      </c>
      <c r="J89" s="16">
        <f t="shared" si="27"/>
        <v>16.960238700000001</v>
      </c>
      <c r="K89" s="16">
        <f t="shared" si="28"/>
        <v>61.240157480314799</v>
      </c>
      <c r="L89" s="16">
        <f t="shared" si="29"/>
        <v>58.999999999999531</v>
      </c>
      <c r="M89" s="16">
        <f t="shared" si="30"/>
        <v>30.599999999999998</v>
      </c>
      <c r="N89" s="16">
        <f t="shared" si="31"/>
        <v>0.96982619999999997</v>
      </c>
      <c r="O89" s="16">
        <f t="shared" si="32"/>
        <v>113.47500000000001</v>
      </c>
      <c r="P89" s="16">
        <f t="shared" si="33"/>
        <v>5.0177166</v>
      </c>
      <c r="Q89" s="16">
        <f t="shared" si="34"/>
        <v>3.0118100999999999</v>
      </c>
      <c r="R89" s="16">
        <f t="shared" si="35"/>
        <v>0.90000210000000003</v>
      </c>
      <c r="S89" s="16">
        <f t="shared" si="36"/>
        <v>14.284786641929458</v>
      </c>
      <c r="T89" s="16">
        <f t="shared" si="37"/>
        <v>4.8858560999999998</v>
      </c>
      <c r="U89" s="16">
        <f t="shared" si="38"/>
        <v>9.3989305419294578</v>
      </c>
      <c r="V89">
        <f t="shared" si="39"/>
        <v>0.25189325903573245</v>
      </c>
      <c r="W89">
        <f t="shared" si="40"/>
        <v>0.3070310641459309</v>
      </c>
      <c r="X89">
        <f t="shared" si="41"/>
        <v>0.41770616190479892</v>
      </c>
      <c r="Y89">
        <f t="shared" si="42"/>
        <v>0.72473722605072988</v>
      </c>
      <c r="Z89" s="14">
        <v>0.29594999999999999</v>
      </c>
      <c r="AA89" s="14">
        <v>0.2225</v>
      </c>
      <c r="AB89" s="14">
        <v>0.06</v>
      </c>
      <c r="AD89">
        <f t="shared" si="43"/>
        <v>101.68148630582999</v>
      </c>
      <c r="AE89" s="14">
        <v>3.3255369999999999E-2</v>
      </c>
      <c r="AF89" s="14">
        <v>0.75185643564356397</v>
      </c>
      <c r="AG89" s="14">
        <v>0.229430693069306</v>
      </c>
      <c r="AH89" s="14">
        <v>1.89843141617532E-2</v>
      </c>
      <c r="AI89" s="14">
        <v>0.12007874015748</v>
      </c>
      <c r="AJ89" s="14">
        <v>0.115686274509803</v>
      </c>
      <c r="AK89" s="14">
        <v>1.9016199999999999E-3</v>
      </c>
      <c r="AL89" s="14">
        <v>9.8386600000000008E-3</v>
      </c>
      <c r="AM89" s="14">
        <v>5.9055100000000001E-3</v>
      </c>
      <c r="AN89" s="14">
        <v>1.7647100000000001E-3</v>
      </c>
      <c r="AO89" s="14">
        <v>2.80093855724107E-2</v>
      </c>
      <c r="AP89" s="14">
        <v>9.5801099999999993E-3</v>
      </c>
      <c r="AQ89" s="14">
        <v>1.8429272903735298E-2</v>
      </c>
    </row>
    <row r="90" spans="1:43">
      <c r="A90" s="14" t="s">
        <v>614</v>
      </c>
      <c r="B90" s="14" t="s">
        <v>40</v>
      </c>
      <c r="C90" s="14" t="s">
        <v>20</v>
      </c>
      <c r="D90">
        <v>474</v>
      </c>
      <c r="E90">
        <v>521</v>
      </c>
      <c r="F90" s="16">
        <f t="shared" si="23"/>
        <v>110.54534706639615</v>
      </c>
      <c r="G90" s="16">
        <f t="shared" si="24"/>
        <v>69.696748620120914</v>
      </c>
      <c r="H90" s="16">
        <f t="shared" si="25"/>
        <v>19.620744528783547</v>
      </c>
      <c r="I90" s="16">
        <f t="shared" si="26"/>
        <v>1.0403682180620559</v>
      </c>
      <c r="J90" s="16">
        <f t="shared" si="27"/>
        <v>18.549413080000001</v>
      </c>
      <c r="K90" s="16">
        <f t="shared" si="28"/>
        <v>71.509803921568462</v>
      </c>
      <c r="L90" s="16">
        <f t="shared" si="29"/>
        <v>60.999999999999773</v>
      </c>
      <c r="M90" s="16">
        <f t="shared" si="30"/>
        <v>37.980900000000005</v>
      </c>
      <c r="N90" s="16">
        <f t="shared" si="31"/>
        <v>3.3630862600000002</v>
      </c>
      <c r="O90" s="16">
        <f t="shared" si="32"/>
        <v>146.45309999999949</v>
      </c>
      <c r="P90" s="16">
        <f t="shared" si="33"/>
        <v>6.0164715299999996</v>
      </c>
      <c r="Q90" s="16">
        <f t="shared" si="34"/>
        <v>3.06470435</v>
      </c>
      <c r="R90" s="16">
        <f t="shared" si="35"/>
        <v>0.90000144999999998</v>
      </c>
      <c r="S90" s="16">
        <f t="shared" si="36"/>
        <v>29.560404220000002</v>
      </c>
      <c r="T90" s="16">
        <f t="shared" si="37"/>
        <v>7.1614255765198793</v>
      </c>
      <c r="U90" s="16">
        <f t="shared" si="38"/>
        <v>22.398978643480124</v>
      </c>
      <c r="V90">
        <f t="shared" si="39"/>
        <v>0.23321803178564587</v>
      </c>
      <c r="W90">
        <f t="shared" si="40"/>
        <v>0.30459714066635696</v>
      </c>
      <c r="X90">
        <f t="shared" si="41"/>
        <v>0.3929472461010004</v>
      </c>
      <c r="Y90">
        <f t="shared" si="42"/>
        <v>0.69754438676735742</v>
      </c>
      <c r="Z90" s="14">
        <v>0.29480000000000001</v>
      </c>
      <c r="AA90" s="14">
        <v>0.28109999999999902</v>
      </c>
      <c r="AB90" s="14">
        <v>7.2900000000000006E-2</v>
      </c>
      <c r="AD90">
        <f t="shared" si="43"/>
        <v>91.995933986396139</v>
      </c>
      <c r="AE90" s="14">
        <v>3.560348E-2</v>
      </c>
      <c r="AF90" s="14">
        <v>0.757606837606837</v>
      </c>
      <c r="AG90" s="14">
        <v>0.21327838827838799</v>
      </c>
      <c r="AH90" s="14">
        <v>1.130885E-2</v>
      </c>
      <c r="AI90" s="14">
        <v>0.13725490196078399</v>
      </c>
      <c r="AJ90" s="14">
        <v>0.117082533589251</v>
      </c>
      <c r="AK90" s="14">
        <v>6.4550600000000003E-3</v>
      </c>
      <c r="AL90" s="14">
        <v>1.154793E-2</v>
      </c>
      <c r="AM90" s="14">
        <v>5.8823499999999997E-3</v>
      </c>
      <c r="AN90" s="14">
        <v>1.7274499999999999E-3</v>
      </c>
      <c r="AO90" s="14">
        <v>5.6737820000000001E-2</v>
      </c>
      <c r="AP90" s="14">
        <v>1.37455385345871E-2</v>
      </c>
      <c r="AQ90" s="14">
        <v>4.2992280000000001E-2</v>
      </c>
    </row>
    <row r="91" spans="1:43">
      <c r="A91" s="14" t="s">
        <v>623</v>
      </c>
      <c r="B91" s="14" t="s">
        <v>136</v>
      </c>
      <c r="C91" s="14" t="s">
        <v>34</v>
      </c>
      <c r="D91">
        <v>531</v>
      </c>
      <c r="E91">
        <v>575</v>
      </c>
      <c r="F91" s="16">
        <f t="shared" si="23"/>
        <v>156.1460160718932</v>
      </c>
      <c r="G91" s="16">
        <f t="shared" si="24"/>
        <v>119.63849513075077</v>
      </c>
      <c r="H91" s="16">
        <f t="shared" si="25"/>
        <v>27.539861688039853</v>
      </c>
      <c r="I91" s="16">
        <f t="shared" si="26"/>
        <v>1.0753379921743109</v>
      </c>
      <c r="J91" s="16">
        <f t="shared" si="27"/>
        <v>7.5115044247787175</v>
      </c>
      <c r="K91" s="16">
        <f t="shared" si="28"/>
        <v>65.132743362831377</v>
      </c>
      <c r="L91" s="16">
        <f t="shared" si="29"/>
        <v>63.999999999999453</v>
      </c>
      <c r="M91" s="16">
        <f t="shared" si="30"/>
        <v>29.612499999999997</v>
      </c>
      <c r="N91" s="16">
        <f t="shared" si="31"/>
        <v>0.95273475000000007</v>
      </c>
      <c r="O91" s="16">
        <f t="shared" si="32"/>
        <v>45.683750000000003</v>
      </c>
      <c r="P91" s="16">
        <f t="shared" si="33"/>
        <v>6.1955752212388626</v>
      </c>
      <c r="Q91" s="16">
        <f t="shared" si="34"/>
        <v>4.0707987499999998</v>
      </c>
      <c r="R91" s="16">
        <f t="shared" si="35"/>
        <v>1.98668825</v>
      </c>
      <c r="S91" s="16">
        <f t="shared" si="36"/>
        <v>5.6668032500000001</v>
      </c>
      <c r="T91" s="16">
        <f t="shared" si="37"/>
        <v>2.1052647499999999</v>
      </c>
      <c r="U91" s="16">
        <f t="shared" si="38"/>
        <v>3.5615385000000002</v>
      </c>
      <c r="V91">
        <f t="shared" si="39"/>
        <v>0.29406029392070282</v>
      </c>
      <c r="W91">
        <f t="shared" si="40"/>
        <v>0.34104408951720733</v>
      </c>
      <c r="X91">
        <f t="shared" si="41"/>
        <v>0.39169538640766155</v>
      </c>
      <c r="Y91">
        <f t="shared" si="42"/>
        <v>0.73273947592486888</v>
      </c>
      <c r="Z91" s="14">
        <v>0.30845</v>
      </c>
      <c r="AA91" s="14">
        <v>7.9450000000000007E-2</v>
      </c>
      <c r="AB91" s="14">
        <v>5.1499999999999997E-2</v>
      </c>
      <c r="AD91">
        <f t="shared" si="43"/>
        <v>148.63451164711449</v>
      </c>
      <c r="AE91" s="14">
        <v>1.30634859561369E-2</v>
      </c>
      <c r="AF91" s="14">
        <v>0.80491733585262104</v>
      </c>
      <c r="AG91" s="14">
        <v>0.18528578176665</v>
      </c>
      <c r="AH91" s="14">
        <v>7.2347799999999997E-3</v>
      </c>
      <c r="AI91" s="14">
        <v>0.11327433628318501</v>
      </c>
      <c r="AJ91" s="14">
        <v>0.111304347826086</v>
      </c>
      <c r="AK91" s="14">
        <v>1.65693E-3</v>
      </c>
      <c r="AL91" s="14">
        <v>1.07749134282415E-2</v>
      </c>
      <c r="AM91" s="14">
        <v>7.0796499999999998E-3</v>
      </c>
      <c r="AN91" s="14">
        <v>3.45511E-3</v>
      </c>
      <c r="AO91" s="14">
        <v>9.8553100000000008E-3</v>
      </c>
      <c r="AP91" s="14">
        <v>3.66133E-3</v>
      </c>
      <c r="AQ91" s="14">
        <v>6.19398E-3</v>
      </c>
    </row>
    <row r="92" spans="1:43">
      <c r="A92" s="14" t="s">
        <v>629</v>
      </c>
      <c r="B92" s="14" t="s">
        <v>630</v>
      </c>
      <c r="C92" s="14" t="s">
        <v>631</v>
      </c>
      <c r="D92">
        <v>460</v>
      </c>
      <c r="E92">
        <v>541</v>
      </c>
      <c r="F92" s="16">
        <f t="shared" si="23"/>
        <v>102.15755902212001</v>
      </c>
      <c r="G92" s="16">
        <f t="shared" si="24"/>
        <v>53.394685344330924</v>
      </c>
      <c r="H92" s="16">
        <f t="shared" si="25"/>
        <v>17.211713362397944</v>
      </c>
      <c r="I92" s="16">
        <f t="shared" si="26"/>
        <v>0.4017651128814782</v>
      </c>
      <c r="J92" s="16">
        <f t="shared" si="27"/>
        <v>30.20847702</v>
      </c>
      <c r="K92" s="16">
        <f t="shared" si="28"/>
        <v>76.412429378530874</v>
      </c>
      <c r="L92" s="16">
        <f t="shared" si="29"/>
        <v>72.999999999999545</v>
      </c>
      <c r="M92" s="16">
        <f t="shared" si="30"/>
        <v>77.308899999999994</v>
      </c>
      <c r="N92" s="16">
        <f t="shared" si="31"/>
        <v>4.8459534000000009</v>
      </c>
      <c r="O92" s="16">
        <f t="shared" si="32"/>
        <v>176.69059999999999</v>
      </c>
      <c r="P92" s="16">
        <f t="shared" si="33"/>
        <v>6.0016949152541583</v>
      </c>
      <c r="Q92" s="16">
        <f t="shared" si="34"/>
        <v>2.0376656799999999</v>
      </c>
      <c r="R92" s="16">
        <f t="shared" si="35"/>
        <v>0.90000218999999992</v>
      </c>
      <c r="S92" s="16">
        <f t="shared" si="36"/>
        <v>8.7602040816325815</v>
      </c>
      <c r="T92" s="16">
        <f t="shared" si="37"/>
        <v>2.9784538600000001</v>
      </c>
      <c r="U92" s="16">
        <f t="shared" si="38"/>
        <v>5.7817502216325813</v>
      </c>
      <c r="V92">
        <f t="shared" si="39"/>
        <v>0.22208165004808697</v>
      </c>
      <c r="W92">
        <f t="shared" si="40"/>
        <v>0.34971834537364654</v>
      </c>
      <c r="X92">
        <f t="shared" si="41"/>
        <v>0.45621155540819835</v>
      </c>
      <c r="Y92">
        <f t="shared" si="42"/>
        <v>0.8059299007818449</v>
      </c>
      <c r="Z92" s="14">
        <v>0.28199999999999997</v>
      </c>
      <c r="AA92" s="14">
        <v>0.3266</v>
      </c>
      <c r="AB92" s="14">
        <v>0.1429</v>
      </c>
      <c r="AD92">
        <f t="shared" si="43"/>
        <v>71.949082002120008</v>
      </c>
      <c r="AE92" s="14">
        <v>5.5838220000000001E-2</v>
      </c>
      <c r="AF92" s="14">
        <v>0.74211767347855295</v>
      </c>
      <c r="AG92" s="14">
        <v>0.23922075005614099</v>
      </c>
      <c r="AH92" s="14">
        <v>5.5840200000000003E-3</v>
      </c>
      <c r="AI92" s="14">
        <v>0.14124293785310699</v>
      </c>
      <c r="AJ92" s="14">
        <v>0.13493530499075701</v>
      </c>
      <c r="AK92" s="14">
        <v>8.9574000000000008E-3</v>
      </c>
      <c r="AL92" s="14">
        <v>1.10937059431685E-2</v>
      </c>
      <c r="AM92" s="14">
        <v>3.76648E-3</v>
      </c>
      <c r="AN92" s="14">
        <v>1.6635899999999999E-3</v>
      </c>
      <c r="AO92" s="14">
        <v>1.6192613829265401E-2</v>
      </c>
      <c r="AP92" s="14">
        <v>5.5054600000000002E-3</v>
      </c>
      <c r="AQ92" s="14">
        <v>1.06871498470794E-2</v>
      </c>
    </row>
    <row r="93" spans="1:43">
      <c r="A93" s="14" t="s">
        <v>639</v>
      </c>
      <c r="B93" s="14" t="s">
        <v>335</v>
      </c>
      <c r="C93" s="14" t="s">
        <v>20</v>
      </c>
      <c r="D93">
        <v>550</v>
      </c>
      <c r="E93">
        <v>622</v>
      </c>
      <c r="F93" s="16">
        <f t="shared" si="23"/>
        <v>137.82746623397531</v>
      </c>
      <c r="G93" s="16">
        <f t="shared" si="24"/>
        <v>87.714016249278487</v>
      </c>
      <c r="H93" s="16">
        <f t="shared" si="25"/>
        <v>25.896233626021264</v>
      </c>
      <c r="I93" s="16">
        <f t="shared" si="26"/>
        <v>2.7851956771188071</v>
      </c>
      <c r="J93" s="16">
        <f t="shared" si="27"/>
        <v>21.931884057970926</v>
      </c>
      <c r="K93" s="16">
        <f t="shared" si="28"/>
        <v>79.127214170692071</v>
      </c>
      <c r="L93" s="16">
        <f t="shared" si="29"/>
        <v>71.999999999999815</v>
      </c>
      <c r="M93" s="16">
        <f t="shared" si="30"/>
        <v>59.7742</v>
      </c>
      <c r="N93" s="16">
        <f t="shared" si="31"/>
        <v>0.99071537999999992</v>
      </c>
      <c r="O93" s="16">
        <f t="shared" si="32"/>
        <v>135.7826</v>
      </c>
      <c r="P93" s="16">
        <f t="shared" si="33"/>
        <v>9.0130434782608422</v>
      </c>
      <c r="Q93" s="16">
        <f t="shared" si="34"/>
        <v>4.0064388400000004</v>
      </c>
      <c r="R93" s="16">
        <f t="shared" si="35"/>
        <v>0.99873296</v>
      </c>
      <c r="S93" s="16">
        <f t="shared" si="36"/>
        <v>9.2182539682539009</v>
      </c>
      <c r="T93" s="16">
        <f t="shared" si="37"/>
        <v>2.2266356000000003</v>
      </c>
      <c r="U93" s="16">
        <f t="shared" si="38"/>
        <v>6.991618368253901</v>
      </c>
      <c r="V93">
        <f t="shared" si="39"/>
        <v>0.25059539315268237</v>
      </c>
      <c r="W93">
        <f t="shared" si="40"/>
        <v>0.33769534586665734</v>
      </c>
      <c r="X93">
        <f t="shared" si="41"/>
        <v>0.42834473957192931</v>
      </c>
      <c r="Y93">
        <f t="shared" si="42"/>
        <v>0.7660400854385867</v>
      </c>
      <c r="Z93" s="14">
        <v>0.29244999999999999</v>
      </c>
      <c r="AA93" s="14">
        <v>0.21829999999999999</v>
      </c>
      <c r="AB93" s="14">
        <v>9.6100000000000005E-2</v>
      </c>
      <c r="AD93">
        <f t="shared" si="43"/>
        <v>115.8955821760044</v>
      </c>
      <c r="AE93" s="14">
        <v>3.52602637587957E-2</v>
      </c>
      <c r="AF93" s="14">
        <v>0.75683658170914503</v>
      </c>
      <c r="AG93" s="14">
        <v>0.22344452773613099</v>
      </c>
      <c r="AH93" s="14">
        <v>2.4031940000000002E-2</v>
      </c>
      <c r="AI93" s="14">
        <v>0.12721417069243099</v>
      </c>
      <c r="AJ93" s="14">
        <v>0.11575562700964601</v>
      </c>
      <c r="AK93" s="14">
        <v>1.59279E-3</v>
      </c>
      <c r="AL93" s="14">
        <v>1.44904235984901E-2</v>
      </c>
      <c r="AM93" s="14">
        <v>6.4412200000000001E-3</v>
      </c>
      <c r="AN93" s="14">
        <v>1.60568E-3</v>
      </c>
      <c r="AO93" s="14">
        <v>1.48203440004082E-2</v>
      </c>
      <c r="AP93" s="14">
        <v>3.5798000000000002E-3</v>
      </c>
      <c r="AQ93" s="14">
        <v>1.12405441386419E-2</v>
      </c>
    </row>
    <row r="94" spans="1:43">
      <c r="A94" s="14" t="s">
        <v>647</v>
      </c>
      <c r="B94" s="14" t="s">
        <v>107</v>
      </c>
      <c r="C94" s="14" t="s">
        <v>648</v>
      </c>
      <c r="D94">
        <v>433</v>
      </c>
      <c r="E94">
        <v>489</v>
      </c>
      <c r="F94" s="16">
        <f t="shared" si="23"/>
        <v>108.91303683601143</v>
      </c>
      <c r="G94" s="16">
        <f t="shared" si="24"/>
        <v>72.073823597425303</v>
      </c>
      <c r="H94" s="16">
        <f t="shared" si="25"/>
        <v>21.64873193113333</v>
      </c>
      <c r="I94" s="16">
        <f t="shared" si="26"/>
        <v>2.148515569580459</v>
      </c>
      <c r="J94" s="16">
        <f t="shared" si="27"/>
        <v>12.430933852140054</v>
      </c>
      <c r="K94" s="16">
        <f t="shared" si="28"/>
        <v>61.838521400777921</v>
      </c>
      <c r="L94" s="16">
        <f t="shared" si="29"/>
        <v>48.000000390000004</v>
      </c>
      <c r="M94" s="16">
        <f t="shared" si="30"/>
        <v>47.530799999999999</v>
      </c>
      <c r="N94" s="16">
        <f t="shared" si="31"/>
        <v>1.0613402700000001</v>
      </c>
      <c r="O94" s="16">
        <f t="shared" si="32"/>
        <v>106.3086</v>
      </c>
      <c r="P94" s="16">
        <f t="shared" si="33"/>
        <v>3.8249042099999997</v>
      </c>
      <c r="Q94" s="16">
        <f t="shared" si="34"/>
        <v>2.85408762</v>
      </c>
      <c r="R94" s="16">
        <f t="shared" si="35"/>
        <v>0.89999960999999995</v>
      </c>
      <c r="S94" s="16">
        <f t="shared" si="36"/>
        <v>13.024553571428553</v>
      </c>
      <c r="T94" s="16">
        <f t="shared" si="37"/>
        <v>4.2442754999999996</v>
      </c>
      <c r="U94" s="16">
        <f t="shared" si="38"/>
        <v>8.7802780714285547</v>
      </c>
      <c r="V94">
        <f t="shared" si="39"/>
        <v>0.25153126290071925</v>
      </c>
      <c r="W94">
        <f t="shared" si="40"/>
        <v>0.33301958406959375</v>
      </c>
      <c r="X94">
        <f t="shared" si="41"/>
        <v>0.39616759717550476</v>
      </c>
      <c r="Y94">
        <f t="shared" si="42"/>
        <v>0.72918718124509851</v>
      </c>
      <c r="Z94" s="14">
        <v>0.30425000000000002</v>
      </c>
      <c r="AA94" s="14">
        <v>0.21740000000000001</v>
      </c>
      <c r="AB94" s="14">
        <v>9.7199999999999995E-2</v>
      </c>
      <c r="AD94">
        <f t="shared" si="43"/>
        <v>96.482102983871371</v>
      </c>
      <c r="AE94" s="14">
        <v>2.5421132621963299E-2</v>
      </c>
      <c r="AF94" s="14">
        <v>0.74701754385964902</v>
      </c>
      <c r="AG94" s="14">
        <v>0.22438080495356</v>
      </c>
      <c r="AH94" s="14">
        <v>2.226854E-2</v>
      </c>
      <c r="AI94" s="14">
        <v>0.12645914396887101</v>
      </c>
      <c r="AJ94" s="14">
        <v>9.8159510000000005E-2</v>
      </c>
      <c r="AK94" s="14">
        <v>2.1704300000000001E-3</v>
      </c>
      <c r="AL94" s="14">
        <v>7.8218899999999997E-3</v>
      </c>
      <c r="AM94" s="14">
        <v>5.8365800000000001E-3</v>
      </c>
      <c r="AN94" s="14">
        <v>1.84049E-3</v>
      </c>
      <c r="AO94" s="14">
        <v>2.6635078878176999E-2</v>
      </c>
      <c r="AP94" s="14">
        <v>8.6794999999999997E-3</v>
      </c>
      <c r="AQ94" s="14">
        <v>1.79555802909371E-2</v>
      </c>
    </row>
    <row r="95" spans="1:43">
      <c r="A95" s="14" t="s">
        <v>653</v>
      </c>
      <c r="B95" s="14" t="s">
        <v>630</v>
      </c>
      <c r="C95" s="14" t="s">
        <v>654</v>
      </c>
      <c r="D95">
        <v>491</v>
      </c>
      <c r="E95">
        <v>550</v>
      </c>
      <c r="F95" s="16">
        <f t="shared" si="23"/>
        <v>107.34902156019554</v>
      </c>
      <c r="G95" s="16">
        <f t="shared" si="24"/>
        <v>62.602650059740405</v>
      </c>
      <c r="H95" s="16">
        <f t="shared" si="25"/>
        <v>20.148924337044729</v>
      </c>
      <c r="I95" s="16">
        <f t="shared" si="26"/>
        <v>2.0752453511064357</v>
      </c>
      <c r="J95" s="16">
        <f t="shared" si="27"/>
        <v>22.429390018484238</v>
      </c>
      <c r="K95" s="16">
        <f t="shared" si="28"/>
        <v>62.014787430683455</v>
      </c>
      <c r="L95" s="16">
        <f t="shared" si="29"/>
        <v>69.999999999999858</v>
      </c>
      <c r="M95" s="16">
        <f t="shared" si="30"/>
        <v>45.594999999999999</v>
      </c>
      <c r="N95" s="16">
        <f t="shared" si="31"/>
        <v>1.1902055</v>
      </c>
      <c r="O95" s="16">
        <f t="shared" si="32"/>
        <v>164.17499999999998</v>
      </c>
      <c r="P95" s="16">
        <f t="shared" si="33"/>
        <v>9.1347520000000006</v>
      </c>
      <c r="Q95" s="16">
        <f t="shared" si="34"/>
        <v>4.0665459999999998</v>
      </c>
      <c r="R95" s="16">
        <f t="shared" si="35"/>
        <v>0</v>
      </c>
      <c r="S95" s="16">
        <f t="shared" si="36"/>
        <v>2.185216</v>
      </c>
      <c r="T95" s="16">
        <f t="shared" si="37"/>
        <v>1.0206679999999999</v>
      </c>
      <c r="U95" s="16">
        <f t="shared" si="38"/>
        <v>1.1645480000000001</v>
      </c>
      <c r="V95">
        <f t="shared" si="39"/>
        <v>0.21863344513278113</v>
      </c>
      <c r="W95">
        <f t="shared" si="40"/>
        <v>0.30131669521824089</v>
      </c>
      <c r="X95">
        <f t="shared" si="41"/>
        <v>0.40497717894314889</v>
      </c>
      <c r="Y95">
        <f t="shared" si="42"/>
        <v>0.70629387416138978</v>
      </c>
      <c r="Z95" s="14">
        <v>0.27529999999999999</v>
      </c>
      <c r="AA95" s="14">
        <v>0.29849999999999999</v>
      </c>
      <c r="AB95" s="14">
        <v>8.2900000000000001E-2</v>
      </c>
      <c r="AD95">
        <f t="shared" si="43"/>
        <v>84.919631541711297</v>
      </c>
      <c r="AE95" s="14">
        <v>4.0780709124516798E-2</v>
      </c>
      <c r="AF95" s="14">
        <v>0.73719879518072196</v>
      </c>
      <c r="AG95" s="14">
        <v>0.23727051061388399</v>
      </c>
      <c r="AH95" s="14">
        <v>2.4437757364586601E-2</v>
      </c>
      <c r="AI95" s="14">
        <v>0.112754158964879</v>
      </c>
      <c r="AJ95" s="14">
        <v>0.12727272727272701</v>
      </c>
      <c r="AK95" s="14">
        <v>2.1640100000000001E-3</v>
      </c>
      <c r="AL95" s="14">
        <v>1.6608640000000001E-2</v>
      </c>
      <c r="AM95" s="14">
        <v>7.3937200000000003E-3</v>
      </c>
      <c r="AN95" s="14">
        <v>0</v>
      </c>
      <c r="AO95" s="14">
        <v>3.9731200000000001E-3</v>
      </c>
      <c r="AP95" s="14">
        <v>1.8557599999999999E-3</v>
      </c>
      <c r="AQ95" s="14">
        <v>2.11736E-3</v>
      </c>
    </row>
    <row r="96" spans="1:43">
      <c r="A96" s="14" t="s">
        <v>661</v>
      </c>
      <c r="B96" s="14" t="s">
        <v>228</v>
      </c>
      <c r="C96" s="14" t="s">
        <v>34</v>
      </c>
      <c r="D96">
        <v>568</v>
      </c>
      <c r="E96">
        <v>628</v>
      </c>
      <c r="F96" s="16">
        <f t="shared" si="23"/>
        <v>139.35986165535201</v>
      </c>
      <c r="G96" s="16">
        <f t="shared" si="24"/>
        <v>88.507665848331442</v>
      </c>
      <c r="H96" s="16">
        <f t="shared" si="25"/>
        <v>27.158287889705406</v>
      </c>
      <c r="I96" s="16">
        <f t="shared" si="26"/>
        <v>2.1386701063377691</v>
      </c>
      <c r="J96" s="16">
        <f t="shared" si="27"/>
        <v>22.287883280000003</v>
      </c>
      <c r="K96" s="16">
        <f t="shared" si="28"/>
        <v>78.119547657511532</v>
      </c>
      <c r="L96" s="16">
        <f t="shared" si="29"/>
        <v>74.999999999999559</v>
      </c>
      <c r="M96" s="16">
        <f t="shared" si="30"/>
        <v>51.433199999999999</v>
      </c>
      <c r="N96" s="16">
        <f t="shared" si="31"/>
        <v>0.93877208000000001</v>
      </c>
      <c r="O96" s="16">
        <f t="shared" si="32"/>
        <v>159.92019999999999</v>
      </c>
      <c r="P96" s="16">
        <f t="shared" si="33"/>
        <v>3.9523431200000001</v>
      </c>
      <c r="Q96" s="16">
        <f t="shared" si="34"/>
        <v>4.0581611199999994</v>
      </c>
      <c r="R96" s="16">
        <f t="shared" si="35"/>
        <v>0.89999936000000003</v>
      </c>
      <c r="S96" s="16">
        <f t="shared" si="36"/>
        <v>16.119533527696749</v>
      </c>
      <c r="T96" s="16">
        <f t="shared" si="37"/>
        <v>3.8988563600000004</v>
      </c>
      <c r="U96" s="16">
        <f t="shared" si="38"/>
        <v>12.220677167696749</v>
      </c>
      <c r="V96">
        <f t="shared" si="39"/>
        <v>0.24535186911153523</v>
      </c>
      <c r="W96">
        <f t="shared" si="40"/>
        <v>0.31338041912316861</v>
      </c>
      <c r="X96">
        <f t="shared" si="41"/>
        <v>0.41970384694851331</v>
      </c>
      <c r="Y96">
        <f t="shared" si="42"/>
        <v>0.73308426607168187</v>
      </c>
      <c r="Z96" s="14">
        <v>0.30030000000000001</v>
      </c>
      <c r="AA96" s="14">
        <v>0.25464999999999999</v>
      </c>
      <c r="AB96" s="14">
        <v>8.1900000000000001E-2</v>
      </c>
      <c r="AD96">
        <f t="shared" si="43"/>
        <v>117.07197837535202</v>
      </c>
      <c r="AE96" s="14">
        <v>3.5490260000000003E-2</v>
      </c>
      <c r="AF96" s="14">
        <v>0.75601067887108997</v>
      </c>
      <c r="AG96" s="14">
        <v>0.23197940503432399</v>
      </c>
      <c r="AH96" s="14">
        <v>1.8267993212524699E-2</v>
      </c>
      <c r="AI96" s="14">
        <v>0.124394184168012</v>
      </c>
      <c r="AJ96" s="14">
        <v>0.119426751592356</v>
      </c>
      <c r="AK96" s="14">
        <v>1.49486E-3</v>
      </c>
      <c r="AL96" s="14">
        <v>6.2935400000000002E-3</v>
      </c>
      <c r="AM96" s="14">
        <v>6.4620399999999996E-3</v>
      </c>
      <c r="AN96" s="14">
        <v>1.43312E-3</v>
      </c>
      <c r="AO96" s="14">
        <v>2.5668047018625399E-2</v>
      </c>
      <c r="AP96" s="14">
        <v>6.2083700000000004E-3</v>
      </c>
      <c r="AQ96" s="14">
        <v>1.9459679245007501E-2</v>
      </c>
    </row>
    <row r="97" spans="1:43">
      <c r="A97" s="14" t="s">
        <v>667</v>
      </c>
      <c r="B97" s="14" t="s">
        <v>257</v>
      </c>
      <c r="C97" s="14" t="s">
        <v>467</v>
      </c>
      <c r="D97">
        <v>520</v>
      </c>
      <c r="E97">
        <v>558</v>
      </c>
      <c r="F97" s="16">
        <f t="shared" si="23"/>
        <v>131.360355062222</v>
      </c>
      <c r="G97" s="16">
        <f t="shared" si="24"/>
        <v>84.941978630020259</v>
      </c>
      <c r="H97" s="16">
        <f t="shared" si="25"/>
        <v>26.268389419774252</v>
      </c>
      <c r="I97" s="16">
        <f t="shared" si="26"/>
        <v>3.8454157052662734</v>
      </c>
      <c r="J97" s="16">
        <f t="shared" si="27"/>
        <v>16.289576820000001</v>
      </c>
      <c r="K97" s="16">
        <f t="shared" si="28"/>
        <v>68.347349177330756</v>
      </c>
      <c r="L97" s="16">
        <f t="shared" si="29"/>
        <v>62.999999999999659</v>
      </c>
      <c r="M97" s="16">
        <f t="shared" si="30"/>
        <v>24.496199999999941</v>
      </c>
      <c r="N97" s="16">
        <f t="shared" si="31"/>
        <v>0.25301393999999999</v>
      </c>
      <c r="O97" s="16">
        <f t="shared" si="32"/>
        <v>117.65430000000001</v>
      </c>
      <c r="P97" s="16">
        <f t="shared" si="33"/>
        <v>6.2085923217549777</v>
      </c>
      <c r="Q97" s="16">
        <f t="shared" si="34"/>
        <v>4.0804363800000001</v>
      </c>
      <c r="R97" s="16">
        <f t="shared" si="35"/>
        <v>1.9832491800000001</v>
      </c>
      <c r="S97" s="16">
        <f t="shared" si="36"/>
        <v>20.26847394</v>
      </c>
      <c r="T97" s="16">
        <f t="shared" si="37"/>
        <v>6.1640139600000001</v>
      </c>
      <c r="U97" s="16">
        <f t="shared" si="38"/>
        <v>14.10445998</v>
      </c>
      <c r="V97">
        <f t="shared" si="39"/>
        <v>0.25261606742734999</v>
      </c>
      <c r="W97">
        <f t="shared" si="40"/>
        <v>0.29575326557035658</v>
      </c>
      <c r="X97">
        <f t="shared" si="41"/>
        <v>0.41187175358724537</v>
      </c>
      <c r="Y97">
        <f t="shared" si="42"/>
        <v>0.7076250191576019</v>
      </c>
      <c r="Z97" s="14">
        <v>0.29494999999999999</v>
      </c>
      <c r="AA97" s="14">
        <v>0.21085000000000001</v>
      </c>
      <c r="AB97" s="14">
        <v>4.3899999999999897E-2</v>
      </c>
      <c r="AD97">
        <f t="shared" si="43"/>
        <v>115.07077824222199</v>
      </c>
      <c r="AE97" s="14">
        <v>2.919279E-2</v>
      </c>
      <c r="AF97" s="14">
        <v>0.73817158385093096</v>
      </c>
      <c r="AG97" s="14">
        <v>0.228280279503105</v>
      </c>
      <c r="AH97" s="14">
        <v>3.3417830000000003E-2</v>
      </c>
      <c r="AI97" s="14">
        <v>0.122486288848263</v>
      </c>
      <c r="AJ97" s="14">
        <v>0.112903225806451</v>
      </c>
      <c r="AK97" s="14">
        <v>4.5343E-4</v>
      </c>
      <c r="AL97" s="14">
        <v>1.11265095371953E-2</v>
      </c>
      <c r="AM97" s="14">
        <v>7.3126099999999998E-3</v>
      </c>
      <c r="AN97" s="14">
        <v>3.5542099999999999E-3</v>
      </c>
      <c r="AO97" s="14">
        <v>3.6323429999999997E-2</v>
      </c>
      <c r="AP97" s="14">
        <v>1.104662E-2</v>
      </c>
      <c r="AQ97" s="14">
        <v>2.5276804662780199E-2</v>
      </c>
    </row>
    <row r="98" spans="1:43">
      <c r="A98" s="14" t="s">
        <v>674</v>
      </c>
      <c r="B98" s="14" t="s">
        <v>489</v>
      </c>
      <c r="C98" s="14" t="s">
        <v>648</v>
      </c>
      <c r="D98">
        <v>522</v>
      </c>
      <c r="E98">
        <v>581</v>
      </c>
      <c r="F98" s="16">
        <f t="shared" si="23"/>
        <v>143.4210251796172</v>
      </c>
      <c r="G98" s="16">
        <f t="shared" si="24"/>
        <v>115.71256151894855</v>
      </c>
      <c r="H98" s="16">
        <f t="shared" si="25"/>
        <v>22.520168185462733</v>
      </c>
      <c r="I98" s="16">
        <f t="shared" si="26"/>
        <v>3.8848480279963638</v>
      </c>
      <c r="J98" s="16">
        <f t="shared" si="27"/>
        <v>2.2156260699999999</v>
      </c>
      <c r="K98" s="16">
        <f t="shared" si="28"/>
        <v>65.564236111110986</v>
      </c>
      <c r="L98" s="16">
        <f t="shared" si="29"/>
        <v>44.000001499999996</v>
      </c>
      <c r="M98" s="16">
        <f t="shared" si="30"/>
        <v>46.189500000000002</v>
      </c>
      <c r="N98" s="16">
        <f t="shared" si="31"/>
        <v>0.97513877999999998</v>
      </c>
      <c r="O98" s="16">
        <f t="shared" si="32"/>
        <v>79.916549999999418</v>
      </c>
      <c r="P98" s="16">
        <f t="shared" si="33"/>
        <v>3.0234368500000004</v>
      </c>
      <c r="Q98" s="16">
        <f t="shared" si="34"/>
        <v>4.0347196399999996</v>
      </c>
      <c r="R98" s="16">
        <f t="shared" si="35"/>
        <v>4.0825591799999996</v>
      </c>
      <c r="S98" s="16">
        <f t="shared" si="36"/>
        <v>26.764537730000001</v>
      </c>
      <c r="T98" s="16">
        <f t="shared" si="37"/>
        <v>6.3221340700000006</v>
      </c>
      <c r="U98" s="16">
        <f t="shared" si="38"/>
        <v>20.44240366</v>
      </c>
      <c r="V98">
        <f t="shared" si="39"/>
        <v>0.27475292180003297</v>
      </c>
      <c r="W98">
        <f t="shared" si="40"/>
        <v>0.33776922106698198</v>
      </c>
      <c r="X98">
        <f t="shared" si="41"/>
        <v>0.34726043343651936</v>
      </c>
      <c r="Y98">
        <f t="shared" si="42"/>
        <v>0.68502965450350128</v>
      </c>
      <c r="Z98" s="14">
        <v>0.31809999999999999</v>
      </c>
      <c r="AA98" s="14">
        <v>0.13754999999999901</v>
      </c>
      <c r="AB98" s="14">
        <v>7.9500000000000001E-2</v>
      </c>
      <c r="AD98">
        <f t="shared" si="43"/>
        <v>141.20539910961719</v>
      </c>
      <c r="AE98" s="14">
        <v>3.8134699999999998E-3</v>
      </c>
      <c r="AF98" s="14">
        <v>0.81946272769018802</v>
      </c>
      <c r="AG98" s="14">
        <v>0.159485177815194</v>
      </c>
      <c r="AH98" s="14">
        <v>2.7512036030439401E-2</v>
      </c>
      <c r="AI98" s="14">
        <v>0.112847222222222</v>
      </c>
      <c r="AJ98" s="14">
        <v>7.5731499999999993E-2</v>
      </c>
      <c r="AK98" s="14">
        <v>1.6783799999999999E-3</v>
      </c>
      <c r="AL98" s="14">
        <v>5.2038500000000003E-3</v>
      </c>
      <c r="AM98" s="14">
        <v>6.9444399999999996E-3</v>
      </c>
      <c r="AN98" s="14">
        <v>7.0267799999999998E-3</v>
      </c>
      <c r="AO98" s="14">
        <v>4.6066330000000003E-2</v>
      </c>
      <c r="AP98" s="14">
        <v>1.0881470000000001E-2</v>
      </c>
      <c r="AQ98" s="14">
        <v>3.5184857602811398E-2</v>
      </c>
    </row>
    <row r="99" spans="1:43">
      <c r="A99" s="14" t="s">
        <v>679</v>
      </c>
      <c r="B99" s="14" t="s">
        <v>214</v>
      </c>
      <c r="C99" s="14" t="s">
        <v>20</v>
      </c>
      <c r="D99">
        <v>424</v>
      </c>
      <c r="E99">
        <v>502</v>
      </c>
      <c r="F99" s="16">
        <f t="shared" si="23"/>
        <v>99.644629699750951</v>
      </c>
      <c r="G99" s="16">
        <f t="shared" si="24"/>
        <v>55.550085147101235</v>
      </c>
      <c r="H99" s="16">
        <f t="shared" si="25"/>
        <v>18.583663204726413</v>
      </c>
      <c r="I99" s="16">
        <f t="shared" si="26"/>
        <v>1.8146428875220064</v>
      </c>
      <c r="J99" s="16">
        <f t="shared" si="27"/>
        <v>24.305454545454477</v>
      </c>
      <c r="K99" s="16">
        <f t="shared" si="28"/>
        <v>63.890909090908956</v>
      </c>
      <c r="L99" s="16">
        <f t="shared" si="29"/>
        <v>63.999999999999773</v>
      </c>
      <c r="M99" s="16">
        <f t="shared" si="30"/>
        <v>67.920600000000007</v>
      </c>
      <c r="N99" s="16">
        <f t="shared" si="31"/>
        <v>6.7391774891774361</v>
      </c>
      <c r="O99" s="16">
        <f t="shared" si="32"/>
        <v>153.3108</v>
      </c>
      <c r="P99" s="16">
        <f t="shared" si="33"/>
        <v>6.9890909090908577</v>
      </c>
      <c r="Q99" s="16">
        <f t="shared" si="34"/>
        <v>3.0424262199999998</v>
      </c>
      <c r="R99" s="16">
        <f t="shared" si="35"/>
        <v>0</v>
      </c>
      <c r="S99" s="16">
        <f t="shared" si="36"/>
        <v>3.1464305799999996</v>
      </c>
      <c r="T99" s="16">
        <f t="shared" si="37"/>
        <v>1.0538737</v>
      </c>
      <c r="U99" s="16">
        <f t="shared" si="38"/>
        <v>2.0925568799999996</v>
      </c>
      <c r="V99">
        <f t="shared" si="39"/>
        <v>0.23501091910318619</v>
      </c>
      <c r="W99">
        <f t="shared" si="40"/>
        <v>0.36135679045793062</v>
      </c>
      <c r="X99">
        <f t="shared" si="41"/>
        <v>0.46080933585126882</v>
      </c>
      <c r="Y99">
        <f t="shared" si="42"/>
        <v>0.8221661263091995</v>
      </c>
      <c r="Z99" s="14">
        <v>0.30204999999999999</v>
      </c>
      <c r="AA99" s="14">
        <v>0.3054</v>
      </c>
      <c r="AB99" s="14">
        <v>0.1353</v>
      </c>
      <c r="AD99">
        <f t="shared" si="43"/>
        <v>75.33917515429647</v>
      </c>
      <c r="AE99" s="14">
        <v>4.8417240130387403E-2</v>
      </c>
      <c r="AF99" s="14">
        <v>0.73733333333333295</v>
      </c>
      <c r="AG99" s="14">
        <v>0.24666666666666601</v>
      </c>
      <c r="AH99" s="14">
        <v>2.40863121185701E-2</v>
      </c>
      <c r="AI99" s="14">
        <v>0.12727272727272701</v>
      </c>
      <c r="AJ99" s="14">
        <v>0.127490039840637</v>
      </c>
      <c r="AK99" s="14">
        <v>1.34246563529431E-2</v>
      </c>
      <c r="AL99" s="14">
        <v>1.3922491850778601E-2</v>
      </c>
      <c r="AM99" s="14">
        <v>6.0606100000000001E-3</v>
      </c>
      <c r="AN99" s="14">
        <v>0</v>
      </c>
      <c r="AO99" s="14">
        <v>6.2677899999999996E-3</v>
      </c>
      <c r="AP99" s="14">
        <v>2.0993499999999998E-3</v>
      </c>
      <c r="AQ99" s="14">
        <v>4.1684399999999998E-3</v>
      </c>
    </row>
    <row r="100" spans="1:43">
      <c r="A100" s="14" t="s">
        <v>686</v>
      </c>
      <c r="B100" s="14" t="s">
        <v>48</v>
      </c>
      <c r="C100" s="14" t="s">
        <v>20</v>
      </c>
      <c r="D100">
        <v>576</v>
      </c>
      <c r="E100">
        <v>645</v>
      </c>
      <c r="F100" s="16">
        <f t="shared" si="23"/>
        <v>152.46930720847448</v>
      </c>
      <c r="G100" s="16">
        <f t="shared" si="24"/>
        <v>120.50058320619318</v>
      </c>
      <c r="H100" s="16">
        <f t="shared" si="25"/>
        <v>24.108684991309556</v>
      </c>
      <c r="I100" s="16">
        <f t="shared" si="26"/>
        <v>2.7971437014287872</v>
      </c>
      <c r="J100" s="16">
        <f t="shared" si="27"/>
        <v>4.5224626499999996</v>
      </c>
      <c r="K100" s="16">
        <f t="shared" si="28"/>
        <v>70.436817472698266</v>
      </c>
      <c r="L100" s="16">
        <f t="shared" si="29"/>
        <v>53.999999850000002</v>
      </c>
      <c r="M100" s="16">
        <f t="shared" si="30"/>
        <v>56.953500000000005</v>
      </c>
      <c r="N100" s="16">
        <f t="shared" si="31"/>
        <v>0.97838115000000003</v>
      </c>
      <c r="O100" s="16">
        <f t="shared" si="32"/>
        <v>58.759500000000003</v>
      </c>
      <c r="P100" s="16">
        <f t="shared" si="33"/>
        <v>4.9280838000000005</v>
      </c>
      <c r="Q100" s="16">
        <f t="shared" si="34"/>
        <v>5.0311999500000004</v>
      </c>
      <c r="R100" s="16">
        <f t="shared" si="35"/>
        <v>2.9909746500000001</v>
      </c>
      <c r="S100" s="16">
        <f t="shared" si="36"/>
        <v>18.107142857142808</v>
      </c>
      <c r="T100" s="16">
        <f t="shared" si="37"/>
        <v>4.8358616999999997</v>
      </c>
      <c r="U100" s="16">
        <f t="shared" si="38"/>
        <v>13.271281157142809</v>
      </c>
      <c r="V100">
        <f t="shared" si="39"/>
        <v>0.26470365834804599</v>
      </c>
      <c r="W100">
        <f t="shared" si="40"/>
        <v>0.33699798709461692</v>
      </c>
      <c r="X100">
        <f t="shared" si="41"/>
        <v>0.33888756057829628</v>
      </c>
      <c r="Y100">
        <f t="shared" si="42"/>
        <v>0.6758855476729132</v>
      </c>
      <c r="Z100" s="14">
        <v>0.285749999999999</v>
      </c>
      <c r="AA100" s="14">
        <v>9.11E-2</v>
      </c>
      <c r="AB100" s="14">
        <v>8.8300000000000003E-2</v>
      </c>
      <c r="AD100">
        <f t="shared" si="43"/>
        <v>147.94684455847448</v>
      </c>
      <c r="AE100" s="14">
        <v>7.01157E-3</v>
      </c>
      <c r="AF100" s="14">
        <v>0.814485659128516</v>
      </c>
      <c r="AG100" s="14">
        <v>0.162955046883618</v>
      </c>
      <c r="AH100" s="14">
        <v>1.8906409999999998E-2</v>
      </c>
      <c r="AI100" s="14">
        <v>0.10920436817472599</v>
      </c>
      <c r="AJ100" s="14">
        <v>8.3720929999999999E-2</v>
      </c>
      <c r="AK100" s="14">
        <v>1.51687E-3</v>
      </c>
      <c r="AL100" s="14">
        <v>7.6404400000000001E-3</v>
      </c>
      <c r="AM100" s="14">
        <v>7.8003100000000004E-3</v>
      </c>
      <c r="AN100" s="14">
        <v>4.6371700000000004E-3</v>
      </c>
      <c r="AO100" s="14">
        <v>2.80730897009966E-2</v>
      </c>
      <c r="AP100" s="14">
        <v>7.4974600000000001E-3</v>
      </c>
      <c r="AQ100" s="14">
        <v>2.05756345291228E-2</v>
      </c>
    </row>
    <row r="101" spans="1:43">
      <c r="A101" s="14" t="s">
        <v>691</v>
      </c>
      <c r="B101" s="14" t="s">
        <v>692</v>
      </c>
      <c r="C101" s="14" t="s">
        <v>87</v>
      </c>
      <c r="D101">
        <v>469</v>
      </c>
      <c r="E101">
        <v>538</v>
      </c>
      <c r="F101" s="16">
        <f t="shared" si="23"/>
        <v>125.22149140581685</v>
      </c>
      <c r="G101" s="16">
        <f t="shared" si="24"/>
        <v>84.421209370805727</v>
      </c>
      <c r="H101" s="16">
        <f t="shared" si="25"/>
        <v>22.426210413124835</v>
      </c>
      <c r="I101" s="16">
        <f t="shared" si="26"/>
        <v>1.0181043874866496</v>
      </c>
      <c r="J101" s="16">
        <f t="shared" si="27"/>
        <v>17.43881453154869</v>
      </c>
      <c r="K101" s="16">
        <f t="shared" si="28"/>
        <v>67.892925430210141</v>
      </c>
      <c r="L101" s="16">
        <f t="shared" si="29"/>
        <v>64.999997919999998</v>
      </c>
      <c r="M101" s="16">
        <f t="shared" si="30"/>
        <v>51.755599999999994</v>
      </c>
      <c r="N101" s="16">
        <f t="shared" si="31"/>
        <v>0.92568280000000003</v>
      </c>
      <c r="O101" s="16">
        <f t="shared" si="32"/>
        <v>106.17429999999946</v>
      </c>
      <c r="P101" s="16">
        <f t="shared" si="33"/>
        <v>9.4323135755257841</v>
      </c>
      <c r="Q101" s="16">
        <f t="shared" si="34"/>
        <v>3.0860433199999999</v>
      </c>
      <c r="R101" s="16">
        <f t="shared" si="35"/>
        <v>0.89999867999999994</v>
      </c>
      <c r="S101" s="16">
        <f t="shared" si="36"/>
        <v>8.9879367720465044</v>
      </c>
      <c r="T101" s="16">
        <f t="shared" si="37"/>
        <v>2.7934358799999996</v>
      </c>
      <c r="U101" s="16">
        <f t="shared" si="38"/>
        <v>6.1945008920465048</v>
      </c>
      <c r="V101">
        <f t="shared" si="39"/>
        <v>0.26699678338127258</v>
      </c>
      <c r="W101">
        <f t="shared" si="40"/>
        <v>0.35698695108640244</v>
      </c>
      <c r="X101">
        <f t="shared" si="41"/>
        <v>0.43088102662198319</v>
      </c>
      <c r="Y101">
        <f t="shared" si="42"/>
        <v>0.78786797770838568</v>
      </c>
      <c r="Z101" s="14">
        <v>0.30930000000000002</v>
      </c>
      <c r="AA101" s="14">
        <v>0.197349999999999</v>
      </c>
      <c r="AB101" s="14">
        <v>9.6199999999999994E-2</v>
      </c>
      <c r="AD101">
        <f t="shared" si="43"/>
        <v>107.78267687426816</v>
      </c>
      <c r="AE101" s="14">
        <v>3.2414153404365598E-2</v>
      </c>
      <c r="AF101" s="14">
        <v>0.78325396825396798</v>
      </c>
      <c r="AG101" s="14">
        <v>0.20806878306878299</v>
      </c>
      <c r="AH101" s="14">
        <v>9.4459000000000001E-3</v>
      </c>
      <c r="AI101" s="14">
        <v>0.12619502868068799</v>
      </c>
      <c r="AJ101" s="14">
        <v>0.12081784</v>
      </c>
      <c r="AK101" s="14">
        <v>1.7206000000000001E-3</v>
      </c>
      <c r="AL101" s="14">
        <v>1.7532181367148299E-2</v>
      </c>
      <c r="AM101" s="14">
        <v>5.7361399999999998E-3</v>
      </c>
      <c r="AN101" s="14">
        <v>1.67286E-3</v>
      </c>
      <c r="AO101" s="14">
        <v>1.6706202178525101E-2</v>
      </c>
      <c r="AP101" s="14">
        <v>5.1922599999999998E-3</v>
      </c>
      <c r="AQ101" s="14">
        <v>1.1513945034595199E-2</v>
      </c>
    </row>
    <row r="102" spans="1:43">
      <c r="A102" s="14" t="s">
        <v>697</v>
      </c>
      <c r="B102" s="14" t="s">
        <v>123</v>
      </c>
      <c r="C102" s="14" t="s">
        <v>631</v>
      </c>
      <c r="D102">
        <v>463</v>
      </c>
      <c r="E102">
        <v>522</v>
      </c>
      <c r="F102" s="16">
        <f t="shared" si="23"/>
        <v>113.62684757418513</v>
      </c>
      <c r="G102" s="16">
        <f t="shared" si="24"/>
        <v>64.969833452474518</v>
      </c>
      <c r="H102" s="16">
        <f t="shared" si="25"/>
        <v>23.455285612657086</v>
      </c>
      <c r="I102" s="16">
        <f t="shared" si="26"/>
        <v>0.40333077784579219</v>
      </c>
      <c r="J102" s="16">
        <f t="shared" si="27"/>
        <v>24.91760214</v>
      </c>
      <c r="K102" s="16">
        <f t="shared" si="28"/>
        <v>65.628626692455995</v>
      </c>
      <c r="L102" s="16">
        <f t="shared" si="29"/>
        <v>69.999999999999702</v>
      </c>
      <c r="M102" s="16">
        <f t="shared" si="30"/>
        <v>50.738399999999999</v>
      </c>
      <c r="N102" s="16">
        <f t="shared" si="31"/>
        <v>5.0305818600000007</v>
      </c>
      <c r="O102" s="16">
        <f t="shared" si="32"/>
        <v>97.953299999999487</v>
      </c>
      <c r="P102" s="16">
        <f t="shared" si="33"/>
        <v>7.0609284332687885</v>
      </c>
      <c r="Q102" s="16">
        <f t="shared" si="34"/>
        <v>4.03868268</v>
      </c>
      <c r="R102" s="16">
        <f t="shared" si="35"/>
        <v>0.90000108000000001</v>
      </c>
      <c r="S102" s="16">
        <f t="shared" si="36"/>
        <v>2.1991076999999999</v>
      </c>
      <c r="T102" s="16">
        <f t="shared" si="37"/>
        <v>1.00290816</v>
      </c>
      <c r="U102" s="16">
        <f t="shared" si="38"/>
        <v>1.1961995399999998</v>
      </c>
      <c r="V102">
        <f t="shared" si="39"/>
        <v>0.24541435761163097</v>
      </c>
      <c r="W102">
        <f t="shared" si="40"/>
        <v>0.33751754198690265</v>
      </c>
      <c r="X102">
        <f t="shared" si="41"/>
        <v>0.45952657790783163</v>
      </c>
      <c r="Y102">
        <f t="shared" si="42"/>
        <v>0.79704411989473423</v>
      </c>
      <c r="Z102" s="14">
        <v>0.25774999999999998</v>
      </c>
      <c r="AA102" s="14">
        <v>0.18764999999999901</v>
      </c>
      <c r="AB102" s="14">
        <v>9.7199999999999995E-2</v>
      </c>
      <c r="AD102">
        <f t="shared" si="43"/>
        <v>88.709245434185135</v>
      </c>
      <c r="AE102" s="14">
        <v>4.7734869999999999E-2</v>
      </c>
      <c r="AF102" s="14">
        <v>0.73239077995175506</v>
      </c>
      <c r="AG102" s="14">
        <v>0.26440632538193498</v>
      </c>
      <c r="AH102" s="14">
        <v>4.5466600000000001E-3</v>
      </c>
      <c r="AI102" s="14">
        <v>0.125725338491295</v>
      </c>
      <c r="AJ102" s="14">
        <v>0.13409961685823699</v>
      </c>
      <c r="AK102" s="14">
        <v>9.6371300000000007E-3</v>
      </c>
      <c r="AL102" s="14">
        <v>1.3526682822354001E-2</v>
      </c>
      <c r="AM102" s="14">
        <v>7.7369400000000003E-3</v>
      </c>
      <c r="AN102" s="14">
        <v>1.7241400000000001E-3</v>
      </c>
      <c r="AO102" s="14">
        <v>4.2128499999999998E-3</v>
      </c>
      <c r="AP102" s="14">
        <v>1.92128E-3</v>
      </c>
      <c r="AQ102" s="14">
        <v>2.2915700000000002E-3</v>
      </c>
    </row>
    <row r="103" spans="1:43">
      <c r="A103" s="14" t="s">
        <v>703</v>
      </c>
      <c r="B103" s="14" t="s">
        <v>107</v>
      </c>
      <c r="C103" s="14" t="s">
        <v>87</v>
      </c>
      <c r="D103">
        <v>492</v>
      </c>
      <c r="E103">
        <v>560</v>
      </c>
      <c r="F103" s="16">
        <f t="shared" si="23"/>
        <v>124.10412708856001</v>
      </c>
      <c r="G103" s="16">
        <f t="shared" si="24"/>
        <v>80.696415275461007</v>
      </c>
      <c r="H103" s="16">
        <f t="shared" si="25"/>
        <v>25.240752212073616</v>
      </c>
      <c r="I103" s="16">
        <f t="shared" si="26"/>
        <v>1.2627261199384274</v>
      </c>
      <c r="J103" s="16">
        <f t="shared" si="27"/>
        <v>17.842350400000001</v>
      </c>
      <c r="K103" s="16">
        <f t="shared" si="28"/>
        <v>66.761565836298473</v>
      </c>
      <c r="L103" s="16">
        <f t="shared" si="29"/>
        <v>63.999999999999844</v>
      </c>
      <c r="M103" s="16">
        <f t="shared" si="30"/>
        <v>60.871999999999446</v>
      </c>
      <c r="N103" s="16">
        <f t="shared" si="31"/>
        <v>1.9830327999999999</v>
      </c>
      <c r="O103" s="16">
        <f t="shared" si="32"/>
        <v>88.256</v>
      </c>
      <c r="P103" s="16">
        <f t="shared" si="33"/>
        <v>3.8871896000000001</v>
      </c>
      <c r="Q103" s="16">
        <f t="shared" si="34"/>
        <v>4.982208</v>
      </c>
      <c r="R103" s="16">
        <f t="shared" si="35"/>
        <v>0</v>
      </c>
      <c r="S103" s="16">
        <f t="shared" si="36"/>
        <v>0.99734879999999992</v>
      </c>
      <c r="T103" s="16">
        <f t="shared" si="37"/>
        <v>0</v>
      </c>
      <c r="U103" s="16">
        <f t="shared" si="38"/>
        <v>0.99734879999999992</v>
      </c>
      <c r="V103">
        <f t="shared" si="39"/>
        <v>0.25224416074910572</v>
      </c>
      <c r="W103">
        <f t="shared" si="40"/>
        <v>0.3408961311967077</v>
      </c>
      <c r="X103">
        <f t="shared" si="41"/>
        <v>0.41938109686874703</v>
      </c>
      <c r="Y103">
        <f t="shared" si="42"/>
        <v>0.76027722806545472</v>
      </c>
      <c r="Z103" s="14">
        <v>0.27184999999999998</v>
      </c>
      <c r="AA103" s="14">
        <v>0.15759999999999999</v>
      </c>
      <c r="AB103" s="14">
        <v>0.10869999999999901</v>
      </c>
      <c r="AD103">
        <f t="shared" si="43"/>
        <v>106.26177668856</v>
      </c>
      <c r="AE103" s="14">
        <v>3.1861340000000002E-2</v>
      </c>
      <c r="AF103" s="14">
        <v>0.759411500449236</v>
      </c>
      <c r="AG103" s="14">
        <v>0.23753369272237099</v>
      </c>
      <c r="AH103" s="14">
        <v>1.1883164005805399E-2</v>
      </c>
      <c r="AI103" s="14">
        <v>0.11921708185053299</v>
      </c>
      <c r="AJ103" s="14">
        <v>0.114285714285714</v>
      </c>
      <c r="AK103" s="14">
        <v>3.54113E-3</v>
      </c>
      <c r="AL103" s="14">
        <v>6.9414100000000003E-3</v>
      </c>
      <c r="AM103" s="14">
        <v>8.8967999999999998E-3</v>
      </c>
      <c r="AN103" s="14">
        <v>0</v>
      </c>
      <c r="AO103" s="14">
        <v>1.7809799999999999E-3</v>
      </c>
      <c r="AP103" s="14">
        <v>0</v>
      </c>
      <c r="AQ103" s="14">
        <v>1.7809799999999999E-3</v>
      </c>
    </row>
    <row r="104" spans="1:43">
      <c r="A104" s="14" t="s">
        <v>711</v>
      </c>
      <c r="B104" s="14" t="s">
        <v>692</v>
      </c>
      <c r="C104" s="14" t="s">
        <v>391</v>
      </c>
      <c r="D104">
        <v>525</v>
      </c>
      <c r="E104">
        <v>574</v>
      </c>
      <c r="F104" s="16">
        <f t="shared" si="23"/>
        <v>139.32466840299674</v>
      </c>
      <c r="G104" s="16">
        <f t="shared" si="24"/>
        <v>92.95815878335091</v>
      </c>
      <c r="H104" s="16">
        <f t="shared" si="25"/>
        <v>25.310547377479207</v>
      </c>
      <c r="I104" s="16">
        <f t="shared" si="26"/>
        <v>0.99968677379681792</v>
      </c>
      <c r="J104" s="16">
        <f t="shared" si="27"/>
        <v>20.126316979999999</v>
      </c>
      <c r="K104" s="16">
        <f t="shared" si="28"/>
        <v>64.449122807016991</v>
      </c>
      <c r="L104" s="16">
        <f t="shared" si="29"/>
        <v>72.999999799999998</v>
      </c>
      <c r="M104" s="16">
        <f t="shared" si="30"/>
        <v>39.2042</v>
      </c>
      <c r="N104" s="16">
        <f t="shared" si="31"/>
        <v>0.25105038000000002</v>
      </c>
      <c r="O104" s="16">
        <f t="shared" si="32"/>
        <v>80.733099999999993</v>
      </c>
      <c r="P104" s="16">
        <f t="shared" si="33"/>
        <v>4.0252610999999998</v>
      </c>
      <c r="Q104" s="16">
        <f t="shared" si="34"/>
        <v>5.7903508771929166</v>
      </c>
      <c r="R104" s="16">
        <f t="shared" si="35"/>
        <v>0.99535043999999995</v>
      </c>
      <c r="S104" s="16">
        <f t="shared" si="36"/>
        <v>5.9302350799999992</v>
      </c>
      <c r="T104" s="16">
        <f t="shared" si="37"/>
        <v>2.0304963000000003</v>
      </c>
      <c r="U104" s="16">
        <f t="shared" si="38"/>
        <v>3.899738779999999</v>
      </c>
      <c r="V104">
        <f t="shared" si="39"/>
        <v>0.26538032076761281</v>
      </c>
      <c r="W104">
        <f t="shared" si="40"/>
        <v>0.32057271372190327</v>
      </c>
      <c r="X104">
        <f t="shared" si="41"/>
        <v>0.43254015577085675</v>
      </c>
      <c r="Y104">
        <f t="shared" si="42"/>
        <v>0.75311286949276002</v>
      </c>
      <c r="Z104" s="14">
        <v>0.27725</v>
      </c>
      <c r="AA104" s="14">
        <v>0.14065</v>
      </c>
      <c r="AB104" s="14">
        <v>6.83E-2</v>
      </c>
      <c r="AD104">
        <f t="shared" si="43"/>
        <v>119.19835142299674</v>
      </c>
      <c r="AE104" s="14">
        <v>3.5063270000000001E-2</v>
      </c>
      <c r="AF104" s="14">
        <v>0.77986111111111101</v>
      </c>
      <c r="AG104" s="14">
        <v>0.212339743589743</v>
      </c>
      <c r="AH104" s="14">
        <v>8.3867500000000001E-3</v>
      </c>
      <c r="AI104" s="14">
        <v>0.112280701754385</v>
      </c>
      <c r="AJ104" s="14">
        <v>0.1271777</v>
      </c>
      <c r="AK104" s="14">
        <v>4.3737000000000002E-4</v>
      </c>
      <c r="AL104" s="14">
        <v>7.0126499999999996E-3</v>
      </c>
      <c r="AM104" s="14">
        <v>1.00877192982455E-2</v>
      </c>
      <c r="AN104" s="14">
        <v>1.7340599999999999E-3</v>
      </c>
      <c r="AO104" s="14">
        <v>1.0331419999999999E-2</v>
      </c>
      <c r="AP104" s="14">
        <v>3.5374500000000001E-3</v>
      </c>
      <c r="AQ104" s="14">
        <v>6.7939599999999999E-3</v>
      </c>
    </row>
    <row r="105" spans="1:43">
      <c r="A105" s="14" t="s">
        <v>716</v>
      </c>
      <c r="B105" s="14" t="s">
        <v>200</v>
      </c>
      <c r="C105" s="14" t="s">
        <v>124</v>
      </c>
      <c r="D105">
        <v>505</v>
      </c>
      <c r="E105">
        <v>564</v>
      </c>
      <c r="F105" s="16">
        <f t="shared" si="23"/>
        <v>115.33011325664</v>
      </c>
      <c r="G105" s="16">
        <f t="shared" si="24"/>
        <v>66.608963232553421</v>
      </c>
      <c r="H105" s="16">
        <f t="shared" si="25"/>
        <v>20.718836109499978</v>
      </c>
      <c r="I105" s="16">
        <f t="shared" si="26"/>
        <v>0.99666540094490041</v>
      </c>
      <c r="J105" s="16">
        <f t="shared" si="27"/>
        <v>26.799999719999999</v>
      </c>
      <c r="K105" s="16">
        <f t="shared" si="28"/>
        <v>66.999999999999574</v>
      </c>
      <c r="L105" s="16">
        <f t="shared" si="29"/>
        <v>76.99999999999973</v>
      </c>
      <c r="M105" s="16">
        <f t="shared" si="30"/>
        <v>46.248000000000005</v>
      </c>
      <c r="N105" s="16">
        <f t="shared" si="31"/>
        <v>1.77185112</v>
      </c>
      <c r="O105" s="16">
        <f t="shared" si="32"/>
        <v>146.58360000000002</v>
      </c>
      <c r="P105" s="16">
        <f t="shared" si="33"/>
        <v>7.0999986000000002</v>
      </c>
      <c r="Q105" s="16">
        <f t="shared" si="34"/>
        <v>5.0000010000000001</v>
      </c>
      <c r="R105" s="16">
        <f t="shared" si="35"/>
        <v>0</v>
      </c>
      <c r="S105" s="16">
        <f t="shared" si="36"/>
        <v>2.96092668</v>
      </c>
      <c r="T105" s="16">
        <f t="shared" si="37"/>
        <v>1.0195992</v>
      </c>
      <c r="U105" s="16">
        <f t="shared" si="38"/>
        <v>1.94132748</v>
      </c>
      <c r="V105">
        <f t="shared" si="39"/>
        <v>0.22837646189433664</v>
      </c>
      <c r="W105">
        <f t="shared" si="40"/>
        <v>0.30545501621326798</v>
      </c>
      <c r="X105">
        <f t="shared" si="41"/>
        <v>0.43215174363245168</v>
      </c>
      <c r="Y105">
        <f t="shared" si="42"/>
        <v>0.73760675984571966</v>
      </c>
      <c r="Z105" s="14">
        <v>0.26300000000000001</v>
      </c>
      <c r="AA105" s="14">
        <v>0.25990000000000002</v>
      </c>
      <c r="AB105" s="14">
        <v>8.2000000000000003E-2</v>
      </c>
      <c r="AD105">
        <f t="shared" si="43"/>
        <v>88.530113536640002</v>
      </c>
      <c r="AE105" s="14">
        <v>4.7517730000000001E-2</v>
      </c>
      <c r="AF105" s="14">
        <v>0.75238764044943796</v>
      </c>
      <c r="AG105" s="14">
        <v>0.234031509526135</v>
      </c>
      <c r="AH105" s="14">
        <v>1.1257925254240299E-2</v>
      </c>
      <c r="AI105" s="14">
        <v>0.11879432624113399</v>
      </c>
      <c r="AJ105" s="14">
        <v>0.13652482269503499</v>
      </c>
      <c r="AK105" s="14">
        <v>3.1415800000000002E-3</v>
      </c>
      <c r="AL105" s="14">
        <v>1.258865E-2</v>
      </c>
      <c r="AM105" s="14">
        <v>8.8652499999999999E-3</v>
      </c>
      <c r="AN105" s="14">
        <v>0</v>
      </c>
      <c r="AO105" s="14">
        <v>5.2498700000000002E-3</v>
      </c>
      <c r="AP105" s="14">
        <v>1.8078E-3</v>
      </c>
      <c r="AQ105" s="14">
        <v>3.4420700000000002E-3</v>
      </c>
    </row>
    <row r="106" spans="1:43">
      <c r="A106" s="14" t="s">
        <v>722</v>
      </c>
      <c r="B106" s="14" t="s">
        <v>404</v>
      </c>
      <c r="C106" s="14" t="s">
        <v>20</v>
      </c>
      <c r="D106">
        <v>565</v>
      </c>
      <c r="E106">
        <v>632</v>
      </c>
      <c r="F106" s="16">
        <f t="shared" si="23"/>
        <v>144.31226163049217</v>
      </c>
      <c r="G106" s="16">
        <f t="shared" si="24"/>
        <v>95.084298985421611</v>
      </c>
      <c r="H106" s="16">
        <f t="shared" si="25"/>
        <v>28.842682376189863</v>
      </c>
      <c r="I106" s="16">
        <f t="shared" si="26"/>
        <v>3.8885622827914794</v>
      </c>
      <c r="J106" s="16">
        <f t="shared" si="27"/>
        <v>17.148574239999999</v>
      </c>
      <c r="K106" s="16">
        <f t="shared" si="28"/>
        <v>75.23809584</v>
      </c>
      <c r="L106" s="16">
        <f t="shared" si="29"/>
        <v>73.999999999999545</v>
      </c>
      <c r="M106" s="16">
        <f t="shared" si="30"/>
        <v>55.868800000000007</v>
      </c>
      <c r="N106" s="16">
        <f t="shared" si="31"/>
        <v>1.9730028799999999</v>
      </c>
      <c r="O106" s="16">
        <f t="shared" si="32"/>
        <v>153.79719999999938</v>
      </c>
      <c r="P106" s="16">
        <f t="shared" si="33"/>
        <v>8.0228544799999995</v>
      </c>
      <c r="Q106" s="16">
        <f t="shared" si="34"/>
        <v>5.0158743200000009</v>
      </c>
      <c r="R106" s="16">
        <f t="shared" si="35"/>
        <v>0</v>
      </c>
      <c r="S106" s="16">
        <f t="shared" si="36"/>
        <v>5.2220516799999999</v>
      </c>
      <c r="T106" s="16">
        <f t="shared" si="37"/>
        <v>2.021452</v>
      </c>
      <c r="U106" s="16">
        <f t="shared" si="38"/>
        <v>3.2005996799999998</v>
      </c>
      <c r="V106">
        <f t="shared" si="39"/>
        <v>0.2554199320893667</v>
      </c>
      <c r="W106">
        <f t="shared" si="40"/>
        <v>0.33475248710471966</v>
      </c>
      <c r="X106">
        <f t="shared" si="41"/>
        <v>0.41244185406402795</v>
      </c>
      <c r="Y106">
        <f t="shared" si="42"/>
        <v>0.74719434116874761</v>
      </c>
      <c r="Z106" s="14">
        <v>0.31864999999999999</v>
      </c>
      <c r="AA106" s="14">
        <v>0.24334999999999901</v>
      </c>
      <c r="AB106" s="14">
        <v>8.8400000000000006E-2</v>
      </c>
      <c r="AD106">
        <f t="shared" si="43"/>
        <v>127.16368739049219</v>
      </c>
      <c r="AE106" s="14">
        <v>2.7133819999999999E-2</v>
      </c>
      <c r="AF106" s="14">
        <v>0.74773153355830502</v>
      </c>
      <c r="AG106" s="14">
        <v>0.22681539807524001</v>
      </c>
      <c r="AH106" s="14">
        <v>3.0579187837252199E-2</v>
      </c>
      <c r="AI106" s="14">
        <v>0.11904762000000001</v>
      </c>
      <c r="AJ106" s="14">
        <v>0.117088607594936</v>
      </c>
      <c r="AK106" s="14">
        <v>3.1218399999999999E-3</v>
      </c>
      <c r="AL106" s="14">
        <v>1.269439E-2</v>
      </c>
      <c r="AM106" s="14">
        <v>7.9365100000000008E-3</v>
      </c>
      <c r="AN106" s="14">
        <v>0</v>
      </c>
      <c r="AO106" s="14">
        <v>8.2627399999999993E-3</v>
      </c>
      <c r="AP106" s="14">
        <v>3.1985E-3</v>
      </c>
      <c r="AQ106" s="14">
        <v>5.0642400000000002E-3</v>
      </c>
    </row>
    <row r="107" spans="1:43">
      <c r="A107" s="14" t="s">
        <v>727</v>
      </c>
      <c r="B107" s="14" t="s">
        <v>66</v>
      </c>
      <c r="C107" s="14" t="s">
        <v>20</v>
      </c>
      <c r="D107">
        <v>509</v>
      </c>
      <c r="E107">
        <v>589</v>
      </c>
      <c r="F107" s="16">
        <f t="shared" si="23"/>
        <v>126.54748539551001</v>
      </c>
      <c r="G107" s="16">
        <f t="shared" si="24"/>
        <v>83.45529938568545</v>
      </c>
      <c r="H107" s="16">
        <f t="shared" si="25"/>
        <v>23.954801308061747</v>
      </c>
      <c r="I107" s="16">
        <f t="shared" si="26"/>
        <v>0.97865371390072642</v>
      </c>
      <c r="J107" s="16">
        <f t="shared" si="27"/>
        <v>19.225431199999999</v>
      </c>
      <c r="K107" s="16">
        <f t="shared" si="28"/>
        <v>74.389273356401219</v>
      </c>
      <c r="L107" s="16">
        <f t="shared" si="29"/>
        <v>65.999999999999631</v>
      </c>
      <c r="M107" s="16">
        <f t="shared" si="30"/>
        <v>65.555699999999405</v>
      </c>
      <c r="N107" s="16">
        <f t="shared" si="31"/>
        <v>0.93880120999999994</v>
      </c>
      <c r="O107" s="16">
        <f t="shared" si="32"/>
        <v>95.62415</v>
      </c>
      <c r="P107" s="16">
        <f t="shared" si="33"/>
        <v>8.2370236400000003</v>
      </c>
      <c r="Q107" s="16">
        <f t="shared" si="34"/>
        <v>4.07612738</v>
      </c>
      <c r="R107" s="16">
        <f t="shared" si="35"/>
        <v>0.99145780999999999</v>
      </c>
      <c r="S107" s="16">
        <f t="shared" si="36"/>
        <v>8.8078416149068133</v>
      </c>
      <c r="T107" s="16">
        <f t="shared" si="37"/>
        <v>2.2374814199999999</v>
      </c>
      <c r="U107" s="16">
        <f t="shared" si="38"/>
        <v>6.5703601949068133</v>
      </c>
      <c r="V107">
        <f t="shared" si="39"/>
        <v>0.2486198141365619</v>
      </c>
      <c r="W107">
        <f t="shared" si="40"/>
        <v>0.34728987342783108</v>
      </c>
      <c r="X107">
        <f t="shared" si="41"/>
        <v>0.41493632208941278</v>
      </c>
      <c r="Y107">
        <f t="shared" si="42"/>
        <v>0.7622261955172438</v>
      </c>
      <c r="Z107" s="14">
        <v>0.26950000000000002</v>
      </c>
      <c r="AA107" s="14">
        <v>0.16234999999999999</v>
      </c>
      <c r="AB107" s="14">
        <v>0.111299999999999</v>
      </c>
      <c r="AD107">
        <f t="shared" si="43"/>
        <v>107.32205419551001</v>
      </c>
      <c r="AE107" s="14">
        <v>3.2640799999999998E-2</v>
      </c>
      <c r="AF107" s="14">
        <v>0.77761556104445995</v>
      </c>
      <c r="AG107" s="14">
        <v>0.223204834156668</v>
      </c>
      <c r="AH107" s="14">
        <v>9.1188499999999995E-3</v>
      </c>
      <c r="AI107" s="14">
        <v>0.12629757785467099</v>
      </c>
      <c r="AJ107" s="14">
        <v>0.112054329371816</v>
      </c>
      <c r="AK107" s="14">
        <v>1.5938899999999999E-3</v>
      </c>
      <c r="AL107" s="14">
        <v>1.3984760000000001E-2</v>
      </c>
      <c r="AM107" s="14">
        <v>6.92042E-3</v>
      </c>
      <c r="AN107" s="14">
        <v>1.68329E-3</v>
      </c>
      <c r="AO107" s="14">
        <v>1.49538906874479E-2</v>
      </c>
      <c r="AP107" s="14">
        <v>3.7987799999999999E-3</v>
      </c>
      <c r="AQ107" s="14">
        <v>1.1155114572190801E-2</v>
      </c>
    </row>
    <row r="108" spans="1:43">
      <c r="A108" s="14" t="s">
        <v>735</v>
      </c>
      <c r="B108" s="14" t="s">
        <v>376</v>
      </c>
      <c r="C108" s="14" t="s">
        <v>20</v>
      </c>
      <c r="D108">
        <v>518</v>
      </c>
      <c r="E108">
        <v>563</v>
      </c>
      <c r="F108" s="16">
        <f t="shared" si="23"/>
        <v>133.14140015047712</v>
      </c>
      <c r="G108" s="16">
        <f t="shared" si="24"/>
        <v>83.080950841092942</v>
      </c>
      <c r="H108" s="16">
        <f t="shared" si="25"/>
        <v>25.808403922940215</v>
      </c>
      <c r="I108" s="16">
        <f t="shared" si="26"/>
        <v>2.9029557523805791</v>
      </c>
      <c r="J108" s="16">
        <f t="shared" si="27"/>
        <v>20.026618705035908</v>
      </c>
      <c r="K108" s="16">
        <f t="shared" si="28"/>
        <v>74.93165467625893</v>
      </c>
      <c r="L108" s="16">
        <f t="shared" si="29"/>
        <v>63.999999999999481</v>
      </c>
      <c r="M108" s="16">
        <f t="shared" si="30"/>
        <v>36.257199999999997</v>
      </c>
      <c r="N108" s="16">
        <f t="shared" si="31"/>
        <v>0</v>
      </c>
      <c r="O108" s="16">
        <f t="shared" si="32"/>
        <v>149.47650000000002</v>
      </c>
      <c r="P108" s="16">
        <f t="shared" si="33"/>
        <v>3.03399011</v>
      </c>
      <c r="Q108" s="16">
        <f t="shared" si="34"/>
        <v>4.0503571200000001</v>
      </c>
      <c r="R108" s="16">
        <f t="shared" si="35"/>
        <v>2.8892428100000003</v>
      </c>
      <c r="S108" s="16">
        <f t="shared" si="36"/>
        <v>20.95420129</v>
      </c>
      <c r="T108" s="16">
        <f t="shared" si="37"/>
        <v>4.9013316199999997</v>
      </c>
      <c r="U108" s="16">
        <f t="shared" si="38"/>
        <v>16.05286967</v>
      </c>
      <c r="V108">
        <f t="shared" si="39"/>
        <v>0.25702973002022611</v>
      </c>
      <c r="W108">
        <f t="shared" si="40"/>
        <v>0.308848748438874</v>
      </c>
      <c r="X108">
        <f t="shared" si="41"/>
        <v>0.43149247251787404</v>
      </c>
      <c r="Y108">
        <f t="shared" si="42"/>
        <v>0.74034122095674804</v>
      </c>
      <c r="Z108" s="14">
        <v>0.32085000000000002</v>
      </c>
      <c r="AA108" s="14">
        <v>0.26550000000000001</v>
      </c>
      <c r="AB108" s="14">
        <v>6.4399999999999999E-2</v>
      </c>
      <c r="AD108">
        <f t="shared" si="43"/>
        <v>113.11478144544122</v>
      </c>
      <c r="AE108" s="14">
        <v>3.5571258801129498E-2</v>
      </c>
      <c r="AF108" s="14">
        <v>0.73448359073359004</v>
      </c>
      <c r="AG108" s="14">
        <v>0.22816119691119599</v>
      </c>
      <c r="AH108" s="14">
        <v>2.56638055193588E-2</v>
      </c>
      <c r="AI108" s="14">
        <v>0.13309352517985601</v>
      </c>
      <c r="AJ108" s="14">
        <v>0.11367673179396</v>
      </c>
      <c r="AK108" s="14">
        <v>0</v>
      </c>
      <c r="AL108" s="14">
        <v>5.3889699999999999E-3</v>
      </c>
      <c r="AM108" s="14">
        <v>7.1942400000000002E-3</v>
      </c>
      <c r="AN108" s="14">
        <v>5.1318700000000002E-3</v>
      </c>
      <c r="AO108" s="14">
        <v>3.7218830000000001E-2</v>
      </c>
      <c r="AP108" s="14">
        <v>8.70574E-3</v>
      </c>
      <c r="AQ108" s="14">
        <v>2.8513094915308099E-2</v>
      </c>
    </row>
    <row r="109" spans="1:43">
      <c r="A109" s="14" t="s">
        <v>742</v>
      </c>
      <c r="B109" s="14" t="s">
        <v>40</v>
      </c>
      <c r="C109" s="14" t="s">
        <v>169</v>
      </c>
      <c r="D109">
        <v>518</v>
      </c>
      <c r="E109">
        <v>579</v>
      </c>
      <c r="F109" s="16">
        <f t="shared" si="23"/>
        <v>126.69470420449701</v>
      </c>
      <c r="G109" s="16">
        <f t="shared" si="24"/>
        <v>81.218467500999012</v>
      </c>
      <c r="H109" s="16">
        <f t="shared" si="25"/>
        <v>22.4694704308362</v>
      </c>
      <c r="I109" s="16">
        <f t="shared" si="26"/>
        <v>1.9705549774444229</v>
      </c>
      <c r="J109" s="16">
        <f t="shared" si="27"/>
        <v>19.20052587</v>
      </c>
      <c r="K109" s="16">
        <f t="shared" si="28"/>
        <v>70.212653778558575</v>
      </c>
      <c r="L109" s="16">
        <f t="shared" si="29"/>
        <v>66.999999999999716</v>
      </c>
      <c r="M109" s="16">
        <f t="shared" si="30"/>
        <v>50.083499999999994</v>
      </c>
      <c r="N109" s="16">
        <f t="shared" si="31"/>
        <v>0.77430248999999995</v>
      </c>
      <c r="O109" s="16">
        <f t="shared" si="32"/>
        <v>96.171899999999994</v>
      </c>
      <c r="P109" s="16">
        <f t="shared" si="33"/>
        <v>3.14744979</v>
      </c>
      <c r="Q109" s="16">
        <f t="shared" si="34"/>
        <v>5.08787565</v>
      </c>
      <c r="R109" s="16">
        <f t="shared" si="35"/>
        <v>0</v>
      </c>
      <c r="S109" s="16">
        <f t="shared" si="36"/>
        <v>9.4472049689440407</v>
      </c>
      <c r="T109" s="16">
        <f t="shared" si="37"/>
        <v>2.1500759700000001</v>
      </c>
      <c r="U109" s="16">
        <f t="shared" si="38"/>
        <v>7.2971289989440411</v>
      </c>
      <c r="V109">
        <f t="shared" si="39"/>
        <v>0.24458437105115255</v>
      </c>
      <c r="W109">
        <f t="shared" si="40"/>
        <v>0.31483808201169117</v>
      </c>
      <c r="X109">
        <f t="shared" si="41"/>
        <v>0.40322620999035658</v>
      </c>
      <c r="Y109">
        <f t="shared" si="42"/>
        <v>0.71806429200204769</v>
      </c>
      <c r="Z109" s="14">
        <v>0.26365</v>
      </c>
      <c r="AA109" s="14">
        <v>0.1661</v>
      </c>
      <c r="AB109" s="14">
        <v>8.6499999999999994E-2</v>
      </c>
      <c r="AD109">
        <f t="shared" si="43"/>
        <v>107.49417833449701</v>
      </c>
      <c r="AE109" s="14">
        <v>3.3161530000000002E-2</v>
      </c>
      <c r="AF109" s="14">
        <v>0.75556154537286602</v>
      </c>
      <c r="AG109" s="14">
        <v>0.20902964959568701</v>
      </c>
      <c r="AH109" s="14">
        <v>1.8331736731942001E-2</v>
      </c>
      <c r="AI109" s="14">
        <v>0.12126537785588699</v>
      </c>
      <c r="AJ109" s="14">
        <v>0.115716753022452</v>
      </c>
      <c r="AK109" s="14">
        <v>1.33731E-3</v>
      </c>
      <c r="AL109" s="14">
        <v>5.4360099999999998E-3</v>
      </c>
      <c r="AM109" s="14">
        <v>8.7873499999999993E-3</v>
      </c>
      <c r="AN109" s="14">
        <v>0</v>
      </c>
      <c r="AO109" s="14">
        <v>1.6316416181250501E-2</v>
      </c>
      <c r="AP109" s="14">
        <v>3.7134300000000002E-3</v>
      </c>
      <c r="AQ109" s="14">
        <v>1.26029881151031E-2</v>
      </c>
    </row>
    <row r="110" spans="1:43">
      <c r="A110" s="14" t="s">
        <v>747</v>
      </c>
      <c r="B110" s="14" t="s">
        <v>123</v>
      </c>
      <c r="C110" s="14" t="s">
        <v>748</v>
      </c>
      <c r="D110">
        <v>514</v>
      </c>
      <c r="E110">
        <v>551</v>
      </c>
      <c r="F110" s="16">
        <f t="shared" si="23"/>
        <v>132.31835638785967</v>
      </c>
      <c r="G110" s="16">
        <f t="shared" si="24"/>
        <v>93.741513872422601</v>
      </c>
      <c r="H110" s="16">
        <f t="shared" si="25"/>
        <v>25.374631384821189</v>
      </c>
      <c r="I110" s="16">
        <f t="shared" si="26"/>
        <v>2.0373120297537826</v>
      </c>
      <c r="J110" s="16">
        <f t="shared" si="27"/>
        <v>10.234637660000001</v>
      </c>
      <c r="K110" s="16">
        <f t="shared" si="28"/>
        <v>59.512104283053617</v>
      </c>
      <c r="L110" s="16">
        <f t="shared" si="29"/>
        <v>55.999997890000003</v>
      </c>
      <c r="M110" s="16">
        <f t="shared" si="30"/>
        <v>23.4726</v>
      </c>
      <c r="N110" s="16">
        <f t="shared" si="31"/>
        <v>0.89560091000000008</v>
      </c>
      <c r="O110" s="16">
        <f t="shared" si="32"/>
        <v>56.146899999999455</v>
      </c>
      <c r="P110" s="16">
        <f t="shared" si="33"/>
        <v>3.1703933900000001</v>
      </c>
      <c r="Q110" s="16">
        <f t="shared" si="34"/>
        <v>5.1303554900000004</v>
      </c>
      <c r="R110" s="16">
        <f t="shared" si="35"/>
        <v>4.1133527499999998</v>
      </c>
      <c r="S110" s="16">
        <f t="shared" si="36"/>
        <v>8.1389752800000004</v>
      </c>
      <c r="T110" s="16">
        <f t="shared" si="37"/>
        <v>2.8412039500000001</v>
      </c>
      <c r="U110" s="16">
        <f t="shared" si="38"/>
        <v>5.2977713299999998</v>
      </c>
      <c r="V110">
        <f t="shared" si="39"/>
        <v>0.257428708925797</v>
      </c>
      <c r="W110">
        <f t="shared" si="40"/>
        <v>0.29412580549746542</v>
      </c>
      <c r="X110">
        <f t="shared" si="41"/>
        <v>0.37264837231775555</v>
      </c>
      <c r="Y110">
        <f t="shared" si="42"/>
        <v>0.66677417781522097</v>
      </c>
      <c r="Z110" s="14">
        <v>0.26965</v>
      </c>
      <c r="AA110" s="14">
        <v>0.10189999999999901</v>
      </c>
      <c r="AB110" s="14">
        <v>4.2599999999999999E-2</v>
      </c>
      <c r="AD110">
        <f t="shared" si="43"/>
        <v>122.08371872785966</v>
      </c>
      <c r="AE110" s="14">
        <v>1.857466E-2</v>
      </c>
      <c r="AF110" s="14">
        <v>0.76784615384615296</v>
      </c>
      <c r="AG110" s="14">
        <v>0.20784615384615299</v>
      </c>
      <c r="AH110" s="14">
        <v>1.6687827426810398E-2</v>
      </c>
      <c r="AI110" s="14">
        <v>0.108007448789571</v>
      </c>
      <c r="AJ110" s="14">
        <v>0.10163339</v>
      </c>
      <c r="AK110" s="14">
        <v>1.6254100000000001E-3</v>
      </c>
      <c r="AL110" s="14">
        <v>5.7538900000000002E-3</v>
      </c>
      <c r="AM110" s="14">
        <v>9.3109899999999999E-3</v>
      </c>
      <c r="AN110" s="14">
        <v>7.4652499999999997E-3</v>
      </c>
      <c r="AO110" s="14">
        <v>1.4771279999999999E-2</v>
      </c>
      <c r="AP110" s="14">
        <v>5.1564499999999999E-3</v>
      </c>
      <c r="AQ110" s="14">
        <v>9.6148299999999996E-3</v>
      </c>
    </row>
    <row r="111" spans="1:43">
      <c r="A111" s="14" t="s">
        <v>753</v>
      </c>
      <c r="B111" s="14" t="s">
        <v>293</v>
      </c>
      <c r="C111" s="14" t="s">
        <v>169</v>
      </c>
      <c r="D111">
        <v>557</v>
      </c>
      <c r="E111">
        <v>639</v>
      </c>
      <c r="F111" s="16">
        <f t="shared" si="23"/>
        <v>142.89270543258107</v>
      </c>
      <c r="G111" s="16">
        <f t="shared" si="24"/>
        <v>98.45139930568476</v>
      </c>
      <c r="H111" s="16">
        <f t="shared" si="25"/>
        <v>27.027626361913274</v>
      </c>
      <c r="I111" s="16">
        <f t="shared" si="26"/>
        <v>1.0006058999928757</v>
      </c>
      <c r="J111" s="16">
        <f t="shared" si="27"/>
        <v>17.120662460567779</v>
      </c>
      <c r="K111" s="16">
        <f t="shared" si="28"/>
        <v>75.591482649842106</v>
      </c>
      <c r="L111" s="16">
        <f t="shared" si="29"/>
        <v>68.999999580000008</v>
      </c>
      <c r="M111" s="16">
        <f t="shared" si="30"/>
        <v>71.12069999999936</v>
      </c>
      <c r="N111" s="16">
        <f t="shared" si="31"/>
        <v>0.72067698000000002</v>
      </c>
      <c r="O111" s="16">
        <f t="shared" si="32"/>
        <v>109.74825000000001</v>
      </c>
      <c r="P111" s="16">
        <f t="shared" si="33"/>
        <v>4.0283901900000005</v>
      </c>
      <c r="Q111" s="16">
        <f t="shared" si="34"/>
        <v>6.04731708</v>
      </c>
      <c r="R111" s="16">
        <f t="shared" si="35"/>
        <v>0.99609236999999995</v>
      </c>
      <c r="S111" s="16">
        <f t="shared" si="36"/>
        <v>5.1913510199999999</v>
      </c>
      <c r="T111" s="16">
        <f t="shared" si="37"/>
        <v>2.0015716499999998</v>
      </c>
      <c r="U111" s="16">
        <f t="shared" si="38"/>
        <v>3.1897793700000001</v>
      </c>
      <c r="V111">
        <f t="shared" si="39"/>
        <v>0.25653986612671648</v>
      </c>
      <c r="W111">
        <f t="shared" si="40"/>
        <v>0.34456822849314528</v>
      </c>
      <c r="X111">
        <f t="shared" si="41"/>
        <v>0.40213845524553155</v>
      </c>
      <c r="Y111">
        <f t="shared" si="42"/>
        <v>0.74670668373867688</v>
      </c>
      <c r="Z111" s="14">
        <v>0.28835</v>
      </c>
      <c r="AA111" s="14">
        <v>0.17175000000000001</v>
      </c>
      <c r="AB111" s="14">
        <v>0.111299999999999</v>
      </c>
      <c r="AD111">
        <f t="shared" si="43"/>
        <v>125.77204297201328</v>
      </c>
      <c r="AE111" s="14">
        <v>2.6792898999323599E-2</v>
      </c>
      <c r="AF111" s="14">
        <v>0.782776497695852</v>
      </c>
      <c r="AG111" s="14">
        <v>0.21489375320020401</v>
      </c>
      <c r="AH111" s="14">
        <v>7.9557099999999995E-3</v>
      </c>
      <c r="AI111" s="14">
        <v>0.118296529968454</v>
      </c>
      <c r="AJ111" s="14">
        <v>0.10798122</v>
      </c>
      <c r="AK111" s="14">
        <v>1.1278200000000001E-3</v>
      </c>
      <c r="AL111" s="14">
        <v>6.3042100000000002E-3</v>
      </c>
      <c r="AM111" s="14">
        <v>9.4637200000000001E-3</v>
      </c>
      <c r="AN111" s="14">
        <v>1.55883E-3</v>
      </c>
      <c r="AO111" s="14">
        <v>8.1241799999999999E-3</v>
      </c>
      <c r="AP111" s="14">
        <v>3.1323499999999999E-3</v>
      </c>
      <c r="AQ111" s="14">
        <v>4.99184E-3</v>
      </c>
    </row>
    <row r="112" spans="1:43">
      <c r="A112" s="14" t="s">
        <v>758</v>
      </c>
      <c r="B112" s="14" t="s">
        <v>200</v>
      </c>
      <c r="C112" s="14" t="s">
        <v>87</v>
      </c>
      <c r="D112">
        <v>486</v>
      </c>
      <c r="E112">
        <v>516</v>
      </c>
      <c r="F112" s="16">
        <f t="shared" si="23"/>
        <v>130.93399339046402</v>
      </c>
      <c r="G112" s="16">
        <f t="shared" si="24"/>
        <v>88.03263783891029</v>
      </c>
      <c r="H112" s="16">
        <f t="shared" si="25"/>
        <v>23.926785202701442</v>
      </c>
      <c r="I112" s="16">
        <f t="shared" si="26"/>
        <v>1.0301208660965069</v>
      </c>
      <c r="J112" s="16">
        <f t="shared" si="27"/>
        <v>18.04453032</v>
      </c>
      <c r="K112" s="16">
        <f t="shared" si="28"/>
        <v>58.433781190019076</v>
      </c>
      <c r="L112" s="16">
        <f t="shared" si="29"/>
        <v>66.999999999999957</v>
      </c>
      <c r="M112" s="16">
        <f t="shared" si="30"/>
        <v>22.549200000000003</v>
      </c>
      <c r="N112" s="16">
        <f t="shared" si="31"/>
        <v>1.00887288</v>
      </c>
      <c r="O112" s="16">
        <f t="shared" si="32"/>
        <v>89.500199999999992</v>
      </c>
      <c r="P112" s="16">
        <f t="shared" si="33"/>
        <v>2.97408984</v>
      </c>
      <c r="Q112" s="16">
        <f t="shared" si="34"/>
        <v>3.96161064</v>
      </c>
      <c r="R112" s="16">
        <f t="shared" si="35"/>
        <v>0.90000204000000006</v>
      </c>
      <c r="S112" s="16">
        <f t="shared" si="36"/>
        <v>1.25687796</v>
      </c>
      <c r="T112" s="16">
        <f t="shared" si="37"/>
        <v>0.26819100000000001</v>
      </c>
      <c r="U112" s="16">
        <f t="shared" si="38"/>
        <v>0.98868695999999989</v>
      </c>
      <c r="V112">
        <f t="shared" si="39"/>
        <v>0.26941150903387662</v>
      </c>
      <c r="W112">
        <f t="shared" si="40"/>
        <v>0.30664093541865423</v>
      </c>
      <c r="X112">
        <f t="shared" si="41"/>
        <v>0.43447467514938826</v>
      </c>
      <c r="Y112">
        <f t="shared" si="42"/>
        <v>0.74111561056804254</v>
      </c>
      <c r="Z112" s="14">
        <v>0.29520000000000002</v>
      </c>
      <c r="AA112" s="14">
        <v>0.17344999999999999</v>
      </c>
      <c r="AB112" s="14">
        <v>4.3700000000000003E-2</v>
      </c>
      <c r="AD112">
        <f t="shared" si="43"/>
        <v>112.88946307046402</v>
      </c>
      <c r="AE112" s="14">
        <v>3.4970019999999997E-2</v>
      </c>
      <c r="AF112" s="14">
        <v>0.77981270744428599</v>
      </c>
      <c r="AG112" s="14">
        <v>0.21194879089615901</v>
      </c>
      <c r="AH112" s="14">
        <v>9.1250399999999992E-3</v>
      </c>
      <c r="AI112" s="14">
        <v>0.113243761996161</v>
      </c>
      <c r="AJ112" s="14">
        <v>0.12984496124031</v>
      </c>
      <c r="AK112" s="14">
        <v>1.9551799999999999E-3</v>
      </c>
      <c r="AL112" s="14">
        <v>5.7637399999999998E-3</v>
      </c>
      <c r="AM112" s="14">
        <v>7.6775400000000001E-3</v>
      </c>
      <c r="AN112" s="14">
        <v>1.7441900000000001E-3</v>
      </c>
      <c r="AO112" s="14">
        <v>2.4358100000000001E-3</v>
      </c>
      <c r="AP112" s="14">
        <v>5.1975000000000003E-4</v>
      </c>
      <c r="AQ112" s="14">
        <v>1.91606E-3</v>
      </c>
    </row>
    <row r="113" spans="1:43">
      <c r="A113" s="14" t="s">
        <v>762</v>
      </c>
      <c r="B113" s="14" t="s">
        <v>27</v>
      </c>
      <c r="C113" s="14" t="s">
        <v>49</v>
      </c>
      <c r="D113">
        <v>377</v>
      </c>
      <c r="E113">
        <v>454</v>
      </c>
      <c r="F113" s="16">
        <f t="shared" si="23"/>
        <v>88.595537664010436</v>
      </c>
      <c r="G113" s="16">
        <f t="shared" si="24"/>
        <v>51.807790230383056</v>
      </c>
      <c r="H113" s="16">
        <f t="shared" si="25"/>
        <v>18.099692665682973</v>
      </c>
      <c r="I113" s="16">
        <f t="shared" si="26"/>
        <v>1.2463548910997433</v>
      </c>
      <c r="J113" s="16">
        <f t="shared" si="27"/>
        <v>17.148710490318347</v>
      </c>
      <c r="K113" s="16">
        <f t="shared" si="28"/>
        <v>56.595479064988126</v>
      </c>
      <c r="L113" s="16">
        <f t="shared" si="29"/>
        <v>56.936640941311843</v>
      </c>
      <c r="M113" s="16">
        <f t="shared" si="30"/>
        <v>26.9222</v>
      </c>
      <c r="N113" s="16">
        <f t="shared" si="31"/>
        <v>1.7049742999999999</v>
      </c>
      <c r="O113" s="16">
        <f t="shared" si="32"/>
        <v>127.9145</v>
      </c>
      <c r="P113" s="16">
        <f t="shared" si="33"/>
        <v>5.27172996</v>
      </c>
      <c r="Q113" s="16">
        <f t="shared" si="34"/>
        <v>3.3178274600000002</v>
      </c>
      <c r="R113" s="16">
        <f t="shared" si="35"/>
        <v>0.75580558000000009</v>
      </c>
      <c r="S113" s="16">
        <f t="shared" si="36"/>
        <v>3.5614574800000001</v>
      </c>
      <c r="T113" s="16">
        <f t="shared" si="37"/>
        <v>1.7891595199999999</v>
      </c>
      <c r="U113" s="16">
        <f t="shared" si="38"/>
        <v>1.7722979600000002</v>
      </c>
      <c r="V113">
        <f t="shared" si="39"/>
        <v>0.23500142616448391</v>
      </c>
      <c r="W113">
        <f t="shared" si="40"/>
        <v>0.29953769185788826</v>
      </c>
      <c r="X113">
        <f t="shared" si="41"/>
        <v>0.42530791033507059</v>
      </c>
      <c r="Y113">
        <f t="shared" si="42"/>
        <v>0.72484560219295879</v>
      </c>
      <c r="Z113" s="14">
        <v>0.30369999999999903</v>
      </c>
      <c r="AA113" s="14">
        <v>0.28175</v>
      </c>
      <c r="AB113" s="14">
        <v>5.9299999999999999E-2</v>
      </c>
      <c r="AD113">
        <f t="shared" si="43"/>
        <v>71.446827173692085</v>
      </c>
      <c r="AE113" s="14">
        <v>3.7772490066780497E-2</v>
      </c>
      <c r="AF113" s="14">
        <v>0.72512373578794198</v>
      </c>
      <c r="AG113" s="14">
        <v>0.25333095088577401</v>
      </c>
      <c r="AH113" s="14">
        <v>1.744451E-2</v>
      </c>
      <c r="AI113" s="14">
        <v>0.12465964551759499</v>
      </c>
      <c r="AJ113" s="14">
        <v>0.12541110339496001</v>
      </c>
      <c r="AK113" s="14">
        <v>3.75545E-3</v>
      </c>
      <c r="AL113" s="14">
        <v>1.1611740000000001E-2</v>
      </c>
      <c r="AM113" s="14">
        <v>7.3079900000000003E-3</v>
      </c>
      <c r="AN113" s="14">
        <v>1.6647700000000001E-3</v>
      </c>
      <c r="AO113" s="14">
        <v>7.8446200000000001E-3</v>
      </c>
      <c r="AP113" s="14">
        <v>3.9408799999999999E-3</v>
      </c>
      <c r="AQ113" s="14">
        <v>3.9037500000000001E-3</v>
      </c>
    </row>
    <row r="114" spans="1:43">
      <c r="A114" s="14" t="s">
        <v>770</v>
      </c>
      <c r="B114" s="14" t="s">
        <v>293</v>
      </c>
      <c r="C114" s="14" t="s">
        <v>124</v>
      </c>
      <c r="D114">
        <v>539</v>
      </c>
      <c r="E114">
        <v>616</v>
      </c>
      <c r="F114" s="16">
        <f t="shared" si="23"/>
        <v>123.79811865344001</v>
      </c>
      <c r="G114" s="16">
        <f t="shared" si="24"/>
        <v>69.934006324775993</v>
      </c>
      <c r="H114" s="16">
        <f t="shared" si="25"/>
        <v>26.490389180262845</v>
      </c>
      <c r="I114" s="16">
        <f t="shared" si="26"/>
        <v>0.86679538706297365</v>
      </c>
      <c r="J114" s="16">
        <f t="shared" si="27"/>
        <v>26.407895359999998</v>
      </c>
      <c r="K114" s="16">
        <f t="shared" si="28"/>
        <v>71.934210526315368</v>
      </c>
      <c r="L114" s="16">
        <f t="shared" si="29"/>
        <v>78.999999999999844</v>
      </c>
      <c r="M114" s="16">
        <f t="shared" si="30"/>
        <v>64.248800000000003</v>
      </c>
      <c r="N114" s="16">
        <f t="shared" si="31"/>
        <v>2.8849559199999999</v>
      </c>
      <c r="O114" s="16">
        <f t="shared" si="32"/>
        <v>159.60560000000001</v>
      </c>
      <c r="P114" s="16">
        <f t="shared" si="33"/>
        <v>7.0828973599999996</v>
      </c>
      <c r="Q114" s="16">
        <f t="shared" si="34"/>
        <v>5.0657868800000001</v>
      </c>
      <c r="R114" s="16">
        <f t="shared" si="35"/>
        <v>0</v>
      </c>
      <c r="S114" s="16">
        <f t="shared" si="36"/>
        <v>1.97311576</v>
      </c>
      <c r="T114" s="16">
        <f t="shared" si="37"/>
        <v>1.01689896</v>
      </c>
      <c r="U114" s="16">
        <f t="shared" si="38"/>
        <v>0.95621679999999998</v>
      </c>
      <c r="V114">
        <f t="shared" si="39"/>
        <v>0.22968111067428573</v>
      </c>
      <c r="W114">
        <f t="shared" si="40"/>
        <v>0.3239772906673058</v>
      </c>
      <c r="X114">
        <f t="shared" si="41"/>
        <v>0.42884369626436103</v>
      </c>
      <c r="Y114">
        <f t="shared" si="42"/>
        <v>0.75282098693166688</v>
      </c>
      <c r="Z114" s="14">
        <v>0.27200000000000002</v>
      </c>
      <c r="AA114" s="14">
        <v>0.2591</v>
      </c>
      <c r="AB114" s="14">
        <v>0.1043</v>
      </c>
      <c r="AD114">
        <f t="shared" si="43"/>
        <v>97.390223293440016</v>
      </c>
      <c r="AE114" s="14">
        <v>4.2869959999999999E-2</v>
      </c>
      <c r="AF114" s="14">
        <v>0.71808035714285701</v>
      </c>
      <c r="AG114" s="14">
        <v>0.27200255102040799</v>
      </c>
      <c r="AH114" s="14">
        <v>8.9002300000000003E-3</v>
      </c>
      <c r="AI114" s="14">
        <v>0.11677631578947301</v>
      </c>
      <c r="AJ114" s="14">
        <v>0.128246753246753</v>
      </c>
      <c r="AK114" s="14">
        <v>4.6833700000000001E-3</v>
      </c>
      <c r="AL114" s="14">
        <v>1.149821E-2</v>
      </c>
      <c r="AM114" s="14">
        <v>8.2236800000000006E-3</v>
      </c>
      <c r="AN114" s="14">
        <v>0</v>
      </c>
      <c r="AO114" s="14">
        <v>3.2031099999999999E-3</v>
      </c>
      <c r="AP114" s="14">
        <v>1.65081E-3</v>
      </c>
      <c r="AQ114" s="14">
        <v>1.5523100000000001E-3</v>
      </c>
    </row>
    <row r="115" spans="1:43">
      <c r="A115" s="14" t="s">
        <v>774</v>
      </c>
      <c r="B115" s="14" t="s">
        <v>74</v>
      </c>
      <c r="C115" s="14" t="s">
        <v>775</v>
      </c>
      <c r="D115">
        <v>489</v>
      </c>
      <c r="E115">
        <v>551</v>
      </c>
      <c r="F115" s="16">
        <f t="shared" si="23"/>
        <v>129.56541708124016</v>
      </c>
      <c r="G115" s="16">
        <f t="shared" si="24"/>
        <v>90.078284338020879</v>
      </c>
      <c r="H115" s="16">
        <f t="shared" si="25"/>
        <v>25.380074864206691</v>
      </c>
      <c r="I115" s="16">
        <f t="shared" si="26"/>
        <v>0.98160278527145717</v>
      </c>
      <c r="J115" s="16">
        <f t="shared" si="27"/>
        <v>12.96404922</v>
      </c>
      <c r="K115" s="16">
        <f t="shared" si="28"/>
        <v>63.344888499999996</v>
      </c>
      <c r="L115" s="16">
        <f t="shared" si="29"/>
        <v>55.999997890000003</v>
      </c>
      <c r="M115" s="16">
        <f t="shared" si="30"/>
        <v>47.992100000000001</v>
      </c>
      <c r="N115" s="16">
        <f t="shared" si="31"/>
        <v>1.9775334899999999</v>
      </c>
      <c r="O115" s="16">
        <f t="shared" si="32"/>
        <v>76.313499999999451</v>
      </c>
      <c r="P115" s="16">
        <f t="shared" si="33"/>
        <v>9.0443454199999991</v>
      </c>
      <c r="Q115" s="16">
        <f t="shared" si="34"/>
        <v>4.0218977699999998</v>
      </c>
      <c r="R115" s="16">
        <f t="shared" si="35"/>
        <v>1.89839336</v>
      </c>
      <c r="S115" s="16">
        <f t="shared" si="36"/>
        <v>4.9799104499999993</v>
      </c>
      <c r="T115" s="16">
        <f t="shared" si="37"/>
        <v>2.0055022500000002</v>
      </c>
      <c r="U115" s="16">
        <f t="shared" si="38"/>
        <v>2.9744081999999992</v>
      </c>
      <c r="V115">
        <f t="shared" si="39"/>
        <v>0.26495995313137044</v>
      </c>
      <c r="W115">
        <f t="shared" si="40"/>
        <v>0.34729712184211375</v>
      </c>
      <c r="X115">
        <f t="shared" si="41"/>
        <v>0.40008065296983358</v>
      </c>
      <c r="Y115">
        <f t="shared" si="42"/>
        <v>0.74737777481194734</v>
      </c>
      <c r="Z115" s="14">
        <v>0.2888</v>
      </c>
      <c r="AA115" s="14">
        <v>0.13849999999999901</v>
      </c>
      <c r="AB115" s="14">
        <v>8.7099999999999997E-2</v>
      </c>
      <c r="AD115">
        <f t="shared" si="43"/>
        <v>116.60136786124016</v>
      </c>
      <c r="AE115" s="14">
        <v>2.3528219999999999E-2</v>
      </c>
      <c r="AF115" s="14">
        <v>0.772531969309462</v>
      </c>
      <c r="AG115" s="14">
        <v>0.21766532700036501</v>
      </c>
      <c r="AH115" s="14">
        <v>8.4184499999999992E-3</v>
      </c>
      <c r="AI115" s="14">
        <v>0.1149635</v>
      </c>
      <c r="AJ115" s="14">
        <v>0.10163339</v>
      </c>
      <c r="AK115" s="14">
        <v>3.5889899999999998E-3</v>
      </c>
      <c r="AL115" s="14">
        <v>1.6414419999999999E-2</v>
      </c>
      <c r="AM115" s="14">
        <v>7.2992700000000001E-3</v>
      </c>
      <c r="AN115" s="14">
        <v>3.4453600000000002E-3</v>
      </c>
      <c r="AO115" s="14">
        <v>9.0379499999999995E-3</v>
      </c>
      <c r="AP115" s="14">
        <v>3.6397500000000002E-3</v>
      </c>
      <c r="AQ115" s="14">
        <v>5.3981999999999997E-3</v>
      </c>
    </row>
    <row r="116" spans="1:43">
      <c r="A116" s="14" t="s">
        <v>779</v>
      </c>
      <c r="B116" s="14" t="s">
        <v>123</v>
      </c>
      <c r="C116" s="14" t="s">
        <v>87</v>
      </c>
      <c r="D116">
        <v>428</v>
      </c>
      <c r="E116">
        <v>484</v>
      </c>
      <c r="F116" s="16">
        <f t="shared" si="23"/>
        <v>115.44540980016801</v>
      </c>
      <c r="G116" s="16">
        <f t="shared" si="24"/>
        <v>77.599387506487659</v>
      </c>
      <c r="H116" s="16">
        <f t="shared" si="25"/>
        <v>19.036210999920243</v>
      </c>
      <c r="I116" s="16">
        <f t="shared" si="26"/>
        <v>0.26257558237834122</v>
      </c>
      <c r="J116" s="16">
        <f t="shared" si="27"/>
        <v>17.767218920000001</v>
      </c>
      <c r="K116" s="16">
        <f t="shared" si="28"/>
        <v>59.244813278008117</v>
      </c>
      <c r="L116" s="16">
        <f t="shared" si="29"/>
        <v>62.999999999999829</v>
      </c>
      <c r="M116" s="16">
        <f t="shared" si="30"/>
        <v>45.738</v>
      </c>
      <c r="N116" s="16">
        <f t="shared" si="31"/>
        <v>1.9679101199999998</v>
      </c>
      <c r="O116" s="16">
        <f t="shared" si="32"/>
        <v>59.023800000000001</v>
      </c>
      <c r="P116" s="16">
        <f t="shared" si="33"/>
        <v>4.9186741999999999</v>
      </c>
      <c r="Q116" s="16">
        <f t="shared" si="34"/>
        <v>5.02074496</v>
      </c>
      <c r="R116" s="16">
        <f t="shared" si="35"/>
        <v>0</v>
      </c>
      <c r="S116" s="16">
        <f t="shared" si="36"/>
        <v>0.99444575999999996</v>
      </c>
      <c r="T116" s="16">
        <f t="shared" si="37"/>
        <v>0</v>
      </c>
      <c r="U116" s="16">
        <f t="shared" si="38"/>
        <v>0.99444575999999996</v>
      </c>
      <c r="V116">
        <f t="shared" si="39"/>
        <v>0.26973226588824301</v>
      </c>
      <c r="W116">
        <f t="shared" si="40"/>
        <v>0.34961654891426541</v>
      </c>
      <c r="X116">
        <f t="shared" si="41"/>
        <v>0.43815049517164295</v>
      </c>
      <c r="Y116">
        <f t="shared" si="42"/>
        <v>0.78776704408590836</v>
      </c>
      <c r="Z116" s="14">
        <v>0.2742</v>
      </c>
      <c r="AA116" s="14">
        <v>0.12195</v>
      </c>
      <c r="AB116" s="14">
        <v>9.4500000000000001E-2</v>
      </c>
      <c r="AD116">
        <f t="shared" si="43"/>
        <v>97.678190880168003</v>
      </c>
      <c r="AE116" s="14">
        <v>3.670913E-2</v>
      </c>
      <c r="AF116" s="14">
        <v>0.79443923773820602</v>
      </c>
      <c r="AG116" s="14">
        <v>0.19488701447464299</v>
      </c>
      <c r="AH116" s="14">
        <v>2.6881700000000001E-3</v>
      </c>
      <c r="AI116" s="14">
        <v>0.122406639004149</v>
      </c>
      <c r="AJ116" s="14">
        <v>0.130165289256198</v>
      </c>
      <c r="AK116" s="14">
        <v>4.0659299999999997E-3</v>
      </c>
      <c r="AL116" s="14">
        <v>1.0162549999999999E-2</v>
      </c>
      <c r="AM116" s="14">
        <v>1.0373439999999999E-2</v>
      </c>
      <c r="AN116" s="14">
        <v>0</v>
      </c>
      <c r="AO116" s="14">
        <v>2.0546399999999999E-3</v>
      </c>
      <c r="AP116" s="14">
        <v>0</v>
      </c>
      <c r="AQ116" s="14">
        <v>2.0546399999999999E-3</v>
      </c>
    </row>
    <row r="117" spans="1:43">
      <c r="A117" s="14" t="s">
        <v>784</v>
      </c>
      <c r="B117" s="14" t="s">
        <v>101</v>
      </c>
      <c r="C117" s="14" t="s">
        <v>20</v>
      </c>
      <c r="D117">
        <v>421</v>
      </c>
      <c r="E117">
        <v>453</v>
      </c>
      <c r="F117" s="16">
        <f t="shared" si="23"/>
        <v>119.65489163048964</v>
      </c>
      <c r="G117" s="16">
        <f t="shared" si="24"/>
        <v>100.60150658751711</v>
      </c>
      <c r="H117" s="16">
        <f t="shared" si="25"/>
        <v>15.226922941711493</v>
      </c>
      <c r="I117" s="16">
        <f t="shared" si="26"/>
        <v>3.2493097191932612</v>
      </c>
      <c r="J117" s="16">
        <f t="shared" si="27"/>
        <v>9.9999749999999998E-2</v>
      </c>
      <c r="K117" s="16">
        <f t="shared" si="28"/>
        <v>56.999999999999815</v>
      </c>
      <c r="L117" s="16">
        <f t="shared" si="29"/>
        <v>32.999999039999999</v>
      </c>
      <c r="M117" s="16">
        <f t="shared" si="30"/>
        <v>23.646599999999953</v>
      </c>
      <c r="N117" s="16">
        <f t="shared" si="31"/>
        <v>0.15000189</v>
      </c>
      <c r="O117" s="16">
        <f t="shared" si="32"/>
        <v>47.882099999999546</v>
      </c>
      <c r="P117" s="16">
        <f t="shared" si="33"/>
        <v>1.0000020300000001</v>
      </c>
      <c r="Q117" s="16">
        <f t="shared" si="34"/>
        <v>3.0000015599999998</v>
      </c>
      <c r="R117" s="16">
        <f t="shared" si="35"/>
        <v>4.1973621000000003</v>
      </c>
      <c r="S117" s="16">
        <f t="shared" si="36"/>
        <v>42.949450949999999</v>
      </c>
      <c r="T117" s="16">
        <f t="shared" si="37"/>
        <v>9.3165722379602816</v>
      </c>
      <c r="U117" s="16">
        <f t="shared" si="38"/>
        <v>33.632878712039719</v>
      </c>
      <c r="V117">
        <f t="shared" si="39"/>
        <v>0.28421589460923907</v>
      </c>
      <c r="W117">
        <f t="shared" si="40"/>
        <v>0.32258282987762488</v>
      </c>
      <c r="X117">
        <f t="shared" si="41"/>
        <v>0.33539971645729189</v>
      </c>
      <c r="Y117">
        <f t="shared" si="42"/>
        <v>0.65798254633491671</v>
      </c>
      <c r="Z117" s="14">
        <v>0.31795000000000001</v>
      </c>
      <c r="AA117" s="14">
        <v>0.105699999999999</v>
      </c>
      <c r="AB117" s="14">
        <v>5.2199999999999899E-2</v>
      </c>
      <c r="AD117">
        <f t="shared" si="43"/>
        <v>119.55489188048965</v>
      </c>
      <c r="AE117" s="14">
        <v>2.2075E-4</v>
      </c>
      <c r="AF117" s="14">
        <v>0.84146708683473304</v>
      </c>
      <c r="AG117" s="14">
        <v>0.127363445378151</v>
      </c>
      <c r="AH117" s="14">
        <v>2.7178392017964102E-2</v>
      </c>
      <c r="AI117" s="14">
        <v>0.12582781456953601</v>
      </c>
      <c r="AJ117" s="14">
        <v>7.2847679999999998E-2</v>
      </c>
      <c r="AK117" s="14">
        <v>3.3113000000000001E-4</v>
      </c>
      <c r="AL117" s="14">
        <v>2.2075100000000002E-3</v>
      </c>
      <c r="AM117" s="14">
        <v>6.6225199999999998E-3</v>
      </c>
      <c r="AN117" s="14">
        <v>9.2657E-3</v>
      </c>
      <c r="AO117" s="14">
        <v>9.4811149999999997E-2</v>
      </c>
      <c r="AP117" s="14">
        <v>2.0566384631258899E-2</v>
      </c>
      <c r="AQ117" s="14">
        <v>7.4244760000000007E-2</v>
      </c>
    </row>
    <row r="118" spans="1:43">
      <c r="A118" s="14" t="s">
        <v>790</v>
      </c>
      <c r="B118" s="14" t="s">
        <v>19</v>
      </c>
      <c r="C118" s="14" t="s">
        <v>49</v>
      </c>
      <c r="D118">
        <v>415</v>
      </c>
      <c r="E118">
        <v>474</v>
      </c>
      <c r="F118" s="16">
        <f t="shared" si="23"/>
        <v>88.329214150592122</v>
      </c>
      <c r="G118" s="16">
        <f t="shared" si="24"/>
        <v>54.633454925683765</v>
      </c>
      <c r="H118" s="16">
        <f t="shared" si="25"/>
        <v>16.796127708666397</v>
      </c>
      <c r="I118" s="16">
        <f t="shared" si="26"/>
        <v>1.0229710659957976</v>
      </c>
      <c r="J118" s="16">
        <f t="shared" si="27"/>
        <v>16.70875122</v>
      </c>
      <c r="K118" s="16">
        <f t="shared" si="28"/>
        <v>53.325000000000003</v>
      </c>
      <c r="L118" s="16">
        <f t="shared" si="29"/>
        <v>50.999999999999638</v>
      </c>
      <c r="M118" s="16">
        <f t="shared" si="30"/>
        <v>53.562000000000005</v>
      </c>
      <c r="N118" s="16">
        <f t="shared" si="31"/>
        <v>1.7991475800000001</v>
      </c>
      <c r="O118" s="16">
        <f t="shared" si="32"/>
        <v>151.18229999999954</v>
      </c>
      <c r="P118" s="16">
        <f t="shared" si="33"/>
        <v>2.9662493400000001</v>
      </c>
      <c r="Q118" s="16">
        <f t="shared" si="34"/>
        <v>2.9625000000000004</v>
      </c>
      <c r="R118" s="16">
        <f t="shared" si="35"/>
        <v>0</v>
      </c>
      <c r="S118" s="16">
        <f t="shared" si="36"/>
        <v>2.9755113</v>
      </c>
      <c r="T118" s="16">
        <f t="shared" si="37"/>
        <v>1.7876199000000002</v>
      </c>
      <c r="U118" s="16">
        <f t="shared" si="38"/>
        <v>1.1878913999999998</v>
      </c>
      <c r="V118">
        <f t="shared" si="39"/>
        <v>0.21284147988094487</v>
      </c>
      <c r="W118">
        <f t="shared" si="40"/>
        <v>0.30984425101178703</v>
      </c>
      <c r="X118">
        <f t="shared" si="41"/>
        <v>0.38103524920723847</v>
      </c>
      <c r="Y118">
        <f t="shared" si="42"/>
        <v>0.69087950021902556</v>
      </c>
      <c r="Z118" s="14">
        <v>0.28639999999999999</v>
      </c>
      <c r="AA118" s="14">
        <v>0.31894999999999901</v>
      </c>
      <c r="AB118" s="14">
        <v>0.113</v>
      </c>
      <c r="AD118">
        <f t="shared" si="43"/>
        <v>71.620462930592126</v>
      </c>
      <c r="AE118" s="14">
        <v>3.5250530000000002E-2</v>
      </c>
      <c r="AF118" s="14">
        <v>0.76281907000000004</v>
      </c>
      <c r="AG118" s="14">
        <v>0.23451576576576499</v>
      </c>
      <c r="AH118" s="14">
        <v>1.42832233154813E-2</v>
      </c>
      <c r="AI118" s="14">
        <v>0.1125</v>
      </c>
      <c r="AJ118" s="14">
        <v>0.10759493670886</v>
      </c>
      <c r="AK118" s="14">
        <v>3.7956700000000001E-3</v>
      </c>
      <c r="AL118" s="14">
        <v>6.2579100000000002E-3</v>
      </c>
      <c r="AM118" s="14">
        <v>6.2500000000000003E-3</v>
      </c>
      <c r="AN118" s="14">
        <v>0</v>
      </c>
      <c r="AO118" s="14">
        <v>6.2774500000000004E-3</v>
      </c>
      <c r="AP118" s="14">
        <v>3.7713500000000001E-3</v>
      </c>
      <c r="AQ118" s="14">
        <v>2.5060899999999999E-3</v>
      </c>
    </row>
    <row r="119" spans="1:43">
      <c r="A119" s="14" t="s">
        <v>795</v>
      </c>
      <c r="B119" s="14" t="s">
        <v>123</v>
      </c>
      <c r="C119" s="14" t="s">
        <v>609</v>
      </c>
      <c r="D119">
        <v>430</v>
      </c>
      <c r="E119">
        <v>475</v>
      </c>
      <c r="F119" s="16">
        <f t="shared" si="23"/>
        <v>102.94238015480013</v>
      </c>
      <c r="G119" s="16">
        <f t="shared" si="24"/>
        <v>61.613461156358731</v>
      </c>
      <c r="H119" s="16">
        <f t="shared" si="25"/>
        <v>23.784740557437082</v>
      </c>
      <c r="I119" s="16">
        <f t="shared" si="26"/>
        <v>1.0076138211055146</v>
      </c>
      <c r="J119" s="16">
        <f t="shared" si="27"/>
        <v>17.2620985</v>
      </c>
      <c r="K119" s="16">
        <f t="shared" si="28"/>
        <v>56.959314775160152</v>
      </c>
      <c r="L119" s="16">
        <f t="shared" si="29"/>
        <v>59.999999999999893</v>
      </c>
      <c r="M119" s="16">
        <f t="shared" si="30"/>
        <v>36.8125</v>
      </c>
      <c r="N119" s="16">
        <f t="shared" si="31"/>
        <v>1.8806200000000002</v>
      </c>
      <c r="O119" s="16">
        <f t="shared" si="32"/>
        <v>113.19249999999953</v>
      </c>
      <c r="P119" s="16">
        <f t="shared" si="33"/>
        <v>4.0616680000000001</v>
      </c>
      <c r="Q119" s="16">
        <f t="shared" si="34"/>
        <v>3.0513905000000001</v>
      </c>
      <c r="R119" s="16">
        <f t="shared" si="35"/>
        <v>0</v>
      </c>
      <c r="S119" s="16">
        <f t="shared" si="36"/>
        <v>4.1462369999999993</v>
      </c>
      <c r="T119" s="16">
        <f t="shared" si="37"/>
        <v>1.0127189999999999</v>
      </c>
      <c r="U119" s="16">
        <f t="shared" si="38"/>
        <v>3.1335179999999996</v>
      </c>
      <c r="V119">
        <f t="shared" si="39"/>
        <v>0.23940088408093055</v>
      </c>
      <c r="W119">
        <f t="shared" si="40"/>
        <v>0.30884761753851953</v>
      </c>
      <c r="X119">
        <f t="shared" si="41"/>
        <v>0.42152134356871962</v>
      </c>
      <c r="Y119">
        <f t="shared" si="42"/>
        <v>0.73036896110723915</v>
      </c>
      <c r="Z119" s="14">
        <v>0.28315000000000001</v>
      </c>
      <c r="AA119" s="14">
        <v>0.23829999999999901</v>
      </c>
      <c r="AB119" s="14">
        <v>7.7499999999999999E-2</v>
      </c>
      <c r="AD119">
        <f t="shared" si="43"/>
        <v>85.68028165480014</v>
      </c>
      <c r="AE119" s="14">
        <v>3.634126E-2</v>
      </c>
      <c r="AF119" s="14">
        <v>0.71910899411599805</v>
      </c>
      <c r="AG119" s="14">
        <v>0.27759876716166898</v>
      </c>
      <c r="AH119" s="14">
        <v>1.176016E-2</v>
      </c>
      <c r="AI119" s="14">
        <v>0.11991434689507401</v>
      </c>
      <c r="AJ119" s="14">
        <v>0.12631578947368399</v>
      </c>
      <c r="AK119" s="14">
        <v>3.9592000000000004E-3</v>
      </c>
      <c r="AL119" s="14">
        <v>8.5508800000000003E-3</v>
      </c>
      <c r="AM119" s="14">
        <v>6.4239800000000001E-3</v>
      </c>
      <c r="AN119" s="14">
        <v>0</v>
      </c>
      <c r="AO119" s="14">
        <v>8.7289199999999994E-3</v>
      </c>
      <c r="AP119" s="14">
        <v>2.13204E-3</v>
      </c>
      <c r="AQ119" s="14">
        <v>6.5968700000000003E-3</v>
      </c>
    </row>
    <row r="120" spans="1:43">
      <c r="A120" s="14" t="s">
        <v>802</v>
      </c>
      <c r="B120" s="14" t="s">
        <v>19</v>
      </c>
      <c r="C120" s="14" t="s">
        <v>124</v>
      </c>
      <c r="D120">
        <v>328</v>
      </c>
      <c r="E120">
        <v>362</v>
      </c>
      <c r="F120" s="16">
        <f t="shared" si="23"/>
        <v>80.651606719658005</v>
      </c>
      <c r="G120" s="16">
        <f t="shared" si="24"/>
        <v>52.599687649751985</v>
      </c>
      <c r="H120" s="16">
        <f t="shared" si="25"/>
        <v>16.135298360092921</v>
      </c>
      <c r="I120" s="16">
        <f t="shared" si="26"/>
        <v>0.39286661499064313</v>
      </c>
      <c r="J120" s="16">
        <f t="shared" si="27"/>
        <v>11.90000066</v>
      </c>
      <c r="K120" s="16">
        <f t="shared" si="28"/>
        <v>40.999999999999893</v>
      </c>
      <c r="L120" s="16">
        <f t="shared" si="29"/>
        <v>38.999999999999908</v>
      </c>
      <c r="M120" s="16">
        <f t="shared" si="30"/>
        <v>27.620600000000003</v>
      </c>
      <c r="N120" s="16">
        <f t="shared" si="31"/>
        <v>1.7603879000000002</v>
      </c>
      <c r="O120" s="16">
        <f t="shared" si="32"/>
        <v>82.083500000000001</v>
      </c>
      <c r="P120" s="16">
        <f t="shared" si="33"/>
        <v>1.9999993200000001</v>
      </c>
      <c r="Q120" s="16">
        <f t="shared" si="34"/>
        <v>1.9999993200000001</v>
      </c>
      <c r="R120" s="16">
        <f t="shared" si="35"/>
        <v>0</v>
      </c>
      <c r="S120" s="16">
        <f t="shared" si="36"/>
        <v>4.1753246753246369</v>
      </c>
      <c r="T120" s="16">
        <f t="shared" si="37"/>
        <v>1.00421334</v>
      </c>
      <c r="U120" s="16">
        <f t="shared" si="38"/>
        <v>3.1711113353246372</v>
      </c>
      <c r="V120">
        <f t="shared" si="39"/>
        <v>0.24588904487700611</v>
      </c>
      <c r="W120">
        <f t="shared" si="40"/>
        <v>0.31173767651507878</v>
      </c>
      <c r="X120">
        <f t="shared" si="41"/>
        <v>0.40746611846009068</v>
      </c>
      <c r="Y120">
        <f t="shared" si="42"/>
        <v>0.71920379497516951</v>
      </c>
      <c r="Z120" s="14">
        <v>0.2913</v>
      </c>
      <c r="AA120" s="14">
        <v>0.22675000000000001</v>
      </c>
      <c r="AB120" s="14">
        <v>7.6300000000000007E-2</v>
      </c>
      <c r="AD120">
        <f t="shared" si="43"/>
        <v>68.751606059658002</v>
      </c>
      <c r="AE120" s="14">
        <v>3.2872930000000002E-2</v>
      </c>
      <c r="AF120" s="14">
        <v>0.76506849315068404</v>
      </c>
      <c r="AG120" s="14">
        <v>0.234689766317485</v>
      </c>
      <c r="AH120" s="14">
        <v>5.7142900000000003E-3</v>
      </c>
      <c r="AI120" s="14">
        <v>0.113259668508287</v>
      </c>
      <c r="AJ120" s="14">
        <v>0.10773480662983401</v>
      </c>
      <c r="AK120" s="14">
        <v>4.8629500000000004E-3</v>
      </c>
      <c r="AL120" s="14">
        <v>5.5248600000000004E-3</v>
      </c>
      <c r="AM120" s="14">
        <v>5.5248600000000004E-3</v>
      </c>
      <c r="AN120" s="14">
        <v>0</v>
      </c>
      <c r="AO120" s="14">
        <v>1.15340460644327E-2</v>
      </c>
      <c r="AP120" s="14">
        <v>2.77407E-3</v>
      </c>
      <c r="AQ120" s="14">
        <v>8.7599800000000005E-3</v>
      </c>
    </row>
    <row r="121" spans="1:43">
      <c r="A121" s="14" t="s">
        <v>804</v>
      </c>
      <c r="B121" s="14" t="s">
        <v>123</v>
      </c>
      <c r="C121" s="14" t="s">
        <v>648</v>
      </c>
      <c r="D121">
        <v>505</v>
      </c>
      <c r="E121">
        <v>558</v>
      </c>
      <c r="F121" s="16">
        <f t="shared" si="23"/>
        <v>123.09463680022598</v>
      </c>
      <c r="G121" s="16">
        <f t="shared" si="24"/>
        <v>89.624846593168186</v>
      </c>
      <c r="H121" s="16">
        <f t="shared" si="25"/>
        <v>22.487953360126241</v>
      </c>
      <c r="I121" s="16">
        <f t="shared" si="26"/>
        <v>2.0621260764487088</v>
      </c>
      <c r="J121" s="16">
        <f t="shared" si="27"/>
        <v>8.4047272727272482</v>
      </c>
      <c r="K121" s="16">
        <f t="shared" si="28"/>
        <v>64.930909090908884</v>
      </c>
      <c r="L121" s="16">
        <f t="shared" si="29"/>
        <v>55.000000980000003</v>
      </c>
      <c r="M121" s="16">
        <f t="shared" si="30"/>
        <v>30.466799999999942</v>
      </c>
      <c r="N121" s="16">
        <f t="shared" si="31"/>
        <v>1.8110838599999999</v>
      </c>
      <c r="O121" s="16">
        <f t="shared" si="32"/>
        <v>96.67349999999999</v>
      </c>
      <c r="P121" s="16">
        <f t="shared" si="33"/>
        <v>14.183272727272666</v>
      </c>
      <c r="Q121" s="16">
        <f t="shared" si="34"/>
        <v>4.0581833400000002</v>
      </c>
      <c r="R121" s="16">
        <f t="shared" si="35"/>
        <v>2.98134378</v>
      </c>
      <c r="S121" s="16">
        <f t="shared" si="36"/>
        <v>20.39243922</v>
      </c>
      <c r="T121" s="16">
        <f t="shared" si="37"/>
        <v>4.0628593799999999</v>
      </c>
      <c r="U121" s="16">
        <f t="shared" si="38"/>
        <v>16.329579840000001</v>
      </c>
      <c r="V121">
        <f t="shared" si="39"/>
        <v>0.24375175604005145</v>
      </c>
      <c r="W121">
        <f t="shared" si="40"/>
        <v>0.31321724832506886</v>
      </c>
      <c r="X121">
        <f t="shared" si="41"/>
        <v>0.34535849630430854</v>
      </c>
      <c r="Y121">
        <f t="shared" si="42"/>
        <v>0.6585757446293774</v>
      </c>
      <c r="Z121" s="14">
        <v>0.28389999999999999</v>
      </c>
      <c r="AA121" s="14">
        <v>0.17324999999999999</v>
      </c>
      <c r="AB121" s="14">
        <v>5.4599999999999899E-2</v>
      </c>
      <c r="AD121">
        <f t="shared" si="43"/>
        <v>114.68990952749874</v>
      </c>
      <c r="AE121" s="14">
        <v>1.5062235255783599E-2</v>
      </c>
      <c r="AF121" s="14">
        <v>0.78145363408521296</v>
      </c>
      <c r="AG121" s="14">
        <v>0.196076127819548</v>
      </c>
      <c r="AH121" s="14">
        <v>1.7980013106159799E-2</v>
      </c>
      <c r="AI121" s="14">
        <v>0.116363636363636</v>
      </c>
      <c r="AJ121" s="14">
        <v>9.8566310000000004E-2</v>
      </c>
      <c r="AK121" s="14">
        <v>3.24567E-3</v>
      </c>
      <c r="AL121" s="14">
        <v>2.54180514825675E-2</v>
      </c>
      <c r="AM121" s="14">
        <v>7.2727299999999998E-3</v>
      </c>
      <c r="AN121" s="14">
        <v>5.3429100000000002E-3</v>
      </c>
      <c r="AO121" s="14">
        <v>3.6545590000000003E-2</v>
      </c>
      <c r="AP121" s="14">
        <v>7.2811100000000004E-3</v>
      </c>
      <c r="AQ121" s="14">
        <v>2.9264479985542501E-2</v>
      </c>
    </row>
    <row r="122" spans="1:43">
      <c r="A122" s="14" t="s">
        <v>811</v>
      </c>
      <c r="B122" s="14" t="s">
        <v>228</v>
      </c>
      <c r="C122" s="14" t="s">
        <v>87</v>
      </c>
      <c r="D122">
        <v>326</v>
      </c>
      <c r="E122">
        <v>368</v>
      </c>
      <c r="F122" s="16">
        <f t="shared" si="23"/>
        <v>76.505368049647998</v>
      </c>
      <c r="G122" s="16">
        <f t="shared" si="24"/>
        <v>50.511211722472787</v>
      </c>
      <c r="H122" s="16">
        <f t="shared" si="25"/>
        <v>13.073647844282139</v>
      </c>
      <c r="I122" s="16">
        <f t="shared" si="26"/>
        <v>1.0368569742400602</v>
      </c>
      <c r="J122" s="16">
        <f t="shared" si="27"/>
        <v>12.900000799999999</v>
      </c>
      <c r="K122" s="16">
        <f t="shared" si="28"/>
        <v>40.99999999999968</v>
      </c>
      <c r="L122" s="16">
        <f t="shared" si="29"/>
        <v>42.999999999999808</v>
      </c>
      <c r="M122" s="16">
        <f t="shared" si="30"/>
        <v>33.9664</v>
      </c>
      <c r="N122" s="16">
        <f t="shared" si="31"/>
        <v>0</v>
      </c>
      <c r="O122" s="16">
        <f t="shared" si="32"/>
        <v>74.759199999999993</v>
      </c>
      <c r="P122" s="16">
        <f t="shared" si="33"/>
        <v>4.00000176</v>
      </c>
      <c r="Q122" s="16">
        <f t="shared" si="34"/>
        <v>2.9999985599999999</v>
      </c>
      <c r="R122" s="16">
        <f t="shared" si="35"/>
        <v>0.89999920000000011</v>
      </c>
      <c r="S122" s="16">
        <f t="shared" si="36"/>
        <v>1.9932977599999999</v>
      </c>
      <c r="T122" s="16">
        <f t="shared" si="37"/>
        <v>0</v>
      </c>
      <c r="U122" s="16">
        <f t="shared" si="38"/>
        <v>1.9932977599999999</v>
      </c>
      <c r="V122">
        <f t="shared" si="39"/>
        <v>0.23467904309707974</v>
      </c>
      <c r="W122">
        <f t="shared" si="40"/>
        <v>0.31537842142907146</v>
      </c>
      <c r="X122">
        <f t="shared" si="41"/>
        <v>0.40297264274158667</v>
      </c>
      <c r="Y122">
        <f t="shared" si="42"/>
        <v>0.71835106417065808</v>
      </c>
      <c r="Z122" s="14">
        <v>0.26355000000000001</v>
      </c>
      <c r="AA122" s="14">
        <v>0.20315</v>
      </c>
      <c r="AB122" s="14">
        <v>9.2299999999999993E-2</v>
      </c>
      <c r="AD122">
        <f t="shared" si="43"/>
        <v>63.605367249648005</v>
      </c>
      <c r="AE122" s="14">
        <v>3.5054349999999998E-2</v>
      </c>
      <c r="AF122" s="14">
        <v>0.79413442460317396</v>
      </c>
      <c r="AG122" s="14">
        <v>0.20554315476190399</v>
      </c>
      <c r="AH122" s="14">
        <v>1.6301406926406799E-2</v>
      </c>
      <c r="AI122" s="14">
        <v>0.11141304347826</v>
      </c>
      <c r="AJ122" s="14">
        <v>0.116847826086956</v>
      </c>
      <c r="AK122" s="14">
        <v>0</v>
      </c>
      <c r="AL122" s="14">
        <v>1.086957E-2</v>
      </c>
      <c r="AM122" s="14">
        <v>8.1521700000000002E-3</v>
      </c>
      <c r="AN122" s="14">
        <v>2.4456500000000002E-3</v>
      </c>
      <c r="AO122" s="14">
        <v>5.4165699999999999E-3</v>
      </c>
      <c r="AP122" s="14">
        <v>0</v>
      </c>
      <c r="AQ122" s="14">
        <v>5.4165699999999999E-3</v>
      </c>
    </row>
    <row r="123" spans="1:43">
      <c r="A123" s="14" t="s">
        <v>817</v>
      </c>
      <c r="B123" s="14" t="s">
        <v>116</v>
      </c>
      <c r="C123" s="14" t="s">
        <v>87</v>
      </c>
      <c r="D123">
        <v>432</v>
      </c>
      <c r="E123">
        <v>474</v>
      </c>
      <c r="F123" s="16">
        <f t="shared" si="23"/>
        <v>111.20256002017199</v>
      </c>
      <c r="G123" s="16">
        <f t="shared" si="24"/>
        <v>72.364136433815418</v>
      </c>
      <c r="H123" s="16">
        <f t="shared" si="25"/>
        <v>22.347124462540819</v>
      </c>
      <c r="I123" s="16">
        <f t="shared" si="26"/>
        <v>2.3065646207964816</v>
      </c>
      <c r="J123" s="16">
        <f t="shared" si="27"/>
        <v>15.161288160000002</v>
      </c>
      <c r="K123" s="16">
        <f t="shared" si="28"/>
        <v>58.103225806451462</v>
      </c>
      <c r="L123" s="16">
        <f t="shared" si="29"/>
        <v>53.999999999999815</v>
      </c>
      <c r="M123" s="16">
        <f t="shared" si="30"/>
        <v>31.141799999999996</v>
      </c>
      <c r="N123" s="16">
        <f t="shared" si="31"/>
        <v>0.96390269999999989</v>
      </c>
      <c r="O123" s="16">
        <f t="shared" si="32"/>
        <v>114.16290000000001</v>
      </c>
      <c r="P123" s="16">
        <f t="shared" si="33"/>
        <v>7.1219353200000004</v>
      </c>
      <c r="Q123" s="16">
        <f t="shared" si="34"/>
        <v>3.8225824800000003</v>
      </c>
      <c r="R123" s="16">
        <f t="shared" si="35"/>
        <v>0</v>
      </c>
      <c r="S123" s="16">
        <f t="shared" si="36"/>
        <v>6.9090003000000006</v>
      </c>
      <c r="T123" s="16">
        <f t="shared" si="37"/>
        <v>1.8022949400000001</v>
      </c>
      <c r="U123" s="16">
        <f t="shared" si="38"/>
        <v>5.1067053600000003</v>
      </c>
      <c r="V123">
        <f t="shared" si="39"/>
        <v>0.25741333338002775</v>
      </c>
      <c r="W123">
        <f t="shared" si="40"/>
        <v>0.32148130985991874</v>
      </c>
      <c r="X123">
        <f t="shared" si="41"/>
        <v>0.42736859227149654</v>
      </c>
      <c r="Y123">
        <f t="shared" si="42"/>
        <v>0.74884990213141522</v>
      </c>
      <c r="Z123" s="14">
        <v>0.31335000000000002</v>
      </c>
      <c r="AA123" s="14">
        <v>0.24085000000000001</v>
      </c>
      <c r="AB123" s="14">
        <v>6.5699999999999995E-2</v>
      </c>
      <c r="AD123">
        <f t="shared" si="43"/>
        <v>96.041271860171989</v>
      </c>
      <c r="AE123" s="14">
        <v>3.1985840000000001E-2</v>
      </c>
      <c r="AF123" s="14">
        <v>0.75346915999999997</v>
      </c>
      <c r="AG123" s="14">
        <v>0.23268251273344601</v>
      </c>
      <c r="AH123" s="14">
        <v>2.4016389788700899E-2</v>
      </c>
      <c r="AI123" s="14">
        <v>0.12258064516129</v>
      </c>
      <c r="AJ123" s="14">
        <v>0.113924050632911</v>
      </c>
      <c r="AK123" s="14">
        <v>2.0335499999999999E-3</v>
      </c>
      <c r="AL123" s="14">
        <v>1.5025180000000001E-2</v>
      </c>
      <c r="AM123" s="14">
        <v>8.0645200000000004E-3</v>
      </c>
      <c r="AN123" s="14">
        <v>0</v>
      </c>
      <c r="AO123" s="14">
        <v>1.4575950000000001E-2</v>
      </c>
      <c r="AP123" s="14">
        <v>3.8023100000000002E-3</v>
      </c>
      <c r="AQ123" s="14">
        <v>1.0773639999999999E-2</v>
      </c>
    </row>
    <row r="124" spans="1:43">
      <c r="A124" s="14" t="s">
        <v>824</v>
      </c>
      <c r="B124" s="14" t="s">
        <v>40</v>
      </c>
      <c r="C124" s="14" t="s">
        <v>163</v>
      </c>
      <c r="D124">
        <v>404</v>
      </c>
      <c r="E124">
        <v>447</v>
      </c>
      <c r="F124" s="16">
        <f t="shared" si="23"/>
        <v>95.900615759578997</v>
      </c>
      <c r="G124" s="16">
        <f t="shared" si="24"/>
        <v>63.991536041875619</v>
      </c>
      <c r="H124" s="16">
        <f t="shared" si="25"/>
        <v>16.690900688375216</v>
      </c>
      <c r="I124" s="16">
        <f t="shared" si="26"/>
        <v>0.88992686454898606</v>
      </c>
      <c r="J124" s="16">
        <f t="shared" si="27"/>
        <v>14.95066149</v>
      </c>
      <c r="K124" s="16">
        <f t="shared" si="28"/>
        <v>49.446902654866953</v>
      </c>
      <c r="L124" s="16">
        <f t="shared" si="29"/>
        <v>52.000001700000006</v>
      </c>
      <c r="M124" s="16">
        <f t="shared" si="30"/>
        <v>35.536500000000004</v>
      </c>
      <c r="N124" s="16">
        <f t="shared" si="31"/>
        <v>0.24833979</v>
      </c>
      <c r="O124" s="16">
        <f t="shared" si="32"/>
        <v>110.63249999999999</v>
      </c>
      <c r="P124" s="16">
        <f t="shared" si="33"/>
        <v>2.9701317299999999</v>
      </c>
      <c r="Q124" s="16">
        <f t="shared" si="34"/>
        <v>1.97787666</v>
      </c>
      <c r="R124" s="16">
        <f t="shared" si="35"/>
        <v>0.89999874000000002</v>
      </c>
      <c r="S124" s="16">
        <f t="shared" si="36"/>
        <v>4.5102031800000004</v>
      </c>
      <c r="T124" s="16">
        <f t="shared" si="37"/>
        <v>1.05284592</v>
      </c>
      <c r="U124" s="16">
        <f t="shared" si="38"/>
        <v>3.4573572600000002</v>
      </c>
      <c r="V124">
        <f t="shared" si="39"/>
        <v>0.23737776178113612</v>
      </c>
      <c r="W124">
        <f t="shared" si="40"/>
        <v>0.30481428664163807</v>
      </c>
      <c r="X124">
        <f t="shared" si="41"/>
        <v>0.39565783161453716</v>
      </c>
      <c r="Y124">
        <f t="shared" si="42"/>
        <v>0.70047211825617528</v>
      </c>
      <c r="Z124" s="14">
        <v>0.28870000000000001</v>
      </c>
      <c r="AA124" s="14">
        <v>0.2475</v>
      </c>
      <c r="AB124" s="14">
        <v>7.9500000000000001E-2</v>
      </c>
      <c r="AD124">
        <f t="shared" si="43"/>
        <v>80.949954269578996</v>
      </c>
      <c r="AE124" s="14">
        <v>3.3446669999999998E-2</v>
      </c>
      <c r="AF124" s="14">
        <v>0.79050737729599496</v>
      </c>
      <c r="AG124" s="14">
        <v>0.20618789521228501</v>
      </c>
      <c r="AH124" s="14">
        <v>1.0993543758966899E-2</v>
      </c>
      <c r="AI124" s="14">
        <v>0.110619469026548</v>
      </c>
      <c r="AJ124" s="14">
        <v>0.11633110000000001</v>
      </c>
      <c r="AK124" s="14">
        <v>5.5557000000000002E-4</v>
      </c>
      <c r="AL124" s="14">
        <v>6.6445899999999997E-3</v>
      </c>
      <c r="AM124" s="14">
        <v>4.4247799999999997E-3</v>
      </c>
      <c r="AN124" s="14">
        <v>2.0134200000000001E-3</v>
      </c>
      <c r="AO124" s="14">
        <v>1.008994E-2</v>
      </c>
      <c r="AP124" s="14">
        <v>2.3553599999999999E-3</v>
      </c>
      <c r="AQ124" s="14">
        <v>7.7345799999999996E-3</v>
      </c>
    </row>
    <row r="125" spans="1:43">
      <c r="A125" s="14" t="s">
        <v>828</v>
      </c>
      <c r="B125" s="14" t="s">
        <v>293</v>
      </c>
      <c r="C125" s="14" t="s">
        <v>87</v>
      </c>
      <c r="D125">
        <v>381</v>
      </c>
      <c r="E125">
        <v>416</v>
      </c>
      <c r="F125" s="16">
        <f t="shared" si="23"/>
        <v>92.209329779204353</v>
      </c>
      <c r="G125" s="16">
        <f t="shared" si="24"/>
        <v>60.608010180873045</v>
      </c>
      <c r="H125" s="16">
        <f t="shared" si="25"/>
        <v>20.000137027105165</v>
      </c>
      <c r="I125" s="16">
        <f t="shared" si="26"/>
        <v>1.6924737728748271</v>
      </c>
      <c r="J125" s="16">
        <f t="shared" si="27"/>
        <v>11.19611650485432</v>
      </c>
      <c r="K125" s="16">
        <f t="shared" si="28"/>
        <v>42.407766990291044</v>
      </c>
      <c r="L125" s="16">
        <f t="shared" si="29"/>
        <v>48.999999999999773</v>
      </c>
      <c r="M125" s="16">
        <f t="shared" si="30"/>
        <v>24.751999999999999</v>
      </c>
      <c r="N125" s="16">
        <f t="shared" si="31"/>
        <v>0.96869760000000005</v>
      </c>
      <c r="O125" s="16">
        <f t="shared" si="32"/>
        <v>103.41759999999999</v>
      </c>
      <c r="P125" s="16">
        <f t="shared" si="33"/>
        <v>6.0524256000000003</v>
      </c>
      <c r="Q125" s="16">
        <f t="shared" si="34"/>
        <v>3.0291248</v>
      </c>
      <c r="R125" s="16">
        <f t="shared" si="35"/>
        <v>0.89999935999999991</v>
      </c>
      <c r="S125" s="16">
        <f t="shared" si="36"/>
        <v>0.98908160000000001</v>
      </c>
      <c r="T125" s="16">
        <f t="shared" si="37"/>
        <v>0.74999808000000001</v>
      </c>
      <c r="U125" s="16">
        <f t="shared" si="38"/>
        <v>0.23908351999999999</v>
      </c>
      <c r="V125">
        <f t="shared" si="39"/>
        <v>0.24201923826562821</v>
      </c>
      <c r="W125">
        <f t="shared" si="40"/>
        <v>0.30258085837111609</v>
      </c>
      <c r="X125">
        <f t="shared" si="41"/>
        <v>0.39493483352526282</v>
      </c>
      <c r="Y125">
        <f t="shared" si="42"/>
        <v>0.69751569189637896</v>
      </c>
      <c r="Z125" s="14">
        <v>0.30069999999999902</v>
      </c>
      <c r="AA125" s="14">
        <v>0.24859999999999999</v>
      </c>
      <c r="AB125" s="14">
        <v>5.9499999999999997E-2</v>
      </c>
      <c r="AD125">
        <f t="shared" si="43"/>
        <v>81.013213274350036</v>
      </c>
      <c r="AE125" s="14">
        <v>2.6913741598207499E-2</v>
      </c>
      <c r="AF125" s="14">
        <v>0.74812499999999904</v>
      </c>
      <c r="AG125" s="14">
        <v>0.24687500000000001</v>
      </c>
      <c r="AH125" s="14">
        <v>2.089133E-2</v>
      </c>
      <c r="AI125" s="14">
        <v>0.101941747572815</v>
      </c>
      <c r="AJ125" s="14">
        <v>0.117788461538461</v>
      </c>
      <c r="AK125" s="14">
        <v>2.3286000000000001E-3</v>
      </c>
      <c r="AL125" s="14">
        <v>1.4549100000000001E-2</v>
      </c>
      <c r="AM125" s="14">
        <v>7.2815500000000003E-3</v>
      </c>
      <c r="AN125" s="14">
        <v>2.1634599999999999E-3</v>
      </c>
      <c r="AO125" s="14">
        <v>2.3776000000000001E-3</v>
      </c>
      <c r="AP125" s="14">
        <v>1.80288E-3</v>
      </c>
      <c r="AQ125" s="14">
        <v>5.7470999999999998E-4</v>
      </c>
    </row>
    <row r="126" spans="1:43">
      <c r="A126" s="14" t="s">
        <v>834</v>
      </c>
      <c r="B126" s="14" t="s">
        <v>40</v>
      </c>
      <c r="C126" s="14" t="s">
        <v>163</v>
      </c>
      <c r="D126">
        <v>453</v>
      </c>
      <c r="E126">
        <v>509</v>
      </c>
      <c r="F126" s="16">
        <f t="shared" si="23"/>
        <v>109.919836060555</v>
      </c>
      <c r="G126" s="16">
        <f t="shared" si="24"/>
        <v>67.273184628515182</v>
      </c>
      <c r="H126" s="16">
        <f t="shared" si="25"/>
        <v>21.215961399957362</v>
      </c>
      <c r="I126" s="16">
        <f t="shared" si="26"/>
        <v>0</v>
      </c>
      <c r="J126" s="16">
        <f t="shared" si="27"/>
        <v>19.507801659999998</v>
      </c>
      <c r="K126" s="16">
        <f t="shared" si="28"/>
        <v>60.061999999999998</v>
      </c>
      <c r="L126" s="16">
        <f t="shared" si="29"/>
        <v>68.999999999999829</v>
      </c>
      <c r="M126" s="16">
        <f t="shared" si="30"/>
        <v>46.115400000000001</v>
      </c>
      <c r="N126" s="16">
        <f t="shared" si="31"/>
        <v>0.95187580999999999</v>
      </c>
      <c r="O126" s="16">
        <f t="shared" si="32"/>
        <v>103.6324</v>
      </c>
      <c r="P126" s="16">
        <f t="shared" si="33"/>
        <v>3.9647995100000002</v>
      </c>
      <c r="Q126" s="16">
        <f t="shared" si="34"/>
        <v>4.0720000000000001</v>
      </c>
      <c r="R126" s="16">
        <f t="shared" si="35"/>
        <v>1.9864488500000002</v>
      </c>
      <c r="S126" s="16">
        <f t="shared" si="36"/>
        <v>5.3814102564102431</v>
      </c>
      <c r="T126" s="16">
        <f t="shared" si="37"/>
        <v>2.0403417699999999</v>
      </c>
      <c r="U126" s="16">
        <f t="shared" si="38"/>
        <v>3.3410684864102431</v>
      </c>
      <c r="V126">
        <f t="shared" si="39"/>
        <v>0.24264864472528697</v>
      </c>
      <c r="W126">
        <f t="shared" si="40"/>
        <v>0.31926080570087251</v>
      </c>
      <c r="X126">
        <f t="shared" si="41"/>
        <v>0.41442894937843244</v>
      </c>
      <c r="Y126">
        <f t="shared" si="42"/>
        <v>0.73368975507930489</v>
      </c>
      <c r="Z126" s="14">
        <v>0.27074999999999999</v>
      </c>
      <c r="AA126" s="14">
        <v>0.2036</v>
      </c>
      <c r="AB126" s="14">
        <v>9.06E-2</v>
      </c>
      <c r="AD126">
        <f t="shared" si="43"/>
        <v>90.412034400555001</v>
      </c>
      <c r="AE126" s="14">
        <v>3.8325739999999997E-2</v>
      </c>
      <c r="AF126" s="14">
        <v>0.74407334238794898</v>
      </c>
      <c r="AG126" s="14">
        <v>0.23465859982713899</v>
      </c>
      <c r="AH126" s="14">
        <v>0</v>
      </c>
      <c r="AI126" s="14">
        <v>0.11799999999999999</v>
      </c>
      <c r="AJ126" s="14">
        <v>0.13555992141453799</v>
      </c>
      <c r="AK126" s="14">
        <v>1.87009E-3</v>
      </c>
      <c r="AL126" s="14">
        <v>7.7893900000000002E-3</v>
      </c>
      <c r="AM126" s="14">
        <v>8.0000000000000002E-3</v>
      </c>
      <c r="AN126" s="14">
        <v>3.9026500000000001E-3</v>
      </c>
      <c r="AO126" s="14">
        <v>1.0572515238527E-2</v>
      </c>
      <c r="AP126" s="14">
        <v>4.0085299999999997E-3</v>
      </c>
      <c r="AQ126" s="14">
        <v>6.5639899999999996E-3</v>
      </c>
    </row>
    <row r="127" spans="1:43">
      <c r="A127" s="14" t="s">
        <v>841</v>
      </c>
      <c r="B127" s="14" t="s">
        <v>293</v>
      </c>
      <c r="C127" s="14" t="s">
        <v>352</v>
      </c>
      <c r="D127">
        <v>311</v>
      </c>
      <c r="E127">
        <v>330</v>
      </c>
      <c r="F127" s="16">
        <f t="shared" si="23"/>
        <v>72.508076936749774</v>
      </c>
      <c r="G127" s="16">
        <f t="shared" si="24"/>
        <v>48.930830425769287</v>
      </c>
      <c r="H127" s="16">
        <f t="shared" si="25"/>
        <v>14.91705603700599</v>
      </c>
      <c r="I127" s="16">
        <f t="shared" si="26"/>
        <v>1.0812160887445033</v>
      </c>
      <c r="J127" s="16">
        <f t="shared" si="27"/>
        <v>8.3910552000000003</v>
      </c>
      <c r="K127" s="16">
        <f t="shared" si="28"/>
        <v>33.738019169328872</v>
      </c>
      <c r="L127" s="16">
        <f t="shared" si="29"/>
        <v>37.99999999999995</v>
      </c>
      <c r="M127" s="16">
        <f t="shared" si="30"/>
        <v>12.671999999999999</v>
      </c>
      <c r="N127" s="16">
        <f t="shared" si="31"/>
        <v>0</v>
      </c>
      <c r="O127" s="16">
        <f t="shared" si="32"/>
        <v>78.754500000000007</v>
      </c>
      <c r="P127" s="16">
        <f t="shared" si="33"/>
        <v>4.1955276000000001</v>
      </c>
      <c r="Q127" s="16">
        <f t="shared" si="34"/>
        <v>2.1086274</v>
      </c>
      <c r="R127" s="16">
        <f t="shared" si="35"/>
        <v>0</v>
      </c>
      <c r="S127" s="16">
        <f t="shared" si="36"/>
        <v>5.0357142000000001</v>
      </c>
      <c r="T127" s="16">
        <f t="shared" si="37"/>
        <v>1.0685334</v>
      </c>
      <c r="U127" s="16">
        <f t="shared" si="38"/>
        <v>3.9671808000000004</v>
      </c>
      <c r="V127">
        <f t="shared" si="39"/>
        <v>0.23314494191880955</v>
      </c>
      <c r="W127">
        <f t="shared" si="40"/>
        <v>0.27434290752658108</v>
      </c>
      <c r="X127">
        <f t="shared" si="41"/>
        <v>0.37161675744699285</v>
      </c>
      <c r="Y127">
        <f t="shared" si="42"/>
        <v>0.64595966497357393</v>
      </c>
      <c r="Z127" s="14">
        <v>0.283749999999999</v>
      </c>
      <c r="AA127" s="14">
        <v>0.23865</v>
      </c>
      <c r="AB127" s="14">
        <v>3.8399999999999997E-2</v>
      </c>
      <c r="AD127">
        <f t="shared" si="43"/>
        <v>64.117021736749777</v>
      </c>
      <c r="AE127" s="14">
        <v>2.5427439999999999E-2</v>
      </c>
      <c r="AF127" s="14">
        <v>0.76314883474576201</v>
      </c>
      <c r="AG127" s="14">
        <v>0.232653601694915</v>
      </c>
      <c r="AH127" s="14">
        <v>1.6863167680865401E-2</v>
      </c>
      <c r="AI127" s="14">
        <v>0.102236421725239</v>
      </c>
      <c r="AJ127" s="14">
        <v>0.115151515151515</v>
      </c>
      <c r="AK127" s="14">
        <v>0</v>
      </c>
      <c r="AL127" s="14">
        <v>1.271372E-2</v>
      </c>
      <c r="AM127" s="14">
        <v>6.3897800000000003E-3</v>
      </c>
      <c r="AN127" s="14">
        <v>0</v>
      </c>
      <c r="AO127" s="14">
        <v>1.5259740000000001E-2</v>
      </c>
      <c r="AP127" s="14">
        <v>3.2379800000000001E-3</v>
      </c>
      <c r="AQ127" s="14">
        <v>1.2021759999999999E-2</v>
      </c>
    </row>
    <row r="128" spans="1:43">
      <c r="A128" s="14" t="s">
        <v>848</v>
      </c>
      <c r="B128" s="14" t="s">
        <v>74</v>
      </c>
      <c r="C128" s="14" t="s">
        <v>34</v>
      </c>
      <c r="D128">
        <v>518</v>
      </c>
      <c r="E128">
        <v>598</v>
      </c>
      <c r="F128" s="16">
        <f t="shared" si="23"/>
        <v>124.23286774999002</v>
      </c>
      <c r="G128" s="16">
        <f t="shared" si="24"/>
        <v>88.820388049721387</v>
      </c>
      <c r="H128" s="16">
        <f t="shared" si="25"/>
        <v>23.404879176692106</v>
      </c>
      <c r="I128" s="16">
        <f t="shared" si="26"/>
        <v>1.0527783319917108</v>
      </c>
      <c r="J128" s="16">
        <f t="shared" si="27"/>
        <v>10.2220326</v>
      </c>
      <c r="K128" s="16">
        <f t="shared" si="28"/>
        <v>62.840677966101175</v>
      </c>
      <c r="L128" s="16">
        <f t="shared" si="29"/>
        <v>54.999997520000001</v>
      </c>
      <c r="M128" s="16">
        <f t="shared" si="30"/>
        <v>66.078999999999397</v>
      </c>
      <c r="N128" s="16">
        <f t="shared" si="31"/>
        <v>0.95611827999999999</v>
      </c>
      <c r="O128" s="16">
        <f t="shared" si="32"/>
        <v>115.08510000000001</v>
      </c>
      <c r="P128" s="16">
        <f t="shared" si="33"/>
        <v>5.06101752</v>
      </c>
      <c r="Q128" s="16">
        <f t="shared" si="34"/>
        <v>3.0406805000000001</v>
      </c>
      <c r="R128" s="16">
        <f t="shared" si="35"/>
        <v>3.07550802</v>
      </c>
      <c r="S128" s="16">
        <f t="shared" si="36"/>
        <v>5.9081622600000001</v>
      </c>
      <c r="T128" s="16">
        <f t="shared" si="37"/>
        <v>1.0454535</v>
      </c>
      <c r="U128" s="16">
        <f t="shared" si="38"/>
        <v>4.8627087600000003</v>
      </c>
      <c r="V128">
        <f t="shared" si="39"/>
        <v>0.23983179102314675</v>
      </c>
      <c r="W128">
        <f t="shared" si="40"/>
        <v>0.3338498267694171</v>
      </c>
      <c r="X128">
        <f t="shared" si="41"/>
        <v>0.34686604594417125</v>
      </c>
      <c r="Y128">
        <f t="shared" si="42"/>
        <v>0.68071587271358835</v>
      </c>
      <c r="Z128" s="14">
        <v>0.28810000000000002</v>
      </c>
      <c r="AA128" s="14">
        <v>0.19245000000000001</v>
      </c>
      <c r="AB128" s="14">
        <v>0.110499999999999</v>
      </c>
      <c r="AD128">
        <f t="shared" si="43"/>
        <v>114.01083514999002</v>
      </c>
      <c r="AE128" s="14">
        <v>1.70937E-2</v>
      </c>
      <c r="AF128" s="14">
        <v>0.77905216581276104</v>
      </c>
      <c r="AG128" s="14">
        <v>0.20528644620400499</v>
      </c>
      <c r="AH128" s="14">
        <v>9.2340200000000008E-3</v>
      </c>
      <c r="AI128" s="14">
        <v>0.105084745762711</v>
      </c>
      <c r="AJ128" s="14">
        <v>9.1973239999999998E-2</v>
      </c>
      <c r="AK128" s="14">
        <v>1.5988599999999999E-3</v>
      </c>
      <c r="AL128" s="14">
        <v>8.4632400000000003E-3</v>
      </c>
      <c r="AM128" s="14">
        <v>5.0847499999999999E-3</v>
      </c>
      <c r="AN128" s="14">
        <v>5.1429900000000001E-3</v>
      </c>
      <c r="AO128" s="14">
        <v>9.8798700000000007E-3</v>
      </c>
      <c r="AP128" s="14">
        <v>1.74825E-3</v>
      </c>
      <c r="AQ128" s="14">
        <v>8.1316200000000009E-3</v>
      </c>
    </row>
    <row r="129" spans="1:43">
      <c r="A129" s="14" t="s">
        <v>855</v>
      </c>
      <c r="B129" s="14" t="s">
        <v>19</v>
      </c>
      <c r="C129" s="14" t="s">
        <v>20</v>
      </c>
      <c r="D129">
        <v>354</v>
      </c>
      <c r="E129">
        <v>397</v>
      </c>
      <c r="F129" s="16">
        <f t="shared" si="23"/>
        <v>78.2689501675613</v>
      </c>
      <c r="G129" s="16">
        <f t="shared" si="24"/>
        <v>41.960923855745015</v>
      </c>
      <c r="H129" s="16">
        <f t="shared" si="25"/>
        <v>12.069658996708661</v>
      </c>
      <c r="I129" s="16">
        <f t="shared" si="26"/>
        <v>0</v>
      </c>
      <c r="J129" s="16">
        <f t="shared" si="27"/>
        <v>24.009367088607533</v>
      </c>
      <c r="K129" s="16">
        <f t="shared" si="28"/>
        <v>48.243037974683482</v>
      </c>
      <c r="L129" s="16">
        <f t="shared" si="29"/>
        <v>63.99999999999978</v>
      </c>
      <c r="M129" s="16">
        <f t="shared" si="30"/>
        <v>37.437100000000001</v>
      </c>
      <c r="N129" s="16">
        <f t="shared" si="31"/>
        <v>1.9434063100000001</v>
      </c>
      <c r="O129" s="16">
        <f t="shared" si="32"/>
        <v>123.14939999999999</v>
      </c>
      <c r="P129" s="16">
        <f t="shared" si="33"/>
        <v>2.0091137800000003</v>
      </c>
      <c r="Q129" s="16">
        <f t="shared" si="34"/>
        <v>2.0101261299999997</v>
      </c>
      <c r="R129" s="16">
        <f t="shared" si="35"/>
        <v>0</v>
      </c>
      <c r="S129" s="16">
        <f t="shared" si="36"/>
        <v>0.24031600999999997</v>
      </c>
      <c r="T129" s="16">
        <f t="shared" si="37"/>
        <v>0</v>
      </c>
      <c r="U129" s="16">
        <f t="shared" si="38"/>
        <v>0.24031600999999997</v>
      </c>
      <c r="V129">
        <f t="shared" si="39"/>
        <v>0.22109872928689633</v>
      </c>
      <c r="W129">
        <f t="shared" si="40"/>
        <v>0.30263380171435733</v>
      </c>
      <c r="X129">
        <f t="shared" si="41"/>
        <v>0.45801613051862278</v>
      </c>
      <c r="Y129">
        <f t="shared" si="42"/>
        <v>0.76064993223298005</v>
      </c>
      <c r="Z129" s="14">
        <v>0.25979999999999998</v>
      </c>
      <c r="AA129" s="14">
        <v>0.31019999999999998</v>
      </c>
      <c r="AB129" s="14">
        <v>9.4299999999999995E-2</v>
      </c>
      <c r="AD129">
        <f t="shared" si="43"/>
        <v>54.259583078953767</v>
      </c>
      <c r="AE129" s="14">
        <v>6.0476995185409402E-2</v>
      </c>
      <c r="AF129" s="14">
        <v>0.773336643495531</v>
      </c>
      <c r="AG129" s="14">
        <v>0.222442899702085</v>
      </c>
      <c r="AH129" s="14">
        <v>0</v>
      </c>
      <c r="AI129" s="14">
        <v>0.12151898734177199</v>
      </c>
      <c r="AJ129" s="14">
        <v>0.16120906801007501</v>
      </c>
      <c r="AK129" s="14">
        <v>4.8952300000000004E-3</v>
      </c>
      <c r="AL129" s="14">
        <v>5.0607400000000002E-3</v>
      </c>
      <c r="AM129" s="14">
        <v>5.0632899999999998E-3</v>
      </c>
      <c r="AN129" s="14">
        <v>0</v>
      </c>
      <c r="AO129" s="14">
        <v>6.0532999999999995E-4</v>
      </c>
      <c r="AP129" s="14">
        <v>0</v>
      </c>
      <c r="AQ129" s="14">
        <v>6.0532999999999995E-4</v>
      </c>
    </row>
    <row r="130" spans="1:43">
      <c r="A130" s="14" t="s">
        <v>862</v>
      </c>
      <c r="B130" s="14" t="s">
        <v>200</v>
      </c>
      <c r="C130" s="14" t="s">
        <v>49</v>
      </c>
      <c r="D130">
        <v>421</v>
      </c>
      <c r="E130">
        <v>489</v>
      </c>
      <c r="F130" s="16">
        <f t="shared" si="23"/>
        <v>99.200601903425991</v>
      </c>
      <c r="G130" s="16">
        <f t="shared" si="24"/>
        <v>62.705615197131522</v>
      </c>
      <c r="H130" s="16">
        <f t="shared" si="25"/>
        <v>18.138916092310094</v>
      </c>
      <c r="I130" s="16">
        <f t="shared" si="26"/>
        <v>0.85492262951892595</v>
      </c>
      <c r="J130" s="16">
        <f t="shared" si="27"/>
        <v>18.333607559999997</v>
      </c>
      <c r="K130" s="16">
        <f t="shared" si="28"/>
        <v>57.470103092783361</v>
      </c>
      <c r="L130" s="16">
        <f t="shared" si="29"/>
        <v>61.999999999999645</v>
      </c>
      <c r="M130" s="16">
        <f t="shared" si="30"/>
        <v>54.083400000000005</v>
      </c>
      <c r="N130" s="16">
        <f t="shared" si="31"/>
        <v>0</v>
      </c>
      <c r="O130" s="16">
        <f t="shared" si="32"/>
        <v>82.323149999999998</v>
      </c>
      <c r="P130" s="16">
        <f t="shared" si="33"/>
        <v>9.1668037799999986</v>
      </c>
      <c r="Q130" s="16">
        <f t="shared" si="34"/>
        <v>4.0329883799999999</v>
      </c>
      <c r="R130" s="16">
        <f t="shared" si="35"/>
        <v>0</v>
      </c>
      <c r="S130" s="16">
        <f t="shared" si="36"/>
        <v>1.00682655</v>
      </c>
      <c r="T130" s="16">
        <f t="shared" si="37"/>
        <v>1.0095551700000001</v>
      </c>
      <c r="U130" s="16">
        <f t="shared" si="38"/>
        <v>-2.7286200000000704E-3</v>
      </c>
      <c r="V130">
        <f t="shared" si="39"/>
        <v>0.23563088338105936</v>
      </c>
      <c r="W130">
        <f t="shared" si="40"/>
        <v>0.33906334582440112</v>
      </c>
      <c r="X130">
        <f t="shared" si="41"/>
        <v>0.4153982078629655</v>
      </c>
      <c r="Y130">
        <f t="shared" si="42"/>
        <v>0.75446155368736667</v>
      </c>
      <c r="Z130" s="14">
        <v>0.24929999999999999</v>
      </c>
      <c r="AA130" s="14">
        <v>0.16835</v>
      </c>
      <c r="AB130" s="14">
        <v>0.1106</v>
      </c>
      <c r="AD130">
        <f t="shared" si="43"/>
        <v>80.866994343426001</v>
      </c>
      <c r="AE130" s="14">
        <v>3.7492039999999997E-2</v>
      </c>
      <c r="AF130" s="14">
        <v>0.77541666666666598</v>
      </c>
      <c r="AG130" s="14">
        <v>0.22430555555555501</v>
      </c>
      <c r="AH130" s="14">
        <v>1.057196E-2</v>
      </c>
      <c r="AI130" s="14">
        <v>0.117525773195876</v>
      </c>
      <c r="AJ130" s="14">
        <v>0.12678936605316901</v>
      </c>
      <c r="AK130" s="14">
        <v>0</v>
      </c>
      <c r="AL130" s="14">
        <v>1.8746019999999999E-2</v>
      </c>
      <c r="AM130" s="14">
        <v>8.2474200000000001E-3</v>
      </c>
      <c r="AN130" s="14">
        <v>0</v>
      </c>
      <c r="AO130" s="14">
        <v>2.0589499999999999E-3</v>
      </c>
      <c r="AP130" s="14">
        <v>2.0645300000000002E-3</v>
      </c>
      <c r="AQ130" s="15">
        <v>-5.5799999999999999E-6</v>
      </c>
    </row>
    <row r="131" spans="1:43">
      <c r="A131" s="14" t="s">
        <v>867</v>
      </c>
      <c r="B131" s="14" t="s">
        <v>293</v>
      </c>
      <c r="C131" s="14" t="s">
        <v>868</v>
      </c>
      <c r="D131">
        <v>391</v>
      </c>
      <c r="E131">
        <v>436</v>
      </c>
      <c r="F131" s="16">
        <f t="shared" ref="F131:F194" si="44">J131+AD131</f>
        <v>91.411911910440011</v>
      </c>
      <c r="G131" s="16">
        <f t="shared" ref="G131:G194" si="45">$AD131*AF131</f>
        <v>60.576849569953772</v>
      </c>
      <c r="H131" s="16">
        <f t="shared" ref="H131:H194" si="46">$AD131*AG131</f>
        <v>17.389270792936436</v>
      </c>
      <c r="I131" s="16">
        <f t="shared" ref="I131:I194" si="47">$AD131*AH131</f>
        <v>5.2526272153030096</v>
      </c>
      <c r="J131" s="16">
        <f t="shared" ref="J131:J194" si="48">$E131*AE131</f>
        <v>8.3037726000000003</v>
      </c>
      <c r="K131" s="16">
        <f t="shared" ref="K131:K194" si="49">$E131*AI131</f>
        <v>52.443396226414862</v>
      </c>
      <c r="L131" s="16">
        <f t="shared" ref="L131:L194" si="50">$E131*AJ131</f>
        <v>38.999999439999996</v>
      </c>
      <c r="M131" s="16">
        <f t="shared" ref="M131:M194" si="51">$E131*AB131</f>
        <v>36.624000000000002</v>
      </c>
      <c r="N131" s="16">
        <f t="shared" ref="N131:N194" si="52">$E131*AK131</f>
        <v>0.95147408</v>
      </c>
      <c r="O131" s="16">
        <f t="shared" ref="O131:O194" si="53">$E131*AA131</f>
        <v>94.938999999999993</v>
      </c>
      <c r="P131" s="16">
        <f t="shared" ref="P131:P194" si="54">$E131*AL131</f>
        <v>4.1018879999999998</v>
      </c>
      <c r="Q131" s="16">
        <f t="shared" ref="Q131:Q194" si="55">$E131*AM131</f>
        <v>3.0849049200000001</v>
      </c>
      <c r="R131" s="16">
        <f t="shared" ref="R131:R194" si="56">$E131*AN131</f>
        <v>0.99296383999999993</v>
      </c>
      <c r="S131" s="16">
        <f t="shared" ref="S131:S194" si="57">$E131*AO131</f>
        <v>14.968551440000001</v>
      </c>
      <c r="T131" s="16">
        <f t="shared" ref="T131:T194" si="58">$E131*AP131</f>
        <v>3.8471506400000002</v>
      </c>
      <c r="U131" s="16">
        <f t="shared" ref="U131:U194" si="59">S131-T131</f>
        <v>11.1214008</v>
      </c>
      <c r="V131">
        <f t="shared" ref="V131:V194" si="60">F131/D131</f>
        <v>0.23379005603693098</v>
      </c>
      <c r="W131">
        <f t="shared" ref="W131:W194" si="61">(F131+M131+N131+P131)/(D131+M131+N131+Q131)</f>
        <v>0.30831941142886315</v>
      </c>
      <c r="X131">
        <f t="shared" ref="X131:X194" si="62">(G131+H131*2+I131*3+J131*4)/D131</f>
        <v>0.36912624859778942</v>
      </c>
      <c r="Y131">
        <f t="shared" ref="Y131:Y194" si="63">W131+X131</f>
        <v>0.67744566002665252</v>
      </c>
      <c r="Z131" s="14">
        <v>0.28575</v>
      </c>
      <c r="AA131" s="14">
        <v>0.21775</v>
      </c>
      <c r="AB131" s="14">
        <v>8.4000000000000005E-2</v>
      </c>
      <c r="AD131">
        <f t="shared" ref="AD131:AD194" si="64">(D131-J131-O131+Q131)*Z131</f>
        <v>83.108139310440009</v>
      </c>
      <c r="AE131" s="14">
        <v>1.9045349999999999E-2</v>
      </c>
      <c r="AF131" s="14">
        <v>0.72889190003011095</v>
      </c>
      <c r="AG131" s="14">
        <v>0.20923667570009</v>
      </c>
      <c r="AH131" s="14">
        <v>6.3202320000000006E-2</v>
      </c>
      <c r="AI131" s="14">
        <v>0.120283018867924</v>
      </c>
      <c r="AJ131" s="14">
        <v>8.9449539999999994E-2</v>
      </c>
      <c r="AK131" s="14">
        <v>2.18228E-3</v>
      </c>
      <c r="AL131" s="14">
        <v>9.4079999999999997E-3</v>
      </c>
      <c r="AM131" s="14">
        <v>7.0754700000000004E-3</v>
      </c>
      <c r="AN131" s="14">
        <v>2.2774399999999999E-3</v>
      </c>
      <c r="AO131" s="14">
        <v>3.4331540000000001E-2</v>
      </c>
      <c r="AP131" s="14">
        <v>8.8237400000000001E-3</v>
      </c>
      <c r="AQ131" s="14">
        <v>2.5507797815464299E-2</v>
      </c>
    </row>
    <row r="132" spans="1:43">
      <c r="A132" s="14" t="s">
        <v>873</v>
      </c>
      <c r="B132" s="14" t="s">
        <v>92</v>
      </c>
      <c r="C132" s="14" t="s">
        <v>49</v>
      </c>
      <c r="D132">
        <v>504</v>
      </c>
      <c r="E132">
        <v>551</v>
      </c>
      <c r="F132" s="16">
        <f t="shared" si="44"/>
        <v>126.77728452951099</v>
      </c>
      <c r="G132" s="16">
        <f t="shared" si="45"/>
        <v>86.115893468867014</v>
      </c>
      <c r="H132" s="16">
        <f t="shared" si="46"/>
        <v>24.229045601132572</v>
      </c>
      <c r="I132" s="16">
        <f t="shared" si="47"/>
        <v>1.2719184890811432</v>
      </c>
      <c r="J132" s="16">
        <f t="shared" si="48"/>
        <v>16.239116080000002</v>
      </c>
      <c r="K132" s="16">
        <f t="shared" si="49"/>
        <v>57.946494464944315</v>
      </c>
      <c r="L132" s="16">
        <f t="shared" si="50"/>
        <v>67.999999999999673</v>
      </c>
      <c r="M132" s="16">
        <f t="shared" si="51"/>
        <v>35.925199999999997</v>
      </c>
      <c r="N132" s="16">
        <f t="shared" si="52"/>
        <v>3.3831344899999998</v>
      </c>
      <c r="O132" s="16">
        <f t="shared" si="53"/>
        <v>77.443049999999999</v>
      </c>
      <c r="P132" s="16">
        <f t="shared" si="54"/>
        <v>4.0597790200000006</v>
      </c>
      <c r="Q132" s="16">
        <f t="shared" si="55"/>
        <v>5.08302459</v>
      </c>
      <c r="R132" s="16">
        <f t="shared" si="56"/>
        <v>0</v>
      </c>
      <c r="S132" s="16">
        <f t="shared" si="57"/>
        <v>2.9445384899999998</v>
      </c>
      <c r="T132" s="16">
        <f t="shared" si="58"/>
        <v>1.01695866</v>
      </c>
      <c r="U132" s="16">
        <f t="shared" si="59"/>
        <v>1.9275798299999998</v>
      </c>
      <c r="V132">
        <f t="shared" si="60"/>
        <v>0.25154223120934721</v>
      </c>
      <c r="W132">
        <f t="shared" si="61"/>
        <v>0.31026272610303834</v>
      </c>
      <c r="X132">
        <f t="shared" si="62"/>
        <v>0.40346469138566587</v>
      </c>
      <c r="Y132">
        <f t="shared" si="63"/>
        <v>0.71372741748870427</v>
      </c>
      <c r="Z132" s="14">
        <v>0.2661</v>
      </c>
      <c r="AA132" s="14">
        <v>0.14055000000000001</v>
      </c>
      <c r="AB132" s="14">
        <v>6.5199999999999994E-2</v>
      </c>
      <c r="AD132">
        <f t="shared" si="64"/>
        <v>110.53816844951099</v>
      </c>
      <c r="AE132" s="14">
        <v>2.9472080000000001E-2</v>
      </c>
      <c r="AF132" s="14">
        <v>0.77906025291346304</v>
      </c>
      <c r="AG132" s="14">
        <v>0.21919166873295301</v>
      </c>
      <c r="AH132" s="14">
        <v>1.1506600000000001E-2</v>
      </c>
      <c r="AI132" s="14">
        <v>0.105166051660516</v>
      </c>
      <c r="AJ132" s="14">
        <v>0.123411978221415</v>
      </c>
      <c r="AK132" s="14">
        <v>6.1399899999999997E-3</v>
      </c>
      <c r="AL132" s="14">
        <v>7.3680200000000003E-3</v>
      </c>
      <c r="AM132" s="14">
        <v>9.22509E-3</v>
      </c>
      <c r="AN132" s="14">
        <v>0</v>
      </c>
      <c r="AO132" s="14">
        <v>5.3439899999999999E-3</v>
      </c>
      <c r="AP132" s="14">
        <v>1.8456600000000001E-3</v>
      </c>
      <c r="AQ132" s="14">
        <v>3.49833E-3</v>
      </c>
    </row>
    <row r="133" spans="1:43">
      <c r="A133" s="14" t="s">
        <v>878</v>
      </c>
      <c r="B133" s="14" t="s">
        <v>692</v>
      </c>
      <c r="C133" s="14" t="s">
        <v>879</v>
      </c>
      <c r="D133">
        <v>431</v>
      </c>
      <c r="E133">
        <v>487</v>
      </c>
      <c r="F133" s="16">
        <f t="shared" si="44"/>
        <v>104.81039258270999</v>
      </c>
      <c r="G133" s="16">
        <f t="shared" si="45"/>
        <v>73.058693393801818</v>
      </c>
      <c r="H133" s="16">
        <f t="shared" si="46"/>
        <v>21.430336346536375</v>
      </c>
      <c r="I133" s="16">
        <f t="shared" si="47"/>
        <v>1.1907440542932912</v>
      </c>
      <c r="J133" s="16">
        <f t="shared" si="48"/>
        <v>8.3818933599999994</v>
      </c>
      <c r="K133" s="16">
        <f t="shared" si="49"/>
        <v>50.237894736842058</v>
      </c>
      <c r="L133" s="16">
        <f t="shared" si="50"/>
        <v>48.000000809999996</v>
      </c>
      <c r="M133" s="16">
        <f t="shared" si="51"/>
        <v>41.5411</v>
      </c>
      <c r="N133" s="16">
        <f t="shared" si="52"/>
        <v>0.93143133</v>
      </c>
      <c r="O133" s="16">
        <f t="shared" si="53"/>
        <v>84.957149999999999</v>
      </c>
      <c r="P133" s="16">
        <f t="shared" si="54"/>
        <v>6.2364197299999997</v>
      </c>
      <c r="Q133" s="16">
        <f t="shared" si="55"/>
        <v>3.0757897299999999</v>
      </c>
      <c r="R133" s="16">
        <f t="shared" si="56"/>
        <v>0.90000035</v>
      </c>
      <c r="S133" s="16">
        <f t="shared" si="57"/>
        <v>10.960575139146552</v>
      </c>
      <c r="T133" s="16">
        <f t="shared" si="58"/>
        <v>2.3474471399999999</v>
      </c>
      <c r="U133" s="16">
        <f t="shared" si="59"/>
        <v>8.6131279991465526</v>
      </c>
      <c r="V133">
        <f t="shared" si="60"/>
        <v>0.24317956515709976</v>
      </c>
      <c r="W133">
        <f t="shared" si="61"/>
        <v>0.322148535328448</v>
      </c>
      <c r="X133">
        <f t="shared" si="62"/>
        <v>0.35503288095070634</v>
      </c>
      <c r="Y133">
        <f t="shared" si="63"/>
        <v>0.67718141627915429</v>
      </c>
      <c r="Z133" s="14">
        <v>0.28299999999999997</v>
      </c>
      <c r="AA133" s="14">
        <v>0.17444999999999999</v>
      </c>
      <c r="AB133" s="14">
        <v>8.5300000000000001E-2</v>
      </c>
      <c r="AD133">
        <f t="shared" si="64"/>
        <v>96.428499222709988</v>
      </c>
      <c r="AE133" s="14">
        <v>1.7211279999999999E-2</v>
      </c>
      <c r="AF133" s="14">
        <v>0.75764627659574402</v>
      </c>
      <c r="AG133" s="14">
        <v>0.22224069148936099</v>
      </c>
      <c r="AH133" s="14">
        <v>1.2348466105888099E-2</v>
      </c>
      <c r="AI133" s="14">
        <v>0.103157894736842</v>
      </c>
      <c r="AJ133" s="14">
        <v>9.8562629999999998E-2</v>
      </c>
      <c r="AK133" s="14">
        <v>1.91259E-3</v>
      </c>
      <c r="AL133" s="14">
        <v>1.2805789999999999E-2</v>
      </c>
      <c r="AM133" s="14">
        <v>6.3157899999999999E-3</v>
      </c>
      <c r="AN133" s="14">
        <v>1.84805E-3</v>
      </c>
      <c r="AO133" s="14">
        <v>2.2506314454099698E-2</v>
      </c>
      <c r="AP133" s="14">
        <v>4.8202200000000001E-3</v>
      </c>
      <c r="AQ133" s="14">
        <v>1.76860931074392E-2</v>
      </c>
    </row>
    <row r="134" spans="1:43">
      <c r="A134" s="14" t="s">
        <v>883</v>
      </c>
      <c r="B134" s="14" t="s">
        <v>243</v>
      </c>
      <c r="C134" s="14" t="s">
        <v>884</v>
      </c>
      <c r="D134">
        <v>560</v>
      </c>
      <c r="E134">
        <v>605</v>
      </c>
      <c r="F134" s="16">
        <f t="shared" si="44"/>
        <v>164.82033403157499</v>
      </c>
      <c r="G134" s="16">
        <f t="shared" si="45"/>
        <v>135.16641240281371</v>
      </c>
      <c r="H134" s="16">
        <f t="shared" si="46"/>
        <v>25.745124525384604</v>
      </c>
      <c r="I134" s="16">
        <f t="shared" si="47"/>
        <v>3.017301496414591</v>
      </c>
      <c r="J134" s="16">
        <f t="shared" si="48"/>
        <v>0.40000180000000002</v>
      </c>
      <c r="K134" s="16">
        <f t="shared" si="49"/>
        <v>64.892739273927234</v>
      </c>
      <c r="L134" s="16">
        <f t="shared" si="50"/>
        <v>54.000000999999997</v>
      </c>
      <c r="M134" s="16">
        <f t="shared" si="51"/>
        <v>32.307000000000002</v>
      </c>
      <c r="N134" s="16">
        <f t="shared" si="52"/>
        <v>2.1059203000000002</v>
      </c>
      <c r="O134" s="16">
        <f t="shared" si="53"/>
        <v>24.6235</v>
      </c>
      <c r="P134" s="16">
        <f t="shared" si="54"/>
        <v>3.9940587499999998</v>
      </c>
      <c r="Q134" s="16">
        <f t="shared" si="55"/>
        <v>4.9917521500000008</v>
      </c>
      <c r="R134" s="16">
        <f t="shared" si="56"/>
        <v>6.0797752808988035</v>
      </c>
      <c r="S134" s="16">
        <f t="shared" si="57"/>
        <v>7.9422150882824143</v>
      </c>
      <c r="T134" s="16">
        <f t="shared" si="58"/>
        <v>3.0164694999999999</v>
      </c>
      <c r="U134" s="16">
        <f t="shared" si="59"/>
        <v>4.9257455882824139</v>
      </c>
      <c r="V134">
        <f t="shared" si="60"/>
        <v>0.29432202505638388</v>
      </c>
      <c r="W134">
        <f t="shared" si="61"/>
        <v>0.33904859675335186</v>
      </c>
      <c r="X134">
        <f t="shared" si="62"/>
        <v>0.35233673775504765</v>
      </c>
      <c r="Y134">
        <f t="shared" si="63"/>
        <v>0.69138533450839956</v>
      </c>
      <c r="Z134" s="14">
        <v>0.30449999999999999</v>
      </c>
      <c r="AA134" s="14">
        <v>4.07E-2</v>
      </c>
      <c r="AB134" s="14">
        <v>5.3400000000000003E-2</v>
      </c>
      <c r="AD134">
        <f t="shared" si="64"/>
        <v>164.42033223157497</v>
      </c>
      <c r="AE134" s="14">
        <v>6.6116000000000005E-4</v>
      </c>
      <c r="AF134" s="14">
        <v>0.82207845324409701</v>
      </c>
      <c r="AG134" s="14">
        <v>0.15658114891243699</v>
      </c>
      <c r="AH134" s="14">
        <v>1.83511458434771E-2</v>
      </c>
      <c r="AI134" s="14">
        <v>0.107260726072607</v>
      </c>
      <c r="AJ134" s="14">
        <v>8.9256199999999994E-2</v>
      </c>
      <c r="AK134" s="14">
        <v>3.4808600000000001E-3</v>
      </c>
      <c r="AL134" s="14">
        <v>6.60175E-3</v>
      </c>
      <c r="AM134" s="14">
        <v>8.2508300000000007E-3</v>
      </c>
      <c r="AN134" s="14">
        <v>1.0049215340328601E-2</v>
      </c>
      <c r="AO134" s="14">
        <v>1.31276282450949E-2</v>
      </c>
      <c r="AP134" s="14">
        <v>4.9858999999999997E-3</v>
      </c>
      <c r="AQ134" s="14">
        <v>8.1417299999999998E-3</v>
      </c>
    </row>
    <row r="135" spans="1:43">
      <c r="A135" s="14" t="s">
        <v>889</v>
      </c>
      <c r="B135" s="14" t="s">
        <v>19</v>
      </c>
      <c r="C135" s="14" t="s">
        <v>34</v>
      </c>
      <c r="D135">
        <v>410</v>
      </c>
      <c r="E135">
        <v>452</v>
      </c>
      <c r="F135" s="16">
        <f t="shared" si="44"/>
        <v>94.568206741270231</v>
      </c>
      <c r="G135" s="16">
        <f t="shared" si="45"/>
        <v>60.565135790354496</v>
      </c>
      <c r="H135" s="16">
        <f t="shared" si="46"/>
        <v>20.595197309062609</v>
      </c>
      <c r="I135" s="16">
        <f t="shared" si="47"/>
        <v>2.0657937207871608</v>
      </c>
      <c r="J135" s="16">
        <f t="shared" si="48"/>
        <v>13.204464285714243</v>
      </c>
      <c r="K135" s="16">
        <f t="shared" si="49"/>
        <v>53.473214285714093</v>
      </c>
      <c r="L135" s="16">
        <f t="shared" si="50"/>
        <v>48.99999999999968</v>
      </c>
      <c r="M135" s="16">
        <f t="shared" si="51"/>
        <v>32.182400000000001</v>
      </c>
      <c r="N135" s="16">
        <f t="shared" si="52"/>
        <v>0</v>
      </c>
      <c r="O135" s="16">
        <f t="shared" si="53"/>
        <v>108.0506</v>
      </c>
      <c r="P135" s="16">
        <f t="shared" si="54"/>
        <v>4.0321428400000006</v>
      </c>
      <c r="Q135" s="16">
        <f t="shared" si="55"/>
        <v>4.03571364</v>
      </c>
      <c r="R135" s="16">
        <f t="shared" si="56"/>
        <v>1.9899164400000002</v>
      </c>
      <c r="S135" s="16">
        <f t="shared" si="57"/>
        <v>16.74789724</v>
      </c>
      <c r="T135" s="16">
        <f t="shared" si="58"/>
        <v>4.0487221999999994</v>
      </c>
      <c r="U135" s="16">
        <f t="shared" si="59"/>
        <v>12.69917504</v>
      </c>
      <c r="V135">
        <f t="shared" si="60"/>
        <v>0.23065416278358594</v>
      </c>
      <c r="W135">
        <f t="shared" si="61"/>
        <v>0.29309152986734904</v>
      </c>
      <c r="X135">
        <f t="shared" si="62"/>
        <v>0.39212382613097113</v>
      </c>
      <c r="Y135">
        <f t="shared" si="63"/>
        <v>0.68521535599832017</v>
      </c>
      <c r="Z135" s="14">
        <v>0.27789999999999998</v>
      </c>
      <c r="AA135" s="14">
        <v>0.23905000000000001</v>
      </c>
      <c r="AB135" s="14">
        <v>7.1199999999999999E-2</v>
      </c>
      <c r="AD135">
        <f t="shared" si="64"/>
        <v>81.363742455555993</v>
      </c>
      <c r="AE135" s="14">
        <v>2.9213416561314699E-2</v>
      </c>
      <c r="AF135" s="14">
        <v>0.74437500000000001</v>
      </c>
      <c r="AG135" s="14">
        <v>0.25312499999999999</v>
      </c>
      <c r="AH135" s="14">
        <v>2.5389610389610299E-2</v>
      </c>
      <c r="AI135" s="14">
        <v>0.11830357142857099</v>
      </c>
      <c r="AJ135" s="14">
        <v>0.10840707964601699</v>
      </c>
      <c r="AK135" s="14">
        <v>0</v>
      </c>
      <c r="AL135" s="14">
        <v>8.9206700000000003E-3</v>
      </c>
      <c r="AM135" s="14">
        <v>8.9285700000000003E-3</v>
      </c>
      <c r="AN135" s="14">
        <v>4.4024700000000003E-3</v>
      </c>
      <c r="AO135" s="14">
        <v>3.7052870000000002E-2</v>
      </c>
      <c r="AP135" s="14">
        <v>8.9573499999999993E-3</v>
      </c>
      <c r="AQ135" s="14">
        <v>2.8095520490601801E-2</v>
      </c>
    </row>
    <row r="136" spans="1:43">
      <c r="A136" s="14" t="s">
        <v>895</v>
      </c>
      <c r="B136" s="14" t="s">
        <v>27</v>
      </c>
      <c r="C136" s="14" t="s">
        <v>896</v>
      </c>
      <c r="D136">
        <v>403</v>
      </c>
      <c r="E136">
        <v>441</v>
      </c>
      <c r="F136" s="16">
        <f t="shared" si="44"/>
        <v>97.488134891276971</v>
      </c>
      <c r="G136" s="16">
        <f t="shared" si="45"/>
        <v>65.482396671074639</v>
      </c>
      <c r="H136" s="16">
        <f t="shared" si="46"/>
        <v>18.916290320513191</v>
      </c>
      <c r="I136" s="16">
        <f t="shared" si="47"/>
        <v>1.7978072196930088</v>
      </c>
      <c r="J136" s="16">
        <f t="shared" si="48"/>
        <v>11.122499999999979</v>
      </c>
      <c r="K136" s="16">
        <f t="shared" si="49"/>
        <v>55.125</v>
      </c>
      <c r="L136" s="16">
        <f t="shared" si="50"/>
        <v>49.999999999999901</v>
      </c>
      <c r="M136" s="16">
        <f t="shared" si="51"/>
        <v>28.224</v>
      </c>
      <c r="N136" s="16">
        <f t="shared" si="52"/>
        <v>0.15034131000000001</v>
      </c>
      <c r="O136" s="16">
        <f t="shared" si="53"/>
        <v>76.954499999999996</v>
      </c>
      <c r="P136" s="16">
        <f t="shared" si="54"/>
        <v>4.1081840100000004</v>
      </c>
      <c r="Q136" s="16">
        <f t="shared" si="55"/>
        <v>3.0068173800000002</v>
      </c>
      <c r="R136" s="16">
        <f t="shared" si="56"/>
        <v>0.98750042999999998</v>
      </c>
      <c r="S136" s="16">
        <f t="shared" si="57"/>
        <v>9.1562499999999556</v>
      </c>
      <c r="T136" s="16">
        <f t="shared" si="58"/>
        <v>1.7924400899999999</v>
      </c>
      <c r="U136" s="16">
        <f t="shared" si="59"/>
        <v>7.3638099099999561</v>
      </c>
      <c r="V136">
        <f t="shared" si="60"/>
        <v>0.24190604191383863</v>
      </c>
      <c r="W136">
        <f t="shared" si="61"/>
        <v>0.29920878843649779</v>
      </c>
      <c r="X136">
        <f t="shared" si="62"/>
        <v>0.38014491059846145</v>
      </c>
      <c r="Y136">
        <f t="shared" si="63"/>
        <v>0.67935369903495924</v>
      </c>
      <c r="Z136" s="14">
        <v>0.27165</v>
      </c>
      <c r="AA136" s="14">
        <v>0.17449999999999999</v>
      </c>
      <c r="AB136" s="14">
        <v>6.4000000000000001E-2</v>
      </c>
      <c r="AD136">
        <f t="shared" si="64"/>
        <v>86.365634891276997</v>
      </c>
      <c r="AE136" s="14">
        <v>2.5221088435374101E-2</v>
      </c>
      <c r="AF136" s="14">
        <v>0.75819967923015197</v>
      </c>
      <c r="AG136" s="14">
        <v>0.21902566158781001</v>
      </c>
      <c r="AH136" s="14">
        <v>2.08162334701321E-2</v>
      </c>
      <c r="AI136" s="14">
        <v>0.125</v>
      </c>
      <c r="AJ136" s="14">
        <v>0.11337868480725601</v>
      </c>
      <c r="AK136" s="14">
        <v>3.4090999999999999E-4</v>
      </c>
      <c r="AL136" s="14">
        <v>9.3156100000000002E-3</v>
      </c>
      <c r="AM136" s="14">
        <v>6.8181800000000001E-3</v>
      </c>
      <c r="AN136" s="14">
        <v>2.23923E-3</v>
      </c>
      <c r="AO136" s="14">
        <v>2.0762471655328699E-2</v>
      </c>
      <c r="AP136" s="14">
        <v>4.0644899999999996E-3</v>
      </c>
      <c r="AQ136" s="14">
        <v>1.6697981137636299E-2</v>
      </c>
    </row>
    <row r="137" spans="1:43">
      <c r="A137" s="14" t="s">
        <v>904</v>
      </c>
      <c r="B137" s="14" t="s">
        <v>19</v>
      </c>
      <c r="C137" s="14" t="s">
        <v>87</v>
      </c>
      <c r="D137">
        <v>399</v>
      </c>
      <c r="E137">
        <v>446</v>
      </c>
      <c r="F137" s="16">
        <f t="shared" si="44"/>
        <v>87.761664727290011</v>
      </c>
      <c r="G137" s="16">
        <f t="shared" si="45"/>
        <v>51.064143802862823</v>
      </c>
      <c r="H137" s="16">
        <f t="shared" si="46"/>
        <v>17.728901440446126</v>
      </c>
      <c r="I137" s="16">
        <f t="shared" si="47"/>
        <v>1.0169580252672814</v>
      </c>
      <c r="J137" s="16">
        <f t="shared" si="48"/>
        <v>18.07297256</v>
      </c>
      <c r="K137" s="16">
        <f t="shared" si="49"/>
        <v>50.225225225224953</v>
      </c>
      <c r="L137" s="16">
        <f t="shared" si="50"/>
        <v>57.999999999999844</v>
      </c>
      <c r="M137" s="16">
        <f t="shared" si="51"/>
        <v>37.196400000000004</v>
      </c>
      <c r="N137" s="16">
        <f t="shared" si="52"/>
        <v>0.15067664</v>
      </c>
      <c r="O137" s="16">
        <f t="shared" si="53"/>
        <v>109.6045</v>
      </c>
      <c r="P137" s="16">
        <f t="shared" si="54"/>
        <v>5.0202696599999994</v>
      </c>
      <c r="Q137" s="16">
        <f t="shared" si="55"/>
        <v>4.0180184599999995</v>
      </c>
      <c r="R137" s="16">
        <f t="shared" si="56"/>
        <v>0.90000124000000004</v>
      </c>
      <c r="S137" s="16">
        <f t="shared" si="57"/>
        <v>4.2093256999999999</v>
      </c>
      <c r="T137" s="16">
        <f t="shared" si="58"/>
        <v>1.03885888</v>
      </c>
      <c r="U137" s="16">
        <f t="shared" si="59"/>
        <v>3.1704668199999997</v>
      </c>
      <c r="V137">
        <f t="shared" si="60"/>
        <v>0.21995404693556395</v>
      </c>
      <c r="W137">
        <f t="shared" si="61"/>
        <v>0.29550255566404454</v>
      </c>
      <c r="X137">
        <f t="shared" si="62"/>
        <v>0.40567596741743583</v>
      </c>
      <c r="Y137">
        <f t="shared" si="63"/>
        <v>0.70117852308148043</v>
      </c>
      <c r="Z137" s="14">
        <v>0.25309999999999999</v>
      </c>
      <c r="AA137" s="14">
        <v>0.24575</v>
      </c>
      <c r="AB137" s="14">
        <v>8.3400000000000002E-2</v>
      </c>
      <c r="AD137">
        <f t="shared" si="64"/>
        <v>69.688692167290014</v>
      </c>
      <c r="AE137" s="14">
        <v>4.052236E-2</v>
      </c>
      <c r="AF137" s="14">
        <v>0.73274647887323896</v>
      </c>
      <c r="AG137" s="14">
        <v>0.25440140845070403</v>
      </c>
      <c r="AH137" s="14">
        <v>1.4592870000000001E-2</v>
      </c>
      <c r="AI137" s="14">
        <v>0.112612612612612</v>
      </c>
      <c r="AJ137" s="14">
        <v>0.13004484304932701</v>
      </c>
      <c r="AK137" s="14">
        <v>3.3784E-4</v>
      </c>
      <c r="AL137" s="14">
        <v>1.1256209999999999E-2</v>
      </c>
      <c r="AM137" s="14">
        <v>9.0090099999999996E-3</v>
      </c>
      <c r="AN137" s="14">
        <v>2.0179400000000002E-3</v>
      </c>
      <c r="AO137" s="14">
        <v>9.4379500000000005E-3</v>
      </c>
      <c r="AP137" s="14">
        <v>2.32928E-3</v>
      </c>
      <c r="AQ137" s="14">
        <v>7.1086700000000001E-3</v>
      </c>
    </row>
    <row r="138" spans="1:43">
      <c r="A138" s="14" t="s">
        <v>910</v>
      </c>
      <c r="B138" s="14" t="s">
        <v>376</v>
      </c>
      <c r="C138" s="14" t="s">
        <v>34</v>
      </c>
      <c r="D138">
        <v>584</v>
      </c>
      <c r="E138">
        <v>628</v>
      </c>
      <c r="F138" s="16">
        <f t="shared" si="44"/>
        <v>155.73086869456202</v>
      </c>
      <c r="G138" s="16">
        <f t="shared" si="45"/>
        <v>98.749963629424883</v>
      </c>
      <c r="H138" s="16">
        <f t="shared" si="46"/>
        <v>33.874990923773787</v>
      </c>
      <c r="I138" s="16">
        <f t="shared" si="47"/>
        <v>3.9080476643184512</v>
      </c>
      <c r="J138" s="16">
        <f t="shared" si="48"/>
        <v>20.990717880000002</v>
      </c>
      <c r="K138" s="16">
        <f t="shared" si="49"/>
        <v>74.355199999999996</v>
      </c>
      <c r="L138" s="16">
        <f t="shared" si="50"/>
        <v>70.999999999999787</v>
      </c>
      <c r="M138" s="16">
        <f t="shared" si="51"/>
        <v>30.771999999999935</v>
      </c>
      <c r="N138" s="16">
        <f t="shared" si="52"/>
        <v>0</v>
      </c>
      <c r="O138" s="16">
        <f t="shared" si="53"/>
        <v>151.976</v>
      </c>
      <c r="P138" s="16">
        <f t="shared" si="54"/>
        <v>4.01727832</v>
      </c>
      <c r="Q138" s="16">
        <f t="shared" si="55"/>
        <v>5.024</v>
      </c>
      <c r="R138" s="16">
        <f t="shared" si="56"/>
        <v>5.97880492</v>
      </c>
      <c r="S138" s="16">
        <f t="shared" si="57"/>
        <v>8.9205069124423435</v>
      </c>
      <c r="T138" s="16">
        <f t="shared" si="58"/>
        <v>3.0035984</v>
      </c>
      <c r="U138" s="16">
        <f t="shared" si="59"/>
        <v>5.9169085124423439</v>
      </c>
      <c r="V138">
        <f t="shared" si="60"/>
        <v>0.26666244639479797</v>
      </c>
      <c r="W138">
        <f t="shared" si="61"/>
        <v>0.30739170148655681</v>
      </c>
      <c r="X138">
        <f t="shared" si="62"/>
        <v>0.44895027395535592</v>
      </c>
      <c r="Y138">
        <f t="shared" si="63"/>
        <v>0.75634197544191273</v>
      </c>
      <c r="Z138" s="14">
        <v>0.32385000000000003</v>
      </c>
      <c r="AA138" s="14">
        <v>0.24199999999999999</v>
      </c>
      <c r="AB138" s="14">
        <v>4.8999999999999898E-2</v>
      </c>
      <c r="AD138">
        <f t="shared" si="64"/>
        <v>134.74015081456201</v>
      </c>
      <c r="AE138" s="14">
        <v>3.3424710000000003E-2</v>
      </c>
      <c r="AF138" s="14">
        <v>0.73289188881294098</v>
      </c>
      <c r="AG138" s="14">
        <v>0.25140977443609003</v>
      </c>
      <c r="AH138" s="14">
        <v>2.9004329004328901E-2</v>
      </c>
      <c r="AI138" s="14">
        <v>0.11840000000000001</v>
      </c>
      <c r="AJ138" s="14">
        <v>0.113057324840764</v>
      </c>
      <c r="AK138" s="14">
        <v>0</v>
      </c>
      <c r="AL138" s="14">
        <v>6.3969400000000003E-3</v>
      </c>
      <c r="AM138" s="14">
        <v>8.0000000000000002E-3</v>
      </c>
      <c r="AN138" s="14">
        <v>9.5203900000000001E-3</v>
      </c>
      <c r="AO138" s="14">
        <v>1.4204628841468701E-2</v>
      </c>
      <c r="AP138" s="14">
        <v>4.7828000000000002E-3</v>
      </c>
      <c r="AQ138" s="14">
        <v>9.4218300000000008E-3</v>
      </c>
    </row>
    <row r="139" spans="1:43">
      <c r="A139" s="14" t="s">
        <v>914</v>
      </c>
      <c r="B139" s="14" t="s">
        <v>228</v>
      </c>
      <c r="C139" s="14" t="s">
        <v>49</v>
      </c>
      <c r="D139">
        <v>263</v>
      </c>
      <c r="E139">
        <v>295</v>
      </c>
      <c r="F139" s="16">
        <f t="shared" si="44"/>
        <v>62.487720926849988</v>
      </c>
      <c r="G139" s="16">
        <f t="shared" si="45"/>
        <v>42.640420894339442</v>
      </c>
      <c r="H139" s="16">
        <f t="shared" si="46"/>
        <v>11.462478735037468</v>
      </c>
      <c r="I139" s="16">
        <f t="shared" si="47"/>
        <v>1.7315071388954386</v>
      </c>
      <c r="J139" s="16">
        <f t="shared" si="48"/>
        <v>6.4489359999999998</v>
      </c>
      <c r="K139" s="16">
        <f t="shared" si="49"/>
        <v>35.56737588652458</v>
      </c>
      <c r="L139" s="16">
        <f t="shared" si="50"/>
        <v>30.999999999999744</v>
      </c>
      <c r="M139" s="16">
        <f t="shared" si="51"/>
        <v>23.511499999999998</v>
      </c>
      <c r="N139" s="16">
        <f t="shared" si="52"/>
        <v>0</v>
      </c>
      <c r="O139" s="16">
        <f t="shared" si="53"/>
        <v>58.468999999999994</v>
      </c>
      <c r="P139" s="16">
        <f t="shared" si="54"/>
        <v>3.1244680851063666</v>
      </c>
      <c r="Q139" s="16">
        <f t="shared" si="55"/>
        <v>2.0921989999999999</v>
      </c>
      <c r="R139" s="16">
        <f t="shared" si="56"/>
        <v>0.90000075000000002</v>
      </c>
      <c r="S139" s="16">
        <f t="shared" si="57"/>
        <v>11.176588300000001</v>
      </c>
      <c r="T139" s="16">
        <f t="shared" si="58"/>
        <v>2.9204557499999999</v>
      </c>
      <c r="U139" s="16">
        <f t="shared" si="59"/>
        <v>8.2561325500000002</v>
      </c>
      <c r="V139">
        <f t="shared" si="60"/>
        <v>0.23759589706026613</v>
      </c>
      <c r="W139">
        <f t="shared" si="61"/>
        <v>0.3088099332086397</v>
      </c>
      <c r="X139">
        <f t="shared" si="62"/>
        <v>0.3671317254034247</v>
      </c>
      <c r="Y139">
        <f t="shared" si="63"/>
        <v>0.67594165861206434</v>
      </c>
      <c r="Z139" s="14">
        <v>0.27994999999999998</v>
      </c>
      <c r="AA139" s="14">
        <v>0.19819999999999999</v>
      </c>
      <c r="AB139" s="14">
        <v>7.9699999999999993E-2</v>
      </c>
      <c r="AD139">
        <f t="shared" si="64"/>
        <v>56.038784926849992</v>
      </c>
      <c r="AE139" s="14">
        <v>2.18608E-2</v>
      </c>
      <c r="AF139" s="14">
        <v>0.76090909090908998</v>
      </c>
      <c r="AG139" s="14">
        <v>0.204545454545454</v>
      </c>
      <c r="AH139" s="14">
        <v>3.0898370497427E-2</v>
      </c>
      <c r="AI139" s="14">
        <v>0.120567375886524</v>
      </c>
      <c r="AJ139" s="14">
        <v>0.105084745762711</v>
      </c>
      <c r="AK139" s="14">
        <v>0</v>
      </c>
      <c r="AL139" s="14">
        <v>1.05914172376487E-2</v>
      </c>
      <c r="AM139" s="14">
        <v>7.0921999999999999E-3</v>
      </c>
      <c r="AN139" s="14">
        <v>3.0508499999999999E-3</v>
      </c>
      <c r="AO139" s="14">
        <v>3.7886740000000002E-2</v>
      </c>
      <c r="AP139" s="14">
        <v>9.89985E-3</v>
      </c>
      <c r="AQ139" s="14">
        <v>2.7986890698754999E-2</v>
      </c>
    </row>
    <row r="140" spans="1:43">
      <c r="A140" s="14" t="s">
        <v>918</v>
      </c>
      <c r="B140" s="14" t="s">
        <v>214</v>
      </c>
      <c r="C140" s="14" t="s">
        <v>87</v>
      </c>
      <c r="D140">
        <v>413</v>
      </c>
      <c r="E140">
        <v>451</v>
      </c>
      <c r="F140" s="16">
        <f t="shared" si="44"/>
        <v>95.875292579304002</v>
      </c>
      <c r="G140" s="16">
        <f t="shared" si="45"/>
        <v>58.706867457636584</v>
      </c>
      <c r="H140" s="16">
        <f t="shared" si="46"/>
        <v>16.845281669785429</v>
      </c>
      <c r="I140" s="16">
        <f t="shared" si="47"/>
        <v>1.068873729635522</v>
      </c>
      <c r="J140" s="16">
        <f t="shared" si="48"/>
        <v>19.076167989999998</v>
      </c>
      <c r="K140" s="16">
        <f t="shared" si="49"/>
        <v>50.22271507</v>
      </c>
      <c r="L140" s="16">
        <f t="shared" si="50"/>
        <v>52.999999999999702</v>
      </c>
      <c r="M140" s="16">
        <f t="shared" si="51"/>
        <v>31.164099999999998</v>
      </c>
      <c r="N140" s="16">
        <f t="shared" si="52"/>
        <v>0</v>
      </c>
      <c r="O140" s="16">
        <f t="shared" si="53"/>
        <v>127.65555000000001</v>
      </c>
      <c r="P140" s="16">
        <f t="shared" si="54"/>
        <v>5.0200449200000001</v>
      </c>
      <c r="Q140" s="16">
        <f t="shared" si="55"/>
        <v>3.0133610100000001</v>
      </c>
      <c r="R140" s="16">
        <f t="shared" si="56"/>
        <v>1.0013462799999999</v>
      </c>
      <c r="S140" s="16">
        <f t="shared" si="57"/>
        <v>2.2601143400000003</v>
      </c>
      <c r="T140" s="16">
        <f t="shared" si="58"/>
        <v>1.0474926</v>
      </c>
      <c r="U140" s="16">
        <f t="shared" si="59"/>
        <v>1.2126217400000003</v>
      </c>
      <c r="V140">
        <f t="shared" si="60"/>
        <v>0.23214356556732205</v>
      </c>
      <c r="W140">
        <f t="shared" si="61"/>
        <v>0.29531774074890332</v>
      </c>
      <c r="X140">
        <f t="shared" si="62"/>
        <v>0.41624388364676518</v>
      </c>
      <c r="Y140">
        <f t="shared" si="63"/>
        <v>0.7115616243956685</v>
      </c>
      <c r="Z140" s="14">
        <v>0.28520000000000001</v>
      </c>
      <c r="AA140" s="14">
        <v>0.28305000000000002</v>
      </c>
      <c r="AB140" s="14">
        <v>6.9099999999999995E-2</v>
      </c>
      <c r="AD140">
        <f t="shared" si="64"/>
        <v>76.799124589304</v>
      </c>
      <c r="AE140" s="14">
        <v>4.229749E-2</v>
      </c>
      <c r="AF140" s="14">
        <v>0.76442105000000005</v>
      </c>
      <c r="AG140" s="14">
        <v>0.21934210526315701</v>
      </c>
      <c r="AH140" s="14">
        <v>1.3917785330907101E-2</v>
      </c>
      <c r="AI140" s="14">
        <v>0.11135857</v>
      </c>
      <c r="AJ140" s="14">
        <v>0.117516629711751</v>
      </c>
      <c r="AK140" s="14">
        <v>0</v>
      </c>
      <c r="AL140" s="14">
        <v>1.1130920000000001E-2</v>
      </c>
      <c r="AM140" s="14">
        <v>6.6815099999999999E-3</v>
      </c>
      <c r="AN140" s="14">
        <v>2.2202799999999998E-3</v>
      </c>
      <c r="AO140" s="14">
        <v>5.0113400000000004E-3</v>
      </c>
      <c r="AP140" s="14">
        <v>2.3226000000000002E-3</v>
      </c>
      <c r="AQ140" s="14">
        <v>2.6887299999999999E-3</v>
      </c>
    </row>
    <row r="141" spans="1:43">
      <c r="A141" s="14" t="s">
        <v>924</v>
      </c>
      <c r="B141" s="14" t="s">
        <v>335</v>
      </c>
      <c r="C141" s="14" t="s">
        <v>49</v>
      </c>
      <c r="D141">
        <v>486</v>
      </c>
      <c r="E141">
        <v>521</v>
      </c>
      <c r="F141" s="16">
        <f t="shared" si="44"/>
        <v>119.177081309776</v>
      </c>
      <c r="G141" s="16">
        <f t="shared" si="45"/>
        <v>78.814054914847148</v>
      </c>
      <c r="H141" s="16">
        <f t="shared" si="46"/>
        <v>22.845346793841721</v>
      </c>
      <c r="I141" s="16">
        <f t="shared" si="47"/>
        <v>1.0469981206875623</v>
      </c>
      <c r="J141" s="16">
        <f t="shared" si="48"/>
        <v>16.497631719999998</v>
      </c>
      <c r="K141" s="16">
        <f t="shared" si="49"/>
        <v>56.51873767258374</v>
      </c>
      <c r="L141" s="16">
        <f t="shared" si="50"/>
        <v>61.999999999999716</v>
      </c>
      <c r="M141" s="16">
        <f t="shared" si="51"/>
        <v>29.384399999999999</v>
      </c>
      <c r="N141" s="16">
        <f t="shared" si="52"/>
        <v>0</v>
      </c>
      <c r="O141" s="16">
        <f t="shared" si="53"/>
        <v>131.3441</v>
      </c>
      <c r="P141" s="16">
        <f t="shared" si="54"/>
        <v>3.9994096099999998</v>
      </c>
      <c r="Q141" s="16">
        <f t="shared" si="55"/>
        <v>3.0828403600000001</v>
      </c>
      <c r="R141" s="16">
        <f t="shared" si="56"/>
        <v>0</v>
      </c>
      <c r="S141" s="16">
        <f t="shared" si="57"/>
        <v>4.1485875399999994</v>
      </c>
      <c r="T141" s="16">
        <f t="shared" si="58"/>
        <v>1.04401627</v>
      </c>
      <c r="U141" s="16">
        <f t="shared" si="59"/>
        <v>3.1045712699999992</v>
      </c>
      <c r="V141">
        <f t="shared" si="60"/>
        <v>0.24522033191311934</v>
      </c>
      <c r="W141">
        <f t="shared" si="61"/>
        <v>0.29425367514800871</v>
      </c>
      <c r="X141">
        <f t="shared" si="62"/>
        <v>0.39842853856912197</v>
      </c>
      <c r="Y141">
        <f t="shared" si="63"/>
        <v>0.69268221371713068</v>
      </c>
      <c r="Z141" s="14">
        <v>0.3009</v>
      </c>
      <c r="AA141" s="14">
        <v>0.25209999999999999</v>
      </c>
      <c r="AB141" s="14">
        <v>5.6399999999999999E-2</v>
      </c>
      <c r="AD141">
        <f t="shared" si="64"/>
        <v>102.679449589776</v>
      </c>
      <c r="AE141" s="14">
        <v>3.1665319999999997E-2</v>
      </c>
      <c r="AF141" s="14">
        <v>0.767573796214572</v>
      </c>
      <c r="AG141" s="14">
        <v>0.22249190938511301</v>
      </c>
      <c r="AH141" s="14">
        <v>1.01967640542535E-2</v>
      </c>
      <c r="AI141" s="14">
        <v>0.10848126232741601</v>
      </c>
      <c r="AJ141" s="14">
        <v>0.119001919385796</v>
      </c>
      <c r="AK141" s="14">
        <v>0</v>
      </c>
      <c r="AL141" s="14">
        <v>7.6764099999999998E-3</v>
      </c>
      <c r="AM141" s="14">
        <v>5.9171600000000003E-3</v>
      </c>
      <c r="AN141" s="14">
        <v>0</v>
      </c>
      <c r="AO141" s="14">
        <v>7.9627399999999994E-3</v>
      </c>
      <c r="AP141" s="14">
        <v>2.00387E-3</v>
      </c>
      <c r="AQ141" s="14">
        <v>5.9588699999999998E-3</v>
      </c>
    </row>
    <row r="142" spans="1:43">
      <c r="A142" s="14" t="s">
        <v>929</v>
      </c>
      <c r="B142" s="14" t="s">
        <v>48</v>
      </c>
      <c r="C142" s="14" t="s">
        <v>20</v>
      </c>
      <c r="D142">
        <v>414</v>
      </c>
      <c r="E142">
        <v>462</v>
      </c>
      <c r="F142" s="16">
        <f t="shared" si="44"/>
        <v>99.48543081928328</v>
      </c>
      <c r="G142" s="16">
        <f t="shared" si="45"/>
        <v>66.659403833269934</v>
      </c>
      <c r="H142" s="16">
        <f t="shared" si="46"/>
        <v>21.40964505098999</v>
      </c>
      <c r="I142" s="16">
        <f t="shared" si="47"/>
        <v>0.99686403476074759</v>
      </c>
      <c r="J142" s="16">
        <f t="shared" si="48"/>
        <v>11.31902654867255</v>
      </c>
      <c r="K142" s="16">
        <f t="shared" si="49"/>
        <v>47.017699115043882</v>
      </c>
      <c r="L142" s="16">
        <f t="shared" si="50"/>
        <v>50.999999999999815</v>
      </c>
      <c r="M142" s="16">
        <f t="shared" si="51"/>
        <v>36.4056</v>
      </c>
      <c r="N142" s="16">
        <f t="shared" si="52"/>
        <v>0.25331922000000001</v>
      </c>
      <c r="O142" s="16">
        <f t="shared" si="53"/>
        <v>85.724099999999993</v>
      </c>
      <c r="P142" s="16">
        <f t="shared" si="54"/>
        <v>2.9597337000000001</v>
      </c>
      <c r="Q142" s="16">
        <f t="shared" si="55"/>
        <v>3.0663725400000001</v>
      </c>
      <c r="R142" s="16">
        <f t="shared" si="56"/>
        <v>0</v>
      </c>
      <c r="S142" s="16">
        <f t="shared" si="57"/>
        <v>2.9779411200000001</v>
      </c>
      <c r="T142" s="16">
        <f t="shared" si="58"/>
        <v>1.0060974</v>
      </c>
      <c r="U142" s="16">
        <f t="shared" si="59"/>
        <v>1.9718437200000001</v>
      </c>
      <c r="V142">
        <f t="shared" si="60"/>
        <v>0.24030297299343786</v>
      </c>
      <c r="W142">
        <f t="shared" si="61"/>
        <v>0.30658216825361151</v>
      </c>
      <c r="X142">
        <f t="shared" si="62"/>
        <v>0.38102751747396701</v>
      </c>
      <c r="Y142">
        <f t="shared" si="63"/>
        <v>0.68760968572757852</v>
      </c>
      <c r="Z142" s="14">
        <v>0.27550000000000002</v>
      </c>
      <c r="AA142" s="14">
        <v>0.18554999999999999</v>
      </c>
      <c r="AB142" s="14">
        <v>7.8799999999999995E-2</v>
      </c>
      <c r="AD142">
        <f t="shared" si="64"/>
        <v>88.166404270610727</v>
      </c>
      <c r="AE142" s="14">
        <v>2.4500057464659199E-2</v>
      </c>
      <c r="AF142" s="14">
        <v>0.75606354126307596</v>
      </c>
      <c r="AG142" s="14">
        <v>0.24283223556760899</v>
      </c>
      <c r="AH142" s="14">
        <v>1.1306620055651299E-2</v>
      </c>
      <c r="AI142" s="14">
        <v>0.10176991150442399</v>
      </c>
      <c r="AJ142" s="14">
        <v>0.11038961038961</v>
      </c>
      <c r="AK142" s="14">
        <v>5.4830999999999999E-4</v>
      </c>
      <c r="AL142" s="14">
        <v>6.4063499999999999E-3</v>
      </c>
      <c r="AM142" s="14">
        <v>6.6371700000000004E-3</v>
      </c>
      <c r="AN142" s="14">
        <v>0</v>
      </c>
      <c r="AO142" s="14">
        <v>6.44576E-3</v>
      </c>
      <c r="AP142" s="14">
        <v>2.1776999999999999E-3</v>
      </c>
      <c r="AQ142" s="14">
        <v>4.2680599999999997E-3</v>
      </c>
    </row>
    <row r="143" spans="1:43">
      <c r="A143" s="14" t="s">
        <v>935</v>
      </c>
      <c r="B143" s="14" t="s">
        <v>257</v>
      </c>
      <c r="C143" s="14" t="s">
        <v>163</v>
      </c>
      <c r="D143">
        <v>379</v>
      </c>
      <c r="E143">
        <v>414</v>
      </c>
      <c r="F143" s="16">
        <f t="shared" si="44"/>
        <v>93.570966864018004</v>
      </c>
      <c r="G143" s="16">
        <f t="shared" si="45"/>
        <v>61.110880781379024</v>
      </c>
      <c r="H143" s="16">
        <f t="shared" si="46"/>
        <v>22.036084129472805</v>
      </c>
      <c r="I143" s="16">
        <f t="shared" si="47"/>
        <v>1.7301027190986367</v>
      </c>
      <c r="J143" s="16">
        <f t="shared" si="48"/>
        <v>10.34565714</v>
      </c>
      <c r="K143" s="16">
        <f t="shared" si="49"/>
        <v>45.200992555830872</v>
      </c>
      <c r="L143" s="16">
        <f t="shared" si="50"/>
        <v>45.99999999999995</v>
      </c>
      <c r="M143" s="16">
        <f t="shared" si="51"/>
        <v>30.097799999999999</v>
      </c>
      <c r="N143" s="16">
        <f t="shared" si="52"/>
        <v>1.1729654999999999</v>
      </c>
      <c r="O143" s="16">
        <f t="shared" si="53"/>
        <v>96.110100000000003</v>
      </c>
      <c r="P143" s="16">
        <f t="shared" si="54"/>
        <v>2.0491302600000001</v>
      </c>
      <c r="Q143" s="16">
        <f t="shared" si="55"/>
        <v>3.0818863799999998</v>
      </c>
      <c r="R143" s="16">
        <f t="shared" si="56"/>
        <v>0.89999873999999991</v>
      </c>
      <c r="S143" s="16">
        <f t="shared" si="57"/>
        <v>5.0246310599999999</v>
      </c>
      <c r="T143" s="16">
        <f t="shared" si="58"/>
        <v>1.8371332800000002</v>
      </c>
      <c r="U143" s="16">
        <f t="shared" si="59"/>
        <v>3.1874977799999997</v>
      </c>
      <c r="V143">
        <f t="shared" si="60"/>
        <v>0.24688909462801584</v>
      </c>
      <c r="W143">
        <f t="shared" si="61"/>
        <v>0.30697967473269189</v>
      </c>
      <c r="X143">
        <f t="shared" si="62"/>
        <v>0.40041157191984317</v>
      </c>
      <c r="Y143">
        <f t="shared" si="63"/>
        <v>0.70739124665253506</v>
      </c>
      <c r="Z143" s="14">
        <v>0.30195</v>
      </c>
      <c r="AA143" s="14">
        <v>0.23215</v>
      </c>
      <c r="AB143" s="14">
        <v>7.2700000000000001E-2</v>
      </c>
      <c r="AD143">
        <f t="shared" si="64"/>
        <v>83.225309724018004</v>
      </c>
      <c r="AE143" s="14">
        <v>2.498951E-2</v>
      </c>
      <c r="AF143" s="14">
        <v>0.73428240740740702</v>
      </c>
      <c r="AG143" s="14">
        <v>0.264776234567901</v>
      </c>
      <c r="AH143" s="14">
        <v>2.078818E-2</v>
      </c>
      <c r="AI143" s="14">
        <v>0.109181141439205</v>
      </c>
      <c r="AJ143" s="14">
        <v>0.11111111111111099</v>
      </c>
      <c r="AK143" s="14">
        <v>2.8332499999999998E-3</v>
      </c>
      <c r="AL143" s="14">
        <v>4.9495900000000002E-3</v>
      </c>
      <c r="AM143" s="14">
        <v>7.44417E-3</v>
      </c>
      <c r="AN143" s="14">
        <v>2.1739099999999998E-3</v>
      </c>
      <c r="AO143" s="14">
        <v>1.213679E-2</v>
      </c>
      <c r="AP143" s="14">
        <v>4.4375200000000004E-3</v>
      </c>
      <c r="AQ143" s="14">
        <v>7.6992700000000002E-3</v>
      </c>
    </row>
    <row r="144" spans="1:43">
      <c r="A144" s="14" t="s">
        <v>940</v>
      </c>
      <c r="B144" s="14" t="s">
        <v>19</v>
      </c>
      <c r="C144" s="14" t="s">
        <v>352</v>
      </c>
      <c r="D144">
        <v>303</v>
      </c>
      <c r="E144">
        <v>352</v>
      </c>
      <c r="F144" s="16">
        <f t="shared" si="44"/>
        <v>66.107250814384003</v>
      </c>
      <c r="G144" s="16">
        <f t="shared" si="45"/>
        <v>45.54707686712046</v>
      </c>
      <c r="H144" s="16">
        <f t="shared" si="46"/>
        <v>12.792887378278385</v>
      </c>
      <c r="I144" s="16">
        <f t="shared" si="47"/>
        <v>0.97960633088036664</v>
      </c>
      <c r="J144" s="16">
        <f t="shared" si="48"/>
        <v>7.6793305600000004</v>
      </c>
      <c r="K144" s="16">
        <f t="shared" si="49"/>
        <v>48.17877094972058</v>
      </c>
      <c r="L144" s="16">
        <f t="shared" si="50"/>
        <v>29.999999039999999</v>
      </c>
      <c r="M144" s="16">
        <f t="shared" si="51"/>
        <v>32.595199999999998</v>
      </c>
      <c r="N144" s="16">
        <f t="shared" si="52"/>
        <v>0</v>
      </c>
      <c r="O144" s="16">
        <f t="shared" si="53"/>
        <v>90.059200000000004</v>
      </c>
      <c r="P144" s="16">
        <f t="shared" si="54"/>
        <v>5.9094972067038682</v>
      </c>
      <c r="Q144" s="16">
        <f t="shared" si="55"/>
        <v>1.96647968</v>
      </c>
      <c r="R144" s="16">
        <f t="shared" si="56"/>
        <v>2.0234931199999999</v>
      </c>
      <c r="S144" s="16">
        <f t="shared" si="57"/>
        <v>36.969047619047458</v>
      </c>
      <c r="T144" s="16">
        <f t="shared" si="58"/>
        <v>8.3311254399999992</v>
      </c>
      <c r="U144" s="16">
        <f t="shared" si="59"/>
        <v>28.637922179047457</v>
      </c>
      <c r="V144">
        <f t="shared" si="60"/>
        <v>0.2181757452619934</v>
      </c>
      <c r="W144">
        <f t="shared" si="61"/>
        <v>0.30990469095975992</v>
      </c>
      <c r="X144">
        <f t="shared" si="62"/>
        <v>0.3458382602518757</v>
      </c>
      <c r="Y144">
        <f t="shared" si="63"/>
        <v>0.65574295121163562</v>
      </c>
      <c r="Z144" s="14">
        <v>0.28194999999999998</v>
      </c>
      <c r="AA144" s="14">
        <v>0.25585000000000002</v>
      </c>
      <c r="AB144" s="14">
        <v>9.2600000000000002E-2</v>
      </c>
      <c r="AD144">
        <f t="shared" si="64"/>
        <v>58.427920254383999</v>
      </c>
      <c r="AE144" s="14">
        <v>2.181628E-2</v>
      </c>
      <c r="AF144" s="14">
        <v>0.77954301075268795</v>
      </c>
      <c r="AG144" s="14">
        <v>0.21895161290322501</v>
      </c>
      <c r="AH144" s="14">
        <v>1.6766065377910901E-2</v>
      </c>
      <c r="AI144" s="14">
        <v>0.13687150837988801</v>
      </c>
      <c r="AJ144" s="14">
        <v>8.5227269999999994E-2</v>
      </c>
      <c r="AK144" s="14">
        <v>0</v>
      </c>
      <c r="AL144" s="14">
        <v>1.6788344337226899E-2</v>
      </c>
      <c r="AM144" s="14">
        <v>5.5865899999999998E-3</v>
      </c>
      <c r="AN144" s="14">
        <v>5.7485599999999998E-3</v>
      </c>
      <c r="AO144" s="14">
        <v>0.105025703463203</v>
      </c>
      <c r="AP144" s="14">
        <v>2.366797E-2</v>
      </c>
      <c r="AQ144" s="14">
        <v>8.1357730000000003E-2</v>
      </c>
    </row>
    <row r="145" spans="1:43">
      <c r="A145" s="14" t="s">
        <v>946</v>
      </c>
      <c r="B145" s="14" t="s">
        <v>58</v>
      </c>
      <c r="C145" s="14" t="s">
        <v>87</v>
      </c>
      <c r="D145">
        <v>376</v>
      </c>
      <c r="E145">
        <v>425</v>
      </c>
      <c r="F145" s="16">
        <f t="shared" si="44"/>
        <v>89.552494654857128</v>
      </c>
      <c r="G145" s="16">
        <f t="shared" si="45"/>
        <v>56.915801943415175</v>
      </c>
      <c r="H145" s="16">
        <f t="shared" si="46"/>
        <v>17.231751568496627</v>
      </c>
      <c r="I145" s="16">
        <f t="shared" si="47"/>
        <v>1.0129731677996883</v>
      </c>
      <c r="J145" s="16">
        <f t="shared" si="48"/>
        <v>15.060714285714257</v>
      </c>
      <c r="K145" s="16">
        <f t="shared" si="49"/>
        <v>46.547619047618824</v>
      </c>
      <c r="L145" s="16">
        <f t="shared" si="50"/>
        <v>51.999999999999751</v>
      </c>
      <c r="M145" s="16">
        <f t="shared" si="51"/>
        <v>40.204999999999998</v>
      </c>
      <c r="N145" s="16">
        <f t="shared" si="52"/>
        <v>0.96011749999999996</v>
      </c>
      <c r="O145" s="16">
        <f t="shared" si="53"/>
        <v>118.93625</v>
      </c>
      <c r="P145" s="16">
        <f t="shared" si="54"/>
        <v>5.0535730000000001</v>
      </c>
      <c r="Q145" s="16">
        <f t="shared" si="55"/>
        <v>3.0357154999999998</v>
      </c>
      <c r="R145" s="16">
        <f t="shared" si="56"/>
        <v>0</v>
      </c>
      <c r="S145" s="16">
        <f t="shared" si="57"/>
        <v>0.98611050000000011</v>
      </c>
      <c r="T145" s="16">
        <f t="shared" si="58"/>
        <v>0.75000175000000002</v>
      </c>
      <c r="U145" s="16">
        <f t="shared" si="59"/>
        <v>0.23610875000000009</v>
      </c>
      <c r="V145">
        <f t="shared" si="60"/>
        <v>0.23817152833738597</v>
      </c>
      <c r="W145">
        <f t="shared" si="61"/>
        <v>0.32311022371261483</v>
      </c>
      <c r="X145">
        <f t="shared" si="62"/>
        <v>0.41133266416666098</v>
      </c>
      <c r="Y145">
        <f t="shared" si="63"/>
        <v>0.73444288787927581</v>
      </c>
      <c r="Z145" s="14">
        <v>0.30399999999999999</v>
      </c>
      <c r="AA145" s="14">
        <v>0.27984999999999999</v>
      </c>
      <c r="AB145" s="14">
        <v>9.4600000000000004E-2</v>
      </c>
      <c r="AD145">
        <f t="shared" si="64"/>
        <v>74.491780369142873</v>
      </c>
      <c r="AE145" s="14">
        <v>3.54369747899159E-2</v>
      </c>
      <c r="AF145" s="14">
        <v>0.76405479452054703</v>
      </c>
      <c r="AG145" s="14">
        <v>0.23132420091324099</v>
      </c>
      <c r="AH145" s="14">
        <v>1.3598455598455499E-2</v>
      </c>
      <c r="AI145" s="14">
        <v>0.109523809523809</v>
      </c>
      <c r="AJ145" s="14">
        <v>0.12235294117647</v>
      </c>
      <c r="AK145" s="14">
        <v>2.2591E-3</v>
      </c>
      <c r="AL145" s="14">
        <v>1.189076E-2</v>
      </c>
      <c r="AM145" s="14">
        <v>7.14286E-3</v>
      </c>
      <c r="AN145" s="14">
        <v>0</v>
      </c>
      <c r="AO145" s="14">
        <v>2.3202600000000002E-3</v>
      </c>
      <c r="AP145" s="14">
        <v>1.7647100000000001E-3</v>
      </c>
      <c r="AQ145" s="14">
        <v>5.5555999999999997E-4</v>
      </c>
    </row>
    <row r="146" spans="1:43">
      <c r="A146" s="14" t="s">
        <v>953</v>
      </c>
      <c r="B146" s="14" t="s">
        <v>404</v>
      </c>
      <c r="C146" s="14" t="s">
        <v>169</v>
      </c>
      <c r="D146">
        <v>481</v>
      </c>
      <c r="E146">
        <v>533</v>
      </c>
      <c r="F146" s="16">
        <f t="shared" si="44"/>
        <v>114.87462258137192</v>
      </c>
      <c r="G146" s="16">
        <f t="shared" si="45"/>
        <v>69.224532786799315</v>
      </c>
      <c r="H146" s="16">
        <f t="shared" si="46"/>
        <v>23.84940295702226</v>
      </c>
      <c r="I146" s="16">
        <f t="shared" si="47"/>
        <v>1.0350890896276832</v>
      </c>
      <c r="J146" s="16">
        <f t="shared" si="48"/>
        <v>21.271186440677926</v>
      </c>
      <c r="K146" s="16">
        <f t="shared" si="49"/>
        <v>62.233521657250257</v>
      </c>
      <c r="L146" s="16">
        <f t="shared" si="50"/>
        <v>71.999999999999673</v>
      </c>
      <c r="M146" s="16">
        <f t="shared" si="51"/>
        <v>45.198399999999999</v>
      </c>
      <c r="N146" s="16">
        <f t="shared" si="52"/>
        <v>0.98270809000000003</v>
      </c>
      <c r="O146" s="16">
        <f t="shared" si="53"/>
        <v>136.68785</v>
      </c>
      <c r="P146" s="16">
        <f t="shared" si="54"/>
        <v>4.9169516500000006</v>
      </c>
      <c r="Q146" s="16">
        <f t="shared" si="55"/>
        <v>4.0150676799999996</v>
      </c>
      <c r="R146" s="16">
        <f t="shared" si="56"/>
        <v>0</v>
      </c>
      <c r="S146" s="16">
        <f t="shared" si="57"/>
        <v>4.2202406999999997</v>
      </c>
      <c r="T146" s="16">
        <f t="shared" si="58"/>
        <v>1.0224965399999999</v>
      </c>
      <c r="U146" s="16">
        <f t="shared" si="59"/>
        <v>3.1977441600000001</v>
      </c>
      <c r="V146">
        <f t="shared" si="60"/>
        <v>0.23882457917125141</v>
      </c>
      <c r="W146">
        <f t="shared" si="61"/>
        <v>0.31245082305192573</v>
      </c>
      <c r="X146">
        <f t="shared" si="62"/>
        <v>0.42643108468282448</v>
      </c>
      <c r="Y146">
        <f t="shared" si="63"/>
        <v>0.73888190773475015</v>
      </c>
      <c r="Z146" s="14">
        <v>0.28620000000000001</v>
      </c>
      <c r="AA146" s="14">
        <v>0.25645000000000001</v>
      </c>
      <c r="AB146" s="14">
        <v>8.48E-2</v>
      </c>
      <c r="AD146">
        <f t="shared" si="64"/>
        <v>93.603436140694001</v>
      </c>
      <c r="AE146" s="14">
        <v>3.9908417337106802E-2</v>
      </c>
      <c r="AF146" s="14">
        <v>0.73955119214586196</v>
      </c>
      <c r="AG146" s="14">
        <v>0.25479195999999998</v>
      </c>
      <c r="AH146" s="14">
        <v>1.10582381620249E-2</v>
      </c>
      <c r="AI146" s="14">
        <v>0.116760828625235</v>
      </c>
      <c r="AJ146" s="14">
        <v>0.13508442776735399</v>
      </c>
      <c r="AK146" s="14">
        <v>1.84373E-3</v>
      </c>
      <c r="AL146" s="14">
        <v>9.2250500000000003E-3</v>
      </c>
      <c r="AM146" s="14">
        <v>7.53296E-3</v>
      </c>
      <c r="AN146" s="14">
        <v>0</v>
      </c>
      <c r="AO146" s="14">
        <v>7.9179000000000003E-3</v>
      </c>
      <c r="AP146" s="14">
        <v>1.9183799999999999E-3</v>
      </c>
      <c r="AQ146" s="14">
        <v>5.9995200000000004E-3</v>
      </c>
    </row>
    <row r="147" spans="1:43">
      <c r="A147" s="14" t="s">
        <v>961</v>
      </c>
      <c r="B147" s="14" t="s">
        <v>101</v>
      </c>
      <c r="C147" s="14" t="s">
        <v>124</v>
      </c>
      <c r="D147">
        <v>496</v>
      </c>
      <c r="E147">
        <v>567</v>
      </c>
      <c r="F147" s="16">
        <f t="shared" si="44"/>
        <v>126.60938455112598</v>
      </c>
      <c r="G147" s="16">
        <f t="shared" si="45"/>
        <v>79.828401221888257</v>
      </c>
      <c r="H147" s="16">
        <f t="shared" si="46"/>
        <v>24.454725658964175</v>
      </c>
      <c r="I147" s="16">
        <f t="shared" si="47"/>
        <v>1.0165079951372307</v>
      </c>
      <c r="J147" s="16">
        <f t="shared" si="48"/>
        <v>21.170481570000003</v>
      </c>
      <c r="K147" s="16">
        <f t="shared" si="49"/>
        <v>66.944543828264301</v>
      </c>
      <c r="L147" s="16">
        <f t="shared" si="50"/>
        <v>73.999999999999901</v>
      </c>
      <c r="M147" s="16">
        <f t="shared" si="51"/>
        <v>54.148499999999999</v>
      </c>
      <c r="N147" s="16">
        <f t="shared" si="52"/>
        <v>2.6991184499999998</v>
      </c>
      <c r="O147" s="16">
        <f t="shared" si="53"/>
        <v>143.7345</v>
      </c>
      <c r="P147" s="16">
        <f t="shared" si="54"/>
        <v>9.1159198199999985</v>
      </c>
      <c r="Q147" s="16">
        <f t="shared" si="55"/>
        <v>4.0572478799999994</v>
      </c>
      <c r="R147" s="16">
        <f t="shared" si="56"/>
        <v>0</v>
      </c>
      <c r="S147" s="16">
        <f t="shared" si="57"/>
        <v>1.9655168399999998</v>
      </c>
      <c r="T147" s="16">
        <f t="shared" si="58"/>
        <v>1.04654592</v>
      </c>
      <c r="U147" s="16">
        <f t="shared" si="59"/>
        <v>0.9189709199999998</v>
      </c>
      <c r="V147">
        <f t="shared" si="60"/>
        <v>0.25526085594985076</v>
      </c>
      <c r="W147">
        <f t="shared" si="61"/>
        <v>0.34579141692580362</v>
      </c>
      <c r="X147">
        <f t="shared" si="62"/>
        <v>0.43643004597828289</v>
      </c>
      <c r="Y147">
        <f t="shared" si="63"/>
        <v>0.78222146290408645</v>
      </c>
      <c r="Z147" s="14">
        <v>0.31459999999999999</v>
      </c>
      <c r="AA147" s="14">
        <v>0.2535</v>
      </c>
      <c r="AB147" s="14">
        <v>9.5500000000000002E-2</v>
      </c>
      <c r="AD147">
        <f t="shared" si="64"/>
        <v>105.43890298112598</v>
      </c>
      <c r="AE147" s="14">
        <v>3.7337710000000003E-2</v>
      </c>
      <c r="AF147" s="14">
        <v>0.75710576423749298</v>
      </c>
      <c r="AG147" s="14">
        <v>0.23193266401246301</v>
      </c>
      <c r="AH147" s="14">
        <v>9.6407300000000001E-3</v>
      </c>
      <c r="AI147" s="14">
        <v>0.118067978533094</v>
      </c>
      <c r="AJ147" s="14">
        <v>0.130511463844797</v>
      </c>
      <c r="AK147" s="14">
        <v>4.76035E-3</v>
      </c>
      <c r="AL147" s="14">
        <v>1.6077459999999998E-2</v>
      </c>
      <c r="AM147" s="14">
        <v>7.1556399999999996E-3</v>
      </c>
      <c r="AN147" s="14">
        <v>0</v>
      </c>
      <c r="AO147" s="14">
        <v>3.4665199999999998E-3</v>
      </c>
      <c r="AP147" s="14">
        <v>1.8457599999999999E-3</v>
      </c>
      <c r="AQ147" s="14">
        <v>1.62076E-3</v>
      </c>
    </row>
    <row r="148" spans="1:43">
      <c r="A148" s="14" t="s">
        <v>965</v>
      </c>
      <c r="B148" s="14" t="s">
        <v>293</v>
      </c>
      <c r="C148" s="14" t="s">
        <v>966</v>
      </c>
      <c r="D148">
        <v>436</v>
      </c>
      <c r="E148">
        <v>485</v>
      </c>
      <c r="F148" s="16">
        <f t="shared" si="44"/>
        <v>110.77973854699501</v>
      </c>
      <c r="G148" s="16">
        <f t="shared" si="45"/>
        <v>72.70685609504396</v>
      </c>
      <c r="H148" s="16">
        <f t="shared" si="46"/>
        <v>20.898089074477195</v>
      </c>
      <c r="I148" s="16">
        <f t="shared" si="47"/>
        <v>2.9126182576887483</v>
      </c>
      <c r="J148" s="16">
        <f t="shared" si="48"/>
        <v>13.396228650000001</v>
      </c>
      <c r="K148" s="16">
        <f t="shared" si="49"/>
        <v>57.955974842766835</v>
      </c>
      <c r="L148" s="16">
        <f t="shared" si="50"/>
        <v>54.000001849999997</v>
      </c>
      <c r="M148" s="16">
        <f t="shared" si="51"/>
        <v>42.825500000000005</v>
      </c>
      <c r="N148" s="16">
        <f t="shared" si="52"/>
        <v>0.99486110000000005</v>
      </c>
      <c r="O148" s="16">
        <f t="shared" si="53"/>
        <v>100.88</v>
      </c>
      <c r="P148" s="16">
        <f t="shared" si="54"/>
        <v>3.0452810500000003</v>
      </c>
      <c r="Q148" s="16">
        <f t="shared" si="55"/>
        <v>3.05031535</v>
      </c>
      <c r="R148" s="16">
        <f t="shared" si="56"/>
        <v>0.89999994999999999</v>
      </c>
      <c r="S148" s="16">
        <f t="shared" si="57"/>
        <v>2.9923481499999998</v>
      </c>
      <c r="T148" s="16">
        <f t="shared" si="58"/>
        <v>0.99948799999999993</v>
      </c>
      <c r="U148" s="16">
        <f t="shared" si="59"/>
        <v>1.9928601499999998</v>
      </c>
      <c r="V148">
        <f t="shared" si="60"/>
        <v>0.25408196914448394</v>
      </c>
      <c r="W148">
        <f t="shared" si="61"/>
        <v>0.32647536573556829</v>
      </c>
      <c r="X148">
        <f t="shared" si="62"/>
        <v>0.40556376976390962</v>
      </c>
      <c r="Y148">
        <f t="shared" si="63"/>
        <v>0.73203913549947797</v>
      </c>
      <c r="Z148" s="14">
        <v>0.29985000000000001</v>
      </c>
      <c r="AA148" s="14">
        <v>0.20799999999999999</v>
      </c>
      <c r="AB148" s="14">
        <v>8.8300000000000003E-2</v>
      </c>
      <c r="AD148">
        <f t="shared" si="64"/>
        <v>97.383509896995008</v>
      </c>
      <c r="AE148" s="14">
        <v>2.7621090000000001E-2</v>
      </c>
      <c r="AF148" s="14">
        <v>0.74660336408030303</v>
      </c>
      <c r="AG148" s="14">
        <v>0.21459576776993999</v>
      </c>
      <c r="AH148" s="14">
        <v>2.99087418472542E-2</v>
      </c>
      <c r="AI148" s="14">
        <v>0.11949685534591099</v>
      </c>
      <c r="AJ148" s="14">
        <v>0.11134021</v>
      </c>
      <c r="AK148" s="14">
        <v>2.0512600000000001E-3</v>
      </c>
      <c r="AL148" s="14">
        <v>6.2789300000000003E-3</v>
      </c>
      <c r="AM148" s="14">
        <v>6.2893100000000002E-3</v>
      </c>
      <c r="AN148" s="14">
        <v>1.85567E-3</v>
      </c>
      <c r="AO148" s="14">
        <v>6.1697899999999996E-3</v>
      </c>
      <c r="AP148" s="14">
        <v>2.0607999999999998E-3</v>
      </c>
      <c r="AQ148" s="14">
        <v>4.1089899999999999E-3</v>
      </c>
    </row>
    <row r="149" spans="1:43">
      <c r="A149" s="14" t="s">
        <v>971</v>
      </c>
      <c r="B149" s="14" t="s">
        <v>107</v>
      </c>
      <c r="C149" s="14" t="s">
        <v>87</v>
      </c>
      <c r="D149">
        <v>384</v>
      </c>
      <c r="E149">
        <v>424</v>
      </c>
      <c r="F149" s="16">
        <f t="shared" si="44"/>
        <v>90.283143449131998</v>
      </c>
      <c r="G149" s="16">
        <f t="shared" si="45"/>
        <v>56.339370606849002</v>
      </c>
      <c r="H149" s="16">
        <f t="shared" si="46"/>
        <v>17.79138019163646</v>
      </c>
      <c r="I149" s="16">
        <f t="shared" si="47"/>
        <v>0.14826118530576762</v>
      </c>
      <c r="J149" s="16">
        <f t="shared" si="48"/>
        <v>15.16398264</v>
      </c>
      <c r="K149" s="16">
        <f t="shared" si="49"/>
        <v>47.222748815165708</v>
      </c>
      <c r="L149" s="16">
        <f t="shared" si="50"/>
        <v>54.999999999999801</v>
      </c>
      <c r="M149" s="16">
        <f t="shared" si="51"/>
        <v>31.587999999999997</v>
      </c>
      <c r="N149" s="16">
        <f t="shared" si="52"/>
        <v>1.9534782400000001</v>
      </c>
      <c r="O149" s="16">
        <f t="shared" si="53"/>
        <v>103.5196</v>
      </c>
      <c r="P149" s="16">
        <f t="shared" si="54"/>
        <v>3.1127959999999999</v>
      </c>
      <c r="Q149" s="16">
        <f t="shared" si="55"/>
        <v>3.0142159999999998</v>
      </c>
      <c r="R149" s="16">
        <f t="shared" si="56"/>
        <v>0.89999935999999991</v>
      </c>
      <c r="S149" s="16">
        <f t="shared" si="57"/>
        <v>2.7340198399999998</v>
      </c>
      <c r="T149" s="16">
        <f t="shared" si="58"/>
        <v>1.0751537599999998</v>
      </c>
      <c r="U149" s="16">
        <f t="shared" si="59"/>
        <v>1.6588660799999999</v>
      </c>
      <c r="V149">
        <f t="shared" si="60"/>
        <v>0.23511235273211459</v>
      </c>
      <c r="W149">
        <f t="shared" si="61"/>
        <v>0.30183259774552518</v>
      </c>
      <c r="X149">
        <f t="shared" si="62"/>
        <v>0.39849699246364384</v>
      </c>
      <c r="Y149">
        <f t="shared" si="63"/>
        <v>0.70032959020916907</v>
      </c>
      <c r="Z149" s="14">
        <v>0.27994999999999998</v>
      </c>
      <c r="AA149" s="14">
        <v>0.24415000000000001</v>
      </c>
      <c r="AB149" s="14">
        <v>7.4499999999999997E-2</v>
      </c>
      <c r="AD149">
        <f t="shared" si="64"/>
        <v>75.119160809131998</v>
      </c>
      <c r="AE149" s="14">
        <v>3.5764110000000002E-2</v>
      </c>
      <c r="AF149" s="14">
        <v>0.75</v>
      </c>
      <c r="AG149" s="14">
        <v>0.23684210526315699</v>
      </c>
      <c r="AH149" s="14">
        <v>1.9736799999999998E-3</v>
      </c>
      <c r="AI149" s="14">
        <v>0.111374407582938</v>
      </c>
      <c r="AJ149" s="14">
        <v>0.129716981132075</v>
      </c>
      <c r="AK149" s="14">
        <v>4.6072600000000002E-3</v>
      </c>
      <c r="AL149" s="14">
        <v>7.3414999999999999E-3</v>
      </c>
      <c r="AM149" s="14">
        <v>7.1089999999999999E-3</v>
      </c>
      <c r="AN149" s="14">
        <v>2.1226399999999999E-3</v>
      </c>
      <c r="AO149" s="14">
        <v>6.4481599999999997E-3</v>
      </c>
      <c r="AP149" s="14">
        <v>2.5357399999999999E-3</v>
      </c>
      <c r="AQ149" s="14">
        <v>3.9124199999999998E-3</v>
      </c>
    </row>
    <row r="150" spans="1:43">
      <c r="A150" s="14" t="s">
        <v>975</v>
      </c>
      <c r="B150" s="14" t="s">
        <v>404</v>
      </c>
      <c r="C150" s="14" t="s">
        <v>391</v>
      </c>
      <c r="D150">
        <v>455</v>
      </c>
      <c r="E150">
        <v>511</v>
      </c>
      <c r="F150" s="16">
        <f t="shared" si="44"/>
        <v>119.67264795835666</v>
      </c>
      <c r="G150" s="16">
        <f t="shared" si="45"/>
        <v>82.694294084887844</v>
      </c>
      <c r="H150" s="16">
        <f t="shared" si="46"/>
        <v>22.803302104888896</v>
      </c>
      <c r="I150" s="16">
        <f t="shared" si="47"/>
        <v>1.1914848699220044</v>
      </c>
      <c r="J150" s="16">
        <f t="shared" si="48"/>
        <v>13.333533220000001</v>
      </c>
      <c r="K150" s="16">
        <f t="shared" si="49"/>
        <v>59.157684630738373</v>
      </c>
      <c r="L150" s="16">
        <f t="shared" si="50"/>
        <v>59.999999999999559</v>
      </c>
      <c r="M150" s="16">
        <f t="shared" si="51"/>
        <v>47.369700000000002</v>
      </c>
      <c r="N150" s="16">
        <f t="shared" si="52"/>
        <v>2.8647528699999998</v>
      </c>
      <c r="O150" s="16">
        <f t="shared" si="53"/>
        <v>96.119099999999477</v>
      </c>
      <c r="P150" s="16">
        <f t="shared" si="54"/>
        <v>5.0898206100000003</v>
      </c>
      <c r="Q150" s="16">
        <f t="shared" si="55"/>
        <v>4.0798393299999995</v>
      </c>
      <c r="R150" s="16">
        <f t="shared" si="56"/>
        <v>0</v>
      </c>
      <c r="S150" s="16">
        <f t="shared" si="57"/>
        <v>3.18589593</v>
      </c>
      <c r="T150" s="16">
        <f t="shared" si="58"/>
        <v>1.0338909700000001</v>
      </c>
      <c r="U150" s="16">
        <f t="shared" si="59"/>
        <v>2.1520049600000002</v>
      </c>
      <c r="V150">
        <f t="shared" si="60"/>
        <v>0.26301680869968497</v>
      </c>
      <c r="W150">
        <f t="shared" si="61"/>
        <v>0.34359318817159362</v>
      </c>
      <c r="X150">
        <f t="shared" si="62"/>
        <v>0.40705381491083881</v>
      </c>
      <c r="Y150">
        <f t="shared" si="63"/>
        <v>0.75064700308243237</v>
      </c>
      <c r="Z150" s="14">
        <v>0.30414999999999998</v>
      </c>
      <c r="AA150" s="14">
        <v>0.18809999999999899</v>
      </c>
      <c r="AB150" s="14">
        <v>9.2700000000000005E-2</v>
      </c>
      <c r="AD150">
        <f t="shared" si="64"/>
        <v>106.33911473835666</v>
      </c>
      <c r="AE150" s="14">
        <v>2.6093020000000001E-2</v>
      </c>
      <c r="AF150" s="14">
        <v>0.77764700494595995</v>
      </c>
      <c r="AG150" s="14">
        <v>0.21443945777614901</v>
      </c>
      <c r="AH150" s="14">
        <v>1.12045776650822E-2</v>
      </c>
      <c r="AI150" s="14">
        <v>0.115768463073852</v>
      </c>
      <c r="AJ150" s="14">
        <v>0.117416829745596</v>
      </c>
      <c r="AK150" s="14">
        <v>5.6061699999999997E-3</v>
      </c>
      <c r="AL150" s="14">
        <v>9.9605100000000005E-3</v>
      </c>
      <c r="AM150" s="14">
        <v>7.9840299999999996E-3</v>
      </c>
      <c r="AN150" s="14">
        <v>0</v>
      </c>
      <c r="AO150" s="14">
        <v>6.2346299999999997E-3</v>
      </c>
      <c r="AP150" s="14">
        <v>2.0232700000000002E-3</v>
      </c>
      <c r="AQ150" s="14">
        <v>4.2113699999999999E-3</v>
      </c>
    </row>
    <row r="151" spans="1:43">
      <c r="A151" s="14" t="s">
        <v>982</v>
      </c>
      <c r="B151" s="14" t="s">
        <v>243</v>
      </c>
      <c r="C151" s="14" t="s">
        <v>124</v>
      </c>
      <c r="D151">
        <v>362</v>
      </c>
      <c r="E151">
        <v>405</v>
      </c>
      <c r="F151" s="16">
        <f t="shared" si="44"/>
        <v>86.2702719914125</v>
      </c>
      <c r="G151" s="16">
        <f t="shared" si="45"/>
        <v>51.879474330864447</v>
      </c>
      <c r="H151" s="16">
        <f t="shared" si="46"/>
        <v>17.21802491067788</v>
      </c>
      <c r="I151" s="16">
        <f t="shared" si="47"/>
        <v>0.46666979378801382</v>
      </c>
      <c r="J151" s="16">
        <f t="shared" si="48"/>
        <v>17.147728350000001</v>
      </c>
      <c r="K151" s="16">
        <f t="shared" si="49"/>
        <v>47.045454545454476</v>
      </c>
      <c r="L151" s="16">
        <f t="shared" si="50"/>
        <v>50.999999999999623</v>
      </c>
      <c r="M151" s="16">
        <f t="shared" si="51"/>
        <v>34.384500000000003</v>
      </c>
      <c r="N151" s="16">
        <f t="shared" si="52"/>
        <v>3.1736812499999996</v>
      </c>
      <c r="O151" s="16">
        <f t="shared" si="53"/>
        <v>120.73049999999999</v>
      </c>
      <c r="P151" s="16">
        <f t="shared" si="54"/>
        <v>3.0613626000000003</v>
      </c>
      <c r="Q151" s="16">
        <f t="shared" si="55"/>
        <v>3.0681827999999998</v>
      </c>
      <c r="R151" s="16">
        <f t="shared" si="56"/>
        <v>0</v>
      </c>
      <c r="S151" s="16">
        <f t="shared" si="57"/>
        <v>1.7410707000000001</v>
      </c>
      <c r="T151" s="16">
        <f t="shared" si="58"/>
        <v>0.74999925000000001</v>
      </c>
      <c r="U151" s="16">
        <f t="shared" si="59"/>
        <v>0.99107145000000008</v>
      </c>
      <c r="V151">
        <f t="shared" si="60"/>
        <v>0.23831566848456492</v>
      </c>
      <c r="W151">
        <f t="shared" si="61"/>
        <v>0.3151552585007939</v>
      </c>
      <c r="X151">
        <f t="shared" si="62"/>
        <v>0.43178576500990123</v>
      </c>
      <c r="Y151">
        <f t="shared" si="63"/>
        <v>0.74694102351069513</v>
      </c>
      <c r="Z151" s="14">
        <v>0.30425000000000002</v>
      </c>
      <c r="AA151" s="14">
        <v>0.29809999999999998</v>
      </c>
      <c r="AB151" s="14">
        <v>8.4900000000000003E-2</v>
      </c>
      <c r="AD151">
        <f t="shared" si="64"/>
        <v>69.122543641412491</v>
      </c>
      <c r="AE151" s="14">
        <v>4.234007E-2</v>
      </c>
      <c r="AF151" s="14">
        <v>0.75054347826086898</v>
      </c>
      <c r="AG151" s="14">
        <v>0.24909420289855</v>
      </c>
      <c r="AH151" s="14">
        <v>6.7513399999999998E-3</v>
      </c>
      <c r="AI151" s="14">
        <v>0.11616161616161599</v>
      </c>
      <c r="AJ151" s="14">
        <v>0.125925925925925</v>
      </c>
      <c r="AK151" s="14">
        <v>7.8362499999999995E-3</v>
      </c>
      <c r="AL151" s="14">
        <v>7.5589200000000002E-3</v>
      </c>
      <c r="AM151" s="14">
        <v>7.57576E-3</v>
      </c>
      <c r="AN151" s="14">
        <v>0</v>
      </c>
      <c r="AO151" s="14">
        <v>4.2989400000000002E-3</v>
      </c>
      <c r="AP151" s="14">
        <v>1.8518499999999999E-3</v>
      </c>
      <c r="AQ151" s="14">
        <v>2.4470899999999999E-3</v>
      </c>
    </row>
    <row r="152" spans="1:43">
      <c r="A152" s="14" t="s">
        <v>983</v>
      </c>
      <c r="B152" s="14" t="s">
        <v>58</v>
      </c>
      <c r="C152" s="14" t="s">
        <v>169</v>
      </c>
      <c r="D152">
        <v>473</v>
      </c>
      <c r="E152">
        <v>534</v>
      </c>
      <c r="F152" s="16">
        <f t="shared" si="44"/>
        <v>112.190904483686</v>
      </c>
      <c r="G152" s="16">
        <f t="shared" si="45"/>
        <v>70.200272530579326</v>
      </c>
      <c r="H152" s="16">
        <f t="shared" si="46"/>
        <v>21.721965783417051</v>
      </c>
      <c r="I152" s="16">
        <f t="shared" si="47"/>
        <v>1.9744385824078026</v>
      </c>
      <c r="J152" s="16">
        <f t="shared" si="48"/>
        <v>17.372584620000001</v>
      </c>
      <c r="K152" s="16">
        <f t="shared" si="49"/>
        <v>65.976833976833689</v>
      </c>
      <c r="L152" s="16">
        <f t="shared" si="50"/>
        <v>55.999999999999524</v>
      </c>
      <c r="M152" s="16">
        <f t="shared" si="51"/>
        <v>48.006599999999999</v>
      </c>
      <c r="N152" s="16">
        <f t="shared" si="52"/>
        <v>0.15463572</v>
      </c>
      <c r="O152" s="16">
        <f t="shared" si="53"/>
        <v>147.89129999999997</v>
      </c>
      <c r="P152" s="16">
        <f t="shared" si="54"/>
        <v>6.1667975400000001</v>
      </c>
      <c r="Q152" s="16">
        <f t="shared" si="55"/>
        <v>3.0926663400000001</v>
      </c>
      <c r="R152" s="16">
        <f t="shared" si="56"/>
        <v>1.97337564</v>
      </c>
      <c r="S152" s="16">
        <f t="shared" si="57"/>
        <v>16.117695300000001</v>
      </c>
      <c r="T152" s="16">
        <f t="shared" si="58"/>
        <v>3.9102256799999999</v>
      </c>
      <c r="U152" s="16">
        <f t="shared" si="59"/>
        <v>12.207469620000001</v>
      </c>
      <c r="V152">
        <f t="shared" si="60"/>
        <v>0.23719007290419872</v>
      </c>
      <c r="W152">
        <f t="shared" si="61"/>
        <v>0.3176303258580766</v>
      </c>
      <c r="X152">
        <f t="shared" si="62"/>
        <v>0.39969948905842884</v>
      </c>
      <c r="Y152">
        <f t="shared" si="63"/>
        <v>0.71732981491650549</v>
      </c>
      <c r="Z152" s="14">
        <v>0.30504999999999999</v>
      </c>
      <c r="AA152" s="14">
        <v>0.27694999999999997</v>
      </c>
      <c r="AB152" s="14">
        <v>8.9899999999999994E-2</v>
      </c>
      <c r="AD152">
        <f t="shared" si="64"/>
        <v>94.818319863686</v>
      </c>
      <c r="AE152" s="14">
        <v>3.2532930000000002E-2</v>
      </c>
      <c r="AF152" s="14">
        <v>0.74036612999999996</v>
      </c>
      <c r="AG152" s="14">
        <v>0.229090389016018</v>
      </c>
      <c r="AH152" s="14">
        <v>2.0823387139176499E-2</v>
      </c>
      <c r="AI152" s="14">
        <v>0.123552123552123</v>
      </c>
      <c r="AJ152" s="14">
        <v>0.10486891385767701</v>
      </c>
      <c r="AK152" s="14">
        <v>2.8958E-4</v>
      </c>
      <c r="AL152" s="14">
        <v>1.1548310000000001E-2</v>
      </c>
      <c r="AM152" s="14">
        <v>5.7915099999999997E-3</v>
      </c>
      <c r="AN152" s="14">
        <v>3.6954599999999998E-3</v>
      </c>
      <c r="AO152" s="14">
        <v>3.018295E-2</v>
      </c>
      <c r="AP152" s="14">
        <v>7.3225199999999999E-3</v>
      </c>
      <c r="AQ152" s="14">
        <v>2.2860430000000001E-2</v>
      </c>
    </row>
    <row r="153" spans="1:43">
      <c r="A153" s="14" t="s">
        <v>989</v>
      </c>
      <c r="B153" s="14" t="s">
        <v>33</v>
      </c>
      <c r="C153" s="14" t="s">
        <v>896</v>
      </c>
      <c r="D153">
        <v>454</v>
      </c>
      <c r="E153">
        <v>525</v>
      </c>
      <c r="F153" s="16">
        <f t="shared" si="44"/>
        <v>111.84192306132466</v>
      </c>
      <c r="G153" s="16">
        <f t="shared" si="45"/>
        <v>73.268488908165693</v>
      </c>
      <c r="H153" s="16">
        <f t="shared" si="46"/>
        <v>24.323539241900509</v>
      </c>
      <c r="I153" s="16">
        <f t="shared" si="47"/>
        <v>1.0089310703547676</v>
      </c>
      <c r="J153" s="16">
        <f t="shared" si="48"/>
        <v>13.03526175</v>
      </c>
      <c r="K153" s="16">
        <f t="shared" si="49"/>
        <v>63.72832369942185</v>
      </c>
      <c r="L153" s="16">
        <f t="shared" si="50"/>
        <v>51.000001499999996</v>
      </c>
      <c r="M153" s="16">
        <f t="shared" si="51"/>
        <v>53.549999999999471</v>
      </c>
      <c r="N153" s="16">
        <f t="shared" si="52"/>
        <v>0</v>
      </c>
      <c r="O153" s="16">
        <f t="shared" si="53"/>
        <v>100.19624999999999</v>
      </c>
      <c r="P153" s="16">
        <f t="shared" si="54"/>
        <v>13.13526011560686</v>
      </c>
      <c r="Q153" s="16">
        <f t="shared" si="55"/>
        <v>4.0462432499999998</v>
      </c>
      <c r="R153" s="16">
        <f t="shared" si="56"/>
        <v>0.99493799999999999</v>
      </c>
      <c r="S153" s="16">
        <f t="shared" si="57"/>
        <v>4.9367062500000003</v>
      </c>
      <c r="T153" s="16">
        <f t="shared" si="58"/>
        <v>2.0208352500000002</v>
      </c>
      <c r="U153" s="16">
        <f t="shared" si="59"/>
        <v>2.9158710000000001</v>
      </c>
      <c r="V153">
        <f t="shared" si="60"/>
        <v>0.2463478481526975</v>
      </c>
      <c r="W153">
        <f t="shared" si="61"/>
        <v>0.34896109096268496</v>
      </c>
      <c r="X153">
        <f t="shared" si="62"/>
        <v>0.39005155859698454</v>
      </c>
      <c r="Y153">
        <f t="shared" si="63"/>
        <v>0.7390126495596695</v>
      </c>
      <c r="Z153" s="14">
        <v>0.28654999999999903</v>
      </c>
      <c r="AA153" s="14">
        <v>0.19084999999999999</v>
      </c>
      <c r="AB153" s="14">
        <v>0.10199999999999899</v>
      </c>
      <c r="AD153">
        <f t="shared" si="64"/>
        <v>98.80666131132466</v>
      </c>
      <c r="AE153" s="14">
        <v>2.4829070000000002E-2</v>
      </c>
      <c r="AF153" s="14">
        <v>0.74153389999999997</v>
      </c>
      <c r="AG153" s="14">
        <v>0.24617307091533799</v>
      </c>
      <c r="AH153" s="14">
        <v>1.021116447985E-2</v>
      </c>
      <c r="AI153" s="14">
        <v>0.12138728323699401</v>
      </c>
      <c r="AJ153" s="14">
        <v>9.7142859999999998E-2</v>
      </c>
      <c r="AK153" s="14">
        <v>0</v>
      </c>
      <c r="AL153" s="14">
        <v>2.5019543077346398E-2</v>
      </c>
      <c r="AM153" s="14">
        <v>7.7071300000000004E-3</v>
      </c>
      <c r="AN153" s="14">
        <v>1.8951199999999999E-3</v>
      </c>
      <c r="AO153" s="14">
        <v>9.4032500000000001E-3</v>
      </c>
      <c r="AP153" s="14">
        <v>3.84921E-3</v>
      </c>
      <c r="AQ153" s="14">
        <v>5.5540499999999996E-3</v>
      </c>
    </row>
    <row r="154" spans="1:43">
      <c r="A154" s="14" t="s">
        <v>995</v>
      </c>
      <c r="B154" s="14" t="s">
        <v>248</v>
      </c>
      <c r="C154" s="14" t="s">
        <v>169</v>
      </c>
      <c r="D154">
        <v>476</v>
      </c>
      <c r="E154">
        <v>511</v>
      </c>
      <c r="F154" s="16">
        <f t="shared" si="44"/>
        <v>126.27613841780618</v>
      </c>
      <c r="G154" s="16">
        <f t="shared" si="45"/>
        <v>86.171983093420693</v>
      </c>
      <c r="H154" s="16">
        <f t="shared" si="46"/>
        <v>24.532948923393803</v>
      </c>
      <c r="I154" s="16">
        <f t="shared" si="47"/>
        <v>1.7897073461462034</v>
      </c>
      <c r="J154" s="16">
        <f t="shared" si="48"/>
        <v>14.351497005988016</v>
      </c>
      <c r="K154" s="16">
        <f t="shared" si="49"/>
        <v>57.117764471057669</v>
      </c>
      <c r="L154" s="16">
        <f t="shared" si="50"/>
        <v>61.999997919999998</v>
      </c>
      <c r="M154" s="16">
        <f t="shared" si="51"/>
        <v>28.462699999999998</v>
      </c>
      <c r="N154" s="16">
        <f t="shared" si="52"/>
        <v>1.13598877</v>
      </c>
      <c r="O154" s="16">
        <f t="shared" si="53"/>
        <v>80.201450000000008</v>
      </c>
      <c r="P154" s="16">
        <f t="shared" si="54"/>
        <v>2.0359262</v>
      </c>
      <c r="Q154" s="16">
        <f t="shared" si="55"/>
        <v>5.0998004400000001</v>
      </c>
      <c r="R154" s="16">
        <f t="shared" si="56"/>
        <v>0</v>
      </c>
      <c r="S154" s="16">
        <f t="shared" si="57"/>
        <v>13.156666666666585</v>
      </c>
      <c r="T154" s="16">
        <f t="shared" si="58"/>
        <v>5.1236539199999998</v>
      </c>
      <c r="U154" s="16">
        <f t="shared" si="59"/>
        <v>8.0330127466665857</v>
      </c>
      <c r="V154">
        <f t="shared" si="60"/>
        <v>0.26528600507942474</v>
      </c>
      <c r="W154">
        <f t="shared" si="61"/>
        <v>0.30920544455120375</v>
      </c>
      <c r="X154">
        <f t="shared" si="62"/>
        <v>0.41599367857688857</v>
      </c>
      <c r="Y154">
        <f t="shared" si="63"/>
        <v>0.72519912312809232</v>
      </c>
      <c r="Z154" s="14">
        <v>0.28954999999999997</v>
      </c>
      <c r="AA154" s="14">
        <v>0.15695000000000001</v>
      </c>
      <c r="AB154" s="14">
        <v>5.57E-2</v>
      </c>
      <c r="AD154">
        <f t="shared" si="64"/>
        <v>111.92464141181817</v>
      </c>
      <c r="AE154" s="14">
        <v>2.8085121342442301E-2</v>
      </c>
      <c r="AF154" s="14">
        <v>0.76991073642449703</v>
      </c>
      <c r="AG154" s="14">
        <v>0.21919166873295301</v>
      </c>
      <c r="AH154" s="14">
        <v>1.59902888548118E-2</v>
      </c>
      <c r="AI154" s="14">
        <v>0.111776447105788</v>
      </c>
      <c r="AJ154" s="14">
        <v>0.12133072</v>
      </c>
      <c r="AK154" s="14">
        <v>2.2230700000000002E-3</v>
      </c>
      <c r="AL154" s="14">
        <v>3.9842000000000002E-3</v>
      </c>
      <c r="AM154" s="14">
        <v>9.9800400000000008E-3</v>
      </c>
      <c r="AN154" s="14">
        <v>0</v>
      </c>
      <c r="AO154" s="14">
        <v>2.5746901500325999E-2</v>
      </c>
      <c r="AP154" s="14">
        <v>1.0026719999999999E-2</v>
      </c>
      <c r="AQ154" s="14">
        <v>1.57201775982155E-2</v>
      </c>
    </row>
    <row r="155" spans="1:43">
      <c r="A155" s="14" t="s">
        <v>1001</v>
      </c>
      <c r="B155" s="14" t="s">
        <v>40</v>
      </c>
      <c r="C155" s="14" t="s">
        <v>87</v>
      </c>
      <c r="D155">
        <v>389</v>
      </c>
      <c r="E155">
        <v>438</v>
      </c>
      <c r="F155" s="16">
        <f t="shared" si="44"/>
        <v>88.496754178159449</v>
      </c>
      <c r="G155" s="16">
        <f t="shared" si="45"/>
        <v>55.760308415681045</v>
      </c>
      <c r="H155" s="16">
        <f t="shared" si="46"/>
        <v>15.248944872109666</v>
      </c>
      <c r="I155" s="16">
        <f t="shared" si="47"/>
        <v>1.0426326782608499</v>
      </c>
      <c r="J155" s="16">
        <f t="shared" si="48"/>
        <v>17.335011441647573</v>
      </c>
      <c r="K155" s="16">
        <f t="shared" si="49"/>
        <v>48.109839816933444</v>
      </c>
      <c r="L155" s="16">
        <f t="shared" si="50"/>
        <v>57.999999999999595</v>
      </c>
      <c r="M155" s="16">
        <f t="shared" si="51"/>
        <v>38.324999999999996</v>
      </c>
      <c r="N155" s="16">
        <f t="shared" si="52"/>
        <v>0.98688846000000008</v>
      </c>
      <c r="O155" s="16">
        <f t="shared" si="53"/>
        <v>113.0478</v>
      </c>
      <c r="P155" s="16">
        <f t="shared" si="54"/>
        <v>6.01235697940501</v>
      </c>
      <c r="Q155" s="16">
        <f t="shared" si="55"/>
        <v>3.0068656199999997</v>
      </c>
      <c r="R155" s="16">
        <f t="shared" si="56"/>
        <v>0.89999801999999995</v>
      </c>
      <c r="S155" s="16">
        <f t="shared" si="57"/>
        <v>0.99551706000000006</v>
      </c>
      <c r="T155" s="16">
        <f t="shared" si="58"/>
        <v>0</v>
      </c>
      <c r="U155" s="16">
        <f t="shared" si="59"/>
        <v>0.99551706000000006</v>
      </c>
      <c r="V155">
        <f t="shared" si="60"/>
        <v>0.22749808272020425</v>
      </c>
      <c r="W155">
        <f t="shared" si="61"/>
        <v>0.31026009964023876</v>
      </c>
      <c r="X155">
        <f t="shared" si="62"/>
        <v>0.40803635465622934</v>
      </c>
      <c r="Y155">
        <f t="shared" si="63"/>
        <v>0.71829645429646805</v>
      </c>
      <c r="Z155" s="14">
        <v>0.27200000000000002</v>
      </c>
      <c r="AA155" s="14">
        <v>0.2581</v>
      </c>
      <c r="AB155" s="14">
        <v>8.7499999999999994E-2</v>
      </c>
      <c r="AD155">
        <f t="shared" si="64"/>
        <v>71.161742736511869</v>
      </c>
      <c r="AE155" s="14">
        <v>3.9577651693259303E-2</v>
      </c>
      <c r="AF155" s="14">
        <v>0.78357142857142803</v>
      </c>
      <c r="AG155" s="14">
        <v>0.214285714285714</v>
      </c>
      <c r="AH155" s="14">
        <v>1.4651590000000001E-2</v>
      </c>
      <c r="AI155" s="14">
        <v>0.10983981693363799</v>
      </c>
      <c r="AJ155" s="14">
        <v>0.13242009132419999</v>
      </c>
      <c r="AK155" s="14">
        <v>2.2531700000000001E-3</v>
      </c>
      <c r="AL155" s="14">
        <v>1.37268424187329E-2</v>
      </c>
      <c r="AM155" s="14">
        <v>6.8649899999999996E-3</v>
      </c>
      <c r="AN155" s="14">
        <v>2.0547899999999999E-3</v>
      </c>
      <c r="AO155" s="14">
        <v>2.2728700000000002E-3</v>
      </c>
      <c r="AP155" s="14">
        <v>0</v>
      </c>
      <c r="AQ155" s="14">
        <v>2.2728700000000002E-3</v>
      </c>
    </row>
    <row r="156" spans="1:43">
      <c r="A156" s="14" t="s">
        <v>1008</v>
      </c>
      <c r="B156" s="14" t="s">
        <v>630</v>
      </c>
      <c r="C156" s="14" t="s">
        <v>87</v>
      </c>
      <c r="D156">
        <v>409</v>
      </c>
      <c r="E156">
        <v>467</v>
      </c>
      <c r="F156" s="16">
        <f t="shared" si="44"/>
        <v>100.13450750278801</v>
      </c>
      <c r="G156" s="16">
        <f t="shared" si="45"/>
        <v>67.326391911268544</v>
      </c>
      <c r="H156" s="16">
        <f t="shared" si="46"/>
        <v>18.007058757842955</v>
      </c>
      <c r="I156" s="16">
        <f t="shared" si="47"/>
        <v>1.0361203986674838</v>
      </c>
      <c r="J156" s="16">
        <f t="shared" si="48"/>
        <v>12.099998019999999</v>
      </c>
      <c r="K156" s="16">
        <f t="shared" si="49"/>
        <v>53.999999999999879</v>
      </c>
      <c r="L156" s="16">
        <f t="shared" si="50"/>
        <v>48.99999999999973</v>
      </c>
      <c r="M156" s="16">
        <f t="shared" si="51"/>
        <v>48.661399999999531</v>
      </c>
      <c r="N156" s="16">
        <f t="shared" si="52"/>
        <v>0</v>
      </c>
      <c r="O156" s="16">
        <f t="shared" si="53"/>
        <v>118.59465</v>
      </c>
      <c r="P156" s="16">
        <f t="shared" si="54"/>
        <v>4.9000021699999996</v>
      </c>
      <c r="Q156" s="16">
        <f t="shared" si="55"/>
        <v>2.9999986600000002</v>
      </c>
      <c r="R156" s="16">
        <f t="shared" si="56"/>
        <v>1.0006455699999999</v>
      </c>
      <c r="S156" s="16">
        <f t="shared" si="57"/>
        <v>6.7596982758620081</v>
      </c>
      <c r="T156" s="16">
        <f t="shared" si="58"/>
        <v>2.0695104999999998</v>
      </c>
      <c r="U156" s="16">
        <f t="shared" si="59"/>
        <v>4.6901877758620083</v>
      </c>
      <c r="V156">
        <f t="shared" si="60"/>
        <v>0.24482764670608315</v>
      </c>
      <c r="W156">
        <f t="shared" si="61"/>
        <v>0.33364182481941779</v>
      </c>
      <c r="X156">
        <f t="shared" si="62"/>
        <v>0.37860357629084818</v>
      </c>
      <c r="Y156">
        <f t="shared" si="63"/>
        <v>0.71224540111026591</v>
      </c>
      <c r="Z156" s="14">
        <v>0.31295000000000001</v>
      </c>
      <c r="AA156" s="14">
        <v>0.25395000000000001</v>
      </c>
      <c r="AB156" s="14">
        <v>0.104199999999999</v>
      </c>
      <c r="AD156">
        <f t="shared" si="64"/>
        <v>88.03450948278801</v>
      </c>
      <c r="AE156" s="14">
        <v>2.5910059999999999E-2</v>
      </c>
      <c r="AF156" s="14">
        <v>0.76477272727272705</v>
      </c>
      <c r="AG156" s="14">
        <v>0.204545454545454</v>
      </c>
      <c r="AH156" s="14">
        <v>1.1769480000000001E-2</v>
      </c>
      <c r="AI156" s="14">
        <v>0.115631691648822</v>
      </c>
      <c r="AJ156" s="14">
        <v>0.10492505353319</v>
      </c>
      <c r="AK156" s="14">
        <v>0</v>
      </c>
      <c r="AL156" s="14">
        <v>1.049251E-2</v>
      </c>
      <c r="AM156" s="14">
        <v>6.4239800000000001E-3</v>
      </c>
      <c r="AN156" s="14">
        <v>2.1427099999999999E-3</v>
      </c>
      <c r="AO156" s="14">
        <v>1.4474728642102801E-2</v>
      </c>
      <c r="AP156" s="14">
        <v>4.4314999999999997E-3</v>
      </c>
      <c r="AQ156" s="14">
        <v>1.00432250122914E-2</v>
      </c>
    </row>
    <row r="157" spans="1:43">
      <c r="A157" s="14" t="s">
        <v>1015</v>
      </c>
      <c r="B157" s="14" t="s">
        <v>58</v>
      </c>
      <c r="C157" s="14" t="s">
        <v>391</v>
      </c>
      <c r="D157">
        <v>379</v>
      </c>
      <c r="E157">
        <v>428</v>
      </c>
      <c r="F157" s="16">
        <f t="shared" si="44"/>
        <v>88.305291730244008</v>
      </c>
      <c r="G157" s="16">
        <f t="shared" si="45"/>
        <v>55.535756797999809</v>
      </c>
      <c r="H157" s="16">
        <f t="shared" si="46"/>
        <v>18.412770834479186</v>
      </c>
      <c r="I157" s="16">
        <f t="shared" si="47"/>
        <v>1.1538387694430319</v>
      </c>
      <c r="J157" s="16">
        <f t="shared" si="48"/>
        <v>13.4644306</v>
      </c>
      <c r="K157" s="16">
        <f t="shared" si="49"/>
        <v>49.789710800000002</v>
      </c>
      <c r="L157" s="16">
        <f t="shared" si="50"/>
        <v>51.999999999999687</v>
      </c>
      <c r="M157" s="16">
        <f t="shared" si="51"/>
        <v>40.488800000000005</v>
      </c>
      <c r="N157" s="16">
        <f t="shared" si="52"/>
        <v>0</v>
      </c>
      <c r="O157" s="16">
        <f t="shared" si="53"/>
        <v>91.271000000000001</v>
      </c>
      <c r="P157" s="16">
        <f t="shared" si="54"/>
        <v>5.6704697986576758</v>
      </c>
      <c r="Q157" s="16">
        <f t="shared" si="55"/>
        <v>2.8724834800000001</v>
      </c>
      <c r="R157" s="16">
        <f t="shared" si="56"/>
        <v>0</v>
      </c>
      <c r="S157" s="16">
        <f t="shared" si="57"/>
        <v>6.9484130799999999</v>
      </c>
      <c r="T157" s="16">
        <f t="shared" si="58"/>
        <v>2.0245084799999997</v>
      </c>
      <c r="U157" s="16">
        <f t="shared" si="59"/>
        <v>4.9239046000000002</v>
      </c>
      <c r="V157">
        <f t="shared" si="60"/>
        <v>0.2329954926919367</v>
      </c>
      <c r="W157">
        <f t="shared" si="61"/>
        <v>0.31836384343989937</v>
      </c>
      <c r="X157">
        <f t="shared" si="62"/>
        <v>0.39493545428835691</v>
      </c>
      <c r="Y157">
        <f t="shared" si="63"/>
        <v>0.71329929772825629</v>
      </c>
      <c r="Z157" s="14">
        <v>0.27005000000000001</v>
      </c>
      <c r="AA157" s="14">
        <v>0.21325</v>
      </c>
      <c r="AB157" s="14">
        <v>9.4600000000000004E-2</v>
      </c>
      <c r="AD157">
        <f t="shared" si="64"/>
        <v>74.840861130244008</v>
      </c>
      <c r="AE157" s="14">
        <v>3.1458949999999999E-2</v>
      </c>
      <c r="AF157" s="14">
        <v>0.74205127999999998</v>
      </c>
      <c r="AG157" s="14">
        <v>0.24602564102564001</v>
      </c>
      <c r="AH157" s="14">
        <v>1.5417230000000001E-2</v>
      </c>
      <c r="AI157" s="14">
        <v>0.11633110000000001</v>
      </c>
      <c r="AJ157" s="14">
        <v>0.121495327102803</v>
      </c>
      <c r="AK157" s="14">
        <v>0</v>
      </c>
      <c r="AL157" s="14">
        <v>1.3248761211816999E-2</v>
      </c>
      <c r="AM157" s="14">
        <v>6.7114100000000001E-3</v>
      </c>
      <c r="AN157" s="14">
        <v>0</v>
      </c>
      <c r="AO157" s="14">
        <v>1.623461E-2</v>
      </c>
      <c r="AP157" s="14">
        <v>4.7301599999999997E-3</v>
      </c>
      <c r="AQ157" s="14">
        <v>1.1504446015166101E-2</v>
      </c>
    </row>
    <row r="158" spans="1:43">
      <c r="A158" s="14" t="s">
        <v>1023</v>
      </c>
      <c r="B158" s="14" t="s">
        <v>116</v>
      </c>
      <c r="C158" s="14" t="s">
        <v>631</v>
      </c>
      <c r="D158">
        <v>520</v>
      </c>
      <c r="E158">
        <v>567</v>
      </c>
      <c r="F158" s="16">
        <f t="shared" si="44"/>
        <v>141.6317257410455</v>
      </c>
      <c r="G158" s="16">
        <f t="shared" si="45"/>
        <v>99.833368437370495</v>
      </c>
      <c r="H158" s="16">
        <f t="shared" si="46"/>
        <v>26.345071504063064</v>
      </c>
      <c r="I158" s="16">
        <f t="shared" si="47"/>
        <v>2.0335221536625148</v>
      </c>
      <c r="J158" s="16">
        <f t="shared" si="48"/>
        <v>14.22621144</v>
      </c>
      <c r="K158" s="16">
        <f t="shared" si="49"/>
        <v>63.113104530000001</v>
      </c>
      <c r="L158" s="16">
        <f t="shared" si="50"/>
        <v>70.999999999999488</v>
      </c>
      <c r="M158" s="16">
        <f t="shared" si="51"/>
        <v>36.061199999999999</v>
      </c>
      <c r="N158" s="16">
        <f t="shared" si="52"/>
        <v>1.64924424</v>
      </c>
      <c r="O158" s="16">
        <f t="shared" si="53"/>
        <v>88.537050000000008</v>
      </c>
      <c r="P158" s="16">
        <f t="shared" si="54"/>
        <v>4.1646320100000001</v>
      </c>
      <c r="Q158" s="16">
        <f t="shared" si="55"/>
        <v>6.10771833</v>
      </c>
      <c r="R158" s="16">
        <f t="shared" si="56"/>
        <v>0</v>
      </c>
      <c r="S158" s="16">
        <f t="shared" si="57"/>
        <v>3.1810344300000004</v>
      </c>
      <c r="T158" s="16">
        <f t="shared" si="58"/>
        <v>1.0164495600000001</v>
      </c>
      <c r="U158" s="16">
        <f t="shared" si="59"/>
        <v>2.1645848700000005</v>
      </c>
      <c r="V158">
        <f t="shared" si="60"/>
        <v>0.27236870334816443</v>
      </c>
      <c r="W158">
        <f t="shared" si="61"/>
        <v>0.32547160445237067</v>
      </c>
      <c r="X158">
        <f t="shared" si="62"/>
        <v>0.41447869935862341</v>
      </c>
      <c r="Y158">
        <f t="shared" si="63"/>
        <v>0.73995030381099403</v>
      </c>
      <c r="Z158" s="14">
        <v>0.30095</v>
      </c>
      <c r="AA158" s="14">
        <v>0.15615000000000001</v>
      </c>
      <c r="AB158" s="14">
        <v>6.3600000000000004E-2</v>
      </c>
      <c r="AD158">
        <f t="shared" si="64"/>
        <v>127.4055143010455</v>
      </c>
      <c r="AE158" s="14">
        <v>2.5090319999999999E-2</v>
      </c>
      <c r="AF158" s="14">
        <v>0.78358749999999999</v>
      </c>
      <c r="AG158" s="14">
        <v>0.20678125</v>
      </c>
      <c r="AH158" s="14">
        <v>1.5961021505376299E-2</v>
      </c>
      <c r="AI158" s="14">
        <v>0.11131059</v>
      </c>
      <c r="AJ158" s="14">
        <v>0.12522045855379099</v>
      </c>
      <c r="AK158" s="14">
        <v>2.9087200000000001E-3</v>
      </c>
      <c r="AL158" s="14">
        <v>7.3450299999999998E-3</v>
      </c>
      <c r="AM158" s="14">
        <v>1.077199E-2</v>
      </c>
      <c r="AN158" s="14">
        <v>0</v>
      </c>
      <c r="AO158" s="14">
        <v>5.6102900000000004E-3</v>
      </c>
      <c r="AP158" s="14">
        <v>1.7926800000000001E-3</v>
      </c>
      <c r="AQ158" s="14">
        <v>3.8176099999999999E-3</v>
      </c>
    </row>
    <row r="159" spans="1:43">
      <c r="A159" s="14" t="s">
        <v>1029</v>
      </c>
      <c r="B159" s="14" t="s">
        <v>92</v>
      </c>
      <c r="C159" s="14" t="s">
        <v>87</v>
      </c>
      <c r="D159">
        <v>392</v>
      </c>
      <c r="E159">
        <v>440</v>
      </c>
      <c r="F159" s="16">
        <f t="shared" si="44"/>
        <v>107.85886685449999</v>
      </c>
      <c r="G159" s="16">
        <f t="shared" si="45"/>
        <v>75.690057382429629</v>
      </c>
      <c r="H159" s="16">
        <f t="shared" si="46"/>
        <v>20.14372784628863</v>
      </c>
      <c r="I159" s="16">
        <f t="shared" si="47"/>
        <v>1.0237883658141071</v>
      </c>
      <c r="J159" s="16">
        <f t="shared" si="48"/>
        <v>10.1617868</v>
      </c>
      <c r="K159" s="16">
        <f t="shared" si="49"/>
        <v>53.36384439359248</v>
      </c>
      <c r="L159" s="16">
        <f t="shared" si="50"/>
        <v>53.99999999999968</v>
      </c>
      <c r="M159" s="16">
        <f t="shared" si="51"/>
        <v>39.512</v>
      </c>
      <c r="N159" s="16">
        <f t="shared" si="52"/>
        <v>1.9494288000000002</v>
      </c>
      <c r="O159" s="16">
        <f t="shared" si="53"/>
        <v>74.975999999999999</v>
      </c>
      <c r="P159" s="16">
        <f t="shared" si="54"/>
        <v>3.924712</v>
      </c>
      <c r="Q159" s="16">
        <f t="shared" si="55"/>
        <v>4.0274608000000001</v>
      </c>
      <c r="R159" s="16">
        <f t="shared" si="56"/>
        <v>0</v>
      </c>
      <c r="S159" s="16">
        <f t="shared" si="57"/>
        <v>3.9649104000000004</v>
      </c>
      <c r="T159" s="16">
        <f t="shared" si="58"/>
        <v>1.7702696000000002</v>
      </c>
      <c r="U159" s="16">
        <f t="shared" si="59"/>
        <v>2.1946408000000002</v>
      </c>
      <c r="V159">
        <f t="shared" si="60"/>
        <v>0.27515017054719387</v>
      </c>
      <c r="W159">
        <f t="shared" si="61"/>
        <v>0.35028319872217384</v>
      </c>
      <c r="X159">
        <f t="shared" si="62"/>
        <v>0.40738781982767658</v>
      </c>
      <c r="Y159">
        <f t="shared" si="63"/>
        <v>0.75767101854985042</v>
      </c>
      <c r="Z159" s="14">
        <v>0.31424999999999997</v>
      </c>
      <c r="AA159" s="14">
        <v>0.1704</v>
      </c>
      <c r="AB159" s="14">
        <v>8.9800000000000005E-2</v>
      </c>
      <c r="AD159">
        <f t="shared" si="64"/>
        <v>97.697080054499992</v>
      </c>
      <c r="AE159" s="14">
        <v>2.3094969999999999E-2</v>
      </c>
      <c r="AF159" s="14">
        <v>0.77474226804123703</v>
      </c>
      <c r="AG159" s="14">
        <v>0.20618556701030899</v>
      </c>
      <c r="AH159" s="14">
        <v>1.04792115101392E-2</v>
      </c>
      <c r="AI159" s="14">
        <v>0.121281464530892</v>
      </c>
      <c r="AJ159" s="14">
        <v>0.122727272727272</v>
      </c>
      <c r="AK159" s="14">
        <v>4.4305200000000003E-3</v>
      </c>
      <c r="AL159" s="14">
        <v>8.9198000000000003E-3</v>
      </c>
      <c r="AM159" s="14">
        <v>9.1533199999999995E-3</v>
      </c>
      <c r="AN159" s="14">
        <v>0</v>
      </c>
      <c r="AO159" s="14">
        <v>9.0111600000000007E-3</v>
      </c>
      <c r="AP159" s="14">
        <v>4.0233400000000002E-3</v>
      </c>
      <c r="AQ159" s="14">
        <v>4.9878199999999996E-3</v>
      </c>
    </row>
    <row r="160" spans="1:43">
      <c r="A160" s="14" t="s">
        <v>1034</v>
      </c>
      <c r="B160" s="14" t="s">
        <v>243</v>
      </c>
      <c r="C160" s="14" t="s">
        <v>20</v>
      </c>
      <c r="D160">
        <v>516</v>
      </c>
      <c r="E160">
        <v>568</v>
      </c>
      <c r="F160" s="16">
        <f t="shared" si="44"/>
        <v>138.678106503008</v>
      </c>
      <c r="G160" s="16">
        <f t="shared" si="45"/>
        <v>94.93838833968357</v>
      </c>
      <c r="H160" s="16">
        <f t="shared" si="46"/>
        <v>31.849969249759578</v>
      </c>
      <c r="I160" s="16">
        <f t="shared" si="47"/>
        <v>6.1114788403568348</v>
      </c>
      <c r="J160" s="16">
        <f t="shared" si="48"/>
        <v>7.2014334399999997</v>
      </c>
      <c r="K160" s="16">
        <f t="shared" si="49"/>
        <v>66.046511627906483</v>
      </c>
      <c r="L160" s="16">
        <f t="shared" si="50"/>
        <v>55.00000232</v>
      </c>
      <c r="M160" s="16">
        <f t="shared" si="51"/>
        <v>42.372799999999998</v>
      </c>
      <c r="N160" s="16">
        <f t="shared" si="52"/>
        <v>0.95192255999999997</v>
      </c>
      <c r="O160" s="16">
        <f t="shared" si="53"/>
        <v>62.224399999999996</v>
      </c>
      <c r="P160" s="16">
        <f t="shared" si="54"/>
        <v>5.0724501599999998</v>
      </c>
      <c r="Q160" s="16">
        <f t="shared" si="55"/>
        <v>5.0804987200000005</v>
      </c>
      <c r="R160" s="16">
        <f t="shared" si="56"/>
        <v>0.99326728000000009</v>
      </c>
      <c r="S160" s="16">
        <f t="shared" si="57"/>
        <v>9.0816895199999994</v>
      </c>
      <c r="T160" s="16">
        <f t="shared" si="58"/>
        <v>3.1602554399999998</v>
      </c>
      <c r="U160" s="16">
        <f t="shared" si="59"/>
        <v>5.9214340799999992</v>
      </c>
      <c r="V160">
        <f t="shared" si="60"/>
        <v>0.26875602035466667</v>
      </c>
      <c r="W160">
        <f t="shared" si="61"/>
        <v>0.33145561410425084</v>
      </c>
      <c r="X160">
        <f t="shared" si="62"/>
        <v>0.39879553705479309</v>
      </c>
      <c r="Y160">
        <f t="shared" si="63"/>
        <v>0.73025115115904393</v>
      </c>
      <c r="Z160" s="14">
        <v>0.29110000000000003</v>
      </c>
      <c r="AA160" s="14">
        <v>0.10954999999999999</v>
      </c>
      <c r="AB160" s="14">
        <v>7.46E-2</v>
      </c>
      <c r="AD160">
        <f t="shared" si="64"/>
        <v>131.47667306300801</v>
      </c>
      <c r="AE160" s="14">
        <v>1.267858E-2</v>
      </c>
      <c r="AF160" s="14">
        <v>0.72209302325581304</v>
      </c>
      <c r="AG160" s="14">
        <v>0.242248062015503</v>
      </c>
      <c r="AH160" s="14">
        <v>4.6483370000000003E-2</v>
      </c>
      <c r="AI160" s="14">
        <v>0.116279069767441</v>
      </c>
      <c r="AJ160" s="14">
        <v>9.6830990000000006E-2</v>
      </c>
      <c r="AK160" s="14">
        <v>1.67592E-3</v>
      </c>
      <c r="AL160" s="14">
        <v>8.93037E-3</v>
      </c>
      <c r="AM160" s="14">
        <v>8.9445400000000008E-3</v>
      </c>
      <c r="AN160" s="14">
        <v>1.7487100000000001E-3</v>
      </c>
      <c r="AO160" s="14">
        <v>1.5988889999999999E-2</v>
      </c>
      <c r="AP160" s="14">
        <v>5.5638299999999996E-3</v>
      </c>
      <c r="AQ160" s="14">
        <v>1.04250614206904E-2</v>
      </c>
    </row>
    <row r="161" spans="1:43">
      <c r="A161" s="14" t="s">
        <v>1038</v>
      </c>
      <c r="B161" s="14" t="s">
        <v>440</v>
      </c>
      <c r="C161" s="14" t="s">
        <v>879</v>
      </c>
      <c r="D161">
        <v>505</v>
      </c>
      <c r="E161">
        <v>549</v>
      </c>
      <c r="F161" s="16">
        <f t="shared" si="44"/>
        <v>120.93259929174999</v>
      </c>
      <c r="G161" s="16">
        <f t="shared" si="45"/>
        <v>83.993340791217065</v>
      </c>
      <c r="H161" s="16">
        <f t="shared" si="46"/>
        <v>22.726506605352242</v>
      </c>
      <c r="I161" s="16">
        <f t="shared" si="47"/>
        <v>1.6826414019374691</v>
      </c>
      <c r="J161" s="16">
        <f t="shared" si="48"/>
        <v>12.400372800000001</v>
      </c>
      <c r="K161" s="16">
        <f t="shared" si="49"/>
        <v>53.983301759999996</v>
      </c>
      <c r="L161" s="16">
        <f t="shared" si="50"/>
        <v>61.999999999999766</v>
      </c>
      <c r="M161" s="16">
        <f t="shared" si="51"/>
        <v>34.367400000000004</v>
      </c>
      <c r="N161" s="16">
        <f t="shared" si="52"/>
        <v>0.94480154999999999</v>
      </c>
      <c r="O161" s="16">
        <f t="shared" si="53"/>
        <v>93.851549999999989</v>
      </c>
      <c r="P161" s="16">
        <f t="shared" si="54"/>
        <v>3.05009028</v>
      </c>
      <c r="Q161" s="16">
        <f t="shared" si="55"/>
        <v>5.0927655600000001</v>
      </c>
      <c r="R161" s="16">
        <f t="shared" si="56"/>
        <v>0.89999766000000003</v>
      </c>
      <c r="S161" s="16">
        <f t="shared" si="57"/>
        <v>3.9226873500000004</v>
      </c>
      <c r="T161" s="16">
        <f t="shared" si="58"/>
        <v>1.0662458400000001</v>
      </c>
      <c r="U161" s="16">
        <f t="shared" si="59"/>
        <v>2.8564415100000002</v>
      </c>
      <c r="V161">
        <f t="shared" si="60"/>
        <v>0.23947049364702969</v>
      </c>
      <c r="W161">
        <f t="shared" si="61"/>
        <v>0.29206718076995919</v>
      </c>
      <c r="X161">
        <f t="shared" si="62"/>
        <v>0.36454607803511674</v>
      </c>
      <c r="Y161">
        <f t="shared" si="63"/>
        <v>0.65661325880507593</v>
      </c>
      <c r="Z161" s="14">
        <v>0.26874999999999999</v>
      </c>
      <c r="AA161" s="14">
        <v>0.17094999999999999</v>
      </c>
      <c r="AB161" s="14">
        <v>6.2600000000000003E-2</v>
      </c>
      <c r="AD161">
        <f t="shared" si="64"/>
        <v>108.53222649175</v>
      </c>
      <c r="AE161" s="14">
        <v>2.2587200000000002E-2</v>
      </c>
      <c r="AF161" s="14">
        <v>0.77390230999823595</v>
      </c>
      <c r="AG161" s="14">
        <v>0.209398695115499</v>
      </c>
      <c r="AH161" s="14">
        <v>1.5503610829041401E-2</v>
      </c>
      <c r="AI161" s="14">
        <v>9.8330239999999999E-2</v>
      </c>
      <c r="AJ161" s="14">
        <v>0.112932604735883</v>
      </c>
      <c r="AK161" s="14">
        <v>1.72095E-3</v>
      </c>
      <c r="AL161" s="14">
        <v>5.5557200000000001E-3</v>
      </c>
      <c r="AM161" s="14">
        <v>9.2764400000000004E-3</v>
      </c>
      <c r="AN161" s="14">
        <v>1.63934E-3</v>
      </c>
      <c r="AO161" s="14">
        <v>7.1451500000000003E-3</v>
      </c>
      <c r="AP161" s="14">
        <v>1.9421600000000001E-3</v>
      </c>
      <c r="AQ161" s="14">
        <v>5.2030000000000002E-3</v>
      </c>
    </row>
    <row r="162" spans="1:43">
      <c r="A162" s="14" t="s">
        <v>1044</v>
      </c>
      <c r="B162" s="14" t="s">
        <v>136</v>
      </c>
      <c r="C162" s="14" t="s">
        <v>467</v>
      </c>
      <c r="D162">
        <v>476</v>
      </c>
      <c r="E162">
        <v>535</v>
      </c>
      <c r="F162" s="16">
        <f t="shared" si="44"/>
        <v>121.55805802900012</v>
      </c>
      <c r="G162" s="16">
        <f t="shared" si="45"/>
        <v>81.516852810091251</v>
      </c>
      <c r="H162" s="16">
        <f t="shared" si="46"/>
        <v>25.809652199229717</v>
      </c>
      <c r="I162" s="16">
        <f t="shared" si="47"/>
        <v>2.8692727233971311</v>
      </c>
      <c r="J162" s="16">
        <f t="shared" si="48"/>
        <v>12.184790850000001</v>
      </c>
      <c r="K162" s="16">
        <f t="shared" si="49"/>
        <v>60.009505703421979</v>
      </c>
      <c r="L162" s="16">
        <f t="shared" si="50"/>
        <v>56.999999999999808</v>
      </c>
      <c r="M162" s="16">
        <f t="shared" si="51"/>
        <v>42.960499999999996</v>
      </c>
      <c r="N162" s="16">
        <f t="shared" si="52"/>
        <v>2.3467828499999999</v>
      </c>
      <c r="O162" s="16">
        <f t="shared" si="53"/>
        <v>66.955249999999467</v>
      </c>
      <c r="P162" s="16">
        <f t="shared" si="54"/>
        <v>8.2231961000000009</v>
      </c>
      <c r="Q162" s="16">
        <f t="shared" si="55"/>
        <v>4.0684395999999996</v>
      </c>
      <c r="R162" s="16">
        <f t="shared" si="56"/>
        <v>1.9841652000000001</v>
      </c>
      <c r="S162" s="16">
        <f t="shared" si="57"/>
        <v>4.1510328999999997</v>
      </c>
      <c r="T162" s="16">
        <f t="shared" si="58"/>
        <v>1.02240105</v>
      </c>
      <c r="U162" s="16">
        <f t="shared" si="59"/>
        <v>3.1286318499999997</v>
      </c>
      <c r="V162">
        <f t="shared" si="60"/>
        <v>0.25537407148949604</v>
      </c>
      <c r="W162">
        <f t="shared" si="61"/>
        <v>0.33326347125920597</v>
      </c>
      <c r="X162">
        <f t="shared" si="62"/>
        <v>0.40017466129987833</v>
      </c>
      <c r="Y162">
        <f t="shared" si="63"/>
        <v>0.7334381325590843</v>
      </c>
      <c r="Z162" s="14">
        <v>0.27279999999999999</v>
      </c>
      <c r="AA162" s="14">
        <v>0.12514999999999901</v>
      </c>
      <c r="AB162" s="14">
        <v>8.0299999999999996E-2</v>
      </c>
      <c r="AD162">
        <f t="shared" si="64"/>
        <v>109.37326717900012</v>
      </c>
      <c r="AE162" s="14">
        <v>2.277531E-2</v>
      </c>
      <c r="AF162" s="14">
        <v>0.74530874785591705</v>
      </c>
      <c r="AG162" s="14">
        <v>0.23597770154373901</v>
      </c>
      <c r="AH162" s="14">
        <v>2.6233766233766099E-2</v>
      </c>
      <c r="AI162" s="14">
        <v>0.112167300380228</v>
      </c>
      <c r="AJ162" s="14">
        <v>0.106542056074766</v>
      </c>
      <c r="AK162" s="14">
        <v>4.3865099999999997E-3</v>
      </c>
      <c r="AL162" s="14">
        <v>1.5370460000000001E-2</v>
      </c>
      <c r="AM162" s="14">
        <v>7.6045599999999998E-3</v>
      </c>
      <c r="AN162" s="14">
        <v>3.70872E-3</v>
      </c>
      <c r="AO162" s="14">
        <v>7.7589399999999998E-3</v>
      </c>
      <c r="AP162" s="14">
        <v>1.91103E-3</v>
      </c>
      <c r="AQ162" s="14">
        <v>5.8479099999999996E-3</v>
      </c>
    </row>
    <row r="163" spans="1:43">
      <c r="A163" s="14" t="s">
        <v>1049</v>
      </c>
      <c r="B163" s="14" t="s">
        <v>33</v>
      </c>
      <c r="C163" s="14" t="s">
        <v>87</v>
      </c>
      <c r="D163">
        <v>349</v>
      </c>
      <c r="E163">
        <v>391</v>
      </c>
      <c r="F163" s="16">
        <f t="shared" si="44"/>
        <v>83.125284017231564</v>
      </c>
      <c r="G163" s="16">
        <f t="shared" si="45"/>
        <v>51.723711027706422</v>
      </c>
      <c r="H163" s="16">
        <f t="shared" si="46"/>
        <v>17.167345993481604</v>
      </c>
      <c r="I163" s="16">
        <f t="shared" si="47"/>
        <v>2.8923752269130691</v>
      </c>
      <c r="J163" s="16">
        <f t="shared" si="48"/>
        <v>11.176546391752549</v>
      </c>
      <c r="K163" s="16">
        <f t="shared" si="49"/>
        <v>46.355670103092457</v>
      </c>
      <c r="L163" s="16">
        <f t="shared" si="50"/>
        <v>46.999999999999737</v>
      </c>
      <c r="M163" s="16">
        <f t="shared" si="51"/>
        <v>36.988599999999998</v>
      </c>
      <c r="N163" s="16">
        <f t="shared" si="52"/>
        <v>0.98245788000000012</v>
      </c>
      <c r="O163" s="16">
        <f t="shared" si="53"/>
        <v>100.89755</v>
      </c>
      <c r="P163" s="16">
        <f t="shared" si="54"/>
        <v>2.0139158800000003</v>
      </c>
      <c r="Q163" s="16">
        <f t="shared" si="55"/>
        <v>3.02319636</v>
      </c>
      <c r="R163" s="16">
        <f t="shared" si="56"/>
        <v>0.99750747000000006</v>
      </c>
      <c r="S163" s="16">
        <f t="shared" si="57"/>
        <v>3.7312973599999997</v>
      </c>
      <c r="T163" s="16">
        <f t="shared" si="58"/>
        <v>1.0673713499999999</v>
      </c>
      <c r="U163" s="16">
        <f t="shared" si="59"/>
        <v>2.66392601</v>
      </c>
      <c r="V163">
        <f t="shared" si="60"/>
        <v>0.23818132956226809</v>
      </c>
      <c r="W163">
        <f t="shared" si="61"/>
        <v>0.31567197834014821</v>
      </c>
      <c r="X163">
        <f t="shared" si="62"/>
        <v>0.3995464592046391</v>
      </c>
      <c r="Y163">
        <f t="shared" si="63"/>
        <v>0.71521843754478731</v>
      </c>
      <c r="Z163" s="14">
        <v>0.29985000000000001</v>
      </c>
      <c r="AA163" s="14">
        <v>0.25805</v>
      </c>
      <c r="AB163" s="14">
        <v>9.4600000000000004E-2</v>
      </c>
      <c r="AD163">
        <f t="shared" si="64"/>
        <v>71.948737625479012</v>
      </c>
      <c r="AE163" s="14">
        <v>2.8584517625965599E-2</v>
      </c>
      <c r="AF163" s="14">
        <v>0.71889671361502305</v>
      </c>
      <c r="AG163" s="14">
        <v>0.23860524256651</v>
      </c>
      <c r="AH163" s="14">
        <v>4.02005E-2</v>
      </c>
      <c r="AI163" s="14">
        <v>0.118556701030927</v>
      </c>
      <c r="AJ163" s="14">
        <v>0.12020460358056199</v>
      </c>
      <c r="AK163" s="14">
        <v>2.5126800000000002E-3</v>
      </c>
      <c r="AL163" s="14">
        <v>5.1506800000000004E-3</v>
      </c>
      <c r="AM163" s="14">
        <v>7.7319600000000004E-3</v>
      </c>
      <c r="AN163" s="14">
        <v>2.5511700000000002E-3</v>
      </c>
      <c r="AO163" s="14">
        <v>9.5429599999999996E-3</v>
      </c>
      <c r="AP163" s="14">
        <v>2.7298499999999998E-3</v>
      </c>
      <c r="AQ163" s="14">
        <v>6.8131099999999998E-3</v>
      </c>
    </row>
    <row r="164" spans="1:43">
      <c r="A164" s="14" t="s">
        <v>1057</v>
      </c>
      <c r="B164" s="14" t="s">
        <v>692</v>
      </c>
      <c r="C164" s="14" t="s">
        <v>20</v>
      </c>
      <c r="D164">
        <v>451</v>
      </c>
      <c r="E164">
        <v>507</v>
      </c>
      <c r="F164" s="16">
        <f t="shared" si="44"/>
        <v>100.93377831330213</v>
      </c>
      <c r="G164" s="16">
        <f t="shared" si="45"/>
        <v>73.873856404685171</v>
      </c>
      <c r="H164" s="16">
        <f t="shared" si="46"/>
        <v>16.305195000574201</v>
      </c>
      <c r="I164" s="16">
        <f t="shared" si="47"/>
        <v>2.6036051760532346</v>
      </c>
      <c r="J164" s="16">
        <f t="shared" si="48"/>
        <v>7.1789070600000002</v>
      </c>
      <c r="K164" s="16">
        <f t="shared" si="49"/>
        <v>59.6470588235292</v>
      </c>
      <c r="L164" s="16">
        <f t="shared" si="50"/>
        <v>39.000001560000001</v>
      </c>
      <c r="M164" s="16">
        <f t="shared" si="51"/>
        <v>37.112400000000001</v>
      </c>
      <c r="N164" s="16">
        <f t="shared" si="52"/>
        <v>0.15425981999999999</v>
      </c>
      <c r="O164" s="16">
        <f t="shared" si="53"/>
        <v>111.41324999999949</v>
      </c>
      <c r="P164" s="16">
        <f t="shared" si="54"/>
        <v>7.2789026699999999</v>
      </c>
      <c r="Q164" s="16">
        <f t="shared" si="55"/>
        <v>4.1135901300000004</v>
      </c>
      <c r="R164" s="16">
        <f t="shared" si="56"/>
        <v>6.1853695799999997</v>
      </c>
      <c r="S164" s="16">
        <f t="shared" si="57"/>
        <v>32.726332859999999</v>
      </c>
      <c r="T164" s="16">
        <f t="shared" si="58"/>
        <v>6.0197841726618488</v>
      </c>
      <c r="U164" s="16">
        <f t="shared" si="59"/>
        <v>26.706548687338149</v>
      </c>
      <c r="V164">
        <f t="shared" si="60"/>
        <v>0.22379995191419541</v>
      </c>
      <c r="W164">
        <f t="shared" si="61"/>
        <v>0.2954613651097403</v>
      </c>
      <c r="X164">
        <f t="shared" si="62"/>
        <v>0.3170968739999851</v>
      </c>
      <c r="Y164">
        <f t="shared" si="63"/>
        <v>0.6125582391097254</v>
      </c>
      <c r="Z164" s="14">
        <v>0.27860000000000001</v>
      </c>
      <c r="AA164" s="14">
        <v>0.219749999999999</v>
      </c>
      <c r="AB164" s="14">
        <v>7.3200000000000001E-2</v>
      </c>
      <c r="AD164">
        <f t="shared" si="64"/>
        <v>93.754871253302127</v>
      </c>
      <c r="AE164" s="14">
        <v>1.415958E-2</v>
      </c>
      <c r="AF164" s="14">
        <v>0.78794685990338098</v>
      </c>
      <c r="AG164" s="14">
        <v>0.17391304347826</v>
      </c>
      <c r="AH164" s="14">
        <v>2.7770345596432499E-2</v>
      </c>
      <c r="AI164" s="14">
        <v>0.11764705882352899</v>
      </c>
      <c r="AJ164" s="14">
        <v>7.6923080000000005E-2</v>
      </c>
      <c r="AK164" s="14">
        <v>3.0425999999999999E-4</v>
      </c>
      <c r="AL164" s="14">
        <v>1.4356809999999999E-2</v>
      </c>
      <c r="AM164" s="14">
        <v>8.1135900000000004E-3</v>
      </c>
      <c r="AN164" s="14">
        <v>1.2199939999999999E-2</v>
      </c>
      <c r="AO164" s="14">
        <v>6.4548980000000006E-2</v>
      </c>
      <c r="AP164" s="14">
        <v>1.1873341563435599E-2</v>
      </c>
      <c r="AQ164" s="14">
        <v>5.2675640000000003E-2</v>
      </c>
    </row>
    <row r="165" spans="1:43">
      <c r="A165" s="14" t="s">
        <v>1061</v>
      </c>
      <c r="B165" s="14" t="s">
        <v>200</v>
      </c>
      <c r="C165" s="14" t="s">
        <v>654</v>
      </c>
      <c r="D165">
        <v>490</v>
      </c>
      <c r="E165">
        <v>546</v>
      </c>
      <c r="F165" s="16">
        <f t="shared" si="44"/>
        <v>127.43906772480116</v>
      </c>
      <c r="G165" s="16">
        <f t="shared" si="45"/>
        <v>89.685409514830624</v>
      </c>
      <c r="H165" s="16">
        <f t="shared" si="46"/>
        <v>22.663956600380239</v>
      </c>
      <c r="I165" s="16">
        <f t="shared" si="47"/>
        <v>0.87733777738595697</v>
      </c>
      <c r="J165" s="16">
        <f t="shared" si="48"/>
        <v>15.100001279999999</v>
      </c>
      <c r="K165" s="16">
        <f t="shared" si="49"/>
        <v>61.999999999999694</v>
      </c>
      <c r="L165" s="16">
        <f t="shared" si="50"/>
        <v>62.999999999999794</v>
      </c>
      <c r="M165" s="16">
        <f t="shared" si="51"/>
        <v>48.594000000000001</v>
      </c>
      <c r="N165" s="16">
        <f t="shared" si="52"/>
        <v>1.9444425000000001</v>
      </c>
      <c r="O165" s="16">
        <f t="shared" si="53"/>
        <v>109.90979999999946</v>
      </c>
      <c r="P165" s="16">
        <f t="shared" si="54"/>
        <v>3.0000024600000001</v>
      </c>
      <c r="Q165" s="16">
        <f t="shared" si="55"/>
        <v>4.00000146</v>
      </c>
      <c r="R165" s="16">
        <f t="shared" si="56"/>
        <v>0</v>
      </c>
      <c r="S165" s="16">
        <f t="shared" si="57"/>
        <v>0.24074231999999998</v>
      </c>
      <c r="T165" s="16">
        <f t="shared" si="58"/>
        <v>0</v>
      </c>
      <c r="U165" s="16">
        <f t="shared" si="59"/>
        <v>0.24074231999999998</v>
      </c>
      <c r="V165">
        <f t="shared" si="60"/>
        <v>0.26007973005061463</v>
      </c>
      <c r="W165">
        <f t="shared" si="61"/>
        <v>0.33235029535967003</v>
      </c>
      <c r="X165">
        <f t="shared" si="62"/>
        <v>0.40417416564846731</v>
      </c>
      <c r="Y165">
        <f t="shared" si="63"/>
        <v>0.7365244610081374</v>
      </c>
      <c r="Z165" s="14">
        <v>0.30445</v>
      </c>
      <c r="AA165" s="14">
        <v>0.20129999999999901</v>
      </c>
      <c r="AB165" s="14">
        <v>8.8999999999999996E-2</v>
      </c>
      <c r="AD165">
        <f t="shared" si="64"/>
        <v>112.33906644480116</v>
      </c>
      <c r="AE165" s="14">
        <v>2.7655679999999998E-2</v>
      </c>
      <c r="AF165" s="14">
        <v>0.79834569</v>
      </c>
      <c r="AG165" s="14">
        <v>0.20174599378139199</v>
      </c>
      <c r="AH165" s="14">
        <v>7.80973E-3</v>
      </c>
      <c r="AI165" s="14">
        <v>0.113553113553113</v>
      </c>
      <c r="AJ165" s="14">
        <v>0.115384615384615</v>
      </c>
      <c r="AK165" s="14">
        <v>3.5612500000000002E-3</v>
      </c>
      <c r="AL165" s="14">
        <v>5.4945100000000002E-3</v>
      </c>
      <c r="AM165" s="14">
        <v>7.32601E-3</v>
      </c>
      <c r="AN165" s="14">
        <v>0</v>
      </c>
      <c r="AO165" s="14">
        <v>4.4091999999999997E-4</v>
      </c>
      <c r="AP165" s="14">
        <v>0</v>
      </c>
      <c r="AQ165" s="14">
        <v>4.4091999999999997E-4</v>
      </c>
    </row>
    <row r="166" spans="1:43">
      <c r="A166" s="14" t="s">
        <v>1067</v>
      </c>
      <c r="B166" s="14" t="s">
        <v>66</v>
      </c>
      <c r="C166" s="14" t="s">
        <v>648</v>
      </c>
      <c r="D166">
        <v>315</v>
      </c>
      <c r="E166">
        <v>360</v>
      </c>
      <c r="F166" s="16">
        <f t="shared" si="44"/>
        <v>75.78769624963158</v>
      </c>
      <c r="G166" s="16">
        <f t="shared" si="45"/>
        <v>52.144539427341165</v>
      </c>
      <c r="H166" s="16">
        <f t="shared" si="46"/>
        <v>12.986754734144263</v>
      </c>
      <c r="I166" s="16">
        <f t="shared" si="47"/>
        <v>1.0170737431515182</v>
      </c>
      <c r="J166" s="16">
        <f t="shared" si="48"/>
        <v>8.3348837209301756</v>
      </c>
      <c r="K166" s="16">
        <f t="shared" si="49"/>
        <v>46.644518272425117</v>
      </c>
      <c r="L166" s="16">
        <f t="shared" si="50"/>
        <v>34.999999199999998</v>
      </c>
      <c r="M166" s="16">
        <f t="shared" si="51"/>
        <v>35.064</v>
      </c>
      <c r="N166" s="16">
        <f t="shared" si="52"/>
        <v>0.93315599999999999</v>
      </c>
      <c r="O166" s="16">
        <f t="shared" si="53"/>
        <v>64.53</v>
      </c>
      <c r="P166" s="16">
        <f t="shared" si="54"/>
        <v>3.5292348000000002</v>
      </c>
      <c r="Q166" s="16">
        <f t="shared" si="55"/>
        <v>2.3920272000000002</v>
      </c>
      <c r="R166" s="16">
        <f t="shared" si="56"/>
        <v>1.9743336</v>
      </c>
      <c r="S166" s="16">
        <f t="shared" si="57"/>
        <v>13.236681599999999</v>
      </c>
      <c r="T166" s="16">
        <f t="shared" si="58"/>
        <v>3.9972299168974681</v>
      </c>
      <c r="U166" s="16">
        <f t="shared" si="59"/>
        <v>9.23945168310253</v>
      </c>
      <c r="V166">
        <f t="shared" si="60"/>
        <v>0.24059586110994152</v>
      </c>
      <c r="W166">
        <f t="shared" si="61"/>
        <v>0.32630904547061296</v>
      </c>
      <c r="X166">
        <f t="shared" si="62"/>
        <v>0.36352001590096811</v>
      </c>
      <c r="Y166">
        <f t="shared" si="63"/>
        <v>0.68982906137158106</v>
      </c>
      <c r="Z166" s="14">
        <v>0.27584999999999998</v>
      </c>
      <c r="AA166" s="14">
        <v>0.17924999999999999</v>
      </c>
      <c r="AB166" s="14">
        <v>9.74E-2</v>
      </c>
      <c r="AD166">
        <f t="shared" si="64"/>
        <v>67.452812528701401</v>
      </c>
      <c r="AE166" s="14">
        <v>2.3152454780361601E-2</v>
      </c>
      <c r="AF166" s="14">
        <v>0.77305211558307496</v>
      </c>
      <c r="AG166" s="14">
        <v>0.19253095975232101</v>
      </c>
      <c r="AH166" s="14">
        <v>1.5078299999999999E-2</v>
      </c>
      <c r="AI166" s="14">
        <v>0.12956810631229199</v>
      </c>
      <c r="AJ166" s="14">
        <v>9.7222219999999998E-2</v>
      </c>
      <c r="AK166" s="14">
        <v>2.5921E-3</v>
      </c>
      <c r="AL166" s="14">
        <v>9.8034300000000001E-3</v>
      </c>
      <c r="AM166" s="14">
        <v>6.6445200000000001E-3</v>
      </c>
      <c r="AN166" s="14">
        <v>5.4842600000000003E-3</v>
      </c>
      <c r="AO166" s="14">
        <v>3.6768559999999999E-2</v>
      </c>
      <c r="AP166" s="14">
        <v>1.11034164358263E-2</v>
      </c>
      <c r="AQ166" s="14">
        <v>2.5665150000000001E-2</v>
      </c>
    </row>
    <row r="167" spans="1:43">
      <c r="A167" s="14" t="s">
        <v>1074</v>
      </c>
      <c r="B167" s="14" t="s">
        <v>116</v>
      </c>
      <c r="C167" s="14" t="s">
        <v>648</v>
      </c>
      <c r="D167">
        <v>514</v>
      </c>
      <c r="E167">
        <v>574</v>
      </c>
      <c r="F167" s="16">
        <f t="shared" si="44"/>
        <v>131.64730395343503</v>
      </c>
      <c r="G167" s="16">
        <f t="shared" si="45"/>
        <v>91.284489126645809</v>
      </c>
      <c r="H167" s="16">
        <f t="shared" si="46"/>
        <v>23.461448469996821</v>
      </c>
      <c r="I167" s="16">
        <f t="shared" si="47"/>
        <v>2.9113410736685448</v>
      </c>
      <c r="J167" s="16">
        <f t="shared" si="48"/>
        <v>14.07809046</v>
      </c>
      <c r="K167" s="16">
        <f t="shared" si="49"/>
        <v>72.003533568904487</v>
      </c>
      <c r="L167" s="16">
        <f t="shared" si="50"/>
        <v>59.999999999999609</v>
      </c>
      <c r="M167" s="16">
        <f t="shared" si="51"/>
        <v>48.330799999999996</v>
      </c>
      <c r="N167" s="16">
        <f t="shared" si="52"/>
        <v>0.94313365999999998</v>
      </c>
      <c r="O167" s="16">
        <f t="shared" si="53"/>
        <v>95.255299999999991</v>
      </c>
      <c r="P167" s="16">
        <f t="shared" si="54"/>
        <v>3.0381647800000002</v>
      </c>
      <c r="Q167" s="16">
        <f t="shared" si="55"/>
        <v>4.0565383600000002</v>
      </c>
      <c r="R167" s="16">
        <f t="shared" si="56"/>
        <v>1.98427208</v>
      </c>
      <c r="S167" s="16">
        <f t="shared" si="57"/>
        <v>23.98876404494375</v>
      </c>
      <c r="T167" s="16">
        <f t="shared" si="58"/>
        <v>5.1089042200000003</v>
      </c>
      <c r="U167" s="16">
        <f t="shared" si="59"/>
        <v>18.87985982494375</v>
      </c>
      <c r="V167">
        <f t="shared" si="60"/>
        <v>0.2561231594424806</v>
      </c>
      <c r="W167">
        <f t="shared" si="61"/>
        <v>0.32425440103444675</v>
      </c>
      <c r="X167">
        <f t="shared" si="62"/>
        <v>0.39543535238841454</v>
      </c>
      <c r="Y167">
        <f t="shared" si="63"/>
        <v>0.71968975342286123</v>
      </c>
      <c r="Z167" s="14">
        <v>0.28765000000000002</v>
      </c>
      <c r="AA167" s="14">
        <v>0.16594999999999999</v>
      </c>
      <c r="AB167" s="14">
        <v>8.4199999999999997E-2</v>
      </c>
      <c r="AD167">
        <f t="shared" si="64"/>
        <v>117.56921349343502</v>
      </c>
      <c r="AE167" s="14">
        <v>2.4526289999999999E-2</v>
      </c>
      <c r="AF167" s="14">
        <v>0.77643191116306198</v>
      </c>
      <c r="AG167" s="14">
        <v>0.19955435417884199</v>
      </c>
      <c r="AH167" s="14">
        <v>2.4762784296682501E-2</v>
      </c>
      <c r="AI167" s="14">
        <v>0.12544169611307401</v>
      </c>
      <c r="AJ167" s="14">
        <v>0.104529616724738</v>
      </c>
      <c r="AK167" s="14">
        <v>1.64309E-3</v>
      </c>
      <c r="AL167" s="14">
        <v>5.2929700000000001E-3</v>
      </c>
      <c r="AM167" s="14">
        <v>7.0671400000000004E-3</v>
      </c>
      <c r="AN167" s="14">
        <v>3.45692E-3</v>
      </c>
      <c r="AO167" s="14">
        <v>4.1792271855302703E-2</v>
      </c>
      <c r="AP167" s="14">
        <v>8.9005300000000002E-3</v>
      </c>
      <c r="AQ167" s="14">
        <v>3.2891749999999997E-2</v>
      </c>
    </row>
    <row r="168" spans="1:43">
      <c r="A168" s="14" t="s">
        <v>1081</v>
      </c>
      <c r="B168" s="14" t="s">
        <v>107</v>
      </c>
      <c r="C168" s="14" t="s">
        <v>20</v>
      </c>
      <c r="D168">
        <v>458</v>
      </c>
      <c r="E168">
        <v>518</v>
      </c>
      <c r="F168" s="16">
        <f t="shared" si="44"/>
        <v>104.92779985344015</v>
      </c>
      <c r="G168" s="16">
        <f t="shared" si="45"/>
        <v>60.030611112104545</v>
      </c>
      <c r="H168" s="16">
        <f t="shared" si="46"/>
        <v>22.037695781082256</v>
      </c>
      <c r="I168" s="16">
        <f t="shared" si="47"/>
        <v>1.0475375731411618</v>
      </c>
      <c r="J168" s="16">
        <f t="shared" si="48"/>
        <v>21.036554979999998</v>
      </c>
      <c r="K168" s="16">
        <f t="shared" si="49"/>
        <v>66.127659574468041</v>
      </c>
      <c r="L168" s="16">
        <f t="shared" si="50"/>
        <v>61.999999999999638</v>
      </c>
      <c r="M168" s="16">
        <f t="shared" si="51"/>
        <v>48.122199999999999</v>
      </c>
      <c r="N168" s="16">
        <f t="shared" si="52"/>
        <v>1.1608535400000002</v>
      </c>
      <c r="O168" s="16">
        <f t="shared" si="53"/>
        <v>161.53829999999948</v>
      </c>
      <c r="P168" s="16">
        <f t="shared" si="54"/>
        <v>7.0121867199999999</v>
      </c>
      <c r="Q168" s="16">
        <f t="shared" si="55"/>
        <v>3.0058037799999999</v>
      </c>
      <c r="R168" s="16">
        <f t="shared" si="56"/>
        <v>0.89999909999999994</v>
      </c>
      <c r="S168" s="16">
        <f t="shared" si="57"/>
        <v>13.044520547945144</v>
      </c>
      <c r="T168" s="16">
        <f t="shared" si="58"/>
        <v>3.1309525799999998</v>
      </c>
      <c r="U168" s="16">
        <f t="shared" si="59"/>
        <v>9.9135679679451449</v>
      </c>
      <c r="V168">
        <f t="shared" si="60"/>
        <v>0.22909999968000033</v>
      </c>
      <c r="W168">
        <f t="shared" si="61"/>
        <v>0.31594466114775033</v>
      </c>
      <c r="X168">
        <f t="shared" si="62"/>
        <v>0.41789265352334615</v>
      </c>
      <c r="Y168">
        <f t="shared" si="63"/>
        <v>0.73383731467109647</v>
      </c>
      <c r="Z168" s="14">
        <v>0.30130000000000001</v>
      </c>
      <c r="AA168" s="14">
        <v>0.31184999999999902</v>
      </c>
      <c r="AB168" s="14">
        <v>9.2899999999999996E-2</v>
      </c>
      <c r="AD168">
        <f t="shared" si="64"/>
        <v>83.891244873440158</v>
      </c>
      <c r="AE168" s="14">
        <v>4.0611109999999999E-2</v>
      </c>
      <c r="AF168" s="14">
        <v>0.71557659208261604</v>
      </c>
      <c r="AG168" s="14">
        <v>0.26269363166953502</v>
      </c>
      <c r="AH168" s="14">
        <v>1.2486852170587001E-2</v>
      </c>
      <c r="AI168" s="14">
        <v>0.12765957446808501</v>
      </c>
      <c r="AJ168" s="14">
        <v>0.11969111969111899</v>
      </c>
      <c r="AK168" s="14">
        <v>2.2410300000000002E-3</v>
      </c>
      <c r="AL168" s="14">
        <v>1.353704E-2</v>
      </c>
      <c r="AM168" s="14">
        <v>5.80271E-3</v>
      </c>
      <c r="AN168" s="14">
        <v>1.73745E-3</v>
      </c>
      <c r="AO168" s="14">
        <v>2.5182472100280202E-2</v>
      </c>
      <c r="AP168" s="14">
        <v>6.0443099999999998E-3</v>
      </c>
      <c r="AQ168" s="14">
        <v>1.9138162484542101E-2</v>
      </c>
    </row>
    <row r="169" spans="1:43">
      <c r="A169" s="14" t="s">
        <v>1088</v>
      </c>
      <c r="B169" s="14" t="s">
        <v>257</v>
      </c>
      <c r="C169" s="14" t="s">
        <v>163</v>
      </c>
      <c r="D169">
        <v>476</v>
      </c>
      <c r="E169">
        <v>535</v>
      </c>
      <c r="F169" s="16">
        <f t="shared" si="44"/>
        <v>119.1294833406625</v>
      </c>
      <c r="G169" s="16">
        <f t="shared" si="45"/>
        <v>85.389379741415723</v>
      </c>
      <c r="H169" s="16">
        <f t="shared" si="46"/>
        <v>22.178855039019115</v>
      </c>
      <c r="I169" s="16">
        <f t="shared" si="47"/>
        <v>1.9051183522045372</v>
      </c>
      <c r="J169" s="16">
        <f t="shared" si="48"/>
        <v>9.19187245</v>
      </c>
      <c r="K169" s="16">
        <f t="shared" si="49"/>
        <v>61.691871455576063</v>
      </c>
      <c r="L169" s="16">
        <f t="shared" si="50"/>
        <v>53.999999999999822</v>
      </c>
      <c r="M169" s="16">
        <f t="shared" si="51"/>
        <v>33.812000000000005</v>
      </c>
      <c r="N169" s="16">
        <f t="shared" si="52"/>
        <v>0.25170144999999999</v>
      </c>
      <c r="O169" s="16">
        <f t="shared" si="53"/>
        <v>58.716250000000002</v>
      </c>
      <c r="P169" s="16">
        <f t="shared" si="54"/>
        <v>13.4327051</v>
      </c>
      <c r="Q169" s="16">
        <f t="shared" si="55"/>
        <v>4.0453704000000004</v>
      </c>
      <c r="R169" s="16">
        <f t="shared" si="56"/>
        <v>3.08214035</v>
      </c>
      <c r="S169" s="16">
        <f t="shared" si="57"/>
        <v>21.959823999999998</v>
      </c>
      <c r="T169" s="16">
        <f t="shared" si="58"/>
        <v>6.0028089887640057</v>
      </c>
      <c r="U169" s="16">
        <f t="shared" si="59"/>
        <v>15.957015011235992</v>
      </c>
      <c r="V169">
        <f t="shared" si="60"/>
        <v>0.25027202382492125</v>
      </c>
      <c r="W169">
        <f t="shared" si="61"/>
        <v>0.32410610707775728</v>
      </c>
      <c r="X169">
        <f t="shared" si="62"/>
        <v>0.3618275938572848</v>
      </c>
      <c r="Y169">
        <f t="shared" si="63"/>
        <v>0.68593370093504213</v>
      </c>
      <c r="Z169" s="14">
        <v>0.26674999999999999</v>
      </c>
      <c r="AA169" s="14">
        <v>0.10975</v>
      </c>
      <c r="AB169" s="14">
        <v>6.3200000000000006E-2</v>
      </c>
      <c r="AD169">
        <f t="shared" si="64"/>
        <v>109.9376108906625</v>
      </c>
      <c r="AE169" s="14">
        <v>1.718107E-2</v>
      </c>
      <c r="AF169" s="14">
        <v>0.77670761670761601</v>
      </c>
      <c r="AG169" s="14">
        <v>0.20174037674037601</v>
      </c>
      <c r="AH169" s="14">
        <v>1.73290863497048E-2</v>
      </c>
      <c r="AI169" s="14">
        <v>0.115311909262759</v>
      </c>
      <c r="AJ169" s="14">
        <v>0.10093457943925201</v>
      </c>
      <c r="AK169" s="14">
        <v>4.7047000000000001E-4</v>
      </c>
      <c r="AL169" s="14">
        <v>2.5107859999999999E-2</v>
      </c>
      <c r="AM169" s="14">
        <v>7.56144E-3</v>
      </c>
      <c r="AN169" s="14">
        <v>5.7610099999999996E-3</v>
      </c>
      <c r="AO169" s="14">
        <v>4.1046399999999997E-2</v>
      </c>
      <c r="AP169" s="14">
        <v>1.1220203717315899E-2</v>
      </c>
      <c r="AQ169" s="14">
        <v>2.9826189999999999E-2</v>
      </c>
    </row>
    <row r="170" spans="1:43">
      <c r="A170" s="14" t="s">
        <v>1095</v>
      </c>
      <c r="B170" s="14" t="s">
        <v>335</v>
      </c>
      <c r="C170" s="14" t="s">
        <v>1096</v>
      </c>
      <c r="D170">
        <v>445</v>
      </c>
      <c r="E170">
        <v>508</v>
      </c>
      <c r="F170" s="16">
        <f t="shared" si="44"/>
        <v>104.91559069602398</v>
      </c>
      <c r="G170" s="16">
        <f t="shared" si="45"/>
        <v>72.956551014985436</v>
      </c>
      <c r="H170" s="16">
        <f t="shared" si="46"/>
        <v>20.900727296257852</v>
      </c>
      <c r="I170" s="16">
        <f t="shared" si="47"/>
        <v>1.7631055597597991</v>
      </c>
      <c r="J170" s="16">
        <f t="shared" si="48"/>
        <v>9.2959682000000008</v>
      </c>
      <c r="K170" s="16">
        <f t="shared" si="49"/>
        <v>56.33064516129005</v>
      </c>
      <c r="L170" s="16">
        <f t="shared" si="50"/>
        <v>43.999998359999999</v>
      </c>
      <c r="M170" s="16">
        <f t="shared" si="51"/>
        <v>46.532800000000002</v>
      </c>
      <c r="N170" s="16">
        <f t="shared" si="52"/>
        <v>0.99922584000000003</v>
      </c>
      <c r="O170" s="16">
        <f t="shared" si="53"/>
        <v>95.376999999999995</v>
      </c>
      <c r="P170" s="16">
        <f t="shared" si="54"/>
        <v>10.31774416</v>
      </c>
      <c r="Q170" s="16">
        <f t="shared" si="55"/>
        <v>3.0725821199999999</v>
      </c>
      <c r="R170" s="16">
        <f t="shared" si="56"/>
        <v>2.9982363199999997</v>
      </c>
      <c r="S170" s="16">
        <f t="shared" si="57"/>
        <v>9.2353228962817564</v>
      </c>
      <c r="T170" s="16">
        <f t="shared" si="58"/>
        <v>3.0589169200000002</v>
      </c>
      <c r="U170" s="16">
        <f t="shared" si="59"/>
        <v>6.1764059762817567</v>
      </c>
      <c r="V170">
        <f t="shared" si="60"/>
        <v>0.2357653723506157</v>
      </c>
      <c r="W170">
        <f t="shared" si="61"/>
        <v>0.32841777110587456</v>
      </c>
      <c r="X170">
        <f t="shared" si="62"/>
        <v>0.35332852828490008</v>
      </c>
      <c r="Y170">
        <f t="shared" si="63"/>
        <v>0.68174629939077458</v>
      </c>
      <c r="Z170" s="14">
        <v>0.27844999999999998</v>
      </c>
      <c r="AA170" s="14">
        <v>0.18775</v>
      </c>
      <c r="AB170" s="14">
        <v>9.1600000000000001E-2</v>
      </c>
      <c r="AD170">
        <f t="shared" si="64"/>
        <v>95.619622496023979</v>
      </c>
      <c r="AE170" s="14">
        <v>1.829915E-2</v>
      </c>
      <c r="AF170" s="14">
        <v>0.76298723118279499</v>
      </c>
      <c r="AG170" s="14">
        <v>0.21858198924731101</v>
      </c>
      <c r="AH170" s="14">
        <v>1.8438742108954801E-2</v>
      </c>
      <c r="AI170" s="14">
        <v>0.11088709677419301</v>
      </c>
      <c r="AJ170" s="14">
        <v>8.6614170000000004E-2</v>
      </c>
      <c r="AK170" s="14">
        <v>1.9669800000000001E-3</v>
      </c>
      <c r="AL170" s="14">
        <v>2.0310519999999999E-2</v>
      </c>
      <c r="AM170" s="14">
        <v>6.0483899999999998E-3</v>
      </c>
      <c r="AN170" s="14">
        <v>5.9020399999999999E-3</v>
      </c>
      <c r="AO170" s="14">
        <v>1.8179769480869599E-2</v>
      </c>
      <c r="AP170" s="14">
        <v>6.02149E-3</v>
      </c>
      <c r="AQ170" s="14">
        <v>1.21582789347038E-2</v>
      </c>
    </row>
    <row r="171" spans="1:43">
      <c r="A171" s="14" t="s">
        <v>1101</v>
      </c>
      <c r="B171" s="14" t="s">
        <v>130</v>
      </c>
      <c r="C171" s="14" t="s">
        <v>20</v>
      </c>
      <c r="D171">
        <v>309</v>
      </c>
      <c r="E171">
        <v>334</v>
      </c>
      <c r="F171" s="16">
        <f t="shared" si="44"/>
        <v>77.544293607269708</v>
      </c>
      <c r="G171" s="16">
        <f t="shared" si="45"/>
        <v>51.315838346651695</v>
      </c>
      <c r="H171" s="16">
        <f t="shared" si="46"/>
        <v>14.783905257812538</v>
      </c>
      <c r="I171" s="16">
        <f t="shared" si="47"/>
        <v>1.156409322318896</v>
      </c>
      <c r="J171" s="16">
        <f t="shared" si="48"/>
        <v>10.612658227848053</v>
      </c>
      <c r="K171" s="16">
        <f t="shared" si="49"/>
        <v>38.050632911392277</v>
      </c>
      <c r="L171" s="16">
        <f t="shared" si="50"/>
        <v>40.99999966</v>
      </c>
      <c r="M171" s="16">
        <f t="shared" si="51"/>
        <v>19.505600000000001</v>
      </c>
      <c r="N171" s="16">
        <f t="shared" si="52"/>
        <v>0.68385832000000002</v>
      </c>
      <c r="O171" s="16">
        <f t="shared" si="53"/>
        <v>78.823999999999998</v>
      </c>
      <c r="P171" s="16">
        <f t="shared" si="54"/>
        <v>3.1537983399999998</v>
      </c>
      <c r="Q171" s="16">
        <f t="shared" si="55"/>
        <v>3.1708857799999999</v>
      </c>
      <c r="R171" s="16">
        <f t="shared" si="56"/>
        <v>0</v>
      </c>
      <c r="S171" s="16">
        <f t="shared" si="57"/>
        <v>2.9381879799999999</v>
      </c>
      <c r="T171" s="16">
        <f t="shared" si="58"/>
        <v>0.97326264000000007</v>
      </c>
      <c r="U171" s="16">
        <f t="shared" si="59"/>
        <v>1.9649253399999997</v>
      </c>
      <c r="V171">
        <f t="shared" si="60"/>
        <v>0.25095240649601847</v>
      </c>
      <c r="W171">
        <f t="shared" si="61"/>
        <v>0.30354869965146875</v>
      </c>
      <c r="X171">
        <f t="shared" si="62"/>
        <v>0.41036734543891806</v>
      </c>
      <c r="Y171">
        <f t="shared" si="63"/>
        <v>0.71391604509038675</v>
      </c>
      <c r="Z171" s="14">
        <v>0.30049999999999999</v>
      </c>
      <c r="AA171" s="14">
        <v>0.23599999999999999</v>
      </c>
      <c r="AB171" s="14">
        <v>5.8400000000000001E-2</v>
      </c>
      <c r="AD171">
        <f t="shared" si="64"/>
        <v>66.93163537942165</v>
      </c>
      <c r="AE171" s="14">
        <v>3.17744258318804E-2</v>
      </c>
      <c r="AF171" s="14">
        <v>0.76669034090909005</v>
      </c>
      <c r="AG171" s="14">
        <v>0.22088068181818099</v>
      </c>
      <c r="AH171" s="14">
        <v>1.727747E-2</v>
      </c>
      <c r="AI171" s="14">
        <v>0.113924050632911</v>
      </c>
      <c r="AJ171" s="14">
        <v>0.12275448999999999</v>
      </c>
      <c r="AK171" s="14">
        <v>2.04748E-3</v>
      </c>
      <c r="AL171" s="14">
        <v>9.4425099999999994E-3</v>
      </c>
      <c r="AM171" s="14">
        <v>9.4936699999999992E-3</v>
      </c>
      <c r="AN171" s="14">
        <v>0</v>
      </c>
      <c r="AO171" s="14">
        <v>8.7969699999999994E-3</v>
      </c>
      <c r="AP171" s="14">
        <v>2.9139600000000002E-3</v>
      </c>
      <c r="AQ171" s="14">
        <v>5.8830100000000001E-3</v>
      </c>
    </row>
    <row r="172" spans="1:43">
      <c r="A172" s="14" t="s">
        <v>1102</v>
      </c>
      <c r="B172" s="14" t="s">
        <v>130</v>
      </c>
      <c r="C172" s="14" t="s">
        <v>1103</v>
      </c>
      <c r="D172">
        <v>498</v>
      </c>
      <c r="E172">
        <v>579</v>
      </c>
      <c r="F172" s="16">
        <f t="shared" si="44"/>
        <v>117.36846135816</v>
      </c>
      <c r="G172" s="16">
        <f t="shared" si="45"/>
        <v>76.210217432951922</v>
      </c>
      <c r="H172" s="16">
        <f t="shared" si="46"/>
        <v>23.99601580582738</v>
      </c>
      <c r="I172" s="16">
        <f t="shared" si="47"/>
        <v>2.01932448477474</v>
      </c>
      <c r="J172" s="16">
        <f t="shared" si="48"/>
        <v>15.137260199999998</v>
      </c>
      <c r="K172" s="16">
        <f t="shared" si="49"/>
        <v>67.159929701229743</v>
      </c>
      <c r="L172" s="16">
        <f t="shared" si="50"/>
        <v>60.999999999999787</v>
      </c>
      <c r="M172" s="16">
        <f t="shared" si="51"/>
        <v>61.142400000000002</v>
      </c>
      <c r="N172" s="16">
        <f t="shared" si="52"/>
        <v>0.94192299000000002</v>
      </c>
      <c r="O172" s="16">
        <f t="shared" si="53"/>
        <v>115.8579</v>
      </c>
      <c r="P172" s="16">
        <f t="shared" si="54"/>
        <v>10.35817104</v>
      </c>
      <c r="Q172" s="16">
        <f t="shared" si="55"/>
        <v>4.07030052</v>
      </c>
      <c r="R172" s="16">
        <f t="shared" si="56"/>
        <v>2.8838079300000001</v>
      </c>
      <c r="S172" s="16">
        <f t="shared" si="57"/>
        <v>4.1488071299999998</v>
      </c>
      <c r="T172" s="16">
        <f t="shared" si="58"/>
        <v>1.7655968099999999</v>
      </c>
      <c r="U172" s="16">
        <f t="shared" si="59"/>
        <v>2.3832103199999999</v>
      </c>
      <c r="V172">
        <f t="shared" si="60"/>
        <v>0.23567964128144581</v>
      </c>
      <c r="W172">
        <f t="shared" si="61"/>
        <v>0.3364520070884352</v>
      </c>
      <c r="X172">
        <f t="shared" si="62"/>
        <v>0.38315113112235116</v>
      </c>
      <c r="Y172">
        <f t="shared" si="63"/>
        <v>0.71960313821078636</v>
      </c>
      <c r="Z172" s="14">
        <v>0.27550000000000002</v>
      </c>
      <c r="AA172" s="14">
        <v>0.2001</v>
      </c>
      <c r="AB172" s="14">
        <v>0.1056</v>
      </c>
      <c r="AD172">
        <f t="shared" si="64"/>
        <v>102.23120115816</v>
      </c>
      <c r="AE172" s="14">
        <v>2.6143799999999998E-2</v>
      </c>
      <c r="AF172" s="14">
        <v>0.74546925566343003</v>
      </c>
      <c r="AG172" s="14">
        <v>0.23472301541976001</v>
      </c>
      <c r="AH172" s="14">
        <v>1.9752526253219702E-2</v>
      </c>
      <c r="AI172" s="14">
        <v>0.115992970123022</v>
      </c>
      <c r="AJ172" s="14">
        <v>0.105354058721934</v>
      </c>
      <c r="AK172" s="14">
        <v>1.62681E-3</v>
      </c>
      <c r="AL172" s="14">
        <v>1.7889760000000001E-2</v>
      </c>
      <c r="AM172" s="14">
        <v>7.0298799999999996E-3</v>
      </c>
      <c r="AN172" s="14">
        <v>4.9806700000000004E-3</v>
      </c>
      <c r="AO172" s="14">
        <v>7.1654700000000002E-3</v>
      </c>
      <c r="AP172" s="14">
        <v>3.0493899999999999E-3</v>
      </c>
      <c r="AQ172" s="14">
        <v>4.1160800000000003E-3</v>
      </c>
    </row>
    <row r="173" spans="1:43">
      <c r="A173" s="14" t="s">
        <v>1109</v>
      </c>
      <c r="B173" s="14" t="s">
        <v>123</v>
      </c>
      <c r="C173" s="14" t="s">
        <v>20</v>
      </c>
      <c r="D173">
        <v>491</v>
      </c>
      <c r="E173">
        <v>543</v>
      </c>
      <c r="F173" s="16">
        <f t="shared" si="44"/>
        <v>109.21860014487868</v>
      </c>
      <c r="G173" s="16">
        <f t="shared" si="45"/>
        <v>59.798641765725783</v>
      </c>
      <c r="H173" s="16">
        <f t="shared" si="46"/>
        <v>21.740700617209949</v>
      </c>
      <c r="I173" s="16">
        <f t="shared" si="47"/>
        <v>2.8732432591589987</v>
      </c>
      <c r="J173" s="16">
        <f t="shared" si="48"/>
        <v>26.349905789999998</v>
      </c>
      <c r="K173" s="16">
        <f t="shared" si="49"/>
        <v>69.016822429906128</v>
      </c>
      <c r="L173" s="16">
        <f t="shared" si="50"/>
        <v>74.999999999999474</v>
      </c>
      <c r="M173" s="16">
        <f t="shared" si="51"/>
        <v>43.494300000000003</v>
      </c>
      <c r="N173" s="16">
        <f t="shared" si="52"/>
        <v>0.93669671999999993</v>
      </c>
      <c r="O173" s="16">
        <f t="shared" si="53"/>
        <v>140.25689999999997</v>
      </c>
      <c r="P173" s="16">
        <f t="shared" si="54"/>
        <v>4.0538316600000002</v>
      </c>
      <c r="Q173" s="16">
        <f t="shared" si="55"/>
        <v>4.0598155199999999</v>
      </c>
      <c r="R173" s="16">
        <f t="shared" si="56"/>
        <v>0.99126278999999995</v>
      </c>
      <c r="S173" s="16">
        <f t="shared" si="57"/>
        <v>8.5096638655461767</v>
      </c>
      <c r="T173" s="16">
        <f t="shared" si="58"/>
        <v>2.0451823500000001</v>
      </c>
      <c r="U173" s="16">
        <f t="shared" si="59"/>
        <v>6.4644815155461766</v>
      </c>
      <c r="V173">
        <f t="shared" si="60"/>
        <v>0.22244114082460015</v>
      </c>
      <c r="W173">
        <f t="shared" si="61"/>
        <v>0.2923190255457439</v>
      </c>
      <c r="X173">
        <f t="shared" si="62"/>
        <v>0.44256496117642086</v>
      </c>
      <c r="Y173">
        <f t="shared" si="63"/>
        <v>0.73488398672216482</v>
      </c>
      <c r="Z173" s="14">
        <v>0.25229999999999903</v>
      </c>
      <c r="AA173" s="14">
        <v>0.25829999999999997</v>
      </c>
      <c r="AB173" s="14">
        <v>8.0100000000000005E-2</v>
      </c>
      <c r="AD173">
        <f t="shared" si="64"/>
        <v>82.868694354878684</v>
      </c>
      <c r="AE173" s="14">
        <v>4.8526529999999998E-2</v>
      </c>
      <c r="AF173" s="14">
        <v>0.721607142857142</v>
      </c>
      <c r="AG173" s="14">
        <v>0.26235119047618999</v>
      </c>
      <c r="AH173" s="14">
        <v>3.467224E-2</v>
      </c>
      <c r="AI173" s="14">
        <v>0.12710280373831701</v>
      </c>
      <c r="AJ173" s="14">
        <v>0.138121546961325</v>
      </c>
      <c r="AK173" s="14">
        <v>1.72504E-3</v>
      </c>
      <c r="AL173" s="14">
        <v>7.4656200000000001E-3</v>
      </c>
      <c r="AM173" s="14">
        <v>7.4766399999999997E-3</v>
      </c>
      <c r="AN173" s="14">
        <v>1.8255299999999999E-3</v>
      </c>
      <c r="AO173" s="14">
        <v>1.56715724964018E-2</v>
      </c>
      <c r="AP173" s="14">
        <v>3.7664500000000002E-3</v>
      </c>
      <c r="AQ173" s="14">
        <v>1.1905125492918301E-2</v>
      </c>
    </row>
    <row r="174" spans="1:43">
      <c r="A174" s="14" t="s">
        <v>1114</v>
      </c>
      <c r="B174" s="14" t="s">
        <v>33</v>
      </c>
      <c r="C174" s="14" t="s">
        <v>391</v>
      </c>
      <c r="D174">
        <v>446</v>
      </c>
      <c r="E174">
        <v>493</v>
      </c>
      <c r="F174" s="16">
        <f t="shared" si="44"/>
        <v>105.97570935860098</v>
      </c>
      <c r="G174" s="16">
        <f t="shared" si="45"/>
        <v>66.617182835868405</v>
      </c>
      <c r="H174" s="16">
        <f t="shared" si="46"/>
        <v>20.721232624039253</v>
      </c>
      <c r="I174" s="16">
        <f t="shared" si="47"/>
        <v>1.8545679165418512</v>
      </c>
      <c r="J174" s="16">
        <f t="shared" si="48"/>
        <v>16.589999999999971</v>
      </c>
      <c r="K174" s="16">
        <f t="shared" si="49"/>
        <v>55.09999999999954</v>
      </c>
      <c r="L174" s="16">
        <f t="shared" si="50"/>
        <v>63.000001649999994</v>
      </c>
      <c r="M174" s="16">
        <f t="shared" si="51"/>
        <v>37.467999999999996</v>
      </c>
      <c r="N174" s="16">
        <f t="shared" si="52"/>
        <v>2.0210534999999998</v>
      </c>
      <c r="O174" s="16">
        <f t="shared" si="53"/>
        <v>108.3614</v>
      </c>
      <c r="P174" s="16">
        <f t="shared" si="54"/>
        <v>6.0330628500000003</v>
      </c>
      <c r="Q174" s="16">
        <f t="shared" si="55"/>
        <v>2.9887730599999998</v>
      </c>
      <c r="R174" s="16">
        <f t="shared" si="56"/>
        <v>0</v>
      </c>
      <c r="S174" s="16">
        <f t="shared" si="57"/>
        <v>2.76035137</v>
      </c>
      <c r="T174" s="16">
        <f t="shared" si="58"/>
        <v>1.0840083999999999</v>
      </c>
      <c r="U174" s="16">
        <f t="shared" si="59"/>
        <v>1.6763429700000001</v>
      </c>
      <c r="V174">
        <f t="shared" si="60"/>
        <v>0.23761369811345512</v>
      </c>
      <c r="W174">
        <f t="shared" si="61"/>
        <v>0.31014268708058212</v>
      </c>
      <c r="X174">
        <f t="shared" si="62"/>
        <v>0.40355011621877201</v>
      </c>
      <c r="Y174">
        <f t="shared" si="63"/>
        <v>0.71369280329935414</v>
      </c>
      <c r="Z174" s="14">
        <v>0.27584999999999998</v>
      </c>
      <c r="AA174" s="14">
        <v>0.2198</v>
      </c>
      <c r="AB174" s="14">
        <v>7.5999999999999998E-2</v>
      </c>
      <c r="AD174">
        <f t="shared" si="64"/>
        <v>89.385709358601005</v>
      </c>
      <c r="AE174" s="14">
        <v>3.3651115618661201E-2</v>
      </c>
      <c r="AF174" s="14">
        <v>0.74527777777777704</v>
      </c>
      <c r="AG174" s="14">
        <v>0.23181818181818101</v>
      </c>
      <c r="AH174" s="14">
        <v>2.07479241351839E-2</v>
      </c>
      <c r="AI174" s="14">
        <v>0.111764705882352</v>
      </c>
      <c r="AJ174" s="14">
        <v>0.12778904999999999</v>
      </c>
      <c r="AK174" s="14">
        <v>4.0994999999999998E-3</v>
      </c>
      <c r="AL174" s="14">
        <v>1.223745E-2</v>
      </c>
      <c r="AM174" s="14">
        <v>6.0624199999999998E-3</v>
      </c>
      <c r="AN174" s="14">
        <v>0</v>
      </c>
      <c r="AO174" s="14">
        <v>5.5990900000000001E-3</v>
      </c>
      <c r="AP174" s="14">
        <v>2.1987999999999999E-3</v>
      </c>
      <c r="AQ174" s="14">
        <v>3.4002899999999998E-3</v>
      </c>
    </row>
    <row r="175" spans="1:43">
      <c r="A175" s="14" t="s">
        <v>1119</v>
      </c>
      <c r="B175" s="14" t="s">
        <v>116</v>
      </c>
      <c r="C175" s="14" t="s">
        <v>20</v>
      </c>
      <c r="D175">
        <v>514</v>
      </c>
      <c r="E175">
        <v>562</v>
      </c>
      <c r="F175" s="16">
        <f t="shared" si="44"/>
        <v>119.42320109765933</v>
      </c>
      <c r="G175" s="16">
        <f t="shared" si="45"/>
        <v>71.797799481878712</v>
      </c>
      <c r="H175" s="16">
        <f t="shared" si="46"/>
        <v>22.945473146414191</v>
      </c>
      <c r="I175" s="16">
        <f t="shared" si="47"/>
        <v>0.90625011909394737</v>
      </c>
      <c r="J175" s="16">
        <f t="shared" si="48"/>
        <v>23.78492647058815</v>
      </c>
      <c r="K175" s="16">
        <f t="shared" si="49"/>
        <v>66.117647058823295</v>
      </c>
      <c r="L175" s="16">
        <f t="shared" si="50"/>
        <v>77.999999999999659</v>
      </c>
      <c r="M175" s="16">
        <f t="shared" si="51"/>
        <v>37.485399999999998</v>
      </c>
      <c r="N175" s="16">
        <f t="shared" si="52"/>
        <v>0.94708239999999999</v>
      </c>
      <c r="O175" s="16">
        <f t="shared" si="53"/>
        <v>146.65390000000002</v>
      </c>
      <c r="P175" s="16">
        <f t="shared" si="54"/>
        <v>5.1488978799999998</v>
      </c>
      <c r="Q175" s="16">
        <f t="shared" si="55"/>
        <v>5.1654431599999997</v>
      </c>
      <c r="R175" s="16">
        <f t="shared" si="56"/>
        <v>0</v>
      </c>
      <c r="S175" s="16">
        <f t="shared" si="57"/>
        <v>11.479884080000001</v>
      </c>
      <c r="T175" s="16">
        <f t="shared" si="58"/>
        <v>3.09300072</v>
      </c>
      <c r="U175" s="16">
        <f t="shared" si="59"/>
        <v>8.3868833600000023</v>
      </c>
      <c r="V175">
        <f t="shared" si="60"/>
        <v>0.2323408581666524</v>
      </c>
      <c r="W175">
        <f t="shared" si="61"/>
        <v>0.292333550584774</v>
      </c>
      <c r="X175">
        <f t="shared" si="62"/>
        <v>0.41935253310183179</v>
      </c>
      <c r="Y175">
        <f t="shared" si="63"/>
        <v>0.7116860836866058</v>
      </c>
      <c r="Z175" s="14">
        <v>0.27424999999999999</v>
      </c>
      <c r="AA175" s="14">
        <v>0.26095000000000002</v>
      </c>
      <c r="AB175" s="14">
        <v>6.6699999999999995E-2</v>
      </c>
      <c r="AD175">
        <f t="shared" si="64"/>
        <v>95.638274627071183</v>
      </c>
      <c r="AE175" s="14">
        <v>4.2321933221687098E-2</v>
      </c>
      <c r="AF175" s="14">
        <v>0.75072244623655904</v>
      </c>
      <c r="AG175" s="14">
        <v>0.23991935483870899</v>
      </c>
      <c r="AH175" s="14">
        <v>9.4758099999999994E-3</v>
      </c>
      <c r="AI175" s="14">
        <v>0.11764705882352899</v>
      </c>
      <c r="AJ175" s="14">
        <v>0.138790035587188</v>
      </c>
      <c r="AK175" s="14">
        <v>1.6852E-3</v>
      </c>
      <c r="AL175" s="14">
        <v>9.1617399999999998E-3</v>
      </c>
      <c r="AM175" s="14">
        <v>9.1911800000000002E-3</v>
      </c>
      <c r="AN175" s="14">
        <v>0</v>
      </c>
      <c r="AO175" s="14">
        <v>2.0426840000000002E-2</v>
      </c>
      <c r="AP175" s="14">
        <v>5.5035600000000002E-3</v>
      </c>
      <c r="AQ175" s="14">
        <v>1.49232830204115E-2</v>
      </c>
    </row>
    <row r="176" spans="1:43">
      <c r="A176" s="14" t="s">
        <v>1126</v>
      </c>
      <c r="B176" s="14" t="s">
        <v>376</v>
      </c>
      <c r="C176" s="14" t="s">
        <v>896</v>
      </c>
      <c r="D176">
        <v>466</v>
      </c>
      <c r="E176">
        <v>524</v>
      </c>
      <c r="F176" s="16">
        <f t="shared" si="44"/>
        <v>119.12871784548801</v>
      </c>
      <c r="G176" s="16">
        <f t="shared" si="45"/>
        <v>80.2566666994651</v>
      </c>
      <c r="H176" s="16">
        <f t="shared" si="46"/>
        <v>22.940153195827708</v>
      </c>
      <c r="I176" s="16">
        <f t="shared" si="47"/>
        <v>4.034557843801001</v>
      </c>
      <c r="J176" s="16">
        <f t="shared" si="48"/>
        <v>11.17615496</v>
      </c>
      <c r="K176" s="16">
        <f t="shared" si="49"/>
        <v>65.5</v>
      </c>
      <c r="L176" s="16">
        <f t="shared" si="50"/>
        <v>50.999997759999999</v>
      </c>
      <c r="M176" s="16">
        <f t="shared" si="51"/>
        <v>40.662399999999998</v>
      </c>
      <c r="N176" s="16">
        <f t="shared" si="52"/>
        <v>0.97093532000000005</v>
      </c>
      <c r="O176" s="16">
        <f t="shared" si="53"/>
        <v>116.7996</v>
      </c>
      <c r="P176" s="16">
        <f t="shared" si="54"/>
        <v>11.17615496</v>
      </c>
      <c r="Q176" s="16">
        <f t="shared" si="55"/>
        <v>4.0307704400000004</v>
      </c>
      <c r="R176" s="16">
        <f t="shared" si="56"/>
        <v>0.99597203999999995</v>
      </c>
      <c r="S176" s="16">
        <f t="shared" si="57"/>
        <v>15.088827838827793</v>
      </c>
      <c r="T176" s="16">
        <f t="shared" si="58"/>
        <v>4.8508409199999996</v>
      </c>
      <c r="U176" s="16">
        <f t="shared" si="59"/>
        <v>10.237986918827794</v>
      </c>
      <c r="V176">
        <f t="shared" si="60"/>
        <v>0.25564102541950218</v>
      </c>
      <c r="W176">
        <f t="shared" si="61"/>
        <v>0.33603726778938237</v>
      </c>
      <c r="X176">
        <f t="shared" si="62"/>
        <v>0.3925864087178616</v>
      </c>
      <c r="Y176">
        <f t="shared" si="63"/>
        <v>0.72862367650724402</v>
      </c>
      <c r="Z176" s="14">
        <v>0.31559999999999999</v>
      </c>
      <c r="AA176" s="14">
        <v>0.22289999999999999</v>
      </c>
      <c r="AB176" s="14">
        <v>7.7600000000000002E-2</v>
      </c>
      <c r="AD176">
        <f t="shared" si="64"/>
        <v>107.95256288548801</v>
      </c>
      <c r="AE176" s="14">
        <v>2.132854E-2</v>
      </c>
      <c r="AF176" s="14">
        <v>0.74344382897697703</v>
      </c>
      <c r="AG176" s="14">
        <v>0.212502163752812</v>
      </c>
      <c r="AH176" s="14">
        <v>3.7373432700071298E-2</v>
      </c>
      <c r="AI176" s="14">
        <v>0.125</v>
      </c>
      <c r="AJ176" s="14">
        <v>9.7328239999999996E-2</v>
      </c>
      <c r="AK176" s="14">
        <v>1.85293E-3</v>
      </c>
      <c r="AL176" s="14">
        <v>2.132854E-2</v>
      </c>
      <c r="AM176" s="14">
        <v>7.6923099999999999E-3</v>
      </c>
      <c r="AN176" s="14">
        <v>1.9007099999999999E-3</v>
      </c>
      <c r="AO176" s="14">
        <v>2.87954729748622E-2</v>
      </c>
      <c r="AP176" s="14">
        <v>9.2573299999999994E-3</v>
      </c>
      <c r="AQ176" s="14">
        <v>1.9538144089109401E-2</v>
      </c>
    </row>
    <row r="177" spans="1:43">
      <c r="A177" s="14" t="s">
        <v>1132</v>
      </c>
      <c r="B177" s="14" t="s">
        <v>335</v>
      </c>
      <c r="C177" s="14" t="s">
        <v>124</v>
      </c>
      <c r="D177">
        <v>488</v>
      </c>
      <c r="E177">
        <v>528</v>
      </c>
      <c r="F177" s="16">
        <f t="shared" si="44"/>
        <v>118.10175181212799</v>
      </c>
      <c r="G177" s="16">
        <f t="shared" si="45"/>
        <v>68.121042061812446</v>
      </c>
      <c r="H177" s="16">
        <f t="shared" si="46"/>
        <v>22.483578212218681</v>
      </c>
      <c r="I177" s="16">
        <f t="shared" si="47"/>
        <v>1.0085033290475156</v>
      </c>
      <c r="J177" s="16">
        <f t="shared" si="48"/>
        <v>26.397872159999999</v>
      </c>
      <c r="K177" s="16">
        <f t="shared" si="49"/>
        <v>62.297872340425393</v>
      </c>
      <c r="L177" s="16">
        <f t="shared" si="50"/>
        <v>72.999999999999602</v>
      </c>
      <c r="M177" s="16">
        <f t="shared" si="51"/>
        <v>28.564800000000002</v>
      </c>
      <c r="N177" s="16">
        <f t="shared" si="52"/>
        <v>0.92666112</v>
      </c>
      <c r="O177" s="16">
        <f t="shared" si="53"/>
        <v>131.07599999999999</v>
      </c>
      <c r="P177" s="16">
        <f t="shared" si="54"/>
        <v>7.2340425531914496</v>
      </c>
      <c r="Q177" s="16">
        <f t="shared" si="55"/>
        <v>3.0638308799999998</v>
      </c>
      <c r="R177" s="16">
        <f t="shared" si="56"/>
        <v>0</v>
      </c>
      <c r="S177" s="16">
        <f t="shared" si="57"/>
        <v>1.9489800000000002</v>
      </c>
      <c r="T177" s="16">
        <f t="shared" si="58"/>
        <v>1.0177464000000001</v>
      </c>
      <c r="U177" s="16">
        <f t="shared" si="59"/>
        <v>0.93123360000000011</v>
      </c>
      <c r="V177">
        <f t="shared" si="60"/>
        <v>0.24201178650026225</v>
      </c>
      <c r="W177">
        <f t="shared" si="61"/>
        <v>0.2974271088292374</v>
      </c>
      <c r="X177">
        <f t="shared" si="62"/>
        <v>0.45431392851104985</v>
      </c>
      <c r="Y177">
        <f t="shared" si="63"/>
        <v>0.7517410373402873</v>
      </c>
      <c r="Z177" s="14">
        <v>0.27489999999999998</v>
      </c>
      <c r="AA177" s="14">
        <v>0.24825</v>
      </c>
      <c r="AB177" s="14">
        <v>5.4100000000000002E-2</v>
      </c>
      <c r="AD177">
        <f t="shared" si="64"/>
        <v>91.703879652127981</v>
      </c>
      <c r="AE177" s="14">
        <v>4.9995970000000001E-2</v>
      </c>
      <c r="AF177" s="14">
        <v>0.74283707865168502</v>
      </c>
      <c r="AG177" s="14">
        <v>0.24517586712261799</v>
      </c>
      <c r="AH177" s="14">
        <v>1.0997389999999999E-2</v>
      </c>
      <c r="AI177" s="14">
        <v>0.117988394584139</v>
      </c>
      <c r="AJ177" s="14">
        <v>0.138257575757575</v>
      </c>
      <c r="AK177" s="14">
        <v>1.75504E-3</v>
      </c>
      <c r="AL177" s="14">
        <v>1.37008381689232E-2</v>
      </c>
      <c r="AM177" s="14">
        <v>5.80271E-3</v>
      </c>
      <c r="AN177" s="14">
        <v>0</v>
      </c>
      <c r="AO177" s="14">
        <v>3.6912500000000001E-3</v>
      </c>
      <c r="AP177" s="14">
        <v>1.9275500000000001E-3</v>
      </c>
      <c r="AQ177" s="14">
        <v>1.7637E-3</v>
      </c>
    </row>
    <row r="178" spans="1:43">
      <c r="A178" s="14" t="s">
        <v>1138</v>
      </c>
      <c r="B178" s="14" t="s">
        <v>248</v>
      </c>
      <c r="C178" s="14" t="s">
        <v>20</v>
      </c>
      <c r="D178">
        <v>513</v>
      </c>
      <c r="E178">
        <v>565</v>
      </c>
      <c r="F178" s="16">
        <f t="shared" si="44"/>
        <v>122.09406997287427</v>
      </c>
      <c r="G178" s="16">
        <f t="shared" si="45"/>
        <v>80.179806301317456</v>
      </c>
      <c r="H178" s="16">
        <f t="shared" si="46"/>
        <v>22.486535490909208</v>
      </c>
      <c r="I178" s="16">
        <f t="shared" si="47"/>
        <v>3.7109671618544469</v>
      </c>
      <c r="J178" s="16">
        <f t="shared" si="48"/>
        <v>16.312477396021663</v>
      </c>
      <c r="K178" s="16">
        <f t="shared" si="49"/>
        <v>66.410488245931106</v>
      </c>
      <c r="L178" s="16">
        <f t="shared" si="50"/>
        <v>59.999999999999588</v>
      </c>
      <c r="M178" s="16">
        <f t="shared" si="51"/>
        <v>37.572500000000005</v>
      </c>
      <c r="N178" s="16">
        <f t="shared" si="52"/>
        <v>0.15325625000000001</v>
      </c>
      <c r="O178" s="16">
        <f t="shared" si="53"/>
        <v>125.06274999999999</v>
      </c>
      <c r="P178" s="16">
        <f t="shared" si="54"/>
        <v>8.2562386980108151</v>
      </c>
      <c r="Q178" s="16">
        <f t="shared" si="55"/>
        <v>4.08679755</v>
      </c>
      <c r="R178" s="16">
        <f t="shared" si="56"/>
        <v>0</v>
      </c>
      <c r="S178" s="16">
        <f t="shared" si="57"/>
        <v>24.922268649999999</v>
      </c>
      <c r="T178" s="16">
        <f t="shared" si="58"/>
        <v>7.1699029126213176</v>
      </c>
      <c r="U178" s="16">
        <f t="shared" si="59"/>
        <v>17.752365737378682</v>
      </c>
      <c r="V178">
        <f t="shared" si="60"/>
        <v>0.23800013639936504</v>
      </c>
      <c r="W178">
        <f t="shared" si="61"/>
        <v>0.30294207254270866</v>
      </c>
      <c r="X178">
        <f t="shared" si="62"/>
        <v>0.39285709230562543</v>
      </c>
      <c r="Y178">
        <f t="shared" si="63"/>
        <v>0.69579916484833415</v>
      </c>
      <c r="Z178" s="14">
        <v>0.28155000000000002</v>
      </c>
      <c r="AA178" s="14">
        <v>0.22134999999999999</v>
      </c>
      <c r="AB178" s="14">
        <v>6.6500000000000004E-2</v>
      </c>
      <c r="AD178">
        <f t="shared" si="64"/>
        <v>105.7815925768526</v>
      </c>
      <c r="AE178" s="14">
        <v>2.8871641408887899E-2</v>
      </c>
      <c r="AF178" s="14">
        <v>0.75797503467406302</v>
      </c>
      <c r="AG178" s="14">
        <v>0.21257512713823301</v>
      </c>
      <c r="AH178" s="14">
        <v>3.5081407563025198E-2</v>
      </c>
      <c r="AI178" s="14">
        <v>0.11754068716094</v>
      </c>
      <c r="AJ178" s="14">
        <v>0.106194690265486</v>
      </c>
      <c r="AK178" s="14">
        <v>2.7125000000000001E-4</v>
      </c>
      <c r="AL178" s="14">
        <v>1.4612811854886399E-2</v>
      </c>
      <c r="AM178" s="14">
        <v>7.23327E-3</v>
      </c>
      <c r="AN178" s="14">
        <v>0</v>
      </c>
      <c r="AO178" s="14">
        <v>4.4110209999999997E-2</v>
      </c>
      <c r="AP178" s="14">
        <v>1.26900936506572E-2</v>
      </c>
      <c r="AQ178" s="14">
        <v>3.1420120000000003E-2</v>
      </c>
    </row>
    <row r="179" spans="1:43">
      <c r="A179" s="14" t="s">
        <v>1144</v>
      </c>
      <c r="B179" s="14" t="s">
        <v>214</v>
      </c>
      <c r="C179" s="14" t="s">
        <v>124</v>
      </c>
      <c r="D179">
        <v>516</v>
      </c>
      <c r="E179">
        <v>598</v>
      </c>
      <c r="F179" s="16">
        <f t="shared" si="44"/>
        <v>131.49910952764512</v>
      </c>
      <c r="G179" s="16">
        <f t="shared" si="45"/>
        <v>97.877009936346184</v>
      </c>
      <c r="H179" s="16">
        <f t="shared" si="46"/>
        <v>22.471263066276553</v>
      </c>
      <c r="I179" s="16">
        <f t="shared" si="47"/>
        <v>1.1889263931162464</v>
      </c>
      <c r="J179" s="16">
        <f t="shared" si="48"/>
        <v>8.5484848484847991</v>
      </c>
      <c r="K179" s="16">
        <f t="shared" si="49"/>
        <v>65.43771043771018</v>
      </c>
      <c r="L179" s="16">
        <f t="shared" si="50"/>
        <v>55.999997040000004</v>
      </c>
      <c r="M179" s="16">
        <f t="shared" si="51"/>
        <v>65.78</v>
      </c>
      <c r="N179" s="16">
        <f t="shared" si="52"/>
        <v>2.6945879999999995</v>
      </c>
      <c r="O179" s="16">
        <f t="shared" si="53"/>
        <v>81.985799999999998</v>
      </c>
      <c r="P179" s="16">
        <f t="shared" si="54"/>
        <v>9.0545452399999995</v>
      </c>
      <c r="Q179" s="16">
        <f t="shared" si="55"/>
        <v>5.0336709800000001</v>
      </c>
      <c r="R179" s="16">
        <f t="shared" si="56"/>
        <v>2.99123188</v>
      </c>
      <c r="S179" s="16">
        <f t="shared" si="57"/>
        <v>6.19886202</v>
      </c>
      <c r="T179" s="16">
        <f t="shared" si="58"/>
        <v>2.0476177799999999</v>
      </c>
      <c r="U179" s="16">
        <f t="shared" si="59"/>
        <v>4.1512442400000005</v>
      </c>
      <c r="V179">
        <f t="shared" si="60"/>
        <v>0.25484323551869209</v>
      </c>
      <c r="W179">
        <f t="shared" si="61"/>
        <v>0.35458068582332919</v>
      </c>
      <c r="X179">
        <f t="shared" si="62"/>
        <v>0.34996173380268841</v>
      </c>
      <c r="Y179">
        <f t="shared" si="63"/>
        <v>0.7045424196260176</v>
      </c>
      <c r="Z179" s="14">
        <v>0.28559999999999902</v>
      </c>
      <c r="AA179" s="14">
        <v>0.1371</v>
      </c>
      <c r="AB179" s="14">
        <v>0.11</v>
      </c>
      <c r="AD179">
        <f t="shared" si="64"/>
        <v>122.95062467916033</v>
      </c>
      <c r="AE179" s="14">
        <v>1.42951251646903E-2</v>
      </c>
      <c r="AF179" s="14">
        <v>0.79606761000000004</v>
      </c>
      <c r="AG179" s="14">
        <v>0.18276656279636899</v>
      </c>
      <c r="AH179" s="14">
        <v>9.6699500000000001E-3</v>
      </c>
      <c r="AI179" s="14">
        <v>0.109427609427609</v>
      </c>
      <c r="AJ179" s="14">
        <v>9.3645480000000003E-2</v>
      </c>
      <c r="AK179" s="14">
        <v>4.5059999999999996E-3</v>
      </c>
      <c r="AL179" s="14">
        <v>1.5141379999999999E-2</v>
      </c>
      <c r="AM179" s="14">
        <v>8.4175099999999996E-3</v>
      </c>
      <c r="AN179" s="14">
        <v>5.00206E-3</v>
      </c>
      <c r="AO179" s="14">
        <v>1.036599E-2</v>
      </c>
      <c r="AP179" s="14">
        <v>3.4241100000000002E-3</v>
      </c>
      <c r="AQ179" s="14">
        <v>6.9418800000000001E-3</v>
      </c>
    </row>
    <row r="180" spans="1:43">
      <c r="A180" s="14" t="s">
        <v>1152</v>
      </c>
      <c r="B180" s="14" t="s">
        <v>440</v>
      </c>
      <c r="C180" s="14" t="s">
        <v>87</v>
      </c>
      <c r="D180">
        <v>445</v>
      </c>
      <c r="E180">
        <v>505</v>
      </c>
      <c r="F180" s="16">
        <f t="shared" si="44"/>
        <v>106.6600292971975</v>
      </c>
      <c r="G180" s="16">
        <f t="shared" si="45"/>
        <v>68.783378077728926</v>
      </c>
      <c r="H180" s="16">
        <f t="shared" si="46"/>
        <v>21.864574183272058</v>
      </c>
      <c r="I180" s="16">
        <f t="shared" si="47"/>
        <v>1.012487538874383</v>
      </c>
      <c r="J180" s="16">
        <f t="shared" si="48"/>
        <v>16.11496915</v>
      </c>
      <c r="K180" s="16">
        <f t="shared" si="49"/>
        <v>56.447105788422945</v>
      </c>
      <c r="L180" s="16">
        <f t="shared" si="50"/>
        <v>56.999999999999559</v>
      </c>
      <c r="M180" s="16">
        <f t="shared" si="51"/>
        <v>45.753</v>
      </c>
      <c r="N180" s="16">
        <f t="shared" si="52"/>
        <v>0.97538730000000007</v>
      </c>
      <c r="O180" s="16">
        <f t="shared" si="53"/>
        <v>105.09050000000001</v>
      </c>
      <c r="P180" s="16">
        <f t="shared" si="54"/>
        <v>9.0646706586826031</v>
      </c>
      <c r="Q180" s="16">
        <f t="shared" si="55"/>
        <v>3.0239501</v>
      </c>
      <c r="R180" s="16">
        <f t="shared" si="56"/>
        <v>0.99655689999999997</v>
      </c>
      <c r="S180" s="16">
        <f t="shared" si="57"/>
        <v>2.22418665</v>
      </c>
      <c r="T180" s="16">
        <f t="shared" si="58"/>
        <v>1.0232663500000001</v>
      </c>
      <c r="U180" s="16">
        <f t="shared" si="59"/>
        <v>1.2009202999999999</v>
      </c>
      <c r="V180">
        <f t="shared" si="60"/>
        <v>0.23968545909482583</v>
      </c>
      <c r="W180">
        <f t="shared" si="61"/>
        <v>0.32835233909069778</v>
      </c>
      <c r="X180">
        <f t="shared" si="62"/>
        <v>0.40451655204695774</v>
      </c>
      <c r="Y180">
        <f t="shared" si="63"/>
        <v>0.73286889113765552</v>
      </c>
      <c r="Z180" s="14">
        <v>0.27705000000000002</v>
      </c>
      <c r="AA180" s="14">
        <v>0.20810000000000001</v>
      </c>
      <c r="AB180" s="14">
        <v>9.06E-2</v>
      </c>
      <c r="AD180">
        <f t="shared" si="64"/>
        <v>90.545060147197503</v>
      </c>
      <c r="AE180" s="14">
        <v>3.1910830000000001E-2</v>
      </c>
      <c r="AF180" s="14">
        <v>0.75965909090909001</v>
      </c>
      <c r="AG180" s="14">
        <v>0.24147727272727201</v>
      </c>
      <c r="AH180" s="14">
        <v>1.118214E-2</v>
      </c>
      <c r="AI180" s="14">
        <v>0.111776447105788</v>
      </c>
      <c r="AJ180" s="14">
        <v>0.112871287128712</v>
      </c>
      <c r="AK180" s="14">
        <v>1.9314600000000001E-3</v>
      </c>
      <c r="AL180" s="14">
        <v>1.7949842888480401E-2</v>
      </c>
      <c r="AM180" s="14">
        <v>5.9880200000000001E-3</v>
      </c>
      <c r="AN180" s="14">
        <v>1.9733799999999998E-3</v>
      </c>
      <c r="AO180" s="14">
        <v>4.4043299999999997E-3</v>
      </c>
      <c r="AP180" s="14">
        <v>2.0262700000000002E-3</v>
      </c>
      <c r="AQ180" s="14">
        <v>2.37806E-3</v>
      </c>
    </row>
    <row r="181" spans="1:43">
      <c r="A181" s="14" t="s">
        <v>1157</v>
      </c>
      <c r="B181" s="14" t="s">
        <v>404</v>
      </c>
      <c r="C181" s="14" t="s">
        <v>1158</v>
      </c>
      <c r="D181">
        <v>348</v>
      </c>
      <c r="E181">
        <v>383</v>
      </c>
      <c r="F181" s="16">
        <f t="shared" si="44"/>
        <v>90.046886192522464</v>
      </c>
      <c r="G181" s="16">
        <f t="shared" si="45"/>
        <v>62.216671105417824</v>
      </c>
      <c r="H181" s="16">
        <f t="shared" si="46"/>
        <v>16.083964540387925</v>
      </c>
      <c r="I181" s="16">
        <f t="shared" si="47"/>
        <v>1.0225622053379109</v>
      </c>
      <c r="J181" s="16">
        <f t="shared" si="48"/>
        <v>10.682584269662904</v>
      </c>
      <c r="K181" s="16">
        <f t="shared" si="49"/>
        <v>46.261235955055959</v>
      </c>
      <c r="L181" s="16">
        <f t="shared" si="50"/>
        <v>43.999999999999943</v>
      </c>
      <c r="M181" s="16">
        <f t="shared" si="51"/>
        <v>22.826799999999999</v>
      </c>
      <c r="N181" s="16">
        <f t="shared" si="52"/>
        <v>0.87384897000000006</v>
      </c>
      <c r="O181" s="16">
        <f t="shared" si="53"/>
        <v>95.271249999999995</v>
      </c>
      <c r="P181" s="16">
        <f t="shared" si="54"/>
        <v>6.6095497300000003</v>
      </c>
      <c r="Q181" s="16">
        <f t="shared" si="55"/>
        <v>2.1516863399999999</v>
      </c>
      <c r="R181" s="16">
        <f t="shared" si="56"/>
        <v>1.06332673</v>
      </c>
      <c r="S181" s="16">
        <f t="shared" si="57"/>
        <v>19.012261710000001</v>
      </c>
      <c r="T181" s="16">
        <f t="shared" si="58"/>
        <v>4.063888888888874</v>
      </c>
      <c r="U181" s="16">
        <f t="shared" si="59"/>
        <v>14.948372821111127</v>
      </c>
      <c r="V181">
        <f t="shared" si="60"/>
        <v>0.25875542009345537</v>
      </c>
      <c r="W181">
        <f t="shared" si="61"/>
        <v>0.32193749650573089</v>
      </c>
      <c r="X181">
        <f t="shared" si="62"/>
        <v>0.4028236318415489</v>
      </c>
      <c r="Y181">
        <f t="shared" si="63"/>
        <v>0.72476112834727979</v>
      </c>
      <c r="Z181" s="14">
        <v>0.32500000000000001</v>
      </c>
      <c r="AA181" s="14">
        <v>0.24875</v>
      </c>
      <c r="AB181" s="14">
        <v>5.96E-2</v>
      </c>
      <c r="AD181">
        <f t="shared" si="64"/>
        <v>79.364301922859553</v>
      </c>
      <c r="AE181" s="14">
        <v>2.7891864933845701E-2</v>
      </c>
      <c r="AF181" s="14">
        <v>0.78393773520355703</v>
      </c>
      <c r="AG181" s="14">
        <v>0.202659938419432</v>
      </c>
      <c r="AH181" s="14">
        <v>1.2884410000000001E-2</v>
      </c>
      <c r="AI181" s="14">
        <v>0.120786516853932</v>
      </c>
      <c r="AJ181" s="14">
        <v>0.114882506527415</v>
      </c>
      <c r="AK181" s="14">
        <v>2.28159E-3</v>
      </c>
      <c r="AL181" s="14">
        <v>1.7257310000000001E-2</v>
      </c>
      <c r="AM181" s="14">
        <v>5.6179799999999998E-3</v>
      </c>
      <c r="AN181" s="14">
        <v>2.7763100000000001E-3</v>
      </c>
      <c r="AO181" s="14">
        <v>4.9640370000000003E-2</v>
      </c>
      <c r="AP181" s="14">
        <v>1.0610675950101499E-2</v>
      </c>
      <c r="AQ181" s="14">
        <v>3.9029689919171898E-2</v>
      </c>
    </row>
    <row r="182" spans="1:43">
      <c r="A182" s="14" t="s">
        <v>1165</v>
      </c>
      <c r="B182" s="14" t="s">
        <v>404</v>
      </c>
      <c r="C182" s="14" t="s">
        <v>28</v>
      </c>
      <c r="D182">
        <v>446</v>
      </c>
      <c r="E182">
        <v>518</v>
      </c>
      <c r="F182" s="16">
        <f t="shared" si="44"/>
        <v>106.69157680743999</v>
      </c>
      <c r="G182" s="16">
        <f t="shared" si="45"/>
        <v>67.620683012589666</v>
      </c>
      <c r="H182" s="16">
        <f t="shared" si="46"/>
        <v>19.660226929683727</v>
      </c>
      <c r="I182" s="16">
        <f t="shared" si="47"/>
        <v>0</v>
      </c>
      <c r="J182" s="16">
        <f t="shared" si="48"/>
        <v>19.33307572</v>
      </c>
      <c r="K182" s="16">
        <f t="shared" si="49"/>
        <v>60.11605488</v>
      </c>
      <c r="L182" s="16">
        <f t="shared" si="50"/>
        <v>67.999999999999858</v>
      </c>
      <c r="M182" s="16">
        <f t="shared" si="51"/>
        <v>61.849199999999485</v>
      </c>
      <c r="N182" s="16">
        <f t="shared" si="52"/>
        <v>0.99029168000000001</v>
      </c>
      <c r="O182" s="16">
        <f t="shared" si="53"/>
        <v>126.2366</v>
      </c>
      <c r="P182" s="16">
        <f t="shared" si="54"/>
        <v>3.0052236199999998</v>
      </c>
      <c r="Q182" s="16">
        <f t="shared" si="55"/>
        <v>4.0077349199999999</v>
      </c>
      <c r="R182" s="16">
        <f t="shared" si="56"/>
        <v>0</v>
      </c>
      <c r="S182" s="16">
        <f t="shared" si="57"/>
        <v>0.24666642</v>
      </c>
      <c r="T182" s="16">
        <f t="shared" si="58"/>
        <v>0</v>
      </c>
      <c r="U182" s="16">
        <f t="shared" si="59"/>
        <v>0.24666642</v>
      </c>
      <c r="V182">
        <f t="shared" si="60"/>
        <v>0.23921878207946184</v>
      </c>
      <c r="W182">
        <f t="shared" si="61"/>
        <v>0.33642824443313407</v>
      </c>
      <c r="X182">
        <f t="shared" si="62"/>
        <v>0.41316914742591287</v>
      </c>
      <c r="Y182">
        <f t="shared" si="63"/>
        <v>0.74959739185904695</v>
      </c>
      <c r="Z182" s="14">
        <v>0.28694999999999998</v>
      </c>
      <c r="AA182" s="14">
        <v>0.2437</v>
      </c>
      <c r="AB182" s="14">
        <v>0.11939999999999901</v>
      </c>
      <c r="AD182">
        <f t="shared" si="64"/>
        <v>87.35850108743999</v>
      </c>
      <c r="AE182" s="14">
        <v>3.7322540000000001E-2</v>
      </c>
      <c r="AF182" s="14">
        <v>0.77405956112852603</v>
      </c>
      <c r="AG182" s="14">
        <v>0.22505224660397</v>
      </c>
      <c r="AH182" s="14">
        <v>0</v>
      </c>
      <c r="AI182" s="14">
        <v>0.11605416</v>
      </c>
      <c r="AJ182" s="14">
        <v>0.13127413127413101</v>
      </c>
      <c r="AK182" s="14">
        <v>1.91176E-3</v>
      </c>
      <c r="AL182" s="14">
        <v>5.8015899999999997E-3</v>
      </c>
      <c r="AM182" s="14">
        <v>7.7369400000000003E-3</v>
      </c>
      <c r="AN182" s="14">
        <v>0</v>
      </c>
      <c r="AO182" s="14">
        <v>4.7618999999999998E-4</v>
      </c>
      <c r="AP182" s="14">
        <v>0</v>
      </c>
      <c r="AQ182" s="14">
        <v>4.7618999999999998E-4</v>
      </c>
    </row>
    <row r="183" spans="1:43">
      <c r="A183" s="14" t="s">
        <v>1167</v>
      </c>
      <c r="B183" s="14" t="s">
        <v>156</v>
      </c>
      <c r="C183" s="14" t="s">
        <v>20</v>
      </c>
      <c r="D183">
        <v>493</v>
      </c>
      <c r="E183">
        <v>548</v>
      </c>
      <c r="F183" s="16">
        <f t="shared" si="44"/>
        <v>124.49635377382562</v>
      </c>
      <c r="G183" s="16">
        <f t="shared" si="45"/>
        <v>93.334730184530997</v>
      </c>
      <c r="H183" s="16">
        <f t="shared" si="46"/>
        <v>21.220226544752474</v>
      </c>
      <c r="I183" s="16">
        <f t="shared" si="47"/>
        <v>3.073433749804066</v>
      </c>
      <c r="J183" s="16">
        <f t="shared" si="48"/>
        <v>6.1511754068715767</v>
      </c>
      <c r="K183" s="16">
        <f t="shared" si="49"/>
        <v>60.448462929475333</v>
      </c>
      <c r="L183" s="16">
        <f t="shared" si="50"/>
        <v>51.99999948</v>
      </c>
      <c r="M183" s="16">
        <f t="shared" si="51"/>
        <v>43.237200000000001</v>
      </c>
      <c r="N183" s="16">
        <f t="shared" si="52"/>
        <v>0.41674304000000001</v>
      </c>
      <c r="O183" s="16">
        <f t="shared" si="53"/>
        <v>76.172000000000011</v>
      </c>
      <c r="P183" s="16">
        <f t="shared" si="54"/>
        <v>5.0593113600000006</v>
      </c>
      <c r="Q183" s="16">
        <f t="shared" si="55"/>
        <v>2.9728726000000001</v>
      </c>
      <c r="R183" s="16">
        <f t="shared" si="56"/>
        <v>2.0144808800000003</v>
      </c>
      <c r="S183" s="16">
        <f t="shared" si="57"/>
        <v>18.271526418786639</v>
      </c>
      <c r="T183" s="16">
        <f t="shared" si="58"/>
        <v>4.2043930000000005</v>
      </c>
      <c r="U183" s="16">
        <f t="shared" si="59"/>
        <v>14.067133418786639</v>
      </c>
      <c r="V183">
        <f t="shared" si="60"/>
        <v>0.25252810096110673</v>
      </c>
      <c r="W183">
        <f t="shared" si="61"/>
        <v>0.32098035745017267</v>
      </c>
      <c r="X183">
        <f t="shared" si="62"/>
        <v>0.34401660476862972</v>
      </c>
      <c r="Y183">
        <f t="shared" si="63"/>
        <v>0.66499696221880233</v>
      </c>
      <c r="Z183" s="14">
        <v>0.28610000000000002</v>
      </c>
      <c r="AA183" s="14">
        <v>0.13900000000000001</v>
      </c>
      <c r="AB183" s="14">
        <v>7.8899999999999998E-2</v>
      </c>
      <c r="AD183">
        <f t="shared" si="64"/>
        <v>118.34517836695404</v>
      </c>
      <c r="AE183" s="14">
        <v>1.12247726402766E-2</v>
      </c>
      <c r="AF183" s="14">
        <v>0.78866525423728795</v>
      </c>
      <c r="AG183" s="14">
        <v>0.17930790960451901</v>
      </c>
      <c r="AH183" s="14">
        <v>2.597008E-2</v>
      </c>
      <c r="AI183" s="14">
        <v>0.110307414104882</v>
      </c>
      <c r="AJ183" s="14">
        <v>9.4890509999999997E-2</v>
      </c>
      <c r="AK183" s="14">
        <v>7.6048000000000001E-4</v>
      </c>
      <c r="AL183" s="14">
        <v>9.2323200000000005E-3</v>
      </c>
      <c r="AM183" s="14">
        <v>5.4249500000000004E-3</v>
      </c>
      <c r="AN183" s="14">
        <v>3.6760600000000001E-3</v>
      </c>
      <c r="AO183" s="14">
        <v>3.3342201494136199E-2</v>
      </c>
      <c r="AP183" s="14">
        <v>7.6722500000000003E-3</v>
      </c>
      <c r="AQ183" s="14">
        <v>2.5669946741589501E-2</v>
      </c>
    </row>
    <row r="184" spans="1:43">
      <c r="A184" s="14" t="s">
        <v>1173</v>
      </c>
      <c r="B184" s="14" t="s">
        <v>40</v>
      </c>
      <c r="C184" s="14" t="s">
        <v>49</v>
      </c>
      <c r="D184">
        <v>411</v>
      </c>
      <c r="E184">
        <v>450</v>
      </c>
      <c r="F184" s="16">
        <f t="shared" si="44"/>
        <v>96.834375088725011</v>
      </c>
      <c r="G184" s="16">
        <f t="shared" si="45"/>
        <v>60.420003355013229</v>
      </c>
      <c r="H184" s="16">
        <f t="shared" si="46"/>
        <v>18.080515190497692</v>
      </c>
      <c r="I184" s="16">
        <f t="shared" si="47"/>
        <v>0.99511998551515368</v>
      </c>
      <c r="J184" s="16">
        <f t="shared" si="48"/>
        <v>17.992714500000002</v>
      </c>
      <c r="K184" s="16">
        <f t="shared" si="49"/>
        <v>48.675496500000001</v>
      </c>
      <c r="L184" s="16">
        <f t="shared" si="50"/>
        <v>59.999999999999851</v>
      </c>
      <c r="M184" s="16">
        <f t="shared" si="51"/>
        <v>31.184999999999999</v>
      </c>
      <c r="N184" s="16">
        <f t="shared" si="52"/>
        <v>0.14900850000000002</v>
      </c>
      <c r="O184" s="16">
        <f t="shared" si="53"/>
        <v>117.45</v>
      </c>
      <c r="P184" s="16">
        <f t="shared" si="54"/>
        <v>3.9761595000000001</v>
      </c>
      <c r="Q184" s="16">
        <f t="shared" si="55"/>
        <v>3.9735089999999995</v>
      </c>
      <c r="R184" s="16">
        <f t="shared" si="56"/>
        <v>0</v>
      </c>
      <c r="S184" s="16">
        <f t="shared" si="57"/>
        <v>1.0051019999999999</v>
      </c>
      <c r="T184" s="16">
        <f t="shared" si="58"/>
        <v>0</v>
      </c>
      <c r="U184" s="16">
        <f t="shared" si="59"/>
        <v>1.0051019999999999</v>
      </c>
      <c r="V184">
        <f t="shared" si="60"/>
        <v>0.23560675204069345</v>
      </c>
      <c r="W184">
        <f t="shared" si="61"/>
        <v>0.29608406291011002</v>
      </c>
      <c r="X184">
        <f t="shared" si="62"/>
        <v>0.41736557589429218</v>
      </c>
      <c r="Y184">
        <f t="shared" si="63"/>
        <v>0.71344963880440226</v>
      </c>
      <c r="Z184" s="14">
        <v>0.28205000000000002</v>
      </c>
      <c r="AA184" s="14">
        <v>0.26100000000000001</v>
      </c>
      <c r="AB184" s="14">
        <v>6.93E-2</v>
      </c>
      <c r="AD184">
        <f t="shared" si="64"/>
        <v>78.841660588725006</v>
      </c>
      <c r="AE184" s="14">
        <v>3.9983810000000002E-2</v>
      </c>
      <c r="AF184" s="14">
        <v>0.76634615384615301</v>
      </c>
      <c r="AG184" s="14">
        <v>0.22932691999999999</v>
      </c>
      <c r="AH184" s="14">
        <v>1.2621753246753201E-2</v>
      </c>
      <c r="AI184" s="14">
        <v>0.10816777</v>
      </c>
      <c r="AJ184" s="14">
        <v>0.133333333333333</v>
      </c>
      <c r="AK184" s="14">
        <v>3.3113000000000001E-4</v>
      </c>
      <c r="AL184" s="14">
        <v>8.8359100000000006E-3</v>
      </c>
      <c r="AM184" s="14">
        <v>8.8300199999999992E-3</v>
      </c>
      <c r="AN184" s="14">
        <v>0</v>
      </c>
      <c r="AO184" s="14">
        <v>2.2335599999999999E-3</v>
      </c>
      <c r="AP184" s="14">
        <v>0</v>
      </c>
      <c r="AQ184" s="14">
        <v>2.2335599999999999E-3</v>
      </c>
    </row>
    <row r="185" spans="1:43">
      <c r="A185" s="14" t="s">
        <v>1177</v>
      </c>
      <c r="B185" s="14" t="s">
        <v>19</v>
      </c>
      <c r="C185" s="14" t="s">
        <v>20</v>
      </c>
      <c r="D185">
        <v>449</v>
      </c>
      <c r="E185">
        <v>526</v>
      </c>
      <c r="F185" s="16">
        <f t="shared" si="44"/>
        <v>100.05218733092201</v>
      </c>
      <c r="G185" s="16">
        <f t="shared" si="45"/>
        <v>54.716328735934532</v>
      </c>
      <c r="H185" s="16">
        <f t="shared" si="46"/>
        <v>18.832625098635862</v>
      </c>
      <c r="I185" s="16">
        <f t="shared" si="47"/>
        <v>1.1723463202139675</v>
      </c>
      <c r="J185" s="16">
        <f t="shared" si="48"/>
        <v>25.0596131</v>
      </c>
      <c r="K185" s="16">
        <f t="shared" si="49"/>
        <v>68.78461538461498</v>
      </c>
      <c r="L185" s="16">
        <f t="shared" si="50"/>
        <v>62.999999999999616</v>
      </c>
      <c r="M185" s="16">
        <f t="shared" si="51"/>
        <v>68.064399999999992</v>
      </c>
      <c r="N185" s="16">
        <f t="shared" si="52"/>
        <v>0</v>
      </c>
      <c r="O185" s="16">
        <f t="shared" si="53"/>
        <v>130.7373</v>
      </c>
      <c r="P185" s="16">
        <f t="shared" si="54"/>
        <v>5.9623099399999999</v>
      </c>
      <c r="Q185" s="16">
        <f t="shared" si="55"/>
        <v>3.0346149800000002</v>
      </c>
      <c r="R185" s="16">
        <f t="shared" si="56"/>
        <v>1.9878591999999999</v>
      </c>
      <c r="S185" s="16">
        <f t="shared" si="57"/>
        <v>5.1589290999999999</v>
      </c>
      <c r="T185" s="16">
        <f t="shared" si="58"/>
        <v>1.7716942400000002</v>
      </c>
      <c r="U185" s="16">
        <f t="shared" si="59"/>
        <v>3.3872348599999995</v>
      </c>
      <c r="V185">
        <f t="shared" si="60"/>
        <v>0.22283337935617373</v>
      </c>
      <c r="W185">
        <f t="shared" si="61"/>
        <v>0.33470337812044521</v>
      </c>
      <c r="X185">
        <f t="shared" si="62"/>
        <v>0.4368308915230471</v>
      </c>
      <c r="Y185">
        <f t="shared" si="63"/>
        <v>0.77153426964349237</v>
      </c>
      <c r="Z185" s="14">
        <v>0.25314999999999999</v>
      </c>
      <c r="AA185" s="14">
        <v>0.24854999999999999</v>
      </c>
      <c r="AB185" s="14">
        <v>0.12939999999999999</v>
      </c>
      <c r="AD185">
        <f t="shared" si="64"/>
        <v>74.992574230922003</v>
      </c>
      <c r="AE185" s="14">
        <v>4.7641849999999999E-2</v>
      </c>
      <c r="AF185" s="14">
        <v>0.72962329000000004</v>
      </c>
      <c r="AG185" s="14">
        <v>0.251126532083633</v>
      </c>
      <c r="AH185" s="14">
        <v>1.5632832080200401E-2</v>
      </c>
      <c r="AI185" s="14">
        <v>0.13076923076923</v>
      </c>
      <c r="AJ185" s="14">
        <v>0.11977186311787</v>
      </c>
      <c r="AK185" s="14">
        <v>0</v>
      </c>
      <c r="AL185" s="14">
        <v>1.133519E-2</v>
      </c>
      <c r="AM185" s="14">
        <v>5.7692300000000002E-3</v>
      </c>
      <c r="AN185" s="14">
        <v>3.7791999999999999E-3</v>
      </c>
      <c r="AO185" s="14">
        <v>9.8078499999999999E-3</v>
      </c>
      <c r="AP185" s="14">
        <v>3.3682400000000002E-3</v>
      </c>
      <c r="AQ185" s="14">
        <v>6.4396100000000001E-3</v>
      </c>
    </row>
    <row r="186" spans="1:43">
      <c r="A186" s="14" t="s">
        <v>1183</v>
      </c>
      <c r="B186" s="14" t="s">
        <v>293</v>
      </c>
      <c r="C186" s="14" t="s">
        <v>20</v>
      </c>
      <c r="D186">
        <v>438</v>
      </c>
      <c r="E186">
        <v>478</v>
      </c>
      <c r="F186" s="16">
        <f t="shared" si="44"/>
        <v>110.04233819434999</v>
      </c>
      <c r="G186" s="16">
        <f t="shared" si="45"/>
        <v>63.546584477714134</v>
      </c>
      <c r="H186" s="16">
        <f t="shared" si="46"/>
        <v>20.038677544149099</v>
      </c>
      <c r="I186" s="16">
        <f t="shared" si="47"/>
        <v>3.0859521899958864</v>
      </c>
      <c r="J186" s="16">
        <f t="shared" si="48"/>
        <v>23.08697458</v>
      </c>
      <c r="K186" s="16">
        <f t="shared" si="49"/>
        <v>60.252100840336027</v>
      </c>
      <c r="L186" s="16">
        <f t="shared" si="50"/>
        <v>69.999999999999787</v>
      </c>
      <c r="M186" s="16">
        <f t="shared" si="51"/>
        <v>31.117800000000003</v>
      </c>
      <c r="N186" s="16">
        <f t="shared" si="52"/>
        <v>1.7138976799999999</v>
      </c>
      <c r="O186" s="16">
        <f t="shared" si="53"/>
        <v>113.7162</v>
      </c>
      <c r="P186" s="16">
        <f t="shared" si="54"/>
        <v>6.9264705882352597</v>
      </c>
      <c r="Q186" s="16">
        <f t="shared" si="55"/>
        <v>4.0168060800000003</v>
      </c>
      <c r="R186" s="16">
        <f t="shared" si="56"/>
        <v>0</v>
      </c>
      <c r="S186" s="16">
        <f t="shared" si="57"/>
        <v>2.2316338199999999</v>
      </c>
      <c r="T186" s="16">
        <f t="shared" si="58"/>
        <v>1.0338470799999999</v>
      </c>
      <c r="U186" s="16">
        <f t="shared" si="59"/>
        <v>1.19778674</v>
      </c>
      <c r="V186">
        <f t="shared" si="60"/>
        <v>0.25123821505559357</v>
      </c>
      <c r="W186">
        <f t="shared" si="61"/>
        <v>0.31547010315167401</v>
      </c>
      <c r="X186">
        <f t="shared" si="62"/>
        <v>0.46856094624657535</v>
      </c>
      <c r="Y186">
        <f t="shared" si="63"/>
        <v>0.78403104939824941</v>
      </c>
      <c r="Z186" s="14">
        <v>0.28489999999999999</v>
      </c>
      <c r="AA186" s="14">
        <v>0.2379</v>
      </c>
      <c r="AB186" s="14">
        <v>6.5100000000000005E-2</v>
      </c>
      <c r="AD186">
        <f t="shared" si="64"/>
        <v>86.955363614349992</v>
      </c>
      <c r="AE186" s="14">
        <v>4.8299109999999999E-2</v>
      </c>
      <c r="AF186" s="14">
        <v>0.73079545454545403</v>
      </c>
      <c r="AG186" s="14">
        <v>0.230447860962566</v>
      </c>
      <c r="AH186" s="14">
        <v>3.5488922841863897E-2</v>
      </c>
      <c r="AI186" s="14">
        <v>0.126050420168067</v>
      </c>
      <c r="AJ186" s="14">
        <v>0.14644351464435101</v>
      </c>
      <c r="AK186" s="14">
        <v>3.5855599999999998E-3</v>
      </c>
      <c r="AL186" s="14">
        <v>1.4490524243169999E-2</v>
      </c>
      <c r="AM186" s="14">
        <v>8.4033600000000003E-3</v>
      </c>
      <c r="AN186" s="14">
        <v>0</v>
      </c>
      <c r="AO186" s="14">
        <v>4.6686899999999996E-3</v>
      </c>
      <c r="AP186" s="14">
        <v>2.16286E-3</v>
      </c>
      <c r="AQ186" s="14">
        <v>2.5058300000000001E-3</v>
      </c>
    </row>
    <row r="187" spans="1:43">
      <c r="A187" s="14" t="s">
        <v>1190</v>
      </c>
      <c r="B187" s="14" t="s">
        <v>692</v>
      </c>
      <c r="C187" s="14" t="s">
        <v>34</v>
      </c>
      <c r="D187">
        <v>558</v>
      </c>
      <c r="E187">
        <v>611</v>
      </c>
      <c r="F187" s="16">
        <f t="shared" si="44"/>
        <v>139.32142560598149</v>
      </c>
      <c r="G187" s="16">
        <f t="shared" si="45"/>
        <v>97.605952164095257</v>
      </c>
      <c r="H187" s="16">
        <f t="shared" si="46"/>
        <v>26.68253275947059</v>
      </c>
      <c r="I187" s="16">
        <f t="shared" si="47"/>
        <v>2.1296601333185907</v>
      </c>
      <c r="J187" s="16">
        <f t="shared" si="48"/>
        <v>12.18910784</v>
      </c>
      <c r="K187" s="16">
        <f t="shared" si="49"/>
        <v>66.544554455444981</v>
      </c>
      <c r="L187" s="16">
        <f t="shared" si="50"/>
        <v>59.99999837</v>
      </c>
      <c r="M187" s="16">
        <f t="shared" si="51"/>
        <v>38.798499999999997</v>
      </c>
      <c r="N187" s="16">
        <f t="shared" si="52"/>
        <v>0</v>
      </c>
      <c r="O187" s="16">
        <f t="shared" si="53"/>
        <v>108.42195</v>
      </c>
      <c r="P187" s="16">
        <f t="shared" si="54"/>
        <v>5.0371267699999995</v>
      </c>
      <c r="Q187" s="16">
        <f t="shared" si="55"/>
        <v>5.04125713</v>
      </c>
      <c r="R187" s="16">
        <f t="shared" si="56"/>
        <v>2.88974894</v>
      </c>
      <c r="S187" s="16">
        <f t="shared" si="57"/>
        <v>13.820652173913004</v>
      </c>
      <c r="T187" s="16">
        <f t="shared" si="58"/>
        <v>3.9713839100000001</v>
      </c>
      <c r="U187" s="16">
        <f t="shared" si="59"/>
        <v>9.8492682639130038</v>
      </c>
      <c r="V187">
        <f t="shared" si="60"/>
        <v>0.24967997420426791</v>
      </c>
      <c r="W187">
        <f t="shared" si="61"/>
        <v>0.30432860276530177</v>
      </c>
      <c r="X187">
        <f t="shared" si="62"/>
        <v>0.36938428215590002</v>
      </c>
      <c r="Y187">
        <f t="shared" si="63"/>
        <v>0.67371288492120174</v>
      </c>
      <c r="Z187" s="14">
        <v>0.28734999999999999</v>
      </c>
      <c r="AA187" s="14">
        <v>0.17745</v>
      </c>
      <c r="AB187" s="14">
        <v>6.3500000000000001E-2</v>
      </c>
      <c r="AD187">
        <f t="shared" si="64"/>
        <v>127.1323177659815</v>
      </c>
      <c r="AE187" s="14">
        <v>1.9949439999999999E-2</v>
      </c>
      <c r="AF187" s="14">
        <v>0.76775090613673203</v>
      </c>
      <c r="AG187" s="14">
        <v>0.209880014998125</v>
      </c>
      <c r="AH187" s="14">
        <v>1.67515244804925E-2</v>
      </c>
      <c r="AI187" s="14">
        <v>0.10891089108910799</v>
      </c>
      <c r="AJ187" s="14">
        <v>9.8199670000000003E-2</v>
      </c>
      <c r="AK187" s="14">
        <v>0</v>
      </c>
      <c r="AL187" s="14">
        <v>8.2440699999999992E-3</v>
      </c>
      <c r="AM187" s="14">
        <v>8.2508300000000007E-3</v>
      </c>
      <c r="AN187" s="14">
        <v>4.72954E-3</v>
      </c>
      <c r="AO187" s="14">
        <v>2.2619725325553199E-2</v>
      </c>
      <c r="AP187" s="14">
        <v>6.49981E-3</v>
      </c>
      <c r="AQ187" s="14">
        <v>1.6119916572928501E-2</v>
      </c>
    </row>
    <row r="188" spans="1:43">
      <c r="A188" s="14" t="s">
        <v>1194</v>
      </c>
      <c r="B188" s="14" t="s">
        <v>243</v>
      </c>
      <c r="C188" s="14" t="s">
        <v>20</v>
      </c>
      <c r="D188">
        <v>554</v>
      </c>
      <c r="E188">
        <v>613</v>
      </c>
      <c r="F188" s="16">
        <f t="shared" si="44"/>
        <v>142.68812191692308</v>
      </c>
      <c r="G188" s="16">
        <f t="shared" si="45"/>
        <v>89.749502595187408</v>
      </c>
      <c r="H188" s="16">
        <f t="shared" si="46"/>
        <v>26.064833755795036</v>
      </c>
      <c r="I188" s="16">
        <f t="shared" si="47"/>
        <v>2.0872447025093011</v>
      </c>
      <c r="J188" s="16">
        <f t="shared" si="48"/>
        <v>24.013509060955467</v>
      </c>
      <c r="K188" s="16">
        <f t="shared" si="49"/>
        <v>77.761120263590882</v>
      </c>
      <c r="L188" s="16">
        <f t="shared" si="50"/>
        <v>70.999999999999673</v>
      </c>
      <c r="M188" s="16">
        <f t="shared" si="51"/>
        <v>45.7911</v>
      </c>
      <c r="N188" s="16">
        <f t="shared" si="52"/>
        <v>1.7792754100000001</v>
      </c>
      <c r="O188" s="16">
        <f t="shared" si="53"/>
        <v>146.20050000000001</v>
      </c>
      <c r="P188" s="16">
        <f t="shared" si="54"/>
        <v>8.1711696869851203</v>
      </c>
      <c r="Q188" s="16">
        <f t="shared" si="55"/>
        <v>4.03954127</v>
      </c>
      <c r="R188" s="16">
        <f t="shared" si="56"/>
        <v>0.90000047000000005</v>
      </c>
      <c r="S188" s="16">
        <f t="shared" si="57"/>
        <v>6.1657608695652142</v>
      </c>
      <c r="T188" s="16">
        <f t="shared" si="58"/>
        <v>2.07612679</v>
      </c>
      <c r="U188" s="16">
        <f t="shared" si="59"/>
        <v>4.0896340795652142</v>
      </c>
      <c r="V188">
        <f t="shared" si="60"/>
        <v>0.25755978685365177</v>
      </c>
      <c r="W188">
        <f t="shared" si="61"/>
        <v>0.32765260533003626</v>
      </c>
      <c r="X188">
        <f t="shared" si="62"/>
        <v>0.44078509107965202</v>
      </c>
      <c r="Y188">
        <f t="shared" si="63"/>
        <v>0.76843769640968829</v>
      </c>
      <c r="Z188" s="14">
        <v>0.30599999999999999</v>
      </c>
      <c r="AA188" s="14">
        <v>0.23849999999999999</v>
      </c>
      <c r="AB188" s="14">
        <v>7.4700000000000003E-2</v>
      </c>
      <c r="AD188">
        <f t="shared" si="64"/>
        <v>118.67461285596761</v>
      </c>
      <c r="AE188" s="14">
        <v>3.9173750507268297E-2</v>
      </c>
      <c r="AF188" s="14">
        <v>0.75626539185861197</v>
      </c>
      <c r="AG188" s="14">
        <v>0.21963276836158099</v>
      </c>
      <c r="AH188" s="14">
        <v>1.7587963021565001E-2</v>
      </c>
      <c r="AI188" s="14">
        <v>0.12685337726523799</v>
      </c>
      <c r="AJ188" s="14">
        <v>0.115823817292006</v>
      </c>
      <c r="AK188" s="14">
        <v>2.9025700000000001E-3</v>
      </c>
      <c r="AL188" s="14">
        <v>1.33298037308077E-2</v>
      </c>
      <c r="AM188" s="14">
        <v>6.5897899999999999E-3</v>
      </c>
      <c r="AN188" s="14">
        <v>1.4681900000000001E-3</v>
      </c>
      <c r="AO188" s="14">
        <v>1.00583374707426E-2</v>
      </c>
      <c r="AP188" s="14">
        <v>3.38683E-3</v>
      </c>
      <c r="AQ188" s="14">
        <v>6.6715100000000003E-3</v>
      </c>
    </row>
    <row r="189" spans="1:43">
      <c r="A189" s="14" t="s">
        <v>1202</v>
      </c>
      <c r="B189" s="14" t="s">
        <v>130</v>
      </c>
      <c r="C189" s="14" t="s">
        <v>34</v>
      </c>
      <c r="D189">
        <v>513</v>
      </c>
      <c r="E189">
        <v>569</v>
      </c>
      <c r="F189" s="16">
        <f t="shared" si="44"/>
        <v>136.48630071585299</v>
      </c>
      <c r="G189" s="16">
        <f t="shared" si="45"/>
        <v>94.661143804862078</v>
      </c>
      <c r="H189" s="16">
        <f t="shared" si="46"/>
        <v>25.694225340652949</v>
      </c>
      <c r="I189" s="16">
        <f t="shared" si="47"/>
        <v>1.0016737592000091</v>
      </c>
      <c r="J189" s="16">
        <f t="shared" si="48"/>
        <v>14.992512720000001</v>
      </c>
      <c r="K189" s="16">
        <f t="shared" si="49"/>
        <v>72.012477718359548</v>
      </c>
      <c r="L189" s="16">
        <f t="shared" si="50"/>
        <v>58.000002180000003</v>
      </c>
      <c r="M189" s="16">
        <f t="shared" si="51"/>
        <v>45.292400000000001</v>
      </c>
      <c r="N189" s="16">
        <f t="shared" si="52"/>
        <v>1.75361817</v>
      </c>
      <c r="O189" s="16">
        <f t="shared" si="53"/>
        <v>100.3147</v>
      </c>
      <c r="P189" s="16">
        <f t="shared" si="54"/>
        <v>4.96417222</v>
      </c>
      <c r="Q189" s="16">
        <f t="shared" si="55"/>
        <v>5.0713035399999997</v>
      </c>
      <c r="R189" s="16">
        <f t="shared" si="56"/>
        <v>0.89999868000000005</v>
      </c>
      <c r="S189" s="16">
        <f t="shared" si="57"/>
        <v>16.720853858784817</v>
      </c>
      <c r="T189" s="16">
        <f t="shared" si="58"/>
        <v>4.0252254900000004</v>
      </c>
      <c r="U189" s="16">
        <f t="shared" si="59"/>
        <v>12.695628368784817</v>
      </c>
      <c r="V189">
        <f t="shared" si="60"/>
        <v>0.26605516708743271</v>
      </c>
      <c r="W189">
        <f t="shared" si="61"/>
        <v>0.33355284622222803</v>
      </c>
      <c r="X189">
        <f t="shared" si="62"/>
        <v>0.40745549053366081</v>
      </c>
      <c r="Y189">
        <f t="shared" si="63"/>
        <v>0.74100833675588884</v>
      </c>
      <c r="Z189" s="14">
        <v>0.30164999999999997</v>
      </c>
      <c r="AA189" s="14">
        <v>0.17630000000000001</v>
      </c>
      <c r="AB189" s="14">
        <v>7.9600000000000004E-2</v>
      </c>
      <c r="AD189">
        <f t="shared" si="64"/>
        <v>121.49378799585298</v>
      </c>
      <c r="AE189" s="14">
        <v>2.6348880000000002E-2</v>
      </c>
      <c r="AF189" s="14">
        <v>0.7791439</v>
      </c>
      <c r="AG189" s="14">
        <v>0.211485918453131</v>
      </c>
      <c r="AH189" s="14">
        <v>8.2446499999999992E-3</v>
      </c>
      <c r="AI189" s="14">
        <v>0.12655971479500799</v>
      </c>
      <c r="AJ189" s="14">
        <v>0.10193322</v>
      </c>
      <c r="AK189" s="14">
        <v>3.0819300000000001E-3</v>
      </c>
      <c r="AL189" s="14">
        <v>8.7243800000000003E-3</v>
      </c>
      <c r="AM189" s="14">
        <v>8.9126599999999993E-3</v>
      </c>
      <c r="AN189" s="14">
        <v>1.58172E-3</v>
      </c>
      <c r="AO189" s="14">
        <v>2.9386386395052401E-2</v>
      </c>
      <c r="AP189" s="14">
        <v>7.07421E-3</v>
      </c>
      <c r="AQ189" s="14">
        <v>2.2312180000000001E-2</v>
      </c>
    </row>
    <row r="190" spans="1:43">
      <c r="A190" s="14" t="s">
        <v>1206</v>
      </c>
      <c r="B190" s="14" t="s">
        <v>440</v>
      </c>
      <c r="C190" s="14" t="s">
        <v>49</v>
      </c>
      <c r="D190">
        <v>445</v>
      </c>
      <c r="E190">
        <v>486</v>
      </c>
      <c r="F190" s="16">
        <f t="shared" si="44"/>
        <v>105.85284724255202</v>
      </c>
      <c r="G190" s="16">
        <f t="shared" si="45"/>
        <v>66.166533534318347</v>
      </c>
      <c r="H190" s="16">
        <f t="shared" si="46"/>
        <v>22.792500075164639</v>
      </c>
      <c r="I190" s="16">
        <f t="shared" si="47"/>
        <v>0.41126898684665458</v>
      </c>
      <c r="J190" s="16">
        <f t="shared" si="48"/>
        <v>16.790211359999997</v>
      </c>
      <c r="K190" s="16">
        <f t="shared" si="49"/>
        <v>55.838297872340135</v>
      </c>
      <c r="L190" s="16">
        <f t="shared" si="50"/>
        <v>61.999999999999822</v>
      </c>
      <c r="M190" s="16">
        <f t="shared" si="51"/>
        <v>34.311599999999999</v>
      </c>
      <c r="N190" s="16">
        <f t="shared" si="52"/>
        <v>0.89796276000000008</v>
      </c>
      <c r="O190" s="16">
        <f t="shared" si="53"/>
        <v>102.66749999999999</v>
      </c>
      <c r="P190" s="16">
        <f t="shared" si="54"/>
        <v>2.9919131999999999</v>
      </c>
      <c r="Q190" s="16">
        <f t="shared" si="55"/>
        <v>4.1361710399999998</v>
      </c>
      <c r="R190" s="16">
        <f t="shared" si="56"/>
        <v>0</v>
      </c>
      <c r="S190" s="16">
        <f t="shared" si="57"/>
        <v>10.49999999999998</v>
      </c>
      <c r="T190" s="16">
        <f t="shared" si="58"/>
        <v>2.27718702</v>
      </c>
      <c r="U190" s="16">
        <f t="shared" si="59"/>
        <v>8.222812979999981</v>
      </c>
      <c r="V190">
        <f t="shared" si="60"/>
        <v>0.23787156683719554</v>
      </c>
      <c r="W190">
        <f t="shared" si="61"/>
        <v>0.29742044401290441</v>
      </c>
      <c r="X190">
        <f t="shared" si="62"/>
        <v>0.40482289007907324</v>
      </c>
      <c r="Y190">
        <f t="shared" si="63"/>
        <v>0.70224333409197759</v>
      </c>
      <c r="Z190" s="14">
        <v>0.27015</v>
      </c>
      <c r="AA190" s="14">
        <v>0.21124999999999999</v>
      </c>
      <c r="AB190" s="14">
        <v>7.0599999999999996E-2</v>
      </c>
      <c r="AD190">
        <f t="shared" si="64"/>
        <v>89.062635882552016</v>
      </c>
      <c r="AE190" s="14">
        <v>3.4547759999999997E-2</v>
      </c>
      <c r="AF190" s="14">
        <v>0.74292134831460599</v>
      </c>
      <c r="AG190" s="14">
        <v>0.25591539986781198</v>
      </c>
      <c r="AH190" s="14">
        <v>4.6177500000000003E-3</v>
      </c>
      <c r="AI190" s="14">
        <v>0.114893617021276</v>
      </c>
      <c r="AJ190" s="14">
        <v>0.12757201646090499</v>
      </c>
      <c r="AK190" s="14">
        <v>1.8476600000000001E-3</v>
      </c>
      <c r="AL190" s="14">
        <v>6.1561999999999997E-3</v>
      </c>
      <c r="AM190" s="14">
        <v>8.5106399999999999E-3</v>
      </c>
      <c r="AN190" s="14">
        <v>0</v>
      </c>
      <c r="AO190" s="14">
        <v>2.1604938271604899E-2</v>
      </c>
      <c r="AP190" s="14">
        <v>4.68557E-3</v>
      </c>
      <c r="AQ190" s="14">
        <v>1.6919371396983299E-2</v>
      </c>
    </row>
    <row r="191" spans="1:43">
      <c r="A191" s="14" t="s">
        <v>1211</v>
      </c>
      <c r="B191" s="14" t="s">
        <v>58</v>
      </c>
      <c r="C191" s="14" t="s">
        <v>20</v>
      </c>
      <c r="D191">
        <v>498</v>
      </c>
      <c r="E191">
        <v>577</v>
      </c>
      <c r="F191" s="16">
        <f t="shared" si="44"/>
        <v>116.309014881146</v>
      </c>
      <c r="G191" s="16">
        <f t="shared" si="45"/>
        <v>83.156599962818291</v>
      </c>
      <c r="H191" s="16">
        <f t="shared" si="46"/>
        <v>19.536562526350288</v>
      </c>
      <c r="I191" s="16">
        <f t="shared" si="47"/>
        <v>2.7361026315330661</v>
      </c>
      <c r="J191" s="16">
        <f t="shared" si="48"/>
        <v>12.290475050000001</v>
      </c>
      <c r="K191" s="16">
        <f t="shared" si="49"/>
        <v>64.111111111111043</v>
      </c>
      <c r="L191" s="16">
        <f t="shared" si="50"/>
        <v>54.999997739999998</v>
      </c>
      <c r="M191" s="16">
        <f t="shared" si="51"/>
        <v>57.296100000000003</v>
      </c>
      <c r="N191" s="16">
        <f t="shared" si="52"/>
        <v>0</v>
      </c>
      <c r="O191" s="16">
        <f t="shared" si="53"/>
        <v>97.109099999999998</v>
      </c>
      <c r="P191" s="16">
        <f t="shared" si="54"/>
        <v>11.274603174603133</v>
      </c>
      <c r="Q191" s="16">
        <f t="shared" si="55"/>
        <v>4.0705445899999999</v>
      </c>
      <c r="R191" s="16">
        <f t="shared" si="56"/>
        <v>3.9704639400000001</v>
      </c>
      <c r="S191" s="16">
        <f t="shared" si="57"/>
        <v>11.260033830000001</v>
      </c>
      <c r="T191" s="16">
        <f t="shared" si="58"/>
        <v>3.0952126399999997</v>
      </c>
      <c r="U191" s="16">
        <f t="shared" si="59"/>
        <v>8.1648211900000014</v>
      </c>
      <c r="V191">
        <f t="shared" si="60"/>
        <v>0.23355223871716063</v>
      </c>
      <c r="W191">
        <f t="shared" si="61"/>
        <v>0.33051616474425416</v>
      </c>
      <c r="X191">
        <f t="shared" si="62"/>
        <v>0.36064243596409251</v>
      </c>
      <c r="Y191">
        <f t="shared" si="63"/>
        <v>0.69115860070834667</v>
      </c>
      <c r="Z191" s="14">
        <v>0.26490000000000002</v>
      </c>
      <c r="AA191" s="14">
        <v>0.16830000000000001</v>
      </c>
      <c r="AB191" s="14">
        <v>9.9299999999999999E-2</v>
      </c>
      <c r="AD191">
        <f t="shared" si="64"/>
        <v>104.018539831146</v>
      </c>
      <c r="AE191" s="14">
        <v>2.1300650000000001E-2</v>
      </c>
      <c r="AF191" s="14">
        <v>0.79944017766262598</v>
      </c>
      <c r="AG191" s="14">
        <v>0.18781808087350699</v>
      </c>
      <c r="AH191" s="14">
        <v>2.6303989999999999E-2</v>
      </c>
      <c r="AI191" s="14">
        <v>0.11111111111111099</v>
      </c>
      <c r="AJ191" s="14">
        <v>9.5320619999999995E-2</v>
      </c>
      <c r="AK191" s="14">
        <v>0</v>
      </c>
      <c r="AL191" s="14">
        <v>1.9540040163956902E-2</v>
      </c>
      <c r="AM191" s="14">
        <v>7.0546699999999999E-3</v>
      </c>
      <c r="AN191" s="14">
        <v>6.8812200000000004E-3</v>
      </c>
      <c r="AO191" s="14">
        <v>1.9514790000000001E-2</v>
      </c>
      <c r="AP191" s="14">
        <v>5.3643199999999997E-3</v>
      </c>
      <c r="AQ191" s="14">
        <v>1.4150463187138199E-2</v>
      </c>
    </row>
    <row r="192" spans="1:43">
      <c r="A192" s="14" t="s">
        <v>1219</v>
      </c>
      <c r="B192" s="14" t="s">
        <v>630</v>
      </c>
      <c r="C192" s="14" t="s">
        <v>631</v>
      </c>
      <c r="D192">
        <v>509</v>
      </c>
      <c r="E192">
        <v>580</v>
      </c>
      <c r="F192" s="16">
        <f t="shared" si="44"/>
        <v>123.31165880300016</v>
      </c>
      <c r="G192" s="16">
        <f t="shared" si="45"/>
        <v>72.492524911234156</v>
      </c>
      <c r="H192" s="16">
        <f t="shared" si="46"/>
        <v>28.066679430419811</v>
      </c>
      <c r="I192" s="16">
        <f t="shared" si="47"/>
        <v>1.6713298030255015</v>
      </c>
      <c r="J192" s="16">
        <f t="shared" si="48"/>
        <v>21.837498800000002</v>
      </c>
      <c r="K192" s="16">
        <f t="shared" si="49"/>
        <v>69.479166666666288</v>
      </c>
      <c r="L192" s="16">
        <f t="shared" si="50"/>
        <v>65.999999999999503</v>
      </c>
      <c r="M192" s="16">
        <f t="shared" si="51"/>
        <v>56.491999999999997</v>
      </c>
      <c r="N192" s="16">
        <f t="shared" si="52"/>
        <v>0.1510436</v>
      </c>
      <c r="O192" s="16">
        <f t="shared" si="53"/>
        <v>109.99699999999943</v>
      </c>
      <c r="P192" s="16">
        <f t="shared" si="54"/>
        <v>6.0374984000000005</v>
      </c>
      <c r="Q192" s="16">
        <f t="shared" si="55"/>
        <v>5.0347248000000002</v>
      </c>
      <c r="R192" s="16">
        <f t="shared" si="56"/>
        <v>0</v>
      </c>
      <c r="S192" s="16">
        <f t="shared" si="57"/>
        <v>7.658639</v>
      </c>
      <c r="T192" s="16">
        <f t="shared" si="58"/>
        <v>2.0930459999999997</v>
      </c>
      <c r="U192" s="16">
        <f t="shared" si="59"/>
        <v>5.5655929999999998</v>
      </c>
      <c r="V192">
        <f t="shared" si="60"/>
        <v>0.24226259096856612</v>
      </c>
      <c r="W192">
        <f t="shared" si="61"/>
        <v>0.32591457228912823</v>
      </c>
      <c r="X192">
        <f t="shared" si="62"/>
        <v>0.43416477088634636</v>
      </c>
      <c r="Y192">
        <f t="shared" si="63"/>
        <v>0.76007934317547465</v>
      </c>
      <c r="Z192" s="14">
        <v>0.26550000000000001</v>
      </c>
      <c r="AA192" s="14">
        <v>0.18964999999999901</v>
      </c>
      <c r="AB192" s="14">
        <v>9.74E-2</v>
      </c>
      <c r="AD192">
        <f t="shared" si="64"/>
        <v>101.47416000300015</v>
      </c>
      <c r="AE192" s="14">
        <v>3.7650860000000001E-2</v>
      </c>
      <c r="AF192" s="14">
        <v>0.71439393939393903</v>
      </c>
      <c r="AG192" s="14">
        <v>0.27658942364824701</v>
      </c>
      <c r="AH192" s="14">
        <v>1.6470496557705799E-2</v>
      </c>
      <c r="AI192" s="14">
        <v>0.11979166666666601</v>
      </c>
      <c r="AJ192" s="14">
        <v>0.11379310344827499</v>
      </c>
      <c r="AK192" s="14">
        <v>2.6041999999999998E-4</v>
      </c>
      <c r="AL192" s="14">
        <v>1.040948E-2</v>
      </c>
      <c r="AM192" s="14">
        <v>8.6805600000000004E-3</v>
      </c>
      <c r="AN192" s="14">
        <v>0</v>
      </c>
      <c r="AO192" s="14">
        <v>1.3204550000000001E-2</v>
      </c>
      <c r="AP192" s="14">
        <v>3.6086999999999998E-3</v>
      </c>
      <c r="AQ192" s="14">
        <v>9.5958499999999995E-3</v>
      </c>
    </row>
    <row r="193" spans="1:43">
      <c r="A193" s="14" t="s">
        <v>1226</v>
      </c>
      <c r="B193" s="14" t="s">
        <v>58</v>
      </c>
      <c r="C193" s="14" t="s">
        <v>124</v>
      </c>
      <c r="D193">
        <v>431</v>
      </c>
      <c r="E193">
        <v>476</v>
      </c>
      <c r="F193" s="16">
        <f t="shared" si="44"/>
        <v>115.95047539823014</v>
      </c>
      <c r="G193" s="16">
        <f t="shared" si="45"/>
        <v>73.564930139125977</v>
      </c>
      <c r="H193" s="16">
        <f t="shared" si="46"/>
        <v>23.386495565322083</v>
      </c>
      <c r="I193" s="16">
        <f t="shared" si="47"/>
        <v>0.1512036938081403</v>
      </c>
      <c r="J193" s="16">
        <f t="shared" si="48"/>
        <v>18.171975920000001</v>
      </c>
      <c r="K193" s="16">
        <f t="shared" si="49"/>
        <v>58.615711252653654</v>
      </c>
      <c r="L193" s="16">
        <f t="shared" si="50"/>
        <v>62.999999999999723</v>
      </c>
      <c r="M193" s="16">
        <f t="shared" si="51"/>
        <v>34.985999999999997</v>
      </c>
      <c r="N193" s="16">
        <f t="shared" si="52"/>
        <v>0.15159172000000001</v>
      </c>
      <c r="O193" s="16">
        <f t="shared" si="53"/>
        <v>89.797399999999527</v>
      </c>
      <c r="P193" s="16">
        <f t="shared" si="54"/>
        <v>4.0382174000000006</v>
      </c>
      <c r="Q193" s="16">
        <f t="shared" si="55"/>
        <v>4.0424633199999995</v>
      </c>
      <c r="R193" s="16">
        <f t="shared" si="56"/>
        <v>0</v>
      </c>
      <c r="S193" s="16">
        <f t="shared" si="57"/>
        <v>6.9027777777777279</v>
      </c>
      <c r="T193" s="16">
        <f t="shared" si="58"/>
        <v>2.0776686</v>
      </c>
      <c r="U193" s="16">
        <f t="shared" si="59"/>
        <v>4.825109177777728</v>
      </c>
      <c r="V193">
        <f t="shared" si="60"/>
        <v>0.26902662505389824</v>
      </c>
      <c r="W193">
        <f t="shared" si="61"/>
        <v>0.32992952987985197</v>
      </c>
      <c r="X193">
        <f t="shared" si="62"/>
        <v>0.44890820424871125</v>
      </c>
      <c r="Y193">
        <f t="shared" si="63"/>
        <v>0.77883773412856327</v>
      </c>
      <c r="Z193" s="14">
        <v>0.29894999999999999</v>
      </c>
      <c r="AA193" s="14">
        <v>0.18864999999999901</v>
      </c>
      <c r="AB193" s="14">
        <v>7.3499999999999996E-2</v>
      </c>
      <c r="AD193">
        <f t="shared" si="64"/>
        <v>97.778499478230145</v>
      </c>
      <c r="AE193" s="14">
        <v>3.8176420000000003E-2</v>
      </c>
      <c r="AF193" s="14">
        <v>0.75236305048335095</v>
      </c>
      <c r="AG193" s="14">
        <v>0.239178302900107</v>
      </c>
      <c r="AH193" s="14">
        <v>1.5463899999999999E-3</v>
      </c>
      <c r="AI193" s="14">
        <v>0.12314225053078499</v>
      </c>
      <c r="AJ193" s="14">
        <v>0.13235294117647001</v>
      </c>
      <c r="AK193" s="14">
        <v>3.1847000000000001E-4</v>
      </c>
      <c r="AL193" s="14">
        <v>8.4836500000000006E-3</v>
      </c>
      <c r="AM193" s="14">
        <v>8.4925699999999996E-3</v>
      </c>
      <c r="AN193" s="14">
        <v>0</v>
      </c>
      <c r="AO193" s="14">
        <v>1.4501633986927999E-2</v>
      </c>
      <c r="AP193" s="14">
        <v>4.36485E-3</v>
      </c>
      <c r="AQ193" s="14">
        <v>1.0136781249716601E-2</v>
      </c>
    </row>
    <row r="194" spans="1:43">
      <c r="A194" s="14" t="s">
        <v>1232</v>
      </c>
      <c r="B194" s="14" t="s">
        <v>293</v>
      </c>
      <c r="C194" s="14" t="s">
        <v>34</v>
      </c>
      <c r="D194">
        <v>294</v>
      </c>
      <c r="E194">
        <v>333</v>
      </c>
      <c r="F194" s="16">
        <f t="shared" si="44"/>
        <v>74.734664304654956</v>
      </c>
      <c r="G194" s="16">
        <f t="shared" si="45"/>
        <v>47.2537654170143</v>
      </c>
      <c r="H194" s="16">
        <f t="shared" si="46"/>
        <v>15.409007456385066</v>
      </c>
      <c r="I194" s="16">
        <f t="shared" si="47"/>
        <v>1.8203293939729515</v>
      </c>
      <c r="J194" s="16">
        <f t="shared" si="48"/>
        <v>9.3249999999999655</v>
      </c>
      <c r="K194" s="16">
        <f t="shared" si="49"/>
        <v>41.111111111110851</v>
      </c>
      <c r="L194" s="16">
        <f t="shared" si="50"/>
        <v>39.999999999999957</v>
      </c>
      <c r="M194" s="16">
        <f t="shared" si="51"/>
        <v>30.136499999999998</v>
      </c>
      <c r="N194" s="16">
        <f t="shared" si="52"/>
        <v>0.15416568</v>
      </c>
      <c r="O194" s="16">
        <f t="shared" si="53"/>
        <v>47.502450000000003</v>
      </c>
      <c r="P194" s="16">
        <f t="shared" si="54"/>
        <v>2.05000128</v>
      </c>
      <c r="Q194" s="16">
        <f t="shared" si="55"/>
        <v>3.0833335800000001</v>
      </c>
      <c r="R194" s="16">
        <f t="shared" si="56"/>
        <v>0.99514385999999999</v>
      </c>
      <c r="S194" s="16">
        <f t="shared" si="57"/>
        <v>6.9150014099999995</v>
      </c>
      <c r="T194" s="16">
        <f t="shared" si="58"/>
        <v>2.0925253799999997</v>
      </c>
      <c r="U194" s="16">
        <f t="shared" si="59"/>
        <v>4.8224760299999998</v>
      </c>
      <c r="V194">
        <f t="shared" si="60"/>
        <v>0.25419953845120735</v>
      </c>
      <c r="W194">
        <f t="shared" si="61"/>
        <v>0.32707341299763965</v>
      </c>
      <c r="X194">
        <f t="shared" si="62"/>
        <v>0.41099581126429641</v>
      </c>
      <c r="Y194">
        <f t="shared" si="63"/>
        <v>0.738069224261936</v>
      </c>
      <c r="Z194" s="14">
        <v>0.27224999999999999</v>
      </c>
      <c r="AA194" s="14">
        <v>0.14265</v>
      </c>
      <c r="AB194" s="14">
        <v>9.0499999999999997E-2</v>
      </c>
      <c r="AD194">
        <f t="shared" si="64"/>
        <v>65.409664304654996</v>
      </c>
      <c r="AE194" s="14">
        <v>2.8003003003002899E-2</v>
      </c>
      <c r="AF194" s="14">
        <v>0.72242788461538399</v>
      </c>
      <c r="AG194" s="14">
        <v>0.23557692307692299</v>
      </c>
      <c r="AH194" s="14">
        <v>2.7829670329670299E-2</v>
      </c>
      <c r="AI194" s="14">
        <v>0.12345679012345601</v>
      </c>
      <c r="AJ194" s="14">
        <v>0.12012012012011999</v>
      </c>
      <c r="AK194" s="14">
        <v>4.6296E-4</v>
      </c>
      <c r="AL194" s="14">
        <v>6.1561599999999999E-3</v>
      </c>
      <c r="AM194" s="14">
        <v>9.2592600000000001E-3</v>
      </c>
      <c r="AN194" s="14">
        <v>2.9884199999999999E-3</v>
      </c>
      <c r="AO194" s="14">
        <v>2.0765769999999999E-2</v>
      </c>
      <c r="AP194" s="14">
        <v>6.2838599999999996E-3</v>
      </c>
      <c r="AQ194" s="14">
        <v>1.44819018306562E-2</v>
      </c>
    </row>
    <row r="195" spans="1:43">
      <c r="A195" s="14" t="s">
        <v>1238</v>
      </c>
      <c r="B195" s="14" t="s">
        <v>123</v>
      </c>
      <c r="C195" s="14" t="s">
        <v>20</v>
      </c>
      <c r="D195">
        <v>110</v>
      </c>
      <c r="E195">
        <v>123</v>
      </c>
      <c r="F195" s="16">
        <f t="shared" ref="F195:F220" si="65">J195+AD195</f>
        <v>24.344473404959921</v>
      </c>
      <c r="G195" s="16">
        <f t="shared" ref="G195:G220" si="66">$AD195*AF195</f>
        <v>14.045814472223295</v>
      </c>
      <c r="H195" s="16">
        <f t="shared" ref="H195:H220" si="67">$AD195*AG195</f>
        <v>4.7560585504010229</v>
      </c>
      <c r="I195" s="16">
        <f t="shared" ref="I195:I220" si="68">$AD195*AH195</f>
        <v>0</v>
      </c>
      <c r="J195" s="16">
        <f t="shared" ref="J195:J220" si="69">$E195*AE195</f>
        <v>5.5673071800000002</v>
      </c>
      <c r="K195" s="16">
        <f t="shared" ref="K195:K220" si="70">$E195*AI195</f>
        <v>14.192307692307645</v>
      </c>
      <c r="L195" s="16">
        <f t="shared" ref="L195:L220" si="71">$E195*AJ195</f>
        <v>15.999999999999984</v>
      </c>
      <c r="M195" s="16">
        <f t="shared" ref="M195:M220" si="72">$E195*AB195</f>
        <v>11.229900000000001</v>
      </c>
      <c r="N195" s="16">
        <f t="shared" ref="N195:N220" si="73">$E195*AK195</f>
        <v>0</v>
      </c>
      <c r="O195" s="16">
        <f t="shared" ref="O195:O220" si="74">$E195*AA195</f>
        <v>27.853350000000002</v>
      </c>
      <c r="P195" s="16">
        <f t="shared" ref="P195:P220" si="75">$E195*AL195</f>
        <v>1.6192310399999998</v>
      </c>
      <c r="Q195" s="16">
        <f t="shared" ref="Q195:Q220" si="76">$E195*AM195</f>
        <v>0.78846198000000001</v>
      </c>
      <c r="R195" s="16">
        <f t="shared" ref="R195:R220" si="77">$E195*AN195</f>
        <v>0</v>
      </c>
      <c r="S195" s="16">
        <f t="shared" ref="S195:S220" si="78">$E195*AO195</f>
        <v>0</v>
      </c>
      <c r="T195" s="16">
        <f t="shared" ref="T195:T220" si="79">$E195*AP195</f>
        <v>0</v>
      </c>
      <c r="U195" s="16">
        <f t="shared" ref="U195:U220" si="80">S195-T195</f>
        <v>0</v>
      </c>
      <c r="V195">
        <f t="shared" ref="V195:V220" si="81">F195/D195</f>
        <v>0.22131339459054472</v>
      </c>
      <c r="W195">
        <f t="shared" ref="W195:W220" si="82">(F195+M195+N195+P195)/(D195+M195+N195+Q195)</f>
        <v>0.30481973238631344</v>
      </c>
      <c r="X195">
        <f t="shared" ref="X195:X220" si="83">(G195+H195*2+I195*3+J195*4)/D195</f>
        <v>0.41661054811841219</v>
      </c>
      <c r="Y195">
        <f t="shared" ref="Y195:Y220" si="84">W195+X195</f>
        <v>0.72143028050472569</v>
      </c>
      <c r="Z195" s="14">
        <v>0.242699999999999</v>
      </c>
      <c r="AA195" s="14">
        <v>0.22645000000000001</v>
      </c>
      <c r="AB195" s="14">
        <v>9.1300000000000006E-2</v>
      </c>
      <c r="AD195">
        <f t="shared" ref="AD195:AD220" si="85">(D195-J195-O195+Q195)*Z195</f>
        <v>18.77716622495992</v>
      </c>
      <c r="AE195" s="14">
        <v>4.5262660000000003E-2</v>
      </c>
      <c r="AF195" s="14">
        <v>0.74802631578947298</v>
      </c>
      <c r="AG195" s="14">
        <v>0.25328947368421001</v>
      </c>
      <c r="AH195" s="14">
        <v>0</v>
      </c>
      <c r="AI195" s="14">
        <v>0.115384615384615</v>
      </c>
      <c r="AJ195" s="14">
        <v>0.13008130081300801</v>
      </c>
      <c r="AK195" s="14">
        <v>0</v>
      </c>
      <c r="AL195" s="14">
        <v>1.3164479999999999E-2</v>
      </c>
      <c r="AM195" s="14">
        <v>6.4102600000000001E-3</v>
      </c>
      <c r="AN195" s="14">
        <v>0</v>
      </c>
      <c r="AO195" s="14">
        <v>0</v>
      </c>
      <c r="AP195" s="14">
        <v>0</v>
      </c>
      <c r="AQ195" s="14">
        <v>0</v>
      </c>
    </row>
    <row r="196" spans="1:43">
      <c r="A196" s="14" t="s">
        <v>1244</v>
      </c>
      <c r="B196" s="14" t="s">
        <v>257</v>
      </c>
      <c r="C196" s="14" t="s">
        <v>20</v>
      </c>
      <c r="D196">
        <v>447</v>
      </c>
      <c r="E196">
        <v>505</v>
      </c>
      <c r="F196" s="16">
        <f t="shared" si="65"/>
        <v>108.08352516405999</v>
      </c>
      <c r="G196" s="16">
        <f t="shared" si="66"/>
        <v>60.810607973582158</v>
      </c>
      <c r="H196" s="16">
        <f t="shared" si="67"/>
        <v>23.307141596111418</v>
      </c>
      <c r="I196" s="16">
        <f t="shared" si="68"/>
        <v>1.0171224511678287</v>
      </c>
      <c r="J196" s="16">
        <f t="shared" si="69"/>
        <v>22.118328349999999</v>
      </c>
      <c r="K196" s="16">
        <f t="shared" si="70"/>
        <v>62.370517928286588</v>
      </c>
      <c r="L196" s="16">
        <f t="shared" si="71"/>
        <v>69.999999999999687</v>
      </c>
      <c r="M196" s="16">
        <f t="shared" si="72"/>
        <v>49.944499999999998</v>
      </c>
      <c r="N196" s="16">
        <f t="shared" si="73"/>
        <v>3.2827777500000002</v>
      </c>
      <c r="O196" s="16">
        <f t="shared" si="74"/>
        <v>124.2805</v>
      </c>
      <c r="P196" s="16">
        <f t="shared" si="75"/>
        <v>2.91613765</v>
      </c>
      <c r="Q196" s="16">
        <f t="shared" si="76"/>
        <v>4.0239056500000006</v>
      </c>
      <c r="R196" s="16">
        <f t="shared" si="77"/>
        <v>0.90000089999999999</v>
      </c>
      <c r="S196" s="16">
        <f t="shared" si="78"/>
        <v>8.4372586872586339</v>
      </c>
      <c r="T196" s="16">
        <f t="shared" si="79"/>
        <v>2.8372112</v>
      </c>
      <c r="U196" s="16">
        <f t="shared" si="80"/>
        <v>5.6000474872586334</v>
      </c>
      <c r="V196">
        <f t="shared" si="81"/>
        <v>0.24179759544532436</v>
      </c>
      <c r="W196">
        <f t="shared" si="82"/>
        <v>0.32568478958587999</v>
      </c>
      <c r="X196">
        <f t="shared" si="83"/>
        <v>0.44507734210136124</v>
      </c>
      <c r="Y196">
        <f t="shared" si="84"/>
        <v>0.77076213168724128</v>
      </c>
      <c r="Z196" s="14">
        <v>0.28220000000000001</v>
      </c>
      <c r="AA196" s="14">
        <v>0.24610000000000001</v>
      </c>
      <c r="AB196" s="14">
        <v>9.8900000000000002E-2</v>
      </c>
      <c r="AD196">
        <f t="shared" si="85"/>
        <v>85.965196814059993</v>
      </c>
      <c r="AE196" s="14">
        <v>4.3798669999999998E-2</v>
      </c>
      <c r="AF196" s="14">
        <v>0.70738636363636298</v>
      </c>
      <c r="AG196" s="14">
        <v>0.27112299465240602</v>
      </c>
      <c r="AH196" s="14">
        <v>1.1831793433426699E-2</v>
      </c>
      <c r="AI196" s="14">
        <v>0.123505976095617</v>
      </c>
      <c r="AJ196" s="14">
        <v>0.13861386138613799</v>
      </c>
      <c r="AK196" s="14">
        <v>6.5005499999999999E-3</v>
      </c>
      <c r="AL196" s="14">
        <v>5.7745299999999999E-3</v>
      </c>
      <c r="AM196" s="14">
        <v>7.9681300000000004E-3</v>
      </c>
      <c r="AN196" s="14">
        <v>1.78218E-3</v>
      </c>
      <c r="AO196" s="14">
        <v>1.6707442945066601E-2</v>
      </c>
      <c r="AP196" s="14">
        <v>5.61824E-3</v>
      </c>
      <c r="AQ196" s="14">
        <v>1.108921E-2</v>
      </c>
    </row>
    <row r="197" spans="1:43">
      <c r="A197" s="14" t="s">
        <v>1248</v>
      </c>
      <c r="B197" s="14" t="s">
        <v>489</v>
      </c>
      <c r="C197" s="14" t="s">
        <v>648</v>
      </c>
      <c r="D197">
        <v>516</v>
      </c>
      <c r="E197">
        <v>563</v>
      </c>
      <c r="F197" s="16">
        <f t="shared" si="65"/>
        <v>140.70949328498449</v>
      </c>
      <c r="G197" s="16">
        <f t="shared" si="66"/>
        <v>100.04435493860146</v>
      </c>
      <c r="H197" s="16">
        <f t="shared" si="67"/>
        <v>26.306639761020534</v>
      </c>
      <c r="I197" s="16">
        <f t="shared" si="68"/>
        <v>2.4528416405258908</v>
      </c>
      <c r="J197" s="16">
        <f t="shared" si="69"/>
        <v>12.235206080000001</v>
      </c>
      <c r="K197" s="16">
        <f t="shared" si="70"/>
        <v>66.415607985480392</v>
      </c>
      <c r="L197" s="16">
        <f t="shared" si="71"/>
        <v>59.999999999999794</v>
      </c>
      <c r="M197" s="16">
        <f t="shared" si="72"/>
        <v>37.101700000000001</v>
      </c>
      <c r="N197" s="16">
        <f t="shared" si="73"/>
        <v>1.0998824300000001</v>
      </c>
      <c r="O197" s="16">
        <f t="shared" si="74"/>
        <v>85.378950000000003</v>
      </c>
      <c r="P197" s="16">
        <f t="shared" si="75"/>
        <v>4.0784001500000002</v>
      </c>
      <c r="Q197" s="16">
        <f t="shared" si="76"/>
        <v>4.85344847</v>
      </c>
      <c r="R197" s="16">
        <f t="shared" si="77"/>
        <v>0.99244514000000006</v>
      </c>
      <c r="S197" s="16">
        <f t="shared" si="78"/>
        <v>16.160098650000002</v>
      </c>
      <c r="T197" s="16">
        <f t="shared" si="79"/>
        <v>4.9108238000000002</v>
      </c>
      <c r="U197" s="16">
        <f t="shared" si="80"/>
        <v>11.249274850000003</v>
      </c>
      <c r="V197">
        <f t="shared" si="81"/>
        <v>0.27269281644376842</v>
      </c>
      <c r="W197">
        <f t="shared" si="82"/>
        <v>0.3273192543682098</v>
      </c>
      <c r="X197">
        <f t="shared" si="83"/>
        <v>0.40495539477174458</v>
      </c>
      <c r="Y197">
        <f t="shared" si="84"/>
        <v>0.73227464913995433</v>
      </c>
      <c r="Z197" s="14">
        <v>0.30354999999999999</v>
      </c>
      <c r="AA197" s="14">
        <v>0.15165000000000001</v>
      </c>
      <c r="AB197" s="14">
        <v>6.59E-2</v>
      </c>
      <c r="AD197">
        <f t="shared" si="85"/>
        <v>128.47428720498448</v>
      </c>
      <c r="AE197" s="14">
        <v>2.173216E-2</v>
      </c>
      <c r="AF197" s="14">
        <v>0.77871111111111102</v>
      </c>
      <c r="AG197" s="14">
        <v>0.20476190476190401</v>
      </c>
      <c r="AH197" s="14">
        <v>1.9092082111436901E-2</v>
      </c>
      <c r="AI197" s="14">
        <v>0.117967332123411</v>
      </c>
      <c r="AJ197" s="14">
        <v>0.106571936056838</v>
      </c>
      <c r="AK197" s="14">
        <v>1.9536100000000002E-3</v>
      </c>
      <c r="AL197" s="14">
        <v>7.2440500000000001E-3</v>
      </c>
      <c r="AM197" s="14">
        <v>8.6206900000000003E-3</v>
      </c>
      <c r="AN197" s="14">
        <v>1.76278E-3</v>
      </c>
      <c r="AO197" s="14">
        <v>2.8703550000000001E-2</v>
      </c>
      <c r="AP197" s="14">
        <v>8.7226000000000005E-3</v>
      </c>
      <c r="AQ197" s="14">
        <v>1.9980950000000001E-2</v>
      </c>
    </row>
    <row r="198" spans="1:43">
      <c r="A198" s="14" t="s">
        <v>1254</v>
      </c>
      <c r="B198" s="14" t="s">
        <v>48</v>
      </c>
      <c r="C198" s="14" t="s">
        <v>124</v>
      </c>
      <c r="D198">
        <v>484</v>
      </c>
      <c r="E198">
        <v>549</v>
      </c>
      <c r="F198" s="16">
        <f t="shared" si="65"/>
        <v>112.93463258329101</v>
      </c>
      <c r="G198" s="16">
        <f t="shared" si="66"/>
        <v>64.851495499099798</v>
      </c>
      <c r="H198" s="16">
        <f t="shared" si="67"/>
        <v>23.501926986246325</v>
      </c>
      <c r="I198" s="16">
        <f t="shared" si="68"/>
        <v>1.0754713814503662</v>
      </c>
      <c r="J198" s="16">
        <f t="shared" si="69"/>
        <v>24.478965720000001</v>
      </c>
      <c r="K198" s="16">
        <f t="shared" si="70"/>
        <v>61.787822878228447</v>
      </c>
      <c r="L198" s="16">
        <f t="shared" si="71"/>
        <v>73.999999999999901</v>
      </c>
      <c r="M198" s="16">
        <f t="shared" si="72"/>
        <v>51.935400000000001</v>
      </c>
      <c r="N198" s="16">
        <f t="shared" si="73"/>
        <v>2.1608145899999998</v>
      </c>
      <c r="O198" s="16">
        <f t="shared" si="74"/>
        <v>129.39929999999998</v>
      </c>
      <c r="P198" s="16">
        <f t="shared" si="75"/>
        <v>6.069744</v>
      </c>
      <c r="Q198" s="16">
        <f t="shared" si="76"/>
        <v>5.0645744099999996</v>
      </c>
      <c r="R198" s="16">
        <f t="shared" si="77"/>
        <v>0</v>
      </c>
      <c r="S198" s="16">
        <f t="shared" si="78"/>
        <v>2.0523157200000002</v>
      </c>
      <c r="T198" s="16">
        <f t="shared" si="79"/>
        <v>0.33232616999999998</v>
      </c>
      <c r="U198" s="16">
        <f t="shared" si="80"/>
        <v>1.7199895500000002</v>
      </c>
      <c r="V198">
        <f t="shared" si="81"/>
        <v>0.23333601773407234</v>
      </c>
      <c r="W198">
        <f t="shared" si="82"/>
        <v>0.31869125069205062</v>
      </c>
      <c r="X198">
        <f t="shared" si="83"/>
        <v>0.44007774069409827</v>
      </c>
      <c r="Y198">
        <f t="shared" si="84"/>
        <v>0.75876899138614884</v>
      </c>
      <c r="Z198" s="14">
        <v>0.26390000000000002</v>
      </c>
      <c r="AA198" s="14">
        <v>0.23569999999999999</v>
      </c>
      <c r="AB198" s="14">
        <v>9.4600000000000004E-2</v>
      </c>
      <c r="AD198">
        <f t="shared" si="85"/>
        <v>88.455666863291</v>
      </c>
      <c r="AE198" s="14">
        <v>4.4588280000000001E-2</v>
      </c>
      <c r="AF198" s="14">
        <v>0.733152524861164</v>
      </c>
      <c r="AG198" s="14">
        <v>0.26569159240604401</v>
      </c>
      <c r="AH198" s="14">
        <v>1.21583095757168E-2</v>
      </c>
      <c r="AI198" s="14">
        <v>0.112546125461254</v>
      </c>
      <c r="AJ198" s="14">
        <v>0.13479052823315099</v>
      </c>
      <c r="AK198" s="14">
        <v>3.9359099999999999E-3</v>
      </c>
      <c r="AL198" s="14">
        <v>1.1056E-2</v>
      </c>
      <c r="AM198" s="14">
        <v>9.22509E-3</v>
      </c>
      <c r="AN198" s="14">
        <v>0</v>
      </c>
      <c r="AO198" s="14">
        <v>3.7382800000000001E-3</v>
      </c>
      <c r="AP198" s="14">
        <v>6.0532999999999995E-4</v>
      </c>
      <c r="AQ198" s="14">
        <v>3.1329499999999998E-3</v>
      </c>
    </row>
    <row r="199" spans="1:43">
      <c r="A199" s="14" t="s">
        <v>1260</v>
      </c>
      <c r="B199" s="14" t="s">
        <v>19</v>
      </c>
      <c r="C199" s="14" t="s">
        <v>20</v>
      </c>
      <c r="D199">
        <v>214</v>
      </c>
      <c r="E199">
        <v>240</v>
      </c>
      <c r="F199" s="16">
        <f t="shared" si="65"/>
        <v>51.801120029160003</v>
      </c>
      <c r="G199" s="16">
        <f t="shared" si="66"/>
        <v>33.027108031991474</v>
      </c>
      <c r="H199" s="16">
        <f t="shared" si="67"/>
        <v>9.7165386889698322</v>
      </c>
      <c r="I199" s="16">
        <f t="shared" si="68"/>
        <v>0.1340595495907532</v>
      </c>
      <c r="J199" s="16">
        <f t="shared" si="69"/>
        <v>8.0082696000000002</v>
      </c>
      <c r="K199" s="16">
        <f t="shared" si="70"/>
        <v>31.578948</v>
      </c>
      <c r="L199" s="16">
        <f t="shared" si="71"/>
        <v>25.999999999999922</v>
      </c>
      <c r="M199" s="16">
        <f t="shared" si="72"/>
        <v>22.32</v>
      </c>
      <c r="N199" s="16">
        <f t="shared" si="73"/>
        <v>0.2353392</v>
      </c>
      <c r="O199" s="16">
        <f t="shared" si="74"/>
        <v>60.419999999999995</v>
      </c>
      <c r="P199" s="16">
        <f t="shared" si="75"/>
        <v>1.7240592000000001</v>
      </c>
      <c r="Q199" s="16">
        <f t="shared" si="76"/>
        <v>1.8045119999999999</v>
      </c>
      <c r="R199" s="16">
        <f t="shared" si="77"/>
        <v>0</v>
      </c>
      <c r="S199" s="16">
        <f t="shared" si="78"/>
        <v>10.9285704</v>
      </c>
      <c r="T199" s="16">
        <f t="shared" si="79"/>
        <v>2.0084735999999999</v>
      </c>
      <c r="U199" s="16">
        <f t="shared" si="80"/>
        <v>8.9200967999999996</v>
      </c>
      <c r="V199">
        <f t="shared" si="81"/>
        <v>0.24206130854747665</v>
      </c>
      <c r="W199">
        <f t="shared" si="82"/>
        <v>0.31918344488864159</v>
      </c>
      <c r="X199">
        <f t="shared" si="83"/>
        <v>0.39670767504067012</v>
      </c>
      <c r="Y199">
        <f t="shared" si="84"/>
        <v>0.71589111992931165</v>
      </c>
      <c r="Z199" s="14">
        <v>0.29715000000000003</v>
      </c>
      <c r="AA199" s="14">
        <v>0.25174999999999997</v>
      </c>
      <c r="AB199" s="14">
        <v>9.2999999999999999E-2</v>
      </c>
      <c r="AD199">
        <f t="shared" si="85"/>
        <v>43.792850429160005</v>
      </c>
      <c r="AE199" s="14">
        <v>3.3367790000000001E-2</v>
      </c>
      <c r="AF199" s="14">
        <v>0.75416666666666599</v>
      </c>
      <c r="AG199" s="14">
        <v>0.22187499999999899</v>
      </c>
      <c r="AH199" s="14">
        <v>3.0612199999999999E-3</v>
      </c>
      <c r="AI199" s="14">
        <v>0.13157895</v>
      </c>
      <c r="AJ199" s="14">
        <v>0.108333333333333</v>
      </c>
      <c r="AK199" s="14">
        <v>9.8057999999999999E-4</v>
      </c>
      <c r="AL199" s="14">
        <v>7.1835800000000002E-3</v>
      </c>
      <c r="AM199" s="14">
        <v>7.5188E-3</v>
      </c>
      <c r="AN199" s="14">
        <v>0</v>
      </c>
      <c r="AO199" s="14">
        <v>4.553571E-2</v>
      </c>
      <c r="AP199" s="14">
        <v>8.3686400000000001E-3</v>
      </c>
      <c r="AQ199" s="14">
        <v>3.7167070000000003E-2</v>
      </c>
    </row>
    <row r="200" spans="1:43">
      <c r="A200" s="14" t="s">
        <v>1266</v>
      </c>
      <c r="B200" s="14" t="s">
        <v>248</v>
      </c>
      <c r="C200" s="14" t="s">
        <v>20</v>
      </c>
      <c r="D200">
        <v>495</v>
      </c>
      <c r="E200">
        <v>542</v>
      </c>
      <c r="F200" s="16">
        <f t="shared" si="65"/>
        <v>130.85665144911655</v>
      </c>
      <c r="G200" s="16">
        <f t="shared" si="66"/>
        <v>88.523207402844164</v>
      </c>
      <c r="H200" s="16">
        <f t="shared" si="67"/>
        <v>29.303126476496271</v>
      </c>
      <c r="I200" s="16">
        <f t="shared" si="68"/>
        <v>7.7766503030561536</v>
      </c>
      <c r="J200" s="16">
        <f t="shared" si="69"/>
        <v>8.3400742115027313</v>
      </c>
      <c r="K200" s="16">
        <f t="shared" si="70"/>
        <v>60.333949500000003</v>
      </c>
      <c r="L200" s="16">
        <f t="shared" si="71"/>
        <v>58.999999999999666</v>
      </c>
      <c r="M200" s="16">
        <f t="shared" si="72"/>
        <v>34.254400000000004</v>
      </c>
      <c r="N200" s="16">
        <f t="shared" si="73"/>
        <v>0.15083317999999998</v>
      </c>
      <c r="O200" s="16">
        <f t="shared" si="74"/>
        <v>96.611499999999992</v>
      </c>
      <c r="P200" s="16">
        <f t="shared" si="75"/>
        <v>5.1250490200000005</v>
      </c>
      <c r="Q200" s="16">
        <f t="shared" si="76"/>
        <v>4.0222632999999997</v>
      </c>
      <c r="R200" s="16">
        <f t="shared" si="77"/>
        <v>0.99801170000000006</v>
      </c>
      <c r="S200" s="16">
        <f t="shared" si="78"/>
        <v>14.17540687160934</v>
      </c>
      <c r="T200" s="16">
        <f t="shared" si="79"/>
        <v>4.9625303199999999</v>
      </c>
      <c r="U200" s="16">
        <f t="shared" si="80"/>
        <v>9.2128765516093409</v>
      </c>
      <c r="V200">
        <f t="shared" si="81"/>
        <v>0.26435687161437688</v>
      </c>
      <c r="W200">
        <f t="shared" si="82"/>
        <v>0.31941910526448641</v>
      </c>
      <c r="X200">
        <f t="shared" si="83"/>
        <v>0.41175698608286077</v>
      </c>
      <c r="Y200">
        <f t="shared" si="84"/>
        <v>0.73117609134734718</v>
      </c>
      <c r="Z200" s="14">
        <v>0.31090000000000001</v>
      </c>
      <c r="AA200" s="14">
        <v>0.17824999999999999</v>
      </c>
      <c r="AB200" s="14">
        <v>6.3200000000000006E-2</v>
      </c>
      <c r="AD200">
        <f t="shared" si="85"/>
        <v>122.51657723761382</v>
      </c>
      <c r="AE200" s="14">
        <v>1.53875907961305E-2</v>
      </c>
      <c r="AF200" s="14">
        <v>0.72254065040650395</v>
      </c>
      <c r="AG200" s="14">
        <v>0.23917682926829201</v>
      </c>
      <c r="AH200" s="14">
        <v>6.3474269999999999E-2</v>
      </c>
      <c r="AI200" s="14">
        <v>0.11131725000000001</v>
      </c>
      <c r="AJ200" s="14">
        <v>0.10885608856088499</v>
      </c>
      <c r="AK200" s="14">
        <v>2.7828999999999999E-4</v>
      </c>
      <c r="AL200" s="14">
        <v>9.4558100000000003E-3</v>
      </c>
      <c r="AM200" s="14">
        <v>7.4211499999999996E-3</v>
      </c>
      <c r="AN200" s="14">
        <v>1.8413500000000001E-3</v>
      </c>
      <c r="AO200" s="14">
        <v>2.6153887216991401E-2</v>
      </c>
      <c r="AP200" s="14">
        <v>9.1559599999999994E-3</v>
      </c>
      <c r="AQ200" s="14">
        <v>1.6997931563475201E-2</v>
      </c>
    </row>
    <row r="201" spans="1:43">
      <c r="A201" s="14" t="s">
        <v>1274</v>
      </c>
      <c r="B201" s="14" t="s">
        <v>130</v>
      </c>
      <c r="C201" s="14" t="s">
        <v>20</v>
      </c>
      <c r="D201">
        <v>463</v>
      </c>
      <c r="E201">
        <v>512</v>
      </c>
      <c r="F201" s="16">
        <f t="shared" si="65"/>
        <v>112.10980087513616</v>
      </c>
      <c r="G201" s="16">
        <f t="shared" si="66"/>
        <v>68.696959821399929</v>
      </c>
      <c r="H201" s="16">
        <f t="shared" si="67"/>
        <v>20.568723436961161</v>
      </c>
      <c r="I201" s="16">
        <f t="shared" si="68"/>
        <v>2.9701167542367126</v>
      </c>
      <c r="J201" s="16">
        <f t="shared" si="69"/>
        <v>19.271429120000001</v>
      </c>
      <c r="K201" s="16">
        <f t="shared" si="70"/>
        <v>66.031746031745541</v>
      </c>
      <c r="L201" s="16">
        <f t="shared" si="71"/>
        <v>64</v>
      </c>
      <c r="M201" s="16">
        <f t="shared" si="72"/>
        <v>36.351999999999997</v>
      </c>
      <c r="N201" s="16">
        <f t="shared" si="73"/>
        <v>0.93809664000000004</v>
      </c>
      <c r="O201" s="16">
        <f t="shared" si="74"/>
        <v>137.9839999999995</v>
      </c>
      <c r="P201" s="16">
        <f t="shared" si="75"/>
        <v>10.04285952</v>
      </c>
      <c r="Q201" s="16">
        <f t="shared" si="76"/>
        <v>3.0476185600000001</v>
      </c>
      <c r="R201" s="16">
        <f t="shared" si="77"/>
        <v>0</v>
      </c>
      <c r="S201" s="16">
        <f t="shared" si="78"/>
        <v>8.5142857142856698</v>
      </c>
      <c r="T201" s="16">
        <f t="shared" si="79"/>
        <v>2.8304998399999999</v>
      </c>
      <c r="U201" s="16">
        <f t="shared" si="80"/>
        <v>5.6837858742856699</v>
      </c>
      <c r="V201">
        <f t="shared" si="81"/>
        <v>0.24213779886638478</v>
      </c>
      <c r="W201">
        <f t="shared" si="82"/>
        <v>0.31677093176254828</v>
      </c>
      <c r="X201">
        <f t="shared" si="83"/>
        <v>0.42295998582728384</v>
      </c>
      <c r="Y201">
        <f t="shared" si="84"/>
        <v>0.73973091758983212</v>
      </c>
      <c r="Z201" s="14">
        <v>0.30064999999999997</v>
      </c>
      <c r="AA201" s="14">
        <v>0.26949999999999902</v>
      </c>
      <c r="AB201" s="14">
        <v>7.0999999999999994E-2</v>
      </c>
      <c r="AD201">
        <f t="shared" si="85"/>
        <v>92.838371755136151</v>
      </c>
      <c r="AE201" s="14">
        <v>3.7639510000000001E-2</v>
      </c>
      <c r="AF201" s="14">
        <v>0.73996299722479097</v>
      </c>
      <c r="AG201" s="14">
        <v>0.22155411655874099</v>
      </c>
      <c r="AH201" s="14">
        <v>3.1992340000000001E-2</v>
      </c>
      <c r="AI201" s="14">
        <v>0.12896825396825301</v>
      </c>
      <c r="AJ201" s="14">
        <v>0.125</v>
      </c>
      <c r="AK201" s="14">
        <v>1.8322200000000001E-3</v>
      </c>
      <c r="AL201" s="14">
        <v>1.9614960000000001E-2</v>
      </c>
      <c r="AM201" s="14">
        <v>5.9523800000000002E-3</v>
      </c>
      <c r="AN201" s="14">
        <v>0</v>
      </c>
      <c r="AO201" s="14">
        <v>1.6629464285714199E-2</v>
      </c>
      <c r="AP201" s="14">
        <v>5.5283199999999998E-3</v>
      </c>
      <c r="AQ201" s="14">
        <v>1.11011461876417E-2</v>
      </c>
    </row>
    <row r="202" spans="1:43">
      <c r="A202" s="14" t="s">
        <v>1334</v>
      </c>
      <c r="B202" s="14" t="s">
        <v>156</v>
      </c>
      <c r="C202" s="14" t="s">
        <v>124</v>
      </c>
      <c r="D202">
        <v>485</v>
      </c>
      <c r="E202">
        <v>533</v>
      </c>
      <c r="F202" s="16">
        <f t="shared" si="65"/>
        <v>123.454950831912</v>
      </c>
      <c r="G202" s="16">
        <f t="shared" si="66"/>
        <v>77.395892040129297</v>
      </c>
      <c r="H202" s="16">
        <f t="shared" si="67"/>
        <v>24.053469834709201</v>
      </c>
      <c r="I202" s="16">
        <f t="shared" si="68"/>
        <v>0.86949020128239285</v>
      </c>
      <c r="J202" s="16">
        <f t="shared" si="69"/>
        <v>20.978975940000002</v>
      </c>
      <c r="K202" s="16">
        <f t="shared" si="70"/>
        <v>58.549242424241974</v>
      </c>
      <c r="L202" s="16">
        <f t="shared" si="71"/>
        <v>72.999999999999716</v>
      </c>
      <c r="M202" s="16">
        <f t="shared" si="72"/>
        <v>36.1907</v>
      </c>
      <c r="N202" s="16">
        <f t="shared" si="73"/>
        <v>0</v>
      </c>
      <c r="O202" s="16">
        <f t="shared" si="74"/>
        <v>105.61395</v>
      </c>
      <c r="P202" s="16">
        <f t="shared" si="75"/>
        <v>6.9596590909090175</v>
      </c>
      <c r="Q202" s="16">
        <f t="shared" si="76"/>
        <v>5.0473501000000001</v>
      </c>
      <c r="R202" s="16">
        <f t="shared" si="77"/>
        <v>0.90000247999999994</v>
      </c>
      <c r="S202" s="16">
        <f t="shared" si="78"/>
        <v>0.23794719</v>
      </c>
      <c r="T202" s="16">
        <f t="shared" si="79"/>
        <v>0</v>
      </c>
      <c r="U202" s="16">
        <f t="shared" si="80"/>
        <v>0.23794719</v>
      </c>
      <c r="V202">
        <f t="shared" si="81"/>
        <v>0.25454629037507631</v>
      </c>
      <c r="W202">
        <f t="shared" si="82"/>
        <v>0.31659685173119151</v>
      </c>
      <c r="X202">
        <f t="shared" si="83"/>
        <v>0.43716949705854619</v>
      </c>
      <c r="Y202">
        <f t="shared" si="84"/>
        <v>0.75376634878973769</v>
      </c>
      <c r="Z202" s="14">
        <v>0.28194999999999998</v>
      </c>
      <c r="AA202" s="14">
        <v>0.19814999999999999</v>
      </c>
      <c r="AB202" s="14">
        <v>6.7900000000000002E-2</v>
      </c>
      <c r="AD202">
        <f t="shared" si="85"/>
        <v>102.475974891912</v>
      </c>
      <c r="AE202" s="14">
        <v>3.9360180000000002E-2</v>
      </c>
      <c r="AF202" s="14">
        <v>0.75525889967637505</v>
      </c>
      <c r="AG202" s="14">
        <v>0.23472301541976001</v>
      </c>
      <c r="AH202" s="14">
        <v>8.4848200000000006E-3</v>
      </c>
      <c r="AI202" s="14">
        <v>0.109848484848484</v>
      </c>
      <c r="AJ202" s="14">
        <v>0.136960600375234</v>
      </c>
      <c r="AK202" s="14">
        <v>0</v>
      </c>
      <c r="AL202" s="14">
        <v>1.3057521746545999E-2</v>
      </c>
      <c r="AM202" s="14">
        <v>9.4696999999999993E-3</v>
      </c>
      <c r="AN202" s="14">
        <v>1.68856E-3</v>
      </c>
      <c r="AO202" s="14">
        <v>4.4642999999999999E-4</v>
      </c>
      <c r="AP202" s="14">
        <v>0</v>
      </c>
      <c r="AQ202" s="14">
        <v>4.4642999999999999E-4</v>
      </c>
    </row>
    <row r="203" spans="1:43">
      <c r="A203" s="14" t="s">
        <v>1335</v>
      </c>
      <c r="B203" s="14" t="s">
        <v>376</v>
      </c>
      <c r="C203" s="14" t="s">
        <v>20</v>
      </c>
      <c r="D203">
        <v>446</v>
      </c>
      <c r="E203">
        <v>478</v>
      </c>
      <c r="F203" s="16">
        <f t="shared" si="65"/>
        <v>114.04973018576402</v>
      </c>
      <c r="G203" s="16">
        <f t="shared" si="66"/>
        <v>65.614523592457459</v>
      </c>
      <c r="H203" s="16">
        <f t="shared" si="67"/>
        <v>23.884721085128199</v>
      </c>
      <c r="I203" s="16">
        <f t="shared" si="68"/>
        <v>5.1472385735159047</v>
      </c>
      <c r="J203" s="16">
        <f t="shared" si="69"/>
        <v>20.075631940000001</v>
      </c>
      <c r="K203" s="16">
        <f t="shared" si="70"/>
        <v>61.256302521008081</v>
      </c>
      <c r="L203" s="16">
        <f t="shared" si="71"/>
        <v>64.999999999999829</v>
      </c>
      <c r="M203" s="16">
        <f t="shared" si="72"/>
        <v>26.863600000000002</v>
      </c>
      <c r="N203" s="16">
        <f t="shared" si="73"/>
        <v>0.98226131999999999</v>
      </c>
      <c r="O203" s="16">
        <f t="shared" si="74"/>
        <v>117.9704</v>
      </c>
      <c r="P203" s="16">
        <f t="shared" si="75"/>
        <v>4.0151282999999998</v>
      </c>
      <c r="Q203" s="16">
        <f t="shared" si="76"/>
        <v>3.0126045599999998</v>
      </c>
      <c r="R203" s="16">
        <f t="shared" si="77"/>
        <v>0</v>
      </c>
      <c r="S203" s="16">
        <f t="shared" si="78"/>
        <v>9.1887756400000011</v>
      </c>
      <c r="T203" s="16">
        <f t="shared" si="79"/>
        <v>3.0837213999999999</v>
      </c>
      <c r="U203" s="16">
        <f t="shared" si="80"/>
        <v>6.1050542400000012</v>
      </c>
      <c r="V203">
        <f t="shared" si="81"/>
        <v>0.25571688382458302</v>
      </c>
      <c r="W203">
        <f t="shared" si="82"/>
        <v>0.30598328486524545</v>
      </c>
      <c r="X203">
        <f t="shared" si="83"/>
        <v>0.46889733014184209</v>
      </c>
      <c r="Y203">
        <f t="shared" si="84"/>
        <v>0.77488061500708749</v>
      </c>
      <c r="Z203" s="14">
        <v>0.30220000000000002</v>
      </c>
      <c r="AA203" s="14">
        <v>0.24679999999999999</v>
      </c>
      <c r="AB203" s="14">
        <v>5.62E-2</v>
      </c>
      <c r="AD203">
        <f t="shared" si="85"/>
        <v>93.974098245764011</v>
      </c>
      <c r="AE203" s="14">
        <v>4.1999229999999999E-2</v>
      </c>
      <c r="AF203" s="14">
        <v>0.69821924144310799</v>
      </c>
      <c r="AG203" s="14">
        <v>0.25416281221091502</v>
      </c>
      <c r="AH203" s="14">
        <v>5.4772949883005899E-2</v>
      </c>
      <c r="AI203" s="14">
        <v>0.128151260504201</v>
      </c>
      <c r="AJ203" s="14">
        <v>0.13598326359832599</v>
      </c>
      <c r="AK203" s="14">
        <v>2.0549399999999999E-3</v>
      </c>
      <c r="AL203" s="14">
        <v>8.3998500000000004E-3</v>
      </c>
      <c r="AM203" s="14">
        <v>6.3025199999999998E-3</v>
      </c>
      <c r="AN203" s="14">
        <v>0</v>
      </c>
      <c r="AO203" s="14">
        <v>1.9223380000000002E-2</v>
      </c>
      <c r="AP203" s="14">
        <v>6.4513000000000001E-3</v>
      </c>
      <c r="AQ203" s="14">
        <v>1.27720807112374E-2</v>
      </c>
    </row>
    <row r="204" spans="1:43">
      <c r="A204" s="14" t="s">
        <v>1336</v>
      </c>
      <c r="B204" s="14" t="s">
        <v>404</v>
      </c>
      <c r="C204" s="14" t="s">
        <v>124</v>
      </c>
      <c r="D204">
        <v>423</v>
      </c>
      <c r="E204">
        <v>483</v>
      </c>
      <c r="F204" s="16">
        <f t="shared" si="65"/>
        <v>106.06938414637169</v>
      </c>
      <c r="G204" s="16">
        <f t="shared" si="66"/>
        <v>72.076583252223401</v>
      </c>
      <c r="H204" s="16">
        <f t="shared" si="67"/>
        <v>22.92991237167562</v>
      </c>
      <c r="I204" s="16">
        <f t="shared" si="68"/>
        <v>1.0024506735102385</v>
      </c>
      <c r="J204" s="16">
        <f t="shared" si="69"/>
        <v>10.2515784</v>
      </c>
      <c r="K204" s="16">
        <f t="shared" si="70"/>
        <v>51.858947368420772</v>
      </c>
      <c r="L204" s="16">
        <f t="shared" si="71"/>
        <v>51.999999999999787</v>
      </c>
      <c r="M204" s="16">
        <f t="shared" si="72"/>
        <v>49.507499999999517</v>
      </c>
      <c r="N204" s="16">
        <f t="shared" si="73"/>
        <v>0.98139803999999986</v>
      </c>
      <c r="O204" s="16">
        <f t="shared" si="74"/>
        <v>87.205649999999991</v>
      </c>
      <c r="P204" s="16">
        <f t="shared" si="75"/>
        <v>5.0757890400000001</v>
      </c>
      <c r="Q204" s="16">
        <f t="shared" si="76"/>
        <v>3.0505265700000002</v>
      </c>
      <c r="R204" s="16">
        <f t="shared" si="77"/>
        <v>0.89999804999999999</v>
      </c>
      <c r="S204" s="16">
        <f t="shared" si="78"/>
        <v>1.9859172899999999</v>
      </c>
      <c r="T204" s="16">
        <f t="shared" si="79"/>
        <v>1.02257379</v>
      </c>
      <c r="U204" s="16">
        <f t="shared" si="80"/>
        <v>0.96334349999999991</v>
      </c>
      <c r="V204">
        <f t="shared" si="81"/>
        <v>0.25075504526329007</v>
      </c>
      <c r="W204">
        <f t="shared" si="82"/>
        <v>0.33918299909530619</v>
      </c>
      <c r="X204">
        <f t="shared" si="83"/>
        <v>0.38286069412790863</v>
      </c>
      <c r="Y204">
        <f t="shared" si="84"/>
        <v>0.72204369322321482</v>
      </c>
      <c r="Z204" s="14">
        <v>0.29159999999999903</v>
      </c>
      <c r="AA204" s="14">
        <v>0.18054999999999999</v>
      </c>
      <c r="AB204" s="14">
        <v>0.10249999999999899</v>
      </c>
      <c r="AD204">
        <f t="shared" si="85"/>
        <v>95.81780574637169</v>
      </c>
      <c r="AE204" s="14">
        <v>2.1224799999999999E-2</v>
      </c>
      <c r="AF204" s="14">
        <v>0.75222535822839698</v>
      </c>
      <c r="AG204" s="14">
        <v>0.23930742509769801</v>
      </c>
      <c r="AH204" s="14">
        <v>1.0462049988534601E-2</v>
      </c>
      <c r="AI204" s="14">
        <v>0.107368421052631</v>
      </c>
      <c r="AJ204" s="14">
        <v>0.107660455486542</v>
      </c>
      <c r="AK204" s="14">
        <v>2.0318799999999998E-3</v>
      </c>
      <c r="AL204" s="14">
        <v>1.050888E-2</v>
      </c>
      <c r="AM204" s="14">
        <v>6.3157899999999999E-3</v>
      </c>
      <c r="AN204" s="14">
        <v>1.8633499999999999E-3</v>
      </c>
      <c r="AO204" s="14">
        <v>4.1116299999999998E-3</v>
      </c>
      <c r="AP204" s="14">
        <v>2.1171300000000001E-3</v>
      </c>
      <c r="AQ204" s="14">
        <v>1.9945000000000002E-3</v>
      </c>
    </row>
    <row r="205" spans="1:43">
      <c r="A205" s="14" t="s">
        <v>1337</v>
      </c>
      <c r="B205" s="14" t="s">
        <v>376</v>
      </c>
      <c r="C205" s="14" t="s">
        <v>20</v>
      </c>
      <c r="D205">
        <v>477</v>
      </c>
      <c r="E205">
        <v>524</v>
      </c>
      <c r="F205" s="16">
        <f t="shared" si="65"/>
        <v>121.55418117759001</v>
      </c>
      <c r="G205" s="16">
        <f t="shared" si="66"/>
        <v>76.944269739047371</v>
      </c>
      <c r="H205" s="16">
        <f t="shared" si="67"/>
        <v>25.340927159566494</v>
      </c>
      <c r="I205" s="16">
        <f t="shared" si="68"/>
        <v>3.0698417311993924</v>
      </c>
      <c r="J205" s="16">
        <f t="shared" si="69"/>
        <v>16.094969160000002</v>
      </c>
      <c r="K205" s="16">
        <f t="shared" si="70"/>
        <v>66.89361702127654</v>
      </c>
      <c r="L205" s="16">
        <f t="shared" si="71"/>
        <v>56.999999999999751</v>
      </c>
      <c r="M205" s="16">
        <f t="shared" si="72"/>
        <v>39.771599999999999</v>
      </c>
      <c r="N205" s="16">
        <f t="shared" si="73"/>
        <v>0</v>
      </c>
      <c r="O205" s="16">
        <f t="shared" si="74"/>
        <v>145.7244</v>
      </c>
      <c r="P205" s="16">
        <f t="shared" si="75"/>
        <v>3.9487434800000001</v>
      </c>
      <c r="Q205" s="16">
        <f t="shared" si="76"/>
        <v>4.05415656</v>
      </c>
      <c r="R205" s="16">
        <f t="shared" si="77"/>
        <v>0</v>
      </c>
      <c r="S205" s="16">
        <f t="shared" si="78"/>
        <v>15.97678571428564</v>
      </c>
      <c r="T205" s="16">
        <f t="shared" si="79"/>
        <v>4.9490856799999996</v>
      </c>
      <c r="U205" s="16">
        <f t="shared" si="80"/>
        <v>11.02770003428564</v>
      </c>
      <c r="V205">
        <f t="shared" si="81"/>
        <v>0.25483056850647801</v>
      </c>
      <c r="W205">
        <f t="shared" si="82"/>
        <v>0.31733170369532232</v>
      </c>
      <c r="X205">
        <f t="shared" si="83"/>
        <v>0.42183548404985022</v>
      </c>
      <c r="Y205">
        <f t="shared" si="84"/>
        <v>0.73916718774517254</v>
      </c>
      <c r="Z205" s="14">
        <v>0.33034999999999998</v>
      </c>
      <c r="AA205" s="14">
        <v>0.27810000000000001</v>
      </c>
      <c r="AB205" s="14">
        <v>7.5899999999999995E-2</v>
      </c>
      <c r="AD205">
        <f t="shared" si="85"/>
        <v>105.45921201759</v>
      </c>
      <c r="AE205" s="14">
        <v>3.0715590000000001E-2</v>
      </c>
      <c r="AF205" s="14">
        <v>0.72961165048543597</v>
      </c>
      <c r="AG205" s="14">
        <v>0.240291262135922</v>
      </c>
      <c r="AH205" s="14">
        <v>2.9109280000000001E-2</v>
      </c>
      <c r="AI205" s="14">
        <v>0.12765957446808501</v>
      </c>
      <c r="AJ205" s="14">
        <v>0.108778625954198</v>
      </c>
      <c r="AK205" s="14">
        <v>0</v>
      </c>
      <c r="AL205" s="14">
        <v>7.5357699999999998E-3</v>
      </c>
      <c r="AM205" s="14">
        <v>7.7369400000000003E-3</v>
      </c>
      <c r="AN205" s="14">
        <v>0</v>
      </c>
      <c r="AO205" s="14">
        <v>3.0490049073064199E-2</v>
      </c>
      <c r="AP205" s="14">
        <v>9.4448199999999996E-3</v>
      </c>
      <c r="AQ205" s="14">
        <v>2.10452310039951E-2</v>
      </c>
    </row>
    <row r="206" spans="1:43">
      <c r="A206" s="14" t="s">
        <v>1338</v>
      </c>
      <c r="B206" s="14" t="s">
        <v>404</v>
      </c>
      <c r="C206" s="14" t="s">
        <v>20</v>
      </c>
      <c r="D206">
        <v>294</v>
      </c>
      <c r="E206">
        <v>314</v>
      </c>
      <c r="F206" s="16">
        <f t="shared" si="65"/>
        <v>78.45432678633999</v>
      </c>
      <c r="G206" s="16">
        <f t="shared" si="66"/>
        <v>61.510118926181164</v>
      </c>
      <c r="H206" s="16">
        <f t="shared" si="67"/>
        <v>14.019230844877509</v>
      </c>
      <c r="I206" s="16">
        <f t="shared" si="68"/>
        <v>1.6593251846492512</v>
      </c>
      <c r="J206" s="16">
        <f t="shared" si="69"/>
        <v>1.12052156</v>
      </c>
      <c r="K206" s="16">
        <f t="shared" si="70"/>
        <v>34.775244299674128</v>
      </c>
      <c r="L206" s="16">
        <f t="shared" si="71"/>
        <v>27.99999858</v>
      </c>
      <c r="M206" s="16">
        <f t="shared" si="72"/>
        <v>13.784599999999967</v>
      </c>
      <c r="N206" s="16">
        <f t="shared" si="73"/>
        <v>0</v>
      </c>
      <c r="O206" s="16">
        <f t="shared" si="74"/>
        <v>52.6892</v>
      </c>
      <c r="P206" s="16">
        <f t="shared" si="75"/>
        <v>3.0615628000000004</v>
      </c>
      <c r="Q206" s="16">
        <f t="shared" si="76"/>
        <v>2.0456032400000002</v>
      </c>
      <c r="R206" s="16">
        <f t="shared" si="77"/>
        <v>0.99154606000000001</v>
      </c>
      <c r="S206" s="16">
        <f t="shared" si="78"/>
        <v>12.95408256</v>
      </c>
      <c r="T206" s="16">
        <f t="shared" si="79"/>
        <v>3.207317073170707</v>
      </c>
      <c r="U206" s="16">
        <f t="shared" si="80"/>
        <v>9.7467654868292932</v>
      </c>
      <c r="V206">
        <f t="shared" si="81"/>
        <v>0.26685145165421764</v>
      </c>
      <c r="W206">
        <f t="shared" si="82"/>
        <v>0.30758941055374939</v>
      </c>
      <c r="X206">
        <f t="shared" si="83"/>
        <v>0.33676408982953721</v>
      </c>
      <c r="Y206">
        <f t="shared" si="84"/>
        <v>0.64435350038328654</v>
      </c>
      <c r="Z206" s="14">
        <v>0.31924999999999998</v>
      </c>
      <c r="AA206" s="14">
        <v>0.1678</v>
      </c>
      <c r="AB206" s="14">
        <v>4.3899999999999897E-2</v>
      </c>
      <c r="AD206">
        <f t="shared" si="85"/>
        <v>77.33380522633999</v>
      </c>
      <c r="AE206" s="14">
        <v>3.5685399999999998E-3</v>
      </c>
      <c r="AF206" s="14">
        <v>0.79538461538461502</v>
      </c>
      <c r="AG206" s="14">
        <v>0.18128205128205099</v>
      </c>
      <c r="AH206" s="14">
        <v>2.1456660250879299E-2</v>
      </c>
      <c r="AI206" s="14">
        <v>0.11074918566775201</v>
      </c>
      <c r="AJ206" s="14">
        <v>8.9171970000000003E-2</v>
      </c>
      <c r="AK206" s="14">
        <v>0</v>
      </c>
      <c r="AL206" s="14">
        <v>9.7502000000000005E-3</v>
      </c>
      <c r="AM206" s="14">
        <v>6.5146600000000002E-3</v>
      </c>
      <c r="AN206" s="14">
        <v>3.1577900000000002E-3</v>
      </c>
      <c r="AO206" s="14">
        <v>4.125504E-2</v>
      </c>
      <c r="AP206" s="14">
        <v>1.0214385583346201E-2</v>
      </c>
      <c r="AQ206" s="14">
        <v>3.10406514633195E-2</v>
      </c>
    </row>
    <row r="207" spans="1:43">
      <c r="A207" s="14" t="s">
        <v>1339</v>
      </c>
      <c r="B207" s="14" t="s">
        <v>101</v>
      </c>
      <c r="C207" s="14" t="s">
        <v>20</v>
      </c>
      <c r="D207">
        <v>400</v>
      </c>
      <c r="E207">
        <v>450</v>
      </c>
      <c r="F207" s="16">
        <f t="shared" si="65"/>
        <v>91.730214129850111</v>
      </c>
      <c r="G207" s="16">
        <f t="shared" si="66"/>
        <v>55.591803279458063</v>
      </c>
      <c r="H207" s="16">
        <f t="shared" si="67"/>
        <v>17.338314537884873</v>
      </c>
      <c r="I207" s="16">
        <f t="shared" si="68"/>
        <v>1.893441349523463</v>
      </c>
      <c r="J207" s="16">
        <f t="shared" si="69"/>
        <v>16.837218</v>
      </c>
      <c r="K207" s="16">
        <f t="shared" si="70"/>
        <v>59.529149999999994</v>
      </c>
      <c r="L207" s="16">
        <f t="shared" si="71"/>
        <v>48.999999999999595</v>
      </c>
      <c r="M207" s="16">
        <f t="shared" si="72"/>
        <v>40.814999999999998</v>
      </c>
      <c r="N207" s="16">
        <f t="shared" si="73"/>
        <v>0.15134399999999998</v>
      </c>
      <c r="O207" s="16">
        <f t="shared" si="74"/>
        <v>102.12749999999956</v>
      </c>
      <c r="P207" s="16">
        <f t="shared" si="75"/>
        <v>4.0322880000000003</v>
      </c>
      <c r="Q207" s="16">
        <f t="shared" si="76"/>
        <v>3.026907</v>
      </c>
      <c r="R207" s="16">
        <f t="shared" si="77"/>
        <v>1.9890765000000001</v>
      </c>
      <c r="S207" s="16">
        <f t="shared" si="78"/>
        <v>19.685925000000001</v>
      </c>
      <c r="T207" s="16">
        <f t="shared" si="79"/>
        <v>4.1029425000000002</v>
      </c>
      <c r="U207" s="16">
        <f t="shared" si="80"/>
        <v>15.5829825</v>
      </c>
      <c r="V207">
        <f t="shared" si="81"/>
        <v>0.22932553532462527</v>
      </c>
      <c r="W207">
        <f t="shared" si="82"/>
        <v>0.30795253266102035</v>
      </c>
      <c r="X207">
        <f t="shared" si="83"/>
        <v>0.4082440710094955</v>
      </c>
      <c r="Y207">
        <f t="shared" si="84"/>
        <v>0.71619660367051585</v>
      </c>
      <c r="Z207" s="14">
        <v>0.26365</v>
      </c>
      <c r="AA207" s="14">
        <v>0.22694999999999901</v>
      </c>
      <c r="AB207" s="14">
        <v>9.0700000000000003E-2</v>
      </c>
      <c r="AD207">
        <f t="shared" si="85"/>
        <v>74.892996129850118</v>
      </c>
      <c r="AE207" s="14">
        <v>3.7416039999999998E-2</v>
      </c>
      <c r="AF207" s="14">
        <v>0.74228307254623005</v>
      </c>
      <c r="AG207" s="14">
        <v>0.231507823613086</v>
      </c>
      <c r="AH207" s="14">
        <v>2.5281954887217999E-2</v>
      </c>
      <c r="AI207" s="14">
        <v>0.13228699999999999</v>
      </c>
      <c r="AJ207" s="14">
        <v>0.10888888888888799</v>
      </c>
      <c r="AK207" s="14">
        <v>3.3631999999999998E-4</v>
      </c>
      <c r="AL207" s="14">
        <v>8.9606400000000006E-3</v>
      </c>
      <c r="AM207" s="14">
        <v>6.7264600000000001E-3</v>
      </c>
      <c r="AN207" s="14">
        <v>4.4201700000000002E-3</v>
      </c>
      <c r="AO207" s="14">
        <v>4.3746500000000001E-2</v>
      </c>
      <c r="AP207" s="14">
        <v>9.1176499999999997E-3</v>
      </c>
      <c r="AQ207" s="14">
        <v>3.4628850000000003E-2</v>
      </c>
    </row>
    <row r="208" spans="1:43">
      <c r="A208" s="14" t="s">
        <v>1340</v>
      </c>
      <c r="B208" s="14" t="s">
        <v>116</v>
      </c>
      <c r="C208" s="14" t="s">
        <v>20</v>
      </c>
      <c r="D208">
        <v>372</v>
      </c>
      <c r="E208">
        <v>409</v>
      </c>
      <c r="F208" s="16">
        <f t="shared" si="65"/>
        <v>98.799124277545005</v>
      </c>
      <c r="G208" s="16">
        <f t="shared" si="66"/>
        <v>74.213304957663695</v>
      </c>
      <c r="H208" s="16">
        <f t="shared" si="67"/>
        <v>17.45997960930741</v>
      </c>
      <c r="I208" s="16">
        <f t="shared" si="68"/>
        <v>2.1995493646057733</v>
      </c>
      <c r="J208" s="16">
        <f t="shared" si="69"/>
        <v>5.1594940999999999</v>
      </c>
      <c r="K208" s="16">
        <f t="shared" si="70"/>
        <v>49.701265822784748</v>
      </c>
      <c r="L208" s="16">
        <f t="shared" si="71"/>
        <v>36.000000039999996</v>
      </c>
      <c r="M208" s="16">
        <f t="shared" si="72"/>
        <v>26.462299999999999</v>
      </c>
      <c r="N208" s="16">
        <f t="shared" si="73"/>
        <v>0.15531775</v>
      </c>
      <c r="O208" s="16">
        <f t="shared" si="74"/>
        <v>84.724350000000001</v>
      </c>
      <c r="P208" s="16">
        <f t="shared" si="75"/>
        <v>2.0637976400000002</v>
      </c>
      <c r="Q208" s="16">
        <f t="shared" si="76"/>
        <v>2.0708856099999999</v>
      </c>
      <c r="R208" s="16">
        <f t="shared" si="77"/>
        <v>4.1747079899999999</v>
      </c>
      <c r="S208" s="16">
        <f t="shared" si="78"/>
        <v>22.247072380000002</v>
      </c>
      <c r="T208" s="16">
        <f t="shared" si="79"/>
        <v>5.1178929765885925</v>
      </c>
      <c r="U208" s="16">
        <f t="shared" si="80"/>
        <v>17.12917940341141</v>
      </c>
      <c r="V208">
        <f t="shared" si="81"/>
        <v>0.26558904375684139</v>
      </c>
      <c r="W208">
        <f t="shared" si="82"/>
        <v>0.31815372439825074</v>
      </c>
      <c r="X208">
        <f t="shared" si="83"/>
        <v>0.36658572223144043</v>
      </c>
      <c r="Y208">
        <f t="shared" si="84"/>
        <v>0.68473944662969122</v>
      </c>
      <c r="Z208" s="14">
        <v>0.32950000000000002</v>
      </c>
      <c r="AA208" s="14">
        <v>0.20715</v>
      </c>
      <c r="AB208" s="14">
        <v>6.4699999999999994E-2</v>
      </c>
      <c r="AD208">
        <f t="shared" si="85"/>
        <v>93.639630177545001</v>
      </c>
      <c r="AE208" s="14">
        <v>1.26149E-2</v>
      </c>
      <c r="AF208" s="14">
        <v>0.79254162812210904</v>
      </c>
      <c r="AG208" s="14">
        <v>0.18645929694727001</v>
      </c>
      <c r="AH208" s="14">
        <v>2.3489513579190002E-2</v>
      </c>
      <c r="AI208" s="14">
        <v>0.12151898734177199</v>
      </c>
      <c r="AJ208" s="14">
        <v>8.8019559999999997E-2</v>
      </c>
      <c r="AK208" s="14">
        <v>3.7974999999999999E-4</v>
      </c>
      <c r="AL208" s="14">
        <v>5.0459600000000004E-3</v>
      </c>
      <c r="AM208" s="14">
        <v>5.0632899999999998E-3</v>
      </c>
      <c r="AN208" s="14">
        <v>1.020711E-2</v>
      </c>
      <c r="AO208" s="14">
        <v>5.4393820000000002E-2</v>
      </c>
      <c r="AP208" s="14">
        <v>1.25131857618303E-2</v>
      </c>
      <c r="AQ208" s="14">
        <v>4.1880630000000002E-2</v>
      </c>
    </row>
    <row r="209" spans="1:43">
      <c r="A209" s="14" t="s">
        <v>1341</v>
      </c>
      <c r="B209" s="14" t="s">
        <v>214</v>
      </c>
      <c r="C209" s="14" t="s">
        <v>20</v>
      </c>
      <c r="D209">
        <v>428</v>
      </c>
      <c r="E209">
        <v>471</v>
      </c>
      <c r="F209" s="16">
        <f t="shared" si="65"/>
        <v>99.192898963795983</v>
      </c>
      <c r="G209" s="16">
        <f t="shared" si="66"/>
        <v>63.30754289467076</v>
      </c>
      <c r="H209" s="16">
        <f t="shared" si="67"/>
        <v>20.723870124701477</v>
      </c>
      <c r="I209" s="16">
        <f t="shared" si="68"/>
        <v>2.0233081327345941</v>
      </c>
      <c r="J209" s="16">
        <f t="shared" si="69"/>
        <v>12.215879549999999</v>
      </c>
      <c r="K209" s="16">
        <f t="shared" si="70"/>
        <v>56.600858369098482</v>
      </c>
      <c r="L209" s="16">
        <f t="shared" si="71"/>
        <v>48.999999999999766</v>
      </c>
      <c r="M209" s="16">
        <f t="shared" si="72"/>
        <v>37.397399999999998</v>
      </c>
      <c r="N209" s="16">
        <f t="shared" si="73"/>
        <v>1.9247462099999999</v>
      </c>
      <c r="O209" s="16">
        <f t="shared" si="74"/>
        <v>127.24065</v>
      </c>
      <c r="P209" s="16">
        <f t="shared" si="75"/>
        <v>2.0193135899999999</v>
      </c>
      <c r="Q209" s="16">
        <f t="shared" si="76"/>
        <v>3.0321896699999997</v>
      </c>
      <c r="R209" s="16">
        <f t="shared" si="77"/>
        <v>0.99477083999999993</v>
      </c>
      <c r="S209" s="16">
        <f t="shared" si="78"/>
        <v>21.43611903</v>
      </c>
      <c r="T209" s="16">
        <f t="shared" si="79"/>
        <v>4.1187631199999997</v>
      </c>
      <c r="U209" s="16">
        <f t="shared" si="80"/>
        <v>17.31735591</v>
      </c>
      <c r="V209">
        <f t="shared" si="81"/>
        <v>0.23175910972849528</v>
      </c>
      <c r="W209">
        <f t="shared" si="82"/>
        <v>0.29878401886285588</v>
      </c>
      <c r="X209">
        <f t="shared" si="83"/>
        <v>0.37310449939784457</v>
      </c>
      <c r="Y209">
        <f t="shared" si="84"/>
        <v>0.6718885182607004</v>
      </c>
      <c r="Z209" s="14">
        <v>0.29830000000000001</v>
      </c>
      <c r="AA209" s="14">
        <v>0.27015</v>
      </c>
      <c r="AB209" s="14">
        <v>7.9399999999999998E-2</v>
      </c>
      <c r="AD209">
        <f t="shared" si="85"/>
        <v>86.977019413795986</v>
      </c>
      <c r="AE209" s="14">
        <v>2.5936049999999999E-2</v>
      </c>
      <c r="AF209" s="14">
        <v>0.72786516853932504</v>
      </c>
      <c r="AG209" s="14">
        <v>0.23826834104428199</v>
      </c>
      <c r="AH209" s="14">
        <v>2.3262560000000002E-2</v>
      </c>
      <c r="AI209" s="14">
        <v>0.120171673819742</v>
      </c>
      <c r="AJ209" s="14">
        <v>0.104033970276008</v>
      </c>
      <c r="AK209" s="14">
        <v>4.0865099999999998E-3</v>
      </c>
      <c r="AL209" s="14">
        <v>4.28729E-3</v>
      </c>
      <c r="AM209" s="14">
        <v>6.4377699999999998E-3</v>
      </c>
      <c r="AN209" s="14">
        <v>2.1120399999999999E-3</v>
      </c>
      <c r="AO209" s="14">
        <v>4.5511929999999999E-2</v>
      </c>
      <c r="AP209" s="14">
        <v>8.7447199999999992E-3</v>
      </c>
      <c r="AQ209" s="14">
        <v>3.6767201389799303E-2</v>
      </c>
    </row>
    <row r="210" spans="1:43">
      <c r="A210" s="14" t="s">
        <v>1342</v>
      </c>
      <c r="B210" s="14" t="s">
        <v>116</v>
      </c>
      <c r="C210" s="14" t="s">
        <v>20</v>
      </c>
      <c r="D210">
        <v>415</v>
      </c>
      <c r="E210">
        <v>470</v>
      </c>
      <c r="F210" s="16">
        <f t="shared" si="65"/>
        <v>102.80509568008</v>
      </c>
      <c r="G210" s="16">
        <f t="shared" si="66"/>
        <v>69.285538464290283</v>
      </c>
      <c r="H210" s="16">
        <f t="shared" si="67"/>
        <v>19.488736394373618</v>
      </c>
      <c r="I210" s="16">
        <f t="shared" si="68"/>
        <v>2.6401209345063936</v>
      </c>
      <c r="J210" s="16">
        <f t="shared" si="69"/>
        <v>11.328015200000001</v>
      </c>
      <c r="K210" s="16">
        <f t="shared" si="70"/>
        <v>56.724137931034107</v>
      </c>
      <c r="L210" s="16">
        <f t="shared" si="71"/>
        <v>51.999999999999801</v>
      </c>
      <c r="M210" s="16">
        <f t="shared" si="72"/>
        <v>45.59</v>
      </c>
      <c r="N210" s="16">
        <f t="shared" si="73"/>
        <v>0.96119700000000008</v>
      </c>
      <c r="O210" s="16">
        <f t="shared" si="74"/>
        <v>132.54</v>
      </c>
      <c r="P210" s="16">
        <f t="shared" si="75"/>
        <v>2.9349150000000002</v>
      </c>
      <c r="Q210" s="16">
        <f t="shared" si="76"/>
        <v>3.0387944</v>
      </c>
      <c r="R210" s="16">
        <f t="shared" si="77"/>
        <v>1.9891340000000002</v>
      </c>
      <c r="S210" s="16">
        <f t="shared" si="78"/>
        <v>10.8506033</v>
      </c>
      <c r="T210" s="16">
        <f t="shared" si="79"/>
        <v>2.8203901</v>
      </c>
      <c r="U210" s="16">
        <f t="shared" si="80"/>
        <v>8.0302131999999986</v>
      </c>
      <c r="V210">
        <f t="shared" si="81"/>
        <v>0.24772312212067471</v>
      </c>
      <c r="W210">
        <f t="shared" si="82"/>
        <v>0.32779700488416502</v>
      </c>
      <c r="X210">
        <f t="shared" si="83"/>
        <v>0.38914562616037757</v>
      </c>
      <c r="Y210">
        <f t="shared" si="84"/>
        <v>0.71694263104454259</v>
      </c>
      <c r="Z210" s="14">
        <v>0.33365</v>
      </c>
      <c r="AA210" s="14">
        <v>0.28199999999999997</v>
      </c>
      <c r="AB210" s="14">
        <v>9.7000000000000003E-2</v>
      </c>
      <c r="AD210">
        <f t="shared" si="85"/>
        <v>91.477080480080005</v>
      </c>
      <c r="AE210" s="14">
        <v>2.4102160000000001E-2</v>
      </c>
      <c r="AF210" s="14">
        <v>0.75740872031194595</v>
      </c>
      <c r="AG210" s="14">
        <v>0.21304501949663199</v>
      </c>
      <c r="AH210" s="14">
        <v>2.8861009999999999E-2</v>
      </c>
      <c r="AI210" s="14">
        <v>0.12068965517241299</v>
      </c>
      <c r="AJ210" s="14">
        <v>0.11063829787234</v>
      </c>
      <c r="AK210" s="14">
        <v>2.0451000000000002E-3</v>
      </c>
      <c r="AL210" s="14">
        <v>6.2445000000000001E-3</v>
      </c>
      <c r="AM210" s="14">
        <v>6.4655199999999998E-3</v>
      </c>
      <c r="AN210" s="14">
        <v>4.2322000000000002E-3</v>
      </c>
      <c r="AO210" s="14">
        <v>2.3086389999999998E-2</v>
      </c>
      <c r="AP210" s="14">
        <v>6.0008300000000004E-3</v>
      </c>
      <c r="AQ210" s="14">
        <v>1.708556E-2</v>
      </c>
    </row>
    <row r="211" spans="1:43">
      <c r="A211" s="14" t="s">
        <v>1343</v>
      </c>
      <c r="B211" s="14" t="s">
        <v>440</v>
      </c>
      <c r="C211" s="14" t="s">
        <v>124</v>
      </c>
      <c r="D211">
        <v>479</v>
      </c>
      <c r="E211">
        <v>543</v>
      </c>
      <c r="F211" s="16">
        <f t="shared" si="65"/>
        <v>118.231522212616</v>
      </c>
      <c r="G211" s="16">
        <f t="shared" si="66"/>
        <v>76.81319521183616</v>
      </c>
      <c r="H211" s="16">
        <f t="shared" si="67"/>
        <v>20.153908677068593</v>
      </c>
      <c r="I211" s="16">
        <f t="shared" si="68"/>
        <v>1.0267900736155682</v>
      </c>
      <c r="J211" s="16">
        <f t="shared" si="69"/>
        <v>20.235074189999999</v>
      </c>
      <c r="K211" s="16">
        <f t="shared" si="70"/>
        <v>63.822761194029404</v>
      </c>
      <c r="L211" s="16">
        <f t="shared" si="71"/>
        <v>65.999999999999531</v>
      </c>
      <c r="M211" s="16">
        <f t="shared" si="72"/>
        <v>54.245699999999999</v>
      </c>
      <c r="N211" s="16">
        <f t="shared" si="73"/>
        <v>0.96145208999999998</v>
      </c>
      <c r="O211" s="16">
        <f t="shared" si="74"/>
        <v>102.1383</v>
      </c>
      <c r="P211" s="16">
        <f t="shared" si="75"/>
        <v>4.0470170100000002</v>
      </c>
      <c r="Q211" s="16">
        <f t="shared" si="76"/>
        <v>4.0522406699999998</v>
      </c>
      <c r="R211" s="16">
        <f t="shared" si="77"/>
        <v>0</v>
      </c>
      <c r="S211" s="16">
        <f t="shared" si="78"/>
        <v>0.98650068000000002</v>
      </c>
      <c r="T211" s="16">
        <f t="shared" si="79"/>
        <v>1.0298972399999999</v>
      </c>
      <c r="U211" s="16">
        <f t="shared" si="80"/>
        <v>-4.3396559999999917E-2</v>
      </c>
      <c r="V211">
        <f t="shared" si="81"/>
        <v>0.24682990023510648</v>
      </c>
      <c r="W211">
        <f t="shared" si="82"/>
        <v>0.32974007272317801</v>
      </c>
      <c r="X211">
        <f t="shared" si="83"/>
        <v>0.41991999905390409</v>
      </c>
      <c r="Y211">
        <f t="shared" si="84"/>
        <v>0.74966007177708205</v>
      </c>
      <c r="Z211" s="14">
        <v>0.2717</v>
      </c>
      <c r="AA211" s="14">
        <v>0.18809999999999999</v>
      </c>
      <c r="AB211" s="14">
        <v>9.9900000000000003E-2</v>
      </c>
      <c r="AD211">
        <f t="shared" si="85"/>
        <v>97.996448022616008</v>
      </c>
      <c r="AE211" s="14">
        <v>3.7265329999999999E-2</v>
      </c>
      <c r="AF211" s="14">
        <v>0.78383652430044104</v>
      </c>
      <c r="AG211" s="14">
        <v>0.20565958342099699</v>
      </c>
      <c r="AH211" s="14">
        <v>1.0477829496214E-2</v>
      </c>
      <c r="AI211" s="14">
        <v>0.11753731343283499</v>
      </c>
      <c r="AJ211" s="14">
        <v>0.121546961325966</v>
      </c>
      <c r="AK211" s="14">
        <v>1.77063E-3</v>
      </c>
      <c r="AL211" s="14">
        <v>7.45307E-3</v>
      </c>
      <c r="AM211" s="14">
        <v>7.4626900000000001E-3</v>
      </c>
      <c r="AN211" s="14">
        <v>0</v>
      </c>
      <c r="AO211" s="14">
        <v>1.8167599999999999E-3</v>
      </c>
      <c r="AP211" s="14">
        <v>1.89668E-3</v>
      </c>
      <c r="AQ211" s="15">
        <v>-7.9900000000000004E-5</v>
      </c>
    </row>
    <row r="212" spans="1:43">
      <c r="A212" s="14" t="s">
        <v>1344</v>
      </c>
      <c r="B212" s="14" t="s">
        <v>74</v>
      </c>
      <c r="C212" s="14" t="s">
        <v>20</v>
      </c>
      <c r="D212">
        <v>374</v>
      </c>
      <c r="E212">
        <v>409</v>
      </c>
      <c r="F212" s="16">
        <f t="shared" si="65"/>
        <v>87.820552375379975</v>
      </c>
      <c r="G212" s="16">
        <f t="shared" si="66"/>
        <v>56.164423496433379</v>
      </c>
      <c r="H212" s="16">
        <f t="shared" si="67"/>
        <v>17.266797990588774</v>
      </c>
      <c r="I212" s="16">
        <f t="shared" si="68"/>
        <v>0.59697946958204173</v>
      </c>
      <c r="J212" s="16">
        <f t="shared" si="69"/>
        <v>14.193101639999998</v>
      </c>
      <c r="K212" s="16">
        <f t="shared" si="70"/>
        <v>43.317733969999999</v>
      </c>
      <c r="L212" s="16">
        <f t="shared" si="71"/>
        <v>49.999999999999901</v>
      </c>
      <c r="M212" s="16">
        <f t="shared" si="72"/>
        <v>29.447999999999997</v>
      </c>
      <c r="N212" s="16">
        <f t="shared" si="73"/>
        <v>1.9389831099999999</v>
      </c>
      <c r="O212" s="16">
        <f t="shared" si="74"/>
        <v>94.458550000000002</v>
      </c>
      <c r="P212" s="16">
        <f t="shared" si="75"/>
        <v>3.01994966</v>
      </c>
      <c r="Q212" s="16">
        <f t="shared" si="76"/>
        <v>3.0221664399999999</v>
      </c>
      <c r="R212" s="16">
        <f t="shared" si="77"/>
        <v>0</v>
      </c>
      <c r="S212" s="16">
        <f t="shared" si="78"/>
        <v>4.1973067915690256</v>
      </c>
      <c r="T212" s="16">
        <f t="shared" si="79"/>
        <v>1.0561361599999999</v>
      </c>
      <c r="U212" s="16">
        <f t="shared" si="80"/>
        <v>3.1411706315690258</v>
      </c>
      <c r="V212">
        <f t="shared" si="81"/>
        <v>0.23481431116411758</v>
      </c>
      <c r="W212">
        <f t="shared" si="82"/>
        <v>0.29927704920434484</v>
      </c>
      <c r="X212">
        <f t="shared" si="83"/>
        <v>0.39909455734320065</v>
      </c>
      <c r="Y212">
        <f t="shared" si="84"/>
        <v>0.69837160654754549</v>
      </c>
      <c r="Z212" s="14">
        <v>0.27434999999999998</v>
      </c>
      <c r="AA212" s="14">
        <v>0.23094999999999999</v>
      </c>
      <c r="AB212" s="14">
        <v>7.1999999999999995E-2</v>
      </c>
      <c r="AD212">
        <f t="shared" si="85"/>
        <v>73.627450735379981</v>
      </c>
      <c r="AE212" s="14">
        <v>3.4701959999999997E-2</v>
      </c>
      <c r="AF212" s="14">
        <v>0.76281907000000004</v>
      </c>
      <c r="AG212" s="14">
        <v>0.23451576576576499</v>
      </c>
      <c r="AH212" s="14">
        <v>8.10811E-3</v>
      </c>
      <c r="AI212" s="14">
        <v>0.10591133</v>
      </c>
      <c r="AJ212" s="14">
        <v>0.12224938875305599</v>
      </c>
      <c r="AK212" s="14">
        <v>4.7407899999999999E-3</v>
      </c>
      <c r="AL212" s="14">
        <v>7.3837399999999997E-3</v>
      </c>
      <c r="AM212" s="14">
        <v>7.3891599999999997E-3</v>
      </c>
      <c r="AN212" s="14">
        <v>0</v>
      </c>
      <c r="AO212" s="14">
        <v>1.02623637935673E-2</v>
      </c>
      <c r="AP212" s="14">
        <v>2.58224E-3</v>
      </c>
      <c r="AQ212" s="14">
        <v>7.6801200000000003E-3</v>
      </c>
    </row>
    <row r="213" spans="1:43">
      <c r="A213" s="14" t="s">
        <v>1345</v>
      </c>
      <c r="B213" s="14" t="s">
        <v>1346</v>
      </c>
      <c r="C213" s="14" t="s">
        <v>20</v>
      </c>
      <c r="D213">
        <v>327</v>
      </c>
      <c r="E213">
        <v>367</v>
      </c>
      <c r="F213" s="16">
        <f t="shared" si="65"/>
        <v>77.563464769687101</v>
      </c>
      <c r="G213" s="16">
        <f t="shared" si="66"/>
        <v>51.400573386979204</v>
      </c>
      <c r="H213" s="16">
        <f t="shared" si="67"/>
        <v>16.215356050239631</v>
      </c>
      <c r="I213" s="16">
        <f t="shared" si="68"/>
        <v>1.7141948024008924</v>
      </c>
      <c r="J213" s="16">
        <f t="shared" si="69"/>
        <v>8.8272014399999996</v>
      </c>
      <c r="K213" s="16">
        <f t="shared" si="70"/>
        <v>40.125333333333209</v>
      </c>
      <c r="L213" s="16">
        <f t="shared" si="71"/>
        <v>39.000000010000001</v>
      </c>
      <c r="M213" s="16">
        <f t="shared" si="72"/>
        <v>30.350899999999999</v>
      </c>
      <c r="N213" s="16">
        <f t="shared" si="73"/>
        <v>1.1646084399999999</v>
      </c>
      <c r="O213" s="16">
        <f t="shared" si="74"/>
        <v>79.877549999999644</v>
      </c>
      <c r="P213" s="16">
        <f t="shared" si="75"/>
        <v>3.9232006400000001</v>
      </c>
      <c r="Q213" s="16">
        <f t="shared" si="76"/>
        <v>1.9573321099999998</v>
      </c>
      <c r="R213" s="16">
        <f t="shared" si="77"/>
        <v>0.90000144000000004</v>
      </c>
      <c r="S213" s="16">
        <f t="shared" si="78"/>
        <v>7.5420151500000001</v>
      </c>
      <c r="T213" s="16">
        <f t="shared" si="79"/>
        <v>1.8542454800000001</v>
      </c>
      <c r="U213" s="16">
        <f t="shared" si="80"/>
        <v>5.6877696699999998</v>
      </c>
      <c r="V213">
        <f t="shared" si="81"/>
        <v>0.23719713996846209</v>
      </c>
      <c r="W213">
        <f t="shared" si="82"/>
        <v>0.31348318413468085</v>
      </c>
      <c r="X213">
        <f t="shared" si="83"/>
        <v>0.38006934450966712</v>
      </c>
      <c r="Y213">
        <f t="shared" si="84"/>
        <v>0.69355252864434802</v>
      </c>
      <c r="Z213" s="14">
        <v>0.28610000000000002</v>
      </c>
      <c r="AA213" s="14">
        <v>0.21764999999999901</v>
      </c>
      <c r="AB213" s="14">
        <v>8.2699999999999996E-2</v>
      </c>
      <c r="AD213">
        <f t="shared" si="85"/>
        <v>68.736263329687105</v>
      </c>
      <c r="AE213" s="14">
        <v>2.4052319999999999E-2</v>
      </c>
      <c r="AF213" s="14">
        <v>0.74779411764705805</v>
      </c>
      <c r="AG213" s="14">
        <v>0.23590686</v>
      </c>
      <c r="AH213" s="14">
        <v>2.4938725490196E-2</v>
      </c>
      <c r="AI213" s="14">
        <v>0.109333333333333</v>
      </c>
      <c r="AJ213" s="14">
        <v>0.10626703</v>
      </c>
      <c r="AK213" s="14">
        <v>3.1733199999999999E-3</v>
      </c>
      <c r="AL213" s="14">
        <v>1.068992E-2</v>
      </c>
      <c r="AM213" s="14">
        <v>5.3333299999999998E-3</v>
      </c>
      <c r="AN213" s="14">
        <v>2.45232E-3</v>
      </c>
      <c r="AO213" s="14">
        <v>2.0550450000000001E-2</v>
      </c>
      <c r="AP213" s="14">
        <v>5.0524400000000001E-3</v>
      </c>
      <c r="AQ213" s="14">
        <v>1.5498010088489301E-2</v>
      </c>
    </row>
    <row r="214" spans="1:43">
      <c r="A214" s="14" t="s">
        <v>1347</v>
      </c>
      <c r="B214" s="14" t="s">
        <v>335</v>
      </c>
      <c r="C214" s="14" t="s">
        <v>20</v>
      </c>
      <c r="D214">
        <v>374</v>
      </c>
      <c r="E214">
        <v>425</v>
      </c>
      <c r="F214" s="16">
        <f t="shared" si="65"/>
        <v>88.509976996664975</v>
      </c>
      <c r="G214" s="16">
        <f t="shared" si="66"/>
        <v>57.929742761979838</v>
      </c>
      <c r="H214" s="16">
        <f t="shared" si="67"/>
        <v>17.74183488410171</v>
      </c>
      <c r="I214" s="16">
        <f t="shared" si="68"/>
        <v>3.1450751567388138</v>
      </c>
      <c r="J214" s="16">
        <f t="shared" si="69"/>
        <v>10.521182266009804</v>
      </c>
      <c r="K214" s="16">
        <f t="shared" si="70"/>
        <v>53.386697999999996</v>
      </c>
      <c r="L214" s="16">
        <f t="shared" si="71"/>
        <v>43.999999999999623</v>
      </c>
      <c r="M214" s="16">
        <f t="shared" si="72"/>
        <v>39.737499999999997</v>
      </c>
      <c r="N214" s="16">
        <f t="shared" si="73"/>
        <v>0.92666150000000003</v>
      </c>
      <c r="O214" s="16">
        <f t="shared" si="74"/>
        <v>94.881250000000009</v>
      </c>
      <c r="P214" s="16">
        <f t="shared" si="75"/>
        <v>5.41059</v>
      </c>
      <c r="Q214" s="16">
        <f t="shared" si="76"/>
        <v>3.140393</v>
      </c>
      <c r="R214" s="16">
        <f t="shared" si="77"/>
        <v>0</v>
      </c>
      <c r="S214" s="16">
        <f t="shared" si="78"/>
        <v>17.214285</v>
      </c>
      <c r="T214" s="16">
        <f t="shared" si="79"/>
        <v>4.1424750000000001</v>
      </c>
      <c r="U214" s="16">
        <f t="shared" si="80"/>
        <v>13.071809999999999</v>
      </c>
      <c r="V214">
        <f t="shared" si="81"/>
        <v>0.23665769250445182</v>
      </c>
      <c r="W214">
        <f t="shared" si="82"/>
        <v>0.32212365099209317</v>
      </c>
      <c r="X214">
        <f t="shared" si="83"/>
        <v>0.3875223718300505</v>
      </c>
      <c r="Y214">
        <f t="shared" si="84"/>
        <v>0.70964602282214373</v>
      </c>
      <c r="Z214" s="14">
        <v>0.28699999999999998</v>
      </c>
      <c r="AA214" s="14">
        <v>0.22325</v>
      </c>
      <c r="AB214" s="14">
        <v>9.35E-2</v>
      </c>
      <c r="AD214">
        <f t="shared" si="85"/>
        <v>77.988794730655172</v>
      </c>
      <c r="AE214" s="14">
        <v>2.4755722978846598E-2</v>
      </c>
      <c r="AF214" s="14">
        <v>0.74279571779571696</v>
      </c>
      <c r="AG214" s="14">
        <v>0.227492102492102</v>
      </c>
      <c r="AH214" s="14">
        <v>4.03272696750957E-2</v>
      </c>
      <c r="AI214" s="14">
        <v>0.12561575999999999</v>
      </c>
      <c r="AJ214" s="14">
        <v>0.103529411764705</v>
      </c>
      <c r="AK214" s="14">
        <v>2.18038E-3</v>
      </c>
      <c r="AL214" s="14">
        <v>1.27308E-2</v>
      </c>
      <c r="AM214" s="14">
        <v>7.3891599999999997E-3</v>
      </c>
      <c r="AN214" s="14">
        <v>0</v>
      </c>
      <c r="AO214" s="14">
        <v>4.0504199999999997E-2</v>
      </c>
      <c r="AP214" s="14">
        <v>9.7470000000000005E-3</v>
      </c>
      <c r="AQ214" s="14">
        <v>3.07572061082497E-2</v>
      </c>
    </row>
    <row r="215" spans="1:43">
      <c r="A215" s="14" t="s">
        <v>1348</v>
      </c>
      <c r="B215" s="14" t="s">
        <v>200</v>
      </c>
      <c r="C215" s="14" t="s">
        <v>20</v>
      </c>
      <c r="D215">
        <v>382</v>
      </c>
      <c r="E215">
        <v>427</v>
      </c>
      <c r="F215" s="16">
        <f t="shared" si="65"/>
        <v>92.434908016760005</v>
      </c>
      <c r="G215" s="16">
        <f t="shared" si="66"/>
        <v>62.766446387628122</v>
      </c>
      <c r="H215" s="16">
        <f t="shared" si="67"/>
        <v>18.937897631759178</v>
      </c>
      <c r="I215" s="16">
        <f t="shared" si="68"/>
        <v>2.0181203672959716</v>
      </c>
      <c r="J215" s="16">
        <f t="shared" si="69"/>
        <v>9.6037295900000004</v>
      </c>
      <c r="K215" s="16">
        <f t="shared" si="70"/>
        <v>48.860696517412762</v>
      </c>
      <c r="L215" s="16">
        <f t="shared" si="71"/>
        <v>43.999999999999815</v>
      </c>
      <c r="M215" s="16">
        <f t="shared" si="72"/>
        <v>35.868000000000002</v>
      </c>
      <c r="N215" s="16">
        <f t="shared" si="73"/>
        <v>0.25932991</v>
      </c>
      <c r="O215" s="16">
        <f t="shared" si="74"/>
        <v>111.06269999999999</v>
      </c>
      <c r="P215" s="16">
        <f t="shared" si="75"/>
        <v>5.3798498600000002</v>
      </c>
      <c r="Q215" s="16">
        <f t="shared" si="76"/>
        <v>2.1243762400000001</v>
      </c>
      <c r="R215" s="16">
        <f t="shared" si="77"/>
        <v>0.90000070999999993</v>
      </c>
      <c r="S215" s="16">
        <f t="shared" si="78"/>
        <v>5.929687499999976</v>
      </c>
      <c r="T215" s="16">
        <f t="shared" si="79"/>
        <v>1.3617499700000002</v>
      </c>
      <c r="U215" s="16">
        <f t="shared" si="80"/>
        <v>4.567937529999976</v>
      </c>
      <c r="V215">
        <f t="shared" si="81"/>
        <v>0.24197619899675393</v>
      </c>
      <c r="W215">
        <f t="shared" si="82"/>
        <v>0.31871872458015005</v>
      </c>
      <c r="X215">
        <f t="shared" si="83"/>
        <v>0.3798730919189382</v>
      </c>
      <c r="Y215">
        <f t="shared" si="84"/>
        <v>0.6985918164990883</v>
      </c>
      <c r="Z215" s="14">
        <v>0.31440000000000001</v>
      </c>
      <c r="AA215" s="14">
        <v>0.2601</v>
      </c>
      <c r="AB215" s="14">
        <v>8.4000000000000005E-2</v>
      </c>
      <c r="AD215">
        <f t="shared" si="85"/>
        <v>82.831178426760005</v>
      </c>
      <c r="AE215" s="14">
        <v>2.2491170000000001E-2</v>
      </c>
      <c r="AF215" s="14">
        <v>0.75776353276353203</v>
      </c>
      <c r="AG215" s="14">
        <v>0.22863247863247799</v>
      </c>
      <c r="AH215" s="14">
        <v>2.4364259999999999E-2</v>
      </c>
      <c r="AI215" s="14">
        <v>0.114427860696517</v>
      </c>
      <c r="AJ215" s="14">
        <v>0.103044496487119</v>
      </c>
      <c r="AK215" s="14">
        <v>6.0733E-4</v>
      </c>
      <c r="AL215" s="14">
        <v>1.259918E-2</v>
      </c>
      <c r="AM215" s="14">
        <v>4.9751200000000004E-3</v>
      </c>
      <c r="AN215" s="14">
        <v>2.1077299999999999E-3</v>
      </c>
      <c r="AO215" s="14">
        <v>1.38868559718969E-2</v>
      </c>
      <c r="AP215" s="14">
        <v>3.1891100000000002E-3</v>
      </c>
      <c r="AQ215" s="14">
        <v>1.0697750934419501E-2</v>
      </c>
    </row>
    <row r="216" spans="1:43">
      <c r="A216" s="14" t="s">
        <v>1349</v>
      </c>
      <c r="B216" s="14" t="s">
        <v>1350</v>
      </c>
      <c r="C216" s="14" t="s">
        <v>879</v>
      </c>
      <c r="D216">
        <v>464</v>
      </c>
      <c r="E216">
        <v>531</v>
      </c>
      <c r="F216" s="16">
        <f t="shared" si="65"/>
        <v>115.60154095900999</v>
      </c>
      <c r="G216" s="16">
        <f t="shared" si="66"/>
        <v>91.343969127747286</v>
      </c>
      <c r="H216" s="16">
        <f t="shared" si="67"/>
        <v>18.961505043949252</v>
      </c>
      <c r="I216" s="16">
        <f t="shared" si="68"/>
        <v>1.0313457135364328</v>
      </c>
      <c r="J216" s="16">
        <f t="shared" si="69"/>
        <v>4.3342184700000006</v>
      </c>
      <c r="K216" s="16">
        <f t="shared" si="70"/>
        <v>55.522813688212636</v>
      </c>
      <c r="L216" s="16">
        <f t="shared" si="71"/>
        <v>39.000001230000002</v>
      </c>
      <c r="M216" s="16">
        <f t="shared" si="72"/>
        <v>50.445</v>
      </c>
      <c r="N216" s="16">
        <f t="shared" si="73"/>
        <v>0</v>
      </c>
      <c r="O216" s="16">
        <f t="shared" si="74"/>
        <v>79.278299999999987</v>
      </c>
      <c r="P216" s="16">
        <f t="shared" si="75"/>
        <v>7.1598871800000001</v>
      </c>
      <c r="Q216" s="16">
        <f t="shared" si="76"/>
        <v>3.0285160200000001</v>
      </c>
      <c r="R216" s="16">
        <f t="shared" si="77"/>
        <v>1.9920411900000001</v>
      </c>
      <c r="S216" s="16">
        <f t="shared" si="78"/>
        <v>12.630650994575015</v>
      </c>
      <c r="T216" s="16">
        <f t="shared" si="79"/>
        <v>3.8194458300000003</v>
      </c>
      <c r="U216" s="16">
        <f t="shared" si="80"/>
        <v>8.8112051645750142</v>
      </c>
      <c r="V216">
        <f t="shared" si="81"/>
        <v>0.24914125206683188</v>
      </c>
      <c r="W216">
        <f t="shared" si="82"/>
        <v>0.33471554152409161</v>
      </c>
      <c r="X216">
        <f t="shared" si="83"/>
        <v>0.32262476344020496</v>
      </c>
      <c r="Y216">
        <f t="shared" si="84"/>
        <v>0.65734030496429652</v>
      </c>
      <c r="Z216" s="14">
        <v>0.29020000000000001</v>
      </c>
      <c r="AA216" s="14">
        <v>0.14929999999999999</v>
      </c>
      <c r="AB216" s="14">
        <v>9.5000000000000001E-2</v>
      </c>
      <c r="AD216">
        <f t="shared" si="85"/>
        <v>111.26732248901</v>
      </c>
      <c r="AE216" s="14">
        <v>8.1623700000000004E-3</v>
      </c>
      <c r="AF216" s="14">
        <v>0.82094155844155803</v>
      </c>
      <c r="AG216" s="14">
        <v>0.17041396</v>
      </c>
      <c r="AH216" s="14">
        <v>9.2690800000000007E-3</v>
      </c>
      <c r="AI216" s="14">
        <v>0.104562737642585</v>
      </c>
      <c r="AJ216" s="14">
        <v>7.3446330000000004E-2</v>
      </c>
      <c r="AK216" s="14">
        <v>0</v>
      </c>
      <c r="AL216" s="14">
        <v>1.3483780000000001E-2</v>
      </c>
      <c r="AM216" s="14">
        <v>5.7034199999999998E-3</v>
      </c>
      <c r="AN216" s="14">
        <v>3.7514900000000001E-3</v>
      </c>
      <c r="AO216" s="14">
        <v>2.3786536712947299E-2</v>
      </c>
      <c r="AP216" s="14">
        <v>7.1929300000000002E-3</v>
      </c>
      <c r="AQ216" s="14">
        <v>1.6593610000000002E-2</v>
      </c>
    </row>
    <row r="217" spans="1:43">
      <c r="A217" s="14" t="s">
        <v>1351</v>
      </c>
      <c r="B217" s="14" t="s">
        <v>1352</v>
      </c>
      <c r="C217" s="14" t="s">
        <v>20</v>
      </c>
      <c r="D217">
        <v>415</v>
      </c>
      <c r="E217">
        <v>481</v>
      </c>
      <c r="F217" s="16">
        <f t="shared" si="65"/>
        <v>91.795559108712013</v>
      </c>
      <c r="G217" s="16">
        <f t="shared" si="66"/>
        <v>47.573534497562385</v>
      </c>
      <c r="H217" s="16">
        <f t="shared" si="67"/>
        <v>20.133000492698809</v>
      </c>
      <c r="I217" s="16">
        <f t="shared" si="68"/>
        <v>2.0443026827396968</v>
      </c>
      <c r="J217" s="16">
        <f t="shared" si="69"/>
        <v>22.200001850000003</v>
      </c>
      <c r="K217" s="16">
        <f t="shared" si="70"/>
        <v>60.999999999999602</v>
      </c>
      <c r="L217" s="16">
        <f t="shared" si="71"/>
        <v>62.999999999999538</v>
      </c>
      <c r="M217" s="16">
        <f t="shared" si="72"/>
        <v>49.302499999999519</v>
      </c>
      <c r="N217" s="16">
        <f t="shared" si="73"/>
        <v>1.0078777800000001</v>
      </c>
      <c r="O217" s="16">
        <f t="shared" si="74"/>
        <v>149.18214999999998</v>
      </c>
      <c r="P217" s="16">
        <f t="shared" si="75"/>
        <v>11.099999999999962</v>
      </c>
      <c r="Q217" s="16">
        <f t="shared" si="76"/>
        <v>3.0000018100000001</v>
      </c>
      <c r="R217" s="16">
        <f t="shared" si="77"/>
        <v>0</v>
      </c>
      <c r="S217" s="16">
        <f t="shared" si="78"/>
        <v>5.0131302521007619</v>
      </c>
      <c r="T217" s="16">
        <f t="shared" si="79"/>
        <v>2.08658762</v>
      </c>
      <c r="U217" s="16">
        <f t="shared" si="80"/>
        <v>2.9265426321007619</v>
      </c>
      <c r="V217">
        <f t="shared" si="81"/>
        <v>0.22119411833424582</v>
      </c>
      <c r="W217">
        <f t="shared" si="82"/>
        <v>0.32714614829344929</v>
      </c>
      <c r="X217">
        <f t="shared" si="83"/>
        <v>0.44041554441247976</v>
      </c>
      <c r="Y217">
        <f t="shared" si="84"/>
        <v>0.767561692705929</v>
      </c>
      <c r="Z217" s="14">
        <v>0.28220000000000001</v>
      </c>
      <c r="AA217" s="14">
        <v>0.31014999999999998</v>
      </c>
      <c r="AB217" s="14">
        <v>0.10249999999999899</v>
      </c>
      <c r="AD217">
        <f t="shared" si="85"/>
        <v>69.595557258712006</v>
      </c>
      <c r="AE217" s="14">
        <v>4.6153850000000003E-2</v>
      </c>
      <c r="AF217" s="14">
        <v>0.68357142857142805</v>
      </c>
      <c r="AG217" s="14">
        <v>0.28928571428571398</v>
      </c>
      <c r="AH217" s="14">
        <v>2.9374040000000001E-2</v>
      </c>
      <c r="AI217" s="14">
        <v>0.12681912681912599</v>
      </c>
      <c r="AJ217" s="14">
        <v>0.13097713097713001</v>
      </c>
      <c r="AK217" s="14">
        <v>2.09538E-3</v>
      </c>
      <c r="AL217" s="14">
        <v>2.3076923076922998E-2</v>
      </c>
      <c r="AM217" s="14">
        <v>6.2370100000000003E-3</v>
      </c>
      <c r="AN217" s="14">
        <v>0</v>
      </c>
      <c r="AO217" s="14">
        <v>1.04223082164257E-2</v>
      </c>
      <c r="AP217" s="14">
        <v>4.3380199999999997E-3</v>
      </c>
      <c r="AQ217" s="14">
        <v>6.08429E-3</v>
      </c>
    </row>
    <row r="218" spans="1:43">
      <c r="A218" s="14" t="s">
        <v>1353</v>
      </c>
      <c r="B218" s="14" t="s">
        <v>1350</v>
      </c>
      <c r="C218" s="14" t="s">
        <v>884</v>
      </c>
      <c r="D218">
        <v>375</v>
      </c>
      <c r="E218">
        <v>399</v>
      </c>
      <c r="F218" s="16">
        <f t="shared" si="65"/>
        <v>91.778345534466126</v>
      </c>
      <c r="G218" s="16">
        <f t="shared" si="66"/>
        <v>61.557826990320315</v>
      </c>
      <c r="H218" s="16">
        <f t="shared" si="67"/>
        <v>16.843397476614978</v>
      </c>
      <c r="I218" s="16">
        <f t="shared" si="68"/>
        <v>0.88215324513994253</v>
      </c>
      <c r="J218" s="16">
        <f t="shared" si="69"/>
        <v>12.099998190000001</v>
      </c>
      <c r="K218" s="16">
        <f t="shared" si="70"/>
        <v>38.999999639999999</v>
      </c>
      <c r="L218" s="16">
        <f t="shared" si="71"/>
        <v>46.999999999999659</v>
      </c>
      <c r="M218" s="16">
        <f t="shared" si="72"/>
        <v>16.638300000000001</v>
      </c>
      <c r="N218" s="16">
        <f t="shared" si="73"/>
        <v>0.15000005999999999</v>
      </c>
      <c r="O218" s="16">
        <f t="shared" si="74"/>
        <v>88.478249999999605</v>
      </c>
      <c r="P218" s="16">
        <f t="shared" si="75"/>
        <v>2.8959021000000003</v>
      </c>
      <c r="Q218" s="16">
        <f t="shared" si="76"/>
        <v>2.9132546099999996</v>
      </c>
      <c r="R218" s="16">
        <f t="shared" si="77"/>
        <v>1.9900005299999999</v>
      </c>
      <c r="S218" s="16">
        <f t="shared" si="78"/>
        <v>1.9913810700000001</v>
      </c>
      <c r="T218" s="16">
        <f t="shared" si="79"/>
        <v>1.04166531</v>
      </c>
      <c r="U218" s="16">
        <f t="shared" si="80"/>
        <v>0.94971576000000013</v>
      </c>
      <c r="V218">
        <f t="shared" si="81"/>
        <v>0.24474225475857633</v>
      </c>
      <c r="W218">
        <f t="shared" si="82"/>
        <v>0.2823970323290394</v>
      </c>
      <c r="X218">
        <f t="shared" si="83"/>
        <v>0.39010953183725361</v>
      </c>
      <c r="Y218">
        <f t="shared" si="84"/>
        <v>0.67250656416629306</v>
      </c>
      <c r="Z218" s="14">
        <v>0.2873</v>
      </c>
      <c r="AA218" s="14">
        <v>0.221749999999999</v>
      </c>
      <c r="AB218" s="14">
        <v>4.1700000000000001E-2</v>
      </c>
      <c r="AD218">
        <f t="shared" si="85"/>
        <v>79.678347344466118</v>
      </c>
      <c r="AE218" s="14">
        <v>3.0325810000000002E-2</v>
      </c>
      <c r="AF218" s="14">
        <v>0.77257911392404999</v>
      </c>
      <c r="AG218" s="14">
        <v>0.21139240506329099</v>
      </c>
      <c r="AH218" s="14">
        <v>1.107143E-2</v>
      </c>
      <c r="AI218" s="14">
        <v>9.7744360000000002E-2</v>
      </c>
      <c r="AJ218" s="14">
        <v>0.11779448621553799</v>
      </c>
      <c r="AK218" s="14">
        <v>3.7594000000000001E-4</v>
      </c>
      <c r="AL218" s="14">
        <v>7.2579000000000003E-3</v>
      </c>
      <c r="AM218" s="14">
        <v>7.3013899999999996E-3</v>
      </c>
      <c r="AN218" s="14">
        <v>4.9874699999999999E-3</v>
      </c>
      <c r="AO218" s="14">
        <v>4.9909300000000002E-3</v>
      </c>
      <c r="AP218" s="14">
        <v>2.6106900000000001E-3</v>
      </c>
      <c r="AQ218" s="14">
        <v>2.3802300000000001E-3</v>
      </c>
    </row>
    <row r="219" spans="1:43">
      <c r="A219" s="14" t="s">
        <v>1354</v>
      </c>
      <c r="B219" s="14" t="s">
        <v>376</v>
      </c>
      <c r="C219" s="14" t="s">
        <v>20</v>
      </c>
      <c r="D219">
        <v>115</v>
      </c>
      <c r="E219">
        <v>126</v>
      </c>
      <c r="F219" s="16">
        <f t="shared" si="65"/>
        <v>28.15115049385</v>
      </c>
      <c r="G219" s="16">
        <f t="shared" si="66"/>
        <v>18.222008880554302</v>
      </c>
      <c r="H219" s="16">
        <f t="shared" si="67"/>
        <v>6.0991541111586249</v>
      </c>
      <c r="I219" s="16">
        <f t="shared" si="68"/>
        <v>1.0654943054418309</v>
      </c>
      <c r="J219" s="16">
        <f t="shared" si="69"/>
        <v>2.9999995200000003</v>
      </c>
      <c r="K219" s="16">
        <f t="shared" si="70"/>
        <v>15.000000120000001</v>
      </c>
      <c r="L219" s="16">
        <f t="shared" si="71"/>
        <v>12.0000006</v>
      </c>
      <c r="M219" s="16">
        <f t="shared" si="72"/>
        <v>8.9459999999999997</v>
      </c>
      <c r="N219" s="16">
        <f t="shared" si="73"/>
        <v>0</v>
      </c>
      <c r="O219" s="16">
        <f t="shared" si="74"/>
        <v>29.855699999999999</v>
      </c>
      <c r="P219" s="16">
        <f t="shared" si="75"/>
        <v>1.0000002600000002</v>
      </c>
      <c r="Q219" s="16">
        <f t="shared" si="76"/>
        <v>1.0000002600000002</v>
      </c>
      <c r="R219" s="16">
        <f t="shared" si="77"/>
        <v>1.0058819399999999</v>
      </c>
      <c r="S219" s="16">
        <f t="shared" si="78"/>
        <v>4.3235294117646959</v>
      </c>
      <c r="T219" s="16">
        <f t="shared" si="79"/>
        <v>1.03124952</v>
      </c>
      <c r="U219" s="16">
        <f t="shared" si="80"/>
        <v>3.2922798917646956</v>
      </c>
      <c r="V219">
        <f t="shared" si="81"/>
        <v>0.24479261298999999</v>
      </c>
      <c r="W219">
        <f t="shared" si="82"/>
        <v>0.30490892605264419</v>
      </c>
      <c r="X219">
        <f t="shared" si="83"/>
        <v>0.39666780955823516</v>
      </c>
      <c r="Y219">
        <f t="shared" si="84"/>
        <v>0.7015767356108793</v>
      </c>
      <c r="Z219" s="14">
        <v>0.30249999999999999</v>
      </c>
      <c r="AA219" s="14">
        <v>0.23694999999999999</v>
      </c>
      <c r="AB219" s="14">
        <v>7.0999999999999994E-2</v>
      </c>
      <c r="AD219">
        <f t="shared" si="85"/>
        <v>25.151150973850001</v>
      </c>
      <c r="AE219" s="14">
        <v>2.3809520000000001E-2</v>
      </c>
      <c r="AF219" s="14">
        <v>0.72449999999999903</v>
      </c>
      <c r="AG219" s="14">
        <v>0.24249999999999999</v>
      </c>
      <c r="AH219" s="14">
        <v>4.2363640000000001E-2</v>
      </c>
      <c r="AI219" s="14">
        <v>0.11904762000000001</v>
      </c>
      <c r="AJ219" s="14">
        <v>9.5238100000000006E-2</v>
      </c>
      <c r="AK219" s="14">
        <v>0</v>
      </c>
      <c r="AL219" s="14">
        <v>7.9365100000000008E-3</v>
      </c>
      <c r="AM219" s="14">
        <v>7.9365100000000008E-3</v>
      </c>
      <c r="AN219" s="14">
        <v>7.9831899999999994E-3</v>
      </c>
      <c r="AO219" s="14">
        <v>3.4313725490195998E-2</v>
      </c>
      <c r="AP219" s="14">
        <v>8.1845200000000007E-3</v>
      </c>
      <c r="AQ219" s="14">
        <v>2.61292016806722E-2</v>
      </c>
    </row>
    <row r="220" spans="1:43">
      <c r="A220" s="14" t="s">
        <v>1355</v>
      </c>
      <c r="B220" s="14" t="s">
        <v>692</v>
      </c>
      <c r="C220" s="14" t="s">
        <v>20</v>
      </c>
      <c r="D220">
        <v>462</v>
      </c>
      <c r="E220">
        <v>508</v>
      </c>
      <c r="F220" s="16">
        <f t="shared" si="65"/>
        <v>110.71570246793802</v>
      </c>
      <c r="G220" s="16">
        <f t="shared" si="66"/>
        <v>68.282623355231038</v>
      </c>
      <c r="H220" s="16">
        <f t="shared" si="67"/>
        <v>23.51123897335507</v>
      </c>
      <c r="I220" s="16">
        <f t="shared" si="68"/>
        <v>1.0272217654897839</v>
      </c>
      <c r="J220" s="16">
        <f t="shared" si="69"/>
        <v>16.944802280000001</v>
      </c>
      <c r="K220" s="16">
        <f t="shared" si="70"/>
        <v>58.928000000000004</v>
      </c>
      <c r="L220" s="16">
        <f t="shared" si="71"/>
        <v>55.000001759999996</v>
      </c>
      <c r="M220" s="16">
        <f t="shared" si="72"/>
        <v>36.017200000000003</v>
      </c>
      <c r="N220" s="16">
        <f t="shared" si="73"/>
        <v>0.95322136000000002</v>
      </c>
      <c r="O220" s="16">
        <f t="shared" si="74"/>
        <v>134.6454</v>
      </c>
      <c r="P220" s="16">
        <f t="shared" si="75"/>
        <v>5.0719989999999999</v>
      </c>
      <c r="Q220" s="16">
        <f t="shared" si="76"/>
        <v>3.048</v>
      </c>
      <c r="R220" s="16">
        <f t="shared" si="77"/>
        <v>0</v>
      </c>
      <c r="S220" s="16">
        <f t="shared" si="78"/>
        <v>9.0760073260072591</v>
      </c>
      <c r="T220" s="16">
        <f t="shared" si="79"/>
        <v>3.1100471199999999</v>
      </c>
      <c r="U220" s="16">
        <f t="shared" si="80"/>
        <v>5.9659602060072592</v>
      </c>
      <c r="V220">
        <f t="shared" si="81"/>
        <v>0.23964437763622948</v>
      </c>
      <c r="W220">
        <f t="shared" si="82"/>
        <v>0.30428788332927403</v>
      </c>
      <c r="X220">
        <f t="shared" si="83"/>
        <v>0.40295665739915704</v>
      </c>
      <c r="Y220">
        <f t="shared" si="84"/>
        <v>0.70724454072843113</v>
      </c>
      <c r="Z220" s="14">
        <v>0.29915000000000003</v>
      </c>
      <c r="AA220" s="14">
        <v>0.26505000000000001</v>
      </c>
      <c r="AB220" s="14">
        <v>7.0900000000000005E-2</v>
      </c>
      <c r="AD220">
        <f t="shared" si="85"/>
        <v>93.770900187938011</v>
      </c>
      <c r="AE220" s="14">
        <v>3.3355910000000003E-2</v>
      </c>
      <c r="AF220" s="14">
        <v>0.72818564414308995</v>
      </c>
      <c r="AG220" s="14">
        <v>0.25073065232639602</v>
      </c>
      <c r="AH220" s="14">
        <v>1.095459E-2</v>
      </c>
      <c r="AI220" s="14">
        <v>0.11600000000000001</v>
      </c>
      <c r="AJ220" s="14">
        <v>0.10826772</v>
      </c>
      <c r="AK220" s="14">
        <v>1.87642E-3</v>
      </c>
      <c r="AL220" s="14">
        <v>9.9842500000000001E-3</v>
      </c>
      <c r="AM220" s="14">
        <v>6.0000000000000001E-3</v>
      </c>
      <c r="AN220" s="14">
        <v>0</v>
      </c>
      <c r="AO220" s="14">
        <v>1.7866156153557598E-2</v>
      </c>
      <c r="AP220" s="14">
        <v>6.1221399999999999E-3</v>
      </c>
      <c r="AQ220" s="14">
        <v>1.1744020000000001E-2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3F168-77F0-6D49-9852-5015C619D4EB}">
  <dimension ref="A1:AZ222"/>
  <sheetViews>
    <sheetView tabSelected="1" workbookViewId="0">
      <selection activeCell="B7" sqref="B7"/>
    </sheetView>
  </sheetViews>
  <sheetFormatPr baseColWidth="10" defaultRowHeight="15"/>
  <cols>
    <col min="1" max="1" width="13" customWidth="1"/>
    <col min="6" max="6" width="10.83203125" style="6"/>
    <col min="7" max="15" width="10.83203125" style="5"/>
    <col min="16" max="16" width="10.83203125" style="1"/>
  </cols>
  <sheetData>
    <row r="1" spans="1:52">
      <c r="A1" t="s">
        <v>0</v>
      </c>
      <c r="B1" t="s">
        <v>1</v>
      </c>
      <c r="C1" t="s">
        <v>2</v>
      </c>
      <c r="D1" t="s">
        <v>1314</v>
      </c>
      <c r="E1" t="s">
        <v>1315</v>
      </c>
      <c r="F1" s="6" t="s">
        <v>1304</v>
      </c>
      <c r="G1" s="5" t="s">
        <v>1305</v>
      </c>
      <c r="H1" s="5" t="s">
        <v>1358</v>
      </c>
      <c r="I1" s="5" t="s">
        <v>1303</v>
      </c>
      <c r="J1" s="5" t="s">
        <v>1306</v>
      </c>
      <c r="K1" s="5" t="s">
        <v>1307</v>
      </c>
      <c r="L1" s="5" t="s">
        <v>1359</v>
      </c>
      <c r="M1" s="5" t="s">
        <v>1360</v>
      </c>
      <c r="N1" s="5" t="s">
        <v>1310</v>
      </c>
      <c r="O1" s="5" t="s">
        <v>1362</v>
      </c>
      <c r="P1" s="1" t="s">
        <v>1361</v>
      </c>
      <c r="R1" t="s">
        <v>1287</v>
      </c>
      <c r="S1" t="s">
        <v>1282</v>
      </c>
      <c r="T1" t="s">
        <v>1286</v>
      </c>
      <c r="U1" t="s">
        <v>1288</v>
      </c>
      <c r="V1" t="s">
        <v>1289</v>
      </c>
      <c r="W1" t="s">
        <v>1292</v>
      </c>
      <c r="X1" t="s">
        <v>1298</v>
      </c>
      <c r="Y1" t="s">
        <v>1301</v>
      </c>
      <c r="Z1" t="s">
        <v>1297</v>
      </c>
      <c r="AA1" t="s">
        <v>1357</v>
      </c>
      <c r="AC1" t="str">
        <f>'2026_Fantasy_Hitters'!F1</f>
        <v>H</v>
      </c>
      <c r="AD1" t="str">
        <f>'2026_Fantasy_Hitters'!G1</f>
        <v>1B</v>
      </c>
      <c r="AE1" t="str">
        <f>'2026_Fantasy_Hitters'!H1</f>
        <v>2B</v>
      </c>
      <c r="AF1" t="str">
        <f>'2026_Fantasy_Hitters'!I1</f>
        <v>3B</v>
      </c>
      <c r="AG1" t="str">
        <f>'2026_Fantasy_Hitters'!J1</f>
        <v>HR</v>
      </c>
      <c r="AH1" t="str">
        <f>'2026_Fantasy_Hitters'!K1</f>
        <v>R</v>
      </c>
      <c r="AI1" t="str">
        <f>'2026_Fantasy_Hitters'!L1</f>
        <v>RBI</v>
      </c>
      <c r="AJ1" t="str">
        <f>'2026_Fantasy_Hitters'!M1</f>
        <v>BB</v>
      </c>
      <c r="AK1" t="str">
        <f>'2026_Fantasy_Hitters'!N1</f>
        <v>IBB</v>
      </c>
      <c r="AL1" t="str">
        <f>'2026_Fantasy_Hitters'!O1</f>
        <v>SO</v>
      </c>
      <c r="AM1" t="str">
        <f>'2026_Fantasy_Hitters'!P1</f>
        <v>HBP</v>
      </c>
      <c r="AN1" t="str">
        <f>'2026_Fantasy_Hitters'!Q1</f>
        <v>SF</v>
      </c>
      <c r="AO1" t="str">
        <f>'2026_Fantasy_Hitters'!R1</f>
        <v>SH</v>
      </c>
      <c r="AP1" t="str">
        <f>'2026_Fantasy_Hitters'!S1</f>
        <v>SB</v>
      </c>
      <c r="AQ1" t="str">
        <f>'2026_Fantasy_Hitters'!T1</f>
        <v>CS</v>
      </c>
      <c r="AR1" t="str">
        <f>'2026_Fantasy_Hitters'!U1</f>
        <v>NSB</v>
      </c>
      <c r="AS1" t="str">
        <f>'2026_Fantasy_Hitters'!V1</f>
        <v>AVG</v>
      </c>
      <c r="AT1" t="str">
        <f>'2026_Fantasy_Hitters'!W1</f>
        <v>OBP</v>
      </c>
      <c r="AU1" t="str">
        <f>'2026_Fantasy_Hitters'!X1</f>
        <v>SLG</v>
      </c>
      <c r="AV1" t="str">
        <f>'2026_Fantasy_Hitters'!Y1</f>
        <v>OPS</v>
      </c>
      <c r="AW1" t="str">
        <f>'2026_Fantasy_Hitters'!Z1</f>
        <v>BABIP</v>
      </c>
      <c r="AX1" t="str">
        <f>'2026_Fantasy_Hitters'!AA1</f>
        <v>K%</v>
      </c>
      <c r="AY1" t="str">
        <f>'2026_Fantasy_Hitters'!AB1</f>
        <v>BB%</v>
      </c>
      <c r="AZ1" t="s">
        <v>1357</v>
      </c>
    </row>
    <row r="2" spans="1:52">
      <c r="A2" t="s">
        <v>18</v>
      </c>
      <c r="B2" t="s">
        <v>19</v>
      </c>
      <c r="C2" t="s">
        <v>20</v>
      </c>
      <c r="D2">
        <v>512</v>
      </c>
      <c r="E2">
        <v>637</v>
      </c>
      <c r="F2" s="6">
        <f t="shared" ref="F2:F65" si="0">G2+H2+I2+J2+K2+L2+M2+N2+O2+P2</f>
        <v>23.966243431752325</v>
      </c>
      <c r="G2" s="5">
        <f t="shared" ref="G2:G65" si="1">(R2-R$221)/R$222</f>
        <v>2.406339850383151</v>
      </c>
      <c r="H2" s="5">
        <f t="shared" ref="H2:H65" si="2">(S2-S$221)/S$222</f>
        <v>1.1215523218975856</v>
      </c>
      <c r="I2" s="5">
        <f t="shared" ref="I2:I65" si="3">(T2-T$221)/T$222</f>
        <v>3.7140843916303363</v>
      </c>
      <c r="J2" s="5">
        <f t="shared" ref="J2:J65" si="4">(U2-U$221)/U$222</f>
        <v>2.7428493912963425</v>
      </c>
      <c r="K2" s="5">
        <f t="shared" ref="K2:K65" si="5">(V2-V$221)/V$222</f>
        <v>3.7088990294814326</v>
      </c>
      <c r="L2" s="5">
        <f t="shared" ref="L2:L65" si="6">(W2-W$221)/W$222</f>
        <v>9.064563460279057E-2</v>
      </c>
      <c r="M2" s="5">
        <f t="shared" ref="M2:M65" si="7">(X2-X$221)/X$222</f>
        <v>2.3357654854586798</v>
      </c>
      <c r="N2" s="5">
        <f t="shared" ref="N2:N65" si="8">(Y2-Y$221)/Y$222</f>
        <v>4.5449506260467185</v>
      </c>
      <c r="O2" s="5">
        <f t="shared" ref="O2:O65" si="9">(Z2-Z$221)/Z$222</f>
        <v>-0.17050431906192737</v>
      </c>
      <c r="P2" s="1">
        <f t="shared" ref="P2:P65" si="10">(AA2-AA$221)/AA$222</f>
        <v>3.4716610200172155</v>
      </c>
      <c r="R2">
        <f t="shared" ref="R2:R65" si="11">(AH2-AVERAGE(AH$2:AH$220))/AVERAGE(AH$2:AH$220)*100+100</f>
        <v>156.88804313451453</v>
      </c>
      <c r="S2">
        <f t="shared" ref="S2:S65" si="12">(AC2-AVERAGE(AC$2:AC$220))/AVERAGE(AC$2:AC$220)*100+100</f>
        <v>122.83736820635991</v>
      </c>
      <c r="T2">
        <f t="shared" ref="T2:T65" si="13">(AG2-AVERAGE(AG$2:AG$220))/AVERAGE(AG$2:AG$220)*100+100</f>
        <v>264.29561653686653</v>
      </c>
      <c r="U2">
        <f t="shared" ref="U2:U65" si="14">(AI2-AVERAGE(AI$2:AI$220))/AVERAGE(AI$2:AI$220)*100+100</f>
        <v>170.57098813586407</v>
      </c>
      <c r="V2">
        <f t="shared" ref="V2:V65" si="15">(AJ2-AVERAGE(AJ$2:AJ$220))/AVERAGE(AJ$2:AJ$220)*100+100</f>
        <v>234.22921819359166</v>
      </c>
      <c r="W2">
        <f t="shared" ref="W2:W65" si="16">(AM2-AVERAGE(AM$2:AM$220))/AVERAGE(AM$2:AM$220)*100+100</f>
        <v>104.40723115652372</v>
      </c>
      <c r="X2">
        <f t="shared" ref="X2:X65" si="17">(AS2-AVERAGE(AS$2:AS$220))/AVERAGE(AS$2:AS$220)*100+100</f>
        <v>115.41568920372761</v>
      </c>
      <c r="Y2">
        <f t="shared" ref="Y2:Y65" si="18">(AU2-AVERAGE(AU$2:AU$220))/AVERAGE(AU$2:AU$220)*100+100</f>
        <v>149.97091567996333</v>
      </c>
      <c r="Z2">
        <f t="shared" ref="Z2:Z65" si="19">(AR2-AVERAGE(AR$2:AR$220))/AVERAGE(AR$2:AR$220)*100+100</f>
        <v>84.322251333466554</v>
      </c>
      <c r="AA2">
        <f t="shared" ref="AA2:AA65" si="20">(AZ2-AVERAGE(AZ$2:AZ$220))/AVERAGE(AZ$2:AZ$220)*100+100</f>
        <v>226.0890308881317</v>
      </c>
      <c r="AC2">
        <f>'2026_Fantasy_Hitters'!F2</f>
        <v>148.48627125720998</v>
      </c>
      <c r="AD2">
        <f>'2026_Fantasy_Hitters'!G2</f>
        <v>72.679744824900197</v>
      </c>
      <c r="AE2">
        <f>'2026_Fantasy_Hitters'!H2</f>
        <v>25.691118561060076</v>
      </c>
      <c r="AF2">
        <f>'2026_Fantasy_Hitters'!I2</f>
        <v>0.9721978087230394</v>
      </c>
      <c r="AG2">
        <f>'2026_Fantasy_Hitters'!J2</f>
        <v>49.770752849999994</v>
      </c>
      <c r="AH2">
        <f>'2026_Fantasy_Hitters'!K2</f>
        <v>105.16509433962231</v>
      </c>
      <c r="AI2">
        <f>'2026_Fantasy_Hitters'!L2</f>
        <v>111.99999999999947</v>
      </c>
      <c r="AJ2">
        <f>'2026_Fantasy_Hitters'!M2</f>
        <v>110.0099</v>
      </c>
      <c r="AK2">
        <f>'2026_Fantasy_Hitters'!N2</f>
        <v>21.508591650000003</v>
      </c>
      <c r="AL2">
        <f>'2026_Fantasy_Hitters'!O2</f>
        <v>158.23080000000002</v>
      </c>
      <c r="AM2">
        <f>'2026_Fantasy_Hitters'!P2</f>
        <v>6.0084897599999998</v>
      </c>
      <c r="AN2">
        <f>'2026_Fantasy_Hitters'!Q2</f>
        <v>4.0062904699999997</v>
      </c>
      <c r="AO2">
        <f>'2026_Fantasy_Hitters'!R2</f>
        <v>0.89999819000000003</v>
      </c>
      <c r="AP2">
        <f>'2026_Fantasy_Hitters'!S2</f>
        <v>9.4701070099999995</v>
      </c>
      <c r="AQ2">
        <f>'2026_Fantasy_Hitters'!T2</f>
        <v>2.75315859</v>
      </c>
      <c r="AR2">
        <f>'2026_Fantasy_Hitters'!U2</f>
        <v>6.7169484199999996</v>
      </c>
      <c r="AS2">
        <f>'2026_Fantasy_Hitters'!V2</f>
        <v>0.29001224854923824</v>
      </c>
      <c r="AT2">
        <f>'2026_Fantasy_Hitters'!W2</f>
        <v>0.44170240362199098</v>
      </c>
      <c r="AU2">
        <f>'2026_Fantasy_Hitters'!X2</f>
        <v>0.63683903666638564</v>
      </c>
      <c r="AV2">
        <f>'2026_Fantasy_Hitters'!Y2</f>
        <v>1.0785414402883766</v>
      </c>
      <c r="AW2">
        <f>'2026_Fantasy_Hitters'!Z2</f>
        <v>0.32050000000000001</v>
      </c>
      <c r="AX2">
        <f>'2026_Fantasy_Hitters'!AA2</f>
        <v>0.24840000000000001</v>
      </c>
      <c r="AY2">
        <f>'2026_Fantasy_Hitters'!AB2</f>
        <v>0.17269999999999999</v>
      </c>
      <c r="AZ2">
        <f t="shared" ref="AZ2:AZ65" si="21">AG2/$E2</f>
        <v>7.8133049999999996E-2</v>
      </c>
    </row>
    <row r="3" spans="1:52">
      <c r="A3" t="s">
        <v>26</v>
      </c>
      <c r="B3" t="s">
        <v>27</v>
      </c>
      <c r="C3" t="s">
        <v>28</v>
      </c>
      <c r="D3">
        <v>559</v>
      </c>
      <c r="E3">
        <v>659</v>
      </c>
      <c r="F3" s="6">
        <f t="shared" si="0"/>
        <v>23.40380968836147</v>
      </c>
      <c r="G3" s="5">
        <f t="shared" si="1"/>
        <v>3.4404981603183189</v>
      </c>
      <c r="H3" s="5">
        <f t="shared" si="2"/>
        <v>1.526140989094682</v>
      </c>
      <c r="I3" s="5">
        <f t="shared" si="3"/>
        <v>3.3926888249562346</v>
      </c>
      <c r="J3" s="5">
        <f t="shared" si="4"/>
        <v>2.5652732629206532</v>
      </c>
      <c r="K3" s="5">
        <f t="shared" si="5"/>
        <v>2.5716048870229082</v>
      </c>
      <c r="L3" s="5">
        <f t="shared" si="6"/>
        <v>-0.26242722254412637</v>
      </c>
      <c r="M3" s="5">
        <f t="shared" si="7"/>
        <v>1.9396617656517461</v>
      </c>
      <c r="N3" s="5">
        <f t="shared" si="8"/>
        <v>4.0139643531922466</v>
      </c>
      <c r="O3" s="5">
        <f t="shared" si="9"/>
        <v>1.2762399148877113</v>
      </c>
      <c r="P3" s="1">
        <f t="shared" si="10"/>
        <v>2.9401647528610932</v>
      </c>
      <c r="R3">
        <f t="shared" si="11"/>
        <v>181.33647777027102</v>
      </c>
      <c r="S3">
        <f t="shared" si="12"/>
        <v>131.07571802250357</v>
      </c>
      <c r="T3">
        <f t="shared" si="13"/>
        <v>250.0784159536137</v>
      </c>
      <c r="U3">
        <f t="shared" si="14"/>
        <v>166.00211793519634</v>
      </c>
      <c r="V3">
        <f t="shared" si="15"/>
        <v>193.06926684821804</v>
      </c>
      <c r="W3">
        <f t="shared" si="16"/>
        <v>87.24067147210576</v>
      </c>
      <c r="X3">
        <f t="shared" si="17"/>
        <v>112.80146621130892</v>
      </c>
      <c r="Y3">
        <f t="shared" si="18"/>
        <v>144.13281699612602</v>
      </c>
      <c r="Z3">
        <f t="shared" si="19"/>
        <v>217.34933598098732</v>
      </c>
      <c r="AA3">
        <f t="shared" si="20"/>
        <v>206.78534632331707</v>
      </c>
      <c r="AC3">
        <f>'2026_Fantasy_Hitters'!F3</f>
        <v>158.44481940403</v>
      </c>
      <c r="AD3">
        <f>'2026_Fantasy_Hitters'!G3</f>
        <v>77.438557378630236</v>
      </c>
      <c r="AE3">
        <f>'2026_Fantasy_Hitters'!H3</f>
        <v>30.034507466529746</v>
      </c>
      <c r="AF3">
        <f>'2026_Fantasy_Hitters'!I3</f>
        <v>5.417833422284609</v>
      </c>
      <c r="AG3">
        <f>'2026_Fantasy_Hitters'!J3</f>
        <v>47.093444819999995</v>
      </c>
      <c r="AH3">
        <f>'2026_Fantasy_Hitters'!K3</f>
        <v>121.55335365853651</v>
      </c>
      <c r="AI3">
        <f>'2026_Fantasy_Hitters'!L3</f>
        <v>108.99999708000001</v>
      </c>
      <c r="AJ3">
        <f>'2026_Fantasy_Hitters'!M3</f>
        <v>90.678399999999996</v>
      </c>
      <c r="AK3">
        <f>'2026_Fantasy_Hitters'!N3</f>
        <v>14.605456710909145</v>
      </c>
      <c r="AL3">
        <f>'2026_Fantasy_Hitters'!O3</f>
        <v>158.45654999999999</v>
      </c>
      <c r="AM3">
        <f>'2026_Fantasy_Hitters'!P3</f>
        <v>5.0205783200000003</v>
      </c>
      <c r="AN3">
        <f>'2026_Fantasy_Hitters'!Q3</f>
        <v>4.0182920400000004</v>
      </c>
      <c r="AO3">
        <f>'2026_Fantasy_Hitters'!R3</f>
        <v>0.90000289</v>
      </c>
      <c r="AP3">
        <f>'2026_Fantasy_Hitters'!S3</f>
        <v>24.065908970000002</v>
      </c>
      <c r="AQ3">
        <f>'2026_Fantasy_Hitters'!T3</f>
        <v>6.7522787500000003</v>
      </c>
      <c r="AR3">
        <f>'2026_Fantasy_Hitters'!U3</f>
        <v>17.31363022</v>
      </c>
      <c r="AS3">
        <f>'2026_Fantasy_Hitters'!V3</f>
        <v>0.28344332630416813</v>
      </c>
      <c r="AT3">
        <f>'2026_Fantasy_Hitters'!W3</f>
        <v>0.40213734900784814</v>
      </c>
      <c r="AU3">
        <f>'2026_Fantasy_Hitters'!X3</f>
        <v>0.61204803552512255</v>
      </c>
      <c r="AV3">
        <f>'2026_Fantasy_Hitters'!Y3</f>
        <v>1.0141853845329707</v>
      </c>
      <c r="AW3">
        <f>'2026_Fantasy_Hitters'!Z3</f>
        <v>0.3115</v>
      </c>
      <c r="AX3">
        <f>'2026_Fantasy_Hitters'!AA3</f>
        <v>0.24045</v>
      </c>
      <c r="AY3">
        <f>'2026_Fantasy_Hitters'!AB3</f>
        <v>0.1376</v>
      </c>
      <c r="AZ3">
        <f t="shared" si="21"/>
        <v>7.1461979999999994E-2</v>
      </c>
    </row>
    <row r="4" spans="1:52">
      <c r="A4" t="s">
        <v>39</v>
      </c>
      <c r="B4" t="s">
        <v>40</v>
      </c>
      <c r="C4" t="s">
        <v>20</v>
      </c>
      <c r="D4">
        <v>542</v>
      </c>
      <c r="E4">
        <v>675</v>
      </c>
      <c r="F4" s="6">
        <f t="shared" si="0"/>
        <v>18.04582784367831</v>
      </c>
      <c r="G4" s="5">
        <f t="shared" si="1"/>
        <v>2.5421946549055874</v>
      </c>
      <c r="H4" s="5">
        <f t="shared" si="2"/>
        <v>1.06917985258367</v>
      </c>
      <c r="I4" s="5">
        <f t="shared" si="3"/>
        <v>2.3132732516733756</v>
      </c>
      <c r="J4" s="5">
        <f t="shared" si="4"/>
        <v>1.9733535839774723</v>
      </c>
      <c r="K4" s="5">
        <f t="shared" si="5"/>
        <v>4.4047301961959882</v>
      </c>
      <c r="L4" s="5">
        <f t="shared" si="6"/>
        <v>-0.6233503577229671</v>
      </c>
      <c r="M4" s="5">
        <f t="shared" si="7"/>
        <v>1.2243979943457381</v>
      </c>
      <c r="N4" s="5">
        <f t="shared" si="8"/>
        <v>2.3311207510430294</v>
      </c>
      <c r="O4" s="5">
        <f t="shared" si="9"/>
        <v>1.0670445853771644</v>
      </c>
      <c r="P4" s="1">
        <f t="shared" si="10"/>
        <v>1.743883331299253</v>
      </c>
      <c r="R4">
        <f t="shared" si="11"/>
        <v>160.09977317276031</v>
      </c>
      <c r="S4">
        <f t="shared" si="12"/>
        <v>121.77094505137545</v>
      </c>
      <c r="T4">
        <f t="shared" si="13"/>
        <v>202.32956902066724</v>
      </c>
      <c r="U4">
        <f t="shared" si="14"/>
        <v>150.77256987009417</v>
      </c>
      <c r="V4">
        <f t="shared" si="15"/>
        <v>259.41212901440434</v>
      </c>
      <c r="W4">
        <f t="shared" si="16"/>
        <v>69.692427770787518</v>
      </c>
      <c r="X4">
        <f t="shared" si="17"/>
        <v>108.08083647952134</v>
      </c>
      <c r="Y4">
        <f t="shared" si="18"/>
        <v>125.63025389596089</v>
      </c>
      <c r="Z4">
        <f t="shared" si="19"/>
        <v>198.11397692191383</v>
      </c>
      <c r="AA4">
        <f t="shared" si="20"/>
        <v>163.33698997616978</v>
      </c>
      <c r="AC4">
        <f>'2026_Fantasy_Hitters'!F5</f>
        <v>147.19717494899231</v>
      </c>
      <c r="AD4">
        <f>'2026_Fantasy_Hitters'!G5</f>
        <v>82.257491586620574</v>
      </c>
      <c r="AE4">
        <f>'2026_Fantasy_Hitters'!H5</f>
        <v>25.715702357936191</v>
      </c>
      <c r="AF4">
        <f>'2026_Fantasy_Hitters'!I5</f>
        <v>1.0166264311273763</v>
      </c>
      <c r="AG4">
        <f>'2026_Fantasy_Hitters'!J5</f>
        <v>38.10163447251108</v>
      </c>
      <c r="AH4">
        <f>'2026_Fantasy_Hitters'!K5</f>
        <v>107.31797919762209</v>
      </c>
      <c r="AI4">
        <f>'2026_Fantasy_Hitters'!L5</f>
        <v>98.999999999999545</v>
      </c>
      <c r="AJ4">
        <f>'2026_Fantasy_Hitters'!M5</f>
        <v>121.83749999999999</v>
      </c>
      <c r="AK4">
        <f>'2026_Fantasy_Hitters'!N5</f>
        <v>8.8957757354692504</v>
      </c>
      <c r="AL4">
        <f>'2026_Fantasy_Hitters'!O5</f>
        <v>120.01500000000001</v>
      </c>
      <c r="AM4">
        <f>'2026_Fantasy_Hitters'!P5</f>
        <v>4.0107014999999997</v>
      </c>
      <c r="AN4">
        <f>'2026_Fantasy_Hitters'!Q5</f>
        <v>4.0118894999999997</v>
      </c>
      <c r="AO4">
        <f>'2026_Fantasy_Hitters'!R5</f>
        <v>0.99839925000000007</v>
      </c>
      <c r="AP4">
        <f>'2026_Fantasy_Hitters'!S5</f>
        <v>21.161810250000002</v>
      </c>
      <c r="AQ4">
        <f>'2026_Fantasy_Hitters'!T5</f>
        <v>5.3804317500000005</v>
      </c>
      <c r="AR4">
        <f>'2026_Fantasy_Hitters'!U5</f>
        <v>15.781378500000002</v>
      </c>
      <c r="AS4">
        <f>'2026_Fantasy_Hitters'!V5</f>
        <v>0.27158150359592675</v>
      </c>
      <c r="AT4">
        <f>'2026_Fantasy_Hitters'!W5</f>
        <v>0.41661347087180428</v>
      </c>
      <c r="AU4">
        <f>'2026_Fantasy_Hitters'!X5</f>
        <v>0.53347843816590301</v>
      </c>
      <c r="AV4">
        <f>'2026_Fantasy_Hitters'!Y5</f>
        <v>0.95009190903770735</v>
      </c>
      <c r="AW4">
        <f>'2026_Fantasy_Hitters'!Z5</f>
        <v>0.28125</v>
      </c>
      <c r="AX4">
        <f>'2026_Fantasy_Hitters'!AA5</f>
        <v>0.17780000000000001</v>
      </c>
      <c r="AY4">
        <f>'2026_Fantasy_Hitters'!AB5</f>
        <v>0.18049999999999999</v>
      </c>
      <c r="AZ4">
        <f t="shared" si="21"/>
        <v>5.6446865885201598E-2</v>
      </c>
    </row>
    <row r="5" spans="1:52">
      <c r="A5" t="s">
        <v>32</v>
      </c>
      <c r="B5" t="s">
        <v>33</v>
      </c>
      <c r="C5" t="s">
        <v>34</v>
      </c>
      <c r="D5">
        <v>598</v>
      </c>
      <c r="E5">
        <v>660</v>
      </c>
      <c r="F5" s="6">
        <f t="shared" si="0"/>
        <v>15.584014926109949</v>
      </c>
      <c r="G5" s="5">
        <f t="shared" si="1"/>
        <v>2.37283511545342</v>
      </c>
      <c r="H5" s="5">
        <f t="shared" si="2"/>
        <v>2.1740995613225471</v>
      </c>
      <c r="I5" s="5">
        <f t="shared" si="3"/>
        <v>1.4451712354226236</v>
      </c>
      <c r="J5" s="5">
        <f t="shared" si="4"/>
        <v>1.5590096877288573</v>
      </c>
      <c r="K5" s="5">
        <f t="shared" si="5"/>
        <v>7.1375655775496302E-2</v>
      </c>
      <c r="L5" s="5">
        <f t="shared" si="6"/>
        <v>0.13511780357313849</v>
      </c>
      <c r="M5" s="5">
        <f t="shared" si="7"/>
        <v>2.4332080458697574</v>
      </c>
      <c r="N5" s="5">
        <f t="shared" si="8"/>
        <v>2.1418369429112536</v>
      </c>
      <c r="O5" s="5">
        <f t="shared" si="9"/>
        <v>2.2782191881421112</v>
      </c>
      <c r="P5" s="1">
        <f t="shared" si="10"/>
        <v>0.97314168991074335</v>
      </c>
      <c r="R5">
        <f t="shared" si="11"/>
        <v>156.09596099965336</v>
      </c>
      <c r="S5">
        <f t="shared" si="12"/>
        <v>144.26963524555239</v>
      </c>
      <c r="T5">
        <f t="shared" si="13"/>
        <v>163.92835328679232</v>
      </c>
      <c r="U5">
        <f t="shared" si="14"/>
        <v>140.11188311160288</v>
      </c>
      <c r="V5">
        <f t="shared" si="15"/>
        <v>102.58316508393558</v>
      </c>
      <c r="W5">
        <f t="shared" si="16"/>
        <v>106.56948783378319</v>
      </c>
      <c r="X5">
        <f t="shared" si="17"/>
        <v>116.05879495893473</v>
      </c>
      <c r="Y5">
        <f t="shared" si="18"/>
        <v>123.54911242843241</v>
      </c>
      <c r="Z5">
        <f t="shared" si="19"/>
        <v>309.48060457045261</v>
      </c>
      <c r="AA5">
        <f t="shared" si="20"/>
        <v>135.34403039069645</v>
      </c>
      <c r="AC5">
        <f>'2026_Fantasy_Hitters'!F4</f>
        <v>174.39367601283976</v>
      </c>
      <c r="AD5">
        <f>'2026_Fantasy_Hitters'!G4</f>
        <v>102.2053662361416</v>
      </c>
      <c r="AE5">
        <f>'2026_Fantasy_Hitters'!H4</f>
        <v>35.43920916955846</v>
      </c>
      <c r="AF5">
        <f>'2026_Fantasy_Hitters'!I4</f>
        <v>5.7236924029653036</v>
      </c>
      <c r="AG5">
        <f>'2026_Fantasy_Hitters'!J4</f>
        <v>30.8701206</v>
      </c>
      <c r="AH5">
        <f>'2026_Fantasy_Hitters'!K4</f>
        <v>104.63414634146298</v>
      </c>
      <c r="AI5">
        <f>'2026_Fantasy_Hitters'!L4</f>
        <v>91.99999999999973</v>
      </c>
      <c r="AJ5">
        <f>'2026_Fantasy_Hitters'!M4</f>
        <v>48.18</v>
      </c>
      <c r="AK5">
        <f>'2026_Fantasy_Hitters'!N4</f>
        <v>5.7286548000000002</v>
      </c>
      <c r="AL5">
        <f>'2026_Fantasy_Hitters'!O4</f>
        <v>112.85999999999933</v>
      </c>
      <c r="AM5">
        <f>'2026_Fantasy_Hitters'!P4</f>
        <v>6.1329245999999999</v>
      </c>
      <c r="AN5">
        <f>'2026_Fantasy_Hitters'!Q4</f>
        <v>6.0365843999999997</v>
      </c>
      <c r="AO5">
        <f>'2026_Fantasy_Hitters'!R4</f>
        <v>0.90000239999999998</v>
      </c>
      <c r="AP5">
        <f>'2026_Fantasy_Hitters'!S4</f>
        <v>34.0051536</v>
      </c>
      <c r="AQ5">
        <f>'2026_Fantasy_Hitters'!T4</f>
        <v>9.3525236593059482</v>
      </c>
      <c r="AR5">
        <f>'2026_Fantasy_Hitters'!U4</f>
        <v>24.652629940694052</v>
      </c>
      <c r="AS5">
        <f>'2026_Fantasy_Hitters'!V4</f>
        <v>0.29162822075725714</v>
      </c>
      <c r="AT5">
        <f>'2026_Fantasy_Hitters'!W4</f>
        <v>0.35631423626971015</v>
      </c>
      <c r="AU5">
        <f>'2026_Fantasy_Hitters'!X4</f>
        <v>0.52464104378621146</v>
      </c>
      <c r="AV5">
        <f>'2026_Fantasy_Hitters'!Y4</f>
        <v>0.88095528005592161</v>
      </c>
      <c r="AW5">
        <f>'2026_Fantasy_Hitters'!Z4</f>
        <v>0.31179999999999902</v>
      </c>
      <c r="AX5">
        <f>'2026_Fantasy_Hitters'!AA4</f>
        <v>0.17099999999999899</v>
      </c>
      <c r="AY5">
        <f>'2026_Fantasy_Hitters'!AB4</f>
        <v>7.2999999999999995E-2</v>
      </c>
      <c r="AZ5">
        <f t="shared" si="21"/>
        <v>4.6772910000000001E-2</v>
      </c>
    </row>
    <row r="6" spans="1:52" s="10" customFormat="1">
      <c r="A6" s="10" t="s">
        <v>122</v>
      </c>
      <c r="B6" s="10" t="s">
        <v>123</v>
      </c>
      <c r="C6" s="10" t="s">
        <v>124</v>
      </c>
      <c r="D6" s="10">
        <v>577</v>
      </c>
      <c r="E6" s="10">
        <v>663</v>
      </c>
      <c r="F6" s="11">
        <f t="shared" si="0"/>
        <v>14.409273240337296</v>
      </c>
      <c r="G6" s="11">
        <f t="shared" si="1"/>
        <v>1.8910929288885774</v>
      </c>
      <c r="H6" s="11">
        <f t="shared" si="2"/>
        <v>2.069157641307434</v>
      </c>
      <c r="I6" s="11">
        <f t="shared" si="3"/>
        <v>1.5447934197224666</v>
      </c>
      <c r="J6" s="11">
        <f t="shared" si="4"/>
        <v>1.7365854680557238</v>
      </c>
      <c r="K6" s="11">
        <f t="shared" si="5"/>
        <v>1.5352473278722152</v>
      </c>
      <c r="L6" s="11">
        <f t="shared" si="6"/>
        <v>0.40926539871978135</v>
      </c>
      <c r="M6" s="11">
        <f t="shared" si="7"/>
        <v>2.8032777186963362</v>
      </c>
      <c r="N6" s="11">
        <f t="shared" si="8"/>
        <v>2.0152999185922353</v>
      </c>
      <c r="O6" s="11">
        <f t="shared" si="9"/>
        <v>-0.65145174124916094</v>
      </c>
      <c r="P6" s="10">
        <f t="shared" si="10"/>
        <v>1.0560051597316862</v>
      </c>
      <c r="R6" s="10">
        <f t="shared" si="11"/>
        <v>144.70714146751101</v>
      </c>
      <c r="S6" s="10">
        <f t="shared" si="12"/>
        <v>142.13277794440336</v>
      </c>
      <c r="T6" s="10">
        <f t="shared" si="13"/>
        <v>168.33522358494065</v>
      </c>
      <c r="U6" s="10">
        <f t="shared" si="14"/>
        <v>144.68074435729503</v>
      </c>
      <c r="V6" s="10">
        <f t="shared" si="15"/>
        <v>155.56232372896397</v>
      </c>
      <c r="W6" s="10">
        <f t="shared" si="16"/>
        <v>119.89866610155984</v>
      </c>
      <c r="X6" s="10">
        <f t="shared" si="17"/>
        <v>118.50119728722301</v>
      </c>
      <c r="Y6" s="10">
        <f t="shared" si="18"/>
        <v>122.15786057711381</v>
      </c>
      <c r="Z6" s="10">
        <f t="shared" si="19"/>
        <v>40.099484142859495</v>
      </c>
      <c r="AA6" s="10">
        <f t="shared" si="20"/>
        <v>138.35359110111938</v>
      </c>
      <c r="AC6" s="10">
        <f>'2026_Fantasy_Hitters'!F16</f>
        <v>171.810634895227</v>
      </c>
      <c r="AD6" s="10">
        <f>'2026_Fantasy_Hitters'!G16</f>
        <v>109.15711589366798</v>
      </c>
      <c r="AE6" s="10">
        <f>'2026_Fantasy_Hitters'!H16</f>
        <v>31.052889136796644</v>
      </c>
      <c r="AF6" s="10">
        <f>'2026_Fantasy_Hitters'!I16</f>
        <v>0.41539020523153608</v>
      </c>
      <c r="AG6" s="10">
        <f>'2026_Fantasy_Hitters'!J16</f>
        <v>31.699999110000004</v>
      </c>
      <c r="AH6" s="10">
        <f>'2026_Fantasy_Hitters'!K16</f>
        <v>96.99999999999973</v>
      </c>
      <c r="AI6" s="10">
        <f>'2026_Fantasy_Hitters'!L16</f>
        <v>94.999997040000011</v>
      </c>
      <c r="AJ6" s="10">
        <f>'2026_Fantasy_Hitters'!M16</f>
        <v>73.062599999999335</v>
      </c>
      <c r="AK6" s="10">
        <f>'2026_Fantasy_Hitters'!N16</f>
        <v>8.440944720000001</v>
      </c>
      <c r="AL6" s="10">
        <f>'2026_Fantasy_Hitters'!O16</f>
        <v>89.770199999999988</v>
      </c>
      <c r="AM6" s="10">
        <f>'2026_Fantasy_Hitters'!P16</f>
        <v>6.9000001199999996</v>
      </c>
      <c r="AN6" s="10">
        <f>'2026_Fantasy_Hitters'!Q16</f>
        <v>3.9999983399999999</v>
      </c>
      <c r="AO6" s="10">
        <f>'2026_Fantasy_Hitters'!R16</f>
        <v>0</v>
      </c>
      <c r="AP6" s="10">
        <f>'2026_Fantasy_Hitters'!S16</f>
        <v>5.2146541200000005</v>
      </c>
      <c r="AQ6" s="10">
        <f>'2026_Fantasy_Hitters'!T16</f>
        <v>2.0204063100000003</v>
      </c>
      <c r="AR6" s="10">
        <f>'2026_Fantasy_Hitters'!U16</f>
        <v>3.1942478100000002</v>
      </c>
      <c r="AS6" s="10">
        <f>'2026_Fantasy_Hitters'!V16</f>
        <v>0.29776539843193589</v>
      </c>
      <c r="AT6" s="10">
        <f>'2026_Fantasy_Hitters'!W16</f>
        <v>0.39277401979367255</v>
      </c>
      <c r="AU6" s="10">
        <f>'2026_Fantasy_Hitters'!X16</f>
        <v>0.51873320835867576</v>
      </c>
      <c r="AV6" s="10">
        <f>'2026_Fantasy_Hitters'!Y16</f>
        <v>0.9115072281523483</v>
      </c>
      <c r="AW6" s="10">
        <f>'2026_Fantasy_Hitters'!Z16</f>
        <v>0.3049</v>
      </c>
      <c r="AX6" s="10">
        <f>'2026_Fantasy_Hitters'!AA16</f>
        <v>0.13539999999999999</v>
      </c>
      <c r="AY6" s="10">
        <f>'2026_Fantasy_Hitters'!AB16</f>
        <v>0.11019999999999899</v>
      </c>
      <c r="AZ6" s="10">
        <f t="shared" si="21"/>
        <v>4.7812970000000003E-2</v>
      </c>
    </row>
    <row r="7" spans="1:52">
      <c r="A7" t="s">
        <v>65</v>
      </c>
      <c r="B7" t="s">
        <v>66</v>
      </c>
      <c r="C7" t="s">
        <v>20</v>
      </c>
      <c r="D7">
        <v>533</v>
      </c>
      <c r="E7">
        <v>629</v>
      </c>
      <c r="F7" s="6">
        <f t="shared" si="0"/>
        <v>14.083324373026548</v>
      </c>
      <c r="G7" s="5">
        <f t="shared" si="1"/>
        <v>2.2048890460640336</v>
      </c>
      <c r="H7" s="5">
        <f t="shared" si="2"/>
        <v>1.200663436330943</v>
      </c>
      <c r="I7" s="5">
        <f t="shared" si="3"/>
        <v>1.2388442471575607</v>
      </c>
      <c r="J7" s="5">
        <f t="shared" si="4"/>
        <v>0.73032189523158786</v>
      </c>
      <c r="K7" s="5">
        <f t="shared" si="5"/>
        <v>2.1400255424473977</v>
      </c>
      <c r="L7" s="5">
        <f t="shared" si="6"/>
        <v>0.79144092211900874</v>
      </c>
      <c r="M7" s="5">
        <f t="shared" si="7"/>
        <v>1.8670555365492514</v>
      </c>
      <c r="N7" s="5">
        <f t="shared" si="8"/>
        <v>1.5815060363317075</v>
      </c>
      <c r="O7" s="5">
        <f t="shared" si="9"/>
        <v>1.3894829750920343</v>
      </c>
      <c r="P7" s="1">
        <f t="shared" si="10"/>
        <v>0.93909473570302271</v>
      </c>
      <c r="R7">
        <f t="shared" si="11"/>
        <v>152.12556453293053</v>
      </c>
      <c r="S7">
        <f t="shared" si="12"/>
        <v>124.44825127820204</v>
      </c>
      <c r="T7">
        <f t="shared" si="13"/>
        <v>154.8013071104605</v>
      </c>
      <c r="U7">
        <f t="shared" si="14"/>
        <v>118.79050959461928</v>
      </c>
      <c r="V7">
        <f t="shared" si="15"/>
        <v>177.44992602756128</v>
      </c>
      <c r="W7">
        <f t="shared" si="16"/>
        <v>138.48021039066549</v>
      </c>
      <c r="X7">
        <f t="shared" si="17"/>
        <v>112.32227638293499</v>
      </c>
      <c r="Y7">
        <f t="shared" si="18"/>
        <v>117.38837476824817</v>
      </c>
      <c r="Z7">
        <f t="shared" si="19"/>
        <v>227.76195336147529</v>
      </c>
      <c r="AA7">
        <f t="shared" si="20"/>
        <v>134.10746166005384</v>
      </c>
      <c r="AC7">
        <f>'2026_Fantasy_Hitters'!F8</f>
        <v>150.43351275433619</v>
      </c>
      <c r="AD7">
        <f>'2026_Fantasy_Hitters'!G8</f>
        <v>93.634355153568521</v>
      </c>
      <c r="AE7">
        <f>'2026_Fantasy_Hitters'!H8</f>
        <v>24.765240654401975</v>
      </c>
      <c r="AF7">
        <f>'2026_Fantasy_Hitters'!I8</f>
        <v>1.9731801243268414</v>
      </c>
      <c r="AG7">
        <f>'2026_Fantasy_Hitters'!J8</f>
        <v>29.151363530000001</v>
      </c>
      <c r="AH7">
        <f>'2026_Fantasy_Hitters'!K8</f>
        <v>101.97271268057774</v>
      </c>
      <c r="AI7">
        <f>'2026_Fantasy_Hitters'!L8</f>
        <v>77.999999999999403</v>
      </c>
      <c r="AJ7">
        <f>'2026_Fantasy_Hitters'!M8</f>
        <v>83.342500000000001</v>
      </c>
      <c r="AK7">
        <f>'2026_Fantasy_Hitters'!N8</f>
        <v>3.7529536600000002</v>
      </c>
      <c r="AL7">
        <f>'2026_Fantasy_Hitters'!O8</f>
        <v>129.82559999999938</v>
      </c>
      <c r="AM7">
        <f>'2026_Fantasy_Hitters'!P8</f>
        <v>7.9693419399999996</v>
      </c>
      <c r="AN7">
        <f>'2026_Fantasy_Hitters'!Q8</f>
        <v>4.0385259499999995</v>
      </c>
      <c r="AO7">
        <f>'2026_Fantasy_Hitters'!R8</f>
        <v>0.89999836</v>
      </c>
      <c r="AP7">
        <f>'2026_Fantasy_Hitters'!S8</f>
        <v>24.788789360000003</v>
      </c>
      <c r="AQ7">
        <f>'2026_Fantasy_Hitters'!T8</f>
        <v>6.645710059171507</v>
      </c>
      <c r="AR7">
        <f>'2026_Fantasy_Hitters'!U8</f>
        <v>18.143079300828497</v>
      </c>
      <c r="AS7">
        <f>'2026_Fantasy_Hitters'!V8</f>
        <v>0.28223923593684086</v>
      </c>
      <c r="AT7">
        <f>'2026_Fantasy_Hitters'!W8</f>
        <v>0.39334232131975844</v>
      </c>
      <c r="AU7">
        <f>'2026_Fantasy_Hitters'!X8</f>
        <v>0.49847998303068103</v>
      </c>
      <c r="AV7">
        <f>'2026_Fantasy_Hitters'!Y8</f>
        <v>0.89182230435043941</v>
      </c>
      <c r="AW7">
        <f>'2026_Fantasy_Hitters'!Z8</f>
        <v>0.32079999999999997</v>
      </c>
      <c r="AX7">
        <f>'2026_Fantasy_Hitters'!AA8</f>
        <v>0.206399999999999</v>
      </c>
      <c r="AY7">
        <f>'2026_Fantasy_Hitters'!AB8</f>
        <v>0.13250000000000001</v>
      </c>
      <c r="AZ7">
        <f t="shared" si="21"/>
        <v>4.6345570000000003E-2</v>
      </c>
    </row>
    <row r="8" spans="1:52" s="10" customFormat="1">
      <c r="A8" s="10" t="s">
        <v>1365</v>
      </c>
      <c r="B8" s="10" t="s">
        <v>200</v>
      </c>
      <c r="C8" s="10" t="s">
        <v>20</v>
      </c>
      <c r="D8" s="10">
        <v>469</v>
      </c>
      <c r="E8" s="10">
        <v>553</v>
      </c>
      <c r="F8" s="11">
        <f t="shared" si="0"/>
        <v>13.328846503787112</v>
      </c>
      <c r="G8" s="11">
        <f t="shared" si="1"/>
        <v>1.0108784839682585</v>
      </c>
      <c r="H8" s="11">
        <f t="shared" si="2"/>
        <v>0.65199460019900068</v>
      </c>
      <c r="I8" s="11">
        <f t="shared" si="3"/>
        <v>1.6985425715314486</v>
      </c>
      <c r="J8" s="11">
        <f t="shared" si="4"/>
        <v>1.0854738063018678</v>
      </c>
      <c r="K8" s="11">
        <f t="shared" si="5"/>
        <v>1.3133539250265971</v>
      </c>
      <c r="L8" s="11">
        <f t="shared" si="6"/>
        <v>0.79964952259993149</v>
      </c>
      <c r="M8" s="11">
        <f t="shared" si="7"/>
        <v>2.4531286380301833</v>
      </c>
      <c r="N8" s="11">
        <f t="shared" si="8"/>
        <v>3.0660537091605975</v>
      </c>
      <c r="O8" s="11">
        <f t="shared" si="9"/>
        <v>-0.74849315903983094</v>
      </c>
      <c r="P8" s="10">
        <f t="shared" si="10"/>
        <v>1.9982644060090591</v>
      </c>
      <c r="R8" s="10">
        <f t="shared" si="11"/>
        <v>123.89807856549537</v>
      </c>
      <c r="S8" s="10">
        <f t="shared" si="12"/>
        <v>113.27609997553257</v>
      </c>
      <c r="T8" s="10">
        <f t="shared" si="13"/>
        <v>175.1364453733849</v>
      </c>
      <c r="U8" s="10">
        <f t="shared" si="14"/>
        <v>127.92824110189852</v>
      </c>
      <c r="V8" s="10">
        <f t="shared" si="15"/>
        <v>147.53175245982715</v>
      </c>
      <c r="W8" s="10">
        <f t="shared" si="16"/>
        <v>138.87931620474586</v>
      </c>
      <c r="X8" s="10">
        <f t="shared" si="17"/>
        <v>116.19026777134296</v>
      </c>
      <c r="Y8" s="10">
        <f t="shared" si="18"/>
        <v>133.71070974735116</v>
      </c>
      <c r="Z8" s="10">
        <f t="shared" si="19"/>
        <v>31.176596049839276</v>
      </c>
      <c r="AA8" s="10">
        <f t="shared" si="20"/>
        <v>172.57598623804611</v>
      </c>
      <c r="AC8" s="10">
        <f>'2026_Fantasy_Hitters'!F27</f>
        <v>136.92857437053843</v>
      </c>
      <c r="AD8" s="10">
        <f>'2026_Fantasy_Hitters'!G27</f>
        <v>76.517134338996783</v>
      </c>
      <c r="AE8" s="10">
        <f>'2026_Fantasy_Hitters'!H27</f>
        <v>27.133434429866139</v>
      </c>
      <c r="AF8" s="10">
        <f>'2026_Fantasy_Hitters'!I27</f>
        <v>1.1956990518531825</v>
      </c>
      <c r="AG8" s="10">
        <f>'2026_Fantasy_Hitters'!J27</f>
        <v>32.980769230769205</v>
      </c>
      <c r="AH8" s="10">
        <f>'2026_Fantasy_Hitters'!K27</f>
        <v>83.051282051281959</v>
      </c>
      <c r="AI8" s="10">
        <f>'2026_Fantasy_Hitters'!L27</f>
        <v>83.999999999999901</v>
      </c>
      <c r="AJ8" s="10">
        <f>'2026_Fantasy_Hitters'!M27</f>
        <v>69.290899999999993</v>
      </c>
      <c r="AK8" s="10">
        <f>'2026_Fantasy_Hitters'!N27</f>
        <v>10.514182692307639</v>
      </c>
      <c r="AL8" s="10">
        <f>'2026_Fantasy_Hitters'!O27</f>
        <v>94.590650000000011</v>
      </c>
      <c r="AM8" s="10">
        <f>'2026_Fantasy_Hitters'!P27</f>
        <v>7.9923099199999994</v>
      </c>
      <c r="AN8" s="10">
        <f>'2026_Fantasy_Hitters'!Q27</f>
        <v>5.0641030300000001</v>
      </c>
      <c r="AO8" s="10">
        <f>'2026_Fantasy_Hitters'!R27</f>
        <v>0.90000197000000004</v>
      </c>
      <c r="AP8" s="10">
        <f>'2026_Fantasy_Hitters'!S27</f>
        <v>3.48437558</v>
      </c>
      <c r="AQ8" s="10">
        <f>'2026_Fantasy_Hitters'!T27</f>
        <v>1.00090788</v>
      </c>
      <c r="AR8" s="10">
        <f>'2026_Fantasy_Hitters'!U27</f>
        <v>2.4834677000000003</v>
      </c>
      <c r="AS8" s="10">
        <f>'2026_Fantasy_Hitters'!V27</f>
        <v>0.29195858074741671</v>
      </c>
      <c r="AT8" s="10">
        <f>'2026_Fantasy_Hitters'!W27</f>
        <v>0.40573834539969611</v>
      </c>
      <c r="AU8" s="10">
        <f>'2026_Fantasy_Hitters'!X27</f>
        <v>0.56779142276623751</v>
      </c>
      <c r="AV8" s="10">
        <f>'2026_Fantasy_Hitters'!Y27</f>
        <v>0.97352976816593362</v>
      </c>
      <c r="AW8" s="10">
        <f>'2026_Fantasy_Hitters'!Z27</f>
        <v>0.3</v>
      </c>
      <c r="AX8" s="10">
        <f>'2026_Fantasy_Hitters'!AA27</f>
        <v>0.17105000000000001</v>
      </c>
      <c r="AY8" s="10">
        <f>'2026_Fantasy_Hitters'!AB27</f>
        <v>0.12529999999999999</v>
      </c>
      <c r="AZ8" s="10">
        <f t="shared" si="21"/>
        <v>5.96397273612463E-2</v>
      </c>
    </row>
    <row r="9" spans="1:52" s="10" customFormat="1">
      <c r="A9" s="10" t="s">
        <v>142</v>
      </c>
      <c r="B9" s="10" t="s">
        <v>107</v>
      </c>
      <c r="C9" s="10" t="s">
        <v>124</v>
      </c>
      <c r="D9" s="10">
        <v>575</v>
      </c>
      <c r="E9" s="10">
        <v>655</v>
      </c>
      <c r="F9" s="11">
        <f t="shared" si="0"/>
        <v>12.71929297005337</v>
      </c>
      <c r="G9" s="11">
        <f t="shared" si="1"/>
        <v>1.3022877147221847</v>
      </c>
      <c r="H9" s="11">
        <f t="shared" si="2"/>
        <v>0.99273608487751863</v>
      </c>
      <c r="I9" s="11">
        <f t="shared" si="3"/>
        <v>2.1997735006999179</v>
      </c>
      <c r="J9" s="11">
        <f t="shared" si="4"/>
        <v>2.2101215246909778</v>
      </c>
      <c r="K9" s="11">
        <f t="shared" si="5"/>
        <v>0.86297803188964506</v>
      </c>
      <c r="L9" s="11">
        <f t="shared" si="6"/>
        <v>2.6215294285508923</v>
      </c>
      <c r="M9" s="11">
        <f t="shared" si="7"/>
        <v>8.7222391225349055E-2</v>
      </c>
      <c r="N9" s="11">
        <f t="shared" si="8"/>
        <v>1.5976531907335869</v>
      </c>
      <c r="O9" s="11">
        <f t="shared" si="9"/>
        <v>-0.92120703892951594</v>
      </c>
      <c r="P9" s="10">
        <f t="shared" si="10"/>
        <v>1.7661981415928156</v>
      </c>
      <c r="R9" s="10">
        <f t="shared" si="11"/>
        <v>130.78725545640106</v>
      </c>
      <c r="S9" s="10">
        <f t="shared" si="12"/>
        <v>120.2143752542276</v>
      </c>
      <c r="T9" s="10">
        <f t="shared" si="13"/>
        <v>197.30881300204067</v>
      </c>
      <c r="U9" s="10">
        <f t="shared" si="14"/>
        <v>156.86439087494662</v>
      </c>
      <c r="V9" s="10">
        <f t="shared" si="15"/>
        <v>131.23214345228126</v>
      </c>
      <c r="W9" s="10">
        <f t="shared" si="16"/>
        <v>227.45992927162615</v>
      </c>
      <c r="X9" s="10">
        <f t="shared" si="17"/>
        <v>100.57565422689339</v>
      </c>
      <c r="Y9" s="10">
        <f t="shared" si="18"/>
        <v>117.56590983022738</v>
      </c>
      <c r="Z9" s="10">
        <f t="shared" si="19"/>
        <v>15.295679865253575</v>
      </c>
      <c r="AA9" s="10">
        <f t="shared" si="20"/>
        <v>164.14745297591099</v>
      </c>
      <c r="AC9" s="10">
        <f>'2026_Fantasy_Hitters'!F19</f>
        <v>145.31558754196001</v>
      </c>
      <c r="AD9" s="10">
        <f>'2026_Fantasy_Hitters'!G19</f>
        <v>81.292758877910728</v>
      </c>
      <c r="AE9" s="10">
        <f>'2026_Fantasy_Hitters'!H19</f>
        <v>26.843273385813934</v>
      </c>
      <c r="AF9" s="10">
        <f>'2026_Fantasy_Hitters'!I19</f>
        <v>1.1518537107970575</v>
      </c>
      <c r="AG9" s="10">
        <f>'2026_Fantasy_Hitters'!J19</f>
        <v>37.156152249999998</v>
      </c>
      <c r="AH9" s="10">
        <f>'2026_Fantasy_Hitters'!K19</f>
        <v>87.669230769230211</v>
      </c>
      <c r="AI9" s="10">
        <f>'2026_Fantasy_Hitters'!L19</f>
        <v>102.99999999999963</v>
      </c>
      <c r="AJ9" s="10">
        <f>'2026_Fantasy_Hitters'!M19</f>
        <v>61.6355</v>
      </c>
      <c r="AK9" s="10">
        <f>'2026_Fantasy_Hitters'!N19</f>
        <v>4.8632308999999996</v>
      </c>
      <c r="AL9" s="10">
        <f>'2026_Fantasy_Hitters'!O19</f>
        <v>149.50375</v>
      </c>
      <c r="AM9" s="10">
        <f>'2026_Fantasy_Hitters'!P19</f>
        <v>13.089999999999947</v>
      </c>
      <c r="AN9" s="10">
        <f>'2026_Fantasy_Hitters'!Q19</f>
        <v>5.0384630499999998</v>
      </c>
      <c r="AO9" s="10">
        <f>'2026_Fantasy_Hitters'!R19</f>
        <v>0</v>
      </c>
      <c r="AP9" s="10">
        <f>'2026_Fantasy_Hitters'!S19</f>
        <v>2.2234891999999999</v>
      </c>
      <c r="AQ9" s="10">
        <f>'2026_Fantasy_Hitters'!T19</f>
        <v>1.0050647499999998</v>
      </c>
      <c r="AR9" s="10">
        <f>'2026_Fantasy_Hitters'!U19</f>
        <v>1.2184244500000001</v>
      </c>
      <c r="AS9" s="10">
        <f>'2026_Fantasy_Hitters'!V19</f>
        <v>0.25272276094253915</v>
      </c>
      <c r="AT9" s="10">
        <f>'2026_Fantasy_Hitters'!W19</f>
        <v>0.34785983010182853</v>
      </c>
      <c r="AU9" s="10">
        <f>'2026_Fantasy_Hitters'!X19</f>
        <v>0.4992338709250953</v>
      </c>
      <c r="AV9" s="10">
        <f>'2026_Fantasy_Hitters'!Y19</f>
        <v>0.84709370102692383</v>
      </c>
      <c r="AW9" s="10">
        <f>'2026_Fantasy_Hitters'!Z19</f>
        <v>0.27495000000000003</v>
      </c>
      <c r="AX9" s="10">
        <f>'2026_Fantasy_Hitters'!AA19</f>
        <v>0.22825000000000001</v>
      </c>
      <c r="AY9" s="10">
        <f>'2026_Fantasy_Hitters'!AB19</f>
        <v>9.4100000000000003E-2</v>
      </c>
      <c r="AZ9" s="10">
        <f t="shared" si="21"/>
        <v>5.6726949999999998E-2</v>
      </c>
    </row>
    <row r="10" spans="1:52">
      <c r="A10" s="1" t="s">
        <v>1363</v>
      </c>
      <c r="B10" t="s">
        <v>74</v>
      </c>
      <c r="C10" t="s">
        <v>20</v>
      </c>
      <c r="D10">
        <v>599</v>
      </c>
      <c r="E10">
        <v>659</v>
      </c>
      <c r="F10" s="6">
        <f t="shared" si="0"/>
        <v>12.100650113763537</v>
      </c>
      <c r="G10" s="5">
        <f t="shared" si="1"/>
        <v>1.810717842676669</v>
      </c>
      <c r="H10" s="5">
        <f t="shared" si="2"/>
        <v>1.7404769733620573</v>
      </c>
      <c r="I10" s="5">
        <f t="shared" si="3"/>
        <v>1.1357620812371916</v>
      </c>
      <c r="J10" s="5">
        <f t="shared" si="4"/>
        <v>1.4998177025504817</v>
      </c>
      <c r="K10" s="5">
        <f t="shared" si="5"/>
        <v>2.8311262827217902E-2</v>
      </c>
      <c r="L10" s="5">
        <f t="shared" si="6"/>
        <v>1.1819240546447267</v>
      </c>
      <c r="M10" s="5">
        <f t="shared" si="7"/>
        <v>1.3294106012066451</v>
      </c>
      <c r="N10" s="5">
        <f t="shared" si="8"/>
        <v>0.9117905370189312</v>
      </c>
      <c r="O10" s="5">
        <f t="shared" si="9"/>
        <v>1.7952522826335162</v>
      </c>
      <c r="P10" s="1">
        <f t="shared" si="10"/>
        <v>0.66718677560610129</v>
      </c>
      <c r="R10">
        <f t="shared" si="11"/>
        <v>142.80700197946848</v>
      </c>
      <c r="S10">
        <f t="shared" si="12"/>
        <v>135.44008845535581</v>
      </c>
      <c r="T10">
        <f t="shared" si="13"/>
        <v>150.24138164349813</v>
      </c>
      <c r="U10">
        <f t="shared" si="14"/>
        <v>138.58892786038979</v>
      </c>
      <c r="V10">
        <f t="shared" si="15"/>
        <v>101.02461637406756</v>
      </c>
      <c r="W10">
        <f t="shared" si="16"/>
        <v>157.46567433832868</v>
      </c>
      <c r="X10">
        <f t="shared" si="17"/>
        <v>108.7739033648397</v>
      </c>
      <c r="Y10">
        <f t="shared" si="18"/>
        <v>110.02497316077395</v>
      </c>
      <c r="Z10">
        <f t="shared" si="19"/>
        <v>265.07214735086126</v>
      </c>
      <c r="AA10">
        <f t="shared" si="20"/>
        <v>124.23189749013395</v>
      </c>
      <c r="AC10">
        <f>'2026_Fantasy_Hitters'!F9</f>
        <v>163.7204867471365</v>
      </c>
      <c r="AD10">
        <f>'2026_Fantasy_Hitters'!G9</f>
        <v>104.06217176818876</v>
      </c>
      <c r="AE10">
        <f>'2026_Fantasy_Hitters'!H9</f>
        <v>26.835560621669309</v>
      </c>
      <c r="AF10">
        <f>'2026_Fantasy_Hitters'!I9</f>
        <v>2.9853303297974771</v>
      </c>
      <c r="AG10">
        <f>'2026_Fantasy_Hitters'!J9</f>
        <v>28.292662480000001</v>
      </c>
      <c r="AH10">
        <f>'2026_Fantasy_Hitters'!K9</f>
        <v>95.726299694189279</v>
      </c>
      <c r="AI10">
        <f>'2026_Fantasy_Hitters'!L9</f>
        <v>90.999999999999702</v>
      </c>
      <c r="AJ10">
        <f>'2026_Fantasy_Hitters'!M9</f>
        <v>47.447999999999993</v>
      </c>
      <c r="AK10">
        <f>'2026_Fantasy_Hitters'!N9</f>
        <v>4.6069899200000002</v>
      </c>
      <c r="AL10">
        <f>'2026_Fantasy_Hitters'!O9</f>
        <v>145.01294999999999</v>
      </c>
      <c r="AM10">
        <f>'2026_Fantasy_Hitters'!P9</f>
        <v>9.0619287699999997</v>
      </c>
      <c r="AN10">
        <f>'2026_Fantasy_Hitters'!Q9</f>
        <v>4.0305823900000002</v>
      </c>
      <c r="AO10">
        <f>'2026_Fantasy_Hitters'!R9</f>
        <v>0</v>
      </c>
      <c r="AP10">
        <f>'2026_Fantasy_Hitters'!S9</f>
        <v>27.964651819999997</v>
      </c>
      <c r="AQ10">
        <f>'2026_Fantasy_Hitters'!T9</f>
        <v>6.8495141999999998</v>
      </c>
      <c r="AR10">
        <f>'2026_Fantasy_Hitters'!U9</f>
        <v>21.115137619999999</v>
      </c>
      <c r="AS10">
        <f>'2026_Fantasy_Hitters'!V9</f>
        <v>0.27332301627234806</v>
      </c>
      <c r="AT10">
        <f>'2026_Fantasy_Hitters'!W9</f>
        <v>0.34321837472973504</v>
      </c>
      <c r="AU10">
        <f>'2026_Fantasy_Hitters'!X9</f>
        <v>0.4672119097177293</v>
      </c>
      <c r="AV10">
        <f>'2026_Fantasy_Hitters'!Y9</f>
        <v>0.81043028444746434</v>
      </c>
      <c r="AW10">
        <f>'2026_Fantasy_Hitters'!Z9</f>
        <v>0.31514999999999999</v>
      </c>
      <c r="AX10">
        <f>'2026_Fantasy_Hitters'!AA9</f>
        <v>0.22005</v>
      </c>
      <c r="AY10">
        <f>'2026_Fantasy_Hitters'!AB9</f>
        <v>7.1999999999999995E-2</v>
      </c>
      <c r="AZ10">
        <f t="shared" si="21"/>
        <v>4.2932720000000001E-2</v>
      </c>
    </row>
    <row r="11" spans="1:52" s="10" customFormat="1">
      <c r="A11" s="10" t="s">
        <v>115</v>
      </c>
      <c r="B11" s="10" t="s">
        <v>116</v>
      </c>
      <c r="C11" s="10" t="s">
        <v>20</v>
      </c>
      <c r="D11" s="10">
        <v>549</v>
      </c>
      <c r="E11" s="10">
        <v>657</v>
      </c>
      <c r="F11" s="11">
        <f t="shared" si="0"/>
        <v>11.944103416900667</v>
      </c>
      <c r="G11" s="11">
        <f t="shared" si="1"/>
        <v>1.7472708995531869</v>
      </c>
      <c r="H11" s="11">
        <f t="shared" si="2"/>
        <v>0.18891883065640833</v>
      </c>
      <c r="I11" s="11">
        <f t="shared" si="3"/>
        <v>2.5983112940022295</v>
      </c>
      <c r="J11" s="11">
        <f t="shared" si="4"/>
        <v>2.3285054950477297</v>
      </c>
      <c r="K11" s="11">
        <f t="shared" si="5"/>
        <v>2.9844523972886754</v>
      </c>
      <c r="L11" s="11">
        <f t="shared" si="6"/>
        <v>0.46227137579151489</v>
      </c>
      <c r="M11" s="11">
        <f t="shared" si="7"/>
        <v>-1.3641837821899678</v>
      </c>
      <c r="N11" s="11">
        <f t="shared" si="8"/>
        <v>1.3970053225505579</v>
      </c>
      <c r="O11" s="11">
        <f t="shared" si="9"/>
        <v>-0.55348246931777112</v>
      </c>
      <c r="P11" s="10">
        <f t="shared" si="10"/>
        <v>2.1550340535181052</v>
      </c>
      <c r="R11" s="10">
        <f t="shared" si="11"/>
        <v>141.30705905304143</v>
      </c>
      <c r="S11" s="10">
        <f t="shared" si="12"/>
        <v>103.84681910293384</v>
      </c>
      <c r="T11" s="10">
        <f t="shared" si="13"/>
        <v>214.93846423220651</v>
      </c>
      <c r="U11" s="10">
        <f t="shared" si="14"/>
        <v>159.91030137737283</v>
      </c>
      <c r="V11" s="10">
        <f t="shared" si="15"/>
        <v>208.01068156338027</v>
      </c>
      <c r="W11" s="10">
        <f t="shared" si="16"/>
        <v>122.47584033235655</v>
      </c>
      <c r="X11" s="10">
        <f t="shared" si="17"/>
        <v>90.996599044755385</v>
      </c>
      <c r="Y11" s="10">
        <f t="shared" si="18"/>
        <v>115.35982256387135</v>
      </c>
      <c r="Z11" s="10">
        <f t="shared" si="19"/>
        <v>49.107687752210552</v>
      </c>
      <c r="AA11" s="10">
        <f t="shared" si="20"/>
        <v>178.26978318801204</v>
      </c>
      <c r="AC11" s="10">
        <f>'2026_Fantasy_Hitters'!F15</f>
        <v>125.53042429737016</v>
      </c>
      <c r="AD11" s="10">
        <f>'2026_Fantasy_Hitters'!G15</f>
        <v>62.681664605311042</v>
      </c>
      <c r="AE11" s="10">
        <f>'2026_Fantasy_Hitters'!H15</f>
        <v>20.639572871465894</v>
      </c>
      <c r="AF11" s="10">
        <f>'2026_Fantasy_Hitters'!I15</f>
        <v>1.0237571703423614</v>
      </c>
      <c r="AG11" s="10">
        <f>'2026_Fantasy_Hitters'!J15</f>
        <v>40.476074940000004</v>
      </c>
      <c r="AH11" s="10">
        <f>'2026_Fantasy_Hitters'!K15</f>
        <v>94.720858895705319</v>
      </c>
      <c r="AI11" s="10">
        <f>'2026_Fantasy_Hitters'!L15</f>
        <v>104.99999999999966</v>
      </c>
      <c r="AJ11" s="10">
        <f>'2026_Fantasy_Hitters'!M15</f>
        <v>97.695899999999995</v>
      </c>
      <c r="AK11" s="10">
        <f>'2026_Fantasy_Hitters'!N15</f>
        <v>4.5960763499999997</v>
      </c>
      <c r="AL11" s="10">
        <f>'2026_Fantasy_Hitters'!O15</f>
        <v>185.66819999999936</v>
      </c>
      <c r="AM11" s="10">
        <f>'2026_Fantasy_Hitters'!P15</f>
        <v>7.0483128834355462</v>
      </c>
      <c r="AN11" s="10">
        <f>'2026_Fantasy_Hitters'!Q15</f>
        <v>3.0230081100000001</v>
      </c>
      <c r="AO11" s="10">
        <f>'2026_Fantasy_Hitters'!R15</f>
        <v>0.89999802000000007</v>
      </c>
      <c r="AP11" s="10">
        <f>'2026_Fantasy_Hitters'!S15</f>
        <v>5.9365863000000001</v>
      </c>
      <c r="AQ11" s="10">
        <f>'2026_Fantasy_Hitters'!T15</f>
        <v>2.0247623099999998</v>
      </c>
      <c r="AR11" s="10">
        <f>'2026_Fantasy_Hitters'!U15</f>
        <v>3.9118239900000003</v>
      </c>
      <c r="AS11" s="10">
        <f>'2026_Fantasy_Hitters'!V15</f>
        <v>0.22865286757262324</v>
      </c>
      <c r="AT11" s="10">
        <f>'2026_Fantasy_Hitters'!W15</f>
        <v>0.35895664795853993</v>
      </c>
      <c r="AU11" s="10">
        <f>'2026_Fantasy_Hitters'!X15</f>
        <v>0.48986590458883411</v>
      </c>
      <c r="AV11" s="10">
        <f>'2026_Fantasy_Hitters'!Y15</f>
        <v>0.84882255254737404</v>
      </c>
      <c r="AW11" s="10">
        <f>'2026_Fantasy_Hitters'!Z15</f>
        <v>0.26100000000000001</v>
      </c>
      <c r="AX11" s="10">
        <f>'2026_Fantasy_Hitters'!AA15</f>
        <v>0.28259999999999902</v>
      </c>
      <c r="AY11" s="10">
        <f>'2026_Fantasy_Hitters'!AB15</f>
        <v>0.1487</v>
      </c>
      <c r="AZ11" s="10">
        <f t="shared" si="21"/>
        <v>6.1607420000000003E-2</v>
      </c>
    </row>
    <row r="12" spans="1:52">
      <c r="A12" s="1" t="s">
        <v>1364</v>
      </c>
      <c r="B12" t="s">
        <v>130</v>
      </c>
      <c r="C12" t="s">
        <v>20</v>
      </c>
      <c r="D12">
        <v>565</v>
      </c>
      <c r="E12">
        <v>646</v>
      </c>
      <c r="F12" s="6">
        <f t="shared" si="0"/>
        <v>11.799252978872929</v>
      </c>
      <c r="G12" s="5">
        <f t="shared" si="1"/>
        <v>1.9734019842399897</v>
      </c>
      <c r="H12" s="5">
        <f t="shared" si="2"/>
        <v>1.3488780122133248</v>
      </c>
      <c r="I12" s="5">
        <f t="shared" si="3"/>
        <v>1.2184001255608099</v>
      </c>
      <c r="J12" s="5">
        <f t="shared" si="4"/>
        <v>0.90789785076671925</v>
      </c>
      <c r="K12" s="5">
        <f t="shared" si="5"/>
        <v>1.3262202948869648</v>
      </c>
      <c r="L12" s="5">
        <f t="shared" si="6"/>
        <v>9.3605987029585405E-2</v>
      </c>
      <c r="M12" s="5">
        <f t="shared" si="7"/>
        <v>1.2925011439217295</v>
      </c>
      <c r="N12" s="5">
        <f t="shared" si="8"/>
        <v>1.1943728312483544</v>
      </c>
      <c r="O12" s="5">
        <f t="shared" si="9"/>
        <v>1.623053235627979</v>
      </c>
      <c r="P12" s="1">
        <f t="shared" si="10"/>
        <v>0.82092151337747132</v>
      </c>
      <c r="R12">
        <f t="shared" si="11"/>
        <v>146.65300172928855</v>
      </c>
      <c r="S12">
        <f t="shared" si="12"/>
        <v>127.46623873798325</v>
      </c>
      <c r="T12">
        <f t="shared" si="13"/>
        <v>153.89694436365215</v>
      </c>
      <c r="U12">
        <f t="shared" si="14"/>
        <v>123.35937534825868</v>
      </c>
      <c r="V12">
        <f t="shared" si="15"/>
        <v>147.99740082437381</v>
      </c>
      <c r="W12">
        <f t="shared" si="16"/>
        <v>104.55116481098852</v>
      </c>
      <c r="X12">
        <f t="shared" si="17"/>
        <v>108.53030668284198</v>
      </c>
      <c r="Y12">
        <f t="shared" si="18"/>
        <v>113.13191472283702</v>
      </c>
      <c r="Z12">
        <f t="shared" si="19"/>
        <v>249.23856967715517</v>
      </c>
      <c r="AA12">
        <f t="shared" si="20"/>
        <v>129.81546800225064</v>
      </c>
      <c r="AC12">
        <f>'2026_Fantasy_Hitters'!F17</f>
        <v>154.08166731143399</v>
      </c>
      <c r="AD12">
        <f>'2026_Fantasy_Hitters'!G17</f>
        <v>93.82545644357549</v>
      </c>
      <c r="AE12">
        <f>'2026_Fantasy_Hitters'!H17</f>
        <v>27.491867048872869</v>
      </c>
      <c r="AF12">
        <f>'2026_Fantasy_Hitters'!I17</f>
        <v>2.2318524035511342</v>
      </c>
      <c r="AG12">
        <f>'2026_Fantasy_Hitters'!J17</f>
        <v>28.981058719999996</v>
      </c>
      <c r="AH12">
        <f>'2026_Fantasy_Hitters'!K17</f>
        <v>98.304347826086783</v>
      </c>
      <c r="AI12">
        <f>'2026_Fantasy_Hitters'!L17</f>
        <v>80.999999999999503</v>
      </c>
      <c r="AJ12">
        <f>'2026_Fantasy_Hitters'!M17</f>
        <v>69.509600000000006</v>
      </c>
      <c r="AK12">
        <f>'2026_Fantasy_Hitters'!N17</f>
        <v>3.6353262399999999</v>
      </c>
      <c r="AL12">
        <f>'2026_Fantasy_Hitters'!O17</f>
        <v>126.6806</v>
      </c>
      <c r="AM12">
        <f>'2026_Fantasy_Hitters'!P17</f>
        <v>6.0167729400000001</v>
      </c>
      <c r="AN12">
        <f>'2026_Fantasy_Hitters'!Q17</f>
        <v>4.01242228</v>
      </c>
      <c r="AO12">
        <f>'2026_Fantasy_Hitters'!R17</f>
        <v>0.90000074000000008</v>
      </c>
      <c r="AP12">
        <f>'2026_Fantasy_Hitters'!S17</f>
        <v>25.748511904761816</v>
      </c>
      <c r="AQ12">
        <f>'2026_Fantasy_Hitters'!T17</f>
        <v>5.8946466400000004</v>
      </c>
      <c r="AR12">
        <f>'2026_Fantasy_Hitters'!U17</f>
        <v>19.853865264761815</v>
      </c>
      <c r="AS12">
        <f>'2026_Fantasy_Hitters'!V17</f>
        <v>0.2727109155954584</v>
      </c>
      <c r="AT12">
        <f>'2026_Fantasy_Hitters'!W17</f>
        <v>0.36321840282447476</v>
      </c>
      <c r="AU12">
        <f>'2026_Fantasy_Hitters'!X17</f>
        <v>0.48040527899464536</v>
      </c>
      <c r="AV12">
        <f>'2026_Fantasy_Hitters'!Y17</f>
        <v>0.84362368181912006</v>
      </c>
      <c r="AW12">
        <f>'2026_Fantasy_Hitters'!Z17</f>
        <v>0.30264999999999997</v>
      </c>
      <c r="AX12">
        <f>'2026_Fantasy_Hitters'!AA17</f>
        <v>0.1961</v>
      </c>
      <c r="AY12">
        <f>'2026_Fantasy_Hitters'!AB17</f>
        <v>0.1076</v>
      </c>
      <c r="AZ12">
        <f t="shared" si="21"/>
        <v>4.4862319999999997E-2</v>
      </c>
    </row>
    <row r="13" spans="1:52" s="10" customFormat="1">
      <c r="A13" s="10" t="s">
        <v>222</v>
      </c>
      <c r="B13" s="10" t="s">
        <v>136</v>
      </c>
      <c r="C13" s="10" t="s">
        <v>20</v>
      </c>
      <c r="D13" s="10">
        <v>569</v>
      </c>
      <c r="E13" s="10">
        <v>640</v>
      </c>
      <c r="F13" s="11">
        <f t="shared" si="0"/>
        <v>11.468690498823451</v>
      </c>
      <c r="G13" s="11">
        <f t="shared" si="1"/>
        <v>1.4304862703197201</v>
      </c>
      <c r="H13" s="11">
        <f t="shared" si="2"/>
        <v>1.2312912032897587</v>
      </c>
      <c r="I13" s="11">
        <f t="shared" si="3"/>
        <v>1.8378153229988023</v>
      </c>
      <c r="J13" s="11">
        <f t="shared" si="4"/>
        <v>1.7957776284423748</v>
      </c>
      <c r="K13" s="11">
        <f t="shared" si="5"/>
        <v>0.74981633812460013</v>
      </c>
      <c r="L13" s="11">
        <f t="shared" si="6"/>
        <v>0.75118092302281414</v>
      </c>
      <c r="M13" s="11">
        <f t="shared" si="7"/>
        <v>0.87017826655894959</v>
      </c>
      <c r="N13" s="11">
        <f t="shared" si="8"/>
        <v>1.8252611385848565</v>
      </c>
      <c r="O13" s="11">
        <f t="shared" si="9"/>
        <v>-0.51988695767250104</v>
      </c>
      <c r="P13" s="10">
        <f t="shared" si="10"/>
        <v>1.496770365154074</v>
      </c>
      <c r="R13" s="10">
        <f t="shared" si="11"/>
        <v>133.81798486872984</v>
      </c>
      <c r="S13" s="10">
        <f t="shared" si="12"/>
        <v>125.07190260299589</v>
      </c>
      <c r="T13" s="10">
        <f t="shared" si="13"/>
        <v>181.2972915352758</v>
      </c>
      <c r="U13" s="10">
        <f t="shared" si="14"/>
        <v>146.20370411645564</v>
      </c>
      <c r="V13" s="10">
        <f t="shared" si="15"/>
        <v>127.13669475906936</v>
      </c>
      <c r="W13" s="10">
        <f t="shared" si="16"/>
        <v>136.52275129011545</v>
      </c>
      <c r="X13" s="10">
        <f t="shared" si="17"/>
        <v>105.7430413252626</v>
      </c>
      <c r="Y13" s="10">
        <f t="shared" si="18"/>
        <v>120.06841832943597</v>
      </c>
      <c r="Z13" s="10">
        <f t="shared" si="19"/>
        <v>52.196770719703267</v>
      </c>
      <c r="AA13" s="10">
        <f t="shared" si="20"/>
        <v>154.3619678638488</v>
      </c>
      <c r="AC13" s="10">
        <f>'2026_Fantasy_Hitters'!F30</f>
        <v>151.18738481408019</v>
      </c>
      <c r="AD13" s="10">
        <f>'2026_Fantasy_Hitters'!G30</f>
        <v>83.941493040893477</v>
      </c>
      <c r="AE13" s="10">
        <f>'2026_Fantasy_Hitters'!H30</f>
        <v>31.969580329752066</v>
      </c>
      <c r="AF13" s="10">
        <f>'2026_Fantasy_Hitters'!I30</f>
        <v>1.8887397384539992</v>
      </c>
      <c r="AG13" s="10">
        <f>'2026_Fantasy_Hitters'!J30</f>
        <v>34.140947199999999</v>
      </c>
      <c r="AH13" s="10">
        <f>'2026_Fantasy_Hitters'!K30</f>
        <v>89.700787401574402</v>
      </c>
      <c r="AI13" s="10">
        <f>'2026_Fantasy_Hitters'!L30</f>
        <v>96</v>
      </c>
      <c r="AJ13" s="10">
        <f>'2026_Fantasy_Hitters'!M30</f>
        <v>59.711999999999996</v>
      </c>
      <c r="AK13" s="10">
        <f>'2026_Fantasy_Hitters'!N30</f>
        <v>2.767776</v>
      </c>
      <c r="AL13" s="10">
        <f>'2026_Fantasy_Hitters'!O30</f>
        <v>161.50399999999937</v>
      </c>
      <c r="AM13" s="10">
        <f>'2026_Fantasy_Hitters'!P30</f>
        <v>7.8566929133857277</v>
      </c>
      <c r="AN13" s="10">
        <f>'2026_Fantasy_Hitters'!Q30</f>
        <v>4.0314944000000006</v>
      </c>
      <c r="AO13" s="10">
        <f>'2026_Fantasy_Hitters'!R30</f>
        <v>0</v>
      </c>
      <c r="AP13" s="10">
        <f>'2026_Fantasy_Hitters'!S30</f>
        <v>6.1842112</v>
      </c>
      <c r="AQ13" s="10">
        <f>'2026_Fantasy_Hitters'!T30</f>
        <v>2.0263168</v>
      </c>
      <c r="AR13" s="10">
        <f>'2026_Fantasy_Hitters'!U30</f>
        <v>4.1578944</v>
      </c>
      <c r="AS13" s="10">
        <f>'2026_Fantasy_Hitters'!V30</f>
        <v>0.26570717893511459</v>
      </c>
      <c r="AT13" s="10">
        <f>'2026_Fantasy_Hitters'!W30</f>
        <v>0.34857580666985744</v>
      </c>
      <c r="AU13" s="10">
        <f>'2026_Fantasy_Hitters'!X30</f>
        <v>0.50986056540555291</v>
      </c>
      <c r="AV13" s="10">
        <f>'2026_Fantasy_Hitters'!Y30</f>
        <v>0.85843637207541035</v>
      </c>
      <c r="AW13" s="10">
        <f>'2026_Fantasy_Hitters'!Z30</f>
        <v>0.31014999999999998</v>
      </c>
      <c r="AX13" s="10">
        <f>'2026_Fantasy_Hitters'!AA30</f>
        <v>0.25234999999999902</v>
      </c>
      <c r="AY13" s="10">
        <f>'2026_Fantasy_Hitters'!AB30</f>
        <v>9.3299999999999994E-2</v>
      </c>
      <c r="AZ13" s="10">
        <f t="shared" si="21"/>
        <v>5.334523E-2</v>
      </c>
    </row>
    <row r="14" spans="1:52">
      <c r="A14" t="s">
        <v>81</v>
      </c>
      <c r="B14" t="s">
        <v>27</v>
      </c>
      <c r="C14" t="s">
        <v>20</v>
      </c>
      <c r="D14">
        <v>528</v>
      </c>
      <c r="E14">
        <v>620</v>
      </c>
      <c r="F14" s="6">
        <f t="shared" si="0"/>
        <v>11.219926089541671</v>
      </c>
      <c r="G14" s="5">
        <f t="shared" si="1"/>
        <v>1.8234672370488219</v>
      </c>
      <c r="H14" s="5">
        <f t="shared" si="2"/>
        <v>0.83974994770567768</v>
      </c>
      <c r="I14" s="5">
        <f t="shared" si="3"/>
        <v>1.1541995075127316</v>
      </c>
      <c r="J14" s="5">
        <f t="shared" si="4"/>
        <v>1.3222417470153465</v>
      </c>
      <c r="K14" s="5">
        <f t="shared" si="5"/>
        <v>2.0443366966408747</v>
      </c>
      <c r="L14" s="5">
        <f t="shared" si="6"/>
        <v>-0.65034223098745803</v>
      </c>
      <c r="M14" s="5">
        <f t="shared" si="7"/>
        <v>1.01368632747451</v>
      </c>
      <c r="N14" s="5">
        <f t="shared" si="8"/>
        <v>1.3853870031099593</v>
      </c>
      <c r="O14" s="5">
        <f t="shared" si="9"/>
        <v>1.3851142706759563</v>
      </c>
      <c r="P14" s="1">
        <f t="shared" si="10"/>
        <v>0.90208558334525102</v>
      </c>
      <c r="R14">
        <f t="shared" si="11"/>
        <v>143.10840915471286</v>
      </c>
      <c r="S14">
        <f t="shared" si="12"/>
        <v>117.0992279027864</v>
      </c>
      <c r="T14">
        <f t="shared" si="13"/>
        <v>151.0569765513896</v>
      </c>
      <c r="U14">
        <f t="shared" si="14"/>
        <v>134.02006210675029</v>
      </c>
      <c r="V14">
        <f t="shared" si="15"/>
        <v>173.98683931089414</v>
      </c>
      <c r="W14">
        <f t="shared" si="16"/>
        <v>68.380070861980101</v>
      </c>
      <c r="X14">
        <f t="shared" si="17"/>
        <v>106.69017222477987</v>
      </c>
      <c r="Y14">
        <f t="shared" si="18"/>
        <v>115.23208122873301</v>
      </c>
      <c r="Z14">
        <f t="shared" si="19"/>
        <v>227.36025415402725</v>
      </c>
      <c r="AA14">
        <f t="shared" si="20"/>
        <v>132.76330734087452</v>
      </c>
      <c r="AC14">
        <f>'2026_Fantasy_Hitters'!F10</f>
        <v>141.54998574353002</v>
      </c>
      <c r="AD14">
        <f>'2026_Fantasy_Hitters'!G10</f>
        <v>82.185198784918114</v>
      </c>
      <c r="AE14">
        <f>'2026_Fantasy_Hitters'!H10</f>
        <v>28.088261559648682</v>
      </c>
      <c r="AF14">
        <f>'2026_Fantasy_Hitters'!I10</f>
        <v>2.0720206102972889</v>
      </c>
      <c r="AG14">
        <f>'2026_Fantasy_Hitters'!J10</f>
        <v>28.446251</v>
      </c>
      <c r="AH14">
        <f>'2026_Fantasy_Hitters'!K10</f>
        <v>95.928338762214594</v>
      </c>
      <c r="AI14">
        <f>'2026_Fantasy_Hitters'!L10</f>
        <v>87.999999999999531</v>
      </c>
      <c r="AJ14">
        <f>'2026_Fantasy_Hitters'!M10</f>
        <v>81.715999999999994</v>
      </c>
      <c r="AK14">
        <f>'2026_Fantasy_Hitters'!N10</f>
        <v>5.7945076000000002</v>
      </c>
      <c r="AL14">
        <f>'2026_Fantasy_Hitters'!O10</f>
        <v>90.984999999999999</v>
      </c>
      <c r="AM14">
        <f>'2026_Fantasy_Hitters'!P10</f>
        <v>3.9351772</v>
      </c>
      <c r="AN14">
        <f>'2026_Fantasy_Hitters'!Q10</f>
        <v>5.0488584000000003</v>
      </c>
      <c r="AO14">
        <f>'2026_Fantasy_Hitters'!R10</f>
        <v>0.99523640000000002</v>
      </c>
      <c r="AP14">
        <f>'2026_Fantasy_Hitters'!S10</f>
        <v>22.964285714285626</v>
      </c>
      <c r="AQ14">
        <f>'2026_Fantasy_Hitters'!T10</f>
        <v>4.853205</v>
      </c>
      <c r="AR14">
        <f>'2026_Fantasy_Hitters'!U10</f>
        <v>18.111080714285627</v>
      </c>
      <c r="AS14">
        <f>'2026_Fantasy_Hitters'!V10</f>
        <v>0.26808709421123111</v>
      </c>
      <c r="AT14">
        <f>'2026_Fantasy_Hitters'!W10</f>
        <v>0.37546072673976855</v>
      </c>
      <c r="AU14">
        <f>'2026_Fantasy_Hitters'!X10</f>
        <v>0.4893234616195215</v>
      </c>
      <c r="AV14">
        <f>'2026_Fantasy_Hitters'!Y10</f>
        <v>0.86478418835929005</v>
      </c>
      <c r="AW14">
        <f>'2026_Fantasy_Hitters'!Z10</f>
        <v>0.27345000000000003</v>
      </c>
      <c r="AX14">
        <f>'2026_Fantasy_Hitters'!AA10</f>
        <v>0.14674999999999999</v>
      </c>
      <c r="AY14">
        <f>'2026_Fantasy_Hitters'!AB10</f>
        <v>0.1318</v>
      </c>
      <c r="AZ14">
        <f t="shared" si="21"/>
        <v>4.588105E-2</v>
      </c>
    </row>
    <row r="15" spans="1:52" s="10" customFormat="1">
      <c r="A15" s="10" t="s">
        <v>91</v>
      </c>
      <c r="B15" s="10" t="s">
        <v>92</v>
      </c>
      <c r="C15" s="10" t="s">
        <v>20</v>
      </c>
      <c r="D15" s="10">
        <v>525</v>
      </c>
      <c r="E15" s="10">
        <v>604</v>
      </c>
      <c r="F15" s="11">
        <f t="shared" si="0"/>
        <v>10.800167426019557</v>
      </c>
      <c r="G15" s="11">
        <f t="shared" si="1"/>
        <v>1.8308858788921696</v>
      </c>
      <c r="H15" s="11">
        <f t="shared" si="2"/>
        <v>0.62373436484924527</v>
      </c>
      <c r="I15" s="11">
        <f t="shared" si="3"/>
        <v>0.83291115187104992</v>
      </c>
      <c r="J15" s="11">
        <f t="shared" si="4"/>
        <v>0.67112991005323941</v>
      </c>
      <c r="K15" s="11">
        <f t="shared" si="5"/>
        <v>0.94308839237826558</v>
      </c>
      <c r="L15" s="11">
        <f t="shared" si="6"/>
        <v>0.77708700228943661</v>
      </c>
      <c r="M15" s="11">
        <f t="shared" si="7"/>
        <v>0.49536801753342208</v>
      </c>
      <c r="N15" s="11">
        <f t="shared" si="8"/>
        <v>1.6467119971994653</v>
      </c>
      <c r="O15" s="11">
        <f t="shared" si="9"/>
        <v>2.3333704498727625</v>
      </c>
      <c r="P15" s="10">
        <f t="shared" si="10"/>
        <v>0.64588026108050167</v>
      </c>
      <c r="R15" s="10">
        <f t="shared" si="11"/>
        <v>143.28379253504323</v>
      </c>
      <c r="S15" s="10">
        <f t="shared" si="12"/>
        <v>112.70065700450043</v>
      </c>
      <c r="T15" s="10">
        <f t="shared" si="13"/>
        <v>136.84451853745227</v>
      </c>
      <c r="U15" s="10">
        <f t="shared" si="14"/>
        <v>117.26755434340689</v>
      </c>
      <c r="V15" s="10">
        <f t="shared" si="15"/>
        <v>134.13142730231851</v>
      </c>
      <c r="W15" s="10">
        <f t="shared" si="16"/>
        <v>137.78231641079162</v>
      </c>
      <c r="X15" s="10">
        <f t="shared" si="17"/>
        <v>103.26935193079214</v>
      </c>
      <c r="Y15" s="10">
        <f t="shared" si="18"/>
        <v>118.10530259441202</v>
      </c>
      <c r="Z15" s="10">
        <f t="shared" si="19"/>
        <v>314.55172314863546</v>
      </c>
      <c r="AA15" s="10">
        <f t="shared" si="20"/>
        <v>123.45805529971081</v>
      </c>
      <c r="AC15" s="10">
        <f>'2026_Fantasy_Hitters'!F12</f>
        <v>136.23297674957516</v>
      </c>
      <c r="AD15" s="10">
        <f>'2026_Fantasy_Hitters'!G12</f>
        <v>73.972210399968333</v>
      </c>
      <c r="AE15" s="10">
        <f>'2026_Fantasy_Hitters'!H12</f>
        <v>28.292154745552146</v>
      </c>
      <c r="AF15" s="10">
        <f>'2026_Fantasy_Hitters'!I12</f>
        <v>9.8881411772705956</v>
      </c>
      <c r="AG15" s="10">
        <f>'2026_Fantasy_Hitters'!J12</f>
        <v>25.769836065573696</v>
      </c>
      <c r="AH15" s="10">
        <f>'2026_Fantasy_Hitters'!K12</f>
        <v>96.045901639343683</v>
      </c>
      <c r="AI15" s="10">
        <f>'2026_Fantasy_Hitters'!L12</f>
        <v>76.999999999999844</v>
      </c>
      <c r="AJ15" s="10">
        <f>'2026_Fantasy_Hitters'!M12</f>
        <v>62.997199999999999</v>
      </c>
      <c r="AK15" s="10">
        <f>'2026_Fantasy_Hitters'!N12</f>
        <v>2.87901432</v>
      </c>
      <c r="AL15" s="10">
        <f>'2026_Fantasy_Hitters'!O12</f>
        <v>126.0548</v>
      </c>
      <c r="AM15" s="10">
        <f>'2026_Fantasy_Hitters'!P12</f>
        <v>7.9291791200000006</v>
      </c>
      <c r="AN15" s="10">
        <f>'2026_Fantasy_Hitters'!Q12</f>
        <v>3.9606575199999998</v>
      </c>
      <c r="AO15" s="10">
        <f>'2026_Fantasy_Hitters'!R12</f>
        <v>1.9896364</v>
      </c>
      <c r="AP15" s="10">
        <f>'2026_Fantasy_Hitters'!S12</f>
        <v>32.296703296703249</v>
      </c>
      <c r="AQ15" s="10">
        <f>'2026_Fantasy_Hitters'!T12</f>
        <v>7.2401178000000002</v>
      </c>
      <c r="AR15" s="10">
        <f>'2026_Fantasy_Hitters'!U12</f>
        <v>25.056585496703249</v>
      </c>
      <c r="AS15" s="10">
        <f>'2026_Fantasy_Hitters'!V12</f>
        <v>0.25949138428490504</v>
      </c>
      <c r="AT15" s="10">
        <f>'2026_Fantasy_Hitters'!W12</f>
        <v>0.35310247251463517</v>
      </c>
      <c r="AU15" s="10">
        <f>'2026_Fantasy_Hitters'!X12</f>
        <v>0.50152435749557944</v>
      </c>
      <c r="AV15" s="10">
        <f>'2026_Fantasy_Hitters'!Y12</f>
        <v>0.85462683001021467</v>
      </c>
      <c r="AW15" s="10">
        <f>'2026_Fantasy_Hitters'!Z12</f>
        <v>0.29289999999999999</v>
      </c>
      <c r="AX15" s="10">
        <f>'2026_Fantasy_Hitters'!AA12</f>
        <v>0.2087</v>
      </c>
      <c r="AY15" s="10">
        <f>'2026_Fantasy_Hitters'!AB12</f>
        <v>0.1043</v>
      </c>
      <c r="AZ15" s="10">
        <f t="shared" si="21"/>
        <v>4.2665291499294197E-2</v>
      </c>
    </row>
    <row r="16" spans="1:52">
      <c r="A16" t="s">
        <v>47</v>
      </c>
      <c r="B16" t="s">
        <v>48</v>
      </c>
      <c r="C16" t="s">
        <v>49</v>
      </c>
      <c r="D16">
        <v>575</v>
      </c>
      <c r="E16">
        <v>649</v>
      </c>
      <c r="F16" s="6">
        <f t="shared" si="0"/>
        <v>10.604637844581948</v>
      </c>
      <c r="G16" s="5">
        <f t="shared" si="1"/>
        <v>1.5023629200923685</v>
      </c>
      <c r="H16" s="5">
        <f t="shared" si="2"/>
        <v>1.3976296233679073</v>
      </c>
      <c r="I16" s="5">
        <f t="shared" si="3"/>
        <v>0.91076152395395726</v>
      </c>
      <c r="J16" s="5">
        <f t="shared" si="4"/>
        <v>1.3814337321937231</v>
      </c>
      <c r="K16" s="5">
        <f t="shared" si="5"/>
        <v>0.9252154926819729</v>
      </c>
      <c r="L16" s="5">
        <f t="shared" si="6"/>
        <v>-0.61516894414479251</v>
      </c>
      <c r="M16" s="5">
        <f t="shared" si="7"/>
        <v>1.132351911340495</v>
      </c>
      <c r="N16" s="5">
        <f t="shared" si="8"/>
        <v>1.0249214355863059</v>
      </c>
      <c r="O16" s="5">
        <f t="shared" si="9"/>
        <v>2.4553310806582638</v>
      </c>
      <c r="P16" s="1">
        <f t="shared" si="10"/>
        <v>0.48979906885174795</v>
      </c>
      <c r="R16">
        <f t="shared" si="11"/>
        <v>135.51721365886925</v>
      </c>
      <c r="S16">
        <f t="shared" si="12"/>
        <v>128.45893294658401</v>
      </c>
      <c r="T16">
        <f t="shared" si="13"/>
        <v>140.28829458837049</v>
      </c>
      <c r="U16">
        <f t="shared" si="14"/>
        <v>135.54301735796341</v>
      </c>
      <c r="V16">
        <f t="shared" si="15"/>
        <v>133.48458700442524</v>
      </c>
      <c r="W16">
        <f t="shared" si="16"/>
        <v>70.090211745538653</v>
      </c>
      <c r="X16">
        <f t="shared" si="17"/>
        <v>107.47334663652852</v>
      </c>
      <c r="Y16">
        <f t="shared" si="18"/>
        <v>111.26882706772521</v>
      </c>
      <c r="Z16">
        <f t="shared" si="19"/>
        <v>325.76591483120808</v>
      </c>
      <c r="AA16">
        <f t="shared" si="20"/>
        <v>117.78926270892666</v>
      </c>
      <c r="AC16">
        <f>'2026_Fantasy_Hitters'!F6</f>
        <v>155.28163979282198</v>
      </c>
      <c r="AD16">
        <f>'2026_Fantasy_Hitters'!G6</f>
        <v>94.374098072910883</v>
      </c>
      <c r="AE16">
        <f>'2026_Fantasy_Hitters'!H6</f>
        <v>31.648065461821787</v>
      </c>
      <c r="AF16">
        <f>'2026_Fantasy_Hitters'!I6</f>
        <v>2.780108457848196</v>
      </c>
      <c r="AG16">
        <f>'2026_Fantasy_Hitters'!J6</f>
        <v>26.418349759999998</v>
      </c>
      <c r="AH16">
        <f>'2026_Fantasy_Hitters'!K6</f>
        <v>90.839813374805516</v>
      </c>
      <c r="AI16">
        <f>'2026_Fantasy_Hitters'!L6</f>
        <v>88.999999999999559</v>
      </c>
      <c r="AJ16">
        <f>'2026_Fantasy_Hitters'!M6</f>
        <v>62.693400000000004</v>
      </c>
      <c r="AK16">
        <f>'2026_Fantasy_Hitters'!N6</f>
        <v>17.60825913</v>
      </c>
      <c r="AL16">
        <f>'2026_Fantasy_Hitters'!O6</f>
        <v>75.413799999999995</v>
      </c>
      <c r="AM16">
        <f>'2026_Fantasy_Hitters'!P6</f>
        <v>4.0335934099999999</v>
      </c>
      <c r="AN16">
        <f>'2026_Fantasy_Hitters'!Q6</f>
        <v>6.0559877399999991</v>
      </c>
      <c r="AO16">
        <f>'2026_Fantasy_Hitters'!R6</f>
        <v>0</v>
      </c>
      <c r="AP16">
        <f>'2026_Fantasy_Hitters'!S6</f>
        <v>33.830267239999998</v>
      </c>
      <c r="AQ16">
        <f>'2026_Fantasy_Hitters'!T6</f>
        <v>7.8803807947019635</v>
      </c>
      <c r="AR16">
        <f>'2026_Fantasy_Hitters'!U6</f>
        <v>25.949886445298034</v>
      </c>
      <c r="AS16">
        <f>'2026_Fantasy_Hitters'!V6</f>
        <v>0.27005502572664691</v>
      </c>
      <c r="AT16">
        <f>'2026_Fantasy_Hitters'!W6</f>
        <v>0.36231060979918234</v>
      </c>
      <c r="AU16">
        <f>'2026_Fantasy_Hitters'!X6</f>
        <v>0.47249383201756356</v>
      </c>
      <c r="AV16">
        <f>'2026_Fantasy_Hitters'!Y6</f>
        <v>0.83480444181674596</v>
      </c>
      <c r="AW16">
        <f>'2026_Fantasy_Hitters'!Z6</f>
        <v>0.26889999999999997</v>
      </c>
      <c r="AX16">
        <f>'2026_Fantasy_Hitters'!AA6</f>
        <v>0.1162</v>
      </c>
      <c r="AY16">
        <f>'2026_Fantasy_Hitters'!AB6</f>
        <v>9.6600000000000005E-2</v>
      </c>
      <c r="AZ16">
        <f t="shared" si="21"/>
        <v>4.0706239999999998E-2</v>
      </c>
    </row>
    <row r="17" spans="1:52" s="10" customFormat="1">
      <c r="A17" s="10" t="s">
        <v>100</v>
      </c>
      <c r="B17" s="10" t="s">
        <v>101</v>
      </c>
      <c r="C17" s="10" t="s">
        <v>49</v>
      </c>
      <c r="D17" s="10">
        <v>579</v>
      </c>
      <c r="E17" s="10">
        <v>631</v>
      </c>
      <c r="F17" s="11">
        <f t="shared" si="0"/>
        <v>10.255537500514446</v>
      </c>
      <c r="G17" s="11">
        <f t="shared" si="1"/>
        <v>0.92226100063542316</v>
      </c>
      <c r="H17" s="11">
        <f t="shared" si="2"/>
        <v>1.4432551860766143</v>
      </c>
      <c r="I17" s="11">
        <f t="shared" si="3"/>
        <v>2.0920499203805152</v>
      </c>
      <c r="J17" s="11">
        <f t="shared" si="4"/>
        <v>2.210121524690972</v>
      </c>
      <c r="K17" s="11">
        <f t="shared" si="5"/>
        <v>-0.31673924411396526</v>
      </c>
      <c r="L17" s="11">
        <f t="shared" si="6"/>
        <v>-0.29267613107461826</v>
      </c>
      <c r="M17" s="11">
        <f t="shared" si="7"/>
        <v>1.1368101073348802</v>
      </c>
      <c r="N17" s="11">
        <f t="shared" si="8"/>
        <v>1.8342159843601202</v>
      </c>
      <c r="O17" s="11">
        <f t="shared" si="9"/>
        <v>-0.598555220498447</v>
      </c>
      <c r="P17" s="10">
        <f t="shared" si="10"/>
        <v>1.824794372722951</v>
      </c>
      <c r="R17" s="10">
        <f t="shared" si="11"/>
        <v>121.80308137982861</v>
      </c>
      <c r="S17" s="10">
        <f t="shared" si="12"/>
        <v>129.38797366528911</v>
      </c>
      <c r="T17" s="10">
        <f t="shared" si="13"/>
        <v>192.54357070328774</v>
      </c>
      <c r="U17" s="10">
        <f t="shared" si="14"/>
        <v>156.86439087494648</v>
      </c>
      <c r="V17" s="10">
        <f t="shared" si="15"/>
        <v>88.536851294495335</v>
      </c>
      <c r="W17" s="10">
        <f t="shared" si="16"/>
        <v>85.769956056955294</v>
      </c>
      <c r="X17" s="10">
        <f t="shared" si="17"/>
        <v>107.50277003724516</v>
      </c>
      <c r="Y17" s="10">
        <f t="shared" si="18"/>
        <v>120.16687525008948</v>
      </c>
      <c r="Z17" s="10">
        <f t="shared" si="19"/>
        <v>44.963280920714496</v>
      </c>
      <c r="AA17" s="10">
        <f t="shared" si="20"/>
        <v>166.27563944178291</v>
      </c>
      <c r="AC17" s="10">
        <f>'2026_Fantasy_Hitters'!F13</f>
        <v>156.40466769696016</v>
      </c>
      <c r="AD17" s="10">
        <f>'2026_Fantasy_Hitters'!G13</f>
        <v>92.608172187718921</v>
      </c>
      <c r="AE17" s="10">
        <f>'2026_Fantasy_Hitters'!H13</f>
        <v>27.320607794363315</v>
      </c>
      <c r="AF17" s="10">
        <f>'2026_Fantasy_Hitters'!I13</f>
        <v>1.0556017076277719</v>
      </c>
      <c r="AG17" s="10">
        <f>'2026_Fantasy_Hitters'!J13</f>
        <v>36.25878702</v>
      </c>
      <c r="AH17" s="10">
        <f>'2026_Fantasy_Hitters'!K13</f>
        <v>81.646964856229772</v>
      </c>
      <c r="AI17" s="10">
        <f>'2026_Fantasy_Hitters'!L13</f>
        <v>102.99999999999953</v>
      </c>
      <c r="AJ17" s="10">
        <f>'2026_Fantasy_Hitters'!M13</f>
        <v>41.582900000000002</v>
      </c>
      <c r="AK17" s="10">
        <f>'2026_Fantasy_Hitters'!N13</f>
        <v>1.21405031</v>
      </c>
      <c r="AL17" s="10">
        <f>'2026_Fantasy_Hitters'!O13</f>
        <v>121.27819999999937</v>
      </c>
      <c r="AM17" s="10">
        <f>'2026_Fantasy_Hitters'!P13</f>
        <v>4.9359407099999997</v>
      </c>
      <c r="AN17" s="10">
        <f>'2026_Fantasy_Hitters'!Q13</f>
        <v>5.0399358200000002</v>
      </c>
      <c r="AO17" s="10">
        <f>'2026_Fantasy_Hitters'!R13</f>
        <v>0</v>
      </c>
      <c r="AP17" s="10">
        <f>'2026_Fantasy_Hitters'!S13</f>
        <v>5.6860924400000004</v>
      </c>
      <c r="AQ17" s="10">
        <f>'2026_Fantasy_Hitters'!T13</f>
        <v>2.1044039300000001</v>
      </c>
      <c r="AR17" s="10">
        <f>'2026_Fantasy_Hitters'!U13</f>
        <v>3.5816885100000002</v>
      </c>
      <c r="AS17" s="10">
        <f>'2026_Fantasy_Hitters'!V13</f>
        <v>0.27012895975295365</v>
      </c>
      <c r="AT17" s="10">
        <f>'2026_Fantasy_Hitters'!W13</f>
        <v>0.32566296469449313</v>
      </c>
      <c r="AU17" s="10">
        <f>'2026_Fantasy_Hitters'!X13</f>
        <v>0.51027865454115517</v>
      </c>
      <c r="AV17" s="10">
        <f>'2026_Fantasy_Hitters'!Y13</f>
        <v>0.83594161923564836</v>
      </c>
      <c r="AW17" s="10">
        <f>'2026_Fantasy_Hitters'!Z13</f>
        <v>0.28170000000000001</v>
      </c>
      <c r="AX17" s="10">
        <f>'2026_Fantasy_Hitters'!AA13</f>
        <v>0.19219999999999901</v>
      </c>
      <c r="AY17" s="10">
        <f>'2026_Fantasy_Hitters'!AB13</f>
        <v>6.59E-2</v>
      </c>
      <c r="AZ17" s="10">
        <f t="shared" si="21"/>
        <v>5.746242E-2</v>
      </c>
    </row>
    <row r="18" spans="1:52" s="10" customFormat="1">
      <c r="A18" s="10" t="s">
        <v>106</v>
      </c>
      <c r="B18" s="10" t="s">
        <v>107</v>
      </c>
      <c r="C18" s="10" t="s">
        <v>34</v>
      </c>
      <c r="D18" s="10">
        <v>579</v>
      </c>
      <c r="E18" s="10">
        <v>657</v>
      </c>
      <c r="F18" s="11">
        <f t="shared" si="0"/>
        <v>9.9496266445184265</v>
      </c>
      <c r="G18" s="11">
        <f t="shared" si="1"/>
        <v>1.6565979906350179</v>
      </c>
      <c r="H18" s="11">
        <f t="shared" si="2"/>
        <v>1.4251766690897532</v>
      </c>
      <c r="I18" s="11">
        <f t="shared" si="3"/>
        <v>0.76074846896043624</v>
      </c>
      <c r="J18" s="11">
        <f t="shared" si="4"/>
        <v>1.0262818211234945</v>
      </c>
      <c r="K18" s="11">
        <f t="shared" si="5"/>
        <v>1.0982319861540919</v>
      </c>
      <c r="L18" s="11">
        <f t="shared" si="6"/>
        <v>9.3505094921713577E-2</v>
      </c>
      <c r="M18" s="11">
        <f t="shared" si="7"/>
        <v>1.0904674053772112</v>
      </c>
      <c r="N18" s="11">
        <f t="shared" si="8"/>
        <v>1.0549049380713025</v>
      </c>
      <c r="O18" s="11">
        <f t="shared" si="9"/>
        <v>1.4449433461068759</v>
      </c>
      <c r="P18" s="10">
        <f t="shared" si="10"/>
        <v>0.29876892407852818</v>
      </c>
      <c r="R18" s="10">
        <f t="shared" si="11"/>
        <v>139.16346975377957</v>
      </c>
      <c r="S18" s="10">
        <f t="shared" si="12"/>
        <v>129.01985374703568</v>
      </c>
      <c r="T18" s="10">
        <f t="shared" si="13"/>
        <v>133.65234215436547</v>
      </c>
      <c r="U18" s="10">
        <f t="shared" si="14"/>
        <v>126.40528585068549</v>
      </c>
      <c r="V18" s="10">
        <f t="shared" si="15"/>
        <v>139.74624807116135</v>
      </c>
      <c r="W18" s="10">
        <f t="shared" si="16"/>
        <v>104.54625939173465</v>
      </c>
      <c r="X18" s="10">
        <f t="shared" si="17"/>
        <v>107.19691540642373</v>
      </c>
      <c r="Y18" s="10">
        <f t="shared" si="18"/>
        <v>111.59849029132133</v>
      </c>
      <c r="Z18" s="10">
        <f t="shared" si="19"/>
        <v>232.86149431449704</v>
      </c>
      <c r="AA18" s="10">
        <f t="shared" si="20"/>
        <v>110.85114124891288</v>
      </c>
      <c r="AC18" s="10">
        <f>'2026_Fantasy_Hitters'!F14</f>
        <v>155.95968295953779</v>
      </c>
      <c r="AD18" s="10">
        <f>'2026_Fantasy_Hitters'!G14</f>
        <v>93.565855401999329</v>
      </c>
      <c r="AE18" s="10">
        <f>'2026_Fantasy_Hitters'!H14</f>
        <v>33.955350750725508</v>
      </c>
      <c r="AF18" s="10">
        <f>'2026_Fantasy_Hitters'!I14</f>
        <v>4.0776991783475482</v>
      </c>
      <c r="AG18" s="10">
        <f>'2026_Fantasy_Hitters'!J14</f>
        <v>25.168702290076293</v>
      </c>
      <c r="AH18" s="10">
        <f>'2026_Fantasy_Hitters'!K14</f>
        <v>93.283969465648539</v>
      </c>
      <c r="AI18" s="10">
        <f>'2026_Fantasy_Hitters'!L14</f>
        <v>82.999999999999929</v>
      </c>
      <c r="AJ18" s="10">
        <f>'2026_Fantasy_Hitters'!M14</f>
        <v>65.634299999999996</v>
      </c>
      <c r="AK18" s="10">
        <f>'2026_Fantasy_Hitters'!N14</f>
        <v>3.5399882699999998</v>
      </c>
      <c r="AL18" s="10">
        <f>'2026_Fantasy_Hitters'!O14</f>
        <v>137.28014999999934</v>
      </c>
      <c r="AM18" s="10">
        <f>'2026_Fantasy_Hitters'!P14</f>
        <v>6.0164906400000007</v>
      </c>
      <c r="AN18" s="10">
        <f>'2026_Fantasy_Hitters'!Q14</f>
        <v>5.0152686299999996</v>
      </c>
      <c r="AO18" s="10">
        <f>'2026_Fantasy_Hitters'!R14</f>
        <v>0.89999802000000007</v>
      </c>
      <c r="AP18" s="10">
        <f>'2026_Fantasy_Hitters'!S14</f>
        <v>23.866071428571406</v>
      </c>
      <c r="AQ18" s="10">
        <f>'2026_Fantasy_Hitters'!T14</f>
        <v>5.3167725000000008</v>
      </c>
      <c r="AR18" s="10">
        <f>'2026_Fantasy_Hitters'!U14</f>
        <v>18.549298928571403</v>
      </c>
      <c r="AS18" s="10">
        <f>'2026_Fantasy_Hitters'!V14</f>
        <v>0.26936041961923624</v>
      </c>
      <c r="AT18" s="10">
        <f>'2026_Fantasy_Hitters'!W14</f>
        <v>0.35387960420948028</v>
      </c>
      <c r="AU18" s="10">
        <f>'2026_Fantasy_Hitters'!X14</f>
        <v>0.4738937195143319</v>
      </c>
      <c r="AV18" s="10">
        <f>'2026_Fantasy_Hitters'!Y14</f>
        <v>0.82777332372381218</v>
      </c>
      <c r="AW18" s="10">
        <f>'2026_Fantasy_Hitters'!Z14</f>
        <v>0.31025000000000003</v>
      </c>
      <c r="AX18" s="10">
        <f>'2026_Fantasy_Hitters'!AA14</f>
        <v>0.208949999999999</v>
      </c>
      <c r="AY18" s="10">
        <f>'2026_Fantasy_Hitters'!AB14</f>
        <v>9.9900000000000003E-2</v>
      </c>
      <c r="AZ18" s="10">
        <f t="shared" si="21"/>
        <v>3.8308527077741697E-2</v>
      </c>
    </row>
    <row r="19" spans="1:52" s="10" customFormat="1">
      <c r="A19" s="10" t="s">
        <v>168</v>
      </c>
      <c r="B19" s="10" t="s">
        <v>92</v>
      </c>
      <c r="C19" s="10" t="s">
        <v>169</v>
      </c>
      <c r="D19" s="10">
        <v>536</v>
      </c>
      <c r="E19" s="10">
        <v>616</v>
      </c>
      <c r="F19" s="11">
        <f t="shared" si="0"/>
        <v>9.6688269384784604</v>
      </c>
      <c r="G19" s="11">
        <f t="shared" si="1"/>
        <v>1.2413632973577016</v>
      </c>
      <c r="H19" s="11">
        <f t="shared" si="2"/>
        <v>1.0853252492179559</v>
      </c>
      <c r="I19" s="11">
        <f t="shared" si="3"/>
        <v>1.2343089051018992</v>
      </c>
      <c r="J19" s="11">
        <f t="shared" si="4"/>
        <v>1.2630497618369898</v>
      </c>
      <c r="K19" s="11">
        <f t="shared" si="5"/>
        <v>1.1979213493383232</v>
      </c>
      <c r="L19" s="11">
        <f t="shared" si="6"/>
        <v>0.13914300911861857</v>
      </c>
      <c r="M19" s="11">
        <f t="shared" si="7"/>
        <v>1.4524220163627133</v>
      </c>
      <c r="N19" s="11">
        <f t="shared" si="8"/>
        <v>1.6954553166453323</v>
      </c>
      <c r="O19" s="11">
        <f t="shared" si="9"/>
        <v>-0.65229504357252899</v>
      </c>
      <c r="P19" s="10">
        <f t="shared" si="10"/>
        <v>1.0121330770714545</v>
      </c>
      <c r="R19" s="10">
        <f t="shared" si="11"/>
        <v>129.34694731271802</v>
      </c>
      <c r="S19" s="10">
        <f t="shared" si="12"/>
        <v>122.09970222175076</v>
      </c>
      <c r="T19" s="10">
        <f t="shared" si="13"/>
        <v>154.60068247712701</v>
      </c>
      <c r="U19" s="10">
        <f t="shared" si="14"/>
        <v>132.49710685553768</v>
      </c>
      <c r="V19" s="10">
        <f t="shared" si="15"/>
        <v>143.35411800131345</v>
      </c>
      <c r="W19" s="10">
        <f t="shared" si="16"/>
        <v>106.76519512149967</v>
      </c>
      <c r="X19" s="10">
        <f t="shared" si="17"/>
        <v>109.58575958771914</v>
      </c>
      <c r="Y19" s="10">
        <f t="shared" si="18"/>
        <v>118.64122663548562</v>
      </c>
      <c r="Z19" s="10">
        <f t="shared" si="19"/>
        <v>40.021943104905688</v>
      </c>
      <c r="AA19" s="10">
        <f t="shared" si="20"/>
        <v>136.7601785087675</v>
      </c>
      <c r="AC19" s="10">
        <f>'2026_Fantasy_Hitters'!F23</f>
        <v>147.59457784919198</v>
      </c>
      <c r="AD19" s="10">
        <f>'2026_Fantasy_Hitters'!G23</f>
        <v>85.53759135724367</v>
      </c>
      <c r="AE19" s="10">
        <f>'2026_Fantasy_Hitters'!H23</f>
        <v>30.81206189193891</v>
      </c>
      <c r="AF19" s="10">
        <f>'2026_Fantasy_Hitters'!I23</f>
        <v>2.140271449598885</v>
      </c>
      <c r="AG19" s="10">
        <f>'2026_Fantasy_Hitters'!J23</f>
        <v>29.113582960000002</v>
      </c>
      <c r="AH19" s="10">
        <f>'2026_Fantasy_Hitters'!K23</f>
        <v>86.703764320785297</v>
      </c>
      <c r="AI19" s="10">
        <f>'2026_Fantasy_Hitters'!L23</f>
        <v>86.999999999999844</v>
      </c>
      <c r="AJ19" s="10">
        <f>'2026_Fantasy_Hitters'!M23</f>
        <v>67.328800000000001</v>
      </c>
      <c r="AK19" s="10">
        <f>'2026_Fantasy_Hitters'!N23</f>
        <v>5.4565587999999998</v>
      </c>
      <c r="AL19" s="10">
        <f>'2026_Fantasy_Hitters'!O23</f>
        <v>100.80839999999999</v>
      </c>
      <c r="AM19" s="10">
        <f>'2026_Fantasy_Hitters'!P23</f>
        <v>6.1441872799999997</v>
      </c>
      <c r="AN19" s="10">
        <f>'2026_Fantasy_Hitters'!Q23</f>
        <v>4.0327302400000002</v>
      </c>
      <c r="AO19" s="10">
        <f>'2026_Fantasy_Hitters'!R23</f>
        <v>0.90000064000000002</v>
      </c>
      <c r="AP19" s="10">
        <f>'2026_Fantasy_Hitters'!S23</f>
        <v>5.2005492000000002</v>
      </c>
      <c r="AQ19" s="10">
        <f>'2026_Fantasy_Hitters'!T23</f>
        <v>2.0124781600000001</v>
      </c>
      <c r="AR19" s="10">
        <f>'2026_Fantasy_Hitters'!U23</f>
        <v>3.1880710400000001</v>
      </c>
      <c r="AS19" s="10">
        <f>'2026_Fantasy_Hitters'!V23</f>
        <v>0.27536301837535815</v>
      </c>
      <c r="AT19" s="10">
        <f>'2026_Fantasy_Hitters'!W23</f>
        <v>0.36964333785259113</v>
      </c>
      <c r="AU19" s="10">
        <f>'2026_Fantasy_Hitters'!X23</f>
        <v>0.50380011442148898</v>
      </c>
      <c r="AV19" s="10">
        <f>'2026_Fantasy_Hitters'!Y23</f>
        <v>0.87344345227408016</v>
      </c>
      <c r="AW19" s="10">
        <f>'2026_Fantasy_Hitters'!Z23</f>
        <v>0.28889999999999999</v>
      </c>
      <c r="AX19" s="10">
        <f>'2026_Fantasy_Hitters'!AA23</f>
        <v>0.16364999999999999</v>
      </c>
      <c r="AY19" s="10">
        <f>'2026_Fantasy_Hitters'!AB23</f>
        <v>0.10929999999999999</v>
      </c>
      <c r="AZ19" s="10">
        <f t="shared" si="21"/>
        <v>4.7262310000000002E-2</v>
      </c>
    </row>
    <row r="20" spans="1:52" s="10" customFormat="1">
      <c r="A20" s="10" t="s">
        <v>213</v>
      </c>
      <c r="B20" s="10" t="s">
        <v>214</v>
      </c>
      <c r="C20" s="10" t="s">
        <v>34</v>
      </c>
      <c r="D20" s="10">
        <v>567</v>
      </c>
      <c r="E20" s="10">
        <v>634</v>
      </c>
      <c r="F20" s="11">
        <f t="shared" si="0"/>
        <v>9.584781976480274</v>
      </c>
      <c r="G20" s="11">
        <f t="shared" si="1"/>
        <v>1.1299245147832153</v>
      </c>
      <c r="H20" s="11">
        <f t="shared" si="2"/>
        <v>0.88365837711044681</v>
      </c>
      <c r="I20" s="11">
        <f t="shared" si="3"/>
        <v>0.903906363026594</v>
      </c>
      <c r="J20" s="11">
        <f t="shared" si="4"/>
        <v>0.55274593969648844</v>
      </c>
      <c r="K20" s="11">
        <f t="shared" si="5"/>
        <v>-0.17829192727628351</v>
      </c>
      <c r="L20" s="11">
        <f t="shared" si="6"/>
        <v>3.7190010336163373</v>
      </c>
      <c r="M20" s="11">
        <f t="shared" si="7"/>
        <v>1.6707177587398321E-2</v>
      </c>
      <c r="N20" s="11">
        <f t="shared" si="8"/>
        <v>0.45259260264554224</v>
      </c>
      <c r="O20" s="11">
        <f t="shared" si="9"/>
        <v>1.5451845336206971</v>
      </c>
      <c r="P20" s="10">
        <f t="shared" si="10"/>
        <v>0.55935336166983674</v>
      </c>
      <c r="R20" s="10">
        <f t="shared" si="11"/>
        <v>126.71243404189065</v>
      </c>
      <c r="S20" s="10">
        <f t="shared" si="12"/>
        <v>117.99330386348976</v>
      </c>
      <c r="T20" s="10">
        <f t="shared" si="13"/>
        <v>139.98505083506251</v>
      </c>
      <c r="U20" s="10">
        <f t="shared" si="14"/>
        <v>114.2216438409807</v>
      </c>
      <c r="V20" s="10">
        <f t="shared" si="15"/>
        <v>93.547415063528661</v>
      </c>
      <c r="W20" s="10">
        <f t="shared" si="16"/>
        <v>280.81948786967075</v>
      </c>
      <c r="X20" s="10">
        <f t="shared" si="17"/>
        <v>100.11026477562164</v>
      </c>
      <c r="Y20" s="10">
        <f t="shared" si="18"/>
        <v>104.97617436250289</v>
      </c>
      <c r="Z20" s="10">
        <f t="shared" si="19"/>
        <v>242.07859891643821</v>
      </c>
      <c r="AA20" s="10">
        <f t="shared" si="20"/>
        <v>120.31544061770724</v>
      </c>
      <c r="AC20" s="10">
        <f>'2026_Fantasy_Hitters'!F29</f>
        <v>142.63074811709799</v>
      </c>
      <c r="AD20" s="10">
        <f>'2026_Fantasy_Hitters'!G29</f>
        <v>84.693597651946547</v>
      </c>
      <c r="AE20" s="10">
        <f>'2026_Fantasy_Hitters'!H29</f>
        <v>29.765791114789064</v>
      </c>
      <c r="AF20" s="10">
        <f>'2026_Fantasy_Hitters'!I29</f>
        <v>1.0276363807693589</v>
      </c>
      <c r="AG20" s="10">
        <f>'2026_Fantasy_Hitters'!J29</f>
        <v>26.361244499999998</v>
      </c>
      <c r="AH20" s="10">
        <f>'2026_Fantasy_Hitters'!K29</f>
        <v>84.937799043061744</v>
      </c>
      <c r="AI20" s="10">
        <f>'2026_Fantasy_Hitters'!L29</f>
        <v>74.999999999999829</v>
      </c>
      <c r="AJ20" s="10">
        <f>'2026_Fantasy_Hitters'!M29</f>
        <v>43.936199999999999</v>
      </c>
      <c r="AK20" s="10">
        <f>'2026_Fantasy_Hitters'!N29</f>
        <v>3.6151757800000004</v>
      </c>
      <c r="AL20" s="10">
        <f>'2026_Fantasy_Hitters'!O29</f>
        <v>153.26949999999999</v>
      </c>
      <c r="AM20" s="10">
        <f>'2026_Fantasy_Hitters'!P29</f>
        <v>16.16076778</v>
      </c>
      <c r="AN20" s="10">
        <f>'2026_Fantasy_Hitters'!Q29</f>
        <v>4.04466006</v>
      </c>
      <c r="AO20" s="10">
        <f>'2026_Fantasy_Hitters'!R29</f>
        <v>2.8906786199999996</v>
      </c>
      <c r="AP20" s="10">
        <f>'2026_Fantasy_Hitters'!S29</f>
        <v>27.40037684</v>
      </c>
      <c r="AQ20" s="10">
        <f>'2026_Fantasy_Hitters'!T29</f>
        <v>8.1168610799999996</v>
      </c>
      <c r="AR20" s="10">
        <f>'2026_Fantasy_Hitters'!U29</f>
        <v>19.28351576</v>
      </c>
      <c r="AS20" s="10">
        <f>'2026_Fantasy_Hitters'!V29</f>
        <v>0.25155334764920279</v>
      </c>
      <c r="AT20" s="10">
        <f>'2026_Fantasy_Hitters'!W29</f>
        <v>0.33356646296140929</v>
      </c>
      <c r="AU20" s="10">
        <f>'2026_Fantasy_Hitters'!X29</f>
        <v>0.44577260498030463</v>
      </c>
      <c r="AV20" s="10">
        <f>'2026_Fantasy_Hitters'!Y29</f>
        <v>0.77933906794171393</v>
      </c>
      <c r="AW20" s="10">
        <f>'2026_Fantasy_Hitters'!Z29</f>
        <v>0.29704999999999998</v>
      </c>
      <c r="AX20" s="10">
        <f>'2026_Fantasy_Hitters'!AA29</f>
        <v>0.24174999999999999</v>
      </c>
      <c r="AY20" s="10">
        <f>'2026_Fantasy_Hitters'!AB29</f>
        <v>6.93E-2</v>
      </c>
      <c r="AZ20" s="10">
        <f t="shared" si="21"/>
        <v>4.1579249999999998E-2</v>
      </c>
    </row>
    <row r="21" spans="1:52">
      <c r="A21" t="s">
        <v>135</v>
      </c>
      <c r="B21" t="s">
        <v>136</v>
      </c>
      <c r="C21" t="s">
        <v>124</v>
      </c>
      <c r="D21">
        <v>514</v>
      </c>
      <c r="E21">
        <v>576</v>
      </c>
      <c r="F21" s="6">
        <f t="shared" si="0"/>
        <v>9.3861860718905845</v>
      </c>
      <c r="G21" s="5">
        <f t="shared" si="1"/>
        <v>1.0627750283504569</v>
      </c>
      <c r="H21" s="5">
        <f t="shared" si="2"/>
        <v>0.56142097443988426</v>
      </c>
      <c r="I21" s="5">
        <f t="shared" si="3"/>
        <v>1.798403223739663</v>
      </c>
      <c r="J21" s="5">
        <f t="shared" si="4"/>
        <v>1.7365856432639792</v>
      </c>
      <c r="K21" s="5">
        <f t="shared" si="5"/>
        <v>1.1101452915803571</v>
      </c>
      <c r="L21" s="5">
        <f t="shared" si="6"/>
        <v>-0.61363248564606854</v>
      </c>
      <c r="M21" s="5">
        <f t="shared" si="7"/>
        <v>0.65029624216689808</v>
      </c>
      <c r="N21" s="5">
        <f t="shared" si="8"/>
        <v>1.9834946452735613</v>
      </c>
      <c r="O21" s="5">
        <f t="shared" si="9"/>
        <v>-0.82689549390789097</v>
      </c>
      <c r="P21" s="1">
        <f t="shared" si="10"/>
        <v>1.9235930026297416</v>
      </c>
      <c r="R21">
        <f t="shared" si="11"/>
        <v>125.12495965416481</v>
      </c>
      <c r="S21">
        <f t="shared" si="12"/>
        <v>111.43181397936408</v>
      </c>
      <c r="T21">
        <f t="shared" si="13"/>
        <v>179.55386449808074</v>
      </c>
      <c r="U21">
        <f t="shared" si="14"/>
        <v>144.68074886524204</v>
      </c>
      <c r="V21">
        <f t="shared" si="15"/>
        <v>140.17740396426007</v>
      </c>
      <c r="W21">
        <f t="shared" si="16"/>
        <v>70.164915042569504</v>
      </c>
      <c r="X21">
        <f t="shared" si="17"/>
        <v>104.29185413604498</v>
      </c>
      <c r="Y21">
        <f t="shared" si="18"/>
        <v>121.80816731046372</v>
      </c>
      <c r="Z21">
        <f t="shared" si="19"/>
        <v>23.9675581340056</v>
      </c>
      <c r="AA21">
        <f t="shared" si="20"/>
        <v>169.86395737553113</v>
      </c>
      <c r="AC21">
        <f>'2026_Fantasy_Hitters'!F18</f>
        <v>134.69919454335999</v>
      </c>
      <c r="AD21">
        <f>'2026_Fantasy_Hitters'!G18</f>
        <v>72.697838399583162</v>
      </c>
      <c r="AE21">
        <f>'2026_Fantasy_Hitters'!H18</f>
        <v>26.097030332767755</v>
      </c>
      <c r="AF21">
        <f>'2026_Fantasy_Hitters'!I18</f>
        <v>1.9077240526832724</v>
      </c>
      <c r="AG21">
        <f>'2026_Fantasy_Hitters'!J18</f>
        <v>33.812634240000001</v>
      </c>
      <c r="AH21">
        <f>'2026_Fantasy_Hitters'!K18</f>
        <v>83.87368421052615</v>
      </c>
      <c r="AI21">
        <f>'2026_Fantasy_Hitters'!L18</f>
        <v>94.999999999999673</v>
      </c>
      <c r="AJ21">
        <f>'2026_Fantasy_Hitters'!M18</f>
        <v>65.836799999999997</v>
      </c>
      <c r="AK21">
        <f>'2026_Fantasy_Hitters'!N18</f>
        <v>3.11020992</v>
      </c>
      <c r="AL21">
        <f>'2026_Fantasy_Hitters'!O18</f>
        <v>166.17599999999999</v>
      </c>
      <c r="AM21">
        <f>'2026_Fantasy_Hitters'!P18</f>
        <v>4.03789248</v>
      </c>
      <c r="AN21">
        <f>'2026_Fantasy_Hitters'!Q18</f>
        <v>4.0421030399999998</v>
      </c>
      <c r="AO21">
        <f>'2026_Fantasy_Hitters'!R18</f>
        <v>0.9</v>
      </c>
      <c r="AP21">
        <f>'2026_Fantasy_Hitters'!S18</f>
        <v>2.9512972799999999</v>
      </c>
      <c r="AQ21">
        <f>'2026_Fantasy_Hitters'!T18</f>
        <v>1.0420876800000001</v>
      </c>
      <c r="AR21">
        <f>'2026_Fantasy_Hitters'!U18</f>
        <v>1.9092095999999998</v>
      </c>
      <c r="AS21">
        <f>'2026_Fantasy_Hitters'!V18</f>
        <v>0.2620606897730739</v>
      </c>
      <c r="AT21">
        <f>'2026_Fantasy_Hitters'!W18</f>
        <v>0.35381251944533509</v>
      </c>
      <c r="AU21">
        <f>'2026_Fantasy_Hitters'!X18</f>
        <v>0.51724826494779863</v>
      </c>
      <c r="AV21">
        <f>'2026_Fantasy_Hitters'!Y18</f>
        <v>0.87106078439313372</v>
      </c>
      <c r="AW21">
        <f>'2026_Fantasy_Hitters'!Z18</f>
        <v>0.31719999999999998</v>
      </c>
      <c r="AX21">
        <f>'2026_Fantasy_Hitters'!AA18</f>
        <v>0.28849999999999998</v>
      </c>
      <c r="AY21">
        <f>'2026_Fantasy_Hitters'!AB18</f>
        <v>0.1143</v>
      </c>
      <c r="AZ21">
        <f t="shared" si="21"/>
        <v>5.8702490000000003E-2</v>
      </c>
    </row>
    <row r="22" spans="1:52">
      <c r="A22" t="s">
        <v>86</v>
      </c>
      <c r="B22" t="s">
        <v>74</v>
      </c>
      <c r="C22" t="s">
        <v>87</v>
      </c>
      <c r="D22">
        <v>540</v>
      </c>
      <c r="E22">
        <v>626</v>
      </c>
      <c r="F22" s="6">
        <f t="shared" si="0"/>
        <v>9.1627611824653776</v>
      </c>
      <c r="G22" s="5">
        <f t="shared" si="1"/>
        <v>0.96112371525262308</v>
      </c>
      <c r="H22" s="5">
        <f t="shared" si="2"/>
        <v>7.1005663131536237E-2</v>
      </c>
      <c r="I22" s="5">
        <f t="shared" si="3"/>
        <v>2.4466265993223271</v>
      </c>
      <c r="J22" s="5">
        <f t="shared" si="4"/>
        <v>2.1509295395126009</v>
      </c>
      <c r="K22" s="5">
        <f t="shared" si="5"/>
        <v>1.6415551940710782</v>
      </c>
      <c r="L22" s="5">
        <f t="shared" si="6"/>
        <v>9.3796520506555917E-2</v>
      </c>
      <c r="M22" s="5">
        <f t="shared" si="7"/>
        <v>-1.4584790011540305</v>
      </c>
      <c r="N22" s="5">
        <f t="shared" si="8"/>
        <v>1.294443063196455</v>
      </c>
      <c r="O22" s="5">
        <f t="shared" si="9"/>
        <v>-0.27552416172315969</v>
      </c>
      <c r="P22" s="1">
        <f t="shared" si="10"/>
        <v>2.237284050349392</v>
      </c>
      <c r="R22">
        <f t="shared" si="11"/>
        <v>122.72183098417713</v>
      </c>
      <c r="S22">
        <f t="shared" si="12"/>
        <v>101.44583756104052</v>
      </c>
      <c r="T22">
        <f t="shared" si="13"/>
        <v>208.22856542436023</v>
      </c>
      <c r="U22">
        <f t="shared" si="14"/>
        <v>155.3414356237335</v>
      </c>
      <c r="V22">
        <f t="shared" si="15"/>
        <v>159.40972471083904</v>
      </c>
      <c r="W22">
        <f t="shared" si="16"/>
        <v>104.56042863356249</v>
      </c>
      <c r="X22">
        <f t="shared" si="17"/>
        <v>90.3742652539716</v>
      </c>
      <c r="Y22">
        <f t="shared" si="18"/>
        <v>114.23216894652317</v>
      </c>
      <c r="Z22">
        <f t="shared" si="19"/>
        <v>74.665752851198278</v>
      </c>
      <c r="AA22">
        <f t="shared" si="20"/>
        <v>181.2570628593889</v>
      </c>
      <c r="AC22">
        <f>'2026_Fantasy_Hitters'!F11</f>
        <v>122.628108807232</v>
      </c>
      <c r="AD22">
        <f>'2026_Fantasy_Hitters'!G11</f>
        <v>60.102107089721123</v>
      </c>
      <c r="AE22">
        <f>'2026_Fantasy_Hitters'!H11</f>
        <v>22.494844530245775</v>
      </c>
      <c r="AF22">
        <f>'2026_Fantasy_Hitters'!I11</f>
        <v>0</v>
      </c>
      <c r="AG22">
        <f>'2026_Fantasy_Hitters'!J11</f>
        <v>39.212502280000002</v>
      </c>
      <c r="AH22">
        <f>'2026_Fantasy_Hitters'!K11</f>
        <v>82.262820512820255</v>
      </c>
      <c r="AI22">
        <f>'2026_Fantasy_Hitters'!L11</f>
        <v>101.9999999999996</v>
      </c>
      <c r="AJ22">
        <f>'2026_Fantasy_Hitters'!M11</f>
        <v>74.869600000000005</v>
      </c>
      <c r="AK22">
        <f>'2026_Fantasy_Hitters'!N11</f>
        <v>9.8152167600000002</v>
      </c>
      <c r="AL22">
        <f>'2026_Fantasy_Hitters'!O11</f>
        <v>168.98870000000002</v>
      </c>
      <c r="AM22">
        <f>'2026_Fantasy_Hitters'!P11</f>
        <v>6.0173060600000001</v>
      </c>
      <c r="AN22">
        <f>'2026_Fantasy_Hitters'!Q11</f>
        <v>4.0128227599999997</v>
      </c>
      <c r="AO22">
        <f>'2026_Fantasy_Hitters'!R11</f>
        <v>0.90000020000000003</v>
      </c>
      <c r="AP22">
        <f>'2026_Fantasy_Hitters'!S11</f>
        <v>8.2111459968602265</v>
      </c>
      <c r="AQ22">
        <f>'2026_Fantasy_Hitters'!T11</f>
        <v>2.26341568</v>
      </c>
      <c r="AR22">
        <f>'2026_Fantasy_Hitters'!U11</f>
        <v>5.9477303168602269</v>
      </c>
      <c r="AS22">
        <f>'2026_Fantasy_Hitters'!V11</f>
        <v>0.22708909038376296</v>
      </c>
      <c r="AT22">
        <f>'2026_Fantasy_Hitters'!W11</f>
        <v>0.33932087257414562</v>
      </c>
      <c r="AU22">
        <f>'2026_Fantasy_Hitters'!X11</f>
        <v>0.48507741716706054</v>
      </c>
      <c r="AV22">
        <f>'2026_Fantasy_Hitters'!Y11</f>
        <v>0.8243982897412061</v>
      </c>
      <c r="AW22">
        <f>'2026_Fantasy_Hitters'!Z11</f>
        <v>0.24840000000000001</v>
      </c>
      <c r="AX22">
        <f>'2026_Fantasy_Hitters'!AA11</f>
        <v>0.26995000000000002</v>
      </c>
      <c r="AY22">
        <f>'2026_Fantasy_Hitters'!AB11</f>
        <v>0.1196</v>
      </c>
      <c r="AZ22">
        <f t="shared" si="21"/>
        <v>6.2639780000000006E-2</v>
      </c>
    </row>
    <row r="23" spans="1:52">
      <c r="A23" t="s">
        <v>242</v>
      </c>
      <c r="B23" t="s">
        <v>243</v>
      </c>
      <c r="C23" t="s">
        <v>124</v>
      </c>
      <c r="D23">
        <v>562</v>
      </c>
      <c r="E23">
        <v>656</v>
      </c>
      <c r="F23" s="6">
        <f t="shared" si="0"/>
        <v>8.786389472938211</v>
      </c>
      <c r="G23" s="5">
        <f t="shared" si="1"/>
        <v>1.1833616821824007</v>
      </c>
      <c r="H23" s="5">
        <f t="shared" si="2"/>
        <v>0.84505819678443894</v>
      </c>
      <c r="I23" s="5">
        <f t="shared" si="3"/>
        <v>1.6007155391956751</v>
      </c>
      <c r="J23" s="5">
        <f t="shared" si="4"/>
        <v>1.5590096877288573</v>
      </c>
      <c r="K23" s="5">
        <f t="shared" si="5"/>
        <v>2.0842006756869851</v>
      </c>
      <c r="L23" s="5">
        <f t="shared" si="6"/>
        <v>0.10542696099206665</v>
      </c>
      <c r="M23" s="5">
        <f t="shared" si="7"/>
        <v>4.9717657542268368E-2</v>
      </c>
      <c r="N23" s="5">
        <f t="shared" si="8"/>
        <v>1.1287347482382215</v>
      </c>
      <c r="O23" s="5">
        <f t="shared" si="9"/>
        <v>-0.92306674338678907</v>
      </c>
      <c r="P23" s="1">
        <f t="shared" si="10"/>
        <v>1.1532310679740869</v>
      </c>
      <c r="R23">
        <f t="shared" si="11"/>
        <v>127.97573684739714</v>
      </c>
      <c r="S23">
        <f t="shared" si="12"/>
        <v>117.20731598425694</v>
      </c>
      <c r="T23">
        <f t="shared" si="13"/>
        <v>170.80898511755515</v>
      </c>
      <c r="U23">
        <f t="shared" si="14"/>
        <v>140.11188311160288</v>
      </c>
      <c r="V23">
        <f t="shared" si="15"/>
        <v>175.42956144997413</v>
      </c>
      <c r="W23">
        <f t="shared" si="16"/>
        <v>105.12590583383199</v>
      </c>
      <c r="X23">
        <f t="shared" si="17"/>
        <v>100.32812881317943</v>
      </c>
      <c r="Y23">
        <f t="shared" si="18"/>
        <v>112.41023579134404</v>
      </c>
      <c r="Z23">
        <f t="shared" si="19"/>
        <v>15.124681387117832</v>
      </c>
      <c r="AA23">
        <f t="shared" si="20"/>
        <v>141.88478855294949</v>
      </c>
      <c r="AC23">
        <f>'2026_Fantasy_Hitters'!F33</f>
        <v>141.68064302167963</v>
      </c>
      <c r="AD23">
        <f>'2026_Fantasy_Hitters'!G33</f>
        <v>81.842755456737308</v>
      </c>
      <c r="AE23">
        <f>'2026_Fantasy_Hitters'!H33</f>
        <v>27.378699555419907</v>
      </c>
      <c r="AF23">
        <f>'2026_Fantasy_Hitters'!I33</f>
        <v>1.0006520434232378</v>
      </c>
      <c r="AG23">
        <f>'2026_Fantasy_Hitters'!J33</f>
        <v>32.165844800000002</v>
      </c>
      <c r="AH23">
        <f>'2026_Fantasy_Hitters'!K33</f>
        <v>85.784615384614881</v>
      </c>
      <c r="AI23">
        <f>'2026_Fantasy_Hitters'!L33</f>
        <v>91.99999999999973</v>
      </c>
      <c r="AJ23">
        <f>'2026_Fantasy_Hitters'!M33</f>
        <v>82.393599999999992</v>
      </c>
      <c r="AK23">
        <f>'2026_Fantasy_Hitters'!N33</f>
        <v>10.251674366449805</v>
      </c>
      <c r="AL23">
        <f>'2026_Fantasy_Hitters'!O33</f>
        <v>158.94880000000001</v>
      </c>
      <c r="AM23">
        <f>'2026_Fantasy_Hitters'!P33</f>
        <v>6.0498484800000005</v>
      </c>
      <c r="AN23">
        <f>'2026_Fantasy_Hitters'!Q33</f>
        <v>4.0369256</v>
      </c>
      <c r="AO23">
        <f>'2026_Fantasy_Hitters'!R33</f>
        <v>0.8999992</v>
      </c>
      <c r="AP23">
        <f>'2026_Fantasy_Hitters'!S33</f>
        <v>2.2172012799999998</v>
      </c>
      <c r="AQ23">
        <f>'2026_Fantasy_Hitters'!T33</f>
        <v>1.01239824</v>
      </c>
      <c r="AR23">
        <f>'2026_Fantasy_Hitters'!U33</f>
        <v>1.2048030399999998</v>
      </c>
      <c r="AS23">
        <f>'2026_Fantasy_Hitters'!V33</f>
        <v>0.25210078829480359</v>
      </c>
      <c r="AT23">
        <f>'2026_Fantasy_Hitters'!W33</f>
        <v>0.36493435814778818</v>
      </c>
      <c r="AU23">
        <f>'2026_Fantasy_Hitters'!X33</f>
        <v>0.4773407293555994</v>
      </c>
      <c r="AV23">
        <f>'2026_Fantasy_Hitters'!Y33</f>
        <v>0.84227508750338753</v>
      </c>
      <c r="AW23">
        <f>'2026_Fantasy_Hitters'!Z33</f>
        <v>0.29209999999999903</v>
      </c>
      <c r="AX23">
        <f>'2026_Fantasy_Hitters'!AA33</f>
        <v>0.24229999999999999</v>
      </c>
      <c r="AY23">
        <f>'2026_Fantasy_Hitters'!AB33</f>
        <v>0.12559999999999999</v>
      </c>
      <c r="AZ23">
        <f t="shared" si="21"/>
        <v>4.9033300000000002E-2</v>
      </c>
    </row>
    <row r="24" spans="1:52">
      <c r="A24" t="s">
        <v>189</v>
      </c>
      <c r="B24" t="s">
        <v>116</v>
      </c>
      <c r="C24" t="s">
        <v>124</v>
      </c>
      <c r="D24">
        <v>523</v>
      </c>
      <c r="E24">
        <v>606</v>
      </c>
      <c r="F24" s="6">
        <f t="shared" si="0"/>
        <v>8.2977113970973893</v>
      </c>
      <c r="G24" s="5">
        <f t="shared" si="1"/>
        <v>1.0777106229287847</v>
      </c>
      <c r="H24" s="5">
        <f t="shared" si="2"/>
        <v>0.86940225495202916</v>
      </c>
      <c r="I24" s="5">
        <f t="shared" si="3"/>
        <v>0.89812010514272467</v>
      </c>
      <c r="J24" s="5">
        <f t="shared" si="4"/>
        <v>1.0854738063018512</v>
      </c>
      <c r="K24" s="5">
        <f t="shared" si="5"/>
        <v>1.6220467887409558</v>
      </c>
      <c r="L24" s="5">
        <f t="shared" si="6"/>
        <v>-0.24826562315765749</v>
      </c>
      <c r="M24" s="5">
        <f t="shared" si="7"/>
        <v>1.2523827339380504</v>
      </c>
      <c r="N24" s="5">
        <f t="shared" si="8"/>
        <v>1.2695671520520908</v>
      </c>
      <c r="O24" s="5">
        <f t="shared" si="9"/>
        <v>-0.23480452486460063</v>
      </c>
      <c r="P24" s="1">
        <f t="shared" si="10"/>
        <v>0.70607808106315906</v>
      </c>
      <c r="R24">
        <f t="shared" si="11"/>
        <v>125.47805057292105</v>
      </c>
      <c r="S24">
        <f t="shared" si="12"/>
        <v>117.70301663874773</v>
      </c>
      <c r="T24">
        <f t="shared" si="13"/>
        <v>139.72909089817634</v>
      </c>
      <c r="U24">
        <f t="shared" si="14"/>
        <v>127.9282411018981</v>
      </c>
      <c r="V24">
        <f t="shared" si="15"/>
        <v>158.70369362860919</v>
      </c>
      <c r="W24">
        <f t="shared" si="16"/>
        <v>87.929214746315807</v>
      </c>
      <c r="X24">
        <f t="shared" si="17"/>
        <v>108.26553141173437</v>
      </c>
      <c r="Y24">
        <f t="shared" si="18"/>
        <v>113.9586627721913</v>
      </c>
      <c r="Z24">
        <f t="shared" si="19"/>
        <v>78.409893973096402</v>
      </c>
      <c r="AA24">
        <f t="shared" si="20"/>
        <v>125.64441068966009</v>
      </c>
      <c r="AC24">
        <f>'2026_Fantasy_Hitters'!F26</f>
        <v>142.27984783141997</v>
      </c>
      <c r="AD24">
        <f>'2026_Fantasy_Hitters'!G26</f>
        <v>86.09289965643552</v>
      </c>
      <c r="AE24">
        <f>'2026_Fantasy_Hitters'!H26</f>
        <v>29.360016710101</v>
      </c>
      <c r="AF24">
        <f>'2026_Fantasy_Hitters'!I26</f>
        <v>1.0076529580452527</v>
      </c>
      <c r="AG24">
        <f>'2026_Fantasy_Hitters'!J26</f>
        <v>26.313043478260816</v>
      </c>
      <c r="AH24">
        <f>'2026_Fantasy_Hitters'!K26</f>
        <v>84.110367892976228</v>
      </c>
      <c r="AI24">
        <f>'2026_Fantasy_Hitters'!L26</f>
        <v>83.999999999999616</v>
      </c>
      <c r="AJ24">
        <f>'2026_Fantasy_Hitters'!M26</f>
        <v>74.537999999999997</v>
      </c>
      <c r="AK24">
        <f>'2026_Fantasy_Hitters'!N26</f>
        <v>7.3317159956747284</v>
      </c>
      <c r="AL24">
        <f>'2026_Fantasy_Hitters'!O26</f>
        <v>129.2900999999994</v>
      </c>
      <c r="AM24">
        <f>'2026_Fantasy_Hitters'!P26</f>
        <v>5.0602030200000003</v>
      </c>
      <c r="AN24">
        <f>'2026_Fantasy_Hitters'!Q26</f>
        <v>4.0535097599999999</v>
      </c>
      <c r="AO24">
        <f>'2026_Fantasy_Hitters'!R26</f>
        <v>0</v>
      </c>
      <c r="AP24">
        <f>'2026_Fantasy_Hitters'!S26</f>
        <v>9.2560137000000005</v>
      </c>
      <c r="AQ24">
        <f>'2026_Fantasy_Hitters'!T26</f>
        <v>3.0100322999999998</v>
      </c>
      <c r="AR24">
        <f>'2026_Fantasy_Hitters'!U26</f>
        <v>6.2459814000000007</v>
      </c>
      <c r="AS24">
        <f>'2026_Fantasy_Hitters'!V26</f>
        <v>0.27204559814803053</v>
      </c>
      <c r="AT24">
        <f>'2026_Fantasy_Hitters'!W26</f>
        <v>0.37641817088294666</v>
      </c>
      <c r="AU24">
        <f>'2026_Fantasy_Hitters'!X26</f>
        <v>0.4839159959155192</v>
      </c>
      <c r="AV24">
        <f>'2026_Fantasy_Hitters'!Y26</f>
        <v>0.86033416679846586</v>
      </c>
      <c r="AW24">
        <f>'2026_Fantasy_Hitters'!Z26</f>
        <v>0.31219999999999998</v>
      </c>
      <c r="AX24">
        <f>'2026_Fantasy_Hitters'!AA26</f>
        <v>0.21334999999999901</v>
      </c>
      <c r="AY24">
        <f>'2026_Fantasy_Hitters'!AB26</f>
        <v>0.123</v>
      </c>
      <c r="AZ24">
        <f t="shared" si="21"/>
        <v>4.3420863825512898E-2</v>
      </c>
    </row>
    <row r="25" spans="1:52" s="10" customFormat="1">
      <c r="A25" s="10" t="s">
        <v>358</v>
      </c>
      <c r="B25" s="10" t="s">
        <v>74</v>
      </c>
      <c r="C25" s="10" t="s">
        <v>20</v>
      </c>
      <c r="D25" s="10">
        <v>565</v>
      </c>
      <c r="E25" s="10">
        <v>654</v>
      </c>
      <c r="F25" s="11">
        <f t="shared" si="0"/>
        <v>7.9725423602401788</v>
      </c>
      <c r="G25" s="11">
        <f t="shared" si="1"/>
        <v>1.3023527854107391</v>
      </c>
      <c r="H25" s="11">
        <f t="shared" si="2"/>
        <v>0.41656859602598556</v>
      </c>
      <c r="I25" s="11">
        <f t="shared" si="3"/>
        <v>0.6284244024317055</v>
      </c>
      <c r="J25" s="11">
        <f t="shared" si="4"/>
        <v>0.43436196933972371</v>
      </c>
      <c r="K25" s="11">
        <f t="shared" si="5"/>
        <v>1.0882954069614794</v>
      </c>
      <c r="L25" s="11">
        <f t="shared" si="6"/>
        <v>4.1325430377395982</v>
      </c>
      <c r="M25" s="11">
        <f t="shared" si="7"/>
        <v>-1.156611362517812</v>
      </c>
      <c r="N25" s="11">
        <f t="shared" si="8"/>
        <v>-0.27930404019563304</v>
      </c>
      <c r="O25" s="11">
        <f t="shared" si="9"/>
        <v>1.2274261368978374</v>
      </c>
      <c r="P25" s="10">
        <f t="shared" si="10"/>
        <v>0.17848542814655549</v>
      </c>
      <c r="R25" s="10">
        <f t="shared" si="11"/>
        <v>130.78879378613311</v>
      </c>
      <c r="S25" s="10">
        <f t="shared" si="12"/>
        <v>108.4822885432184</v>
      </c>
      <c r="T25" s="10">
        <f t="shared" si="13"/>
        <v>127.79887685831709</v>
      </c>
      <c r="U25" s="10">
        <f t="shared" si="14"/>
        <v>111.17573333855417</v>
      </c>
      <c r="V25" s="10">
        <f t="shared" si="15"/>
        <v>139.38663211884204</v>
      </c>
      <c r="W25" s="10">
        <f t="shared" si="16"/>
        <v>300.92608443209576</v>
      </c>
      <c r="X25" s="10">
        <f t="shared" si="17"/>
        <v>92.366544755852019</v>
      </c>
      <c r="Y25" s="10">
        <f t="shared" si="18"/>
        <v>96.929102252133887</v>
      </c>
      <c r="Z25" s="10">
        <f t="shared" si="19"/>
        <v>212.86094444346122</v>
      </c>
      <c r="AA25" s="10">
        <f t="shared" si="20"/>
        <v>106.48250348547602</v>
      </c>
      <c r="AC25" s="10">
        <f>'2026_Fantasy_Hitters'!F51</f>
        <v>131.13379713712598</v>
      </c>
      <c r="AD25" s="10">
        <f>'2026_Fantasy_Hitters'!G51</f>
        <v>79.871261734233272</v>
      </c>
      <c r="AE25" s="10">
        <f>'2026_Fantasy_Hitters'!H51</f>
        <v>25.382677526809875</v>
      </c>
      <c r="AF25" s="10">
        <f>'2026_Fantasy_Hitters'!I51</f>
        <v>1.8841764039747209</v>
      </c>
      <c r="AG25" s="10">
        <f>'2026_Fantasy_Hitters'!J51</f>
        <v>24.066408659999997</v>
      </c>
      <c r="AH25" s="10">
        <f>'2026_Fantasy_Hitters'!K51</f>
        <v>87.670261941448103</v>
      </c>
      <c r="AI25" s="10">
        <f>'2026_Fantasy_Hitters'!L51</f>
        <v>72.999999999999588</v>
      </c>
      <c r="AJ25" s="10">
        <f>'2026_Fantasy_Hitters'!M51</f>
        <v>65.465399999999349</v>
      </c>
      <c r="AK25" s="10">
        <f>'2026_Fantasy_Hitters'!N51</f>
        <v>0.97354440000000009</v>
      </c>
      <c r="AL25" s="10">
        <f>'2026_Fantasy_Hitters'!O51</f>
        <v>172.36170000000001</v>
      </c>
      <c r="AM25" s="10">
        <f>'2026_Fantasy_Hitters'!P51</f>
        <v>17.31787422</v>
      </c>
      <c r="AN25" s="10">
        <f>'2026_Fantasy_Hitters'!Q51</f>
        <v>4.0308178200000002</v>
      </c>
      <c r="AO25" s="10">
        <f>'2026_Fantasy_Hitters'!R51</f>
        <v>0.90000210000000003</v>
      </c>
      <c r="AP25" s="10">
        <f>'2026_Fantasy_Hitters'!S51</f>
        <v>24.01988217967596</v>
      </c>
      <c r="AQ25" s="10">
        <f>'2026_Fantasy_Hitters'!T51</f>
        <v>7.0637886000000005</v>
      </c>
      <c r="AR25" s="10">
        <f>'2026_Fantasy_Hitters'!U51</f>
        <v>16.956093579675958</v>
      </c>
      <c r="AS25" s="10">
        <f>'2026_Fantasy_Hitters'!V51</f>
        <v>0.2320952161719044</v>
      </c>
      <c r="AT25" s="10">
        <f>'2026_Fantasy_Hitters'!W51</f>
        <v>0.33816025330050281</v>
      </c>
      <c r="AU25" s="10">
        <f>'2026_Fantasy_Hitters'!X51</f>
        <v>0.41160138166332244</v>
      </c>
      <c r="AV25" s="10">
        <f>'2026_Fantasy_Hitters'!Y51</f>
        <v>0.7497616349638252</v>
      </c>
      <c r="AW25" s="10">
        <f>'2026_Fantasy_Hitters'!Z51</f>
        <v>0.28734999999999999</v>
      </c>
      <c r="AX25" s="10">
        <f>'2026_Fantasy_Hitters'!AA51</f>
        <v>0.26355000000000001</v>
      </c>
      <c r="AY25" s="10">
        <f>'2026_Fantasy_Hitters'!AB51</f>
        <v>0.100099999999999</v>
      </c>
      <c r="AZ25" s="10">
        <f t="shared" si="21"/>
        <v>3.6798789999999998E-2</v>
      </c>
    </row>
    <row r="26" spans="1:52" s="10" customFormat="1">
      <c r="A26" s="10" t="s">
        <v>147</v>
      </c>
      <c r="B26" s="10" t="s">
        <v>40</v>
      </c>
      <c r="C26" s="10" t="s">
        <v>34</v>
      </c>
      <c r="D26" s="10">
        <v>547</v>
      </c>
      <c r="E26" s="10">
        <v>618</v>
      </c>
      <c r="F26" s="11">
        <f t="shared" si="0"/>
        <v>7.6621276283569122</v>
      </c>
      <c r="G26" s="11">
        <f t="shared" si="1"/>
        <v>1.1251843421536374</v>
      </c>
      <c r="H26" s="11">
        <f t="shared" si="2"/>
        <v>0.82906828548292477</v>
      </c>
      <c r="I26" s="11">
        <f t="shared" si="3"/>
        <v>0.73613323651906593</v>
      </c>
      <c r="J26" s="11">
        <f t="shared" si="4"/>
        <v>0.61193792487486731</v>
      </c>
      <c r="K26" s="11">
        <f t="shared" si="5"/>
        <v>0.39637062780401872</v>
      </c>
      <c r="L26" s="11">
        <f t="shared" si="6"/>
        <v>1.1908526487981828</v>
      </c>
      <c r="M26" s="11">
        <f t="shared" si="7"/>
        <v>0.42319363817113725</v>
      </c>
      <c r="N26" s="11">
        <f t="shared" si="8"/>
        <v>0.49877343143728692</v>
      </c>
      <c r="O26" s="11">
        <f t="shared" si="9"/>
        <v>1.3856706478085166</v>
      </c>
      <c r="P26" s="10">
        <f t="shared" si="10"/>
        <v>0.46494284530727437</v>
      </c>
      <c r="R26" s="10">
        <f t="shared" si="11"/>
        <v>126.60037208814228</v>
      </c>
      <c r="S26" s="10">
        <f t="shared" si="12"/>
        <v>116.88172485056656</v>
      </c>
      <c r="T26" s="10">
        <f t="shared" si="13"/>
        <v>132.56346684521344</v>
      </c>
      <c r="U26" s="10">
        <f t="shared" si="14"/>
        <v>115.74459909219388</v>
      </c>
      <c r="V26" s="10">
        <f t="shared" si="15"/>
        <v>114.34509784766902</v>
      </c>
      <c r="W26" s="10">
        <f t="shared" si="16"/>
        <v>157.89978656567973</v>
      </c>
      <c r="X26" s="10">
        <f t="shared" si="17"/>
        <v>102.79301224359001</v>
      </c>
      <c r="Y26" s="10">
        <f t="shared" si="18"/>
        <v>105.48392427915938</v>
      </c>
      <c r="Z26" s="10">
        <f t="shared" si="19"/>
        <v>227.41141262846401</v>
      </c>
      <c r="AA26" s="10">
        <f t="shared" si="20"/>
        <v>116.88649682245601</v>
      </c>
      <c r="AC26" s="10">
        <f>'2026_Fantasy_Hitters'!F20</f>
        <v>141.28706723849552</v>
      </c>
      <c r="AD26" s="10">
        <f>'2026_Fantasy_Hitters'!G20</f>
        <v>87.178034908942664</v>
      </c>
      <c r="AE26" s="10">
        <f>'2026_Fantasy_Hitters'!H20</f>
        <v>27.251855805310484</v>
      </c>
      <c r="AF26" s="10">
        <f>'2026_Fantasy_Hitters'!I20</f>
        <v>1.1602202221707059</v>
      </c>
      <c r="AG26" s="10">
        <f>'2026_Fantasy_Hitters'!J20</f>
        <v>24.963651050080742</v>
      </c>
      <c r="AH26" s="10">
        <f>'2026_Fantasy_Hitters'!K20</f>
        <v>84.862681744749054</v>
      </c>
      <c r="AI26" s="10">
        <f>'2026_Fantasy_Hitters'!L20</f>
        <v>75.999999999999901</v>
      </c>
      <c r="AJ26" s="10">
        <f>'2026_Fantasy_Hitters'!M20</f>
        <v>53.7042</v>
      </c>
      <c r="AK26" s="10">
        <f>'2026_Fantasy_Hitters'!N20</f>
        <v>1.72118562</v>
      </c>
      <c r="AL26" s="10">
        <f>'2026_Fantasy_Hitters'!O20</f>
        <v>113.43389999999999</v>
      </c>
      <c r="AM26" s="10">
        <f>'2026_Fantasy_Hitters'!P20</f>
        <v>9.0869113200000005</v>
      </c>
      <c r="AN26" s="10">
        <f>'2026_Fantasy_Hitters'!Q20</f>
        <v>4.9919197199999994</v>
      </c>
      <c r="AO26" s="10">
        <f>'2026_Fantasy_Hitters'!R20</f>
        <v>0.89999957999999991</v>
      </c>
      <c r="AP26" s="10">
        <f>'2026_Fantasy_Hitters'!S20</f>
        <v>23.13571374</v>
      </c>
      <c r="AQ26" s="10">
        <f>'2026_Fantasy_Hitters'!T20</f>
        <v>5.0205578400000004</v>
      </c>
      <c r="AR26" s="10">
        <f>'2026_Fantasy_Hitters'!U20</f>
        <v>18.115155899999998</v>
      </c>
      <c r="AS26" s="10">
        <f>'2026_Fantasy_Hitters'!V20</f>
        <v>0.25829445564624409</v>
      </c>
      <c r="AT26" s="10">
        <f>'2026_Fantasy_Hitters'!W20</f>
        <v>0.3388105053465672</v>
      </c>
      <c r="AU26" s="10">
        <f>'2026_Fantasy_Hitters'!X20</f>
        <v>0.44792872282705432</v>
      </c>
      <c r="AV26" s="10">
        <f>'2026_Fantasy_Hitters'!Y20</f>
        <v>0.78673922817362152</v>
      </c>
      <c r="AW26" s="10">
        <f>'2026_Fantasy_Hitters'!Z20</f>
        <v>0.28125</v>
      </c>
      <c r="AX26" s="10">
        <f>'2026_Fantasy_Hitters'!AA20</f>
        <v>0.18354999999999999</v>
      </c>
      <c r="AY26" s="10">
        <f>'2026_Fantasy_Hitters'!AB20</f>
        <v>8.6900000000000005E-2</v>
      </c>
      <c r="AZ26" s="10">
        <f t="shared" si="21"/>
        <v>4.0394257362590197E-2</v>
      </c>
    </row>
    <row r="27" spans="1:52">
      <c r="A27" t="s">
        <v>57</v>
      </c>
      <c r="B27" t="s">
        <v>58</v>
      </c>
      <c r="C27" t="s">
        <v>34</v>
      </c>
      <c r="D27">
        <v>568</v>
      </c>
      <c r="E27">
        <v>636</v>
      </c>
      <c r="F27" s="6">
        <f t="shared" si="0"/>
        <v>7.1688842955758263</v>
      </c>
      <c r="G27" s="5">
        <f t="shared" si="1"/>
        <v>1.5125715979749732</v>
      </c>
      <c r="H27" s="5">
        <f t="shared" si="2"/>
        <v>1.1015585040904672</v>
      </c>
      <c r="I27" s="5">
        <f t="shared" si="3"/>
        <v>0.29757300991926372</v>
      </c>
      <c r="J27" s="5">
        <f t="shared" si="4"/>
        <v>0.67112991005324385</v>
      </c>
      <c r="K27" s="5">
        <f t="shared" si="5"/>
        <v>0.66051067078103931</v>
      </c>
      <c r="L27" s="5">
        <f t="shared" si="6"/>
        <v>-0.9738284614181828</v>
      </c>
      <c r="M27" s="5">
        <f t="shared" si="7"/>
        <v>0.55938724616992364</v>
      </c>
      <c r="N27" s="5">
        <f t="shared" si="8"/>
        <v>0.50201929957577329</v>
      </c>
      <c r="O27" s="5">
        <f t="shared" si="9"/>
        <v>2.9217551178784333</v>
      </c>
      <c r="P27" s="1">
        <f t="shared" si="10"/>
        <v>-8.3792599449109148E-2</v>
      </c>
      <c r="R27">
        <f t="shared" si="11"/>
        <v>135.75855600610234</v>
      </c>
      <c r="S27">
        <f t="shared" si="12"/>
        <v>122.43024838662694</v>
      </c>
      <c r="T27">
        <f t="shared" si="13"/>
        <v>113.16338994331684</v>
      </c>
      <c r="U27">
        <f t="shared" si="14"/>
        <v>117.267554343407</v>
      </c>
      <c r="V27">
        <f t="shared" si="15"/>
        <v>123.90462243450699</v>
      </c>
      <c r="W27">
        <f t="shared" si="16"/>
        <v>52.652026155712292</v>
      </c>
      <c r="X27">
        <f t="shared" si="17"/>
        <v>103.69186889059253</v>
      </c>
      <c r="Y27">
        <f t="shared" si="18"/>
        <v>105.51961201625537</v>
      </c>
      <c r="Z27">
        <f t="shared" si="19"/>
        <v>368.6532672912461</v>
      </c>
      <c r="AA27">
        <f t="shared" si="20"/>
        <v>96.956693755750734</v>
      </c>
      <c r="AC27">
        <f>'2026_Fantasy_Hitters'!F7</f>
        <v>147.99414329265198</v>
      </c>
      <c r="AD27">
        <f>'2026_Fantasy_Hitters'!G7</f>
        <v>92.320982584123939</v>
      </c>
      <c r="AE27">
        <f>'2026_Fantasy_Hitters'!H7</f>
        <v>30.774896801005127</v>
      </c>
      <c r="AF27">
        <f>'2026_Fantasy_Hitters'!I7</f>
        <v>5.1324971020190526</v>
      </c>
      <c r="AG27">
        <f>'2026_Fantasy_Hitters'!J7</f>
        <v>21.310331159999997</v>
      </c>
      <c r="AH27">
        <f>'2026_Fantasy_Hitters'!K7</f>
        <v>91.001589825118884</v>
      </c>
      <c r="AI27">
        <f>'2026_Fantasy_Hitters'!L7</f>
        <v>76.999999999999929</v>
      </c>
      <c r="AJ27">
        <f>'2026_Fantasy_Hitters'!M7</f>
        <v>58.193999999999996</v>
      </c>
      <c r="AK27">
        <f>'2026_Fantasy_Hitters'!N7</f>
        <v>5.5172745600000006</v>
      </c>
      <c r="AL27">
        <f>'2026_Fantasy_Hitters'!O7</f>
        <v>166.02780000000001</v>
      </c>
      <c r="AM27">
        <f>'2026_Fantasy_Hitters'!P7</f>
        <v>3.0300502800000002</v>
      </c>
      <c r="AN27">
        <f>'2026_Fantasy_Hitters'!Q7</f>
        <v>4.0445148</v>
      </c>
      <c r="AO27">
        <f>'2026_Fantasy_Hitters'!R7</f>
        <v>0.99464039999999998</v>
      </c>
      <c r="AP27">
        <f>'2026_Fantasy_Hitters'!S7</f>
        <v>39.700894439999999</v>
      </c>
      <c r="AQ27">
        <f>'2026_Fantasy_Hitters'!T7</f>
        <v>10.334683954619054</v>
      </c>
      <c r="AR27">
        <f>'2026_Fantasy_Hitters'!U7</f>
        <v>29.366210485380947</v>
      </c>
      <c r="AS27">
        <f>'2026_Fantasy_Hitters'!V7</f>
        <v>0.26055306917720422</v>
      </c>
      <c r="AT27">
        <f>'2026_Fantasy_Hitters'!W7</f>
        <v>0.33776407816721732</v>
      </c>
      <c r="AU27">
        <f>'2026_Fantasy_Hitters'!X7</f>
        <v>0.44808026783836508</v>
      </c>
      <c r="AV27">
        <f>'2026_Fantasy_Hitters'!Y7</f>
        <v>0.78584434600558239</v>
      </c>
      <c r="AW27">
        <f>'2026_Fantasy_Hitters'!Z7</f>
        <v>0.32929999999999998</v>
      </c>
      <c r="AX27">
        <f>'2026_Fantasy_Hitters'!AA7</f>
        <v>0.26105</v>
      </c>
      <c r="AY27">
        <f>'2026_Fantasy_Hitters'!AB7</f>
        <v>9.1499999999999998E-2</v>
      </c>
      <c r="AZ27">
        <f t="shared" si="21"/>
        <v>3.3506809999999998E-2</v>
      </c>
    </row>
    <row r="28" spans="1:52">
      <c r="A28" s="1" t="s">
        <v>1375</v>
      </c>
      <c r="B28" t="s">
        <v>335</v>
      </c>
      <c r="C28" t="s">
        <v>20</v>
      </c>
      <c r="D28">
        <v>531</v>
      </c>
      <c r="E28">
        <v>613</v>
      </c>
      <c r="F28" s="6">
        <f t="shared" si="0"/>
        <v>6.9319249846082176</v>
      </c>
      <c r="G28" s="5">
        <f t="shared" si="1"/>
        <v>1.2236430851219884</v>
      </c>
      <c r="H28" s="5">
        <f t="shared" si="2"/>
        <v>0.54891120695199924</v>
      </c>
      <c r="I28" s="5">
        <f t="shared" si="3"/>
        <v>0.74177608806398632</v>
      </c>
      <c r="J28" s="5">
        <f t="shared" si="4"/>
        <v>0.49355395451810968</v>
      </c>
      <c r="K28" s="5">
        <f t="shared" si="5"/>
        <v>1.3805861494272695</v>
      </c>
      <c r="L28" s="5">
        <f t="shared" si="6"/>
        <v>6.1363621281502981E-2</v>
      </c>
      <c r="M28" s="5">
        <f t="shared" si="7"/>
        <v>0.10942231336763053</v>
      </c>
      <c r="N28" s="5">
        <f t="shared" si="8"/>
        <v>0.59712125392833726</v>
      </c>
      <c r="O28" s="5">
        <f t="shared" si="9"/>
        <v>1.278244751385806</v>
      </c>
      <c r="P28" s="1">
        <f t="shared" si="10"/>
        <v>0.49730256056158806</v>
      </c>
      <c r="R28">
        <f t="shared" si="11"/>
        <v>128.92802552249063</v>
      </c>
      <c r="S28">
        <f t="shared" si="12"/>
        <v>111.17708652642331</v>
      </c>
      <c r="T28">
        <f t="shared" si="13"/>
        <v>132.81308308325259</v>
      </c>
      <c r="U28">
        <f t="shared" si="14"/>
        <v>112.69868858976753</v>
      </c>
      <c r="V28">
        <f t="shared" si="15"/>
        <v>149.96496211233693</v>
      </c>
      <c r="W28">
        <f t="shared" si="16"/>
        <v>102.98352661740465</v>
      </c>
      <c r="X28">
        <f t="shared" si="17"/>
        <v>100.72217026295219</v>
      </c>
      <c r="Y28">
        <f t="shared" si="18"/>
        <v>106.56524092027833</v>
      </c>
      <c r="Z28">
        <f t="shared" si="19"/>
        <v>217.5336792451788</v>
      </c>
      <c r="AA28">
        <f t="shared" si="20"/>
        <v>118.06178585923301</v>
      </c>
      <c r="AC28">
        <f>'2026_Fantasy_Hitters'!F47</f>
        <v>134.39127904316399</v>
      </c>
      <c r="AD28">
        <f>'2026_Fantasy_Hitters'!G47</f>
        <v>79.03892827498521</v>
      </c>
      <c r="AE28">
        <f>'2026_Fantasy_Hitters'!H47</f>
        <v>27.533310134752799</v>
      </c>
      <c r="AF28">
        <f>'2026_Fantasy_Hitters'!I47</f>
        <v>2.0467258158393014</v>
      </c>
      <c r="AG28">
        <f>'2026_Fantasy_Hitters'!J47</f>
        <v>25.010657459999997</v>
      </c>
      <c r="AH28">
        <f>'2026_Fantasy_Hitters'!K47</f>
        <v>86.422952930000008</v>
      </c>
      <c r="AI28">
        <f>'2026_Fantasy_Hitters'!L47</f>
        <v>73.999999999999773</v>
      </c>
      <c r="AJ28">
        <f>'2026_Fantasy_Hitters'!M47</f>
        <v>70.433700000000002</v>
      </c>
      <c r="AK28">
        <f>'2026_Fantasy_Hitters'!N47</f>
        <v>2.8939055700000003</v>
      </c>
      <c r="AL28">
        <f>'2026_Fantasy_Hitters'!O47</f>
        <v>139.91725</v>
      </c>
      <c r="AM28">
        <f>'2026_Fantasy_Hitters'!P47</f>
        <v>5.92655756</v>
      </c>
      <c r="AN28">
        <f>'2026_Fantasy_Hitters'!Q47</f>
        <v>4.0196739399999997</v>
      </c>
      <c r="AO28">
        <f>'2026_Fantasy_Hitters'!R47</f>
        <v>0.90000047000000005</v>
      </c>
      <c r="AP28">
        <f>'2026_Fantasy_Hitters'!S47</f>
        <v>22.723217309999999</v>
      </c>
      <c r="AQ28">
        <f>'2026_Fantasy_Hitters'!T47</f>
        <v>5.3949026600000005</v>
      </c>
      <c r="AR28">
        <f>'2026_Fantasy_Hitters'!U47</f>
        <v>17.328314649999999</v>
      </c>
      <c r="AS28">
        <f>'2026_Fantasy_Hitters'!V47</f>
        <v>0.25309092098524294</v>
      </c>
      <c r="AT28">
        <f>'2026_Fantasy_Hitters'!W47</f>
        <v>0.35118993602674942</v>
      </c>
      <c r="AU28">
        <f>'2026_Fantasy_Hitters'!X47</f>
        <v>0.45252044412807668</v>
      </c>
      <c r="AV28">
        <f>'2026_Fantasy_Hitters'!Y47</f>
        <v>0.8037103801548261</v>
      </c>
      <c r="AW28">
        <f>'2026_Fantasy_Hitters'!Z47</f>
        <v>0.29554999999999998</v>
      </c>
      <c r="AX28">
        <f>'2026_Fantasy_Hitters'!AA47</f>
        <v>0.22825000000000001</v>
      </c>
      <c r="AY28">
        <f>'2026_Fantasy_Hitters'!AB47</f>
        <v>0.1149</v>
      </c>
      <c r="AZ28">
        <f t="shared" si="21"/>
        <v>4.0800419999999997E-2</v>
      </c>
    </row>
    <row r="29" spans="1:52" s="10" customFormat="1">
      <c r="A29" s="10" t="s">
        <v>272</v>
      </c>
      <c r="B29" s="10" t="s">
        <v>27</v>
      </c>
      <c r="C29" s="10" t="s">
        <v>124</v>
      </c>
      <c r="D29" s="10">
        <v>540</v>
      </c>
      <c r="E29" s="10">
        <v>617</v>
      </c>
      <c r="F29" s="11">
        <f t="shared" si="0"/>
        <v>6.9265999139467267</v>
      </c>
      <c r="G29" s="11">
        <f t="shared" si="1"/>
        <v>0.99535217316337665</v>
      </c>
      <c r="H29" s="11">
        <f t="shared" si="2"/>
        <v>1.0553069005184839</v>
      </c>
      <c r="I29" s="11">
        <f t="shared" si="3"/>
        <v>0.40370451712351341</v>
      </c>
      <c r="J29" s="11">
        <f t="shared" si="4"/>
        <v>1.0854738063018523</v>
      </c>
      <c r="K29" s="11">
        <f t="shared" si="5"/>
        <v>0.96114955171586369</v>
      </c>
      <c r="L29" s="11">
        <f t="shared" si="6"/>
        <v>0.50285441681074927</v>
      </c>
      <c r="M29" s="11">
        <f t="shared" si="7"/>
        <v>1.2469203688366404</v>
      </c>
      <c r="N29" s="11">
        <f t="shared" si="8"/>
        <v>0.80930829167382767</v>
      </c>
      <c r="O29" s="11">
        <f t="shared" si="9"/>
        <v>-0.24604623314640556</v>
      </c>
      <c r="P29" s="10">
        <f t="shared" si="10"/>
        <v>0.11257612094882388</v>
      </c>
      <c r="R29" s="10">
        <f t="shared" si="11"/>
        <v>123.53102258267259</v>
      </c>
      <c r="S29" s="10">
        <f t="shared" si="12"/>
        <v>121.48846004533864</v>
      </c>
      <c r="T29" s="10">
        <f t="shared" si="13"/>
        <v>117.85820556177805</v>
      </c>
      <c r="U29" s="10">
        <f t="shared" si="14"/>
        <v>127.92824110189812</v>
      </c>
      <c r="V29" s="10">
        <f t="shared" si="15"/>
        <v>134.78508092790526</v>
      </c>
      <c r="W29" s="10">
        <f t="shared" si="16"/>
        <v>124.44900587518948</v>
      </c>
      <c r="X29" s="10">
        <f t="shared" si="17"/>
        <v>108.22948065096885</v>
      </c>
      <c r="Y29" s="10">
        <f t="shared" si="18"/>
        <v>108.89819928308104</v>
      </c>
      <c r="Z29" s="10">
        <f t="shared" si="19"/>
        <v>77.376227037300993</v>
      </c>
      <c r="AA29" s="10">
        <f t="shared" si="20"/>
        <v>104.08870967232633</v>
      </c>
      <c r="AC29" s="10">
        <f>'2026_Fantasy_Hitters'!F37</f>
        <v>146.85570601453898</v>
      </c>
      <c r="AD29" s="10">
        <f>'2026_Fantasy_Hitters'!G37</f>
        <v>91.980841300274861</v>
      </c>
      <c r="AE29" s="10">
        <f>'2026_Fantasy_Hitters'!H37</f>
        <v>31.598829474854742</v>
      </c>
      <c r="AF29" s="10">
        <f>'2026_Fantasy_Hitters'!I37</f>
        <v>1.9181430167245213</v>
      </c>
      <c r="AG29" s="10">
        <f>'2026_Fantasy_Hitters'!J37</f>
        <v>22.194434010000002</v>
      </c>
      <c r="AH29" s="10">
        <f>'2026_Fantasy_Hitters'!K37</f>
        <v>82.805237315875431</v>
      </c>
      <c r="AI29" s="10">
        <f>'2026_Fantasy_Hitters'!L37</f>
        <v>83.999999999999645</v>
      </c>
      <c r="AJ29" s="10">
        <f>'2026_Fantasy_Hitters'!M37</f>
        <v>63.304199999999994</v>
      </c>
      <c r="AK29" s="10">
        <f>'2026_Fantasy_Hitters'!N37</f>
        <v>7.7838900746930433</v>
      </c>
      <c r="AL29" s="10">
        <f>'2026_Fantasy_Hitters'!O37</f>
        <v>114.3301</v>
      </c>
      <c r="AM29" s="10">
        <f>'2026_Fantasy_Hitters'!P37</f>
        <v>7.1618657937806427</v>
      </c>
      <c r="AN29" s="10">
        <f>'2026_Fantasy_Hitters'!Q37</f>
        <v>5.0491022699999997</v>
      </c>
      <c r="AO29" s="10">
        <f>'2026_Fantasy_Hitters'!R37</f>
        <v>0</v>
      </c>
      <c r="AP29" s="10">
        <f>'2026_Fantasy_Hitters'!S37</f>
        <v>8.1324884792625962</v>
      </c>
      <c r="AQ29" s="10">
        <f>'2026_Fantasy_Hitters'!T37</f>
        <v>1.9688469999999998</v>
      </c>
      <c r="AR29" s="10">
        <f>'2026_Fantasy_Hitters'!U37</f>
        <v>6.163641479262596</v>
      </c>
      <c r="AS29" s="10">
        <f>'2026_Fantasy_Hitters'!V37</f>
        <v>0.27195501113803516</v>
      </c>
      <c r="AT29" s="10">
        <f>'2026_Fantasy_Hitters'!W37</f>
        <v>0.36534990044405408</v>
      </c>
      <c r="AU29" s="10">
        <f>'2026_Fantasy_Hitters'!X37</f>
        <v>0.46242715803732948</v>
      </c>
      <c r="AV29" s="10">
        <f>'2026_Fantasy_Hitters'!Y37</f>
        <v>0.8277770584813835</v>
      </c>
      <c r="AW29" s="10">
        <f>'2026_Fantasy_Hitters'!Z37</f>
        <v>0.30514999999999998</v>
      </c>
      <c r="AX29" s="10">
        <f>'2026_Fantasy_Hitters'!AA37</f>
        <v>0.18529999999999999</v>
      </c>
      <c r="AY29" s="10">
        <f>'2026_Fantasy_Hitters'!AB37</f>
        <v>0.1026</v>
      </c>
      <c r="AZ29" s="10">
        <f t="shared" si="21"/>
        <v>3.5971530000000002E-2</v>
      </c>
    </row>
    <row r="30" spans="1:52">
      <c r="A30" t="s">
        <v>329</v>
      </c>
      <c r="B30" t="s">
        <v>66</v>
      </c>
      <c r="C30" t="s">
        <v>49</v>
      </c>
      <c r="D30">
        <v>566</v>
      </c>
      <c r="E30">
        <v>625</v>
      </c>
      <c r="F30" s="6">
        <f t="shared" si="0"/>
        <v>6.6988652838324425</v>
      </c>
      <c r="G30" s="5">
        <f t="shared" si="1"/>
        <v>0.94770931403653547</v>
      </c>
      <c r="H30" s="5">
        <f t="shared" si="2"/>
        <v>1.0450991180807905</v>
      </c>
      <c r="I30" s="5">
        <f t="shared" si="3"/>
        <v>1.2492939797725808</v>
      </c>
      <c r="J30" s="5">
        <f t="shared" si="4"/>
        <v>1.1446657914802487</v>
      </c>
      <c r="K30" s="5">
        <f t="shared" si="5"/>
        <v>3.5047428117624992E-2</v>
      </c>
      <c r="L30" s="5">
        <f t="shared" si="6"/>
        <v>0.80002347385473072</v>
      </c>
      <c r="M30" s="5">
        <f t="shared" si="7"/>
        <v>0.46685119221300669</v>
      </c>
      <c r="N30" s="5">
        <f t="shared" si="8"/>
        <v>0.96177266291441643</v>
      </c>
      <c r="O30" s="5">
        <f t="shared" si="9"/>
        <v>-0.92542056058220379</v>
      </c>
      <c r="P30" s="1">
        <f t="shared" si="10"/>
        <v>0.97382288394471084</v>
      </c>
      <c r="R30">
        <f t="shared" si="11"/>
        <v>122.40470244770587</v>
      </c>
      <c r="S30">
        <f t="shared" si="12"/>
        <v>121.28060626843629</v>
      </c>
      <c r="T30">
        <f t="shared" si="13"/>
        <v>155.26355973630257</v>
      </c>
      <c r="U30">
        <f t="shared" si="14"/>
        <v>129.45119635311175</v>
      </c>
      <c r="V30">
        <f t="shared" si="15"/>
        <v>101.26840575559747</v>
      </c>
      <c r="W30">
        <f t="shared" si="16"/>
        <v>138.89749788142996</v>
      </c>
      <c r="X30">
        <f t="shared" si="17"/>
        <v>103.08114531546484</v>
      </c>
      <c r="Y30">
        <f t="shared" si="18"/>
        <v>110.57451765622233</v>
      </c>
      <c r="Z30">
        <f t="shared" si="19"/>
        <v>14.908249600523192</v>
      </c>
      <c r="AA30">
        <f t="shared" si="20"/>
        <v>135.36877102496186</v>
      </c>
      <c r="AC30">
        <f>'2026_Fantasy_Hitters'!F46</f>
        <v>146.6044515896875</v>
      </c>
      <c r="AD30">
        <f>'2026_Fantasy_Hitters'!G46</f>
        <v>85.998083999748005</v>
      </c>
      <c r="AE30">
        <f>'2026_Fantasy_Hitters'!H46</f>
        <v>28.394451461418019</v>
      </c>
      <c r="AF30">
        <f>'2026_Fantasy_Hitters'!I46</f>
        <v>2.0073729260867297</v>
      </c>
      <c r="AG30">
        <f>'2026_Fantasy_Hitters'!J46</f>
        <v>29.238412499999999</v>
      </c>
      <c r="AH30">
        <f>'2026_Fantasy_Hitters'!K46</f>
        <v>82.05024311183125</v>
      </c>
      <c r="AI30">
        <f>'2026_Fantasy_Hitters'!L46</f>
        <v>85</v>
      </c>
      <c r="AJ30">
        <f>'2026_Fantasy_Hitters'!M46</f>
        <v>47.5625</v>
      </c>
      <c r="AK30">
        <f>'2026_Fantasy_Hitters'!N46</f>
        <v>0.94948749999999993</v>
      </c>
      <c r="AL30">
        <f>'2026_Fantasy_Hitters'!O46</f>
        <v>162.06249999999997</v>
      </c>
      <c r="AM30">
        <f>'2026_Fantasy_Hitters'!P46</f>
        <v>7.9933562499999997</v>
      </c>
      <c r="AN30">
        <f>'2026_Fantasy_Hitters'!Q46</f>
        <v>5.0648312500000001</v>
      </c>
      <c r="AO30">
        <f>'2026_Fantasy_Hitters'!R46</f>
        <v>0</v>
      </c>
      <c r="AP30">
        <f>'2026_Fantasy_Hitters'!S46</f>
        <v>2.1975437499999999</v>
      </c>
      <c r="AQ30">
        <f>'2026_Fantasy_Hitters'!T46</f>
        <v>1.0099812500000001</v>
      </c>
      <c r="AR30">
        <f>'2026_Fantasy_Hitters'!U46</f>
        <v>1.1875624999999999</v>
      </c>
      <c r="AS30">
        <f>'2026_Fantasy_Hitters'!V46</f>
        <v>0.25901846570616166</v>
      </c>
      <c r="AT30">
        <f>'2026_Fantasy_Hitters'!W46</f>
        <v>0.32782019790453548</v>
      </c>
      <c r="AU30">
        <f>'2026_Fantasy_Hitters'!X46</f>
        <v>0.46954550477180962</v>
      </c>
      <c r="AV30">
        <f>'2026_Fantasy_Hitters'!Y46</f>
        <v>0.7973657026763451</v>
      </c>
      <c r="AW30">
        <f>'2026_Fantasy_Hitters'!Z46</f>
        <v>0.30904999999999999</v>
      </c>
      <c r="AX30">
        <f>'2026_Fantasy_Hitters'!AA46</f>
        <v>0.25929999999999997</v>
      </c>
      <c r="AY30">
        <f>'2026_Fantasy_Hitters'!AB46</f>
        <v>7.6100000000000001E-2</v>
      </c>
      <c r="AZ30">
        <f t="shared" si="21"/>
        <v>4.6781459999999997E-2</v>
      </c>
    </row>
    <row r="31" spans="1:52">
      <c r="A31" t="s">
        <v>340</v>
      </c>
      <c r="B31" t="s">
        <v>335</v>
      </c>
      <c r="C31" t="s">
        <v>34</v>
      </c>
      <c r="D31">
        <v>459</v>
      </c>
      <c r="E31">
        <v>526</v>
      </c>
      <c r="F31" s="6">
        <f t="shared" si="0"/>
        <v>6.680619904571321</v>
      </c>
      <c r="G31" s="5">
        <f t="shared" si="1"/>
        <v>0.21263345235267167</v>
      </c>
      <c r="H31" s="5">
        <f t="shared" si="2"/>
        <v>0.26220544710992177</v>
      </c>
      <c r="I31" s="5">
        <f t="shared" si="3"/>
        <v>1.0939731048504147</v>
      </c>
      <c r="J31" s="5">
        <f t="shared" si="4"/>
        <v>0.61193792487486898</v>
      </c>
      <c r="K31" s="5">
        <f t="shared" si="5"/>
        <v>0.73369660633794975</v>
      </c>
      <c r="L31" s="5">
        <f t="shared" si="6"/>
        <v>-0.29629636363322942</v>
      </c>
      <c r="M31" s="5">
        <f t="shared" si="7"/>
        <v>1.5762630657653189</v>
      </c>
      <c r="N31" s="5">
        <f t="shared" si="8"/>
        <v>1.9311833780335446</v>
      </c>
      <c r="O31" s="5">
        <f t="shared" si="9"/>
        <v>-0.92432205321348715</v>
      </c>
      <c r="P31" s="1">
        <f t="shared" si="10"/>
        <v>1.4793453420933482</v>
      </c>
      <c r="R31">
        <f t="shared" si="11"/>
        <v>105.02684648112087</v>
      </c>
      <c r="S31">
        <f t="shared" si="12"/>
        <v>105.33910208596527</v>
      </c>
      <c r="T31">
        <f t="shared" si="13"/>
        <v>148.39281146685326</v>
      </c>
      <c r="U31">
        <f t="shared" si="14"/>
        <v>115.74459909219392</v>
      </c>
      <c r="V31">
        <f t="shared" si="15"/>
        <v>126.55330357532095</v>
      </c>
      <c r="W31">
        <f t="shared" si="16"/>
        <v>85.593938736362986</v>
      </c>
      <c r="X31">
        <f t="shared" si="17"/>
        <v>110.40309126769263</v>
      </c>
      <c r="Y31">
        <f t="shared" si="18"/>
        <v>121.2330143243384</v>
      </c>
      <c r="Z31">
        <f t="shared" si="19"/>
        <v>15.009256557589296</v>
      </c>
      <c r="AA31">
        <f t="shared" si="20"/>
        <v>153.72909954569735</v>
      </c>
      <c r="AC31">
        <f>'2026_Fantasy_Hitters'!F48</f>
        <v>127.33430156246001</v>
      </c>
      <c r="AD31">
        <f>'2026_Fantasy_Hitters'!G48</f>
        <v>75.535270361435835</v>
      </c>
      <c r="AE31">
        <f>'2026_Fantasy_Hitters'!H48</f>
        <v>23.882717406036139</v>
      </c>
      <c r="AF31">
        <f>'2026_Fantasy_Hitters'!I48</f>
        <v>0.40567219362906604</v>
      </c>
      <c r="AG31">
        <f>'2026_Fantasy_Hitters'!J48</f>
        <v>27.944549520000002</v>
      </c>
      <c r="AH31">
        <f>'2026_Fantasy_Hitters'!K48</f>
        <v>70.401529636710919</v>
      </c>
      <c r="AI31">
        <f>'2026_Fantasy_Hitters'!L48</f>
        <v>75.999999999999929</v>
      </c>
      <c r="AJ31">
        <f>'2026_Fantasy_Hitters'!M48</f>
        <v>59.438000000000002</v>
      </c>
      <c r="AK31">
        <f>'2026_Fantasy_Hitters'!N48</f>
        <v>9.1515262223435521</v>
      </c>
      <c r="AL31">
        <f>'2026_Fantasy_Hitters'!O48</f>
        <v>96.442100000000011</v>
      </c>
      <c r="AM31">
        <f>'2026_Fantasy_Hitters'!P48</f>
        <v>4.9258111600000003</v>
      </c>
      <c r="AN31">
        <f>'2026_Fantasy_Hitters'!Q48</f>
        <v>4.0229426799999999</v>
      </c>
      <c r="AO31">
        <f>'2026_Fantasy_Hitters'!R48</f>
        <v>0</v>
      </c>
      <c r="AP31">
        <f>'2026_Fantasy_Hitters'!S48</f>
        <v>2.204466</v>
      </c>
      <c r="AQ31">
        <f>'2026_Fantasy_Hitters'!T48</f>
        <v>1.0088574799999999</v>
      </c>
      <c r="AR31">
        <f>'2026_Fantasy_Hitters'!U48</f>
        <v>1.1956085200000002</v>
      </c>
      <c r="AS31">
        <f>'2026_Fantasy_Hitters'!V48</f>
        <v>0.27741677900318085</v>
      </c>
      <c r="AT31">
        <f>'2026_Fantasy_Hitters'!W48</f>
        <v>0.37781212950010651</v>
      </c>
      <c r="AU31">
        <f>'2026_Fantasy_Hitters'!X48</f>
        <v>0.51480592556513138</v>
      </c>
      <c r="AV31">
        <f>'2026_Fantasy_Hitters'!Y48</f>
        <v>0.89261805506523784</v>
      </c>
      <c r="AW31">
        <f>'2026_Fantasy_Hitters'!Z48</f>
        <v>0.29349999999999998</v>
      </c>
      <c r="AX31">
        <f>'2026_Fantasy_Hitters'!AA48</f>
        <v>0.18335000000000001</v>
      </c>
      <c r="AY31">
        <f>'2026_Fantasy_Hitters'!AB48</f>
        <v>0.113</v>
      </c>
      <c r="AZ31">
        <f t="shared" si="21"/>
        <v>5.3126520000000003E-2</v>
      </c>
    </row>
    <row r="32" spans="1:52">
      <c r="A32" s="1" t="s">
        <v>1366</v>
      </c>
      <c r="B32" t="s">
        <v>58</v>
      </c>
      <c r="C32" t="s">
        <v>49</v>
      </c>
      <c r="D32">
        <v>532</v>
      </c>
      <c r="E32">
        <v>598</v>
      </c>
      <c r="F32" s="6">
        <f t="shared" si="0"/>
        <v>6.5450749740753444</v>
      </c>
      <c r="G32" s="5">
        <f t="shared" si="1"/>
        <v>0.39983268083197382</v>
      </c>
      <c r="H32" s="5">
        <f t="shared" si="2"/>
        <v>7.5194665838002925E-2</v>
      </c>
      <c r="I32" s="5">
        <f t="shared" si="3"/>
        <v>1.839416535600934</v>
      </c>
      <c r="J32" s="5">
        <f t="shared" si="4"/>
        <v>1.7365856432639781</v>
      </c>
      <c r="K32" s="5">
        <f t="shared" si="5"/>
        <v>0.17098853848044837</v>
      </c>
      <c r="L32" s="5">
        <f t="shared" si="6"/>
        <v>1.5691425287069214</v>
      </c>
      <c r="M32" s="5">
        <f t="shared" si="7"/>
        <v>-1.24087650426921</v>
      </c>
      <c r="N32" s="5">
        <f t="shared" si="8"/>
        <v>1.0170357450212848</v>
      </c>
      <c r="O32" s="5">
        <f t="shared" si="9"/>
        <v>-0.81929512790602443</v>
      </c>
      <c r="P32" s="1">
        <f t="shared" si="10"/>
        <v>1.797050268507036</v>
      </c>
      <c r="R32">
        <f t="shared" si="11"/>
        <v>109.45240498350063</v>
      </c>
      <c r="S32">
        <f t="shared" si="12"/>
        <v>101.5311352287081</v>
      </c>
      <c r="T32">
        <f t="shared" si="13"/>
        <v>181.36812250838634</v>
      </c>
      <c r="U32">
        <f t="shared" si="14"/>
        <v>144.68074886524201</v>
      </c>
      <c r="V32">
        <f t="shared" si="15"/>
        <v>106.18826709971226</v>
      </c>
      <c r="W32">
        <f t="shared" si="16"/>
        <v>176.2924091363875</v>
      </c>
      <c r="X32">
        <f t="shared" si="17"/>
        <v>91.810407915901877</v>
      </c>
      <c r="Y32">
        <f t="shared" si="18"/>
        <v>111.18212531654564</v>
      </c>
      <c r="Z32">
        <f t="shared" si="19"/>
        <v>24.666406284049543</v>
      </c>
      <c r="AA32">
        <f t="shared" si="20"/>
        <v>165.26798714126346</v>
      </c>
      <c r="AC32">
        <f>'2026_Fantasy_Hitters'!F61</f>
        <v>122.73121694772567</v>
      </c>
      <c r="AD32">
        <f>'2026_Fantasy_Hitters'!G61</f>
        <v>65.503311684486661</v>
      </c>
      <c r="AE32">
        <f>'2026_Fantasy_Hitters'!H61</f>
        <v>23.022173351519719</v>
      </c>
      <c r="AF32">
        <f>'2026_Fantasy_Hitters'!I61</f>
        <v>1.0020166663818466</v>
      </c>
      <c r="AG32">
        <f>'2026_Fantasy_Hitters'!J61</f>
        <v>34.154285714285642</v>
      </c>
      <c r="AH32">
        <f>'2026_Fantasy_Hitters'!K61</f>
        <v>73.368067226890702</v>
      </c>
      <c r="AI32">
        <f>'2026_Fantasy_Hitters'!L61</f>
        <v>94.999999999999645</v>
      </c>
      <c r="AJ32">
        <f>'2026_Fantasy_Hitters'!M61</f>
        <v>49.873200000000004</v>
      </c>
      <c r="AK32">
        <f>'2026_Fantasy_Hitters'!N61</f>
        <v>0.97884227999999995</v>
      </c>
      <c r="AL32">
        <f>'2026_Fantasy_Hitters'!O61</f>
        <v>178.41329999999999</v>
      </c>
      <c r="AM32">
        <f>'2026_Fantasy_Hitters'!P61</f>
        <v>10.145380960000001</v>
      </c>
      <c r="AN32">
        <f>'2026_Fantasy_Hitters'!Q61</f>
        <v>5.0252092800000003</v>
      </c>
      <c r="AO32">
        <f>'2026_Fantasy_Hitters'!R61</f>
        <v>0</v>
      </c>
      <c r="AP32">
        <f>'2026_Fantasy_Hitters'!S61</f>
        <v>2.9780818599999996</v>
      </c>
      <c r="AQ32">
        <f>'2026_Fantasy_Hitters'!T61</f>
        <v>1.0132033600000001</v>
      </c>
      <c r="AR32">
        <f>'2026_Fantasy_Hitters'!U61</f>
        <v>1.9648784999999995</v>
      </c>
      <c r="AS32">
        <f>'2026_Fantasy_Hitters'!V61</f>
        <v>0.23069777621752946</v>
      </c>
      <c r="AT32">
        <f>'2026_Fantasy_Hitters'!W61</f>
        <v>0.31252891602827049</v>
      </c>
      <c r="AU32">
        <f>'2026_Fantasy_Hitters'!X61</f>
        <v>0.4721256602327335</v>
      </c>
      <c r="AV32">
        <f>'2026_Fantasy_Hitters'!Y61</f>
        <v>0.78465457626100399</v>
      </c>
      <c r="AW32">
        <f>'2026_Fantasy_Hitters'!Z61</f>
        <v>0.27300000000000002</v>
      </c>
      <c r="AX32">
        <f>'2026_Fantasy_Hitters'!AA61</f>
        <v>0.29835</v>
      </c>
      <c r="AY32">
        <f>'2026_Fantasy_Hitters'!AB61</f>
        <v>8.3400000000000002E-2</v>
      </c>
      <c r="AZ32">
        <f t="shared" si="21"/>
        <v>5.7114190157668297E-2</v>
      </c>
    </row>
    <row r="33" spans="1:52">
      <c r="A33" t="s">
        <v>412</v>
      </c>
      <c r="B33" t="s">
        <v>123</v>
      </c>
      <c r="C33" t="s">
        <v>20</v>
      </c>
      <c r="D33">
        <v>500</v>
      </c>
      <c r="E33">
        <v>568</v>
      </c>
      <c r="F33" s="6">
        <f t="shared" si="0"/>
        <v>6.2078157873060782</v>
      </c>
      <c r="G33" s="5">
        <f t="shared" si="1"/>
        <v>0.92682943135586848</v>
      </c>
      <c r="H33" s="5">
        <f t="shared" si="2"/>
        <v>0.41341752956525935</v>
      </c>
      <c r="I33" s="5">
        <f t="shared" si="3"/>
        <v>0.86147939200369772</v>
      </c>
      <c r="J33" s="5">
        <f t="shared" si="4"/>
        <v>0.31597799898299817</v>
      </c>
      <c r="K33" s="5">
        <f t="shared" si="5"/>
        <v>0.59854971633687781</v>
      </c>
      <c r="L33" s="5">
        <f t="shared" si="6"/>
        <v>0.14049069608897921</v>
      </c>
      <c r="M33" s="5">
        <f t="shared" si="7"/>
        <v>0.65341878480059445</v>
      </c>
      <c r="N33" s="5">
        <f t="shared" si="8"/>
        <v>0.97090152780169514</v>
      </c>
      <c r="O33" s="5">
        <f t="shared" si="9"/>
        <v>0.43204592413676501</v>
      </c>
      <c r="P33" s="1">
        <f t="shared" si="10"/>
        <v>0.89470478623334204</v>
      </c>
      <c r="R33">
        <f t="shared" si="11"/>
        <v>121.91108320003715</v>
      </c>
      <c r="S33">
        <f t="shared" si="12"/>
        <v>108.41812562937007</v>
      </c>
      <c r="T33">
        <f t="shared" si="13"/>
        <v>138.10825843430106</v>
      </c>
      <c r="U33">
        <f t="shared" si="14"/>
        <v>108.12982283612864</v>
      </c>
      <c r="V33">
        <f t="shared" si="15"/>
        <v>121.66218595741276</v>
      </c>
      <c r="W33">
        <f t="shared" si="16"/>
        <v>106.83072026268316</v>
      </c>
      <c r="X33">
        <f t="shared" si="17"/>
        <v>104.31246243215438</v>
      </c>
      <c r="Y33">
        <f t="shared" si="18"/>
        <v>110.6748878857517</v>
      </c>
      <c r="Z33">
        <f t="shared" si="19"/>
        <v>139.72630985703202</v>
      </c>
      <c r="AA33">
        <f t="shared" si="20"/>
        <v>132.49524039837738</v>
      </c>
      <c r="AC33">
        <f>'2026_Fantasy_Hitters'!F59</f>
        <v>131.05623676629216</v>
      </c>
      <c r="AD33">
        <f>'2026_Fantasy_Hitters'!G59</f>
        <v>80.016517292015905</v>
      </c>
      <c r="AE33">
        <f>'2026_Fantasy_Hitters'!H59</f>
        <v>22.874522127815982</v>
      </c>
      <c r="AF33">
        <f>'2026_Fantasy_Hitters'!I59</f>
        <v>1.7296767465559499</v>
      </c>
      <c r="AG33">
        <f>'2026_Fantasy_Hitters'!J59</f>
        <v>26.00781688</v>
      </c>
      <c r="AH33">
        <f>'2026_Fantasy_Hitters'!K59</f>
        <v>81.719360568383209</v>
      </c>
      <c r="AI33">
        <f>'2026_Fantasy_Hitters'!L59</f>
        <v>71</v>
      </c>
      <c r="AJ33">
        <f>'2026_Fantasy_Hitters'!M59</f>
        <v>57.140799999999999</v>
      </c>
      <c r="AK33">
        <f>'2026_Fantasy_Hitters'!N59</f>
        <v>0.96729831999999993</v>
      </c>
      <c r="AL33">
        <f>'2026_Fantasy_Hitters'!O59</f>
        <v>110.53279999999943</v>
      </c>
      <c r="AM33">
        <f>'2026_Fantasy_Hitters'!P59</f>
        <v>6.1479581599999999</v>
      </c>
      <c r="AN33">
        <f>'2026_Fantasy_Hitters'!Q59</f>
        <v>4.0355264000000002</v>
      </c>
      <c r="AO33">
        <f>'2026_Fantasy_Hitters'!R59</f>
        <v>0.90000167999999992</v>
      </c>
      <c r="AP33">
        <f>'2026_Fantasy_Hitters'!S59</f>
        <v>14.079833919999999</v>
      </c>
      <c r="AQ33">
        <f>'2026_Fantasy_Hitters'!T59</f>
        <v>2.9495047200000002</v>
      </c>
      <c r="AR33">
        <f>'2026_Fantasy_Hitters'!U59</f>
        <v>11.130329199999998</v>
      </c>
      <c r="AS33">
        <f>'2026_Fantasy_Hitters'!V59</f>
        <v>0.26211247353258432</v>
      </c>
      <c r="AT33">
        <f>'2026_Fantasy_Hitters'!W59</f>
        <v>0.34744197862881732</v>
      </c>
      <c r="AU33">
        <f>'2026_Fantasy_Hitters'!X59</f>
        <v>0.4699717186146315</v>
      </c>
      <c r="AV33">
        <f>'2026_Fantasy_Hitters'!Y59</f>
        <v>0.81741369724344881</v>
      </c>
      <c r="AW33">
        <f>'2026_Fantasy_Hitters'!Z59</f>
        <v>0.28584999999999999</v>
      </c>
      <c r="AX33">
        <f>'2026_Fantasy_Hitters'!AA59</f>
        <v>0.194599999999999</v>
      </c>
      <c r="AY33">
        <f>'2026_Fantasy_Hitters'!AB59</f>
        <v>0.10059999999999999</v>
      </c>
      <c r="AZ33">
        <f t="shared" si="21"/>
        <v>4.5788410000000002E-2</v>
      </c>
    </row>
    <row r="34" spans="1:52">
      <c r="A34" t="s">
        <v>162</v>
      </c>
      <c r="B34" t="s">
        <v>19</v>
      </c>
      <c r="C34" t="s">
        <v>163</v>
      </c>
      <c r="D34">
        <v>524</v>
      </c>
      <c r="E34">
        <v>591</v>
      </c>
      <c r="F34" s="6">
        <f t="shared" si="0"/>
        <v>5.9797659678184729</v>
      </c>
      <c r="G34" s="5">
        <f t="shared" si="1"/>
        <v>1.1704002620660869</v>
      </c>
      <c r="H34" s="5">
        <f t="shared" si="2"/>
        <v>0.13876983687961994</v>
      </c>
      <c r="I34" s="5">
        <f t="shared" si="3"/>
        <v>1.0124678813662709</v>
      </c>
      <c r="J34" s="5">
        <f t="shared" si="4"/>
        <v>0.67112991005323064</v>
      </c>
      <c r="K34" s="5">
        <f t="shared" si="5"/>
        <v>0.55039642995960203</v>
      </c>
      <c r="L34" s="5">
        <f t="shared" si="6"/>
        <v>-0.25882305481105117</v>
      </c>
      <c r="M34" s="5">
        <f t="shared" si="7"/>
        <v>-0.84841991951525908</v>
      </c>
      <c r="N34" s="5">
        <f t="shared" si="8"/>
        <v>0.31750177311936228</v>
      </c>
      <c r="O34" s="5">
        <f t="shared" si="9"/>
        <v>2.3040508991688049</v>
      </c>
      <c r="P34" s="1">
        <f t="shared" si="10"/>
        <v>0.92229194953180527</v>
      </c>
      <c r="R34">
        <f t="shared" si="11"/>
        <v>127.66931719244108</v>
      </c>
      <c r="S34">
        <f t="shared" si="12"/>
        <v>102.82567099089458</v>
      </c>
      <c r="T34">
        <f t="shared" si="13"/>
        <v>144.7873600200636</v>
      </c>
      <c r="U34">
        <f t="shared" si="14"/>
        <v>117.26755434340666</v>
      </c>
      <c r="V34">
        <f t="shared" si="15"/>
        <v>119.91946448333219</v>
      </c>
      <c r="W34">
        <f t="shared" si="16"/>
        <v>87.415907713720173</v>
      </c>
      <c r="X34">
        <f t="shared" si="17"/>
        <v>94.400560383770554</v>
      </c>
      <c r="Y34">
        <f t="shared" si="18"/>
        <v>103.49087495953427</v>
      </c>
      <c r="Z34">
        <f t="shared" si="19"/>
        <v>311.85581169324661</v>
      </c>
      <c r="AA34">
        <f t="shared" si="20"/>
        <v>133.49719268150628</v>
      </c>
      <c r="AC34">
        <f>'2026_Fantasy_Hitters'!F22</f>
        <v>124.29605663082</v>
      </c>
      <c r="AD34">
        <f>'2026_Fantasy_Hitters'!G22</f>
        <v>73.761581500710022</v>
      </c>
      <c r="AE34">
        <f>'2026_Fantasy_Hitters'!H22</f>
        <v>20.838121923142907</v>
      </c>
      <c r="AF34">
        <f>'2026_Fantasy_Hitters'!I22</f>
        <v>1.9265622325579133</v>
      </c>
      <c r="AG34">
        <f>'2026_Fantasy_Hitters'!J22</f>
        <v>27.265589970000001</v>
      </c>
      <c r="AH34">
        <f>'2026_Fantasy_Hitters'!K22</f>
        <v>85.579216354343728</v>
      </c>
      <c r="AI34">
        <f>'2026_Fantasy_Hitters'!L22</f>
        <v>76.999999999999702</v>
      </c>
      <c r="AJ34">
        <f>'2026_Fantasy_Hitters'!M22</f>
        <v>56.322299999999998</v>
      </c>
      <c r="AK34">
        <f>'2026_Fantasy_Hitters'!N22</f>
        <v>1.95771114</v>
      </c>
      <c r="AL34">
        <f>'2026_Fantasy_Hitters'!O22</f>
        <v>154.84200000000001</v>
      </c>
      <c r="AM34">
        <f>'2026_Fantasy_Hitters'!P22</f>
        <v>5.0306629200000001</v>
      </c>
      <c r="AN34">
        <f>'2026_Fantasy_Hitters'!Q22</f>
        <v>4.0272572100000001</v>
      </c>
      <c r="AO34">
        <f>'2026_Fantasy_Hitters'!R22</f>
        <v>0.99704654999999998</v>
      </c>
      <c r="AP34">
        <f>'2026_Fantasy_Hitters'!S22</f>
        <v>32.998768679999998</v>
      </c>
      <c r="AQ34">
        <f>'2026_Fantasy_Hitters'!T22</f>
        <v>8.1569343065693189</v>
      </c>
      <c r="AR34">
        <f>'2026_Fantasy_Hitters'!U22</f>
        <v>24.841834373430679</v>
      </c>
      <c r="AS34">
        <f>'2026_Fantasy_Hitters'!V22</f>
        <v>0.23720621494431299</v>
      </c>
      <c r="AT34">
        <f>'2026_Fantasy_Hitters'!W22</f>
        <v>0.31998022337124926</v>
      </c>
      <c r="AU34">
        <f>'2026_Fantasy_Hitters'!X22</f>
        <v>0.43946540443639232</v>
      </c>
      <c r="AV34">
        <f>'2026_Fantasy_Hitters'!Y22</f>
        <v>0.75944562780764158</v>
      </c>
      <c r="AW34">
        <f>'2026_Fantasy_Hitters'!Z22</f>
        <v>0.28050000000000003</v>
      </c>
      <c r="AX34">
        <f>'2026_Fantasy_Hitters'!AA22</f>
        <v>0.26200000000000001</v>
      </c>
      <c r="AY34">
        <f>'2026_Fantasy_Hitters'!AB22</f>
        <v>9.5299999999999996E-2</v>
      </c>
      <c r="AZ34">
        <f t="shared" si="21"/>
        <v>4.6134670000000003E-2</v>
      </c>
    </row>
    <row r="35" spans="1:52">
      <c r="A35" t="s">
        <v>174</v>
      </c>
      <c r="B35" t="s">
        <v>116</v>
      </c>
      <c r="C35" t="s">
        <v>34</v>
      </c>
      <c r="D35">
        <v>578</v>
      </c>
      <c r="E35">
        <v>628</v>
      </c>
      <c r="F35" s="6">
        <f t="shared" si="0"/>
        <v>5.9610049594792569</v>
      </c>
      <c r="G35" s="5">
        <f t="shared" si="1"/>
        <v>1.1768978281125766</v>
      </c>
      <c r="H35" s="5">
        <f t="shared" si="2"/>
        <v>1.7266235161962875</v>
      </c>
      <c r="I35" s="5">
        <f t="shared" si="3"/>
        <v>-0.19311265218391646</v>
      </c>
      <c r="J35" s="5">
        <f t="shared" si="4"/>
        <v>0.31597799898298545</v>
      </c>
      <c r="K35" s="5">
        <f t="shared" si="5"/>
        <v>-0.424429642053615</v>
      </c>
      <c r="L35" s="5">
        <f t="shared" si="6"/>
        <v>-0.25687483285415291</v>
      </c>
      <c r="M35" s="5">
        <f t="shared" si="7"/>
        <v>1.8926379544872913</v>
      </c>
      <c r="N35" s="5">
        <f t="shared" si="8"/>
        <v>0.23483547850571407</v>
      </c>
      <c r="O35" s="5">
        <f t="shared" si="9"/>
        <v>2.0568043446996764</v>
      </c>
      <c r="P35" s="1">
        <f t="shared" si="10"/>
        <v>-0.56835503441358937</v>
      </c>
      <c r="R35">
        <f t="shared" si="11"/>
        <v>127.82292551067727</v>
      </c>
      <c r="S35">
        <f t="shared" si="12"/>
        <v>135.15800041002018</v>
      </c>
      <c r="T35">
        <f t="shared" si="13"/>
        <v>91.457500986481747</v>
      </c>
      <c r="U35">
        <f t="shared" si="14"/>
        <v>108.12982283612831</v>
      </c>
      <c r="V35">
        <f t="shared" si="15"/>
        <v>84.639414937373189</v>
      </c>
      <c r="W35">
        <f t="shared" si="16"/>
        <v>87.510631133616684</v>
      </c>
      <c r="X35">
        <f t="shared" si="17"/>
        <v>112.49111636557359</v>
      </c>
      <c r="Y35">
        <f t="shared" si="18"/>
        <v>102.5819739004029</v>
      </c>
      <c r="Z35">
        <f t="shared" si="19"/>
        <v>289.12167005413949</v>
      </c>
      <c r="AA35">
        <f t="shared" si="20"/>
        <v>79.357623029323179</v>
      </c>
      <c r="AC35">
        <f>'2026_Fantasy_Hitters'!F24</f>
        <v>163.37949766026716</v>
      </c>
      <c r="AD35">
        <f>'2026_Fantasy_Hitters'!G24</f>
        <v>111.83437856062433</v>
      </c>
      <c r="AE35">
        <f>'2026_Fantasy_Hitters'!H24</f>
        <v>29.383587511993071</v>
      </c>
      <c r="AF35">
        <f>'2026_Fantasy_Hitters'!I24</f>
        <v>4.0958151069660431</v>
      </c>
      <c r="AG35">
        <f>'2026_Fantasy_Hitters'!J24</f>
        <v>17.222792937399582</v>
      </c>
      <c r="AH35">
        <f>'2026_Fantasy_Hitters'!K24</f>
        <v>85.682182985553524</v>
      </c>
      <c r="AI35">
        <f>'2026_Fantasy_Hitters'!L24</f>
        <v>70.999999999999787</v>
      </c>
      <c r="AJ35">
        <f>'2026_Fantasy_Hitters'!M24</f>
        <v>39.752399999999994</v>
      </c>
      <c r="AK35">
        <f>'2026_Fantasy_Hitters'!N24</f>
        <v>0.83136524000000001</v>
      </c>
      <c r="AL35">
        <f>'2026_Fantasy_Hitters'!O24</f>
        <v>114.2646</v>
      </c>
      <c r="AM35">
        <f>'2026_Fantasy_Hitters'!P24</f>
        <v>5.0361141199999997</v>
      </c>
      <c r="AN35">
        <f>'2026_Fantasy_Hitters'!Q24</f>
        <v>4.0321053999999998</v>
      </c>
      <c r="AO35">
        <f>'2026_Fantasy_Hitters'!R24</f>
        <v>0.89999936000000003</v>
      </c>
      <c r="AP35">
        <f>'2026_Fantasy_Hitters'!S24</f>
        <v>28.069873000000001</v>
      </c>
      <c r="AQ35">
        <f>'2026_Fantasy_Hitters'!T24</f>
        <v>5.0389966400000006</v>
      </c>
      <c r="AR35">
        <f>'2026_Fantasy_Hitters'!U24</f>
        <v>23.030876360000001</v>
      </c>
      <c r="AS35">
        <f>'2026_Fantasy_Hitters'!V24</f>
        <v>0.28266349076170788</v>
      </c>
      <c r="AT35">
        <f>'2026_Fantasy_Hitters'!W24</f>
        <v>0.33567948855115487</v>
      </c>
      <c r="AU35">
        <f>'2026_Fantasy_Hitters'!X24</f>
        <v>0.43560583158323002</v>
      </c>
      <c r="AV35">
        <f>'2026_Fantasy_Hitters'!Y24</f>
        <v>0.77128532013438489</v>
      </c>
      <c r="AW35">
        <f>'2026_Fantasy_Hitters'!Z24</f>
        <v>0.32440000000000002</v>
      </c>
      <c r="AX35">
        <f>'2026_Fantasy_Hitters'!AA24</f>
        <v>0.18195</v>
      </c>
      <c r="AY35">
        <f>'2026_Fantasy_Hitters'!AB24</f>
        <v>6.3299999999999995E-2</v>
      </c>
      <c r="AZ35">
        <f t="shared" si="21"/>
        <v>2.7424829518152199E-2</v>
      </c>
    </row>
    <row r="36" spans="1:52" s="10" customFormat="1">
      <c r="A36" s="10" t="s">
        <v>1376</v>
      </c>
      <c r="B36" s="10" t="s">
        <v>257</v>
      </c>
      <c r="C36" s="10" t="s">
        <v>124</v>
      </c>
      <c r="D36" s="10">
        <v>488</v>
      </c>
      <c r="E36" s="10">
        <v>562</v>
      </c>
      <c r="F36" s="11">
        <f t="shared" si="0"/>
        <v>5.837621855878016</v>
      </c>
      <c r="G36" s="11">
        <f t="shared" si="1"/>
        <v>0.33156496624432008</v>
      </c>
      <c r="H36" s="11">
        <f t="shared" si="2"/>
        <v>0.11691953927516621</v>
      </c>
      <c r="I36" s="11">
        <f t="shared" si="3"/>
        <v>0.42342346311216505</v>
      </c>
      <c r="J36" s="11">
        <f t="shared" si="4"/>
        <v>0.4935539545181003</v>
      </c>
      <c r="K36" s="11">
        <f t="shared" si="5"/>
        <v>0.28861551561267101</v>
      </c>
      <c r="L36" s="11">
        <f t="shared" si="6"/>
        <v>3.790516056285659</v>
      </c>
      <c r="M36" s="11">
        <f t="shared" si="7"/>
        <v>0.14029670095652524</v>
      </c>
      <c r="N36" s="11">
        <f t="shared" si="8"/>
        <v>0.36744803300685058</v>
      </c>
      <c r="O36" s="11">
        <f t="shared" si="9"/>
        <v>-0.53105165311484104</v>
      </c>
      <c r="P36" s="10">
        <f t="shared" si="10"/>
        <v>0.4163352799813993</v>
      </c>
      <c r="R36" s="10">
        <f t="shared" si="11"/>
        <v>107.83849467422374</v>
      </c>
      <c r="S36" s="10">
        <f t="shared" si="12"/>
        <v>102.38074900012452</v>
      </c>
      <c r="T36" s="10">
        <f t="shared" si="13"/>
        <v>118.73048956156099</v>
      </c>
      <c r="U36" s="10">
        <f t="shared" si="14"/>
        <v>112.69868858976729</v>
      </c>
      <c r="V36" s="10">
        <f t="shared" si="15"/>
        <v>110.44531940915228</v>
      </c>
      <c r="W36" s="10">
        <f t="shared" si="16"/>
        <v>284.29658014718495</v>
      </c>
      <c r="X36" s="10">
        <f t="shared" si="17"/>
        <v>100.92593642286373</v>
      </c>
      <c r="Y36" s="10">
        <f t="shared" si="18"/>
        <v>104.04002511466767</v>
      </c>
      <c r="Z36" s="10">
        <f t="shared" si="19"/>
        <v>51.170185058727576</v>
      </c>
      <c r="AA36" s="10">
        <f t="shared" si="20"/>
        <v>115.12109381495249</v>
      </c>
      <c r="AC36" s="10">
        <f>'2026_Fantasy_Hitters'!F79</f>
        <v>123.75823326017601</v>
      </c>
      <c r="AD36" s="10">
        <f>'2026_Fantasy_Hitters'!G79</f>
        <v>76.589658031471046</v>
      </c>
      <c r="AE36" s="10">
        <f>'2026_Fantasy_Hitters'!H79</f>
        <v>23.174646278241493</v>
      </c>
      <c r="AF36" s="10">
        <f>'2026_Fantasy_Hitters'!I79</f>
        <v>1.0744507703669266</v>
      </c>
      <c r="AG36" s="10">
        <f>'2026_Fantasy_Hitters'!J79</f>
        <v>22.358697920000001</v>
      </c>
      <c r="AH36" s="10">
        <f>'2026_Fantasy_Hitters'!K79</f>
        <v>72.286231884057912</v>
      </c>
      <c r="AI36" s="10">
        <f>'2026_Fantasy_Hitters'!L79</f>
        <v>73.999999999999616</v>
      </c>
      <c r="AJ36" s="10">
        <f>'2026_Fantasy_Hitters'!M79</f>
        <v>51.872599999999998</v>
      </c>
      <c r="AK36" s="10">
        <f>'2026_Fantasy_Hitters'!N79</f>
        <v>0.94483440000000007</v>
      </c>
      <c r="AL36" s="10">
        <f>'2026_Fantasy_Hitters'!O79</f>
        <v>140.92149999999998</v>
      </c>
      <c r="AM36" s="10">
        <f>'2026_Fantasy_Hitters'!P79</f>
        <v>16.360869565217335</v>
      </c>
      <c r="AN36" s="10">
        <f>'2026_Fantasy_Hitters'!Q79</f>
        <v>4.0724655600000004</v>
      </c>
      <c r="AO36" s="10">
        <f>'2026_Fantasy_Hitters'!R79</f>
        <v>0.99228406000000002</v>
      </c>
      <c r="AP36" s="10">
        <f>'2026_Fantasy_Hitters'!S79</f>
        <v>5.1342353000000003</v>
      </c>
      <c r="AQ36" s="10">
        <f>'2026_Fantasy_Hitters'!T79</f>
        <v>1.05811674</v>
      </c>
      <c r="AR36" s="10">
        <f>'2026_Fantasy_Hitters'!U79</f>
        <v>4.0761185600000003</v>
      </c>
      <c r="AS36" s="10">
        <f>'2026_Fantasy_Hitters'!V79</f>
        <v>0.25360293700855741</v>
      </c>
      <c r="AT36" s="10">
        <f>'2026_Fantasy_Hitters'!W79</f>
        <v>0.35408352630422529</v>
      </c>
      <c r="AU36" s="10">
        <f>'2026_Fantasy_Hitters'!X79</f>
        <v>0.44179732495707952</v>
      </c>
      <c r="AV36" s="10">
        <f>'2026_Fantasy_Hitters'!Y79</f>
        <v>0.79588085126130481</v>
      </c>
      <c r="AW36" s="10">
        <f>'2026_Fantasy_Hitters'!Z79</f>
        <v>0.30840000000000001</v>
      </c>
      <c r="AX36" s="10">
        <f>'2026_Fantasy_Hitters'!AA79</f>
        <v>0.25074999999999997</v>
      </c>
      <c r="AY36" s="10">
        <f>'2026_Fantasy_Hitters'!AB79</f>
        <v>9.2299999999999993E-2</v>
      </c>
      <c r="AZ36" s="10">
        <f t="shared" si="21"/>
        <v>3.9784159999999999E-2</v>
      </c>
    </row>
    <row r="37" spans="1:52">
      <c r="A37" t="s">
        <v>439</v>
      </c>
      <c r="B37" t="s">
        <v>440</v>
      </c>
      <c r="C37" t="s">
        <v>20</v>
      </c>
      <c r="D37">
        <v>466</v>
      </c>
      <c r="E37">
        <v>519</v>
      </c>
      <c r="F37" s="6">
        <f t="shared" si="0"/>
        <v>5.7264616617551489</v>
      </c>
      <c r="G37" s="5">
        <f t="shared" si="1"/>
        <v>0.41238535191667419</v>
      </c>
      <c r="H37" s="5">
        <f t="shared" si="2"/>
        <v>-0.18896140230605477</v>
      </c>
      <c r="I37" s="5">
        <f t="shared" si="3"/>
        <v>1.0032423389083089</v>
      </c>
      <c r="J37" s="5">
        <f t="shared" si="4"/>
        <v>0.37516998416134384</v>
      </c>
      <c r="K37" s="5">
        <f t="shared" si="5"/>
        <v>-0.36013309143452538</v>
      </c>
      <c r="L37" s="5">
        <f t="shared" si="6"/>
        <v>0.82238416709697282</v>
      </c>
      <c r="M37" s="5">
        <f t="shared" si="7"/>
        <v>-0.111990170656802</v>
      </c>
      <c r="N37" s="5">
        <f t="shared" si="8"/>
        <v>1.6496465107845326</v>
      </c>
      <c r="O37" s="5">
        <f t="shared" si="9"/>
        <v>0.70430906097938573</v>
      </c>
      <c r="P37" s="1">
        <f t="shared" si="10"/>
        <v>1.420408912305313</v>
      </c>
      <c r="R37">
        <f t="shared" si="11"/>
        <v>109.74916144290353</v>
      </c>
      <c r="S37">
        <f t="shared" si="12"/>
        <v>96.152314040996274</v>
      </c>
      <c r="T37">
        <f t="shared" si="13"/>
        <v>144.37926046545101</v>
      </c>
      <c r="U37">
        <f t="shared" si="14"/>
        <v>109.65277808734096</v>
      </c>
      <c r="V37">
        <f t="shared" si="15"/>
        <v>86.966379261163851</v>
      </c>
      <c r="W37">
        <f t="shared" si="16"/>
        <v>139.98468475336836</v>
      </c>
      <c r="X37">
        <f t="shared" si="17"/>
        <v>99.260882278008921</v>
      </c>
      <c r="Y37">
        <f t="shared" si="18"/>
        <v>118.13756704412479</v>
      </c>
      <c r="Z37">
        <f t="shared" si="19"/>
        <v>164.76070812954907</v>
      </c>
      <c r="AA37">
        <f t="shared" si="20"/>
        <v>151.58855723089988</v>
      </c>
      <c r="AC37">
        <f>'2026_Fantasy_Hitters'!F63</f>
        <v>116.22927772853899</v>
      </c>
      <c r="AD37">
        <f>'2026_Fantasy_Hitters'!G63</f>
        <v>59.747088374998718</v>
      </c>
      <c r="AE37">
        <f>'2026_Fantasy_Hitters'!H63</f>
        <v>26.742289025486489</v>
      </c>
      <c r="AF37">
        <f>'2026_Fantasy_Hitters'!I63</f>
        <v>3.9291915858206776</v>
      </c>
      <c r="AG37">
        <f>'2026_Fantasy_Hitters'!J63</f>
        <v>27.188738820000001</v>
      </c>
      <c r="AH37">
        <f>'2026_Fantasy_Hitters'!K63</f>
        <v>73.56698883</v>
      </c>
      <c r="AI37">
        <f>'2026_Fantasy_Hitters'!L63</f>
        <v>71.999999999999503</v>
      </c>
      <c r="AJ37">
        <f>'2026_Fantasy_Hitters'!M63</f>
        <v>40.845300000000002</v>
      </c>
      <c r="AK37">
        <f>'2026_Fantasy_Hitters'!N63</f>
        <v>2.9192919599999998</v>
      </c>
      <c r="AL37">
        <f>'2026_Fantasy_Hitters'!O63</f>
        <v>142.38764999999998</v>
      </c>
      <c r="AM37">
        <f>'2026_Fantasy_Hitters'!P63</f>
        <v>8.0559223300970295</v>
      </c>
      <c r="AN37">
        <f>'2026_Fantasy_Hitters'!Q63</f>
        <v>3.0232995599999999</v>
      </c>
      <c r="AO37">
        <f>'2026_Fantasy_Hitters'!R63</f>
        <v>0.89999789999999991</v>
      </c>
      <c r="AP37">
        <f>'2026_Fantasy_Hitters'!S63</f>
        <v>15.420535714285679</v>
      </c>
      <c r="AQ37">
        <f>'2026_Fantasy_Hitters'!T63</f>
        <v>2.2960144799999997</v>
      </c>
      <c r="AR37">
        <f>'2026_Fantasy_Hitters'!U63</f>
        <v>13.124521234285679</v>
      </c>
      <c r="AS37">
        <f>'2026_Fantasy_Hitters'!V63</f>
        <v>0.24941905091961156</v>
      </c>
      <c r="AT37">
        <f>'2026_Fantasy_Hitters'!W63</f>
        <v>0.32771794107794694</v>
      </c>
      <c r="AU37">
        <f>'2026_Fantasy_Hitters'!X63</f>
        <v>0.50166136580135989</v>
      </c>
      <c r="AV37">
        <f>'2026_Fantasy_Hitters'!Y63</f>
        <v>0.82937930687930683</v>
      </c>
      <c r="AW37">
        <f>'2026_Fantasy_Hitters'!Z63</f>
        <v>0.29735</v>
      </c>
      <c r="AX37">
        <f>'2026_Fantasy_Hitters'!AA63</f>
        <v>0.27434999999999998</v>
      </c>
      <c r="AY37">
        <f>'2026_Fantasy_Hitters'!AB63</f>
        <v>7.8700000000000006E-2</v>
      </c>
      <c r="AZ37">
        <f t="shared" si="21"/>
        <v>5.2386780000000001E-2</v>
      </c>
    </row>
    <row r="38" spans="1:52">
      <c r="A38" t="s">
        <v>227</v>
      </c>
      <c r="B38" t="s">
        <v>228</v>
      </c>
      <c r="C38" t="s">
        <v>20</v>
      </c>
      <c r="D38">
        <v>563</v>
      </c>
      <c r="E38">
        <v>620</v>
      </c>
      <c r="F38" s="6">
        <f t="shared" si="0"/>
        <v>5.7070975593155593</v>
      </c>
      <c r="G38" s="5">
        <f t="shared" si="1"/>
        <v>1.3137051830592286</v>
      </c>
      <c r="H38" s="5">
        <f t="shared" si="2"/>
        <v>0.70590310216433561</v>
      </c>
      <c r="I38" s="5">
        <f t="shared" si="3"/>
        <v>0.41559473571420763</v>
      </c>
      <c r="J38" s="5">
        <f t="shared" si="4"/>
        <v>0.78951388040997383</v>
      </c>
      <c r="K38" s="5">
        <f t="shared" si="5"/>
        <v>-0.66942603275554002</v>
      </c>
      <c r="L38" s="5">
        <f t="shared" si="6"/>
        <v>0.82754348717170167</v>
      </c>
      <c r="M38" s="5">
        <f t="shared" si="7"/>
        <v>-0.34413280346593461</v>
      </c>
      <c r="N38" s="5">
        <f t="shared" si="8"/>
        <v>0.10498739108652962</v>
      </c>
      <c r="O38" s="5">
        <f t="shared" si="9"/>
        <v>2.4519718019630226</v>
      </c>
      <c r="P38" s="1">
        <f t="shared" si="10"/>
        <v>0.11143681396803479</v>
      </c>
      <c r="R38">
        <f t="shared" si="11"/>
        <v>131.05717469957915</v>
      </c>
      <c r="S38">
        <f t="shared" si="12"/>
        <v>114.37380026538855</v>
      </c>
      <c r="T38">
        <f t="shared" si="13"/>
        <v>118.38417928453956</v>
      </c>
      <c r="U38">
        <f t="shared" si="14"/>
        <v>120.31346484583264</v>
      </c>
      <c r="V38">
        <f t="shared" si="15"/>
        <v>75.772720610359073</v>
      </c>
      <c r="W38">
        <f t="shared" si="16"/>
        <v>140.23553319498899</v>
      </c>
      <c r="X38">
        <f t="shared" si="17"/>
        <v>97.728776978654395</v>
      </c>
      <c r="Y38">
        <f t="shared" si="18"/>
        <v>101.15431750509624</v>
      </c>
      <c r="Z38">
        <f t="shared" si="19"/>
        <v>325.45703158781231</v>
      </c>
      <c r="AA38">
        <f t="shared" si="20"/>
        <v>104.0473305998122</v>
      </c>
      <c r="AC38">
        <f>'2026_Fantasy_Hitters'!F31</f>
        <v>138.25547859666003</v>
      </c>
      <c r="AD38">
        <f>'2026_Fantasy_Hitters'!G31</f>
        <v>83.302462982284126</v>
      </c>
      <c r="AE38">
        <f>'2026_Fantasy_Hitters'!H31</f>
        <v>27.657068724832623</v>
      </c>
      <c r="AF38">
        <f>'2026_Fantasy_Hitters'!I31</f>
        <v>4.6808024895453029</v>
      </c>
      <c r="AG38">
        <f>'2026_Fantasy_Hitters'!J31</f>
        <v>22.293482600000001</v>
      </c>
      <c r="AH38">
        <f>'2026_Fantasy_Hitters'!K31</f>
        <v>87.850162866449153</v>
      </c>
      <c r="AI38">
        <f>'2026_Fantasy_Hitters'!L31</f>
        <v>78.999999999999588</v>
      </c>
      <c r="AJ38">
        <f>'2026_Fantasy_Hitters'!M31</f>
        <v>35.588000000000001</v>
      </c>
      <c r="AK38">
        <f>'2026_Fantasy_Hitters'!N31</f>
        <v>1.2249835999999998</v>
      </c>
      <c r="AL38">
        <f>'2026_Fantasy_Hitters'!O31</f>
        <v>149.57499999999999</v>
      </c>
      <c r="AM38">
        <f>'2026_Fantasy_Hitters'!P31</f>
        <v>8.070358306188858</v>
      </c>
      <c r="AN38">
        <f>'2026_Fantasy_Hitters'!Q31</f>
        <v>5.0488584000000003</v>
      </c>
      <c r="AO38">
        <f>'2026_Fantasy_Hitters'!R31</f>
        <v>7.7776395999999997</v>
      </c>
      <c r="AP38">
        <f>'2026_Fantasy_Hitters'!S31</f>
        <v>34.405281800000004</v>
      </c>
      <c r="AQ38">
        <f>'2026_Fantasy_Hitters'!T31</f>
        <v>8.4800003999999998</v>
      </c>
      <c r="AR38">
        <f>'2026_Fantasy_Hitters'!U31</f>
        <v>25.925281400000003</v>
      </c>
      <c r="AS38">
        <f>'2026_Fantasy_Hitters'!V31</f>
        <v>0.2455692337418473</v>
      </c>
      <c r="AT38">
        <f>'2026_Fantasy_Hitters'!W31</f>
        <v>0.30277793668929925</v>
      </c>
      <c r="AU38">
        <f>'2026_Fantasy_Hitters'!X31</f>
        <v>0.42954340728345519</v>
      </c>
      <c r="AV38">
        <f>'2026_Fantasy_Hitters'!Y31</f>
        <v>0.7323213439727545</v>
      </c>
      <c r="AW38">
        <f>'2026_Fantasy_Hitters'!Z31</f>
        <v>0.29270000000000002</v>
      </c>
      <c r="AX38">
        <f>'2026_Fantasy_Hitters'!AA31</f>
        <v>0.24124999999999999</v>
      </c>
      <c r="AY38">
        <f>'2026_Fantasy_Hitters'!AB31</f>
        <v>5.74E-2</v>
      </c>
      <c r="AZ38">
        <f t="shared" si="21"/>
        <v>3.595723E-2</v>
      </c>
    </row>
    <row r="39" spans="1:52">
      <c r="A39" t="s">
        <v>538</v>
      </c>
      <c r="B39" t="s">
        <v>101</v>
      </c>
      <c r="C39" t="s">
        <v>124</v>
      </c>
      <c r="D39">
        <v>547</v>
      </c>
      <c r="E39">
        <v>614</v>
      </c>
      <c r="F39" s="6">
        <f t="shared" si="0"/>
        <v>5.580924791580034</v>
      </c>
      <c r="G39" s="5">
        <f t="shared" si="1"/>
        <v>0.60529213191656006</v>
      </c>
      <c r="H39" s="5">
        <f t="shared" si="2"/>
        <v>1.474843386467235</v>
      </c>
      <c r="I39" s="5">
        <f t="shared" si="3"/>
        <v>0.47279199574645714</v>
      </c>
      <c r="J39" s="5">
        <f t="shared" si="4"/>
        <v>0.4935539545181053</v>
      </c>
      <c r="K39" s="5">
        <f t="shared" si="5"/>
        <v>0.54569582204079448</v>
      </c>
      <c r="L39" s="5">
        <f t="shared" si="6"/>
        <v>-0.22083854501325881</v>
      </c>
      <c r="M39" s="5">
        <f t="shared" si="7"/>
        <v>2.1754235225583929</v>
      </c>
      <c r="N39" s="5">
        <f t="shared" si="8"/>
        <v>0.78792483656591539</v>
      </c>
      <c r="O39" s="5">
        <f t="shared" si="9"/>
        <v>-0.95501954005547318</v>
      </c>
      <c r="P39" s="1">
        <f t="shared" si="10"/>
        <v>0.20125722683530603</v>
      </c>
      <c r="R39">
        <f t="shared" si="11"/>
        <v>114.30965160800903</v>
      </c>
      <c r="S39">
        <f t="shared" si="12"/>
        <v>130.03118160950373</v>
      </c>
      <c r="T39">
        <f t="shared" si="13"/>
        <v>120.91434772185201</v>
      </c>
      <c r="U39">
        <f t="shared" si="14"/>
        <v>112.69868858976741</v>
      </c>
      <c r="V39">
        <f t="shared" si="15"/>
        <v>119.74934420748733</v>
      </c>
      <c r="W39">
        <f t="shared" si="16"/>
        <v>89.26273151036176</v>
      </c>
      <c r="X39">
        <f t="shared" si="17"/>
        <v>114.35745716726053</v>
      </c>
      <c r="Y39">
        <f t="shared" si="18"/>
        <v>108.66309203548632</v>
      </c>
      <c r="Z39">
        <f t="shared" si="19"/>
        <v>12.186644872145266</v>
      </c>
      <c r="AA39">
        <f t="shared" si="20"/>
        <v>107.30956408030043</v>
      </c>
      <c r="AC39">
        <f>'2026_Fantasy_Hitters'!F78</f>
        <v>157.18217987158602</v>
      </c>
      <c r="AD39">
        <f>'2026_Fantasy_Hitters'!G78</f>
        <v>108.84578420684471</v>
      </c>
      <c r="AE39">
        <f>'2026_Fantasy_Hitters'!H78</f>
        <v>24.765639999024177</v>
      </c>
      <c r="AF39">
        <f>'2026_Fantasy_Hitters'!I78</f>
        <v>0.98156143416142672</v>
      </c>
      <c r="AG39">
        <f>'2026_Fantasy_Hitters'!J78</f>
        <v>22.769950539999996</v>
      </c>
      <c r="AH39">
        <f>'2026_Fantasy_Hitters'!K78</f>
        <v>76.6239737274216</v>
      </c>
      <c r="AI39">
        <f>'2026_Fantasy_Hitters'!L78</f>
        <v>73.999999999999702</v>
      </c>
      <c r="AJ39">
        <f>'2026_Fantasy_Hitters'!M78</f>
        <v>56.242400000000004</v>
      </c>
      <c r="AK39">
        <f>'2026_Fantasy_Hitters'!N78</f>
        <v>1.7659806599999999</v>
      </c>
      <c r="AL39">
        <f>'2026_Fantasy_Hitters'!O78</f>
        <v>92.284199999999998</v>
      </c>
      <c r="AM39">
        <f>'2026_Fantasy_Hitters'!P78</f>
        <v>5.1369450399999996</v>
      </c>
      <c r="AN39">
        <f>'2026_Fantasy_Hitters'!Q78</f>
        <v>4.0328379600000002</v>
      </c>
      <c r="AO39">
        <f>'2026_Fantasy_Hitters'!R78</f>
        <v>0.90000119999999995</v>
      </c>
      <c r="AP39">
        <f>'2026_Fantasy_Hitters'!S78</f>
        <v>1.9715847</v>
      </c>
      <c r="AQ39">
        <f>'2026_Fantasy_Hitters'!T78</f>
        <v>1.00082</v>
      </c>
      <c r="AR39">
        <f>'2026_Fantasy_Hitters'!U78</f>
        <v>0.97076469999999992</v>
      </c>
      <c r="AS39">
        <f>'2026_Fantasy_Hitters'!V78</f>
        <v>0.28735316247090681</v>
      </c>
      <c r="AT39">
        <f>'2026_Fantasy_Hitters'!W78</f>
        <v>0.36176123854279768</v>
      </c>
      <c r="AU39">
        <f>'2026_Fantasy_Hitters'!X78</f>
        <v>0.46142879463871544</v>
      </c>
      <c r="AV39">
        <f>'2026_Fantasy_Hitters'!Y78</f>
        <v>0.82319003318151318</v>
      </c>
      <c r="AW39">
        <f>'2026_Fantasy_Hitters'!Z78</f>
        <v>0.30830000000000002</v>
      </c>
      <c r="AX39">
        <f>'2026_Fantasy_Hitters'!AA78</f>
        <v>0.15029999999999999</v>
      </c>
      <c r="AY39">
        <f>'2026_Fantasy_Hitters'!AB78</f>
        <v>9.1600000000000001E-2</v>
      </c>
      <c r="AZ39">
        <f t="shared" si="21"/>
        <v>3.7084609999999997E-2</v>
      </c>
    </row>
    <row r="40" spans="1:52">
      <c r="A40" t="s">
        <v>446</v>
      </c>
      <c r="B40" t="s">
        <v>228</v>
      </c>
      <c r="C40" t="s">
        <v>20</v>
      </c>
      <c r="D40">
        <v>529</v>
      </c>
      <c r="E40">
        <v>603</v>
      </c>
      <c r="F40" s="6">
        <f t="shared" si="0"/>
        <v>5.5635044322853568</v>
      </c>
      <c r="G40" s="5">
        <f t="shared" si="1"/>
        <v>0.9704112720795306</v>
      </c>
      <c r="H40" s="5">
        <f t="shared" si="2"/>
        <v>0.56415285030362428</v>
      </c>
      <c r="I40" s="5">
        <f t="shared" si="3"/>
        <v>0.98316594901383636</v>
      </c>
      <c r="J40" s="5">
        <f t="shared" si="4"/>
        <v>1.085473806301849</v>
      </c>
      <c r="K40" s="5">
        <f t="shared" si="5"/>
        <v>1.0079026570109062</v>
      </c>
      <c r="L40" s="5">
        <f t="shared" si="6"/>
        <v>-0.6564817712876333</v>
      </c>
      <c r="M40" s="5">
        <f t="shared" si="7"/>
        <v>0.20988446769951979</v>
      </c>
      <c r="N40" s="5">
        <f t="shared" si="8"/>
        <v>1.0009560366154733</v>
      </c>
      <c r="O40" s="5">
        <f t="shared" si="9"/>
        <v>-0.4188549384880404</v>
      </c>
      <c r="P40" s="1">
        <f t="shared" si="10"/>
        <v>0.81689410303629073</v>
      </c>
      <c r="R40">
        <f t="shared" si="11"/>
        <v>122.94139719935627</v>
      </c>
      <c r="S40">
        <f t="shared" si="12"/>
        <v>111.48744121473794</v>
      </c>
      <c r="T40">
        <f t="shared" si="13"/>
        <v>143.49116463677788</v>
      </c>
      <c r="U40">
        <f t="shared" si="14"/>
        <v>127.92824110189804</v>
      </c>
      <c r="V40">
        <f t="shared" si="15"/>
        <v>136.4771282772648</v>
      </c>
      <c r="W40">
        <f t="shared" si="16"/>
        <v>68.081563676099222</v>
      </c>
      <c r="X40">
        <f t="shared" si="17"/>
        <v>101.38520486876288</v>
      </c>
      <c r="Y40">
        <f t="shared" si="18"/>
        <v>111.00533181117721</v>
      </c>
      <c r="Z40">
        <f t="shared" si="19"/>
        <v>61.486591721076636</v>
      </c>
      <c r="AA40">
        <f t="shared" si="20"/>
        <v>129.66919442773391</v>
      </c>
      <c r="AC40">
        <f>'2026_Fantasy_Hitters'!F64</f>
        <v>134.76643695404999</v>
      </c>
      <c r="AD40">
        <f>'2026_Fantasy_Hitters'!G64</f>
        <v>78.623412314894651</v>
      </c>
      <c r="AE40">
        <f>'2026_Fantasy_Hitters'!H64</f>
        <v>26.816138519400241</v>
      </c>
      <c r="AF40">
        <f>'2026_Fantasy_Hitters'!I64</f>
        <v>3.0052182574501147</v>
      </c>
      <c r="AG40">
        <f>'2026_Fantasy_Hitters'!J64</f>
        <v>27.021497310000001</v>
      </c>
      <c r="AH40">
        <f>'2026_Fantasy_Hitters'!K64</f>
        <v>82.409999999999599</v>
      </c>
      <c r="AI40">
        <f>'2026_Fantasy_Hitters'!L64</f>
        <v>83.999999999999588</v>
      </c>
      <c r="AJ40">
        <f>'2026_Fantasy_Hitters'!M64</f>
        <v>64.098899999999404</v>
      </c>
      <c r="AK40">
        <f>'2026_Fantasy_Hitters'!N64</f>
        <v>1.9533461400000001</v>
      </c>
      <c r="AL40">
        <f>'2026_Fantasy_Hitters'!O64</f>
        <v>152.28764999999999</v>
      </c>
      <c r="AM40">
        <f>'2026_Fantasy_Hitters'!P64</f>
        <v>3.9179985299999998</v>
      </c>
      <c r="AN40">
        <f>'2026_Fantasy_Hitters'!Q64</f>
        <v>5.0249979900000001</v>
      </c>
      <c r="AO40">
        <f>'2026_Fantasy_Hitters'!R64</f>
        <v>0</v>
      </c>
      <c r="AP40">
        <f>'2026_Fantasy_Hitters'!S64</f>
        <v>7.9357935600000005</v>
      </c>
      <c r="AQ40">
        <f>'2026_Fantasy_Hitters'!T64</f>
        <v>3.0378898800000003</v>
      </c>
      <c r="AR40">
        <f>'2026_Fantasy_Hitters'!U64</f>
        <v>4.8979036800000006</v>
      </c>
      <c r="AS40">
        <f>'2026_Fantasy_Hitters'!V64</f>
        <v>0.25475696966739131</v>
      </c>
      <c r="AT40">
        <f>'2026_Fantasy_Hitters'!W64</f>
        <v>0.34118387862029259</v>
      </c>
      <c r="AU40">
        <f>'2026_Fantasy_Hitters'!X64</f>
        <v>0.47137492129687231</v>
      </c>
      <c r="AV40">
        <f>'2026_Fantasy_Hitters'!Y64</f>
        <v>0.81255879991716484</v>
      </c>
      <c r="AW40">
        <f>'2026_Fantasy_Hitters'!Z64</f>
        <v>0.30375000000000002</v>
      </c>
      <c r="AX40">
        <f>'2026_Fantasy_Hitters'!AA64</f>
        <v>0.25255</v>
      </c>
      <c r="AY40">
        <f>'2026_Fantasy_Hitters'!AB64</f>
        <v>0.10629999999999901</v>
      </c>
      <c r="AZ40">
        <f t="shared" si="21"/>
        <v>4.4811770000000001E-2</v>
      </c>
    </row>
    <row r="41" spans="1:52">
      <c r="A41" t="s">
        <v>247</v>
      </c>
      <c r="B41" t="s">
        <v>248</v>
      </c>
      <c r="C41" t="s">
        <v>20</v>
      </c>
      <c r="D41">
        <v>549</v>
      </c>
      <c r="E41">
        <v>630</v>
      </c>
      <c r="F41" s="6">
        <f t="shared" si="0"/>
        <v>5.4373216671089306</v>
      </c>
      <c r="G41" s="5">
        <f t="shared" si="1"/>
        <v>0.89771350279028994</v>
      </c>
      <c r="H41" s="5">
        <f t="shared" si="2"/>
        <v>0.8740927454755163</v>
      </c>
      <c r="I41" s="5">
        <f t="shared" si="3"/>
        <v>0.5203263003297891</v>
      </c>
      <c r="J41" s="5">
        <f t="shared" si="4"/>
        <v>0.84870586558833716</v>
      </c>
      <c r="K41" s="5">
        <f t="shared" si="5"/>
        <v>1.4843819260374433</v>
      </c>
      <c r="L41" s="5">
        <f t="shared" si="6"/>
        <v>-0.65881784709584623</v>
      </c>
      <c r="M41" s="5">
        <f t="shared" si="7"/>
        <v>0.48817705061998895</v>
      </c>
      <c r="N41" s="5">
        <f t="shared" si="8"/>
        <v>0.51199390745929185</v>
      </c>
      <c r="O41" s="5">
        <f t="shared" si="9"/>
        <v>0.29445238846032074</v>
      </c>
      <c r="P41" s="1">
        <f t="shared" si="10"/>
        <v>0.17629582744379974</v>
      </c>
      <c r="R41">
        <f t="shared" si="11"/>
        <v>121.22275640368861</v>
      </c>
      <c r="S41">
        <f t="shared" si="12"/>
        <v>117.79852574435243</v>
      </c>
      <c r="T41">
        <f t="shared" si="13"/>
        <v>123.01706727657424</v>
      </c>
      <c r="U41">
        <f t="shared" si="14"/>
        <v>121.83642009704542</v>
      </c>
      <c r="V41">
        <f t="shared" si="15"/>
        <v>153.72144775280159</v>
      </c>
      <c r="W41">
        <f t="shared" si="16"/>
        <v>67.967982629079444</v>
      </c>
      <c r="X41">
        <f t="shared" si="17"/>
        <v>103.22189266670853</v>
      </c>
      <c r="Y41">
        <f t="shared" si="18"/>
        <v>105.62928103809941</v>
      </c>
      <c r="Z41">
        <f t="shared" si="19"/>
        <v>127.07468389035188</v>
      </c>
      <c r="AA41">
        <f t="shared" si="20"/>
        <v>106.40297825848796</v>
      </c>
      <c r="AC41">
        <f>'2026_Fantasy_Hitters'!F34</f>
        <v>142.39529959637906</v>
      </c>
      <c r="AD41">
        <f>'2026_Fantasy_Hitters'!G34</f>
        <v>88.462134503243419</v>
      </c>
      <c r="AE41">
        <f>'2026_Fantasy_Hitters'!H34</f>
        <v>29.807344007375029</v>
      </c>
      <c r="AF41">
        <f>'2026_Fantasy_Hitters'!I34</f>
        <v>1.8370732576568287</v>
      </c>
      <c r="AG41">
        <f>'2026_Fantasy_Hitters'!J34</f>
        <v>23.165923566878948</v>
      </c>
      <c r="AH41">
        <f>'2026_Fantasy_Hitters'!K34</f>
        <v>81.257961783439356</v>
      </c>
      <c r="AI41">
        <f>'2026_Fantasy_Hitters'!L34</f>
        <v>79.999999999999389</v>
      </c>
      <c r="AJ41">
        <f>'2026_Fantasy_Hitters'!M34</f>
        <v>72.197999999999993</v>
      </c>
      <c r="AK41">
        <f>'2026_Fantasy_Hitters'!N34</f>
        <v>4.7703915000000006</v>
      </c>
      <c r="AL41">
        <f>'2026_Fantasy_Hitters'!O34</f>
        <v>182.44799999999938</v>
      </c>
      <c r="AM41">
        <f>'2026_Fantasy_Hitters'!P34</f>
        <v>3.9114621000000001</v>
      </c>
      <c r="AN41">
        <f>'2026_Fantasy_Hitters'!Q34</f>
        <v>3.0095540999999999</v>
      </c>
      <c r="AO41">
        <f>'2026_Fantasy_Hitters'!R34</f>
        <v>0.89999910000000005</v>
      </c>
      <c r="AP41">
        <f>'2026_Fantasy_Hitters'!S34</f>
        <v>16.157609999999998</v>
      </c>
      <c r="AQ41">
        <f>'2026_Fantasy_Hitters'!T34</f>
        <v>6.0350849999999996</v>
      </c>
      <c r="AR41">
        <f>'2026_Fantasy_Hitters'!U34</f>
        <v>10.122525</v>
      </c>
      <c r="AS41">
        <f>'2026_Fantasy_Hitters'!V34</f>
        <v>0.25937213041234802</v>
      </c>
      <c r="AT41">
        <f>'2026_Fantasy_Hitters'!W34</f>
        <v>0.35498089362003071</v>
      </c>
      <c r="AU41">
        <f>'2026_Fantasy_Hitters'!X34</f>
        <v>0.44854596823038206</v>
      </c>
      <c r="AV41">
        <f>'2026_Fantasy_Hitters'!Y34</f>
        <v>0.80352686185041278</v>
      </c>
      <c r="AW41">
        <f>'2026_Fantasy_Hitters'!Z34</f>
        <v>0.34419999999999901</v>
      </c>
      <c r="AX41">
        <f>'2026_Fantasy_Hitters'!AA34</f>
        <v>0.28959999999999902</v>
      </c>
      <c r="AY41">
        <f>'2026_Fantasy_Hitters'!AB34</f>
        <v>0.11459999999999999</v>
      </c>
      <c r="AZ41">
        <f t="shared" si="21"/>
        <v>3.6771307249014201E-2</v>
      </c>
    </row>
    <row r="42" spans="1:52">
      <c r="A42" t="s">
        <v>292</v>
      </c>
      <c r="B42" t="s">
        <v>293</v>
      </c>
      <c r="C42" t="s">
        <v>20</v>
      </c>
      <c r="D42">
        <v>565</v>
      </c>
      <c r="E42">
        <v>630</v>
      </c>
      <c r="F42" s="6">
        <f t="shared" si="0"/>
        <v>5.367426102547137</v>
      </c>
      <c r="G42" s="5">
        <f t="shared" si="1"/>
        <v>0.78708218305269728</v>
      </c>
      <c r="H42" s="5">
        <f t="shared" si="2"/>
        <v>0.92411523220766334</v>
      </c>
      <c r="I42" s="5">
        <f t="shared" si="3"/>
        <v>1.0112292157268061</v>
      </c>
      <c r="J42" s="5">
        <f t="shared" si="4"/>
        <v>1.3814337321937387</v>
      </c>
      <c r="K42" s="5">
        <f t="shared" si="5"/>
        <v>0.61338692931714511</v>
      </c>
      <c r="L42" s="5">
        <f t="shared" si="6"/>
        <v>-0.25950511119257913</v>
      </c>
      <c r="M42" s="5">
        <f t="shared" si="7"/>
        <v>0.1766786297223705</v>
      </c>
      <c r="N42" s="5">
        <f t="shared" si="8"/>
        <v>0.69171744761345555</v>
      </c>
      <c r="O42" s="5">
        <f t="shared" si="9"/>
        <v>-0.65216002279861041</v>
      </c>
      <c r="P42" s="1">
        <f t="shared" si="10"/>
        <v>0.69344786670445047</v>
      </c>
      <c r="R42">
        <f t="shared" si="11"/>
        <v>118.6073322821713</v>
      </c>
      <c r="S42">
        <f t="shared" si="12"/>
        <v>118.81709788387327</v>
      </c>
      <c r="T42">
        <f t="shared" si="13"/>
        <v>144.73256661381319</v>
      </c>
      <c r="U42">
        <f t="shared" si="14"/>
        <v>135.54301735796381</v>
      </c>
      <c r="V42">
        <f t="shared" si="15"/>
        <v>122.1991613462498</v>
      </c>
      <c r="W42">
        <f t="shared" si="16"/>
        <v>87.382745828447398</v>
      </c>
      <c r="X42">
        <f t="shared" si="17"/>
        <v>101.16605149861856</v>
      </c>
      <c r="Y42">
        <f t="shared" si="18"/>
        <v>107.6053090766174</v>
      </c>
      <c r="Z42">
        <f t="shared" si="19"/>
        <v>40.034358167291813</v>
      </c>
      <c r="AA42">
        <f t="shared" si="20"/>
        <v>125.18568747929578</v>
      </c>
      <c r="AC42">
        <f>'2026_Fantasy_Hitters'!F40</f>
        <v>143.62655341769056</v>
      </c>
      <c r="AD42">
        <f>'2026_Fantasy_Hitters'!G40</f>
        <v>86.052651628818495</v>
      </c>
      <c r="AE42">
        <f>'2026_Fantasy_Hitters'!H40</f>
        <v>27.157331367794015</v>
      </c>
      <c r="AF42">
        <f>'2026_Fantasy_Hitters'!I40</f>
        <v>2.9270028072098904</v>
      </c>
      <c r="AG42">
        <f>'2026_Fantasy_Hitters'!J40</f>
        <v>27.255271565495104</v>
      </c>
      <c r="AH42">
        <f>'2026_Fantasy_Hitters'!K40</f>
        <v>79.504792332267954</v>
      </c>
      <c r="AI42">
        <f>'2026_Fantasy_Hitters'!L40</f>
        <v>88.999999999999829</v>
      </c>
      <c r="AJ42">
        <f>'2026_Fantasy_Hitters'!M40</f>
        <v>57.393000000000001</v>
      </c>
      <c r="AK42">
        <f>'2026_Fantasy_Hitters'!N40</f>
        <v>1.9535292</v>
      </c>
      <c r="AL42">
        <f>'2026_Fantasy_Hitters'!O40</f>
        <v>173.56499999999937</v>
      </c>
      <c r="AM42">
        <f>'2026_Fantasy_Hitters'!P40</f>
        <v>5.0287544999999998</v>
      </c>
      <c r="AN42">
        <f>'2026_Fantasy_Hitters'!Q40</f>
        <v>4.0255614</v>
      </c>
      <c r="AO42">
        <f>'2026_Fantasy_Hitters'!R40</f>
        <v>0</v>
      </c>
      <c r="AP42">
        <f>'2026_Fantasy_Hitters'!S40</f>
        <v>4.2096789000000001</v>
      </c>
      <c r="AQ42">
        <f>'2026_Fantasy_Hitters'!T40</f>
        <v>1.0206188999999999</v>
      </c>
      <c r="AR42">
        <f>'2026_Fantasy_Hitters'!U40</f>
        <v>3.1890600000000004</v>
      </c>
      <c r="AS42">
        <f>'2026_Fantasy_Hitters'!V40</f>
        <v>0.25420628923485056</v>
      </c>
      <c r="AT42">
        <f>'2026_Fantasy_Hitters'!W40</f>
        <v>0.33101698854747086</v>
      </c>
      <c r="AU42">
        <f>'2026_Fantasy_Hitters'!X40</f>
        <v>0.4569370071646312</v>
      </c>
      <c r="AV42">
        <f>'2026_Fantasy_Hitters'!Y40</f>
        <v>0.78795399571210201</v>
      </c>
      <c r="AW42">
        <f>'2026_Fantasy_Hitters'!Z40</f>
        <v>0.31605</v>
      </c>
      <c r="AX42">
        <f>'2026_Fantasy_Hitters'!AA40</f>
        <v>0.27549999999999902</v>
      </c>
      <c r="AY42">
        <f>'2026_Fantasy_Hitters'!AB40</f>
        <v>9.11E-2</v>
      </c>
      <c r="AZ42">
        <f t="shared" si="21"/>
        <v>4.3262335818246199E-2</v>
      </c>
    </row>
    <row r="43" spans="1:52">
      <c r="A43" t="s">
        <v>155</v>
      </c>
      <c r="B43" t="s">
        <v>156</v>
      </c>
      <c r="C43" t="s">
        <v>20</v>
      </c>
      <c r="D43">
        <v>580</v>
      </c>
      <c r="E43">
        <v>629</v>
      </c>
      <c r="F43" s="6">
        <f t="shared" si="0"/>
        <v>5.3020037069507078</v>
      </c>
      <c r="G43" s="5">
        <f t="shared" si="1"/>
        <v>0.85064062200254709</v>
      </c>
      <c r="H43" s="5">
        <f t="shared" si="2"/>
        <v>1.426979168276681</v>
      </c>
      <c r="I43" s="5">
        <f t="shared" si="3"/>
        <v>0.29884910963225869</v>
      </c>
      <c r="J43" s="5">
        <f t="shared" si="4"/>
        <v>1.0854738063018645</v>
      </c>
      <c r="K43" s="5">
        <f t="shared" si="5"/>
        <v>-0.44290850247035496</v>
      </c>
      <c r="L43" s="5">
        <f t="shared" si="6"/>
        <v>-0.61894067211823134</v>
      </c>
      <c r="M43" s="5">
        <f t="shared" si="7"/>
        <v>1.0670759550722333</v>
      </c>
      <c r="N43" s="5">
        <f t="shared" si="8"/>
        <v>0.42678969558150998</v>
      </c>
      <c r="O43" s="5">
        <f t="shared" si="9"/>
        <v>1.2607818466358707</v>
      </c>
      <c r="P43" s="1">
        <f t="shared" si="10"/>
        <v>-5.2737321963670293E-2</v>
      </c>
      <c r="R43">
        <f t="shared" si="11"/>
        <v>120.10991107043587</v>
      </c>
      <c r="S43">
        <f t="shared" si="12"/>
        <v>129.05655674949026</v>
      </c>
      <c r="T43">
        <f t="shared" si="13"/>
        <v>113.21983927698882</v>
      </c>
      <c r="U43">
        <f t="shared" si="14"/>
        <v>127.92824110189844</v>
      </c>
      <c r="V43">
        <f t="shared" si="15"/>
        <v>83.970644240966735</v>
      </c>
      <c r="W43">
        <f t="shared" si="16"/>
        <v>69.906828650353617</v>
      </c>
      <c r="X43">
        <f t="shared" si="17"/>
        <v>107.04253546966601</v>
      </c>
      <c r="Y43">
        <f t="shared" si="18"/>
        <v>104.6924760345595</v>
      </c>
      <c r="Z43">
        <f t="shared" si="19"/>
        <v>215.92797779923677</v>
      </c>
      <c r="AA43">
        <f t="shared" si="20"/>
        <v>98.084606250525809</v>
      </c>
      <c r="AC43">
        <f>'2026_Fantasy_Hitters'!F21</f>
        <v>156.00404968651998</v>
      </c>
      <c r="AD43">
        <f>'2026_Fantasy_Hitters'!G21</f>
        <v>99.009300136428308</v>
      </c>
      <c r="AE43">
        <f>'2026_Fantasy_Hitters'!H21</f>
        <v>31.222263452797481</v>
      </c>
      <c r="AF43">
        <f>'2026_Fantasy_Hitters'!I21</f>
        <v>3.7039038143637248</v>
      </c>
      <c r="AG43">
        <f>'2026_Fantasy_Hitters'!J21</f>
        <v>21.320961399999998</v>
      </c>
      <c r="AH43">
        <f>'2026_Fantasy_Hitters'!K21</f>
        <v>80.512</v>
      </c>
      <c r="AI43">
        <f>'2026_Fantasy_Hitters'!L21</f>
        <v>83.999999999999844</v>
      </c>
      <c r="AJ43">
        <f>'2026_Fantasy_Hitters'!M21</f>
        <v>39.438300000000005</v>
      </c>
      <c r="AK43">
        <f>'2026_Fantasy_Hitters'!N21</f>
        <v>2.10218719</v>
      </c>
      <c r="AL43">
        <f>'2026_Fantasy_Hitters'!O21</f>
        <v>126.71204999999999</v>
      </c>
      <c r="AM43">
        <f>'2026_Fantasy_Hitters'!P21</f>
        <v>4.0230399700000001</v>
      </c>
      <c r="AN43">
        <f>'2026_Fantasy_Hitters'!Q21</f>
        <v>5.032</v>
      </c>
      <c r="AO43">
        <f>'2026_Fantasy_Hitters'!R21</f>
        <v>0.99661905000000006</v>
      </c>
      <c r="AP43">
        <f>'2026_Fantasy_Hitters'!S21</f>
        <v>24.038788630000003</v>
      </c>
      <c r="AQ43">
        <f>'2026_Fantasy_Hitters'!T21</f>
        <v>6.8383810700000005</v>
      </c>
      <c r="AR43">
        <f>'2026_Fantasy_Hitters'!U21</f>
        <v>17.200407560000002</v>
      </c>
      <c r="AS43">
        <f>'2026_Fantasy_Hitters'!V21</f>
        <v>0.26897249945951718</v>
      </c>
      <c r="AT43">
        <f>'2026_Fantasy_Hitters'!W21</f>
        <v>0.32169873552937733</v>
      </c>
      <c r="AU43">
        <f>'2026_Fantasy_Hitters'!X21</f>
        <v>0.44456790359502485</v>
      </c>
      <c r="AV43">
        <f>'2026_Fantasy_Hitters'!Y21</f>
        <v>0.76626663912440218</v>
      </c>
      <c r="AW43">
        <f>'2026_Fantasy_Hitters'!Z21</f>
        <v>0.30819999999999997</v>
      </c>
      <c r="AX43">
        <f>'2026_Fantasy_Hitters'!AA21</f>
        <v>0.20144999999999999</v>
      </c>
      <c r="AY43">
        <f>'2026_Fantasy_Hitters'!AB21</f>
        <v>6.2700000000000006E-2</v>
      </c>
      <c r="AZ43">
        <f t="shared" si="21"/>
        <v>3.3896599999999999E-2</v>
      </c>
    </row>
    <row r="44" spans="1:52">
      <c r="A44" t="s">
        <v>549</v>
      </c>
      <c r="B44" t="s">
        <v>107</v>
      </c>
      <c r="C44" t="s">
        <v>20</v>
      </c>
      <c r="D44">
        <v>553</v>
      </c>
      <c r="E44">
        <v>629</v>
      </c>
      <c r="F44" s="6">
        <f t="shared" si="0"/>
        <v>5.2725076452110935</v>
      </c>
      <c r="G44" s="5">
        <f t="shared" si="1"/>
        <v>0.86695072722267319</v>
      </c>
      <c r="H44" s="5">
        <f t="shared" si="2"/>
        <v>0.61458637284397089</v>
      </c>
      <c r="I44" s="5">
        <f t="shared" si="3"/>
        <v>1.0086791539249309</v>
      </c>
      <c r="J44" s="5">
        <f t="shared" si="4"/>
        <v>0.96708983594510578</v>
      </c>
      <c r="K44" s="5">
        <f t="shared" si="5"/>
        <v>1.1112924987695536</v>
      </c>
      <c r="L44" s="5">
        <f t="shared" si="6"/>
        <v>0.43094884963257996</v>
      </c>
      <c r="M44" s="5">
        <f t="shared" si="7"/>
        <v>-0.3214499115814719</v>
      </c>
      <c r="N44" s="5">
        <f t="shared" si="8"/>
        <v>0.55374654892558617</v>
      </c>
      <c r="O44" s="5">
        <f t="shared" si="9"/>
        <v>-0.65557340137304732</v>
      </c>
      <c r="P44" s="1">
        <f t="shared" si="10"/>
        <v>0.69623697090121206</v>
      </c>
      <c r="R44">
        <f t="shared" si="11"/>
        <v>120.49549665974624</v>
      </c>
      <c r="S44">
        <f t="shared" si="12"/>
        <v>112.51438298259852</v>
      </c>
      <c r="T44">
        <f t="shared" si="13"/>
        <v>144.61976250605238</v>
      </c>
      <c r="U44">
        <f t="shared" si="14"/>
        <v>124.88233059947206</v>
      </c>
      <c r="V44">
        <f t="shared" si="15"/>
        <v>140.21892267989182</v>
      </c>
      <c r="W44">
        <f t="shared" si="16"/>
        <v>120.95292514958351</v>
      </c>
      <c r="X44">
        <f t="shared" si="17"/>
        <v>97.878480539953472</v>
      </c>
      <c r="Y44">
        <f t="shared" si="18"/>
        <v>106.08834383059067</v>
      </c>
      <c r="Z44">
        <f t="shared" si="19"/>
        <v>39.720500479180608</v>
      </c>
      <c r="AA44">
        <f t="shared" si="20"/>
        <v>125.28698638007785</v>
      </c>
      <c r="AC44">
        <f>'2026_Fantasy_Hitters'!F80</f>
        <v>136.00780801347986</v>
      </c>
      <c r="AD44">
        <f>'2026_Fantasy_Hitters'!G80</f>
        <v>81.17370339078289</v>
      </c>
      <c r="AE44">
        <f>'2026_Fantasy_Hitters'!H80</f>
        <v>26.431011749033846</v>
      </c>
      <c r="AF44">
        <f>'2026_Fantasy_Hitters'!I80</f>
        <v>2.0506935662262173</v>
      </c>
      <c r="AG44">
        <f>'2026_Fantasy_Hitters'!J80</f>
        <v>27.234028892455747</v>
      </c>
      <c r="AH44">
        <f>'2026_Fantasy_Hitters'!K80</f>
        <v>80.770465489566064</v>
      </c>
      <c r="AI44">
        <f>'2026_Fantasy_Hitters'!L80</f>
        <v>81.999999999999702</v>
      </c>
      <c r="AJ44">
        <f>'2026_Fantasy_Hitters'!M80</f>
        <v>65.856300000000005</v>
      </c>
      <c r="AK44">
        <f>'2026_Fantasy_Hitters'!N80</f>
        <v>0.15144432999999999</v>
      </c>
      <c r="AL44">
        <f>'2026_Fantasy_Hitters'!O80</f>
        <v>153.19295</v>
      </c>
      <c r="AM44">
        <f>'2026_Fantasy_Hitters'!P80</f>
        <v>6.9606712499999999</v>
      </c>
      <c r="AN44">
        <f>'2026_Fantasy_Hitters'!Q80</f>
        <v>5.04815272</v>
      </c>
      <c r="AO44">
        <f>'2026_Fantasy_Hitters'!R80</f>
        <v>0.89999836</v>
      </c>
      <c r="AP44">
        <f>'2026_Fantasy_Hitters'!S80</f>
        <v>5.1838909200000005</v>
      </c>
      <c r="AQ44">
        <f>'2026_Fantasy_Hitters'!T80</f>
        <v>2.0198322200000001</v>
      </c>
      <c r="AR44">
        <f>'2026_Fantasy_Hitters'!U80</f>
        <v>3.1640587000000004</v>
      </c>
      <c r="AS44">
        <f>'2026_Fantasy_Hitters'!V80</f>
        <v>0.24594540327934875</v>
      </c>
      <c r="AT44">
        <f>'2026_Fantasy_Hitters'!W80</f>
        <v>0.33486779722992743</v>
      </c>
      <c r="AU44">
        <f>'2026_Fantasy_Hitters'!X80</f>
        <v>0.45049534024837651</v>
      </c>
      <c r="AV44">
        <f>'2026_Fantasy_Hitters'!Y80</f>
        <v>0.78536313747830389</v>
      </c>
      <c r="AW44">
        <f>'2026_Fantasy_Hitters'!Z80</f>
        <v>0.28804999999999997</v>
      </c>
      <c r="AX44">
        <f>'2026_Fantasy_Hitters'!AA80</f>
        <v>0.24354999999999999</v>
      </c>
      <c r="AY44">
        <f>'2026_Fantasy_Hitters'!AB80</f>
        <v>0.1047</v>
      </c>
      <c r="AZ44">
        <f t="shared" si="21"/>
        <v>4.3297343231249202E-2</v>
      </c>
    </row>
    <row r="45" spans="1:52">
      <c r="A45" t="s">
        <v>381</v>
      </c>
      <c r="B45" t="s">
        <v>200</v>
      </c>
      <c r="C45" t="s">
        <v>34</v>
      </c>
      <c r="D45">
        <v>578</v>
      </c>
      <c r="E45">
        <v>633</v>
      </c>
      <c r="F45" s="6">
        <f t="shared" si="0"/>
        <v>5.2201834578094868</v>
      </c>
      <c r="G45" s="5">
        <f t="shared" si="1"/>
        <v>0.92213098210870881</v>
      </c>
      <c r="H45" s="5">
        <f t="shared" si="2"/>
        <v>1.4897115131998948</v>
      </c>
      <c r="I45" s="5">
        <f t="shared" si="3"/>
        <v>-0.19323001358628569</v>
      </c>
      <c r="J45" s="5">
        <f t="shared" si="4"/>
        <v>0.19759402862621461</v>
      </c>
      <c r="K45" s="5">
        <f t="shared" si="5"/>
        <v>-0.59201013838308247</v>
      </c>
      <c r="L45" s="5">
        <f t="shared" si="6"/>
        <v>1.938488182082472</v>
      </c>
      <c r="M45" s="5">
        <f t="shared" si="7"/>
        <v>1.2842839944246995</v>
      </c>
      <c r="N45" s="5">
        <f t="shared" si="8"/>
        <v>-0.13996310840591888</v>
      </c>
      <c r="O45" s="5">
        <f t="shared" si="9"/>
        <v>0.89891507614449939</v>
      </c>
      <c r="P45" s="1">
        <f t="shared" si="10"/>
        <v>-0.58573705840171508</v>
      </c>
      <c r="R45">
        <f t="shared" si="11"/>
        <v>121.80000762465856</v>
      </c>
      <c r="S45">
        <f t="shared" si="12"/>
        <v>130.33393064590899</v>
      </c>
      <c r="T45">
        <f t="shared" si="13"/>
        <v>91.452309407097246</v>
      </c>
      <c r="U45">
        <f t="shared" si="14"/>
        <v>105.08391233370162</v>
      </c>
      <c r="V45">
        <f t="shared" si="15"/>
        <v>78.574488707784354</v>
      </c>
      <c r="W45">
        <f t="shared" si="16"/>
        <v>194.25015942647406</v>
      </c>
      <c r="X45">
        <f t="shared" si="17"/>
        <v>108.47607477318522</v>
      </c>
      <c r="Y45">
        <f t="shared" si="18"/>
        <v>98.461130766003109</v>
      </c>
      <c r="Z45">
        <f t="shared" si="19"/>
        <v>182.65459029945544</v>
      </c>
      <c r="AA45">
        <f t="shared" si="20"/>
        <v>78.726316416465522</v>
      </c>
      <c r="AC45">
        <f>'2026_Fantasy_Hitters'!F55</f>
        <v>157.54814404192717</v>
      </c>
      <c r="AD45">
        <f>'2026_Fantasy_Hitters'!G55</f>
        <v>108.2059493878218</v>
      </c>
      <c r="AE45">
        <f>'2026_Fantasy_Hitters'!H55</f>
        <v>29.224436221123014</v>
      </c>
      <c r="AF45">
        <f>'2026_Fantasy_Hitters'!I55</f>
        <v>2.0412569412390154</v>
      </c>
      <c r="AG45">
        <f>'2026_Fantasy_Hitters'!J55</f>
        <v>17.221815286624164</v>
      </c>
      <c r="AH45">
        <f>'2026_Fantasy_Hitters'!K55</f>
        <v>81.644904458598589</v>
      </c>
      <c r="AI45">
        <f>'2026_Fantasy_Hitters'!L55</f>
        <v>68.999999999999432</v>
      </c>
      <c r="AJ45">
        <f>'2026_Fantasy_Hitters'!M55</f>
        <v>36.9039</v>
      </c>
      <c r="AK45">
        <f>'2026_Fantasy_Hitters'!N55</f>
        <v>1.4666293500000001</v>
      </c>
      <c r="AL45">
        <f>'2026_Fantasy_Hitters'!O55</f>
        <v>112.8006</v>
      </c>
      <c r="AM45">
        <f>'2026_Fantasy_Hitters'!P55</f>
        <v>11.17882431</v>
      </c>
      <c r="AN45">
        <f>'2026_Fantasy_Hitters'!Q55</f>
        <v>4.03184919</v>
      </c>
      <c r="AO45">
        <f>'2026_Fantasy_Hitters'!R55</f>
        <v>1.9944690599999999</v>
      </c>
      <c r="AP45">
        <f>'2026_Fantasy_Hitters'!S55</f>
        <v>18.868663594470011</v>
      </c>
      <c r="AQ45">
        <f>'2026_Fantasy_Hitters'!T55</f>
        <v>4.3187501099999999</v>
      </c>
      <c r="AR45">
        <f>'2026_Fantasy_Hitters'!U55</f>
        <v>14.549913484470011</v>
      </c>
      <c r="AS45">
        <f>'2026_Fantasy_Hitters'!V55</f>
        <v>0.2725746436711543</v>
      </c>
      <c r="AT45">
        <f>'2026_Fantasy_Hitters'!W55</f>
        <v>0.33381157917107296</v>
      </c>
      <c r="AU45">
        <f>'2026_Fantasy_Hitters'!X55</f>
        <v>0.41810701349529678</v>
      </c>
      <c r="AV45">
        <f>'2026_Fantasy_Hitters'!Y55</f>
        <v>0.75191859266636973</v>
      </c>
      <c r="AW45">
        <f>'2026_Fantasy_Hitters'!Z55</f>
        <v>0.31045</v>
      </c>
      <c r="AX45">
        <f>'2026_Fantasy_Hitters'!AA55</f>
        <v>0.1782</v>
      </c>
      <c r="AY45">
        <f>'2026_Fantasy_Hitters'!AB55</f>
        <v>5.8299999999999998E-2</v>
      </c>
      <c r="AZ45">
        <f t="shared" si="21"/>
        <v>2.7206659220575299E-2</v>
      </c>
    </row>
    <row r="46" spans="1:52">
      <c r="A46" s="1" t="s">
        <v>1367</v>
      </c>
      <c r="B46" t="s">
        <v>243</v>
      </c>
      <c r="C46" t="s">
        <v>34</v>
      </c>
      <c r="D46">
        <v>570</v>
      </c>
      <c r="E46">
        <v>649</v>
      </c>
      <c r="F46" s="6">
        <f t="shared" si="0"/>
        <v>5.1415850136766679</v>
      </c>
      <c r="G46" s="5">
        <f t="shared" si="1"/>
        <v>1.1036185883180334</v>
      </c>
      <c r="H46" s="5">
        <f t="shared" si="2"/>
        <v>0.60381189165877047</v>
      </c>
      <c r="I46" s="5">
        <f t="shared" si="3"/>
        <v>1.2160952654092547</v>
      </c>
      <c r="J46" s="5">
        <f t="shared" si="4"/>
        <v>1.0854738063018519</v>
      </c>
      <c r="K46" s="5">
        <f t="shared" si="5"/>
        <v>1.2955751551509178</v>
      </c>
      <c r="L46" s="5">
        <f t="shared" si="6"/>
        <v>-0.61919556496744999</v>
      </c>
      <c r="M46" s="5">
        <f t="shared" si="7"/>
        <v>-0.79181628326252218</v>
      </c>
      <c r="N46" s="5">
        <f t="shared" si="8"/>
        <v>0.43316996942462371</v>
      </c>
      <c r="O46" s="5">
        <f t="shared" si="9"/>
        <v>1.2809705983743595E-2</v>
      </c>
      <c r="P46" s="1">
        <f t="shared" si="10"/>
        <v>0.80204247965944475</v>
      </c>
      <c r="R46">
        <f t="shared" si="11"/>
        <v>126.09053822812753</v>
      </c>
      <c r="S46">
        <f t="shared" si="12"/>
        <v>112.29498992419657</v>
      </c>
      <c r="T46">
        <f t="shared" si="13"/>
        <v>153.79498695512251</v>
      </c>
      <c r="U46">
        <f t="shared" si="14"/>
        <v>127.92824110189811</v>
      </c>
      <c r="V46">
        <f t="shared" si="15"/>
        <v>146.88831882577918</v>
      </c>
      <c r="W46">
        <f t="shared" si="16"/>
        <v>69.894435646414991</v>
      </c>
      <c r="X46">
        <f t="shared" si="17"/>
        <v>94.77413558629209</v>
      </c>
      <c r="Y46">
        <f t="shared" si="18"/>
        <v>104.76262599931427</v>
      </c>
      <c r="Z46">
        <f t="shared" si="19"/>
        <v>101.17784318901846</v>
      </c>
      <c r="AA46">
        <f t="shared" si="20"/>
        <v>129.12979072791856</v>
      </c>
      <c r="AC46">
        <f>'2026_Fantasy_Hitters'!F71</f>
        <v>135.74260486188601</v>
      </c>
      <c r="AD46">
        <f>'2026_Fantasy_Hitters'!G71</f>
        <v>77.107250642111879</v>
      </c>
      <c r="AE46">
        <f>'2026_Fantasy_Hitters'!H71</f>
        <v>28.381068424855311</v>
      </c>
      <c r="AF46">
        <f>'2026_Fantasy_Hitters'!I71</f>
        <v>1.2855593388457633</v>
      </c>
      <c r="AG46">
        <f>'2026_Fantasy_Hitters'!J71</f>
        <v>28.961858640000003</v>
      </c>
      <c r="AH46">
        <f>'2026_Fantasy_Hitters'!K71</f>
        <v>84.520930232557561</v>
      </c>
      <c r="AI46">
        <f>'2026_Fantasy_Hitters'!L71</f>
        <v>83.999999999999631</v>
      </c>
      <c r="AJ46">
        <f>'2026_Fantasy_Hitters'!M71</f>
        <v>68.988699999999355</v>
      </c>
      <c r="AK46">
        <f>'2026_Fantasy_Hitters'!N71</f>
        <v>1.9355840900000001</v>
      </c>
      <c r="AL46">
        <f>'2026_Fantasy_Hitters'!O71</f>
        <v>162.37979999999999</v>
      </c>
      <c r="AM46">
        <f>'2026_Fantasy_Hitters'!P71</f>
        <v>4.0223267700000003</v>
      </c>
      <c r="AN46">
        <f>'2026_Fantasy_Hitters'!Q71</f>
        <v>5.0310090599999997</v>
      </c>
      <c r="AO46">
        <f>'2026_Fantasy_Hitters'!R71</f>
        <v>0</v>
      </c>
      <c r="AP46">
        <f>'2026_Fantasy_Hitters'!S71</f>
        <v>11.356409680000001</v>
      </c>
      <c r="AQ46">
        <f>'2026_Fantasy_Hitters'!T71</f>
        <v>3.2967772200000001</v>
      </c>
      <c r="AR46">
        <f>'2026_Fantasy_Hitters'!U71</f>
        <v>8.0596324599999996</v>
      </c>
      <c r="AS46">
        <f>'2026_Fantasy_Hitters'!V71</f>
        <v>0.23814492081032632</v>
      </c>
      <c r="AT46">
        <f>'2026_Fantasy_Hitters'!W71</f>
        <v>0.32616686937335854</v>
      </c>
      <c r="AU46">
        <f>'2026_Fantasy_Hitters'!X71</f>
        <v>0.44486578959361367</v>
      </c>
      <c r="AV46">
        <f>'2026_Fantasy_Hitters'!Y71</f>
        <v>0.77103265896697226</v>
      </c>
      <c r="AW46">
        <f>'2026_Fantasy_Hitters'!Z71</f>
        <v>0.27829999999999999</v>
      </c>
      <c r="AX46">
        <f>'2026_Fantasy_Hitters'!AA71</f>
        <v>0.25019999999999998</v>
      </c>
      <c r="AY46">
        <f>'2026_Fantasy_Hitters'!AB71</f>
        <v>0.10629999999999901</v>
      </c>
      <c r="AZ46">
        <f t="shared" si="21"/>
        <v>4.4625360000000003E-2</v>
      </c>
    </row>
    <row r="47" spans="1:52">
      <c r="A47" t="s">
        <v>256</v>
      </c>
      <c r="B47" t="s">
        <v>257</v>
      </c>
      <c r="C47" t="s">
        <v>20</v>
      </c>
      <c r="D47">
        <v>547</v>
      </c>
      <c r="E47">
        <v>607</v>
      </c>
      <c r="F47" s="6">
        <f t="shared" si="0"/>
        <v>5.0684362712233293</v>
      </c>
      <c r="G47" s="5">
        <f t="shared" si="1"/>
        <v>0.93602810822499871</v>
      </c>
      <c r="H47" s="5">
        <f t="shared" si="2"/>
        <v>0.89776525472584667</v>
      </c>
      <c r="I47" s="5">
        <f t="shared" si="3"/>
        <v>-7.1541813036983823E-3</v>
      </c>
      <c r="J47" s="5">
        <f t="shared" si="4"/>
        <v>0.1975940286262135</v>
      </c>
      <c r="K47" s="5">
        <f t="shared" si="5"/>
        <v>0.14372618917411981</v>
      </c>
      <c r="L47" s="5">
        <f t="shared" si="6"/>
        <v>0.44130042278744613</v>
      </c>
      <c r="M47" s="5">
        <f t="shared" si="7"/>
        <v>0.6095942632351935</v>
      </c>
      <c r="N47" s="5">
        <f t="shared" si="8"/>
        <v>0.7370082770495342</v>
      </c>
      <c r="O47" s="5">
        <f t="shared" si="9"/>
        <v>1.4020114995633512</v>
      </c>
      <c r="P47" s="1">
        <f t="shared" si="10"/>
        <v>-0.28943759085967635</v>
      </c>
      <c r="R47">
        <f t="shared" si="11"/>
        <v>122.12854821289817</v>
      </c>
      <c r="S47">
        <f t="shared" si="12"/>
        <v>118.28055212828748</v>
      </c>
      <c r="T47">
        <f t="shared" si="13"/>
        <v>99.683528831289863</v>
      </c>
      <c r="U47">
        <f t="shared" si="14"/>
        <v>105.08391233370159</v>
      </c>
      <c r="V47">
        <f t="shared" si="15"/>
        <v>105.20161208311001</v>
      </c>
      <c r="W47">
        <f t="shared" si="16"/>
        <v>121.45622325022647</v>
      </c>
      <c r="X47">
        <f t="shared" si="17"/>
        <v>104.02322740057259</v>
      </c>
      <c r="Y47">
        <f t="shared" si="18"/>
        <v>108.10327361023754</v>
      </c>
      <c r="Z47">
        <f t="shared" si="19"/>
        <v>228.91394211404454</v>
      </c>
      <c r="AA47">
        <f t="shared" si="20"/>
        <v>89.487768211335691</v>
      </c>
      <c r="AC47">
        <f>'2026_Fantasy_Hitters'!F35</f>
        <v>142.97797489660098</v>
      </c>
      <c r="AD47">
        <f>'2026_Fantasy_Hitters'!G35</f>
        <v>86.592886864364786</v>
      </c>
      <c r="AE47">
        <f>'2026_Fantasy_Hitters'!H35</f>
        <v>33.988398239447235</v>
      </c>
      <c r="AF47">
        <f>'2026_Fantasy_Hitters'!I35</f>
        <v>7.1480088824874333</v>
      </c>
      <c r="AG47">
        <f>'2026_Fantasy_Hitters'!J35</f>
        <v>18.771874999999941</v>
      </c>
      <c r="AH47">
        <f>'2026_Fantasy_Hitters'!K35</f>
        <v>81.865131578947015</v>
      </c>
      <c r="AI47">
        <f>'2026_Fantasy_Hitters'!L35</f>
        <v>68.999999999999417</v>
      </c>
      <c r="AJ47">
        <f>'2026_Fantasy_Hitters'!M35</f>
        <v>49.409799999999997</v>
      </c>
      <c r="AK47">
        <f>'2026_Fantasy_Hitters'!N35</f>
        <v>1.0059811000000001</v>
      </c>
      <c r="AL47">
        <f>'2026_Fantasy_Hitters'!O35</f>
        <v>141.0061</v>
      </c>
      <c r="AM47">
        <f>'2026_Fantasy_Hitters'!P35</f>
        <v>6.9896353500000004</v>
      </c>
      <c r="AN47">
        <f>'2026_Fantasy_Hitters'!Q35</f>
        <v>2.9950654699999997</v>
      </c>
      <c r="AO47">
        <f>'2026_Fantasy_Hitters'!R35</f>
        <v>1.0008276699999998</v>
      </c>
      <c r="AP47">
        <f>'2026_Fantasy_Hitters'!S35</f>
        <v>23.299834610000001</v>
      </c>
      <c r="AQ47">
        <f>'2026_Fantasy_Hitters'!T35</f>
        <v>5.0649901000000002</v>
      </c>
      <c r="AR47">
        <f>'2026_Fantasy_Hitters'!U35</f>
        <v>18.234844510000002</v>
      </c>
      <c r="AS47">
        <f>'2026_Fantasy_Hitters'!V35</f>
        <v>0.26138569450932536</v>
      </c>
      <c r="AT47">
        <f>'2026_Fantasy_Hitters'!W35</f>
        <v>0.33374378975886632</v>
      </c>
      <c r="AU47">
        <f>'2026_Fantasy_Hitters'!X35</f>
        <v>0.45905157219510295</v>
      </c>
      <c r="AV47">
        <f>'2026_Fantasy_Hitters'!Y35</f>
        <v>0.79279536195396927</v>
      </c>
      <c r="AW47">
        <f>'2026_Fantasy_Hitters'!Z35</f>
        <v>0.31830000000000003</v>
      </c>
      <c r="AX47">
        <f>'2026_Fantasy_Hitters'!AA35</f>
        <v>0.23230000000000001</v>
      </c>
      <c r="AY47">
        <f>'2026_Fantasy_Hitters'!AB35</f>
        <v>8.14E-2</v>
      </c>
      <c r="AZ47">
        <f t="shared" si="21"/>
        <v>3.0925658978583098E-2</v>
      </c>
    </row>
    <row r="48" spans="1:52">
      <c r="A48" t="s">
        <v>235</v>
      </c>
      <c r="B48" t="s">
        <v>27</v>
      </c>
      <c r="C48" t="s">
        <v>34</v>
      </c>
      <c r="D48">
        <v>545</v>
      </c>
      <c r="E48">
        <v>621</v>
      </c>
      <c r="F48" s="6">
        <f t="shared" si="0"/>
        <v>5.0643929920412871</v>
      </c>
      <c r="G48" s="5">
        <f t="shared" si="1"/>
        <v>1.0501553848554033</v>
      </c>
      <c r="H48" s="5">
        <f t="shared" si="2"/>
        <v>0.9614163525040923</v>
      </c>
      <c r="I48" s="5">
        <f t="shared" si="3"/>
        <v>0.16981846446827326</v>
      </c>
      <c r="J48" s="5">
        <f t="shared" si="4"/>
        <v>0.9078978507667248</v>
      </c>
      <c r="K48" s="5">
        <f t="shared" si="5"/>
        <v>0.98164043704900339</v>
      </c>
      <c r="L48" s="5">
        <f t="shared" si="6"/>
        <v>3.1798624003384721E-2</v>
      </c>
      <c r="M48" s="5">
        <f t="shared" si="7"/>
        <v>0.84077758628660015</v>
      </c>
      <c r="N48" s="5">
        <f t="shared" si="8"/>
        <v>0.36109800199498893</v>
      </c>
      <c r="O48" s="5">
        <f t="shared" si="9"/>
        <v>-8.4362716007597385E-2</v>
      </c>
      <c r="P48" s="1">
        <f t="shared" si="10"/>
        <v>-0.15584699387958645</v>
      </c>
      <c r="R48">
        <f t="shared" si="11"/>
        <v>124.82661990661232</v>
      </c>
      <c r="S48">
        <f t="shared" si="12"/>
        <v>119.57663393233688</v>
      </c>
      <c r="T48">
        <f t="shared" si="13"/>
        <v>107.51206121811143</v>
      </c>
      <c r="U48">
        <f t="shared" si="14"/>
        <v>123.35937534825882</v>
      </c>
      <c r="V48">
        <f t="shared" si="15"/>
        <v>135.52666906403374</v>
      </c>
      <c r="W48">
        <f t="shared" si="16"/>
        <v>101.54606327217422</v>
      </c>
      <c r="X48">
        <f t="shared" si="17"/>
        <v>105.54900140461204</v>
      </c>
      <c r="Y48">
        <f t="shared" si="18"/>
        <v>103.97020766440971</v>
      </c>
      <c r="Z48">
        <f t="shared" si="19"/>
        <v>92.24290935461363</v>
      </c>
      <c r="AA48">
        <f t="shared" si="20"/>
        <v>94.339713378753842</v>
      </c>
      <c r="AC48">
        <f>'2026_Fantasy_Hitters'!F32</f>
        <v>144.54468344089597</v>
      </c>
      <c r="AD48">
        <f>'2026_Fantasy_Hitters'!G32</f>
        <v>91.258815002371918</v>
      </c>
      <c r="AE48">
        <f>'2026_Fantasy_Hitters'!H32</f>
        <v>30.763898703671753</v>
      </c>
      <c r="AF48">
        <f>'2026_Fantasy_Hitters'!I32</f>
        <v>2.2823133600138061</v>
      </c>
      <c r="AG48">
        <f>'2026_Fantasy_Hitters'!J32</f>
        <v>20.246102820000001</v>
      </c>
      <c r="AH48">
        <f>'2026_Fantasy_Hitters'!K32</f>
        <v>83.673701298700834</v>
      </c>
      <c r="AI48">
        <f>'2026_Fantasy_Hitters'!L32</f>
        <v>80.999999999999602</v>
      </c>
      <c r="AJ48">
        <f>'2026_Fantasy_Hitters'!M32</f>
        <v>63.652499999999378</v>
      </c>
      <c r="AK48">
        <f>'2026_Fantasy_Hitters'!N32</f>
        <v>2.4975315899999999</v>
      </c>
      <c r="AL48">
        <f>'2026_Fantasy_Hitters'!O32</f>
        <v>72.812249999999992</v>
      </c>
      <c r="AM48">
        <f>'2026_Fantasy_Hitters'!P32</f>
        <v>5.8438335599999993</v>
      </c>
      <c r="AN48">
        <f>'2026_Fantasy_Hitters'!Q32</f>
        <v>6.0487014600000002</v>
      </c>
      <c r="AO48">
        <f>'2026_Fantasy_Hitters'!R32</f>
        <v>0.90000288000000006</v>
      </c>
      <c r="AP48">
        <f>'2026_Fantasy_Hitters'!S32</f>
        <v>9.373271889400911</v>
      </c>
      <c r="AQ48">
        <f>'2026_Fantasy_Hitters'!T32</f>
        <v>2.02537908</v>
      </c>
      <c r="AR48">
        <f>'2026_Fantasy_Hitters'!U32</f>
        <v>7.3478928094009106</v>
      </c>
      <c r="AS48">
        <f>'2026_Fantasy_Hitters'!V32</f>
        <v>0.26521960264384581</v>
      </c>
      <c r="AT48">
        <f>'2026_Fantasy_Hitters'!W32</f>
        <v>0.35084088316388934</v>
      </c>
      <c r="AU48">
        <f>'2026_Fantasy_Hitters'!X32</f>
        <v>0.4415008509536823</v>
      </c>
      <c r="AV48">
        <f>'2026_Fantasy_Hitters'!Y32</f>
        <v>0.79234173411757158</v>
      </c>
      <c r="AW48">
        <f>'2026_Fantasy_Hitters'!Z32</f>
        <v>0.27139999999999997</v>
      </c>
      <c r="AX48">
        <f>'2026_Fantasy_Hitters'!AA32</f>
        <v>0.11724999999999999</v>
      </c>
      <c r="AY48">
        <f>'2026_Fantasy_Hitters'!AB32</f>
        <v>0.10249999999999899</v>
      </c>
      <c r="AZ48">
        <f t="shared" si="21"/>
        <v>3.260242E-2</v>
      </c>
    </row>
    <row r="49" spans="1:52">
      <c r="A49" t="s">
        <v>182</v>
      </c>
      <c r="B49" t="s">
        <v>130</v>
      </c>
      <c r="C49" t="s">
        <v>49</v>
      </c>
      <c r="D49">
        <v>566</v>
      </c>
      <c r="E49">
        <v>624</v>
      </c>
      <c r="F49" s="6">
        <f t="shared" si="0"/>
        <v>5.037091038162794</v>
      </c>
      <c r="G49" s="5">
        <f t="shared" si="1"/>
        <v>0.72387972051718008</v>
      </c>
      <c r="H49" s="5">
        <f t="shared" si="2"/>
        <v>1.0979173925709576</v>
      </c>
      <c r="I49" s="5">
        <f t="shared" si="3"/>
        <v>1.0961377916744752</v>
      </c>
      <c r="J49" s="5">
        <f t="shared" si="4"/>
        <v>1.2630497618369656</v>
      </c>
      <c r="K49" s="5">
        <f t="shared" si="5"/>
        <v>0.23614990682677686</v>
      </c>
      <c r="L49" s="5">
        <f t="shared" si="6"/>
        <v>-1.3378107753988404</v>
      </c>
      <c r="M49" s="5">
        <f t="shared" si="7"/>
        <v>0.6053560135307654</v>
      </c>
      <c r="N49" s="5">
        <f t="shared" si="8"/>
        <v>0.75246811009841541</v>
      </c>
      <c r="O49" s="5">
        <f t="shared" si="9"/>
        <v>-0.21695576683920204</v>
      </c>
      <c r="P49" s="1">
        <f t="shared" si="10"/>
        <v>0.8168988833453007</v>
      </c>
      <c r="R49">
        <f t="shared" si="11"/>
        <v>117.1131690972182</v>
      </c>
      <c r="S49">
        <f t="shared" si="12"/>
        <v>122.35610703554778</v>
      </c>
      <c r="T49">
        <f t="shared" si="13"/>
        <v>148.48856819149034</v>
      </c>
      <c r="U49">
        <f t="shared" si="14"/>
        <v>132.49710685553706</v>
      </c>
      <c r="V49">
        <f t="shared" si="15"/>
        <v>108.5465301475945</v>
      </c>
      <c r="W49">
        <f t="shared" si="16"/>
        <v>34.955043817527255</v>
      </c>
      <c r="X49">
        <f t="shared" si="17"/>
        <v>103.99525561118791</v>
      </c>
      <c r="Y49">
        <f t="shared" si="18"/>
        <v>108.27325169741071</v>
      </c>
      <c r="Z49">
        <f t="shared" si="19"/>
        <v>80.051074348300489</v>
      </c>
      <c r="AA49">
        <f t="shared" si="20"/>
        <v>129.66936804621997</v>
      </c>
      <c r="AC49">
        <f>'2026_Fantasy_Hitters'!F25</f>
        <v>147.90452094948014</v>
      </c>
      <c r="AD49">
        <f>'2026_Fantasy_Hitters'!G25</f>
        <v>93.496557765693453</v>
      </c>
      <c r="AE49">
        <f>'2026_Fantasy_Hitters'!H25</f>
        <v>27.219388358523958</v>
      </c>
      <c r="AF49">
        <f>'2026_Fantasy_Hitters'!I25</f>
        <v>0.14868842355667566</v>
      </c>
      <c r="AG49">
        <f>'2026_Fantasy_Hitters'!J25</f>
        <v>27.962581919999998</v>
      </c>
      <c r="AH49">
        <f>'2026_Fantasy_Hitters'!K25</f>
        <v>78.503225806451468</v>
      </c>
      <c r="AI49">
        <f>'2026_Fantasy_Hitters'!L25</f>
        <v>86.999999999999432</v>
      </c>
      <c r="AJ49">
        <f>'2026_Fantasy_Hitters'!M25</f>
        <v>50.980799999999995</v>
      </c>
      <c r="AK49">
        <f>'2026_Fantasy_Hitters'!N25</f>
        <v>3.9107015999999999</v>
      </c>
      <c r="AL49">
        <f>'2026_Fantasy_Hitters'!O25</f>
        <v>122.11679999999939</v>
      </c>
      <c r="AM49">
        <f>'2026_Fantasy_Hitters'!P25</f>
        <v>2.0116137599999999</v>
      </c>
      <c r="AN49">
        <f>'2026_Fantasy_Hitters'!Q25</f>
        <v>6.0387100800000004</v>
      </c>
      <c r="AO49">
        <f>'2026_Fantasy_Hitters'!R25</f>
        <v>0</v>
      </c>
      <c r="AP49">
        <f>'2026_Fantasy_Hitters'!S25</f>
        <v>9.4145962732918509</v>
      </c>
      <c r="AQ49">
        <f>'2026_Fantasy_Hitters'!T25</f>
        <v>3.0378816</v>
      </c>
      <c r="AR49">
        <f>'2026_Fantasy_Hitters'!U25</f>
        <v>6.3767146732918505</v>
      </c>
      <c r="AS49">
        <f>'2026_Fantasy_Hitters'!V25</f>
        <v>0.26131540803795078</v>
      </c>
      <c r="AT49">
        <f>'2026_Fantasy_Hitters'!W25</f>
        <v>0.32668330939204882</v>
      </c>
      <c r="AU49">
        <f>'2026_Fantasy_Hitters'!X25</f>
        <v>0.459773370023695</v>
      </c>
      <c r="AV49">
        <f>'2026_Fantasy_Hitters'!Y25</f>
        <v>0.78645667941574382</v>
      </c>
      <c r="AW49">
        <f>'2026_Fantasy_Hitters'!Z25</f>
        <v>0.28425</v>
      </c>
      <c r="AX49">
        <f>'2026_Fantasy_Hitters'!AA25</f>
        <v>0.19569999999999901</v>
      </c>
      <c r="AY49">
        <f>'2026_Fantasy_Hitters'!AB25</f>
        <v>8.1699999999999995E-2</v>
      </c>
      <c r="AZ49">
        <f t="shared" si="21"/>
        <v>4.4811829999999997E-2</v>
      </c>
    </row>
    <row r="50" spans="1:52" s="10" customFormat="1">
      <c r="A50" s="10" t="s">
        <v>500</v>
      </c>
      <c r="B50" s="10" t="s">
        <v>27</v>
      </c>
      <c r="C50" s="10" t="s">
        <v>87</v>
      </c>
      <c r="D50" s="10">
        <v>429</v>
      </c>
      <c r="E50" s="10">
        <v>501</v>
      </c>
      <c r="F50" s="11">
        <f t="shared" si="0"/>
        <v>4.9484940546768321</v>
      </c>
      <c r="G50" s="11">
        <f t="shared" si="1"/>
        <v>0.37660631042272114</v>
      </c>
      <c r="H50" s="11">
        <f t="shared" si="2"/>
        <v>-0.24827246322791746</v>
      </c>
      <c r="I50" s="11">
        <f t="shared" si="3"/>
        <v>0.57243479645427542</v>
      </c>
      <c r="J50" s="11">
        <f t="shared" si="4"/>
        <v>0.19759402862623118</v>
      </c>
      <c r="K50" s="11">
        <f t="shared" si="5"/>
        <v>0.57339352176760794</v>
      </c>
      <c r="L50" s="11">
        <f t="shared" si="6"/>
        <v>1.1240516196349652</v>
      </c>
      <c r="M50" s="11">
        <f t="shared" si="7"/>
        <v>0.97995667939445086</v>
      </c>
      <c r="N50" s="11">
        <f t="shared" si="8"/>
        <v>1.2918554500173338</v>
      </c>
      <c r="O50" s="11">
        <f t="shared" si="9"/>
        <v>-0.91878873271274508</v>
      </c>
      <c r="P50" s="10">
        <f t="shared" si="10"/>
        <v>0.99966284429990881</v>
      </c>
      <c r="R50" s="10">
        <f t="shared" si="11"/>
        <v>108.90331265080731</v>
      </c>
      <c r="S50" s="10">
        <f t="shared" si="12"/>
        <v>94.94460530504476</v>
      </c>
      <c r="T50" s="10">
        <f t="shared" si="13"/>
        <v>125.3221300039786</v>
      </c>
      <c r="U50" s="10">
        <f t="shared" si="14"/>
        <v>105.08391233370205</v>
      </c>
      <c r="V50" s="10">
        <f t="shared" si="15"/>
        <v>120.75175504437949</v>
      </c>
      <c r="W50" s="10">
        <f t="shared" si="16"/>
        <v>154.65189075353084</v>
      </c>
      <c r="X50" s="10">
        <f t="shared" si="17"/>
        <v>106.46756178936144</v>
      </c>
      <c r="Y50" s="10">
        <f t="shared" si="18"/>
        <v>114.20371860445671</v>
      </c>
      <c r="Z50" s="10">
        <f t="shared" si="19"/>
        <v>15.518041370662004</v>
      </c>
      <c r="AA50" s="10">
        <f t="shared" si="20"/>
        <v>136.307265751431</v>
      </c>
      <c r="AC50" s="10">
        <f>'2026_Fantasy_Hitters'!F72</f>
        <v>114.76939488030882</v>
      </c>
      <c r="AD50" s="10">
        <f>'2026_Fantasy_Hitters'!G72</f>
        <v>68.525691318965755</v>
      </c>
      <c r="AE50" s="10">
        <f>'2026_Fantasy_Hitters'!H72</f>
        <v>20.810405172787849</v>
      </c>
      <c r="AF50" s="10">
        <f>'2026_Fantasy_Hitters'!I72</f>
        <v>1.166626261974024</v>
      </c>
      <c r="AG50" s="10">
        <f>'2026_Fantasy_Hitters'!J72</f>
        <v>23.600000789999999</v>
      </c>
      <c r="AH50" s="10">
        <f>'2026_Fantasy_Hitters'!K72</f>
        <v>72.999999999999829</v>
      </c>
      <c r="AI50" s="10">
        <f>'2026_Fantasy_Hitters'!L72</f>
        <v>68.999999999999716</v>
      </c>
      <c r="AJ50" s="10">
        <f>'2026_Fantasy_Hitters'!M72</f>
        <v>56.713199999999496</v>
      </c>
      <c r="AK50" s="10">
        <f>'2026_Fantasy_Hitters'!N72</f>
        <v>2.8544975999999997</v>
      </c>
      <c r="AL50" s="10">
        <f>'2026_Fantasy_Hitters'!O72</f>
        <v>96.6428999999995</v>
      </c>
      <c r="AM50" s="10">
        <f>'2026_Fantasy_Hitters'!P72</f>
        <v>8.8999994700000009</v>
      </c>
      <c r="AN50" s="10">
        <f>'2026_Fantasy_Hitters'!Q72</f>
        <v>6.0000010499999998</v>
      </c>
      <c r="AO50" s="10">
        <f>'2026_Fantasy_Hitters'!R72</f>
        <v>0</v>
      </c>
      <c r="AP50" s="10">
        <f>'2026_Fantasy_Hitters'!S72</f>
        <v>2.2514990099999999</v>
      </c>
      <c r="AQ50" s="10">
        <f>'2026_Fantasy_Hitters'!T72</f>
        <v>1.0153616699999999</v>
      </c>
      <c r="AR50" s="10">
        <f>'2026_Fantasy_Hitters'!U72</f>
        <v>1.23613734</v>
      </c>
      <c r="AS50" s="10">
        <f>'2026_Fantasy_Hitters'!V72</f>
        <v>0.26752772699372684</v>
      </c>
      <c r="AT50" s="10">
        <f>'2026_Fantasy_Hitters'!W72</f>
        <v>0.37049951391989988</v>
      </c>
      <c r="AU50" s="10">
        <f>'2026_Fantasy_Hitters'!X72</f>
        <v>0.48495660515259564</v>
      </c>
      <c r="AV50" s="10">
        <f>'2026_Fantasy_Hitters'!Y72</f>
        <v>0.85545611907249552</v>
      </c>
      <c r="AW50" s="10">
        <f>'2026_Fantasy_Hitters'!Z72</f>
        <v>0.28964999999999902</v>
      </c>
      <c r="AX50" s="10">
        <f>'2026_Fantasy_Hitters'!AA72</f>
        <v>0.19289999999999899</v>
      </c>
      <c r="AY50" s="10">
        <f>'2026_Fantasy_Hitters'!AB72</f>
        <v>0.113199999999999</v>
      </c>
      <c r="AZ50" s="10">
        <f t="shared" si="21"/>
        <v>4.7105790000000002E-2</v>
      </c>
    </row>
    <row r="51" spans="1:52">
      <c r="A51" t="s">
        <v>206</v>
      </c>
      <c r="B51" t="s">
        <v>66</v>
      </c>
      <c r="C51" t="s">
        <v>124</v>
      </c>
      <c r="D51">
        <v>576</v>
      </c>
      <c r="E51">
        <v>666</v>
      </c>
      <c r="F51" s="6">
        <f t="shared" si="0"/>
        <v>4.8536365931296386</v>
      </c>
      <c r="G51" s="5">
        <f t="shared" si="1"/>
        <v>0.86422510803483743</v>
      </c>
      <c r="H51" s="5">
        <f t="shared" si="2"/>
        <v>0.67762847098395651</v>
      </c>
      <c r="I51" s="5">
        <f t="shared" si="3"/>
        <v>0.92209102162448342</v>
      </c>
      <c r="J51" s="5">
        <f t="shared" si="4"/>
        <v>1.5590096877288684</v>
      </c>
      <c r="K51" s="5">
        <f t="shared" si="5"/>
        <v>1.9817756645900175</v>
      </c>
      <c r="L51" s="5">
        <f t="shared" si="6"/>
        <v>6.9417141693535203E-2</v>
      </c>
      <c r="M51" s="5">
        <f t="shared" si="7"/>
        <v>-0.75119229837453005</v>
      </c>
      <c r="N51" s="5">
        <f t="shared" si="8"/>
        <v>6.4398423177509406E-2</v>
      </c>
      <c r="O51" s="5">
        <f t="shared" si="9"/>
        <v>-0.95202298705902211</v>
      </c>
      <c r="P51" s="1">
        <f t="shared" si="10"/>
        <v>0.41830636072998179</v>
      </c>
      <c r="R51">
        <f t="shared" si="11"/>
        <v>120.43106056527638</v>
      </c>
      <c r="S51">
        <f t="shared" si="12"/>
        <v>113.79806416234806</v>
      </c>
      <c r="T51">
        <f t="shared" si="13"/>
        <v>140.78946435420207</v>
      </c>
      <c r="U51">
        <f t="shared" si="14"/>
        <v>140.11188311160316</v>
      </c>
      <c r="V51">
        <f t="shared" si="15"/>
        <v>171.72268535177574</v>
      </c>
      <c r="W51">
        <f t="shared" si="16"/>
        <v>103.37509236941402</v>
      </c>
      <c r="X51">
        <f t="shared" si="17"/>
        <v>95.042247573196988</v>
      </c>
      <c r="Y51">
        <f t="shared" si="18"/>
        <v>100.70804909432528</v>
      </c>
      <c r="Z51">
        <f t="shared" si="19"/>
        <v>12.462175750206157</v>
      </c>
      <c r="AA51">
        <f t="shared" si="20"/>
        <v>115.19268250404339</v>
      </c>
      <c r="AC51">
        <f>'2026_Fantasy_Hitters'!F28</f>
        <v>137.55952663662598</v>
      </c>
      <c r="AD51">
        <f>'2026_Fantasy_Hitters'!G28</f>
        <v>82.990190013755509</v>
      </c>
      <c r="AE51">
        <f>'2026_Fantasy_Hitters'!H28</f>
        <v>27.171880981728641</v>
      </c>
      <c r="AF51">
        <f>'2026_Fantasy_Hitters'!I28</f>
        <v>0.98019899218177398</v>
      </c>
      <c r="AG51">
        <f>'2026_Fantasy_Hitters'!J28</f>
        <v>26.512727399999999</v>
      </c>
      <c r="AH51">
        <f>'2026_Fantasy_Hitters'!K28</f>
        <v>80.727272727272577</v>
      </c>
      <c r="AI51">
        <f>'2026_Fantasy_Hitters'!L28</f>
        <v>91.999999999999901</v>
      </c>
      <c r="AJ51">
        <f>'2026_Fantasy_Hitters'!M28</f>
        <v>80.652599999999339</v>
      </c>
      <c r="AK51">
        <f>'2026_Fantasy_Hitters'!N28</f>
        <v>3.9179914199999999</v>
      </c>
      <c r="AL51">
        <f>'2026_Fantasy_Hitters'!O28</f>
        <v>159.84</v>
      </c>
      <c r="AM51">
        <f>'2026_Fantasy_Hitters'!P28</f>
        <v>5.9490916200000008</v>
      </c>
      <c r="AN51">
        <f>'2026_Fantasy_Hitters'!Q28</f>
        <v>5.0454561599999996</v>
      </c>
      <c r="AO51">
        <f>'2026_Fantasy_Hitters'!R28</f>
        <v>0.89999910000000005</v>
      </c>
      <c r="AP51">
        <f>'2026_Fantasy_Hitters'!S28</f>
        <v>0.99271295999999998</v>
      </c>
      <c r="AQ51">
        <f>'2026_Fantasy_Hitters'!T28</f>
        <v>0</v>
      </c>
      <c r="AR51">
        <f>'2026_Fantasy_Hitters'!U28</f>
        <v>0.99271295999999998</v>
      </c>
      <c r="AS51">
        <f>'2026_Fantasy_Hitters'!V28</f>
        <v>0.23881862263303122</v>
      </c>
      <c r="AT51">
        <f>'2026_Fantasy_Hitters'!W28</f>
        <v>0.34265882036026607</v>
      </c>
      <c r="AU51">
        <f>'2026_Fantasy_Hitters'!X28</f>
        <v>0.42764836554471891</v>
      </c>
      <c r="AV51">
        <f>'2026_Fantasy_Hitters'!Y28</f>
        <v>0.77030718590498504</v>
      </c>
      <c r="AW51">
        <f>'2026_Fantasy_Hitters'!Z28</f>
        <v>0.28134999999999999</v>
      </c>
      <c r="AX51">
        <f>'2026_Fantasy_Hitters'!AA28</f>
        <v>0.24</v>
      </c>
      <c r="AY51">
        <f>'2026_Fantasy_Hitters'!AB28</f>
        <v>0.121099999999999</v>
      </c>
      <c r="AZ51">
        <f t="shared" si="21"/>
        <v>3.9808900000000001E-2</v>
      </c>
    </row>
    <row r="52" spans="1:52" s="10" customFormat="1">
      <c r="A52" s="10" t="s">
        <v>576</v>
      </c>
      <c r="B52" s="10" t="s">
        <v>243</v>
      </c>
      <c r="C52" s="10" t="s">
        <v>49</v>
      </c>
      <c r="D52" s="10">
        <v>531</v>
      </c>
      <c r="E52" s="10">
        <v>612</v>
      </c>
      <c r="F52" s="11">
        <f t="shared" si="0"/>
        <v>4.4791139688231905</v>
      </c>
      <c r="G52" s="11">
        <f t="shared" si="1"/>
        <v>0.95772462111515999</v>
      </c>
      <c r="H52" s="11">
        <f t="shared" si="2"/>
        <v>0.24992859326507821</v>
      </c>
      <c r="I52" s="11">
        <f t="shared" si="3"/>
        <v>0.86645364979153017</v>
      </c>
      <c r="J52" s="11">
        <f t="shared" si="4"/>
        <v>0.49355395451810308</v>
      </c>
      <c r="K52" s="11">
        <f t="shared" si="5"/>
        <v>1.2910157419630901</v>
      </c>
      <c r="L52" s="11">
        <f t="shared" si="6"/>
        <v>0.47861031024952366</v>
      </c>
      <c r="M52" s="11">
        <f t="shared" si="7"/>
        <v>-0.72627407711028324</v>
      </c>
      <c r="N52" s="11">
        <f t="shared" si="8"/>
        <v>0.46720734976898615</v>
      </c>
      <c r="O52" s="11">
        <f t="shared" si="9"/>
        <v>-0.23692751877780624</v>
      </c>
      <c r="P52" s="10">
        <f t="shared" si="10"/>
        <v>0.63782134403980839</v>
      </c>
      <c r="R52" s="10">
        <f t="shared" si="11"/>
        <v>122.64147333482869</v>
      </c>
      <c r="S52" s="10">
        <f t="shared" si="12"/>
        <v>105.08911728704301</v>
      </c>
      <c r="T52" s="10">
        <f t="shared" si="13"/>
        <v>138.3282988706215</v>
      </c>
      <c r="U52" s="10">
        <f t="shared" si="14"/>
        <v>112.69868858976736</v>
      </c>
      <c r="V52" s="10">
        <f t="shared" si="15"/>
        <v>146.72330854570444</v>
      </c>
      <c r="W52" s="10">
        <f t="shared" si="16"/>
        <v>123.27024660821618</v>
      </c>
      <c r="X52" s="10">
        <f t="shared" si="17"/>
        <v>95.206703961011073</v>
      </c>
      <c r="Y52" s="10">
        <f t="shared" si="18"/>
        <v>105.13686088173684</v>
      </c>
      <c r="Z52" s="10">
        <f t="shared" si="19"/>
        <v>78.214686220149517</v>
      </c>
      <c r="AA52" s="10">
        <f t="shared" si="20"/>
        <v>123.16535937294552</v>
      </c>
      <c r="AC52" s="10">
        <f>'2026_Fantasy_Hitters'!F84</f>
        <v>127.03211900022382</v>
      </c>
      <c r="AD52" s="10">
        <f>'2026_Fantasy_Hitters'!G84</f>
        <v>71.427279091405708</v>
      </c>
      <c r="AE52" s="10">
        <f>'2026_Fantasy_Hitters'!H84</f>
        <v>27.518499251338792</v>
      </c>
      <c r="AF52" s="10">
        <f>'2026_Fantasy_Hitters'!I84</f>
        <v>2.1354281014364669</v>
      </c>
      <c r="AG52" s="10">
        <f>'2026_Fantasy_Hitters'!J84</f>
        <v>26.049253731343249</v>
      </c>
      <c r="AH52" s="10">
        <f>'2026_Fantasy_Hitters'!K84</f>
        <v>82.208955223880466</v>
      </c>
      <c r="AI52" s="10">
        <f>'2026_Fantasy_Hitters'!L84</f>
        <v>73.999999999999659</v>
      </c>
      <c r="AJ52" s="10">
        <f>'2026_Fantasy_Hitters'!M84</f>
        <v>68.911199999999397</v>
      </c>
      <c r="AK52" s="10">
        <f>'2026_Fantasy_Hitters'!N84</f>
        <v>0.93527676000000004</v>
      </c>
      <c r="AL52" s="10">
        <f>'2026_Fantasy_Hitters'!O84</f>
        <v>151.1028</v>
      </c>
      <c r="AM52" s="10">
        <f>'2026_Fantasy_Hitters'!P84</f>
        <v>7.0940298507462352</v>
      </c>
      <c r="AN52" s="10">
        <f>'2026_Fantasy_Hitters'!Q84</f>
        <v>5.07462444</v>
      </c>
      <c r="AO52" s="10">
        <f>'2026_Fantasy_Hitters'!R84</f>
        <v>0</v>
      </c>
      <c r="AP52" s="10">
        <f>'2026_Fantasy_Hitters'!S84</f>
        <v>9.2544642857142332</v>
      </c>
      <c r="AQ52" s="10">
        <f>'2026_Fantasy_Hitters'!T84</f>
        <v>3.0240327599999999</v>
      </c>
      <c r="AR52" s="10">
        <f>'2026_Fantasy_Hitters'!U84</f>
        <v>6.2304315257142333</v>
      </c>
      <c r="AS52" s="10">
        <f>'2026_Fantasy_Hitters'!V84</f>
        <v>0.23923186252396197</v>
      </c>
      <c r="AT52" s="10">
        <f>'2026_Fantasy_Hitters'!W84</f>
        <v>0.33663231930198645</v>
      </c>
      <c r="AU52" s="10">
        <f>'2026_Fantasy_Hitters'!X84</f>
        <v>0.44645494693741183</v>
      </c>
      <c r="AV52" s="10">
        <f>'2026_Fantasy_Hitters'!Y84</f>
        <v>0.78308726623939828</v>
      </c>
      <c r="AW52" s="10">
        <f>'2026_Fantasy_Hitters'!Z84</f>
        <v>0.28134999999999999</v>
      </c>
      <c r="AX52" s="10">
        <f>'2026_Fantasy_Hitters'!AA84</f>
        <v>0.24690000000000001</v>
      </c>
      <c r="AY52" s="10">
        <f>'2026_Fantasy_Hitters'!AB84</f>
        <v>0.11259999999999901</v>
      </c>
      <c r="AZ52" s="10">
        <f t="shared" si="21"/>
        <v>4.2564140083894197E-2</v>
      </c>
    </row>
    <row r="53" spans="1:52">
      <c r="A53" t="s">
        <v>375</v>
      </c>
      <c r="B53" t="s">
        <v>376</v>
      </c>
      <c r="C53" t="s">
        <v>87</v>
      </c>
      <c r="D53">
        <v>514</v>
      </c>
      <c r="E53">
        <v>558</v>
      </c>
      <c r="F53" s="6">
        <f t="shared" si="0"/>
        <v>4.4755553093327132</v>
      </c>
      <c r="G53" s="5">
        <f t="shared" si="1"/>
        <v>0.17950774188220178</v>
      </c>
      <c r="H53" s="5">
        <f t="shared" si="2"/>
        <v>0.44858460005320422</v>
      </c>
      <c r="I53" s="5">
        <f t="shared" si="3"/>
        <v>1.1390613331443977</v>
      </c>
      <c r="J53" s="5">
        <f t="shared" si="4"/>
        <v>1.2038577766586187</v>
      </c>
      <c r="K53" s="5">
        <f t="shared" si="5"/>
        <v>-0.77046262899785345</v>
      </c>
      <c r="L53" s="5">
        <f t="shared" si="6"/>
        <v>0.11212917761428483</v>
      </c>
      <c r="M53" s="5">
        <f t="shared" si="7"/>
        <v>0.32447220733680143</v>
      </c>
      <c r="N53" s="5">
        <f t="shared" si="8"/>
        <v>1.508599601219698</v>
      </c>
      <c r="O53" s="5">
        <f t="shared" si="9"/>
        <v>-0.96043320737887528</v>
      </c>
      <c r="P53" s="1">
        <f t="shared" si="10"/>
        <v>1.2902387078002346</v>
      </c>
      <c r="R53">
        <f t="shared" si="11"/>
        <v>104.24372482612876</v>
      </c>
      <c r="S53">
        <f t="shared" si="12"/>
        <v>109.13420754707622</v>
      </c>
      <c r="T53">
        <f t="shared" si="13"/>
        <v>150.38732679957116</v>
      </c>
      <c r="U53">
        <f t="shared" si="14"/>
        <v>130.9741516043247</v>
      </c>
      <c r="V53">
        <f t="shared" si="15"/>
        <v>72.116092803900955</v>
      </c>
      <c r="W53">
        <f t="shared" si="16"/>
        <v>105.45177059328398</v>
      </c>
      <c r="X53">
        <f t="shared" si="17"/>
        <v>102.14146614233809</v>
      </c>
      <c r="Y53">
        <f t="shared" si="18"/>
        <v>116.5867816110794</v>
      </c>
      <c r="Z53">
        <f t="shared" si="19"/>
        <v>11.688862082081769</v>
      </c>
      <c r="AA53">
        <f t="shared" si="20"/>
        <v>146.86083904588139</v>
      </c>
      <c r="AC53">
        <f>'2026_Fantasy_Hitters'!F54</f>
        <v>131.92183927330998</v>
      </c>
      <c r="AD53">
        <f>'2026_Fantasy_Hitters'!G54</f>
        <v>72.721811680141172</v>
      </c>
      <c r="AE53">
        <f>'2026_Fantasy_Hitters'!H54</f>
        <v>29.674111447402844</v>
      </c>
      <c r="AF53">
        <f>'2026_Fantasy_Hitters'!I54</f>
        <v>3.0394961132908471</v>
      </c>
      <c r="AG53">
        <f>'2026_Fantasy_Hitters'!J54</f>
        <v>28.320146099999999</v>
      </c>
      <c r="AH53">
        <f>'2026_Fantasy_Hitters'!K54</f>
        <v>69.876588021778318</v>
      </c>
      <c r="AI53">
        <f>'2026_Fantasy_Hitters'!L54</f>
        <v>85.999999999999915</v>
      </c>
      <c r="AJ53">
        <f>'2026_Fantasy_Hitters'!M54</f>
        <v>33.870599999999996</v>
      </c>
      <c r="AK53">
        <f>'2026_Fantasy_Hitters'!N54</f>
        <v>0</v>
      </c>
      <c r="AL53">
        <f>'2026_Fantasy_Hitters'!O54</f>
        <v>143.37810000000002</v>
      </c>
      <c r="AM53">
        <f>'2026_Fantasy_Hitters'!P54</f>
        <v>6.0686015400000004</v>
      </c>
      <c r="AN53">
        <f>'2026_Fantasy_Hitters'!Q54</f>
        <v>5.0635207800000002</v>
      </c>
      <c r="AO53">
        <f>'2026_Fantasy_Hitters'!R54</f>
        <v>0</v>
      </c>
      <c r="AP53">
        <f>'2026_Fantasy_Hitters'!S54</f>
        <v>1.9785564</v>
      </c>
      <c r="AQ53">
        <f>'2026_Fantasy_Hitters'!T54</f>
        <v>1.04744412</v>
      </c>
      <c r="AR53">
        <f>'2026_Fantasy_Hitters'!U54</f>
        <v>0.93111228000000001</v>
      </c>
      <c r="AS53">
        <f>'2026_Fantasy_Hitters'!V54</f>
        <v>0.25665727485079765</v>
      </c>
      <c r="AT53">
        <f>'2026_Fantasy_Hitters'!W54</f>
        <v>0.31081648672878631</v>
      </c>
      <c r="AU53">
        <f>'2026_Fantasy_Hitters'!X54</f>
        <v>0.49507608427007671</v>
      </c>
      <c r="AV53">
        <f>'2026_Fantasy_Hitters'!Y54</f>
        <v>0.80589257099886302</v>
      </c>
      <c r="AW53">
        <f>'2026_Fantasy_Hitters'!Z54</f>
        <v>0.29825000000000002</v>
      </c>
      <c r="AX53">
        <f>'2026_Fantasy_Hitters'!AA54</f>
        <v>0.25695000000000001</v>
      </c>
      <c r="AY53">
        <f>'2026_Fantasy_Hitters'!AB54</f>
        <v>6.0699999999999997E-2</v>
      </c>
      <c r="AZ53">
        <f t="shared" si="21"/>
        <v>5.0752949999999998E-2</v>
      </c>
    </row>
    <row r="54" spans="1:52">
      <c r="A54" t="s">
        <v>556</v>
      </c>
      <c r="B54" t="s">
        <v>214</v>
      </c>
      <c r="C54" t="s">
        <v>20</v>
      </c>
      <c r="D54">
        <v>515</v>
      </c>
      <c r="E54">
        <v>566</v>
      </c>
      <c r="F54" s="6">
        <f t="shared" si="0"/>
        <v>4.3747101830486752</v>
      </c>
      <c r="G54" s="5">
        <f t="shared" si="1"/>
        <v>0.31463359037198518</v>
      </c>
      <c r="H54" s="5">
        <f t="shared" si="2"/>
        <v>3.8190959697853716E-2</v>
      </c>
      <c r="I54" s="5">
        <f t="shared" si="3"/>
        <v>1.3871869697654386</v>
      </c>
      <c r="J54" s="5">
        <f t="shared" si="4"/>
        <v>1.0262818365134143</v>
      </c>
      <c r="K54" s="5">
        <f t="shared" si="5"/>
        <v>-0.4521979391459468</v>
      </c>
      <c r="L54" s="5">
        <f t="shared" si="6"/>
        <v>0.83928942778833227</v>
      </c>
      <c r="M54" s="5">
        <f t="shared" si="7"/>
        <v>-0.88832227319728707</v>
      </c>
      <c r="N54" s="5">
        <f t="shared" si="8"/>
        <v>0.83178372851293558</v>
      </c>
      <c r="O54" s="5">
        <f t="shared" si="9"/>
        <v>-0.24617177157055997</v>
      </c>
      <c r="P54" s="1">
        <f t="shared" si="10"/>
        <v>1.5240356543125095</v>
      </c>
      <c r="R54">
        <f t="shared" si="11"/>
        <v>107.43822168668264</v>
      </c>
      <c r="S54">
        <f t="shared" si="12"/>
        <v>100.77765521210688</v>
      </c>
      <c r="T54">
        <f t="shared" si="13"/>
        <v>161.36337100016127</v>
      </c>
      <c r="U54">
        <f t="shared" si="14"/>
        <v>126.40528624665394</v>
      </c>
      <c r="V54">
        <f t="shared" si="15"/>
        <v>83.634449102594928</v>
      </c>
      <c r="W54">
        <f t="shared" si="16"/>
        <v>140.8066260631137</v>
      </c>
      <c r="X54">
        <f t="shared" si="17"/>
        <v>94.137211050676626</v>
      </c>
      <c r="Y54">
        <f t="shared" si="18"/>
        <v>109.14531267364703</v>
      </c>
      <c r="Z54">
        <f t="shared" si="19"/>
        <v>77.364683870109019</v>
      </c>
      <c r="AA54">
        <f t="shared" si="20"/>
        <v>155.35222983558208</v>
      </c>
      <c r="AC54">
        <f>'2026_Fantasy_Hitters'!F81</f>
        <v>121.82040747854215</v>
      </c>
      <c r="AD54">
        <f>'2026_Fantasy_Hitters'!G81</f>
        <v>67.203483422228473</v>
      </c>
      <c r="AE54">
        <f>'2026_Fantasy_Hitters'!H81</f>
        <v>23.11230911346475</v>
      </c>
      <c r="AF54">
        <f>'2026_Fantasy_Hitters'!I81</f>
        <v>1.2379704603758113</v>
      </c>
      <c r="AG54">
        <f>'2026_Fantasy_Hitters'!J81</f>
        <v>30.387096699999997</v>
      </c>
      <c r="AH54">
        <f>'2026_Fantasy_Hitters'!K81</f>
        <v>72.017921146953043</v>
      </c>
      <c r="AI54">
        <f>'2026_Fantasy_Hitters'!L81</f>
        <v>83.000000259999993</v>
      </c>
      <c r="AJ54">
        <f>'2026_Fantasy_Hitters'!M81</f>
        <v>39.2804</v>
      </c>
      <c r="AK54">
        <f>'2026_Fantasy_Hitters'!N81</f>
        <v>0.95729843999999997</v>
      </c>
      <c r="AL54">
        <f>'2026_Fantasy_Hitters'!O81</f>
        <v>153.10299999999944</v>
      </c>
      <c r="AM54">
        <f>'2026_Fantasy_Hitters'!P81</f>
        <v>8.1032238999999997</v>
      </c>
      <c r="AN54">
        <f>'2026_Fantasy_Hitters'!Q81</f>
        <v>3.0430084400000004</v>
      </c>
      <c r="AO54">
        <f>'2026_Fantasy_Hitters'!R81</f>
        <v>0</v>
      </c>
      <c r="AP54">
        <f>'2026_Fantasy_Hitters'!S81</f>
        <v>9.3355481727574219</v>
      </c>
      <c r="AQ54">
        <f>'2026_Fantasy_Hitters'!T81</f>
        <v>3.1728261999999998</v>
      </c>
      <c r="AR54">
        <f>'2026_Fantasy_Hitters'!U81</f>
        <v>6.1627219727574225</v>
      </c>
      <c r="AS54">
        <f>'2026_Fantasy_Hitters'!V81</f>
        <v>0.23654448054085855</v>
      </c>
      <c r="AT54">
        <f>'2026_Fantasy_Hitters'!W81</f>
        <v>0.30479528975576359</v>
      </c>
      <c r="AU54">
        <f>'2026_Fantasy_Hitters'!X81</f>
        <v>0.46347650452482603</v>
      </c>
      <c r="AV54">
        <f>'2026_Fantasy_Hitters'!Y81</f>
        <v>0.76827179428058967</v>
      </c>
      <c r="AW54">
        <f>'2026_Fantasy_Hitters'!Z81</f>
        <v>0.27329999999999999</v>
      </c>
      <c r="AX54">
        <f>'2026_Fantasy_Hitters'!AA81</f>
        <v>0.27049999999999902</v>
      </c>
      <c r="AY54">
        <f>'2026_Fantasy_Hitters'!AB81</f>
        <v>6.9400000000000003E-2</v>
      </c>
      <c r="AZ54">
        <f t="shared" si="21"/>
        <v>5.3687449999999998E-2</v>
      </c>
    </row>
    <row r="55" spans="1:52">
      <c r="A55" t="s">
        <v>397</v>
      </c>
      <c r="B55" t="s">
        <v>33</v>
      </c>
      <c r="C55" t="s">
        <v>124</v>
      </c>
      <c r="D55">
        <v>566</v>
      </c>
      <c r="E55">
        <v>630</v>
      </c>
      <c r="F55" s="6">
        <f t="shared" si="0"/>
        <v>4.2502008749502034</v>
      </c>
      <c r="G55" s="5">
        <f t="shared" si="1"/>
        <v>0.3986472839370524</v>
      </c>
      <c r="H55" s="5">
        <f t="shared" si="2"/>
        <v>1.0090772797204397</v>
      </c>
      <c r="I55" s="5">
        <f t="shared" si="3"/>
        <v>0.65686740341679173</v>
      </c>
      <c r="J55" s="5">
        <f t="shared" si="4"/>
        <v>1.6182016729072262</v>
      </c>
      <c r="K55" s="5">
        <f t="shared" si="5"/>
        <v>0.30205254751074034</v>
      </c>
      <c r="L55" s="5">
        <f t="shared" si="6"/>
        <v>9.684527772188492E-2</v>
      </c>
      <c r="M55" s="5">
        <f t="shared" si="7"/>
        <v>0.37239149367502605</v>
      </c>
      <c r="N55" s="5">
        <f t="shared" si="8"/>
        <v>0.39436039126796996</v>
      </c>
      <c r="O55" s="5">
        <f t="shared" si="9"/>
        <v>-0.91838041010130944</v>
      </c>
      <c r="P55" s="1">
        <f t="shared" si="10"/>
        <v>0.32013793489438253</v>
      </c>
      <c r="R55">
        <f t="shared" si="11"/>
        <v>109.42438113238954</v>
      </c>
      <c r="S55">
        <f t="shared" si="12"/>
        <v>120.54711932356201</v>
      </c>
      <c r="T55">
        <f t="shared" si="13"/>
        <v>129.05707669716139</v>
      </c>
      <c r="U55">
        <f t="shared" si="14"/>
        <v>141.6348383628158</v>
      </c>
      <c r="V55">
        <f t="shared" si="15"/>
        <v>110.93162067326956</v>
      </c>
      <c r="W55">
        <f t="shared" si="16"/>
        <v>104.70866056824919</v>
      </c>
      <c r="X55">
        <f t="shared" si="17"/>
        <v>102.45772598505489</v>
      </c>
      <c r="Y55">
        <f t="shared" si="18"/>
        <v>104.33592165922158</v>
      </c>
      <c r="Z55">
        <f t="shared" si="19"/>
        <v>15.55558633909547</v>
      </c>
      <c r="AA55">
        <f t="shared" si="20"/>
        <v>111.62725327404249</v>
      </c>
      <c r="AC55">
        <f>'2026_Fantasy_Hitters'!F57</f>
        <v>145.71780982057001</v>
      </c>
      <c r="AD55">
        <f>'2026_Fantasy_Hitters'!G57</f>
        <v>88.926896536641678</v>
      </c>
      <c r="AE55">
        <f>'2026_Fantasy_Hitters'!H57</f>
        <v>30.541758152488367</v>
      </c>
      <c r="AF55">
        <f>'2026_Fantasy_Hitters'!I57</f>
        <v>1.1815557800253029</v>
      </c>
      <c r="AG55">
        <f>'2026_Fantasy_Hitters'!J57</f>
        <v>24.3033462</v>
      </c>
      <c r="AH55">
        <f>'2026_Fantasy_Hitters'!K57</f>
        <v>73.349282296650159</v>
      </c>
      <c r="AI55">
        <f>'2026_Fantasy_Hitters'!L57</f>
        <v>92.999999999999616</v>
      </c>
      <c r="AJ55">
        <f>'2026_Fantasy_Hitters'!M57</f>
        <v>52.100999999999999</v>
      </c>
      <c r="AK55">
        <f>'2026_Fantasy_Hitters'!N57</f>
        <v>3.5423703</v>
      </c>
      <c r="AL55">
        <f>'2026_Fantasy_Hitters'!O57</f>
        <v>92.798999999999992</v>
      </c>
      <c r="AM55">
        <f>'2026_Fantasy_Hitters'!P57</f>
        <v>6.0258365999999999</v>
      </c>
      <c r="AN55">
        <f>'2026_Fantasy_Hitters'!Q57</f>
        <v>7.0334900999999999</v>
      </c>
      <c r="AO55">
        <f>'2026_Fantasy_Hitters'!R57</f>
        <v>0</v>
      </c>
      <c r="AP55">
        <f>'2026_Fantasy_Hitters'!S57</f>
        <v>1.2391280999999998</v>
      </c>
      <c r="AQ55">
        <f>'2026_Fantasy_Hitters'!T57</f>
        <v>0</v>
      </c>
      <c r="AR55">
        <f>'2026_Fantasy_Hitters'!U57</f>
        <v>1.2391280999999998</v>
      </c>
      <c r="AS55">
        <f>'2026_Fantasy_Hitters'!V57</f>
        <v>0.25745196081372795</v>
      </c>
      <c r="AT55">
        <f>'2026_Fantasy_Hitters'!W57</f>
        <v>0.32987855889688472</v>
      </c>
      <c r="AU55">
        <f>'2026_Fantasy_Hitters'!X57</f>
        <v>0.443053825055997</v>
      </c>
      <c r="AV55">
        <f>'2026_Fantasy_Hitters'!Y57</f>
        <v>0.77293238395288166</v>
      </c>
      <c r="AW55">
        <f>'2026_Fantasy_Hitters'!Z57</f>
        <v>0.26629999999999998</v>
      </c>
      <c r="AX55">
        <f>'2026_Fantasy_Hitters'!AA57</f>
        <v>0.14729999999999999</v>
      </c>
      <c r="AY55">
        <f>'2026_Fantasy_Hitters'!AB57</f>
        <v>8.2699999999999996E-2</v>
      </c>
      <c r="AZ55">
        <f t="shared" si="21"/>
        <v>3.8576739999999998E-2</v>
      </c>
    </row>
    <row r="56" spans="1:52">
      <c r="A56" t="s">
        <v>482</v>
      </c>
      <c r="B56" t="s">
        <v>27</v>
      </c>
      <c r="C56" t="s">
        <v>20</v>
      </c>
      <c r="D56">
        <v>509</v>
      </c>
      <c r="E56">
        <v>553</v>
      </c>
      <c r="F56" s="6">
        <f t="shared" si="0"/>
        <v>4.2076497929382457</v>
      </c>
      <c r="G56" s="5">
        <f t="shared" si="1"/>
        <v>0.63631529247308627</v>
      </c>
      <c r="H56" s="5">
        <f t="shared" si="2"/>
        <v>0.48692906379041617</v>
      </c>
      <c r="I56" s="5">
        <f t="shared" si="3"/>
        <v>0.90177476401277001</v>
      </c>
      <c r="J56" s="5">
        <f t="shared" si="4"/>
        <v>1.0262818211234745</v>
      </c>
      <c r="K56" s="5">
        <f t="shared" si="5"/>
        <v>-0.67770357385912294</v>
      </c>
      <c r="L56" s="5">
        <f t="shared" si="6"/>
        <v>-0.24617412225621088</v>
      </c>
      <c r="M56" s="5">
        <f t="shared" si="7"/>
        <v>0.58830951155202438</v>
      </c>
      <c r="N56" s="5">
        <f t="shared" si="8"/>
        <v>0.94297669448255561</v>
      </c>
      <c r="O56" s="5">
        <f t="shared" si="9"/>
        <v>-0.49307763394828519</v>
      </c>
      <c r="P56" s="1">
        <f t="shared" si="10"/>
        <v>1.0420179755675372</v>
      </c>
      <c r="R56">
        <f t="shared" si="11"/>
        <v>115.0430670877999</v>
      </c>
      <c r="S56">
        <f t="shared" si="12"/>
        <v>109.91498845220646</v>
      </c>
      <c r="T56">
        <f t="shared" si="13"/>
        <v>139.89075777727018</v>
      </c>
      <c r="U56">
        <f t="shared" si="14"/>
        <v>126.40528585068498</v>
      </c>
      <c r="V56">
        <f t="shared" si="15"/>
        <v>75.473147108339361</v>
      </c>
      <c r="W56">
        <f t="shared" si="16"/>
        <v>88.030904452357859</v>
      </c>
      <c r="X56">
        <f t="shared" si="17"/>
        <v>103.88275134731769</v>
      </c>
      <c r="Y56">
        <f t="shared" si="18"/>
        <v>110.36785935981554</v>
      </c>
      <c r="Z56">
        <f t="shared" si="19"/>
        <v>54.661868622093237</v>
      </c>
      <c r="AA56">
        <f t="shared" si="20"/>
        <v>137.84558341086895</v>
      </c>
      <c r="AC56">
        <f>'2026_Fantasy_Hitters'!F69</f>
        <v>132.86565015891</v>
      </c>
      <c r="AD56">
        <f>'2026_Fantasy_Hitters'!G69</f>
        <v>79.389158791357403</v>
      </c>
      <c r="AE56">
        <f>'2026_Fantasy_Hitters'!H69</f>
        <v>25.374383031414848</v>
      </c>
      <c r="AF56">
        <f>'2026_Fantasy_Hitters'!I69</f>
        <v>1.0133698312835795</v>
      </c>
      <c r="AG56">
        <f>'2026_Fantasy_Hitters'!J69</f>
        <v>26.34348773</v>
      </c>
      <c r="AH56">
        <f>'2026_Fantasy_Hitters'!K69</f>
        <v>77.115596330274869</v>
      </c>
      <c r="AI56">
        <f>'2026_Fantasy_Hitters'!L69</f>
        <v>82.999999999999602</v>
      </c>
      <c r="AJ56">
        <f>'2026_Fantasy_Hitters'!M69</f>
        <v>35.447300000000006</v>
      </c>
      <c r="AK56">
        <f>'2026_Fantasy_Hitters'!N69</f>
        <v>0.94926321000000002</v>
      </c>
      <c r="AL56">
        <f>'2026_Fantasy_Hitters'!O69</f>
        <v>145.02424999999999</v>
      </c>
      <c r="AM56">
        <f>'2026_Fantasy_Hitters'!P69</f>
        <v>5.0660551200000006</v>
      </c>
      <c r="AN56">
        <f>'2026_Fantasy_Hitters'!Q69</f>
        <v>4.0587158499999996</v>
      </c>
      <c r="AO56">
        <f>'2026_Fantasy_Hitters'!R69</f>
        <v>0</v>
      </c>
      <c r="AP56">
        <f>'2026_Fantasy_Hitters'!S69</f>
        <v>6.358823529411751</v>
      </c>
      <c r="AQ56">
        <f>'2026_Fantasy_Hitters'!T69</f>
        <v>2.0045641700000001</v>
      </c>
      <c r="AR56">
        <f>'2026_Fantasy_Hitters'!U69</f>
        <v>4.3542593594117509</v>
      </c>
      <c r="AS56">
        <f>'2026_Fantasy_Hitters'!V69</f>
        <v>0.26103271151062868</v>
      </c>
      <c r="AT56">
        <f>'2026_Fantasy_Hitters'!W69</f>
        <v>0.31727471758420123</v>
      </c>
      <c r="AU56">
        <f>'2026_Fantasy_Hitters'!X69</f>
        <v>0.46866794748141027</v>
      </c>
      <c r="AV56">
        <f>'2026_Fantasy_Hitters'!Y69</f>
        <v>0.7859426650656115</v>
      </c>
      <c r="AW56">
        <f>'2026_Fantasy_Hitters'!Z69</f>
        <v>0.31175000000000003</v>
      </c>
      <c r="AX56">
        <f>'2026_Fantasy_Hitters'!AA69</f>
        <v>0.26224999999999998</v>
      </c>
      <c r="AY56">
        <f>'2026_Fantasy_Hitters'!AB69</f>
        <v>6.4100000000000004E-2</v>
      </c>
      <c r="AZ56">
        <f t="shared" si="21"/>
        <v>4.7637409999999998E-2</v>
      </c>
    </row>
    <row r="57" spans="1:52">
      <c r="A57" t="s">
        <v>323</v>
      </c>
      <c r="B57" t="s">
        <v>136</v>
      </c>
      <c r="C57" t="s">
        <v>87</v>
      </c>
      <c r="D57">
        <v>478</v>
      </c>
      <c r="E57">
        <v>526</v>
      </c>
      <c r="F57" s="6">
        <f t="shared" si="0"/>
        <v>4.1002294049118859</v>
      </c>
      <c r="G57" s="5">
        <f t="shared" si="1"/>
        <v>0.25039909221721374</v>
      </c>
      <c r="H57" s="5">
        <f t="shared" si="2"/>
        <v>6.8862885899057258E-2</v>
      </c>
      <c r="I57" s="5">
        <f t="shared" si="3"/>
        <v>1.220673927851232</v>
      </c>
      <c r="J57" s="5">
        <f t="shared" si="4"/>
        <v>0.61193792487486898</v>
      </c>
      <c r="K57" s="5">
        <f t="shared" si="5"/>
        <v>-0.47316535669617432</v>
      </c>
      <c r="L57" s="5">
        <f t="shared" si="6"/>
        <v>-0.6271755159837844</v>
      </c>
      <c r="M57" s="5">
        <f t="shared" si="7"/>
        <v>0.31099802264876764</v>
      </c>
      <c r="N57" s="5">
        <f t="shared" si="8"/>
        <v>1.5414708335829002</v>
      </c>
      <c r="O57" s="5">
        <f t="shared" si="9"/>
        <v>-0.44298403237079581</v>
      </c>
      <c r="P57" s="1">
        <f t="shared" si="10"/>
        <v>1.6392116228886009</v>
      </c>
      <c r="R57">
        <f t="shared" si="11"/>
        <v>105.91966024941487</v>
      </c>
      <c r="S57">
        <f t="shared" si="12"/>
        <v>101.40220571998692</v>
      </c>
      <c r="T57">
        <f t="shared" si="13"/>
        <v>153.99752790182637</v>
      </c>
      <c r="U57">
        <f t="shared" si="14"/>
        <v>115.74459909219392</v>
      </c>
      <c r="V57">
        <f t="shared" si="15"/>
        <v>82.875614730741148</v>
      </c>
      <c r="W57">
        <f t="shared" si="16"/>
        <v>69.506446871215445</v>
      </c>
      <c r="X57">
        <f t="shared" si="17"/>
        <v>102.05253861741426</v>
      </c>
      <c r="Y57">
        <f t="shared" si="18"/>
        <v>116.94819490593555</v>
      </c>
      <c r="Z57">
        <f t="shared" si="19"/>
        <v>59.267939011712521</v>
      </c>
      <c r="AA57">
        <f t="shared" si="20"/>
        <v>159.53536470261736</v>
      </c>
      <c r="AC57">
        <f>'2026_Fantasy_Hitters'!F45</f>
        <v>122.57536647417214</v>
      </c>
      <c r="AD57">
        <f>'2026_Fantasy_Hitters'!G45</f>
        <v>67.371857705088772</v>
      </c>
      <c r="AE57">
        <f>'2026_Fantasy_Hitters'!H45</f>
        <v>25.223023462664731</v>
      </c>
      <c r="AF57">
        <f>'2026_Fantasy_Hitters'!I45</f>
        <v>1.1873518151492164</v>
      </c>
      <c r="AG57">
        <f>'2026_Fantasy_Hitters'!J45</f>
        <v>29.00000008</v>
      </c>
      <c r="AH57">
        <f>'2026_Fantasy_Hitters'!K45</f>
        <v>70.999999999999531</v>
      </c>
      <c r="AI57">
        <f>'2026_Fantasy_Hitters'!L45</f>
        <v>75.999999999999929</v>
      </c>
      <c r="AJ57">
        <f>'2026_Fantasy_Hitters'!M45</f>
        <v>38.923999999999999</v>
      </c>
      <c r="AK57">
        <f>'2026_Fantasy_Hitters'!N45</f>
        <v>1.00286108</v>
      </c>
      <c r="AL57">
        <f>'2026_Fantasy_Hitters'!O45</f>
        <v>118.98119999999948</v>
      </c>
      <c r="AM57">
        <f>'2026_Fantasy_Hitters'!P45</f>
        <v>3.9999985599999999</v>
      </c>
      <c r="AN57">
        <f>'2026_Fantasy_Hitters'!Q45</f>
        <v>3.9999985599999999</v>
      </c>
      <c r="AO57">
        <f>'2026_Fantasy_Hitters'!R45</f>
        <v>0.90000178000000008</v>
      </c>
      <c r="AP57">
        <f>'2026_Fantasy_Hitters'!S45</f>
        <v>6.0057251908396223</v>
      </c>
      <c r="AQ57">
        <f>'2026_Fantasy_Hitters'!T45</f>
        <v>1.2845551199999998</v>
      </c>
      <c r="AR57">
        <f>'2026_Fantasy_Hitters'!U45</f>
        <v>4.7211700708396229</v>
      </c>
      <c r="AS57">
        <f>'2026_Fantasy_Hitters'!V45</f>
        <v>0.25643382107567392</v>
      </c>
      <c r="AT57">
        <f>'2026_Fantasy_Hitters'!W45</f>
        <v>0.3190144807435612</v>
      </c>
      <c r="AU57">
        <f>'2026_Fantasy_Hitters'!X45</f>
        <v>0.49661079580725087</v>
      </c>
      <c r="AV57">
        <f>'2026_Fantasy_Hitters'!Y45</f>
        <v>0.81562527655081207</v>
      </c>
      <c r="AW57">
        <f>'2026_Fantasy_Hitters'!Z45</f>
        <v>0.28015000000000001</v>
      </c>
      <c r="AX57">
        <f>'2026_Fantasy_Hitters'!AA45</f>
        <v>0.22619999999999901</v>
      </c>
      <c r="AY57">
        <f>'2026_Fantasy_Hitters'!AB45</f>
        <v>7.3999999999999996E-2</v>
      </c>
      <c r="AZ57">
        <f t="shared" si="21"/>
        <v>5.5133080000000001E-2</v>
      </c>
    </row>
    <row r="58" spans="1:52" s="10" customFormat="1">
      <c r="A58" s="10" t="s">
        <v>365</v>
      </c>
      <c r="B58" s="10" t="s">
        <v>19</v>
      </c>
      <c r="C58" s="10" t="s">
        <v>366</v>
      </c>
      <c r="D58" s="10">
        <v>475</v>
      </c>
      <c r="E58" s="10">
        <v>541</v>
      </c>
      <c r="F58" s="11">
        <f t="shared" si="0"/>
        <v>4.0932438741692811</v>
      </c>
      <c r="G58" s="11">
        <f t="shared" si="1"/>
        <v>0.34734597771025988</v>
      </c>
      <c r="H58" s="11">
        <f t="shared" si="2"/>
        <v>-0.1198369832047607</v>
      </c>
      <c r="I58" s="11">
        <f t="shared" si="3"/>
        <v>0.89346957718926168</v>
      </c>
      <c r="J58" s="11">
        <f t="shared" si="4"/>
        <v>0.55274593969648134</v>
      </c>
      <c r="K58" s="11">
        <f t="shared" si="5"/>
        <v>0.38782834657985243</v>
      </c>
      <c r="L58" s="11">
        <f t="shared" si="6"/>
        <v>0.82156536306747663</v>
      </c>
      <c r="M58" s="11">
        <f t="shared" si="7"/>
        <v>-0.18096567804515851</v>
      </c>
      <c r="N58" s="11">
        <f t="shared" si="8"/>
        <v>1.0284544380475606</v>
      </c>
      <c r="O58" s="11">
        <f t="shared" si="9"/>
        <v>-0.75337787576422666</v>
      </c>
      <c r="P58" s="10">
        <f t="shared" si="10"/>
        <v>1.1160147688925346</v>
      </c>
      <c r="R58" s="10">
        <f t="shared" si="11"/>
        <v>108.21157201026075</v>
      </c>
      <c r="S58" s="10">
        <f t="shared" si="12"/>
        <v>97.55984517462727</v>
      </c>
      <c r="T58" s="10">
        <f t="shared" si="13"/>
        <v>139.52337092071488</v>
      </c>
      <c r="U58" s="10">
        <f t="shared" si="14"/>
        <v>114.22164384098052</v>
      </c>
      <c r="V58" s="10">
        <f t="shared" si="15"/>
        <v>114.03594310358046</v>
      </c>
      <c r="W58" s="10">
        <f t="shared" si="16"/>
        <v>139.94487413650086</v>
      </c>
      <c r="X58" s="10">
        <f t="shared" si="17"/>
        <v>98.805654648699416</v>
      </c>
      <c r="Y58" s="10">
        <f t="shared" si="18"/>
        <v>111.30767179511932</v>
      </c>
      <c r="Z58" s="10">
        <f t="shared" si="19"/>
        <v>30.727449884313259</v>
      </c>
      <c r="AA58" s="10">
        <f t="shared" si="20"/>
        <v>140.53311076604029</v>
      </c>
      <c r="AC58" s="10">
        <f>'2026_Fantasy_Hitters'!F52</f>
        <v>117.93070664030299</v>
      </c>
      <c r="AD58" s="10">
        <f>'2026_Fantasy_Hitters'!G52</f>
        <v>66.58686614877611</v>
      </c>
      <c r="AE58" s="10">
        <f>'2026_Fantasy_Hitters'!H52</f>
        <v>23.230253854404591</v>
      </c>
      <c r="AF58" s="10">
        <f>'2026_Fantasy_Hitters'!I52</f>
        <v>2.1227781707472717</v>
      </c>
      <c r="AG58" s="10">
        <f>'2026_Fantasy_Hitters'!J52</f>
        <v>26.274303379999999</v>
      </c>
      <c r="AH58" s="10">
        <f>'2026_Fantasy_Hitters'!K52</f>
        <v>72.53631284916159</v>
      </c>
      <c r="AI58" s="10">
        <f>'2026_Fantasy_Hitters'!L52</f>
        <v>74.999999999999716</v>
      </c>
      <c r="AJ58" s="10">
        <f>'2026_Fantasy_Hitters'!M52</f>
        <v>53.559000000000005</v>
      </c>
      <c r="AK58" s="10">
        <f>'2026_Fantasy_Hitters'!N52</f>
        <v>0</v>
      </c>
      <c r="AL58" s="10">
        <f>'2026_Fantasy_Hitters'!O52</f>
        <v>113.6641</v>
      </c>
      <c r="AM58" s="10">
        <f>'2026_Fantasy_Hitters'!P52</f>
        <v>8.0536312849161753</v>
      </c>
      <c r="AN58" s="10">
        <f>'2026_Fantasy_Hitters'!Q52</f>
        <v>4.0297953900000003</v>
      </c>
      <c r="AO58" s="10">
        <f>'2026_Fantasy_Hitters'!R52</f>
        <v>0</v>
      </c>
      <c r="AP58" s="10">
        <f>'2026_Fantasy_Hitters'!S52</f>
        <v>4.2385510599999998</v>
      </c>
      <c r="AQ58" s="10">
        <f>'2026_Fantasy_Hitters'!T52</f>
        <v>1.79086148</v>
      </c>
      <c r="AR58" s="10">
        <f>'2026_Fantasy_Hitters'!U52</f>
        <v>2.4476895799999996</v>
      </c>
      <c r="AS58" s="10">
        <f>'2026_Fantasy_Hitters'!V52</f>
        <v>0.24827517187432208</v>
      </c>
      <c r="AT58" s="10">
        <f>'2026_Fantasy_Hitters'!W52</f>
        <v>0.3371143731886897</v>
      </c>
      <c r="AU58" s="10">
        <f>'2026_Fantasy_Hitters'!X52</f>
        <v>0.47265878292595181</v>
      </c>
      <c r="AV58" s="10">
        <f>'2026_Fantasy_Hitters'!Y52</f>
        <v>0.80977315611464151</v>
      </c>
      <c r="AW58" s="10">
        <f>'2026_Fantasy_Hitters'!Z52</f>
        <v>0.27029999999999998</v>
      </c>
      <c r="AX58" s="10">
        <f>'2026_Fantasy_Hitters'!AA52</f>
        <v>0.21010000000000001</v>
      </c>
      <c r="AY58" s="10">
        <f>'2026_Fantasy_Hitters'!AB52</f>
        <v>9.9000000000000005E-2</v>
      </c>
      <c r="AZ58" s="10">
        <f t="shared" si="21"/>
        <v>4.856618E-2</v>
      </c>
    </row>
    <row r="59" spans="1:52">
      <c r="A59" t="s">
        <v>639</v>
      </c>
      <c r="B59" t="s">
        <v>335</v>
      </c>
      <c r="C59" t="s">
        <v>20</v>
      </c>
      <c r="D59">
        <v>550</v>
      </c>
      <c r="E59">
        <v>622</v>
      </c>
      <c r="F59" s="6">
        <f t="shared" si="0"/>
        <v>4.0782157092705544</v>
      </c>
      <c r="G59" s="5">
        <f t="shared" si="1"/>
        <v>0.7632556383388801</v>
      </c>
      <c r="H59" s="5">
        <f t="shared" si="2"/>
        <v>0.68851412650147448</v>
      </c>
      <c r="I59" s="5">
        <f t="shared" si="3"/>
        <v>0.37218689208107725</v>
      </c>
      <c r="J59" s="5">
        <f t="shared" si="4"/>
        <v>0.37516998416136205</v>
      </c>
      <c r="K59" s="5">
        <f t="shared" si="5"/>
        <v>0.75347563490244562</v>
      </c>
      <c r="L59" s="5">
        <f t="shared" si="6"/>
        <v>1.1644527824962791</v>
      </c>
      <c r="M59" s="5">
        <f t="shared" si="7"/>
        <v>-4.1057144370025569E-2</v>
      </c>
      <c r="N59" s="5">
        <f t="shared" si="8"/>
        <v>7.9313716316100735E-2</v>
      </c>
      <c r="O59" s="5">
        <f t="shared" si="9"/>
        <v>-0.13300416841329904</v>
      </c>
      <c r="P59" s="1">
        <f t="shared" si="10"/>
        <v>5.5908247256259876E-2</v>
      </c>
      <c r="R59">
        <f t="shared" si="11"/>
        <v>118.04405128792177</v>
      </c>
      <c r="S59">
        <f t="shared" si="12"/>
        <v>114.01972098420772</v>
      </c>
      <c r="T59">
        <f t="shared" si="13"/>
        <v>116.46399716689238</v>
      </c>
      <c r="U59">
        <f t="shared" si="14"/>
        <v>109.65277808734143</v>
      </c>
      <c r="V59">
        <f t="shared" si="15"/>
        <v>127.26912881611005</v>
      </c>
      <c r="W59">
        <f t="shared" si="16"/>
        <v>156.61621329925981</v>
      </c>
      <c r="X59">
        <f t="shared" si="17"/>
        <v>99.729029227830836</v>
      </c>
      <c r="Y59">
        <f t="shared" si="18"/>
        <v>100.87204006300578</v>
      </c>
      <c r="Z59">
        <f t="shared" si="19"/>
        <v>87.77036302976208</v>
      </c>
      <c r="AA59">
        <f t="shared" si="20"/>
        <v>102.0305602057776</v>
      </c>
      <c r="AC59">
        <f>'2026_Fantasy_Hitters'!F93</f>
        <v>137.82746623397531</v>
      </c>
      <c r="AD59">
        <f>'2026_Fantasy_Hitters'!G93</f>
        <v>87.714016249278487</v>
      </c>
      <c r="AE59">
        <f>'2026_Fantasy_Hitters'!H93</f>
        <v>25.896233626021264</v>
      </c>
      <c r="AF59">
        <f>'2026_Fantasy_Hitters'!I93</f>
        <v>2.7851956771188071</v>
      </c>
      <c r="AG59">
        <f>'2026_Fantasy_Hitters'!J93</f>
        <v>21.931884057970926</v>
      </c>
      <c r="AH59">
        <f>'2026_Fantasy_Hitters'!K93</f>
        <v>79.127214170692071</v>
      </c>
      <c r="AI59">
        <f>'2026_Fantasy_Hitters'!L93</f>
        <v>71.999999999999815</v>
      </c>
      <c r="AJ59">
        <f>'2026_Fantasy_Hitters'!M93</f>
        <v>59.7742</v>
      </c>
      <c r="AK59">
        <f>'2026_Fantasy_Hitters'!N93</f>
        <v>0.99071537999999992</v>
      </c>
      <c r="AL59">
        <f>'2026_Fantasy_Hitters'!O93</f>
        <v>135.7826</v>
      </c>
      <c r="AM59">
        <f>'2026_Fantasy_Hitters'!P93</f>
        <v>9.0130434782608422</v>
      </c>
      <c r="AN59">
        <f>'2026_Fantasy_Hitters'!Q93</f>
        <v>4.0064388400000004</v>
      </c>
      <c r="AO59">
        <f>'2026_Fantasy_Hitters'!R93</f>
        <v>0.99873296</v>
      </c>
      <c r="AP59">
        <f>'2026_Fantasy_Hitters'!S93</f>
        <v>9.2182539682539009</v>
      </c>
      <c r="AQ59">
        <f>'2026_Fantasy_Hitters'!T93</f>
        <v>2.2266356000000003</v>
      </c>
      <c r="AR59">
        <f>'2026_Fantasy_Hitters'!U93</f>
        <v>6.991618368253901</v>
      </c>
      <c r="AS59">
        <f>'2026_Fantasy_Hitters'!V93</f>
        <v>0.25059539315268237</v>
      </c>
      <c r="AT59">
        <f>'2026_Fantasy_Hitters'!W93</f>
        <v>0.33769534586665734</v>
      </c>
      <c r="AU59">
        <f>'2026_Fantasy_Hitters'!X93</f>
        <v>0.42834473957192931</v>
      </c>
      <c r="AV59">
        <f>'2026_Fantasy_Hitters'!Y93</f>
        <v>0.7660400854385867</v>
      </c>
      <c r="AW59">
        <f>'2026_Fantasy_Hitters'!Z93</f>
        <v>0.29244999999999999</v>
      </c>
      <c r="AX59">
        <f>'2026_Fantasy_Hitters'!AA93</f>
        <v>0.21829999999999999</v>
      </c>
      <c r="AY59">
        <f>'2026_Fantasy_Hitters'!AB93</f>
        <v>9.6100000000000005E-2</v>
      </c>
      <c r="AZ59">
        <f t="shared" si="21"/>
        <v>3.52602637587957E-2</v>
      </c>
    </row>
    <row r="60" spans="1:52">
      <c r="A60" t="s">
        <v>453</v>
      </c>
      <c r="B60" t="s">
        <v>33</v>
      </c>
      <c r="C60" t="s">
        <v>366</v>
      </c>
      <c r="D60">
        <v>532</v>
      </c>
      <c r="E60">
        <v>575</v>
      </c>
      <c r="F60" s="6">
        <f t="shared" si="0"/>
        <v>4.0373800084808913</v>
      </c>
      <c r="G60" s="5">
        <f t="shared" si="1"/>
        <v>-0.1271076576447743</v>
      </c>
      <c r="H60" s="5">
        <f t="shared" si="2"/>
        <v>0.52723414484166697</v>
      </c>
      <c r="I60" s="5">
        <f t="shared" si="3"/>
        <v>1.1367277199822547</v>
      </c>
      <c r="J60" s="5">
        <f t="shared" si="4"/>
        <v>1.3222417470153542</v>
      </c>
      <c r="K60" s="5">
        <f t="shared" si="5"/>
        <v>-1.0142059164623529</v>
      </c>
      <c r="L60" s="5">
        <f t="shared" si="6"/>
        <v>1.2415621968134041</v>
      </c>
      <c r="M60" s="5">
        <f t="shared" si="7"/>
        <v>2.0259273931854692E-2</v>
      </c>
      <c r="N60" s="5">
        <f t="shared" si="8"/>
        <v>0.81887758850748971</v>
      </c>
      <c r="O60" s="5">
        <f t="shared" si="9"/>
        <v>-1.0562049375745841</v>
      </c>
      <c r="P60" s="1">
        <f t="shared" si="10"/>
        <v>1.1679958490705775</v>
      </c>
      <c r="R60">
        <f t="shared" si="11"/>
        <v>96.995060398608388</v>
      </c>
      <c r="S60">
        <f t="shared" si="12"/>
        <v>110.73569200618532</v>
      </c>
      <c r="T60">
        <f t="shared" si="13"/>
        <v>150.28409747766969</v>
      </c>
      <c r="U60">
        <f t="shared" si="14"/>
        <v>134.02006210675049</v>
      </c>
      <c r="V60">
        <f t="shared" si="15"/>
        <v>63.294749689345977</v>
      </c>
      <c r="W60">
        <f t="shared" si="16"/>
        <v>160.36530739219552</v>
      </c>
      <c r="X60">
        <f t="shared" si="17"/>
        <v>100.13370805946531</v>
      </c>
      <c r="Y60">
        <f t="shared" si="18"/>
        <v>109.00341198274185</v>
      </c>
      <c r="Z60">
        <f t="shared" si="19"/>
        <v>2.8827208439701764</v>
      </c>
      <c r="AA60">
        <f t="shared" si="20"/>
        <v>142.42103818360113</v>
      </c>
      <c r="AC60">
        <f>'2026_Fantasy_Hitters'!F65</f>
        <v>133.85771969212516</v>
      </c>
      <c r="AD60">
        <f>'2026_Fantasy_Hitters'!G65</f>
        <v>79.613907367187736</v>
      </c>
      <c r="AE60">
        <f>'2026_Fantasy_Hitters'!H65</f>
        <v>25.819860824180722</v>
      </c>
      <c r="AF60">
        <f>'2026_Fantasy_Hitters'!I65</f>
        <v>0.59749280633244128</v>
      </c>
      <c r="AG60">
        <f>'2026_Fantasy_Hitters'!J65</f>
        <v>28.300706499999997</v>
      </c>
      <c r="AH60">
        <f>'2026_Fantasy_Hitters'!K65</f>
        <v>65.017667844522691</v>
      </c>
      <c r="AI60">
        <f>'2026_Fantasy_Hitters'!L65</f>
        <v>87.999999999999673</v>
      </c>
      <c r="AJ60">
        <f>'2026_Fantasy_Hitters'!M65</f>
        <v>29.727499999999942</v>
      </c>
      <c r="AK60">
        <f>'2026_Fantasy_Hitters'!N65</f>
        <v>5.0132927500000006</v>
      </c>
      <c r="AL60">
        <f>'2026_Fantasy_Hitters'!O65</f>
        <v>119.48499999999943</v>
      </c>
      <c r="AM60">
        <f>'2026_Fantasy_Hitters'!P65</f>
        <v>9.2287985865723527</v>
      </c>
      <c r="AN60">
        <f>'2026_Fantasy_Hitters'!Q65</f>
        <v>5.079504</v>
      </c>
      <c r="AO60">
        <f>'2026_Fantasy_Hitters'!R65</f>
        <v>0</v>
      </c>
      <c r="AP60">
        <f>'2026_Fantasy_Hitters'!S65</f>
        <v>0.229632</v>
      </c>
      <c r="AQ60">
        <f>'2026_Fantasy_Hitters'!T65</f>
        <v>0</v>
      </c>
      <c r="AR60">
        <f>'2026_Fantasy_Hitters'!U65</f>
        <v>0.229632</v>
      </c>
      <c r="AS60">
        <f>'2026_Fantasy_Hitters'!V65</f>
        <v>0.25161225506038565</v>
      </c>
      <c r="AT60">
        <f>'2026_Fantasy_Hitters'!W65</f>
        <v>0.31098460834530961</v>
      </c>
      <c r="AU60">
        <f>'2026_Fantasy_Hitters'!X65</f>
        <v>0.46287393502734298</v>
      </c>
      <c r="AV60">
        <f>'2026_Fantasy_Hitters'!Y65</f>
        <v>0.77385854337265259</v>
      </c>
      <c r="AW60">
        <f>'2026_Fantasy_Hitters'!Z65</f>
        <v>0.27115</v>
      </c>
      <c r="AX60">
        <f>'2026_Fantasy_Hitters'!AA65</f>
        <v>0.20779999999999901</v>
      </c>
      <c r="AY60">
        <f>'2026_Fantasy_Hitters'!AB65</f>
        <v>5.1699999999999899E-2</v>
      </c>
      <c r="AZ60">
        <f t="shared" si="21"/>
        <v>4.9218619999999998E-2</v>
      </c>
    </row>
    <row r="61" spans="1:52">
      <c r="A61" s="1" t="s">
        <v>1368</v>
      </c>
      <c r="B61" t="s">
        <v>243</v>
      </c>
      <c r="C61" t="s">
        <v>20</v>
      </c>
      <c r="D61">
        <v>554</v>
      </c>
      <c r="E61">
        <v>613</v>
      </c>
      <c r="F61" s="6">
        <f t="shared" si="0"/>
        <v>3.858655649217221</v>
      </c>
      <c r="G61" s="5">
        <f t="shared" si="1"/>
        <v>0.67705018242752579</v>
      </c>
      <c r="H61" s="5">
        <f t="shared" si="2"/>
        <v>0.88598931821361093</v>
      </c>
      <c r="I61" s="5">
        <f t="shared" si="3"/>
        <v>0.62207410712715316</v>
      </c>
      <c r="J61" s="5">
        <f t="shared" si="4"/>
        <v>0.31597799898297885</v>
      </c>
      <c r="K61" s="5">
        <f t="shared" si="5"/>
        <v>-6.9166049571691715E-2</v>
      </c>
      <c r="L61" s="5">
        <f t="shared" si="6"/>
        <v>0.86357279183352675</v>
      </c>
      <c r="M61" s="5">
        <f t="shared" si="7"/>
        <v>0.37889336626728193</v>
      </c>
      <c r="N61" s="5">
        <f t="shared" si="8"/>
        <v>0.34576749292823106</v>
      </c>
      <c r="O61" s="5">
        <f t="shared" si="9"/>
        <v>-0.52920640567145671</v>
      </c>
      <c r="P61" s="1">
        <f t="shared" si="10"/>
        <v>0.3677028466800607</v>
      </c>
      <c r="R61">
        <f t="shared" si="11"/>
        <v>116.00607660469706</v>
      </c>
      <c r="S61">
        <f t="shared" si="12"/>
        <v>118.04076715093606</v>
      </c>
      <c r="T61">
        <f t="shared" si="13"/>
        <v>127.51796625633838</v>
      </c>
      <c r="U61">
        <f t="shared" si="14"/>
        <v>108.12982283612814</v>
      </c>
      <c r="V61">
        <f t="shared" si="15"/>
        <v>97.496803044313054</v>
      </c>
      <c r="W61">
        <f t="shared" si="16"/>
        <v>141.98729404645522</v>
      </c>
      <c r="X61">
        <f t="shared" si="17"/>
        <v>102.50063733371059</v>
      </c>
      <c r="Y61">
        <f t="shared" si="18"/>
        <v>103.80165147118826</v>
      </c>
      <c r="Z61">
        <f t="shared" si="19"/>
        <v>51.339854224905331</v>
      </c>
      <c r="AA61">
        <f t="shared" si="20"/>
        <v>113.35478761473854</v>
      </c>
      <c r="AC61">
        <f>'2026_Fantasy_Hitters'!F188</f>
        <v>142.68812191692308</v>
      </c>
      <c r="AD61">
        <f>'2026_Fantasy_Hitters'!G188</f>
        <v>89.749502595187408</v>
      </c>
      <c r="AE61">
        <f>'2026_Fantasy_Hitters'!H188</f>
        <v>26.064833755795036</v>
      </c>
      <c r="AF61">
        <f>'2026_Fantasy_Hitters'!I188</f>
        <v>2.0872447025093011</v>
      </c>
      <c r="AG61">
        <f>'2026_Fantasy_Hitters'!J188</f>
        <v>24.013509060955467</v>
      </c>
      <c r="AH61">
        <f>'2026_Fantasy_Hitters'!K188</f>
        <v>77.761120263590882</v>
      </c>
      <c r="AI61">
        <f>'2026_Fantasy_Hitters'!L188</f>
        <v>70.999999999999673</v>
      </c>
      <c r="AJ61">
        <f>'2026_Fantasy_Hitters'!M188</f>
        <v>45.7911</v>
      </c>
      <c r="AK61">
        <f>'2026_Fantasy_Hitters'!N188</f>
        <v>1.7792754100000001</v>
      </c>
      <c r="AL61">
        <f>'2026_Fantasy_Hitters'!O188</f>
        <v>146.20050000000001</v>
      </c>
      <c r="AM61">
        <f>'2026_Fantasy_Hitters'!P188</f>
        <v>8.1711696869851203</v>
      </c>
      <c r="AN61">
        <f>'2026_Fantasy_Hitters'!Q188</f>
        <v>4.03954127</v>
      </c>
      <c r="AO61">
        <f>'2026_Fantasy_Hitters'!R188</f>
        <v>0.90000047000000005</v>
      </c>
      <c r="AP61">
        <f>'2026_Fantasy_Hitters'!S188</f>
        <v>6.1657608695652142</v>
      </c>
      <c r="AQ61">
        <f>'2026_Fantasy_Hitters'!T188</f>
        <v>2.07612679</v>
      </c>
      <c r="AR61">
        <f>'2026_Fantasy_Hitters'!U188</f>
        <v>4.0896340795652142</v>
      </c>
      <c r="AS61">
        <f>'2026_Fantasy_Hitters'!V188</f>
        <v>0.25755978685365177</v>
      </c>
      <c r="AT61">
        <f>'2026_Fantasy_Hitters'!W188</f>
        <v>0.32765260533003626</v>
      </c>
      <c r="AU61">
        <f>'2026_Fantasy_Hitters'!X188</f>
        <v>0.44078509107965202</v>
      </c>
      <c r="AV61">
        <f>'2026_Fantasy_Hitters'!Y188</f>
        <v>0.76843769640968829</v>
      </c>
      <c r="AW61">
        <f>'2026_Fantasy_Hitters'!Z188</f>
        <v>0.30599999999999999</v>
      </c>
      <c r="AX61">
        <f>'2026_Fantasy_Hitters'!AA188</f>
        <v>0.23849999999999999</v>
      </c>
      <c r="AY61">
        <f>'2026_Fantasy_Hitters'!AB188</f>
        <v>7.4700000000000003E-2</v>
      </c>
      <c r="AZ61">
        <f t="shared" si="21"/>
        <v>3.9173750507268297E-2</v>
      </c>
    </row>
    <row r="62" spans="1:52">
      <c r="A62" t="s">
        <v>264</v>
      </c>
      <c r="B62" t="s">
        <v>257</v>
      </c>
      <c r="C62" t="s">
        <v>20</v>
      </c>
      <c r="D62">
        <v>525</v>
      </c>
      <c r="E62">
        <v>609</v>
      </c>
      <c r="F62" s="6">
        <f t="shared" si="0"/>
        <v>3.8473720284404616</v>
      </c>
      <c r="G62" s="5">
        <f t="shared" si="1"/>
        <v>0.81641934356305845</v>
      </c>
      <c r="H62" s="5">
        <f t="shared" si="2"/>
        <v>0.72209275494407432</v>
      </c>
      <c r="I62" s="5">
        <f t="shared" si="3"/>
        <v>7.2068235585389134E-2</v>
      </c>
      <c r="J62" s="5">
        <f t="shared" si="4"/>
        <v>0.13840204344784798</v>
      </c>
      <c r="K62" s="5">
        <f t="shared" si="5"/>
        <v>1.4932771940890199</v>
      </c>
      <c r="L62" s="5">
        <f t="shared" si="6"/>
        <v>-0.22916795870050494</v>
      </c>
      <c r="M62" s="5">
        <f t="shared" si="7"/>
        <v>0.77343487040290848</v>
      </c>
      <c r="N62" s="5">
        <f t="shared" si="8"/>
        <v>0.35782747965217154</v>
      </c>
      <c r="O62" s="5">
        <f t="shared" si="9"/>
        <v>-8.5789114504958713E-2</v>
      </c>
      <c r="P62" s="1">
        <f t="shared" si="10"/>
        <v>-0.21119282003854417</v>
      </c>
      <c r="R62">
        <f t="shared" si="11"/>
        <v>119.30088920111268</v>
      </c>
      <c r="S62">
        <f t="shared" si="12"/>
        <v>114.7034585920179</v>
      </c>
      <c r="T62">
        <f t="shared" si="13"/>
        <v>103.18799842699009</v>
      </c>
      <c r="U62">
        <f t="shared" si="14"/>
        <v>103.56095708248876</v>
      </c>
      <c r="V62">
        <f t="shared" si="15"/>
        <v>154.04337748631406</v>
      </c>
      <c r="W62">
        <f t="shared" si="16"/>
        <v>88.857751704341666</v>
      </c>
      <c r="X62">
        <f t="shared" si="17"/>
        <v>105.10454994548191</v>
      </c>
      <c r="Y62">
        <f t="shared" si="18"/>
        <v>103.93424885876598</v>
      </c>
      <c r="Z62">
        <f t="shared" si="19"/>
        <v>92.111753045711978</v>
      </c>
      <c r="AA62">
        <f t="shared" si="20"/>
        <v>92.329580032252352</v>
      </c>
      <c r="AC62">
        <f>'2026_Fantasy_Hitters'!F36</f>
        <v>138.65397081791838</v>
      </c>
      <c r="AD62">
        <f>'2026_Fantasy_Hitters'!G36</f>
        <v>86.822522300014199</v>
      </c>
      <c r="AE62">
        <f>'2026_Fantasy_Hitters'!H36</f>
        <v>30.432801603332205</v>
      </c>
      <c r="AF62">
        <f>'2026_Fantasy_Hitters'!I36</f>
        <v>2.0974610246685961</v>
      </c>
      <c r="AG62">
        <f>'2026_Fantasy_Hitters'!J36</f>
        <v>19.431818181818116</v>
      </c>
      <c r="AH62">
        <f>'2026_Fantasy_Hitters'!K36</f>
        <v>79.96969696969677</v>
      </c>
      <c r="AI62">
        <f>'2026_Fantasy_Hitters'!L36</f>
        <v>67.999999999999574</v>
      </c>
      <c r="AJ62">
        <f>'2026_Fantasy_Hitters'!M36</f>
        <v>72.349199999999399</v>
      </c>
      <c r="AK62">
        <f>'2026_Fantasy_Hitters'!N36</f>
        <v>0.97879088999999997</v>
      </c>
      <c r="AL62">
        <f>'2026_Fantasy_Hitters'!O36</f>
        <v>150.02714999999938</v>
      </c>
      <c r="AM62">
        <f>'2026_Fantasy_Hitters'!P36</f>
        <v>5.1136390199999999</v>
      </c>
      <c r="AN62">
        <f>'2026_Fantasy_Hitters'!Q36</f>
        <v>3.0757605900000002</v>
      </c>
      <c r="AO62">
        <f>'2026_Fantasy_Hitters'!R36</f>
        <v>0.89999846999999999</v>
      </c>
      <c r="AP62">
        <f>'2026_Fantasy_Hitters'!S36</f>
        <v>10.1833326</v>
      </c>
      <c r="AQ62">
        <f>'2026_Fantasy_Hitters'!T36</f>
        <v>2.8458874499999998</v>
      </c>
      <c r="AR62">
        <f>'2026_Fantasy_Hitters'!U36</f>
        <v>7.3374451500000006</v>
      </c>
      <c r="AS62">
        <f>'2026_Fantasy_Hitters'!V36</f>
        <v>0.26410280155793975</v>
      </c>
      <c r="AT62">
        <f>'2026_Fantasy_Hitters'!W36</f>
        <v>0.36098145412905297</v>
      </c>
      <c r="AU62">
        <f>'2026_Fantasy_Hitters'!X36</f>
        <v>0.44134815487229878</v>
      </c>
      <c r="AV62">
        <f>'2026_Fantasy_Hitters'!Y36</f>
        <v>0.80232960900135175</v>
      </c>
      <c r="AW62">
        <f>'2026_Fantasy_Hitters'!Z36</f>
        <v>0.33245000000000002</v>
      </c>
      <c r="AX62">
        <f>'2026_Fantasy_Hitters'!AA36</f>
        <v>0.24634999999999899</v>
      </c>
      <c r="AY62">
        <f>'2026_Fantasy_Hitters'!AB36</f>
        <v>0.118799999999999</v>
      </c>
      <c r="AZ62">
        <f t="shared" si="21"/>
        <v>3.1907747424988697E-2</v>
      </c>
    </row>
    <row r="63" spans="1:52">
      <c r="A63" t="s">
        <v>629</v>
      </c>
      <c r="B63" t="s">
        <v>630</v>
      </c>
      <c r="C63" t="s">
        <v>631</v>
      </c>
      <c r="D63">
        <v>460</v>
      </c>
      <c r="E63">
        <v>541</v>
      </c>
      <c r="F63" s="6">
        <f t="shared" si="0"/>
        <v>3.8176315533490861</v>
      </c>
      <c r="G63" s="5">
        <f t="shared" si="1"/>
        <v>0.59194292001626481</v>
      </c>
      <c r="H63" s="5">
        <f t="shared" si="2"/>
        <v>-0.76065697807334087</v>
      </c>
      <c r="I63" s="5">
        <f t="shared" si="3"/>
        <v>1.3657446954251391</v>
      </c>
      <c r="J63" s="5">
        <f t="shared" si="4"/>
        <v>0.43436196933972149</v>
      </c>
      <c r="K63" s="5">
        <f t="shared" si="5"/>
        <v>1.785061988768802</v>
      </c>
      <c r="L63" s="5">
        <f t="shared" si="6"/>
        <v>8.8217203114757808E-2</v>
      </c>
      <c r="M63" s="5">
        <f t="shared" si="7"/>
        <v>-1.7604259065480037</v>
      </c>
      <c r="N63" s="5">
        <f t="shared" si="8"/>
        <v>0.67617935287944064</v>
      </c>
      <c r="O63" s="5">
        <f t="shared" si="9"/>
        <v>-0.29818509938772259</v>
      </c>
      <c r="P63" s="1">
        <f t="shared" si="10"/>
        <v>1.695391407814028</v>
      </c>
      <c r="R63">
        <f t="shared" si="11"/>
        <v>113.99406420572467</v>
      </c>
      <c r="S63">
        <f t="shared" si="12"/>
        <v>84.511285699443249</v>
      </c>
      <c r="T63">
        <f t="shared" si="13"/>
        <v>160.41485413537734</v>
      </c>
      <c r="U63">
        <f t="shared" si="14"/>
        <v>111.17573333855411</v>
      </c>
      <c r="V63">
        <f t="shared" si="15"/>
        <v>164.60339666163276</v>
      </c>
      <c r="W63">
        <f t="shared" si="16"/>
        <v>104.28915973518677</v>
      </c>
      <c r="X63">
        <f t="shared" si="17"/>
        <v>88.381462603808814</v>
      </c>
      <c r="Y63">
        <f t="shared" si="18"/>
        <v>107.43447051627508</v>
      </c>
      <c r="Z63">
        <f t="shared" si="19"/>
        <v>72.582096042927262</v>
      </c>
      <c r="AA63">
        <f t="shared" si="20"/>
        <v>161.57578702377924</v>
      </c>
      <c r="AC63">
        <f>'2026_Fantasy_Hitters'!F92</f>
        <v>102.15755902212001</v>
      </c>
      <c r="AD63">
        <f>'2026_Fantasy_Hitters'!G92</f>
        <v>53.394685344330924</v>
      </c>
      <c r="AE63">
        <f>'2026_Fantasy_Hitters'!H92</f>
        <v>17.211713362397944</v>
      </c>
      <c r="AF63">
        <f>'2026_Fantasy_Hitters'!I92</f>
        <v>0.4017651128814782</v>
      </c>
      <c r="AG63">
        <f>'2026_Fantasy_Hitters'!J92</f>
        <v>30.20847702</v>
      </c>
      <c r="AH63">
        <f>'2026_Fantasy_Hitters'!K92</f>
        <v>76.412429378530874</v>
      </c>
      <c r="AI63">
        <f>'2026_Fantasy_Hitters'!L92</f>
        <v>72.999999999999545</v>
      </c>
      <c r="AJ63">
        <f>'2026_Fantasy_Hitters'!M92</f>
        <v>77.308899999999994</v>
      </c>
      <c r="AK63">
        <f>'2026_Fantasy_Hitters'!N92</f>
        <v>4.8459534000000009</v>
      </c>
      <c r="AL63">
        <f>'2026_Fantasy_Hitters'!O92</f>
        <v>176.69059999999999</v>
      </c>
      <c r="AM63">
        <f>'2026_Fantasy_Hitters'!P92</f>
        <v>6.0016949152541583</v>
      </c>
      <c r="AN63">
        <f>'2026_Fantasy_Hitters'!Q92</f>
        <v>2.0376656799999999</v>
      </c>
      <c r="AO63">
        <f>'2026_Fantasy_Hitters'!R92</f>
        <v>0.90000218999999992</v>
      </c>
      <c r="AP63">
        <f>'2026_Fantasy_Hitters'!S92</f>
        <v>8.7602040816325815</v>
      </c>
      <c r="AQ63">
        <f>'2026_Fantasy_Hitters'!T92</f>
        <v>2.9784538600000001</v>
      </c>
      <c r="AR63">
        <f>'2026_Fantasy_Hitters'!U92</f>
        <v>5.7817502216325813</v>
      </c>
      <c r="AS63">
        <f>'2026_Fantasy_Hitters'!V92</f>
        <v>0.22208165004808697</v>
      </c>
      <c r="AT63">
        <f>'2026_Fantasy_Hitters'!W92</f>
        <v>0.34971834537364654</v>
      </c>
      <c r="AU63">
        <f>'2026_Fantasy_Hitters'!X92</f>
        <v>0.45621155540819835</v>
      </c>
      <c r="AV63">
        <f>'2026_Fantasy_Hitters'!Y92</f>
        <v>0.8059299007818449</v>
      </c>
      <c r="AW63">
        <f>'2026_Fantasy_Hitters'!Z92</f>
        <v>0.28199999999999997</v>
      </c>
      <c r="AX63">
        <f>'2026_Fantasy_Hitters'!AA92</f>
        <v>0.3266</v>
      </c>
      <c r="AY63">
        <f>'2026_Fantasy_Hitters'!AB92</f>
        <v>0.1429</v>
      </c>
      <c r="AZ63">
        <f t="shared" si="21"/>
        <v>5.5838220000000001E-2</v>
      </c>
    </row>
    <row r="64" spans="1:52">
      <c r="A64" t="s">
        <v>280</v>
      </c>
      <c r="B64" t="s">
        <v>130</v>
      </c>
      <c r="C64" t="s">
        <v>20</v>
      </c>
      <c r="D64">
        <v>555</v>
      </c>
      <c r="E64">
        <v>606</v>
      </c>
      <c r="F64" s="6">
        <f t="shared" si="0"/>
        <v>3.7737149170836761</v>
      </c>
      <c r="G64" s="5">
        <f t="shared" si="1"/>
        <v>0.63705211526495742</v>
      </c>
      <c r="H64" s="5">
        <f t="shared" si="2"/>
        <v>1.2073479836714849</v>
      </c>
      <c r="I64" s="5">
        <f t="shared" si="3"/>
        <v>0.38429285332974489</v>
      </c>
      <c r="J64" s="5">
        <f t="shared" si="4"/>
        <v>0.9078978507667248</v>
      </c>
      <c r="K64" s="5">
        <f t="shared" si="5"/>
        <v>-0.37088154033022225</v>
      </c>
      <c r="L64" s="5">
        <f t="shared" si="6"/>
        <v>-0.9472330444599707</v>
      </c>
      <c r="M64" s="5">
        <f t="shared" si="7"/>
        <v>1.2103076228978746</v>
      </c>
      <c r="N64" s="5">
        <f t="shared" si="8"/>
        <v>0.91554447726223187</v>
      </c>
      <c r="O64" s="5">
        <f t="shared" si="9"/>
        <v>-0.31395160746744699</v>
      </c>
      <c r="P64" s="1">
        <f t="shared" si="10"/>
        <v>0.14333820614829676</v>
      </c>
      <c r="R64">
        <f t="shared" si="11"/>
        <v>115.06048624277079</v>
      </c>
      <c r="S64">
        <f t="shared" si="12"/>
        <v>124.58436393735155</v>
      </c>
      <c r="T64">
        <f t="shared" si="13"/>
        <v>116.99951444582211</v>
      </c>
      <c r="U64">
        <f t="shared" si="14"/>
        <v>123.35937534825882</v>
      </c>
      <c r="V64">
        <f t="shared" si="15"/>
        <v>86.577380833168121</v>
      </c>
      <c r="W64">
        <f t="shared" si="16"/>
        <v>53.945107182201831</v>
      </c>
      <c r="X64">
        <f t="shared" si="17"/>
        <v>107.98784221774395</v>
      </c>
      <c r="Y64">
        <f t="shared" si="18"/>
        <v>110.06624705939247</v>
      </c>
      <c r="Z64">
        <f t="shared" si="19"/>
        <v>71.132377042360417</v>
      </c>
      <c r="AA64">
        <f t="shared" si="20"/>
        <v>105.20597356662222</v>
      </c>
      <c r="AC64">
        <f>'2026_Fantasy_Hitters'!F38</f>
        <v>150.59804624706018</v>
      </c>
      <c r="AD64">
        <f>'2026_Fantasy_Hitters'!G38</f>
        <v>92.667311290694101</v>
      </c>
      <c r="AE64">
        <f>'2026_Fantasy_Hitters'!H38</f>
        <v>33.20506157326782</v>
      </c>
      <c r="AF64">
        <f>'2026_Fantasy_Hitters'!I38</f>
        <v>4.0638429424145546</v>
      </c>
      <c r="AG64">
        <f>'2026_Fantasy_Hitters'!J38</f>
        <v>22.032729839999998</v>
      </c>
      <c r="AH64">
        <f>'2026_Fantasy_Hitters'!K38</f>
        <v>77.127272727272569</v>
      </c>
      <c r="AI64">
        <f>'2026_Fantasy_Hitters'!L38</f>
        <v>80.999999999999602</v>
      </c>
      <c r="AJ64">
        <f>'2026_Fantasy_Hitters'!M38</f>
        <v>40.662600000000005</v>
      </c>
      <c r="AK64">
        <f>'2026_Fantasy_Hitters'!N38</f>
        <v>1.9433510999999999</v>
      </c>
      <c r="AL64">
        <f>'2026_Fantasy_Hitters'!O38</f>
        <v>117.1397999999994</v>
      </c>
      <c r="AM64">
        <f>'2026_Fantasy_Hitters'!P38</f>
        <v>3.1044652799999999</v>
      </c>
      <c r="AN64">
        <f>'2026_Fantasy_Hitters'!Q38</f>
        <v>5.00826276</v>
      </c>
      <c r="AO64">
        <f>'2026_Fantasy_Hitters'!R38</f>
        <v>2.9885738399999999</v>
      </c>
      <c r="AP64">
        <f>'2026_Fantasy_Hitters'!S38</f>
        <v>7.6833333333332856</v>
      </c>
      <c r="AQ64">
        <f>'2026_Fantasy_Hitters'!T38</f>
        <v>2.01706494</v>
      </c>
      <c r="AR64">
        <f>'2026_Fantasy_Hitters'!U38</f>
        <v>5.6662683933332856</v>
      </c>
      <c r="AS64">
        <f>'2026_Fantasy_Hitters'!V38</f>
        <v>0.27134783107578409</v>
      </c>
      <c r="AT64">
        <f>'2026_Fantasy_Hitters'!W38</f>
        <v>0.32576142100867672</v>
      </c>
      <c r="AU64">
        <f>'2026_Fantasy_Hitters'!X38</f>
        <v>0.46738717589995205</v>
      </c>
      <c r="AV64">
        <f>'2026_Fantasy_Hitters'!Y38</f>
        <v>0.79314859690862871</v>
      </c>
      <c r="AW64">
        <f>'2026_Fantasy_Hitters'!Z38</f>
        <v>0.30549999999999999</v>
      </c>
      <c r="AX64">
        <f>'2026_Fantasy_Hitters'!AA38</f>
        <v>0.193299999999999</v>
      </c>
      <c r="AY64">
        <f>'2026_Fantasy_Hitters'!AB38</f>
        <v>6.7100000000000007E-2</v>
      </c>
      <c r="AZ64">
        <f t="shared" si="21"/>
        <v>3.6357639999999997E-2</v>
      </c>
    </row>
    <row r="65" spans="1:52">
      <c r="A65" t="s">
        <v>318</v>
      </c>
      <c r="B65" t="s">
        <v>156</v>
      </c>
      <c r="C65" t="s">
        <v>87</v>
      </c>
      <c r="D65">
        <v>526</v>
      </c>
      <c r="E65">
        <v>603</v>
      </c>
      <c r="F65" s="6">
        <f t="shared" si="0"/>
        <v>3.6879524436402731</v>
      </c>
      <c r="G65" s="5">
        <f t="shared" si="1"/>
        <v>0.32862236806007333</v>
      </c>
      <c r="H65" s="5">
        <f t="shared" si="2"/>
        <v>0.77725629558396037</v>
      </c>
      <c r="I65" s="5">
        <f t="shared" si="3"/>
        <v>0.24386090959889051</v>
      </c>
      <c r="J65" s="5">
        <f t="shared" si="4"/>
        <v>0.6711299100532262</v>
      </c>
      <c r="K65" s="5">
        <f t="shared" si="5"/>
        <v>1.2065636434969327</v>
      </c>
      <c r="L65" s="5">
        <f t="shared" si="6"/>
        <v>-0.30016927320305453</v>
      </c>
      <c r="M65" s="5">
        <f t="shared" si="7"/>
        <v>0.89881377466593193</v>
      </c>
      <c r="N65" s="5">
        <f t="shared" si="8"/>
        <v>0.37072410523734833</v>
      </c>
      <c r="O65" s="5">
        <f t="shared" si="9"/>
        <v>-0.51203361612823672</v>
      </c>
      <c r="P65" s="1">
        <f t="shared" si="10"/>
        <v>3.1843262752000515E-3</v>
      </c>
      <c r="R65">
        <f t="shared" si="11"/>
        <v>107.76892900069416</v>
      </c>
      <c r="S65">
        <f t="shared" si="12"/>
        <v>115.82671433725865</v>
      </c>
      <c r="T65">
        <f t="shared" si="13"/>
        <v>110.78739044866022</v>
      </c>
      <c r="U65">
        <f t="shared" si="14"/>
        <v>117.26755434340654</v>
      </c>
      <c r="V65">
        <f t="shared" si="15"/>
        <v>143.66689232573916</v>
      </c>
      <c r="W65">
        <f t="shared" si="16"/>
        <v>85.405636146863472</v>
      </c>
      <c r="X65">
        <f t="shared" si="17"/>
        <v>105.9320312285368</v>
      </c>
      <c r="Y65">
        <f t="shared" si="18"/>
        <v>104.07604494032947</v>
      </c>
      <c r="Z65">
        <f t="shared" si="19"/>
        <v>52.918879787677682</v>
      </c>
      <c r="AA65">
        <f t="shared" si="20"/>
        <v>100.11565317343972</v>
      </c>
      <c r="AC65">
        <f>'2026_Fantasy_Hitters'!F44</f>
        <v>140.01176657432731</v>
      </c>
      <c r="AD65">
        <f>'2026_Fantasy_Hitters'!G44</f>
        <v>91.493910598016456</v>
      </c>
      <c r="AE65">
        <f>'2026_Fantasy_Hitters'!H44</f>
        <v>27.268654537036102</v>
      </c>
      <c r="AF65">
        <f>'2026_Fantasy_Hitters'!I44</f>
        <v>0.99434856312982323</v>
      </c>
      <c r="AG65">
        <f>'2026_Fantasy_Hitters'!J44</f>
        <v>20.862895499999997</v>
      </c>
      <c r="AH65">
        <f>'2026_Fantasy_Hitters'!K44</f>
        <v>72.239600665557305</v>
      </c>
      <c r="AI65">
        <f>'2026_Fantasy_Hitters'!L44</f>
        <v>76.999999999999631</v>
      </c>
      <c r="AJ65">
        <f>'2026_Fantasy_Hitters'!M44</f>
        <v>67.475700000000003</v>
      </c>
      <c r="AK65">
        <f>'2026_Fantasy_Hitters'!N44</f>
        <v>3.7170729000000002</v>
      </c>
      <c r="AL65">
        <f>'2026_Fantasy_Hitters'!O44</f>
        <v>115.59509999999941</v>
      </c>
      <c r="AM65">
        <f>'2026_Fantasy_Hitters'!P44</f>
        <v>4.9149746099999998</v>
      </c>
      <c r="AN65">
        <f>'2026_Fantasy_Hitters'!Q44</f>
        <v>4.0133087100000004</v>
      </c>
      <c r="AO65">
        <f>'2026_Fantasy_Hitters'!R44</f>
        <v>0</v>
      </c>
      <c r="AP65">
        <f>'2026_Fantasy_Hitters'!S44</f>
        <v>6.2299186200000003</v>
      </c>
      <c r="AQ65">
        <f>'2026_Fantasy_Hitters'!T44</f>
        <v>2.0145024</v>
      </c>
      <c r="AR65">
        <f>'2026_Fantasy_Hitters'!U44</f>
        <v>4.2154162199999998</v>
      </c>
      <c r="AS65">
        <f>'2026_Fantasy_Hitters'!V44</f>
        <v>0.26618206573066028</v>
      </c>
      <c r="AT65">
        <f>'2026_Fantasy_Hitters'!W44</f>
        <v>0.35947659329321818</v>
      </c>
      <c r="AU65">
        <f>'2026_Fantasy_Hitters'!X44</f>
        <v>0.44195028015490134</v>
      </c>
      <c r="AV65">
        <f>'2026_Fantasy_Hitters'!Y44</f>
        <v>0.80142687344811958</v>
      </c>
      <c r="AW65">
        <f>'2026_Fantasy_Hitters'!Z44</f>
        <v>0.30274999999999902</v>
      </c>
      <c r="AX65">
        <f>'2026_Fantasy_Hitters'!AA44</f>
        <v>0.19169999999999901</v>
      </c>
      <c r="AY65">
        <f>'2026_Fantasy_Hitters'!AB44</f>
        <v>0.1119</v>
      </c>
      <c r="AZ65">
        <f t="shared" si="21"/>
        <v>3.4598499999999997E-2</v>
      </c>
    </row>
    <row r="66" spans="1:52">
      <c r="A66" t="s">
        <v>509</v>
      </c>
      <c r="B66" t="s">
        <v>228</v>
      </c>
      <c r="C66" t="s">
        <v>124</v>
      </c>
      <c r="D66">
        <v>513</v>
      </c>
      <c r="E66">
        <v>584</v>
      </c>
      <c r="F66" s="6">
        <f t="shared" ref="F66:F129" si="22">G66+H66+I66+J66+K66+L66+M66+N66+O66+P66</f>
        <v>3.4985054387052887</v>
      </c>
      <c r="G66" s="5">
        <f t="shared" ref="G66:G129" si="23">(R66-R$221)/R$222</f>
        <v>0.39243642542098522</v>
      </c>
      <c r="H66" s="5">
        <f t="shared" ref="H66:H129" si="24">(S66-S$221)/S$222</f>
        <v>0.19197013617165126</v>
      </c>
      <c r="I66" s="5">
        <f t="shared" ref="I66:I129" si="25">(T66-T$221)/T$222</f>
        <v>0.68938539217519235</v>
      </c>
      <c r="J66" s="5">
        <f t="shared" ref="J66:J129" si="26">(U66-U$221)/U$222</f>
        <v>0.78951388040997328</v>
      </c>
      <c r="K66" s="5">
        <f t="shared" ref="K66:K129" si="27">(V66-V$221)/V$222</f>
        <v>0.63483676219821417</v>
      </c>
      <c r="L66" s="5">
        <f t="shared" ref="L66:L129" si="28">(W66-W$221)/W$222</f>
        <v>0.81124062411292297</v>
      </c>
      <c r="M66" s="5">
        <f t="shared" ref="M66:M129" si="29">(X66-X$221)/X$222</f>
        <v>-0.3877986557273973</v>
      </c>
      <c r="N66" s="5">
        <f t="shared" ref="N66:N129" si="30">(Y66-Y$221)/Y$222</f>
        <v>0.59939381949265114</v>
      </c>
      <c r="O66" s="5">
        <f t="shared" ref="O66:O129" si="31">(Z66-Z$221)/Z$222</f>
        <v>-0.82165504517442334</v>
      </c>
      <c r="P66" s="1">
        <f t="shared" ref="P66:P129" si="32">(AA66-AA$221)/AA$222</f>
        <v>0.59918209962551938</v>
      </c>
      <c r="R66">
        <f t="shared" ref="R66:R129" si="33">(AH66-AVERAGE(AH$2:AH$220))/AVERAGE(AH$2:AH$220)*100+100</f>
        <v>109.27755083861032</v>
      </c>
      <c r="S66">
        <f t="shared" ref="S66:S129" si="34">(AC66-AVERAGE(AC$2:AC$220))/AVERAGE(AC$2:AC$220)*100+100</f>
        <v>103.90895065596187</v>
      </c>
      <c r="T66">
        <f t="shared" ref="T66:T129" si="35">(AG66-AVERAGE(AG$2:AG$220))/AVERAGE(AG$2:AG$220)*100+100</f>
        <v>130.49553701422897</v>
      </c>
      <c r="U66">
        <f t="shared" ref="U66:U129" si="36">(AI66-AVERAGE(AI$2:AI$220))/AVERAGE(AI$2:AI$220)*100+100</f>
        <v>120.31346484583263</v>
      </c>
      <c r="V66">
        <f t="shared" ref="V66:V129" si="37">(AJ66-AVERAGE(AJ$2:AJ$220))/AVERAGE(AJ$2:AJ$220)*100+100</f>
        <v>122.97545487031795</v>
      </c>
      <c r="W66">
        <f t="shared" ref="W66:W129" si="38">(AM66-AVERAGE(AM$2:AM$220))/AVERAGE(AM$2:AM$220)*100+100</f>
        <v>139.4428807266375</v>
      </c>
      <c r="X66">
        <f t="shared" ref="X66:X129" si="39">(AS66-AVERAGE(AS$2:AS$220))/AVERAGE(AS$2:AS$220)*100+100</f>
        <v>97.440589139819878</v>
      </c>
      <c r="Y66">
        <f t="shared" ref="Y66:Y129" si="40">(AU66-AVERAGE(AU$2:AU$220))/AVERAGE(AU$2:AU$220)*100+100</f>
        <v>106.59022737041504</v>
      </c>
      <c r="Z66">
        <f t="shared" ref="Z66:Z129" si="41">(AR66-AVERAGE(AR$2:AR$220))/AVERAGE(AR$2:AR$220)*100+100</f>
        <v>24.449413600161378</v>
      </c>
      <c r="AA66">
        <f t="shared" ref="AA66:AA129" si="42">(AZ66-AVERAGE(AZ$2:AZ$220))/AVERAGE(AZ$2:AZ$220)*100+100</f>
        <v>121.76200090725546</v>
      </c>
      <c r="AC66">
        <f>'2026_Fantasy_Hitters'!F73</f>
        <v>125.60552915162799</v>
      </c>
      <c r="AD66">
        <f>'2026_Fantasy_Hitters'!G73</f>
        <v>72.69967402885807</v>
      </c>
      <c r="AE66">
        <f>'2026_Fantasy_Hitters'!H73</f>
        <v>26.079342061925779</v>
      </c>
      <c r="AF66">
        <f>'2026_Fantasy_Hitters'!I73</f>
        <v>3.0140475683500529</v>
      </c>
      <c r="AG66">
        <f>'2026_Fantasy_Hitters'!J73</f>
        <v>24.57422944</v>
      </c>
      <c r="AH66">
        <f>'2026_Fantasy_Hitters'!K73</f>
        <v>73.250859106528736</v>
      </c>
      <c r="AI66">
        <f>'2026_Fantasy_Hitters'!L73</f>
        <v>78.999999999999574</v>
      </c>
      <c r="AJ66">
        <f>'2026_Fantasy_Hitters'!M73</f>
        <v>57.757600000000004</v>
      </c>
      <c r="AK66">
        <f>'2026_Fantasy_Hitters'!N73</f>
        <v>1.72278248</v>
      </c>
      <c r="AL66">
        <f>'2026_Fantasy_Hitters'!O73</f>
        <v>144.71519999999998</v>
      </c>
      <c r="AM66">
        <f>'2026_Fantasy_Hitters'!P73</f>
        <v>8.0247422680411873</v>
      </c>
      <c r="AN66">
        <f>'2026_Fantasy_Hitters'!Q73</f>
        <v>4.0137444000000002</v>
      </c>
      <c r="AO66">
        <f>'2026_Fantasy_Hitters'!R73</f>
        <v>0.90000239999999998</v>
      </c>
      <c r="AP66">
        <f>'2026_Fantasy_Hitters'!S73</f>
        <v>2.9861321599999999</v>
      </c>
      <c r="AQ66">
        <f>'2026_Fantasy_Hitters'!T73</f>
        <v>1.0385388799999999</v>
      </c>
      <c r="AR66">
        <f>'2026_Fantasy_Hitters'!U73</f>
        <v>1.94759328</v>
      </c>
      <c r="AS66">
        <f>'2026_Fantasy_Hitters'!V73</f>
        <v>0.24484508606555164</v>
      </c>
      <c r="AT66">
        <f>'2026_Fantasy_Hitters'!W73</f>
        <v>0.33497419122860572</v>
      </c>
      <c r="AU66">
        <f>'2026_Fantasy_Hitters'!X73</f>
        <v>0.45262654701317701</v>
      </c>
      <c r="AV66">
        <f>'2026_Fantasy_Hitters'!Y73</f>
        <v>0.78760073824178267</v>
      </c>
      <c r="AW66">
        <f>'2026_Fantasy_Hitters'!Z73</f>
        <v>0.29054999999999997</v>
      </c>
      <c r="AX66">
        <f>'2026_Fantasy_Hitters'!AA73</f>
        <v>0.24779999999999999</v>
      </c>
      <c r="AY66">
        <f>'2026_Fantasy_Hitters'!AB73</f>
        <v>9.8900000000000002E-2</v>
      </c>
      <c r="AZ66">
        <f t="shared" ref="AZ66:AZ129" si="43">AG66/$E66</f>
        <v>4.2079159999999997E-2</v>
      </c>
    </row>
    <row r="67" spans="1:52" s="10" customFormat="1">
      <c r="A67" s="10" t="s">
        <v>372</v>
      </c>
      <c r="B67" s="10" t="s">
        <v>228</v>
      </c>
      <c r="C67" s="10" t="s">
        <v>49</v>
      </c>
      <c r="D67" s="10">
        <v>562</v>
      </c>
      <c r="E67" s="10">
        <v>640</v>
      </c>
      <c r="F67" s="11">
        <f t="shared" si="22"/>
        <v>3.4407050111333675</v>
      </c>
      <c r="G67" s="11">
        <f t="shared" si="23"/>
        <v>0.54007943951564952</v>
      </c>
      <c r="H67" s="11">
        <f t="shared" si="24"/>
        <v>0.83354123956345494</v>
      </c>
      <c r="I67" s="11">
        <f t="shared" si="25"/>
        <v>0.41108363900569039</v>
      </c>
      <c r="J67" s="11">
        <f t="shared" si="26"/>
        <v>0.78951388040999815</v>
      </c>
      <c r="K67" s="11">
        <f t="shared" si="27"/>
        <v>0.9983190646458121</v>
      </c>
      <c r="L67" s="11">
        <f t="shared" si="28"/>
        <v>0.82265895599243888</v>
      </c>
      <c r="M67" s="11">
        <f t="shared" si="29"/>
        <v>1.9301906033870306E-2</v>
      </c>
      <c r="N67" s="11">
        <f t="shared" si="30"/>
        <v>-6.9148746866948663E-2</v>
      </c>
      <c r="O67" s="11">
        <f t="shared" si="31"/>
        <v>-0.92187881834125007</v>
      </c>
      <c r="P67" s="10">
        <f t="shared" si="32"/>
        <v>1.7234451174651604E-2</v>
      </c>
      <c r="R67" s="10">
        <f t="shared" si="33"/>
        <v>112.76796477701959</v>
      </c>
      <c r="S67" s="10">
        <f t="shared" si="34"/>
        <v>116.97280441708591</v>
      </c>
      <c r="T67" s="10">
        <f t="shared" si="35"/>
        <v>118.18462716433102</v>
      </c>
      <c r="U67" s="10">
        <f t="shared" si="36"/>
        <v>120.31346484583327</v>
      </c>
      <c r="V67" s="10">
        <f t="shared" si="37"/>
        <v>136.13028731437331</v>
      </c>
      <c r="W67" s="10">
        <f t="shared" si="38"/>
        <v>139.9980451119435</v>
      </c>
      <c r="X67" s="10">
        <f t="shared" si="39"/>
        <v>100.12738958012274</v>
      </c>
      <c r="Y67" s="10">
        <f t="shared" si="40"/>
        <v>99.23972195005571</v>
      </c>
      <c r="Z67" s="10">
        <f t="shared" si="41"/>
        <v>15.233910234815681</v>
      </c>
      <c r="AA67" s="10">
        <f t="shared" si="42"/>
        <v>100.62594684042345</v>
      </c>
      <c r="AC67" s="10">
        <f>'2026_Fantasy_Hitters'!F53</f>
        <v>141.39716456000002</v>
      </c>
      <c r="AD67" s="10">
        <f>'2026_Fantasy_Hitters'!G53</f>
        <v>90.257014347853101</v>
      </c>
      <c r="AE67" s="10">
        <f>'2026_Fantasy_Hitters'!H53</f>
        <v>27.282347481176419</v>
      </c>
      <c r="AF67" s="10">
        <f>'2026_Fantasy_Hitters'!I53</f>
        <v>0.99630449448173297</v>
      </c>
      <c r="AG67" s="10">
        <f>'2026_Fantasy_Hitters'!J53</f>
        <v>22.255904000000001</v>
      </c>
      <c r="AH67" s="10">
        <f>'2026_Fantasy_Hitters'!K53</f>
        <v>75.590551181102072</v>
      </c>
      <c r="AI67" s="10">
        <f>'2026_Fantasy_Hitters'!L53</f>
        <v>79</v>
      </c>
      <c r="AJ67" s="10">
        <f>'2026_Fantasy_Hitters'!M53</f>
        <v>63.936</v>
      </c>
      <c r="AK67" s="10">
        <f>'2026_Fantasy_Hitters'!N53</f>
        <v>1.7797504</v>
      </c>
      <c r="AL67" s="10">
        <f>'2026_Fantasy_Hitters'!O53</f>
        <v>90.912000000000006</v>
      </c>
      <c r="AM67" s="10">
        <f>'2026_Fantasy_Hitters'!P53</f>
        <v>8.0566911999999995</v>
      </c>
      <c r="AN67" s="10">
        <f>'2026_Fantasy_Hitters'!Q53</f>
        <v>5.0393728000000007</v>
      </c>
      <c r="AO67" s="10">
        <f>'2026_Fantasy_Hitters'!R53</f>
        <v>0.89999999999999991</v>
      </c>
      <c r="AP67" s="10">
        <f>'2026_Fantasy_Hitters'!S53</f>
        <v>2.2142848000000002</v>
      </c>
      <c r="AQ67" s="10">
        <f>'2026_Fantasy_Hitters'!T53</f>
        <v>1.0007808</v>
      </c>
      <c r="AR67" s="10">
        <f>'2026_Fantasy_Hitters'!U53</f>
        <v>1.2135040000000001</v>
      </c>
      <c r="AS67" s="10">
        <f>'2026_Fantasy_Hitters'!V53</f>
        <v>0.25159637822064063</v>
      </c>
      <c r="AT67" s="10">
        <f>'2026_Fantasy_Hitters'!W53</f>
        <v>0.34005193837362202</v>
      </c>
      <c r="AU67" s="10">
        <f>'2026_Fantasy_Hitters'!X53</f>
        <v>0.4214132362876355</v>
      </c>
      <c r="AV67" s="10">
        <f>'2026_Fantasy_Hitters'!Y53</f>
        <v>0.76146517466125752</v>
      </c>
      <c r="AW67" s="10">
        <f>'2026_Fantasy_Hitters'!Z53</f>
        <v>0.26250000000000001</v>
      </c>
      <c r="AX67" s="10">
        <f>'2026_Fantasy_Hitters'!AA53</f>
        <v>0.14205000000000001</v>
      </c>
      <c r="AY67" s="10">
        <f>'2026_Fantasy_Hitters'!AB53</f>
        <v>9.9900000000000003E-2</v>
      </c>
      <c r="AZ67" s="10">
        <f t="shared" si="43"/>
        <v>3.4774850000000003E-2</v>
      </c>
    </row>
    <row r="68" spans="1:52">
      <c r="A68" t="s">
        <v>403</v>
      </c>
      <c r="B68" t="s">
        <v>404</v>
      </c>
      <c r="C68" t="s">
        <v>20</v>
      </c>
      <c r="D68">
        <v>466</v>
      </c>
      <c r="E68">
        <v>529</v>
      </c>
      <c r="F68" s="6">
        <f t="shared" si="22"/>
        <v>3.438888296410203</v>
      </c>
      <c r="G68" s="5">
        <f t="shared" si="23"/>
        <v>0.65673354854990773</v>
      </c>
      <c r="H68" s="5">
        <f t="shared" si="24"/>
        <v>-0.34304049929286418</v>
      </c>
      <c r="I68" s="5">
        <f t="shared" si="25"/>
        <v>0.5992278589323895</v>
      </c>
      <c r="J68" s="5">
        <f t="shared" si="26"/>
        <v>-9.8365897265652841E-2</v>
      </c>
      <c r="K68" s="5">
        <f t="shared" si="27"/>
        <v>0.37706813145654228</v>
      </c>
      <c r="L68" s="5">
        <f t="shared" si="28"/>
        <v>-0.61983691426046683</v>
      </c>
      <c r="M68" s="5">
        <f t="shared" si="29"/>
        <v>-0.60273408326327216</v>
      </c>
      <c r="N68" s="5">
        <f t="shared" si="30"/>
        <v>0.72241700308538026</v>
      </c>
      <c r="O68" s="5">
        <f t="shared" si="31"/>
        <v>1.912788263637698</v>
      </c>
      <c r="P68" s="1">
        <f t="shared" si="32"/>
        <v>0.83463088483054093</v>
      </c>
      <c r="R68">
        <f t="shared" si="33"/>
        <v>115.52577306644412</v>
      </c>
      <c r="S68">
        <f t="shared" si="34"/>
        <v>93.014911530128387</v>
      </c>
      <c r="T68">
        <f t="shared" si="35"/>
        <v>126.50734343872779</v>
      </c>
      <c r="U68">
        <f t="shared" si="36"/>
        <v>97.469136077636421</v>
      </c>
      <c r="V68">
        <f t="shared" si="37"/>
        <v>113.64651884260275</v>
      </c>
      <c r="W68">
        <f t="shared" si="38"/>
        <v>69.86325295792939</v>
      </c>
      <c r="X68">
        <f t="shared" si="39"/>
        <v>96.022048721104554</v>
      </c>
      <c r="Y68">
        <f t="shared" si="40"/>
        <v>107.94284517417327</v>
      </c>
      <c r="Z68">
        <f t="shared" si="41"/>
        <v>275.87949569016484</v>
      </c>
      <c r="AA68">
        <f t="shared" si="42"/>
        <v>130.3133856706624</v>
      </c>
      <c r="AC68">
        <f>'2026_Fantasy_Hitters'!F58</f>
        <v>112.43677380994998</v>
      </c>
      <c r="AD68">
        <f>'2026_Fantasy_Hitters'!G58</f>
        <v>63.120304799116759</v>
      </c>
      <c r="AE68">
        <f>'2026_Fantasy_Hitters'!H58</f>
        <v>23.198836084504258</v>
      </c>
      <c r="AF68">
        <f>'2026_Fantasy_Hitters'!I58</f>
        <v>2.9299397867253729</v>
      </c>
      <c r="AG68">
        <f>'2026_Fantasy_Hitters'!J58</f>
        <v>23.823193916349762</v>
      </c>
      <c r="AH68">
        <f>'2026_Fantasy_Hitters'!K58</f>
        <v>77.439163498098452</v>
      </c>
      <c r="AI68">
        <f>'2026_Fantasy_Hitters'!L58</f>
        <v>63.999999999999567</v>
      </c>
      <c r="AJ68">
        <f>'2026_Fantasy_Hitters'!M58</f>
        <v>53.376099999999475</v>
      </c>
      <c r="AK68">
        <f>'2026_Fantasy_Hitters'!N58</f>
        <v>3.6969059199999998</v>
      </c>
      <c r="AL68">
        <f>'2026_Fantasy_Hitters'!O58</f>
        <v>159.75799999999998</v>
      </c>
      <c r="AM68">
        <f>'2026_Fantasy_Hitters'!P58</f>
        <v>4.0205322500000005</v>
      </c>
      <c r="AN68">
        <f>'2026_Fantasy_Hitters'!Q58</f>
        <v>3.0171091799999998</v>
      </c>
      <c r="AO68">
        <f>'2026_Fantasy_Hitters'!R58</f>
        <v>0</v>
      </c>
      <c r="AP68">
        <f>'2026_Fantasy_Hitters'!S58</f>
        <v>28.115493020000002</v>
      </c>
      <c r="AQ68">
        <f>'2026_Fantasy_Hitters'!T58</f>
        <v>6.1394628099172737</v>
      </c>
      <c r="AR68">
        <f>'2026_Fantasy_Hitters'!U58</f>
        <v>21.97603021008273</v>
      </c>
      <c r="AS68">
        <f>'2026_Fantasy_Hitters'!V58</f>
        <v>0.24128063049345491</v>
      </c>
      <c r="AT68">
        <f>'2026_Fantasy_Hitters'!W58</f>
        <v>0.32984902585931447</v>
      </c>
      <c r="AU68">
        <f>'2026_Fantasy_Hitters'!X58</f>
        <v>0.45837032616673912</v>
      </c>
      <c r="AV68">
        <f>'2026_Fantasy_Hitters'!Y58</f>
        <v>0.78821935202605364</v>
      </c>
      <c r="AW68">
        <f>'2026_Fantasy_Hitters'!Z58</f>
        <v>0.31045</v>
      </c>
      <c r="AX68">
        <f>'2026_Fantasy_Hitters'!AA58</f>
        <v>0.30199999999999999</v>
      </c>
      <c r="AY68">
        <f>'2026_Fantasy_Hitters'!AB58</f>
        <v>0.100899999999999</v>
      </c>
      <c r="AZ68">
        <f t="shared" si="43"/>
        <v>4.5034393036578003E-2</v>
      </c>
    </row>
    <row r="69" spans="1:52">
      <c r="A69" t="s">
        <v>390</v>
      </c>
      <c r="B69" t="s">
        <v>136</v>
      </c>
      <c r="C69" t="s">
        <v>391</v>
      </c>
      <c r="D69">
        <v>525</v>
      </c>
      <c r="E69">
        <v>585</v>
      </c>
      <c r="F69" s="6">
        <f t="shared" si="22"/>
        <v>3.1634000771874211</v>
      </c>
      <c r="G69" s="5">
        <f t="shared" si="23"/>
        <v>0.51091758801639431</v>
      </c>
      <c r="H69" s="5">
        <f t="shared" si="24"/>
        <v>0.59402041780999248</v>
      </c>
      <c r="I69" s="5">
        <f t="shared" si="25"/>
        <v>0.51666757614276737</v>
      </c>
      <c r="J69" s="5">
        <f t="shared" si="26"/>
        <v>0.73032189523161162</v>
      </c>
      <c r="K69" s="5">
        <f t="shared" si="27"/>
        <v>0.19668597951843692</v>
      </c>
      <c r="L69" s="5">
        <f t="shared" si="28"/>
        <v>9.0916115279966445E-2</v>
      </c>
      <c r="M69" s="5">
        <f t="shared" si="29"/>
        <v>0.41136436790506442</v>
      </c>
      <c r="N69" s="5">
        <f t="shared" si="30"/>
        <v>0.44579261217645494</v>
      </c>
      <c r="O69" s="5">
        <f t="shared" si="31"/>
        <v>-0.73078813409223797</v>
      </c>
      <c r="P69" s="1">
        <f t="shared" si="32"/>
        <v>0.39750165919897118</v>
      </c>
      <c r="R69">
        <f t="shared" si="33"/>
        <v>112.07855232112405</v>
      </c>
      <c r="S69">
        <f t="shared" si="34"/>
        <v>112.0956131414985</v>
      </c>
      <c r="T69">
        <f t="shared" si="35"/>
        <v>122.85522056479793</v>
      </c>
      <c r="U69">
        <f t="shared" si="36"/>
        <v>118.79050959461989</v>
      </c>
      <c r="V69">
        <f t="shared" si="37"/>
        <v>107.118286329863</v>
      </c>
      <c r="W69">
        <f t="shared" si="38"/>
        <v>104.42038204760536</v>
      </c>
      <c r="X69">
        <f t="shared" si="39"/>
        <v>102.71494089821569</v>
      </c>
      <c r="Y69">
        <f t="shared" si="40"/>
        <v>104.9014096888433</v>
      </c>
      <c r="Z69">
        <f t="shared" si="41"/>
        <v>32.804560272623874</v>
      </c>
      <c r="AA69">
        <f t="shared" si="42"/>
        <v>114.43706591623813</v>
      </c>
      <c r="AC69">
        <f>'2026_Fantasy_Hitters'!F56</f>
        <v>135.50159745941252</v>
      </c>
      <c r="AD69">
        <f>'2026_Fantasy_Hitters'!G56</f>
        <v>81.248274413574208</v>
      </c>
      <c r="AE69">
        <f>'2026_Fantasy_Hitters'!H56</f>
        <v>28.153656882456549</v>
      </c>
      <c r="AF69">
        <f>'2026_Fantasy_Hitters'!I56</f>
        <v>1.2555231994771707</v>
      </c>
      <c r="AG69">
        <f>'2026_Fantasy_Hitters'!J56</f>
        <v>23.135445450000002</v>
      </c>
      <c r="AH69">
        <f>'2026_Fantasy_Hitters'!K56</f>
        <v>75.128424657533913</v>
      </c>
      <c r="AI69">
        <f>'2026_Fantasy_Hitters'!L56</f>
        <v>77.999999999999801</v>
      </c>
      <c r="AJ69">
        <f>'2026_Fantasy_Hitters'!M56</f>
        <v>50.309999999999995</v>
      </c>
      <c r="AK69">
        <f>'2026_Fantasy_Hitters'!N56</f>
        <v>1.992861</v>
      </c>
      <c r="AL69">
        <f>'2026_Fantasy_Hitters'!O56</f>
        <v>134.4915</v>
      </c>
      <c r="AM69">
        <f>'2026_Fantasy_Hitters'!P56</f>
        <v>6.00924657534242</v>
      </c>
      <c r="AN69">
        <f>'2026_Fantasy_Hitters'!Q56</f>
        <v>5.0085594000000002</v>
      </c>
      <c r="AO69">
        <f>'2026_Fantasy_Hitters'!R56</f>
        <v>0</v>
      </c>
      <c r="AP69">
        <f>'2026_Fantasy_Hitters'!S56</f>
        <v>4.7448999000000001</v>
      </c>
      <c r="AQ69">
        <f>'2026_Fantasy_Hitters'!T56</f>
        <v>2.1317517000000001</v>
      </c>
      <c r="AR69">
        <f>'2026_Fantasy_Hitters'!U56</f>
        <v>2.6131481999999999</v>
      </c>
      <c r="AS69">
        <f>'2026_Fantasy_Hitters'!V56</f>
        <v>0.25809828087507147</v>
      </c>
      <c r="AT69">
        <f>'2026_Fantasy_Hitters'!W56</f>
        <v>0.33283514326684671</v>
      </c>
      <c r="AU69">
        <f>'2026_Fantasy_Hitters'!X56</f>
        <v>0.44545512300365492</v>
      </c>
      <c r="AV69">
        <f>'2026_Fantasy_Hitters'!Y56</f>
        <v>0.77829026627050157</v>
      </c>
      <c r="AW69">
        <f>'2026_Fantasy_Hitters'!Z56</f>
        <v>0.30175000000000002</v>
      </c>
      <c r="AX69">
        <f>'2026_Fantasy_Hitters'!AA56</f>
        <v>0.22989999999999999</v>
      </c>
      <c r="AY69">
        <f>'2026_Fantasy_Hitters'!AB56</f>
        <v>8.5999999999999993E-2</v>
      </c>
      <c r="AZ69">
        <f t="shared" si="43"/>
        <v>3.9547770000000003E-2</v>
      </c>
    </row>
    <row r="70" spans="1:52">
      <c r="A70" t="s">
        <v>602</v>
      </c>
      <c r="B70" t="s">
        <v>27</v>
      </c>
      <c r="C70" t="s">
        <v>20</v>
      </c>
      <c r="D70">
        <v>530</v>
      </c>
      <c r="E70">
        <v>579</v>
      </c>
      <c r="F70" s="6">
        <f t="shared" si="22"/>
        <v>3.0412503451910409</v>
      </c>
      <c r="G70" s="5">
        <f t="shared" si="23"/>
        <v>0.59089564966745156</v>
      </c>
      <c r="H70" s="5">
        <f t="shared" si="24"/>
        <v>0.61089320263726798</v>
      </c>
      <c r="I70" s="5">
        <f t="shared" si="25"/>
        <v>0.40474808862773148</v>
      </c>
      <c r="J70" s="5">
        <f t="shared" si="26"/>
        <v>0.67112991005322287</v>
      </c>
      <c r="K70" s="5">
        <f t="shared" si="27"/>
        <v>-0.68525160885265324</v>
      </c>
      <c r="L70" s="5">
        <f t="shared" si="28"/>
        <v>0.81579961858600625</v>
      </c>
      <c r="M70" s="5">
        <f t="shared" si="29"/>
        <v>0.311792058390648</v>
      </c>
      <c r="N70" s="5">
        <f t="shared" si="30"/>
        <v>0.35192638762308726</v>
      </c>
      <c r="O70" s="5">
        <f t="shared" si="31"/>
        <v>-0.332546571807881</v>
      </c>
      <c r="P70" s="1">
        <f t="shared" si="32"/>
        <v>0.30186361026615977</v>
      </c>
      <c r="R70">
        <f t="shared" si="33"/>
        <v>113.96930579067066</v>
      </c>
      <c r="S70">
        <f t="shared" si="34"/>
        <v>112.43918159768539</v>
      </c>
      <c r="T70">
        <f t="shared" si="35"/>
        <v>117.90436881646127</v>
      </c>
      <c r="U70">
        <f t="shared" si="36"/>
        <v>117.26755434340646</v>
      </c>
      <c r="V70">
        <f t="shared" si="37"/>
        <v>75.199975251131619</v>
      </c>
      <c r="W70">
        <f t="shared" si="38"/>
        <v>139.66454106993189</v>
      </c>
      <c r="X70">
        <f t="shared" si="39"/>
        <v>102.05777912990992</v>
      </c>
      <c r="Y70">
        <f t="shared" si="40"/>
        <v>103.86936741197641</v>
      </c>
      <c r="Z70">
        <f t="shared" si="41"/>
        <v>69.422583536856351</v>
      </c>
      <c r="AA70">
        <f t="shared" si="42"/>
        <v>110.96353873819869</v>
      </c>
      <c r="AC70">
        <f>'2026_Fantasy_Hitters'!F88</f>
        <v>135.916904297435</v>
      </c>
      <c r="AD70">
        <f>'2026_Fantasy_Hitters'!G88</f>
        <v>81.925403365180557</v>
      </c>
      <c r="AE70">
        <f>'2026_Fantasy_Hitters'!H88</f>
        <v>28.9944973606678</v>
      </c>
      <c r="AF70">
        <f>'2026_Fantasy_Hitters'!I88</f>
        <v>1.6805309427442838</v>
      </c>
      <c r="AG70">
        <f>'2026_Fantasy_Hitters'!J88</f>
        <v>22.20312723</v>
      </c>
      <c r="AH70">
        <f>'2026_Fantasy_Hitters'!K88</f>
        <v>76.395833333333073</v>
      </c>
      <c r="AI70">
        <f>'2026_Fantasy_Hitters'!L88</f>
        <v>76.999999999999574</v>
      </c>
      <c r="AJ70">
        <f>'2026_Fantasy_Hitters'!M88</f>
        <v>35.319000000000003</v>
      </c>
      <c r="AK70">
        <f>'2026_Fantasy_Hitters'!N88</f>
        <v>0.25078226999999997</v>
      </c>
      <c r="AL70">
        <f>'2026_Fantasy_Hitters'!O88</f>
        <v>125.38244999999999</v>
      </c>
      <c r="AM70">
        <f>'2026_Fantasy_Hitters'!P88</f>
        <v>8.0374985100000007</v>
      </c>
      <c r="AN70">
        <f>'2026_Fantasy_Hitters'!Q88</f>
        <v>5.0260442400000001</v>
      </c>
      <c r="AO70">
        <f>'2026_Fantasy_Hitters'!R88</f>
        <v>0.99618107999999994</v>
      </c>
      <c r="AP70">
        <f>'2026_Fantasy_Hitters'!S88</f>
        <v>9.4235897699999995</v>
      </c>
      <c r="AQ70">
        <f>'2026_Fantasy_Hitters'!T88</f>
        <v>3.89352024</v>
      </c>
      <c r="AR70">
        <f>'2026_Fantasy_Hitters'!U88</f>
        <v>5.5300695299999996</v>
      </c>
      <c r="AS70">
        <f>'2026_Fantasy_Hitters'!V88</f>
        <v>0.2564469892404434</v>
      </c>
      <c r="AT70">
        <f>'2026_Fantasy_Hitters'!W88</f>
        <v>0.31462582924147758</v>
      </c>
      <c r="AU70">
        <f>'2026_Fantasy_Hitters'!X88</f>
        <v>0.44107264119763961</v>
      </c>
      <c r="AV70">
        <f>'2026_Fantasy_Hitters'!Y88</f>
        <v>0.7556984704391172</v>
      </c>
      <c r="AW70">
        <f>'2026_Fantasy_Hitters'!Z88</f>
        <v>0.29349999999999998</v>
      </c>
      <c r="AX70">
        <f>'2026_Fantasy_Hitters'!AA88</f>
        <v>0.21654999999999999</v>
      </c>
      <c r="AY70">
        <f>'2026_Fantasy_Hitters'!AB88</f>
        <v>6.0999999999999999E-2</v>
      </c>
      <c r="AZ70">
        <f t="shared" si="43"/>
        <v>3.8347369999999999E-2</v>
      </c>
    </row>
    <row r="71" spans="1:52">
      <c r="A71" t="s">
        <v>314</v>
      </c>
      <c r="B71" t="s">
        <v>74</v>
      </c>
      <c r="C71" t="s">
        <v>124</v>
      </c>
      <c r="D71">
        <v>546</v>
      </c>
      <c r="E71">
        <v>607</v>
      </c>
      <c r="F71" s="6">
        <f t="shared" si="22"/>
        <v>3.0066294391409163</v>
      </c>
      <c r="G71" s="5">
        <f t="shared" si="23"/>
        <v>0.21659732482056132</v>
      </c>
      <c r="H71" s="5">
        <f t="shared" si="24"/>
        <v>0.68154979484967015</v>
      </c>
      <c r="I71" s="5">
        <f t="shared" si="25"/>
        <v>0.17861784246079301</v>
      </c>
      <c r="J71" s="5">
        <f t="shared" si="26"/>
        <v>1.2038577766585912</v>
      </c>
      <c r="K71" s="5">
        <f t="shared" si="27"/>
        <v>0.25085769130364821</v>
      </c>
      <c r="L71" s="5">
        <f t="shared" si="28"/>
        <v>6.4674901691438413E-2</v>
      </c>
      <c r="M71" s="5">
        <f t="shared" si="29"/>
        <v>5.0713343868340477E-2</v>
      </c>
      <c r="N71" s="5">
        <f t="shared" si="30"/>
        <v>-0.25072181042456321</v>
      </c>
      <c r="O71" s="5">
        <f t="shared" si="31"/>
        <v>0.69679917651898704</v>
      </c>
      <c r="P71" s="1">
        <f t="shared" si="32"/>
        <v>-8.6316602606549511E-2</v>
      </c>
      <c r="R71">
        <f t="shared" si="33"/>
        <v>105.12055599929101</v>
      </c>
      <c r="S71">
        <f t="shared" si="34"/>
        <v>113.87791127712748</v>
      </c>
      <c r="T71">
        <f t="shared" si="35"/>
        <v>107.90130903264139</v>
      </c>
      <c r="U71">
        <f t="shared" si="36"/>
        <v>130.97415160432399</v>
      </c>
      <c r="V71">
        <f t="shared" si="37"/>
        <v>109.07882137364233</v>
      </c>
      <c r="W71">
        <f t="shared" si="38"/>
        <v>103.14452254682368</v>
      </c>
      <c r="X71">
        <f t="shared" si="39"/>
        <v>100.33470018819233</v>
      </c>
      <c r="Y71">
        <f t="shared" si="40"/>
        <v>97.243358733964541</v>
      </c>
      <c r="Z71">
        <f t="shared" si="41"/>
        <v>164.07017969172063</v>
      </c>
      <c r="AA71">
        <f t="shared" si="42"/>
        <v>96.865023195104044</v>
      </c>
      <c r="AC71">
        <f>'2026_Fantasy_Hitters'!F43</f>
        <v>137.65604612835202</v>
      </c>
      <c r="AD71">
        <f>'2026_Fantasy_Hitters'!G43</f>
        <v>91.582029247069002</v>
      </c>
      <c r="AE71">
        <f>'2026_Fantasy_Hitters'!H43</f>
        <v>25.919044485710224</v>
      </c>
      <c r="AF71">
        <f>'2026_Fantasy_Hitters'!I43</f>
        <v>0.25507929988489758</v>
      </c>
      <c r="AG71">
        <f>'2026_Fantasy_Hitters'!J43</f>
        <v>20.319403909999998</v>
      </c>
      <c r="AH71">
        <f>'2026_Fantasy_Hitters'!K43</f>
        <v>70.46434494195654</v>
      </c>
      <c r="AI71">
        <f>'2026_Fantasy_Hitters'!L43</f>
        <v>85.999999999999446</v>
      </c>
      <c r="AJ71">
        <f>'2026_Fantasy_Hitters'!M43</f>
        <v>51.230800000000002</v>
      </c>
      <c r="AK71">
        <f>'2026_Fantasy_Hitters'!N43</f>
        <v>5.6394063399999999</v>
      </c>
      <c r="AL71">
        <f>'2026_Fantasy_Hitters'!O43</f>
        <v>90.260899999999992</v>
      </c>
      <c r="AM71">
        <f>'2026_Fantasy_Hitters'!P43</f>
        <v>5.9358226499999995</v>
      </c>
      <c r="AN71">
        <f>'2026_Fantasy_Hitters'!Q43</f>
        <v>5.0331650899999998</v>
      </c>
      <c r="AO71">
        <f>'2026_Fantasy_Hitters'!R43</f>
        <v>0</v>
      </c>
      <c r="AP71">
        <f>'2026_Fantasy_Hitters'!S43</f>
        <v>17.134430176564965</v>
      </c>
      <c r="AQ71">
        <f>'2026_Fantasy_Hitters'!T43</f>
        <v>4.0649151099999994</v>
      </c>
      <c r="AR71">
        <f>'2026_Fantasy_Hitters'!U43</f>
        <v>13.069515066564966</v>
      </c>
      <c r="AS71">
        <f>'2026_Fantasy_Hitters'!V43</f>
        <v>0.25211730060137733</v>
      </c>
      <c r="AT71">
        <f>'2026_Fantasy_Hitters'!W43</f>
        <v>0.32975976864019613</v>
      </c>
      <c r="AU71">
        <f>'2026_Fantasy_Hitters'!X43</f>
        <v>0.41293584571088671</v>
      </c>
      <c r="AV71">
        <f>'2026_Fantasy_Hitters'!Y43</f>
        <v>0.74269561435108278</v>
      </c>
      <c r="AW71">
        <f>'2026_Fantasy_Hitters'!Z43</f>
        <v>0.26640000000000003</v>
      </c>
      <c r="AX71">
        <f>'2026_Fantasy_Hitters'!AA43</f>
        <v>0.1487</v>
      </c>
      <c r="AY71">
        <f>'2026_Fantasy_Hitters'!AB43</f>
        <v>8.4400000000000003E-2</v>
      </c>
      <c r="AZ71">
        <f t="shared" si="43"/>
        <v>3.3475129999999999E-2</v>
      </c>
    </row>
    <row r="72" spans="1:52">
      <c r="A72" t="s">
        <v>417</v>
      </c>
      <c r="B72" t="s">
        <v>248</v>
      </c>
      <c r="C72" t="s">
        <v>34</v>
      </c>
      <c r="D72">
        <v>550</v>
      </c>
      <c r="E72">
        <v>607</v>
      </c>
      <c r="F72" s="6">
        <f t="shared" si="22"/>
        <v>2.8614301108418525</v>
      </c>
      <c r="G72" s="5">
        <f t="shared" si="23"/>
        <v>0.37660631042271575</v>
      </c>
      <c r="H72" s="5">
        <f t="shared" si="24"/>
        <v>0.58891789030546016</v>
      </c>
      <c r="I72" s="5">
        <f t="shared" si="25"/>
        <v>-0.32789754369796065</v>
      </c>
      <c r="J72" s="5">
        <f t="shared" si="26"/>
        <v>-9.8365897265641239E-2</v>
      </c>
      <c r="K72" s="5">
        <f t="shared" si="27"/>
        <v>-0.56334172488076883</v>
      </c>
      <c r="L72" s="5">
        <f t="shared" si="28"/>
        <v>2.2677096695954306</v>
      </c>
      <c r="M72" s="5">
        <f t="shared" si="29"/>
        <v>-0.30982501484922942</v>
      </c>
      <c r="N72" s="5">
        <f t="shared" si="30"/>
        <v>-0.50674858123770927</v>
      </c>
      <c r="O72" s="5">
        <f t="shared" si="31"/>
        <v>2.0745096865795594</v>
      </c>
      <c r="P72" s="1">
        <f t="shared" si="32"/>
        <v>-0.64013468413000385</v>
      </c>
      <c r="R72">
        <f t="shared" si="33"/>
        <v>108.90331265080718</v>
      </c>
      <c r="S72">
        <f t="shared" si="34"/>
        <v>111.99171402138708</v>
      </c>
      <c r="T72">
        <f t="shared" si="35"/>
        <v>85.495179047578802</v>
      </c>
      <c r="U72">
        <f t="shared" si="36"/>
        <v>97.469136077636719</v>
      </c>
      <c r="V72">
        <f t="shared" si="37"/>
        <v>79.612030765596643</v>
      </c>
      <c r="W72">
        <f t="shared" si="38"/>
        <v>210.25705488837127</v>
      </c>
      <c r="X72">
        <f t="shared" si="39"/>
        <v>97.955203051766119</v>
      </c>
      <c r="Y72">
        <f t="shared" si="40"/>
        <v>94.428390381438035</v>
      </c>
      <c r="Z72">
        <f t="shared" si="41"/>
        <v>290.74966341861864</v>
      </c>
      <c r="AA72">
        <f t="shared" si="42"/>
        <v>76.75062124601331</v>
      </c>
      <c r="AC72">
        <f>'2026_Fantasy_Hitters'!F60</f>
        <v>135.37600381345999</v>
      </c>
      <c r="AD72">
        <f>'2026_Fantasy_Hitters'!G60</f>
        <v>87.903407852440651</v>
      </c>
      <c r="AE72">
        <f>'2026_Fantasy_Hitters'!H60</f>
        <v>28.315521913699509</v>
      </c>
      <c r="AF72">
        <f>'2026_Fantasy_Hitters'!I60</f>
        <v>3.868607449766067</v>
      </c>
      <c r="AG72">
        <f>'2026_Fantasy_Hitters'!J60</f>
        <v>16.099999999999966</v>
      </c>
      <c r="AH72">
        <f>'2026_Fantasy_Hitters'!K60</f>
        <v>72.999999999999744</v>
      </c>
      <c r="AI72">
        <f>'2026_Fantasy_Hitters'!L60</f>
        <v>63.999999999999766</v>
      </c>
      <c r="AJ72">
        <f>'2026_Fantasy_Hitters'!M60</f>
        <v>37.391199999999941</v>
      </c>
      <c r="AK72">
        <f>'2026_Fantasy_Hitters'!N60</f>
        <v>1.7952389200000001</v>
      </c>
      <c r="AL72">
        <f>'2026_Fantasy_Hitters'!O60</f>
        <v>114.93544999999999</v>
      </c>
      <c r="AM72">
        <f>'2026_Fantasy_Hitters'!P60</f>
        <v>12.0999987</v>
      </c>
      <c r="AN72">
        <f>'2026_Fantasy_Hitters'!Q60</f>
        <v>4.0000025299999997</v>
      </c>
      <c r="AO72">
        <f>'2026_Fantasy_Hitters'!R60</f>
        <v>1.8963469100000001</v>
      </c>
      <c r="AP72">
        <f>'2026_Fantasy_Hitters'!S60</f>
        <v>30.207936507936449</v>
      </c>
      <c r="AQ72">
        <f>'2026_Fantasy_Hitters'!T60</f>
        <v>7.0473773265650861</v>
      </c>
      <c r="AR72">
        <f>'2026_Fantasy_Hitters'!U60</f>
        <v>23.160559181371362</v>
      </c>
      <c r="AS72">
        <f>'2026_Fantasy_Hitters'!V60</f>
        <v>0.24613818875174542</v>
      </c>
      <c r="AT72">
        <f>'2026_Fantasy_Hitters'!W60</f>
        <v>0.31467752529403331</v>
      </c>
      <c r="AU72">
        <f>'2026_Fantasy_Hitters'!X60</f>
        <v>0.40098231641661403</v>
      </c>
      <c r="AV72">
        <f>'2026_Fantasy_Hitters'!Y60</f>
        <v>0.71565984171064734</v>
      </c>
      <c r="AW72">
        <f>'2026_Fantasy_Hitters'!Z60</f>
        <v>0.28199999999999997</v>
      </c>
      <c r="AX72">
        <f>'2026_Fantasy_Hitters'!AA60</f>
        <v>0.18934999999999999</v>
      </c>
      <c r="AY72">
        <f>'2026_Fantasy_Hitters'!AB60</f>
        <v>6.1599999999999898E-2</v>
      </c>
      <c r="AZ72">
        <f t="shared" si="43"/>
        <v>2.6523887973640799E-2</v>
      </c>
    </row>
    <row r="73" spans="1:52">
      <c r="A73" t="s">
        <v>520</v>
      </c>
      <c r="B73" t="s">
        <v>257</v>
      </c>
      <c r="C73" t="s">
        <v>34</v>
      </c>
      <c r="D73">
        <v>530</v>
      </c>
      <c r="E73">
        <v>575</v>
      </c>
      <c r="F73" s="6">
        <f t="shared" si="22"/>
        <v>2.6896789552842217</v>
      </c>
      <c r="G73" s="5">
        <f t="shared" si="23"/>
        <v>0.46032905212276537</v>
      </c>
      <c r="H73" s="5">
        <f t="shared" si="24"/>
        <v>0.49861187596769291</v>
      </c>
      <c r="I73" s="5">
        <f t="shared" si="25"/>
        <v>0.32163491016762663</v>
      </c>
      <c r="J73" s="5">
        <f t="shared" si="26"/>
        <v>0.3751699841613455</v>
      </c>
      <c r="K73" s="5">
        <f t="shared" si="27"/>
        <v>-0.67592687349431735</v>
      </c>
      <c r="L73" s="5">
        <f t="shared" si="28"/>
        <v>0.11423949300410161</v>
      </c>
      <c r="M73" s="5">
        <f t="shared" si="29"/>
        <v>-2.6414193301698072E-3</v>
      </c>
      <c r="N73" s="5">
        <f t="shared" si="30"/>
        <v>-1.6943738650489969E-3</v>
      </c>
      <c r="O73" s="5">
        <f t="shared" si="31"/>
        <v>1.3727714803612003</v>
      </c>
      <c r="P73" s="1">
        <f t="shared" si="32"/>
        <v>0.22718482618902539</v>
      </c>
      <c r="R73">
        <f t="shared" si="33"/>
        <v>110.88259373216145</v>
      </c>
      <c r="S73">
        <f t="shared" si="34"/>
        <v>110.15287720529361</v>
      </c>
      <c r="T73">
        <f t="shared" si="35"/>
        <v>114.22778814203899</v>
      </c>
      <c r="U73">
        <f t="shared" si="36"/>
        <v>109.65277808734101</v>
      </c>
      <c r="V73">
        <f t="shared" si="37"/>
        <v>75.537447888445925</v>
      </c>
      <c r="W73">
        <f t="shared" si="38"/>
        <v>105.55437506813649</v>
      </c>
      <c r="X73">
        <f t="shared" si="39"/>
        <v>99.982567042922739</v>
      </c>
      <c r="Y73">
        <f t="shared" si="40"/>
        <v>99.981370663730445</v>
      </c>
      <c r="Z73">
        <f t="shared" si="41"/>
        <v>226.22534352265382</v>
      </c>
      <c r="AA73">
        <f t="shared" si="42"/>
        <v>108.25124181234756</v>
      </c>
      <c r="AC73">
        <f>'2026_Fantasy_Hitters'!F75</f>
        <v>133.15321097558751</v>
      </c>
      <c r="AD73">
        <f>'2026_Fantasy_Hitters'!G75</f>
        <v>84.97469462100014</v>
      </c>
      <c r="AE73">
        <f>'2026_Fantasy_Hitters'!H75</f>
        <v>24.878877909231537</v>
      </c>
      <c r="AF73">
        <f>'2026_Fantasy_Hitters'!I75</f>
        <v>1.4142093709925394</v>
      </c>
      <c r="AG73">
        <f>'2026_Fantasy_Hitters'!J75</f>
        <v>21.510773</v>
      </c>
      <c r="AH73">
        <f>'2026_Fantasy_Hitters'!K75</f>
        <v>74.326750448832769</v>
      </c>
      <c r="AI73">
        <f>'2026_Fantasy_Hitters'!L75</f>
        <v>71.999999999999531</v>
      </c>
      <c r="AJ73">
        <f>'2026_Fantasy_Hitters'!M75</f>
        <v>35.477499999999999</v>
      </c>
      <c r="AK73">
        <f>'2026_Fantasy_Hitters'!N75</f>
        <v>1.6518427500000001</v>
      </c>
      <c r="AL73">
        <f>'2026_Fantasy_Hitters'!O75</f>
        <v>154.8475</v>
      </c>
      <c r="AM73">
        <f>'2026_Fantasy_Hitters'!P75</f>
        <v>6.0745062836624131</v>
      </c>
      <c r="AN73">
        <f>'2026_Fantasy_Hitters'!Q75</f>
        <v>4.1292647499999999</v>
      </c>
      <c r="AO73">
        <f>'2026_Fantasy_Hitters'!R75</f>
        <v>0.98646424999999993</v>
      </c>
      <c r="AP73">
        <f>'2026_Fantasy_Hitters'!S75</f>
        <v>23.086466165413523</v>
      </c>
      <c r="AQ73">
        <f>'2026_Fantasy_Hitters'!T75</f>
        <v>5.0657902500000001</v>
      </c>
      <c r="AR73">
        <f>'2026_Fantasy_Hitters'!U75</f>
        <v>18.020675915413523</v>
      </c>
      <c r="AS73">
        <f>'2026_Fantasy_Hitters'!V75</f>
        <v>0.25123247353884437</v>
      </c>
      <c r="AT73">
        <f>'2026_Fantasy_Hitters'!W75</f>
        <v>0.30871667874037229</v>
      </c>
      <c r="AU73">
        <f>'2026_Fantasy_Hitters'!X75</f>
        <v>0.42456258594800156</v>
      </c>
      <c r="AV73">
        <f>'2026_Fantasy_Hitters'!Y75</f>
        <v>0.7332792646883739</v>
      </c>
      <c r="AW73">
        <f>'2026_Fantasy_Hitters'!Z75</f>
        <v>0.31204999999999999</v>
      </c>
      <c r="AX73">
        <f>'2026_Fantasy_Hitters'!AA75</f>
        <v>0.26929999999999998</v>
      </c>
      <c r="AY73">
        <f>'2026_Fantasy_Hitters'!AB75</f>
        <v>6.1699999999999998E-2</v>
      </c>
      <c r="AZ73">
        <f t="shared" si="43"/>
        <v>3.7410039999999999E-2</v>
      </c>
    </row>
    <row r="74" spans="1:52">
      <c r="A74" s="1" t="s">
        <v>1369</v>
      </c>
      <c r="B74" t="s">
        <v>101</v>
      </c>
      <c r="C74" t="s">
        <v>124</v>
      </c>
      <c r="D74">
        <v>496</v>
      </c>
      <c r="E74">
        <v>567</v>
      </c>
      <c r="F74" s="6">
        <f t="shared" si="22"/>
        <v>2.3773963036383154</v>
      </c>
      <c r="G74" s="5">
        <f t="shared" si="23"/>
        <v>-5.5148287772782273E-3</v>
      </c>
      <c r="H74" s="5">
        <f t="shared" si="24"/>
        <v>0.23275404484524617</v>
      </c>
      <c r="I74" s="5">
        <f t="shared" si="25"/>
        <v>0.28078486386974538</v>
      </c>
      <c r="J74" s="5">
        <f t="shared" si="26"/>
        <v>0.4935539545181174</v>
      </c>
      <c r="K74" s="5">
        <f t="shared" si="27"/>
        <v>0.42250930237631368</v>
      </c>
      <c r="L74" s="5">
        <f t="shared" si="28"/>
        <v>1.2012200902123091</v>
      </c>
      <c r="M74" s="5">
        <f t="shared" si="29"/>
        <v>0.24026863475092142</v>
      </c>
      <c r="N74" s="5">
        <f t="shared" si="30"/>
        <v>0.25248892167117337</v>
      </c>
      <c r="O74" s="5">
        <f t="shared" si="31"/>
        <v>-0.96209084350533758</v>
      </c>
      <c r="P74" s="1">
        <f t="shared" si="32"/>
        <v>0.22142216367710468</v>
      </c>
      <c r="R74">
        <f t="shared" si="33"/>
        <v>99.869624476645981</v>
      </c>
      <c r="S74">
        <f t="shared" si="34"/>
        <v>104.73940423453196</v>
      </c>
      <c r="T74">
        <f t="shared" si="35"/>
        <v>112.42075231991437</v>
      </c>
      <c r="U74">
        <f t="shared" si="36"/>
        <v>112.69868858976773</v>
      </c>
      <c r="V74">
        <f t="shared" si="37"/>
        <v>115.2910858146012</v>
      </c>
      <c r="W74">
        <f t="shared" si="38"/>
        <v>158.40385618816066</v>
      </c>
      <c r="X74">
        <f t="shared" si="39"/>
        <v>101.58573564931193</v>
      </c>
      <c r="Y74">
        <f t="shared" si="40"/>
        <v>102.77607033674846</v>
      </c>
      <c r="Z74">
        <f t="shared" si="41"/>
        <v>11.536443640635696</v>
      </c>
      <c r="AA74">
        <f t="shared" si="42"/>
        <v>108.04194472738624</v>
      </c>
      <c r="AC74">
        <f>'2026_Fantasy_Hitters'!F147</f>
        <v>126.60938455112598</v>
      </c>
      <c r="AD74">
        <f>'2026_Fantasy_Hitters'!G147</f>
        <v>79.828401221888257</v>
      </c>
      <c r="AE74">
        <f>'2026_Fantasy_Hitters'!H147</f>
        <v>24.454725658964175</v>
      </c>
      <c r="AF74">
        <f>'2026_Fantasy_Hitters'!I147</f>
        <v>1.0165079951372307</v>
      </c>
      <c r="AG74">
        <f>'2026_Fantasy_Hitters'!J147</f>
        <v>21.170481570000003</v>
      </c>
      <c r="AH74">
        <f>'2026_Fantasy_Hitters'!K147</f>
        <v>66.944543828264301</v>
      </c>
      <c r="AI74">
        <f>'2026_Fantasy_Hitters'!L147</f>
        <v>73.999999999999901</v>
      </c>
      <c r="AJ74">
        <f>'2026_Fantasy_Hitters'!M147</f>
        <v>54.148499999999999</v>
      </c>
      <c r="AK74">
        <f>'2026_Fantasy_Hitters'!N147</f>
        <v>2.6991184499999998</v>
      </c>
      <c r="AL74">
        <f>'2026_Fantasy_Hitters'!O147</f>
        <v>143.7345</v>
      </c>
      <c r="AM74">
        <f>'2026_Fantasy_Hitters'!P147</f>
        <v>9.1159198199999985</v>
      </c>
      <c r="AN74">
        <f>'2026_Fantasy_Hitters'!Q147</f>
        <v>4.0572478799999994</v>
      </c>
      <c r="AO74">
        <f>'2026_Fantasy_Hitters'!R147</f>
        <v>0</v>
      </c>
      <c r="AP74">
        <f>'2026_Fantasy_Hitters'!S147</f>
        <v>1.9655168399999998</v>
      </c>
      <c r="AQ74">
        <f>'2026_Fantasy_Hitters'!T147</f>
        <v>1.04654592</v>
      </c>
      <c r="AR74">
        <f>'2026_Fantasy_Hitters'!U147</f>
        <v>0.9189709199999998</v>
      </c>
      <c r="AS74">
        <f>'2026_Fantasy_Hitters'!V147</f>
        <v>0.25526085594985076</v>
      </c>
      <c r="AT74">
        <f>'2026_Fantasy_Hitters'!W147</f>
        <v>0.34579141692580362</v>
      </c>
      <c r="AU74">
        <f>'2026_Fantasy_Hitters'!X147</f>
        <v>0.43643004597828289</v>
      </c>
      <c r="AV74">
        <f>'2026_Fantasy_Hitters'!Y147</f>
        <v>0.78222146290408645</v>
      </c>
      <c r="AW74">
        <f>'2026_Fantasy_Hitters'!Z147</f>
        <v>0.31459999999999999</v>
      </c>
      <c r="AX74">
        <f>'2026_Fantasy_Hitters'!AA147</f>
        <v>0.2535</v>
      </c>
      <c r="AY74">
        <f>'2026_Fantasy_Hitters'!AB147</f>
        <v>9.5500000000000002E-2</v>
      </c>
      <c r="AZ74">
        <f t="shared" si="43"/>
        <v>3.7337710000000003E-2</v>
      </c>
    </row>
    <row r="75" spans="1:52">
      <c r="A75" t="s">
        <v>691</v>
      </c>
      <c r="B75" t="s">
        <v>692</v>
      </c>
      <c r="C75" t="s">
        <v>87</v>
      </c>
      <c r="D75">
        <v>469</v>
      </c>
      <c r="E75">
        <v>538</v>
      </c>
      <c r="F75" s="6">
        <f t="shared" si="22"/>
        <v>2.2892725975977632</v>
      </c>
      <c r="G75" s="5">
        <f t="shared" si="23"/>
        <v>5.4331473112147026E-2</v>
      </c>
      <c r="H75" s="5">
        <f t="shared" si="24"/>
        <v>0.17636772933077838</v>
      </c>
      <c r="I75" s="5">
        <f t="shared" si="25"/>
        <v>-0.16718049126427975</v>
      </c>
      <c r="J75" s="5">
        <f t="shared" si="26"/>
        <v>-3.917403520658122E-2</v>
      </c>
      <c r="K75" s="5">
        <f t="shared" si="27"/>
        <v>0.2817322724774951</v>
      </c>
      <c r="L75" s="5">
        <f t="shared" si="28"/>
        <v>1.3142970753790493</v>
      </c>
      <c r="M75" s="5">
        <f t="shared" si="29"/>
        <v>0.94794096478332068</v>
      </c>
      <c r="N75" s="5">
        <f t="shared" si="30"/>
        <v>0.13363720248445912</v>
      </c>
      <c r="O75" s="5">
        <f t="shared" si="31"/>
        <v>-0.24183305789486667</v>
      </c>
      <c r="P75" s="1">
        <f t="shared" si="32"/>
        <v>-0.17084653560375881</v>
      </c>
      <c r="R75">
        <f t="shared" si="33"/>
        <v>101.28444499868684</v>
      </c>
      <c r="S75">
        <f t="shared" si="34"/>
        <v>103.59124999860192</v>
      </c>
      <c r="T75">
        <f t="shared" si="35"/>
        <v>92.60463172374395</v>
      </c>
      <c r="U75">
        <f t="shared" si="36"/>
        <v>98.99208816110324</v>
      </c>
      <c r="V75">
        <f t="shared" si="37"/>
        <v>110.19620711536189</v>
      </c>
      <c r="W75">
        <f t="shared" si="38"/>
        <v>163.90170960709725</v>
      </c>
      <c r="X75">
        <f t="shared" si="39"/>
        <v>106.25626304847628</v>
      </c>
      <c r="Y75">
        <f t="shared" si="40"/>
        <v>101.46931703477388</v>
      </c>
      <c r="Z75">
        <f t="shared" si="41"/>
        <v>77.76362545069658</v>
      </c>
      <c r="AA75">
        <f t="shared" si="42"/>
        <v>93.794937356883594</v>
      </c>
      <c r="AC75">
        <f>'2026_Fantasy_Hitters'!F101</f>
        <v>125.22149140581685</v>
      </c>
      <c r="AD75">
        <f>'2026_Fantasy_Hitters'!G101</f>
        <v>84.421209370805727</v>
      </c>
      <c r="AE75">
        <f>'2026_Fantasy_Hitters'!H101</f>
        <v>22.426210413124835</v>
      </c>
      <c r="AF75">
        <f>'2026_Fantasy_Hitters'!I101</f>
        <v>1.0181043874866496</v>
      </c>
      <c r="AG75">
        <f>'2026_Fantasy_Hitters'!J101</f>
        <v>17.43881453154869</v>
      </c>
      <c r="AH75">
        <f>'2026_Fantasy_Hitters'!K101</f>
        <v>67.892925430210141</v>
      </c>
      <c r="AI75">
        <f>'2026_Fantasy_Hitters'!L101</f>
        <v>64.999997919999998</v>
      </c>
      <c r="AJ75">
        <f>'2026_Fantasy_Hitters'!M101</f>
        <v>51.755599999999994</v>
      </c>
      <c r="AK75">
        <f>'2026_Fantasy_Hitters'!N101</f>
        <v>0.92568280000000003</v>
      </c>
      <c r="AL75">
        <f>'2026_Fantasy_Hitters'!O101</f>
        <v>106.17429999999946</v>
      </c>
      <c r="AM75">
        <f>'2026_Fantasy_Hitters'!P101</f>
        <v>9.4323135755257841</v>
      </c>
      <c r="AN75">
        <f>'2026_Fantasy_Hitters'!Q101</f>
        <v>3.0860433199999999</v>
      </c>
      <c r="AO75">
        <f>'2026_Fantasy_Hitters'!R101</f>
        <v>0.89999867999999994</v>
      </c>
      <c r="AP75">
        <f>'2026_Fantasy_Hitters'!S101</f>
        <v>8.9879367720465044</v>
      </c>
      <c r="AQ75">
        <f>'2026_Fantasy_Hitters'!T101</f>
        <v>2.7934358799999996</v>
      </c>
      <c r="AR75">
        <f>'2026_Fantasy_Hitters'!U101</f>
        <v>6.1945008920465048</v>
      </c>
      <c r="AS75">
        <f>'2026_Fantasy_Hitters'!V101</f>
        <v>0.26699678338127258</v>
      </c>
      <c r="AT75">
        <f>'2026_Fantasy_Hitters'!W101</f>
        <v>0.35698695108640244</v>
      </c>
      <c r="AU75">
        <f>'2026_Fantasy_Hitters'!X101</f>
        <v>0.43088102662198319</v>
      </c>
      <c r="AV75">
        <f>'2026_Fantasy_Hitters'!Y101</f>
        <v>0.78786797770838568</v>
      </c>
      <c r="AW75">
        <f>'2026_Fantasy_Hitters'!Z101</f>
        <v>0.30930000000000002</v>
      </c>
      <c r="AX75">
        <f>'2026_Fantasy_Hitters'!AA101</f>
        <v>0.197349999999999</v>
      </c>
      <c r="AY75">
        <f>'2026_Fantasy_Hitters'!AB101</f>
        <v>9.6199999999999994E-2</v>
      </c>
      <c r="AZ75">
        <f t="shared" si="43"/>
        <v>3.2414153404365598E-2</v>
      </c>
    </row>
    <row r="76" spans="1:52">
      <c r="A76" t="s">
        <v>345</v>
      </c>
      <c r="B76" t="s">
        <v>40</v>
      </c>
      <c r="C76" t="s">
        <v>34</v>
      </c>
      <c r="D76">
        <v>561</v>
      </c>
      <c r="E76">
        <v>607</v>
      </c>
      <c r="F76" s="6">
        <f t="shared" si="22"/>
        <v>2.2408902887083384</v>
      </c>
      <c r="G76" s="5">
        <f t="shared" si="23"/>
        <v>0.44593586089177273</v>
      </c>
      <c r="H76" s="5">
        <f t="shared" si="24"/>
        <v>1.5721043605692859</v>
      </c>
      <c r="I76" s="5">
        <f t="shared" si="25"/>
        <v>-0.19221560403846502</v>
      </c>
      <c r="J76" s="5">
        <f t="shared" si="26"/>
        <v>0.67112991005321621</v>
      </c>
      <c r="K76" s="5">
        <f t="shared" si="27"/>
        <v>-0.63833377637143529</v>
      </c>
      <c r="L76" s="5">
        <f t="shared" si="28"/>
        <v>-0.607810239052478</v>
      </c>
      <c r="M76" s="5">
        <f t="shared" si="29"/>
        <v>2.0003328969127527</v>
      </c>
      <c r="N76" s="5">
        <f t="shared" si="30"/>
        <v>0.11232196042543831</v>
      </c>
      <c r="O76" s="5">
        <f t="shared" si="31"/>
        <v>-0.63079346453939944</v>
      </c>
      <c r="P76" s="1">
        <f t="shared" si="32"/>
        <v>-0.491781616142349</v>
      </c>
      <c r="R76">
        <f t="shared" si="33"/>
        <v>110.54232571745786</v>
      </c>
      <c r="S76">
        <f t="shared" si="34"/>
        <v>132.01163729963122</v>
      </c>
      <c r="T76">
        <f t="shared" si="35"/>
        <v>91.497182658350141</v>
      </c>
      <c r="U76">
        <f t="shared" si="36"/>
        <v>117.26755434340629</v>
      </c>
      <c r="V76">
        <f t="shared" si="37"/>
        <v>76.897984262224142</v>
      </c>
      <c r="W76">
        <f t="shared" si="38"/>
        <v>70.44799526701361</v>
      </c>
      <c r="X76">
        <f t="shared" si="39"/>
        <v>113.2018862487574</v>
      </c>
      <c r="Y76">
        <f t="shared" si="40"/>
        <v>101.23495977739795</v>
      </c>
      <c r="Z76">
        <f t="shared" si="41"/>
        <v>41.998997726569421</v>
      </c>
      <c r="AA76">
        <f t="shared" si="42"/>
        <v>82.138732142782757</v>
      </c>
      <c r="AC76">
        <f>'2026_Fantasy_Hitters'!F49</f>
        <v>159.57616213538</v>
      </c>
      <c r="AD76">
        <f>'2026_Fantasy_Hitters'!G49</f>
        <v>112.68255921214887</v>
      </c>
      <c r="AE76">
        <f>'2026_Fantasy_Hitters'!H49</f>
        <v>27.15182850528139</v>
      </c>
      <c r="AF76">
        <f>'2026_Fantasy_Hitters'!I49</f>
        <v>1.7528940607414101</v>
      </c>
      <c r="AG76">
        <f>'2026_Fantasy_Hitters'!J49</f>
        <v>17.230265579999998</v>
      </c>
      <c r="AH76">
        <f>'2026_Fantasy_Hitters'!K49</f>
        <v>74.098662207357421</v>
      </c>
      <c r="AI76">
        <f>'2026_Fantasy_Hitters'!L49</f>
        <v>76.99999999999946</v>
      </c>
      <c r="AJ76">
        <f>'2026_Fantasy_Hitters'!M49</f>
        <v>36.116499999999995</v>
      </c>
      <c r="AK76">
        <f>'2026_Fantasy_Hitters'!N49</f>
        <v>0.94412779999999996</v>
      </c>
      <c r="AL76">
        <f>'2026_Fantasy_Hitters'!O49</f>
        <v>98.78925000000001</v>
      </c>
      <c r="AM76">
        <f>'2026_Fantasy_Hitters'!P49</f>
        <v>4.0541833499999997</v>
      </c>
      <c r="AN76">
        <f>'2026_Fantasy_Hitters'!Q49</f>
        <v>4.0601987199999998</v>
      </c>
      <c r="AO76">
        <f>'2026_Fantasy_Hitters'!R49</f>
        <v>0</v>
      </c>
      <c r="AP76">
        <f>'2026_Fantasy_Hitters'!S49</f>
        <v>5.3643624999999995</v>
      </c>
      <c r="AQ76">
        <f>'2026_Fantasy_Hitters'!T49</f>
        <v>2.01880309</v>
      </c>
      <c r="AR76">
        <f>'2026_Fantasy_Hitters'!U49</f>
        <v>3.3455594099999995</v>
      </c>
      <c r="AS76">
        <f>'2026_Fantasy_Hitters'!V49</f>
        <v>0.28444948687233512</v>
      </c>
      <c r="AT76">
        <f>'2026_Fantasy_Hitters'!W49</f>
        <v>0.3333068122643883</v>
      </c>
      <c r="AU76">
        <f>'2026_Fantasy_Hitters'!X49</f>
        <v>0.42988584799453811</v>
      </c>
      <c r="AV76">
        <f>'2026_Fantasy_Hitters'!Y49</f>
        <v>0.7631926602589264</v>
      </c>
      <c r="AW76">
        <f>'2026_Fantasy_Hitters'!Z49</f>
        <v>0.317</v>
      </c>
      <c r="AX76">
        <f>'2026_Fantasy_Hitters'!AA49</f>
        <v>0.16275000000000001</v>
      </c>
      <c r="AY76">
        <f>'2026_Fantasy_Hitters'!AB49</f>
        <v>5.9499999999999997E-2</v>
      </c>
      <c r="AZ76">
        <f t="shared" si="43"/>
        <v>2.8385939999999995E-2</v>
      </c>
    </row>
    <row r="77" spans="1:52">
      <c r="A77" t="s">
        <v>661</v>
      </c>
      <c r="B77" t="s">
        <v>228</v>
      </c>
      <c r="C77" t="s">
        <v>34</v>
      </c>
      <c r="D77">
        <v>568</v>
      </c>
      <c r="E77">
        <v>628</v>
      </c>
      <c r="F77" s="6">
        <f t="shared" si="22"/>
        <v>2.2288061278266134</v>
      </c>
      <c r="G77" s="5">
        <f t="shared" si="23"/>
        <v>0.69966824458520982</v>
      </c>
      <c r="H77" s="5">
        <f t="shared" si="24"/>
        <v>0.75077117562280649</v>
      </c>
      <c r="I77" s="5">
        <f t="shared" si="25"/>
        <v>0.41492256926782778</v>
      </c>
      <c r="J77" s="5">
        <f t="shared" si="26"/>
        <v>0.5527459396964719</v>
      </c>
      <c r="K77" s="5">
        <f t="shared" si="27"/>
        <v>0.2627651136161227</v>
      </c>
      <c r="L77" s="5">
        <f t="shared" si="28"/>
        <v>-0.64420724745092217</v>
      </c>
      <c r="M77" s="5">
        <f t="shared" si="29"/>
        <v>-0.35723981484602729</v>
      </c>
      <c r="N77" s="5">
        <f t="shared" si="30"/>
        <v>-0.10576131724543532</v>
      </c>
      <c r="O77" s="5">
        <f t="shared" si="31"/>
        <v>0.58090899892155079</v>
      </c>
      <c r="P77" s="1">
        <f t="shared" si="32"/>
        <v>7.4232465659008914E-2</v>
      </c>
      <c r="R77">
        <f t="shared" si="33"/>
        <v>116.54078798199507</v>
      </c>
      <c r="S77">
        <f t="shared" si="34"/>
        <v>115.28741677197064</v>
      </c>
      <c r="T77">
        <f t="shared" si="35"/>
        <v>118.3544454419343</v>
      </c>
      <c r="U77">
        <f t="shared" si="36"/>
        <v>114.22164384098028</v>
      </c>
      <c r="V77">
        <f t="shared" si="37"/>
        <v>109.50976435025063</v>
      </c>
      <c r="W77">
        <f t="shared" si="38"/>
        <v>68.678356495981816</v>
      </c>
      <c r="X77">
        <f t="shared" si="39"/>
        <v>97.642272740500729</v>
      </c>
      <c r="Y77">
        <f t="shared" si="40"/>
        <v>98.837173315814226</v>
      </c>
      <c r="Z77">
        <f t="shared" si="41"/>
        <v>153.41416178385384</v>
      </c>
      <c r="AA77">
        <f t="shared" si="42"/>
        <v>102.69608685911821</v>
      </c>
      <c r="AC77">
        <f>'2026_Fantasy_Hitters'!F96</f>
        <v>139.35986165535201</v>
      </c>
      <c r="AD77">
        <f>'2026_Fantasy_Hitters'!G96</f>
        <v>88.507665848331442</v>
      </c>
      <c r="AE77">
        <f>'2026_Fantasy_Hitters'!H96</f>
        <v>27.158287889705406</v>
      </c>
      <c r="AF77">
        <f>'2026_Fantasy_Hitters'!I96</f>
        <v>2.1386701063377691</v>
      </c>
      <c r="AG77">
        <f>'2026_Fantasy_Hitters'!J96</f>
        <v>22.287883280000003</v>
      </c>
      <c r="AH77">
        <f>'2026_Fantasy_Hitters'!K96</f>
        <v>78.119547657511532</v>
      </c>
      <c r="AI77">
        <f>'2026_Fantasy_Hitters'!L96</f>
        <v>74.999999999999559</v>
      </c>
      <c r="AJ77">
        <f>'2026_Fantasy_Hitters'!M96</f>
        <v>51.433199999999999</v>
      </c>
      <c r="AK77">
        <f>'2026_Fantasy_Hitters'!N96</f>
        <v>0.93877208000000001</v>
      </c>
      <c r="AL77">
        <f>'2026_Fantasy_Hitters'!O96</f>
        <v>159.92019999999999</v>
      </c>
      <c r="AM77">
        <f>'2026_Fantasy_Hitters'!P96</f>
        <v>3.9523431200000001</v>
      </c>
      <c r="AN77">
        <f>'2026_Fantasy_Hitters'!Q96</f>
        <v>4.0581611199999994</v>
      </c>
      <c r="AO77">
        <f>'2026_Fantasy_Hitters'!R96</f>
        <v>0.89999936000000003</v>
      </c>
      <c r="AP77">
        <f>'2026_Fantasy_Hitters'!S96</f>
        <v>16.119533527696749</v>
      </c>
      <c r="AQ77">
        <f>'2026_Fantasy_Hitters'!T96</f>
        <v>3.8988563600000004</v>
      </c>
      <c r="AR77">
        <f>'2026_Fantasy_Hitters'!U96</f>
        <v>12.220677167696749</v>
      </c>
      <c r="AS77">
        <f>'2026_Fantasy_Hitters'!V96</f>
        <v>0.24535186911153523</v>
      </c>
      <c r="AT77">
        <f>'2026_Fantasy_Hitters'!W96</f>
        <v>0.31338041912316861</v>
      </c>
      <c r="AU77">
        <f>'2026_Fantasy_Hitters'!X96</f>
        <v>0.41970384694851331</v>
      </c>
      <c r="AV77">
        <f>'2026_Fantasy_Hitters'!Y96</f>
        <v>0.73308426607168187</v>
      </c>
      <c r="AW77">
        <f>'2026_Fantasy_Hitters'!Z96</f>
        <v>0.30030000000000001</v>
      </c>
      <c r="AX77">
        <f>'2026_Fantasy_Hitters'!AA96</f>
        <v>0.25464999999999999</v>
      </c>
      <c r="AY77">
        <f>'2026_Fantasy_Hitters'!AB96</f>
        <v>8.1900000000000001E-2</v>
      </c>
      <c r="AZ77">
        <f t="shared" si="43"/>
        <v>3.5490260000000003E-2</v>
      </c>
    </row>
    <row r="78" spans="1:52">
      <c r="A78" t="s">
        <v>488</v>
      </c>
      <c r="B78" t="s">
        <v>489</v>
      </c>
      <c r="C78" t="s">
        <v>20</v>
      </c>
      <c r="D78">
        <v>507</v>
      </c>
      <c r="E78">
        <v>576</v>
      </c>
      <c r="F78" s="6">
        <f t="shared" si="22"/>
        <v>2.189535671977636</v>
      </c>
      <c r="G78" s="5">
        <f t="shared" si="23"/>
        <v>3.5006913335862234E-2</v>
      </c>
      <c r="H78" s="5">
        <f t="shared" si="24"/>
        <v>-6.880434430850884E-3</v>
      </c>
      <c r="I78" s="5">
        <f t="shared" si="25"/>
        <v>0.6551623181973204</v>
      </c>
      <c r="J78" s="5">
        <f t="shared" si="26"/>
        <v>0.9670898359451191</v>
      </c>
      <c r="K78" s="5">
        <f t="shared" si="27"/>
        <v>0.44935395060349842</v>
      </c>
      <c r="L78" s="5">
        <f t="shared" si="28"/>
        <v>0.46472020436095035</v>
      </c>
      <c r="M78" s="5">
        <f t="shared" si="29"/>
        <v>-0.79520055269565004</v>
      </c>
      <c r="N78" s="5">
        <f t="shared" si="30"/>
        <v>0.40261171470913099</v>
      </c>
      <c r="O78" s="5">
        <f t="shared" si="31"/>
        <v>-0.58864020856213173</v>
      </c>
      <c r="P78" s="1">
        <f t="shared" si="32"/>
        <v>0.6063119305143877</v>
      </c>
      <c r="R78">
        <f t="shared" si="33"/>
        <v>100.82759498644366</v>
      </c>
      <c r="S78">
        <f t="shared" si="34"/>
        <v>99.85989863205748</v>
      </c>
      <c r="T78">
        <f t="shared" si="35"/>
        <v>128.981650832307</v>
      </c>
      <c r="U78">
        <f t="shared" si="36"/>
        <v>124.8823305994724</v>
      </c>
      <c r="V78">
        <f t="shared" si="37"/>
        <v>116.26262376038368</v>
      </c>
      <c r="W78">
        <f t="shared" si="38"/>
        <v>122.59490346888259</v>
      </c>
      <c r="X78">
        <f t="shared" si="39"/>
        <v>94.751799933981289</v>
      </c>
      <c r="Y78">
        <f t="shared" si="40"/>
        <v>104.42664347819215</v>
      </c>
      <c r="Z78">
        <f t="shared" si="41"/>
        <v>45.874959088273251</v>
      </c>
      <c r="AA78">
        <f t="shared" si="42"/>
        <v>122.02095287923376</v>
      </c>
      <c r="AC78">
        <f>'2026_Fantasy_Hitters'!F70</f>
        <v>120.71101988352</v>
      </c>
      <c r="AD78">
        <f>'2026_Fantasy_Hitters'!G70</f>
        <v>69.386240726103168</v>
      </c>
      <c r="AE78">
        <f>'2026_Fantasy_Hitters'!H70</f>
        <v>24.735778200093023</v>
      </c>
      <c r="AF78">
        <f>'2026_Fantasy_Hitters'!I70</f>
        <v>2.9364135367263962</v>
      </c>
      <c r="AG78">
        <f>'2026_Fantasy_Hitters'!J70</f>
        <v>24.289142400000003</v>
      </c>
      <c r="AH78">
        <f>'2026_Fantasy_Hitters'!K70</f>
        <v>67.586690017512581</v>
      </c>
      <c r="AI78">
        <f>'2026_Fantasy_Hitters'!L70</f>
        <v>81.999999999999929</v>
      </c>
      <c r="AJ78">
        <f>'2026_Fantasy_Hitters'!M70</f>
        <v>54.604799999999997</v>
      </c>
      <c r="AK78">
        <f>'2026_Fantasy_Hitters'!N70</f>
        <v>2.6307072000000002</v>
      </c>
      <c r="AL78">
        <f>'2026_Fantasy_Hitters'!O70</f>
        <v>163.6704</v>
      </c>
      <c r="AM78">
        <f>'2026_Fantasy_Hitters'!P70</f>
        <v>7.0551648</v>
      </c>
      <c r="AN78">
        <f>'2026_Fantasy_Hitters'!Q70</f>
        <v>4.0350239999999999</v>
      </c>
      <c r="AO78">
        <f>'2026_Fantasy_Hitters'!R70</f>
        <v>0.9</v>
      </c>
      <c r="AP78">
        <f>'2026_Fantasy_Hitters'!S70</f>
        <v>4.6958112000000005</v>
      </c>
      <c r="AQ78">
        <f>'2026_Fantasy_Hitters'!T70</f>
        <v>1.04150016</v>
      </c>
      <c r="AR78">
        <f>'2026_Fantasy_Hitters'!U70</f>
        <v>3.6543110400000005</v>
      </c>
      <c r="AS78">
        <f>'2026_Fantasy_Hitters'!V70</f>
        <v>0.23808879661443785</v>
      </c>
      <c r="AT78">
        <f>'2026_Fantasy_Hitters'!W70</f>
        <v>0.32555214765906904</v>
      </c>
      <c r="AU78">
        <f>'2026_Fantasy_Hitters'!X70</f>
        <v>0.44343906772478975</v>
      </c>
      <c r="AV78">
        <f>'2026_Fantasy_Hitters'!Y70</f>
        <v>0.76899121538385873</v>
      </c>
      <c r="AW78">
        <f>'2026_Fantasy_Hitters'!Z70</f>
        <v>0.29844999999999999</v>
      </c>
      <c r="AX78">
        <f>'2026_Fantasy_Hitters'!AA70</f>
        <v>0.28415000000000001</v>
      </c>
      <c r="AY78">
        <f>'2026_Fantasy_Hitters'!AB70</f>
        <v>9.4799999999999995E-2</v>
      </c>
      <c r="AZ78">
        <f t="shared" si="43"/>
        <v>4.2168650000000002E-2</v>
      </c>
    </row>
    <row r="79" spans="1:52">
      <c r="A79" t="s">
        <v>770</v>
      </c>
      <c r="B79" t="s">
        <v>293</v>
      </c>
      <c r="C79" t="s">
        <v>124</v>
      </c>
      <c r="D79">
        <v>539</v>
      </c>
      <c r="E79">
        <v>616</v>
      </c>
      <c r="F79" s="6">
        <f t="shared" si="22"/>
        <v>2.1112649921599562</v>
      </c>
      <c r="G79" s="5">
        <f t="shared" si="23"/>
        <v>0.30935114808951719</v>
      </c>
      <c r="H79" s="5">
        <f t="shared" si="24"/>
        <v>0.11853997408789212</v>
      </c>
      <c r="I79" s="5">
        <f t="shared" si="25"/>
        <v>0.90950653283056515</v>
      </c>
      <c r="J79" s="5">
        <f t="shared" si="26"/>
        <v>0.78951388040998927</v>
      </c>
      <c r="K79" s="5">
        <f t="shared" si="27"/>
        <v>1.0167214445832731</v>
      </c>
      <c r="L79" s="5">
        <f t="shared" si="28"/>
        <v>0.47463163346151632</v>
      </c>
      <c r="M79" s="5">
        <f t="shared" si="29"/>
        <v>-1.302181081862682</v>
      </c>
      <c r="N79" s="5">
        <f t="shared" si="30"/>
        <v>9.0000624558347689E-2</v>
      </c>
      <c r="O79" s="5">
        <f t="shared" si="31"/>
        <v>-0.95700573637978614</v>
      </c>
      <c r="P79" s="1">
        <f t="shared" si="32"/>
        <v>0.66218657238132361</v>
      </c>
      <c r="R79">
        <f t="shared" si="33"/>
        <v>107.31333998953883</v>
      </c>
      <c r="S79">
        <f t="shared" si="34"/>
        <v>102.41374475587314</v>
      </c>
      <c r="T79">
        <f t="shared" si="35"/>
        <v>140.23277901074101</v>
      </c>
      <c r="U79">
        <f t="shared" si="36"/>
        <v>120.31346484583304</v>
      </c>
      <c r="V79">
        <f t="shared" si="37"/>
        <v>136.79629009640433</v>
      </c>
      <c r="W79">
        <f t="shared" si="38"/>
        <v>123.07680156942659</v>
      </c>
      <c r="X79">
        <f t="shared" si="39"/>
        <v>91.405807231102742</v>
      </c>
      <c r="Y79">
        <f t="shared" si="40"/>
        <v>100.98954069933664</v>
      </c>
      <c r="Z79">
        <f t="shared" si="41"/>
        <v>12.004015558434673</v>
      </c>
      <c r="AA79">
        <f t="shared" si="42"/>
        <v>124.0502925537013</v>
      </c>
      <c r="AC79">
        <f>'2026_Fantasy_Hitters'!F114</f>
        <v>123.79811865344001</v>
      </c>
      <c r="AD79">
        <f>'2026_Fantasy_Hitters'!G114</f>
        <v>69.934006324775993</v>
      </c>
      <c r="AE79">
        <f>'2026_Fantasy_Hitters'!H114</f>
        <v>26.490389180262845</v>
      </c>
      <c r="AF79">
        <f>'2026_Fantasy_Hitters'!I114</f>
        <v>0.86679538706297365</v>
      </c>
      <c r="AG79">
        <f>'2026_Fantasy_Hitters'!J114</f>
        <v>26.407895359999998</v>
      </c>
      <c r="AH79">
        <f>'2026_Fantasy_Hitters'!K114</f>
        <v>71.934210526315368</v>
      </c>
      <c r="AI79">
        <f>'2026_Fantasy_Hitters'!L114</f>
        <v>78.999999999999844</v>
      </c>
      <c r="AJ79">
        <f>'2026_Fantasy_Hitters'!M114</f>
        <v>64.248800000000003</v>
      </c>
      <c r="AK79">
        <f>'2026_Fantasy_Hitters'!N114</f>
        <v>2.8849559199999999</v>
      </c>
      <c r="AL79">
        <f>'2026_Fantasy_Hitters'!O114</f>
        <v>159.60560000000001</v>
      </c>
      <c r="AM79">
        <f>'2026_Fantasy_Hitters'!P114</f>
        <v>7.0828973599999996</v>
      </c>
      <c r="AN79">
        <f>'2026_Fantasy_Hitters'!Q114</f>
        <v>5.0657868800000001</v>
      </c>
      <c r="AO79">
        <f>'2026_Fantasy_Hitters'!R114</f>
        <v>0</v>
      </c>
      <c r="AP79">
        <f>'2026_Fantasy_Hitters'!S114</f>
        <v>1.97311576</v>
      </c>
      <c r="AQ79">
        <f>'2026_Fantasy_Hitters'!T114</f>
        <v>1.01689896</v>
      </c>
      <c r="AR79">
        <f>'2026_Fantasy_Hitters'!U114</f>
        <v>0.95621679999999998</v>
      </c>
      <c r="AS79">
        <f>'2026_Fantasy_Hitters'!V114</f>
        <v>0.22968111067428573</v>
      </c>
      <c r="AT79">
        <f>'2026_Fantasy_Hitters'!W114</f>
        <v>0.3239772906673058</v>
      </c>
      <c r="AU79">
        <f>'2026_Fantasy_Hitters'!X114</f>
        <v>0.42884369626436103</v>
      </c>
      <c r="AV79">
        <f>'2026_Fantasy_Hitters'!Y114</f>
        <v>0.75282098693166688</v>
      </c>
      <c r="AW79">
        <f>'2026_Fantasy_Hitters'!Z114</f>
        <v>0.27200000000000002</v>
      </c>
      <c r="AX79">
        <f>'2026_Fantasy_Hitters'!AA114</f>
        <v>0.2591</v>
      </c>
      <c r="AY79">
        <f>'2026_Fantasy_Hitters'!AB114</f>
        <v>0.1043</v>
      </c>
      <c r="AZ79">
        <f t="shared" si="43"/>
        <v>4.2869959999999999E-2</v>
      </c>
    </row>
    <row r="80" spans="1:52">
      <c r="A80" t="s">
        <v>585</v>
      </c>
      <c r="B80" t="s">
        <v>228</v>
      </c>
      <c r="C80" t="s">
        <v>20</v>
      </c>
      <c r="D80">
        <v>543</v>
      </c>
      <c r="E80">
        <v>631</v>
      </c>
      <c r="F80" s="6">
        <f t="shared" si="22"/>
        <v>2.1013266842559468</v>
      </c>
      <c r="G80" s="5">
        <f t="shared" si="23"/>
        <v>0.79504573755607899</v>
      </c>
      <c r="H80" s="5">
        <f t="shared" si="24"/>
        <v>0.35420387054515207</v>
      </c>
      <c r="I80" s="5">
        <f t="shared" si="25"/>
        <v>0.27844092329652714</v>
      </c>
      <c r="J80" s="5">
        <f t="shared" si="26"/>
        <v>0.55274593969648245</v>
      </c>
      <c r="K80" s="5">
        <f t="shared" si="27"/>
        <v>1.8252260066182417</v>
      </c>
      <c r="L80" s="5">
        <f t="shared" si="28"/>
        <v>-0.29267613107461826</v>
      </c>
      <c r="M80" s="5">
        <f t="shared" si="29"/>
        <v>-0.76004965312330963</v>
      </c>
      <c r="N80" s="5">
        <f t="shared" si="30"/>
        <v>-0.32187834398699322</v>
      </c>
      <c r="O80" s="5">
        <f t="shared" si="31"/>
        <v>-0.24696922241422661</v>
      </c>
      <c r="P80" s="1">
        <f t="shared" si="32"/>
        <v>-8.276244285738843E-2</v>
      </c>
      <c r="R80">
        <f t="shared" si="33"/>
        <v>118.7955978889684</v>
      </c>
      <c r="S80">
        <f t="shared" si="34"/>
        <v>107.21240021871775</v>
      </c>
      <c r="T80">
        <f t="shared" si="35"/>
        <v>112.31706615638225</v>
      </c>
      <c r="U80">
        <f t="shared" si="36"/>
        <v>114.22164384098055</v>
      </c>
      <c r="V80">
        <f t="shared" si="37"/>
        <v>166.05697754172417</v>
      </c>
      <c r="W80">
        <f t="shared" si="38"/>
        <v>85.769956056955294</v>
      </c>
      <c r="X80">
        <f t="shared" si="39"/>
        <v>94.983790408372698</v>
      </c>
      <c r="Y80">
        <f t="shared" si="40"/>
        <v>96.461005429981668</v>
      </c>
      <c r="Z80">
        <f t="shared" si="41"/>
        <v>77.291358842510277</v>
      </c>
      <c r="AA80">
        <f t="shared" si="42"/>
        <v>96.994108539499535</v>
      </c>
      <c r="AC80">
        <f>'2026_Fantasy_Hitters'!F85</f>
        <v>129.59875136911998</v>
      </c>
      <c r="AD80">
        <f>'2026_Fantasy_Hitters'!G85</f>
        <v>78.215623303759514</v>
      </c>
      <c r="AE80">
        <f>'2026_Fantasy_Hitters'!H85</f>
        <v>28.300342130330968</v>
      </c>
      <c r="AF80">
        <f>'2026_Fantasy_Hitters'!I85</f>
        <v>1.0000264025566814</v>
      </c>
      <c r="AG80">
        <f>'2026_Fantasy_Hitters'!J85</f>
        <v>21.150955939999999</v>
      </c>
      <c r="AH80">
        <f>'2026_Fantasy_Hitters'!K85</f>
        <v>79.630990415335049</v>
      </c>
      <c r="AI80">
        <f>'2026_Fantasy_Hitters'!L85</f>
        <v>74.99999999999973</v>
      </c>
      <c r="AJ80">
        <f>'2026_Fantasy_Hitters'!M85</f>
        <v>77.991600000000005</v>
      </c>
      <c r="AK80">
        <f>'2026_Fantasy_Hitters'!N85</f>
        <v>1.9408487299999999</v>
      </c>
      <c r="AL80">
        <f>'2026_Fantasy_Hitters'!O85</f>
        <v>149.32615000000001</v>
      </c>
      <c r="AM80">
        <f>'2026_Fantasy_Hitters'!P85</f>
        <v>4.9359407099999997</v>
      </c>
      <c r="AN80">
        <f>'2026_Fantasy_Hitters'!Q85</f>
        <v>4.0319511800000001</v>
      </c>
      <c r="AO80">
        <f>'2026_Fantasy_Hitters'!R85</f>
        <v>0.90000161000000001</v>
      </c>
      <c r="AP80">
        <f>'2026_Fantasy_Hitters'!S85</f>
        <v>8.1576747720364438</v>
      </c>
      <c r="AQ80">
        <f>'2026_Fantasy_Hitters'!T85</f>
        <v>2.0007937299999998</v>
      </c>
      <c r="AR80">
        <f>'2026_Fantasy_Hitters'!U85</f>
        <v>6.1568810420364439</v>
      </c>
      <c r="AS80">
        <f>'2026_Fantasy_Hitters'!V85</f>
        <v>0.23867173364478819</v>
      </c>
      <c r="AT80">
        <f>'2026_Fantasy_Hitters'!W85</f>
        <v>0.34207227848966626</v>
      </c>
      <c r="AU80">
        <f>'2026_Fantasy_Hitters'!X85</f>
        <v>0.40961364738875039</v>
      </c>
      <c r="AV80">
        <f>'2026_Fantasy_Hitters'!Y85</f>
        <v>0.75168592587841665</v>
      </c>
      <c r="AW80">
        <f>'2026_Fantasy_Hitters'!Z85</f>
        <v>0.28799999999999998</v>
      </c>
      <c r="AX80">
        <f>'2026_Fantasy_Hitters'!AA85</f>
        <v>0.23665</v>
      </c>
      <c r="AY80">
        <f>'2026_Fantasy_Hitters'!AB85</f>
        <v>0.1236</v>
      </c>
      <c r="AZ80">
        <f t="shared" si="43"/>
        <v>3.3519739999999999E-2</v>
      </c>
    </row>
    <row r="81" spans="1:52">
      <c r="A81" t="s">
        <v>727</v>
      </c>
      <c r="B81" t="s">
        <v>66</v>
      </c>
      <c r="C81" t="s">
        <v>20</v>
      </c>
      <c r="D81">
        <v>509</v>
      </c>
      <c r="E81">
        <v>589</v>
      </c>
      <c r="F81" s="6">
        <f t="shared" si="22"/>
        <v>2.0311754876419092</v>
      </c>
      <c r="G81" s="5">
        <f t="shared" si="23"/>
        <v>0.46427447324193216</v>
      </c>
      <c r="H81" s="5">
        <f t="shared" si="24"/>
        <v>0.23023925087105701</v>
      </c>
      <c r="I81" s="5">
        <f t="shared" si="25"/>
        <v>4.7292654952782363E-2</v>
      </c>
      <c r="J81" s="5">
        <f t="shared" si="26"/>
        <v>2.0018073091100885E-2</v>
      </c>
      <c r="K81" s="5">
        <f t="shared" si="27"/>
        <v>1.0936078587145286</v>
      </c>
      <c r="L81" s="5">
        <f t="shared" si="28"/>
        <v>0.88710854858656329</v>
      </c>
      <c r="M81" s="5">
        <f t="shared" si="29"/>
        <v>-0.1601838698606689</v>
      </c>
      <c r="N81" s="5">
        <f t="shared" si="30"/>
        <v>-0.20787458976920375</v>
      </c>
      <c r="O81" s="5">
        <f t="shared" si="31"/>
        <v>-0.1905177226368539</v>
      </c>
      <c r="P81" s="1">
        <f t="shared" si="32"/>
        <v>-0.15278918954932899</v>
      </c>
      <c r="R81">
        <f t="shared" si="33"/>
        <v>110.97586704381577</v>
      </c>
      <c r="S81">
        <f t="shared" si="34"/>
        <v>104.68819728249737</v>
      </c>
      <c r="T81">
        <f t="shared" si="35"/>
        <v>102.09202998204418</v>
      </c>
      <c r="U81">
        <f t="shared" si="36"/>
        <v>100.51504658006267</v>
      </c>
      <c r="V81">
        <f t="shared" si="37"/>
        <v>139.57889570969064</v>
      </c>
      <c r="W81">
        <f t="shared" si="38"/>
        <v>143.1316130300321</v>
      </c>
      <c r="X81">
        <f t="shared" si="39"/>
        <v>98.942811353025263</v>
      </c>
      <c r="Y81">
        <f t="shared" si="40"/>
        <v>97.714456228009738</v>
      </c>
      <c r="Z81">
        <f t="shared" si="41"/>
        <v>82.4820333675179</v>
      </c>
      <c r="AA81">
        <f t="shared" si="42"/>
        <v>94.450771337012043</v>
      </c>
      <c r="AC81">
        <f>'2026_Fantasy_Hitters'!F107</f>
        <v>126.54748539551001</v>
      </c>
      <c r="AD81">
        <f>'2026_Fantasy_Hitters'!G107</f>
        <v>83.45529938568545</v>
      </c>
      <c r="AE81">
        <f>'2026_Fantasy_Hitters'!H107</f>
        <v>23.954801308061747</v>
      </c>
      <c r="AF81">
        <f>'2026_Fantasy_Hitters'!I107</f>
        <v>0.97865371390072642</v>
      </c>
      <c r="AG81">
        <f>'2026_Fantasy_Hitters'!J107</f>
        <v>19.225431199999999</v>
      </c>
      <c r="AH81">
        <f>'2026_Fantasy_Hitters'!K107</f>
        <v>74.389273356401219</v>
      </c>
      <c r="AI81">
        <f>'2026_Fantasy_Hitters'!L107</f>
        <v>65.999999999999631</v>
      </c>
      <c r="AJ81">
        <f>'2026_Fantasy_Hitters'!M107</f>
        <v>65.555699999999405</v>
      </c>
      <c r="AK81">
        <f>'2026_Fantasy_Hitters'!N107</f>
        <v>0.93880120999999994</v>
      </c>
      <c r="AL81">
        <f>'2026_Fantasy_Hitters'!O107</f>
        <v>95.62415</v>
      </c>
      <c r="AM81">
        <f>'2026_Fantasy_Hitters'!P107</f>
        <v>8.2370236400000003</v>
      </c>
      <c r="AN81">
        <f>'2026_Fantasy_Hitters'!Q107</f>
        <v>4.07612738</v>
      </c>
      <c r="AO81">
        <f>'2026_Fantasy_Hitters'!R107</f>
        <v>0.99145780999999999</v>
      </c>
      <c r="AP81">
        <f>'2026_Fantasy_Hitters'!S107</f>
        <v>8.8078416149068133</v>
      </c>
      <c r="AQ81">
        <f>'2026_Fantasy_Hitters'!T107</f>
        <v>2.2374814199999999</v>
      </c>
      <c r="AR81">
        <f>'2026_Fantasy_Hitters'!U107</f>
        <v>6.5703601949068133</v>
      </c>
      <c r="AS81">
        <f>'2026_Fantasy_Hitters'!V107</f>
        <v>0.2486198141365619</v>
      </c>
      <c r="AT81">
        <f>'2026_Fantasy_Hitters'!W107</f>
        <v>0.34728987342783108</v>
      </c>
      <c r="AU81">
        <f>'2026_Fantasy_Hitters'!X107</f>
        <v>0.41493632208941278</v>
      </c>
      <c r="AV81">
        <f>'2026_Fantasy_Hitters'!Y107</f>
        <v>0.7622261955172438</v>
      </c>
      <c r="AW81">
        <f>'2026_Fantasy_Hitters'!Z107</f>
        <v>0.26950000000000002</v>
      </c>
      <c r="AX81">
        <f>'2026_Fantasy_Hitters'!AA107</f>
        <v>0.16234999999999999</v>
      </c>
      <c r="AY81">
        <f>'2026_Fantasy_Hitters'!AB107</f>
        <v>0.111299999999999</v>
      </c>
      <c r="AZ81">
        <f t="shared" si="43"/>
        <v>3.2640799999999998E-2</v>
      </c>
    </row>
    <row r="82" spans="1:52">
      <c r="A82" s="17" t="s">
        <v>1372</v>
      </c>
      <c r="B82" t="s">
        <v>376</v>
      </c>
      <c r="C82" t="s">
        <v>34</v>
      </c>
      <c r="D82">
        <v>584</v>
      </c>
      <c r="E82">
        <v>628</v>
      </c>
      <c r="F82" s="6">
        <f t="shared" si="22"/>
        <v>1.9577997438520285</v>
      </c>
      <c r="G82" s="5">
        <f t="shared" si="23"/>
        <v>0.46212432147877119</v>
      </c>
      <c r="H82" s="5">
        <f t="shared" si="24"/>
        <v>1.4158805691826808</v>
      </c>
      <c r="I82" s="5">
        <f t="shared" si="25"/>
        <v>0.25920525765051688</v>
      </c>
      <c r="J82" s="5">
        <f t="shared" si="26"/>
        <v>0.31597799898298545</v>
      </c>
      <c r="K82" s="5">
        <f t="shared" si="27"/>
        <v>-0.95275679291798643</v>
      </c>
      <c r="L82" s="5">
        <f t="shared" si="28"/>
        <v>-0.62099984680233133</v>
      </c>
      <c r="M82" s="5">
        <f t="shared" si="29"/>
        <v>0.92778056113247453</v>
      </c>
      <c r="N82" s="5">
        <f t="shared" si="30"/>
        <v>0.52065353313452323</v>
      </c>
      <c r="O82" s="5">
        <f t="shared" si="31"/>
        <v>-0.27973220237806506</v>
      </c>
      <c r="P82" s="1">
        <f t="shared" si="32"/>
        <v>-9.0333655611540942E-2</v>
      </c>
      <c r="R82">
        <f t="shared" si="33"/>
        <v>110.92503551799078</v>
      </c>
      <c r="S82">
        <f t="shared" si="34"/>
        <v>128.83056390980212</v>
      </c>
      <c r="T82">
        <f t="shared" si="35"/>
        <v>111.46616046508184</v>
      </c>
      <c r="U82">
        <f t="shared" si="36"/>
        <v>108.12982283612831</v>
      </c>
      <c r="V82">
        <f t="shared" si="37"/>
        <v>65.518662431773748</v>
      </c>
      <c r="W82">
        <f t="shared" si="38"/>
        <v>69.806710659407244</v>
      </c>
      <c r="X82">
        <f t="shared" si="39"/>
        <v>106.12320751750028</v>
      </c>
      <c r="Y82">
        <f t="shared" si="40"/>
        <v>105.7244920667863</v>
      </c>
      <c r="Z82">
        <f t="shared" si="41"/>
        <v>74.278826560244909</v>
      </c>
      <c r="AA82">
        <f t="shared" si="42"/>
        <v>96.719125793973816</v>
      </c>
      <c r="AC82">
        <f>'2026_Fantasy_Hitters'!F138</f>
        <v>155.73086869456202</v>
      </c>
      <c r="AD82">
        <f>'2026_Fantasy_Hitters'!G138</f>
        <v>98.749963629424883</v>
      </c>
      <c r="AE82">
        <f>'2026_Fantasy_Hitters'!H138</f>
        <v>33.874990923773787</v>
      </c>
      <c r="AF82">
        <f>'2026_Fantasy_Hitters'!I138</f>
        <v>3.9080476643184512</v>
      </c>
      <c r="AG82">
        <f>'2026_Fantasy_Hitters'!J138</f>
        <v>20.990717880000002</v>
      </c>
      <c r="AH82">
        <f>'2026_Fantasy_Hitters'!K138</f>
        <v>74.355199999999996</v>
      </c>
      <c r="AI82">
        <f>'2026_Fantasy_Hitters'!L138</f>
        <v>70.999999999999787</v>
      </c>
      <c r="AJ82">
        <f>'2026_Fantasy_Hitters'!M138</f>
        <v>30.771999999999935</v>
      </c>
      <c r="AK82">
        <f>'2026_Fantasy_Hitters'!N138</f>
        <v>0</v>
      </c>
      <c r="AL82">
        <f>'2026_Fantasy_Hitters'!O138</f>
        <v>151.976</v>
      </c>
      <c r="AM82">
        <f>'2026_Fantasy_Hitters'!P138</f>
        <v>4.01727832</v>
      </c>
      <c r="AN82">
        <f>'2026_Fantasy_Hitters'!Q138</f>
        <v>5.024</v>
      </c>
      <c r="AO82">
        <f>'2026_Fantasy_Hitters'!R138</f>
        <v>5.97880492</v>
      </c>
      <c r="AP82">
        <f>'2026_Fantasy_Hitters'!S138</f>
        <v>8.9205069124423435</v>
      </c>
      <c r="AQ82">
        <f>'2026_Fantasy_Hitters'!T138</f>
        <v>3.0035984</v>
      </c>
      <c r="AR82">
        <f>'2026_Fantasy_Hitters'!U138</f>
        <v>5.9169085124423439</v>
      </c>
      <c r="AS82">
        <f>'2026_Fantasy_Hitters'!V138</f>
        <v>0.26666244639479797</v>
      </c>
      <c r="AT82">
        <f>'2026_Fantasy_Hitters'!W138</f>
        <v>0.30739170148655681</v>
      </c>
      <c r="AU82">
        <f>'2026_Fantasy_Hitters'!X138</f>
        <v>0.44895027395535592</v>
      </c>
      <c r="AV82">
        <f>'2026_Fantasy_Hitters'!Y138</f>
        <v>0.75634197544191273</v>
      </c>
      <c r="AW82">
        <f>'2026_Fantasy_Hitters'!Z138</f>
        <v>0.32385000000000003</v>
      </c>
      <c r="AX82">
        <f>'2026_Fantasy_Hitters'!AA138</f>
        <v>0.24199999999999999</v>
      </c>
      <c r="AY82">
        <f>'2026_Fantasy_Hitters'!AB138</f>
        <v>4.8999999999999898E-2</v>
      </c>
      <c r="AZ82">
        <f t="shared" si="43"/>
        <v>3.3424710000000003E-2</v>
      </c>
    </row>
    <row r="83" spans="1:52" s="10" customFormat="1">
      <c r="A83" s="10" t="s">
        <v>307</v>
      </c>
      <c r="B83" s="10" t="s">
        <v>92</v>
      </c>
      <c r="C83" s="10" t="s">
        <v>34</v>
      </c>
      <c r="D83" s="10">
        <v>549</v>
      </c>
      <c r="E83" s="10">
        <v>648</v>
      </c>
      <c r="F83" s="11">
        <f t="shared" si="22"/>
        <v>1.9234827033783408</v>
      </c>
      <c r="G83" s="11">
        <f t="shared" si="23"/>
        <v>0.8814351832446865</v>
      </c>
      <c r="H83" s="11">
        <f t="shared" si="24"/>
        <v>0.83676234622845691</v>
      </c>
      <c r="I83" s="11">
        <f t="shared" si="25"/>
        <v>-0.90125934947232655</v>
      </c>
      <c r="J83" s="11">
        <f t="shared" si="26"/>
        <v>-3.9173912087276247E-2</v>
      </c>
      <c r="K83" s="11">
        <f t="shared" si="27"/>
        <v>1.5104323539028777</v>
      </c>
      <c r="L83" s="11">
        <f t="shared" si="28"/>
        <v>0.50888920380502889</v>
      </c>
      <c r="M83" s="11">
        <f t="shared" si="29"/>
        <v>0.38725468924160972</v>
      </c>
      <c r="N83" s="11">
        <f t="shared" si="30"/>
        <v>-0.93084809546789182</v>
      </c>
      <c r="O83" s="11">
        <f t="shared" si="31"/>
        <v>1.0310726870856055</v>
      </c>
      <c r="P83" s="10">
        <f t="shared" si="32"/>
        <v>-1.3610824031024298</v>
      </c>
      <c r="R83" s="10">
        <f t="shared" si="33"/>
        <v>120.83792225637552</v>
      </c>
      <c r="S83" s="10">
        <f t="shared" si="34"/>
        <v>117.03839350954675</v>
      </c>
      <c r="T83" s="10">
        <f t="shared" si="35"/>
        <v>60.132042014216971</v>
      </c>
      <c r="U83" s="10">
        <f t="shared" si="36"/>
        <v>98.99209132884954</v>
      </c>
      <c r="V83" s="10">
        <f t="shared" si="37"/>
        <v>154.66424197237751</v>
      </c>
      <c r="W83" s="10">
        <f t="shared" si="38"/>
        <v>124.74241990864758</v>
      </c>
      <c r="X83" s="10">
        <f t="shared" si="39"/>
        <v>102.55582076591158</v>
      </c>
      <c r="Y83" s="10">
        <f t="shared" si="40"/>
        <v>89.765492407572992</v>
      </c>
      <c r="Z83" s="10">
        <f t="shared" si="41"/>
        <v>194.80638692316234</v>
      </c>
      <c r="AA83" s="10">
        <f t="shared" si="42"/>
        <v>50.566152577528086</v>
      </c>
      <c r="AC83" s="10">
        <f>'2026_Fantasy_Hitters'!F42</f>
        <v>141.47644890088799</v>
      </c>
      <c r="AD83" s="10">
        <f>'2026_Fantasy_Hitters'!G42</f>
        <v>100.46821332477346</v>
      </c>
      <c r="AE83" s="10">
        <f>'2026_Fantasy_Hitters'!H42</f>
        <v>26.020061489661259</v>
      </c>
      <c r="AF83" s="10">
        <f>'2026_Fantasy_Hitters'!I42</f>
        <v>3.8218094868584704</v>
      </c>
      <c r="AG83" s="10">
        <f>'2026_Fantasy_Hitters'!J42</f>
        <v>11.323748160000001</v>
      </c>
      <c r="AH83" s="10">
        <f>'2026_Fantasy_Hitters'!K42</f>
        <v>81</v>
      </c>
      <c r="AI83" s="10">
        <f>'2026_Fantasy_Hitters'!L42</f>
        <v>64.999999999999588</v>
      </c>
      <c r="AJ83" s="10">
        <f>'2026_Fantasy_Hitters'!M42</f>
        <v>72.640799999999999</v>
      </c>
      <c r="AK83" s="10">
        <f>'2026_Fantasy_Hitters'!N42</f>
        <v>0.96032952000000005</v>
      </c>
      <c r="AL83" s="10">
        <f>'2026_Fantasy_Hitters'!O42</f>
        <v>85.179600000000008</v>
      </c>
      <c r="AM83" s="10">
        <f>'2026_Fantasy_Hitters'!P42</f>
        <v>7.1787513599999997</v>
      </c>
      <c r="AN83" s="10">
        <f>'2026_Fantasy_Hitters'!Q42</f>
        <v>5.0625</v>
      </c>
      <c r="AO83" s="10">
        <f>'2026_Fantasy_Hitters'!R42</f>
        <v>9.139068</v>
      </c>
      <c r="AP83" s="10">
        <f>'2026_Fantasy_Hitters'!S42</f>
        <v>20.70918576</v>
      </c>
      <c r="AQ83" s="10">
        <f>'2026_Fantasy_Hitters'!T42</f>
        <v>5.1912835199999998</v>
      </c>
      <c r="AR83" s="10">
        <f>'2026_Fantasy_Hitters'!U42</f>
        <v>15.517902240000002</v>
      </c>
      <c r="AS83" s="10">
        <f>'2026_Fantasy_Hitters'!V42</f>
        <v>0.2576984497283934</v>
      </c>
      <c r="AT83" s="10">
        <f>'2026_Fantasy_Hitters'!W42</f>
        <v>0.3541010173727232</v>
      </c>
      <c r="AU83" s="10">
        <f>'2026_Fantasy_Hitters'!X42</f>
        <v>0.38118170747663277</v>
      </c>
      <c r="AV83" s="10">
        <f>'2026_Fantasy_Hitters'!Y42</f>
        <v>0.73528272484935597</v>
      </c>
      <c r="AW83" s="10">
        <f>'2026_Fantasy_Hitters'!Z42</f>
        <v>0.28444999999999998</v>
      </c>
      <c r="AX83" s="10">
        <f>'2026_Fantasy_Hitters'!AA42</f>
        <v>0.13145000000000001</v>
      </c>
      <c r="AY83" s="10">
        <f>'2026_Fantasy_Hitters'!AB42</f>
        <v>0.11210000000000001</v>
      </c>
      <c r="AZ83" s="10">
        <f t="shared" si="43"/>
        <v>1.7474920000000001E-2</v>
      </c>
    </row>
    <row r="84" spans="1:52">
      <c r="A84" t="s">
        <v>722</v>
      </c>
      <c r="B84" t="s">
        <v>404</v>
      </c>
      <c r="C84" t="s">
        <v>20</v>
      </c>
      <c r="D84">
        <v>565</v>
      </c>
      <c r="E84">
        <v>632</v>
      </c>
      <c r="F84" s="6">
        <f t="shared" si="22"/>
        <v>1.8420598158478798</v>
      </c>
      <c r="G84" s="5">
        <f t="shared" si="23"/>
        <v>0.51783823544457031</v>
      </c>
      <c r="H84" s="5">
        <f t="shared" si="24"/>
        <v>0.95197368785936365</v>
      </c>
      <c r="I84" s="5">
        <f t="shared" si="25"/>
        <v>-0.20202218371382169</v>
      </c>
      <c r="J84" s="5">
        <f t="shared" si="26"/>
        <v>0.49355395451809642</v>
      </c>
      <c r="K84" s="5">
        <f t="shared" si="27"/>
        <v>0.52371650891855859</v>
      </c>
      <c r="L84" s="5">
        <f t="shared" si="28"/>
        <v>0.81056594145372607</v>
      </c>
      <c r="M84" s="5">
        <f t="shared" si="29"/>
        <v>0.24986087046996466</v>
      </c>
      <c r="N84" s="5">
        <f t="shared" si="30"/>
        <v>-0.26130237479516372</v>
      </c>
      <c r="O84" s="5">
        <f t="shared" si="31"/>
        <v>-0.65058453286537254</v>
      </c>
      <c r="P84" s="1">
        <f t="shared" si="32"/>
        <v>-0.59154029144204212</v>
      </c>
      <c r="R84">
        <f t="shared" si="33"/>
        <v>112.24216266458828</v>
      </c>
      <c r="S84">
        <f t="shared" si="34"/>
        <v>119.38435970211997</v>
      </c>
      <c r="T84">
        <f t="shared" si="35"/>
        <v>91.063380438478291</v>
      </c>
      <c r="U84">
        <f t="shared" si="36"/>
        <v>112.69868858976719</v>
      </c>
      <c r="V84">
        <f t="shared" si="37"/>
        <v>118.95388819928147</v>
      </c>
      <c r="W84">
        <f t="shared" si="38"/>
        <v>139.41007735503104</v>
      </c>
      <c r="X84">
        <f t="shared" si="39"/>
        <v>101.64904291433243</v>
      </c>
      <c r="Y84">
        <f t="shared" si="40"/>
        <v>97.127027329398857</v>
      </c>
      <c r="Z84">
        <f t="shared" si="41"/>
        <v>40.179223325757299</v>
      </c>
      <c r="AA84">
        <f t="shared" si="42"/>
        <v>78.515545829748163</v>
      </c>
      <c r="AC84">
        <f>'2026_Fantasy_Hitters'!F106</f>
        <v>144.31226163049217</v>
      </c>
      <c r="AD84">
        <f>'2026_Fantasy_Hitters'!G106</f>
        <v>95.084298985421611</v>
      </c>
      <c r="AE84">
        <f>'2026_Fantasy_Hitters'!H106</f>
        <v>28.842682376189863</v>
      </c>
      <c r="AF84">
        <f>'2026_Fantasy_Hitters'!I106</f>
        <v>3.8885622827914794</v>
      </c>
      <c r="AG84">
        <f>'2026_Fantasy_Hitters'!J106</f>
        <v>17.148574239999999</v>
      </c>
      <c r="AH84">
        <f>'2026_Fantasy_Hitters'!K106</f>
        <v>75.23809584</v>
      </c>
      <c r="AI84">
        <f>'2026_Fantasy_Hitters'!L106</f>
        <v>73.999999999999545</v>
      </c>
      <c r="AJ84">
        <f>'2026_Fantasy_Hitters'!M106</f>
        <v>55.868800000000007</v>
      </c>
      <c r="AK84">
        <f>'2026_Fantasy_Hitters'!N106</f>
        <v>1.9730028799999999</v>
      </c>
      <c r="AL84">
        <f>'2026_Fantasy_Hitters'!O106</f>
        <v>153.79719999999938</v>
      </c>
      <c r="AM84">
        <f>'2026_Fantasy_Hitters'!P106</f>
        <v>8.0228544799999995</v>
      </c>
      <c r="AN84">
        <f>'2026_Fantasy_Hitters'!Q106</f>
        <v>5.0158743200000009</v>
      </c>
      <c r="AO84">
        <f>'2026_Fantasy_Hitters'!R106</f>
        <v>0</v>
      </c>
      <c r="AP84">
        <f>'2026_Fantasy_Hitters'!S106</f>
        <v>5.2220516799999999</v>
      </c>
      <c r="AQ84">
        <f>'2026_Fantasy_Hitters'!T106</f>
        <v>2.021452</v>
      </c>
      <c r="AR84">
        <f>'2026_Fantasy_Hitters'!U106</f>
        <v>3.2005996799999998</v>
      </c>
      <c r="AS84">
        <f>'2026_Fantasy_Hitters'!V106</f>
        <v>0.2554199320893667</v>
      </c>
      <c r="AT84">
        <f>'2026_Fantasy_Hitters'!W106</f>
        <v>0.33475248710471966</v>
      </c>
      <c r="AU84">
        <f>'2026_Fantasy_Hitters'!X106</f>
        <v>0.41244185406402795</v>
      </c>
      <c r="AV84">
        <f>'2026_Fantasy_Hitters'!Y106</f>
        <v>0.74719434116874761</v>
      </c>
      <c r="AW84">
        <f>'2026_Fantasy_Hitters'!Z106</f>
        <v>0.31864999999999999</v>
      </c>
      <c r="AX84">
        <f>'2026_Fantasy_Hitters'!AA106</f>
        <v>0.24334999999999901</v>
      </c>
      <c r="AY84">
        <f>'2026_Fantasy_Hitters'!AB106</f>
        <v>8.8400000000000006E-2</v>
      </c>
      <c r="AZ84">
        <f t="shared" si="43"/>
        <v>2.7133819999999996E-2</v>
      </c>
    </row>
    <row r="85" spans="1:52">
      <c r="A85" t="s">
        <v>697</v>
      </c>
      <c r="B85" t="s">
        <v>123</v>
      </c>
      <c r="C85" t="s">
        <v>631</v>
      </c>
      <c r="D85">
        <v>463</v>
      </c>
      <c r="E85">
        <v>522</v>
      </c>
      <c r="F85" s="6">
        <f t="shared" si="22"/>
        <v>1.8120675120270946</v>
      </c>
      <c r="G85" s="5">
        <f t="shared" si="23"/>
        <v>-8.8553949326928075E-2</v>
      </c>
      <c r="H85" s="5">
        <f t="shared" si="24"/>
        <v>-0.29469104603527446</v>
      </c>
      <c r="I85" s="5">
        <f t="shared" si="25"/>
        <v>0.73060532737141137</v>
      </c>
      <c r="J85" s="5">
        <f t="shared" si="26"/>
        <v>0.25678601380460558</v>
      </c>
      <c r="K85" s="5">
        <f t="shared" si="27"/>
        <v>0.22188923899800289</v>
      </c>
      <c r="L85" s="5">
        <f t="shared" si="28"/>
        <v>0.46678008785188158</v>
      </c>
      <c r="M85" s="5">
        <f t="shared" si="29"/>
        <v>-0.35347178008938784</v>
      </c>
      <c r="N85" s="5">
        <f t="shared" si="30"/>
        <v>0.74718219102538352</v>
      </c>
      <c r="O85" s="5">
        <f t="shared" si="31"/>
        <v>-0.92424136240920651</v>
      </c>
      <c r="P85" s="1">
        <f t="shared" si="32"/>
        <v>1.0497827908366066</v>
      </c>
      <c r="R85">
        <f t="shared" si="33"/>
        <v>97.906504815502331</v>
      </c>
      <c r="S85">
        <f t="shared" si="34"/>
        <v>93.999416884949085</v>
      </c>
      <c r="T85">
        <f t="shared" si="35"/>
        <v>132.31893517985324</v>
      </c>
      <c r="U85">
        <f t="shared" si="36"/>
        <v>106.60686758491511</v>
      </c>
      <c r="V85">
        <f t="shared" si="37"/>
        <v>108.03042057481854</v>
      </c>
      <c r="W85">
        <f t="shared" si="38"/>
        <v>122.69505592233303</v>
      </c>
      <c r="X85">
        <f t="shared" si="39"/>
        <v>97.667141184305905</v>
      </c>
      <c r="Y85">
        <f t="shared" si="40"/>
        <v>108.21513396676347</v>
      </c>
      <c r="Z85">
        <f t="shared" si="41"/>
        <v>15.016676018610411</v>
      </c>
      <c r="AA85">
        <f t="shared" si="42"/>
        <v>138.12759770508063</v>
      </c>
      <c r="AC85">
        <f>'2026_Fantasy_Hitters'!F102</f>
        <v>113.62684757418513</v>
      </c>
      <c r="AD85">
        <f>'2026_Fantasy_Hitters'!G102</f>
        <v>64.969833452474518</v>
      </c>
      <c r="AE85">
        <f>'2026_Fantasy_Hitters'!H102</f>
        <v>23.455285612657086</v>
      </c>
      <c r="AF85">
        <f>'2026_Fantasy_Hitters'!I102</f>
        <v>0.40333077784579219</v>
      </c>
      <c r="AG85">
        <f>'2026_Fantasy_Hitters'!J102</f>
        <v>24.91760214</v>
      </c>
      <c r="AH85">
        <f>'2026_Fantasy_Hitters'!K102</f>
        <v>65.628626692455995</v>
      </c>
      <c r="AI85">
        <f>'2026_Fantasy_Hitters'!L102</f>
        <v>69.999999999999702</v>
      </c>
      <c r="AJ85">
        <f>'2026_Fantasy_Hitters'!M102</f>
        <v>50.738399999999999</v>
      </c>
      <c r="AK85">
        <f>'2026_Fantasy_Hitters'!N102</f>
        <v>5.0305818600000007</v>
      </c>
      <c r="AL85">
        <f>'2026_Fantasy_Hitters'!O102</f>
        <v>97.953299999999487</v>
      </c>
      <c r="AM85">
        <f>'2026_Fantasy_Hitters'!P102</f>
        <v>7.0609284332687885</v>
      </c>
      <c r="AN85">
        <f>'2026_Fantasy_Hitters'!Q102</f>
        <v>4.03868268</v>
      </c>
      <c r="AO85">
        <f>'2026_Fantasy_Hitters'!R102</f>
        <v>0.90000108000000001</v>
      </c>
      <c r="AP85">
        <f>'2026_Fantasy_Hitters'!S102</f>
        <v>2.1991076999999999</v>
      </c>
      <c r="AQ85">
        <f>'2026_Fantasy_Hitters'!T102</f>
        <v>1.00290816</v>
      </c>
      <c r="AR85">
        <f>'2026_Fantasy_Hitters'!U102</f>
        <v>1.1961995399999998</v>
      </c>
      <c r="AS85">
        <f>'2026_Fantasy_Hitters'!V102</f>
        <v>0.24541435761163097</v>
      </c>
      <c r="AT85">
        <f>'2026_Fantasy_Hitters'!W102</f>
        <v>0.33751754198690265</v>
      </c>
      <c r="AU85">
        <f>'2026_Fantasy_Hitters'!X102</f>
        <v>0.45952657790783163</v>
      </c>
      <c r="AV85">
        <f>'2026_Fantasy_Hitters'!Y102</f>
        <v>0.79704411989473423</v>
      </c>
      <c r="AW85">
        <f>'2026_Fantasy_Hitters'!Z102</f>
        <v>0.25774999999999998</v>
      </c>
      <c r="AX85">
        <f>'2026_Fantasy_Hitters'!AA102</f>
        <v>0.18764999999999901</v>
      </c>
      <c r="AY85">
        <f>'2026_Fantasy_Hitters'!AB102</f>
        <v>9.7199999999999995E-2</v>
      </c>
      <c r="AZ85">
        <f t="shared" si="43"/>
        <v>4.7734869999999999E-2</v>
      </c>
    </row>
    <row r="86" spans="1:52" s="10" customFormat="1">
      <c r="A86" s="10" t="s">
        <v>351</v>
      </c>
      <c r="B86" s="10" t="s">
        <v>33</v>
      </c>
      <c r="C86" s="10" t="s">
        <v>352</v>
      </c>
      <c r="D86" s="10">
        <v>577</v>
      </c>
      <c r="E86" s="10">
        <v>640</v>
      </c>
      <c r="F86" s="11">
        <f t="shared" si="22"/>
        <v>1.6339637444163675</v>
      </c>
      <c r="G86" s="11">
        <f t="shared" si="23"/>
        <v>0.92168236700312023</v>
      </c>
      <c r="H86" s="11">
        <f t="shared" si="24"/>
        <v>1.3840057979220342</v>
      </c>
      <c r="I86" s="11">
        <f t="shared" si="25"/>
        <v>-0.70098010246616682</v>
      </c>
      <c r="J86" s="11">
        <f t="shared" si="26"/>
        <v>-3.9173912087251947E-2</v>
      </c>
      <c r="K86" s="11">
        <f t="shared" si="27"/>
        <v>0.33564512725591361</v>
      </c>
      <c r="L86" s="11">
        <f t="shared" si="28"/>
        <v>-1.3368950481778898</v>
      </c>
      <c r="M86" s="11">
        <f t="shared" si="29"/>
        <v>1.0408629207114313</v>
      </c>
      <c r="N86" s="11">
        <f t="shared" si="30"/>
        <v>-0.36630135288427446</v>
      </c>
      <c r="O86" s="11">
        <f t="shared" si="31"/>
        <v>1.5311054104995603</v>
      </c>
      <c r="P86" s="10">
        <f t="shared" si="32"/>
        <v>-1.1359874633601093</v>
      </c>
      <c r="R86" s="10">
        <f t="shared" si="33"/>
        <v>121.7894019591814</v>
      </c>
      <c r="S86" s="10">
        <f t="shared" si="34"/>
        <v>128.18152072781194</v>
      </c>
      <c r="T86" s="10">
        <f t="shared" si="35"/>
        <v>68.991561318777627</v>
      </c>
      <c r="U86" s="10">
        <f t="shared" si="36"/>
        <v>98.992091328850165</v>
      </c>
      <c r="V86" s="10">
        <f t="shared" si="37"/>
        <v>112.14737383356278</v>
      </c>
      <c r="W86" s="10">
        <f t="shared" si="38"/>
        <v>34.999566883163396</v>
      </c>
      <c r="X86" s="10">
        <f t="shared" si="39"/>
        <v>106.869533516641</v>
      </c>
      <c r="Y86" s="10">
        <f t="shared" si="40"/>
        <v>95.972582427290618</v>
      </c>
      <c r="Z86" s="10">
        <f t="shared" si="41"/>
        <v>240.78403374088865</v>
      </c>
      <c r="AA86" s="10">
        <f t="shared" si="42"/>
        <v>58.741490735915114</v>
      </c>
      <c r="AC86" s="10">
        <f>'2026_Fantasy_Hitters'!F50</f>
        <v>154.9463028626343</v>
      </c>
      <c r="AD86" s="10">
        <f>'2026_Fantasy_Hitters'!G50</f>
        <v>108.31609915390497</v>
      </c>
      <c r="AE86" s="10">
        <f>'2026_Fantasy_Hitters'!H50</f>
        <v>31.40475609243796</v>
      </c>
      <c r="AF86" s="10">
        <f>'2026_Fantasy_Hitters'!I50</f>
        <v>4.0187445792489562</v>
      </c>
      <c r="AG86" s="10">
        <f>'2026_Fantasy_Hitters'!J50</f>
        <v>12.992125984251903</v>
      </c>
      <c r="AH86" s="10">
        <f>'2026_Fantasy_Hitters'!K50</f>
        <v>81.637795275590406</v>
      </c>
      <c r="AI86" s="10">
        <f>'2026_Fantasy_Hitters'!L50</f>
        <v>65</v>
      </c>
      <c r="AJ86" s="10">
        <f>'2026_Fantasy_Hitters'!M50</f>
        <v>52.671999999999997</v>
      </c>
      <c r="AK86" s="10">
        <f>'2026_Fantasy_Hitters'!N50</f>
        <v>0.1511808</v>
      </c>
      <c r="AL86" s="10">
        <f>'2026_Fantasy_Hitters'!O50</f>
        <v>94.656000000000006</v>
      </c>
      <c r="AM86" s="10">
        <f>'2026_Fantasy_Hitters'!P50</f>
        <v>2.014176</v>
      </c>
      <c r="AN86" s="10">
        <f>'2026_Fantasy_Hitters'!Q50</f>
        <v>6.0472447999999996</v>
      </c>
      <c r="AO86" s="10">
        <f>'2026_Fantasy_Hitters'!R50</f>
        <v>2.9887232000000004</v>
      </c>
      <c r="AP86" s="10">
        <f>'2026_Fantasy_Hitters'!S50</f>
        <v>26.2368448</v>
      </c>
      <c r="AQ86" s="10">
        <f>'2026_Fantasy_Hitters'!T50</f>
        <v>7.0564516129031682</v>
      </c>
      <c r="AR86" s="10">
        <f>'2026_Fantasy_Hitters'!U50</f>
        <v>19.180393187096833</v>
      </c>
      <c r="AS86" s="10">
        <f>'2026_Fantasy_Hitters'!V50</f>
        <v>0.26853778659035404</v>
      </c>
      <c r="AT86" s="10">
        <f>'2026_Fantasy_Hitters'!W50</f>
        <v>0.32991573631480786</v>
      </c>
      <c r="AU86" s="10">
        <f>'2026_Fantasy_Hitters'!X50</f>
        <v>0.40753959967683778</v>
      </c>
      <c r="AV86" s="10">
        <f>'2026_Fantasy_Hitters'!Y50</f>
        <v>0.73745533599164559</v>
      </c>
      <c r="AW86" s="10">
        <f>'2026_Fantasy_Hitters'!Z50</f>
        <v>0.29859999999999998</v>
      </c>
      <c r="AX86" s="10">
        <f>'2026_Fantasy_Hitters'!AA50</f>
        <v>0.1479</v>
      </c>
      <c r="AY86" s="10">
        <f>'2026_Fantasy_Hitters'!AB50</f>
        <v>8.2299999999999998E-2</v>
      </c>
      <c r="AZ86" s="10">
        <f t="shared" si="43"/>
        <v>2.0300196850393599E-2</v>
      </c>
    </row>
    <row r="87" spans="1:52">
      <c r="A87" t="s">
        <v>474</v>
      </c>
      <c r="B87" t="s">
        <v>156</v>
      </c>
      <c r="C87" t="s">
        <v>20</v>
      </c>
      <c r="D87">
        <v>506</v>
      </c>
      <c r="E87">
        <v>576</v>
      </c>
      <c r="F87" s="6">
        <f t="shared" si="22"/>
        <v>1.5383953988230816</v>
      </c>
      <c r="G87" s="5">
        <f t="shared" si="23"/>
        <v>0.33762726692385814</v>
      </c>
      <c r="H87" s="5">
        <f t="shared" si="24"/>
        <v>0.33698489080727723</v>
      </c>
      <c r="I87" s="5">
        <f t="shared" si="25"/>
        <v>-0.16009028738597941</v>
      </c>
      <c r="J87" s="5">
        <f t="shared" si="26"/>
        <v>0.49355395451811468</v>
      </c>
      <c r="K87" s="5">
        <f t="shared" si="27"/>
        <v>1.0118737588196625</v>
      </c>
      <c r="L87" s="5">
        <f t="shared" si="28"/>
        <v>-0.60212499557837618</v>
      </c>
      <c r="M87" s="5">
        <f t="shared" si="29"/>
        <v>0.24180951447557467</v>
      </c>
      <c r="N87" s="5">
        <f t="shared" si="30"/>
        <v>-0.42829001522752042</v>
      </c>
      <c r="O87" s="5">
        <f t="shared" si="31"/>
        <v>0.64010117348934437</v>
      </c>
      <c r="P87" s="1">
        <f t="shared" si="32"/>
        <v>-0.33304986201887399</v>
      </c>
      <c r="R87">
        <f t="shared" si="33"/>
        <v>107.98181292683758</v>
      </c>
      <c r="S87">
        <f t="shared" si="34"/>
        <v>106.86178244303844</v>
      </c>
      <c r="T87">
        <f t="shared" si="35"/>
        <v>92.918272797754682</v>
      </c>
      <c r="U87">
        <f t="shared" si="36"/>
        <v>112.69868858976766</v>
      </c>
      <c r="V87">
        <f t="shared" si="37"/>
        <v>136.62084690829775</v>
      </c>
      <c r="W87">
        <f t="shared" si="38"/>
        <v>70.724414338723804</v>
      </c>
      <c r="X87">
        <f t="shared" si="39"/>
        <v>101.59590521602719</v>
      </c>
      <c r="Y87">
        <f t="shared" si="40"/>
        <v>95.291028220449334</v>
      </c>
      <c r="Z87">
        <f t="shared" si="41"/>
        <v>158.85683937117284</v>
      </c>
      <c r="AA87">
        <f t="shared" si="42"/>
        <v>87.903791845674746</v>
      </c>
      <c r="AC87">
        <f>'2026_Fantasy_Hitters'!F68</f>
        <v>129.17492328726416</v>
      </c>
      <c r="AD87">
        <f>'2026_Fantasy_Hitters'!G68</f>
        <v>86.315525129181893</v>
      </c>
      <c r="AE87">
        <f>'2026_Fantasy_Hitters'!H68</f>
        <v>22.389381465266883</v>
      </c>
      <c r="AF87">
        <f>'2026_Fantasy_Hitters'!I68</f>
        <v>1.2215972308272633</v>
      </c>
      <c r="AG87">
        <f>'2026_Fantasy_Hitters'!J68</f>
        <v>17.497877760000002</v>
      </c>
      <c r="AH87">
        <f>'2026_Fantasy_Hitters'!K68</f>
        <v>72.382300884955583</v>
      </c>
      <c r="AI87">
        <f>'2026_Fantasy_Hitters'!L68</f>
        <v>73.999999999999858</v>
      </c>
      <c r="AJ87">
        <f>'2026_Fantasy_Hitters'!M68</f>
        <v>64.166399999999427</v>
      </c>
      <c r="AK87">
        <f>'2026_Fantasy_Hitters'!N68</f>
        <v>4.9217472000000004</v>
      </c>
      <c r="AL87">
        <f>'2026_Fantasy_Hitters'!O68</f>
        <v>139.76639999999944</v>
      </c>
      <c r="AM87">
        <f>'2026_Fantasy_Hitters'!P68</f>
        <v>4.0700908800000004</v>
      </c>
      <c r="AN87">
        <f>'2026_Fantasy_Hitters'!Q68</f>
        <v>3.0584044800000001</v>
      </c>
      <c r="AO87">
        <f>'2026_Fantasy_Hitters'!R68</f>
        <v>0</v>
      </c>
      <c r="AP87">
        <f>'2026_Fantasy_Hitters'!S68</f>
        <v>16.571427840000002</v>
      </c>
      <c r="AQ87">
        <f>'2026_Fantasy_Hitters'!T68</f>
        <v>3.9171974399999998</v>
      </c>
      <c r="AR87">
        <f>'2026_Fantasy_Hitters'!U68</f>
        <v>12.654230400000003</v>
      </c>
      <c r="AS87">
        <f>'2026_Fantasy_Hitters'!V68</f>
        <v>0.25528640965862481</v>
      </c>
      <c r="AT87">
        <f>'2026_Fantasy_Hitters'!W68</f>
        <v>0.34996863819271512</v>
      </c>
      <c r="AU87">
        <f>'2026_Fantasy_Hitters'!X68</f>
        <v>0.40464543634821637</v>
      </c>
      <c r="AV87">
        <f>'2026_Fantasy_Hitters'!Y68</f>
        <v>0.75461407454093155</v>
      </c>
      <c r="AW87">
        <f>'2026_Fantasy_Hitters'!Z68</f>
        <v>0.31745000000000001</v>
      </c>
      <c r="AX87">
        <f>'2026_Fantasy_Hitters'!AA68</f>
        <v>0.24264999999999901</v>
      </c>
      <c r="AY87">
        <f>'2026_Fantasy_Hitters'!AB68</f>
        <v>0.111399999999999</v>
      </c>
      <c r="AZ87">
        <f t="shared" si="43"/>
        <v>3.0378260000000004E-2</v>
      </c>
    </row>
    <row r="88" spans="1:52">
      <c r="A88" t="s">
        <v>466</v>
      </c>
      <c r="B88" t="s">
        <v>200</v>
      </c>
      <c r="C88" t="s">
        <v>467</v>
      </c>
      <c r="D88">
        <v>531</v>
      </c>
      <c r="E88">
        <v>590</v>
      </c>
      <c r="F88" s="6">
        <f t="shared" si="22"/>
        <v>1.4921227302089881</v>
      </c>
      <c r="G88" s="5">
        <f t="shared" si="23"/>
        <v>0.39227489363529666</v>
      </c>
      <c r="H88" s="5">
        <f t="shared" si="24"/>
        <v>0.64051941239002752</v>
      </c>
      <c r="I88" s="5">
        <f t="shared" si="25"/>
        <v>0.14762487484917647</v>
      </c>
      <c r="J88" s="5">
        <f t="shared" si="26"/>
        <v>0.13840204344785184</v>
      </c>
      <c r="K88" s="5">
        <f t="shared" si="27"/>
        <v>0.12826536613203315</v>
      </c>
      <c r="L88" s="5">
        <f t="shared" si="28"/>
        <v>-0.26431122808606772</v>
      </c>
      <c r="M88" s="5">
        <f t="shared" si="29"/>
        <v>0.36547949903022159</v>
      </c>
      <c r="N88" s="5">
        <f t="shared" si="30"/>
        <v>-9.2499257462560922E-2</v>
      </c>
      <c r="O88" s="5">
        <f t="shared" si="31"/>
        <v>8.0701030974346569E-2</v>
      </c>
      <c r="P88" s="1">
        <f t="shared" si="32"/>
        <v>-4.4333904701337169E-2</v>
      </c>
      <c r="R88">
        <f t="shared" si="33"/>
        <v>109.27373208159212</v>
      </c>
      <c r="S88">
        <f t="shared" si="34"/>
        <v>113.0424389290401</v>
      </c>
      <c r="T88">
        <f t="shared" si="35"/>
        <v>106.53030929619693</v>
      </c>
      <c r="U88">
        <f t="shared" si="36"/>
        <v>103.56095708248886</v>
      </c>
      <c r="V88">
        <f t="shared" si="37"/>
        <v>104.64206754628854</v>
      </c>
      <c r="W88">
        <f t="shared" si="38"/>
        <v>87.149070282926687</v>
      </c>
      <c r="X88">
        <f t="shared" si="39"/>
        <v>102.41210789458927</v>
      </c>
      <c r="Y88">
        <f t="shared" si="40"/>
        <v>98.982987280734918</v>
      </c>
      <c r="Z88">
        <f t="shared" si="41"/>
        <v>107.42040135819909</v>
      </c>
      <c r="AA88">
        <f t="shared" si="42"/>
        <v>98.389814256908565</v>
      </c>
      <c r="AC88">
        <f>'2026_Fantasy_Hitters'!F67</f>
        <v>136.64612402144402</v>
      </c>
      <c r="AD88">
        <f>'2026_Fantasy_Hitters'!G67</f>
        <v>91.064055954347481</v>
      </c>
      <c r="AE88">
        <f>'2026_Fantasy_Hitters'!H67</f>
        <v>24.480272215252814</v>
      </c>
      <c r="AF88">
        <f>'2026_Fantasy_Hitters'!I67</f>
        <v>0.97401087483514559</v>
      </c>
      <c r="AG88">
        <f>'2026_Fantasy_Hitters'!J67</f>
        <v>20.061224489795826</v>
      </c>
      <c r="AH88">
        <f>'2026_Fantasy_Hitters'!K67</f>
        <v>73.24829931972755</v>
      </c>
      <c r="AI88">
        <f>'2026_Fantasy_Hitters'!L67</f>
        <v>67.999999999999645</v>
      </c>
      <c r="AJ88">
        <f>'2026_Fantasy_Hitters'!M67</f>
        <v>49.146999999999998</v>
      </c>
      <c r="AK88">
        <f>'2026_Fantasy_Hitters'!N67</f>
        <v>2.6318366000000002</v>
      </c>
      <c r="AL88">
        <f>'2026_Fantasy_Hitters'!O67</f>
        <v>102.3355</v>
      </c>
      <c r="AM88">
        <f>'2026_Fantasy_Hitters'!P67</f>
        <v>5.0153067999999994</v>
      </c>
      <c r="AN88">
        <f>'2026_Fantasy_Hitters'!Q67</f>
        <v>4.0136047999999995</v>
      </c>
      <c r="AO88">
        <f>'2026_Fantasy_Hitters'!R67</f>
        <v>0.89999779999999996</v>
      </c>
      <c r="AP88">
        <f>'2026_Fantasy_Hitters'!S67</f>
        <v>12.314606741572986</v>
      </c>
      <c r="AQ88">
        <f>'2026_Fantasy_Hitters'!T67</f>
        <v>3.7577040999999998</v>
      </c>
      <c r="AR88">
        <f>'2026_Fantasy_Hitters'!U67</f>
        <v>8.5569026415729859</v>
      </c>
      <c r="AS88">
        <f>'2026_Fantasy_Hitters'!V67</f>
        <v>0.25733733337371756</v>
      </c>
      <c r="AT88">
        <f>'2026_Fantasy_Hitters'!W67</f>
        <v>0.32965705379558757</v>
      </c>
      <c r="AU88">
        <f>'2026_Fantasy_Hitters'!X67</f>
        <v>0.42032303383906189</v>
      </c>
      <c r="AV88">
        <f>'2026_Fantasy_Hitters'!Y67</f>
        <v>0.74998008763464941</v>
      </c>
      <c r="AW88">
        <f>'2026_Fantasy_Hitters'!Z67</f>
        <v>0.28255000000000002</v>
      </c>
      <c r="AX88">
        <f>'2026_Fantasy_Hitters'!AA67</f>
        <v>0.17344999999999999</v>
      </c>
      <c r="AY88">
        <f>'2026_Fantasy_Hitters'!AB67</f>
        <v>8.3299999999999999E-2</v>
      </c>
      <c r="AZ88">
        <f t="shared" si="43"/>
        <v>3.4002075406433602E-2</v>
      </c>
    </row>
    <row r="89" spans="1:52">
      <c r="A89" t="s">
        <v>299</v>
      </c>
      <c r="B89" t="s">
        <v>19</v>
      </c>
      <c r="C89" t="s">
        <v>20</v>
      </c>
      <c r="D89">
        <v>535</v>
      </c>
      <c r="E89">
        <v>594</v>
      </c>
      <c r="F89" s="6">
        <f t="shared" si="22"/>
        <v>1.3447403086587619</v>
      </c>
      <c r="G89" s="5">
        <f t="shared" si="23"/>
        <v>0.27314201732533427</v>
      </c>
      <c r="H89" s="5">
        <f t="shared" si="24"/>
        <v>0.55396470760713212</v>
      </c>
      <c r="I89" s="5">
        <f t="shared" si="25"/>
        <v>0.29584537317771192</v>
      </c>
      <c r="J89" s="5">
        <f t="shared" si="26"/>
        <v>0.84870586558834982</v>
      </c>
      <c r="K89" s="5">
        <f t="shared" si="27"/>
        <v>0.16184617964962497</v>
      </c>
      <c r="L89" s="5">
        <f t="shared" si="28"/>
        <v>-0.97966961053952861</v>
      </c>
      <c r="M89" s="5">
        <f t="shared" si="29"/>
        <v>9.3387799551096339E-3</v>
      </c>
      <c r="N89" s="5">
        <f t="shared" si="30"/>
        <v>5.7929643421662742E-2</v>
      </c>
      <c r="O89" s="5">
        <f t="shared" si="31"/>
        <v>2.060432174544408E-2</v>
      </c>
      <c r="P89" s="1">
        <f t="shared" si="32"/>
        <v>0.10303303072792071</v>
      </c>
      <c r="R89">
        <f t="shared" si="33"/>
        <v>106.4573234994125</v>
      </c>
      <c r="S89">
        <f t="shared" si="34"/>
        <v>111.2799873478465</v>
      </c>
      <c r="T89">
        <f t="shared" si="35"/>
        <v>113.08696649309998</v>
      </c>
      <c r="U89">
        <f t="shared" si="36"/>
        <v>121.83642009704575</v>
      </c>
      <c r="V89">
        <f t="shared" si="37"/>
        <v>105.85739487360092</v>
      </c>
      <c r="W89">
        <f t="shared" si="38"/>
        <v>52.368026881943578</v>
      </c>
      <c r="X89">
        <f t="shared" si="39"/>
        <v>100.06163449636801</v>
      </c>
      <c r="Y89">
        <f t="shared" si="40"/>
        <v>100.63692602295919</v>
      </c>
      <c r="Z89">
        <f t="shared" si="41"/>
        <v>101.89455246381259</v>
      </c>
      <c r="AA89">
        <f t="shared" si="42"/>
        <v>103.74210930129537</v>
      </c>
      <c r="AC89">
        <f>'2026_Fantasy_Hitters'!F41</f>
        <v>134.51566594191914</v>
      </c>
      <c r="AD89">
        <f>'2026_Fantasy_Hitters'!G41</f>
        <v>85.610671015696937</v>
      </c>
      <c r="AE89">
        <f>'2026_Fantasy_Hitters'!H41</f>
        <v>24.433980489046483</v>
      </c>
      <c r="AF89">
        <f>'2026_Fantasy_Hitters'!I41</f>
        <v>2.9893019425390013</v>
      </c>
      <c r="AG89">
        <f>'2026_Fantasy_Hitters'!J41</f>
        <v>21.295939499999999</v>
      </c>
      <c r="AH89">
        <f>'2026_Fantasy_Hitters'!K41</f>
        <v>71.360406091370479</v>
      </c>
      <c r="AI89">
        <f>'2026_Fantasy_Hitters'!L41</f>
        <v>79.999999999999602</v>
      </c>
      <c r="AJ89">
        <f>'2026_Fantasy_Hitters'!M41</f>
        <v>49.717799999999997</v>
      </c>
      <c r="AK89">
        <f>'2026_Fantasy_Hitters'!N41</f>
        <v>2.9219275800000002</v>
      </c>
      <c r="AL89">
        <f>'2026_Fantasy_Hitters'!O41</f>
        <v>89.159399999999408</v>
      </c>
      <c r="AM89">
        <f>'2026_Fantasy_Hitters'!P41</f>
        <v>3.0137065199999999</v>
      </c>
      <c r="AN89">
        <f>'2026_Fantasy_Hitters'!Q41</f>
        <v>6.0304543199999996</v>
      </c>
      <c r="AO89">
        <f>'2026_Fantasy_Hitters'!R41</f>
        <v>0</v>
      </c>
      <c r="AP89">
        <f>'2026_Fantasy_Hitters'!S41</f>
        <v>11.142857142857109</v>
      </c>
      <c r="AQ89">
        <f>'2026_Fantasy_Hitters'!T41</f>
        <v>3.0261330000000002</v>
      </c>
      <c r="AR89">
        <f>'2026_Fantasy_Hitters'!U41</f>
        <v>8.1167241428571089</v>
      </c>
      <c r="AS89">
        <f>'2026_Fantasy_Hitters'!V41</f>
        <v>0.25143115129330679</v>
      </c>
      <c r="AT89">
        <f>'2026_Fantasy_Hitters'!W41</f>
        <v>0.32032786190018198</v>
      </c>
      <c r="AU89">
        <f>'2026_Fantasy_Hitters'!X41</f>
        <v>0.42734634732973259</v>
      </c>
      <c r="AV89">
        <f>'2026_Fantasy_Hitters'!Y41</f>
        <v>0.74767420922991457</v>
      </c>
      <c r="AW89">
        <f>'2026_Fantasy_Hitters'!Z41</f>
        <v>0.26295000000000002</v>
      </c>
      <c r="AX89">
        <f>'2026_Fantasy_Hitters'!AA41</f>
        <v>0.15009999999999901</v>
      </c>
      <c r="AY89">
        <f>'2026_Fantasy_Hitters'!AB41</f>
        <v>8.3699999999999997E-2</v>
      </c>
      <c r="AZ89">
        <f t="shared" si="43"/>
        <v>3.5851750000000002E-2</v>
      </c>
    </row>
    <row r="90" spans="1:52">
      <c r="A90" t="s">
        <v>679</v>
      </c>
      <c r="B90" t="s">
        <v>214</v>
      </c>
      <c r="C90" t="s">
        <v>20</v>
      </c>
      <c r="D90">
        <v>424</v>
      </c>
      <c r="E90">
        <v>502</v>
      </c>
      <c r="F90" s="6">
        <f t="shared" si="22"/>
        <v>1.2677838831603729</v>
      </c>
      <c r="G90" s="5">
        <f t="shared" si="23"/>
        <v>-0.19821020158591091</v>
      </c>
      <c r="H90" s="5">
        <f t="shared" si="24"/>
        <v>-0.86275044695137793</v>
      </c>
      <c r="I90" s="5">
        <f t="shared" si="25"/>
        <v>0.65712049826971597</v>
      </c>
      <c r="J90" s="5">
        <f t="shared" si="26"/>
        <v>-9.8365897265640684E-2</v>
      </c>
      <c r="K90" s="5">
        <f t="shared" si="27"/>
        <v>1.2327376167519728</v>
      </c>
      <c r="L90" s="5">
        <f t="shared" si="28"/>
        <v>0.44110584329422881</v>
      </c>
      <c r="M90" s="5">
        <f t="shared" si="29"/>
        <v>-0.98079549290549273</v>
      </c>
      <c r="N90" s="5">
        <f t="shared" si="30"/>
        <v>0.77465695315697403</v>
      </c>
      <c r="O90" s="5">
        <f t="shared" si="31"/>
        <v>-0.80186344848492175</v>
      </c>
      <c r="P90" s="1">
        <f t="shared" si="32"/>
        <v>1.1041484588808252</v>
      </c>
      <c r="R90">
        <f t="shared" si="33"/>
        <v>95.314132168103853</v>
      </c>
      <c r="S90">
        <f t="shared" si="34"/>
        <v>82.432429372626984</v>
      </c>
      <c r="T90">
        <f t="shared" si="35"/>
        <v>129.06827255878403</v>
      </c>
      <c r="U90">
        <f t="shared" si="36"/>
        <v>97.469136077636733</v>
      </c>
      <c r="V90">
        <f t="shared" si="37"/>
        <v>144.61415779161388</v>
      </c>
      <c r="W90">
        <f t="shared" si="38"/>
        <v>121.44676270853921</v>
      </c>
      <c r="X90">
        <f t="shared" si="39"/>
        <v>93.526902171825384</v>
      </c>
      <c r="Y90">
        <f t="shared" si="40"/>
        <v>108.51721404084317</v>
      </c>
      <c r="Z90">
        <f t="shared" si="41"/>
        <v>26.269236583617328</v>
      </c>
      <c r="AA90">
        <f t="shared" si="42"/>
        <v>140.10213218807212</v>
      </c>
      <c r="AC90">
        <f>'2026_Fantasy_Hitters'!F99</f>
        <v>99.644629699750951</v>
      </c>
      <c r="AD90">
        <f>'2026_Fantasy_Hitters'!G99</f>
        <v>55.550085147101235</v>
      </c>
      <c r="AE90">
        <f>'2026_Fantasy_Hitters'!H99</f>
        <v>18.583663204726413</v>
      </c>
      <c r="AF90">
        <f>'2026_Fantasy_Hitters'!I99</f>
        <v>1.8146428875220064</v>
      </c>
      <c r="AG90">
        <f>'2026_Fantasy_Hitters'!J99</f>
        <v>24.305454545454477</v>
      </c>
      <c r="AH90">
        <f>'2026_Fantasy_Hitters'!K99</f>
        <v>63.890909090908956</v>
      </c>
      <c r="AI90">
        <f>'2026_Fantasy_Hitters'!L99</f>
        <v>63.999999999999773</v>
      </c>
      <c r="AJ90">
        <f>'2026_Fantasy_Hitters'!M99</f>
        <v>67.920600000000007</v>
      </c>
      <c r="AK90">
        <f>'2026_Fantasy_Hitters'!N99</f>
        <v>6.7391774891774361</v>
      </c>
      <c r="AL90">
        <f>'2026_Fantasy_Hitters'!O99</f>
        <v>153.3108</v>
      </c>
      <c r="AM90">
        <f>'2026_Fantasy_Hitters'!P99</f>
        <v>6.9890909090908577</v>
      </c>
      <c r="AN90">
        <f>'2026_Fantasy_Hitters'!Q99</f>
        <v>3.0424262199999998</v>
      </c>
      <c r="AO90">
        <f>'2026_Fantasy_Hitters'!R99</f>
        <v>0</v>
      </c>
      <c r="AP90">
        <f>'2026_Fantasy_Hitters'!S99</f>
        <v>3.1464305799999996</v>
      </c>
      <c r="AQ90">
        <f>'2026_Fantasy_Hitters'!T99</f>
        <v>1.0538737</v>
      </c>
      <c r="AR90">
        <f>'2026_Fantasy_Hitters'!U99</f>
        <v>2.0925568799999996</v>
      </c>
      <c r="AS90">
        <f>'2026_Fantasy_Hitters'!V99</f>
        <v>0.23501091910318619</v>
      </c>
      <c r="AT90">
        <f>'2026_Fantasy_Hitters'!W99</f>
        <v>0.36135679045793062</v>
      </c>
      <c r="AU90">
        <f>'2026_Fantasy_Hitters'!X99</f>
        <v>0.46080933585126882</v>
      </c>
      <c r="AV90">
        <f>'2026_Fantasy_Hitters'!Y99</f>
        <v>0.8221661263091995</v>
      </c>
      <c r="AW90">
        <f>'2026_Fantasy_Hitters'!Z99</f>
        <v>0.30204999999999999</v>
      </c>
      <c r="AX90">
        <f>'2026_Fantasy_Hitters'!AA99</f>
        <v>0.3054</v>
      </c>
      <c r="AY90">
        <f>'2026_Fantasy_Hitters'!AB99</f>
        <v>0.1353</v>
      </c>
      <c r="AZ90">
        <f t="shared" si="43"/>
        <v>4.8417240130387403E-2</v>
      </c>
    </row>
    <row r="91" spans="1:52">
      <c r="A91" t="s">
        <v>432</v>
      </c>
      <c r="B91" t="s">
        <v>66</v>
      </c>
      <c r="C91" t="s">
        <v>20</v>
      </c>
      <c r="D91">
        <v>532</v>
      </c>
      <c r="E91">
        <v>567</v>
      </c>
      <c r="F91" s="6">
        <f t="shared" si="22"/>
        <v>1.2461806797159922</v>
      </c>
      <c r="G91" s="5">
        <f t="shared" si="23"/>
        <v>0.32152999532330778</v>
      </c>
      <c r="H91" s="5">
        <f t="shared" si="24"/>
        <v>0.77952216914165362</v>
      </c>
      <c r="I91" s="5">
        <f t="shared" si="25"/>
        <v>-7.2368957601755407E-2</v>
      </c>
      <c r="J91" s="5">
        <f t="shared" si="26"/>
        <v>0.2567860138045967</v>
      </c>
      <c r="K91" s="5">
        <f t="shared" si="27"/>
        <v>-1.1786389469137668</v>
      </c>
      <c r="L91" s="5">
        <f t="shared" si="28"/>
        <v>-0.30267910645018098</v>
      </c>
      <c r="M91" s="5">
        <f t="shared" si="29"/>
        <v>0.72411251824946643</v>
      </c>
      <c r="N91" s="5">
        <f t="shared" si="30"/>
        <v>0.18528839479867176</v>
      </c>
      <c r="O91" s="5">
        <f t="shared" si="31"/>
        <v>0.72458126719840965</v>
      </c>
      <c r="P91" s="1">
        <f t="shared" si="32"/>
        <v>-0.19195266783441059</v>
      </c>
      <c r="R91">
        <f t="shared" si="33"/>
        <v>107.60125891614192</v>
      </c>
      <c r="S91">
        <f t="shared" si="34"/>
        <v>115.87285270078907</v>
      </c>
      <c r="T91">
        <f t="shared" si="35"/>
        <v>96.798698884143761</v>
      </c>
      <c r="U91">
        <f t="shared" si="36"/>
        <v>106.60686758491488</v>
      </c>
      <c r="V91">
        <f t="shared" si="37"/>
        <v>57.343733782131487</v>
      </c>
      <c r="W91">
        <f t="shared" si="38"/>
        <v>85.283606935717387</v>
      </c>
      <c r="X91">
        <f t="shared" si="39"/>
        <v>104.77903008643452</v>
      </c>
      <c r="Y91">
        <f t="shared" si="40"/>
        <v>102.03721261566562</v>
      </c>
      <c r="Z91">
        <f t="shared" si="41"/>
        <v>166.62472281120978</v>
      </c>
      <c r="AA91">
        <f t="shared" si="42"/>
        <v>93.028372953442371</v>
      </c>
      <c r="AC91">
        <f>'2026_Fantasy_Hitters'!F62</f>
        <v>140.06753880115517</v>
      </c>
      <c r="AD91">
        <f>'2026_Fantasy_Hitters'!G62</f>
        <v>91.567989769773064</v>
      </c>
      <c r="AE91">
        <f>'2026_Fantasy_Hitters'!H62</f>
        <v>28.118610191845089</v>
      </c>
      <c r="AF91">
        <f>'2026_Fantasy_Hitters'!I62</f>
        <v>3.2639830272535337</v>
      </c>
      <c r="AG91">
        <f>'2026_Fantasy_Hitters'!J62</f>
        <v>18.228619080000001</v>
      </c>
      <c r="AH91">
        <f>'2026_Fantasy_Hitters'!K62</f>
        <v>72.127208160000009</v>
      </c>
      <c r="AI91">
        <f>'2026_Fantasy_Hitters'!L62</f>
        <v>69.999999999999559</v>
      </c>
      <c r="AJ91">
        <f>'2026_Fantasy_Hitters'!M62</f>
        <v>26.932500000000001</v>
      </c>
      <c r="AK91">
        <f>'2026_Fantasy_Hitters'!N62</f>
        <v>1.2413841299999999</v>
      </c>
      <c r="AL91">
        <f>'2026_Fantasy_Hitters'!O62</f>
        <v>109.40264999999944</v>
      </c>
      <c r="AM91">
        <f>'2026_Fantasy_Hitters'!P62</f>
        <v>4.9079519999999999</v>
      </c>
      <c r="AN91">
        <f>'2026_Fantasy_Hitters'!Q62</f>
        <v>4.0070683800000007</v>
      </c>
      <c r="AO91">
        <f>'2026_Fantasy_Hitters'!R62</f>
        <v>1.9975636799999998</v>
      </c>
      <c r="AP91">
        <f>'2026_Fantasy_Hitters'!S62</f>
        <v>18.192075930000001</v>
      </c>
      <c r="AQ91">
        <f>'2026_Fantasy_Hitters'!T62</f>
        <v>4.9190708700000005</v>
      </c>
      <c r="AR91">
        <f>'2026_Fantasy_Hitters'!U62</f>
        <v>13.273005060000001</v>
      </c>
      <c r="AS91">
        <f>'2026_Fantasy_Hitters'!V62</f>
        <v>0.26328484737059243</v>
      </c>
      <c r="AT91">
        <f>'2026_Fantasy_Hitters'!W62</f>
        <v>0.30690397143119807</v>
      </c>
      <c r="AU91">
        <f>'2026_Fantasy_Hitters'!X62</f>
        <v>0.43329254803613504</v>
      </c>
      <c r="AV91">
        <f>'2026_Fantasy_Hitters'!Y62</f>
        <v>0.74019651946733311</v>
      </c>
      <c r="AW91">
        <f>'2026_Fantasy_Hitters'!Z62</f>
        <v>0.29835</v>
      </c>
      <c r="AX91">
        <f>'2026_Fantasy_Hitters'!AA62</f>
        <v>0.19294999999999901</v>
      </c>
      <c r="AY91">
        <f>'2026_Fantasy_Hitters'!AB62</f>
        <v>4.7500000000000001E-2</v>
      </c>
      <c r="AZ91">
        <f t="shared" si="43"/>
        <v>3.2149240000000003E-2</v>
      </c>
    </row>
    <row r="92" spans="1:52">
      <c r="A92" t="s">
        <v>735</v>
      </c>
      <c r="B92" t="s">
        <v>376</v>
      </c>
      <c r="C92" t="s">
        <v>20</v>
      </c>
      <c r="D92">
        <v>518</v>
      </c>
      <c r="E92">
        <v>563</v>
      </c>
      <c r="F92" s="6">
        <f t="shared" si="22"/>
        <v>1.1177219654238197</v>
      </c>
      <c r="G92" s="5">
        <f t="shared" si="23"/>
        <v>0.49850069203486336</v>
      </c>
      <c r="H92" s="5">
        <f t="shared" si="24"/>
        <v>0.49813203433621583</v>
      </c>
      <c r="I92" s="5">
        <f t="shared" si="25"/>
        <v>0.14347064766332798</v>
      </c>
      <c r="J92" s="5">
        <f t="shared" si="26"/>
        <v>-9.8365897265657809E-2</v>
      </c>
      <c r="K92" s="5">
        <f t="shared" si="27"/>
        <v>-0.63005623526785237</v>
      </c>
      <c r="L92" s="5">
        <f t="shared" si="28"/>
        <v>-0.97242039286218651</v>
      </c>
      <c r="M92" s="5">
        <f t="shared" si="29"/>
        <v>0.34693112412222349</v>
      </c>
      <c r="N92" s="5">
        <f t="shared" si="30"/>
        <v>0.14673346170615204</v>
      </c>
      <c r="O92" s="5">
        <f t="shared" si="31"/>
        <v>1.1041107436500057</v>
      </c>
      <c r="P92" s="1">
        <f t="shared" si="32"/>
        <v>8.0685787306727874E-2</v>
      </c>
      <c r="R92">
        <f t="shared" si="33"/>
        <v>111.78500570754757</v>
      </c>
      <c r="S92">
        <f t="shared" si="34"/>
        <v>110.14310653315925</v>
      </c>
      <c r="T92">
        <f t="shared" si="35"/>
        <v>106.34654359656145</v>
      </c>
      <c r="U92">
        <f t="shared" si="36"/>
        <v>97.469136077636293</v>
      </c>
      <c r="V92">
        <f t="shared" si="37"/>
        <v>77.197557764243854</v>
      </c>
      <c r="W92">
        <f t="shared" si="38"/>
        <v>52.720487076502373</v>
      </c>
      <c r="X92">
        <f t="shared" si="39"/>
        <v>102.28969150279137</v>
      </c>
      <c r="Y92">
        <f t="shared" si="40"/>
        <v>101.61330805230874</v>
      </c>
      <c r="Z92">
        <f t="shared" si="41"/>
        <v>201.52218333353261</v>
      </c>
      <c r="AA92">
        <f t="shared" si="42"/>
        <v>102.93046834621578</v>
      </c>
      <c r="AC92">
        <f>'2026_Fantasy_Hitters'!F108</f>
        <v>133.14140015047712</v>
      </c>
      <c r="AD92">
        <f>'2026_Fantasy_Hitters'!G108</f>
        <v>83.080950841092942</v>
      </c>
      <c r="AE92">
        <f>'2026_Fantasy_Hitters'!H108</f>
        <v>25.808403922940215</v>
      </c>
      <c r="AF92">
        <f>'2026_Fantasy_Hitters'!I108</f>
        <v>2.9029557523805791</v>
      </c>
      <c r="AG92">
        <f>'2026_Fantasy_Hitters'!J108</f>
        <v>20.026618705035908</v>
      </c>
      <c r="AH92">
        <f>'2026_Fantasy_Hitters'!K108</f>
        <v>74.93165467625893</v>
      </c>
      <c r="AI92">
        <f>'2026_Fantasy_Hitters'!L108</f>
        <v>63.999999999999481</v>
      </c>
      <c r="AJ92">
        <f>'2026_Fantasy_Hitters'!M108</f>
        <v>36.257199999999997</v>
      </c>
      <c r="AK92">
        <f>'2026_Fantasy_Hitters'!N108</f>
        <v>0</v>
      </c>
      <c r="AL92">
        <f>'2026_Fantasy_Hitters'!O108</f>
        <v>149.47650000000002</v>
      </c>
      <c r="AM92">
        <f>'2026_Fantasy_Hitters'!P108</f>
        <v>3.03399011</v>
      </c>
      <c r="AN92">
        <f>'2026_Fantasy_Hitters'!Q108</f>
        <v>4.0503571200000001</v>
      </c>
      <c r="AO92">
        <f>'2026_Fantasy_Hitters'!R108</f>
        <v>2.8892428100000003</v>
      </c>
      <c r="AP92">
        <f>'2026_Fantasy_Hitters'!S108</f>
        <v>20.95420129</v>
      </c>
      <c r="AQ92">
        <f>'2026_Fantasy_Hitters'!T108</f>
        <v>4.9013316199999997</v>
      </c>
      <c r="AR92">
        <f>'2026_Fantasy_Hitters'!U108</f>
        <v>16.05286967</v>
      </c>
      <c r="AS92">
        <f>'2026_Fantasy_Hitters'!V108</f>
        <v>0.25702973002022611</v>
      </c>
      <c r="AT92">
        <f>'2026_Fantasy_Hitters'!W108</f>
        <v>0.308848748438874</v>
      </c>
      <c r="AU92">
        <f>'2026_Fantasy_Hitters'!X108</f>
        <v>0.43149247251787404</v>
      </c>
      <c r="AV92">
        <f>'2026_Fantasy_Hitters'!Y108</f>
        <v>0.74034122095674804</v>
      </c>
      <c r="AW92">
        <f>'2026_Fantasy_Hitters'!Z108</f>
        <v>0.32085000000000002</v>
      </c>
      <c r="AX92">
        <f>'2026_Fantasy_Hitters'!AA108</f>
        <v>0.26550000000000001</v>
      </c>
      <c r="AY92">
        <f>'2026_Fantasy_Hitters'!AB108</f>
        <v>6.4399999999999999E-2</v>
      </c>
      <c r="AZ92">
        <f t="shared" si="43"/>
        <v>3.5571258801129498E-2</v>
      </c>
    </row>
    <row r="93" spans="1:52">
      <c r="A93" s="1" t="s">
        <v>1370</v>
      </c>
      <c r="B93" t="s">
        <v>630</v>
      </c>
      <c r="C93" t="s">
        <v>631</v>
      </c>
      <c r="D93">
        <v>509</v>
      </c>
      <c r="E93">
        <v>580</v>
      </c>
      <c r="F93" s="6">
        <f t="shared" si="22"/>
        <v>0.87459587894616719</v>
      </c>
      <c r="G93" s="5">
        <f t="shared" si="23"/>
        <v>0.15442902004012915</v>
      </c>
      <c r="H93" s="5">
        <f t="shared" si="24"/>
        <v>9.8776436307818627E-2</v>
      </c>
      <c r="I93" s="5">
        <f t="shared" si="25"/>
        <v>0.36085647991656949</v>
      </c>
      <c r="J93" s="5">
        <f t="shared" si="26"/>
        <v>2.0018073091093706E-2</v>
      </c>
      <c r="K93" s="5">
        <f t="shared" si="27"/>
        <v>0.56038007406250212</v>
      </c>
      <c r="L93" s="5">
        <f t="shared" si="28"/>
        <v>0.10101312605196998</v>
      </c>
      <c r="M93" s="5">
        <f t="shared" si="29"/>
        <v>-0.54352220917131866</v>
      </c>
      <c r="N93" s="5">
        <f t="shared" si="30"/>
        <v>0.20397010747712188</v>
      </c>
      <c r="O93" s="5">
        <f t="shared" si="31"/>
        <v>-0.32769662194976756</v>
      </c>
      <c r="P93" s="1">
        <f t="shared" si="32"/>
        <v>0.24637139312004847</v>
      </c>
      <c r="R93">
        <f t="shared" si="33"/>
        <v>103.65084123585652</v>
      </c>
      <c r="S93">
        <f t="shared" si="34"/>
        <v>102.01131396371875</v>
      </c>
      <c r="T93">
        <f t="shared" si="35"/>
        <v>115.96278694765785</v>
      </c>
      <c r="U93">
        <f t="shared" si="36"/>
        <v>100.51504658006249</v>
      </c>
      <c r="V93">
        <f t="shared" si="37"/>
        <v>120.28078376757345</v>
      </c>
      <c r="W93">
        <f t="shared" si="38"/>
        <v>104.91130321173122</v>
      </c>
      <c r="X93">
        <f t="shared" si="39"/>
        <v>96.412837888019808</v>
      </c>
      <c r="Y93">
        <f t="shared" si="40"/>
        <v>102.24261469058852</v>
      </c>
      <c r="Z93">
        <f t="shared" si="41"/>
        <v>69.868532914204238</v>
      </c>
      <c r="AA93">
        <f t="shared" si="42"/>
        <v>108.94808854261703</v>
      </c>
      <c r="AC93">
        <f>'2026_Fantasy_Hitters'!F192</f>
        <v>123.31165880300016</v>
      </c>
      <c r="AD93">
        <f>'2026_Fantasy_Hitters'!G192</f>
        <v>72.492524911234156</v>
      </c>
      <c r="AE93">
        <f>'2026_Fantasy_Hitters'!H192</f>
        <v>28.066679430419811</v>
      </c>
      <c r="AF93">
        <f>'2026_Fantasy_Hitters'!I192</f>
        <v>1.6713298030255015</v>
      </c>
      <c r="AG93">
        <f>'2026_Fantasy_Hitters'!J192</f>
        <v>21.837498800000002</v>
      </c>
      <c r="AH93">
        <f>'2026_Fantasy_Hitters'!K192</f>
        <v>69.479166666666288</v>
      </c>
      <c r="AI93">
        <f>'2026_Fantasy_Hitters'!L192</f>
        <v>65.999999999999503</v>
      </c>
      <c r="AJ93">
        <f>'2026_Fantasy_Hitters'!M192</f>
        <v>56.491999999999997</v>
      </c>
      <c r="AK93">
        <f>'2026_Fantasy_Hitters'!N192</f>
        <v>0.1510436</v>
      </c>
      <c r="AL93">
        <f>'2026_Fantasy_Hitters'!O192</f>
        <v>109.99699999999943</v>
      </c>
      <c r="AM93">
        <f>'2026_Fantasy_Hitters'!P192</f>
        <v>6.0374984000000005</v>
      </c>
      <c r="AN93">
        <f>'2026_Fantasy_Hitters'!Q192</f>
        <v>5.0347248000000002</v>
      </c>
      <c r="AO93">
        <f>'2026_Fantasy_Hitters'!R192</f>
        <v>0</v>
      </c>
      <c r="AP93">
        <f>'2026_Fantasy_Hitters'!S192</f>
        <v>7.658639</v>
      </c>
      <c r="AQ93">
        <f>'2026_Fantasy_Hitters'!T192</f>
        <v>2.0930459999999997</v>
      </c>
      <c r="AR93">
        <f>'2026_Fantasy_Hitters'!U192</f>
        <v>5.5655929999999998</v>
      </c>
      <c r="AS93">
        <f>'2026_Fantasy_Hitters'!V192</f>
        <v>0.24226259096856612</v>
      </c>
      <c r="AT93">
        <f>'2026_Fantasy_Hitters'!W192</f>
        <v>0.32591457228912823</v>
      </c>
      <c r="AU93">
        <f>'2026_Fantasy_Hitters'!X192</f>
        <v>0.43416477088634636</v>
      </c>
      <c r="AV93">
        <f>'2026_Fantasy_Hitters'!Y192</f>
        <v>0.76007934317547465</v>
      </c>
      <c r="AW93">
        <f>'2026_Fantasy_Hitters'!Z192</f>
        <v>0.26550000000000001</v>
      </c>
      <c r="AX93">
        <f>'2026_Fantasy_Hitters'!AA192</f>
        <v>0.18964999999999901</v>
      </c>
      <c r="AY93">
        <f>'2026_Fantasy_Hitters'!AB192</f>
        <v>9.74E-2</v>
      </c>
      <c r="AZ93">
        <f t="shared" si="43"/>
        <v>3.7650860000000001E-2</v>
      </c>
    </row>
    <row r="94" spans="1:52">
      <c r="A94" t="s">
        <v>716</v>
      </c>
      <c r="B94" t="s">
        <v>200</v>
      </c>
      <c r="C94" t="s">
        <v>124</v>
      </c>
      <c r="D94">
        <v>505</v>
      </c>
      <c r="E94">
        <v>564</v>
      </c>
      <c r="F94" s="6">
        <f t="shared" si="22"/>
        <v>0.82863185362471992</v>
      </c>
      <c r="G94" s="5">
        <f t="shared" si="23"/>
        <v>-2.0153441937608057E-3</v>
      </c>
      <c r="H94" s="5">
        <f t="shared" si="24"/>
        <v>-0.22549200394729518</v>
      </c>
      <c r="I94" s="5">
        <f t="shared" si="25"/>
        <v>0.95657642600889536</v>
      </c>
      <c r="J94" s="5">
        <f t="shared" si="26"/>
        <v>0.6711299100532323</v>
      </c>
      <c r="K94" s="5">
        <f t="shared" si="27"/>
        <v>-4.2286102661762137E-2</v>
      </c>
      <c r="L94" s="5">
        <f t="shared" si="28"/>
        <v>0.48074350080415523</v>
      </c>
      <c r="M94" s="5">
        <f t="shared" si="29"/>
        <v>-1.3808509481664346</v>
      </c>
      <c r="N94" s="5">
        <f t="shared" si="30"/>
        <v>0.16085406578887784</v>
      </c>
      <c r="O94" s="5">
        <f t="shared" si="31"/>
        <v>-0.82251050258950598</v>
      </c>
      <c r="P94" s="1">
        <f t="shared" si="32"/>
        <v>1.0324828525283178</v>
      </c>
      <c r="R94">
        <f t="shared" si="33"/>
        <v>99.952355446630961</v>
      </c>
      <c r="S94">
        <f t="shared" si="34"/>
        <v>95.408467513114857</v>
      </c>
      <c r="T94">
        <f t="shared" si="35"/>
        <v>142.3149549401532</v>
      </c>
      <c r="U94">
        <f t="shared" si="36"/>
        <v>117.2675543434067</v>
      </c>
      <c r="V94">
        <f t="shared" si="37"/>
        <v>98.469618489038055</v>
      </c>
      <c r="W94">
        <f t="shared" si="38"/>
        <v>123.3739632837778</v>
      </c>
      <c r="X94">
        <f t="shared" si="39"/>
        <v>90.886598339547731</v>
      </c>
      <c r="Y94">
        <f t="shared" si="40"/>
        <v>101.76856155757768</v>
      </c>
      <c r="Z94">
        <f t="shared" si="41"/>
        <v>24.370754910326568</v>
      </c>
      <c r="AA94">
        <f t="shared" si="42"/>
        <v>137.49927240398145</v>
      </c>
      <c r="AC94">
        <f>'2026_Fantasy_Hitters'!F105</f>
        <v>115.33011325664</v>
      </c>
      <c r="AD94">
        <f>'2026_Fantasy_Hitters'!G105</f>
        <v>66.608963232553421</v>
      </c>
      <c r="AE94">
        <f>'2026_Fantasy_Hitters'!H105</f>
        <v>20.718836109499978</v>
      </c>
      <c r="AF94">
        <f>'2026_Fantasy_Hitters'!I105</f>
        <v>0.99666540094490041</v>
      </c>
      <c r="AG94">
        <f>'2026_Fantasy_Hitters'!J105</f>
        <v>26.799999719999999</v>
      </c>
      <c r="AH94">
        <f>'2026_Fantasy_Hitters'!K105</f>
        <v>66.999999999999574</v>
      </c>
      <c r="AI94">
        <f>'2026_Fantasy_Hitters'!L105</f>
        <v>76.99999999999973</v>
      </c>
      <c r="AJ94">
        <f>'2026_Fantasy_Hitters'!M105</f>
        <v>46.248000000000005</v>
      </c>
      <c r="AK94">
        <f>'2026_Fantasy_Hitters'!N105</f>
        <v>1.77185112</v>
      </c>
      <c r="AL94">
        <f>'2026_Fantasy_Hitters'!O105</f>
        <v>146.58360000000002</v>
      </c>
      <c r="AM94">
        <f>'2026_Fantasy_Hitters'!P105</f>
        <v>7.0999986000000002</v>
      </c>
      <c r="AN94">
        <f>'2026_Fantasy_Hitters'!Q105</f>
        <v>5.0000010000000001</v>
      </c>
      <c r="AO94">
        <f>'2026_Fantasy_Hitters'!R105</f>
        <v>0</v>
      </c>
      <c r="AP94">
        <f>'2026_Fantasy_Hitters'!S105</f>
        <v>2.96092668</v>
      </c>
      <c r="AQ94">
        <f>'2026_Fantasy_Hitters'!T105</f>
        <v>1.0195992</v>
      </c>
      <c r="AR94">
        <f>'2026_Fantasy_Hitters'!U105</f>
        <v>1.94132748</v>
      </c>
      <c r="AS94">
        <f>'2026_Fantasy_Hitters'!V105</f>
        <v>0.22837646189433664</v>
      </c>
      <c r="AT94">
        <f>'2026_Fantasy_Hitters'!W105</f>
        <v>0.30545501621326798</v>
      </c>
      <c r="AU94">
        <f>'2026_Fantasy_Hitters'!X105</f>
        <v>0.43215174363245168</v>
      </c>
      <c r="AV94">
        <f>'2026_Fantasy_Hitters'!Y105</f>
        <v>0.73760675984571966</v>
      </c>
      <c r="AW94">
        <f>'2026_Fantasy_Hitters'!Z105</f>
        <v>0.26300000000000001</v>
      </c>
      <c r="AX94">
        <f>'2026_Fantasy_Hitters'!AA105</f>
        <v>0.25990000000000002</v>
      </c>
      <c r="AY94">
        <f>'2026_Fantasy_Hitters'!AB105</f>
        <v>8.2000000000000003E-2</v>
      </c>
      <c r="AZ94">
        <f t="shared" si="43"/>
        <v>4.7517730000000001E-2</v>
      </c>
    </row>
    <row r="95" spans="1:52">
      <c r="A95" t="s">
        <v>753</v>
      </c>
      <c r="B95" t="s">
        <v>293</v>
      </c>
      <c r="C95" t="s">
        <v>169</v>
      </c>
      <c r="D95">
        <v>557</v>
      </c>
      <c r="E95">
        <v>639</v>
      </c>
      <c r="F95" s="6">
        <f t="shared" si="22"/>
        <v>0.79527777380283071</v>
      </c>
      <c r="G95" s="5">
        <f t="shared" si="23"/>
        <v>0.54013821855491218</v>
      </c>
      <c r="H95" s="5">
        <f t="shared" si="24"/>
        <v>0.89430098882164</v>
      </c>
      <c r="I95" s="5">
        <f t="shared" si="25"/>
        <v>-0.20537283372008969</v>
      </c>
      <c r="J95" s="5">
        <f t="shared" si="26"/>
        <v>0.19759400376561473</v>
      </c>
      <c r="K95" s="5">
        <f t="shared" si="27"/>
        <v>1.4210031411696737</v>
      </c>
      <c r="L95" s="5">
        <f t="shared" si="28"/>
        <v>-0.61702853972935578</v>
      </c>
      <c r="M95" s="5">
        <f t="shared" si="29"/>
        <v>0.31739250223278026</v>
      </c>
      <c r="N95" s="5">
        <f t="shared" si="30"/>
        <v>-0.48198581170810528</v>
      </c>
      <c r="O95" s="5">
        <f t="shared" si="31"/>
        <v>-0.65206180861994389</v>
      </c>
      <c r="P95" s="1">
        <f t="shared" si="32"/>
        <v>-0.61870208696429496</v>
      </c>
      <c r="R95">
        <f t="shared" si="33"/>
        <v>112.7693543664911</v>
      </c>
      <c r="S95">
        <f t="shared" si="34"/>
        <v>118.21001175805736</v>
      </c>
      <c r="T95">
        <f t="shared" si="35"/>
        <v>90.915161644683621</v>
      </c>
      <c r="U95">
        <f t="shared" si="36"/>
        <v>105.08391169406129</v>
      </c>
      <c r="V95">
        <f t="shared" si="37"/>
        <v>151.42769840151499</v>
      </c>
      <c r="W95">
        <f t="shared" si="38"/>
        <v>69.999797379367195</v>
      </c>
      <c r="X95">
        <f t="shared" si="39"/>
        <v>102.09474118890545</v>
      </c>
      <c r="Y95">
        <f t="shared" si="40"/>
        <v>94.700652584040341</v>
      </c>
      <c r="Z95">
        <f t="shared" si="41"/>
        <v>40.043388889898104</v>
      </c>
      <c r="AA95">
        <f t="shared" si="42"/>
        <v>77.529042696281095</v>
      </c>
      <c r="AC95">
        <f>'2026_Fantasy_Hitters'!F111</f>
        <v>142.89270543258107</v>
      </c>
      <c r="AD95">
        <f>'2026_Fantasy_Hitters'!G111</f>
        <v>98.45139930568476</v>
      </c>
      <c r="AE95">
        <f>'2026_Fantasy_Hitters'!H111</f>
        <v>27.027626361913274</v>
      </c>
      <c r="AF95">
        <f>'2026_Fantasy_Hitters'!I111</f>
        <v>1.0006058999928757</v>
      </c>
      <c r="AG95">
        <f>'2026_Fantasy_Hitters'!J111</f>
        <v>17.120662460567779</v>
      </c>
      <c r="AH95">
        <f>'2026_Fantasy_Hitters'!K111</f>
        <v>75.591482649842106</v>
      </c>
      <c r="AI95">
        <f>'2026_Fantasy_Hitters'!L111</f>
        <v>68.999999580000008</v>
      </c>
      <c r="AJ95">
        <f>'2026_Fantasy_Hitters'!M111</f>
        <v>71.12069999999936</v>
      </c>
      <c r="AK95">
        <f>'2026_Fantasy_Hitters'!N111</f>
        <v>0.72067698000000002</v>
      </c>
      <c r="AL95">
        <f>'2026_Fantasy_Hitters'!O111</f>
        <v>109.74825000000001</v>
      </c>
      <c r="AM95">
        <f>'2026_Fantasy_Hitters'!P111</f>
        <v>4.0283901900000005</v>
      </c>
      <c r="AN95">
        <f>'2026_Fantasy_Hitters'!Q111</f>
        <v>6.04731708</v>
      </c>
      <c r="AO95">
        <f>'2026_Fantasy_Hitters'!R111</f>
        <v>0.99609236999999995</v>
      </c>
      <c r="AP95">
        <f>'2026_Fantasy_Hitters'!S111</f>
        <v>5.1913510199999999</v>
      </c>
      <c r="AQ95">
        <f>'2026_Fantasy_Hitters'!T111</f>
        <v>2.0015716499999998</v>
      </c>
      <c r="AR95">
        <f>'2026_Fantasy_Hitters'!U111</f>
        <v>3.1897793700000001</v>
      </c>
      <c r="AS95">
        <f>'2026_Fantasy_Hitters'!V111</f>
        <v>0.25653986612671648</v>
      </c>
      <c r="AT95">
        <f>'2026_Fantasy_Hitters'!W111</f>
        <v>0.34456822849314528</v>
      </c>
      <c r="AU95">
        <f>'2026_Fantasy_Hitters'!X111</f>
        <v>0.40213845524553155</v>
      </c>
      <c r="AV95">
        <f>'2026_Fantasy_Hitters'!Y111</f>
        <v>0.74670668373867688</v>
      </c>
      <c r="AW95">
        <f>'2026_Fantasy_Hitters'!Z111</f>
        <v>0.28835</v>
      </c>
      <c r="AX95">
        <f>'2026_Fantasy_Hitters'!AA111</f>
        <v>0.17175000000000001</v>
      </c>
      <c r="AY95">
        <f>'2026_Fantasy_Hitters'!AB111</f>
        <v>0.111299999999999</v>
      </c>
      <c r="AZ95">
        <f t="shared" si="43"/>
        <v>2.6792898999323599E-2</v>
      </c>
    </row>
    <row r="96" spans="1:52">
      <c r="A96" t="s">
        <v>1132</v>
      </c>
      <c r="B96" t="s">
        <v>335</v>
      </c>
      <c r="C96" t="s">
        <v>124</v>
      </c>
      <c r="D96">
        <v>488</v>
      </c>
      <c r="E96">
        <v>528</v>
      </c>
      <c r="F96" s="6">
        <f t="shared" si="22"/>
        <v>0.72348331702732183</v>
      </c>
      <c r="G96" s="5">
        <f t="shared" si="23"/>
        <v>-0.29873656997473175</v>
      </c>
      <c r="H96" s="5">
        <f t="shared" si="24"/>
        <v>-0.11288788409122477</v>
      </c>
      <c r="I96" s="5">
        <f t="shared" si="25"/>
        <v>0.90830330480906318</v>
      </c>
      <c r="J96" s="5">
        <f t="shared" si="26"/>
        <v>0.43436196933972482</v>
      </c>
      <c r="K96" s="5">
        <f t="shared" si="27"/>
        <v>-1.0826088805073808</v>
      </c>
      <c r="L96" s="5">
        <f t="shared" si="28"/>
        <v>0.52864990174285964</v>
      </c>
      <c r="M96" s="5">
        <f t="shared" si="29"/>
        <v>-0.55864563111681487</v>
      </c>
      <c r="N96" s="5">
        <f t="shared" si="30"/>
        <v>0.63553501473255614</v>
      </c>
      <c r="O96" s="5">
        <f t="shared" si="31"/>
        <v>-0.96041664379663538</v>
      </c>
      <c r="P96" s="1">
        <f t="shared" si="32"/>
        <v>1.2299287358899056</v>
      </c>
      <c r="R96">
        <f t="shared" si="33"/>
        <v>92.937598205060866</v>
      </c>
      <c r="S96">
        <f t="shared" si="34"/>
        <v>97.701344712419498</v>
      </c>
      <c r="T96">
        <f t="shared" si="35"/>
        <v>140.1795532170373</v>
      </c>
      <c r="U96">
        <f t="shared" si="36"/>
        <v>111.1757333385542</v>
      </c>
      <c r="V96">
        <f t="shared" si="37"/>
        <v>60.819169655242909</v>
      </c>
      <c r="W96">
        <f t="shared" si="38"/>
        <v>125.7031938500281</v>
      </c>
      <c r="X96">
        <f t="shared" si="39"/>
        <v>96.313025653503971</v>
      </c>
      <c r="Y96">
        <f t="shared" si="40"/>
        <v>106.98759331968549</v>
      </c>
      <c r="Z96">
        <f t="shared" si="41"/>
        <v>11.690385091474155</v>
      </c>
      <c r="AA96">
        <f t="shared" si="42"/>
        <v>144.67041035275221</v>
      </c>
      <c r="AC96">
        <f>'2026_Fantasy_Hitters'!F177</f>
        <v>118.10175181212799</v>
      </c>
      <c r="AD96">
        <f>'2026_Fantasy_Hitters'!G177</f>
        <v>68.121042061812446</v>
      </c>
      <c r="AE96">
        <f>'2026_Fantasy_Hitters'!H177</f>
        <v>22.483578212218681</v>
      </c>
      <c r="AF96">
        <f>'2026_Fantasy_Hitters'!I177</f>
        <v>1.0085033290475156</v>
      </c>
      <c r="AG96">
        <f>'2026_Fantasy_Hitters'!J177</f>
        <v>26.397872159999999</v>
      </c>
      <c r="AH96">
        <f>'2026_Fantasy_Hitters'!K177</f>
        <v>62.297872340425393</v>
      </c>
      <c r="AI96">
        <f>'2026_Fantasy_Hitters'!L177</f>
        <v>72.999999999999602</v>
      </c>
      <c r="AJ96">
        <f>'2026_Fantasy_Hitters'!M177</f>
        <v>28.564800000000002</v>
      </c>
      <c r="AK96">
        <f>'2026_Fantasy_Hitters'!N177</f>
        <v>0.92666112</v>
      </c>
      <c r="AL96">
        <f>'2026_Fantasy_Hitters'!O177</f>
        <v>131.07599999999999</v>
      </c>
      <c r="AM96">
        <f>'2026_Fantasy_Hitters'!P177</f>
        <v>7.2340425531914496</v>
      </c>
      <c r="AN96">
        <f>'2026_Fantasy_Hitters'!Q177</f>
        <v>3.0638308799999998</v>
      </c>
      <c r="AO96">
        <f>'2026_Fantasy_Hitters'!R177</f>
        <v>0</v>
      </c>
      <c r="AP96">
        <f>'2026_Fantasy_Hitters'!S177</f>
        <v>1.9489800000000002</v>
      </c>
      <c r="AQ96">
        <f>'2026_Fantasy_Hitters'!T177</f>
        <v>1.0177464000000001</v>
      </c>
      <c r="AR96">
        <f>'2026_Fantasy_Hitters'!U177</f>
        <v>0.93123360000000011</v>
      </c>
      <c r="AS96">
        <f>'2026_Fantasy_Hitters'!V177</f>
        <v>0.24201178650026225</v>
      </c>
      <c r="AT96">
        <f>'2026_Fantasy_Hitters'!W177</f>
        <v>0.2974271088292374</v>
      </c>
      <c r="AU96">
        <f>'2026_Fantasy_Hitters'!X177</f>
        <v>0.45431392851104985</v>
      </c>
      <c r="AV96">
        <f>'2026_Fantasy_Hitters'!Y177</f>
        <v>0.7517410373402873</v>
      </c>
      <c r="AW96">
        <f>'2026_Fantasy_Hitters'!Z177</f>
        <v>0.27489999999999998</v>
      </c>
      <c r="AX96">
        <f>'2026_Fantasy_Hitters'!AA177</f>
        <v>0.24825</v>
      </c>
      <c r="AY96">
        <f>'2026_Fantasy_Hitters'!AB177</f>
        <v>5.4100000000000002E-2</v>
      </c>
      <c r="AZ96">
        <f t="shared" si="43"/>
        <v>4.9995970000000001E-2</v>
      </c>
    </row>
    <row r="97" spans="1:52">
      <c r="A97" t="s">
        <v>595</v>
      </c>
      <c r="B97" t="s">
        <v>136</v>
      </c>
      <c r="C97" t="s">
        <v>20</v>
      </c>
      <c r="D97">
        <v>508</v>
      </c>
      <c r="E97">
        <v>562</v>
      </c>
      <c r="F97" s="6">
        <f t="shared" si="22"/>
        <v>0.67932854754258631</v>
      </c>
      <c r="G97" s="5">
        <f t="shared" si="23"/>
        <v>0.43470711087587061</v>
      </c>
      <c r="H97" s="5">
        <f t="shared" si="24"/>
        <v>0.13011014740790344</v>
      </c>
      <c r="I97" s="5">
        <f t="shared" si="25"/>
        <v>0.39833802311937377</v>
      </c>
      <c r="J97" s="5">
        <f t="shared" si="26"/>
        <v>-3.9173912087280119E-2</v>
      </c>
      <c r="K97" s="5">
        <f t="shared" si="27"/>
        <v>0.10346215839023819</v>
      </c>
      <c r="L97" s="5">
        <f t="shared" si="28"/>
        <v>-1.3695868216127061</v>
      </c>
      <c r="M97" s="5">
        <f t="shared" si="29"/>
        <v>-0.42321837937606471</v>
      </c>
      <c r="N97" s="5">
        <f t="shared" si="30"/>
        <v>0.18676449089020752</v>
      </c>
      <c r="O97" s="5">
        <f t="shared" si="31"/>
        <v>0.8712147833704873</v>
      </c>
      <c r="P97" s="1">
        <f t="shared" si="32"/>
        <v>0.38671094656455635</v>
      </c>
      <c r="R97">
        <f t="shared" si="33"/>
        <v>110.27686794550199</v>
      </c>
      <c r="S97">
        <f t="shared" si="34"/>
        <v>102.64933992442795</v>
      </c>
      <c r="T97">
        <f t="shared" si="35"/>
        <v>117.62081422973444</v>
      </c>
      <c r="U97">
        <f t="shared" si="36"/>
        <v>98.99209132884944</v>
      </c>
      <c r="V97">
        <f t="shared" si="37"/>
        <v>103.74441162268151</v>
      </c>
      <c r="W97">
        <f t="shared" si="38"/>
        <v>33.410078287542703</v>
      </c>
      <c r="X97">
        <f t="shared" si="39"/>
        <v>97.206824468302543</v>
      </c>
      <c r="Y97">
        <f t="shared" si="40"/>
        <v>102.05344202702665</v>
      </c>
      <c r="Z97">
        <f t="shared" si="41"/>
        <v>180.10756843813459</v>
      </c>
      <c r="AA97">
        <f t="shared" si="42"/>
        <v>114.04515250913396</v>
      </c>
      <c r="AC97">
        <f>'2026_Fantasy_Hitters'!F87</f>
        <v>124.08290697653521</v>
      </c>
      <c r="AD97">
        <f>'2026_Fantasy_Hitters'!G87</f>
        <v>73.97467186708333</v>
      </c>
      <c r="AE97">
        <f>'2026_Fantasy_Hitters'!H87</f>
        <v>26.062577118342368</v>
      </c>
      <c r="AF97">
        <f>'2026_Fantasy_Hitters'!I87</f>
        <v>1.8162930460343536</v>
      </c>
      <c r="AG97">
        <f>'2026_Fantasy_Hitters'!J87</f>
        <v>22.149729729729707</v>
      </c>
      <c r="AH97">
        <f>'2026_Fantasy_Hitters'!K87</f>
        <v>73.920720720720425</v>
      </c>
      <c r="AI97">
        <f>'2026_Fantasy_Hitters'!L87</f>
        <v>64.999999999999531</v>
      </c>
      <c r="AJ97">
        <f>'2026_Fantasy_Hitters'!M87</f>
        <v>48.7254</v>
      </c>
      <c r="AK97">
        <f>'2026_Fantasy_Hitters'!N87</f>
        <v>0.15189174000000003</v>
      </c>
      <c r="AL97">
        <f>'2026_Fantasy_Hitters'!O87</f>
        <v>145.47370000000001</v>
      </c>
      <c r="AM97">
        <f>'2026_Fantasy_Hitters'!P87</f>
        <v>1.92270316</v>
      </c>
      <c r="AN97">
        <f>'2026_Fantasy_Hitters'!Q87</f>
        <v>4.0504520199999998</v>
      </c>
      <c r="AO97">
        <f>'2026_Fantasy_Hitters'!R87</f>
        <v>0.99557737999999996</v>
      </c>
      <c r="AP97">
        <f>'2026_Fantasy_Hitters'!S87</f>
        <v>18.517855040000001</v>
      </c>
      <c r="AQ97">
        <f>'2026_Fantasy_Hitters'!T87</f>
        <v>4.17083242</v>
      </c>
      <c r="AR97">
        <f>'2026_Fantasy_Hitters'!U87</f>
        <v>14.347022620000001</v>
      </c>
      <c r="AS97">
        <f>'2026_Fantasy_Hitters'!V87</f>
        <v>0.24425769089869137</v>
      </c>
      <c r="AT97">
        <f>'2026_Fantasy_Hitters'!W87</f>
        <v>0.31177438417337594</v>
      </c>
      <c r="AU97">
        <f>'2026_Fantasy_Hitters'!X87</f>
        <v>0.43336146488344479</v>
      </c>
      <c r="AV97">
        <f>'2026_Fantasy_Hitters'!Y87</f>
        <v>0.74513584905682073</v>
      </c>
      <c r="AW97">
        <f>'2026_Fantasy_Hitters'!Z87</f>
        <v>0.29594999999999999</v>
      </c>
      <c r="AX97">
        <f>'2026_Fantasy_Hitters'!AA87</f>
        <v>0.25885000000000002</v>
      </c>
      <c r="AY97">
        <f>'2026_Fantasy_Hitters'!AB87</f>
        <v>8.6699999999999999E-2</v>
      </c>
      <c r="AZ97">
        <f t="shared" si="43"/>
        <v>3.9412330479946099E-2</v>
      </c>
    </row>
    <row r="98" spans="1:52">
      <c r="A98" t="s">
        <v>711</v>
      </c>
      <c r="B98" t="s">
        <v>692</v>
      </c>
      <c r="C98" t="s">
        <v>391</v>
      </c>
      <c r="D98">
        <v>525</v>
      </c>
      <c r="E98">
        <v>574</v>
      </c>
      <c r="F98" s="6">
        <f t="shared" si="22"/>
        <v>0.60605262065156873</v>
      </c>
      <c r="G98" s="5">
        <f t="shared" si="23"/>
        <v>-0.16298490144883898</v>
      </c>
      <c r="H98" s="5">
        <f t="shared" si="24"/>
        <v>0.74934136970583709</v>
      </c>
      <c r="I98" s="5">
        <f t="shared" si="25"/>
        <v>0.15543885723035122</v>
      </c>
      <c r="J98" s="5">
        <f t="shared" si="26"/>
        <v>0.43436195750135081</v>
      </c>
      <c r="K98" s="5">
        <f t="shared" si="27"/>
        <v>-0.45668087185449729</v>
      </c>
      <c r="L98" s="5">
        <f t="shared" si="28"/>
        <v>-0.61814685530081037</v>
      </c>
      <c r="M98" s="5">
        <f t="shared" si="29"/>
        <v>0.85046883308317711</v>
      </c>
      <c r="N98" s="5">
        <f t="shared" si="30"/>
        <v>0.16917327454240746</v>
      </c>
      <c r="O98" s="5">
        <f t="shared" si="31"/>
        <v>-0.55513243939459023</v>
      </c>
      <c r="P98" s="1">
        <f t="shared" si="32"/>
        <v>4.0213396587181892E-2</v>
      </c>
      <c r="R98">
        <f t="shared" si="33"/>
        <v>96.1468900153817</v>
      </c>
      <c r="S98">
        <f t="shared" si="34"/>
        <v>115.25830265615818</v>
      </c>
      <c r="T98">
        <f t="shared" si="35"/>
        <v>106.87596731511981</v>
      </c>
      <c r="U98">
        <f t="shared" si="36"/>
        <v>111.17573303396374</v>
      </c>
      <c r="V98">
        <f t="shared" si="37"/>
        <v>83.472206736895544</v>
      </c>
      <c r="W98">
        <f t="shared" si="38"/>
        <v>69.945424377832836</v>
      </c>
      <c r="X98">
        <f t="shared" si="39"/>
        <v>105.61296212735699</v>
      </c>
      <c r="Y98">
        <f t="shared" si="40"/>
        <v>101.86002976336285</v>
      </c>
      <c r="Z98">
        <f t="shared" si="41"/>
        <v>48.95597419847779</v>
      </c>
      <c r="AA98">
        <f t="shared" si="42"/>
        <v>101.46053090297771</v>
      </c>
      <c r="AC98">
        <f>'2026_Fantasy_Hitters'!F104</f>
        <v>139.32466840299674</v>
      </c>
      <c r="AD98">
        <f>'2026_Fantasy_Hitters'!G104</f>
        <v>92.95815878335091</v>
      </c>
      <c r="AE98">
        <f>'2026_Fantasy_Hitters'!H104</f>
        <v>25.310547377479207</v>
      </c>
      <c r="AF98">
        <f>'2026_Fantasy_Hitters'!I104</f>
        <v>0.99968677379681792</v>
      </c>
      <c r="AG98">
        <f>'2026_Fantasy_Hitters'!J104</f>
        <v>20.126316979999999</v>
      </c>
      <c r="AH98">
        <f>'2026_Fantasy_Hitters'!K104</f>
        <v>64.449122807016991</v>
      </c>
      <c r="AI98">
        <f>'2026_Fantasy_Hitters'!L104</f>
        <v>72.999999799999998</v>
      </c>
      <c r="AJ98">
        <f>'2026_Fantasy_Hitters'!M104</f>
        <v>39.2042</v>
      </c>
      <c r="AK98">
        <f>'2026_Fantasy_Hitters'!N104</f>
        <v>0.25105038000000002</v>
      </c>
      <c r="AL98">
        <f>'2026_Fantasy_Hitters'!O104</f>
        <v>80.733099999999993</v>
      </c>
      <c r="AM98">
        <f>'2026_Fantasy_Hitters'!P104</f>
        <v>4.0252610999999998</v>
      </c>
      <c r="AN98">
        <f>'2026_Fantasy_Hitters'!Q104</f>
        <v>5.7903508771929166</v>
      </c>
      <c r="AO98">
        <f>'2026_Fantasy_Hitters'!R104</f>
        <v>0.99535043999999995</v>
      </c>
      <c r="AP98">
        <f>'2026_Fantasy_Hitters'!S104</f>
        <v>5.9302350799999992</v>
      </c>
      <c r="AQ98">
        <f>'2026_Fantasy_Hitters'!T104</f>
        <v>2.0304963000000003</v>
      </c>
      <c r="AR98">
        <f>'2026_Fantasy_Hitters'!U104</f>
        <v>3.899738779999999</v>
      </c>
      <c r="AS98">
        <f>'2026_Fantasy_Hitters'!V104</f>
        <v>0.26538032076761281</v>
      </c>
      <c r="AT98">
        <f>'2026_Fantasy_Hitters'!W104</f>
        <v>0.32057271372190327</v>
      </c>
      <c r="AU98">
        <f>'2026_Fantasy_Hitters'!X104</f>
        <v>0.43254015577085675</v>
      </c>
      <c r="AV98">
        <f>'2026_Fantasy_Hitters'!Y104</f>
        <v>0.75311286949276002</v>
      </c>
      <c r="AW98">
        <f>'2026_Fantasy_Hitters'!Z104</f>
        <v>0.27725</v>
      </c>
      <c r="AX98">
        <f>'2026_Fantasy_Hitters'!AA104</f>
        <v>0.14065</v>
      </c>
      <c r="AY98">
        <f>'2026_Fantasy_Hitters'!AB104</f>
        <v>6.83E-2</v>
      </c>
      <c r="AZ98">
        <f t="shared" si="43"/>
        <v>3.5063270000000001E-2</v>
      </c>
    </row>
    <row r="99" spans="1:52">
      <c r="A99" t="s">
        <v>1183</v>
      </c>
      <c r="B99" t="s">
        <v>293</v>
      </c>
      <c r="C99" t="s">
        <v>20</v>
      </c>
      <c r="D99">
        <v>438</v>
      </c>
      <c r="E99">
        <v>478</v>
      </c>
      <c r="F99" s="6">
        <f t="shared" si="22"/>
        <v>0.49489752219230643</v>
      </c>
      <c r="G99" s="5">
        <f t="shared" si="23"/>
        <v>-0.42783213502990597</v>
      </c>
      <c r="H99" s="5">
        <f t="shared" si="24"/>
        <v>-0.44031989184309295</v>
      </c>
      <c r="I99" s="5">
        <f t="shared" si="25"/>
        <v>0.51084892451348984</v>
      </c>
      <c r="J99" s="5">
        <f t="shared" si="26"/>
        <v>0.25678601380461052</v>
      </c>
      <c r="K99" s="5">
        <f t="shared" si="27"/>
        <v>-0.93241298542957463</v>
      </c>
      <c r="L99" s="5">
        <f t="shared" si="28"/>
        <v>0.4187257647722688</v>
      </c>
      <c r="M99" s="5">
        <f t="shared" si="29"/>
        <v>-2.2952078731230531E-3</v>
      </c>
      <c r="N99" s="5">
        <f t="shared" si="30"/>
        <v>0.94068488760666291</v>
      </c>
      <c r="O99" s="5">
        <f t="shared" si="31"/>
        <v>-0.92402466509853287</v>
      </c>
      <c r="P99" s="1">
        <f t="shared" si="32"/>
        <v>1.0947368167695037</v>
      </c>
      <c r="R99">
        <f t="shared" si="33"/>
        <v>89.8856626805904</v>
      </c>
      <c r="S99">
        <f t="shared" si="34"/>
        <v>91.034080798306803</v>
      </c>
      <c r="T99">
        <f t="shared" si="35"/>
        <v>122.59782766360277</v>
      </c>
      <c r="U99">
        <f t="shared" si="36"/>
        <v>106.60686758491524</v>
      </c>
      <c r="V99">
        <f t="shared" si="37"/>
        <v>66.254927655643229</v>
      </c>
      <c r="W99">
        <f t="shared" si="38"/>
        <v>120.35863331566061</v>
      </c>
      <c r="X99">
        <f t="shared" si="39"/>
        <v>99.984851984734675</v>
      </c>
      <c r="Y99">
        <f t="shared" si="40"/>
        <v>110.34266135491453</v>
      </c>
      <c r="Z99">
        <f t="shared" si="41"/>
        <v>15.036601179404855</v>
      </c>
      <c r="AA99">
        <f t="shared" si="42"/>
        <v>139.76030594811377</v>
      </c>
      <c r="AC99">
        <f>'2026_Fantasy_Hitters'!F186</f>
        <v>110.04233819434999</v>
      </c>
      <c r="AD99">
        <f>'2026_Fantasy_Hitters'!G186</f>
        <v>63.546584477714134</v>
      </c>
      <c r="AE99">
        <f>'2026_Fantasy_Hitters'!H186</f>
        <v>20.038677544149099</v>
      </c>
      <c r="AF99">
        <f>'2026_Fantasy_Hitters'!I186</f>
        <v>3.0859521899958864</v>
      </c>
      <c r="AG99">
        <f>'2026_Fantasy_Hitters'!J186</f>
        <v>23.08697458</v>
      </c>
      <c r="AH99">
        <f>'2026_Fantasy_Hitters'!K186</f>
        <v>60.252100840336027</v>
      </c>
      <c r="AI99">
        <f>'2026_Fantasy_Hitters'!L186</f>
        <v>69.999999999999787</v>
      </c>
      <c r="AJ99">
        <f>'2026_Fantasy_Hitters'!M186</f>
        <v>31.117800000000003</v>
      </c>
      <c r="AK99">
        <f>'2026_Fantasy_Hitters'!N186</f>
        <v>1.7138976799999999</v>
      </c>
      <c r="AL99">
        <f>'2026_Fantasy_Hitters'!O186</f>
        <v>113.7162</v>
      </c>
      <c r="AM99">
        <f>'2026_Fantasy_Hitters'!P186</f>
        <v>6.9264705882352597</v>
      </c>
      <c r="AN99">
        <f>'2026_Fantasy_Hitters'!Q186</f>
        <v>4.0168060800000003</v>
      </c>
      <c r="AO99">
        <f>'2026_Fantasy_Hitters'!R186</f>
        <v>0</v>
      </c>
      <c r="AP99">
        <f>'2026_Fantasy_Hitters'!S186</f>
        <v>2.2316338199999999</v>
      </c>
      <c r="AQ99">
        <f>'2026_Fantasy_Hitters'!T186</f>
        <v>1.0338470799999999</v>
      </c>
      <c r="AR99">
        <f>'2026_Fantasy_Hitters'!U186</f>
        <v>1.19778674</v>
      </c>
      <c r="AS99">
        <f>'2026_Fantasy_Hitters'!V186</f>
        <v>0.25123821505559357</v>
      </c>
      <c r="AT99">
        <f>'2026_Fantasy_Hitters'!W186</f>
        <v>0.31547010315167401</v>
      </c>
      <c r="AU99">
        <f>'2026_Fantasy_Hitters'!X186</f>
        <v>0.46856094624657535</v>
      </c>
      <c r="AV99">
        <f>'2026_Fantasy_Hitters'!Y186</f>
        <v>0.78403104939824941</v>
      </c>
      <c r="AW99">
        <f>'2026_Fantasy_Hitters'!Z186</f>
        <v>0.28489999999999999</v>
      </c>
      <c r="AX99">
        <f>'2026_Fantasy_Hitters'!AA186</f>
        <v>0.2379</v>
      </c>
      <c r="AY99">
        <f>'2026_Fantasy_Hitters'!AB186</f>
        <v>6.5100000000000005E-2</v>
      </c>
      <c r="AZ99">
        <f t="shared" si="43"/>
        <v>4.8299109999999999E-2</v>
      </c>
    </row>
    <row r="100" spans="1:52">
      <c r="A100" t="s">
        <v>526</v>
      </c>
      <c r="B100" t="s">
        <v>440</v>
      </c>
      <c r="C100" t="s">
        <v>169</v>
      </c>
      <c r="D100">
        <v>468</v>
      </c>
      <c r="E100">
        <v>533</v>
      </c>
      <c r="F100" s="6">
        <f t="shared" si="22"/>
        <v>0.48227297079146458</v>
      </c>
      <c r="G100" s="5">
        <f t="shared" si="23"/>
        <v>3.8021983551365747E-2</v>
      </c>
      <c r="H100" s="5">
        <f t="shared" si="24"/>
        <v>0.21502729255012354</v>
      </c>
      <c r="I100" s="5">
        <f t="shared" si="25"/>
        <v>-1.0379325741410008</v>
      </c>
      <c r="J100" s="5">
        <f t="shared" si="26"/>
        <v>-0.63109376387102989</v>
      </c>
      <c r="K100" s="5">
        <f t="shared" si="27"/>
        <v>-3.1914173048673306E-2</v>
      </c>
      <c r="L100" s="5">
        <f t="shared" si="28"/>
        <v>1.2586836602229647</v>
      </c>
      <c r="M100" s="5">
        <f t="shared" si="29"/>
        <v>1.1049472804809637</v>
      </c>
      <c r="N100" s="5">
        <f t="shared" si="30"/>
        <v>-0.54292050418585724</v>
      </c>
      <c r="O100" s="5">
        <f t="shared" si="31"/>
        <v>1.3403269286397099</v>
      </c>
      <c r="P100" s="1">
        <f t="shared" si="32"/>
        <v>-1.2308731594071016</v>
      </c>
      <c r="R100">
        <f t="shared" si="33"/>
        <v>100.89887396411834</v>
      </c>
      <c r="S100">
        <f t="shared" si="34"/>
        <v>104.37844704924282</v>
      </c>
      <c r="T100">
        <f t="shared" si="35"/>
        <v>54.086188085420076</v>
      </c>
      <c r="U100">
        <f t="shared" si="36"/>
        <v>83.76253881671866</v>
      </c>
      <c r="V100">
        <f t="shared" si="37"/>
        <v>98.844990261646956</v>
      </c>
      <c r="W100">
        <f t="shared" si="38"/>
        <v>161.19776057446464</v>
      </c>
      <c r="X100">
        <f t="shared" si="39"/>
        <v>107.29248033179739</v>
      </c>
      <c r="Y100">
        <f t="shared" si="40"/>
        <v>94.030686586535367</v>
      </c>
      <c r="Z100">
        <f t="shared" si="41"/>
        <v>223.2420904866816</v>
      </c>
      <c r="AA100">
        <f t="shared" si="42"/>
        <v>55.295288646849471</v>
      </c>
      <c r="AC100">
        <f>'2026_Fantasy_Hitters'!F76</f>
        <v>126.17305815216699</v>
      </c>
      <c r="AD100">
        <f>'2026_Fantasy_Hitters'!G76</f>
        <v>87.277844372068017</v>
      </c>
      <c r="AE100">
        <f>'2026_Fantasy_Hitters'!H76</f>
        <v>26.94251794208731</v>
      </c>
      <c r="AF100">
        <f>'2026_Fantasy_Hitters'!I76</f>
        <v>1.6551927324299496</v>
      </c>
      <c r="AG100">
        <f>'2026_Fantasy_Hitters'!J76</f>
        <v>10.18522492</v>
      </c>
      <c r="AH100">
        <f>'2026_Fantasy_Hitters'!K76</f>
        <v>67.634469696969489</v>
      </c>
      <c r="AI100">
        <f>'2026_Fantasy_Hitters'!L76</f>
        <v>54.999999999999531</v>
      </c>
      <c r="AJ100">
        <f>'2026_Fantasy_Hitters'!M76</f>
        <v>46.424299999999995</v>
      </c>
      <c r="AK100">
        <f>'2026_Fantasy_Hitters'!N76</f>
        <v>0.40284140000000002</v>
      </c>
      <c r="AL100">
        <f>'2026_Fantasy_Hitters'!O76</f>
        <v>89.49069999999999</v>
      </c>
      <c r="AM100">
        <f>'2026_Fantasy_Hitters'!P76</f>
        <v>9.2767050999999991</v>
      </c>
      <c r="AN100">
        <f>'2026_Fantasy_Hitters'!Q76</f>
        <v>5.0473501000000001</v>
      </c>
      <c r="AO100">
        <f>'2026_Fantasy_Hitters'!R76</f>
        <v>0.90000247999999994</v>
      </c>
      <c r="AP100">
        <f>'2026_Fantasy_Hitters'!S76</f>
        <v>23.948660714285694</v>
      </c>
      <c r="AQ100">
        <f>'2026_Fantasy_Hitters'!T76</f>
        <v>6.1656249999999666</v>
      </c>
      <c r="AR100">
        <f>'2026_Fantasy_Hitters'!U76</f>
        <v>17.783035714285727</v>
      </c>
      <c r="AS100">
        <f>'2026_Fantasy_Hitters'!V76</f>
        <v>0.26960055160719443</v>
      </c>
      <c r="AT100">
        <f>'2026_Fantasy_Hitters'!W76</f>
        <v>0.35061713477466694</v>
      </c>
      <c r="AU100">
        <f>'2026_Fantasy_Hitters'!X76</f>
        <v>0.39929350028532584</v>
      </c>
      <c r="AV100">
        <f>'2026_Fantasy_Hitters'!Y76</f>
        <v>0.74991063505999278</v>
      </c>
      <c r="AW100">
        <f>'2026_Fantasy_Hitters'!Z76</f>
        <v>0.31064999999999998</v>
      </c>
      <c r="AX100">
        <f>'2026_Fantasy_Hitters'!AA76</f>
        <v>0.16789999999999999</v>
      </c>
      <c r="AY100">
        <f>'2026_Fantasy_Hitters'!AB76</f>
        <v>8.7099999999999997E-2</v>
      </c>
      <c r="AZ100">
        <f t="shared" si="43"/>
        <v>1.910924E-2</v>
      </c>
    </row>
    <row r="101" spans="1:52">
      <c r="A101" t="s">
        <v>1202</v>
      </c>
      <c r="B101" t="s">
        <v>130</v>
      </c>
      <c r="C101" t="s">
        <v>34</v>
      </c>
      <c r="D101">
        <v>513</v>
      </c>
      <c r="E101">
        <v>569</v>
      </c>
      <c r="F101" s="6">
        <f t="shared" si="22"/>
        <v>0.16759629650930175</v>
      </c>
      <c r="G101" s="5">
        <f t="shared" si="23"/>
        <v>0.31429009038184297</v>
      </c>
      <c r="H101" s="5">
        <f t="shared" si="24"/>
        <v>0.63402622711414369</v>
      </c>
      <c r="I101" s="5">
        <f t="shared" si="25"/>
        <v>-0.46084507829298016</v>
      </c>
      <c r="J101" s="5">
        <f t="shared" si="26"/>
        <v>-0.45351767929734965</v>
      </c>
      <c r="K101" s="5">
        <f t="shared" si="27"/>
        <v>-9.8505138046154114E-2</v>
      </c>
      <c r="L101" s="5">
        <f t="shared" si="28"/>
        <v>-0.28258638062363478</v>
      </c>
      <c r="M101" s="5">
        <f t="shared" si="29"/>
        <v>0.89116183074794519</v>
      </c>
      <c r="N101" s="5">
        <f t="shared" si="30"/>
        <v>-0.36810284529654297</v>
      </c>
      <c r="O101" s="5">
        <f t="shared" si="31"/>
        <v>0.64575315717320436</v>
      </c>
      <c r="P101" s="1">
        <f t="shared" si="32"/>
        <v>-0.65407788735117267</v>
      </c>
      <c r="R101">
        <f t="shared" si="33"/>
        <v>107.43010103728525</v>
      </c>
      <c r="S101">
        <f t="shared" si="34"/>
        <v>112.91022283882099</v>
      </c>
      <c r="T101">
        <f t="shared" si="35"/>
        <v>79.614134122329531</v>
      </c>
      <c r="U101">
        <f t="shared" si="36"/>
        <v>88.331407890401053</v>
      </c>
      <c r="V101">
        <f t="shared" si="37"/>
        <v>96.434988506592859</v>
      </c>
      <c r="W101">
        <f t="shared" si="38"/>
        <v>86.26052422103713</v>
      </c>
      <c r="X101">
        <f t="shared" si="39"/>
        <v>105.88152958786337</v>
      </c>
      <c r="Y101">
        <f t="shared" si="40"/>
        <v>95.952775341837224</v>
      </c>
      <c r="Z101">
        <f t="shared" si="41"/>
        <v>159.37653517800294</v>
      </c>
      <c r="AA101">
        <f t="shared" si="42"/>
        <v>76.244210922108834</v>
      </c>
      <c r="AC101">
        <f>'2026_Fantasy_Hitters'!F189</f>
        <v>136.48630071585299</v>
      </c>
      <c r="AD101">
        <f>'2026_Fantasy_Hitters'!G189</f>
        <v>94.661143804862078</v>
      </c>
      <c r="AE101">
        <f>'2026_Fantasy_Hitters'!H189</f>
        <v>25.694225340652949</v>
      </c>
      <c r="AF101">
        <f>'2026_Fantasy_Hitters'!I189</f>
        <v>1.0016737592000091</v>
      </c>
      <c r="AG101">
        <f>'2026_Fantasy_Hitters'!J189</f>
        <v>14.992512720000001</v>
      </c>
      <c r="AH101">
        <f>'2026_Fantasy_Hitters'!K189</f>
        <v>72.012477718359548</v>
      </c>
      <c r="AI101">
        <f>'2026_Fantasy_Hitters'!L189</f>
        <v>58.000002180000003</v>
      </c>
      <c r="AJ101">
        <f>'2026_Fantasy_Hitters'!M189</f>
        <v>45.292400000000001</v>
      </c>
      <c r="AK101">
        <f>'2026_Fantasy_Hitters'!N189</f>
        <v>1.75361817</v>
      </c>
      <c r="AL101">
        <f>'2026_Fantasy_Hitters'!O189</f>
        <v>100.3147</v>
      </c>
      <c r="AM101">
        <f>'2026_Fantasy_Hitters'!P189</f>
        <v>4.96417222</v>
      </c>
      <c r="AN101">
        <f>'2026_Fantasy_Hitters'!Q189</f>
        <v>5.0713035399999997</v>
      </c>
      <c r="AO101">
        <f>'2026_Fantasy_Hitters'!R189</f>
        <v>0.89999868000000005</v>
      </c>
      <c r="AP101">
        <f>'2026_Fantasy_Hitters'!S189</f>
        <v>16.720853858784817</v>
      </c>
      <c r="AQ101">
        <f>'2026_Fantasy_Hitters'!T189</f>
        <v>4.0252254900000004</v>
      </c>
      <c r="AR101">
        <f>'2026_Fantasy_Hitters'!U189</f>
        <v>12.695628368784817</v>
      </c>
      <c r="AS101">
        <f>'2026_Fantasy_Hitters'!V189</f>
        <v>0.26605516708743271</v>
      </c>
      <c r="AT101">
        <f>'2026_Fantasy_Hitters'!W189</f>
        <v>0.33355284622222803</v>
      </c>
      <c r="AU101">
        <f>'2026_Fantasy_Hitters'!X189</f>
        <v>0.40745549053366081</v>
      </c>
      <c r="AV101">
        <f>'2026_Fantasy_Hitters'!Y189</f>
        <v>0.74100833675588884</v>
      </c>
      <c r="AW101">
        <f>'2026_Fantasy_Hitters'!Z189</f>
        <v>0.30164999999999997</v>
      </c>
      <c r="AX101">
        <f>'2026_Fantasy_Hitters'!AA189</f>
        <v>0.17630000000000001</v>
      </c>
      <c r="AY101">
        <f>'2026_Fantasy_Hitters'!AB189</f>
        <v>7.9600000000000004E-2</v>
      </c>
      <c r="AZ101">
        <f t="shared" si="43"/>
        <v>2.6348880000000002E-2</v>
      </c>
    </row>
    <row r="102" spans="1:52">
      <c r="A102" t="s">
        <v>1177</v>
      </c>
      <c r="B102" t="s">
        <v>19</v>
      </c>
      <c r="C102" t="s">
        <v>20</v>
      </c>
      <c r="D102">
        <v>449</v>
      </c>
      <c r="E102">
        <v>526</v>
      </c>
      <c r="F102" s="6">
        <f t="shared" si="22"/>
        <v>0.13308736687667833</v>
      </c>
      <c r="G102" s="5">
        <f t="shared" si="23"/>
        <v>0.11060032743575381</v>
      </c>
      <c r="H102" s="5">
        <f t="shared" si="24"/>
        <v>-0.84619249127646745</v>
      </c>
      <c r="I102" s="5">
        <f t="shared" si="25"/>
        <v>0.74765293356827234</v>
      </c>
      <c r="J102" s="5">
        <f t="shared" si="26"/>
        <v>-0.15755788244402499</v>
      </c>
      <c r="K102" s="5">
        <f t="shared" si="27"/>
        <v>1.2411975343830679</v>
      </c>
      <c r="L102" s="5">
        <f t="shared" si="28"/>
        <v>7.4141279728703685E-2</v>
      </c>
      <c r="M102" s="5">
        <f t="shared" si="29"/>
        <v>-1.7150968915113998</v>
      </c>
      <c r="N102" s="5">
        <f t="shared" si="30"/>
        <v>0.26107443544658998</v>
      </c>
      <c r="O102" s="5">
        <f t="shared" si="31"/>
        <v>-0.62510359688811667</v>
      </c>
      <c r="P102" s="1">
        <f t="shared" si="32"/>
        <v>1.0423717184342995</v>
      </c>
      <c r="R102">
        <f t="shared" si="33"/>
        <v>102.61469143556539</v>
      </c>
      <c r="S102">
        <f t="shared" si="34"/>
        <v>82.769587187835043</v>
      </c>
      <c r="T102">
        <f t="shared" si="35"/>
        <v>133.07305023897862</v>
      </c>
      <c r="U102">
        <f t="shared" si="36"/>
        <v>95.946180826423415</v>
      </c>
      <c r="V102">
        <f t="shared" si="37"/>
        <v>144.92033170483654</v>
      </c>
      <c r="W102">
        <f t="shared" si="38"/>
        <v>103.60478206630398</v>
      </c>
      <c r="X102">
        <f t="shared" si="39"/>
        <v>88.680627058487858</v>
      </c>
      <c r="Y102">
        <f t="shared" si="40"/>
        <v>102.87046651841032</v>
      </c>
      <c r="Z102">
        <f t="shared" si="41"/>
        <v>42.522176936770251</v>
      </c>
      <c r="AA102">
        <f t="shared" si="42"/>
        <v>137.85843117883837</v>
      </c>
      <c r="AC102">
        <f>'2026_Fantasy_Hitters'!F185</f>
        <v>100.05218733092201</v>
      </c>
      <c r="AD102">
        <f>'2026_Fantasy_Hitters'!G185</f>
        <v>54.716328735934532</v>
      </c>
      <c r="AE102">
        <f>'2026_Fantasy_Hitters'!H185</f>
        <v>18.832625098635862</v>
      </c>
      <c r="AF102">
        <f>'2026_Fantasy_Hitters'!I185</f>
        <v>1.1723463202139675</v>
      </c>
      <c r="AG102">
        <f>'2026_Fantasy_Hitters'!J185</f>
        <v>25.0596131</v>
      </c>
      <c r="AH102">
        <f>'2026_Fantasy_Hitters'!K185</f>
        <v>68.78461538461498</v>
      </c>
      <c r="AI102">
        <f>'2026_Fantasy_Hitters'!L185</f>
        <v>62.999999999999616</v>
      </c>
      <c r="AJ102">
        <f>'2026_Fantasy_Hitters'!M185</f>
        <v>68.064399999999992</v>
      </c>
      <c r="AK102">
        <f>'2026_Fantasy_Hitters'!N185</f>
        <v>0</v>
      </c>
      <c r="AL102">
        <f>'2026_Fantasy_Hitters'!O185</f>
        <v>130.7373</v>
      </c>
      <c r="AM102">
        <f>'2026_Fantasy_Hitters'!P185</f>
        <v>5.9623099399999999</v>
      </c>
      <c r="AN102">
        <f>'2026_Fantasy_Hitters'!Q185</f>
        <v>3.0346149800000002</v>
      </c>
      <c r="AO102">
        <f>'2026_Fantasy_Hitters'!R185</f>
        <v>1.9878591999999999</v>
      </c>
      <c r="AP102">
        <f>'2026_Fantasy_Hitters'!S185</f>
        <v>5.1589290999999999</v>
      </c>
      <c r="AQ102">
        <f>'2026_Fantasy_Hitters'!T185</f>
        <v>1.7716942400000002</v>
      </c>
      <c r="AR102">
        <f>'2026_Fantasy_Hitters'!U185</f>
        <v>3.3872348599999995</v>
      </c>
      <c r="AS102">
        <f>'2026_Fantasy_Hitters'!V185</f>
        <v>0.22283337935617373</v>
      </c>
      <c r="AT102">
        <f>'2026_Fantasy_Hitters'!W185</f>
        <v>0.33470337812044521</v>
      </c>
      <c r="AU102">
        <f>'2026_Fantasy_Hitters'!X185</f>
        <v>0.4368308915230471</v>
      </c>
      <c r="AV102">
        <f>'2026_Fantasy_Hitters'!Y185</f>
        <v>0.77153426964349237</v>
      </c>
      <c r="AW102">
        <f>'2026_Fantasy_Hitters'!Z185</f>
        <v>0.25314999999999999</v>
      </c>
      <c r="AX102">
        <f>'2026_Fantasy_Hitters'!AA185</f>
        <v>0.24854999999999999</v>
      </c>
      <c r="AY102">
        <f>'2026_Fantasy_Hitters'!AB185</f>
        <v>0.12939999999999999</v>
      </c>
      <c r="AZ102">
        <f t="shared" si="43"/>
        <v>4.7641849999999999E-2</v>
      </c>
    </row>
    <row r="103" spans="1:52">
      <c r="A103" t="s">
        <v>1254</v>
      </c>
      <c r="B103" t="s">
        <v>48</v>
      </c>
      <c r="C103" t="s">
        <v>124</v>
      </c>
      <c r="D103">
        <v>484</v>
      </c>
      <c r="E103">
        <v>549</v>
      </c>
      <c r="F103" s="6">
        <f t="shared" si="22"/>
        <v>0.11779924306983902</v>
      </c>
      <c r="G103" s="5">
        <f t="shared" si="23"/>
        <v>-0.33092253186027243</v>
      </c>
      <c r="H103" s="5">
        <f t="shared" si="24"/>
        <v>-0.32281385434535304</v>
      </c>
      <c r="I103" s="5">
        <f t="shared" si="25"/>
        <v>0.67794952565187661</v>
      </c>
      <c r="J103" s="5">
        <f t="shared" si="26"/>
        <v>0.4935539545181174</v>
      </c>
      <c r="K103" s="5">
        <f t="shared" si="27"/>
        <v>0.29231011107326138</v>
      </c>
      <c r="L103" s="5">
        <f t="shared" si="28"/>
        <v>0.11253748507995788</v>
      </c>
      <c r="M103" s="5">
        <f t="shared" si="29"/>
        <v>-1.0817914611731381</v>
      </c>
      <c r="N103" s="5">
        <f t="shared" si="30"/>
        <v>0.33061710256331017</v>
      </c>
      <c r="O103" s="5">
        <f t="shared" si="31"/>
        <v>-0.85272933712899812</v>
      </c>
      <c r="P103" s="1">
        <f t="shared" si="32"/>
        <v>0.7990882486910772</v>
      </c>
      <c r="R103">
        <f t="shared" si="33"/>
        <v>92.176693053704568</v>
      </c>
      <c r="S103">
        <f t="shared" si="34"/>
        <v>93.426772242488269</v>
      </c>
      <c r="T103">
        <f t="shared" si="35"/>
        <v>129.98966193359928</v>
      </c>
      <c r="U103">
        <f t="shared" si="36"/>
        <v>112.69868858976773</v>
      </c>
      <c r="V103">
        <f t="shared" si="37"/>
        <v>110.5790309651355</v>
      </c>
      <c r="W103">
        <f t="shared" si="38"/>
        <v>105.47162268425384</v>
      </c>
      <c r="X103">
        <f t="shared" si="39"/>
        <v>92.860344476998492</v>
      </c>
      <c r="Y103">
        <f t="shared" si="40"/>
        <v>103.63507565073705</v>
      </c>
      <c r="Z103">
        <f t="shared" si="41"/>
        <v>21.592154957479352</v>
      </c>
      <c r="AA103">
        <f t="shared" si="42"/>
        <v>129.02249450352528</v>
      </c>
      <c r="AC103">
        <f>'2026_Fantasy_Hitters'!F198</f>
        <v>112.93463258329101</v>
      </c>
      <c r="AD103">
        <f>'2026_Fantasy_Hitters'!G198</f>
        <v>64.851495499099798</v>
      </c>
      <c r="AE103">
        <f>'2026_Fantasy_Hitters'!H198</f>
        <v>23.501926986246325</v>
      </c>
      <c r="AF103">
        <f>'2026_Fantasy_Hitters'!I198</f>
        <v>1.0754713814503662</v>
      </c>
      <c r="AG103">
        <f>'2026_Fantasy_Hitters'!J198</f>
        <v>24.478965720000001</v>
      </c>
      <c r="AH103">
        <f>'2026_Fantasy_Hitters'!K198</f>
        <v>61.787822878228447</v>
      </c>
      <c r="AI103">
        <f>'2026_Fantasy_Hitters'!L198</f>
        <v>73.999999999999901</v>
      </c>
      <c r="AJ103">
        <f>'2026_Fantasy_Hitters'!M198</f>
        <v>51.935400000000001</v>
      </c>
      <c r="AK103">
        <f>'2026_Fantasy_Hitters'!N198</f>
        <v>2.1608145899999998</v>
      </c>
      <c r="AL103">
        <f>'2026_Fantasy_Hitters'!O198</f>
        <v>129.39929999999998</v>
      </c>
      <c r="AM103">
        <f>'2026_Fantasy_Hitters'!P198</f>
        <v>6.069744</v>
      </c>
      <c r="AN103">
        <f>'2026_Fantasy_Hitters'!Q198</f>
        <v>5.0645744099999996</v>
      </c>
      <c r="AO103">
        <f>'2026_Fantasy_Hitters'!R198</f>
        <v>0</v>
      </c>
      <c r="AP103">
        <f>'2026_Fantasy_Hitters'!S198</f>
        <v>2.0523157200000002</v>
      </c>
      <c r="AQ103">
        <f>'2026_Fantasy_Hitters'!T198</f>
        <v>0.33232616999999998</v>
      </c>
      <c r="AR103">
        <f>'2026_Fantasy_Hitters'!U198</f>
        <v>1.7199895500000002</v>
      </c>
      <c r="AS103">
        <f>'2026_Fantasy_Hitters'!V198</f>
        <v>0.23333601773407234</v>
      </c>
      <c r="AT103">
        <f>'2026_Fantasy_Hitters'!W198</f>
        <v>0.31869125069205062</v>
      </c>
      <c r="AU103">
        <f>'2026_Fantasy_Hitters'!X198</f>
        <v>0.44007774069409827</v>
      </c>
      <c r="AV103">
        <f>'2026_Fantasy_Hitters'!Y198</f>
        <v>0.75876899138614884</v>
      </c>
      <c r="AW103">
        <f>'2026_Fantasy_Hitters'!Z198</f>
        <v>0.26390000000000002</v>
      </c>
      <c r="AX103">
        <f>'2026_Fantasy_Hitters'!AA198</f>
        <v>0.23569999999999999</v>
      </c>
      <c r="AY103">
        <f>'2026_Fantasy_Hitters'!AB198</f>
        <v>9.4600000000000004E-2</v>
      </c>
      <c r="AZ103">
        <f t="shared" si="43"/>
        <v>4.4588280000000001E-2</v>
      </c>
    </row>
    <row r="104" spans="1:52">
      <c r="A104" t="s">
        <v>286</v>
      </c>
      <c r="B104" t="s">
        <v>156</v>
      </c>
      <c r="C104" t="s">
        <v>169</v>
      </c>
      <c r="D104">
        <v>566</v>
      </c>
      <c r="E104">
        <v>633</v>
      </c>
      <c r="F104" s="6">
        <f t="shared" si="22"/>
        <v>7.9269859371252194E-2</v>
      </c>
      <c r="G104" s="5">
        <f t="shared" si="23"/>
        <v>0.64442162766065081</v>
      </c>
      <c r="H104" s="5">
        <f t="shared" si="24"/>
        <v>0.96666320029029762</v>
      </c>
      <c r="I104" s="5">
        <f t="shared" si="25"/>
        <v>-0.77995641923014591</v>
      </c>
      <c r="J104" s="5">
        <f t="shared" si="26"/>
        <v>7.9210058269476913E-2</v>
      </c>
      <c r="K104" s="5">
        <f t="shared" si="27"/>
        <v>0.59967339107091067</v>
      </c>
      <c r="L104" s="5">
        <f t="shared" si="28"/>
        <v>-1.3399225941052197</v>
      </c>
      <c r="M104" s="5">
        <f t="shared" si="29"/>
        <v>0.26116948671751877</v>
      </c>
      <c r="N104" s="5">
        <f t="shared" si="30"/>
        <v>-1.1696201152522492</v>
      </c>
      <c r="O104" s="5">
        <f t="shared" si="31"/>
        <v>2.0185382196078563</v>
      </c>
      <c r="P104" s="1">
        <f t="shared" si="32"/>
        <v>-1.200906995657844</v>
      </c>
      <c r="R104">
        <f t="shared" si="33"/>
        <v>115.2347081586734</v>
      </c>
      <c r="S104">
        <f t="shared" si="34"/>
        <v>119.68347174317887</v>
      </c>
      <c r="T104">
        <f t="shared" si="35"/>
        <v>65.497978167089173</v>
      </c>
      <c r="U104">
        <f t="shared" si="36"/>
        <v>102.03800183127578</v>
      </c>
      <c r="V104">
        <f t="shared" si="37"/>
        <v>121.70285300708281</v>
      </c>
      <c r="W104">
        <f t="shared" si="38"/>
        <v>34.85236625075342</v>
      </c>
      <c r="X104">
        <f t="shared" si="39"/>
        <v>101.72367802409914</v>
      </c>
      <c r="Y104">
        <f t="shared" si="40"/>
        <v>87.140236942970276</v>
      </c>
      <c r="Z104">
        <f t="shared" si="41"/>
        <v>285.60312756247515</v>
      </c>
      <c r="AA104">
        <f t="shared" si="42"/>
        <v>56.383645063214175</v>
      </c>
      <c r="AC104">
        <f>'2026_Fantasy_Hitters'!F39</f>
        <v>144.67382938722201</v>
      </c>
      <c r="AD104">
        <f>'2026_Fantasy_Hitters'!G39</f>
        <v>104.35547879824141</v>
      </c>
      <c r="AE104">
        <f>'2026_Fantasy_Hitters'!H39</f>
        <v>23.656859690320683</v>
      </c>
      <c r="AF104">
        <f>'2026_Fantasy_Hitters'!I39</f>
        <v>2.8109962546986713</v>
      </c>
      <c r="AG104">
        <f>'2026_Fantasy_Hitters'!J39</f>
        <v>12.33423288</v>
      </c>
      <c r="AH104">
        <f>'2026_Fantasy_Hitters'!K39</f>
        <v>77.244057052297379</v>
      </c>
      <c r="AI104">
        <f>'2026_Fantasy_Hitters'!L39</f>
        <v>66.999999999999645</v>
      </c>
      <c r="AJ104">
        <f>'2026_Fantasy_Hitters'!M39</f>
        <v>57.1599</v>
      </c>
      <c r="AK104">
        <f>'2026_Fantasy_Hitters'!N39</f>
        <v>0.97973840999999995</v>
      </c>
      <c r="AL104">
        <f>'2026_Fantasy_Hitters'!O39</f>
        <v>131.18924999999999</v>
      </c>
      <c r="AM104">
        <f>'2026_Fantasy_Hitters'!P39</f>
        <v>2.0057048100000001</v>
      </c>
      <c r="AN104">
        <f>'2026_Fantasy_Hitters'!Q39</f>
        <v>4.0126756200000004</v>
      </c>
      <c r="AO104">
        <f>'2026_Fantasy_Hitters'!R39</f>
        <v>2.9917035899999997</v>
      </c>
      <c r="AP104">
        <f>'2026_Fantasy_Hitters'!S39</f>
        <v>28.799537699999998</v>
      </c>
      <c r="AQ104">
        <f>'2026_Fantasy_Hitters'!T39</f>
        <v>6.0489416700000005</v>
      </c>
      <c r="AR104">
        <f>'2026_Fantasy_Hitters'!U39</f>
        <v>22.750596029999997</v>
      </c>
      <c r="AS104">
        <f>'2026_Fantasy_Hitters'!V39</f>
        <v>0.25560747241558662</v>
      </c>
      <c r="AT104">
        <f>'2026_Fantasy_Hitters'!W39</f>
        <v>0.3260660958059291</v>
      </c>
      <c r="AU104">
        <f>'2026_Fantasy_Hitters'!X39</f>
        <v>0.37003377820314276</v>
      </c>
      <c r="AV104">
        <f>'2026_Fantasy_Hitters'!Y39</f>
        <v>0.69609987400907181</v>
      </c>
      <c r="AW104">
        <f>'2026_Fantasy_Hitters'!Z39</f>
        <v>0.31030000000000002</v>
      </c>
      <c r="AX104">
        <f>'2026_Fantasy_Hitters'!AA39</f>
        <v>0.20724999999999999</v>
      </c>
      <c r="AY104">
        <f>'2026_Fantasy_Hitters'!AB39</f>
        <v>9.0300000000000005E-2</v>
      </c>
      <c r="AZ104">
        <f t="shared" si="43"/>
        <v>1.948536E-2</v>
      </c>
    </row>
    <row r="105" spans="1:52">
      <c r="A105" s="1" t="s">
        <v>1371</v>
      </c>
      <c r="B105" t="s">
        <v>228</v>
      </c>
      <c r="C105" t="s">
        <v>169</v>
      </c>
      <c r="D105">
        <v>557</v>
      </c>
      <c r="E105">
        <v>609</v>
      </c>
      <c r="F105" s="6">
        <f t="shared" si="22"/>
        <v>-9.8412323156265691E-2</v>
      </c>
      <c r="G105" s="5">
        <f t="shared" si="23"/>
        <v>0.40482852755910154</v>
      </c>
      <c r="H105" s="5">
        <f t="shared" si="24"/>
        <v>1.3319605557721619</v>
      </c>
      <c r="I105" s="5">
        <f t="shared" si="25"/>
        <v>-1.6255224012142557</v>
      </c>
      <c r="J105" s="5">
        <f t="shared" si="26"/>
        <v>-0.57190188642204032</v>
      </c>
      <c r="K105" s="5">
        <f t="shared" si="27"/>
        <v>-0.58117344278052741</v>
      </c>
      <c r="L105" s="5">
        <f t="shared" si="28"/>
        <v>1.2179794058403286</v>
      </c>
      <c r="M105" s="5">
        <f t="shared" si="29"/>
        <v>1.4836067540174522</v>
      </c>
      <c r="N105" s="5">
        <f t="shared" si="30"/>
        <v>-1.3506113013741015</v>
      </c>
      <c r="O105" s="5">
        <f t="shared" si="31"/>
        <v>1.6536446572786747</v>
      </c>
      <c r="P105" s="1">
        <f t="shared" si="32"/>
        <v>-2.0612231918330597</v>
      </c>
      <c r="R105">
        <f t="shared" si="33"/>
        <v>109.57051130337935</v>
      </c>
      <c r="S105">
        <f t="shared" si="34"/>
        <v>127.12176066565559</v>
      </c>
      <c r="T105">
        <f t="shared" si="35"/>
        <v>28.093662679336177</v>
      </c>
      <c r="U105">
        <f t="shared" si="36"/>
        <v>85.285491296153893</v>
      </c>
      <c r="V105">
        <f t="shared" si="37"/>
        <v>78.966680883136263</v>
      </c>
      <c r="W105">
        <f t="shared" si="38"/>
        <v>159.21870158387648</v>
      </c>
      <c r="X105">
        <f t="shared" si="39"/>
        <v>109.79157400983388</v>
      </c>
      <c r="Y105">
        <f t="shared" si="40"/>
        <v>85.150271364757046</v>
      </c>
      <c r="Z105">
        <f t="shared" si="41"/>
        <v>252.05142874506748</v>
      </c>
      <c r="AA105">
        <f t="shared" si="42"/>
        <v>25.137381442534206</v>
      </c>
      <c r="AC105">
        <f>'2026_Fantasy_Hitters'!F66</f>
        <v>153.66526092601001</v>
      </c>
      <c r="AD105">
        <f>'2026_Fantasy_Hitters'!G66</f>
        <v>117.9486360351649</v>
      </c>
      <c r="AE105">
        <f>'2026_Fantasy_Hitters'!H66</f>
        <v>26.58427807010186</v>
      </c>
      <c r="AF105">
        <f>'2026_Fantasy_Hitters'!I66</f>
        <v>3.0410159375389929</v>
      </c>
      <c r="AG105">
        <f>'2026_Fantasy_Hitters'!J66</f>
        <v>5.2904499899999999</v>
      </c>
      <c r="AH105">
        <f>'2026_Fantasy_Hitters'!K66</f>
        <v>73.447236180903985</v>
      </c>
      <c r="AI105">
        <f>'2026_Fantasy_Hitters'!L66</f>
        <v>55.999998179999999</v>
      </c>
      <c r="AJ105">
        <f>'2026_Fantasy_Hitters'!M66</f>
        <v>37.08809999999994</v>
      </c>
      <c r="AK105">
        <f>'2026_Fantasy_Hitters'!N66</f>
        <v>0.93985752</v>
      </c>
      <c r="AL105">
        <f>'2026_Fantasy_Hitters'!O66</f>
        <v>57.063300000000005</v>
      </c>
      <c r="AM105">
        <f>'2026_Fantasy_Hitters'!P66</f>
        <v>9.1628130300000006</v>
      </c>
      <c r="AN105">
        <f>'2026_Fantasy_Hitters'!Q66</f>
        <v>5.1005028899999996</v>
      </c>
      <c r="AO105">
        <f>'2026_Fantasy_Hitters'!R66</f>
        <v>0.89999846999999999</v>
      </c>
      <c r="AP105">
        <f>'2026_Fantasy_Hitters'!S66</f>
        <v>26.139473640000002</v>
      </c>
      <c r="AQ105">
        <f>'2026_Fantasy_Hitters'!T66</f>
        <v>6.0615414300000001</v>
      </c>
      <c r="AR105">
        <f>'2026_Fantasy_Hitters'!U66</f>
        <v>20.07793221</v>
      </c>
      <c r="AS105">
        <f>'2026_Fantasy_Hitters'!V66</f>
        <v>0.27588018119570917</v>
      </c>
      <c r="AT105">
        <f>'2026_Fantasy_Hitters'!W66</f>
        <v>0.33468839544584789</v>
      </c>
      <c r="AU105">
        <f>'2026_Fantasy_Hitters'!X66</f>
        <v>0.36158355466424702</v>
      </c>
      <c r="AV105">
        <f>'2026_Fantasy_Hitters'!Y66</f>
        <v>0.69627195011009491</v>
      </c>
      <c r="AW105">
        <f>'2026_Fantasy_Hitters'!Z66</f>
        <v>0.2969</v>
      </c>
      <c r="AX105">
        <f>'2026_Fantasy_Hitters'!AA66</f>
        <v>9.3700000000000006E-2</v>
      </c>
      <c r="AY105">
        <f>'2026_Fantasy_Hitters'!AB66</f>
        <v>6.0899999999999899E-2</v>
      </c>
      <c r="AZ105">
        <f t="shared" si="43"/>
        <v>8.6871099999999996E-3</v>
      </c>
    </row>
    <row r="106" spans="1:52">
      <c r="A106" t="s">
        <v>563</v>
      </c>
      <c r="B106" t="s">
        <v>489</v>
      </c>
      <c r="C106" t="s">
        <v>20</v>
      </c>
      <c r="D106">
        <v>495</v>
      </c>
      <c r="E106">
        <v>573</v>
      </c>
      <c r="F106" s="6">
        <f t="shared" si="22"/>
        <v>-0.11152205658584724</v>
      </c>
      <c r="G106" s="5">
        <f t="shared" si="23"/>
        <v>0.21054418120496002</v>
      </c>
      <c r="H106" s="5">
        <f t="shared" si="24"/>
        <v>-0.20270492595561687</v>
      </c>
      <c r="I106" s="5">
        <f t="shared" si="25"/>
        <v>-0.70464686810544219</v>
      </c>
      <c r="J106" s="5">
        <f t="shared" si="26"/>
        <v>-0.57190174791279524</v>
      </c>
      <c r="K106" s="5">
        <f t="shared" si="27"/>
        <v>0.75624069838406338</v>
      </c>
      <c r="L106" s="5">
        <f t="shared" si="28"/>
        <v>0.78020202020897866</v>
      </c>
      <c r="M106" s="5">
        <f t="shared" si="29"/>
        <v>-1.0343233604631501</v>
      </c>
      <c r="N106" s="5">
        <f t="shared" si="30"/>
        <v>-0.95460428920872697</v>
      </c>
      <c r="O106" s="5">
        <f t="shared" si="31"/>
        <v>2.5607921507679849</v>
      </c>
      <c r="P106" s="1">
        <f t="shared" si="32"/>
        <v>-0.95111991550610298</v>
      </c>
      <c r="R106">
        <f t="shared" si="33"/>
        <v>104.97745422792281</v>
      </c>
      <c r="S106">
        <f t="shared" si="34"/>
        <v>95.872464493266904</v>
      </c>
      <c r="T106">
        <f t="shared" si="35"/>
        <v>68.82935888666313</v>
      </c>
      <c r="U106">
        <f t="shared" si="36"/>
        <v>85.285494859869175</v>
      </c>
      <c r="V106">
        <f t="shared" si="37"/>
        <v>127.36919956660581</v>
      </c>
      <c r="W106">
        <f t="shared" si="38"/>
        <v>137.93376997045056</v>
      </c>
      <c r="X106">
        <f t="shared" si="39"/>
        <v>93.173626564687495</v>
      </c>
      <c r="Y106">
        <f t="shared" si="40"/>
        <v>89.50429732494726</v>
      </c>
      <c r="Z106">
        <f t="shared" si="41"/>
        <v>335.46298385784871</v>
      </c>
      <c r="AA106">
        <f t="shared" si="42"/>
        <v>65.455789688829981</v>
      </c>
      <c r="AC106">
        <f>'2026_Fantasy_Hitters'!F82</f>
        <v>115.89099454596915</v>
      </c>
      <c r="AD106">
        <f>'2026_Fantasy_Hitters'!G82</f>
        <v>75.877964851039152</v>
      </c>
      <c r="AE106">
        <f>'2026_Fantasy_Hitters'!H82</f>
        <v>24.373761294364023</v>
      </c>
      <c r="AF106">
        <f>'2026_Fantasy_Hitters'!I82</f>
        <v>3.8880361152297218</v>
      </c>
      <c r="AG106">
        <f>'2026_Fantasy_Hitters'!J82</f>
        <v>12.961580880000001</v>
      </c>
      <c r="AH106">
        <f>'2026_Fantasy_Hitters'!K82</f>
        <v>70.368421052631206</v>
      </c>
      <c r="AI106">
        <f>'2026_Fantasy_Hitters'!L82</f>
        <v>56.00000052</v>
      </c>
      <c r="AJ106">
        <f>'2026_Fantasy_Hitters'!M82</f>
        <v>59.821199999999422</v>
      </c>
      <c r="AK106">
        <f>'2026_Fantasy_Hitters'!N82</f>
        <v>0.15079068000000001</v>
      </c>
      <c r="AL106">
        <f>'2026_Fantasy_Hitters'!O82</f>
        <v>124.71344999999943</v>
      </c>
      <c r="AM106">
        <f>'2026_Fantasy_Hitters'!P82</f>
        <v>7.9378950599999998</v>
      </c>
      <c r="AN106">
        <f>'2026_Fantasy_Hitters'!Q82</f>
        <v>4.0210504199999999</v>
      </c>
      <c r="AO106">
        <f>'2026_Fantasy_Hitters'!R82</f>
        <v>4.3889851800000006</v>
      </c>
      <c r="AP106">
        <f>'2026_Fantasy_Hitters'!S82</f>
        <v>35.855423430000002</v>
      </c>
      <c r="AQ106">
        <f>'2026_Fantasy_Hitters'!T82</f>
        <v>9.13308711</v>
      </c>
      <c r="AR106">
        <f>'2026_Fantasy_Hitters'!U82</f>
        <v>26.722336320000004</v>
      </c>
      <c r="AS106">
        <f>'2026_Fantasy_Hitters'!V82</f>
        <v>0.23412322130498819</v>
      </c>
      <c r="AT106">
        <f>'2026_Fantasy_Hitters'!W82</f>
        <v>0.3288070991443488</v>
      </c>
      <c r="AU106">
        <f>'2026_Fantasy_Hitters'!X82</f>
        <v>0.38007256425344715</v>
      </c>
      <c r="AV106">
        <f>'2026_Fantasy_Hitters'!Y82</f>
        <v>0.70887966339779596</v>
      </c>
      <c r="AW106">
        <f>'2026_Fantasy_Hitters'!Z82</f>
        <v>0.28484999999999999</v>
      </c>
      <c r="AX106">
        <f>'2026_Fantasy_Hitters'!AA82</f>
        <v>0.21764999999999901</v>
      </c>
      <c r="AY106">
        <f>'2026_Fantasy_Hitters'!AB82</f>
        <v>0.10439999999999899</v>
      </c>
      <c r="AZ106">
        <f t="shared" si="43"/>
        <v>2.2620560000000001E-2</v>
      </c>
    </row>
    <row r="107" spans="1:52">
      <c r="A107" t="s">
        <v>1119</v>
      </c>
      <c r="B107" t="s">
        <v>116</v>
      </c>
      <c r="C107" t="s">
        <v>20</v>
      </c>
      <c r="D107">
        <v>514</v>
      </c>
      <c r="E107">
        <v>562</v>
      </c>
      <c r="F107" s="6">
        <f t="shared" si="22"/>
        <v>-0.14537880544288462</v>
      </c>
      <c r="G107" s="5">
        <f t="shared" si="23"/>
        <v>-5.7694999284405489E-2</v>
      </c>
      <c r="H107" s="5">
        <f t="shared" si="24"/>
        <v>-5.9201001493543466E-2</v>
      </c>
      <c r="I107" s="5">
        <f t="shared" si="25"/>
        <v>0.59463407021704173</v>
      </c>
      <c r="J107" s="5">
        <f t="shared" si="26"/>
        <v>0.73032189523160274</v>
      </c>
      <c r="K107" s="5">
        <f t="shared" si="27"/>
        <v>-0.55779983168988045</v>
      </c>
      <c r="L107" s="5">
        <f t="shared" si="28"/>
        <v>-0.2165666809585009</v>
      </c>
      <c r="M107" s="5">
        <f t="shared" si="29"/>
        <v>-1.1417992359268025</v>
      </c>
      <c r="N107" s="5">
        <f t="shared" si="30"/>
        <v>-0.11328593591608296</v>
      </c>
      <c r="O107" s="5">
        <f t="shared" si="31"/>
        <v>5.7488631100645171E-2</v>
      </c>
      <c r="P107" s="1">
        <f t="shared" si="32"/>
        <v>0.61852428327704156</v>
      </c>
      <c r="R107">
        <f t="shared" si="33"/>
        <v>98.636038210723015</v>
      </c>
      <c r="S107">
        <f t="shared" si="34"/>
        <v>98.794532325513146</v>
      </c>
      <c r="T107">
        <f t="shared" si="35"/>
        <v>126.30413336872266</v>
      </c>
      <c r="U107">
        <f t="shared" si="36"/>
        <v>118.79050959461966</v>
      </c>
      <c r="V107">
        <f t="shared" si="37"/>
        <v>79.812598099571588</v>
      </c>
      <c r="W107">
        <f t="shared" si="38"/>
        <v>89.470431444738779</v>
      </c>
      <c r="X107">
        <f t="shared" si="39"/>
        <v>92.464302489406521</v>
      </c>
      <c r="Y107">
        <f t="shared" si="40"/>
        <v>98.754441485250453</v>
      </c>
      <c r="Z107">
        <f t="shared" si="41"/>
        <v>105.28603799914079</v>
      </c>
      <c r="AA107">
        <f t="shared" si="42"/>
        <v>122.46449956072958</v>
      </c>
      <c r="AC107">
        <f>'2026_Fantasy_Hitters'!F175</f>
        <v>119.42320109765933</v>
      </c>
      <c r="AD107">
        <f>'2026_Fantasy_Hitters'!G175</f>
        <v>71.797799481878712</v>
      </c>
      <c r="AE107">
        <f>'2026_Fantasy_Hitters'!H175</f>
        <v>22.945473146414191</v>
      </c>
      <c r="AF107">
        <f>'2026_Fantasy_Hitters'!I175</f>
        <v>0.90625011909394737</v>
      </c>
      <c r="AG107">
        <f>'2026_Fantasy_Hitters'!J175</f>
        <v>23.78492647058815</v>
      </c>
      <c r="AH107">
        <f>'2026_Fantasy_Hitters'!K175</f>
        <v>66.117647058823295</v>
      </c>
      <c r="AI107">
        <f>'2026_Fantasy_Hitters'!L175</f>
        <v>77.999999999999659</v>
      </c>
      <c r="AJ107">
        <f>'2026_Fantasy_Hitters'!M175</f>
        <v>37.485399999999998</v>
      </c>
      <c r="AK107">
        <f>'2026_Fantasy_Hitters'!N175</f>
        <v>0.94708239999999999</v>
      </c>
      <c r="AL107">
        <f>'2026_Fantasy_Hitters'!O175</f>
        <v>146.65390000000002</v>
      </c>
      <c r="AM107">
        <f>'2026_Fantasy_Hitters'!P175</f>
        <v>5.1488978799999998</v>
      </c>
      <c r="AN107">
        <f>'2026_Fantasy_Hitters'!Q175</f>
        <v>5.1654431599999997</v>
      </c>
      <c r="AO107">
        <f>'2026_Fantasy_Hitters'!R175</f>
        <v>0</v>
      </c>
      <c r="AP107">
        <f>'2026_Fantasy_Hitters'!S175</f>
        <v>11.479884080000001</v>
      </c>
      <c r="AQ107">
        <f>'2026_Fantasy_Hitters'!T175</f>
        <v>3.09300072</v>
      </c>
      <c r="AR107">
        <f>'2026_Fantasy_Hitters'!U175</f>
        <v>8.3868833600000023</v>
      </c>
      <c r="AS107">
        <f>'2026_Fantasy_Hitters'!V175</f>
        <v>0.2323408581666524</v>
      </c>
      <c r="AT107">
        <f>'2026_Fantasy_Hitters'!W175</f>
        <v>0.292333550584774</v>
      </c>
      <c r="AU107">
        <f>'2026_Fantasy_Hitters'!X175</f>
        <v>0.41935253310183179</v>
      </c>
      <c r="AV107">
        <f>'2026_Fantasy_Hitters'!Y175</f>
        <v>0.7116860836866058</v>
      </c>
      <c r="AW107">
        <f>'2026_Fantasy_Hitters'!Z175</f>
        <v>0.27424999999999999</v>
      </c>
      <c r="AX107">
        <f>'2026_Fantasy_Hitters'!AA175</f>
        <v>0.26095000000000002</v>
      </c>
      <c r="AY107">
        <f>'2026_Fantasy_Hitters'!AB175</f>
        <v>6.6699999999999995E-2</v>
      </c>
      <c r="AZ107">
        <f t="shared" si="43"/>
        <v>4.2321933221687098E-2</v>
      </c>
    </row>
    <row r="108" spans="1:52">
      <c r="A108" t="s">
        <v>1334</v>
      </c>
      <c r="B108" t="s">
        <v>156</v>
      </c>
      <c r="C108" t="s">
        <v>124</v>
      </c>
      <c r="D108">
        <v>485</v>
      </c>
      <c r="E108">
        <v>533</v>
      </c>
      <c r="F108" s="6">
        <f t="shared" si="22"/>
        <v>-0.14892058404641856</v>
      </c>
      <c r="G108" s="5">
        <f t="shared" si="23"/>
        <v>-0.53528864687642286</v>
      </c>
      <c r="H108" s="5">
        <f t="shared" si="24"/>
        <v>0.10459800087151674</v>
      </c>
      <c r="I108" s="5">
        <f t="shared" si="25"/>
        <v>0.25779570468990615</v>
      </c>
      <c r="J108" s="5">
        <f t="shared" si="26"/>
        <v>0.43436196933973142</v>
      </c>
      <c r="K108" s="5">
        <f t="shared" si="27"/>
        <v>-0.63396850593869969</v>
      </c>
      <c r="L108" s="5">
        <f t="shared" si="28"/>
        <v>0.43058711082921064</v>
      </c>
      <c r="M108" s="5">
        <f t="shared" si="29"/>
        <v>0.19718057986846815</v>
      </c>
      <c r="N108" s="5">
        <f t="shared" si="30"/>
        <v>0.26832686104400816</v>
      </c>
      <c r="O108" s="5">
        <f t="shared" si="31"/>
        <v>-1.0550696809523936</v>
      </c>
      <c r="P108" s="1">
        <f t="shared" si="32"/>
        <v>0.38255602307825637</v>
      </c>
      <c r="R108">
        <f t="shared" si="33"/>
        <v>87.345293879385622</v>
      </c>
      <c r="S108">
        <f t="shared" si="34"/>
        <v>102.12985432147337</v>
      </c>
      <c r="T108">
        <f t="shared" si="35"/>
        <v>111.40380771584793</v>
      </c>
      <c r="U108">
        <f t="shared" si="36"/>
        <v>111.17573333855437</v>
      </c>
      <c r="V108">
        <f t="shared" si="37"/>
        <v>77.055968298115147</v>
      </c>
      <c r="W108">
        <f t="shared" si="38"/>
        <v>120.93533724773121</v>
      </c>
      <c r="X108">
        <f t="shared" si="39"/>
        <v>101.30136118338363</v>
      </c>
      <c r="Y108">
        <f t="shared" si="40"/>
        <v>102.95020563503061</v>
      </c>
      <c r="Z108">
        <f t="shared" si="41"/>
        <v>2.9871068682811313</v>
      </c>
      <c r="AA108">
        <f t="shared" si="42"/>
        <v>113.89424771953001</v>
      </c>
      <c r="AC108">
        <f>'2026_Fantasy_Hitters'!F202</f>
        <v>123.454950831912</v>
      </c>
      <c r="AD108">
        <f>'2026_Fantasy_Hitters'!G202</f>
        <v>77.395892040129297</v>
      </c>
      <c r="AE108">
        <f>'2026_Fantasy_Hitters'!H202</f>
        <v>24.053469834709201</v>
      </c>
      <c r="AF108">
        <f>'2026_Fantasy_Hitters'!I202</f>
        <v>0.86949020128239285</v>
      </c>
      <c r="AG108">
        <f>'2026_Fantasy_Hitters'!J202</f>
        <v>20.978975940000002</v>
      </c>
      <c r="AH108">
        <f>'2026_Fantasy_Hitters'!K202</f>
        <v>58.549242424241974</v>
      </c>
      <c r="AI108">
        <f>'2026_Fantasy_Hitters'!L202</f>
        <v>72.999999999999716</v>
      </c>
      <c r="AJ108">
        <f>'2026_Fantasy_Hitters'!M202</f>
        <v>36.1907</v>
      </c>
      <c r="AK108">
        <f>'2026_Fantasy_Hitters'!N202</f>
        <v>0</v>
      </c>
      <c r="AL108">
        <f>'2026_Fantasy_Hitters'!O202</f>
        <v>105.61395</v>
      </c>
      <c r="AM108">
        <f>'2026_Fantasy_Hitters'!P202</f>
        <v>6.9596590909090175</v>
      </c>
      <c r="AN108">
        <f>'2026_Fantasy_Hitters'!Q202</f>
        <v>5.0473501000000001</v>
      </c>
      <c r="AO108">
        <f>'2026_Fantasy_Hitters'!R202</f>
        <v>0.90000247999999994</v>
      </c>
      <c r="AP108">
        <f>'2026_Fantasy_Hitters'!S202</f>
        <v>0.23794719</v>
      </c>
      <c r="AQ108">
        <f>'2026_Fantasy_Hitters'!T202</f>
        <v>0</v>
      </c>
      <c r="AR108">
        <f>'2026_Fantasy_Hitters'!U202</f>
        <v>0.23794719</v>
      </c>
      <c r="AS108">
        <f>'2026_Fantasy_Hitters'!V202</f>
        <v>0.25454629037507631</v>
      </c>
      <c r="AT108">
        <f>'2026_Fantasy_Hitters'!W202</f>
        <v>0.31659685173119151</v>
      </c>
      <c r="AU108">
        <f>'2026_Fantasy_Hitters'!X202</f>
        <v>0.43716949705854619</v>
      </c>
      <c r="AV108">
        <f>'2026_Fantasy_Hitters'!Y202</f>
        <v>0.75376634878973769</v>
      </c>
      <c r="AW108">
        <f>'2026_Fantasy_Hitters'!Z202</f>
        <v>0.28194999999999998</v>
      </c>
      <c r="AX108">
        <f>'2026_Fantasy_Hitters'!AA202</f>
        <v>0.19814999999999999</v>
      </c>
      <c r="AY108">
        <f>'2026_Fantasy_Hitters'!AB202</f>
        <v>6.7900000000000002E-2</v>
      </c>
      <c r="AZ108">
        <f t="shared" si="43"/>
        <v>3.9360180000000002E-2</v>
      </c>
    </row>
    <row r="109" spans="1:52">
      <c r="A109" t="s">
        <v>1109</v>
      </c>
      <c r="B109" t="s">
        <v>123</v>
      </c>
      <c r="C109" t="s">
        <v>20</v>
      </c>
      <c r="D109">
        <v>491</v>
      </c>
      <c r="E109">
        <v>543</v>
      </c>
      <c r="F109" s="6">
        <f t="shared" si="22"/>
        <v>-0.15244330837963993</v>
      </c>
      <c r="G109" s="5">
        <f t="shared" si="23"/>
        <v>0.12525343005270928</v>
      </c>
      <c r="H109" s="5">
        <f t="shared" si="24"/>
        <v>-0.47378612353084754</v>
      </c>
      <c r="I109" s="5">
        <f t="shared" si="25"/>
        <v>0.90254521552882039</v>
      </c>
      <c r="J109" s="5">
        <f t="shared" si="26"/>
        <v>0.5527459396964669</v>
      </c>
      <c r="K109" s="5">
        <f t="shared" si="27"/>
        <v>-0.2042894071176006</v>
      </c>
      <c r="L109" s="5">
        <f t="shared" si="28"/>
        <v>-0.60793593067634455</v>
      </c>
      <c r="M109" s="5">
        <f t="shared" si="29"/>
        <v>-1.7387487381327398</v>
      </c>
      <c r="N109" s="5">
        <f t="shared" si="30"/>
        <v>0.38388965602536385</v>
      </c>
      <c r="O109" s="5">
        <f t="shared" si="31"/>
        <v>-0.2049731315803596</v>
      </c>
      <c r="P109" s="1">
        <f t="shared" si="32"/>
        <v>1.1128557813548918</v>
      </c>
      <c r="R109">
        <f t="shared" si="33"/>
        <v>102.96110398971692</v>
      </c>
      <c r="S109">
        <f t="shared" si="34"/>
        <v>90.352631845270452</v>
      </c>
      <c r="T109">
        <f t="shared" si="35"/>
        <v>139.92483934179427</v>
      </c>
      <c r="U109">
        <f t="shared" si="36"/>
        <v>114.22164384098015</v>
      </c>
      <c r="V109">
        <f t="shared" si="37"/>
        <v>92.606537092366537</v>
      </c>
      <c r="W109">
        <f t="shared" si="38"/>
        <v>70.441884084238552</v>
      </c>
      <c r="X109">
        <f t="shared" si="39"/>
        <v>88.524528546510226</v>
      </c>
      <c r="Y109">
        <f t="shared" si="40"/>
        <v>104.22079780618853</v>
      </c>
      <c r="Z109">
        <f t="shared" si="41"/>
        <v>81.152868983090016</v>
      </c>
      <c r="AA109">
        <f t="shared" si="42"/>
        <v>140.41837788316019</v>
      </c>
      <c r="AC109">
        <f>'2026_Fantasy_Hitters'!F173</f>
        <v>109.21860014487868</v>
      </c>
      <c r="AD109">
        <f>'2026_Fantasy_Hitters'!G173</f>
        <v>59.798641765725783</v>
      </c>
      <c r="AE109">
        <f>'2026_Fantasy_Hitters'!H173</f>
        <v>21.740700617209949</v>
      </c>
      <c r="AF109">
        <f>'2026_Fantasy_Hitters'!I173</f>
        <v>2.8732432591589987</v>
      </c>
      <c r="AG109">
        <f>'2026_Fantasy_Hitters'!J173</f>
        <v>26.349905789999998</v>
      </c>
      <c r="AH109">
        <f>'2026_Fantasy_Hitters'!K173</f>
        <v>69.016822429906128</v>
      </c>
      <c r="AI109">
        <f>'2026_Fantasy_Hitters'!L173</f>
        <v>74.999999999999474</v>
      </c>
      <c r="AJ109">
        <f>'2026_Fantasy_Hitters'!M173</f>
        <v>43.494300000000003</v>
      </c>
      <c r="AK109">
        <f>'2026_Fantasy_Hitters'!N173</f>
        <v>0.93669671999999993</v>
      </c>
      <c r="AL109">
        <f>'2026_Fantasy_Hitters'!O173</f>
        <v>140.25689999999997</v>
      </c>
      <c r="AM109">
        <f>'2026_Fantasy_Hitters'!P173</f>
        <v>4.0538316600000002</v>
      </c>
      <c r="AN109">
        <f>'2026_Fantasy_Hitters'!Q173</f>
        <v>4.0598155199999999</v>
      </c>
      <c r="AO109">
        <f>'2026_Fantasy_Hitters'!R173</f>
        <v>0.99126278999999995</v>
      </c>
      <c r="AP109">
        <f>'2026_Fantasy_Hitters'!S173</f>
        <v>8.5096638655461767</v>
      </c>
      <c r="AQ109">
        <f>'2026_Fantasy_Hitters'!T173</f>
        <v>2.0451823500000001</v>
      </c>
      <c r="AR109">
        <f>'2026_Fantasy_Hitters'!U173</f>
        <v>6.4644815155461766</v>
      </c>
      <c r="AS109">
        <f>'2026_Fantasy_Hitters'!V173</f>
        <v>0.22244114082460015</v>
      </c>
      <c r="AT109">
        <f>'2026_Fantasy_Hitters'!W173</f>
        <v>0.2923190255457439</v>
      </c>
      <c r="AU109">
        <f>'2026_Fantasy_Hitters'!X173</f>
        <v>0.44256496117642086</v>
      </c>
      <c r="AV109">
        <f>'2026_Fantasy_Hitters'!Y173</f>
        <v>0.73488398672216482</v>
      </c>
      <c r="AW109">
        <f>'2026_Fantasy_Hitters'!Z173</f>
        <v>0.25229999999999903</v>
      </c>
      <c r="AX109">
        <f>'2026_Fantasy_Hitters'!AA173</f>
        <v>0.25829999999999997</v>
      </c>
      <c r="AY109">
        <f>'2026_Fantasy_Hitters'!AB173</f>
        <v>8.0100000000000005E-2</v>
      </c>
      <c r="AZ109">
        <f t="shared" si="43"/>
        <v>4.8526529999999998E-2</v>
      </c>
    </row>
    <row r="110" spans="1:52">
      <c r="A110" t="s">
        <v>1274</v>
      </c>
      <c r="B110" t="s">
        <v>130</v>
      </c>
      <c r="C110" t="s">
        <v>20</v>
      </c>
      <c r="D110">
        <v>463</v>
      </c>
      <c r="E110">
        <v>512</v>
      </c>
      <c r="F110" s="6">
        <f t="shared" si="22"/>
        <v>-0.21012828959161464</v>
      </c>
      <c r="G110" s="5">
        <f t="shared" si="23"/>
        <v>-6.3115664118644041E-2</v>
      </c>
      <c r="H110" s="5">
        <f t="shared" si="24"/>
        <v>-0.35632451840443424</v>
      </c>
      <c r="I110" s="5">
        <f t="shared" si="25"/>
        <v>5.2814443031918804E-2</v>
      </c>
      <c r="J110" s="5">
        <f t="shared" si="26"/>
        <v>-9.8365897265626875E-2</v>
      </c>
      <c r="K110" s="5">
        <f t="shared" si="27"/>
        <v>-0.624479043394223</v>
      </c>
      <c r="L110" s="5">
        <f t="shared" si="28"/>
        <v>1.5325020604685775</v>
      </c>
      <c r="M110" s="5">
        <f t="shared" si="29"/>
        <v>-0.5510471293990844</v>
      </c>
      <c r="N110" s="5">
        <f t="shared" si="30"/>
        <v>-3.6019678443397658E-2</v>
      </c>
      <c r="O110" s="5">
        <f t="shared" si="31"/>
        <v>-0.31155998006563301</v>
      </c>
      <c r="P110" s="1">
        <f t="shared" si="32"/>
        <v>0.24546711799893237</v>
      </c>
      <c r="R110">
        <f t="shared" si="33"/>
        <v>98.507888807861733</v>
      </c>
      <c r="S110">
        <f t="shared" si="34"/>
        <v>92.744418544836392</v>
      </c>
      <c r="T110">
        <f t="shared" si="35"/>
        <v>102.33629087684022</v>
      </c>
      <c r="U110">
        <f t="shared" si="36"/>
        <v>97.469136077637089</v>
      </c>
      <c r="V110">
        <f t="shared" si="37"/>
        <v>77.399402597161185</v>
      </c>
      <c r="W110">
        <f t="shared" si="38"/>
        <v>174.51093323942604</v>
      </c>
      <c r="X110">
        <f t="shared" si="39"/>
        <v>96.36317458396114</v>
      </c>
      <c r="Y110">
        <f t="shared" si="40"/>
        <v>99.60397010607781</v>
      </c>
      <c r="Z110">
        <f t="shared" si="41"/>
        <v>71.352285450053103</v>
      </c>
      <c r="AA110">
        <f t="shared" si="42"/>
        <v>108.91524571233482</v>
      </c>
      <c r="AC110">
        <f>'2026_Fantasy_Hitters'!F201</f>
        <v>112.10980087513616</v>
      </c>
      <c r="AD110">
        <f>'2026_Fantasy_Hitters'!G201</f>
        <v>68.696959821399929</v>
      </c>
      <c r="AE110">
        <f>'2026_Fantasy_Hitters'!H201</f>
        <v>20.568723436961161</v>
      </c>
      <c r="AF110">
        <f>'2026_Fantasy_Hitters'!I201</f>
        <v>2.9701167542367126</v>
      </c>
      <c r="AG110">
        <f>'2026_Fantasy_Hitters'!J201</f>
        <v>19.271429120000001</v>
      </c>
      <c r="AH110">
        <f>'2026_Fantasy_Hitters'!K201</f>
        <v>66.031746031745541</v>
      </c>
      <c r="AI110">
        <f>'2026_Fantasy_Hitters'!L201</f>
        <v>64</v>
      </c>
      <c r="AJ110">
        <f>'2026_Fantasy_Hitters'!M201</f>
        <v>36.351999999999997</v>
      </c>
      <c r="AK110">
        <f>'2026_Fantasy_Hitters'!N201</f>
        <v>0.93809664000000004</v>
      </c>
      <c r="AL110">
        <f>'2026_Fantasy_Hitters'!O201</f>
        <v>137.9839999999995</v>
      </c>
      <c r="AM110">
        <f>'2026_Fantasy_Hitters'!P201</f>
        <v>10.04285952</v>
      </c>
      <c r="AN110">
        <f>'2026_Fantasy_Hitters'!Q201</f>
        <v>3.0476185600000001</v>
      </c>
      <c r="AO110">
        <f>'2026_Fantasy_Hitters'!R201</f>
        <v>0</v>
      </c>
      <c r="AP110">
        <f>'2026_Fantasy_Hitters'!S201</f>
        <v>8.5142857142856698</v>
      </c>
      <c r="AQ110">
        <f>'2026_Fantasy_Hitters'!T201</f>
        <v>2.8304998399999999</v>
      </c>
      <c r="AR110">
        <f>'2026_Fantasy_Hitters'!U201</f>
        <v>5.6837858742856699</v>
      </c>
      <c r="AS110">
        <f>'2026_Fantasy_Hitters'!V201</f>
        <v>0.24213779886638478</v>
      </c>
      <c r="AT110">
        <f>'2026_Fantasy_Hitters'!W201</f>
        <v>0.31677093176254828</v>
      </c>
      <c r="AU110">
        <f>'2026_Fantasy_Hitters'!X201</f>
        <v>0.42295998582728384</v>
      </c>
      <c r="AV110">
        <f>'2026_Fantasy_Hitters'!Y201</f>
        <v>0.73973091758983212</v>
      </c>
      <c r="AW110">
        <f>'2026_Fantasy_Hitters'!Z201</f>
        <v>0.30064999999999997</v>
      </c>
      <c r="AX110">
        <f>'2026_Fantasy_Hitters'!AA201</f>
        <v>0.26949999999999902</v>
      </c>
      <c r="AY110">
        <f>'2026_Fantasy_Hitters'!AB201</f>
        <v>7.0999999999999994E-2</v>
      </c>
      <c r="AZ110">
        <f t="shared" si="43"/>
        <v>3.7639510000000001E-2</v>
      </c>
    </row>
    <row r="111" spans="1:52">
      <c r="A111" t="s">
        <v>1351</v>
      </c>
      <c r="B111" t="s">
        <v>1352</v>
      </c>
      <c r="C111" t="s">
        <v>20</v>
      </c>
      <c r="D111">
        <v>415</v>
      </c>
      <c r="E111">
        <v>481</v>
      </c>
      <c r="F111" s="6">
        <f t="shared" si="22"/>
        <v>-0.50800060715673112</v>
      </c>
      <c r="G111" s="5">
        <f t="shared" si="23"/>
        <v>-0.38063699881022472</v>
      </c>
      <c r="H111" s="5">
        <f t="shared" si="24"/>
        <v>-1.1816367908586898</v>
      </c>
      <c r="I111" s="5">
        <f t="shared" si="25"/>
        <v>0.40437290457534913</v>
      </c>
      <c r="J111" s="5">
        <f t="shared" si="26"/>
        <v>-0.15755788244402941</v>
      </c>
      <c r="K111" s="5">
        <f t="shared" si="27"/>
        <v>0.13741360807661884</v>
      </c>
      <c r="L111" s="5">
        <f t="shared" si="28"/>
        <v>1.910316907596221</v>
      </c>
      <c r="M111" s="5">
        <f t="shared" si="29"/>
        <v>-1.8139437592768815</v>
      </c>
      <c r="N111" s="5">
        <f t="shared" si="30"/>
        <v>0.33785235443384576</v>
      </c>
      <c r="O111" s="5">
        <f t="shared" si="31"/>
        <v>-0.68800100542770637</v>
      </c>
      <c r="P111" s="1">
        <f t="shared" si="32"/>
        <v>0.92382005497876563</v>
      </c>
      <c r="R111">
        <f t="shared" si="33"/>
        <v>91.001398242455039</v>
      </c>
      <c r="S111">
        <f t="shared" si="34"/>
        <v>75.939174702644522</v>
      </c>
      <c r="T111">
        <f t="shared" si="35"/>
        <v>117.88777223741211</v>
      </c>
      <c r="U111">
        <f t="shared" si="36"/>
        <v>95.946180826423301</v>
      </c>
      <c r="V111">
        <f t="shared" si="37"/>
        <v>104.97315268888927</v>
      </c>
      <c r="W111">
        <f t="shared" si="38"/>
        <v>192.88045950458763</v>
      </c>
      <c r="X111">
        <f t="shared" si="39"/>
        <v>88.028253092984471</v>
      </c>
      <c r="Y111">
        <f t="shared" si="40"/>
        <v>103.71462594531535</v>
      </c>
      <c r="Z111">
        <f t="shared" si="41"/>
        <v>36.738805768900818</v>
      </c>
      <c r="AA111">
        <f t="shared" si="42"/>
        <v>133.55269272422103</v>
      </c>
      <c r="AC111">
        <f>'2026_Fantasy_Hitters'!F217</f>
        <v>91.795559108712013</v>
      </c>
      <c r="AD111">
        <f>'2026_Fantasy_Hitters'!G217</f>
        <v>47.573534497562385</v>
      </c>
      <c r="AE111">
        <f>'2026_Fantasy_Hitters'!H217</f>
        <v>20.133000492698809</v>
      </c>
      <c r="AF111">
        <f>'2026_Fantasy_Hitters'!I217</f>
        <v>2.0443026827396968</v>
      </c>
      <c r="AG111">
        <f>'2026_Fantasy_Hitters'!J217</f>
        <v>22.200001850000003</v>
      </c>
      <c r="AH111">
        <f>'2026_Fantasy_Hitters'!K217</f>
        <v>60.999999999999602</v>
      </c>
      <c r="AI111">
        <f>'2026_Fantasy_Hitters'!L217</f>
        <v>62.999999999999538</v>
      </c>
      <c r="AJ111">
        <f>'2026_Fantasy_Hitters'!M217</f>
        <v>49.302499999999519</v>
      </c>
      <c r="AK111">
        <f>'2026_Fantasy_Hitters'!N217</f>
        <v>1.0078777800000001</v>
      </c>
      <c r="AL111">
        <f>'2026_Fantasy_Hitters'!O217</f>
        <v>149.18214999999998</v>
      </c>
      <c r="AM111">
        <f>'2026_Fantasy_Hitters'!P217</f>
        <v>11.099999999999962</v>
      </c>
      <c r="AN111">
        <f>'2026_Fantasy_Hitters'!Q217</f>
        <v>3.0000018100000001</v>
      </c>
      <c r="AO111">
        <f>'2026_Fantasy_Hitters'!R217</f>
        <v>0</v>
      </c>
      <c r="AP111">
        <f>'2026_Fantasy_Hitters'!S217</f>
        <v>5.0131302521007619</v>
      </c>
      <c r="AQ111">
        <f>'2026_Fantasy_Hitters'!T217</f>
        <v>2.08658762</v>
      </c>
      <c r="AR111">
        <f>'2026_Fantasy_Hitters'!U217</f>
        <v>2.9265426321007619</v>
      </c>
      <c r="AS111">
        <f>'2026_Fantasy_Hitters'!V217</f>
        <v>0.22119411833424582</v>
      </c>
      <c r="AT111">
        <f>'2026_Fantasy_Hitters'!W217</f>
        <v>0.32714614829344929</v>
      </c>
      <c r="AU111">
        <f>'2026_Fantasy_Hitters'!X217</f>
        <v>0.44041554441247976</v>
      </c>
      <c r="AV111">
        <f>'2026_Fantasy_Hitters'!Y217</f>
        <v>0.767561692705929</v>
      </c>
      <c r="AW111">
        <f>'2026_Fantasy_Hitters'!Z217</f>
        <v>0.28220000000000001</v>
      </c>
      <c r="AX111">
        <f>'2026_Fantasy_Hitters'!AA217</f>
        <v>0.31014999999999998</v>
      </c>
      <c r="AY111">
        <f>'2026_Fantasy_Hitters'!AB217</f>
        <v>0.10249999999999899</v>
      </c>
      <c r="AZ111">
        <f t="shared" si="43"/>
        <v>4.6153850000000003E-2</v>
      </c>
    </row>
    <row r="112" spans="1:52">
      <c r="A112" t="s">
        <v>614</v>
      </c>
      <c r="B112" t="s">
        <v>40</v>
      </c>
      <c r="C112" t="s">
        <v>20</v>
      </c>
      <c r="D112">
        <v>474</v>
      </c>
      <c r="E112">
        <v>521</v>
      </c>
      <c r="F112" s="6">
        <f t="shared" si="22"/>
        <v>-0.59623479259922996</v>
      </c>
      <c r="G112" s="5">
        <f t="shared" si="23"/>
        <v>0.28256955960294566</v>
      </c>
      <c r="H112" s="5">
        <f t="shared" si="24"/>
        <v>-0.41988401242281326</v>
      </c>
      <c r="I112" s="5">
        <f t="shared" si="25"/>
        <v>-3.385946662784918E-2</v>
      </c>
      <c r="J112" s="5">
        <f t="shared" si="26"/>
        <v>-0.27594185280076544</v>
      </c>
      <c r="K112" s="5">
        <f t="shared" si="27"/>
        <v>-0.52864900285672178</v>
      </c>
      <c r="L112" s="5">
        <f t="shared" si="28"/>
        <v>9.3498265137152564E-2</v>
      </c>
      <c r="M112" s="5">
        <f t="shared" si="29"/>
        <v>-1.0889059727038148</v>
      </c>
      <c r="N112" s="5">
        <f t="shared" si="30"/>
        <v>-0.67884780444777626</v>
      </c>
      <c r="O112" s="5">
        <f t="shared" si="31"/>
        <v>1.9705325857589604</v>
      </c>
      <c r="P112" s="1">
        <f t="shared" si="32"/>
        <v>8.3252908761451985E-2</v>
      </c>
      <c r="R112">
        <f t="shared" si="33"/>
        <v>106.68019909682897</v>
      </c>
      <c r="S112">
        <f t="shared" si="34"/>
        <v>91.450202002667623</v>
      </c>
      <c r="T112">
        <f t="shared" si="35"/>
        <v>98.502198292056121</v>
      </c>
      <c r="U112">
        <f t="shared" si="36"/>
        <v>92.900270323997503</v>
      </c>
      <c r="V112">
        <f t="shared" si="37"/>
        <v>80.867599309598376</v>
      </c>
      <c r="W112">
        <f t="shared" si="38"/>
        <v>104.54592732456516</v>
      </c>
      <c r="X112">
        <f t="shared" si="39"/>
        <v>92.813389806559172</v>
      </c>
      <c r="Y112">
        <f t="shared" si="40"/>
        <v>92.53619033809062</v>
      </c>
      <c r="Z112">
        <f t="shared" si="41"/>
        <v>281.18904429349197</v>
      </c>
      <c r="AA112">
        <f t="shared" si="42"/>
        <v>103.02370494233848</v>
      </c>
      <c r="AC112">
        <f>'2026_Fantasy_Hitters'!F90</f>
        <v>110.54534706639615</v>
      </c>
      <c r="AD112">
        <f>'2026_Fantasy_Hitters'!G90</f>
        <v>69.696748620120914</v>
      </c>
      <c r="AE112">
        <f>'2026_Fantasy_Hitters'!H90</f>
        <v>19.620744528783547</v>
      </c>
      <c r="AF112">
        <f>'2026_Fantasy_Hitters'!I90</f>
        <v>1.0403682180620559</v>
      </c>
      <c r="AG112">
        <f>'2026_Fantasy_Hitters'!J90</f>
        <v>18.549413080000001</v>
      </c>
      <c r="AH112">
        <f>'2026_Fantasy_Hitters'!K90</f>
        <v>71.509803921568462</v>
      </c>
      <c r="AI112">
        <f>'2026_Fantasy_Hitters'!L90</f>
        <v>60.999999999999773</v>
      </c>
      <c r="AJ112">
        <f>'2026_Fantasy_Hitters'!M90</f>
        <v>37.980900000000005</v>
      </c>
      <c r="AK112">
        <f>'2026_Fantasy_Hitters'!N90</f>
        <v>3.3630862600000002</v>
      </c>
      <c r="AL112">
        <f>'2026_Fantasy_Hitters'!O90</f>
        <v>146.45309999999949</v>
      </c>
      <c r="AM112">
        <f>'2026_Fantasy_Hitters'!P90</f>
        <v>6.0164715299999996</v>
      </c>
      <c r="AN112">
        <f>'2026_Fantasy_Hitters'!Q90</f>
        <v>3.06470435</v>
      </c>
      <c r="AO112">
        <f>'2026_Fantasy_Hitters'!R90</f>
        <v>0.90000144999999998</v>
      </c>
      <c r="AP112">
        <f>'2026_Fantasy_Hitters'!S90</f>
        <v>29.560404220000002</v>
      </c>
      <c r="AQ112">
        <f>'2026_Fantasy_Hitters'!T90</f>
        <v>7.1614255765198793</v>
      </c>
      <c r="AR112">
        <f>'2026_Fantasy_Hitters'!U90</f>
        <v>22.398978643480124</v>
      </c>
      <c r="AS112">
        <f>'2026_Fantasy_Hitters'!V90</f>
        <v>0.23321803178564587</v>
      </c>
      <c r="AT112">
        <f>'2026_Fantasy_Hitters'!W90</f>
        <v>0.30459714066635696</v>
      </c>
      <c r="AU112">
        <f>'2026_Fantasy_Hitters'!X90</f>
        <v>0.3929472461010004</v>
      </c>
      <c r="AV112">
        <f>'2026_Fantasy_Hitters'!Y90</f>
        <v>0.69754438676735742</v>
      </c>
      <c r="AW112">
        <f>'2026_Fantasy_Hitters'!Z90</f>
        <v>0.29480000000000001</v>
      </c>
      <c r="AX112">
        <f>'2026_Fantasy_Hitters'!AA90</f>
        <v>0.28109999999999902</v>
      </c>
      <c r="AY112">
        <f>'2026_Fantasy_Hitters'!AB90</f>
        <v>7.2900000000000006E-2</v>
      </c>
      <c r="AZ112">
        <f t="shared" si="43"/>
        <v>3.560348E-2</v>
      </c>
    </row>
    <row r="113" spans="1:52">
      <c r="A113" t="s">
        <v>514</v>
      </c>
      <c r="B113" t="s">
        <v>66</v>
      </c>
      <c r="C113" t="s">
        <v>169</v>
      </c>
      <c r="D113">
        <v>538</v>
      </c>
      <c r="E113">
        <v>592</v>
      </c>
      <c r="F113" s="6">
        <f t="shared" si="22"/>
        <v>-0.64703953959608351</v>
      </c>
      <c r="G113" s="5">
        <f t="shared" si="23"/>
        <v>4.8575412505711464E-2</v>
      </c>
      <c r="H113" s="5">
        <f t="shared" si="24"/>
        <v>0.49330449111109692</v>
      </c>
      <c r="I113" s="5">
        <f t="shared" si="25"/>
        <v>-8.8547630340243932E-2</v>
      </c>
      <c r="J113" s="5">
        <f t="shared" si="26"/>
        <v>0.31597799898298323</v>
      </c>
      <c r="K113" s="5">
        <f t="shared" si="27"/>
        <v>-0.24504173634611462</v>
      </c>
      <c r="L113" s="5">
        <f t="shared" si="28"/>
        <v>-0.25053800791895636</v>
      </c>
      <c r="M113" s="5">
        <f t="shared" si="29"/>
        <v>-0.24255061950687046</v>
      </c>
      <c r="N113" s="5">
        <f t="shared" si="30"/>
        <v>-0.36543078517853622</v>
      </c>
      <c r="O113" s="5">
        <f t="shared" si="31"/>
        <v>5.4685328813356658E-3</v>
      </c>
      <c r="P113" s="1">
        <f t="shared" si="32"/>
        <v>-0.3182571957864892</v>
      </c>
      <c r="R113">
        <f t="shared" si="33"/>
        <v>101.14836653744553</v>
      </c>
      <c r="S113">
        <f t="shared" si="34"/>
        <v>110.04480672136124</v>
      </c>
      <c r="T113">
        <f t="shared" si="35"/>
        <v>96.083021820287016</v>
      </c>
      <c r="U113">
        <f t="shared" si="36"/>
        <v>108.12982283612826</v>
      </c>
      <c r="V113">
        <f t="shared" si="37"/>
        <v>91.131664563233244</v>
      </c>
      <c r="W113">
        <f t="shared" si="38"/>
        <v>87.818730386385056</v>
      </c>
      <c r="X113">
        <f t="shared" si="39"/>
        <v>98.399203605941125</v>
      </c>
      <c r="Y113">
        <f t="shared" si="40"/>
        <v>95.982154162826717</v>
      </c>
      <c r="Z113">
        <f t="shared" si="41"/>
        <v>100.50282763838443</v>
      </c>
      <c r="AA113">
        <f t="shared" si="42"/>
        <v>88.4410542508285</v>
      </c>
      <c r="AC113">
        <f>'2026_Fantasy_Hitters'!F74</f>
        <v>133.02257496940803</v>
      </c>
      <c r="AD113">
        <f>'2026_Fantasy_Hitters'!G74</f>
        <v>86.086037914354606</v>
      </c>
      <c r="AE113">
        <f>'2026_Fantasy_Hitters'!H74</f>
        <v>27.410028118246508</v>
      </c>
      <c r="AF113">
        <f>'2026_Fantasy_Hitters'!I74</f>
        <v>1.9988971857616062</v>
      </c>
      <c r="AG113">
        <f>'2026_Fantasy_Hitters'!J74</f>
        <v>18.093846559999999</v>
      </c>
      <c r="AH113">
        <f>'2026_Fantasy_Hitters'!K74</f>
        <v>67.80170940170909</v>
      </c>
      <c r="AI113">
        <f>'2026_Fantasy_Hitters'!L74</f>
        <v>70.999999999999744</v>
      </c>
      <c r="AJ113">
        <f>'2026_Fantasy_Hitters'!M74</f>
        <v>42.801600000000001</v>
      </c>
      <c r="AK113">
        <f>'2026_Fantasy_Hitters'!N74</f>
        <v>0.95655952</v>
      </c>
      <c r="AL113">
        <f>'2026_Fantasy_Hitters'!O74</f>
        <v>88.237599999999986</v>
      </c>
      <c r="AM113">
        <f>'2026_Fantasy_Hitters'!P74</f>
        <v>5.0538448000000002</v>
      </c>
      <c r="AN113">
        <f>'2026_Fantasy_Hitters'!Q74</f>
        <v>6.0717947200000006</v>
      </c>
      <c r="AO113">
        <f>'2026_Fantasy_Hitters'!R74</f>
        <v>0.89999984</v>
      </c>
      <c r="AP113">
        <f>'2026_Fantasy_Hitters'!S74</f>
        <v>11.069047619047517</v>
      </c>
      <c r="AQ113">
        <f>'2026_Fantasy_Hitters'!T74</f>
        <v>3.0631855999999997</v>
      </c>
      <c r="AR113">
        <f>'2026_Fantasy_Hitters'!U74</f>
        <v>8.005862019047516</v>
      </c>
      <c r="AS113">
        <f>'2026_Fantasy_Hitters'!V74</f>
        <v>0.24725385682046103</v>
      </c>
      <c r="AT113">
        <f>'2026_Fantasy_Hitters'!W74</f>
        <v>0.30933193856121255</v>
      </c>
      <c r="AU113">
        <f>'2026_Fantasy_Hitters'!X74</f>
        <v>0.40758024525675168</v>
      </c>
      <c r="AV113">
        <f>'2026_Fantasy_Hitters'!Y74</f>
        <v>0.71691218381796418</v>
      </c>
      <c r="AW113">
        <f>'2026_Fantasy_Hitters'!Z74</f>
        <v>0.26255000000000001</v>
      </c>
      <c r="AX113">
        <f>'2026_Fantasy_Hitters'!AA74</f>
        <v>0.14904999999999999</v>
      </c>
      <c r="AY113">
        <f>'2026_Fantasy_Hitters'!AB74</f>
        <v>7.2300000000000003E-2</v>
      </c>
      <c r="AZ113">
        <f t="shared" si="43"/>
        <v>3.056393E-2</v>
      </c>
    </row>
    <row r="114" spans="1:52">
      <c r="A114" t="s">
        <v>1074</v>
      </c>
      <c r="B114" t="s">
        <v>116</v>
      </c>
      <c r="C114" t="s">
        <v>648</v>
      </c>
      <c r="D114">
        <v>514</v>
      </c>
      <c r="E114">
        <v>574</v>
      </c>
      <c r="F114" s="6">
        <f t="shared" si="22"/>
        <v>-0.68777824720809799</v>
      </c>
      <c r="G114" s="5">
        <f t="shared" si="23"/>
        <v>0.31372568227087388</v>
      </c>
      <c r="H114" s="5">
        <f t="shared" si="24"/>
        <v>0.43743097830742728</v>
      </c>
      <c r="I114" s="5">
        <f t="shared" si="25"/>
        <v>-0.57061625782816172</v>
      </c>
      <c r="J114" s="5">
        <f t="shared" si="26"/>
        <v>-0.33513383797915031</v>
      </c>
      <c r="K114" s="5">
        <f t="shared" si="27"/>
        <v>8.0247391371944657E-2</v>
      </c>
      <c r="L114" s="5">
        <f t="shared" si="28"/>
        <v>-0.97092839408085285</v>
      </c>
      <c r="M114" s="5">
        <f t="shared" si="29"/>
        <v>0.29226523454162789</v>
      </c>
      <c r="N114" s="5">
        <f t="shared" si="30"/>
        <v>-0.62555627836169037</v>
      </c>
      <c r="O114" s="5">
        <f t="shared" si="31"/>
        <v>1.4900741785525493</v>
      </c>
      <c r="P114" s="1">
        <f t="shared" si="32"/>
        <v>-0.79928694400266576</v>
      </c>
      <c r="R114">
        <f t="shared" si="33"/>
        <v>107.41675792078524</v>
      </c>
      <c r="S114">
        <f t="shared" si="34"/>
        <v>108.90709432046205</v>
      </c>
      <c r="T114">
        <f t="shared" si="35"/>
        <v>74.758314566814505</v>
      </c>
      <c r="U114">
        <f t="shared" si="36"/>
        <v>91.377315072784171</v>
      </c>
      <c r="V114">
        <f t="shared" si="37"/>
        <v>102.90424315148762</v>
      </c>
      <c r="W114">
        <f t="shared" si="38"/>
        <v>52.793028722257333</v>
      </c>
      <c r="X114">
        <f t="shared" si="39"/>
        <v>101.9289051271616</v>
      </c>
      <c r="Y114">
        <f t="shared" si="40"/>
        <v>93.122121094135096</v>
      </c>
      <c r="Z114">
        <f t="shared" si="41"/>
        <v>237.01124167624988</v>
      </c>
      <c r="AA114">
        <f t="shared" si="42"/>
        <v>70.970288979903842</v>
      </c>
      <c r="AC114">
        <f>'2026_Fantasy_Hitters'!F167</f>
        <v>131.64730395343503</v>
      </c>
      <c r="AD114">
        <f>'2026_Fantasy_Hitters'!G167</f>
        <v>91.284489126645809</v>
      </c>
      <c r="AE114">
        <f>'2026_Fantasy_Hitters'!H167</f>
        <v>23.461448469996821</v>
      </c>
      <c r="AF114">
        <f>'2026_Fantasy_Hitters'!I167</f>
        <v>2.9113410736685448</v>
      </c>
      <c r="AG114">
        <f>'2026_Fantasy_Hitters'!J167</f>
        <v>14.07809046</v>
      </c>
      <c r="AH114">
        <f>'2026_Fantasy_Hitters'!K167</f>
        <v>72.003533568904487</v>
      </c>
      <c r="AI114">
        <f>'2026_Fantasy_Hitters'!L167</f>
        <v>59.999999999999609</v>
      </c>
      <c r="AJ114">
        <f>'2026_Fantasy_Hitters'!M167</f>
        <v>48.330799999999996</v>
      </c>
      <c r="AK114">
        <f>'2026_Fantasy_Hitters'!N167</f>
        <v>0.94313365999999998</v>
      </c>
      <c r="AL114">
        <f>'2026_Fantasy_Hitters'!O167</f>
        <v>95.255299999999991</v>
      </c>
      <c r="AM114">
        <f>'2026_Fantasy_Hitters'!P167</f>
        <v>3.0381647800000002</v>
      </c>
      <c r="AN114">
        <f>'2026_Fantasy_Hitters'!Q167</f>
        <v>4.0565383600000002</v>
      </c>
      <c r="AO114">
        <f>'2026_Fantasy_Hitters'!R167</f>
        <v>1.98427208</v>
      </c>
      <c r="AP114">
        <f>'2026_Fantasy_Hitters'!S167</f>
        <v>23.98876404494375</v>
      </c>
      <c r="AQ114">
        <f>'2026_Fantasy_Hitters'!T167</f>
        <v>5.1089042200000003</v>
      </c>
      <c r="AR114">
        <f>'2026_Fantasy_Hitters'!U167</f>
        <v>18.87985982494375</v>
      </c>
      <c r="AS114">
        <f>'2026_Fantasy_Hitters'!V167</f>
        <v>0.2561231594424806</v>
      </c>
      <c r="AT114">
        <f>'2026_Fantasy_Hitters'!W167</f>
        <v>0.32425440103444675</v>
      </c>
      <c r="AU114">
        <f>'2026_Fantasy_Hitters'!X167</f>
        <v>0.39543535238841454</v>
      </c>
      <c r="AV114">
        <f>'2026_Fantasy_Hitters'!Y167</f>
        <v>0.71968975342286123</v>
      </c>
      <c r="AW114">
        <f>'2026_Fantasy_Hitters'!Z167</f>
        <v>0.28765000000000002</v>
      </c>
      <c r="AX114">
        <f>'2026_Fantasy_Hitters'!AA167</f>
        <v>0.16594999999999999</v>
      </c>
      <c r="AY114">
        <f>'2026_Fantasy_Hitters'!AB167</f>
        <v>8.4199999999999997E-2</v>
      </c>
      <c r="AZ114">
        <f t="shared" si="43"/>
        <v>2.4526289999999999E-2</v>
      </c>
    </row>
    <row r="115" spans="1:52">
      <c r="A115" t="s">
        <v>1244</v>
      </c>
      <c r="B115" t="s">
        <v>257</v>
      </c>
      <c r="C115" t="s">
        <v>20</v>
      </c>
      <c r="D115">
        <v>447</v>
      </c>
      <c r="E115">
        <v>505</v>
      </c>
      <c r="F115" s="6">
        <f t="shared" si="22"/>
        <v>-0.72273008340086875</v>
      </c>
      <c r="G115" s="5">
        <f t="shared" si="23"/>
        <v>-0.29415237119529952</v>
      </c>
      <c r="H115" s="5">
        <f t="shared" si="24"/>
        <v>-0.51990112612837447</v>
      </c>
      <c r="I115" s="5">
        <f t="shared" si="25"/>
        <v>0.39456846649029309</v>
      </c>
      <c r="J115" s="5">
        <f t="shared" si="26"/>
        <v>0.25678601380460447</v>
      </c>
      <c r="K115" s="5">
        <f t="shared" si="27"/>
        <v>0.17518319861325143</v>
      </c>
      <c r="L115" s="5">
        <f t="shared" si="28"/>
        <v>-1.0145400638055584</v>
      </c>
      <c r="M115" s="5">
        <f t="shared" si="29"/>
        <v>-0.5715612770089471</v>
      </c>
      <c r="N115" s="5">
        <f t="shared" si="30"/>
        <v>0.4377011086457398</v>
      </c>
      <c r="O115" s="5">
        <f t="shared" si="31"/>
        <v>-0.32299261821388875</v>
      </c>
      <c r="P115" s="1">
        <f t="shared" si="32"/>
        <v>0.7361785853973104</v>
      </c>
      <c r="R115">
        <f t="shared" si="33"/>
        <v>93.045972796397166</v>
      </c>
      <c r="S115">
        <f t="shared" si="34"/>
        <v>89.413625011977899</v>
      </c>
      <c r="T115">
        <f t="shared" si="35"/>
        <v>117.45406475257094</v>
      </c>
      <c r="U115">
        <f t="shared" si="36"/>
        <v>106.60686758491508</v>
      </c>
      <c r="V115">
        <f t="shared" si="37"/>
        <v>106.34007655738108</v>
      </c>
      <c r="W115">
        <f t="shared" si="38"/>
        <v>50.672609901858578</v>
      </c>
      <c r="X115">
        <f t="shared" si="39"/>
        <v>96.227784397830817</v>
      </c>
      <c r="Y115">
        <f t="shared" si="40"/>
        <v>104.81244506107809</v>
      </c>
      <c r="Z115">
        <f t="shared" si="41"/>
        <v>70.301062651299972</v>
      </c>
      <c r="AA115">
        <f t="shared" si="42"/>
        <v>126.73764629038655</v>
      </c>
      <c r="AC115">
        <f>'2026_Fantasy_Hitters'!F196</f>
        <v>108.08352516405999</v>
      </c>
      <c r="AD115">
        <f>'2026_Fantasy_Hitters'!G196</f>
        <v>60.810607973582158</v>
      </c>
      <c r="AE115">
        <f>'2026_Fantasy_Hitters'!H196</f>
        <v>23.307141596111418</v>
      </c>
      <c r="AF115">
        <f>'2026_Fantasy_Hitters'!I196</f>
        <v>1.0171224511678287</v>
      </c>
      <c r="AG115">
        <f>'2026_Fantasy_Hitters'!J196</f>
        <v>22.118328349999999</v>
      </c>
      <c r="AH115">
        <f>'2026_Fantasy_Hitters'!K196</f>
        <v>62.370517928286588</v>
      </c>
      <c r="AI115">
        <f>'2026_Fantasy_Hitters'!L196</f>
        <v>69.999999999999687</v>
      </c>
      <c r="AJ115">
        <f>'2026_Fantasy_Hitters'!M196</f>
        <v>49.944499999999998</v>
      </c>
      <c r="AK115">
        <f>'2026_Fantasy_Hitters'!N196</f>
        <v>3.2827777500000002</v>
      </c>
      <c r="AL115">
        <f>'2026_Fantasy_Hitters'!O196</f>
        <v>124.2805</v>
      </c>
      <c r="AM115">
        <f>'2026_Fantasy_Hitters'!P196</f>
        <v>2.91613765</v>
      </c>
      <c r="AN115">
        <f>'2026_Fantasy_Hitters'!Q196</f>
        <v>4.0239056500000006</v>
      </c>
      <c r="AO115">
        <f>'2026_Fantasy_Hitters'!R196</f>
        <v>0.90000089999999999</v>
      </c>
      <c r="AP115">
        <f>'2026_Fantasy_Hitters'!S196</f>
        <v>8.4372586872586339</v>
      </c>
      <c r="AQ115">
        <f>'2026_Fantasy_Hitters'!T196</f>
        <v>2.8372112</v>
      </c>
      <c r="AR115">
        <f>'2026_Fantasy_Hitters'!U196</f>
        <v>5.6000474872586334</v>
      </c>
      <c r="AS115">
        <f>'2026_Fantasy_Hitters'!V196</f>
        <v>0.24179759544532436</v>
      </c>
      <c r="AT115">
        <f>'2026_Fantasy_Hitters'!W196</f>
        <v>0.32568478958587999</v>
      </c>
      <c r="AU115">
        <f>'2026_Fantasy_Hitters'!X196</f>
        <v>0.44507734210136124</v>
      </c>
      <c r="AV115">
        <f>'2026_Fantasy_Hitters'!Y196</f>
        <v>0.77076213168724128</v>
      </c>
      <c r="AW115">
        <f>'2026_Fantasy_Hitters'!Z196</f>
        <v>0.28220000000000001</v>
      </c>
      <c r="AX115">
        <f>'2026_Fantasy_Hitters'!AA196</f>
        <v>0.24610000000000001</v>
      </c>
      <c r="AY115">
        <f>'2026_Fantasy_Hitters'!AB196</f>
        <v>9.8900000000000002E-2</v>
      </c>
      <c r="AZ115">
        <f t="shared" si="43"/>
        <v>4.3798669999999998E-2</v>
      </c>
    </row>
    <row r="116" spans="1:52">
      <c r="A116" t="s">
        <v>779</v>
      </c>
      <c r="B116" t="s">
        <v>123</v>
      </c>
      <c r="C116" t="s">
        <v>87</v>
      </c>
      <c r="D116">
        <v>428</v>
      </c>
      <c r="E116">
        <v>484</v>
      </c>
      <c r="F116" s="6">
        <f t="shared" si="22"/>
        <v>-0.74687215694297393</v>
      </c>
      <c r="G116" s="5">
        <f t="shared" si="23"/>
        <v>-0.49139561561710243</v>
      </c>
      <c r="H116" s="5">
        <f t="shared" si="24"/>
        <v>-0.22080781964746607</v>
      </c>
      <c r="I116" s="5">
        <f t="shared" si="25"/>
        <v>-0.12775741654075953</v>
      </c>
      <c r="J116" s="5">
        <f t="shared" si="26"/>
        <v>-0.15755788244401231</v>
      </c>
      <c r="K116" s="5">
        <f t="shared" si="27"/>
        <v>-7.2289982994579255E-2</v>
      </c>
      <c r="L116" s="5">
        <f t="shared" si="28"/>
        <v>-0.29884706479581885</v>
      </c>
      <c r="M116" s="5">
        <f t="shared" si="29"/>
        <v>1.1128896056796205</v>
      </c>
      <c r="N116" s="5">
        <f t="shared" si="30"/>
        <v>0.28933837763353148</v>
      </c>
      <c r="O116" s="5">
        <f t="shared" si="31"/>
        <v>-0.95178641126521213</v>
      </c>
      <c r="P116" s="1">
        <f t="shared" si="32"/>
        <v>0.17134205304882483</v>
      </c>
      <c r="R116">
        <f t="shared" si="33"/>
        <v>88.382964703474428</v>
      </c>
      <c r="S116">
        <f t="shared" si="34"/>
        <v>95.50384820959512</v>
      </c>
      <c r="T116">
        <f t="shared" si="35"/>
        <v>94.348544269747393</v>
      </c>
      <c r="U116">
        <f t="shared" si="36"/>
        <v>95.946180826423742</v>
      </c>
      <c r="V116">
        <f t="shared" si="37"/>
        <v>97.383744387900492</v>
      </c>
      <c r="W116">
        <f t="shared" si="38"/>
        <v>85.46992250895164</v>
      </c>
      <c r="X116">
        <f t="shared" si="39"/>
        <v>107.34489844379522</v>
      </c>
      <c r="Y116">
        <f t="shared" si="40"/>
        <v>103.18122348543056</v>
      </c>
      <c r="Z116">
        <f t="shared" si="41"/>
        <v>12.483928723129921</v>
      </c>
      <c r="AA116">
        <f t="shared" si="42"/>
        <v>106.22305959445384</v>
      </c>
      <c r="AC116">
        <f>'2026_Fantasy_Hitters'!F116</f>
        <v>115.44540980016801</v>
      </c>
      <c r="AD116">
        <f>'2026_Fantasy_Hitters'!G116</f>
        <v>77.599387506487659</v>
      </c>
      <c r="AE116">
        <f>'2026_Fantasy_Hitters'!H116</f>
        <v>19.036210999920243</v>
      </c>
      <c r="AF116">
        <f>'2026_Fantasy_Hitters'!I116</f>
        <v>0.26257558237834122</v>
      </c>
      <c r="AG116">
        <f>'2026_Fantasy_Hitters'!J116</f>
        <v>17.767218920000001</v>
      </c>
      <c r="AH116">
        <f>'2026_Fantasy_Hitters'!K116</f>
        <v>59.244813278008117</v>
      </c>
      <c r="AI116">
        <f>'2026_Fantasy_Hitters'!L116</f>
        <v>62.999999999999829</v>
      </c>
      <c r="AJ116">
        <f>'2026_Fantasy_Hitters'!M116</f>
        <v>45.738</v>
      </c>
      <c r="AK116">
        <f>'2026_Fantasy_Hitters'!N116</f>
        <v>1.9679101199999998</v>
      </c>
      <c r="AL116">
        <f>'2026_Fantasy_Hitters'!O116</f>
        <v>59.023800000000001</v>
      </c>
      <c r="AM116">
        <f>'2026_Fantasy_Hitters'!P116</f>
        <v>4.9186741999999999</v>
      </c>
      <c r="AN116">
        <f>'2026_Fantasy_Hitters'!Q116</f>
        <v>5.02074496</v>
      </c>
      <c r="AO116">
        <f>'2026_Fantasy_Hitters'!R116</f>
        <v>0</v>
      </c>
      <c r="AP116">
        <f>'2026_Fantasy_Hitters'!S116</f>
        <v>0.99444575999999996</v>
      </c>
      <c r="AQ116">
        <f>'2026_Fantasy_Hitters'!T116</f>
        <v>0</v>
      </c>
      <c r="AR116">
        <f>'2026_Fantasy_Hitters'!U116</f>
        <v>0.99444575999999996</v>
      </c>
      <c r="AS116">
        <f>'2026_Fantasy_Hitters'!V116</f>
        <v>0.26973226588824301</v>
      </c>
      <c r="AT116">
        <f>'2026_Fantasy_Hitters'!W116</f>
        <v>0.34961654891426541</v>
      </c>
      <c r="AU116">
        <f>'2026_Fantasy_Hitters'!X116</f>
        <v>0.43815049517164295</v>
      </c>
      <c r="AV116">
        <f>'2026_Fantasy_Hitters'!Y116</f>
        <v>0.78776704408590836</v>
      </c>
      <c r="AW116">
        <f>'2026_Fantasy_Hitters'!Z116</f>
        <v>0.2742</v>
      </c>
      <c r="AX116">
        <f>'2026_Fantasy_Hitters'!AA116</f>
        <v>0.12195</v>
      </c>
      <c r="AY116">
        <f>'2026_Fantasy_Hitters'!AB116</f>
        <v>9.4500000000000001E-2</v>
      </c>
      <c r="AZ116">
        <f t="shared" si="43"/>
        <v>3.670913E-2</v>
      </c>
    </row>
    <row r="117" spans="1:52">
      <c r="A117" s="1" t="s">
        <v>1374</v>
      </c>
      <c r="B117" t="s">
        <v>376</v>
      </c>
      <c r="C117" t="s">
        <v>20</v>
      </c>
      <c r="D117">
        <v>446</v>
      </c>
      <c r="E117">
        <v>478</v>
      </c>
      <c r="F117" s="6">
        <f t="shared" si="22"/>
        <v>-0.78182844706287169</v>
      </c>
      <c r="G117" s="5">
        <f t="shared" si="23"/>
        <v>-0.36446338471245765</v>
      </c>
      <c r="H117" s="5">
        <f t="shared" si="24"/>
        <v>-0.27751047817768371</v>
      </c>
      <c r="I117" s="5">
        <f t="shared" si="25"/>
        <v>0.14935440711472575</v>
      </c>
      <c r="J117" s="5">
        <f t="shared" si="26"/>
        <v>-3.9173912087262446E-2</v>
      </c>
      <c r="K117" s="5">
        <f t="shared" si="27"/>
        <v>-1.1826924123155922</v>
      </c>
      <c r="L117" s="5">
        <f t="shared" si="28"/>
        <v>-0.62176824938740838</v>
      </c>
      <c r="M117" s="5">
        <f t="shared" si="29"/>
        <v>0.26776695651179377</v>
      </c>
      <c r="N117" s="5">
        <f t="shared" si="30"/>
        <v>0.94788972898350576</v>
      </c>
      <c r="O117" s="5">
        <f t="shared" si="31"/>
        <v>-0.25404503429811948</v>
      </c>
      <c r="P117" s="1">
        <f t="shared" si="32"/>
        <v>0.59281393130562698</v>
      </c>
      <c r="R117">
        <f t="shared" si="33"/>
        <v>91.383757058599926</v>
      </c>
      <c r="S117">
        <f t="shared" si="34"/>
        <v>94.349252506968313</v>
      </c>
      <c r="T117">
        <f t="shared" si="35"/>
        <v>106.60681659649661</v>
      </c>
      <c r="U117">
        <f t="shared" si="36"/>
        <v>98.992091328849895</v>
      </c>
      <c r="V117">
        <f t="shared" si="37"/>
        <v>57.197034320232717</v>
      </c>
      <c r="W117">
        <f t="shared" si="38"/>
        <v>69.769350583232097</v>
      </c>
      <c r="X117">
        <f t="shared" si="39"/>
        <v>101.76722029943144</v>
      </c>
      <c r="Y117">
        <f t="shared" si="40"/>
        <v>110.4218772915776</v>
      </c>
      <c r="Z117">
        <f t="shared" si="41"/>
        <v>76.640743063756588</v>
      </c>
      <c r="AA117">
        <f t="shared" si="42"/>
        <v>121.53071214739153</v>
      </c>
      <c r="AC117">
        <f>'2026_Fantasy_Hitters'!F203</f>
        <v>114.04973018576402</v>
      </c>
      <c r="AD117">
        <f>'2026_Fantasy_Hitters'!G203</f>
        <v>65.614523592457459</v>
      </c>
      <c r="AE117">
        <f>'2026_Fantasy_Hitters'!H203</f>
        <v>23.884721085128199</v>
      </c>
      <c r="AF117">
        <f>'2026_Fantasy_Hitters'!I203</f>
        <v>5.1472385735159047</v>
      </c>
      <c r="AG117">
        <f>'2026_Fantasy_Hitters'!J203</f>
        <v>20.075631940000001</v>
      </c>
      <c r="AH117">
        <f>'2026_Fantasy_Hitters'!K203</f>
        <v>61.256302521008081</v>
      </c>
      <c r="AI117">
        <f>'2026_Fantasy_Hitters'!L203</f>
        <v>64.999999999999829</v>
      </c>
      <c r="AJ117">
        <f>'2026_Fantasy_Hitters'!M203</f>
        <v>26.863600000000002</v>
      </c>
      <c r="AK117">
        <f>'2026_Fantasy_Hitters'!N203</f>
        <v>0.98226131999999999</v>
      </c>
      <c r="AL117">
        <f>'2026_Fantasy_Hitters'!O203</f>
        <v>117.9704</v>
      </c>
      <c r="AM117">
        <f>'2026_Fantasy_Hitters'!P203</f>
        <v>4.0151282999999998</v>
      </c>
      <c r="AN117">
        <f>'2026_Fantasy_Hitters'!Q203</f>
        <v>3.0126045599999998</v>
      </c>
      <c r="AO117">
        <f>'2026_Fantasy_Hitters'!R203</f>
        <v>0</v>
      </c>
      <c r="AP117">
        <f>'2026_Fantasy_Hitters'!S203</f>
        <v>9.1887756400000011</v>
      </c>
      <c r="AQ117">
        <f>'2026_Fantasy_Hitters'!T203</f>
        <v>3.0837213999999999</v>
      </c>
      <c r="AR117">
        <f>'2026_Fantasy_Hitters'!U203</f>
        <v>6.1050542400000012</v>
      </c>
      <c r="AS117">
        <f>'2026_Fantasy_Hitters'!V203</f>
        <v>0.25571688382458302</v>
      </c>
      <c r="AT117">
        <f>'2026_Fantasy_Hitters'!W203</f>
        <v>0.30598328486524545</v>
      </c>
      <c r="AU117">
        <f>'2026_Fantasy_Hitters'!X203</f>
        <v>0.46889733014184209</v>
      </c>
      <c r="AV117">
        <f>'2026_Fantasy_Hitters'!Y203</f>
        <v>0.77488061500708749</v>
      </c>
      <c r="AW117">
        <f>'2026_Fantasy_Hitters'!Z203</f>
        <v>0.30220000000000002</v>
      </c>
      <c r="AX117">
        <f>'2026_Fantasy_Hitters'!AA203</f>
        <v>0.24679999999999999</v>
      </c>
      <c r="AY117">
        <f>'2026_Fantasy_Hitters'!AB203</f>
        <v>5.62E-2</v>
      </c>
      <c r="AZ117">
        <f t="shared" si="43"/>
        <v>4.1999230000000005E-2</v>
      </c>
    </row>
    <row r="118" spans="1:52">
      <c r="A118" s="1" t="s">
        <v>1373</v>
      </c>
      <c r="B118" t="s">
        <v>58</v>
      </c>
      <c r="C118" t="s">
        <v>124</v>
      </c>
      <c r="D118">
        <v>431</v>
      </c>
      <c r="E118">
        <v>476</v>
      </c>
      <c r="F118" s="6">
        <f t="shared" si="22"/>
        <v>-0.83692541667113585</v>
      </c>
      <c r="G118" s="5">
        <f t="shared" si="23"/>
        <v>-0.53109422391081518</v>
      </c>
      <c r="H118" s="5">
        <f t="shared" si="24"/>
        <v>-0.20028838105517308</v>
      </c>
      <c r="I118" s="5">
        <f t="shared" si="25"/>
        <v>-7.9168646058377104E-2</v>
      </c>
      <c r="J118" s="5">
        <f t="shared" si="26"/>
        <v>-0.15755788244401836</v>
      </c>
      <c r="K118" s="5">
        <f t="shared" si="27"/>
        <v>-0.70484237777584569</v>
      </c>
      <c r="L118" s="5">
        <f t="shared" si="28"/>
        <v>-0.61351636143887789</v>
      </c>
      <c r="M118" s="5">
        <f t="shared" si="29"/>
        <v>1.07033970953168</v>
      </c>
      <c r="N118" s="5">
        <f t="shared" si="30"/>
        <v>0.5197524627580572</v>
      </c>
      <c r="O118" s="5">
        <f t="shared" si="31"/>
        <v>-0.42879342945540211</v>
      </c>
      <c r="P118" s="1">
        <f t="shared" si="32"/>
        <v>0.2882437131776362</v>
      </c>
      <c r="R118">
        <f t="shared" si="33"/>
        <v>87.444453819139724</v>
      </c>
      <c r="S118">
        <f t="shared" si="34"/>
        <v>95.921670869644657</v>
      </c>
      <c r="T118">
        <f t="shared" si="35"/>
        <v>96.497909001782233</v>
      </c>
      <c r="U118">
        <f t="shared" si="36"/>
        <v>95.946180826423586</v>
      </c>
      <c r="V118">
        <f t="shared" si="37"/>
        <v>74.490963338035911</v>
      </c>
      <c r="W118">
        <f t="shared" si="38"/>
        <v>70.170561053281432</v>
      </c>
      <c r="X118">
        <f t="shared" si="39"/>
        <v>107.06407574187969</v>
      </c>
      <c r="Y118">
        <f t="shared" si="40"/>
        <v>105.71458495986504</v>
      </c>
      <c r="Z118">
        <f t="shared" si="41"/>
        <v>60.572754673615577</v>
      </c>
      <c r="AA118">
        <f t="shared" si="42"/>
        <v>110.46887073496158</v>
      </c>
      <c r="AC118">
        <f>'2026_Fantasy_Hitters'!F193</f>
        <v>115.95047539823014</v>
      </c>
      <c r="AD118">
        <f>'2026_Fantasy_Hitters'!G193</f>
        <v>73.564930139125977</v>
      </c>
      <c r="AE118">
        <f>'2026_Fantasy_Hitters'!H193</f>
        <v>23.386495565322083</v>
      </c>
      <c r="AF118">
        <f>'2026_Fantasy_Hitters'!I193</f>
        <v>0.1512036938081403</v>
      </c>
      <c r="AG118">
        <f>'2026_Fantasy_Hitters'!J193</f>
        <v>18.171975920000001</v>
      </c>
      <c r="AH118">
        <f>'2026_Fantasy_Hitters'!K193</f>
        <v>58.615711252653654</v>
      </c>
      <c r="AI118">
        <f>'2026_Fantasy_Hitters'!L193</f>
        <v>62.999999999999723</v>
      </c>
      <c r="AJ118">
        <f>'2026_Fantasy_Hitters'!M193</f>
        <v>34.985999999999997</v>
      </c>
      <c r="AK118">
        <f>'2026_Fantasy_Hitters'!N193</f>
        <v>0.15159172000000001</v>
      </c>
      <c r="AL118">
        <f>'2026_Fantasy_Hitters'!O193</f>
        <v>89.797399999999527</v>
      </c>
      <c r="AM118">
        <f>'2026_Fantasy_Hitters'!P193</f>
        <v>4.0382174000000006</v>
      </c>
      <c r="AN118">
        <f>'2026_Fantasy_Hitters'!Q193</f>
        <v>4.0424633199999995</v>
      </c>
      <c r="AO118">
        <f>'2026_Fantasy_Hitters'!R193</f>
        <v>0</v>
      </c>
      <c r="AP118">
        <f>'2026_Fantasy_Hitters'!S193</f>
        <v>6.9027777777777279</v>
      </c>
      <c r="AQ118">
        <f>'2026_Fantasy_Hitters'!T193</f>
        <v>2.0776686</v>
      </c>
      <c r="AR118">
        <f>'2026_Fantasy_Hitters'!U193</f>
        <v>4.825109177777728</v>
      </c>
      <c r="AS118">
        <f>'2026_Fantasy_Hitters'!V193</f>
        <v>0.26902662505389824</v>
      </c>
      <c r="AT118">
        <f>'2026_Fantasy_Hitters'!W193</f>
        <v>0.32992952987985197</v>
      </c>
      <c r="AU118">
        <f>'2026_Fantasy_Hitters'!X193</f>
        <v>0.44890820424871125</v>
      </c>
      <c r="AV118">
        <f>'2026_Fantasy_Hitters'!Y193</f>
        <v>0.77883773412856327</v>
      </c>
      <c r="AW118">
        <f>'2026_Fantasy_Hitters'!Z193</f>
        <v>0.29894999999999999</v>
      </c>
      <c r="AX118">
        <f>'2026_Fantasy_Hitters'!AA193</f>
        <v>0.18864999999999901</v>
      </c>
      <c r="AY118">
        <f>'2026_Fantasy_Hitters'!AB193</f>
        <v>7.3499999999999996E-2</v>
      </c>
      <c r="AZ118">
        <f t="shared" si="43"/>
        <v>3.8176420000000003E-2</v>
      </c>
    </row>
    <row r="119" spans="1:52">
      <c r="A119" t="s">
        <v>1081</v>
      </c>
      <c r="B119" t="s">
        <v>107</v>
      </c>
      <c r="C119" t="s">
        <v>20</v>
      </c>
      <c r="D119">
        <v>458</v>
      </c>
      <c r="E119">
        <v>518</v>
      </c>
      <c r="F119" s="6">
        <f t="shared" si="22"/>
        <v>-0.87351206789827807</v>
      </c>
      <c r="G119" s="5">
        <f t="shared" si="23"/>
        <v>-5.7063173411024154E-2</v>
      </c>
      <c r="H119" s="5">
        <f t="shared" si="24"/>
        <v>-0.64810964394043402</v>
      </c>
      <c r="I119" s="5">
        <f t="shared" si="25"/>
        <v>0.26470774020542731</v>
      </c>
      <c r="J119" s="5">
        <f t="shared" si="26"/>
        <v>-0.21674986762239881</v>
      </c>
      <c r="K119" s="5">
        <f t="shared" si="27"/>
        <v>6.797521600444395E-2</v>
      </c>
      <c r="L119" s="5">
        <f t="shared" si="28"/>
        <v>0.44936012967623079</v>
      </c>
      <c r="M119" s="5">
        <f t="shared" si="29"/>
        <v>-1.3372218720973195</v>
      </c>
      <c r="N119" s="5">
        <f t="shared" si="30"/>
        <v>-0.14455437932340562</v>
      </c>
      <c r="O119" s="5">
        <f t="shared" si="31"/>
        <v>0.26592389369429026</v>
      </c>
      <c r="P119" s="1">
        <f t="shared" si="32"/>
        <v>0.48221988891591161</v>
      </c>
      <c r="R119">
        <f t="shared" si="33"/>
        <v>98.65097514389673</v>
      </c>
      <c r="S119">
        <f t="shared" si="34"/>
        <v>86.803006611659512</v>
      </c>
      <c r="T119">
        <f t="shared" si="35"/>
        <v>111.70956736393411</v>
      </c>
      <c r="U119">
        <f t="shared" si="36"/>
        <v>94.423225575210367</v>
      </c>
      <c r="V119">
        <f t="shared" si="37"/>
        <v>102.46009935247334</v>
      </c>
      <c r="W119">
        <f t="shared" si="38"/>
        <v>121.84808979149295</v>
      </c>
      <c r="X119">
        <f t="shared" si="39"/>
        <v>91.174543461228126</v>
      </c>
      <c r="Y119">
        <f t="shared" si="40"/>
        <v>98.410650567039724</v>
      </c>
      <c r="Z119">
        <f t="shared" si="41"/>
        <v>124.45150945560988</v>
      </c>
      <c r="AA119">
        <f t="shared" si="42"/>
        <v>117.51399059925748</v>
      </c>
      <c r="AC119">
        <f>'2026_Fantasy_Hitters'!F168</f>
        <v>104.92779985344015</v>
      </c>
      <c r="AD119">
        <f>'2026_Fantasy_Hitters'!G168</f>
        <v>60.030611112104545</v>
      </c>
      <c r="AE119">
        <f>'2026_Fantasy_Hitters'!H168</f>
        <v>22.037695781082256</v>
      </c>
      <c r="AF119">
        <f>'2026_Fantasy_Hitters'!I168</f>
        <v>1.0475375731411618</v>
      </c>
      <c r="AG119">
        <f>'2026_Fantasy_Hitters'!J168</f>
        <v>21.036554979999998</v>
      </c>
      <c r="AH119">
        <f>'2026_Fantasy_Hitters'!K168</f>
        <v>66.127659574468041</v>
      </c>
      <c r="AI119">
        <f>'2026_Fantasy_Hitters'!L168</f>
        <v>61.999999999999638</v>
      </c>
      <c r="AJ119">
        <f>'2026_Fantasy_Hitters'!M168</f>
        <v>48.122199999999999</v>
      </c>
      <c r="AK119">
        <f>'2026_Fantasy_Hitters'!N168</f>
        <v>1.1608535400000002</v>
      </c>
      <c r="AL119">
        <f>'2026_Fantasy_Hitters'!O168</f>
        <v>161.53829999999948</v>
      </c>
      <c r="AM119">
        <f>'2026_Fantasy_Hitters'!P168</f>
        <v>7.0121867199999999</v>
      </c>
      <c r="AN119">
        <f>'2026_Fantasy_Hitters'!Q168</f>
        <v>3.0058037799999999</v>
      </c>
      <c r="AO119">
        <f>'2026_Fantasy_Hitters'!R168</f>
        <v>0.89999909999999994</v>
      </c>
      <c r="AP119">
        <f>'2026_Fantasy_Hitters'!S168</f>
        <v>13.044520547945144</v>
      </c>
      <c r="AQ119">
        <f>'2026_Fantasy_Hitters'!T168</f>
        <v>3.1309525799999998</v>
      </c>
      <c r="AR119">
        <f>'2026_Fantasy_Hitters'!U168</f>
        <v>9.9135679679451449</v>
      </c>
      <c r="AS119">
        <f>'2026_Fantasy_Hitters'!V168</f>
        <v>0.22909999968000033</v>
      </c>
      <c r="AT119">
        <f>'2026_Fantasy_Hitters'!W168</f>
        <v>0.31594466114775033</v>
      </c>
      <c r="AU119">
        <f>'2026_Fantasy_Hitters'!X168</f>
        <v>0.41789265352334615</v>
      </c>
      <c r="AV119">
        <f>'2026_Fantasy_Hitters'!Y168</f>
        <v>0.73383731467109647</v>
      </c>
      <c r="AW119">
        <f>'2026_Fantasy_Hitters'!Z168</f>
        <v>0.30130000000000001</v>
      </c>
      <c r="AX119">
        <f>'2026_Fantasy_Hitters'!AA168</f>
        <v>0.31184999999999902</v>
      </c>
      <c r="AY119">
        <f>'2026_Fantasy_Hitters'!AB168</f>
        <v>9.2899999999999996E-2</v>
      </c>
      <c r="AZ119">
        <f t="shared" si="43"/>
        <v>4.0611109999999999E-2</v>
      </c>
    </row>
    <row r="120" spans="1:52">
      <c r="A120" t="s">
        <v>1138</v>
      </c>
      <c r="B120" t="s">
        <v>248</v>
      </c>
      <c r="C120" t="s">
        <v>20</v>
      </c>
      <c r="D120">
        <v>513</v>
      </c>
      <c r="E120">
        <v>565</v>
      </c>
      <c r="F120" s="6">
        <f t="shared" si="22"/>
        <v>-0.88440176629961176</v>
      </c>
      <c r="G120" s="5">
        <f t="shared" si="23"/>
        <v>-3.9215663483970528E-2</v>
      </c>
      <c r="H120" s="5">
        <f t="shared" si="24"/>
        <v>4.9309120920884804E-2</v>
      </c>
      <c r="I120" s="5">
        <f t="shared" si="25"/>
        <v>-0.30239084355937734</v>
      </c>
      <c r="J120" s="5">
        <f t="shared" si="26"/>
        <v>-0.33513383797915142</v>
      </c>
      <c r="K120" s="5">
        <f t="shared" si="27"/>
        <v>-0.55267563957813848</v>
      </c>
      <c r="L120" s="5">
        <f t="shared" si="28"/>
        <v>0.89397588016855456</v>
      </c>
      <c r="M120" s="5">
        <f t="shared" si="29"/>
        <v>-0.80054673273539589</v>
      </c>
      <c r="N120" s="5">
        <f t="shared" si="30"/>
        <v>-0.68077876429554862</v>
      </c>
      <c r="O120" s="5">
        <f t="shared" si="31"/>
        <v>1.3361396166978119</v>
      </c>
      <c r="P120" s="1">
        <f t="shared" si="32"/>
        <v>-0.4530849024552806</v>
      </c>
      <c r="R120">
        <f t="shared" si="33"/>
        <v>99.072906366293367</v>
      </c>
      <c r="S120">
        <f t="shared" si="34"/>
        <v>101.00404638144478</v>
      </c>
      <c r="T120">
        <f t="shared" si="35"/>
        <v>86.623489172823426</v>
      </c>
      <c r="U120">
        <f t="shared" si="36"/>
        <v>91.377315072784143</v>
      </c>
      <c r="V120">
        <f t="shared" si="37"/>
        <v>79.998048362726649</v>
      </c>
      <c r="W120">
        <f t="shared" si="38"/>
        <v>143.4655057524225</v>
      </c>
      <c r="X120">
        <f t="shared" si="39"/>
        <v>94.716515976566484</v>
      </c>
      <c r="Y120">
        <f t="shared" si="40"/>
        <v>92.514959781441348</v>
      </c>
      <c r="Z120">
        <f t="shared" si="41"/>
        <v>222.85707018587848</v>
      </c>
      <c r="AA120">
        <f t="shared" si="42"/>
        <v>83.544177864362382</v>
      </c>
      <c r="AC120">
        <f>'2026_Fantasy_Hitters'!F178</f>
        <v>122.09406997287427</v>
      </c>
      <c r="AD120">
        <f>'2026_Fantasy_Hitters'!G178</f>
        <v>80.179806301317456</v>
      </c>
      <c r="AE120">
        <f>'2026_Fantasy_Hitters'!H178</f>
        <v>22.486535490909208</v>
      </c>
      <c r="AF120">
        <f>'2026_Fantasy_Hitters'!I178</f>
        <v>3.7109671618544469</v>
      </c>
      <c r="AG120">
        <f>'2026_Fantasy_Hitters'!J178</f>
        <v>16.312477396021663</v>
      </c>
      <c r="AH120">
        <f>'2026_Fantasy_Hitters'!K178</f>
        <v>66.410488245931106</v>
      </c>
      <c r="AI120">
        <f>'2026_Fantasy_Hitters'!L178</f>
        <v>59.999999999999588</v>
      </c>
      <c r="AJ120">
        <f>'2026_Fantasy_Hitters'!M178</f>
        <v>37.572500000000005</v>
      </c>
      <c r="AK120">
        <f>'2026_Fantasy_Hitters'!N178</f>
        <v>0.15325625000000001</v>
      </c>
      <c r="AL120">
        <f>'2026_Fantasy_Hitters'!O178</f>
        <v>125.06274999999999</v>
      </c>
      <c r="AM120">
        <f>'2026_Fantasy_Hitters'!P178</f>
        <v>8.2562386980108151</v>
      </c>
      <c r="AN120">
        <f>'2026_Fantasy_Hitters'!Q178</f>
        <v>4.08679755</v>
      </c>
      <c r="AO120">
        <f>'2026_Fantasy_Hitters'!R178</f>
        <v>0</v>
      </c>
      <c r="AP120">
        <f>'2026_Fantasy_Hitters'!S178</f>
        <v>24.922268649999999</v>
      </c>
      <c r="AQ120">
        <f>'2026_Fantasy_Hitters'!T178</f>
        <v>7.1699029126213176</v>
      </c>
      <c r="AR120">
        <f>'2026_Fantasy_Hitters'!U178</f>
        <v>17.752365737378682</v>
      </c>
      <c r="AS120">
        <f>'2026_Fantasy_Hitters'!V178</f>
        <v>0.23800013639936504</v>
      </c>
      <c r="AT120">
        <f>'2026_Fantasy_Hitters'!W178</f>
        <v>0.30294207254270866</v>
      </c>
      <c r="AU120">
        <f>'2026_Fantasy_Hitters'!X178</f>
        <v>0.39285709230562543</v>
      </c>
      <c r="AV120">
        <f>'2026_Fantasy_Hitters'!Y178</f>
        <v>0.69579916484833415</v>
      </c>
      <c r="AW120">
        <f>'2026_Fantasy_Hitters'!Z178</f>
        <v>0.28155000000000002</v>
      </c>
      <c r="AX120">
        <f>'2026_Fantasy_Hitters'!AA178</f>
        <v>0.22134999999999999</v>
      </c>
      <c r="AY120">
        <f>'2026_Fantasy_Hitters'!AB178</f>
        <v>6.6500000000000004E-2</v>
      </c>
      <c r="AZ120">
        <f t="shared" si="43"/>
        <v>2.8871641408887899E-2</v>
      </c>
    </row>
    <row r="121" spans="1:52">
      <c r="A121" t="s">
        <v>667</v>
      </c>
      <c r="B121" t="s">
        <v>257</v>
      </c>
      <c r="C121" t="s">
        <v>467</v>
      </c>
      <c r="D121">
        <v>520</v>
      </c>
      <c r="E121">
        <v>558</v>
      </c>
      <c r="F121" s="6">
        <f t="shared" si="22"/>
        <v>-0.89585034173789668</v>
      </c>
      <c r="G121" s="5">
        <f t="shared" si="23"/>
        <v>8.3007251617450414E-2</v>
      </c>
      <c r="H121" s="5">
        <f t="shared" si="24"/>
        <v>0.42577302699384756</v>
      </c>
      <c r="I121" s="5">
        <f t="shared" si="25"/>
        <v>-0.30513992716319627</v>
      </c>
      <c r="J121" s="5">
        <f t="shared" si="26"/>
        <v>-0.15755788244402225</v>
      </c>
      <c r="K121" s="5">
        <f t="shared" si="27"/>
        <v>-1.3219692481977732</v>
      </c>
      <c r="L121" s="5">
        <f t="shared" si="28"/>
        <v>0.16216093480140725</v>
      </c>
      <c r="M121" s="5">
        <f t="shared" si="29"/>
        <v>8.078880947951271E-2</v>
      </c>
      <c r="N121" s="5">
        <f t="shared" si="30"/>
        <v>-0.27351307679926656</v>
      </c>
      <c r="O121" s="5">
        <f t="shared" si="31"/>
        <v>0.83809818070043218</v>
      </c>
      <c r="P121" s="1">
        <f t="shared" si="32"/>
        <v>-0.4274984107262883</v>
      </c>
      <c r="R121">
        <f t="shared" si="33"/>
        <v>101.96236625085982</v>
      </c>
      <c r="S121">
        <f t="shared" si="34"/>
        <v>108.66971179137096</v>
      </c>
      <c r="T121">
        <f t="shared" si="35"/>
        <v>86.501881169887724</v>
      </c>
      <c r="U121">
        <f t="shared" si="36"/>
        <v>95.946180826423486</v>
      </c>
      <c r="V121">
        <f t="shared" si="37"/>
        <v>52.156449326050165</v>
      </c>
      <c r="W121">
        <f t="shared" si="38"/>
        <v>107.88433692763593</v>
      </c>
      <c r="X121">
        <f t="shared" si="39"/>
        <v>100.53319358721102</v>
      </c>
      <c r="Y121">
        <f t="shared" si="40"/>
        <v>96.992772854390196</v>
      </c>
      <c r="Z121">
        <f t="shared" si="41"/>
        <v>177.06252080410954</v>
      </c>
      <c r="AA121">
        <f t="shared" si="42"/>
        <v>84.473466734253208</v>
      </c>
      <c r="AC121">
        <f>'2026_Fantasy_Hitters'!F97</f>
        <v>131.360355062222</v>
      </c>
      <c r="AD121">
        <f>'2026_Fantasy_Hitters'!G97</f>
        <v>84.941978630020259</v>
      </c>
      <c r="AE121">
        <f>'2026_Fantasy_Hitters'!H97</f>
        <v>26.268389419774252</v>
      </c>
      <c r="AF121">
        <f>'2026_Fantasy_Hitters'!I97</f>
        <v>3.8454157052662734</v>
      </c>
      <c r="AG121">
        <f>'2026_Fantasy_Hitters'!J97</f>
        <v>16.289576820000001</v>
      </c>
      <c r="AH121">
        <f>'2026_Fantasy_Hitters'!K97</f>
        <v>68.347349177330756</v>
      </c>
      <c r="AI121">
        <f>'2026_Fantasy_Hitters'!L97</f>
        <v>62.999999999999659</v>
      </c>
      <c r="AJ121">
        <f>'2026_Fantasy_Hitters'!M97</f>
        <v>24.496199999999941</v>
      </c>
      <c r="AK121">
        <f>'2026_Fantasy_Hitters'!N97</f>
        <v>0.25301393999999999</v>
      </c>
      <c r="AL121">
        <f>'2026_Fantasy_Hitters'!O97</f>
        <v>117.65430000000001</v>
      </c>
      <c r="AM121">
        <f>'2026_Fantasy_Hitters'!P97</f>
        <v>6.2085923217549777</v>
      </c>
      <c r="AN121">
        <f>'2026_Fantasy_Hitters'!Q97</f>
        <v>4.0804363800000001</v>
      </c>
      <c r="AO121">
        <f>'2026_Fantasy_Hitters'!R97</f>
        <v>1.9832491800000001</v>
      </c>
      <c r="AP121">
        <f>'2026_Fantasy_Hitters'!S97</f>
        <v>20.26847394</v>
      </c>
      <c r="AQ121">
        <f>'2026_Fantasy_Hitters'!T97</f>
        <v>6.1640139600000001</v>
      </c>
      <c r="AR121">
        <f>'2026_Fantasy_Hitters'!U97</f>
        <v>14.10445998</v>
      </c>
      <c r="AS121">
        <f>'2026_Fantasy_Hitters'!V97</f>
        <v>0.25261606742734999</v>
      </c>
      <c r="AT121">
        <f>'2026_Fantasy_Hitters'!W97</f>
        <v>0.29575326557035658</v>
      </c>
      <c r="AU121">
        <f>'2026_Fantasy_Hitters'!X97</f>
        <v>0.41187175358724537</v>
      </c>
      <c r="AV121">
        <f>'2026_Fantasy_Hitters'!Y97</f>
        <v>0.7076250191576019</v>
      </c>
      <c r="AW121">
        <f>'2026_Fantasy_Hitters'!Z97</f>
        <v>0.29494999999999999</v>
      </c>
      <c r="AX121">
        <f>'2026_Fantasy_Hitters'!AA97</f>
        <v>0.21085000000000001</v>
      </c>
      <c r="AY121">
        <f>'2026_Fantasy_Hitters'!AB97</f>
        <v>4.3899999999999897E-2</v>
      </c>
      <c r="AZ121">
        <f t="shared" si="43"/>
        <v>2.919279E-2</v>
      </c>
    </row>
    <row r="122" spans="1:52">
      <c r="A122" t="s">
        <v>703</v>
      </c>
      <c r="B122" t="s">
        <v>107</v>
      </c>
      <c r="C122" t="s">
        <v>87</v>
      </c>
      <c r="D122">
        <v>492</v>
      </c>
      <c r="E122">
        <v>560</v>
      </c>
      <c r="F122" s="6">
        <f t="shared" si="22"/>
        <v>-1.1732169866586857</v>
      </c>
      <c r="G122" s="5">
        <f t="shared" si="23"/>
        <v>-1.7061400456694673E-2</v>
      </c>
      <c r="H122" s="5">
        <f t="shared" si="24"/>
        <v>0.13097226271982498</v>
      </c>
      <c r="I122" s="5">
        <f t="shared" si="25"/>
        <v>-0.11873831066310545</v>
      </c>
      <c r="J122" s="5">
        <f t="shared" si="26"/>
        <v>-9.8365897265636271E-2</v>
      </c>
      <c r="K122" s="5">
        <f t="shared" si="27"/>
        <v>0.81806045809724892</v>
      </c>
      <c r="L122" s="5">
        <f t="shared" si="28"/>
        <v>-0.66749267418874669</v>
      </c>
      <c r="M122" s="5">
        <f t="shared" si="29"/>
        <v>5.8362966521155378E-2</v>
      </c>
      <c r="N122" s="5">
        <f t="shared" si="30"/>
        <v>-0.11267414262679304</v>
      </c>
      <c r="O122" s="5">
        <f t="shared" si="31"/>
        <v>-0.951390064893754</v>
      </c>
      <c r="P122" s="1">
        <f t="shared" si="32"/>
        <v>-0.21489018390218492</v>
      </c>
      <c r="R122">
        <f t="shared" si="33"/>
        <v>99.596653114080624</v>
      </c>
      <c r="S122">
        <f t="shared" si="34"/>
        <v>102.66689456225473</v>
      </c>
      <c r="T122">
        <f t="shared" si="35"/>
        <v>94.747511930288354</v>
      </c>
      <c r="U122">
        <f t="shared" si="36"/>
        <v>97.469136077636847</v>
      </c>
      <c r="V122">
        <f t="shared" si="37"/>
        <v>129.60652604793006</v>
      </c>
      <c r="W122">
        <f t="shared" si="38"/>
        <v>67.546208669320436</v>
      </c>
      <c r="X122">
        <f t="shared" si="39"/>
        <v>100.38518650887637</v>
      </c>
      <c r="Y122">
        <f t="shared" si="40"/>
        <v>98.761168042563853</v>
      </c>
      <c r="Z122">
        <f t="shared" si="41"/>
        <v>12.520372484970082</v>
      </c>
      <c r="AA122">
        <f t="shared" si="42"/>
        <v>92.195293584434083</v>
      </c>
      <c r="AC122">
        <f>'2026_Fantasy_Hitters'!F103</f>
        <v>124.10412708856001</v>
      </c>
      <c r="AD122">
        <f>'2026_Fantasy_Hitters'!G103</f>
        <v>80.696415275461007</v>
      </c>
      <c r="AE122">
        <f>'2026_Fantasy_Hitters'!H103</f>
        <v>25.240752212073616</v>
      </c>
      <c r="AF122">
        <f>'2026_Fantasy_Hitters'!I103</f>
        <v>1.2627261199384274</v>
      </c>
      <c r="AG122">
        <f>'2026_Fantasy_Hitters'!J103</f>
        <v>17.842350400000001</v>
      </c>
      <c r="AH122">
        <f>'2026_Fantasy_Hitters'!K103</f>
        <v>66.761565836298473</v>
      </c>
      <c r="AI122">
        <f>'2026_Fantasy_Hitters'!L103</f>
        <v>63.999999999999844</v>
      </c>
      <c r="AJ122">
        <f>'2026_Fantasy_Hitters'!M103</f>
        <v>60.871999999999446</v>
      </c>
      <c r="AK122">
        <f>'2026_Fantasy_Hitters'!N103</f>
        <v>1.9830327999999999</v>
      </c>
      <c r="AL122">
        <f>'2026_Fantasy_Hitters'!O103</f>
        <v>88.256</v>
      </c>
      <c r="AM122">
        <f>'2026_Fantasy_Hitters'!P103</f>
        <v>3.8871896000000001</v>
      </c>
      <c r="AN122">
        <f>'2026_Fantasy_Hitters'!Q103</f>
        <v>4.982208</v>
      </c>
      <c r="AO122">
        <f>'2026_Fantasy_Hitters'!R103</f>
        <v>0</v>
      </c>
      <c r="AP122">
        <f>'2026_Fantasy_Hitters'!S103</f>
        <v>0.99734879999999992</v>
      </c>
      <c r="AQ122">
        <f>'2026_Fantasy_Hitters'!T103</f>
        <v>0</v>
      </c>
      <c r="AR122">
        <f>'2026_Fantasy_Hitters'!U103</f>
        <v>0.99734879999999992</v>
      </c>
      <c r="AS122">
        <f>'2026_Fantasy_Hitters'!V103</f>
        <v>0.25224416074910572</v>
      </c>
      <c r="AT122">
        <f>'2026_Fantasy_Hitters'!W103</f>
        <v>0.3408961311967077</v>
      </c>
      <c r="AU122">
        <f>'2026_Fantasy_Hitters'!X103</f>
        <v>0.41938109686874703</v>
      </c>
      <c r="AV122">
        <f>'2026_Fantasy_Hitters'!Y103</f>
        <v>0.76027722806545472</v>
      </c>
      <c r="AW122">
        <f>'2026_Fantasy_Hitters'!Z103</f>
        <v>0.27184999999999998</v>
      </c>
      <c r="AX122">
        <f>'2026_Fantasy_Hitters'!AA103</f>
        <v>0.15759999999999999</v>
      </c>
      <c r="AY122">
        <f>'2026_Fantasy_Hitters'!AB103</f>
        <v>0.10869999999999901</v>
      </c>
      <c r="AZ122">
        <f t="shared" si="43"/>
        <v>3.1861340000000002E-2</v>
      </c>
    </row>
    <row r="123" spans="1:52" s="10" customFormat="1">
      <c r="A123" s="10" t="s">
        <v>774</v>
      </c>
      <c r="B123" s="10" t="s">
        <v>74</v>
      </c>
      <c r="C123" s="10" t="s">
        <v>775</v>
      </c>
      <c r="D123" s="10">
        <v>489</v>
      </c>
      <c r="E123" s="10">
        <v>551</v>
      </c>
      <c r="F123" s="11">
        <f t="shared" si="22"/>
        <v>-1.1813188380106747</v>
      </c>
      <c r="G123" s="11">
        <f t="shared" si="23"/>
        <v>-0.23266607151667909</v>
      </c>
      <c r="H123" s="11">
        <f t="shared" si="24"/>
        <v>0.35284958928784138</v>
      </c>
      <c r="I123" s="11">
        <f t="shared" si="25"/>
        <v>-0.70435055795952128</v>
      </c>
      <c r="J123" s="11">
        <f t="shared" si="26"/>
        <v>-0.57190190358771598</v>
      </c>
      <c r="K123" s="11">
        <f t="shared" si="27"/>
        <v>6.0321284962680313E-2</v>
      </c>
      <c r="L123" s="11">
        <f t="shared" si="28"/>
        <v>1.1756398844536069</v>
      </c>
      <c r="M123" s="11">
        <f t="shared" si="29"/>
        <v>0.82512081126315728</v>
      </c>
      <c r="N123" s="11">
        <f t="shared" si="30"/>
        <v>-0.52606086758899251</v>
      </c>
      <c r="O123" s="11">
        <f t="shared" si="31"/>
        <v>-0.6814660130904876</v>
      </c>
      <c r="P123" s="10">
        <f t="shared" si="32"/>
        <v>-0.87880499423456437</v>
      </c>
      <c r="R123" s="10">
        <f t="shared" si="33"/>
        <v>94.499564344466364</v>
      </c>
      <c r="S123" s="10">
        <f t="shared" si="34"/>
        <v>107.18482395756227</v>
      </c>
      <c r="T123" s="10">
        <f t="shared" si="35"/>
        <v>68.842466412765631</v>
      </c>
      <c r="U123" s="10">
        <f t="shared" si="36"/>
        <v>85.285490854496871</v>
      </c>
      <c r="V123" s="10">
        <f t="shared" si="37"/>
        <v>102.18309499843805</v>
      </c>
      <c r="W123" s="10">
        <f t="shared" si="38"/>
        <v>157.16013518268633</v>
      </c>
      <c r="X123" s="10">
        <f t="shared" si="39"/>
        <v>105.44566912266993</v>
      </c>
      <c r="Y123" s="10">
        <f t="shared" si="40"/>
        <v>94.216055262258379</v>
      </c>
      <c r="Z123" s="10">
        <f t="shared" si="41"/>
        <v>37.339693581973911</v>
      </c>
      <c r="AA123" s="10">
        <f t="shared" si="42"/>
        <v>68.082232273317857</v>
      </c>
      <c r="AC123" s="10">
        <f>'2026_Fantasy_Hitters'!F115</f>
        <v>129.56541708124016</v>
      </c>
      <c r="AD123" s="10">
        <f>'2026_Fantasy_Hitters'!G115</f>
        <v>90.078284338020879</v>
      </c>
      <c r="AE123" s="10">
        <f>'2026_Fantasy_Hitters'!H115</f>
        <v>25.380074864206691</v>
      </c>
      <c r="AF123" s="10">
        <f>'2026_Fantasy_Hitters'!I115</f>
        <v>0.98160278527145717</v>
      </c>
      <c r="AG123" s="10">
        <f>'2026_Fantasy_Hitters'!J115</f>
        <v>12.96404922</v>
      </c>
      <c r="AH123" s="10">
        <f>'2026_Fantasy_Hitters'!K115</f>
        <v>63.344888499999996</v>
      </c>
      <c r="AI123" s="10">
        <f>'2026_Fantasy_Hitters'!L115</f>
        <v>55.999997890000003</v>
      </c>
      <c r="AJ123" s="10">
        <f>'2026_Fantasy_Hitters'!M115</f>
        <v>47.992100000000001</v>
      </c>
      <c r="AK123" s="10">
        <f>'2026_Fantasy_Hitters'!N115</f>
        <v>1.9775334899999999</v>
      </c>
      <c r="AL123" s="10">
        <f>'2026_Fantasy_Hitters'!O115</f>
        <v>76.313499999999451</v>
      </c>
      <c r="AM123" s="10">
        <f>'2026_Fantasy_Hitters'!P115</f>
        <v>9.0443454199999991</v>
      </c>
      <c r="AN123" s="10">
        <f>'2026_Fantasy_Hitters'!Q115</f>
        <v>4.0218977699999998</v>
      </c>
      <c r="AO123" s="10">
        <f>'2026_Fantasy_Hitters'!R115</f>
        <v>1.89839336</v>
      </c>
      <c r="AP123" s="10">
        <f>'2026_Fantasy_Hitters'!S115</f>
        <v>4.9799104499999993</v>
      </c>
      <c r="AQ123" s="10">
        <f>'2026_Fantasy_Hitters'!T115</f>
        <v>2.0055022500000002</v>
      </c>
      <c r="AR123" s="10">
        <f>'2026_Fantasy_Hitters'!U115</f>
        <v>2.9744081999999992</v>
      </c>
      <c r="AS123" s="10">
        <f>'2026_Fantasy_Hitters'!V115</f>
        <v>0.26495995313137044</v>
      </c>
      <c r="AT123" s="10">
        <f>'2026_Fantasy_Hitters'!W115</f>
        <v>0.34729712184211375</v>
      </c>
      <c r="AU123" s="10">
        <f>'2026_Fantasy_Hitters'!X115</f>
        <v>0.40008065296983358</v>
      </c>
      <c r="AV123" s="10">
        <f>'2026_Fantasy_Hitters'!Y115</f>
        <v>0.74737777481194734</v>
      </c>
      <c r="AW123" s="10">
        <f>'2026_Fantasy_Hitters'!Z115</f>
        <v>0.2888</v>
      </c>
      <c r="AX123" s="10">
        <f>'2026_Fantasy_Hitters'!AA115</f>
        <v>0.13849999999999901</v>
      </c>
      <c r="AY123" s="10">
        <f>'2026_Fantasy_Hitters'!AB115</f>
        <v>8.7099999999999997E-2</v>
      </c>
      <c r="AZ123" s="10">
        <f t="shared" si="43"/>
        <v>2.3528219999999999E-2</v>
      </c>
    </row>
    <row r="124" spans="1:52">
      <c r="A124" t="s">
        <v>953</v>
      </c>
      <c r="B124" t="s">
        <v>404</v>
      </c>
      <c r="C124" t="s">
        <v>169</v>
      </c>
      <c r="D124">
        <v>481</v>
      </c>
      <c r="E124">
        <v>533</v>
      </c>
      <c r="F124" s="6">
        <f t="shared" si="22"/>
        <v>-1.2194950850697792</v>
      </c>
      <c r="G124" s="5">
        <f t="shared" si="23"/>
        <v>-0.30279733033131012</v>
      </c>
      <c r="H124" s="5">
        <f t="shared" si="24"/>
        <v>-0.24399734855280034</v>
      </c>
      <c r="I124" s="5">
        <f t="shared" si="25"/>
        <v>0.29287390951399012</v>
      </c>
      <c r="J124" s="5">
        <f t="shared" si="26"/>
        <v>0.37516998416135378</v>
      </c>
      <c r="K124" s="5">
        <f t="shared" si="27"/>
        <v>-0.10403526500945758</v>
      </c>
      <c r="L124" s="5">
        <f t="shared" si="28"/>
        <v>-0.29946269249831658</v>
      </c>
      <c r="M124" s="5">
        <f t="shared" si="29"/>
        <v>-0.75083312119779122</v>
      </c>
      <c r="N124" s="5">
        <f t="shared" si="30"/>
        <v>3.8326082484555594E-2</v>
      </c>
      <c r="O124" s="5">
        <f t="shared" si="31"/>
        <v>-0.65097439142420255</v>
      </c>
      <c r="P124" s="1">
        <f t="shared" si="32"/>
        <v>0.42623508778419977</v>
      </c>
      <c r="R124">
        <f t="shared" si="33"/>
        <v>92.84159816986751</v>
      </c>
      <c r="S124">
        <f t="shared" si="34"/>
        <v>95.031656409174147</v>
      </c>
      <c r="T124">
        <f t="shared" si="35"/>
        <v>112.95552132299339</v>
      </c>
      <c r="U124">
        <f t="shared" si="36"/>
        <v>109.65277808734122</v>
      </c>
      <c r="V124">
        <f t="shared" si="37"/>
        <v>96.23484700559888</v>
      </c>
      <c r="W124">
        <f t="shared" si="38"/>
        <v>85.439990415661583</v>
      </c>
      <c r="X124">
        <f t="shared" si="39"/>
        <v>95.044618086743895</v>
      </c>
      <c r="Y124">
        <f t="shared" si="40"/>
        <v>100.42138839203287</v>
      </c>
      <c r="Z124">
        <f t="shared" si="41"/>
        <v>40.143376113590122</v>
      </c>
      <c r="AA124">
        <f t="shared" si="42"/>
        <v>115.48064999415217</v>
      </c>
      <c r="AC124">
        <f>'2026_Fantasy_Hitters'!F146</f>
        <v>114.87462258137192</v>
      </c>
      <c r="AD124">
        <f>'2026_Fantasy_Hitters'!G146</f>
        <v>69.224532786799315</v>
      </c>
      <c r="AE124">
        <f>'2026_Fantasy_Hitters'!H146</f>
        <v>23.84940295702226</v>
      </c>
      <c r="AF124">
        <f>'2026_Fantasy_Hitters'!I146</f>
        <v>1.0350890896276832</v>
      </c>
      <c r="AG124">
        <f>'2026_Fantasy_Hitters'!J146</f>
        <v>21.271186440677926</v>
      </c>
      <c r="AH124">
        <f>'2026_Fantasy_Hitters'!K146</f>
        <v>62.233521657250257</v>
      </c>
      <c r="AI124">
        <f>'2026_Fantasy_Hitters'!L146</f>
        <v>71.999999999999673</v>
      </c>
      <c r="AJ124">
        <f>'2026_Fantasy_Hitters'!M146</f>
        <v>45.198399999999999</v>
      </c>
      <c r="AK124">
        <f>'2026_Fantasy_Hitters'!N146</f>
        <v>0.98270809000000003</v>
      </c>
      <c r="AL124">
        <f>'2026_Fantasy_Hitters'!O146</f>
        <v>136.68785</v>
      </c>
      <c r="AM124">
        <f>'2026_Fantasy_Hitters'!P146</f>
        <v>4.9169516500000006</v>
      </c>
      <c r="AN124">
        <f>'2026_Fantasy_Hitters'!Q146</f>
        <v>4.0150676799999996</v>
      </c>
      <c r="AO124">
        <f>'2026_Fantasy_Hitters'!R146</f>
        <v>0</v>
      </c>
      <c r="AP124">
        <f>'2026_Fantasy_Hitters'!S146</f>
        <v>4.2202406999999997</v>
      </c>
      <c r="AQ124">
        <f>'2026_Fantasy_Hitters'!T146</f>
        <v>1.0224965399999999</v>
      </c>
      <c r="AR124">
        <f>'2026_Fantasy_Hitters'!U146</f>
        <v>3.1977441600000001</v>
      </c>
      <c r="AS124">
        <f>'2026_Fantasy_Hitters'!V146</f>
        <v>0.23882457917125141</v>
      </c>
      <c r="AT124">
        <f>'2026_Fantasy_Hitters'!W146</f>
        <v>0.31245082305192573</v>
      </c>
      <c r="AU124">
        <f>'2026_Fantasy_Hitters'!X146</f>
        <v>0.42643108468282448</v>
      </c>
      <c r="AV124">
        <f>'2026_Fantasy_Hitters'!Y146</f>
        <v>0.73888190773475015</v>
      </c>
      <c r="AW124">
        <f>'2026_Fantasy_Hitters'!Z146</f>
        <v>0.28620000000000001</v>
      </c>
      <c r="AX124">
        <f>'2026_Fantasy_Hitters'!AA146</f>
        <v>0.25645000000000001</v>
      </c>
      <c r="AY124">
        <f>'2026_Fantasy_Hitters'!AB146</f>
        <v>8.48E-2</v>
      </c>
      <c r="AZ124">
        <f t="shared" si="43"/>
        <v>3.9908417337106802E-2</v>
      </c>
    </row>
    <row r="125" spans="1:52">
      <c r="A125" t="s">
        <v>1248</v>
      </c>
      <c r="B125" t="s">
        <v>489</v>
      </c>
      <c r="C125" t="s">
        <v>648</v>
      </c>
      <c r="D125">
        <v>516</v>
      </c>
      <c r="E125">
        <v>563</v>
      </c>
      <c r="F125" s="6">
        <f t="shared" si="22"/>
        <v>-1.2436524907244184</v>
      </c>
      <c r="G125" s="5">
        <f t="shared" si="23"/>
        <v>-3.8892589440744536E-2</v>
      </c>
      <c r="H125" s="5">
        <f t="shared" si="24"/>
        <v>0.80560303004472078</v>
      </c>
      <c r="I125" s="5">
        <f t="shared" si="25"/>
        <v>-0.79184402205555648</v>
      </c>
      <c r="J125" s="5">
        <f t="shared" si="26"/>
        <v>-0.33513383797913926</v>
      </c>
      <c r="K125" s="5">
        <f t="shared" si="27"/>
        <v>-0.58037333930498214</v>
      </c>
      <c r="L125" s="5">
        <f t="shared" si="28"/>
        <v>-0.59915531876229944</v>
      </c>
      <c r="M125" s="5">
        <f t="shared" si="29"/>
        <v>1.2914097713887183</v>
      </c>
      <c r="N125" s="5">
        <f t="shared" si="30"/>
        <v>-0.4216511680461873</v>
      </c>
      <c r="O125" s="5">
        <f t="shared" si="31"/>
        <v>0.44828534101638656</v>
      </c>
      <c r="P125" s="1">
        <f t="shared" si="32"/>
        <v>-1.0219003575853347</v>
      </c>
      <c r="R125">
        <f t="shared" si="33"/>
        <v>99.080544127893731</v>
      </c>
      <c r="S125">
        <f t="shared" si="34"/>
        <v>116.40391862785563</v>
      </c>
      <c r="T125">
        <f t="shared" si="35"/>
        <v>64.972120154883669</v>
      </c>
      <c r="U125">
        <f t="shared" si="36"/>
        <v>91.377315072784455</v>
      </c>
      <c r="V125">
        <f t="shared" si="37"/>
        <v>78.995637525833388</v>
      </c>
      <c r="W125">
        <f t="shared" si="38"/>
        <v>70.868801349151511</v>
      </c>
      <c r="X125">
        <f t="shared" si="39"/>
        <v>108.52310379373384</v>
      </c>
      <c r="Y125">
        <f t="shared" si="40"/>
        <v>95.364021152607791</v>
      </c>
      <c r="Z125">
        <f t="shared" si="41"/>
        <v>141.2195124792911</v>
      </c>
      <c r="AA125">
        <f t="shared" si="42"/>
        <v>62.885078638371603</v>
      </c>
      <c r="AC125">
        <f>'2026_Fantasy_Hitters'!F197</f>
        <v>140.70949328498449</v>
      </c>
      <c r="AD125">
        <f>'2026_Fantasy_Hitters'!G197</f>
        <v>100.04435493860146</v>
      </c>
      <c r="AE125">
        <f>'2026_Fantasy_Hitters'!H197</f>
        <v>26.306639761020534</v>
      </c>
      <c r="AF125">
        <f>'2026_Fantasy_Hitters'!I197</f>
        <v>2.4528416405258908</v>
      </c>
      <c r="AG125">
        <f>'2026_Fantasy_Hitters'!J197</f>
        <v>12.235206080000001</v>
      </c>
      <c r="AH125">
        <f>'2026_Fantasy_Hitters'!K197</f>
        <v>66.415607985480392</v>
      </c>
      <c r="AI125">
        <f>'2026_Fantasy_Hitters'!L197</f>
        <v>59.999999999999794</v>
      </c>
      <c r="AJ125">
        <f>'2026_Fantasy_Hitters'!M197</f>
        <v>37.101700000000001</v>
      </c>
      <c r="AK125">
        <f>'2026_Fantasy_Hitters'!N197</f>
        <v>1.0998824300000001</v>
      </c>
      <c r="AL125">
        <f>'2026_Fantasy_Hitters'!O197</f>
        <v>85.378950000000003</v>
      </c>
      <c r="AM125">
        <f>'2026_Fantasy_Hitters'!P197</f>
        <v>4.0784001500000002</v>
      </c>
      <c r="AN125">
        <f>'2026_Fantasy_Hitters'!Q197</f>
        <v>4.85344847</v>
      </c>
      <c r="AO125">
        <f>'2026_Fantasy_Hitters'!R197</f>
        <v>0.99244514000000006</v>
      </c>
      <c r="AP125">
        <f>'2026_Fantasy_Hitters'!S197</f>
        <v>16.160098650000002</v>
      </c>
      <c r="AQ125">
        <f>'2026_Fantasy_Hitters'!T197</f>
        <v>4.9108238000000002</v>
      </c>
      <c r="AR125">
        <f>'2026_Fantasy_Hitters'!U197</f>
        <v>11.249274850000003</v>
      </c>
      <c r="AS125">
        <f>'2026_Fantasy_Hitters'!V197</f>
        <v>0.27269281644376842</v>
      </c>
      <c r="AT125">
        <f>'2026_Fantasy_Hitters'!W197</f>
        <v>0.3273192543682098</v>
      </c>
      <c r="AU125">
        <f>'2026_Fantasy_Hitters'!X197</f>
        <v>0.40495539477174458</v>
      </c>
      <c r="AV125">
        <f>'2026_Fantasy_Hitters'!Y197</f>
        <v>0.73227464913995433</v>
      </c>
      <c r="AW125">
        <f>'2026_Fantasy_Hitters'!Z197</f>
        <v>0.30354999999999999</v>
      </c>
      <c r="AX125">
        <f>'2026_Fantasy_Hitters'!AA197</f>
        <v>0.15165000000000001</v>
      </c>
      <c r="AY125">
        <f>'2026_Fantasy_Hitters'!AB197</f>
        <v>6.59E-2</v>
      </c>
      <c r="AZ125">
        <f t="shared" si="43"/>
        <v>2.173216E-2</v>
      </c>
    </row>
    <row r="126" spans="1:52">
      <c r="A126" t="s">
        <v>742</v>
      </c>
      <c r="B126" t="s">
        <v>40</v>
      </c>
      <c r="C126" t="s">
        <v>169</v>
      </c>
      <c r="D126">
        <v>518</v>
      </c>
      <c r="E126">
        <v>579</v>
      </c>
      <c r="F126" s="6">
        <f t="shared" si="22"/>
        <v>-1.2528644123053634</v>
      </c>
      <c r="G126" s="5">
        <f t="shared" si="23"/>
        <v>0.20071470403088074</v>
      </c>
      <c r="H126" s="5">
        <f t="shared" si="24"/>
        <v>0.23622034980598747</v>
      </c>
      <c r="I126" s="5">
        <f t="shared" si="25"/>
        <v>4.4302912062213366E-2</v>
      </c>
      <c r="J126" s="5">
        <f t="shared" si="26"/>
        <v>7.921005826948134E-2</v>
      </c>
      <c r="K126" s="5">
        <f t="shared" si="27"/>
        <v>0.18336072678239154</v>
      </c>
      <c r="L126" s="5">
        <f t="shared" si="28"/>
        <v>-0.93187067173680405</v>
      </c>
      <c r="M126" s="5">
        <f t="shared" si="29"/>
        <v>-0.40351968014513967</v>
      </c>
      <c r="N126" s="5">
        <f t="shared" si="30"/>
        <v>-0.45868772727644991</v>
      </c>
      <c r="O126" s="5">
        <f t="shared" si="31"/>
        <v>-9.1293399730853805E-2</v>
      </c>
      <c r="P126" s="1">
        <f t="shared" si="32"/>
        <v>-0.11130168436707037</v>
      </c>
      <c r="R126">
        <f t="shared" si="33"/>
        <v>104.74507652725026</v>
      </c>
      <c r="S126">
        <f t="shared" si="34"/>
        <v>104.80998612461271</v>
      </c>
      <c r="T126">
        <f t="shared" si="35"/>
        <v>101.95977621511318</v>
      </c>
      <c r="U126">
        <f t="shared" si="36"/>
        <v>102.03800183127589</v>
      </c>
      <c r="V126">
        <f t="shared" si="37"/>
        <v>106.63603047906366</v>
      </c>
      <c r="W126">
        <f t="shared" si="38"/>
        <v>54.692032591245038</v>
      </c>
      <c r="X126">
        <f t="shared" si="39"/>
        <v>97.336832821860355</v>
      </c>
      <c r="Y126">
        <f t="shared" si="40"/>
        <v>94.956810837106246</v>
      </c>
      <c r="Z126">
        <f t="shared" si="41"/>
        <v>91.605638005135475</v>
      </c>
      <c r="AA126">
        <f t="shared" si="42"/>
        <v>95.95757724122771</v>
      </c>
      <c r="AC126">
        <f>'2026_Fantasy_Hitters'!F109</f>
        <v>126.69470420449701</v>
      </c>
      <c r="AD126">
        <f>'2026_Fantasy_Hitters'!G109</f>
        <v>81.218467500999012</v>
      </c>
      <c r="AE126">
        <f>'2026_Fantasy_Hitters'!H109</f>
        <v>22.4694704308362</v>
      </c>
      <c r="AF126">
        <f>'2026_Fantasy_Hitters'!I109</f>
        <v>1.9705549774444229</v>
      </c>
      <c r="AG126">
        <f>'2026_Fantasy_Hitters'!J109</f>
        <v>19.20052587</v>
      </c>
      <c r="AH126">
        <f>'2026_Fantasy_Hitters'!K109</f>
        <v>70.212653778558575</v>
      </c>
      <c r="AI126">
        <f>'2026_Fantasy_Hitters'!L109</f>
        <v>66.999999999999716</v>
      </c>
      <c r="AJ126">
        <f>'2026_Fantasy_Hitters'!M109</f>
        <v>50.083499999999994</v>
      </c>
      <c r="AK126">
        <f>'2026_Fantasy_Hitters'!N109</f>
        <v>0.77430248999999995</v>
      </c>
      <c r="AL126">
        <f>'2026_Fantasy_Hitters'!O109</f>
        <v>96.171899999999994</v>
      </c>
      <c r="AM126">
        <f>'2026_Fantasy_Hitters'!P109</f>
        <v>3.14744979</v>
      </c>
      <c r="AN126">
        <f>'2026_Fantasy_Hitters'!Q109</f>
        <v>5.08787565</v>
      </c>
      <c r="AO126">
        <f>'2026_Fantasy_Hitters'!R109</f>
        <v>0</v>
      </c>
      <c r="AP126">
        <f>'2026_Fantasy_Hitters'!S109</f>
        <v>9.4472049689440407</v>
      </c>
      <c r="AQ126">
        <f>'2026_Fantasy_Hitters'!T109</f>
        <v>2.1500759700000001</v>
      </c>
      <c r="AR126">
        <f>'2026_Fantasy_Hitters'!U109</f>
        <v>7.2971289989440411</v>
      </c>
      <c r="AS126">
        <f>'2026_Fantasy_Hitters'!V109</f>
        <v>0.24458437105115255</v>
      </c>
      <c r="AT126">
        <f>'2026_Fantasy_Hitters'!W109</f>
        <v>0.31483808201169117</v>
      </c>
      <c r="AU126">
        <f>'2026_Fantasy_Hitters'!X109</f>
        <v>0.40322620999035658</v>
      </c>
      <c r="AV126">
        <f>'2026_Fantasy_Hitters'!Y109</f>
        <v>0.71806429200204769</v>
      </c>
      <c r="AW126">
        <f>'2026_Fantasy_Hitters'!Z109</f>
        <v>0.26365</v>
      </c>
      <c r="AX126">
        <f>'2026_Fantasy_Hitters'!AA109</f>
        <v>0.1661</v>
      </c>
      <c r="AY126">
        <f>'2026_Fantasy_Hitters'!AB109</f>
        <v>8.6499999999999994E-2</v>
      </c>
      <c r="AZ126">
        <f t="shared" si="43"/>
        <v>3.3161530000000002E-2</v>
      </c>
    </row>
    <row r="127" spans="1:52">
      <c r="A127" t="s">
        <v>1023</v>
      </c>
      <c r="B127" t="s">
        <v>116</v>
      </c>
      <c r="C127" t="s">
        <v>631</v>
      </c>
      <c r="D127">
        <v>520</v>
      </c>
      <c r="E127">
        <v>567</v>
      </c>
      <c r="F127" s="6">
        <f t="shared" si="22"/>
        <v>-1.343192187993868</v>
      </c>
      <c r="G127" s="5">
        <f t="shared" si="23"/>
        <v>-0.24729247655584116</v>
      </c>
      <c r="H127" s="5">
        <f t="shared" si="24"/>
        <v>0.843070821006074</v>
      </c>
      <c r="I127" s="5">
        <f t="shared" si="25"/>
        <v>-0.55283517856122977</v>
      </c>
      <c r="J127" s="5">
        <f t="shared" si="26"/>
        <v>0.3159779989829678</v>
      </c>
      <c r="K127" s="5">
        <f t="shared" si="27"/>
        <v>-0.64158713829771885</v>
      </c>
      <c r="L127" s="5">
        <f t="shared" si="28"/>
        <v>-0.56833663608028384</v>
      </c>
      <c r="M127" s="5">
        <f t="shared" si="29"/>
        <v>1.2718658647907637</v>
      </c>
      <c r="N127" s="5">
        <f t="shared" si="30"/>
        <v>-0.21767618619569412</v>
      </c>
      <c r="O127" s="5">
        <f t="shared" si="31"/>
        <v>-0.79202960793160027</v>
      </c>
      <c r="P127" s="1">
        <f t="shared" si="32"/>
        <v>-0.75434964915130531</v>
      </c>
      <c r="R127">
        <f t="shared" si="33"/>
        <v>94.153782945119033</v>
      </c>
      <c r="S127">
        <f t="shared" si="34"/>
        <v>117.16684847192712</v>
      </c>
      <c r="T127">
        <f t="shared" si="35"/>
        <v>75.544875418106614</v>
      </c>
      <c r="U127">
        <f t="shared" si="36"/>
        <v>108.12982283612786</v>
      </c>
      <c r="V127">
        <f t="shared" si="37"/>
        <v>76.780241443022376</v>
      </c>
      <c r="W127">
        <f t="shared" si="38"/>
        <v>72.367219437506051</v>
      </c>
      <c r="X127">
        <f t="shared" si="39"/>
        <v>108.39411704749737</v>
      </c>
      <c r="Y127">
        <f t="shared" si="40"/>
        <v>97.606689436056001</v>
      </c>
      <c r="Z127">
        <f t="shared" si="41"/>
        <v>27.173451101290297</v>
      </c>
      <c r="AA127">
        <f t="shared" si="42"/>
        <v>72.6023895582357</v>
      </c>
      <c r="AC127">
        <f>'2026_Fantasy_Hitters'!F158</f>
        <v>141.6317257410455</v>
      </c>
      <c r="AD127">
        <f>'2026_Fantasy_Hitters'!G158</f>
        <v>99.833368437370495</v>
      </c>
      <c r="AE127">
        <f>'2026_Fantasy_Hitters'!H158</f>
        <v>26.345071504063064</v>
      </c>
      <c r="AF127">
        <f>'2026_Fantasy_Hitters'!I158</f>
        <v>2.0335221536625148</v>
      </c>
      <c r="AG127">
        <f>'2026_Fantasy_Hitters'!J158</f>
        <v>14.22621144</v>
      </c>
      <c r="AH127">
        <f>'2026_Fantasy_Hitters'!K158</f>
        <v>63.113104530000001</v>
      </c>
      <c r="AI127">
        <f>'2026_Fantasy_Hitters'!L158</f>
        <v>70.999999999999488</v>
      </c>
      <c r="AJ127">
        <f>'2026_Fantasy_Hitters'!M158</f>
        <v>36.061199999999999</v>
      </c>
      <c r="AK127">
        <f>'2026_Fantasy_Hitters'!N158</f>
        <v>1.64924424</v>
      </c>
      <c r="AL127">
        <f>'2026_Fantasy_Hitters'!O158</f>
        <v>88.537050000000008</v>
      </c>
      <c r="AM127">
        <f>'2026_Fantasy_Hitters'!P158</f>
        <v>4.1646320100000001</v>
      </c>
      <c r="AN127">
        <f>'2026_Fantasy_Hitters'!Q158</f>
        <v>6.10771833</v>
      </c>
      <c r="AO127">
        <f>'2026_Fantasy_Hitters'!R158</f>
        <v>0</v>
      </c>
      <c r="AP127">
        <f>'2026_Fantasy_Hitters'!S158</f>
        <v>3.1810344300000004</v>
      </c>
      <c r="AQ127">
        <f>'2026_Fantasy_Hitters'!T158</f>
        <v>1.0164495600000001</v>
      </c>
      <c r="AR127">
        <f>'2026_Fantasy_Hitters'!U158</f>
        <v>2.1645848700000005</v>
      </c>
      <c r="AS127">
        <f>'2026_Fantasy_Hitters'!V158</f>
        <v>0.27236870334816443</v>
      </c>
      <c r="AT127">
        <f>'2026_Fantasy_Hitters'!W158</f>
        <v>0.32547160445237067</v>
      </c>
      <c r="AU127">
        <f>'2026_Fantasy_Hitters'!X158</f>
        <v>0.41447869935862341</v>
      </c>
      <c r="AV127">
        <f>'2026_Fantasy_Hitters'!Y158</f>
        <v>0.73995030381099403</v>
      </c>
      <c r="AW127">
        <f>'2026_Fantasy_Hitters'!Z158</f>
        <v>0.30095</v>
      </c>
      <c r="AX127">
        <f>'2026_Fantasy_Hitters'!AA158</f>
        <v>0.15615000000000001</v>
      </c>
      <c r="AY127">
        <f>'2026_Fantasy_Hitters'!AB158</f>
        <v>6.3600000000000004E-2</v>
      </c>
      <c r="AZ127">
        <f t="shared" si="43"/>
        <v>2.5090319999999999E-2</v>
      </c>
    </row>
    <row r="128" spans="1:52">
      <c r="A128" t="s">
        <v>623</v>
      </c>
      <c r="B128" t="s">
        <v>136</v>
      </c>
      <c r="C128" t="s">
        <v>34</v>
      </c>
      <c r="D128">
        <v>531</v>
      </c>
      <c r="E128">
        <v>575</v>
      </c>
      <c r="F128" s="6">
        <f t="shared" si="22"/>
        <v>-1.4474804557462624</v>
      </c>
      <c r="G128" s="5">
        <f t="shared" si="23"/>
        <v>-0.11984597712012714</v>
      </c>
      <c r="H128" s="5">
        <f t="shared" si="24"/>
        <v>1.4327468755567105</v>
      </c>
      <c r="I128" s="5">
        <f t="shared" si="25"/>
        <v>-1.3588974777161058</v>
      </c>
      <c r="J128" s="5">
        <f t="shared" si="26"/>
        <v>-9.836589726565946E-2</v>
      </c>
      <c r="K128" s="5">
        <f t="shared" si="27"/>
        <v>-1.0209714973217103</v>
      </c>
      <c r="L128" s="5">
        <f t="shared" si="28"/>
        <v>0.15750871124684082</v>
      </c>
      <c r="M128" s="5">
        <f t="shared" si="29"/>
        <v>2.5798612091959687</v>
      </c>
      <c r="N128" s="5">
        <f t="shared" si="30"/>
        <v>-0.70566077214178191</v>
      </c>
      <c r="O128" s="5">
        <f t="shared" si="31"/>
        <v>-0.60130626194063963</v>
      </c>
      <c r="P128" s="1">
        <f t="shared" si="32"/>
        <v>-1.7125493682397579</v>
      </c>
      <c r="R128">
        <f t="shared" si="33"/>
        <v>97.16673307187996</v>
      </c>
      <c r="S128">
        <f t="shared" si="34"/>
        <v>129.17400044987659</v>
      </c>
      <c r="T128">
        <f t="shared" si="35"/>
        <v>39.888038243052058</v>
      </c>
      <c r="U128">
        <f t="shared" si="36"/>
        <v>97.46913607763625</v>
      </c>
      <c r="V128">
        <f t="shared" si="37"/>
        <v>63.049895725364095</v>
      </c>
      <c r="W128">
        <f t="shared" si="38"/>
        <v>107.65814374484621</v>
      </c>
      <c r="X128">
        <f t="shared" si="39"/>
        <v>117.0266830455833</v>
      </c>
      <c r="Y128">
        <f t="shared" si="40"/>
        <v>92.241386574967635</v>
      </c>
      <c r="Z128">
        <f t="shared" si="41"/>
        <v>44.710324652279745</v>
      </c>
      <c r="AA128">
        <f t="shared" si="42"/>
        <v>37.801044242400749</v>
      </c>
      <c r="AC128">
        <f>'2026_Fantasy_Hitters'!F91</f>
        <v>156.1460160718932</v>
      </c>
      <c r="AD128">
        <f>'2026_Fantasy_Hitters'!G91</f>
        <v>119.63849513075077</v>
      </c>
      <c r="AE128">
        <f>'2026_Fantasy_Hitters'!H91</f>
        <v>27.539861688039853</v>
      </c>
      <c r="AF128">
        <f>'2026_Fantasy_Hitters'!I91</f>
        <v>1.0753379921743109</v>
      </c>
      <c r="AG128">
        <f>'2026_Fantasy_Hitters'!J91</f>
        <v>7.5115044247787175</v>
      </c>
      <c r="AH128">
        <f>'2026_Fantasy_Hitters'!K91</f>
        <v>65.132743362831377</v>
      </c>
      <c r="AI128">
        <f>'2026_Fantasy_Hitters'!L91</f>
        <v>63.999999999999453</v>
      </c>
      <c r="AJ128">
        <f>'2026_Fantasy_Hitters'!M91</f>
        <v>29.612499999999997</v>
      </c>
      <c r="AK128">
        <f>'2026_Fantasy_Hitters'!N91</f>
        <v>0.95273475000000007</v>
      </c>
      <c r="AL128">
        <f>'2026_Fantasy_Hitters'!O91</f>
        <v>45.683750000000003</v>
      </c>
      <c r="AM128">
        <f>'2026_Fantasy_Hitters'!P91</f>
        <v>6.1955752212388626</v>
      </c>
      <c r="AN128">
        <f>'2026_Fantasy_Hitters'!Q91</f>
        <v>4.0707987499999998</v>
      </c>
      <c r="AO128">
        <f>'2026_Fantasy_Hitters'!R91</f>
        <v>1.98668825</v>
      </c>
      <c r="AP128">
        <f>'2026_Fantasy_Hitters'!S91</f>
        <v>5.6668032500000001</v>
      </c>
      <c r="AQ128">
        <f>'2026_Fantasy_Hitters'!T91</f>
        <v>2.1052647499999999</v>
      </c>
      <c r="AR128">
        <f>'2026_Fantasy_Hitters'!U91</f>
        <v>3.5615385000000002</v>
      </c>
      <c r="AS128">
        <f>'2026_Fantasy_Hitters'!V91</f>
        <v>0.29406029392070282</v>
      </c>
      <c r="AT128">
        <f>'2026_Fantasy_Hitters'!W91</f>
        <v>0.34104408951720733</v>
      </c>
      <c r="AU128">
        <f>'2026_Fantasy_Hitters'!X91</f>
        <v>0.39169538640766155</v>
      </c>
      <c r="AV128">
        <f>'2026_Fantasy_Hitters'!Y91</f>
        <v>0.73273947592486888</v>
      </c>
      <c r="AW128">
        <f>'2026_Fantasy_Hitters'!Z91</f>
        <v>0.30845</v>
      </c>
      <c r="AX128">
        <f>'2026_Fantasy_Hitters'!AA91</f>
        <v>7.9450000000000007E-2</v>
      </c>
      <c r="AY128">
        <f>'2026_Fantasy_Hitters'!AB91</f>
        <v>5.1499999999999997E-2</v>
      </c>
      <c r="AZ128">
        <f t="shared" si="43"/>
        <v>1.30634859561369E-2</v>
      </c>
    </row>
    <row r="129" spans="1:52">
      <c r="A129" t="s">
        <v>1343</v>
      </c>
      <c r="B129" t="s">
        <v>440</v>
      </c>
      <c r="C129" t="s">
        <v>124</v>
      </c>
      <c r="D129">
        <v>479</v>
      </c>
      <c r="E129">
        <v>543</v>
      </c>
      <c r="F129" s="6">
        <f t="shared" si="22"/>
        <v>-1.5508295746460474</v>
      </c>
      <c r="G129" s="5">
        <f t="shared" si="23"/>
        <v>-0.20251057983177223</v>
      </c>
      <c r="H129" s="5">
        <f t="shared" si="24"/>
        <v>-0.10761566643449266</v>
      </c>
      <c r="I129" s="5">
        <f t="shared" si="25"/>
        <v>0.1684945403068499</v>
      </c>
      <c r="J129" s="5">
        <f t="shared" si="26"/>
        <v>2.0018073091095361E-2</v>
      </c>
      <c r="K129" s="5">
        <f t="shared" si="27"/>
        <v>0.42822768898092101</v>
      </c>
      <c r="L129" s="5">
        <f t="shared" si="28"/>
        <v>-0.61037144042806502</v>
      </c>
      <c r="M129" s="5">
        <f t="shared" si="29"/>
        <v>-0.26811505370634742</v>
      </c>
      <c r="N129" s="5">
        <f t="shared" si="30"/>
        <v>-0.10113166150232573</v>
      </c>
      <c r="O129" s="5">
        <f t="shared" si="31"/>
        <v>-1.0934809926962517</v>
      </c>
      <c r="P129" s="1">
        <f t="shared" si="32"/>
        <v>0.21565551757434107</v>
      </c>
      <c r="R129">
        <f t="shared" si="33"/>
        <v>95.21246735001661</v>
      </c>
      <c r="S129">
        <f t="shared" si="34"/>
        <v>97.808699111799768</v>
      </c>
      <c r="T129">
        <f t="shared" si="35"/>
        <v>107.45349633013008</v>
      </c>
      <c r="U129">
        <f t="shared" si="36"/>
        <v>100.51504658006253</v>
      </c>
      <c r="V129">
        <f t="shared" si="37"/>
        <v>115.49804064328859</v>
      </c>
      <c r="W129">
        <f t="shared" si="38"/>
        <v>70.323468514566216</v>
      </c>
      <c r="X129">
        <f t="shared" si="39"/>
        <v>98.230482313182193</v>
      </c>
      <c r="Y129">
        <f t="shared" si="40"/>
        <v>98.888075549039897</v>
      </c>
      <c r="Z129">
        <f t="shared" si="41"/>
        <v>-0.54478543090074538</v>
      </c>
      <c r="AA129">
        <f t="shared" si="42"/>
        <v>107.83250296035315</v>
      </c>
      <c r="AC129">
        <f>'2026_Fantasy_Hitters'!F211</f>
        <v>118.231522212616</v>
      </c>
      <c r="AD129">
        <f>'2026_Fantasy_Hitters'!G211</f>
        <v>76.81319521183616</v>
      </c>
      <c r="AE129">
        <f>'2026_Fantasy_Hitters'!H211</f>
        <v>20.153908677068593</v>
      </c>
      <c r="AF129">
        <f>'2026_Fantasy_Hitters'!I211</f>
        <v>1.0267900736155682</v>
      </c>
      <c r="AG129">
        <f>'2026_Fantasy_Hitters'!J211</f>
        <v>20.235074189999999</v>
      </c>
      <c r="AH129">
        <f>'2026_Fantasy_Hitters'!K211</f>
        <v>63.822761194029404</v>
      </c>
      <c r="AI129">
        <f>'2026_Fantasy_Hitters'!L211</f>
        <v>65.999999999999531</v>
      </c>
      <c r="AJ129">
        <f>'2026_Fantasy_Hitters'!M211</f>
        <v>54.245699999999999</v>
      </c>
      <c r="AK129">
        <f>'2026_Fantasy_Hitters'!N211</f>
        <v>0.96145208999999998</v>
      </c>
      <c r="AL129">
        <f>'2026_Fantasy_Hitters'!O211</f>
        <v>102.1383</v>
      </c>
      <c r="AM129">
        <f>'2026_Fantasy_Hitters'!P211</f>
        <v>4.0470170100000002</v>
      </c>
      <c r="AN129">
        <f>'2026_Fantasy_Hitters'!Q211</f>
        <v>4.0522406699999998</v>
      </c>
      <c r="AO129">
        <f>'2026_Fantasy_Hitters'!R211</f>
        <v>0</v>
      </c>
      <c r="AP129">
        <f>'2026_Fantasy_Hitters'!S211</f>
        <v>0.98650068000000002</v>
      </c>
      <c r="AQ129">
        <f>'2026_Fantasy_Hitters'!T211</f>
        <v>1.0298972399999999</v>
      </c>
      <c r="AR129">
        <f>'2026_Fantasy_Hitters'!U211</f>
        <v>-4.3396559999999917E-2</v>
      </c>
      <c r="AS129">
        <f>'2026_Fantasy_Hitters'!V211</f>
        <v>0.24682990023510648</v>
      </c>
      <c r="AT129">
        <f>'2026_Fantasy_Hitters'!W211</f>
        <v>0.32974007272317801</v>
      </c>
      <c r="AU129">
        <f>'2026_Fantasy_Hitters'!X211</f>
        <v>0.41991999905390409</v>
      </c>
      <c r="AV129">
        <f>'2026_Fantasy_Hitters'!Y211</f>
        <v>0.74966007177708205</v>
      </c>
      <c r="AW129">
        <f>'2026_Fantasy_Hitters'!Z211</f>
        <v>0.2717</v>
      </c>
      <c r="AX129">
        <f>'2026_Fantasy_Hitters'!AA211</f>
        <v>0.18809999999999999</v>
      </c>
      <c r="AY129">
        <f>'2026_Fantasy_Hitters'!AB211</f>
        <v>9.9900000000000003E-2</v>
      </c>
      <c r="AZ129">
        <f t="shared" si="43"/>
        <v>3.7265329999999999E-2</v>
      </c>
    </row>
    <row r="130" spans="1:52">
      <c r="A130" t="s">
        <v>1126</v>
      </c>
      <c r="B130" t="s">
        <v>376</v>
      </c>
      <c r="C130" t="s">
        <v>896</v>
      </c>
      <c r="D130">
        <v>466</v>
      </c>
      <c r="E130">
        <v>524</v>
      </c>
      <c r="F130" s="6">
        <f t="shared" ref="F130:F193" si="44">G130+H130+I130+J130+K130+L130+M130+N130+O130+P130</f>
        <v>-1.5552588520993105</v>
      </c>
      <c r="G130" s="5">
        <f t="shared" ref="G130:G193" si="45">(R130-R$221)/R$222</f>
        <v>-9.6670757847850036E-2</v>
      </c>
      <c r="H130" s="5">
        <f t="shared" ref="H130:H193" si="46">(S130-S$221)/S$222</f>
        <v>-7.1165053356455593E-2</v>
      </c>
      <c r="I130" s="5">
        <f t="shared" ref="I130:I193" si="47">(T130-T$221)/T$222</f>
        <v>-0.91897707175893428</v>
      </c>
      <c r="J130" s="5">
        <f t="shared" ref="J130:J193" si="48">(U130-U$221)/U$222</f>
        <v>-0.86786183717454968</v>
      </c>
      <c r="K130" s="5">
        <f t="shared" ref="K130:K193" si="49">(V130-V$221)/V$222</f>
        <v>-0.37089330655780411</v>
      </c>
      <c r="L130" s="5">
        <f t="shared" ref="L130:L193" si="50">(W130-W$221)/W$222</f>
        <v>1.937534174473019</v>
      </c>
      <c r="M130" s="5">
        <f t="shared" ref="M130:M193" si="51">(X130-X$221)/X$222</f>
        <v>0.26319272114865089</v>
      </c>
      <c r="N130" s="5">
        <f t="shared" ref="N130:N193" si="52">(Y130-Y$221)/Y$222</f>
        <v>-0.68657640306659196</v>
      </c>
      <c r="O130" s="5">
        <f t="shared" ref="O130:O193" si="53">(Z130-Z$221)/Z$222</f>
        <v>0.31021617833885362</v>
      </c>
      <c r="P130" s="1">
        <f t="shared" ref="P130:P193" si="54">(AA130-AA$221)/AA$222</f>
        <v>-1.0540574962976481</v>
      </c>
      <c r="R130">
        <f t="shared" ref="R130:R193" si="55">(AH130-AVERAGE(AH$2:AH$220))/AVERAGE(AH$2:AH$220)*100+100</f>
        <v>97.714616145587613</v>
      </c>
      <c r="S130">
        <f t="shared" ref="S130:S193" si="56">(AC130-AVERAGE(AC$2:AC$220))/AVERAGE(AC$2:AC$220)*100+100</f>
        <v>98.55091688974727</v>
      </c>
      <c r="T130">
        <f t="shared" ref="T130:T193" si="57">(AG130-AVERAGE(AG$2:AG$220))/AVERAGE(AG$2:AG$220)*100+100</f>
        <v>59.348283811719746</v>
      </c>
      <c r="U130">
        <f t="shared" ref="U130:U193" si="58">(AI130-AVERAGE(AI$2:AI$220))/AVERAGE(AI$2:AI$220)*100+100</f>
        <v>77.670714400447281</v>
      </c>
      <c r="V130">
        <f t="shared" ref="V130:V193" si="59">(AJ130-AVERAGE(AJ$2:AJ$220))/AVERAGE(AJ$2:AJ$220)*100+100</f>
        <v>86.576955000187269</v>
      </c>
      <c r="W130">
        <f t="shared" ref="W130:W193" si="60">(AM130-AVERAGE(AM$2:AM$220))/AVERAGE(AM$2:AM$220)*100+100</f>
        <v>194.20377515128678</v>
      </c>
      <c r="X130">
        <f t="shared" ref="X130:X193" si="61">(AS130-AVERAGE(AS$2:AS$220))/AVERAGE(AS$2:AS$220)*100+100</f>
        <v>101.73703105691463</v>
      </c>
      <c r="Y130">
        <f t="shared" ref="Y130:Y193" si="62">(AU130-AVERAGE(AU$2:AU$220))/AVERAGE(AU$2:AU$220)*100+100</f>
        <v>92.451215784639629</v>
      </c>
      <c r="Z130">
        <f t="shared" ref="Z130:Z193" si="63">(AR130-AVERAGE(AR$2:AR$220))/AVERAGE(AR$2:AR$220)*100+100</f>
        <v>128.52415295428756</v>
      </c>
      <c r="AA130">
        <f t="shared" ref="AA130:AA193" si="64">(AZ130-AVERAGE(AZ$2:AZ$220))/AVERAGE(AZ$2:AZ$220)*100+100</f>
        <v>61.71714708255665</v>
      </c>
      <c r="AC130">
        <f>'2026_Fantasy_Hitters'!F176</f>
        <v>119.12871784548801</v>
      </c>
      <c r="AD130">
        <f>'2026_Fantasy_Hitters'!G176</f>
        <v>80.2566666994651</v>
      </c>
      <c r="AE130">
        <f>'2026_Fantasy_Hitters'!H176</f>
        <v>22.940153195827708</v>
      </c>
      <c r="AF130">
        <f>'2026_Fantasy_Hitters'!I176</f>
        <v>4.034557843801001</v>
      </c>
      <c r="AG130">
        <f>'2026_Fantasy_Hitters'!J176</f>
        <v>11.17615496</v>
      </c>
      <c r="AH130">
        <f>'2026_Fantasy_Hitters'!K176</f>
        <v>65.5</v>
      </c>
      <c r="AI130">
        <f>'2026_Fantasy_Hitters'!L176</f>
        <v>50.999997759999999</v>
      </c>
      <c r="AJ130">
        <f>'2026_Fantasy_Hitters'!M176</f>
        <v>40.662399999999998</v>
      </c>
      <c r="AK130">
        <f>'2026_Fantasy_Hitters'!N176</f>
        <v>0.97093532000000005</v>
      </c>
      <c r="AL130">
        <f>'2026_Fantasy_Hitters'!O176</f>
        <v>116.7996</v>
      </c>
      <c r="AM130">
        <f>'2026_Fantasy_Hitters'!P176</f>
        <v>11.17615496</v>
      </c>
      <c r="AN130">
        <f>'2026_Fantasy_Hitters'!Q176</f>
        <v>4.0307704400000004</v>
      </c>
      <c r="AO130">
        <f>'2026_Fantasy_Hitters'!R176</f>
        <v>0.99597203999999995</v>
      </c>
      <c r="AP130">
        <f>'2026_Fantasy_Hitters'!S176</f>
        <v>15.088827838827793</v>
      </c>
      <c r="AQ130">
        <f>'2026_Fantasy_Hitters'!T176</f>
        <v>4.8508409199999996</v>
      </c>
      <c r="AR130">
        <f>'2026_Fantasy_Hitters'!U176</f>
        <v>10.237986918827794</v>
      </c>
      <c r="AS130">
        <f>'2026_Fantasy_Hitters'!V176</f>
        <v>0.25564102541950218</v>
      </c>
      <c r="AT130">
        <f>'2026_Fantasy_Hitters'!W176</f>
        <v>0.33603726778938237</v>
      </c>
      <c r="AU130">
        <f>'2026_Fantasy_Hitters'!X176</f>
        <v>0.3925864087178616</v>
      </c>
      <c r="AV130">
        <f>'2026_Fantasy_Hitters'!Y176</f>
        <v>0.72862367650724402</v>
      </c>
      <c r="AW130">
        <f>'2026_Fantasy_Hitters'!Z176</f>
        <v>0.31559999999999999</v>
      </c>
      <c r="AX130">
        <f>'2026_Fantasy_Hitters'!AA176</f>
        <v>0.22289999999999999</v>
      </c>
      <c r="AY130">
        <f>'2026_Fantasy_Hitters'!AB176</f>
        <v>7.7600000000000002E-2</v>
      </c>
      <c r="AZ130">
        <f t="shared" ref="AZ130:AZ193" si="65">AG130/$E130</f>
        <v>2.132854E-2</v>
      </c>
    </row>
    <row r="131" spans="1:52">
      <c r="A131" t="s">
        <v>989</v>
      </c>
      <c r="B131" t="s">
        <v>33</v>
      </c>
      <c r="C131" t="s">
        <v>896</v>
      </c>
      <c r="D131">
        <v>454</v>
      </c>
      <c r="E131">
        <v>525</v>
      </c>
      <c r="F131" s="6">
        <f t="shared" si="44"/>
        <v>-1.6170107844901254</v>
      </c>
      <c r="G131" s="5">
        <f t="shared" si="45"/>
        <v>-0.20846992657613012</v>
      </c>
      <c r="H131" s="5">
        <f t="shared" si="46"/>
        <v>-0.36720766382521303</v>
      </c>
      <c r="I131" s="5">
        <f t="shared" si="47"/>
        <v>-0.69580189968890527</v>
      </c>
      <c r="J131" s="5">
        <f t="shared" si="48"/>
        <v>-0.86786161579652521</v>
      </c>
      <c r="K131" s="5">
        <f t="shared" si="49"/>
        <v>0.38729886633865362</v>
      </c>
      <c r="L131" s="5">
        <f t="shared" si="50"/>
        <v>2.6377050873044063</v>
      </c>
      <c r="M131" s="5">
        <f t="shared" si="51"/>
        <v>-0.29718262611157453</v>
      </c>
      <c r="N131" s="5">
        <f t="shared" si="52"/>
        <v>-0.74086911235492103</v>
      </c>
      <c r="O131" s="5">
        <f t="shared" si="53"/>
        <v>-0.68945798247958023</v>
      </c>
      <c r="P131" s="1">
        <f t="shared" si="54"/>
        <v>-0.77516391130033613</v>
      </c>
      <c r="R131">
        <f t="shared" si="55"/>
        <v>95.071583021232968</v>
      </c>
      <c r="S131">
        <f t="shared" si="56"/>
        <v>92.52281283428232</v>
      </c>
      <c r="T131">
        <f t="shared" si="57"/>
        <v>69.220623431571909</v>
      </c>
      <c r="U131">
        <f t="shared" si="58"/>
        <v>77.670720096299917</v>
      </c>
      <c r="V131">
        <f t="shared" si="59"/>
        <v>114.0167806194416</v>
      </c>
      <c r="W131">
        <f t="shared" si="60"/>
        <v>228.2463970099588</v>
      </c>
      <c r="X131">
        <f t="shared" si="61"/>
        <v>98.038640852686498</v>
      </c>
      <c r="Y131">
        <f t="shared" si="62"/>
        <v>91.854277199138707</v>
      </c>
      <c r="Z131">
        <f t="shared" si="63"/>
        <v>36.604837784055292</v>
      </c>
      <c r="AA131">
        <f t="shared" si="64"/>
        <v>71.846425733458304</v>
      </c>
      <c r="AC131">
        <f>'2026_Fantasy_Hitters'!F153</f>
        <v>111.84192306132466</v>
      </c>
      <c r="AD131">
        <f>'2026_Fantasy_Hitters'!G153</f>
        <v>73.268488908165693</v>
      </c>
      <c r="AE131">
        <f>'2026_Fantasy_Hitters'!H153</f>
        <v>24.323539241900509</v>
      </c>
      <c r="AF131">
        <f>'2026_Fantasy_Hitters'!I153</f>
        <v>1.0089310703547676</v>
      </c>
      <c r="AG131">
        <f>'2026_Fantasy_Hitters'!J153</f>
        <v>13.03526175</v>
      </c>
      <c r="AH131">
        <f>'2026_Fantasy_Hitters'!K153</f>
        <v>63.72832369942185</v>
      </c>
      <c r="AI131">
        <f>'2026_Fantasy_Hitters'!L153</f>
        <v>51.000001499999996</v>
      </c>
      <c r="AJ131">
        <f>'2026_Fantasy_Hitters'!M153</f>
        <v>53.549999999999471</v>
      </c>
      <c r="AK131">
        <f>'2026_Fantasy_Hitters'!N153</f>
        <v>0</v>
      </c>
      <c r="AL131">
        <f>'2026_Fantasy_Hitters'!O153</f>
        <v>100.19624999999999</v>
      </c>
      <c r="AM131">
        <f>'2026_Fantasy_Hitters'!P153</f>
        <v>13.13526011560686</v>
      </c>
      <c r="AN131">
        <f>'2026_Fantasy_Hitters'!Q153</f>
        <v>4.0462432499999998</v>
      </c>
      <c r="AO131">
        <f>'2026_Fantasy_Hitters'!R153</f>
        <v>0.99493799999999999</v>
      </c>
      <c r="AP131">
        <f>'2026_Fantasy_Hitters'!S153</f>
        <v>4.9367062500000003</v>
      </c>
      <c r="AQ131">
        <f>'2026_Fantasy_Hitters'!T153</f>
        <v>2.0208352500000002</v>
      </c>
      <c r="AR131">
        <f>'2026_Fantasy_Hitters'!U153</f>
        <v>2.9158710000000001</v>
      </c>
      <c r="AS131">
        <f>'2026_Fantasy_Hitters'!V153</f>
        <v>0.2463478481526975</v>
      </c>
      <c r="AT131">
        <f>'2026_Fantasy_Hitters'!W153</f>
        <v>0.34896109096268496</v>
      </c>
      <c r="AU131">
        <f>'2026_Fantasy_Hitters'!X153</f>
        <v>0.39005155859698454</v>
      </c>
      <c r="AV131">
        <f>'2026_Fantasy_Hitters'!Y153</f>
        <v>0.7390126495596695</v>
      </c>
      <c r="AW131">
        <f>'2026_Fantasy_Hitters'!Z153</f>
        <v>0.28654999999999903</v>
      </c>
      <c r="AX131">
        <f>'2026_Fantasy_Hitters'!AA153</f>
        <v>0.19084999999999999</v>
      </c>
      <c r="AY131">
        <f>'2026_Fantasy_Hitters'!AB153</f>
        <v>0.10199999999999899</v>
      </c>
      <c r="AZ131">
        <f t="shared" si="65"/>
        <v>2.4829070000000002E-2</v>
      </c>
    </row>
    <row r="132" spans="1:52">
      <c r="A132" t="s">
        <v>1337</v>
      </c>
      <c r="B132" t="s">
        <v>376</v>
      </c>
      <c r="C132" t="s">
        <v>20</v>
      </c>
      <c r="D132">
        <v>477</v>
      </c>
      <c r="E132">
        <v>524</v>
      </c>
      <c r="F132" s="6">
        <f t="shared" si="44"/>
        <v>-1.6252810434425753</v>
      </c>
      <c r="G132" s="5">
        <f t="shared" si="45"/>
        <v>-8.7284940982845609E-3</v>
      </c>
      <c r="H132" s="5">
        <f t="shared" si="46"/>
        <v>2.7374910743023464E-2</v>
      </c>
      <c r="I132" s="5">
        <f t="shared" si="47"/>
        <v>-0.32850146736102731</v>
      </c>
      <c r="J132" s="5">
        <f t="shared" si="48"/>
        <v>-0.51270979351426682</v>
      </c>
      <c r="K132" s="5">
        <f t="shared" si="49"/>
        <v>-0.42330008420579085</v>
      </c>
      <c r="L132" s="5">
        <f t="shared" si="50"/>
        <v>-0.64549373440515789</v>
      </c>
      <c r="M132" s="5">
        <f t="shared" si="51"/>
        <v>0.2143224520214671</v>
      </c>
      <c r="N132" s="5">
        <f t="shared" si="52"/>
        <v>-6.0104829511535306E-2</v>
      </c>
      <c r="O132" s="5">
        <f t="shared" si="53"/>
        <v>0.41803416493377471</v>
      </c>
      <c r="P132" s="1">
        <f t="shared" si="54"/>
        <v>-0.30617416804477759</v>
      </c>
      <c r="R132">
        <f t="shared" si="55"/>
        <v>99.793650531663857</v>
      </c>
      <c r="S132">
        <f t="shared" si="56"/>
        <v>100.55741573892604</v>
      </c>
      <c r="T132">
        <f t="shared" si="57"/>
        <v>85.468463981333045</v>
      </c>
      <c r="U132">
        <f t="shared" si="58"/>
        <v>86.808449319145154</v>
      </c>
      <c r="V132">
        <f t="shared" si="59"/>
        <v>84.680294903533678</v>
      </c>
      <c r="W132">
        <f t="shared" si="60"/>
        <v>68.615806926860103</v>
      </c>
      <c r="X132">
        <f t="shared" si="61"/>
        <v>101.41449487558252</v>
      </c>
      <c r="Y132">
        <f t="shared" si="62"/>
        <v>99.339158196732171</v>
      </c>
      <c r="Z132">
        <f t="shared" si="63"/>
        <v>138.43793874497425</v>
      </c>
      <c r="AA132">
        <f t="shared" si="64"/>
        <v>88.879903910793075</v>
      </c>
      <c r="AC132">
        <f>'2026_Fantasy_Hitters'!F205</f>
        <v>121.55418117759001</v>
      </c>
      <c r="AD132">
        <f>'2026_Fantasy_Hitters'!G205</f>
        <v>76.944269739047371</v>
      </c>
      <c r="AE132">
        <f>'2026_Fantasy_Hitters'!H205</f>
        <v>25.340927159566494</v>
      </c>
      <c r="AF132">
        <f>'2026_Fantasy_Hitters'!I205</f>
        <v>3.0698417311993924</v>
      </c>
      <c r="AG132">
        <f>'2026_Fantasy_Hitters'!J205</f>
        <v>16.094969160000002</v>
      </c>
      <c r="AH132">
        <f>'2026_Fantasy_Hitters'!K205</f>
        <v>66.89361702127654</v>
      </c>
      <c r="AI132">
        <f>'2026_Fantasy_Hitters'!L205</f>
        <v>56.999999999999751</v>
      </c>
      <c r="AJ132">
        <f>'2026_Fantasy_Hitters'!M205</f>
        <v>39.771599999999999</v>
      </c>
      <c r="AK132">
        <f>'2026_Fantasy_Hitters'!N205</f>
        <v>0</v>
      </c>
      <c r="AL132">
        <f>'2026_Fantasy_Hitters'!O205</f>
        <v>145.7244</v>
      </c>
      <c r="AM132">
        <f>'2026_Fantasy_Hitters'!P205</f>
        <v>3.9487434800000001</v>
      </c>
      <c r="AN132">
        <f>'2026_Fantasy_Hitters'!Q205</f>
        <v>4.05415656</v>
      </c>
      <c r="AO132">
        <f>'2026_Fantasy_Hitters'!R205</f>
        <v>0</v>
      </c>
      <c r="AP132">
        <f>'2026_Fantasy_Hitters'!S205</f>
        <v>15.97678571428564</v>
      </c>
      <c r="AQ132">
        <f>'2026_Fantasy_Hitters'!T205</f>
        <v>4.9490856799999996</v>
      </c>
      <c r="AR132">
        <f>'2026_Fantasy_Hitters'!U205</f>
        <v>11.02770003428564</v>
      </c>
      <c r="AS132">
        <f>'2026_Fantasy_Hitters'!V205</f>
        <v>0.25483056850647801</v>
      </c>
      <c r="AT132">
        <f>'2026_Fantasy_Hitters'!W205</f>
        <v>0.31733170369532232</v>
      </c>
      <c r="AU132">
        <f>'2026_Fantasy_Hitters'!X205</f>
        <v>0.42183548404985022</v>
      </c>
      <c r="AV132">
        <f>'2026_Fantasy_Hitters'!Y205</f>
        <v>0.73916718774517254</v>
      </c>
      <c r="AW132">
        <f>'2026_Fantasy_Hitters'!Z205</f>
        <v>0.33034999999999998</v>
      </c>
      <c r="AX132">
        <f>'2026_Fantasy_Hitters'!AA205</f>
        <v>0.27810000000000001</v>
      </c>
      <c r="AY132">
        <f>'2026_Fantasy_Hitters'!AB205</f>
        <v>7.5899999999999995E-2</v>
      </c>
      <c r="AZ132">
        <f t="shared" si="65"/>
        <v>3.0715590000000004E-2</v>
      </c>
    </row>
    <row r="133" spans="1:52">
      <c r="A133" t="s">
        <v>1102</v>
      </c>
      <c r="B133" t="s">
        <v>130</v>
      </c>
      <c r="C133" t="s">
        <v>1103</v>
      </c>
      <c r="D133">
        <v>498</v>
      </c>
      <c r="E133">
        <v>579</v>
      </c>
      <c r="F133" s="6">
        <f t="shared" si="44"/>
        <v>-1.6365886842522839</v>
      </c>
      <c r="G133" s="5">
        <f t="shared" si="45"/>
        <v>8.0767971565867194E-3</v>
      </c>
      <c r="H133" s="5">
        <f t="shared" si="46"/>
        <v>-0.14267947650663085</v>
      </c>
      <c r="I133" s="5">
        <f t="shared" si="47"/>
        <v>-0.44346896846999223</v>
      </c>
      <c r="J133" s="5">
        <f t="shared" si="48"/>
        <v>-0.27594185280076489</v>
      </c>
      <c r="K133" s="5">
        <f t="shared" si="49"/>
        <v>0.83396839778746479</v>
      </c>
      <c r="L133" s="5">
        <f t="shared" si="50"/>
        <v>1.6451922619888042</v>
      </c>
      <c r="M133" s="5">
        <f t="shared" si="51"/>
        <v>-0.9404717788404009</v>
      </c>
      <c r="N133" s="5">
        <f t="shared" si="52"/>
        <v>-0.88866597803936609</v>
      </c>
      <c r="O133" s="5">
        <f t="shared" si="53"/>
        <v>-0.76218110297959318</v>
      </c>
      <c r="P133" s="1">
        <f t="shared" si="54"/>
        <v>-0.67041698354839119</v>
      </c>
      <c r="R133">
        <f t="shared" si="55"/>
        <v>100.19094276519562</v>
      </c>
      <c r="S133">
        <f t="shared" si="56"/>
        <v>97.09471981212657</v>
      </c>
      <c r="T133">
        <f t="shared" si="57"/>
        <v>80.382780812968392</v>
      </c>
      <c r="U133">
        <f t="shared" si="58"/>
        <v>92.900270323997518</v>
      </c>
      <c r="V133">
        <f t="shared" si="59"/>
        <v>130.18225223802455</v>
      </c>
      <c r="W133">
        <f t="shared" si="60"/>
        <v>179.98998106507381</v>
      </c>
      <c r="X133">
        <f t="shared" si="61"/>
        <v>93.793032417964099</v>
      </c>
      <c r="Y133">
        <f t="shared" si="62"/>
        <v>90.229277211118074</v>
      </c>
      <c r="Z133">
        <f t="shared" si="63"/>
        <v>29.917999516743535</v>
      </c>
      <c r="AA133">
        <f t="shared" si="64"/>
        <v>75.650782936710357</v>
      </c>
      <c r="AC133">
        <f>'2026_Fantasy_Hitters'!F172</f>
        <v>117.36846135816</v>
      </c>
      <c r="AD133">
        <f>'2026_Fantasy_Hitters'!G172</f>
        <v>76.210217432951922</v>
      </c>
      <c r="AE133">
        <f>'2026_Fantasy_Hitters'!H172</f>
        <v>23.99601580582738</v>
      </c>
      <c r="AF133">
        <f>'2026_Fantasy_Hitters'!I172</f>
        <v>2.01932448477474</v>
      </c>
      <c r="AG133">
        <f>'2026_Fantasy_Hitters'!J172</f>
        <v>15.137260199999998</v>
      </c>
      <c r="AH133">
        <f>'2026_Fantasy_Hitters'!K172</f>
        <v>67.159929701229743</v>
      </c>
      <c r="AI133">
        <f>'2026_Fantasy_Hitters'!L172</f>
        <v>60.999999999999787</v>
      </c>
      <c r="AJ133">
        <f>'2026_Fantasy_Hitters'!M172</f>
        <v>61.142400000000002</v>
      </c>
      <c r="AK133">
        <f>'2026_Fantasy_Hitters'!N172</f>
        <v>0.94192299000000002</v>
      </c>
      <c r="AL133">
        <f>'2026_Fantasy_Hitters'!O172</f>
        <v>115.8579</v>
      </c>
      <c r="AM133">
        <f>'2026_Fantasy_Hitters'!P172</f>
        <v>10.35817104</v>
      </c>
      <c r="AN133">
        <f>'2026_Fantasy_Hitters'!Q172</f>
        <v>4.07030052</v>
      </c>
      <c r="AO133">
        <f>'2026_Fantasy_Hitters'!R172</f>
        <v>2.8838079300000001</v>
      </c>
      <c r="AP133">
        <f>'2026_Fantasy_Hitters'!S172</f>
        <v>4.1488071299999998</v>
      </c>
      <c r="AQ133">
        <f>'2026_Fantasy_Hitters'!T172</f>
        <v>1.7655968099999999</v>
      </c>
      <c r="AR133">
        <f>'2026_Fantasy_Hitters'!U172</f>
        <v>2.3832103199999999</v>
      </c>
      <c r="AS133">
        <f>'2026_Fantasy_Hitters'!V172</f>
        <v>0.23567964128144581</v>
      </c>
      <c r="AT133">
        <f>'2026_Fantasy_Hitters'!W172</f>
        <v>0.3364520070884352</v>
      </c>
      <c r="AU133">
        <f>'2026_Fantasy_Hitters'!X172</f>
        <v>0.38315113112235116</v>
      </c>
      <c r="AV133">
        <f>'2026_Fantasy_Hitters'!Y172</f>
        <v>0.71960313821078636</v>
      </c>
      <c r="AW133">
        <f>'2026_Fantasy_Hitters'!Z172</f>
        <v>0.27550000000000002</v>
      </c>
      <c r="AX133">
        <f>'2026_Fantasy_Hitters'!AA172</f>
        <v>0.2001</v>
      </c>
      <c r="AY133">
        <f>'2026_Fantasy_Hitters'!AB172</f>
        <v>0.1056</v>
      </c>
      <c r="AZ133">
        <f t="shared" si="65"/>
        <v>2.6143799999999998E-2</v>
      </c>
    </row>
    <row r="134" spans="1:52">
      <c r="A134" t="s">
        <v>653</v>
      </c>
      <c r="B134" t="s">
        <v>630</v>
      </c>
      <c r="C134" t="s">
        <v>654</v>
      </c>
      <c r="D134">
        <v>491</v>
      </c>
      <c r="E134">
        <v>550</v>
      </c>
      <c r="F134" s="6">
        <f t="shared" si="44"/>
        <v>-1.8727654161123855</v>
      </c>
      <c r="G134" s="5">
        <f t="shared" si="45"/>
        <v>-0.31660024946197279</v>
      </c>
      <c r="H134" s="5">
        <f t="shared" si="46"/>
        <v>-0.54974200551739216</v>
      </c>
      <c r="I134" s="5">
        <f t="shared" si="47"/>
        <v>0.43190964654609826</v>
      </c>
      <c r="J134" s="5">
        <f t="shared" si="48"/>
        <v>0.25678601380461441</v>
      </c>
      <c r="K134" s="5">
        <f t="shared" si="49"/>
        <v>-8.0702835715349544E-2</v>
      </c>
      <c r="L134" s="5">
        <f t="shared" si="50"/>
        <v>1.2079505837866176</v>
      </c>
      <c r="M134" s="5">
        <f t="shared" si="51"/>
        <v>-1.9683514600334708</v>
      </c>
      <c r="N134" s="5">
        <f t="shared" si="52"/>
        <v>-0.42118458358211996</v>
      </c>
      <c r="O134" s="5">
        <f t="shared" si="53"/>
        <v>-0.9285626852397767</v>
      </c>
      <c r="P134" s="1">
        <f t="shared" si="54"/>
        <v>0.49573215930036629</v>
      </c>
      <c r="R134">
        <f t="shared" si="55"/>
        <v>92.515284719686179</v>
      </c>
      <c r="S134">
        <f t="shared" si="56"/>
        <v>88.805996516273353</v>
      </c>
      <c r="T134">
        <f t="shared" si="57"/>
        <v>119.1058829539311</v>
      </c>
      <c r="U134">
        <f t="shared" si="58"/>
        <v>106.60686758491534</v>
      </c>
      <c r="V134">
        <f t="shared" si="59"/>
        <v>97.079273806601137</v>
      </c>
      <c r="W134">
        <f t="shared" si="60"/>
        <v>158.73109578562674</v>
      </c>
      <c r="X134">
        <f t="shared" si="61"/>
        <v>87.009186264424699</v>
      </c>
      <c r="Y134">
        <f t="shared" si="62"/>
        <v>95.369151164973132</v>
      </c>
      <c r="Z134">
        <f t="shared" si="63"/>
        <v>14.619333513638296</v>
      </c>
      <c r="AA134">
        <f t="shared" si="64"/>
        <v>118.00474965322348</v>
      </c>
      <c r="AC134">
        <f>'2026_Fantasy_Hitters'!F95</f>
        <v>107.34902156019554</v>
      </c>
      <c r="AD134">
        <f>'2026_Fantasy_Hitters'!G95</f>
        <v>62.602650059740405</v>
      </c>
      <c r="AE134">
        <f>'2026_Fantasy_Hitters'!H95</f>
        <v>20.148924337044729</v>
      </c>
      <c r="AF134">
        <f>'2026_Fantasy_Hitters'!I95</f>
        <v>2.0752453511064357</v>
      </c>
      <c r="AG134">
        <f>'2026_Fantasy_Hitters'!J95</f>
        <v>22.429390018484238</v>
      </c>
      <c r="AH134">
        <f>'2026_Fantasy_Hitters'!K95</f>
        <v>62.014787430683455</v>
      </c>
      <c r="AI134">
        <f>'2026_Fantasy_Hitters'!L95</f>
        <v>69.999999999999858</v>
      </c>
      <c r="AJ134">
        <f>'2026_Fantasy_Hitters'!M95</f>
        <v>45.594999999999999</v>
      </c>
      <c r="AK134">
        <f>'2026_Fantasy_Hitters'!N95</f>
        <v>1.1902055</v>
      </c>
      <c r="AL134">
        <f>'2026_Fantasy_Hitters'!O95</f>
        <v>164.17499999999998</v>
      </c>
      <c r="AM134">
        <f>'2026_Fantasy_Hitters'!P95</f>
        <v>9.1347520000000006</v>
      </c>
      <c r="AN134">
        <f>'2026_Fantasy_Hitters'!Q95</f>
        <v>4.0665459999999998</v>
      </c>
      <c r="AO134">
        <f>'2026_Fantasy_Hitters'!R95</f>
        <v>0</v>
      </c>
      <c r="AP134">
        <f>'2026_Fantasy_Hitters'!S95</f>
        <v>2.185216</v>
      </c>
      <c r="AQ134">
        <f>'2026_Fantasy_Hitters'!T95</f>
        <v>1.0206679999999999</v>
      </c>
      <c r="AR134">
        <f>'2026_Fantasy_Hitters'!U95</f>
        <v>1.1645480000000001</v>
      </c>
      <c r="AS134">
        <f>'2026_Fantasy_Hitters'!V95</f>
        <v>0.21863344513278113</v>
      </c>
      <c r="AT134">
        <f>'2026_Fantasy_Hitters'!W95</f>
        <v>0.30131669521824089</v>
      </c>
      <c r="AU134">
        <f>'2026_Fantasy_Hitters'!X95</f>
        <v>0.40497717894314889</v>
      </c>
      <c r="AV134">
        <f>'2026_Fantasy_Hitters'!Y95</f>
        <v>0.70629387416138978</v>
      </c>
      <c r="AW134">
        <f>'2026_Fantasy_Hitters'!Z95</f>
        <v>0.27529999999999999</v>
      </c>
      <c r="AX134">
        <f>'2026_Fantasy_Hitters'!AA95</f>
        <v>0.29849999999999999</v>
      </c>
      <c r="AY134">
        <f>'2026_Fantasy_Hitters'!AB95</f>
        <v>8.2900000000000001E-2</v>
      </c>
      <c r="AZ134">
        <f t="shared" si="65"/>
        <v>4.0780709124516798E-2</v>
      </c>
    </row>
    <row r="135" spans="1:52">
      <c r="A135" t="s">
        <v>983</v>
      </c>
      <c r="B135" t="s">
        <v>58</v>
      </c>
      <c r="C135" t="s">
        <v>169</v>
      </c>
      <c r="D135">
        <v>473</v>
      </c>
      <c r="E135">
        <v>534</v>
      </c>
      <c r="F135" s="6">
        <f t="shared" si="44"/>
        <v>-1.9241407059391218</v>
      </c>
      <c r="G135" s="5">
        <f t="shared" si="45"/>
        <v>-6.6580812966830008E-2</v>
      </c>
      <c r="H135" s="5">
        <f t="shared" si="46"/>
        <v>-0.35302949985310739</v>
      </c>
      <c r="I135" s="5">
        <f t="shared" si="47"/>
        <v>-0.17513101459385219</v>
      </c>
      <c r="J135" s="5">
        <f t="shared" si="48"/>
        <v>-0.57190177869265557</v>
      </c>
      <c r="K135" s="5">
        <f t="shared" si="49"/>
        <v>6.1174336462338476E-2</v>
      </c>
      <c r="L135" s="5">
        <f t="shared" si="50"/>
        <v>0.14722376289451852</v>
      </c>
      <c r="M135" s="5">
        <f t="shared" si="51"/>
        <v>-0.84939327890299432</v>
      </c>
      <c r="N135" s="5">
        <f t="shared" si="52"/>
        <v>-0.53422483012968014</v>
      </c>
      <c r="O135" s="5">
        <f t="shared" si="53"/>
        <v>0.57910579827482722</v>
      </c>
      <c r="P135" s="1">
        <f t="shared" si="54"/>
        <v>-0.16138338843168659</v>
      </c>
      <c r="R135">
        <f t="shared" si="55"/>
        <v>98.425969565610174</v>
      </c>
      <c r="S135">
        <f t="shared" si="56"/>
        <v>92.811512652203689</v>
      </c>
      <c r="T135">
        <f t="shared" si="57"/>
        <v>92.252933702243297</v>
      </c>
      <c r="U135">
        <f t="shared" si="58"/>
        <v>85.285494067931722</v>
      </c>
      <c r="V135">
        <f t="shared" si="59"/>
        <v>102.21396788954881</v>
      </c>
      <c r="W135">
        <f t="shared" si="60"/>
        <v>107.15808497179862</v>
      </c>
      <c r="X135">
        <f t="shared" si="61"/>
        <v>94.394136363080861</v>
      </c>
      <c r="Y135">
        <f t="shared" si="62"/>
        <v>94.126293960695037</v>
      </c>
      <c r="Z135">
        <f t="shared" si="63"/>
        <v>153.24835879018073</v>
      </c>
      <c r="AA135">
        <f t="shared" si="64"/>
        <v>94.13863423546664</v>
      </c>
      <c r="AC135">
        <f>'2026_Fantasy_Hitters'!F152</f>
        <v>112.190904483686</v>
      </c>
      <c r="AD135">
        <f>'2026_Fantasy_Hitters'!G152</f>
        <v>70.200272530579326</v>
      </c>
      <c r="AE135">
        <f>'2026_Fantasy_Hitters'!H152</f>
        <v>21.721965783417051</v>
      </c>
      <c r="AF135">
        <f>'2026_Fantasy_Hitters'!I152</f>
        <v>1.9744385824078026</v>
      </c>
      <c r="AG135">
        <f>'2026_Fantasy_Hitters'!J152</f>
        <v>17.372584620000001</v>
      </c>
      <c r="AH135">
        <f>'2026_Fantasy_Hitters'!K152</f>
        <v>65.976833976833689</v>
      </c>
      <c r="AI135">
        <f>'2026_Fantasy_Hitters'!L152</f>
        <v>55.999999999999524</v>
      </c>
      <c r="AJ135">
        <f>'2026_Fantasy_Hitters'!M152</f>
        <v>48.006599999999999</v>
      </c>
      <c r="AK135">
        <f>'2026_Fantasy_Hitters'!N152</f>
        <v>0.15463572</v>
      </c>
      <c r="AL135">
        <f>'2026_Fantasy_Hitters'!O152</f>
        <v>147.89129999999997</v>
      </c>
      <c r="AM135">
        <f>'2026_Fantasy_Hitters'!P152</f>
        <v>6.1667975400000001</v>
      </c>
      <c r="AN135">
        <f>'2026_Fantasy_Hitters'!Q152</f>
        <v>3.0926663400000001</v>
      </c>
      <c r="AO135">
        <f>'2026_Fantasy_Hitters'!R152</f>
        <v>1.97337564</v>
      </c>
      <c r="AP135">
        <f>'2026_Fantasy_Hitters'!S152</f>
        <v>16.117695300000001</v>
      </c>
      <c r="AQ135">
        <f>'2026_Fantasy_Hitters'!T152</f>
        <v>3.9102256799999999</v>
      </c>
      <c r="AR135">
        <f>'2026_Fantasy_Hitters'!U152</f>
        <v>12.207469620000001</v>
      </c>
      <c r="AS135">
        <f>'2026_Fantasy_Hitters'!V152</f>
        <v>0.23719007290419872</v>
      </c>
      <c r="AT135">
        <f>'2026_Fantasy_Hitters'!W152</f>
        <v>0.3176303258580766</v>
      </c>
      <c r="AU135">
        <f>'2026_Fantasy_Hitters'!X152</f>
        <v>0.39969948905842884</v>
      </c>
      <c r="AV135">
        <f>'2026_Fantasy_Hitters'!Y152</f>
        <v>0.71732981491650549</v>
      </c>
      <c r="AW135">
        <f>'2026_Fantasy_Hitters'!Z152</f>
        <v>0.30504999999999999</v>
      </c>
      <c r="AX135">
        <f>'2026_Fantasy_Hitters'!AA152</f>
        <v>0.27694999999999997</v>
      </c>
      <c r="AY135">
        <f>'2026_Fantasy_Hitters'!AB152</f>
        <v>8.9899999999999994E-2</v>
      </c>
      <c r="AZ135">
        <f t="shared" si="65"/>
        <v>3.2532930000000002E-2</v>
      </c>
    </row>
    <row r="136" spans="1:52">
      <c r="A136" t="s">
        <v>1088</v>
      </c>
      <c r="B136" t="s">
        <v>257</v>
      </c>
      <c r="C136" t="s">
        <v>163</v>
      </c>
      <c r="D136">
        <v>476</v>
      </c>
      <c r="E136">
        <v>535</v>
      </c>
      <c r="F136" s="6">
        <f t="shared" si="44"/>
        <v>-1.9848868341329129</v>
      </c>
      <c r="G136" s="5">
        <f t="shared" si="45"/>
        <v>-0.3369774129281809</v>
      </c>
      <c r="H136" s="5">
        <f t="shared" si="46"/>
        <v>-7.1133953374025574E-2</v>
      </c>
      <c r="I136" s="5">
        <f t="shared" si="47"/>
        <v>-1.1571788754352037</v>
      </c>
      <c r="J136" s="5">
        <f t="shared" si="48"/>
        <v>-0.69028574904938778</v>
      </c>
      <c r="K136" s="5">
        <f t="shared" si="49"/>
        <v>-0.77391013367923134</v>
      </c>
      <c r="L136" s="5">
        <f t="shared" si="50"/>
        <v>2.7440099100157469</v>
      </c>
      <c r="M136" s="5">
        <f t="shared" si="51"/>
        <v>-6.0556202026518985E-2</v>
      </c>
      <c r="N136" s="5">
        <f t="shared" si="52"/>
        <v>-1.3453843458024737</v>
      </c>
      <c r="O136" s="5">
        <f t="shared" si="53"/>
        <v>1.0910238946267543</v>
      </c>
      <c r="P136" s="1">
        <f t="shared" si="54"/>
        <v>-1.3844939664803926</v>
      </c>
      <c r="R136">
        <f t="shared" si="55"/>
        <v>92.033550207397681</v>
      </c>
      <c r="S136">
        <f t="shared" si="56"/>
        <v>98.551550156458148</v>
      </c>
      <c r="T136">
        <f t="shared" si="57"/>
        <v>48.811228627034687</v>
      </c>
      <c r="U136">
        <f t="shared" si="58"/>
        <v>82.239583565506024</v>
      </c>
      <c r="V136">
        <f t="shared" si="59"/>
        <v>71.991323740515369</v>
      </c>
      <c r="W136">
        <f t="shared" si="60"/>
        <v>233.41498487185822</v>
      </c>
      <c r="X136">
        <f t="shared" si="61"/>
        <v>99.600338477638061</v>
      </c>
      <c r="Y136">
        <f t="shared" si="62"/>
        <v>85.207740802298531</v>
      </c>
      <c r="Z136">
        <f t="shared" si="63"/>
        <v>200.31885704272537</v>
      </c>
      <c r="AA136">
        <f t="shared" si="64"/>
        <v>49.715856041984196</v>
      </c>
      <c r="AC136">
        <f>'2026_Fantasy_Hitters'!F169</f>
        <v>119.1294833406625</v>
      </c>
      <c r="AD136">
        <f>'2026_Fantasy_Hitters'!G169</f>
        <v>85.389379741415723</v>
      </c>
      <c r="AE136">
        <f>'2026_Fantasy_Hitters'!H169</f>
        <v>22.178855039019115</v>
      </c>
      <c r="AF136">
        <f>'2026_Fantasy_Hitters'!I169</f>
        <v>1.9051183522045372</v>
      </c>
      <c r="AG136">
        <f>'2026_Fantasy_Hitters'!J169</f>
        <v>9.19187245</v>
      </c>
      <c r="AH136">
        <f>'2026_Fantasy_Hitters'!K169</f>
        <v>61.691871455576063</v>
      </c>
      <c r="AI136">
        <f>'2026_Fantasy_Hitters'!L169</f>
        <v>53.999999999999822</v>
      </c>
      <c r="AJ136">
        <f>'2026_Fantasy_Hitters'!M169</f>
        <v>33.812000000000005</v>
      </c>
      <c r="AK136">
        <f>'2026_Fantasy_Hitters'!N169</f>
        <v>0.25170144999999999</v>
      </c>
      <c r="AL136">
        <f>'2026_Fantasy_Hitters'!O169</f>
        <v>58.716250000000002</v>
      </c>
      <c r="AM136">
        <f>'2026_Fantasy_Hitters'!P169</f>
        <v>13.4327051</v>
      </c>
      <c r="AN136">
        <f>'2026_Fantasy_Hitters'!Q169</f>
        <v>4.0453704000000004</v>
      </c>
      <c r="AO136">
        <f>'2026_Fantasy_Hitters'!R169</f>
        <v>3.08214035</v>
      </c>
      <c r="AP136">
        <f>'2026_Fantasy_Hitters'!S169</f>
        <v>21.959823999999998</v>
      </c>
      <c r="AQ136">
        <f>'2026_Fantasy_Hitters'!T169</f>
        <v>6.0028089887640057</v>
      </c>
      <c r="AR136">
        <f>'2026_Fantasy_Hitters'!U169</f>
        <v>15.957015011235992</v>
      </c>
      <c r="AS136">
        <f>'2026_Fantasy_Hitters'!V169</f>
        <v>0.25027202382492125</v>
      </c>
      <c r="AT136">
        <f>'2026_Fantasy_Hitters'!W169</f>
        <v>0.32410610707775728</v>
      </c>
      <c r="AU136">
        <f>'2026_Fantasy_Hitters'!X169</f>
        <v>0.3618275938572848</v>
      </c>
      <c r="AV136">
        <f>'2026_Fantasy_Hitters'!Y169</f>
        <v>0.68593370093504213</v>
      </c>
      <c r="AW136">
        <f>'2026_Fantasy_Hitters'!Z169</f>
        <v>0.26674999999999999</v>
      </c>
      <c r="AX136">
        <f>'2026_Fantasy_Hitters'!AA169</f>
        <v>0.10975</v>
      </c>
      <c r="AY136">
        <f>'2026_Fantasy_Hitters'!AB169</f>
        <v>6.3200000000000006E-2</v>
      </c>
      <c r="AZ136">
        <f t="shared" si="65"/>
        <v>1.718107E-2</v>
      </c>
    </row>
    <row r="137" spans="1:52">
      <c r="A137" t="s">
        <v>862</v>
      </c>
      <c r="B137" t="s">
        <v>200</v>
      </c>
      <c r="C137" t="s">
        <v>49</v>
      </c>
      <c r="D137">
        <v>421</v>
      </c>
      <c r="E137">
        <v>489</v>
      </c>
      <c r="F137" s="6">
        <f t="shared" si="44"/>
        <v>-2.118211119781197</v>
      </c>
      <c r="G137" s="5">
        <f t="shared" si="45"/>
        <v>-0.60338623341618414</v>
      </c>
      <c r="H137" s="5">
        <f t="shared" si="46"/>
        <v>-0.88079008602978559</v>
      </c>
      <c r="I137" s="5">
        <f t="shared" si="47"/>
        <v>-5.9765689077643402E-2</v>
      </c>
      <c r="J137" s="5">
        <f t="shared" si="48"/>
        <v>-0.21674986762239826</v>
      </c>
      <c r="K137" s="5">
        <f t="shared" si="49"/>
        <v>0.41867939529853682</v>
      </c>
      <c r="L137" s="5">
        <f t="shared" si="50"/>
        <v>1.2194056728594231</v>
      </c>
      <c r="M137" s="5">
        <f t="shared" si="51"/>
        <v>-0.94341186322449444</v>
      </c>
      <c r="N137" s="5">
        <f t="shared" si="52"/>
        <v>-0.19798168532432961</v>
      </c>
      <c r="O137" s="5">
        <f t="shared" si="53"/>
        <v>-1.0879286784140949</v>
      </c>
      <c r="P137" s="1">
        <f t="shared" si="54"/>
        <v>0.23371791516977375</v>
      </c>
      <c r="R137">
        <f t="shared" si="55"/>
        <v>85.735405550514102</v>
      </c>
      <c r="S137">
        <f t="shared" si="56"/>
        <v>82.06510109743212</v>
      </c>
      <c r="T137">
        <f t="shared" si="57"/>
        <v>97.356214964611638</v>
      </c>
      <c r="U137">
        <f t="shared" si="58"/>
        <v>94.423225575210381</v>
      </c>
      <c r="V137">
        <f t="shared" si="59"/>
        <v>115.15247717933836</v>
      </c>
      <c r="W137">
        <f t="shared" si="60"/>
        <v>159.28804732205373</v>
      </c>
      <c r="X137">
        <f t="shared" si="61"/>
        <v>93.773628317946319</v>
      </c>
      <c r="Y137">
        <f t="shared" si="62"/>
        <v>97.823226935223062</v>
      </c>
      <c r="Z137">
        <f t="shared" si="63"/>
        <v>-3.4254153381382935E-2</v>
      </c>
      <c r="AA137">
        <f t="shared" si="64"/>
        <v>108.48852040998104</v>
      </c>
      <c r="AC137">
        <f>'2026_Fantasy_Hitters'!F130</f>
        <v>99.200601903425991</v>
      </c>
      <c r="AD137">
        <f>'2026_Fantasy_Hitters'!G130</f>
        <v>62.705615197131522</v>
      </c>
      <c r="AE137">
        <f>'2026_Fantasy_Hitters'!H130</f>
        <v>18.138916092310094</v>
      </c>
      <c r="AF137">
        <f>'2026_Fantasy_Hitters'!I130</f>
        <v>0.85492262951892595</v>
      </c>
      <c r="AG137">
        <f>'2026_Fantasy_Hitters'!J130</f>
        <v>18.333607559999997</v>
      </c>
      <c r="AH137">
        <f>'2026_Fantasy_Hitters'!K130</f>
        <v>57.470103092783361</v>
      </c>
      <c r="AI137">
        <f>'2026_Fantasy_Hitters'!L130</f>
        <v>61.999999999999645</v>
      </c>
      <c r="AJ137">
        <f>'2026_Fantasy_Hitters'!M130</f>
        <v>54.083400000000005</v>
      </c>
      <c r="AK137">
        <f>'2026_Fantasy_Hitters'!N130</f>
        <v>0</v>
      </c>
      <c r="AL137">
        <f>'2026_Fantasy_Hitters'!O130</f>
        <v>82.323149999999998</v>
      </c>
      <c r="AM137">
        <f>'2026_Fantasy_Hitters'!P130</f>
        <v>9.1668037799999986</v>
      </c>
      <c r="AN137">
        <f>'2026_Fantasy_Hitters'!Q130</f>
        <v>4.0329883799999999</v>
      </c>
      <c r="AO137">
        <f>'2026_Fantasy_Hitters'!R130</f>
        <v>0</v>
      </c>
      <c r="AP137">
        <f>'2026_Fantasy_Hitters'!S130</f>
        <v>1.00682655</v>
      </c>
      <c r="AQ137">
        <f>'2026_Fantasy_Hitters'!T130</f>
        <v>1.0095551700000001</v>
      </c>
      <c r="AR137">
        <f>'2026_Fantasy_Hitters'!U130</f>
        <v>-2.7286200000000704E-3</v>
      </c>
      <c r="AS137">
        <f>'2026_Fantasy_Hitters'!V130</f>
        <v>0.23563088338105936</v>
      </c>
      <c r="AT137">
        <f>'2026_Fantasy_Hitters'!W130</f>
        <v>0.33906334582440112</v>
      </c>
      <c r="AU137">
        <f>'2026_Fantasy_Hitters'!X130</f>
        <v>0.4153982078629655</v>
      </c>
      <c r="AV137">
        <f>'2026_Fantasy_Hitters'!Y130</f>
        <v>0.75446155368736667</v>
      </c>
      <c r="AW137">
        <f>'2026_Fantasy_Hitters'!Z130</f>
        <v>0.24929999999999999</v>
      </c>
      <c r="AX137">
        <f>'2026_Fantasy_Hitters'!AA130</f>
        <v>0.16835</v>
      </c>
      <c r="AY137">
        <f>'2026_Fantasy_Hitters'!AB130</f>
        <v>0.1106</v>
      </c>
      <c r="AZ137">
        <f t="shared" si="65"/>
        <v>3.7492039999999997E-2</v>
      </c>
    </row>
    <row r="138" spans="1:52">
      <c r="A138" t="s">
        <v>758</v>
      </c>
      <c r="B138" t="s">
        <v>200</v>
      </c>
      <c r="C138" t="s">
        <v>87</v>
      </c>
      <c r="D138">
        <v>486</v>
      </c>
      <c r="E138">
        <v>516</v>
      </c>
      <c r="F138" s="6">
        <f t="shared" si="44"/>
        <v>-2.1953558513647966</v>
      </c>
      <c r="G138" s="5">
        <f t="shared" si="45"/>
        <v>-0.54257466746734517</v>
      </c>
      <c r="H138" s="5">
        <f t="shared" si="46"/>
        <v>0.40845111440405207</v>
      </c>
      <c r="I138" s="5">
        <f t="shared" si="47"/>
        <v>-9.4467763818884373E-2</v>
      </c>
      <c r="J138" s="5">
        <f t="shared" si="48"/>
        <v>7.9210058269495703E-2</v>
      </c>
      <c r="K138" s="5">
        <f t="shared" si="49"/>
        <v>-1.4365134737036405</v>
      </c>
      <c r="L138" s="5">
        <f t="shared" si="50"/>
        <v>-0.99382834363231987</v>
      </c>
      <c r="M138" s="5">
        <f t="shared" si="51"/>
        <v>1.0935480792574663</v>
      </c>
      <c r="N138" s="5">
        <f t="shared" si="52"/>
        <v>0.21060779462160883</v>
      </c>
      <c r="O138" s="5">
        <f t="shared" si="53"/>
        <v>-0.95257264896223048</v>
      </c>
      <c r="P138" s="1">
        <f t="shared" si="54"/>
        <v>3.27839996670009E-2</v>
      </c>
      <c r="R138">
        <f t="shared" si="55"/>
        <v>87.173045785007204</v>
      </c>
      <c r="S138">
        <f t="shared" si="56"/>
        <v>108.31699806760795</v>
      </c>
      <c r="T138">
        <f t="shared" si="57"/>
        <v>95.821139784960721</v>
      </c>
      <c r="U138">
        <f t="shared" si="58"/>
        <v>102.03800183127626</v>
      </c>
      <c r="V138">
        <f t="shared" si="59"/>
        <v>48.010965257589888</v>
      </c>
      <c r="W138">
        <f t="shared" si="60"/>
        <v>51.679622968209685</v>
      </c>
      <c r="X138">
        <f t="shared" si="61"/>
        <v>107.21724737526722</v>
      </c>
      <c r="Y138">
        <f t="shared" si="62"/>
        <v>102.31559486835025</v>
      </c>
      <c r="Z138">
        <f t="shared" si="63"/>
        <v>12.411634736245446</v>
      </c>
      <c r="AA138">
        <f t="shared" si="64"/>
        <v>101.19069883920547</v>
      </c>
      <c r="AC138">
        <f>'2026_Fantasy_Hitters'!F112</f>
        <v>130.93399339046402</v>
      </c>
      <c r="AD138">
        <f>'2026_Fantasy_Hitters'!G112</f>
        <v>88.03263783891029</v>
      </c>
      <c r="AE138">
        <f>'2026_Fantasy_Hitters'!H112</f>
        <v>23.926785202701442</v>
      </c>
      <c r="AF138">
        <f>'2026_Fantasy_Hitters'!I112</f>
        <v>1.0301208660965069</v>
      </c>
      <c r="AG138">
        <f>'2026_Fantasy_Hitters'!J112</f>
        <v>18.04453032</v>
      </c>
      <c r="AH138">
        <f>'2026_Fantasy_Hitters'!K112</f>
        <v>58.433781190019076</v>
      </c>
      <c r="AI138">
        <f>'2026_Fantasy_Hitters'!L112</f>
        <v>66.999999999999957</v>
      </c>
      <c r="AJ138">
        <f>'2026_Fantasy_Hitters'!M112</f>
        <v>22.549200000000003</v>
      </c>
      <c r="AK138">
        <f>'2026_Fantasy_Hitters'!N112</f>
        <v>1.00887288</v>
      </c>
      <c r="AL138">
        <f>'2026_Fantasy_Hitters'!O112</f>
        <v>89.500199999999992</v>
      </c>
      <c r="AM138">
        <f>'2026_Fantasy_Hitters'!P112</f>
        <v>2.97408984</v>
      </c>
      <c r="AN138">
        <f>'2026_Fantasy_Hitters'!Q112</f>
        <v>3.96161064</v>
      </c>
      <c r="AO138">
        <f>'2026_Fantasy_Hitters'!R112</f>
        <v>0.90000204000000006</v>
      </c>
      <c r="AP138">
        <f>'2026_Fantasy_Hitters'!S112</f>
        <v>1.25687796</v>
      </c>
      <c r="AQ138">
        <f>'2026_Fantasy_Hitters'!T112</f>
        <v>0.26819100000000001</v>
      </c>
      <c r="AR138">
        <f>'2026_Fantasy_Hitters'!U112</f>
        <v>0.98868695999999989</v>
      </c>
      <c r="AS138">
        <f>'2026_Fantasy_Hitters'!V112</f>
        <v>0.26941150903387662</v>
      </c>
      <c r="AT138">
        <f>'2026_Fantasy_Hitters'!W112</f>
        <v>0.30664093541865423</v>
      </c>
      <c r="AU138">
        <f>'2026_Fantasy_Hitters'!X112</f>
        <v>0.43447467514938826</v>
      </c>
      <c r="AV138">
        <f>'2026_Fantasy_Hitters'!Y112</f>
        <v>0.74111561056804254</v>
      </c>
      <c r="AW138">
        <f>'2026_Fantasy_Hitters'!Z112</f>
        <v>0.29520000000000002</v>
      </c>
      <c r="AX138">
        <f>'2026_Fantasy_Hitters'!AA112</f>
        <v>0.17344999999999999</v>
      </c>
      <c r="AY138">
        <f>'2026_Fantasy_Hitters'!AB112</f>
        <v>4.3700000000000003E-2</v>
      </c>
      <c r="AZ138">
        <f t="shared" si="65"/>
        <v>3.4970019999999997E-2</v>
      </c>
    </row>
    <row r="139" spans="1:52">
      <c r="A139" t="s">
        <v>608</v>
      </c>
      <c r="B139" t="s">
        <v>58</v>
      </c>
      <c r="C139" t="s">
        <v>609</v>
      </c>
      <c r="D139">
        <v>471</v>
      </c>
      <c r="E139">
        <v>510</v>
      </c>
      <c r="F139" s="6">
        <f t="shared" si="44"/>
        <v>-2.3212236497611931</v>
      </c>
      <c r="G139" s="5">
        <f t="shared" si="45"/>
        <v>-0.36548219504931412</v>
      </c>
      <c r="H139" s="5">
        <f t="shared" si="46"/>
        <v>-9.0950245035694224E-2</v>
      </c>
      <c r="I139" s="5">
        <f t="shared" si="47"/>
        <v>-0.22463079166065253</v>
      </c>
      <c r="J139" s="5">
        <f t="shared" si="48"/>
        <v>-0.39432582315753023</v>
      </c>
      <c r="K139" s="5">
        <f t="shared" si="49"/>
        <v>-0.96287574863806979</v>
      </c>
      <c r="L139" s="5">
        <f t="shared" si="50"/>
        <v>-0.26344998188858193</v>
      </c>
      <c r="M139" s="5">
        <f t="shared" si="51"/>
        <v>3.7203715616933072E-2</v>
      </c>
      <c r="N139" s="5">
        <f t="shared" si="52"/>
        <v>-0.14854875167193343</v>
      </c>
      <c r="O139" s="5">
        <f t="shared" si="53"/>
        <v>0.19566145279860547</v>
      </c>
      <c r="P139" s="1">
        <f t="shared" si="54"/>
        <v>-0.10382528107495533</v>
      </c>
      <c r="R139">
        <f t="shared" si="55"/>
        <v>91.359671463882393</v>
      </c>
      <c r="S139">
        <f t="shared" si="56"/>
        <v>98.148045174723137</v>
      </c>
      <c r="T139">
        <f t="shared" si="57"/>
        <v>90.063269835166352</v>
      </c>
      <c r="U139">
        <f t="shared" si="58"/>
        <v>89.854359821570966</v>
      </c>
      <c r="V139">
        <f t="shared" si="59"/>
        <v>65.152446068252985</v>
      </c>
      <c r="W139">
        <f t="shared" si="60"/>
        <v>87.190944456918956</v>
      </c>
      <c r="X139">
        <f t="shared" si="61"/>
        <v>100.2455387412585</v>
      </c>
      <c r="Y139">
        <f t="shared" si="62"/>
        <v>98.366733160615382</v>
      </c>
      <c r="Z139">
        <f t="shared" si="63"/>
        <v>117.99092889600763</v>
      </c>
      <c r="AA139">
        <f t="shared" si="64"/>
        <v>96.229116553446318</v>
      </c>
      <c r="AC139">
        <f>'2026_Fantasy_Hitters'!F89</f>
        <v>118.64172500583</v>
      </c>
      <c r="AD139">
        <f>'2026_Fantasy_Hitters'!G89</f>
        <v>76.449879864841193</v>
      </c>
      <c r="AE139">
        <f>'2026_Fantasy_Hitters'!H89</f>
        <v>23.328853875463722</v>
      </c>
      <c r="AF139">
        <f>'2026_Fantasy_Hitters'!I89</f>
        <v>1.9303532804638823</v>
      </c>
      <c r="AG139">
        <f>'2026_Fantasy_Hitters'!J89</f>
        <v>16.960238700000001</v>
      </c>
      <c r="AH139">
        <f>'2026_Fantasy_Hitters'!K89</f>
        <v>61.240157480314799</v>
      </c>
      <c r="AI139">
        <f>'2026_Fantasy_Hitters'!L89</f>
        <v>58.999999999999531</v>
      </c>
      <c r="AJ139">
        <f>'2026_Fantasy_Hitters'!M89</f>
        <v>30.599999999999998</v>
      </c>
      <c r="AK139">
        <f>'2026_Fantasy_Hitters'!N89</f>
        <v>0.96982619999999997</v>
      </c>
      <c r="AL139">
        <f>'2026_Fantasy_Hitters'!O89</f>
        <v>113.47500000000001</v>
      </c>
      <c r="AM139">
        <f>'2026_Fantasy_Hitters'!P89</f>
        <v>5.0177166</v>
      </c>
      <c r="AN139">
        <f>'2026_Fantasy_Hitters'!Q89</f>
        <v>3.0118100999999999</v>
      </c>
      <c r="AO139">
        <f>'2026_Fantasy_Hitters'!R89</f>
        <v>0.90000210000000003</v>
      </c>
      <c r="AP139">
        <f>'2026_Fantasy_Hitters'!S89</f>
        <v>14.284786641929458</v>
      </c>
      <c r="AQ139">
        <f>'2026_Fantasy_Hitters'!T89</f>
        <v>4.8858560999999998</v>
      </c>
      <c r="AR139">
        <f>'2026_Fantasy_Hitters'!U89</f>
        <v>9.3989305419294578</v>
      </c>
      <c r="AS139">
        <f>'2026_Fantasy_Hitters'!V89</f>
        <v>0.25189325903573245</v>
      </c>
      <c r="AT139">
        <f>'2026_Fantasy_Hitters'!W89</f>
        <v>0.3070310641459309</v>
      </c>
      <c r="AU139">
        <f>'2026_Fantasy_Hitters'!X89</f>
        <v>0.41770616190479892</v>
      </c>
      <c r="AV139">
        <f>'2026_Fantasy_Hitters'!Y89</f>
        <v>0.72473722605072988</v>
      </c>
      <c r="AW139">
        <f>'2026_Fantasy_Hitters'!Z89</f>
        <v>0.29594999999999999</v>
      </c>
      <c r="AX139">
        <f>'2026_Fantasy_Hitters'!AA89</f>
        <v>0.2225</v>
      </c>
      <c r="AY139">
        <f>'2026_Fantasy_Hitters'!AB89</f>
        <v>0.06</v>
      </c>
      <c r="AZ139">
        <f t="shared" si="65"/>
        <v>3.3255369999999999E-2</v>
      </c>
    </row>
    <row r="140" spans="1:52">
      <c r="A140" t="s">
        <v>834</v>
      </c>
      <c r="B140" t="s">
        <v>40</v>
      </c>
      <c r="C140" t="s">
        <v>163</v>
      </c>
      <c r="D140">
        <v>453</v>
      </c>
      <c r="E140">
        <v>509</v>
      </c>
      <c r="F140" s="6">
        <f t="shared" si="44"/>
        <v>-2.3664352373313617</v>
      </c>
      <c r="G140" s="5">
        <f t="shared" si="45"/>
        <v>-0.439828184148574</v>
      </c>
      <c r="H140" s="5">
        <f t="shared" si="46"/>
        <v>-0.44529681963519779</v>
      </c>
      <c r="I140" s="5">
        <f t="shared" si="47"/>
        <v>8.118961898785694E-2</v>
      </c>
      <c r="J140" s="5">
        <f t="shared" si="48"/>
        <v>0.19759402862623782</v>
      </c>
      <c r="K140" s="5">
        <f t="shared" si="49"/>
        <v>-5.0087111548294587E-2</v>
      </c>
      <c r="L140" s="5">
        <f t="shared" si="50"/>
        <v>-0.63975541803690472</v>
      </c>
      <c r="M140" s="5">
        <f t="shared" si="51"/>
        <v>-0.52024330231603677</v>
      </c>
      <c r="N140" s="5">
        <f t="shared" si="52"/>
        <v>-0.21874175657769085</v>
      </c>
      <c r="O140" s="5">
        <f t="shared" si="53"/>
        <v>-0.63140660155070316</v>
      </c>
      <c r="P140" s="1">
        <f t="shared" si="54"/>
        <v>0.30014030886794524</v>
      </c>
      <c r="R140">
        <f t="shared" si="55"/>
        <v>89.602065266202786</v>
      </c>
      <c r="S140">
        <f t="shared" si="56"/>
        <v>90.932739175356517</v>
      </c>
      <c r="T140">
        <f t="shared" si="57"/>
        <v>103.59149041902847</v>
      </c>
      <c r="U140">
        <f t="shared" si="58"/>
        <v>105.08391233370222</v>
      </c>
      <c r="V140">
        <f t="shared" si="59"/>
        <v>98.187291222742289</v>
      </c>
      <c r="W140">
        <f t="shared" si="60"/>
        <v>68.894806426339329</v>
      </c>
      <c r="X140">
        <f t="shared" si="61"/>
        <v>96.566475055499865</v>
      </c>
      <c r="Y140">
        <f t="shared" si="62"/>
        <v>97.594973681124657</v>
      </c>
      <c r="Z140">
        <f t="shared" si="63"/>
        <v>41.942620222385038</v>
      </c>
      <c r="AA140">
        <f t="shared" si="64"/>
        <v>110.90094927396927</v>
      </c>
      <c r="AC140">
        <f>'2026_Fantasy_Hitters'!F126</f>
        <v>109.919836060555</v>
      </c>
      <c r="AD140">
        <f>'2026_Fantasy_Hitters'!G126</f>
        <v>67.273184628515182</v>
      </c>
      <c r="AE140">
        <f>'2026_Fantasy_Hitters'!H126</f>
        <v>21.215961399957362</v>
      </c>
      <c r="AF140">
        <f>'2026_Fantasy_Hitters'!I126</f>
        <v>0</v>
      </c>
      <c r="AG140">
        <f>'2026_Fantasy_Hitters'!J126</f>
        <v>19.507801659999998</v>
      </c>
      <c r="AH140">
        <f>'2026_Fantasy_Hitters'!K126</f>
        <v>60.061999999999998</v>
      </c>
      <c r="AI140">
        <f>'2026_Fantasy_Hitters'!L126</f>
        <v>68.999999999999829</v>
      </c>
      <c r="AJ140">
        <f>'2026_Fantasy_Hitters'!M126</f>
        <v>46.115400000000001</v>
      </c>
      <c r="AK140">
        <f>'2026_Fantasy_Hitters'!N126</f>
        <v>0.95187580999999999</v>
      </c>
      <c r="AL140">
        <f>'2026_Fantasy_Hitters'!O126</f>
        <v>103.6324</v>
      </c>
      <c r="AM140">
        <f>'2026_Fantasy_Hitters'!P126</f>
        <v>3.9647995100000002</v>
      </c>
      <c r="AN140">
        <f>'2026_Fantasy_Hitters'!Q126</f>
        <v>4.0720000000000001</v>
      </c>
      <c r="AO140">
        <f>'2026_Fantasy_Hitters'!R126</f>
        <v>1.9864488500000002</v>
      </c>
      <c r="AP140">
        <f>'2026_Fantasy_Hitters'!S126</f>
        <v>5.3814102564102431</v>
      </c>
      <c r="AQ140">
        <f>'2026_Fantasy_Hitters'!T126</f>
        <v>2.0403417699999999</v>
      </c>
      <c r="AR140">
        <f>'2026_Fantasy_Hitters'!U126</f>
        <v>3.3410684864102431</v>
      </c>
      <c r="AS140">
        <f>'2026_Fantasy_Hitters'!V126</f>
        <v>0.24264864472528697</v>
      </c>
      <c r="AT140">
        <f>'2026_Fantasy_Hitters'!W126</f>
        <v>0.31926080570087251</v>
      </c>
      <c r="AU140">
        <f>'2026_Fantasy_Hitters'!X126</f>
        <v>0.41442894937843244</v>
      </c>
      <c r="AV140">
        <f>'2026_Fantasy_Hitters'!Y126</f>
        <v>0.73368975507930489</v>
      </c>
      <c r="AW140">
        <f>'2026_Fantasy_Hitters'!Z126</f>
        <v>0.27074999999999999</v>
      </c>
      <c r="AX140">
        <f>'2026_Fantasy_Hitters'!AA126</f>
        <v>0.2036</v>
      </c>
      <c r="AY140">
        <f>'2026_Fantasy_Hitters'!AB126</f>
        <v>9.06E-2</v>
      </c>
      <c r="AZ140">
        <f t="shared" si="65"/>
        <v>3.8325739999999997E-2</v>
      </c>
    </row>
    <row r="141" spans="1:52">
      <c r="A141" t="s">
        <v>804</v>
      </c>
      <c r="B141" t="s">
        <v>123</v>
      </c>
      <c r="C141" t="s">
        <v>648</v>
      </c>
      <c r="D141">
        <v>505</v>
      </c>
      <c r="E141">
        <v>558</v>
      </c>
      <c r="F141" s="6">
        <f t="shared" si="44"/>
        <v>-2.4471121246657819</v>
      </c>
      <c r="G141" s="5">
        <f t="shared" si="45"/>
        <v>-0.13258244811906125</v>
      </c>
      <c r="H141" s="5">
        <f t="shared" si="46"/>
        <v>8.9959423871835073E-2</v>
      </c>
      <c r="I141" s="5">
        <f t="shared" si="47"/>
        <v>-1.251671166747818</v>
      </c>
      <c r="J141" s="5">
        <f t="shared" si="48"/>
        <v>-0.63109370586285662</v>
      </c>
      <c r="K141" s="5">
        <f t="shared" si="49"/>
        <v>-0.9707120562073499</v>
      </c>
      <c r="L141" s="5">
        <f t="shared" si="50"/>
        <v>3.012257696116031</v>
      </c>
      <c r="M141" s="5">
        <f t="shared" si="51"/>
        <v>-0.45372607485650235</v>
      </c>
      <c r="N141" s="5">
        <f t="shared" si="52"/>
        <v>-1.6981278545096021</v>
      </c>
      <c r="O141" s="5">
        <f t="shared" si="53"/>
        <v>1.1418894417819745</v>
      </c>
      <c r="P141" s="1">
        <f t="shared" si="54"/>
        <v>-1.5533053801324326</v>
      </c>
      <c r="R141">
        <f t="shared" si="55"/>
        <v>96.865631416827583</v>
      </c>
      <c r="S141">
        <f t="shared" si="56"/>
        <v>101.83177944219065</v>
      </c>
      <c r="T141">
        <f t="shared" si="57"/>
        <v>44.631283417881143</v>
      </c>
      <c r="U141">
        <f t="shared" si="58"/>
        <v>83.762540309215524</v>
      </c>
      <c r="V141">
        <f t="shared" si="59"/>
        <v>64.868841303014591</v>
      </c>
      <c r="W141">
        <f t="shared" si="60"/>
        <v>246.4573117941664</v>
      </c>
      <c r="X141">
        <f t="shared" si="61"/>
        <v>97.00547841931936</v>
      </c>
      <c r="Y141">
        <f t="shared" si="62"/>
        <v>81.329389290790346</v>
      </c>
      <c r="Z141">
        <f t="shared" si="63"/>
        <v>204.99590726921031</v>
      </c>
      <c r="AA141">
        <f t="shared" si="64"/>
        <v>43.584708033145567</v>
      </c>
      <c r="AC141">
        <f>'2026_Fantasy_Hitters'!F121</f>
        <v>123.09463680022598</v>
      </c>
      <c r="AD141">
        <f>'2026_Fantasy_Hitters'!G121</f>
        <v>89.624846593168186</v>
      </c>
      <c r="AE141">
        <f>'2026_Fantasy_Hitters'!H121</f>
        <v>22.487953360126241</v>
      </c>
      <c r="AF141">
        <f>'2026_Fantasy_Hitters'!I121</f>
        <v>2.0621260764487088</v>
      </c>
      <c r="AG141">
        <f>'2026_Fantasy_Hitters'!J121</f>
        <v>8.4047272727272482</v>
      </c>
      <c r="AH141">
        <f>'2026_Fantasy_Hitters'!K121</f>
        <v>64.930909090908884</v>
      </c>
      <c r="AI141">
        <f>'2026_Fantasy_Hitters'!L121</f>
        <v>55.000000980000003</v>
      </c>
      <c r="AJ141">
        <f>'2026_Fantasy_Hitters'!M121</f>
        <v>30.466799999999942</v>
      </c>
      <c r="AK141">
        <f>'2026_Fantasy_Hitters'!N121</f>
        <v>1.8110838599999999</v>
      </c>
      <c r="AL141">
        <f>'2026_Fantasy_Hitters'!O121</f>
        <v>96.67349999999999</v>
      </c>
      <c r="AM141">
        <f>'2026_Fantasy_Hitters'!P121</f>
        <v>14.183272727272666</v>
      </c>
      <c r="AN141">
        <f>'2026_Fantasy_Hitters'!Q121</f>
        <v>4.0581833400000002</v>
      </c>
      <c r="AO141">
        <f>'2026_Fantasy_Hitters'!R121</f>
        <v>2.98134378</v>
      </c>
      <c r="AP141">
        <f>'2026_Fantasy_Hitters'!S121</f>
        <v>20.39243922</v>
      </c>
      <c r="AQ141">
        <f>'2026_Fantasy_Hitters'!T121</f>
        <v>4.0628593799999999</v>
      </c>
      <c r="AR141">
        <f>'2026_Fantasy_Hitters'!U121</f>
        <v>16.329579840000001</v>
      </c>
      <c r="AS141">
        <f>'2026_Fantasy_Hitters'!V121</f>
        <v>0.24375175604005145</v>
      </c>
      <c r="AT141">
        <f>'2026_Fantasy_Hitters'!W121</f>
        <v>0.31321724832506886</v>
      </c>
      <c r="AU141">
        <f>'2026_Fantasy_Hitters'!X121</f>
        <v>0.34535849630430854</v>
      </c>
      <c r="AV141">
        <f>'2026_Fantasy_Hitters'!Y121</f>
        <v>0.6585757446293774</v>
      </c>
      <c r="AW141">
        <f>'2026_Fantasy_Hitters'!Z121</f>
        <v>0.28389999999999999</v>
      </c>
      <c r="AX141">
        <f>'2026_Fantasy_Hitters'!AA121</f>
        <v>0.17324999999999999</v>
      </c>
      <c r="AY141">
        <f>'2026_Fantasy_Hitters'!AB121</f>
        <v>5.4599999999999899E-2</v>
      </c>
      <c r="AZ141">
        <f t="shared" si="65"/>
        <v>1.5062235255783599E-2</v>
      </c>
    </row>
    <row r="142" spans="1:52">
      <c r="A142" t="s">
        <v>532</v>
      </c>
      <c r="B142" t="s">
        <v>489</v>
      </c>
      <c r="C142" t="s">
        <v>87</v>
      </c>
      <c r="D142">
        <v>462</v>
      </c>
      <c r="E142">
        <v>508</v>
      </c>
      <c r="F142" s="6">
        <f t="shared" si="44"/>
        <v>-2.6104253996933866</v>
      </c>
      <c r="G142" s="5">
        <f t="shared" si="45"/>
        <v>-0.53593087655331739</v>
      </c>
      <c r="H142" s="5">
        <f t="shared" si="46"/>
        <v>-0.28819178704023035</v>
      </c>
      <c r="I142" s="5">
        <f t="shared" si="47"/>
        <v>-0.22220226427276563</v>
      </c>
      <c r="J142" s="5">
        <f t="shared" si="48"/>
        <v>-0.15755782325201689</v>
      </c>
      <c r="K142" s="5">
        <f t="shared" si="49"/>
        <v>-0.65314157378274917</v>
      </c>
      <c r="L142" s="5">
        <f t="shared" si="50"/>
        <v>-0.24660794045039966</v>
      </c>
      <c r="M142" s="5">
        <f t="shared" si="51"/>
        <v>-0.30056116442906838</v>
      </c>
      <c r="N142" s="5">
        <f t="shared" si="52"/>
        <v>-0.26145875260342366</v>
      </c>
      <c r="O142" s="5">
        <f t="shared" si="53"/>
        <v>0.14544810104038428</v>
      </c>
      <c r="P142" s="1">
        <f t="shared" si="54"/>
        <v>-9.022131834979942E-2</v>
      </c>
      <c r="R142">
        <f t="shared" si="55"/>
        <v>87.330110990918882</v>
      </c>
      <c r="S142">
        <f t="shared" si="56"/>
        <v>94.131756649969759</v>
      </c>
      <c r="T142">
        <f t="shared" si="57"/>
        <v>90.170697766897973</v>
      </c>
      <c r="U142">
        <f t="shared" si="58"/>
        <v>95.946182349379256</v>
      </c>
      <c r="V142">
        <f t="shared" si="59"/>
        <v>76.362073455839194</v>
      </c>
      <c r="W142">
        <f t="shared" si="60"/>
        <v>88.009812018397042</v>
      </c>
      <c r="X142">
        <f t="shared" si="61"/>
        <v>98.016343024848211</v>
      </c>
      <c r="Y142">
        <f t="shared" si="62"/>
        <v>97.125307983488696</v>
      </c>
      <c r="Z142">
        <f t="shared" si="63"/>
        <v>113.37384756398751</v>
      </c>
      <c r="AA142">
        <f t="shared" si="64"/>
        <v>96.723205828396516</v>
      </c>
      <c r="AC142">
        <f>'2026_Fantasy_Hitters'!F77</f>
        <v>113.78682037834</v>
      </c>
      <c r="AD142">
        <f>'2026_Fantasy_Hitters'!G77</f>
        <v>70.959097624533044</v>
      </c>
      <c r="AE142">
        <f>'2026_Fantasy_Hitters'!H77</f>
        <v>24.217350938293951</v>
      </c>
      <c r="AF142">
        <f>'2026_Fantasy_Hitters'!I77</f>
        <v>1.0763627156421254</v>
      </c>
      <c r="AG142">
        <f>'2026_Fantasy_Hitters'!J77</f>
        <v>16.98046896</v>
      </c>
      <c r="AH142">
        <f>'2026_Fantasy_Hitters'!K77</f>
        <v>58.539065039999997</v>
      </c>
      <c r="AI142">
        <f>'2026_Fantasy_Hitters'!L77</f>
        <v>63.000000999999997</v>
      </c>
      <c r="AJ142">
        <f>'2026_Fantasy_Hitters'!M77</f>
        <v>35.864799999999995</v>
      </c>
      <c r="AK142">
        <f>'2026_Fantasy_Hitters'!N77</f>
        <v>1.56041852</v>
      </c>
      <c r="AL142">
        <f>'2026_Fantasy_Hitters'!O77</f>
        <v>99.822000000000003</v>
      </c>
      <c r="AM142">
        <f>'2026_Fantasy_Hitters'!P77</f>
        <v>5.0648412800000004</v>
      </c>
      <c r="AN142">
        <f>'2026_Fantasy_Hitters'!Q77</f>
        <v>3.96875</v>
      </c>
      <c r="AO142">
        <f>'2026_Fantasy_Hitters'!R77</f>
        <v>0</v>
      </c>
      <c r="AP142">
        <f>'2026_Fantasy_Hitters'!S77</f>
        <v>12.18828652</v>
      </c>
      <c r="AQ142">
        <f>'2026_Fantasy_Hitters'!T77</f>
        <v>3.1571438000000001</v>
      </c>
      <c r="AR142">
        <f>'2026_Fantasy_Hitters'!U77</f>
        <v>9.0311427200000001</v>
      </c>
      <c r="AS142">
        <f>'2026_Fantasy_Hitters'!V77</f>
        <v>0.24629181900073593</v>
      </c>
      <c r="AT142">
        <f>'2026_Fantasy_Hitters'!W77</f>
        <v>0.31044646926899183</v>
      </c>
      <c r="AU142">
        <f>'2026_Fantasy_Hitters'!X77</f>
        <v>0.41243455300443144</v>
      </c>
      <c r="AV142">
        <f>'2026_Fantasy_Hitters'!Y77</f>
        <v>0.72288102227342321</v>
      </c>
      <c r="AW142">
        <f>'2026_Fantasy_Hitters'!Z77</f>
        <v>0.27725</v>
      </c>
      <c r="AX142">
        <f>'2026_Fantasy_Hitters'!AA77</f>
        <v>0.19650000000000001</v>
      </c>
      <c r="AY142">
        <f>'2026_Fantasy_Hitters'!AB77</f>
        <v>7.0599999999999996E-2</v>
      </c>
      <c r="AZ142">
        <f t="shared" si="65"/>
        <v>3.3426119999999997E-2</v>
      </c>
    </row>
    <row r="143" spans="1:52">
      <c r="A143" t="s">
        <v>1211</v>
      </c>
      <c r="B143" t="s">
        <v>58</v>
      </c>
      <c r="C143" t="s">
        <v>20</v>
      </c>
      <c r="D143">
        <v>498</v>
      </c>
      <c r="E143">
        <v>577</v>
      </c>
      <c r="F143" s="6">
        <f t="shared" si="44"/>
        <v>-2.6745653593480325</v>
      </c>
      <c r="G143" s="5">
        <f t="shared" si="45"/>
        <v>-0.18431465937944358</v>
      </c>
      <c r="H143" s="5">
        <f t="shared" si="46"/>
        <v>-0.18572189913513729</v>
      </c>
      <c r="I143" s="5">
        <f t="shared" si="47"/>
        <v>-0.78520929727469368</v>
      </c>
      <c r="J143" s="5">
        <f t="shared" si="48"/>
        <v>-0.6310938976448891</v>
      </c>
      <c r="K143" s="5">
        <f t="shared" si="49"/>
        <v>0.60768619205390995</v>
      </c>
      <c r="L143" s="5">
        <f t="shared" si="50"/>
        <v>1.9727188995440654</v>
      </c>
      <c r="M143" s="5">
        <f t="shared" si="51"/>
        <v>-1.0687534113216781</v>
      </c>
      <c r="N143" s="5">
        <f t="shared" si="52"/>
        <v>-1.3707686604118097</v>
      </c>
      <c r="O143" s="5">
        <f t="shared" si="53"/>
        <v>2.7170917490914402E-2</v>
      </c>
      <c r="P143" s="1">
        <f t="shared" si="54"/>
        <v>-1.0562795432692709</v>
      </c>
      <c r="R143">
        <f t="shared" si="55"/>
        <v>95.64263531128752</v>
      </c>
      <c r="S143">
        <f t="shared" si="56"/>
        <v>96.218277728356611</v>
      </c>
      <c r="T143">
        <f t="shared" si="57"/>
        <v>65.265612731649213</v>
      </c>
      <c r="U143">
        <f t="shared" si="58"/>
        <v>83.762535374840496</v>
      </c>
      <c r="V143">
        <f t="shared" si="59"/>
        <v>121.99284526703366</v>
      </c>
      <c r="W143">
        <f t="shared" si="60"/>
        <v>195.9144721666074</v>
      </c>
      <c r="X143">
        <f t="shared" si="61"/>
        <v>92.946393579780462</v>
      </c>
      <c r="Y143">
        <f t="shared" si="62"/>
        <v>84.928644823198724</v>
      </c>
      <c r="Z143">
        <f t="shared" si="63"/>
        <v>102.49834618738871</v>
      </c>
      <c r="AA143">
        <f t="shared" si="64"/>
        <v>61.636443422946925</v>
      </c>
      <c r="AC143">
        <f>'2026_Fantasy_Hitters'!F191</f>
        <v>116.309014881146</v>
      </c>
      <c r="AD143">
        <f>'2026_Fantasy_Hitters'!G191</f>
        <v>83.156599962818291</v>
      </c>
      <c r="AE143">
        <f>'2026_Fantasy_Hitters'!H191</f>
        <v>19.536562526350288</v>
      </c>
      <c r="AF143">
        <f>'2026_Fantasy_Hitters'!I191</f>
        <v>2.7361026315330661</v>
      </c>
      <c r="AG143">
        <f>'2026_Fantasy_Hitters'!J191</f>
        <v>12.290475050000001</v>
      </c>
      <c r="AH143">
        <f>'2026_Fantasy_Hitters'!K191</f>
        <v>64.111111111111043</v>
      </c>
      <c r="AI143">
        <f>'2026_Fantasy_Hitters'!L191</f>
        <v>54.999997739999998</v>
      </c>
      <c r="AJ143">
        <f>'2026_Fantasy_Hitters'!M191</f>
        <v>57.296100000000003</v>
      </c>
      <c r="AK143">
        <f>'2026_Fantasy_Hitters'!N191</f>
        <v>0</v>
      </c>
      <c r="AL143">
        <f>'2026_Fantasy_Hitters'!O191</f>
        <v>97.109099999999998</v>
      </c>
      <c r="AM143">
        <f>'2026_Fantasy_Hitters'!P191</f>
        <v>11.274603174603133</v>
      </c>
      <c r="AN143">
        <f>'2026_Fantasy_Hitters'!Q191</f>
        <v>4.0705445899999999</v>
      </c>
      <c r="AO143">
        <f>'2026_Fantasy_Hitters'!R191</f>
        <v>3.9704639400000001</v>
      </c>
      <c r="AP143">
        <f>'2026_Fantasy_Hitters'!S191</f>
        <v>11.260033830000001</v>
      </c>
      <c r="AQ143">
        <f>'2026_Fantasy_Hitters'!T191</f>
        <v>3.0952126399999997</v>
      </c>
      <c r="AR143">
        <f>'2026_Fantasy_Hitters'!U191</f>
        <v>8.1648211900000014</v>
      </c>
      <c r="AS143">
        <f>'2026_Fantasy_Hitters'!V191</f>
        <v>0.23355223871716063</v>
      </c>
      <c r="AT143">
        <f>'2026_Fantasy_Hitters'!W191</f>
        <v>0.33051616474425416</v>
      </c>
      <c r="AU143">
        <f>'2026_Fantasy_Hitters'!X191</f>
        <v>0.36064243596409251</v>
      </c>
      <c r="AV143">
        <f>'2026_Fantasy_Hitters'!Y191</f>
        <v>0.69115860070834667</v>
      </c>
      <c r="AW143">
        <f>'2026_Fantasy_Hitters'!Z191</f>
        <v>0.26490000000000002</v>
      </c>
      <c r="AX143">
        <f>'2026_Fantasy_Hitters'!AA191</f>
        <v>0.16830000000000001</v>
      </c>
      <c r="AY143">
        <f>'2026_Fantasy_Hitters'!AB191</f>
        <v>9.9299999999999999E-2</v>
      </c>
      <c r="AZ143">
        <f t="shared" si="65"/>
        <v>2.1300650000000001E-2</v>
      </c>
    </row>
    <row r="144" spans="1:52">
      <c r="A144" t="s">
        <v>817</v>
      </c>
      <c r="B144" t="s">
        <v>116</v>
      </c>
      <c r="C144" t="s">
        <v>87</v>
      </c>
      <c r="D144">
        <v>432</v>
      </c>
      <c r="E144">
        <v>474</v>
      </c>
      <c r="F144" s="6">
        <f t="shared" si="44"/>
        <v>-2.6967552732661186</v>
      </c>
      <c r="G144" s="5">
        <f t="shared" si="45"/>
        <v>-0.56343390517880354</v>
      </c>
      <c r="H144" s="5">
        <f t="shared" si="46"/>
        <v>-0.39318324147582095</v>
      </c>
      <c r="I144" s="5">
        <f t="shared" si="47"/>
        <v>-0.44058454884636611</v>
      </c>
      <c r="J144" s="5">
        <f t="shared" si="48"/>
        <v>-0.69028574904938833</v>
      </c>
      <c r="K144" s="5">
        <f t="shared" si="49"/>
        <v>-0.93100103811979518</v>
      </c>
      <c r="L144" s="5">
        <f t="shared" si="50"/>
        <v>0.48858353594620391</v>
      </c>
      <c r="M144" s="5">
        <f t="shared" si="51"/>
        <v>0.37006227289809851</v>
      </c>
      <c r="N144" s="5">
        <f t="shared" si="52"/>
        <v>5.8406096899673209E-2</v>
      </c>
      <c r="O144" s="5">
        <f t="shared" si="53"/>
        <v>-0.390347653634116</v>
      </c>
      <c r="P144" s="1">
        <f t="shared" si="54"/>
        <v>-0.20497104270580466</v>
      </c>
      <c r="R144">
        <f t="shared" si="55"/>
        <v>86.679914603019924</v>
      </c>
      <c r="S144">
        <f t="shared" si="56"/>
        <v>91.993890714825469</v>
      </c>
      <c r="T144">
        <f t="shared" si="57"/>
        <v>80.51037551746208</v>
      </c>
      <c r="U144">
        <f t="shared" si="58"/>
        <v>82.23958356550601</v>
      </c>
      <c r="V144">
        <f t="shared" si="59"/>
        <v>66.306027613343815</v>
      </c>
      <c r="W144">
        <f t="shared" si="60"/>
        <v>123.75514928680694</v>
      </c>
      <c r="X144">
        <f t="shared" si="61"/>
        <v>102.44235348991036</v>
      </c>
      <c r="Y144">
        <f t="shared" si="62"/>
        <v>100.64216454335997</v>
      </c>
      <c r="Z144">
        <f t="shared" si="63"/>
        <v>64.107815919759702</v>
      </c>
      <c r="AA144">
        <f t="shared" si="64"/>
        <v>92.555551943036136</v>
      </c>
      <c r="AC144">
        <f>'2026_Fantasy_Hitters'!F123</f>
        <v>111.20256002017199</v>
      </c>
      <c r="AD144">
        <f>'2026_Fantasy_Hitters'!G123</f>
        <v>72.364136433815418</v>
      </c>
      <c r="AE144">
        <f>'2026_Fantasy_Hitters'!H123</f>
        <v>22.347124462540819</v>
      </c>
      <c r="AF144">
        <f>'2026_Fantasy_Hitters'!I123</f>
        <v>2.3065646207964816</v>
      </c>
      <c r="AG144">
        <f>'2026_Fantasy_Hitters'!J123</f>
        <v>15.161288160000002</v>
      </c>
      <c r="AH144">
        <f>'2026_Fantasy_Hitters'!K123</f>
        <v>58.103225806451462</v>
      </c>
      <c r="AI144">
        <f>'2026_Fantasy_Hitters'!L123</f>
        <v>53.999999999999815</v>
      </c>
      <c r="AJ144">
        <f>'2026_Fantasy_Hitters'!M123</f>
        <v>31.141799999999996</v>
      </c>
      <c r="AK144">
        <f>'2026_Fantasy_Hitters'!N123</f>
        <v>0.96390269999999989</v>
      </c>
      <c r="AL144">
        <f>'2026_Fantasy_Hitters'!O123</f>
        <v>114.16290000000001</v>
      </c>
      <c r="AM144">
        <f>'2026_Fantasy_Hitters'!P123</f>
        <v>7.1219353200000004</v>
      </c>
      <c r="AN144">
        <f>'2026_Fantasy_Hitters'!Q123</f>
        <v>3.8225824800000003</v>
      </c>
      <c r="AO144">
        <f>'2026_Fantasy_Hitters'!R123</f>
        <v>0</v>
      </c>
      <c r="AP144">
        <f>'2026_Fantasy_Hitters'!S123</f>
        <v>6.9090003000000006</v>
      </c>
      <c r="AQ144">
        <f>'2026_Fantasy_Hitters'!T123</f>
        <v>1.8022949400000001</v>
      </c>
      <c r="AR144">
        <f>'2026_Fantasy_Hitters'!U123</f>
        <v>5.1067053600000003</v>
      </c>
      <c r="AS144">
        <f>'2026_Fantasy_Hitters'!V123</f>
        <v>0.25741333338002775</v>
      </c>
      <c r="AT144">
        <f>'2026_Fantasy_Hitters'!W123</f>
        <v>0.32148130985991874</v>
      </c>
      <c r="AU144">
        <f>'2026_Fantasy_Hitters'!X123</f>
        <v>0.42736859227149654</v>
      </c>
      <c r="AV144">
        <f>'2026_Fantasy_Hitters'!Y123</f>
        <v>0.74884990213141522</v>
      </c>
      <c r="AW144">
        <f>'2026_Fantasy_Hitters'!Z123</f>
        <v>0.31335000000000002</v>
      </c>
      <c r="AX144">
        <f>'2026_Fantasy_Hitters'!AA123</f>
        <v>0.24085000000000001</v>
      </c>
      <c r="AY144">
        <f>'2026_Fantasy_Hitters'!AB123</f>
        <v>6.5699999999999995E-2</v>
      </c>
      <c r="AZ144">
        <f t="shared" si="65"/>
        <v>3.1985840000000001E-2</v>
      </c>
    </row>
    <row r="145" spans="1:52">
      <c r="A145" t="s">
        <v>1144</v>
      </c>
      <c r="B145" t="s">
        <v>214</v>
      </c>
      <c r="C145" t="s">
        <v>124</v>
      </c>
      <c r="D145">
        <v>516</v>
      </c>
      <c r="E145">
        <v>598</v>
      </c>
      <c r="F145" s="6">
        <f t="shared" si="44"/>
        <v>-2.7090825701400663</v>
      </c>
      <c r="G145" s="5">
        <f t="shared" si="45"/>
        <v>-0.10060145403776814</v>
      </c>
      <c r="H145" s="5">
        <f t="shared" si="46"/>
        <v>0.43141024272103323</v>
      </c>
      <c r="I145" s="5">
        <f t="shared" si="47"/>
        <v>-1.2344138892860639</v>
      </c>
      <c r="J145" s="5">
        <f t="shared" si="48"/>
        <v>-0.57190195390090326</v>
      </c>
      <c r="K145" s="5">
        <f t="shared" si="49"/>
        <v>1.1068036829472125</v>
      </c>
      <c r="L145" s="5">
        <f t="shared" si="50"/>
        <v>1.1792852310342521</v>
      </c>
      <c r="M145" s="5">
        <f t="shared" si="51"/>
        <v>0.21508626843908421</v>
      </c>
      <c r="N145" s="5">
        <f t="shared" si="52"/>
        <v>-1.5995333722456189</v>
      </c>
      <c r="O145" s="5">
        <f t="shared" si="53"/>
        <v>-0.52079489100639065</v>
      </c>
      <c r="P145" s="1">
        <f t="shared" si="54"/>
        <v>-1.6144224348049034</v>
      </c>
      <c r="R145">
        <f t="shared" si="55"/>
        <v>97.621690944533768</v>
      </c>
      <c r="S145">
        <f t="shared" si="56"/>
        <v>108.78449838554661</v>
      </c>
      <c r="T145">
        <f t="shared" si="57"/>
        <v>45.394673460044963</v>
      </c>
      <c r="U145">
        <f t="shared" si="58"/>
        <v>85.28548955998491</v>
      </c>
      <c r="V145">
        <f t="shared" si="59"/>
        <v>140.05646739770202</v>
      </c>
      <c r="W145">
        <f t="shared" si="60"/>
        <v>157.33737355822365</v>
      </c>
      <c r="X145">
        <f t="shared" si="61"/>
        <v>101.41953594523441</v>
      </c>
      <c r="Y145">
        <f t="shared" si="62"/>
        <v>82.41341791180281</v>
      </c>
      <c r="Z145">
        <f t="shared" si="63"/>
        <v>52.113286907134743</v>
      </c>
      <c r="AA145">
        <f t="shared" si="64"/>
        <v>41.364966488693</v>
      </c>
      <c r="AC145">
        <f>'2026_Fantasy_Hitters'!F179</f>
        <v>131.49910952764512</v>
      </c>
      <c r="AD145">
        <f>'2026_Fantasy_Hitters'!G179</f>
        <v>97.877009936346184</v>
      </c>
      <c r="AE145">
        <f>'2026_Fantasy_Hitters'!H179</f>
        <v>22.471263066276553</v>
      </c>
      <c r="AF145">
        <f>'2026_Fantasy_Hitters'!I179</f>
        <v>1.1889263931162464</v>
      </c>
      <c r="AG145">
        <f>'2026_Fantasy_Hitters'!J179</f>
        <v>8.5484848484847991</v>
      </c>
      <c r="AH145">
        <f>'2026_Fantasy_Hitters'!K179</f>
        <v>65.43771043771018</v>
      </c>
      <c r="AI145">
        <f>'2026_Fantasy_Hitters'!L179</f>
        <v>55.999997040000004</v>
      </c>
      <c r="AJ145">
        <f>'2026_Fantasy_Hitters'!M179</f>
        <v>65.78</v>
      </c>
      <c r="AK145">
        <f>'2026_Fantasy_Hitters'!N179</f>
        <v>2.6945879999999995</v>
      </c>
      <c r="AL145">
        <f>'2026_Fantasy_Hitters'!O179</f>
        <v>81.985799999999998</v>
      </c>
      <c r="AM145">
        <f>'2026_Fantasy_Hitters'!P179</f>
        <v>9.0545452399999995</v>
      </c>
      <c r="AN145">
        <f>'2026_Fantasy_Hitters'!Q179</f>
        <v>5.0336709800000001</v>
      </c>
      <c r="AO145">
        <f>'2026_Fantasy_Hitters'!R179</f>
        <v>2.99123188</v>
      </c>
      <c r="AP145">
        <f>'2026_Fantasy_Hitters'!S179</f>
        <v>6.19886202</v>
      </c>
      <c r="AQ145">
        <f>'2026_Fantasy_Hitters'!T179</f>
        <v>2.0476177799999999</v>
      </c>
      <c r="AR145">
        <f>'2026_Fantasy_Hitters'!U179</f>
        <v>4.1512442400000005</v>
      </c>
      <c r="AS145">
        <f>'2026_Fantasy_Hitters'!V179</f>
        <v>0.25484323551869209</v>
      </c>
      <c r="AT145">
        <f>'2026_Fantasy_Hitters'!W179</f>
        <v>0.35458068582332919</v>
      </c>
      <c r="AU145">
        <f>'2026_Fantasy_Hitters'!X179</f>
        <v>0.34996173380268841</v>
      </c>
      <c r="AV145">
        <f>'2026_Fantasy_Hitters'!Y179</f>
        <v>0.7045424196260176</v>
      </c>
      <c r="AW145">
        <f>'2026_Fantasy_Hitters'!Z179</f>
        <v>0.28559999999999902</v>
      </c>
      <c r="AX145">
        <f>'2026_Fantasy_Hitters'!AA179</f>
        <v>0.1371</v>
      </c>
      <c r="AY145">
        <f>'2026_Fantasy_Hitters'!AB179</f>
        <v>0.11</v>
      </c>
      <c r="AZ145">
        <f t="shared" si="65"/>
        <v>1.42951251646903E-2</v>
      </c>
    </row>
    <row r="146" spans="1:52">
      <c r="A146" t="s">
        <v>1165</v>
      </c>
      <c r="B146" t="s">
        <v>404</v>
      </c>
      <c r="C146" t="s">
        <v>28</v>
      </c>
      <c r="D146">
        <v>446</v>
      </c>
      <c r="E146">
        <v>518</v>
      </c>
      <c r="F146" s="6">
        <f t="shared" si="44"/>
        <v>-2.7278569843446654</v>
      </c>
      <c r="G146" s="5">
        <f t="shared" si="45"/>
        <v>-0.43641712613095801</v>
      </c>
      <c r="H146" s="5">
        <f t="shared" si="46"/>
        <v>-0.57645219382511559</v>
      </c>
      <c r="I146" s="5">
        <f t="shared" si="47"/>
        <v>6.0214765937808321E-2</v>
      </c>
      <c r="J146" s="5">
        <f t="shared" si="48"/>
        <v>0.13840204344786455</v>
      </c>
      <c r="K146" s="5">
        <f t="shared" si="49"/>
        <v>0.87555024606044451</v>
      </c>
      <c r="L146" s="5">
        <f t="shared" si="50"/>
        <v>-0.98270134154154198</v>
      </c>
      <c r="M146" s="5">
        <f t="shared" si="51"/>
        <v>-0.72706282335052397</v>
      </c>
      <c r="N146" s="5">
        <f t="shared" si="52"/>
        <v>-0.24572483561880959</v>
      </c>
      <c r="O146" s="5">
        <f t="shared" si="53"/>
        <v>-1.0538792615394994</v>
      </c>
      <c r="P146" s="1">
        <f t="shared" si="54"/>
        <v>0.220213542215666</v>
      </c>
      <c r="R146">
        <f t="shared" si="55"/>
        <v>89.682705752462269</v>
      </c>
      <c r="S146">
        <f t="shared" si="56"/>
        <v>88.262116045130796</v>
      </c>
      <c r="T146">
        <f t="shared" si="57"/>
        <v>102.66365032433552</v>
      </c>
      <c r="U146">
        <f t="shared" si="58"/>
        <v>103.56095708248918</v>
      </c>
      <c r="V146">
        <f t="shared" si="59"/>
        <v>131.68714599230586</v>
      </c>
      <c r="W146">
        <f t="shared" si="60"/>
        <v>52.220622769337133</v>
      </c>
      <c r="X146">
        <f t="shared" si="61"/>
        <v>95.201498358404194</v>
      </c>
      <c r="Y146">
        <f t="shared" si="62"/>
        <v>97.298299574298909</v>
      </c>
      <c r="Z146">
        <f t="shared" si="63"/>
        <v>3.0965650712509785</v>
      </c>
      <c r="AA146">
        <f t="shared" si="64"/>
        <v>107.99804818682404</v>
      </c>
      <c r="AC146">
        <f>'2026_Fantasy_Hitters'!F182</f>
        <v>106.69157680743999</v>
      </c>
      <c r="AD146">
        <f>'2026_Fantasy_Hitters'!G182</f>
        <v>67.620683012589666</v>
      </c>
      <c r="AE146">
        <f>'2026_Fantasy_Hitters'!H182</f>
        <v>19.660226929683727</v>
      </c>
      <c r="AF146">
        <f>'2026_Fantasy_Hitters'!I182</f>
        <v>0</v>
      </c>
      <c r="AG146">
        <f>'2026_Fantasy_Hitters'!J182</f>
        <v>19.33307572</v>
      </c>
      <c r="AH146">
        <f>'2026_Fantasy_Hitters'!K182</f>
        <v>60.11605488</v>
      </c>
      <c r="AI146">
        <f>'2026_Fantasy_Hitters'!L182</f>
        <v>67.999999999999858</v>
      </c>
      <c r="AJ146">
        <f>'2026_Fantasy_Hitters'!M182</f>
        <v>61.849199999999485</v>
      </c>
      <c r="AK146">
        <f>'2026_Fantasy_Hitters'!N182</f>
        <v>0.99029168000000001</v>
      </c>
      <c r="AL146">
        <f>'2026_Fantasy_Hitters'!O182</f>
        <v>126.2366</v>
      </c>
      <c r="AM146">
        <f>'2026_Fantasy_Hitters'!P182</f>
        <v>3.0052236199999998</v>
      </c>
      <c r="AN146">
        <f>'2026_Fantasy_Hitters'!Q182</f>
        <v>4.0077349199999999</v>
      </c>
      <c r="AO146">
        <f>'2026_Fantasy_Hitters'!R182</f>
        <v>0</v>
      </c>
      <c r="AP146">
        <f>'2026_Fantasy_Hitters'!S182</f>
        <v>0.24666642</v>
      </c>
      <c r="AQ146">
        <f>'2026_Fantasy_Hitters'!T182</f>
        <v>0</v>
      </c>
      <c r="AR146">
        <f>'2026_Fantasy_Hitters'!U182</f>
        <v>0.24666642</v>
      </c>
      <c r="AS146">
        <f>'2026_Fantasy_Hitters'!V182</f>
        <v>0.23921878207946184</v>
      </c>
      <c r="AT146">
        <f>'2026_Fantasy_Hitters'!W182</f>
        <v>0.33642824443313407</v>
      </c>
      <c r="AU146">
        <f>'2026_Fantasy_Hitters'!X182</f>
        <v>0.41316914742591287</v>
      </c>
      <c r="AV146">
        <f>'2026_Fantasy_Hitters'!Y182</f>
        <v>0.74959739185904695</v>
      </c>
      <c r="AW146">
        <f>'2026_Fantasy_Hitters'!Z182</f>
        <v>0.28694999999999998</v>
      </c>
      <c r="AX146">
        <f>'2026_Fantasy_Hitters'!AA182</f>
        <v>0.2437</v>
      </c>
      <c r="AY146">
        <f>'2026_Fantasy_Hitters'!AB182</f>
        <v>0.11939999999999901</v>
      </c>
      <c r="AZ146">
        <f t="shared" si="65"/>
        <v>3.7322540000000001E-2</v>
      </c>
    </row>
    <row r="147" spans="1:52">
      <c r="A147" t="s">
        <v>591</v>
      </c>
      <c r="B147" t="s">
        <v>66</v>
      </c>
      <c r="C147" t="s">
        <v>87</v>
      </c>
      <c r="D147">
        <v>465</v>
      </c>
      <c r="E147">
        <v>518</v>
      </c>
      <c r="F147" s="6">
        <f t="shared" si="44"/>
        <v>-2.754076767921819</v>
      </c>
      <c r="G147" s="5">
        <f t="shared" si="45"/>
        <v>-0.54146516277533008</v>
      </c>
      <c r="H147" s="5">
        <f t="shared" si="46"/>
        <v>-0.10231538709907262</v>
      </c>
      <c r="I147" s="5">
        <f t="shared" si="47"/>
        <v>-0.38731217319549205</v>
      </c>
      <c r="J147" s="5">
        <f t="shared" si="48"/>
        <v>0.55274593969647412</v>
      </c>
      <c r="K147" s="5">
        <f t="shared" si="49"/>
        <v>-0.15753630182252318</v>
      </c>
      <c r="L147" s="5">
        <f t="shared" si="50"/>
        <v>-0.61716276590347374</v>
      </c>
      <c r="M147" s="5">
        <f t="shared" si="51"/>
        <v>0.19691581888853552</v>
      </c>
      <c r="N147" s="5">
        <f t="shared" si="52"/>
        <v>-0.39309235942425158</v>
      </c>
      <c r="O147" s="5">
        <f t="shared" si="53"/>
        <v>-0.95167463302542188</v>
      </c>
      <c r="P147" s="1">
        <f t="shared" si="54"/>
        <v>-0.35317974326126378</v>
      </c>
      <c r="R147">
        <f t="shared" si="55"/>
        <v>87.199275476032454</v>
      </c>
      <c r="S147">
        <f t="shared" si="56"/>
        <v>97.916624911083701</v>
      </c>
      <c r="T147">
        <f t="shared" si="57"/>
        <v>82.866923425115289</v>
      </c>
      <c r="U147">
        <f t="shared" si="58"/>
        <v>114.22164384098033</v>
      </c>
      <c r="V147">
        <f t="shared" si="59"/>
        <v>94.298584441727343</v>
      </c>
      <c r="W147">
        <f t="shared" si="60"/>
        <v>69.993271242954933</v>
      </c>
      <c r="X147">
        <f t="shared" si="61"/>
        <v>101.29961380206247</v>
      </c>
      <c r="Y147">
        <f t="shared" si="62"/>
        <v>95.678020123111082</v>
      </c>
      <c r="Z147">
        <f t="shared" si="63"/>
        <v>12.494206651334082</v>
      </c>
      <c r="AA147">
        <f t="shared" si="64"/>
        <v>87.172684400820145</v>
      </c>
      <c r="AC147">
        <f>'2026_Fantasy_Hitters'!F86</f>
        <v>118.36198332344999</v>
      </c>
      <c r="AD147">
        <f>'2026_Fantasy_Hitters'!G86</f>
        <v>79.862081601210576</v>
      </c>
      <c r="AE147">
        <f>'2026_Fantasy_Hitters'!H86</f>
        <v>21.364461124657073</v>
      </c>
      <c r="AF147">
        <f>'2026_Fantasy_Hitters'!I86</f>
        <v>1.3043429409129619</v>
      </c>
      <c r="AG147">
        <f>'2026_Fantasy_Hitters'!J86</f>
        <v>15.605060799999999</v>
      </c>
      <c r="AH147">
        <f>'2026_Fantasy_Hitters'!K86</f>
        <v>58.451363459999996</v>
      </c>
      <c r="AI147">
        <f>'2026_Fantasy_Hitters'!L86</f>
        <v>74.999999999999588</v>
      </c>
      <c r="AJ147">
        <f>'2026_Fantasy_Hitters'!M86</f>
        <v>44.289000000000001</v>
      </c>
      <c r="AK147">
        <f>'2026_Fantasy_Hitters'!N86</f>
        <v>0.98696094000000001</v>
      </c>
      <c r="AL147">
        <f>'2026_Fantasy_Hitters'!O86</f>
        <v>93.317700000000002</v>
      </c>
      <c r="AM147">
        <f>'2026_Fantasy_Hitters'!P86</f>
        <v>4.0280146200000004</v>
      </c>
      <c r="AN147">
        <f>'2026_Fantasy_Hitters'!Q86</f>
        <v>4.0311278000000001</v>
      </c>
      <c r="AO147">
        <f>'2026_Fantasy_Hitters'!R86</f>
        <v>0</v>
      </c>
      <c r="AP147">
        <f>'2026_Fantasy_Hitters'!S86</f>
        <v>0.99526448000000001</v>
      </c>
      <c r="AQ147">
        <f>'2026_Fantasy_Hitters'!T86</f>
        <v>0</v>
      </c>
      <c r="AR147">
        <f>'2026_Fantasy_Hitters'!U86</f>
        <v>0.99526448000000001</v>
      </c>
      <c r="AS147">
        <f>'2026_Fantasy_Hitters'!V86</f>
        <v>0.25454189962032259</v>
      </c>
      <c r="AT147">
        <f>'2026_Fantasy_Hitters'!W86</f>
        <v>0.32600359309496296</v>
      </c>
      <c r="AU147">
        <f>'2026_Fantasy_Hitters'!X86</f>
        <v>0.40628876531884639</v>
      </c>
      <c r="AV147">
        <f>'2026_Fantasy_Hitters'!Y86</f>
        <v>0.73229235841380935</v>
      </c>
      <c r="AW147">
        <f>'2026_Fantasy_Hitters'!Z86</f>
        <v>0.28534999999999999</v>
      </c>
      <c r="AX147">
        <f>'2026_Fantasy_Hitters'!AA86</f>
        <v>0.18015</v>
      </c>
      <c r="AY147">
        <f>'2026_Fantasy_Hitters'!AB86</f>
        <v>8.5500000000000007E-2</v>
      </c>
      <c r="AZ147">
        <f t="shared" si="65"/>
        <v>3.0125599999999999E-2</v>
      </c>
    </row>
    <row r="148" spans="1:52">
      <c r="A148" t="s">
        <v>975</v>
      </c>
      <c r="B148" t="s">
        <v>404</v>
      </c>
      <c r="C148" t="s">
        <v>391</v>
      </c>
      <c r="D148">
        <v>455</v>
      </c>
      <c r="E148">
        <v>511</v>
      </c>
      <c r="F148" s="6">
        <f t="shared" si="44"/>
        <v>-2.8920321586247595</v>
      </c>
      <c r="G148" s="5">
        <f t="shared" si="45"/>
        <v>-0.49689374771606309</v>
      </c>
      <c r="H148" s="5">
        <f t="shared" si="46"/>
        <v>-4.9066655460556996E-2</v>
      </c>
      <c r="I148" s="5">
        <f t="shared" si="47"/>
        <v>-0.65999611004901537</v>
      </c>
      <c r="J148" s="5">
        <f t="shared" si="48"/>
        <v>-0.33513383797915364</v>
      </c>
      <c r="K148" s="5">
        <f t="shared" si="49"/>
        <v>2.3704784729062324E-2</v>
      </c>
      <c r="L148" s="5">
        <f t="shared" si="50"/>
        <v>-0.23768049710313391</v>
      </c>
      <c r="M148" s="5">
        <f t="shared" si="51"/>
        <v>0.70794987989912883</v>
      </c>
      <c r="N148" s="5">
        <f t="shared" si="52"/>
        <v>-0.37670613810603532</v>
      </c>
      <c r="O148" s="5">
        <f t="shared" si="53"/>
        <v>-0.7937471184315481</v>
      </c>
      <c r="P148" s="1">
        <f t="shared" si="54"/>
        <v>-0.67446271840744443</v>
      </c>
      <c r="R148">
        <f t="shared" si="55"/>
        <v>88.252983904646229</v>
      </c>
      <c r="S148">
        <f t="shared" si="56"/>
        <v>99.000890769401337</v>
      </c>
      <c r="T148">
        <f t="shared" si="57"/>
        <v>70.804522359052328</v>
      </c>
      <c r="U148">
        <f t="shared" si="58"/>
        <v>91.377315072784086</v>
      </c>
      <c r="V148">
        <f t="shared" si="59"/>
        <v>100.8579027620694</v>
      </c>
      <c r="W148">
        <f t="shared" si="60"/>
        <v>88.443868293038193</v>
      </c>
      <c r="X148">
        <f t="shared" si="61"/>
        <v>104.6723591851509</v>
      </c>
      <c r="Y148">
        <f t="shared" si="62"/>
        <v>95.858183682889518</v>
      </c>
      <c r="Z148">
        <f t="shared" si="63"/>
        <v>27.015527254560439</v>
      </c>
      <c r="AA148">
        <f t="shared" si="64"/>
        <v>75.50384382466369</v>
      </c>
      <c r="AC148">
        <f>'2026_Fantasy_Hitters'!F150</f>
        <v>119.67264795835666</v>
      </c>
      <c r="AD148">
        <f>'2026_Fantasy_Hitters'!G150</f>
        <v>82.694294084887844</v>
      </c>
      <c r="AE148">
        <f>'2026_Fantasy_Hitters'!H150</f>
        <v>22.803302104888896</v>
      </c>
      <c r="AF148">
        <f>'2026_Fantasy_Hitters'!I150</f>
        <v>1.1914848699220044</v>
      </c>
      <c r="AG148">
        <f>'2026_Fantasy_Hitters'!J150</f>
        <v>13.333533220000001</v>
      </c>
      <c r="AH148">
        <f>'2026_Fantasy_Hitters'!K150</f>
        <v>59.157684630738373</v>
      </c>
      <c r="AI148">
        <f>'2026_Fantasy_Hitters'!L150</f>
        <v>59.999999999999559</v>
      </c>
      <c r="AJ148">
        <f>'2026_Fantasy_Hitters'!M150</f>
        <v>47.369700000000002</v>
      </c>
      <c r="AK148">
        <f>'2026_Fantasy_Hitters'!N150</f>
        <v>2.8647528699999998</v>
      </c>
      <c r="AL148">
        <f>'2026_Fantasy_Hitters'!O150</f>
        <v>96.119099999999477</v>
      </c>
      <c r="AM148">
        <f>'2026_Fantasy_Hitters'!P150</f>
        <v>5.0898206100000003</v>
      </c>
      <c r="AN148">
        <f>'2026_Fantasy_Hitters'!Q150</f>
        <v>4.0798393299999995</v>
      </c>
      <c r="AO148">
        <f>'2026_Fantasy_Hitters'!R150</f>
        <v>0</v>
      </c>
      <c r="AP148">
        <f>'2026_Fantasy_Hitters'!S150</f>
        <v>3.18589593</v>
      </c>
      <c r="AQ148">
        <f>'2026_Fantasy_Hitters'!T150</f>
        <v>1.0338909700000001</v>
      </c>
      <c r="AR148">
        <f>'2026_Fantasy_Hitters'!U150</f>
        <v>2.1520049600000002</v>
      </c>
      <c r="AS148">
        <f>'2026_Fantasy_Hitters'!V150</f>
        <v>0.26301680869968497</v>
      </c>
      <c r="AT148">
        <f>'2026_Fantasy_Hitters'!W150</f>
        <v>0.34359318817159362</v>
      </c>
      <c r="AU148">
        <f>'2026_Fantasy_Hitters'!X150</f>
        <v>0.40705381491083881</v>
      </c>
      <c r="AV148">
        <f>'2026_Fantasy_Hitters'!Y150</f>
        <v>0.75064700308243237</v>
      </c>
      <c r="AW148">
        <f>'2026_Fantasy_Hitters'!Z150</f>
        <v>0.30414999999999998</v>
      </c>
      <c r="AX148">
        <f>'2026_Fantasy_Hitters'!AA150</f>
        <v>0.18809999999999899</v>
      </c>
      <c r="AY148">
        <f>'2026_Fantasy_Hitters'!AB150</f>
        <v>9.2700000000000005E-2</v>
      </c>
      <c r="AZ148">
        <f t="shared" si="65"/>
        <v>2.6093020000000001E-2</v>
      </c>
    </row>
    <row r="149" spans="1:52">
      <c r="A149" t="s">
        <v>1044</v>
      </c>
      <c r="B149" t="s">
        <v>136</v>
      </c>
      <c r="C149" t="s">
        <v>467</v>
      </c>
      <c r="D149">
        <v>476</v>
      </c>
      <c r="E149">
        <v>535</v>
      </c>
      <c r="F149" s="6">
        <f t="shared" si="44"/>
        <v>-2.9558937314897284</v>
      </c>
      <c r="G149" s="5">
        <f t="shared" si="45"/>
        <v>-0.4431407637199567</v>
      </c>
      <c r="H149" s="5">
        <f t="shared" si="46"/>
        <v>2.7532416648685186E-2</v>
      </c>
      <c r="I149" s="5">
        <f t="shared" si="47"/>
        <v>-0.7978960830187678</v>
      </c>
      <c r="J149" s="5">
        <f t="shared" si="48"/>
        <v>-0.51270979351426349</v>
      </c>
      <c r="K149" s="5">
        <f t="shared" si="49"/>
        <v>-0.23569346853261575</v>
      </c>
      <c r="L149" s="5">
        <f t="shared" si="50"/>
        <v>0.88216667944987937</v>
      </c>
      <c r="M149" s="5">
        <f t="shared" si="51"/>
        <v>0.24709549229624966</v>
      </c>
      <c r="N149" s="5">
        <f t="shared" si="52"/>
        <v>-0.52404734935698172</v>
      </c>
      <c r="O149" s="5">
        <f t="shared" si="53"/>
        <v>-0.66041015989159579</v>
      </c>
      <c r="P149" s="1">
        <f t="shared" si="54"/>
        <v>-0.9387907018503614</v>
      </c>
      <c r="R149">
        <f t="shared" si="55"/>
        <v>89.523752899180593</v>
      </c>
      <c r="S149">
        <f t="shared" si="56"/>
        <v>100.56062291909235</v>
      </c>
      <c r="T149">
        <f t="shared" si="57"/>
        <v>64.704402197394543</v>
      </c>
      <c r="U149">
        <f t="shared" si="58"/>
        <v>86.80844931914524</v>
      </c>
      <c r="V149">
        <f t="shared" si="59"/>
        <v>91.469988866509226</v>
      </c>
      <c r="W149">
        <f t="shared" si="60"/>
        <v>142.8913371499404</v>
      </c>
      <c r="X149">
        <f t="shared" si="61"/>
        <v>101.63079184815213</v>
      </c>
      <c r="Y149">
        <f t="shared" si="62"/>
        <v>94.238193533511591</v>
      </c>
      <c r="Z149">
        <f t="shared" si="63"/>
        <v>39.275764035953166</v>
      </c>
      <c r="AA149">
        <f t="shared" si="64"/>
        <v>65.903580700827305</v>
      </c>
      <c r="AC149">
        <f>'2026_Fantasy_Hitters'!F162</f>
        <v>121.55805802900012</v>
      </c>
      <c r="AD149">
        <f>'2026_Fantasy_Hitters'!G162</f>
        <v>81.516852810091251</v>
      </c>
      <c r="AE149">
        <f>'2026_Fantasy_Hitters'!H162</f>
        <v>25.809652199229717</v>
      </c>
      <c r="AF149">
        <f>'2026_Fantasy_Hitters'!I162</f>
        <v>2.8692727233971311</v>
      </c>
      <c r="AG149">
        <f>'2026_Fantasy_Hitters'!J162</f>
        <v>12.184790850000001</v>
      </c>
      <c r="AH149">
        <f>'2026_Fantasy_Hitters'!K162</f>
        <v>60.009505703421979</v>
      </c>
      <c r="AI149">
        <f>'2026_Fantasy_Hitters'!L162</f>
        <v>56.999999999999808</v>
      </c>
      <c r="AJ149">
        <f>'2026_Fantasy_Hitters'!M162</f>
        <v>42.960499999999996</v>
      </c>
      <c r="AK149">
        <f>'2026_Fantasy_Hitters'!N162</f>
        <v>2.3467828499999999</v>
      </c>
      <c r="AL149">
        <f>'2026_Fantasy_Hitters'!O162</f>
        <v>66.955249999999467</v>
      </c>
      <c r="AM149">
        <f>'2026_Fantasy_Hitters'!P162</f>
        <v>8.2231961000000009</v>
      </c>
      <c r="AN149">
        <f>'2026_Fantasy_Hitters'!Q162</f>
        <v>4.0684395999999996</v>
      </c>
      <c r="AO149">
        <f>'2026_Fantasy_Hitters'!R162</f>
        <v>1.9841652000000001</v>
      </c>
      <c r="AP149">
        <f>'2026_Fantasy_Hitters'!S162</f>
        <v>4.1510328999999997</v>
      </c>
      <c r="AQ149">
        <f>'2026_Fantasy_Hitters'!T162</f>
        <v>1.02240105</v>
      </c>
      <c r="AR149">
        <f>'2026_Fantasy_Hitters'!U162</f>
        <v>3.1286318499999997</v>
      </c>
      <c r="AS149">
        <f>'2026_Fantasy_Hitters'!V162</f>
        <v>0.25537407148949604</v>
      </c>
      <c r="AT149">
        <f>'2026_Fantasy_Hitters'!W162</f>
        <v>0.33326347125920597</v>
      </c>
      <c r="AU149">
        <f>'2026_Fantasy_Hitters'!X162</f>
        <v>0.40017466129987833</v>
      </c>
      <c r="AV149">
        <f>'2026_Fantasy_Hitters'!Y162</f>
        <v>0.7334381325590843</v>
      </c>
      <c r="AW149">
        <f>'2026_Fantasy_Hitters'!Z162</f>
        <v>0.27279999999999999</v>
      </c>
      <c r="AX149">
        <f>'2026_Fantasy_Hitters'!AA162</f>
        <v>0.12514999999999901</v>
      </c>
      <c r="AY149">
        <f>'2026_Fantasy_Hitters'!AB162</f>
        <v>8.0299999999999996E-2</v>
      </c>
      <c r="AZ149">
        <f t="shared" si="65"/>
        <v>2.277531E-2</v>
      </c>
    </row>
    <row r="150" spans="1:52">
      <c r="A150" t="s">
        <v>1061</v>
      </c>
      <c r="B150" t="s">
        <v>200</v>
      </c>
      <c r="C150" t="s">
        <v>654</v>
      </c>
      <c r="D150">
        <v>490</v>
      </c>
      <c r="E150">
        <v>546</v>
      </c>
      <c r="F150" s="6">
        <f t="shared" si="44"/>
        <v>-3.0575964459982541</v>
      </c>
      <c r="G150" s="5">
        <f t="shared" si="45"/>
        <v>-0.31753338970747436</v>
      </c>
      <c r="H150" s="5">
        <f t="shared" si="46"/>
        <v>0.2664618107247817</v>
      </c>
      <c r="I150" s="5">
        <f t="shared" si="47"/>
        <v>-0.44794168941688484</v>
      </c>
      <c r="J150" s="5">
        <f t="shared" si="48"/>
        <v>-0.1575578824440145</v>
      </c>
      <c r="K150" s="5">
        <f t="shared" si="49"/>
        <v>9.5731746869194667E-2</v>
      </c>
      <c r="L150" s="5">
        <f t="shared" si="50"/>
        <v>-0.98456734876059104</v>
      </c>
      <c r="M150" s="5">
        <f t="shared" si="51"/>
        <v>0.53084506196108838</v>
      </c>
      <c r="N150" s="5">
        <f t="shared" si="52"/>
        <v>-0.43838393079548621</v>
      </c>
      <c r="O150" s="5">
        <f t="shared" si="53"/>
        <v>-1.0546880673221115</v>
      </c>
      <c r="P150" s="1">
        <f t="shared" si="54"/>
        <v>-0.54996275710675635</v>
      </c>
      <c r="R150">
        <f t="shared" si="55"/>
        <v>92.493224443151178</v>
      </c>
      <c r="S150">
        <f t="shared" si="56"/>
        <v>105.42577137565854</v>
      </c>
      <c r="T150">
        <f t="shared" si="57"/>
        <v>80.184926276538619</v>
      </c>
      <c r="U150">
        <f t="shared" si="58"/>
        <v>95.946180826423685</v>
      </c>
      <c r="V150">
        <f t="shared" si="59"/>
        <v>103.46463935427077</v>
      </c>
      <c r="W150">
        <f t="shared" si="60"/>
        <v>52.129896666639212</v>
      </c>
      <c r="X150">
        <f t="shared" si="61"/>
        <v>103.50349491054267</v>
      </c>
      <c r="Y150">
        <f t="shared" si="62"/>
        <v>95.180047432047189</v>
      </c>
      <c r="Z150">
        <f t="shared" si="63"/>
        <v>3.0221959652389074</v>
      </c>
      <c r="AA150">
        <f t="shared" si="64"/>
        <v>80.025621548784869</v>
      </c>
      <c r="AC150">
        <f>'2026_Fantasy_Hitters'!F165</f>
        <v>127.43906772480116</v>
      </c>
      <c r="AD150">
        <f>'2026_Fantasy_Hitters'!G165</f>
        <v>89.685409514830624</v>
      </c>
      <c r="AE150">
        <f>'2026_Fantasy_Hitters'!H165</f>
        <v>22.663956600380239</v>
      </c>
      <c r="AF150">
        <f>'2026_Fantasy_Hitters'!I165</f>
        <v>0.87733777738595697</v>
      </c>
      <c r="AG150">
        <f>'2026_Fantasy_Hitters'!J165</f>
        <v>15.100001279999999</v>
      </c>
      <c r="AH150">
        <f>'2026_Fantasy_Hitters'!K165</f>
        <v>61.999999999999694</v>
      </c>
      <c r="AI150">
        <f>'2026_Fantasy_Hitters'!L165</f>
        <v>62.999999999999794</v>
      </c>
      <c r="AJ150">
        <f>'2026_Fantasy_Hitters'!M165</f>
        <v>48.594000000000001</v>
      </c>
      <c r="AK150">
        <f>'2026_Fantasy_Hitters'!N165</f>
        <v>1.9444425000000001</v>
      </c>
      <c r="AL150">
        <f>'2026_Fantasy_Hitters'!O165</f>
        <v>109.90979999999946</v>
      </c>
      <c r="AM150">
        <f>'2026_Fantasy_Hitters'!P165</f>
        <v>3.0000024600000001</v>
      </c>
      <c r="AN150">
        <f>'2026_Fantasy_Hitters'!Q165</f>
        <v>4.00000146</v>
      </c>
      <c r="AO150">
        <f>'2026_Fantasy_Hitters'!R165</f>
        <v>0</v>
      </c>
      <c r="AP150">
        <f>'2026_Fantasy_Hitters'!S165</f>
        <v>0.24074231999999998</v>
      </c>
      <c r="AQ150">
        <f>'2026_Fantasy_Hitters'!T165</f>
        <v>0</v>
      </c>
      <c r="AR150">
        <f>'2026_Fantasy_Hitters'!U165</f>
        <v>0.24074231999999998</v>
      </c>
      <c r="AS150">
        <f>'2026_Fantasy_Hitters'!V165</f>
        <v>0.26007973005061463</v>
      </c>
      <c r="AT150">
        <f>'2026_Fantasy_Hitters'!W165</f>
        <v>0.33235029535967003</v>
      </c>
      <c r="AU150">
        <f>'2026_Fantasy_Hitters'!X165</f>
        <v>0.40417416564846731</v>
      </c>
      <c r="AV150">
        <f>'2026_Fantasy_Hitters'!Y165</f>
        <v>0.7365244610081374</v>
      </c>
      <c r="AW150">
        <f>'2026_Fantasy_Hitters'!Z165</f>
        <v>0.30445</v>
      </c>
      <c r="AX150">
        <f>'2026_Fantasy_Hitters'!AA165</f>
        <v>0.20129999999999901</v>
      </c>
      <c r="AY150">
        <f>'2026_Fantasy_Hitters'!AB165</f>
        <v>8.8999999999999996E-2</v>
      </c>
      <c r="AZ150">
        <f t="shared" si="65"/>
        <v>2.7655679999999998E-2</v>
      </c>
    </row>
    <row r="151" spans="1:52">
      <c r="A151" t="s">
        <v>686</v>
      </c>
      <c r="B151" t="s">
        <v>48</v>
      </c>
      <c r="C151" t="s">
        <v>20</v>
      </c>
      <c r="D151">
        <v>576</v>
      </c>
      <c r="E151">
        <v>645</v>
      </c>
      <c r="F151" s="6">
        <f t="shared" si="44"/>
        <v>-3.1151516203062628</v>
      </c>
      <c r="G151" s="5">
        <f t="shared" si="45"/>
        <v>0.2148602421608995</v>
      </c>
      <c r="H151" s="5">
        <f t="shared" si="46"/>
        <v>1.2833722160389629</v>
      </c>
      <c r="I151" s="5">
        <f t="shared" si="47"/>
        <v>-1.7177149033739105</v>
      </c>
      <c r="J151" s="5">
        <f t="shared" si="48"/>
        <v>-0.69028575792817493</v>
      </c>
      <c r="K151" s="5">
        <f t="shared" si="49"/>
        <v>0.58753064420680634</v>
      </c>
      <c r="L151" s="5">
        <f t="shared" si="50"/>
        <v>-0.29548413749070551</v>
      </c>
      <c r="M151" s="5">
        <f t="shared" si="51"/>
        <v>0.80966632523721749</v>
      </c>
      <c r="N151" s="5">
        <f t="shared" si="52"/>
        <v>-1.836725647452992</v>
      </c>
      <c r="O151" s="5">
        <f t="shared" si="53"/>
        <v>0.7243459061141001</v>
      </c>
      <c r="P151" s="1">
        <f t="shared" si="54"/>
        <v>-2.1947165078184661</v>
      </c>
      <c r="R151">
        <f t="shared" si="55"/>
        <v>105.07948979941267</v>
      </c>
      <c r="S151">
        <f t="shared" si="56"/>
        <v>126.13239103629638</v>
      </c>
      <c r="T151">
        <f t="shared" si="57"/>
        <v>24.015450558865751</v>
      </c>
      <c r="U151">
        <f t="shared" si="58"/>
        <v>82.23958333706301</v>
      </c>
      <c r="V151">
        <f t="shared" si="59"/>
        <v>121.26339337085774</v>
      </c>
      <c r="W151">
        <f t="shared" si="60"/>
        <v>85.633429533434025</v>
      </c>
      <c r="X151">
        <f t="shared" si="61"/>
        <v>105.34367191667369</v>
      </c>
      <c r="Y151">
        <f t="shared" si="62"/>
        <v>79.805531455039244</v>
      </c>
      <c r="Z151">
        <f t="shared" si="63"/>
        <v>166.60308152994494</v>
      </c>
      <c r="AA151">
        <f t="shared" si="64"/>
        <v>20.288969473280488</v>
      </c>
      <c r="AC151">
        <f>'2026_Fantasy_Hitters'!F100</f>
        <v>152.46930720847448</v>
      </c>
      <c r="AD151">
        <f>'2026_Fantasy_Hitters'!G100</f>
        <v>120.50058320619318</v>
      </c>
      <c r="AE151">
        <f>'2026_Fantasy_Hitters'!H100</f>
        <v>24.108684991309556</v>
      </c>
      <c r="AF151">
        <f>'2026_Fantasy_Hitters'!I100</f>
        <v>2.7971437014287872</v>
      </c>
      <c r="AG151">
        <f>'2026_Fantasy_Hitters'!J100</f>
        <v>4.5224626499999996</v>
      </c>
      <c r="AH151">
        <f>'2026_Fantasy_Hitters'!K100</f>
        <v>70.436817472698266</v>
      </c>
      <c r="AI151">
        <f>'2026_Fantasy_Hitters'!L100</f>
        <v>53.999999850000002</v>
      </c>
      <c r="AJ151">
        <f>'2026_Fantasy_Hitters'!M100</f>
        <v>56.953500000000005</v>
      </c>
      <c r="AK151">
        <f>'2026_Fantasy_Hitters'!N100</f>
        <v>0.97838115000000003</v>
      </c>
      <c r="AL151">
        <f>'2026_Fantasy_Hitters'!O100</f>
        <v>58.759500000000003</v>
      </c>
      <c r="AM151">
        <f>'2026_Fantasy_Hitters'!P100</f>
        <v>4.9280838000000005</v>
      </c>
      <c r="AN151">
        <f>'2026_Fantasy_Hitters'!Q100</f>
        <v>5.0311999500000004</v>
      </c>
      <c r="AO151">
        <f>'2026_Fantasy_Hitters'!R100</f>
        <v>2.9909746500000001</v>
      </c>
      <c r="AP151">
        <f>'2026_Fantasy_Hitters'!S100</f>
        <v>18.107142857142808</v>
      </c>
      <c r="AQ151">
        <f>'2026_Fantasy_Hitters'!T100</f>
        <v>4.8358616999999997</v>
      </c>
      <c r="AR151">
        <f>'2026_Fantasy_Hitters'!U100</f>
        <v>13.271281157142809</v>
      </c>
      <c r="AS151">
        <f>'2026_Fantasy_Hitters'!V100</f>
        <v>0.26470365834804599</v>
      </c>
      <c r="AT151">
        <f>'2026_Fantasy_Hitters'!W100</f>
        <v>0.33699798709461692</v>
      </c>
      <c r="AU151">
        <f>'2026_Fantasy_Hitters'!X100</f>
        <v>0.33888756057829628</v>
      </c>
      <c r="AV151">
        <f>'2026_Fantasy_Hitters'!Y100</f>
        <v>0.6758855476729132</v>
      </c>
      <c r="AW151">
        <f>'2026_Fantasy_Hitters'!Z100</f>
        <v>0.285749999999999</v>
      </c>
      <c r="AX151">
        <f>'2026_Fantasy_Hitters'!AA100</f>
        <v>9.11E-2</v>
      </c>
      <c r="AY151">
        <f>'2026_Fantasy_Hitters'!AB100</f>
        <v>8.8300000000000003E-2</v>
      </c>
      <c r="AZ151">
        <f t="shared" si="65"/>
        <v>7.0115699999999991E-3</v>
      </c>
    </row>
    <row r="152" spans="1:52">
      <c r="A152" t="s">
        <v>1152</v>
      </c>
      <c r="B152" t="s">
        <v>440</v>
      </c>
      <c r="C152" t="s">
        <v>87</v>
      </c>
      <c r="D152">
        <v>445</v>
      </c>
      <c r="E152">
        <v>505</v>
      </c>
      <c r="F152" s="6">
        <f t="shared" si="44"/>
        <v>-3.237505802372298</v>
      </c>
      <c r="G152" s="5">
        <f t="shared" si="45"/>
        <v>-0.66794105542370519</v>
      </c>
      <c r="H152" s="5">
        <f t="shared" si="46"/>
        <v>-0.57773388317723995</v>
      </c>
      <c r="I152" s="5">
        <f t="shared" si="47"/>
        <v>-0.32610058257395785</v>
      </c>
      <c r="J152" s="5">
        <f t="shared" si="48"/>
        <v>-0.51270979351427848</v>
      </c>
      <c r="K152" s="5">
        <f t="shared" si="49"/>
        <v>-7.140751592596678E-2</v>
      </c>
      <c r="L152" s="5">
        <f t="shared" si="50"/>
        <v>1.1829039870880091</v>
      </c>
      <c r="M152" s="5">
        <f t="shared" si="51"/>
        <v>-0.69892236212451253</v>
      </c>
      <c r="N152" s="5">
        <f t="shared" si="52"/>
        <v>-0.4310505247513105</v>
      </c>
      <c r="O152" s="5">
        <f t="shared" si="53"/>
        <v>-0.92359684628248284</v>
      </c>
      <c r="P152" s="1">
        <f t="shared" si="54"/>
        <v>-0.21094722568685298</v>
      </c>
      <c r="R152">
        <f t="shared" si="55"/>
        <v>84.209271368627853</v>
      </c>
      <c r="S152">
        <f t="shared" si="56"/>
        <v>88.236017921049424</v>
      </c>
      <c r="T152">
        <f t="shared" si="57"/>
        <v>85.574669119593892</v>
      </c>
      <c r="U152">
        <f t="shared" si="58"/>
        <v>86.808449319144856</v>
      </c>
      <c r="V152">
        <f t="shared" si="59"/>
        <v>97.415681861463369</v>
      </c>
      <c r="W152">
        <f t="shared" si="60"/>
        <v>157.51331909049185</v>
      </c>
      <c r="X152">
        <f t="shared" si="61"/>
        <v>95.387221029199011</v>
      </c>
      <c r="Y152">
        <f t="shared" si="62"/>
        <v>95.260676914132276</v>
      </c>
      <c r="Z152">
        <f t="shared" si="63"/>
        <v>15.075938809734382</v>
      </c>
      <c r="AA152">
        <f t="shared" si="64"/>
        <v>92.338499899030182</v>
      </c>
      <c r="AC152">
        <f>'2026_Fantasy_Hitters'!F180</f>
        <v>106.6600292971975</v>
      </c>
      <c r="AD152">
        <f>'2026_Fantasy_Hitters'!G180</f>
        <v>68.783378077728926</v>
      </c>
      <c r="AE152">
        <f>'2026_Fantasy_Hitters'!H180</f>
        <v>21.864574183272058</v>
      </c>
      <c r="AF152">
        <f>'2026_Fantasy_Hitters'!I180</f>
        <v>1.012487538874383</v>
      </c>
      <c r="AG152">
        <f>'2026_Fantasy_Hitters'!J180</f>
        <v>16.11496915</v>
      </c>
      <c r="AH152">
        <f>'2026_Fantasy_Hitters'!K180</f>
        <v>56.447105788422945</v>
      </c>
      <c r="AI152">
        <f>'2026_Fantasy_Hitters'!L180</f>
        <v>56.999999999999559</v>
      </c>
      <c r="AJ152">
        <f>'2026_Fantasy_Hitters'!M180</f>
        <v>45.753</v>
      </c>
      <c r="AK152">
        <f>'2026_Fantasy_Hitters'!N180</f>
        <v>0.97538730000000007</v>
      </c>
      <c r="AL152">
        <f>'2026_Fantasy_Hitters'!O180</f>
        <v>105.09050000000001</v>
      </c>
      <c r="AM152">
        <f>'2026_Fantasy_Hitters'!P180</f>
        <v>9.0646706586826031</v>
      </c>
      <c r="AN152">
        <f>'2026_Fantasy_Hitters'!Q180</f>
        <v>3.0239501</v>
      </c>
      <c r="AO152">
        <f>'2026_Fantasy_Hitters'!R180</f>
        <v>0.99655689999999997</v>
      </c>
      <c r="AP152">
        <f>'2026_Fantasy_Hitters'!S180</f>
        <v>2.22418665</v>
      </c>
      <c r="AQ152">
        <f>'2026_Fantasy_Hitters'!T180</f>
        <v>1.0232663500000001</v>
      </c>
      <c r="AR152">
        <f>'2026_Fantasy_Hitters'!U180</f>
        <v>1.2009202999999999</v>
      </c>
      <c r="AS152">
        <f>'2026_Fantasy_Hitters'!V180</f>
        <v>0.23968545909482583</v>
      </c>
      <c r="AT152">
        <f>'2026_Fantasy_Hitters'!W180</f>
        <v>0.32835233909069778</v>
      </c>
      <c r="AU152">
        <f>'2026_Fantasy_Hitters'!X180</f>
        <v>0.40451655204695774</v>
      </c>
      <c r="AV152">
        <f>'2026_Fantasy_Hitters'!Y180</f>
        <v>0.73286889113765552</v>
      </c>
      <c r="AW152">
        <f>'2026_Fantasy_Hitters'!Z180</f>
        <v>0.27705000000000002</v>
      </c>
      <c r="AX152">
        <f>'2026_Fantasy_Hitters'!AA180</f>
        <v>0.20810000000000001</v>
      </c>
      <c r="AY152">
        <f>'2026_Fantasy_Hitters'!AB180</f>
        <v>9.06E-2</v>
      </c>
      <c r="AZ152">
        <f t="shared" si="65"/>
        <v>3.1910830000000001E-2</v>
      </c>
    </row>
    <row r="153" spans="1:52">
      <c r="A153" t="s">
        <v>1190</v>
      </c>
      <c r="B153" t="s">
        <v>692</v>
      </c>
      <c r="C153" t="s">
        <v>34</v>
      </c>
      <c r="D153">
        <v>558</v>
      </c>
      <c r="E153">
        <v>611</v>
      </c>
      <c r="F153" s="6">
        <f t="shared" si="44"/>
        <v>-3.3376950062318702</v>
      </c>
      <c r="G153" s="5">
        <f t="shared" si="45"/>
        <v>-3.0755601804919888E-2</v>
      </c>
      <c r="H153" s="5">
        <f t="shared" si="46"/>
        <v>0.74920962370199751</v>
      </c>
      <c r="I153" s="5">
        <f t="shared" si="47"/>
        <v>-0.79737785297880626</v>
      </c>
      <c r="J153" s="5">
        <f t="shared" si="48"/>
        <v>-0.33513393446206297</v>
      </c>
      <c r="K153" s="5">
        <f t="shared" si="49"/>
        <v>-0.4805486645035637</v>
      </c>
      <c r="L153" s="5">
        <f t="shared" si="50"/>
        <v>-0.256512918603226</v>
      </c>
      <c r="M153" s="5">
        <f t="shared" si="51"/>
        <v>-9.6256587615201186E-2</v>
      </c>
      <c r="N153" s="5">
        <f t="shared" si="52"/>
        <v>-1.1835313519705242</v>
      </c>
      <c r="O153" s="5">
        <f t="shared" si="53"/>
        <v>0.25714518090391758</v>
      </c>
      <c r="P153" s="1">
        <f t="shared" si="54"/>
        <v>-1.163932898899481</v>
      </c>
      <c r="R153">
        <f t="shared" si="55"/>
        <v>99.272909850274175</v>
      </c>
      <c r="S153">
        <f t="shared" si="56"/>
        <v>115.2556200064586</v>
      </c>
      <c r="T153">
        <f t="shared" si="57"/>
        <v>64.727326534847748</v>
      </c>
      <c r="U153">
        <f t="shared" si="58"/>
        <v>91.377312590367708</v>
      </c>
      <c r="V153">
        <f t="shared" si="59"/>
        <v>82.608404535265137</v>
      </c>
      <c r="W153">
        <f t="shared" si="60"/>
        <v>87.528227565807427</v>
      </c>
      <c r="X153">
        <f t="shared" si="61"/>
        <v>99.364721480934179</v>
      </c>
      <c r="Y153">
        <f t="shared" si="62"/>
        <v>86.987285394262784</v>
      </c>
      <c r="Z153">
        <f t="shared" si="63"/>
        <v>123.64431317166614</v>
      </c>
      <c r="AA153">
        <f t="shared" si="64"/>
        <v>57.726526180162303</v>
      </c>
      <c r="AC153">
        <f>'2026_Fantasy_Hitters'!F187</f>
        <v>139.32142560598149</v>
      </c>
      <c r="AD153">
        <f>'2026_Fantasy_Hitters'!G187</f>
        <v>97.605952164095257</v>
      </c>
      <c r="AE153">
        <f>'2026_Fantasy_Hitters'!H187</f>
        <v>26.68253275947059</v>
      </c>
      <c r="AF153">
        <f>'2026_Fantasy_Hitters'!I187</f>
        <v>2.1296601333185907</v>
      </c>
      <c r="AG153">
        <f>'2026_Fantasy_Hitters'!J187</f>
        <v>12.18910784</v>
      </c>
      <c r="AH153">
        <f>'2026_Fantasy_Hitters'!K187</f>
        <v>66.544554455444981</v>
      </c>
      <c r="AI153">
        <f>'2026_Fantasy_Hitters'!L187</f>
        <v>59.99999837</v>
      </c>
      <c r="AJ153">
        <f>'2026_Fantasy_Hitters'!M187</f>
        <v>38.798499999999997</v>
      </c>
      <c r="AK153">
        <f>'2026_Fantasy_Hitters'!N187</f>
        <v>0</v>
      </c>
      <c r="AL153">
        <f>'2026_Fantasy_Hitters'!O187</f>
        <v>108.42195</v>
      </c>
      <c r="AM153">
        <f>'2026_Fantasy_Hitters'!P187</f>
        <v>5.0371267699999995</v>
      </c>
      <c r="AN153">
        <f>'2026_Fantasy_Hitters'!Q187</f>
        <v>5.04125713</v>
      </c>
      <c r="AO153">
        <f>'2026_Fantasy_Hitters'!R187</f>
        <v>2.88974894</v>
      </c>
      <c r="AP153">
        <f>'2026_Fantasy_Hitters'!S187</f>
        <v>13.820652173913004</v>
      </c>
      <c r="AQ153">
        <f>'2026_Fantasy_Hitters'!T187</f>
        <v>3.9713839100000001</v>
      </c>
      <c r="AR153">
        <f>'2026_Fantasy_Hitters'!U187</f>
        <v>9.8492682639130038</v>
      </c>
      <c r="AS153">
        <f>'2026_Fantasy_Hitters'!V187</f>
        <v>0.24967997420426791</v>
      </c>
      <c r="AT153">
        <f>'2026_Fantasy_Hitters'!W187</f>
        <v>0.30432860276530177</v>
      </c>
      <c r="AU153">
        <f>'2026_Fantasy_Hitters'!X187</f>
        <v>0.36938428215590002</v>
      </c>
      <c r="AV153">
        <f>'2026_Fantasy_Hitters'!Y187</f>
        <v>0.67371288492120174</v>
      </c>
      <c r="AW153">
        <f>'2026_Fantasy_Hitters'!Z187</f>
        <v>0.28734999999999999</v>
      </c>
      <c r="AX153">
        <f>'2026_Fantasy_Hitters'!AA187</f>
        <v>0.17745</v>
      </c>
      <c r="AY153">
        <f>'2026_Fantasy_Hitters'!AB187</f>
        <v>6.3500000000000001E-2</v>
      </c>
      <c r="AZ153">
        <f t="shared" si="65"/>
        <v>1.9949439999999999E-2</v>
      </c>
    </row>
    <row r="154" spans="1:52">
      <c r="A154" t="s">
        <v>1034</v>
      </c>
      <c r="B154" t="s">
        <v>243</v>
      </c>
      <c r="C154" t="s">
        <v>20</v>
      </c>
      <c r="D154">
        <v>516</v>
      </c>
      <c r="E154">
        <v>568</v>
      </c>
      <c r="F154" s="6">
        <f t="shared" si="44"/>
        <v>-3.4023746985689773</v>
      </c>
      <c r="G154" s="5">
        <f t="shared" si="45"/>
        <v>-6.2183901710334742E-2</v>
      </c>
      <c r="H154" s="5">
        <f t="shared" si="46"/>
        <v>0.72307332204264441</v>
      </c>
      <c r="I154" s="5">
        <f t="shared" si="47"/>
        <v>-1.3961197318405789</v>
      </c>
      <c r="J154" s="5">
        <f t="shared" si="48"/>
        <v>-0.63109362654559698</v>
      </c>
      <c r="K154" s="5">
        <f t="shared" si="49"/>
        <v>-0.27026852828084397</v>
      </c>
      <c r="L154" s="5">
        <f t="shared" si="50"/>
        <v>-0.24388857827630847</v>
      </c>
      <c r="M154" s="5">
        <f t="shared" si="51"/>
        <v>1.0540223405685583</v>
      </c>
      <c r="N154" s="5">
        <f t="shared" si="52"/>
        <v>-0.55358613395580814</v>
      </c>
      <c r="O154" s="5">
        <f t="shared" si="53"/>
        <v>-0.27911433549360437</v>
      </c>
      <c r="P154" s="1">
        <f t="shared" si="54"/>
        <v>-1.7432155250771046</v>
      </c>
      <c r="R154">
        <f t="shared" si="55"/>
        <v>98.529916511083528</v>
      </c>
      <c r="S154">
        <f t="shared" si="56"/>
        <v>114.72342517890276</v>
      </c>
      <c r="T154">
        <f t="shared" si="57"/>
        <v>38.241480829318178</v>
      </c>
      <c r="U154">
        <f t="shared" si="58"/>
        <v>83.762542349975547</v>
      </c>
      <c r="V154">
        <f t="shared" si="59"/>
        <v>90.218678652316015</v>
      </c>
      <c r="W154">
        <f t="shared" si="60"/>
        <v>88.142028619362378</v>
      </c>
      <c r="X154">
        <f t="shared" si="61"/>
        <v>106.95638364259831</v>
      </c>
      <c r="Y154">
        <f t="shared" si="62"/>
        <v>93.913419903184945</v>
      </c>
      <c r="Z154">
        <f t="shared" si="63"/>
        <v>74.335638972840925</v>
      </c>
      <c r="AA154">
        <f t="shared" si="64"/>
        <v>36.687264419316143</v>
      </c>
      <c r="AC154">
        <f>'2026_Fantasy_Hitters'!F160</f>
        <v>138.678106503008</v>
      </c>
      <c r="AD154">
        <f>'2026_Fantasy_Hitters'!G160</f>
        <v>94.93838833968357</v>
      </c>
      <c r="AE154">
        <f>'2026_Fantasy_Hitters'!H160</f>
        <v>31.849969249759578</v>
      </c>
      <c r="AF154">
        <f>'2026_Fantasy_Hitters'!I160</f>
        <v>6.1114788403568348</v>
      </c>
      <c r="AG154">
        <f>'2026_Fantasy_Hitters'!J160</f>
        <v>7.2014334399999997</v>
      </c>
      <c r="AH154">
        <f>'2026_Fantasy_Hitters'!K160</f>
        <v>66.046511627906483</v>
      </c>
      <c r="AI154">
        <f>'2026_Fantasy_Hitters'!L160</f>
        <v>55.00000232</v>
      </c>
      <c r="AJ154">
        <f>'2026_Fantasy_Hitters'!M160</f>
        <v>42.372799999999998</v>
      </c>
      <c r="AK154">
        <f>'2026_Fantasy_Hitters'!N160</f>
        <v>0.95192255999999997</v>
      </c>
      <c r="AL154">
        <f>'2026_Fantasy_Hitters'!O160</f>
        <v>62.224399999999996</v>
      </c>
      <c r="AM154">
        <f>'2026_Fantasy_Hitters'!P160</f>
        <v>5.0724501599999998</v>
      </c>
      <c r="AN154">
        <f>'2026_Fantasy_Hitters'!Q160</f>
        <v>5.0804987200000005</v>
      </c>
      <c r="AO154">
        <f>'2026_Fantasy_Hitters'!R160</f>
        <v>0.99326728000000009</v>
      </c>
      <c r="AP154">
        <f>'2026_Fantasy_Hitters'!S160</f>
        <v>9.0816895199999994</v>
      </c>
      <c r="AQ154">
        <f>'2026_Fantasy_Hitters'!T160</f>
        <v>3.1602554399999998</v>
      </c>
      <c r="AR154">
        <f>'2026_Fantasy_Hitters'!U160</f>
        <v>5.9214340799999992</v>
      </c>
      <c r="AS154">
        <f>'2026_Fantasy_Hitters'!V160</f>
        <v>0.26875602035466667</v>
      </c>
      <c r="AT154">
        <f>'2026_Fantasy_Hitters'!W160</f>
        <v>0.33145561410425084</v>
      </c>
      <c r="AU154">
        <f>'2026_Fantasy_Hitters'!X160</f>
        <v>0.39879553705479309</v>
      </c>
      <c r="AV154">
        <f>'2026_Fantasy_Hitters'!Y160</f>
        <v>0.73025115115904393</v>
      </c>
      <c r="AW154">
        <f>'2026_Fantasy_Hitters'!Z160</f>
        <v>0.29110000000000003</v>
      </c>
      <c r="AX154">
        <f>'2026_Fantasy_Hitters'!AA160</f>
        <v>0.10954999999999999</v>
      </c>
      <c r="AY154">
        <f>'2026_Fantasy_Hitters'!AB160</f>
        <v>7.46E-2</v>
      </c>
      <c r="AZ154">
        <f t="shared" si="65"/>
        <v>1.267858E-2</v>
      </c>
    </row>
    <row r="155" spans="1:52">
      <c r="A155" t="s">
        <v>995</v>
      </c>
      <c r="B155" t="s">
        <v>248</v>
      </c>
      <c r="C155" t="s">
        <v>169</v>
      </c>
      <c r="D155">
        <v>476</v>
      </c>
      <c r="E155">
        <v>511</v>
      </c>
      <c r="F155" s="6">
        <f t="shared" si="44"/>
        <v>-3.4257064515305347</v>
      </c>
      <c r="G155" s="5">
        <f t="shared" si="45"/>
        <v>-0.6256200720733619</v>
      </c>
      <c r="H155" s="5">
        <f t="shared" si="46"/>
        <v>0.21921516277723094</v>
      </c>
      <c r="I155" s="5">
        <f t="shared" si="47"/>
        <v>-0.53779536057031896</v>
      </c>
      <c r="J155" s="5">
        <f t="shared" si="48"/>
        <v>-0.21674999074170656</v>
      </c>
      <c r="K155" s="5">
        <f t="shared" si="49"/>
        <v>-1.0886155396877353</v>
      </c>
      <c r="L155" s="5">
        <f t="shared" si="50"/>
        <v>-1.3291216740204688</v>
      </c>
      <c r="M155" s="5">
        <f t="shared" si="51"/>
        <v>0.84478162998749562</v>
      </c>
      <c r="N155" s="5">
        <f t="shared" si="52"/>
        <v>-0.18522759067610189</v>
      </c>
      <c r="O155" s="5">
        <f t="shared" si="53"/>
        <v>9.1753686032903532E-3</v>
      </c>
      <c r="P155" s="1">
        <f t="shared" si="54"/>
        <v>-0.51574838512885779</v>
      </c>
      <c r="R155">
        <f t="shared" si="55"/>
        <v>85.209777563106599</v>
      </c>
      <c r="S155">
        <f t="shared" si="56"/>
        <v>104.46372165704274</v>
      </c>
      <c r="T155">
        <f t="shared" si="57"/>
        <v>76.210174293648393</v>
      </c>
      <c r="U155">
        <f t="shared" si="58"/>
        <v>94.423222407463996</v>
      </c>
      <c r="V155">
        <f t="shared" si="59"/>
        <v>60.601781918524971</v>
      </c>
      <c r="W155">
        <f t="shared" si="60"/>
        <v>35.37751179940814</v>
      </c>
      <c r="X155">
        <f t="shared" si="61"/>
        <v>105.57542747077126</v>
      </c>
      <c r="Y155">
        <f t="shared" si="62"/>
        <v>97.963455914739001</v>
      </c>
      <c r="Z155">
        <f t="shared" si="63"/>
        <v>100.84366849870203</v>
      </c>
      <c r="AA155">
        <f t="shared" si="64"/>
        <v>81.268270810986706</v>
      </c>
      <c r="AC155">
        <f>'2026_Fantasy_Hitters'!F154</f>
        <v>126.27613841780618</v>
      </c>
      <c r="AD155">
        <f>'2026_Fantasy_Hitters'!G154</f>
        <v>86.171983093420693</v>
      </c>
      <c r="AE155">
        <f>'2026_Fantasy_Hitters'!H154</f>
        <v>24.532948923393803</v>
      </c>
      <c r="AF155">
        <f>'2026_Fantasy_Hitters'!I154</f>
        <v>1.7897073461462034</v>
      </c>
      <c r="AG155">
        <f>'2026_Fantasy_Hitters'!J154</f>
        <v>14.351497005988016</v>
      </c>
      <c r="AH155">
        <f>'2026_Fantasy_Hitters'!K154</f>
        <v>57.117764471057669</v>
      </c>
      <c r="AI155">
        <f>'2026_Fantasy_Hitters'!L154</f>
        <v>61.999997919999998</v>
      </c>
      <c r="AJ155">
        <f>'2026_Fantasy_Hitters'!M154</f>
        <v>28.462699999999998</v>
      </c>
      <c r="AK155">
        <f>'2026_Fantasy_Hitters'!N154</f>
        <v>1.13598877</v>
      </c>
      <c r="AL155">
        <f>'2026_Fantasy_Hitters'!O154</f>
        <v>80.201450000000008</v>
      </c>
      <c r="AM155">
        <f>'2026_Fantasy_Hitters'!P154</f>
        <v>2.0359262</v>
      </c>
      <c r="AN155">
        <f>'2026_Fantasy_Hitters'!Q154</f>
        <v>5.0998004400000001</v>
      </c>
      <c r="AO155">
        <f>'2026_Fantasy_Hitters'!R154</f>
        <v>0</v>
      </c>
      <c r="AP155">
        <f>'2026_Fantasy_Hitters'!S154</f>
        <v>13.156666666666585</v>
      </c>
      <c r="AQ155">
        <f>'2026_Fantasy_Hitters'!T154</f>
        <v>5.1236539199999998</v>
      </c>
      <c r="AR155">
        <f>'2026_Fantasy_Hitters'!U154</f>
        <v>8.0330127466665857</v>
      </c>
      <c r="AS155">
        <f>'2026_Fantasy_Hitters'!V154</f>
        <v>0.26528600507942474</v>
      </c>
      <c r="AT155">
        <f>'2026_Fantasy_Hitters'!W154</f>
        <v>0.30920544455120375</v>
      </c>
      <c r="AU155">
        <f>'2026_Fantasy_Hitters'!X154</f>
        <v>0.41599367857688857</v>
      </c>
      <c r="AV155">
        <f>'2026_Fantasy_Hitters'!Y154</f>
        <v>0.72519912312809232</v>
      </c>
      <c r="AW155">
        <f>'2026_Fantasy_Hitters'!Z154</f>
        <v>0.28954999999999997</v>
      </c>
      <c r="AX155">
        <f>'2026_Fantasy_Hitters'!AA154</f>
        <v>0.15695000000000001</v>
      </c>
      <c r="AY155">
        <f>'2026_Fantasy_Hitters'!AB154</f>
        <v>5.57E-2</v>
      </c>
      <c r="AZ155">
        <f t="shared" si="65"/>
        <v>2.8085121342442301E-2</v>
      </c>
    </row>
    <row r="156" spans="1:52">
      <c r="A156" t="s">
        <v>873</v>
      </c>
      <c r="B156" t="s">
        <v>92</v>
      </c>
      <c r="C156" t="s">
        <v>49</v>
      </c>
      <c r="D156">
        <v>504</v>
      </c>
      <c r="E156">
        <v>551</v>
      </c>
      <c r="F156" s="6">
        <f t="shared" si="44"/>
        <v>-3.4291200832591917</v>
      </c>
      <c r="G156" s="5">
        <f t="shared" si="45"/>
        <v>-0.57332421848741932</v>
      </c>
      <c r="H156" s="5">
        <f t="shared" si="46"/>
        <v>0.23957536332216711</v>
      </c>
      <c r="I156" s="5">
        <f t="shared" si="47"/>
        <v>-0.31119745134247201</v>
      </c>
      <c r="J156" s="5">
        <f t="shared" si="48"/>
        <v>0.13840204344785351</v>
      </c>
      <c r="K156" s="5">
        <f t="shared" si="49"/>
        <v>-0.64958817305313699</v>
      </c>
      <c r="L156" s="5">
        <f t="shared" si="50"/>
        <v>-0.60581038449613078</v>
      </c>
      <c r="M156" s="5">
        <f t="shared" si="51"/>
        <v>1.6036860142081211E-2</v>
      </c>
      <c r="N156" s="5">
        <f t="shared" si="52"/>
        <v>-0.45357981144365001</v>
      </c>
      <c r="O156" s="5">
        <f t="shared" si="53"/>
        <v>-0.82438744234699279</v>
      </c>
      <c r="P156" s="1">
        <f t="shared" si="54"/>
        <v>-0.40524686900149215</v>
      </c>
      <c r="R156">
        <f t="shared" si="55"/>
        <v>86.446098681289328</v>
      </c>
      <c r="S156">
        <f t="shared" si="56"/>
        <v>104.87830186656282</v>
      </c>
      <c r="T156">
        <f t="shared" si="57"/>
        <v>86.23392154248566</v>
      </c>
      <c r="U156">
        <f t="shared" si="58"/>
        <v>103.5609570824889</v>
      </c>
      <c r="V156">
        <f t="shared" si="59"/>
        <v>76.49067501605235</v>
      </c>
      <c r="W156">
        <f t="shared" si="60"/>
        <v>70.545229086908762</v>
      </c>
      <c r="X156">
        <f t="shared" si="61"/>
        <v>100.10584078465629</v>
      </c>
      <c r="Y156">
        <f t="shared" si="62"/>
        <v>95.012971454103578</v>
      </c>
      <c r="Z156">
        <f t="shared" si="63"/>
        <v>24.198171658817174</v>
      </c>
      <c r="AA156">
        <f t="shared" si="64"/>
        <v>85.281631850509996</v>
      </c>
      <c r="AC156">
        <f>'2026_Fantasy_Hitters'!F132</f>
        <v>126.77728452951099</v>
      </c>
      <c r="AD156">
        <f>'2026_Fantasy_Hitters'!G132</f>
        <v>86.115893468867014</v>
      </c>
      <c r="AE156">
        <f>'2026_Fantasy_Hitters'!H132</f>
        <v>24.229045601132572</v>
      </c>
      <c r="AF156">
        <f>'2026_Fantasy_Hitters'!I132</f>
        <v>1.2719184890811432</v>
      </c>
      <c r="AG156">
        <f>'2026_Fantasy_Hitters'!J132</f>
        <v>16.239116080000002</v>
      </c>
      <c r="AH156">
        <f>'2026_Fantasy_Hitters'!K132</f>
        <v>57.946494464944315</v>
      </c>
      <c r="AI156">
        <f>'2026_Fantasy_Hitters'!L132</f>
        <v>67.999999999999673</v>
      </c>
      <c r="AJ156">
        <f>'2026_Fantasy_Hitters'!M132</f>
        <v>35.925199999999997</v>
      </c>
      <c r="AK156">
        <f>'2026_Fantasy_Hitters'!N132</f>
        <v>3.3831344899999998</v>
      </c>
      <c r="AL156">
        <f>'2026_Fantasy_Hitters'!O132</f>
        <v>77.443049999999999</v>
      </c>
      <c r="AM156">
        <f>'2026_Fantasy_Hitters'!P132</f>
        <v>4.0597790200000006</v>
      </c>
      <c r="AN156">
        <f>'2026_Fantasy_Hitters'!Q132</f>
        <v>5.08302459</v>
      </c>
      <c r="AO156">
        <f>'2026_Fantasy_Hitters'!R132</f>
        <v>0</v>
      </c>
      <c r="AP156">
        <f>'2026_Fantasy_Hitters'!S132</f>
        <v>2.9445384899999998</v>
      </c>
      <c r="AQ156">
        <f>'2026_Fantasy_Hitters'!T132</f>
        <v>1.01695866</v>
      </c>
      <c r="AR156">
        <f>'2026_Fantasy_Hitters'!U132</f>
        <v>1.9275798299999998</v>
      </c>
      <c r="AS156">
        <f>'2026_Fantasy_Hitters'!V132</f>
        <v>0.25154223120934721</v>
      </c>
      <c r="AT156">
        <f>'2026_Fantasy_Hitters'!W132</f>
        <v>0.31026272610303834</v>
      </c>
      <c r="AU156">
        <f>'2026_Fantasy_Hitters'!X132</f>
        <v>0.40346469138566587</v>
      </c>
      <c r="AV156">
        <f>'2026_Fantasy_Hitters'!Y132</f>
        <v>0.71372741748870427</v>
      </c>
      <c r="AW156">
        <f>'2026_Fantasy_Hitters'!Z132</f>
        <v>0.2661</v>
      </c>
      <c r="AX156">
        <f>'2026_Fantasy_Hitters'!AA132</f>
        <v>0.14055000000000001</v>
      </c>
      <c r="AY156">
        <f>'2026_Fantasy_Hitters'!AB132</f>
        <v>6.5199999999999994E-2</v>
      </c>
      <c r="AZ156">
        <f t="shared" si="65"/>
        <v>2.9472080000000005E-2</v>
      </c>
    </row>
    <row r="157" spans="1:52">
      <c r="A157" t="s">
        <v>1266</v>
      </c>
      <c r="B157" t="s">
        <v>248</v>
      </c>
      <c r="C157" t="s">
        <v>20</v>
      </c>
      <c r="D157">
        <v>495</v>
      </c>
      <c r="E157">
        <v>542</v>
      </c>
      <c r="F157" s="6">
        <f t="shared" si="44"/>
        <v>-3.4884296956797654</v>
      </c>
      <c r="G157" s="5">
        <f t="shared" si="45"/>
        <v>-0.42266718920488677</v>
      </c>
      <c r="H157" s="5">
        <f t="shared" si="46"/>
        <v>0.40530892213798353</v>
      </c>
      <c r="I157" s="5">
        <f t="shared" si="47"/>
        <v>-1.2594323981850049</v>
      </c>
      <c r="J157" s="5">
        <f t="shared" si="48"/>
        <v>-0.39432582315752196</v>
      </c>
      <c r="K157" s="5">
        <f t="shared" si="49"/>
        <v>-0.7478832382689603</v>
      </c>
      <c r="L157" s="5">
        <f t="shared" si="50"/>
        <v>-0.2250901019848803</v>
      </c>
      <c r="M157" s="5">
        <f t="shared" si="51"/>
        <v>0.78875520617363959</v>
      </c>
      <c r="N157" s="5">
        <f t="shared" si="52"/>
        <v>-0.27597122558683518</v>
      </c>
      <c r="O157" s="5">
        <f t="shared" si="53"/>
        <v>0.17025986551125746</v>
      </c>
      <c r="P157" s="1">
        <f t="shared" si="54"/>
        <v>-1.5273837131145569</v>
      </c>
      <c r="R157">
        <f t="shared" si="55"/>
        <v>90.007766655568972</v>
      </c>
      <c r="S157">
        <f t="shared" si="56"/>
        <v>108.25301585264185</v>
      </c>
      <c r="T157">
        <f t="shared" si="57"/>
        <v>44.287958880902004</v>
      </c>
      <c r="U157">
        <f t="shared" si="58"/>
        <v>89.85435982157118</v>
      </c>
      <c r="V157">
        <f t="shared" si="59"/>
        <v>72.933266294129595</v>
      </c>
      <c r="W157">
        <f t="shared" si="60"/>
        <v>89.056018915418008</v>
      </c>
      <c r="X157">
        <f t="shared" si="61"/>
        <v>105.205661780642</v>
      </c>
      <c r="Y157">
        <f t="shared" si="62"/>
        <v>96.965745950051911</v>
      </c>
      <c r="Z157">
        <f t="shared" si="63"/>
        <v>115.65527133957112</v>
      </c>
      <c r="AA157">
        <f t="shared" si="64"/>
        <v>44.526170305655285</v>
      </c>
      <c r="AC157">
        <f>'2026_Fantasy_Hitters'!F200</f>
        <v>130.85665144911655</v>
      </c>
      <c r="AD157">
        <f>'2026_Fantasy_Hitters'!G200</f>
        <v>88.523207402844164</v>
      </c>
      <c r="AE157">
        <f>'2026_Fantasy_Hitters'!H200</f>
        <v>29.303126476496271</v>
      </c>
      <c r="AF157">
        <f>'2026_Fantasy_Hitters'!I200</f>
        <v>7.7766503030561536</v>
      </c>
      <c r="AG157">
        <f>'2026_Fantasy_Hitters'!J200</f>
        <v>8.3400742115027313</v>
      </c>
      <c r="AH157">
        <f>'2026_Fantasy_Hitters'!K200</f>
        <v>60.333949500000003</v>
      </c>
      <c r="AI157">
        <f>'2026_Fantasy_Hitters'!L200</f>
        <v>58.999999999999666</v>
      </c>
      <c r="AJ157">
        <f>'2026_Fantasy_Hitters'!M200</f>
        <v>34.254400000000004</v>
      </c>
      <c r="AK157">
        <f>'2026_Fantasy_Hitters'!N200</f>
        <v>0.15083317999999998</v>
      </c>
      <c r="AL157">
        <f>'2026_Fantasy_Hitters'!O200</f>
        <v>96.611499999999992</v>
      </c>
      <c r="AM157">
        <f>'2026_Fantasy_Hitters'!P200</f>
        <v>5.1250490200000005</v>
      </c>
      <c r="AN157">
        <f>'2026_Fantasy_Hitters'!Q200</f>
        <v>4.0222632999999997</v>
      </c>
      <c r="AO157">
        <f>'2026_Fantasy_Hitters'!R200</f>
        <v>0.99801170000000006</v>
      </c>
      <c r="AP157">
        <f>'2026_Fantasy_Hitters'!S200</f>
        <v>14.17540687160934</v>
      </c>
      <c r="AQ157">
        <f>'2026_Fantasy_Hitters'!T200</f>
        <v>4.9625303199999999</v>
      </c>
      <c r="AR157">
        <f>'2026_Fantasy_Hitters'!U200</f>
        <v>9.2128765516093409</v>
      </c>
      <c r="AS157">
        <f>'2026_Fantasy_Hitters'!V200</f>
        <v>0.26435687161437688</v>
      </c>
      <c r="AT157">
        <f>'2026_Fantasy_Hitters'!W200</f>
        <v>0.31941910526448641</v>
      </c>
      <c r="AU157">
        <f>'2026_Fantasy_Hitters'!X200</f>
        <v>0.41175698608286077</v>
      </c>
      <c r="AV157">
        <f>'2026_Fantasy_Hitters'!Y200</f>
        <v>0.73117609134734718</v>
      </c>
      <c r="AW157">
        <f>'2026_Fantasy_Hitters'!Z200</f>
        <v>0.31090000000000001</v>
      </c>
      <c r="AX157">
        <f>'2026_Fantasy_Hitters'!AA200</f>
        <v>0.17824999999999999</v>
      </c>
      <c r="AY157">
        <f>'2026_Fantasy_Hitters'!AB200</f>
        <v>6.3200000000000006E-2</v>
      </c>
      <c r="AZ157">
        <f t="shared" si="65"/>
        <v>1.5387590796130501E-2</v>
      </c>
    </row>
    <row r="158" spans="1:52">
      <c r="A158" t="s">
        <v>570</v>
      </c>
      <c r="B158" t="s">
        <v>107</v>
      </c>
      <c r="C158" t="s">
        <v>163</v>
      </c>
      <c r="D158">
        <v>375</v>
      </c>
      <c r="E158">
        <v>408</v>
      </c>
      <c r="F158" s="6">
        <f t="shared" si="44"/>
        <v>-3.5203347115524521</v>
      </c>
      <c r="G158" s="5">
        <f t="shared" si="45"/>
        <v>-0.82510589770779452</v>
      </c>
      <c r="H158" s="5">
        <f t="shared" si="46"/>
        <v>-0.93055204639272127</v>
      </c>
      <c r="I158" s="5">
        <f t="shared" si="47"/>
        <v>-0.31171784818203729</v>
      </c>
      <c r="J158" s="5">
        <f t="shared" si="48"/>
        <v>-0.80866971940614862</v>
      </c>
      <c r="K158" s="5">
        <f t="shared" si="49"/>
        <v>-1.2173086538603561</v>
      </c>
      <c r="L158" s="5">
        <f t="shared" si="50"/>
        <v>-0.21384196534466673</v>
      </c>
      <c r="M158" s="5">
        <f t="shared" si="51"/>
        <v>0.6025392424660615</v>
      </c>
      <c r="N158" s="5">
        <f t="shared" si="52"/>
        <v>0.53224984881393089</v>
      </c>
      <c r="O158" s="5">
        <f t="shared" si="53"/>
        <v>-0.76481826448348356</v>
      </c>
      <c r="P158" s="1">
        <f t="shared" si="54"/>
        <v>0.41689059254476335</v>
      </c>
      <c r="R158">
        <f t="shared" si="55"/>
        <v>80.493752828857652</v>
      </c>
      <c r="S158">
        <f t="shared" si="56"/>
        <v>81.05183387013426</v>
      </c>
      <c r="T158">
        <f t="shared" si="57"/>
        <v>86.210901354847252</v>
      </c>
      <c r="U158">
        <f t="shared" si="58"/>
        <v>79.193673063079586</v>
      </c>
      <c r="V158">
        <f t="shared" si="59"/>
        <v>55.944233690606559</v>
      </c>
      <c r="W158">
        <f t="shared" si="60"/>
        <v>89.602908332330529</v>
      </c>
      <c r="X158">
        <f t="shared" si="61"/>
        <v>103.97666535991404</v>
      </c>
      <c r="Y158">
        <f t="shared" si="62"/>
        <v>105.85199147452309</v>
      </c>
      <c r="Z158">
        <f t="shared" si="63"/>
        <v>29.675514426169173</v>
      </c>
      <c r="AA158">
        <f t="shared" si="64"/>
        <v>115.14126249575135</v>
      </c>
      <c r="AC158">
        <f>'2026_Fantasy_Hitters'!F83</f>
        <v>97.975760679899992</v>
      </c>
      <c r="AD158">
        <f>'2026_Fantasy_Hitters'!G83</f>
        <v>59.965943555473665</v>
      </c>
      <c r="AE158">
        <f>'2026_Fantasy_Hitters'!H83</f>
        <v>18.795944104375007</v>
      </c>
      <c r="AF158">
        <f>'2026_Fantasy_Hitters'!I83</f>
        <v>2.020809225265356</v>
      </c>
      <c r="AG158">
        <f>'2026_Fantasy_Hitters'!J83</f>
        <v>16.234781040000001</v>
      </c>
      <c r="AH158">
        <f>'2026_Fantasy_Hitters'!K83</f>
        <v>53.956521739130359</v>
      </c>
      <c r="AI158">
        <f>'2026_Fantasy_Hitters'!L83</f>
        <v>51.999999999999645</v>
      </c>
      <c r="AJ158">
        <f>'2026_Fantasy_Hitters'!M83</f>
        <v>26.275199999999998</v>
      </c>
      <c r="AK158">
        <f>'2026_Fantasy_Hitters'!N83</f>
        <v>0</v>
      </c>
      <c r="AL158">
        <f>'2026_Fantasy_Hitters'!O83</f>
        <v>91.4328</v>
      </c>
      <c r="AM158">
        <f>'2026_Fantasy_Hitters'!P83</f>
        <v>5.156521739130393</v>
      </c>
      <c r="AN158">
        <f>'2026_Fantasy_Hitters'!Q83</f>
        <v>2.2173902400000003</v>
      </c>
      <c r="AO158">
        <f>'2026_Fantasy_Hitters'!R83</f>
        <v>0.89999903999999997</v>
      </c>
      <c r="AP158">
        <f>'2026_Fantasy_Hitters'!S83</f>
        <v>4.1038961038960657</v>
      </c>
      <c r="AQ158">
        <f>'2026_Fantasy_Hitters'!T83</f>
        <v>1.7400016799999998</v>
      </c>
      <c r="AR158">
        <f>'2026_Fantasy_Hitters'!U83</f>
        <v>2.363894423896066</v>
      </c>
      <c r="AS158">
        <f>'2026_Fantasy_Hitters'!V83</f>
        <v>0.2612686951464</v>
      </c>
      <c r="AT158">
        <f>'2026_Fantasy_Hitters'!W83</f>
        <v>0.32071836149966959</v>
      </c>
      <c r="AU158">
        <f>'2026_Fantasy_Hitters'!X83</f>
        <v>0.4494916896000527</v>
      </c>
      <c r="AV158">
        <f>'2026_Fantasy_Hitters'!Y83</f>
        <v>0.77021005109972229</v>
      </c>
      <c r="AW158">
        <f>'2026_Fantasy_Hitters'!Z83</f>
        <v>0.30325000000000002</v>
      </c>
      <c r="AX158">
        <f>'2026_Fantasy_Hitters'!AA83</f>
        <v>0.22409999999999999</v>
      </c>
      <c r="AY158">
        <f>'2026_Fantasy_Hitters'!AB83</f>
        <v>6.4399999999999999E-2</v>
      </c>
      <c r="AZ158">
        <f t="shared" si="65"/>
        <v>3.9791130000000001E-2</v>
      </c>
    </row>
    <row r="159" spans="1:52">
      <c r="A159" t="s">
        <v>1355</v>
      </c>
      <c r="B159" t="s">
        <v>692</v>
      </c>
      <c r="C159" t="s">
        <v>20</v>
      </c>
      <c r="D159">
        <v>462</v>
      </c>
      <c r="E159">
        <v>508</v>
      </c>
      <c r="F159" s="6">
        <f t="shared" si="44"/>
        <v>-4.2048646961831997</v>
      </c>
      <c r="G159" s="5">
        <f t="shared" si="45"/>
        <v>-0.51138767687108555</v>
      </c>
      <c r="H159" s="5">
        <f t="shared" si="46"/>
        <v>-0.41296293679577428</v>
      </c>
      <c r="I159" s="5">
        <f t="shared" si="47"/>
        <v>-0.22648384588442047</v>
      </c>
      <c r="J159" s="5">
        <f t="shared" si="48"/>
        <v>-0.6310936596931086</v>
      </c>
      <c r="K159" s="5">
        <f t="shared" si="49"/>
        <v>-0.64417570836564808</v>
      </c>
      <c r="L159" s="5">
        <f t="shared" si="50"/>
        <v>-0.24404981980442619</v>
      </c>
      <c r="M159" s="5">
        <f t="shared" si="51"/>
        <v>-0.70139955974659318</v>
      </c>
      <c r="N159" s="5">
        <f t="shared" si="52"/>
        <v>-0.4644611417877777</v>
      </c>
      <c r="O159" s="5">
        <f t="shared" si="53"/>
        <v>-0.27303527062434335</v>
      </c>
      <c r="P159" s="1">
        <f t="shared" si="54"/>
        <v>-9.5815076610022795E-2</v>
      </c>
      <c r="R159">
        <f t="shared" si="55"/>
        <v>87.910334354613539</v>
      </c>
      <c r="S159">
        <f t="shared" si="56"/>
        <v>91.591130918236473</v>
      </c>
      <c r="T159">
        <f t="shared" si="57"/>
        <v>89.981298438163023</v>
      </c>
      <c r="U159">
        <f t="shared" si="58"/>
        <v>83.762541497120608</v>
      </c>
      <c r="V159">
        <f t="shared" si="59"/>
        <v>76.686558187237964</v>
      </c>
      <c r="W159">
        <f t="shared" si="60"/>
        <v>88.134188984397497</v>
      </c>
      <c r="X159">
        <f t="shared" si="61"/>
        <v>95.370871909873486</v>
      </c>
      <c r="Y159">
        <f t="shared" si="62"/>
        <v>94.893333181688462</v>
      </c>
      <c r="Z159">
        <f t="shared" si="63"/>
        <v>74.894604585396536</v>
      </c>
      <c r="AA159">
        <f t="shared" si="64"/>
        <v>96.520043263276449</v>
      </c>
      <c r="AC159">
        <f>'2026_Fantasy_Hitters'!F220</f>
        <v>110.71570246793802</v>
      </c>
      <c r="AD159">
        <f>'2026_Fantasy_Hitters'!G220</f>
        <v>68.282623355231038</v>
      </c>
      <c r="AE159">
        <f>'2026_Fantasy_Hitters'!H220</f>
        <v>23.51123897335507</v>
      </c>
      <c r="AF159">
        <f>'2026_Fantasy_Hitters'!I220</f>
        <v>1.0272217654897839</v>
      </c>
      <c r="AG159">
        <f>'2026_Fantasy_Hitters'!J220</f>
        <v>16.944802280000001</v>
      </c>
      <c r="AH159">
        <f>'2026_Fantasy_Hitters'!K220</f>
        <v>58.928000000000004</v>
      </c>
      <c r="AI159">
        <f>'2026_Fantasy_Hitters'!L220</f>
        <v>55.000001759999996</v>
      </c>
      <c r="AJ159">
        <f>'2026_Fantasy_Hitters'!M220</f>
        <v>36.017200000000003</v>
      </c>
      <c r="AK159">
        <f>'2026_Fantasy_Hitters'!N220</f>
        <v>0.95322136000000002</v>
      </c>
      <c r="AL159">
        <f>'2026_Fantasy_Hitters'!O220</f>
        <v>134.6454</v>
      </c>
      <c r="AM159">
        <f>'2026_Fantasy_Hitters'!P220</f>
        <v>5.0719989999999999</v>
      </c>
      <c r="AN159">
        <f>'2026_Fantasy_Hitters'!Q220</f>
        <v>3.048</v>
      </c>
      <c r="AO159">
        <f>'2026_Fantasy_Hitters'!R220</f>
        <v>0</v>
      </c>
      <c r="AP159">
        <f>'2026_Fantasy_Hitters'!S220</f>
        <v>9.0760073260072591</v>
      </c>
      <c r="AQ159">
        <f>'2026_Fantasy_Hitters'!T220</f>
        <v>3.1100471199999999</v>
      </c>
      <c r="AR159">
        <f>'2026_Fantasy_Hitters'!U220</f>
        <v>5.9659602060072592</v>
      </c>
      <c r="AS159">
        <f>'2026_Fantasy_Hitters'!V220</f>
        <v>0.23964437763622948</v>
      </c>
      <c r="AT159">
        <f>'2026_Fantasy_Hitters'!W220</f>
        <v>0.30428788332927403</v>
      </c>
      <c r="AU159">
        <f>'2026_Fantasy_Hitters'!X220</f>
        <v>0.40295665739915704</v>
      </c>
      <c r="AV159">
        <f>'2026_Fantasy_Hitters'!Y220</f>
        <v>0.70724454072843113</v>
      </c>
      <c r="AW159">
        <f>'2026_Fantasy_Hitters'!Z220</f>
        <v>0.29915000000000003</v>
      </c>
      <c r="AX159">
        <f>'2026_Fantasy_Hitters'!AA220</f>
        <v>0.26505000000000001</v>
      </c>
      <c r="AY159">
        <f>'2026_Fantasy_Hitters'!AB220</f>
        <v>7.0900000000000005E-2</v>
      </c>
      <c r="AZ159">
        <f t="shared" si="65"/>
        <v>3.3355910000000003E-2</v>
      </c>
    </row>
    <row r="160" spans="1:52">
      <c r="A160" t="s">
        <v>1339</v>
      </c>
      <c r="B160" t="s">
        <v>101</v>
      </c>
      <c r="C160" t="s">
        <v>20</v>
      </c>
      <c r="D160">
        <v>400</v>
      </c>
      <c r="E160">
        <v>450</v>
      </c>
      <c r="F160" s="6">
        <f t="shared" si="44"/>
        <v>-4.2681540397882536</v>
      </c>
      <c r="G160" s="5">
        <f t="shared" si="45"/>
        <v>-0.4734529422589715</v>
      </c>
      <c r="H160" s="5">
        <f t="shared" si="46"/>
        <v>-1.1842915792390825</v>
      </c>
      <c r="I160" s="5">
        <f t="shared" si="47"/>
        <v>-0.23939872540085219</v>
      </c>
      <c r="J160" s="5">
        <f t="shared" si="48"/>
        <v>-0.98624567494127668</v>
      </c>
      <c r="K160" s="5">
        <f t="shared" si="49"/>
        <v>-0.36191567491312232</v>
      </c>
      <c r="L160" s="5">
        <f t="shared" si="50"/>
        <v>-0.61563548883674168</v>
      </c>
      <c r="M160" s="5">
        <f t="shared" si="51"/>
        <v>-1.3236221514046247</v>
      </c>
      <c r="N160" s="5">
        <f t="shared" si="52"/>
        <v>-0.35121262753876381</v>
      </c>
      <c r="O160" s="5">
        <f t="shared" si="53"/>
        <v>1.0399579676551269</v>
      </c>
      <c r="P160" s="1">
        <f t="shared" si="54"/>
        <v>0.2276628570900556</v>
      </c>
      <c r="R160">
        <f t="shared" si="55"/>
        <v>88.807145675161919</v>
      </c>
      <c r="S160">
        <f t="shared" si="56"/>
        <v>75.885117144589259</v>
      </c>
      <c r="T160">
        <f t="shared" si="57"/>
        <v>89.409997985908063</v>
      </c>
      <c r="U160">
        <f t="shared" si="58"/>
        <v>74.624807309440271</v>
      </c>
      <c r="V160">
        <f t="shared" si="59"/>
        <v>86.901865564566847</v>
      </c>
      <c r="W160">
        <f t="shared" si="60"/>
        <v>70.067528134670027</v>
      </c>
      <c r="X160">
        <f t="shared" si="61"/>
        <v>91.264299504273225</v>
      </c>
      <c r="Y160">
        <f t="shared" si="62"/>
        <v>96.138480251930901</v>
      </c>
      <c r="Z160">
        <f t="shared" si="63"/>
        <v>195.62338203722743</v>
      </c>
      <c r="AA160">
        <f t="shared" si="64"/>
        <v>108.26860366095488</v>
      </c>
      <c r="AC160">
        <f>'2026_Fantasy_Hitters'!F207</f>
        <v>91.730214129850111</v>
      </c>
      <c r="AD160">
        <f>'2026_Fantasy_Hitters'!G207</f>
        <v>55.591803279458063</v>
      </c>
      <c r="AE160">
        <f>'2026_Fantasy_Hitters'!H207</f>
        <v>17.338314537884873</v>
      </c>
      <c r="AF160">
        <f>'2026_Fantasy_Hitters'!I207</f>
        <v>1.893441349523463</v>
      </c>
      <c r="AG160">
        <f>'2026_Fantasy_Hitters'!J207</f>
        <v>16.837218</v>
      </c>
      <c r="AH160">
        <f>'2026_Fantasy_Hitters'!K207</f>
        <v>59.529149999999994</v>
      </c>
      <c r="AI160">
        <f>'2026_Fantasy_Hitters'!L207</f>
        <v>48.999999999999595</v>
      </c>
      <c r="AJ160">
        <f>'2026_Fantasy_Hitters'!M207</f>
        <v>40.814999999999998</v>
      </c>
      <c r="AK160">
        <f>'2026_Fantasy_Hitters'!N207</f>
        <v>0.15134399999999998</v>
      </c>
      <c r="AL160">
        <f>'2026_Fantasy_Hitters'!O207</f>
        <v>102.12749999999956</v>
      </c>
      <c r="AM160">
        <f>'2026_Fantasy_Hitters'!P207</f>
        <v>4.0322880000000003</v>
      </c>
      <c r="AN160">
        <f>'2026_Fantasy_Hitters'!Q207</f>
        <v>3.026907</v>
      </c>
      <c r="AO160">
        <f>'2026_Fantasy_Hitters'!R207</f>
        <v>1.9890765000000001</v>
      </c>
      <c r="AP160">
        <f>'2026_Fantasy_Hitters'!S207</f>
        <v>19.685925000000001</v>
      </c>
      <c r="AQ160">
        <f>'2026_Fantasy_Hitters'!T207</f>
        <v>4.1029425000000002</v>
      </c>
      <c r="AR160">
        <f>'2026_Fantasy_Hitters'!U207</f>
        <v>15.5829825</v>
      </c>
      <c r="AS160">
        <f>'2026_Fantasy_Hitters'!V207</f>
        <v>0.22932553532462527</v>
      </c>
      <c r="AT160">
        <f>'2026_Fantasy_Hitters'!W207</f>
        <v>0.30795253266102035</v>
      </c>
      <c r="AU160">
        <f>'2026_Fantasy_Hitters'!X207</f>
        <v>0.4082440710094955</v>
      </c>
      <c r="AV160">
        <f>'2026_Fantasy_Hitters'!Y207</f>
        <v>0.71619660367051585</v>
      </c>
      <c r="AW160">
        <f>'2026_Fantasy_Hitters'!Z207</f>
        <v>0.26365</v>
      </c>
      <c r="AX160">
        <f>'2026_Fantasy_Hitters'!AA207</f>
        <v>0.22694999999999901</v>
      </c>
      <c r="AY160">
        <f>'2026_Fantasy_Hitters'!AB207</f>
        <v>9.0700000000000003E-2</v>
      </c>
      <c r="AZ160">
        <f t="shared" si="65"/>
        <v>3.7416039999999998E-2</v>
      </c>
    </row>
    <row r="161" spans="1:52">
      <c r="A161" t="s">
        <v>855</v>
      </c>
      <c r="B161" t="s">
        <v>19</v>
      </c>
      <c r="C161" t="s">
        <v>20</v>
      </c>
      <c r="D161">
        <v>354</v>
      </c>
      <c r="E161">
        <v>397</v>
      </c>
      <c r="F161" s="6">
        <f t="shared" si="44"/>
        <v>-4.3876082646198391</v>
      </c>
      <c r="G161" s="5">
        <f t="shared" si="45"/>
        <v>-1.1856473437943267</v>
      </c>
      <c r="H161" s="5">
        <f t="shared" si="46"/>
        <v>-1.7311860426684578</v>
      </c>
      <c r="I161" s="5">
        <f t="shared" si="47"/>
        <v>0.62157688695861202</v>
      </c>
      <c r="J161" s="5">
        <f t="shared" si="48"/>
        <v>-9.8365897265640129E-2</v>
      </c>
      <c r="K161" s="5">
        <f t="shared" si="49"/>
        <v>-0.56064137565081185</v>
      </c>
      <c r="L161" s="5">
        <f t="shared" si="50"/>
        <v>-1.3387042513175016</v>
      </c>
      <c r="M161" s="5">
        <f t="shared" si="51"/>
        <v>-1.8196956855555535</v>
      </c>
      <c r="N161" s="5">
        <f t="shared" si="52"/>
        <v>0.71483066052571975</v>
      </c>
      <c r="O161" s="5">
        <f t="shared" si="53"/>
        <v>-1.0547462705923443</v>
      </c>
      <c r="P161" s="1">
        <f t="shared" si="54"/>
        <v>2.0649710547404649</v>
      </c>
      <c r="R161">
        <f t="shared" si="55"/>
        <v>71.970228051804611</v>
      </c>
      <c r="S161">
        <f t="shared" si="56"/>
        <v>64.749096124879117</v>
      </c>
      <c r="T161">
        <f t="shared" si="57"/>
        <v>127.49597130804665</v>
      </c>
      <c r="U161">
        <f t="shared" si="58"/>
        <v>97.469136077636747</v>
      </c>
      <c r="V161">
        <f t="shared" si="59"/>
        <v>79.709759434699151</v>
      </c>
      <c r="W161">
        <f t="shared" si="60"/>
        <v>34.91160262012616</v>
      </c>
      <c r="X161">
        <f t="shared" si="61"/>
        <v>87.9902912734496</v>
      </c>
      <c r="Y161">
        <f t="shared" si="62"/>
        <v>107.85943470053786</v>
      </c>
      <c r="Z161">
        <f t="shared" si="63"/>
        <v>3.0168442166890799</v>
      </c>
      <c r="AA161">
        <f t="shared" si="64"/>
        <v>174.9987391058639</v>
      </c>
      <c r="AC161">
        <f>'2026_Fantasy_Hitters'!F129</f>
        <v>78.2689501675613</v>
      </c>
      <c r="AD161">
        <f>'2026_Fantasy_Hitters'!G129</f>
        <v>41.960923855745015</v>
      </c>
      <c r="AE161">
        <f>'2026_Fantasy_Hitters'!H129</f>
        <v>12.069658996708661</v>
      </c>
      <c r="AF161">
        <f>'2026_Fantasy_Hitters'!I129</f>
        <v>0</v>
      </c>
      <c r="AG161">
        <f>'2026_Fantasy_Hitters'!J129</f>
        <v>24.009367088607533</v>
      </c>
      <c r="AH161">
        <f>'2026_Fantasy_Hitters'!K129</f>
        <v>48.243037974683482</v>
      </c>
      <c r="AI161">
        <f>'2026_Fantasy_Hitters'!L129</f>
        <v>63.99999999999978</v>
      </c>
      <c r="AJ161">
        <f>'2026_Fantasy_Hitters'!M129</f>
        <v>37.437100000000001</v>
      </c>
      <c r="AK161">
        <f>'2026_Fantasy_Hitters'!N129</f>
        <v>1.9434063100000001</v>
      </c>
      <c r="AL161">
        <f>'2026_Fantasy_Hitters'!O129</f>
        <v>123.14939999999999</v>
      </c>
      <c r="AM161">
        <f>'2026_Fantasy_Hitters'!P129</f>
        <v>2.0091137800000003</v>
      </c>
      <c r="AN161">
        <f>'2026_Fantasy_Hitters'!Q129</f>
        <v>2.0101261299999997</v>
      </c>
      <c r="AO161">
        <f>'2026_Fantasy_Hitters'!R129</f>
        <v>0</v>
      </c>
      <c r="AP161">
        <f>'2026_Fantasy_Hitters'!S129</f>
        <v>0.24031600999999997</v>
      </c>
      <c r="AQ161">
        <f>'2026_Fantasy_Hitters'!T129</f>
        <v>0</v>
      </c>
      <c r="AR161">
        <f>'2026_Fantasy_Hitters'!U129</f>
        <v>0.24031600999999997</v>
      </c>
      <c r="AS161">
        <f>'2026_Fantasy_Hitters'!V129</f>
        <v>0.22109872928689633</v>
      </c>
      <c r="AT161">
        <f>'2026_Fantasy_Hitters'!W129</f>
        <v>0.30263380171435733</v>
      </c>
      <c r="AU161">
        <f>'2026_Fantasy_Hitters'!X129</f>
        <v>0.45801613051862278</v>
      </c>
      <c r="AV161">
        <f>'2026_Fantasy_Hitters'!Y129</f>
        <v>0.76064993223298005</v>
      </c>
      <c r="AW161">
        <f>'2026_Fantasy_Hitters'!Z129</f>
        <v>0.25979999999999998</v>
      </c>
      <c r="AX161">
        <f>'2026_Fantasy_Hitters'!AA129</f>
        <v>0.31019999999999998</v>
      </c>
      <c r="AY161">
        <f>'2026_Fantasy_Hitters'!AB129</f>
        <v>9.4299999999999995E-2</v>
      </c>
      <c r="AZ161">
        <f t="shared" si="65"/>
        <v>6.0476995185409402E-2</v>
      </c>
    </row>
    <row r="162" spans="1:52">
      <c r="A162" t="s">
        <v>795</v>
      </c>
      <c r="B162" t="s">
        <v>123</v>
      </c>
      <c r="C162" t="s">
        <v>609</v>
      </c>
      <c r="D162">
        <v>430</v>
      </c>
      <c r="E162">
        <v>475</v>
      </c>
      <c r="F162" s="6">
        <f t="shared" si="44"/>
        <v>-4.3910665839720533</v>
      </c>
      <c r="G162" s="5">
        <f t="shared" si="45"/>
        <v>-0.63561881974572765</v>
      </c>
      <c r="H162" s="5">
        <f t="shared" si="46"/>
        <v>-0.72877183463899775</v>
      </c>
      <c r="I162" s="5">
        <f t="shared" si="47"/>
        <v>-0.18839424345998415</v>
      </c>
      <c r="J162" s="5">
        <f t="shared" si="48"/>
        <v>-0.33513383797913376</v>
      </c>
      <c r="K162" s="5">
        <f t="shared" si="49"/>
        <v>-0.59738730438782617</v>
      </c>
      <c r="L162" s="5">
        <f t="shared" si="50"/>
        <v>-0.60513527583892857</v>
      </c>
      <c r="M162" s="5">
        <f t="shared" si="51"/>
        <v>-0.71608213618830674</v>
      </c>
      <c r="N162" s="5">
        <f t="shared" si="52"/>
        <v>-6.6833250129878466E-2</v>
      </c>
      <c r="O162" s="5">
        <f t="shared" si="53"/>
        <v>-0.65974306339175437</v>
      </c>
      <c r="P162" s="1">
        <f t="shared" si="54"/>
        <v>0.14203318178848423</v>
      </c>
      <c r="R162">
        <f t="shared" si="55"/>
        <v>84.973398155274367</v>
      </c>
      <c r="S162">
        <f t="shared" si="56"/>
        <v>85.160540082592021</v>
      </c>
      <c r="T162">
        <f t="shared" si="57"/>
        <v>91.666223726363029</v>
      </c>
      <c r="U162">
        <f t="shared" si="58"/>
        <v>91.377315072784597</v>
      </c>
      <c r="V162">
        <f t="shared" si="59"/>
        <v>78.379883035541283</v>
      </c>
      <c r="W162">
        <f t="shared" si="60"/>
        <v>70.578053170728111</v>
      </c>
      <c r="X162">
        <f t="shared" si="61"/>
        <v>95.273969187171005</v>
      </c>
      <c r="Y162">
        <f t="shared" si="62"/>
        <v>99.265180420724732</v>
      </c>
      <c r="Z162">
        <f t="shared" si="63"/>
        <v>39.337103076033664</v>
      </c>
      <c r="AA162">
        <f t="shared" si="64"/>
        <v>105.15857571992423</v>
      </c>
      <c r="AC162">
        <f>'2026_Fantasy_Hitters'!F119</f>
        <v>102.94238015480013</v>
      </c>
      <c r="AD162">
        <f>'2026_Fantasy_Hitters'!G119</f>
        <v>61.613461156358731</v>
      </c>
      <c r="AE162">
        <f>'2026_Fantasy_Hitters'!H119</f>
        <v>23.784740557437082</v>
      </c>
      <c r="AF162">
        <f>'2026_Fantasy_Hitters'!I119</f>
        <v>1.0076138211055146</v>
      </c>
      <c r="AG162">
        <f>'2026_Fantasy_Hitters'!J119</f>
        <v>17.2620985</v>
      </c>
      <c r="AH162">
        <f>'2026_Fantasy_Hitters'!K119</f>
        <v>56.959314775160152</v>
      </c>
      <c r="AI162">
        <f>'2026_Fantasy_Hitters'!L119</f>
        <v>59.999999999999893</v>
      </c>
      <c r="AJ162">
        <f>'2026_Fantasy_Hitters'!M119</f>
        <v>36.8125</v>
      </c>
      <c r="AK162">
        <f>'2026_Fantasy_Hitters'!N119</f>
        <v>1.8806200000000002</v>
      </c>
      <c r="AL162">
        <f>'2026_Fantasy_Hitters'!O119</f>
        <v>113.19249999999953</v>
      </c>
      <c r="AM162">
        <f>'2026_Fantasy_Hitters'!P119</f>
        <v>4.0616680000000001</v>
      </c>
      <c r="AN162">
        <f>'2026_Fantasy_Hitters'!Q119</f>
        <v>3.0513905000000001</v>
      </c>
      <c r="AO162">
        <f>'2026_Fantasy_Hitters'!R119</f>
        <v>0</v>
      </c>
      <c r="AP162">
        <f>'2026_Fantasy_Hitters'!S119</f>
        <v>4.1462369999999993</v>
      </c>
      <c r="AQ162">
        <f>'2026_Fantasy_Hitters'!T119</f>
        <v>1.0127189999999999</v>
      </c>
      <c r="AR162">
        <f>'2026_Fantasy_Hitters'!U119</f>
        <v>3.1335179999999996</v>
      </c>
      <c r="AS162">
        <f>'2026_Fantasy_Hitters'!V119</f>
        <v>0.23940088408093055</v>
      </c>
      <c r="AT162">
        <f>'2026_Fantasy_Hitters'!W119</f>
        <v>0.30884761753851953</v>
      </c>
      <c r="AU162">
        <f>'2026_Fantasy_Hitters'!X119</f>
        <v>0.42152134356871962</v>
      </c>
      <c r="AV162">
        <f>'2026_Fantasy_Hitters'!Y119</f>
        <v>0.73036896110723915</v>
      </c>
      <c r="AW162">
        <f>'2026_Fantasy_Hitters'!Z119</f>
        <v>0.28315000000000001</v>
      </c>
      <c r="AX162">
        <f>'2026_Fantasy_Hitters'!AA119</f>
        <v>0.23829999999999901</v>
      </c>
      <c r="AY162">
        <f>'2026_Fantasy_Hitters'!AB119</f>
        <v>7.7499999999999999E-2</v>
      </c>
      <c r="AZ162">
        <f t="shared" si="65"/>
        <v>3.634126E-2</v>
      </c>
    </row>
    <row r="163" spans="1:52">
      <c r="A163" t="s">
        <v>1114</v>
      </c>
      <c r="B163" t="s">
        <v>33</v>
      </c>
      <c r="C163" t="s">
        <v>391</v>
      </c>
      <c r="D163">
        <v>446</v>
      </c>
      <c r="E163">
        <v>493</v>
      </c>
      <c r="F163" s="6">
        <f t="shared" si="44"/>
        <v>-4.4510962477082918</v>
      </c>
      <c r="G163" s="5">
        <f t="shared" si="45"/>
        <v>-0.75294829251641981</v>
      </c>
      <c r="H163" s="5">
        <f t="shared" si="46"/>
        <v>-0.60553593703200548</v>
      </c>
      <c r="I163" s="5">
        <f t="shared" si="47"/>
        <v>-0.26907583700390064</v>
      </c>
      <c r="J163" s="5">
        <f t="shared" si="48"/>
        <v>-0.15755778477722679</v>
      </c>
      <c r="K163" s="5">
        <f t="shared" si="49"/>
        <v>-0.5588234934894708</v>
      </c>
      <c r="L163" s="5">
        <f t="shared" si="50"/>
        <v>9.9427890525678228E-2</v>
      </c>
      <c r="M163" s="5">
        <f t="shared" si="51"/>
        <v>-0.8238488265666335</v>
      </c>
      <c r="N163" s="5">
        <f t="shared" si="52"/>
        <v>-0.45175013891522708</v>
      </c>
      <c r="O163" s="5">
        <f t="shared" si="53"/>
        <v>-0.85868831930270284</v>
      </c>
      <c r="P163" s="1">
        <f t="shared" si="54"/>
        <v>-7.2295508630382282E-2</v>
      </c>
      <c r="R163">
        <f t="shared" si="55"/>
        <v>82.199623658348585</v>
      </c>
      <c r="S163">
        <f t="shared" si="56"/>
        <v>87.669904572275755</v>
      </c>
      <c r="T163">
        <f t="shared" si="57"/>
        <v>88.097206235983407</v>
      </c>
      <c r="U163">
        <f t="shared" si="58"/>
        <v>95.946183339300163</v>
      </c>
      <c r="V163">
        <f t="shared" si="59"/>
        <v>79.775550630238655</v>
      </c>
      <c r="W163">
        <f t="shared" si="60"/>
        <v>104.83422835387937</v>
      </c>
      <c r="X163">
        <f t="shared" si="61"/>
        <v>94.562725778648598</v>
      </c>
      <c r="Y163">
        <f t="shared" si="62"/>
        <v>95.033088374871824</v>
      </c>
      <c r="Z163">
        <f t="shared" si="63"/>
        <v>21.044230861821902</v>
      </c>
      <c r="AA163">
        <f t="shared" si="64"/>
        <v>97.374262473147837</v>
      </c>
      <c r="AC163">
        <f>'2026_Fantasy_Hitters'!F174</f>
        <v>105.97570935860098</v>
      </c>
      <c r="AD163">
        <f>'2026_Fantasy_Hitters'!G174</f>
        <v>66.617182835868405</v>
      </c>
      <c r="AE163">
        <f>'2026_Fantasy_Hitters'!H174</f>
        <v>20.721232624039253</v>
      </c>
      <c r="AF163">
        <f>'2026_Fantasy_Hitters'!I174</f>
        <v>1.8545679165418512</v>
      </c>
      <c r="AG163">
        <f>'2026_Fantasy_Hitters'!J174</f>
        <v>16.589999999999971</v>
      </c>
      <c r="AH163">
        <f>'2026_Fantasy_Hitters'!K174</f>
        <v>55.09999999999954</v>
      </c>
      <c r="AI163">
        <f>'2026_Fantasy_Hitters'!L174</f>
        <v>63.000001649999994</v>
      </c>
      <c r="AJ163">
        <f>'2026_Fantasy_Hitters'!M174</f>
        <v>37.467999999999996</v>
      </c>
      <c r="AK163">
        <f>'2026_Fantasy_Hitters'!N174</f>
        <v>2.0210534999999998</v>
      </c>
      <c r="AL163">
        <f>'2026_Fantasy_Hitters'!O174</f>
        <v>108.3614</v>
      </c>
      <c r="AM163">
        <f>'2026_Fantasy_Hitters'!P174</f>
        <v>6.0330628500000003</v>
      </c>
      <c r="AN163">
        <f>'2026_Fantasy_Hitters'!Q174</f>
        <v>2.9887730599999998</v>
      </c>
      <c r="AO163">
        <f>'2026_Fantasy_Hitters'!R174</f>
        <v>0</v>
      </c>
      <c r="AP163">
        <f>'2026_Fantasy_Hitters'!S174</f>
        <v>2.76035137</v>
      </c>
      <c r="AQ163">
        <f>'2026_Fantasy_Hitters'!T174</f>
        <v>1.0840083999999999</v>
      </c>
      <c r="AR163">
        <f>'2026_Fantasy_Hitters'!U174</f>
        <v>1.6763429700000001</v>
      </c>
      <c r="AS163">
        <f>'2026_Fantasy_Hitters'!V174</f>
        <v>0.23761369811345512</v>
      </c>
      <c r="AT163">
        <f>'2026_Fantasy_Hitters'!W174</f>
        <v>0.31014268708058212</v>
      </c>
      <c r="AU163">
        <f>'2026_Fantasy_Hitters'!X174</f>
        <v>0.40355011621877201</v>
      </c>
      <c r="AV163">
        <f>'2026_Fantasy_Hitters'!Y174</f>
        <v>0.71369280329935414</v>
      </c>
      <c r="AW163">
        <f>'2026_Fantasy_Hitters'!Z174</f>
        <v>0.27584999999999998</v>
      </c>
      <c r="AX163">
        <f>'2026_Fantasy_Hitters'!AA174</f>
        <v>0.2198</v>
      </c>
      <c r="AY163">
        <f>'2026_Fantasy_Hitters'!AB174</f>
        <v>7.5999999999999998E-2</v>
      </c>
      <c r="AZ163">
        <f t="shared" si="65"/>
        <v>3.3651115618661201E-2</v>
      </c>
    </row>
    <row r="164" spans="1:52">
      <c r="A164" t="s">
        <v>674</v>
      </c>
      <c r="B164" t="s">
        <v>489</v>
      </c>
      <c r="C164" t="s">
        <v>648</v>
      </c>
      <c r="D164">
        <v>522</v>
      </c>
      <c r="E164">
        <v>581</v>
      </c>
      <c r="F164" s="6">
        <f t="shared" si="44"/>
        <v>-4.4634823303087492</v>
      </c>
      <c r="G164" s="5">
        <f t="shared" si="45"/>
        <v>-9.2617227402021787E-2</v>
      </c>
      <c r="H164" s="5">
        <f t="shared" si="46"/>
        <v>0.91576518010292762</v>
      </c>
      <c r="I164" s="5">
        <f t="shared" si="47"/>
        <v>-1.9946374843940886</v>
      </c>
      <c r="J164" s="5">
        <f t="shared" si="48"/>
        <v>-1.2822055120451503</v>
      </c>
      <c r="K164" s="5">
        <f t="shared" si="49"/>
        <v>-4.5727724229350279E-2</v>
      </c>
      <c r="L164" s="5">
        <f t="shared" si="50"/>
        <v>-0.97619205650484464</v>
      </c>
      <c r="M164" s="5">
        <f t="shared" si="51"/>
        <v>1.4156334057030067</v>
      </c>
      <c r="N164" s="5">
        <f t="shared" si="52"/>
        <v>-1.657391197555671</v>
      </c>
      <c r="O164" s="5">
        <f t="shared" si="53"/>
        <v>1.7034052312657848</v>
      </c>
      <c r="P164" s="1">
        <f t="shared" si="54"/>
        <v>-2.4495149452493421</v>
      </c>
      <c r="R164">
        <f t="shared" si="55"/>
        <v>97.810445259173804</v>
      </c>
      <c r="S164">
        <f t="shared" si="56"/>
        <v>118.64707174177096</v>
      </c>
      <c r="T164">
        <f t="shared" si="57"/>
        <v>11.765549537710157</v>
      </c>
      <c r="U164">
        <f t="shared" si="58"/>
        <v>67.010033337808366</v>
      </c>
      <c r="V164">
        <f t="shared" si="59"/>
        <v>98.345062342142853</v>
      </c>
      <c r="W164">
        <f t="shared" si="60"/>
        <v>52.537107109108561</v>
      </c>
      <c r="X164">
        <f t="shared" si="61"/>
        <v>109.34296047466708</v>
      </c>
      <c r="Y164">
        <f t="shared" si="62"/>
        <v>81.777281516079299</v>
      </c>
      <c r="Z164">
        <f t="shared" si="63"/>
        <v>256.62687748891432</v>
      </c>
      <c r="AA164">
        <f t="shared" si="64"/>
        <v>11.034814801431196</v>
      </c>
      <c r="AC164">
        <f>'2026_Fantasy_Hitters'!F98</f>
        <v>143.4210251796172</v>
      </c>
      <c r="AD164">
        <f>'2026_Fantasy_Hitters'!G98</f>
        <v>115.71256151894855</v>
      </c>
      <c r="AE164">
        <f>'2026_Fantasy_Hitters'!H98</f>
        <v>22.520168185462733</v>
      </c>
      <c r="AF164">
        <f>'2026_Fantasy_Hitters'!I98</f>
        <v>3.8848480279963638</v>
      </c>
      <c r="AG164">
        <f>'2026_Fantasy_Hitters'!J98</f>
        <v>2.2156260699999999</v>
      </c>
      <c r="AH164">
        <f>'2026_Fantasy_Hitters'!K98</f>
        <v>65.564236111110986</v>
      </c>
      <c r="AI164">
        <f>'2026_Fantasy_Hitters'!L98</f>
        <v>44.000001499999996</v>
      </c>
      <c r="AJ164">
        <f>'2026_Fantasy_Hitters'!M98</f>
        <v>46.189500000000002</v>
      </c>
      <c r="AK164">
        <f>'2026_Fantasy_Hitters'!N98</f>
        <v>0.97513877999999998</v>
      </c>
      <c r="AL164">
        <f>'2026_Fantasy_Hitters'!O98</f>
        <v>79.916549999999418</v>
      </c>
      <c r="AM164">
        <f>'2026_Fantasy_Hitters'!P98</f>
        <v>3.0234368500000004</v>
      </c>
      <c r="AN164">
        <f>'2026_Fantasy_Hitters'!Q98</f>
        <v>4.0347196399999996</v>
      </c>
      <c r="AO164">
        <f>'2026_Fantasy_Hitters'!R98</f>
        <v>4.0825591799999996</v>
      </c>
      <c r="AP164">
        <f>'2026_Fantasy_Hitters'!S98</f>
        <v>26.764537730000001</v>
      </c>
      <c r="AQ164">
        <f>'2026_Fantasy_Hitters'!T98</f>
        <v>6.3221340700000006</v>
      </c>
      <c r="AR164">
        <f>'2026_Fantasy_Hitters'!U98</f>
        <v>20.44240366</v>
      </c>
      <c r="AS164">
        <f>'2026_Fantasy_Hitters'!V98</f>
        <v>0.27475292180003297</v>
      </c>
      <c r="AT164">
        <f>'2026_Fantasy_Hitters'!W98</f>
        <v>0.33776922106698198</v>
      </c>
      <c r="AU164">
        <f>'2026_Fantasy_Hitters'!X98</f>
        <v>0.34726043343651936</v>
      </c>
      <c r="AV164">
        <f>'2026_Fantasy_Hitters'!Y98</f>
        <v>0.68502965450350128</v>
      </c>
      <c r="AW164">
        <f>'2026_Fantasy_Hitters'!Z98</f>
        <v>0.31809999999999999</v>
      </c>
      <c r="AX164">
        <f>'2026_Fantasy_Hitters'!AA98</f>
        <v>0.13754999999999901</v>
      </c>
      <c r="AY164">
        <f>'2026_Fantasy_Hitters'!AB98</f>
        <v>7.9500000000000001E-2</v>
      </c>
      <c r="AZ164">
        <f t="shared" si="65"/>
        <v>3.8134699999999998E-3</v>
      </c>
    </row>
    <row r="165" spans="1:52">
      <c r="A165" t="s">
        <v>647</v>
      </c>
      <c r="B165" t="s">
        <v>107</v>
      </c>
      <c r="C165" t="s">
        <v>648</v>
      </c>
      <c r="D165">
        <v>433</v>
      </c>
      <c r="E165">
        <v>489</v>
      </c>
      <c r="F165" s="6">
        <f t="shared" si="44"/>
        <v>-4.4955722026957803</v>
      </c>
      <c r="G165" s="5">
        <f t="shared" si="45"/>
        <v>-0.32772327211122404</v>
      </c>
      <c r="H165" s="5">
        <f t="shared" si="46"/>
        <v>-0.48620032789641171</v>
      </c>
      <c r="I165" s="5">
        <f t="shared" si="47"/>
        <v>-0.76834801878065051</v>
      </c>
      <c r="J165" s="5">
        <f t="shared" si="48"/>
        <v>-1.0454376370347531</v>
      </c>
      <c r="K165" s="5">
        <f t="shared" si="49"/>
        <v>3.3182481045957966E-2</v>
      </c>
      <c r="L165" s="5">
        <f t="shared" si="50"/>
        <v>-0.68975305069153359</v>
      </c>
      <c r="M165" s="5">
        <f t="shared" si="51"/>
        <v>1.5375474958112981E-2</v>
      </c>
      <c r="N165" s="5">
        <f t="shared" si="52"/>
        <v>-0.60987268704165287</v>
      </c>
      <c r="O165" s="5">
        <f t="shared" si="53"/>
        <v>0.11119804138279035</v>
      </c>
      <c r="P165" s="1">
        <f t="shared" si="54"/>
        <v>-0.72799320652641542</v>
      </c>
      <c r="R165">
        <f t="shared" si="55"/>
        <v>92.252326437980443</v>
      </c>
      <c r="S165">
        <f t="shared" si="56"/>
        <v>90.099850275877671</v>
      </c>
      <c r="T165">
        <f t="shared" si="57"/>
        <v>66.011485429647493</v>
      </c>
      <c r="U165">
        <f t="shared" si="58"/>
        <v>73.101852652180369</v>
      </c>
      <c r="V165">
        <f t="shared" si="59"/>
        <v>101.20091122813461</v>
      </c>
      <c r="W165">
        <f t="shared" si="60"/>
        <v>66.463899241967042</v>
      </c>
      <c r="X165">
        <f t="shared" si="61"/>
        <v>100.10147574522769</v>
      </c>
      <c r="Y165">
        <f t="shared" si="62"/>
        <v>93.294559363303776</v>
      </c>
      <c r="Z165">
        <f t="shared" si="63"/>
        <v>110.22457938075452</v>
      </c>
      <c r="AA165">
        <f t="shared" si="64"/>
        <v>73.559642668222381</v>
      </c>
      <c r="AC165">
        <f>'2026_Fantasy_Hitters'!F94</f>
        <v>108.91303683601143</v>
      </c>
      <c r="AD165">
        <f>'2026_Fantasy_Hitters'!G94</f>
        <v>72.073823597425303</v>
      </c>
      <c r="AE165">
        <f>'2026_Fantasy_Hitters'!H94</f>
        <v>21.64873193113333</v>
      </c>
      <c r="AF165">
        <f>'2026_Fantasy_Hitters'!I94</f>
        <v>2.148515569580459</v>
      </c>
      <c r="AG165">
        <f>'2026_Fantasy_Hitters'!J94</f>
        <v>12.430933852140054</v>
      </c>
      <c r="AH165">
        <f>'2026_Fantasy_Hitters'!K94</f>
        <v>61.838521400777921</v>
      </c>
      <c r="AI165">
        <f>'2026_Fantasy_Hitters'!L94</f>
        <v>48.000000390000004</v>
      </c>
      <c r="AJ165">
        <f>'2026_Fantasy_Hitters'!M94</f>
        <v>47.530799999999999</v>
      </c>
      <c r="AK165">
        <f>'2026_Fantasy_Hitters'!N94</f>
        <v>1.0613402700000001</v>
      </c>
      <c r="AL165">
        <f>'2026_Fantasy_Hitters'!O94</f>
        <v>106.3086</v>
      </c>
      <c r="AM165">
        <f>'2026_Fantasy_Hitters'!P94</f>
        <v>3.8249042099999997</v>
      </c>
      <c r="AN165">
        <f>'2026_Fantasy_Hitters'!Q94</f>
        <v>2.85408762</v>
      </c>
      <c r="AO165">
        <f>'2026_Fantasy_Hitters'!R94</f>
        <v>0.89999960999999995</v>
      </c>
      <c r="AP165">
        <f>'2026_Fantasy_Hitters'!S94</f>
        <v>13.024553571428553</v>
      </c>
      <c r="AQ165">
        <f>'2026_Fantasy_Hitters'!T94</f>
        <v>4.2442754999999996</v>
      </c>
      <c r="AR165">
        <f>'2026_Fantasy_Hitters'!U94</f>
        <v>8.7802780714285547</v>
      </c>
      <c r="AS165">
        <f>'2026_Fantasy_Hitters'!V94</f>
        <v>0.25153126290071925</v>
      </c>
      <c r="AT165">
        <f>'2026_Fantasy_Hitters'!W94</f>
        <v>0.33301958406959375</v>
      </c>
      <c r="AU165">
        <f>'2026_Fantasy_Hitters'!X94</f>
        <v>0.39616759717550476</v>
      </c>
      <c r="AV165">
        <f>'2026_Fantasy_Hitters'!Y94</f>
        <v>0.72918718124509851</v>
      </c>
      <c r="AW165">
        <f>'2026_Fantasy_Hitters'!Z94</f>
        <v>0.30425000000000002</v>
      </c>
      <c r="AX165">
        <f>'2026_Fantasy_Hitters'!AA94</f>
        <v>0.21740000000000001</v>
      </c>
      <c r="AY165">
        <f>'2026_Fantasy_Hitters'!AB94</f>
        <v>9.7199999999999995E-2</v>
      </c>
      <c r="AZ165">
        <f t="shared" si="65"/>
        <v>2.5421132621963299E-2</v>
      </c>
    </row>
    <row r="166" spans="1:52">
      <c r="A166" t="s">
        <v>1206</v>
      </c>
      <c r="B166" t="s">
        <v>440</v>
      </c>
      <c r="C166" t="s">
        <v>49</v>
      </c>
      <c r="D166">
        <v>445</v>
      </c>
      <c r="E166">
        <v>486</v>
      </c>
      <c r="F166" s="6">
        <f t="shared" si="44"/>
        <v>-4.7092129389912198</v>
      </c>
      <c r="G166" s="5">
        <f t="shared" si="45"/>
        <v>-0.70635903217885099</v>
      </c>
      <c r="H166" s="5">
        <f t="shared" si="46"/>
        <v>-0.61052748992188499</v>
      </c>
      <c r="I166" s="5">
        <f t="shared" si="47"/>
        <v>-0.24504160456565507</v>
      </c>
      <c r="J166" s="5">
        <f t="shared" si="48"/>
        <v>-0.21674986762238777</v>
      </c>
      <c r="K166" s="5">
        <f t="shared" si="49"/>
        <v>-0.74451809718065287</v>
      </c>
      <c r="L166" s="5">
        <f t="shared" si="50"/>
        <v>-0.9874583954928815</v>
      </c>
      <c r="M166" s="5">
        <f t="shared" si="51"/>
        <v>-0.80829943248268044</v>
      </c>
      <c r="N166" s="5">
        <f t="shared" si="52"/>
        <v>-0.4244892209548356</v>
      </c>
      <c r="O166" s="5">
        <f t="shared" si="53"/>
        <v>3.50884231197887E-2</v>
      </c>
      <c r="P166" s="1">
        <f t="shared" si="54"/>
        <v>-8.5822171118043935E-4</v>
      </c>
      <c r="R166">
        <f t="shared" si="55"/>
        <v>83.301035768224395</v>
      </c>
      <c r="S166">
        <f t="shared" si="56"/>
        <v>87.568265148914008</v>
      </c>
      <c r="T166">
        <f t="shared" si="57"/>
        <v>89.160380526080402</v>
      </c>
      <c r="U166">
        <f t="shared" si="58"/>
        <v>94.423225575210651</v>
      </c>
      <c r="V166">
        <f t="shared" si="59"/>
        <v>73.055054526649315</v>
      </c>
      <c r="W166">
        <f t="shared" si="60"/>
        <v>51.989332685931814</v>
      </c>
      <c r="X166">
        <f t="shared" si="61"/>
        <v>94.665349363078107</v>
      </c>
      <c r="Y166">
        <f t="shared" si="62"/>
        <v>95.332817270704084</v>
      </c>
      <c r="Z166">
        <f t="shared" si="63"/>
        <v>103.2263550964784</v>
      </c>
      <c r="AA166">
        <f t="shared" si="64"/>
        <v>99.968829807050412</v>
      </c>
      <c r="AC166">
        <f>'2026_Fantasy_Hitters'!F190</f>
        <v>105.85284724255202</v>
      </c>
      <c r="AD166">
        <f>'2026_Fantasy_Hitters'!G190</f>
        <v>66.166533534318347</v>
      </c>
      <c r="AE166">
        <f>'2026_Fantasy_Hitters'!H190</f>
        <v>22.792500075164639</v>
      </c>
      <c r="AF166">
        <f>'2026_Fantasy_Hitters'!I190</f>
        <v>0.41126898684665458</v>
      </c>
      <c r="AG166">
        <f>'2026_Fantasy_Hitters'!J190</f>
        <v>16.790211359999997</v>
      </c>
      <c r="AH166">
        <f>'2026_Fantasy_Hitters'!K190</f>
        <v>55.838297872340135</v>
      </c>
      <c r="AI166">
        <f>'2026_Fantasy_Hitters'!L190</f>
        <v>61.999999999999822</v>
      </c>
      <c r="AJ166">
        <f>'2026_Fantasy_Hitters'!M190</f>
        <v>34.311599999999999</v>
      </c>
      <c r="AK166">
        <f>'2026_Fantasy_Hitters'!N190</f>
        <v>0.89796276000000008</v>
      </c>
      <c r="AL166">
        <f>'2026_Fantasy_Hitters'!O190</f>
        <v>102.66749999999999</v>
      </c>
      <c r="AM166">
        <f>'2026_Fantasy_Hitters'!P190</f>
        <v>2.9919131999999999</v>
      </c>
      <c r="AN166">
        <f>'2026_Fantasy_Hitters'!Q190</f>
        <v>4.1361710399999998</v>
      </c>
      <c r="AO166">
        <f>'2026_Fantasy_Hitters'!R190</f>
        <v>0</v>
      </c>
      <c r="AP166">
        <f>'2026_Fantasy_Hitters'!S190</f>
        <v>10.49999999999998</v>
      </c>
      <c r="AQ166">
        <f>'2026_Fantasy_Hitters'!T190</f>
        <v>2.27718702</v>
      </c>
      <c r="AR166">
        <f>'2026_Fantasy_Hitters'!U190</f>
        <v>8.222812979999981</v>
      </c>
      <c r="AS166">
        <f>'2026_Fantasy_Hitters'!V190</f>
        <v>0.23787156683719554</v>
      </c>
      <c r="AT166">
        <f>'2026_Fantasy_Hitters'!W190</f>
        <v>0.29742044401290441</v>
      </c>
      <c r="AU166">
        <f>'2026_Fantasy_Hitters'!X190</f>
        <v>0.40482289007907324</v>
      </c>
      <c r="AV166">
        <f>'2026_Fantasy_Hitters'!Y190</f>
        <v>0.70224333409197759</v>
      </c>
      <c r="AW166">
        <f>'2026_Fantasy_Hitters'!Z190</f>
        <v>0.27015</v>
      </c>
      <c r="AX166">
        <f>'2026_Fantasy_Hitters'!AA190</f>
        <v>0.21124999999999999</v>
      </c>
      <c r="AY166">
        <f>'2026_Fantasy_Hitters'!AB190</f>
        <v>7.0599999999999996E-2</v>
      </c>
      <c r="AZ166">
        <f t="shared" si="65"/>
        <v>3.4547759999999997E-2</v>
      </c>
    </row>
    <row r="167" spans="1:52">
      <c r="A167" t="s">
        <v>924</v>
      </c>
      <c r="B167" t="s">
        <v>335</v>
      </c>
      <c r="C167" t="s">
        <v>49</v>
      </c>
      <c r="D167">
        <v>486</v>
      </c>
      <c r="E167">
        <v>521</v>
      </c>
      <c r="F167" s="6">
        <f t="shared" si="44"/>
        <v>-4.7121325887895651</v>
      </c>
      <c r="G167" s="5">
        <f t="shared" si="45"/>
        <v>-0.66342082500632926</v>
      </c>
      <c r="H167" s="5">
        <f t="shared" si="46"/>
        <v>-6.9200177626697626E-2</v>
      </c>
      <c r="I167" s="5">
        <f t="shared" si="47"/>
        <v>-0.28016412246102956</v>
      </c>
      <c r="J167" s="5">
        <f t="shared" si="48"/>
        <v>-0.21674986762239384</v>
      </c>
      <c r="K167" s="5">
        <f t="shared" si="49"/>
        <v>-1.0343908798784072</v>
      </c>
      <c r="L167" s="5">
        <f t="shared" si="50"/>
        <v>-0.62738600272459666</v>
      </c>
      <c r="M167" s="5">
        <f t="shared" si="51"/>
        <v>-0.36517146202370693</v>
      </c>
      <c r="N167" s="5">
        <f t="shared" si="52"/>
        <v>-0.56144669420262316</v>
      </c>
      <c r="O167" s="5">
        <f t="shared" si="53"/>
        <v>-0.66369510380493335</v>
      </c>
      <c r="P167" s="1">
        <f t="shared" si="54"/>
        <v>-0.23050745343884782</v>
      </c>
      <c r="R167">
        <f t="shared" si="55"/>
        <v>84.316133690224149</v>
      </c>
      <c r="S167">
        <f t="shared" si="56"/>
        <v>98.590926249671114</v>
      </c>
      <c r="T167">
        <f t="shared" si="57"/>
        <v>87.606706693317904</v>
      </c>
      <c r="U167">
        <f t="shared" si="58"/>
        <v>94.423225575210495</v>
      </c>
      <c r="V167">
        <f t="shared" si="59"/>
        <v>62.564233210718072</v>
      </c>
      <c r="W167">
        <f t="shared" si="60"/>
        <v>69.496212912060017</v>
      </c>
      <c r="X167">
        <f t="shared" si="61"/>
        <v>97.589925101781887</v>
      </c>
      <c r="Y167">
        <f t="shared" si="62"/>
        <v>93.826994455339644</v>
      </c>
      <c r="Z167">
        <f t="shared" si="63"/>
        <v>38.973715821923705</v>
      </c>
      <c r="AA167">
        <f t="shared" si="64"/>
        <v>91.628081990432662</v>
      </c>
      <c r="AC167">
        <f>'2026_Fantasy_Hitters'!F141</f>
        <v>119.177081309776</v>
      </c>
      <c r="AD167">
        <f>'2026_Fantasy_Hitters'!G141</f>
        <v>78.814054914847148</v>
      </c>
      <c r="AE167">
        <f>'2026_Fantasy_Hitters'!H141</f>
        <v>22.845346793841721</v>
      </c>
      <c r="AF167">
        <f>'2026_Fantasy_Hitters'!I141</f>
        <v>1.0469981206875623</v>
      </c>
      <c r="AG167">
        <f>'2026_Fantasy_Hitters'!J141</f>
        <v>16.497631719999998</v>
      </c>
      <c r="AH167">
        <f>'2026_Fantasy_Hitters'!K141</f>
        <v>56.51873767258374</v>
      </c>
      <c r="AI167">
        <f>'2026_Fantasy_Hitters'!L141</f>
        <v>61.999999999999716</v>
      </c>
      <c r="AJ167">
        <f>'2026_Fantasy_Hitters'!M141</f>
        <v>29.384399999999999</v>
      </c>
      <c r="AK167">
        <f>'2026_Fantasy_Hitters'!N141</f>
        <v>0</v>
      </c>
      <c r="AL167">
        <f>'2026_Fantasy_Hitters'!O141</f>
        <v>131.3441</v>
      </c>
      <c r="AM167">
        <f>'2026_Fantasy_Hitters'!P141</f>
        <v>3.9994096099999998</v>
      </c>
      <c r="AN167">
        <f>'2026_Fantasy_Hitters'!Q141</f>
        <v>3.0828403600000001</v>
      </c>
      <c r="AO167">
        <f>'2026_Fantasy_Hitters'!R141</f>
        <v>0</v>
      </c>
      <c r="AP167">
        <f>'2026_Fantasy_Hitters'!S141</f>
        <v>4.1485875399999994</v>
      </c>
      <c r="AQ167">
        <f>'2026_Fantasy_Hitters'!T141</f>
        <v>1.04401627</v>
      </c>
      <c r="AR167">
        <f>'2026_Fantasy_Hitters'!U141</f>
        <v>3.1045712699999992</v>
      </c>
      <c r="AS167">
        <f>'2026_Fantasy_Hitters'!V141</f>
        <v>0.24522033191311934</v>
      </c>
      <c r="AT167">
        <f>'2026_Fantasy_Hitters'!W141</f>
        <v>0.29425367514800871</v>
      </c>
      <c r="AU167">
        <f>'2026_Fantasy_Hitters'!X141</f>
        <v>0.39842853856912197</v>
      </c>
      <c r="AV167">
        <f>'2026_Fantasy_Hitters'!Y141</f>
        <v>0.69268221371713068</v>
      </c>
      <c r="AW167">
        <f>'2026_Fantasy_Hitters'!Z141</f>
        <v>0.3009</v>
      </c>
      <c r="AX167">
        <f>'2026_Fantasy_Hitters'!AA141</f>
        <v>0.25209999999999999</v>
      </c>
      <c r="AY167">
        <f>'2026_Fantasy_Hitters'!AB141</f>
        <v>5.6399999999999999E-2</v>
      </c>
      <c r="AZ167">
        <f t="shared" si="65"/>
        <v>3.1665319999999997E-2</v>
      </c>
    </row>
    <row r="168" spans="1:52">
      <c r="A168" t="s">
        <v>883</v>
      </c>
      <c r="B168" t="s">
        <v>243</v>
      </c>
      <c r="C168" t="s">
        <v>884</v>
      </c>
      <c r="D168">
        <v>560</v>
      </c>
      <c r="E168">
        <v>605</v>
      </c>
      <c r="F168" s="6">
        <f t="shared" si="44"/>
        <v>-4.8131979799422071</v>
      </c>
      <c r="G168" s="5">
        <f t="shared" si="45"/>
        <v>-0.13499110132939468</v>
      </c>
      <c r="H168" s="5">
        <f t="shared" si="46"/>
        <v>1.7851607706757657</v>
      </c>
      <c r="I168" s="5">
        <f t="shared" si="47"/>
        <v>-2.2125928278156306</v>
      </c>
      <c r="J168" s="5">
        <f t="shared" si="48"/>
        <v>-0.69028568985739236</v>
      </c>
      <c r="K168" s="5">
        <f t="shared" si="49"/>
        <v>-0.86245099622999466</v>
      </c>
      <c r="L168" s="5">
        <f t="shared" si="50"/>
        <v>-0.62929836384513715</v>
      </c>
      <c r="M168" s="5">
        <f t="shared" si="51"/>
        <v>2.5956435053725424</v>
      </c>
      <c r="N168" s="5">
        <f t="shared" si="52"/>
        <v>-1.5486643295033768</v>
      </c>
      <c r="O168" s="5">
        <f t="shared" si="53"/>
        <v>-0.41505373722240119</v>
      </c>
      <c r="P168" s="1">
        <f t="shared" si="54"/>
        <v>-2.700665210187188</v>
      </c>
      <c r="R168">
        <f t="shared" si="55"/>
        <v>96.808688683778584</v>
      </c>
      <c r="S168">
        <f t="shared" si="56"/>
        <v>136.34995267852906</v>
      </c>
      <c r="T168">
        <f t="shared" si="57"/>
        <v>2.1241133857362655</v>
      </c>
      <c r="U168">
        <f t="shared" si="58"/>
        <v>82.239585088461538</v>
      </c>
      <c r="V168">
        <f t="shared" si="59"/>
        <v>68.7869305597075</v>
      </c>
      <c r="W168">
        <f t="shared" si="60"/>
        <v>69.403233062010941</v>
      </c>
      <c r="X168">
        <f t="shared" si="61"/>
        <v>117.13084374762889</v>
      </c>
      <c r="Y168">
        <f t="shared" si="62"/>
        <v>82.972713898655826</v>
      </c>
      <c r="Z168">
        <f t="shared" si="63"/>
        <v>61.836109424800938</v>
      </c>
      <c r="AA168">
        <f t="shared" si="64"/>
        <v>1.9131599708701685</v>
      </c>
      <c r="AC168">
        <f>'2026_Fantasy_Hitters'!F134</f>
        <v>164.82033403157499</v>
      </c>
      <c r="AD168">
        <f>'2026_Fantasy_Hitters'!G134</f>
        <v>135.16641240281371</v>
      </c>
      <c r="AE168">
        <f>'2026_Fantasy_Hitters'!H134</f>
        <v>25.745124525384604</v>
      </c>
      <c r="AF168">
        <f>'2026_Fantasy_Hitters'!I134</f>
        <v>3.017301496414591</v>
      </c>
      <c r="AG168">
        <f>'2026_Fantasy_Hitters'!J134</f>
        <v>0.40000180000000002</v>
      </c>
      <c r="AH168">
        <f>'2026_Fantasy_Hitters'!K134</f>
        <v>64.892739273927234</v>
      </c>
      <c r="AI168">
        <f>'2026_Fantasy_Hitters'!L134</f>
        <v>54.000000999999997</v>
      </c>
      <c r="AJ168">
        <f>'2026_Fantasy_Hitters'!M134</f>
        <v>32.307000000000002</v>
      </c>
      <c r="AK168">
        <f>'2026_Fantasy_Hitters'!N134</f>
        <v>2.1059203000000002</v>
      </c>
      <c r="AL168">
        <f>'2026_Fantasy_Hitters'!O134</f>
        <v>24.6235</v>
      </c>
      <c r="AM168">
        <f>'2026_Fantasy_Hitters'!P134</f>
        <v>3.9940587499999998</v>
      </c>
      <c r="AN168">
        <f>'2026_Fantasy_Hitters'!Q134</f>
        <v>4.9917521500000008</v>
      </c>
      <c r="AO168">
        <f>'2026_Fantasy_Hitters'!R134</f>
        <v>6.0797752808988035</v>
      </c>
      <c r="AP168">
        <f>'2026_Fantasy_Hitters'!S134</f>
        <v>7.9422150882824143</v>
      </c>
      <c r="AQ168">
        <f>'2026_Fantasy_Hitters'!T134</f>
        <v>3.0164694999999999</v>
      </c>
      <c r="AR168">
        <f>'2026_Fantasy_Hitters'!U134</f>
        <v>4.9257455882824139</v>
      </c>
      <c r="AS168">
        <f>'2026_Fantasy_Hitters'!V134</f>
        <v>0.29432202505638388</v>
      </c>
      <c r="AT168">
        <f>'2026_Fantasy_Hitters'!W134</f>
        <v>0.33904859675335186</v>
      </c>
      <c r="AU168">
        <f>'2026_Fantasy_Hitters'!X134</f>
        <v>0.35233673775504765</v>
      </c>
      <c r="AV168">
        <f>'2026_Fantasy_Hitters'!Y134</f>
        <v>0.69138533450839956</v>
      </c>
      <c r="AW168">
        <f>'2026_Fantasy_Hitters'!Z134</f>
        <v>0.30449999999999999</v>
      </c>
      <c r="AX168">
        <f>'2026_Fantasy_Hitters'!AA134</f>
        <v>4.07E-2</v>
      </c>
      <c r="AY168">
        <f>'2026_Fantasy_Hitters'!AB134</f>
        <v>5.3400000000000003E-2</v>
      </c>
      <c r="AZ168">
        <f t="shared" si="65"/>
        <v>6.6116000000000005E-4</v>
      </c>
    </row>
    <row r="169" spans="1:52">
      <c r="A169" t="s">
        <v>1029</v>
      </c>
      <c r="B169" t="s">
        <v>92</v>
      </c>
      <c r="C169" t="s">
        <v>87</v>
      </c>
      <c r="D169">
        <v>392</v>
      </c>
      <c r="E169">
        <v>440</v>
      </c>
      <c r="F169" s="6">
        <f t="shared" si="44"/>
        <v>-4.8464351880282903</v>
      </c>
      <c r="G169" s="5">
        <f t="shared" si="45"/>
        <v>-0.86250597724466871</v>
      </c>
      <c r="H169" s="5">
        <f t="shared" si="46"/>
        <v>-0.52902838089478921</v>
      </c>
      <c r="I169" s="5">
        <f t="shared" si="47"/>
        <v>-1.0407461868350827</v>
      </c>
      <c r="J169" s="5">
        <f t="shared" si="48"/>
        <v>-0.69028574904939655</v>
      </c>
      <c r="K169" s="5">
        <f t="shared" si="49"/>
        <v>-0.43857264760657366</v>
      </c>
      <c r="L169" s="5">
        <f t="shared" si="50"/>
        <v>-0.6540824225825812</v>
      </c>
      <c r="M169" s="5">
        <f t="shared" si="51"/>
        <v>1.4395873665764474</v>
      </c>
      <c r="N169" s="5">
        <f t="shared" si="52"/>
        <v>-0.3695522508992955</v>
      </c>
      <c r="O169" s="5">
        <f t="shared" si="53"/>
        <v>-0.78792613061255001</v>
      </c>
      <c r="P169" s="1">
        <f t="shared" si="54"/>
        <v>-0.91332280887979922</v>
      </c>
      <c r="R169">
        <f t="shared" si="55"/>
        <v>79.609581236225296</v>
      </c>
      <c r="S169">
        <f t="shared" si="56"/>
        <v>89.227773247647193</v>
      </c>
      <c r="T169">
        <f t="shared" si="57"/>
        <v>53.961725584430106</v>
      </c>
      <c r="U169">
        <f t="shared" si="58"/>
        <v>82.239583565505797</v>
      </c>
      <c r="V169">
        <f t="shared" si="59"/>
        <v>84.127563694405623</v>
      </c>
      <c r="W169">
        <f t="shared" si="60"/>
        <v>68.198221079565016</v>
      </c>
      <c r="X169">
        <f t="shared" si="61"/>
        <v>109.50105289375713</v>
      </c>
      <c r="Y169">
        <f t="shared" si="62"/>
        <v>95.936839387605701</v>
      </c>
      <c r="Z169">
        <f t="shared" si="63"/>
        <v>27.550762869231633</v>
      </c>
      <c r="AA169">
        <f t="shared" si="64"/>
        <v>66.828562121797063</v>
      </c>
      <c r="AC169">
        <f>'2026_Fantasy_Hitters'!F159</f>
        <v>107.85886685449999</v>
      </c>
      <c r="AD169">
        <f>'2026_Fantasy_Hitters'!G159</f>
        <v>75.690057382429629</v>
      </c>
      <c r="AE169">
        <f>'2026_Fantasy_Hitters'!H159</f>
        <v>20.14372784628863</v>
      </c>
      <c r="AF169">
        <f>'2026_Fantasy_Hitters'!I159</f>
        <v>1.0237883658141071</v>
      </c>
      <c r="AG169">
        <f>'2026_Fantasy_Hitters'!J159</f>
        <v>10.1617868</v>
      </c>
      <c r="AH169">
        <f>'2026_Fantasy_Hitters'!K159</f>
        <v>53.36384439359248</v>
      </c>
      <c r="AI169">
        <f>'2026_Fantasy_Hitters'!L159</f>
        <v>53.99999999999968</v>
      </c>
      <c r="AJ169">
        <f>'2026_Fantasy_Hitters'!M159</f>
        <v>39.512</v>
      </c>
      <c r="AK169">
        <f>'2026_Fantasy_Hitters'!N159</f>
        <v>1.9494288000000002</v>
      </c>
      <c r="AL169">
        <f>'2026_Fantasy_Hitters'!O159</f>
        <v>74.975999999999999</v>
      </c>
      <c r="AM169">
        <f>'2026_Fantasy_Hitters'!P159</f>
        <v>3.924712</v>
      </c>
      <c r="AN169">
        <f>'2026_Fantasy_Hitters'!Q159</f>
        <v>4.0274608000000001</v>
      </c>
      <c r="AO169">
        <f>'2026_Fantasy_Hitters'!R159</f>
        <v>0</v>
      </c>
      <c r="AP169">
        <f>'2026_Fantasy_Hitters'!S159</f>
        <v>3.9649104000000004</v>
      </c>
      <c r="AQ169">
        <f>'2026_Fantasy_Hitters'!T159</f>
        <v>1.7702696000000002</v>
      </c>
      <c r="AR169">
        <f>'2026_Fantasy_Hitters'!U159</f>
        <v>2.1946408000000002</v>
      </c>
      <c r="AS169">
        <f>'2026_Fantasy_Hitters'!V159</f>
        <v>0.27515017054719387</v>
      </c>
      <c r="AT169">
        <f>'2026_Fantasy_Hitters'!W159</f>
        <v>0.35028319872217384</v>
      </c>
      <c r="AU169">
        <f>'2026_Fantasy_Hitters'!X159</f>
        <v>0.40738781982767658</v>
      </c>
      <c r="AV169">
        <f>'2026_Fantasy_Hitters'!Y159</f>
        <v>0.75767101854985042</v>
      </c>
      <c r="AW169">
        <f>'2026_Fantasy_Hitters'!Z159</f>
        <v>0.31424999999999997</v>
      </c>
      <c r="AX169">
        <f>'2026_Fantasy_Hitters'!AA159</f>
        <v>0.1704</v>
      </c>
      <c r="AY169">
        <f>'2026_Fantasy_Hitters'!AB159</f>
        <v>8.9800000000000005E-2</v>
      </c>
      <c r="AZ169">
        <f t="shared" si="65"/>
        <v>2.3094969999999999E-2</v>
      </c>
    </row>
    <row r="170" spans="1:52">
      <c r="A170" t="s">
        <v>848</v>
      </c>
      <c r="B170" t="s">
        <v>74</v>
      </c>
      <c r="C170" t="s">
        <v>34</v>
      </c>
      <c r="D170">
        <v>518</v>
      </c>
      <c r="E170">
        <v>598</v>
      </c>
      <c r="F170" s="6">
        <f t="shared" si="44"/>
        <v>-5.0875211094610346</v>
      </c>
      <c r="G170" s="5">
        <f t="shared" si="45"/>
        <v>-0.26448357595331651</v>
      </c>
      <c r="H170" s="5">
        <f t="shared" si="46"/>
        <v>0.13620264488538947</v>
      </c>
      <c r="I170" s="5">
        <f t="shared" si="47"/>
        <v>-1.033514021983758</v>
      </c>
      <c r="J170" s="5">
        <f t="shared" si="48"/>
        <v>-0.6310939106671255</v>
      </c>
      <c r="K170" s="5">
        <f t="shared" si="49"/>
        <v>1.1243941931815142</v>
      </c>
      <c r="L170" s="5">
        <f t="shared" si="50"/>
        <v>-0.24797452637458361</v>
      </c>
      <c r="M170" s="5">
        <f t="shared" si="51"/>
        <v>-0.69009859789470562</v>
      </c>
      <c r="N170" s="5">
        <f t="shared" si="52"/>
        <v>-1.6658383894794291</v>
      </c>
      <c r="O170" s="5">
        <f t="shared" si="53"/>
        <v>-0.42366003205745562</v>
      </c>
      <c r="P170" s="1">
        <f t="shared" si="54"/>
        <v>-1.3914548931175634</v>
      </c>
      <c r="R170">
        <f t="shared" si="55"/>
        <v>93.747369859329183</v>
      </c>
      <c r="S170">
        <f t="shared" si="56"/>
        <v>102.77339709543381</v>
      </c>
      <c r="T170">
        <f t="shared" si="57"/>
        <v>54.281646420322325</v>
      </c>
      <c r="U170">
        <f t="shared" si="58"/>
        <v>83.76253503979035</v>
      </c>
      <c r="V170">
        <f t="shared" si="59"/>
        <v>140.69308770405391</v>
      </c>
      <c r="W170">
        <f t="shared" si="60"/>
        <v>87.943368001655116</v>
      </c>
      <c r="X170">
        <f t="shared" si="61"/>
        <v>95.44545650181837</v>
      </c>
      <c r="Y170">
        <f t="shared" si="62"/>
        <v>81.684406158328329</v>
      </c>
      <c r="Z170">
        <f t="shared" si="63"/>
        <v>61.044766846991735</v>
      </c>
      <c r="AA170">
        <f t="shared" si="64"/>
        <v>49.463038589847152</v>
      </c>
      <c r="AC170">
        <f>'2026_Fantasy_Hitters'!F128</f>
        <v>124.23286774999002</v>
      </c>
      <c r="AD170">
        <f>'2026_Fantasy_Hitters'!G128</f>
        <v>88.820388049721387</v>
      </c>
      <c r="AE170">
        <f>'2026_Fantasy_Hitters'!H128</f>
        <v>23.404879176692106</v>
      </c>
      <c r="AF170">
        <f>'2026_Fantasy_Hitters'!I128</f>
        <v>1.0527783319917108</v>
      </c>
      <c r="AG170">
        <f>'2026_Fantasy_Hitters'!J128</f>
        <v>10.2220326</v>
      </c>
      <c r="AH170">
        <f>'2026_Fantasy_Hitters'!K128</f>
        <v>62.840677966101175</v>
      </c>
      <c r="AI170">
        <f>'2026_Fantasy_Hitters'!L128</f>
        <v>54.999997520000001</v>
      </c>
      <c r="AJ170">
        <f>'2026_Fantasy_Hitters'!M128</f>
        <v>66.078999999999397</v>
      </c>
      <c r="AK170">
        <f>'2026_Fantasy_Hitters'!N128</f>
        <v>0.95611827999999999</v>
      </c>
      <c r="AL170">
        <f>'2026_Fantasy_Hitters'!O128</f>
        <v>115.08510000000001</v>
      </c>
      <c r="AM170">
        <f>'2026_Fantasy_Hitters'!P128</f>
        <v>5.06101752</v>
      </c>
      <c r="AN170">
        <f>'2026_Fantasy_Hitters'!Q128</f>
        <v>3.0406805000000001</v>
      </c>
      <c r="AO170">
        <f>'2026_Fantasy_Hitters'!R128</f>
        <v>3.07550802</v>
      </c>
      <c r="AP170">
        <f>'2026_Fantasy_Hitters'!S128</f>
        <v>5.9081622600000001</v>
      </c>
      <c r="AQ170">
        <f>'2026_Fantasy_Hitters'!T128</f>
        <v>1.0454535</v>
      </c>
      <c r="AR170">
        <f>'2026_Fantasy_Hitters'!U128</f>
        <v>4.8627087600000003</v>
      </c>
      <c r="AS170">
        <f>'2026_Fantasy_Hitters'!V128</f>
        <v>0.23983179102314675</v>
      </c>
      <c r="AT170">
        <f>'2026_Fantasy_Hitters'!W128</f>
        <v>0.3338498267694171</v>
      </c>
      <c r="AU170">
        <f>'2026_Fantasy_Hitters'!X128</f>
        <v>0.34686604594417125</v>
      </c>
      <c r="AV170">
        <f>'2026_Fantasy_Hitters'!Y128</f>
        <v>0.68071587271358835</v>
      </c>
      <c r="AW170">
        <f>'2026_Fantasy_Hitters'!Z128</f>
        <v>0.28810000000000002</v>
      </c>
      <c r="AX170">
        <f>'2026_Fantasy_Hitters'!AA128</f>
        <v>0.19245000000000001</v>
      </c>
      <c r="AY170">
        <f>'2026_Fantasy_Hitters'!AB128</f>
        <v>0.110499999999999</v>
      </c>
      <c r="AZ170">
        <f t="shared" si="65"/>
        <v>1.70937E-2</v>
      </c>
    </row>
    <row r="171" spans="1:52">
      <c r="A171" t="s">
        <v>965</v>
      </c>
      <c r="B171" t="s">
        <v>293</v>
      </c>
      <c r="C171" t="s">
        <v>966</v>
      </c>
      <c r="D171">
        <v>436</v>
      </c>
      <c r="E171">
        <v>485</v>
      </c>
      <c r="F171" s="6">
        <f t="shared" si="44"/>
        <v>-5.1454955426254898</v>
      </c>
      <c r="G171" s="5">
        <f t="shared" si="45"/>
        <v>-0.57272597243116063</v>
      </c>
      <c r="H171" s="5">
        <f t="shared" si="46"/>
        <v>-0.41036132544678722</v>
      </c>
      <c r="I171" s="5">
        <f t="shared" si="47"/>
        <v>-0.65246988108061155</v>
      </c>
      <c r="J171" s="5">
        <f t="shared" si="48"/>
        <v>-0.69028563954420508</v>
      </c>
      <c r="K171" s="5">
        <f t="shared" si="49"/>
        <v>-0.24363567215012566</v>
      </c>
      <c r="L171" s="5">
        <f t="shared" si="50"/>
        <v>-0.96838508738412199</v>
      </c>
      <c r="M171" s="5">
        <f t="shared" si="51"/>
        <v>0.16918217164237101</v>
      </c>
      <c r="N171" s="5">
        <f t="shared" si="52"/>
        <v>-0.40862068300256821</v>
      </c>
      <c r="O171" s="5">
        <f t="shared" si="53"/>
        <v>-0.81547484797708492</v>
      </c>
      <c r="P171" s="1">
        <f t="shared" si="54"/>
        <v>-0.55271860525119609</v>
      </c>
      <c r="R171">
        <f t="shared" si="55"/>
        <v>86.460241757317462</v>
      </c>
      <c r="S171">
        <f t="shared" si="56"/>
        <v>91.644105670414007</v>
      </c>
      <c r="T171">
        <f t="shared" si="57"/>
        <v>71.137451366090517</v>
      </c>
      <c r="U171">
        <f t="shared" si="58"/>
        <v>82.239586382973499</v>
      </c>
      <c r="V171">
        <f t="shared" si="59"/>
        <v>91.182551604443418</v>
      </c>
      <c r="W171">
        <f t="shared" si="60"/>
        <v>52.916685427442808</v>
      </c>
      <c r="X171">
        <f t="shared" si="61"/>
        <v>101.11657604031186</v>
      </c>
      <c r="Y171">
        <f t="shared" si="62"/>
        <v>95.507288994870379</v>
      </c>
      <c r="Z171">
        <f t="shared" si="63"/>
        <v>25.017678257048431</v>
      </c>
      <c r="AA171">
        <f t="shared" si="64"/>
        <v>79.925530491563634</v>
      </c>
      <c r="AC171">
        <f>'2026_Fantasy_Hitters'!F148</f>
        <v>110.77973854699501</v>
      </c>
      <c r="AD171">
        <f>'2026_Fantasy_Hitters'!G148</f>
        <v>72.70685609504396</v>
      </c>
      <c r="AE171">
        <f>'2026_Fantasy_Hitters'!H148</f>
        <v>20.898089074477195</v>
      </c>
      <c r="AF171">
        <f>'2026_Fantasy_Hitters'!I148</f>
        <v>2.9126182576887483</v>
      </c>
      <c r="AG171">
        <f>'2026_Fantasy_Hitters'!J148</f>
        <v>13.396228650000001</v>
      </c>
      <c r="AH171">
        <f>'2026_Fantasy_Hitters'!K148</f>
        <v>57.955974842766835</v>
      </c>
      <c r="AI171">
        <f>'2026_Fantasy_Hitters'!L148</f>
        <v>54.000001849999997</v>
      </c>
      <c r="AJ171">
        <f>'2026_Fantasy_Hitters'!M148</f>
        <v>42.825500000000005</v>
      </c>
      <c r="AK171">
        <f>'2026_Fantasy_Hitters'!N148</f>
        <v>0.99486110000000005</v>
      </c>
      <c r="AL171">
        <f>'2026_Fantasy_Hitters'!O148</f>
        <v>100.88</v>
      </c>
      <c r="AM171">
        <f>'2026_Fantasy_Hitters'!P148</f>
        <v>3.0452810500000003</v>
      </c>
      <c r="AN171">
        <f>'2026_Fantasy_Hitters'!Q148</f>
        <v>3.05031535</v>
      </c>
      <c r="AO171">
        <f>'2026_Fantasy_Hitters'!R148</f>
        <v>0.89999994999999999</v>
      </c>
      <c r="AP171">
        <f>'2026_Fantasy_Hitters'!S148</f>
        <v>2.9923481499999998</v>
      </c>
      <c r="AQ171">
        <f>'2026_Fantasy_Hitters'!T148</f>
        <v>0.99948799999999993</v>
      </c>
      <c r="AR171">
        <f>'2026_Fantasy_Hitters'!U148</f>
        <v>1.9928601499999998</v>
      </c>
      <c r="AS171">
        <f>'2026_Fantasy_Hitters'!V148</f>
        <v>0.25408196914448394</v>
      </c>
      <c r="AT171">
        <f>'2026_Fantasy_Hitters'!W148</f>
        <v>0.32647536573556829</v>
      </c>
      <c r="AU171">
        <f>'2026_Fantasy_Hitters'!X148</f>
        <v>0.40556376976390962</v>
      </c>
      <c r="AV171">
        <f>'2026_Fantasy_Hitters'!Y148</f>
        <v>0.73203913549947797</v>
      </c>
      <c r="AW171">
        <f>'2026_Fantasy_Hitters'!Z148</f>
        <v>0.29985000000000001</v>
      </c>
      <c r="AX171">
        <f>'2026_Fantasy_Hitters'!AA148</f>
        <v>0.20799999999999999</v>
      </c>
      <c r="AY171">
        <f>'2026_Fantasy_Hitters'!AB148</f>
        <v>8.8300000000000003E-2</v>
      </c>
      <c r="AZ171">
        <f t="shared" si="65"/>
        <v>2.7621090000000001E-2</v>
      </c>
    </row>
    <row r="172" spans="1:52">
      <c r="A172" t="s">
        <v>1157</v>
      </c>
      <c r="B172" t="s">
        <v>404</v>
      </c>
      <c r="C172" t="s">
        <v>1158</v>
      </c>
      <c r="D172">
        <v>348</v>
      </c>
      <c r="E172">
        <v>383</v>
      </c>
      <c r="F172" s="6">
        <f t="shared" si="44"/>
        <v>-5.5326916241413473</v>
      </c>
      <c r="G172" s="5">
        <f t="shared" si="45"/>
        <v>-1.3107062037599306</v>
      </c>
      <c r="H172" s="5">
        <f t="shared" si="46"/>
        <v>-1.2526806050868418</v>
      </c>
      <c r="I172" s="5">
        <f t="shared" si="47"/>
        <v>-0.97822741947279768</v>
      </c>
      <c r="J172" s="5">
        <f t="shared" si="48"/>
        <v>-1.2822056008331315</v>
      </c>
      <c r="K172" s="5">
        <f t="shared" si="49"/>
        <v>-1.4201819498205235</v>
      </c>
      <c r="L172" s="5">
        <f t="shared" si="50"/>
        <v>0.30546039666743541</v>
      </c>
      <c r="M172" s="5">
        <f t="shared" si="51"/>
        <v>0.45098963353037141</v>
      </c>
      <c r="N172" s="5">
        <f t="shared" si="52"/>
        <v>-0.46731035084659078</v>
      </c>
      <c r="O172" s="5">
        <f t="shared" si="53"/>
        <v>0.95331594979807377</v>
      </c>
      <c r="P172" s="1">
        <f t="shared" si="54"/>
        <v>-0.53114547431741244</v>
      </c>
      <c r="R172">
        <f t="shared" si="55"/>
        <v>69.013723874332044</v>
      </c>
      <c r="S172">
        <f t="shared" si="56"/>
        <v>74.492560298095427</v>
      </c>
      <c r="T172">
        <f t="shared" si="57"/>
        <v>56.727295330787626</v>
      </c>
      <c r="U172">
        <f t="shared" si="58"/>
        <v>67.0100310533754</v>
      </c>
      <c r="V172">
        <f t="shared" si="59"/>
        <v>48.602021434993368</v>
      </c>
      <c r="W172">
        <f t="shared" si="60"/>
        <v>114.85162063430879</v>
      </c>
      <c r="X172">
        <f t="shared" si="61"/>
        <v>102.97646149319739</v>
      </c>
      <c r="Y172">
        <f t="shared" si="62"/>
        <v>94.86200663991778</v>
      </c>
      <c r="Z172">
        <f t="shared" si="63"/>
        <v>187.65671123734683</v>
      </c>
      <c r="AA172">
        <f t="shared" si="64"/>
        <v>80.709056059578359</v>
      </c>
      <c r="AC172">
        <f>'2026_Fantasy_Hitters'!F181</f>
        <v>90.046886192522464</v>
      </c>
      <c r="AD172">
        <f>'2026_Fantasy_Hitters'!G181</f>
        <v>62.216671105417824</v>
      </c>
      <c r="AE172">
        <f>'2026_Fantasy_Hitters'!H181</f>
        <v>16.083964540387925</v>
      </c>
      <c r="AF172">
        <f>'2026_Fantasy_Hitters'!I181</f>
        <v>1.0225622053379109</v>
      </c>
      <c r="AG172">
        <f>'2026_Fantasy_Hitters'!J181</f>
        <v>10.682584269662904</v>
      </c>
      <c r="AH172">
        <f>'2026_Fantasy_Hitters'!K181</f>
        <v>46.261235955055959</v>
      </c>
      <c r="AI172">
        <f>'2026_Fantasy_Hitters'!L181</f>
        <v>43.999999999999943</v>
      </c>
      <c r="AJ172">
        <f>'2026_Fantasy_Hitters'!M181</f>
        <v>22.826799999999999</v>
      </c>
      <c r="AK172">
        <f>'2026_Fantasy_Hitters'!N181</f>
        <v>0.87384897000000006</v>
      </c>
      <c r="AL172">
        <f>'2026_Fantasy_Hitters'!O181</f>
        <v>95.271249999999995</v>
      </c>
      <c r="AM172">
        <f>'2026_Fantasy_Hitters'!P181</f>
        <v>6.6095497300000003</v>
      </c>
      <c r="AN172">
        <f>'2026_Fantasy_Hitters'!Q181</f>
        <v>2.1516863399999999</v>
      </c>
      <c r="AO172">
        <f>'2026_Fantasy_Hitters'!R181</f>
        <v>1.06332673</v>
      </c>
      <c r="AP172">
        <f>'2026_Fantasy_Hitters'!S181</f>
        <v>19.012261710000001</v>
      </c>
      <c r="AQ172">
        <f>'2026_Fantasy_Hitters'!T181</f>
        <v>4.063888888888874</v>
      </c>
      <c r="AR172">
        <f>'2026_Fantasy_Hitters'!U181</f>
        <v>14.948372821111127</v>
      </c>
      <c r="AS172">
        <f>'2026_Fantasy_Hitters'!V181</f>
        <v>0.25875542009345537</v>
      </c>
      <c r="AT172">
        <f>'2026_Fantasy_Hitters'!W181</f>
        <v>0.32193749650573089</v>
      </c>
      <c r="AU172">
        <f>'2026_Fantasy_Hitters'!X181</f>
        <v>0.4028236318415489</v>
      </c>
      <c r="AV172">
        <f>'2026_Fantasy_Hitters'!Y181</f>
        <v>0.72476112834727979</v>
      </c>
      <c r="AW172">
        <f>'2026_Fantasy_Hitters'!Z181</f>
        <v>0.32500000000000001</v>
      </c>
      <c r="AX172">
        <f>'2026_Fantasy_Hitters'!AA181</f>
        <v>0.24875</v>
      </c>
      <c r="AY172">
        <f>'2026_Fantasy_Hitters'!AB181</f>
        <v>5.96E-2</v>
      </c>
      <c r="AZ172">
        <f t="shared" si="65"/>
        <v>2.7891864933845701E-2</v>
      </c>
    </row>
    <row r="173" spans="1:52">
      <c r="A173" t="s">
        <v>762</v>
      </c>
      <c r="B173" t="s">
        <v>27</v>
      </c>
      <c r="C173" t="s">
        <v>49</v>
      </c>
      <c r="D173">
        <v>377</v>
      </c>
      <c r="E173">
        <v>454</v>
      </c>
      <c r="F173" s="6">
        <f t="shared" si="44"/>
        <v>-5.5972257523922684</v>
      </c>
      <c r="G173" s="5">
        <f t="shared" si="45"/>
        <v>-0.65857816617804243</v>
      </c>
      <c r="H173" s="5">
        <f t="shared" si="46"/>
        <v>-1.3116449398605463</v>
      </c>
      <c r="I173" s="5">
        <f t="shared" si="47"/>
        <v>-0.20200582763981587</v>
      </c>
      <c r="J173" s="5">
        <f t="shared" si="48"/>
        <v>-0.51646014197703782</v>
      </c>
      <c r="K173" s="5">
        <f t="shared" si="49"/>
        <v>-1.179244907634214</v>
      </c>
      <c r="L173" s="5">
        <f t="shared" si="50"/>
        <v>-0.17266732755603514</v>
      </c>
      <c r="M173" s="5">
        <f t="shared" si="51"/>
        <v>-0.98136791379762589</v>
      </c>
      <c r="N173" s="5">
        <f t="shared" si="52"/>
        <v>1.426936298051956E-2</v>
      </c>
      <c r="O173" s="5">
        <f t="shared" si="53"/>
        <v>-0.84558777225209736</v>
      </c>
      <c r="P173" s="1">
        <f t="shared" si="54"/>
        <v>0.25606188152262649</v>
      </c>
      <c r="R173">
        <f t="shared" si="55"/>
        <v>84.430618510090909</v>
      </c>
      <c r="S173">
        <f t="shared" si="56"/>
        <v>73.291911698847002</v>
      </c>
      <c r="T173">
        <f t="shared" si="57"/>
        <v>91.064103963034967</v>
      </c>
      <c r="U173">
        <f t="shared" si="58"/>
        <v>86.711956308004474</v>
      </c>
      <c r="V173">
        <f t="shared" si="59"/>
        <v>57.321803383618317</v>
      </c>
      <c r="W173">
        <f t="shared" si="60"/>
        <v>91.604837573775214</v>
      </c>
      <c r="X173">
        <f t="shared" si="61"/>
        <v>93.523124282896987</v>
      </c>
      <c r="Y173">
        <f t="shared" si="62"/>
        <v>100.15688908262709</v>
      </c>
      <c r="Z173">
        <f t="shared" si="63"/>
        <v>22.248816676324893</v>
      </c>
      <c r="AA173">
        <f t="shared" si="64"/>
        <v>109.30004234354074</v>
      </c>
      <c r="AC173">
        <f>'2026_Fantasy_Hitters'!F113</f>
        <v>88.595537664010436</v>
      </c>
      <c r="AD173">
        <f>'2026_Fantasy_Hitters'!G113</f>
        <v>51.807790230383056</v>
      </c>
      <c r="AE173">
        <f>'2026_Fantasy_Hitters'!H113</f>
        <v>18.099692665682973</v>
      </c>
      <c r="AF173">
        <f>'2026_Fantasy_Hitters'!I113</f>
        <v>1.2463548910997433</v>
      </c>
      <c r="AG173">
        <f>'2026_Fantasy_Hitters'!J113</f>
        <v>17.148710490318347</v>
      </c>
      <c r="AH173">
        <f>'2026_Fantasy_Hitters'!K113</f>
        <v>56.595479064988126</v>
      </c>
      <c r="AI173">
        <f>'2026_Fantasy_Hitters'!L113</f>
        <v>56.936640941311843</v>
      </c>
      <c r="AJ173">
        <f>'2026_Fantasy_Hitters'!M113</f>
        <v>26.9222</v>
      </c>
      <c r="AK173">
        <f>'2026_Fantasy_Hitters'!N113</f>
        <v>1.7049742999999999</v>
      </c>
      <c r="AL173">
        <f>'2026_Fantasy_Hitters'!O113</f>
        <v>127.9145</v>
      </c>
      <c r="AM173">
        <f>'2026_Fantasy_Hitters'!P113</f>
        <v>5.27172996</v>
      </c>
      <c r="AN173">
        <f>'2026_Fantasy_Hitters'!Q113</f>
        <v>3.3178274600000002</v>
      </c>
      <c r="AO173">
        <f>'2026_Fantasy_Hitters'!R113</f>
        <v>0.75580558000000009</v>
      </c>
      <c r="AP173">
        <f>'2026_Fantasy_Hitters'!S113</f>
        <v>3.5614574800000001</v>
      </c>
      <c r="AQ173">
        <f>'2026_Fantasy_Hitters'!T113</f>
        <v>1.7891595199999999</v>
      </c>
      <c r="AR173">
        <f>'2026_Fantasy_Hitters'!U113</f>
        <v>1.7722979600000002</v>
      </c>
      <c r="AS173">
        <f>'2026_Fantasy_Hitters'!V113</f>
        <v>0.23500142616448391</v>
      </c>
      <c r="AT173">
        <f>'2026_Fantasy_Hitters'!W113</f>
        <v>0.29953769185788826</v>
      </c>
      <c r="AU173">
        <f>'2026_Fantasy_Hitters'!X113</f>
        <v>0.42530791033507059</v>
      </c>
      <c r="AV173">
        <f>'2026_Fantasy_Hitters'!Y113</f>
        <v>0.72484560219295879</v>
      </c>
      <c r="AW173">
        <f>'2026_Fantasy_Hitters'!Z113</f>
        <v>0.30369999999999903</v>
      </c>
      <c r="AX173">
        <f>'2026_Fantasy_Hitters'!AA113</f>
        <v>0.28175</v>
      </c>
      <c r="AY173">
        <f>'2026_Fantasy_Hitters'!AB113</f>
        <v>5.9299999999999999E-2</v>
      </c>
      <c r="AZ173">
        <f t="shared" si="65"/>
        <v>3.7772490066780504E-2</v>
      </c>
    </row>
    <row r="174" spans="1:52">
      <c r="A174" t="s">
        <v>918</v>
      </c>
      <c r="B174" t="s">
        <v>214</v>
      </c>
      <c r="C174" t="s">
        <v>87</v>
      </c>
      <c r="D174">
        <v>413</v>
      </c>
      <c r="E174">
        <v>451</v>
      </c>
      <c r="F174" s="6">
        <f t="shared" si="44"/>
        <v>-5.6280080571107343</v>
      </c>
      <c r="G174" s="5">
        <f t="shared" si="45"/>
        <v>-1.0607225742218163</v>
      </c>
      <c r="H174" s="5">
        <f t="shared" si="46"/>
        <v>-1.015888340075402</v>
      </c>
      <c r="I174" s="5">
        <f t="shared" si="47"/>
        <v>2.93744574857745E-2</v>
      </c>
      <c r="J174" s="5">
        <f t="shared" si="48"/>
        <v>-0.74947773422776987</v>
      </c>
      <c r="K174" s="5">
        <f t="shared" si="49"/>
        <v>-0.92968910374445857</v>
      </c>
      <c r="L174" s="5">
        <f t="shared" si="50"/>
        <v>-0.26261785609120042</v>
      </c>
      <c r="M174" s="5">
        <f t="shared" si="51"/>
        <v>-1.1536959108408316</v>
      </c>
      <c r="N174" s="5">
        <f t="shared" si="52"/>
        <v>-0.1798685712179513</v>
      </c>
      <c r="O174" s="5">
        <f t="shared" si="53"/>
        <v>-0.92199927157292538</v>
      </c>
      <c r="P174" s="1">
        <f t="shared" si="54"/>
        <v>0.61657684739584606</v>
      </c>
      <c r="R174">
        <f t="shared" si="55"/>
        <v>74.923562211515545</v>
      </c>
      <c r="S174">
        <f t="shared" si="56"/>
        <v>79.314191923211879</v>
      </c>
      <c r="T174">
        <f t="shared" si="57"/>
        <v>101.29940359296552</v>
      </c>
      <c r="U174">
        <f t="shared" si="58"/>
        <v>80.716628314292763</v>
      </c>
      <c r="V174">
        <f t="shared" si="59"/>
        <v>66.353507990707271</v>
      </c>
      <c r="W174">
        <f t="shared" si="60"/>
        <v>87.231402784078753</v>
      </c>
      <c r="X174">
        <f t="shared" si="61"/>
        <v>92.38578628383101</v>
      </c>
      <c r="Y174">
        <f t="shared" si="62"/>
        <v>98.022377370988892</v>
      </c>
      <c r="Z174">
        <f t="shared" si="63"/>
        <v>15.222834647389703</v>
      </c>
      <c r="AA174">
        <f t="shared" si="64"/>
        <v>122.39376964166176</v>
      </c>
      <c r="AC174">
        <f>'2026_Fantasy_Hitters'!F140</f>
        <v>95.875292579304002</v>
      </c>
      <c r="AD174">
        <f>'2026_Fantasy_Hitters'!G140</f>
        <v>58.706867457636584</v>
      </c>
      <c r="AE174">
        <f>'2026_Fantasy_Hitters'!H140</f>
        <v>16.845281669785429</v>
      </c>
      <c r="AF174">
        <f>'2026_Fantasy_Hitters'!I140</f>
        <v>1.068873729635522</v>
      </c>
      <c r="AG174">
        <f>'2026_Fantasy_Hitters'!J140</f>
        <v>19.076167989999998</v>
      </c>
      <c r="AH174">
        <f>'2026_Fantasy_Hitters'!K140</f>
        <v>50.22271507</v>
      </c>
      <c r="AI174">
        <f>'2026_Fantasy_Hitters'!L140</f>
        <v>52.999999999999702</v>
      </c>
      <c r="AJ174">
        <f>'2026_Fantasy_Hitters'!M140</f>
        <v>31.164099999999998</v>
      </c>
      <c r="AK174">
        <f>'2026_Fantasy_Hitters'!N140</f>
        <v>0</v>
      </c>
      <c r="AL174">
        <f>'2026_Fantasy_Hitters'!O140</f>
        <v>127.65555000000001</v>
      </c>
      <c r="AM174">
        <f>'2026_Fantasy_Hitters'!P140</f>
        <v>5.0200449200000001</v>
      </c>
      <c r="AN174">
        <f>'2026_Fantasy_Hitters'!Q140</f>
        <v>3.0133610100000001</v>
      </c>
      <c r="AO174">
        <f>'2026_Fantasy_Hitters'!R140</f>
        <v>1.0013462799999999</v>
      </c>
      <c r="AP174">
        <f>'2026_Fantasy_Hitters'!S140</f>
        <v>2.2601143400000003</v>
      </c>
      <c r="AQ174">
        <f>'2026_Fantasy_Hitters'!T140</f>
        <v>1.0474926</v>
      </c>
      <c r="AR174">
        <f>'2026_Fantasy_Hitters'!U140</f>
        <v>1.2126217400000003</v>
      </c>
      <c r="AS174">
        <f>'2026_Fantasy_Hitters'!V140</f>
        <v>0.23214356556732205</v>
      </c>
      <c r="AT174">
        <f>'2026_Fantasy_Hitters'!W140</f>
        <v>0.29531774074890332</v>
      </c>
      <c r="AU174">
        <f>'2026_Fantasy_Hitters'!X140</f>
        <v>0.41624388364676518</v>
      </c>
      <c r="AV174">
        <f>'2026_Fantasy_Hitters'!Y140</f>
        <v>0.7115616243956685</v>
      </c>
      <c r="AW174">
        <f>'2026_Fantasy_Hitters'!Z140</f>
        <v>0.28520000000000001</v>
      </c>
      <c r="AX174">
        <f>'2026_Fantasy_Hitters'!AA140</f>
        <v>0.28305000000000002</v>
      </c>
      <c r="AY174">
        <f>'2026_Fantasy_Hitters'!AB140</f>
        <v>6.9099999999999995E-2</v>
      </c>
      <c r="AZ174">
        <f t="shared" si="65"/>
        <v>4.2297489999999993E-2</v>
      </c>
    </row>
    <row r="175" spans="1:52">
      <c r="A175" t="s">
        <v>1167</v>
      </c>
      <c r="B175" t="s">
        <v>156</v>
      </c>
      <c r="C175" t="s">
        <v>20</v>
      </c>
      <c r="D175">
        <v>493</v>
      </c>
      <c r="E175">
        <v>548</v>
      </c>
      <c r="F175" s="6">
        <f t="shared" si="44"/>
        <v>-5.7448254236965894</v>
      </c>
      <c r="G175" s="5">
        <f t="shared" si="45"/>
        <v>-0.41544097851426098</v>
      </c>
      <c r="H175" s="5">
        <f t="shared" si="46"/>
        <v>0.14690736385014641</v>
      </c>
      <c r="I175" s="5">
        <f t="shared" si="47"/>
        <v>-1.5221972215911093</v>
      </c>
      <c r="J175" s="5">
        <f t="shared" si="48"/>
        <v>-0.80866975018595988</v>
      </c>
      <c r="K175" s="5">
        <f t="shared" si="49"/>
        <v>-0.21941489267361461</v>
      </c>
      <c r="L175" s="5">
        <f t="shared" si="50"/>
        <v>-0.24858429640209681</v>
      </c>
      <c r="M175" s="5">
        <f t="shared" si="51"/>
        <v>7.5484462252175782E-2</v>
      </c>
      <c r="N175" s="5">
        <f t="shared" si="52"/>
        <v>-1.7268691699992427</v>
      </c>
      <c r="O175" s="5">
        <f t="shared" si="53"/>
        <v>0.83300205832667173</v>
      </c>
      <c r="P175" s="1">
        <f t="shared" si="54"/>
        <v>-1.8590429987593002</v>
      </c>
      <c r="R175">
        <f t="shared" si="55"/>
        <v>90.178600789991819</v>
      </c>
      <c r="S175">
        <f t="shared" si="56"/>
        <v>102.99136963560932</v>
      </c>
      <c r="T175">
        <f t="shared" si="57"/>
        <v>32.664338059847822</v>
      </c>
      <c r="U175">
        <f t="shared" si="58"/>
        <v>79.193672271143399</v>
      </c>
      <c r="V175">
        <f t="shared" si="59"/>
        <v>92.059128795498964</v>
      </c>
      <c r="W175">
        <f t="shared" si="60"/>
        <v>87.913720711133664</v>
      </c>
      <c r="X175">
        <f t="shared" si="61"/>
        <v>100.49818571985689</v>
      </c>
      <c r="Y175">
        <f t="shared" si="62"/>
        <v>81.013383690062113</v>
      </c>
      <c r="Z175">
        <f t="shared" si="63"/>
        <v>176.59393604221447</v>
      </c>
      <c r="AA175">
        <f t="shared" si="64"/>
        <v>32.480467205359986</v>
      </c>
      <c r="AC175">
        <f>'2026_Fantasy_Hitters'!F183</f>
        <v>124.49635377382562</v>
      </c>
      <c r="AD175">
        <f>'2026_Fantasy_Hitters'!G183</f>
        <v>93.334730184530997</v>
      </c>
      <c r="AE175">
        <f>'2026_Fantasy_Hitters'!H183</f>
        <v>21.220226544752474</v>
      </c>
      <c r="AF175">
        <f>'2026_Fantasy_Hitters'!I183</f>
        <v>3.073433749804066</v>
      </c>
      <c r="AG175">
        <f>'2026_Fantasy_Hitters'!J183</f>
        <v>6.1511754068715767</v>
      </c>
      <c r="AH175">
        <f>'2026_Fantasy_Hitters'!K183</f>
        <v>60.448462929475333</v>
      </c>
      <c r="AI175">
        <f>'2026_Fantasy_Hitters'!L183</f>
        <v>51.99999948</v>
      </c>
      <c r="AJ175">
        <f>'2026_Fantasy_Hitters'!M183</f>
        <v>43.237200000000001</v>
      </c>
      <c r="AK175">
        <f>'2026_Fantasy_Hitters'!N183</f>
        <v>0.41674304000000001</v>
      </c>
      <c r="AL175">
        <f>'2026_Fantasy_Hitters'!O183</f>
        <v>76.172000000000011</v>
      </c>
      <c r="AM175">
        <f>'2026_Fantasy_Hitters'!P183</f>
        <v>5.0593113600000006</v>
      </c>
      <c r="AN175">
        <f>'2026_Fantasy_Hitters'!Q183</f>
        <v>2.9728726000000001</v>
      </c>
      <c r="AO175">
        <f>'2026_Fantasy_Hitters'!R183</f>
        <v>2.0144808800000003</v>
      </c>
      <c r="AP175">
        <f>'2026_Fantasy_Hitters'!S183</f>
        <v>18.271526418786639</v>
      </c>
      <c r="AQ175">
        <f>'2026_Fantasy_Hitters'!T183</f>
        <v>4.2043930000000005</v>
      </c>
      <c r="AR175">
        <f>'2026_Fantasy_Hitters'!U183</f>
        <v>14.067133418786639</v>
      </c>
      <c r="AS175">
        <f>'2026_Fantasy_Hitters'!V183</f>
        <v>0.25252810096110673</v>
      </c>
      <c r="AT175">
        <f>'2026_Fantasy_Hitters'!W183</f>
        <v>0.32098035745017267</v>
      </c>
      <c r="AU175">
        <f>'2026_Fantasy_Hitters'!X183</f>
        <v>0.34401660476862972</v>
      </c>
      <c r="AV175">
        <f>'2026_Fantasy_Hitters'!Y183</f>
        <v>0.66499696221880233</v>
      </c>
      <c r="AW175">
        <f>'2026_Fantasy_Hitters'!Z183</f>
        <v>0.28610000000000002</v>
      </c>
      <c r="AX175">
        <f>'2026_Fantasy_Hitters'!AA183</f>
        <v>0.13900000000000001</v>
      </c>
      <c r="AY175">
        <f>'2026_Fantasy_Hitters'!AB183</f>
        <v>7.8899999999999998E-2</v>
      </c>
      <c r="AZ175">
        <f t="shared" si="65"/>
        <v>1.12247726402766E-2</v>
      </c>
    </row>
    <row r="176" spans="1:52">
      <c r="A176" t="s">
        <v>1173</v>
      </c>
      <c r="B176" t="s">
        <v>40</v>
      </c>
      <c r="C176" t="s">
        <v>49</v>
      </c>
      <c r="D176">
        <v>411</v>
      </c>
      <c r="E176">
        <v>450</v>
      </c>
      <c r="F176" s="6">
        <f t="shared" si="44"/>
        <v>-5.7540581932473884</v>
      </c>
      <c r="G176" s="5">
        <f t="shared" si="45"/>
        <v>-1.1583576500596031</v>
      </c>
      <c r="H176" s="5">
        <f t="shared" si="46"/>
        <v>-0.97692343188819786</v>
      </c>
      <c r="I176" s="5">
        <f t="shared" si="47"/>
        <v>-0.10068795762735798</v>
      </c>
      <c r="J176" s="5">
        <f t="shared" si="48"/>
        <v>-0.33513383797913598</v>
      </c>
      <c r="K176" s="5">
        <f t="shared" si="49"/>
        <v>-0.92845953296219186</v>
      </c>
      <c r="L176" s="5">
        <f t="shared" si="50"/>
        <v>-0.63569543455654287</v>
      </c>
      <c r="M176" s="5">
        <f t="shared" si="51"/>
        <v>-0.9448669746303312</v>
      </c>
      <c r="N176" s="5">
        <f t="shared" si="52"/>
        <v>-0.15584359609047305</v>
      </c>
      <c r="O176" s="5">
        <f t="shared" si="53"/>
        <v>-0.95033153566674089</v>
      </c>
      <c r="P176" s="1">
        <f t="shared" si="54"/>
        <v>0.43224175821318567</v>
      </c>
      <c r="R176">
        <f t="shared" si="55"/>
        <v>72.615381010586162</v>
      </c>
      <c r="S176">
        <f t="shared" si="56"/>
        <v>80.10760649516213</v>
      </c>
      <c r="T176">
        <f t="shared" si="57"/>
        <v>95.545984331023021</v>
      </c>
      <c r="U176">
        <f t="shared" si="58"/>
        <v>91.37731507278454</v>
      </c>
      <c r="V176">
        <f t="shared" si="59"/>
        <v>66.398007537204876</v>
      </c>
      <c r="W176">
        <f t="shared" si="60"/>
        <v>69.092204632750821</v>
      </c>
      <c r="X176">
        <f t="shared" si="61"/>
        <v>93.764024808806028</v>
      </c>
      <c r="Y176">
        <f t="shared" si="62"/>
        <v>98.286527656676967</v>
      </c>
      <c r="Z176">
        <f t="shared" si="63"/>
        <v>12.617703480856846</v>
      </c>
      <c r="AA176">
        <f t="shared" si="64"/>
        <v>115.69880932736135</v>
      </c>
      <c r="AC176">
        <f>'2026_Fantasy_Hitters'!F184</f>
        <v>96.834375088725011</v>
      </c>
      <c r="AD176">
        <f>'2026_Fantasy_Hitters'!G184</f>
        <v>60.420003355013229</v>
      </c>
      <c r="AE176">
        <f>'2026_Fantasy_Hitters'!H184</f>
        <v>18.080515190497692</v>
      </c>
      <c r="AF176">
        <f>'2026_Fantasy_Hitters'!I184</f>
        <v>0.99511998551515368</v>
      </c>
      <c r="AG176">
        <f>'2026_Fantasy_Hitters'!J184</f>
        <v>17.992714500000002</v>
      </c>
      <c r="AH176">
        <f>'2026_Fantasy_Hitters'!K184</f>
        <v>48.675496500000001</v>
      </c>
      <c r="AI176">
        <f>'2026_Fantasy_Hitters'!L184</f>
        <v>59.999999999999851</v>
      </c>
      <c r="AJ176">
        <f>'2026_Fantasy_Hitters'!M184</f>
        <v>31.184999999999999</v>
      </c>
      <c r="AK176">
        <f>'2026_Fantasy_Hitters'!N184</f>
        <v>0.14900850000000002</v>
      </c>
      <c r="AL176">
        <f>'2026_Fantasy_Hitters'!O184</f>
        <v>117.45</v>
      </c>
      <c r="AM176">
        <f>'2026_Fantasy_Hitters'!P184</f>
        <v>3.9761595000000001</v>
      </c>
      <c r="AN176">
        <f>'2026_Fantasy_Hitters'!Q184</f>
        <v>3.9735089999999995</v>
      </c>
      <c r="AO176">
        <f>'2026_Fantasy_Hitters'!R184</f>
        <v>0</v>
      </c>
      <c r="AP176">
        <f>'2026_Fantasy_Hitters'!S184</f>
        <v>1.0051019999999999</v>
      </c>
      <c r="AQ176">
        <f>'2026_Fantasy_Hitters'!T184</f>
        <v>0</v>
      </c>
      <c r="AR176">
        <f>'2026_Fantasy_Hitters'!U184</f>
        <v>1.0051019999999999</v>
      </c>
      <c r="AS176">
        <f>'2026_Fantasy_Hitters'!V184</f>
        <v>0.23560675204069345</v>
      </c>
      <c r="AT176">
        <f>'2026_Fantasy_Hitters'!W184</f>
        <v>0.29608406291011002</v>
      </c>
      <c r="AU176">
        <f>'2026_Fantasy_Hitters'!X184</f>
        <v>0.41736557589429218</v>
      </c>
      <c r="AV176">
        <f>'2026_Fantasy_Hitters'!Y184</f>
        <v>0.71344963880440226</v>
      </c>
      <c r="AW176">
        <f>'2026_Fantasy_Hitters'!Z184</f>
        <v>0.28205000000000002</v>
      </c>
      <c r="AX176">
        <f>'2026_Fantasy_Hitters'!AA184</f>
        <v>0.26100000000000001</v>
      </c>
      <c r="AY176">
        <f>'2026_Fantasy_Hitters'!AB184</f>
        <v>6.93E-2</v>
      </c>
      <c r="AZ176">
        <f t="shared" si="65"/>
        <v>3.9983810000000002E-2</v>
      </c>
    </row>
    <row r="177" spans="1:52">
      <c r="A177" t="s">
        <v>1001</v>
      </c>
      <c r="B177" t="s">
        <v>40</v>
      </c>
      <c r="C177" t="s">
        <v>87</v>
      </c>
      <c r="D177">
        <v>389</v>
      </c>
      <c r="E177">
        <v>438</v>
      </c>
      <c r="F177" s="6">
        <f t="shared" si="44"/>
        <v>-5.9004838651666107</v>
      </c>
      <c r="G177" s="5">
        <f t="shared" si="45"/>
        <v>-1.1940526282741899</v>
      </c>
      <c r="H177" s="5">
        <f t="shared" si="46"/>
        <v>-1.3156582436365885</v>
      </c>
      <c r="I177" s="5">
        <f t="shared" si="47"/>
        <v>-0.17964146046448509</v>
      </c>
      <c r="J177" s="5">
        <f t="shared" si="48"/>
        <v>-0.45351780833590127</v>
      </c>
      <c r="K177" s="5">
        <f t="shared" si="49"/>
        <v>-0.50840520830275726</v>
      </c>
      <c r="L177" s="5">
        <f t="shared" si="50"/>
        <v>9.2027752623957668E-2</v>
      </c>
      <c r="M177" s="5">
        <f t="shared" si="51"/>
        <v>-1.4338169059437398</v>
      </c>
      <c r="N177" s="5">
        <f t="shared" si="52"/>
        <v>-0.35566160205186492</v>
      </c>
      <c r="O177" s="5">
        <f t="shared" si="53"/>
        <v>-0.95164014877218994</v>
      </c>
      <c r="P177" s="1">
        <f t="shared" si="54"/>
        <v>0.39988238799114717</v>
      </c>
      <c r="R177">
        <f t="shared" si="55"/>
        <v>71.771519550188685</v>
      </c>
      <c r="S177">
        <f t="shared" si="56"/>
        <v>73.210191662903981</v>
      </c>
      <c r="T177">
        <f t="shared" si="57"/>
        <v>92.053410372390658</v>
      </c>
      <c r="U177">
        <f t="shared" si="58"/>
        <v>88.331404570357989</v>
      </c>
      <c r="V177">
        <f t="shared" si="59"/>
        <v>81.60024495313057</v>
      </c>
      <c r="W177">
        <f t="shared" si="60"/>
        <v>104.47443035074386</v>
      </c>
      <c r="X177">
        <f t="shared" si="61"/>
        <v>90.537031249634012</v>
      </c>
      <c r="Y177">
        <f t="shared" si="62"/>
        <v>96.089564576371657</v>
      </c>
      <c r="Z177">
        <f t="shared" si="63"/>
        <v>12.497377453446887</v>
      </c>
      <c r="AA177">
        <f t="shared" si="64"/>
        <v>114.52353282198789</v>
      </c>
      <c r="AC177">
        <f>'2026_Fantasy_Hitters'!F155</f>
        <v>88.496754178159449</v>
      </c>
      <c r="AD177">
        <f>'2026_Fantasy_Hitters'!G155</f>
        <v>55.760308415681045</v>
      </c>
      <c r="AE177">
        <f>'2026_Fantasy_Hitters'!H155</f>
        <v>15.248944872109666</v>
      </c>
      <c r="AF177">
        <f>'2026_Fantasy_Hitters'!I155</f>
        <v>1.0426326782608499</v>
      </c>
      <c r="AG177">
        <f>'2026_Fantasy_Hitters'!J155</f>
        <v>17.335011441647573</v>
      </c>
      <c r="AH177">
        <f>'2026_Fantasy_Hitters'!K155</f>
        <v>48.109839816933444</v>
      </c>
      <c r="AI177">
        <f>'2026_Fantasy_Hitters'!L155</f>
        <v>57.999999999999595</v>
      </c>
      <c r="AJ177">
        <f>'2026_Fantasy_Hitters'!M155</f>
        <v>38.324999999999996</v>
      </c>
      <c r="AK177">
        <f>'2026_Fantasy_Hitters'!N155</f>
        <v>0.98688846000000008</v>
      </c>
      <c r="AL177">
        <f>'2026_Fantasy_Hitters'!O155</f>
        <v>113.0478</v>
      </c>
      <c r="AM177">
        <f>'2026_Fantasy_Hitters'!P155</f>
        <v>6.01235697940501</v>
      </c>
      <c r="AN177">
        <f>'2026_Fantasy_Hitters'!Q155</f>
        <v>3.0068656199999997</v>
      </c>
      <c r="AO177">
        <f>'2026_Fantasy_Hitters'!R155</f>
        <v>0.89999801999999995</v>
      </c>
      <c r="AP177">
        <f>'2026_Fantasy_Hitters'!S155</f>
        <v>0.99551706000000006</v>
      </c>
      <c r="AQ177">
        <f>'2026_Fantasy_Hitters'!T155</f>
        <v>0</v>
      </c>
      <c r="AR177">
        <f>'2026_Fantasy_Hitters'!U155</f>
        <v>0.99551706000000006</v>
      </c>
      <c r="AS177">
        <f>'2026_Fantasy_Hitters'!V155</f>
        <v>0.22749808272020425</v>
      </c>
      <c r="AT177">
        <f>'2026_Fantasy_Hitters'!W155</f>
        <v>0.31026009964023876</v>
      </c>
      <c r="AU177">
        <f>'2026_Fantasy_Hitters'!X155</f>
        <v>0.40803635465622934</v>
      </c>
      <c r="AV177">
        <f>'2026_Fantasy_Hitters'!Y155</f>
        <v>0.71829645429646805</v>
      </c>
      <c r="AW177">
        <f>'2026_Fantasy_Hitters'!Z155</f>
        <v>0.27200000000000002</v>
      </c>
      <c r="AX177">
        <f>'2026_Fantasy_Hitters'!AA155</f>
        <v>0.2581</v>
      </c>
      <c r="AY177">
        <f>'2026_Fantasy_Hitters'!AB155</f>
        <v>8.7499999999999994E-2</v>
      </c>
      <c r="AZ177">
        <f t="shared" si="65"/>
        <v>3.9577651693259303E-2</v>
      </c>
    </row>
    <row r="178" spans="1:52">
      <c r="A178" t="s">
        <v>1342</v>
      </c>
      <c r="B178" t="s">
        <v>116</v>
      </c>
      <c r="C178" t="s">
        <v>20</v>
      </c>
      <c r="D178">
        <v>415</v>
      </c>
      <c r="E178">
        <v>470</v>
      </c>
      <c r="F178" s="6">
        <f t="shared" si="44"/>
        <v>-5.9818635680094925</v>
      </c>
      <c r="G178" s="5">
        <f t="shared" si="45"/>
        <v>-0.6504593273874747</v>
      </c>
      <c r="H178" s="5">
        <f t="shared" si="46"/>
        <v>-0.73434932865067315</v>
      </c>
      <c r="I178" s="5">
        <f t="shared" si="47"/>
        <v>-0.90074711564511878</v>
      </c>
      <c r="J178" s="5">
        <f t="shared" si="48"/>
        <v>-0.8086697194061393</v>
      </c>
      <c r="K178" s="5">
        <f t="shared" si="49"/>
        <v>-8.0996991404886767E-2</v>
      </c>
      <c r="L178" s="5">
        <f t="shared" si="50"/>
        <v>-1.0078291661018657</v>
      </c>
      <c r="M178" s="5">
        <f t="shared" si="51"/>
        <v>-0.21425408560734752</v>
      </c>
      <c r="N178" s="5">
        <f t="shared" si="52"/>
        <v>-0.7602728341018119</v>
      </c>
      <c r="O178" s="5">
        <f t="shared" si="53"/>
        <v>8.793151974160418E-3</v>
      </c>
      <c r="P178" s="1">
        <f t="shared" si="54"/>
        <v>-0.83307815167833466</v>
      </c>
      <c r="R178">
        <f t="shared" si="55"/>
        <v>84.622555177410135</v>
      </c>
      <c r="S178">
        <f t="shared" si="56"/>
        <v>85.046969559018152</v>
      </c>
      <c r="T178">
        <f t="shared" si="57"/>
        <v>60.154701104204747</v>
      </c>
      <c r="U178">
        <f t="shared" si="58"/>
        <v>79.193673063079828</v>
      </c>
      <c r="V178">
        <f t="shared" si="59"/>
        <v>97.068627982080187</v>
      </c>
      <c r="W178">
        <f t="shared" si="60"/>
        <v>50.99889673936115</v>
      </c>
      <c r="X178">
        <f t="shared" si="61"/>
        <v>98.585956332125932</v>
      </c>
      <c r="Y178">
        <f t="shared" si="62"/>
        <v>91.640936764209769</v>
      </c>
      <c r="Z178">
        <f t="shared" si="63"/>
        <v>100.80852395643684</v>
      </c>
      <c r="AA178">
        <f t="shared" si="64"/>
        <v>69.743008838266178</v>
      </c>
      <c r="AC178">
        <f>'2026_Fantasy_Hitters'!F210</f>
        <v>102.80509568008</v>
      </c>
      <c r="AD178">
        <f>'2026_Fantasy_Hitters'!G210</f>
        <v>69.285538464290283</v>
      </c>
      <c r="AE178">
        <f>'2026_Fantasy_Hitters'!H210</f>
        <v>19.488736394373618</v>
      </c>
      <c r="AF178">
        <f>'2026_Fantasy_Hitters'!I210</f>
        <v>2.6401209345063936</v>
      </c>
      <c r="AG178">
        <f>'2026_Fantasy_Hitters'!J210</f>
        <v>11.328015200000001</v>
      </c>
      <c r="AH178">
        <f>'2026_Fantasy_Hitters'!K210</f>
        <v>56.724137931034107</v>
      </c>
      <c r="AI178">
        <f>'2026_Fantasy_Hitters'!L210</f>
        <v>51.999999999999801</v>
      </c>
      <c r="AJ178">
        <f>'2026_Fantasy_Hitters'!M210</f>
        <v>45.59</v>
      </c>
      <c r="AK178">
        <f>'2026_Fantasy_Hitters'!N210</f>
        <v>0.96119700000000008</v>
      </c>
      <c r="AL178">
        <f>'2026_Fantasy_Hitters'!O210</f>
        <v>132.54</v>
      </c>
      <c r="AM178">
        <f>'2026_Fantasy_Hitters'!P210</f>
        <v>2.9349150000000002</v>
      </c>
      <c r="AN178">
        <f>'2026_Fantasy_Hitters'!Q210</f>
        <v>3.0387944</v>
      </c>
      <c r="AO178">
        <f>'2026_Fantasy_Hitters'!R210</f>
        <v>1.9891340000000002</v>
      </c>
      <c r="AP178">
        <f>'2026_Fantasy_Hitters'!S210</f>
        <v>10.8506033</v>
      </c>
      <c r="AQ178">
        <f>'2026_Fantasy_Hitters'!T210</f>
        <v>2.8203901</v>
      </c>
      <c r="AR178">
        <f>'2026_Fantasy_Hitters'!U210</f>
        <v>8.0302131999999986</v>
      </c>
      <c r="AS178">
        <f>'2026_Fantasy_Hitters'!V210</f>
        <v>0.24772312212067471</v>
      </c>
      <c r="AT178">
        <f>'2026_Fantasy_Hitters'!W210</f>
        <v>0.32779700488416502</v>
      </c>
      <c r="AU178">
        <f>'2026_Fantasy_Hitters'!X210</f>
        <v>0.38914562616037757</v>
      </c>
      <c r="AV178">
        <f>'2026_Fantasy_Hitters'!Y210</f>
        <v>0.71694263104454259</v>
      </c>
      <c r="AW178">
        <f>'2026_Fantasy_Hitters'!Z210</f>
        <v>0.33365</v>
      </c>
      <c r="AX178">
        <f>'2026_Fantasy_Hitters'!AA210</f>
        <v>0.28199999999999997</v>
      </c>
      <c r="AY178">
        <f>'2026_Fantasy_Hitters'!AB210</f>
        <v>9.7000000000000003E-2</v>
      </c>
      <c r="AZ178">
        <f t="shared" si="65"/>
        <v>2.4102160000000001E-2</v>
      </c>
    </row>
    <row r="179" spans="1:52">
      <c r="A179" t="s">
        <v>1095</v>
      </c>
      <c r="B179" t="s">
        <v>335</v>
      </c>
      <c r="C179" t="s">
        <v>1096</v>
      </c>
      <c r="D179">
        <v>445</v>
      </c>
      <c r="E179">
        <v>508</v>
      </c>
      <c r="F179" s="6">
        <f t="shared" si="44"/>
        <v>-6.1480132112606487</v>
      </c>
      <c r="G179" s="5">
        <f t="shared" si="45"/>
        <v>-0.67529014131415954</v>
      </c>
      <c r="H179" s="5">
        <f t="shared" si="46"/>
        <v>-0.64860566872776038</v>
      </c>
      <c r="I179" s="5">
        <f t="shared" si="47"/>
        <v>-1.1446827740584726</v>
      </c>
      <c r="J179" s="5">
        <f t="shared" si="48"/>
        <v>-1.2822056979079837</v>
      </c>
      <c r="K179" s="5">
        <f t="shared" si="49"/>
        <v>-2.5530994585710894E-2</v>
      </c>
      <c r="L179" s="5">
        <f t="shared" si="50"/>
        <v>1.6307439689038132</v>
      </c>
      <c r="M179" s="5">
        <f t="shared" si="51"/>
        <v>-0.93530222527676954</v>
      </c>
      <c r="N179" s="5">
        <f t="shared" si="52"/>
        <v>-1.5274216554420141</v>
      </c>
      <c r="O179" s="5">
        <f t="shared" si="53"/>
        <v>-0.24430352134187272</v>
      </c>
      <c r="P179" s="1">
        <f t="shared" si="54"/>
        <v>-1.2954145015097183</v>
      </c>
      <c r="R179">
        <f t="shared" si="55"/>
        <v>84.035532353721521</v>
      </c>
      <c r="S179">
        <f t="shared" si="56"/>
        <v>86.792906413490883</v>
      </c>
      <c r="T179">
        <f t="shared" si="57"/>
        <v>49.364004079478299</v>
      </c>
      <c r="U179">
        <f t="shared" si="58"/>
        <v>67.01002855572888</v>
      </c>
      <c r="V179">
        <f t="shared" si="59"/>
        <v>99.076004653751724</v>
      </c>
      <c r="W179">
        <f t="shared" si="60"/>
        <v>179.28749861545788</v>
      </c>
      <c r="X179">
        <f t="shared" si="61"/>
        <v>93.827150668085991</v>
      </c>
      <c r="Y179">
        <f t="shared" si="62"/>
        <v>83.206273283933598</v>
      </c>
      <c r="Z179">
        <f t="shared" si="63"/>
        <v>77.536468125737841</v>
      </c>
      <c r="AA179">
        <f t="shared" si="64"/>
        <v>52.951178657131081</v>
      </c>
      <c r="AC179">
        <f>'2026_Fantasy_Hitters'!F170</f>
        <v>104.91559069602398</v>
      </c>
      <c r="AD179">
        <f>'2026_Fantasy_Hitters'!G170</f>
        <v>72.956551014985436</v>
      </c>
      <c r="AE179">
        <f>'2026_Fantasy_Hitters'!H170</f>
        <v>20.900727296257852</v>
      </c>
      <c r="AF179">
        <f>'2026_Fantasy_Hitters'!I170</f>
        <v>1.7631055597597991</v>
      </c>
      <c r="AG179">
        <f>'2026_Fantasy_Hitters'!J170</f>
        <v>9.2959682000000008</v>
      </c>
      <c r="AH179">
        <f>'2026_Fantasy_Hitters'!K170</f>
        <v>56.33064516129005</v>
      </c>
      <c r="AI179">
        <f>'2026_Fantasy_Hitters'!L170</f>
        <v>43.999998359999999</v>
      </c>
      <c r="AJ179">
        <f>'2026_Fantasy_Hitters'!M170</f>
        <v>46.532800000000002</v>
      </c>
      <c r="AK179">
        <f>'2026_Fantasy_Hitters'!N170</f>
        <v>0.99922584000000003</v>
      </c>
      <c r="AL179">
        <f>'2026_Fantasy_Hitters'!O170</f>
        <v>95.376999999999995</v>
      </c>
      <c r="AM179">
        <f>'2026_Fantasy_Hitters'!P170</f>
        <v>10.31774416</v>
      </c>
      <c r="AN179">
        <f>'2026_Fantasy_Hitters'!Q170</f>
        <v>3.0725821199999999</v>
      </c>
      <c r="AO179">
        <f>'2026_Fantasy_Hitters'!R170</f>
        <v>2.9982363199999997</v>
      </c>
      <c r="AP179">
        <f>'2026_Fantasy_Hitters'!S170</f>
        <v>9.2353228962817564</v>
      </c>
      <c r="AQ179">
        <f>'2026_Fantasy_Hitters'!T170</f>
        <v>3.0589169200000002</v>
      </c>
      <c r="AR179">
        <f>'2026_Fantasy_Hitters'!U170</f>
        <v>6.1764059762817567</v>
      </c>
      <c r="AS179">
        <f>'2026_Fantasy_Hitters'!V170</f>
        <v>0.2357653723506157</v>
      </c>
      <c r="AT179">
        <f>'2026_Fantasy_Hitters'!W170</f>
        <v>0.32841777110587456</v>
      </c>
      <c r="AU179">
        <f>'2026_Fantasy_Hitters'!X170</f>
        <v>0.35332852828490008</v>
      </c>
      <c r="AV179">
        <f>'2026_Fantasy_Hitters'!Y170</f>
        <v>0.68174629939077458</v>
      </c>
      <c r="AW179">
        <f>'2026_Fantasy_Hitters'!Z170</f>
        <v>0.27844999999999998</v>
      </c>
      <c r="AX179">
        <f>'2026_Fantasy_Hitters'!AA170</f>
        <v>0.18775</v>
      </c>
      <c r="AY179">
        <f>'2026_Fantasy_Hitters'!AB170</f>
        <v>9.1600000000000001E-2</v>
      </c>
      <c r="AZ179">
        <f t="shared" si="65"/>
        <v>1.829915E-2</v>
      </c>
    </row>
    <row r="180" spans="1:52">
      <c r="A180" t="s">
        <v>1008</v>
      </c>
      <c r="B180" t="s">
        <v>630</v>
      </c>
      <c r="C180" t="s">
        <v>87</v>
      </c>
      <c r="D180">
        <v>409</v>
      </c>
      <c r="E180">
        <v>467</v>
      </c>
      <c r="F180" s="6">
        <f t="shared" si="44"/>
        <v>-6.1765258418570079</v>
      </c>
      <c r="G180" s="5">
        <f t="shared" si="45"/>
        <v>-0.82236226252941746</v>
      </c>
      <c r="H180" s="5">
        <f t="shared" si="46"/>
        <v>-0.84284804707359107</v>
      </c>
      <c r="I180" s="5">
        <f t="shared" si="47"/>
        <v>-0.80807497888819479</v>
      </c>
      <c r="J180" s="5">
        <f t="shared" si="48"/>
        <v>-0.98624567494126847</v>
      </c>
      <c r="K180" s="5">
        <f t="shared" si="49"/>
        <v>9.9696965564131407E-2</v>
      </c>
      <c r="L180" s="5">
        <f t="shared" si="50"/>
        <v>-0.30552032184488498</v>
      </c>
      <c r="M180" s="5">
        <f t="shared" si="51"/>
        <v>-0.38885024301961957</v>
      </c>
      <c r="N180" s="5">
        <f t="shared" si="52"/>
        <v>-0.98606782062014076</v>
      </c>
      <c r="O180" s="5">
        <f t="shared" si="53"/>
        <v>-0.44721398448782457</v>
      </c>
      <c r="P180" s="1">
        <f t="shared" si="54"/>
        <v>-0.68903947401619781</v>
      </c>
      <c r="R180">
        <f t="shared" si="55"/>
        <v>80.558614837583491</v>
      </c>
      <c r="S180">
        <f t="shared" si="56"/>
        <v>82.837687714413676</v>
      </c>
      <c r="T180">
        <f t="shared" si="57"/>
        <v>64.254130260574613</v>
      </c>
      <c r="U180">
        <f t="shared" si="58"/>
        <v>74.624807309440484</v>
      </c>
      <c r="V180">
        <f t="shared" si="59"/>
        <v>103.60814506881226</v>
      </c>
      <c r="W180">
        <f t="shared" si="60"/>
        <v>85.145465776854024</v>
      </c>
      <c r="X180">
        <f t="shared" si="61"/>
        <v>97.433648827117935</v>
      </c>
      <c r="Y180">
        <f t="shared" si="62"/>
        <v>89.158361449177093</v>
      </c>
      <c r="Z180">
        <f t="shared" si="63"/>
        <v>58.878997977684158</v>
      </c>
      <c r="AA180">
        <f t="shared" si="64"/>
        <v>74.974423187797555</v>
      </c>
      <c r="AC180">
        <f>'2026_Fantasy_Hitters'!F156</f>
        <v>100.13450750278801</v>
      </c>
      <c r="AD180">
        <f>'2026_Fantasy_Hitters'!G156</f>
        <v>67.326391911268544</v>
      </c>
      <c r="AE180">
        <f>'2026_Fantasy_Hitters'!H156</f>
        <v>18.007058757842955</v>
      </c>
      <c r="AF180">
        <f>'2026_Fantasy_Hitters'!I156</f>
        <v>1.0361203986674838</v>
      </c>
      <c r="AG180">
        <f>'2026_Fantasy_Hitters'!J156</f>
        <v>12.099998019999999</v>
      </c>
      <c r="AH180">
        <f>'2026_Fantasy_Hitters'!K156</f>
        <v>53.999999999999879</v>
      </c>
      <c r="AI180">
        <f>'2026_Fantasy_Hitters'!L156</f>
        <v>48.99999999999973</v>
      </c>
      <c r="AJ180">
        <f>'2026_Fantasy_Hitters'!M156</f>
        <v>48.661399999999531</v>
      </c>
      <c r="AK180">
        <f>'2026_Fantasy_Hitters'!N156</f>
        <v>0</v>
      </c>
      <c r="AL180">
        <f>'2026_Fantasy_Hitters'!O156</f>
        <v>118.59465</v>
      </c>
      <c r="AM180">
        <f>'2026_Fantasy_Hitters'!P156</f>
        <v>4.9000021699999996</v>
      </c>
      <c r="AN180">
        <f>'2026_Fantasy_Hitters'!Q156</f>
        <v>2.9999986600000002</v>
      </c>
      <c r="AO180">
        <f>'2026_Fantasy_Hitters'!R156</f>
        <v>1.0006455699999999</v>
      </c>
      <c r="AP180">
        <f>'2026_Fantasy_Hitters'!S156</f>
        <v>6.7596982758620081</v>
      </c>
      <c r="AQ180">
        <f>'2026_Fantasy_Hitters'!T156</f>
        <v>2.0695104999999998</v>
      </c>
      <c r="AR180">
        <f>'2026_Fantasy_Hitters'!U156</f>
        <v>4.6901877758620083</v>
      </c>
      <c r="AS180">
        <f>'2026_Fantasy_Hitters'!V156</f>
        <v>0.24482764670608315</v>
      </c>
      <c r="AT180">
        <f>'2026_Fantasy_Hitters'!W156</f>
        <v>0.33364182481941779</v>
      </c>
      <c r="AU180">
        <f>'2026_Fantasy_Hitters'!X156</f>
        <v>0.37860357629084818</v>
      </c>
      <c r="AV180">
        <f>'2026_Fantasy_Hitters'!Y156</f>
        <v>0.71224540111026591</v>
      </c>
      <c r="AW180">
        <f>'2026_Fantasy_Hitters'!Z156</f>
        <v>0.31295000000000001</v>
      </c>
      <c r="AX180">
        <f>'2026_Fantasy_Hitters'!AA156</f>
        <v>0.25395000000000001</v>
      </c>
      <c r="AY180">
        <f>'2026_Fantasy_Hitters'!AB156</f>
        <v>0.104199999999999</v>
      </c>
      <c r="AZ180">
        <f t="shared" si="65"/>
        <v>2.5910059999999999E-2</v>
      </c>
    </row>
    <row r="181" spans="1:52">
      <c r="A181" t="s">
        <v>904</v>
      </c>
      <c r="B181" t="s">
        <v>19</v>
      </c>
      <c r="C181" t="s">
        <v>87</v>
      </c>
      <c r="D181">
        <v>399</v>
      </c>
      <c r="E181">
        <v>446</v>
      </c>
      <c r="F181" s="6">
        <f t="shared" si="44"/>
        <v>-6.262484614945441</v>
      </c>
      <c r="G181" s="5">
        <f t="shared" si="45"/>
        <v>-1.0605641743677141</v>
      </c>
      <c r="H181" s="5">
        <f t="shared" si="46"/>
        <v>-1.3455229243925766</v>
      </c>
      <c r="I181" s="5">
        <f t="shared" si="47"/>
        <v>-9.1053435045410677E-2</v>
      </c>
      <c r="J181" s="5">
        <f t="shared" si="48"/>
        <v>-0.4535178083358864</v>
      </c>
      <c r="K181" s="5">
        <f t="shared" si="49"/>
        <v>-0.57480203054514289</v>
      </c>
      <c r="L181" s="5">
        <f t="shared" si="50"/>
        <v>-0.26253753553745213</v>
      </c>
      <c r="M181" s="5">
        <f t="shared" si="51"/>
        <v>-1.8887196320180619</v>
      </c>
      <c r="N181" s="5">
        <f t="shared" si="52"/>
        <v>-0.40621757658788804</v>
      </c>
      <c r="O181" s="5">
        <f t="shared" si="53"/>
        <v>-0.65469851328681095</v>
      </c>
      <c r="P181" s="1">
        <f t="shared" si="54"/>
        <v>0.47514901517150365</v>
      </c>
      <c r="R181">
        <f t="shared" si="55"/>
        <v>74.927306926847933</v>
      </c>
      <c r="S181">
        <f t="shared" si="56"/>
        <v>72.602078516977855</v>
      </c>
      <c r="T181">
        <f t="shared" si="57"/>
        <v>95.972175462060989</v>
      </c>
      <c r="U181">
        <f t="shared" si="58"/>
        <v>88.331404570358373</v>
      </c>
      <c r="V181">
        <f t="shared" si="59"/>
        <v>79.197269442260321</v>
      </c>
      <c r="W181">
        <f t="shared" si="60"/>
        <v>87.235308005202086</v>
      </c>
      <c r="X181">
        <f t="shared" si="61"/>
        <v>87.534743953778587</v>
      </c>
      <c r="Y181">
        <f t="shared" si="62"/>
        <v>95.533710718206549</v>
      </c>
      <c r="Z181">
        <f t="shared" si="63"/>
        <v>39.800945805157227</v>
      </c>
      <c r="AA181">
        <f t="shared" si="64"/>
        <v>117.25717992194075</v>
      </c>
      <c r="AC181">
        <f>'2026_Fantasy_Hitters'!F137</f>
        <v>87.761664727290011</v>
      </c>
      <c r="AD181">
        <f>'2026_Fantasy_Hitters'!G137</f>
        <v>51.064143802862823</v>
      </c>
      <c r="AE181">
        <f>'2026_Fantasy_Hitters'!H137</f>
        <v>17.728901440446126</v>
      </c>
      <c r="AF181">
        <f>'2026_Fantasy_Hitters'!I137</f>
        <v>1.0169580252672814</v>
      </c>
      <c r="AG181">
        <f>'2026_Fantasy_Hitters'!J137</f>
        <v>18.07297256</v>
      </c>
      <c r="AH181">
        <f>'2026_Fantasy_Hitters'!K137</f>
        <v>50.225225225224953</v>
      </c>
      <c r="AI181">
        <f>'2026_Fantasy_Hitters'!L137</f>
        <v>57.999999999999844</v>
      </c>
      <c r="AJ181">
        <f>'2026_Fantasy_Hitters'!M137</f>
        <v>37.196400000000004</v>
      </c>
      <c r="AK181">
        <f>'2026_Fantasy_Hitters'!N137</f>
        <v>0.15067664</v>
      </c>
      <c r="AL181">
        <f>'2026_Fantasy_Hitters'!O137</f>
        <v>109.6045</v>
      </c>
      <c r="AM181">
        <f>'2026_Fantasy_Hitters'!P137</f>
        <v>5.0202696599999994</v>
      </c>
      <c r="AN181">
        <f>'2026_Fantasy_Hitters'!Q137</f>
        <v>4.0180184599999995</v>
      </c>
      <c r="AO181">
        <f>'2026_Fantasy_Hitters'!R137</f>
        <v>0.90000124000000004</v>
      </c>
      <c r="AP181">
        <f>'2026_Fantasy_Hitters'!S137</f>
        <v>4.2093256999999999</v>
      </c>
      <c r="AQ181">
        <f>'2026_Fantasy_Hitters'!T137</f>
        <v>1.03885888</v>
      </c>
      <c r="AR181">
        <f>'2026_Fantasy_Hitters'!U137</f>
        <v>3.1704668199999997</v>
      </c>
      <c r="AS181">
        <f>'2026_Fantasy_Hitters'!V137</f>
        <v>0.21995404693556395</v>
      </c>
      <c r="AT181">
        <f>'2026_Fantasy_Hitters'!W137</f>
        <v>0.29550255566404454</v>
      </c>
      <c r="AU181">
        <f>'2026_Fantasy_Hitters'!X137</f>
        <v>0.40567596741743583</v>
      </c>
      <c r="AV181">
        <f>'2026_Fantasy_Hitters'!Y137</f>
        <v>0.70117852308148043</v>
      </c>
      <c r="AW181">
        <f>'2026_Fantasy_Hitters'!Z137</f>
        <v>0.25309999999999999</v>
      </c>
      <c r="AX181">
        <f>'2026_Fantasy_Hitters'!AA137</f>
        <v>0.24575</v>
      </c>
      <c r="AY181">
        <f>'2026_Fantasy_Hitters'!AB137</f>
        <v>8.3400000000000002E-2</v>
      </c>
      <c r="AZ181">
        <f t="shared" si="65"/>
        <v>4.052236E-2</v>
      </c>
    </row>
    <row r="182" spans="1:52">
      <c r="A182" t="s">
        <v>747</v>
      </c>
      <c r="B182" t="s">
        <v>123</v>
      </c>
      <c r="C182" t="s">
        <v>748</v>
      </c>
      <c r="D182">
        <v>514</v>
      </c>
      <c r="E182">
        <v>551</v>
      </c>
      <c r="F182" s="6">
        <f t="shared" si="44"/>
        <v>-6.2999528297429856</v>
      </c>
      <c r="G182" s="5">
        <f t="shared" si="45"/>
        <v>-0.47452858851803126</v>
      </c>
      <c r="H182" s="5">
        <f t="shared" si="46"/>
        <v>0.46469400963091667</v>
      </c>
      <c r="I182" s="5">
        <f t="shared" si="47"/>
        <v>-1.0320008563874703</v>
      </c>
      <c r="J182" s="5">
        <f t="shared" si="48"/>
        <v>-0.57190190358771598</v>
      </c>
      <c r="K182" s="5">
        <f t="shared" si="49"/>
        <v>-1.3821888009598702</v>
      </c>
      <c r="L182" s="5">
        <f t="shared" si="50"/>
        <v>-0.92367078450274587</v>
      </c>
      <c r="M182" s="5">
        <f t="shared" si="51"/>
        <v>0.37098941294421889</v>
      </c>
      <c r="N182" s="5">
        <f t="shared" si="52"/>
        <v>-1.1136194085428004</v>
      </c>
      <c r="O182" s="5">
        <f t="shared" si="53"/>
        <v>-0.3642617905669156</v>
      </c>
      <c r="P182" s="1">
        <f t="shared" si="54"/>
        <v>-1.2734641192525717</v>
      </c>
      <c r="R182">
        <f t="shared" si="55"/>
        <v>88.781716428011677</v>
      </c>
      <c r="S182">
        <f t="shared" si="56"/>
        <v>109.46223193874332</v>
      </c>
      <c r="T182">
        <f t="shared" si="57"/>
        <v>54.348582560794711</v>
      </c>
      <c r="U182">
        <f t="shared" si="58"/>
        <v>85.285490854496871</v>
      </c>
      <c r="V182">
        <f t="shared" si="59"/>
        <v>49.977036130120098</v>
      </c>
      <c r="W182">
        <f t="shared" si="60"/>
        <v>55.090714763379225</v>
      </c>
      <c r="X182">
        <f t="shared" si="61"/>
        <v>102.44847247012832</v>
      </c>
      <c r="Y182">
        <f t="shared" si="62"/>
        <v>87.755954653292321</v>
      </c>
      <c r="Z182">
        <f t="shared" si="63"/>
        <v>66.506392138633302</v>
      </c>
      <c r="AA182">
        <f t="shared" si="64"/>
        <v>53.748405808765234</v>
      </c>
      <c r="AC182">
        <f>'2026_Fantasy_Hitters'!F110</f>
        <v>132.31835638785967</v>
      </c>
      <c r="AD182">
        <f>'2026_Fantasy_Hitters'!G110</f>
        <v>93.741513872422601</v>
      </c>
      <c r="AE182">
        <f>'2026_Fantasy_Hitters'!H110</f>
        <v>25.374631384821189</v>
      </c>
      <c r="AF182">
        <f>'2026_Fantasy_Hitters'!I110</f>
        <v>2.0373120297537826</v>
      </c>
      <c r="AG182">
        <f>'2026_Fantasy_Hitters'!J110</f>
        <v>10.234637660000001</v>
      </c>
      <c r="AH182">
        <f>'2026_Fantasy_Hitters'!K110</f>
        <v>59.512104283053617</v>
      </c>
      <c r="AI182">
        <f>'2026_Fantasy_Hitters'!L110</f>
        <v>55.999997890000003</v>
      </c>
      <c r="AJ182">
        <f>'2026_Fantasy_Hitters'!M110</f>
        <v>23.4726</v>
      </c>
      <c r="AK182">
        <f>'2026_Fantasy_Hitters'!N110</f>
        <v>0.89560091000000008</v>
      </c>
      <c r="AL182">
        <f>'2026_Fantasy_Hitters'!O110</f>
        <v>56.146899999999455</v>
      </c>
      <c r="AM182">
        <f>'2026_Fantasy_Hitters'!P110</f>
        <v>3.1703933900000001</v>
      </c>
      <c r="AN182">
        <f>'2026_Fantasy_Hitters'!Q110</f>
        <v>5.1303554900000004</v>
      </c>
      <c r="AO182">
        <f>'2026_Fantasy_Hitters'!R110</f>
        <v>4.1133527499999998</v>
      </c>
      <c r="AP182">
        <f>'2026_Fantasy_Hitters'!S110</f>
        <v>8.1389752800000004</v>
      </c>
      <c r="AQ182">
        <f>'2026_Fantasy_Hitters'!T110</f>
        <v>2.8412039500000001</v>
      </c>
      <c r="AR182">
        <f>'2026_Fantasy_Hitters'!U110</f>
        <v>5.2977713299999998</v>
      </c>
      <c r="AS182">
        <f>'2026_Fantasy_Hitters'!V110</f>
        <v>0.257428708925797</v>
      </c>
      <c r="AT182">
        <f>'2026_Fantasy_Hitters'!W110</f>
        <v>0.29412580549746542</v>
      </c>
      <c r="AU182">
        <f>'2026_Fantasy_Hitters'!X110</f>
        <v>0.37264837231775555</v>
      </c>
      <c r="AV182">
        <f>'2026_Fantasy_Hitters'!Y110</f>
        <v>0.66677417781522097</v>
      </c>
      <c r="AW182">
        <f>'2026_Fantasy_Hitters'!Z110</f>
        <v>0.26965</v>
      </c>
      <c r="AX182">
        <f>'2026_Fantasy_Hitters'!AA110</f>
        <v>0.10189999999999901</v>
      </c>
      <c r="AY182">
        <f>'2026_Fantasy_Hitters'!AB110</f>
        <v>4.2599999999999999E-2</v>
      </c>
      <c r="AZ182">
        <f t="shared" si="65"/>
        <v>1.857466E-2</v>
      </c>
    </row>
    <row r="183" spans="1:52">
      <c r="A183" t="s">
        <v>982</v>
      </c>
      <c r="B183" t="s">
        <v>243</v>
      </c>
      <c r="C183" t="s">
        <v>124</v>
      </c>
      <c r="D183">
        <v>362</v>
      </c>
      <c r="E183">
        <v>405</v>
      </c>
      <c r="F183" s="6">
        <f t="shared" si="44"/>
        <v>-6.4009684511151335</v>
      </c>
      <c r="G183" s="5">
        <f t="shared" si="45"/>
        <v>-1.2612191803803174</v>
      </c>
      <c r="H183" s="5">
        <f t="shared" si="46"/>
        <v>-1.40611414616307</v>
      </c>
      <c r="I183" s="5">
        <f t="shared" si="47"/>
        <v>-0.20212372798622014</v>
      </c>
      <c r="J183" s="5">
        <f t="shared" si="48"/>
        <v>-0.86786170458452472</v>
      </c>
      <c r="K183" s="5">
        <f t="shared" si="49"/>
        <v>-0.74022930722719671</v>
      </c>
      <c r="L183" s="5">
        <f t="shared" si="50"/>
        <v>-0.96263765034072579</v>
      </c>
      <c r="M183" s="5">
        <f t="shared" si="51"/>
        <v>-0.78152025807131942</v>
      </c>
      <c r="N183" s="5">
        <f t="shared" si="52"/>
        <v>0.15301534948915496</v>
      </c>
      <c r="O183" s="5">
        <f t="shared" si="53"/>
        <v>-0.95224709920773931</v>
      </c>
      <c r="P183" s="1">
        <f t="shared" si="54"/>
        <v>0.6199692733568255</v>
      </c>
      <c r="R183">
        <f t="shared" si="55"/>
        <v>70.183641714561432</v>
      </c>
      <c r="S183">
        <f t="shared" si="56"/>
        <v>71.368302780768985</v>
      </c>
      <c r="T183">
        <f t="shared" si="57"/>
        <v>91.058888543012188</v>
      </c>
      <c r="U183">
        <f t="shared" si="58"/>
        <v>77.670717811866481</v>
      </c>
      <c r="V183">
        <f t="shared" si="59"/>
        <v>73.21027064816488</v>
      </c>
      <c r="W183">
        <f t="shared" si="60"/>
        <v>53.196128378212713</v>
      </c>
      <c r="X183">
        <f t="shared" si="61"/>
        <v>94.842087752453224</v>
      </c>
      <c r="Y183">
        <f t="shared" si="62"/>
        <v>101.68237628000662</v>
      </c>
      <c r="Z183">
        <f t="shared" si="63"/>
        <v>12.441568800423084</v>
      </c>
      <c r="AA183">
        <f t="shared" si="64"/>
        <v>122.51698089394512</v>
      </c>
      <c r="AC183">
        <f>'2026_Fantasy_Hitters'!F151</f>
        <v>86.2702719914125</v>
      </c>
      <c r="AD183">
        <f>'2026_Fantasy_Hitters'!G151</f>
        <v>51.879474330864447</v>
      </c>
      <c r="AE183">
        <f>'2026_Fantasy_Hitters'!H151</f>
        <v>17.21802491067788</v>
      </c>
      <c r="AF183">
        <f>'2026_Fantasy_Hitters'!I151</f>
        <v>0.46666979378801382</v>
      </c>
      <c r="AG183">
        <f>'2026_Fantasy_Hitters'!J151</f>
        <v>17.147728350000001</v>
      </c>
      <c r="AH183">
        <f>'2026_Fantasy_Hitters'!K151</f>
        <v>47.045454545454476</v>
      </c>
      <c r="AI183">
        <f>'2026_Fantasy_Hitters'!L151</f>
        <v>50.999999999999623</v>
      </c>
      <c r="AJ183">
        <f>'2026_Fantasy_Hitters'!M151</f>
        <v>34.384500000000003</v>
      </c>
      <c r="AK183">
        <f>'2026_Fantasy_Hitters'!N151</f>
        <v>3.1736812499999996</v>
      </c>
      <c r="AL183">
        <f>'2026_Fantasy_Hitters'!O151</f>
        <v>120.73049999999999</v>
      </c>
      <c r="AM183">
        <f>'2026_Fantasy_Hitters'!P151</f>
        <v>3.0613626000000003</v>
      </c>
      <c r="AN183">
        <f>'2026_Fantasy_Hitters'!Q151</f>
        <v>3.0681827999999998</v>
      </c>
      <c r="AO183">
        <f>'2026_Fantasy_Hitters'!R151</f>
        <v>0</v>
      </c>
      <c r="AP183">
        <f>'2026_Fantasy_Hitters'!S151</f>
        <v>1.7410707000000001</v>
      </c>
      <c r="AQ183">
        <f>'2026_Fantasy_Hitters'!T151</f>
        <v>0.74999925000000001</v>
      </c>
      <c r="AR183">
        <f>'2026_Fantasy_Hitters'!U151</f>
        <v>0.99107145000000008</v>
      </c>
      <c r="AS183">
        <f>'2026_Fantasy_Hitters'!V151</f>
        <v>0.23831566848456492</v>
      </c>
      <c r="AT183">
        <f>'2026_Fantasy_Hitters'!W151</f>
        <v>0.3151552585007939</v>
      </c>
      <c r="AU183">
        <f>'2026_Fantasy_Hitters'!X151</f>
        <v>0.43178576500990123</v>
      </c>
      <c r="AV183">
        <f>'2026_Fantasy_Hitters'!Y151</f>
        <v>0.74694102351069513</v>
      </c>
      <c r="AW183">
        <f>'2026_Fantasy_Hitters'!Z151</f>
        <v>0.30425000000000002</v>
      </c>
      <c r="AX183">
        <f>'2026_Fantasy_Hitters'!AA151</f>
        <v>0.29809999999999998</v>
      </c>
      <c r="AY183">
        <f>'2026_Fantasy_Hitters'!AB151</f>
        <v>8.4900000000000003E-2</v>
      </c>
      <c r="AZ183">
        <f t="shared" si="65"/>
        <v>4.234007E-2</v>
      </c>
    </row>
    <row r="184" spans="1:52">
      <c r="A184" t="s">
        <v>1336</v>
      </c>
      <c r="B184" t="s">
        <v>404</v>
      </c>
      <c r="C184" t="s">
        <v>124</v>
      </c>
      <c r="D184">
        <v>423</v>
      </c>
      <c r="E184">
        <v>483</v>
      </c>
      <c r="F184" s="6">
        <f t="shared" si="44"/>
        <v>-6.4357311026229498</v>
      </c>
      <c r="G184" s="5">
        <f t="shared" si="45"/>
        <v>-0.95747041086098716</v>
      </c>
      <c r="H184" s="5">
        <f t="shared" si="46"/>
        <v>-0.6017301857341899</v>
      </c>
      <c r="I184" s="5">
        <f t="shared" si="47"/>
        <v>-1.0299672171232657</v>
      </c>
      <c r="J184" s="5">
        <f t="shared" si="48"/>
        <v>-0.80866971940614041</v>
      </c>
      <c r="K184" s="5">
        <f t="shared" si="49"/>
        <v>0.14947399134765274</v>
      </c>
      <c r="L184" s="5">
        <f t="shared" si="50"/>
        <v>-0.2426952851798436</v>
      </c>
      <c r="M184" s="5">
        <f t="shared" si="51"/>
        <v>-3.1430177795075717E-2</v>
      </c>
      <c r="N184" s="5">
        <f t="shared" si="52"/>
        <v>-0.89488670532259806</v>
      </c>
      <c r="O184" s="5">
        <f t="shared" si="53"/>
        <v>-0.95603274197203791</v>
      </c>
      <c r="P184" s="1">
        <f t="shared" si="54"/>
        <v>-1.0623226505764636</v>
      </c>
      <c r="R184">
        <f t="shared" si="55"/>
        <v>77.364536424724676</v>
      </c>
      <c r="S184">
        <f t="shared" si="56"/>
        <v>87.747398365470346</v>
      </c>
      <c r="T184">
        <f t="shared" si="57"/>
        <v>54.438542287471634</v>
      </c>
      <c r="U184">
        <f t="shared" si="58"/>
        <v>79.1936730630798</v>
      </c>
      <c r="V184">
        <f t="shared" si="59"/>
        <v>105.40963149424847</v>
      </c>
      <c r="W184">
        <f t="shared" si="60"/>
        <v>88.200047061581358</v>
      </c>
      <c r="X184">
        <f t="shared" si="61"/>
        <v>99.79256571110281</v>
      </c>
      <c r="Y184">
        <f t="shared" si="62"/>
        <v>90.160881432128321</v>
      </c>
      <c r="Z184">
        <f t="shared" si="63"/>
        <v>12.093481689630323</v>
      </c>
      <c r="AA184">
        <f t="shared" si="64"/>
        <v>61.416960720135947</v>
      </c>
      <c r="AC184">
        <f>'2026_Fantasy_Hitters'!F204</f>
        <v>106.06938414637169</v>
      </c>
      <c r="AD184">
        <f>'2026_Fantasy_Hitters'!G204</f>
        <v>72.076583252223401</v>
      </c>
      <c r="AE184">
        <f>'2026_Fantasy_Hitters'!H204</f>
        <v>22.92991237167562</v>
      </c>
      <c r="AF184">
        <f>'2026_Fantasy_Hitters'!I204</f>
        <v>1.0024506735102385</v>
      </c>
      <c r="AG184">
        <f>'2026_Fantasy_Hitters'!J204</f>
        <v>10.2515784</v>
      </c>
      <c r="AH184">
        <f>'2026_Fantasy_Hitters'!K204</f>
        <v>51.858947368420772</v>
      </c>
      <c r="AI184">
        <f>'2026_Fantasy_Hitters'!L204</f>
        <v>51.999999999999787</v>
      </c>
      <c r="AJ184">
        <f>'2026_Fantasy_Hitters'!M204</f>
        <v>49.507499999999517</v>
      </c>
      <c r="AK184">
        <f>'2026_Fantasy_Hitters'!N204</f>
        <v>0.98139803999999986</v>
      </c>
      <c r="AL184">
        <f>'2026_Fantasy_Hitters'!O204</f>
        <v>87.205649999999991</v>
      </c>
      <c r="AM184">
        <f>'2026_Fantasy_Hitters'!P204</f>
        <v>5.0757890400000001</v>
      </c>
      <c r="AN184">
        <f>'2026_Fantasy_Hitters'!Q204</f>
        <v>3.0505265700000002</v>
      </c>
      <c r="AO184">
        <f>'2026_Fantasy_Hitters'!R204</f>
        <v>0.89999804999999999</v>
      </c>
      <c r="AP184">
        <f>'2026_Fantasy_Hitters'!S204</f>
        <v>1.9859172899999999</v>
      </c>
      <c r="AQ184">
        <f>'2026_Fantasy_Hitters'!T204</f>
        <v>1.02257379</v>
      </c>
      <c r="AR184">
        <f>'2026_Fantasy_Hitters'!U204</f>
        <v>0.96334349999999991</v>
      </c>
      <c r="AS184">
        <f>'2026_Fantasy_Hitters'!V204</f>
        <v>0.25075504526329007</v>
      </c>
      <c r="AT184">
        <f>'2026_Fantasy_Hitters'!W204</f>
        <v>0.33918299909530619</v>
      </c>
      <c r="AU184">
        <f>'2026_Fantasy_Hitters'!X204</f>
        <v>0.38286069412790863</v>
      </c>
      <c r="AV184">
        <f>'2026_Fantasy_Hitters'!Y204</f>
        <v>0.72204369322321482</v>
      </c>
      <c r="AW184">
        <f>'2026_Fantasy_Hitters'!Z204</f>
        <v>0.29159999999999903</v>
      </c>
      <c r="AX184">
        <f>'2026_Fantasy_Hitters'!AA204</f>
        <v>0.18054999999999999</v>
      </c>
      <c r="AY184">
        <f>'2026_Fantasy_Hitters'!AB204</f>
        <v>0.10249999999999899</v>
      </c>
      <c r="AZ184">
        <f t="shared" si="65"/>
        <v>2.1224799999999999E-2</v>
      </c>
    </row>
    <row r="185" spans="1:52">
      <c r="A185" t="s">
        <v>946</v>
      </c>
      <c r="B185" t="s">
        <v>58</v>
      </c>
      <c r="C185" t="s">
        <v>87</v>
      </c>
      <c r="D185">
        <v>376</v>
      </c>
      <c r="E185">
        <v>425</v>
      </c>
      <c r="F185" s="6">
        <f t="shared" si="44"/>
        <v>-6.5357711579919258</v>
      </c>
      <c r="G185" s="5">
        <f t="shared" si="45"/>
        <v>-1.2926343970332086</v>
      </c>
      <c r="H185" s="5">
        <f t="shared" si="46"/>
        <v>-1.2727663856994917</v>
      </c>
      <c r="I185" s="5">
        <f t="shared" si="47"/>
        <v>-0.45265786912049127</v>
      </c>
      <c r="J185" s="5">
        <f t="shared" si="48"/>
        <v>-0.80866971940614196</v>
      </c>
      <c r="K185" s="5">
        <f t="shared" si="49"/>
        <v>-0.3978026690366876</v>
      </c>
      <c r="L185" s="5">
        <f t="shared" si="50"/>
        <v>-0.25063514739794901</v>
      </c>
      <c r="M185" s="5">
        <f t="shared" si="51"/>
        <v>-0.7902118586628698</v>
      </c>
      <c r="N185" s="5">
        <f t="shared" si="52"/>
        <v>-0.28505956822735756</v>
      </c>
      <c r="O185" s="5">
        <f t="shared" si="53"/>
        <v>-1.0553206795687209</v>
      </c>
      <c r="P185" s="1">
        <f t="shared" si="54"/>
        <v>6.9987136160992752E-2</v>
      </c>
      <c r="R185">
        <f t="shared" si="55"/>
        <v>69.440957675253671</v>
      </c>
      <c r="S185">
        <f t="shared" si="56"/>
        <v>74.08356790549162</v>
      </c>
      <c r="T185">
        <f t="shared" si="57"/>
        <v>79.976302139228011</v>
      </c>
      <c r="U185">
        <f t="shared" si="58"/>
        <v>79.193673063079757</v>
      </c>
      <c r="V185">
        <f t="shared" si="59"/>
        <v>85.603074973010166</v>
      </c>
      <c r="W185">
        <f t="shared" si="60"/>
        <v>87.814007421619891</v>
      </c>
      <c r="X185">
        <f t="shared" si="61"/>
        <v>94.784724539306865</v>
      </c>
      <c r="Y185">
        <f t="shared" si="62"/>
        <v>96.865821255346219</v>
      </c>
      <c r="Z185">
        <f t="shared" si="63"/>
        <v>2.9640277272712154</v>
      </c>
      <c r="AA185">
        <f t="shared" si="64"/>
        <v>102.5418985673699</v>
      </c>
      <c r="AC185">
        <f>'2026_Fantasy_Hitters'!F145</f>
        <v>89.552494654857128</v>
      </c>
      <c r="AD185">
        <f>'2026_Fantasy_Hitters'!G145</f>
        <v>56.915801943415175</v>
      </c>
      <c r="AE185">
        <f>'2026_Fantasy_Hitters'!H145</f>
        <v>17.231751568496627</v>
      </c>
      <c r="AF185">
        <f>'2026_Fantasy_Hitters'!I145</f>
        <v>1.0129731677996883</v>
      </c>
      <c r="AG185">
        <f>'2026_Fantasy_Hitters'!J145</f>
        <v>15.060714285714257</v>
      </c>
      <c r="AH185">
        <f>'2026_Fantasy_Hitters'!K145</f>
        <v>46.547619047618824</v>
      </c>
      <c r="AI185">
        <f>'2026_Fantasy_Hitters'!L145</f>
        <v>51.999999999999751</v>
      </c>
      <c r="AJ185">
        <f>'2026_Fantasy_Hitters'!M145</f>
        <v>40.204999999999998</v>
      </c>
      <c r="AK185">
        <f>'2026_Fantasy_Hitters'!N145</f>
        <v>0.96011749999999996</v>
      </c>
      <c r="AL185">
        <f>'2026_Fantasy_Hitters'!O145</f>
        <v>118.93625</v>
      </c>
      <c r="AM185">
        <f>'2026_Fantasy_Hitters'!P145</f>
        <v>5.0535730000000001</v>
      </c>
      <c r="AN185">
        <f>'2026_Fantasy_Hitters'!Q145</f>
        <v>3.0357154999999998</v>
      </c>
      <c r="AO185">
        <f>'2026_Fantasy_Hitters'!R145</f>
        <v>0</v>
      </c>
      <c r="AP185">
        <f>'2026_Fantasy_Hitters'!S145</f>
        <v>0.98611050000000011</v>
      </c>
      <c r="AQ185">
        <f>'2026_Fantasy_Hitters'!T145</f>
        <v>0.75000175000000002</v>
      </c>
      <c r="AR185">
        <f>'2026_Fantasy_Hitters'!U145</f>
        <v>0.23610875000000009</v>
      </c>
      <c r="AS185">
        <f>'2026_Fantasy_Hitters'!V145</f>
        <v>0.23817152833738597</v>
      </c>
      <c r="AT185">
        <f>'2026_Fantasy_Hitters'!W145</f>
        <v>0.32311022371261483</v>
      </c>
      <c r="AU185">
        <f>'2026_Fantasy_Hitters'!X145</f>
        <v>0.41133266416666098</v>
      </c>
      <c r="AV185">
        <f>'2026_Fantasy_Hitters'!Y145</f>
        <v>0.73444288787927581</v>
      </c>
      <c r="AW185">
        <f>'2026_Fantasy_Hitters'!Z145</f>
        <v>0.30399999999999999</v>
      </c>
      <c r="AX185">
        <f>'2026_Fantasy_Hitters'!AA145</f>
        <v>0.27984999999999999</v>
      </c>
      <c r="AY185">
        <f>'2026_Fantasy_Hitters'!AB145</f>
        <v>9.4600000000000004E-2</v>
      </c>
      <c r="AZ185">
        <f t="shared" si="65"/>
        <v>3.54369747899159E-2</v>
      </c>
    </row>
    <row r="186" spans="1:52">
      <c r="A186" t="s">
        <v>1015</v>
      </c>
      <c r="B186" t="s">
        <v>58</v>
      </c>
      <c r="C186" t="s">
        <v>391</v>
      </c>
      <c r="D186">
        <v>379</v>
      </c>
      <c r="E186">
        <v>428</v>
      </c>
      <c r="F186" s="6">
        <f t="shared" si="44"/>
        <v>-6.6765454573671006</v>
      </c>
      <c r="G186" s="5">
        <f t="shared" si="45"/>
        <v>-1.0880467064157153</v>
      </c>
      <c r="H186" s="5">
        <f t="shared" si="46"/>
        <v>-1.3234368410263233</v>
      </c>
      <c r="I186" s="5">
        <f t="shared" si="47"/>
        <v>-0.64428262577680973</v>
      </c>
      <c r="J186" s="5">
        <f t="shared" si="48"/>
        <v>-0.80866971940614585</v>
      </c>
      <c r="K186" s="5">
        <f t="shared" si="49"/>
        <v>-0.38110639209854302</v>
      </c>
      <c r="L186" s="5">
        <f t="shared" si="50"/>
        <v>-3.0160410040062129E-2</v>
      </c>
      <c r="M186" s="5">
        <f t="shared" si="51"/>
        <v>-1.1023250024216384</v>
      </c>
      <c r="N186" s="5">
        <f t="shared" si="52"/>
        <v>-0.63626335015133417</v>
      </c>
      <c r="O186" s="5">
        <f t="shared" si="53"/>
        <v>-0.41530508375074088</v>
      </c>
      <c r="P186" s="1">
        <f t="shared" si="54"/>
        <v>-0.24694932627978763</v>
      </c>
      <c r="R186">
        <f t="shared" si="55"/>
        <v>74.277595096516308</v>
      </c>
      <c r="S186">
        <f t="shared" si="56"/>
        <v>73.051801644667606</v>
      </c>
      <c r="T186">
        <f t="shared" si="57"/>
        <v>71.499621423646047</v>
      </c>
      <c r="U186">
        <f t="shared" si="58"/>
        <v>79.193673063079657</v>
      </c>
      <c r="V186">
        <f t="shared" si="59"/>
        <v>86.207331972819674</v>
      </c>
      <c r="W186">
        <f t="shared" si="60"/>
        <v>98.533587420899337</v>
      </c>
      <c r="X186">
        <f t="shared" si="61"/>
        <v>92.724826295867118</v>
      </c>
      <c r="Y186">
        <f t="shared" si="62"/>
        <v>93.004398763222781</v>
      </c>
      <c r="Z186">
        <f t="shared" si="63"/>
        <v>61.81299829353344</v>
      </c>
      <c r="AA186">
        <f t="shared" si="64"/>
        <v>91.030921207583617</v>
      </c>
      <c r="AC186">
        <f>'2026_Fantasy_Hitters'!F157</f>
        <v>88.305291730244008</v>
      </c>
      <c r="AD186">
        <f>'2026_Fantasy_Hitters'!G157</f>
        <v>55.535756797999809</v>
      </c>
      <c r="AE186">
        <f>'2026_Fantasy_Hitters'!H157</f>
        <v>18.412770834479186</v>
      </c>
      <c r="AF186">
        <f>'2026_Fantasy_Hitters'!I157</f>
        <v>1.1538387694430319</v>
      </c>
      <c r="AG186">
        <f>'2026_Fantasy_Hitters'!J157</f>
        <v>13.4644306</v>
      </c>
      <c r="AH186">
        <f>'2026_Fantasy_Hitters'!K157</f>
        <v>49.789710800000002</v>
      </c>
      <c r="AI186">
        <f>'2026_Fantasy_Hitters'!L157</f>
        <v>51.999999999999687</v>
      </c>
      <c r="AJ186">
        <f>'2026_Fantasy_Hitters'!M157</f>
        <v>40.488800000000005</v>
      </c>
      <c r="AK186">
        <f>'2026_Fantasy_Hitters'!N157</f>
        <v>0</v>
      </c>
      <c r="AL186">
        <f>'2026_Fantasy_Hitters'!O157</f>
        <v>91.271000000000001</v>
      </c>
      <c r="AM186">
        <f>'2026_Fantasy_Hitters'!P157</f>
        <v>5.6704697986576758</v>
      </c>
      <c r="AN186">
        <f>'2026_Fantasy_Hitters'!Q157</f>
        <v>2.8724834800000001</v>
      </c>
      <c r="AO186">
        <f>'2026_Fantasy_Hitters'!R157</f>
        <v>0</v>
      </c>
      <c r="AP186">
        <f>'2026_Fantasy_Hitters'!S157</f>
        <v>6.9484130799999999</v>
      </c>
      <c r="AQ186">
        <f>'2026_Fantasy_Hitters'!T157</f>
        <v>2.0245084799999997</v>
      </c>
      <c r="AR186">
        <f>'2026_Fantasy_Hitters'!U157</f>
        <v>4.9239046000000002</v>
      </c>
      <c r="AS186">
        <f>'2026_Fantasy_Hitters'!V157</f>
        <v>0.2329954926919367</v>
      </c>
      <c r="AT186">
        <f>'2026_Fantasy_Hitters'!W157</f>
        <v>0.31836384343989937</v>
      </c>
      <c r="AU186">
        <f>'2026_Fantasy_Hitters'!X157</f>
        <v>0.39493545428835691</v>
      </c>
      <c r="AV186">
        <f>'2026_Fantasy_Hitters'!Y157</f>
        <v>0.71329929772825629</v>
      </c>
      <c r="AW186">
        <f>'2026_Fantasy_Hitters'!Z157</f>
        <v>0.27005000000000001</v>
      </c>
      <c r="AX186">
        <f>'2026_Fantasy_Hitters'!AA157</f>
        <v>0.21325</v>
      </c>
      <c r="AY186">
        <f>'2026_Fantasy_Hitters'!AB157</f>
        <v>9.4600000000000004E-2</v>
      </c>
      <c r="AZ186">
        <f t="shared" si="65"/>
        <v>3.1458949999999999E-2</v>
      </c>
    </row>
    <row r="187" spans="1:52">
      <c r="A187" t="s">
        <v>1347</v>
      </c>
      <c r="B187" t="s">
        <v>335</v>
      </c>
      <c r="C187" t="s">
        <v>20</v>
      </c>
      <c r="D187">
        <v>374</v>
      </c>
      <c r="E187">
        <v>425</v>
      </c>
      <c r="F187" s="6">
        <f t="shared" si="44"/>
        <v>-6.7647704501142156</v>
      </c>
      <c r="G187" s="5">
        <f t="shared" si="45"/>
        <v>-0.86106383219934113</v>
      </c>
      <c r="H187" s="5">
        <f t="shared" si="46"/>
        <v>-1.3151210365621373</v>
      </c>
      <c r="I187" s="5">
        <f t="shared" si="47"/>
        <v>-0.99760280991915729</v>
      </c>
      <c r="J187" s="5">
        <f t="shared" si="48"/>
        <v>-1.2822056008331502</v>
      </c>
      <c r="K187" s="5">
        <f t="shared" si="49"/>
        <v>-0.42530622600843609</v>
      </c>
      <c r="L187" s="5">
        <f t="shared" si="50"/>
        <v>-0.12303968981318732</v>
      </c>
      <c r="M187" s="5">
        <f t="shared" si="51"/>
        <v>-0.8814956312866461</v>
      </c>
      <c r="N187" s="5">
        <f t="shared" si="52"/>
        <v>-0.7950405210477266</v>
      </c>
      <c r="O187" s="5">
        <f t="shared" si="53"/>
        <v>0.69711249929087904</v>
      </c>
      <c r="P187" s="1">
        <f t="shared" si="54"/>
        <v>-0.78100760173531192</v>
      </c>
      <c r="R187">
        <f t="shared" si="55"/>
        <v>79.643674845044416</v>
      </c>
      <c r="S187">
        <f t="shared" si="56"/>
        <v>73.221130426546807</v>
      </c>
      <c r="T187">
        <f t="shared" si="57"/>
        <v>55.870208796566516</v>
      </c>
      <c r="U187">
        <f t="shared" si="58"/>
        <v>67.010031053374917</v>
      </c>
      <c r="V187">
        <f t="shared" si="59"/>
        <v>84.607690380300753</v>
      </c>
      <c r="W187">
        <f t="shared" si="60"/>
        <v>94.017755440624356</v>
      </c>
      <c r="X187">
        <f t="shared" si="61"/>
        <v>94.182265826361402</v>
      </c>
      <c r="Y187">
        <f t="shared" si="62"/>
        <v>91.258672291895166</v>
      </c>
      <c r="Z187">
        <f t="shared" si="63"/>
        <v>164.09898949370248</v>
      </c>
      <c r="AA187">
        <f t="shared" si="64"/>
        <v>71.634185753947662</v>
      </c>
      <c r="AC187">
        <f>'2026_Fantasy_Hitters'!F214</f>
        <v>88.509976996664975</v>
      </c>
      <c r="AD187">
        <f>'2026_Fantasy_Hitters'!G214</f>
        <v>57.929742761979838</v>
      </c>
      <c r="AE187">
        <f>'2026_Fantasy_Hitters'!H214</f>
        <v>17.74183488410171</v>
      </c>
      <c r="AF187">
        <f>'2026_Fantasy_Hitters'!I214</f>
        <v>3.1450751567388138</v>
      </c>
      <c r="AG187">
        <f>'2026_Fantasy_Hitters'!J214</f>
        <v>10.521182266009804</v>
      </c>
      <c r="AH187">
        <f>'2026_Fantasy_Hitters'!K214</f>
        <v>53.386697999999996</v>
      </c>
      <c r="AI187">
        <f>'2026_Fantasy_Hitters'!L214</f>
        <v>43.999999999999623</v>
      </c>
      <c r="AJ187">
        <f>'2026_Fantasy_Hitters'!M214</f>
        <v>39.737499999999997</v>
      </c>
      <c r="AK187">
        <f>'2026_Fantasy_Hitters'!N214</f>
        <v>0.92666150000000003</v>
      </c>
      <c r="AL187">
        <f>'2026_Fantasy_Hitters'!O214</f>
        <v>94.881250000000009</v>
      </c>
      <c r="AM187">
        <f>'2026_Fantasy_Hitters'!P214</f>
        <v>5.41059</v>
      </c>
      <c r="AN187">
        <f>'2026_Fantasy_Hitters'!Q214</f>
        <v>3.140393</v>
      </c>
      <c r="AO187">
        <f>'2026_Fantasy_Hitters'!R214</f>
        <v>0</v>
      </c>
      <c r="AP187">
        <f>'2026_Fantasy_Hitters'!S214</f>
        <v>17.214285</v>
      </c>
      <c r="AQ187">
        <f>'2026_Fantasy_Hitters'!T214</f>
        <v>4.1424750000000001</v>
      </c>
      <c r="AR187">
        <f>'2026_Fantasy_Hitters'!U214</f>
        <v>13.071809999999999</v>
      </c>
      <c r="AS187">
        <f>'2026_Fantasy_Hitters'!V214</f>
        <v>0.23665769250445182</v>
      </c>
      <c r="AT187">
        <f>'2026_Fantasy_Hitters'!W214</f>
        <v>0.32212365099209317</v>
      </c>
      <c r="AU187">
        <f>'2026_Fantasy_Hitters'!X214</f>
        <v>0.3875223718300505</v>
      </c>
      <c r="AV187">
        <f>'2026_Fantasy_Hitters'!Y214</f>
        <v>0.70964602282214373</v>
      </c>
      <c r="AW187">
        <f>'2026_Fantasy_Hitters'!Z214</f>
        <v>0.28699999999999998</v>
      </c>
      <c r="AX187">
        <f>'2026_Fantasy_Hitters'!AA214</f>
        <v>0.22325</v>
      </c>
      <c r="AY187">
        <f>'2026_Fantasy_Hitters'!AB214</f>
        <v>9.35E-2</v>
      </c>
      <c r="AZ187">
        <f t="shared" si="65"/>
        <v>2.4755722978846598E-2</v>
      </c>
    </row>
    <row r="188" spans="1:52">
      <c r="A188" t="s">
        <v>889</v>
      </c>
      <c r="B188" t="s">
        <v>19</v>
      </c>
      <c r="C188" t="s">
        <v>34</v>
      </c>
      <c r="D188">
        <v>410</v>
      </c>
      <c r="E188">
        <v>452</v>
      </c>
      <c r="F188" s="6">
        <f t="shared" si="44"/>
        <v>-6.7914088052963004</v>
      </c>
      <c r="G188" s="5">
        <f t="shared" si="45"/>
        <v>-0.85560434232461724</v>
      </c>
      <c r="H188" s="5">
        <f t="shared" si="46"/>
        <v>-1.0689916749516963</v>
      </c>
      <c r="I188" s="5">
        <f t="shared" si="47"/>
        <v>-0.67549009983650843</v>
      </c>
      <c r="J188" s="5">
        <f t="shared" si="48"/>
        <v>-0.9862456749412718</v>
      </c>
      <c r="K188" s="5">
        <f t="shared" si="49"/>
        <v>-0.86978135601326712</v>
      </c>
      <c r="L188" s="5">
        <f t="shared" si="50"/>
        <v>-0.61568736803751634</v>
      </c>
      <c r="M188" s="5">
        <f t="shared" si="51"/>
        <v>-1.2435063791214434</v>
      </c>
      <c r="N188" s="5">
        <f t="shared" si="52"/>
        <v>-0.69648423221398115</v>
      </c>
      <c r="O188" s="5">
        <f t="shared" si="53"/>
        <v>0.64623737725521946</v>
      </c>
      <c r="P188" s="1">
        <f t="shared" si="54"/>
        <v>-0.42585505511121757</v>
      </c>
      <c r="R188">
        <f t="shared" si="55"/>
        <v>79.77274210685961</v>
      </c>
      <c r="S188">
        <f t="shared" si="56"/>
        <v>78.232886675228713</v>
      </c>
      <c r="T188">
        <f t="shared" si="57"/>
        <v>70.119132815807546</v>
      </c>
      <c r="U188">
        <f t="shared" si="58"/>
        <v>74.624807309440399</v>
      </c>
      <c r="V188">
        <f t="shared" si="59"/>
        <v>68.521636612645267</v>
      </c>
      <c r="W188">
        <f t="shared" si="60"/>
        <v>70.065005744805021</v>
      </c>
      <c r="X188">
        <f t="shared" si="61"/>
        <v>91.793051150584844</v>
      </c>
      <c r="Y188">
        <f t="shared" si="62"/>
        <v>92.342280983003221</v>
      </c>
      <c r="Z188">
        <f t="shared" si="63"/>
        <v>159.42105886389481</v>
      </c>
      <c r="AA188">
        <f t="shared" si="64"/>
        <v>84.533152606725807</v>
      </c>
      <c r="AC188">
        <f>'2026_Fantasy_Hitters'!F135</f>
        <v>94.568206741270231</v>
      </c>
      <c r="AD188">
        <f>'2026_Fantasy_Hitters'!G135</f>
        <v>60.565135790354496</v>
      </c>
      <c r="AE188">
        <f>'2026_Fantasy_Hitters'!H135</f>
        <v>20.595197309062609</v>
      </c>
      <c r="AF188">
        <f>'2026_Fantasy_Hitters'!I135</f>
        <v>2.0657937207871608</v>
      </c>
      <c r="AG188">
        <f>'2026_Fantasy_Hitters'!J135</f>
        <v>13.204464285714243</v>
      </c>
      <c r="AH188">
        <f>'2026_Fantasy_Hitters'!K135</f>
        <v>53.473214285714093</v>
      </c>
      <c r="AI188">
        <f>'2026_Fantasy_Hitters'!L135</f>
        <v>48.99999999999968</v>
      </c>
      <c r="AJ188">
        <f>'2026_Fantasy_Hitters'!M135</f>
        <v>32.182400000000001</v>
      </c>
      <c r="AK188">
        <f>'2026_Fantasy_Hitters'!N135</f>
        <v>0</v>
      </c>
      <c r="AL188">
        <f>'2026_Fantasy_Hitters'!O135</f>
        <v>108.0506</v>
      </c>
      <c r="AM188">
        <f>'2026_Fantasy_Hitters'!P135</f>
        <v>4.0321428400000006</v>
      </c>
      <c r="AN188">
        <f>'2026_Fantasy_Hitters'!Q135</f>
        <v>4.03571364</v>
      </c>
      <c r="AO188">
        <f>'2026_Fantasy_Hitters'!R135</f>
        <v>1.9899164400000002</v>
      </c>
      <c r="AP188">
        <f>'2026_Fantasy_Hitters'!S135</f>
        <v>16.74789724</v>
      </c>
      <c r="AQ188">
        <f>'2026_Fantasy_Hitters'!T135</f>
        <v>4.0487221999999994</v>
      </c>
      <c r="AR188">
        <f>'2026_Fantasy_Hitters'!U135</f>
        <v>12.69917504</v>
      </c>
      <c r="AS188">
        <f>'2026_Fantasy_Hitters'!V135</f>
        <v>0.23065416278358594</v>
      </c>
      <c r="AT188">
        <f>'2026_Fantasy_Hitters'!W135</f>
        <v>0.29309152986734904</v>
      </c>
      <c r="AU188">
        <f>'2026_Fantasy_Hitters'!X135</f>
        <v>0.39212382613097113</v>
      </c>
      <c r="AV188">
        <f>'2026_Fantasy_Hitters'!Y135</f>
        <v>0.68521535599832017</v>
      </c>
      <c r="AW188">
        <f>'2026_Fantasy_Hitters'!Z135</f>
        <v>0.27789999999999998</v>
      </c>
      <c r="AX188">
        <f>'2026_Fantasy_Hitters'!AA135</f>
        <v>0.23905000000000001</v>
      </c>
      <c r="AY188">
        <f>'2026_Fantasy_Hitters'!AB135</f>
        <v>7.1199999999999999E-2</v>
      </c>
      <c r="AZ188">
        <f t="shared" si="65"/>
        <v>2.9213416561314699E-2</v>
      </c>
    </row>
    <row r="189" spans="1:52">
      <c r="A189" t="s">
        <v>1341</v>
      </c>
      <c r="B189" t="s">
        <v>214</v>
      </c>
      <c r="C189" t="s">
        <v>20</v>
      </c>
      <c r="D189">
        <v>428</v>
      </c>
      <c r="E189">
        <v>471</v>
      </c>
      <c r="F189" s="6">
        <f t="shared" si="44"/>
        <v>-6.9087359030025697</v>
      </c>
      <c r="G189" s="5">
        <f t="shared" si="45"/>
        <v>-0.65823871267421774</v>
      </c>
      <c r="H189" s="5">
        <f t="shared" si="46"/>
        <v>-0.88110303547105517</v>
      </c>
      <c r="I189" s="5">
        <f t="shared" si="47"/>
        <v>-0.79416406180876886</v>
      </c>
      <c r="J189" s="5">
        <f t="shared" si="48"/>
        <v>-0.98624567494126625</v>
      </c>
      <c r="K189" s="5">
        <f t="shared" si="49"/>
        <v>-0.56297697182573914</v>
      </c>
      <c r="L189" s="5">
        <f t="shared" si="50"/>
        <v>-1.3350589083107891</v>
      </c>
      <c r="M189" s="5">
        <f t="shared" si="51"/>
        <v>-1.176878463804534</v>
      </c>
      <c r="N189" s="5">
        <f t="shared" si="52"/>
        <v>-1.1038498467238018</v>
      </c>
      <c r="O189" s="5">
        <f t="shared" si="53"/>
        <v>1.2767485760541704</v>
      </c>
      <c r="P189" s="1">
        <f t="shared" si="54"/>
        <v>-0.68696880349656797</v>
      </c>
      <c r="R189">
        <f t="shared" si="55"/>
        <v>84.438643496904248</v>
      </c>
      <c r="S189">
        <f t="shared" si="56"/>
        <v>82.058728731666648</v>
      </c>
      <c r="T189">
        <f t="shared" si="57"/>
        <v>64.869491264031581</v>
      </c>
      <c r="U189">
        <f t="shared" si="58"/>
        <v>74.624807309440541</v>
      </c>
      <c r="V189">
        <f t="shared" si="59"/>
        <v>79.625231588002748</v>
      </c>
      <c r="W189">
        <f t="shared" si="60"/>
        <v>35.088840821897264</v>
      </c>
      <c r="X189">
        <f t="shared" si="61"/>
        <v>92.232785037061063</v>
      </c>
      <c r="Y189">
        <f t="shared" si="62"/>
        <v>87.863369230491372</v>
      </c>
      <c r="Z189">
        <f t="shared" si="63"/>
        <v>217.39610700689474</v>
      </c>
      <c r="AA189">
        <f t="shared" si="64"/>
        <v>75.049628928681628</v>
      </c>
      <c r="AC189">
        <f>'2026_Fantasy_Hitters'!F209</f>
        <v>99.192898963795983</v>
      </c>
      <c r="AD189">
        <f>'2026_Fantasy_Hitters'!G209</f>
        <v>63.30754289467076</v>
      </c>
      <c r="AE189">
        <f>'2026_Fantasy_Hitters'!H209</f>
        <v>20.723870124701477</v>
      </c>
      <c r="AF189">
        <f>'2026_Fantasy_Hitters'!I209</f>
        <v>2.0233081327345941</v>
      </c>
      <c r="AG189">
        <f>'2026_Fantasy_Hitters'!J209</f>
        <v>12.215879549999999</v>
      </c>
      <c r="AH189">
        <f>'2026_Fantasy_Hitters'!K209</f>
        <v>56.600858369098482</v>
      </c>
      <c r="AI189">
        <f>'2026_Fantasy_Hitters'!L209</f>
        <v>48.999999999999766</v>
      </c>
      <c r="AJ189">
        <f>'2026_Fantasy_Hitters'!M209</f>
        <v>37.397399999999998</v>
      </c>
      <c r="AK189">
        <f>'2026_Fantasy_Hitters'!N209</f>
        <v>1.9247462099999999</v>
      </c>
      <c r="AL189">
        <f>'2026_Fantasy_Hitters'!O209</f>
        <v>127.24065</v>
      </c>
      <c r="AM189">
        <f>'2026_Fantasy_Hitters'!P209</f>
        <v>2.0193135899999999</v>
      </c>
      <c r="AN189">
        <f>'2026_Fantasy_Hitters'!Q209</f>
        <v>3.0321896699999997</v>
      </c>
      <c r="AO189">
        <f>'2026_Fantasy_Hitters'!R209</f>
        <v>0.99477083999999993</v>
      </c>
      <c r="AP189">
        <f>'2026_Fantasy_Hitters'!S209</f>
        <v>21.43611903</v>
      </c>
      <c r="AQ189">
        <f>'2026_Fantasy_Hitters'!T209</f>
        <v>4.1187631199999997</v>
      </c>
      <c r="AR189">
        <f>'2026_Fantasy_Hitters'!U209</f>
        <v>17.31735591</v>
      </c>
      <c r="AS189">
        <f>'2026_Fantasy_Hitters'!V209</f>
        <v>0.23175910972849528</v>
      </c>
      <c r="AT189">
        <f>'2026_Fantasy_Hitters'!W209</f>
        <v>0.29878401886285588</v>
      </c>
      <c r="AU189">
        <f>'2026_Fantasy_Hitters'!X209</f>
        <v>0.37310449939784457</v>
      </c>
      <c r="AV189">
        <f>'2026_Fantasy_Hitters'!Y209</f>
        <v>0.6718885182607004</v>
      </c>
      <c r="AW189">
        <f>'2026_Fantasy_Hitters'!Z209</f>
        <v>0.29830000000000001</v>
      </c>
      <c r="AX189">
        <f>'2026_Fantasy_Hitters'!AA209</f>
        <v>0.27015</v>
      </c>
      <c r="AY189">
        <f>'2026_Fantasy_Hitters'!AB209</f>
        <v>7.9399999999999998E-2</v>
      </c>
      <c r="AZ189">
        <f t="shared" si="65"/>
        <v>2.5936049999999999E-2</v>
      </c>
    </row>
    <row r="190" spans="1:52">
      <c r="A190" t="s">
        <v>784</v>
      </c>
      <c r="B190" t="s">
        <v>101</v>
      </c>
      <c r="C190" t="s">
        <v>20</v>
      </c>
      <c r="D190">
        <v>421</v>
      </c>
      <c r="E190">
        <v>453</v>
      </c>
      <c r="F190" s="6">
        <f t="shared" si="44"/>
        <v>-7.092730672736578</v>
      </c>
      <c r="G190" s="5">
        <f t="shared" si="45"/>
        <v>-0.63305143522118845</v>
      </c>
      <c r="H190" s="5">
        <f t="shared" si="46"/>
        <v>-4.9788046663382567E-2</v>
      </c>
      <c r="I190" s="5">
        <f t="shared" si="47"/>
        <v>-2.248606363719134</v>
      </c>
      <c r="J190" s="5">
        <f t="shared" si="48"/>
        <v>-1.933317494619559</v>
      </c>
      <c r="K190" s="5">
        <f t="shared" si="49"/>
        <v>-1.3719521829639707</v>
      </c>
      <c r="L190" s="5">
        <f t="shared" si="50"/>
        <v>-1.6993539556604595</v>
      </c>
      <c r="M190" s="5">
        <f t="shared" si="51"/>
        <v>1.986247364936804</v>
      </c>
      <c r="N190" s="5">
        <f t="shared" si="52"/>
        <v>-1.9114300669944422</v>
      </c>
      <c r="O190" s="5">
        <f t="shared" si="53"/>
        <v>3.5042749832097404</v>
      </c>
      <c r="P190" s="1">
        <f t="shared" si="54"/>
        <v>-2.735753475040986</v>
      </c>
      <c r="R190">
        <f t="shared" si="55"/>
        <v>85.034093439671381</v>
      </c>
      <c r="S190">
        <f t="shared" si="56"/>
        <v>98.986201596013615</v>
      </c>
      <c r="T190">
        <f t="shared" si="57"/>
        <v>0.53102462925235727</v>
      </c>
      <c r="U190">
        <f t="shared" si="58"/>
        <v>50.25752182799458</v>
      </c>
      <c r="V190">
        <f t="shared" si="59"/>
        <v>50.347510823449284</v>
      </c>
      <c r="W190">
        <f t="shared" si="60"/>
        <v>17.376653247920814</v>
      </c>
      <c r="X190">
        <f t="shared" si="61"/>
        <v>113.10892392674255</v>
      </c>
      <c r="Y190">
        <f t="shared" si="62"/>
        <v>78.984169782058103</v>
      </c>
      <c r="Z190">
        <f t="shared" si="63"/>
        <v>422.2155470749633</v>
      </c>
      <c r="AA190">
        <f t="shared" si="64"/>
        <v>0.63877134667794166</v>
      </c>
      <c r="AC190">
        <f>'2026_Fantasy_Hitters'!F117</f>
        <v>119.65489163048964</v>
      </c>
      <c r="AD190">
        <f>'2026_Fantasy_Hitters'!G117</f>
        <v>100.60150658751711</v>
      </c>
      <c r="AE190">
        <f>'2026_Fantasy_Hitters'!H117</f>
        <v>15.226922941711493</v>
      </c>
      <c r="AF190">
        <f>'2026_Fantasy_Hitters'!I117</f>
        <v>3.2493097191932612</v>
      </c>
      <c r="AG190">
        <f>'2026_Fantasy_Hitters'!J117</f>
        <v>9.9999749999999998E-2</v>
      </c>
      <c r="AH190">
        <f>'2026_Fantasy_Hitters'!K117</f>
        <v>56.999999999999815</v>
      </c>
      <c r="AI190">
        <f>'2026_Fantasy_Hitters'!L117</f>
        <v>32.999999039999999</v>
      </c>
      <c r="AJ190">
        <f>'2026_Fantasy_Hitters'!M117</f>
        <v>23.646599999999953</v>
      </c>
      <c r="AK190">
        <f>'2026_Fantasy_Hitters'!N117</f>
        <v>0.15000189</v>
      </c>
      <c r="AL190">
        <f>'2026_Fantasy_Hitters'!O117</f>
        <v>47.882099999999546</v>
      </c>
      <c r="AM190">
        <f>'2026_Fantasy_Hitters'!P117</f>
        <v>1.0000020300000001</v>
      </c>
      <c r="AN190">
        <f>'2026_Fantasy_Hitters'!Q117</f>
        <v>3.0000015599999998</v>
      </c>
      <c r="AO190">
        <f>'2026_Fantasy_Hitters'!R117</f>
        <v>4.1973621000000003</v>
      </c>
      <c r="AP190">
        <f>'2026_Fantasy_Hitters'!S117</f>
        <v>42.949450949999999</v>
      </c>
      <c r="AQ190">
        <f>'2026_Fantasy_Hitters'!T117</f>
        <v>9.3165722379602816</v>
      </c>
      <c r="AR190">
        <f>'2026_Fantasy_Hitters'!U117</f>
        <v>33.632878712039719</v>
      </c>
      <c r="AS190">
        <f>'2026_Fantasy_Hitters'!V117</f>
        <v>0.28421589460923907</v>
      </c>
      <c r="AT190">
        <f>'2026_Fantasy_Hitters'!W117</f>
        <v>0.32258282987762488</v>
      </c>
      <c r="AU190">
        <f>'2026_Fantasy_Hitters'!X117</f>
        <v>0.33539971645729189</v>
      </c>
      <c r="AV190">
        <f>'2026_Fantasy_Hitters'!Y117</f>
        <v>0.65798254633491671</v>
      </c>
      <c r="AW190">
        <f>'2026_Fantasy_Hitters'!Z117</f>
        <v>0.31795000000000001</v>
      </c>
      <c r="AX190">
        <f>'2026_Fantasy_Hitters'!AA117</f>
        <v>0.105699999999999</v>
      </c>
      <c r="AY190">
        <f>'2026_Fantasy_Hitters'!AB117</f>
        <v>5.2199999999999899E-2</v>
      </c>
      <c r="AZ190">
        <f t="shared" si="65"/>
        <v>2.2075E-4</v>
      </c>
    </row>
    <row r="191" spans="1:52">
      <c r="A191" t="s">
        <v>1038</v>
      </c>
      <c r="B191" t="s">
        <v>440</v>
      </c>
      <c r="C191" t="s">
        <v>879</v>
      </c>
      <c r="D191">
        <v>505</v>
      </c>
      <c r="E191">
        <v>549</v>
      </c>
      <c r="F191" s="6">
        <f t="shared" si="44"/>
        <v>-7.1683551504117515</v>
      </c>
      <c r="G191" s="5">
        <f t="shared" si="45"/>
        <v>-0.82341598173907327</v>
      </c>
      <c r="H191" s="5">
        <f t="shared" si="46"/>
        <v>2.121732966685093E-3</v>
      </c>
      <c r="I191" s="5">
        <f t="shared" si="47"/>
        <v>-0.77201669887298507</v>
      </c>
      <c r="J191" s="5">
        <f t="shared" si="48"/>
        <v>-0.2167498676223911</v>
      </c>
      <c r="K191" s="5">
        <f t="shared" si="49"/>
        <v>-0.74123531968541467</v>
      </c>
      <c r="L191" s="5">
        <f t="shared" si="50"/>
        <v>-0.96666630115691066</v>
      </c>
      <c r="M191" s="5">
        <f t="shared" si="51"/>
        <v>-0.7118847036358511</v>
      </c>
      <c r="N191" s="5">
        <f t="shared" si="52"/>
        <v>-1.2871584688733544</v>
      </c>
      <c r="O191" s="5">
        <f t="shared" si="53"/>
        <v>-0.69757177447662477</v>
      </c>
      <c r="P191" s="1">
        <f t="shared" si="54"/>
        <v>-0.95377776731583175</v>
      </c>
      <c r="R191">
        <f t="shared" si="55"/>
        <v>80.533703965646168</v>
      </c>
      <c r="S191">
        <f t="shared" si="56"/>
        <v>100.04320333171249</v>
      </c>
      <c r="T191">
        <f t="shared" si="57"/>
        <v>65.849198310107369</v>
      </c>
      <c r="U191">
        <f t="shared" si="58"/>
        <v>94.423225575210566</v>
      </c>
      <c r="V191">
        <f t="shared" si="59"/>
        <v>73.173861928303211</v>
      </c>
      <c r="W191">
        <f t="shared" si="60"/>
        <v>53.000253579898946</v>
      </c>
      <c r="X191">
        <f t="shared" si="61"/>
        <v>95.301671589696042</v>
      </c>
      <c r="Y191">
        <f t="shared" si="62"/>
        <v>85.847923859457012</v>
      </c>
      <c r="Z191">
        <f t="shared" si="63"/>
        <v>35.858780485553694</v>
      </c>
      <c r="AA191">
        <f t="shared" si="64"/>
        <v>65.35925781057324</v>
      </c>
      <c r="AC191">
        <f>'2026_Fantasy_Hitters'!F161</f>
        <v>120.93259929174999</v>
      </c>
      <c r="AD191">
        <f>'2026_Fantasy_Hitters'!G161</f>
        <v>83.993340791217065</v>
      </c>
      <c r="AE191">
        <f>'2026_Fantasy_Hitters'!H161</f>
        <v>22.726506605352242</v>
      </c>
      <c r="AF191">
        <f>'2026_Fantasy_Hitters'!I161</f>
        <v>1.6826414019374691</v>
      </c>
      <c r="AG191">
        <f>'2026_Fantasy_Hitters'!J161</f>
        <v>12.400372800000001</v>
      </c>
      <c r="AH191">
        <f>'2026_Fantasy_Hitters'!K161</f>
        <v>53.983301759999996</v>
      </c>
      <c r="AI191">
        <f>'2026_Fantasy_Hitters'!L161</f>
        <v>61.999999999999766</v>
      </c>
      <c r="AJ191">
        <f>'2026_Fantasy_Hitters'!M161</f>
        <v>34.367400000000004</v>
      </c>
      <c r="AK191">
        <f>'2026_Fantasy_Hitters'!N161</f>
        <v>0.94480154999999999</v>
      </c>
      <c r="AL191">
        <f>'2026_Fantasy_Hitters'!O161</f>
        <v>93.851549999999989</v>
      </c>
      <c r="AM191">
        <f>'2026_Fantasy_Hitters'!P161</f>
        <v>3.05009028</v>
      </c>
      <c r="AN191">
        <f>'2026_Fantasy_Hitters'!Q161</f>
        <v>5.0927655600000001</v>
      </c>
      <c r="AO191">
        <f>'2026_Fantasy_Hitters'!R161</f>
        <v>0.89999766000000003</v>
      </c>
      <c r="AP191">
        <f>'2026_Fantasy_Hitters'!S161</f>
        <v>3.9226873500000004</v>
      </c>
      <c r="AQ191">
        <f>'2026_Fantasy_Hitters'!T161</f>
        <v>1.0662458400000001</v>
      </c>
      <c r="AR191">
        <f>'2026_Fantasy_Hitters'!U161</f>
        <v>2.8564415100000002</v>
      </c>
      <c r="AS191">
        <f>'2026_Fantasy_Hitters'!V161</f>
        <v>0.23947049364702969</v>
      </c>
      <c r="AT191">
        <f>'2026_Fantasy_Hitters'!W161</f>
        <v>0.29206718076995919</v>
      </c>
      <c r="AU191">
        <f>'2026_Fantasy_Hitters'!X161</f>
        <v>0.36454607803511674</v>
      </c>
      <c r="AV191">
        <f>'2026_Fantasy_Hitters'!Y161</f>
        <v>0.65661325880507593</v>
      </c>
      <c r="AW191">
        <f>'2026_Fantasy_Hitters'!Z161</f>
        <v>0.26874999999999999</v>
      </c>
      <c r="AX191">
        <f>'2026_Fantasy_Hitters'!AA161</f>
        <v>0.17094999999999999</v>
      </c>
      <c r="AY191">
        <f>'2026_Fantasy_Hitters'!AB161</f>
        <v>6.2600000000000003E-2</v>
      </c>
      <c r="AZ191">
        <f t="shared" si="65"/>
        <v>2.2587200000000002E-2</v>
      </c>
    </row>
    <row r="192" spans="1:52">
      <c r="A192" t="s">
        <v>824</v>
      </c>
      <c r="B192" t="s">
        <v>40</v>
      </c>
      <c r="C192" t="s">
        <v>163</v>
      </c>
      <c r="D192">
        <v>404</v>
      </c>
      <c r="E192">
        <v>447</v>
      </c>
      <c r="F192" s="6">
        <f t="shared" si="44"/>
        <v>-7.2297569417883487</v>
      </c>
      <c r="G192" s="5">
        <f t="shared" si="45"/>
        <v>-1.1096791376034283</v>
      </c>
      <c r="H192" s="5">
        <f t="shared" si="46"/>
        <v>-1.0148595282842048</v>
      </c>
      <c r="I192" s="5">
        <f t="shared" si="47"/>
        <v>-0.46586907987633869</v>
      </c>
      <c r="J192" s="5">
        <f t="shared" si="48"/>
        <v>-0.80866961877975252</v>
      </c>
      <c r="K192" s="5">
        <f t="shared" si="49"/>
        <v>-0.67245583635777562</v>
      </c>
      <c r="L192" s="5">
        <f t="shared" si="50"/>
        <v>-0.99524294533649893</v>
      </c>
      <c r="M192" s="5">
        <f t="shared" si="51"/>
        <v>-0.83807570509899898</v>
      </c>
      <c r="N192" s="5">
        <f t="shared" si="52"/>
        <v>-0.62079110512833602</v>
      </c>
      <c r="O192" s="5">
        <f t="shared" si="53"/>
        <v>-0.61552992280924512</v>
      </c>
      <c r="P192" s="1">
        <f t="shared" si="54"/>
        <v>-8.8584062513770323E-2</v>
      </c>
      <c r="R192">
        <f t="shared" si="55"/>
        <v>73.766184923794825</v>
      </c>
      <c r="S192">
        <f t="shared" si="56"/>
        <v>79.335140882285728</v>
      </c>
      <c r="T192">
        <f t="shared" si="57"/>
        <v>79.391893227782234</v>
      </c>
      <c r="U192">
        <f t="shared" si="58"/>
        <v>79.193675652104062</v>
      </c>
      <c r="V192">
        <f t="shared" si="59"/>
        <v>75.663068617793215</v>
      </c>
      <c r="W192">
        <f t="shared" si="60"/>
        <v>51.610844402843036</v>
      </c>
      <c r="X192">
        <f t="shared" si="61"/>
        <v>94.468830591328</v>
      </c>
      <c r="Y192">
        <f t="shared" si="62"/>
        <v>93.174513317821692</v>
      </c>
      <c r="Z192">
        <f t="shared" si="63"/>
        <v>43.402469335517878</v>
      </c>
      <c r="AA192">
        <f t="shared" si="64"/>
        <v>96.782670159876616</v>
      </c>
      <c r="AC192">
        <f>'2026_Fantasy_Hitters'!F124</f>
        <v>95.900615759578997</v>
      </c>
      <c r="AD192">
        <f>'2026_Fantasy_Hitters'!G124</f>
        <v>63.991536041875619</v>
      </c>
      <c r="AE192">
        <f>'2026_Fantasy_Hitters'!H124</f>
        <v>16.690900688375216</v>
      </c>
      <c r="AF192">
        <f>'2026_Fantasy_Hitters'!I124</f>
        <v>0.88992686454898606</v>
      </c>
      <c r="AG192">
        <f>'2026_Fantasy_Hitters'!J124</f>
        <v>14.95066149</v>
      </c>
      <c r="AH192">
        <f>'2026_Fantasy_Hitters'!K124</f>
        <v>49.446902654866953</v>
      </c>
      <c r="AI192">
        <f>'2026_Fantasy_Hitters'!L124</f>
        <v>52.000001700000006</v>
      </c>
      <c r="AJ192">
        <f>'2026_Fantasy_Hitters'!M124</f>
        <v>35.536500000000004</v>
      </c>
      <c r="AK192">
        <f>'2026_Fantasy_Hitters'!N124</f>
        <v>0.24833979</v>
      </c>
      <c r="AL192">
        <f>'2026_Fantasy_Hitters'!O124</f>
        <v>110.63249999999999</v>
      </c>
      <c r="AM192">
        <f>'2026_Fantasy_Hitters'!P124</f>
        <v>2.9701317299999999</v>
      </c>
      <c r="AN192">
        <f>'2026_Fantasy_Hitters'!Q124</f>
        <v>1.97787666</v>
      </c>
      <c r="AO192">
        <f>'2026_Fantasy_Hitters'!R124</f>
        <v>0.89999874000000002</v>
      </c>
      <c r="AP192">
        <f>'2026_Fantasy_Hitters'!S124</f>
        <v>4.5102031800000004</v>
      </c>
      <c r="AQ192">
        <f>'2026_Fantasy_Hitters'!T124</f>
        <v>1.05284592</v>
      </c>
      <c r="AR192">
        <f>'2026_Fantasy_Hitters'!U124</f>
        <v>3.4573572600000002</v>
      </c>
      <c r="AS192">
        <f>'2026_Fantasy_Hitters'!V124</f>
        <v>0.23737776178113612</v>
      </c>
      <c r="AT192">
        <f>'2026_Fantasy_Hitters'!W124</f>
        <v>0.30481428664163807</v>
      </c>
      <c r="AU192">
        <f>'2026_Fantasy_Hitters'!X124</f>
        <v>0.39565783161453716</v>
      </c>
      <c r="AV192">
        <f>'2026_Fantasy_Hitters'!Y124</f>
        <v>0.70047211825617528</v>
      </c>
      <c r="AW192">
        <f>'2026_Fantasy_Hitters'!Z124</f>
        <v>0.28870000000000001</v>
      </c>
      <c r="AX192">
        <f>'2026_Fantasy_Hitters'!AA124</f>
        <v>0.2475</v>
      </c>
      <c r="AY192">
        <f>'2026_Fantasy_Hitters'!AB124</f>
        <v>7.9500000000000001E-2</v>
      </c>
      <c r="AZ192">
        <f t="shared" si="65"/>
        <v>3.3446669999999998E-2</v>
      </c>
    </row>
    <row r="193" spans="1:52">
      <c r="A193" t="s">
        <v>1057</v>
      </c>
      <c r="B193" t="s">
        <v>692</v>
      </c>
      <c r="C193" t="s">
        <v>20</v>
      </c>
      <c r="D193">
        <v>451</v>
      </c>
      <c r="E193">
        <v>507</v>
      </c>
      <c r="F193" s="6">
        <f t="shared" si="44"/>
        <v>-7.3152863232423275</v>
      </c>
      <c r="G193" s="5">
        <f t="shared" si="45"/>
        <v>-0.46601246994921958</v>
      </c>
      <c r="H193" s="5">
        <f t="shared" si="46"/>
        <v>-0.81037585261433021</v>
      </c>
      <c r="I193" s="5">
        <f t="shared" si="47"/>
        <v>-1.3988238953451482</v>
      </c>
      <c r="J193" s="5">
        <f t="shared" si="48"/>
        <v>-1.578165434385506</v>
      </c>
      <c r="K193" s="5">
        <f t="shared" si="49"/>
        <v>-0.57974384612937191</v>
      </c>
      <c r="L193" s="5">
        <f t="shared" si="50"/>
        <v>0.54468260363518617</v>
      </c>
      <c r="M193" s="5">
        <f t="shared" si="51"/>
        <v>-1.6568129034518646</v>
      </c>
      <c r="N193" s="5">
        <f t="shared" si="52"/>
        <v>-2.3034496568314964</v>
      </c>
      <c r="O193" s="5">
        <f t="shared" si="53"/>
        <v>2.5586366961688607</v>
      </c>
      <c r="P193" s="1">
        <f t="shared" si="54"/>
        <v>-1.6252215643394394</v>
      </c>
      <c r="R193">
        <f t="shared" si="55"/>
        <v>88.983045147396041</v>
      </c>
      <c r="S193">
        <f t="shared" si="56"/>
        <v>83.498895797938445</v>
      </c>
      <c r="T193">
        <f t="shared" si="57"/>
        <v>38.121859904386888</v>
      </c>
      <c r="U193">
        <f t="shared" si="58"/>
        <v>59.395257173120292</v>
      </c>
      <c r="V193">
        <f t="shared" si="59"/>
        <v>79.018419590308241</v>
      </c>
      <c r="W193">
        <f t="shared" si="60"/>
        <v>126.48271096205175</v>
      </c>
      <c r="X193">
        <f t="shared" si="61"/>
        <v>89.065292321791517</v>
      </c>
      <c r="Y193">
        <f t="shared" si="62"/>
        <v>74.673984814068547</v>
      </c>
      <c r="Z193">
        <f t="shared" si="63"/>
        <v>335.26479136833814</v>
      </c>
      <c r="AA193">
        <f t="shared" si="64"/>
        <v>40.972747383891608</v>
      </c>
      <c r="AC193">
        <f>'2026_Fantasy_Hitters'!F164</f>
        <v>100.93377831330213</v>
      </c>
      <c r="AD193">
        <f>'2026_Fantasy_Hitters'!G164</f>
        <v>73.873856404685171</v>
      </c>
      <c r="AE193">
        <f>'2026_Fantasy_Hitters'!H164</f>
        <v>16.305195000574201</v>
      </c>
      <c r="AF193">
        <f>'2026_Fantasy_Hitters'!I164</f>
        <v>2.6036051760532346</v>
      </c>
      <c r="AG193">
        <f>'2026_Fantasy_Hitters'!J164</f>
        <v>7.1789070600000002</v>
      </c>
      <c r="AH193">
        <f>'2026_Fantasy_Hitters'!K164</f>
        <v>59.6470588235292</v>
      </c>
      <c r="AI193">
        <f>'2026_Fantasy_Hitters'!L164</f>
        <v>39.000001560000001</v>
      </c>
      <c r="AJ193">
        <f>'2026_Fantasy_Hitters'!M164</f>
        <v>37.112400000000001</v>
      </c>
      <c r="AK193">
        <f>'2026_Fantasy_Hitters'!N164</f>
        <v>0.15425981999999999</v>
      </c>
      <c r="AL193">
        <f>'2026_Fantasy_Hitters'!O164</f>
        <v>111.41324999999949</v>
      </c>
      <c r="AM193">
        <f>'2026_Fantasy_Hitters'!P164</f>
        <v>7.2789026699999999</v>
      </c>
      <c r="AN193">
        <f>'2026_Fantasy_Hitters'!Q164</f>
        <v>4.1135901300000004</v>
      </c>
      <c r="AO193">
        <f>'2026_Fantasy_Hitters'!R164</f>
        <v>6.1853695799999997</v>
      </c>
      <c r="AP193">
        <f>'2026_Fantasy_Hitters'!S164</f>
        <v>32.726332859999999</v>
      </c>
      <c r="AQ193">
        <f>'2026_Fantasy_Hitters'!T164</f>
        <v>6.0197841726618488</v>
      </c>
      <c r="AR193">
        <f>'2026_Fantasy_Hitters'!U164</f>
        <v>26.706548687338149</v>
      </c>
      <c r="AS193">
        <f>'2026_Fantasy_Hitters'!V164</f>
        <v>0.22379995191419541</v>
      </c>
      <c r="AT193">
        <f>'2026_Fantasy_Hitters'!W164</f>
        <v>0.2954613651097403</v>
      </c>
      <c r="AU193">
        <f>'2026_Fantasy_Hitters'!X164</f>
        <v>0.3170968739999851</v>
      </c>
      <c r="AV193">
        <f>'2026_Fantasy_Hitters'!Y164</f>
        <v>0.6125582391097254</v>
      </c>
      <c r="AW193">
        <f>'2026_Fantasy_Hitters'!Z164</f>
        <v>0.27860000000000001</v>
      </c>
      <c r="AX193">
        <f>'2026_Fantasy_Hitters'!AA164</f>
        <v>0.219749999999999</v>
      </c>
      <c r="AY193">
        <f>'2026_Fantasy_Hitters'!AB164</f>
        <v>7.3200000000000001E-2</v>
      </c>
      <c r="AZ193">
        <f t="shared" si="65"/>
        <v>1.415958E-2</v>
      </c>
    </row>
    <row r="194" spans="1:52">
      <c r="A194" t="s">
        <v>878</v>
      </c>
      <c r="B194" t="s">
        <v>692</v>
      </c>
      <c r="C194" t="s">
        <v>879</v>
      </c>
      <c r="D194">
        <v>431</v>
      </c>
      <c r="E194">
        <v>487</v>
      </c>
      <c r="F194" s="6">
        <f t="shared" ref="F194:F257" si="66">G194+H194+I194+J194+K194+L194+M194+N194+O194+P194</f>
        <v>-7.4324419078636463</v>
      </c>
      <c r="G194" s="5">
        <f t="shared" ref="G194:G220" si="67">(R194-R$221)/R$222</f>
        <v>-1.0597646824591052</v>
      </c>
      <c r="H194" s="5">
        <f t="shared" ref="H194:H220" si="68">(S194-S$221)/S$222</f>
        <v>-0.65287958133327906</v>
      </c>
      <c r="I194" s="5">
        <f t="shared" ref="I194:I220" si="69">(T194-T$221)/T$222</f>
        <v>-1.254412247803165</v>
      </c>
      <c r="J194" s="5">
        <f t="shared" ref="J194:J220" si="70">(U194-U$221)/U$222</f>
        <v>-1.04543761217412</v>
      </c>
      <c r="K194" s="5">
        <f t="shared" ref="K194:K220" si="71">(V194-V$221)/V$222</f>
        <v>-0.31919838567849806</v>
      </c>
      <c r="L194" s="5">
        <f t="shared" ref="L194:L220" si="72">(W194-W$221)/W$222</f>
        <v>0.17210626202230012</v>
      </c>
      <c r="M194" s="5">
        <f t="shared" ref="M194:M220" si="73">(X194-X$221)/X$222</f>
        <v>-0.48822898548950094</v>
      </c>
      <c r="N194" s="5">
        <f t="shared" ref="N194:N220" si="74">(Y194-Y$221)/Y$222</f>
        <v>-1.4909169630946062</v>
      </c>
      <c r="O194" s="5">
        <f t="shared" ref="O194:O220" si="75">(Z194-Z$221)/Z$222</f>
        <v>8.8377369040033696E-2</v>
      </c>
      <c r="P194" s="1">
        <f t="shared" ref="P194:P220" si="76">(AA194-AA$221)/AA$222</f>
        <v>-1.3820870808937049</v>
      </c>
      <c r="R194">
        <f t="shared" ref="R194:R220" si="77">(AH194-AVERAGE(AH$2:AH$220))/AVERAGE(AH$2:AH$220)*100+100</f>
        <v>74.946207636228365</v>
      </c>
      <c r="S194">
        <f t="shared" ref="S194:S220" si="78">(AC194-AVERAGE(AC$2:AC$220))/AVERAGE(AC$2:AC$220)*100+100</f>
        <v>86.705879786245447</v>
      </c>
      <c r="T194">
        <f t="shared" ref="T194:T220" si="79">(AG194-AVERAGE(AG$2:AG$220))/AVERAGE(AG$2:AG$220)*100+100</f>
        <v>44.510029414342448</v>
      </c>
      <c r="U194">
        <f t="shared" ref="U194:U220" si="80">(AI194-AVERAGE(AI$2:AI$220))/AVERAGE(AI$2:AI$220)*100+100</f>
        <v>73.101853291821556</v>
      </c>
      <c r="V194">
        <f t="shared" ref="V194:V220" si="81">(AJ194-AVERAGE(AJ$2:AJ$220))/AVERAGE(AJ$2:AJ$220)*100+100</f>
        <v>88.44785220150014</v>
      </c>
      <c r="W194">
        <f t="shared" ref="W194:W220" si="82">(AM194-AVERAGE(AM$2:AM$220))/AVERAGE(AM$2:AM$220)*100+100</f>
        <v>108.36788316989913</v>
      </c>
      <c r="X194">
        <f t="shared" ref="X194:X220" si="83">(AS194-AVERAGE(AS$2:AS$220))/AVERAGE(AS$2:AS$220)*100+100</f>
        <v>96.777764571223926</v>
      </c>
      <c r="Y194">
        <f t="shared" ref="Y194:Y220" si="84">(AU194-AVERAGE(AU$2:AU$220))/AVERAGE(AU$2:AU$220)*100+100</f>
        <v>83.607635818602546</v>
      </c>
      <c r="Z194">
        <f t="shared" ref="Z194:Z220" si="85">(AR194-AVERAGE(AR$2:AR$220))/AVERAGE(AR$2:AR$220)*100+100</f>
        <v>108.12623508449593</v>
      </c>
      <c r="AA194">
        <f t="shared" ref="AA194:AA220" si="86">(AZ194-AVERAGE(AZ$2:AZ$220))/AVERAGE(AZ$2:AZ$220)*100+100</f>
        <v>49.803272949722086</v>
      </c>
      <c r="AC194">
        <f>'2026_Fantasy_Hitters'!F133</f>
        <v>104.81039258270999</v>
      </c>
      <c r="AD194">
        <f>'2026_Fantasy_Hitters'!G133</f>
        <v>73.058693393801818</v>
      </c>
      <c r="AE194">
        <f>'2026_Fantasy_Hitters'!H133</f>
        <v>21.430336346536375</v>
      </c>
      <c r="AF194">
        <f>'2026_Fantasy_Hitters'!I133</f>
        <v>1.1907440542932912</v>
      </c>
      <c r="AG194">
        <f>'2026_Fantasy_Hitters'!J133</f>
        <v>8.3818933599999994</v>
      </c>
      <c r="AH194">
        <f>'2026_Fantasy_Hitters'!K133</f>
        <v>50.237894736842058</v>
      </c>
      <c r="AI194">
        <f>'2026_Fantasy_Hitters'!L133</f>
        <v>48.000000809999996</v>
      </c>
      <c r="AJ194">
        <f>'2026_Fantasy_Hitters'!M133</f>
        <v>41.5411</v>
      </c>
      <c r="AK194">
        <f>'2026_Fantasy_Hitters'!N133</f>
        <v>0.93143133</v>
      </c>
      <c r="AL194">
        <f>'2026_Fantasy_Hitters'!O133</f>
        <v>84.957149999999999</v>
      </c>
      <c r="AM194">
        <f>'2026_Fantasy_Hitters'!P133</f>
        <v>6.2364197299999997</v>
      </c>
      <c r="AN194">
        <f>'2026_Fantasy_Hitters'!Q133</f>
        <v>3.0757897299999999</v>
      </c>
      <c r="AO194">
        <f>'2026_Fantasy_Hitters'!R133</f>
        <v>0.90000035</v>
      </c>
      <c r="AP194">
        <f>'2026_Fantasy_Hitters'!S133</f>
        <v>10.960575139146552</v>
      </c>
      <c r="AQ194">
        <f>'2026_Fantasy_Hitters'!T133</f>
        <v>2.3474471399999999</v>
      </c>
      <c r="AR194">
        <f>'2026_Fantasy_Hitters'!U133</f>
        <v>8.6131279991465526</v>
      </c>
      <c r="AS194">
        <f>'2026_Fantasy_Hitters'!V133</f>
        <v>0.24317956515709976</v>
      </c>
      <c r="AT194">
        <f>'2026_Fantasy_Hitters'!W133</f>
        <v>0.322148535328448</v>
      </c>
      <c r="AU194">
        <f>'2026_Fantasy_Hitters'!X133</f>
        <v>0.35503288095070634</v>
      </c>
      <c r="AV194">
        <f>'2026_Fantasy_Hitters'!Y133</f>
        <v>0.67718141627915429</v>
      </c>
      <c r="AW194">
        <f>'2026_Fantasy_Hitters'!Z133</f>
        <v>0.28299999999999997</v>
      </c>
      <c r="AX194">
        <f>'2026_Fantasy_Hitters'!AA133</f>
        <v>0.17444999999999999</v>
      </c>
      <c r="AY194">
        <f>'2026_Fantasy_Hitters'!AB133</f>
        <v>8.5300000000000001E-2</v>
      </c>
      <c r="AZ194">
        <f t="shared" ref="AZ194:AZ220" si="87">AG194/$E194</f>
        <v>1.7211279999999999E-2</v>
      </c>
    </row>
    <row r="195" spans="1:52">
      <c r="A195" t="s">
        <v>895</v>
      </c>
      <c r="B195" t="s">
        <v>27</v>
      </c>
      <c r="C195" t="s">
        <v>896</v>
      </c>
      <c r="D195">
        <v>403</v>
      </c>
      <c r="E195">
        <v>441</v>
      </c>
      <c r="F195" s="6">
        <f t="shared" si="66"/>
        <v>-7.5895720971015361</v>
      </c>
      <c r="G195" s="5">
        <f t="shared" si="67"/>
        <v>-0.7513707022888223</v>
      </c>
      <c r="H195" s="5">
        <f t="shared" si="68"/>
        <v>-0.95036295306317997</v>
      </c>
      <c r="I195" s="5">
        <f t="shared" si="69"/>
        <v>-0.92541804384016424</v>
      </c>
      <c r="J195" s="5">
        <f t="shared" si="70"/>
        <v>-0.9270536897628836</v>
      </c>
      <c r="K195" s="5">
        <f t="shared" si="71"/>
        <v>-1.1026585323062514</v>
      </c>
      <c r="L195" s="5">
        <f t="shared" si="72"/>
        <v>-0.58851076893598731</v>
      </c>
      <c r="M195" s="5">
        <f t="shared" si="73"/>
        <v>-0.56502199278912468</v>
      </c>
      <c r="N195" s="5">
        <f t="shared" si="74"/>
        <v>-0.95305473839087618</v>
      </c>
      <c r="O195" s="5">
        <f t="shared" si="75"/>
        <v>-8.2189585404311191E-2</v>
      </c>
      <c r="P195" s="1">
        <f t="shared" si="76"/>
        <v>-0.74393109031993587</v>
      </c>
      <c r="R195">
        <f t="shared" si="77"/>
        <v>82.23691931336667</v>
      </c>
      <c r="S195">
        <f t="shared" si="78"/>
        <v>80.648438539125877</v>
      </c>
      <c r="T195">
        <f t="shared" si="79"/>
        <v>59.063362046999721</v>
      </c>
      <c r="U195">
        <f t="shared" si="80"/>
        <v>76.147762560653817</v>
      </c>
      <c r="V195">
        <f t="shared" si="81"/>
        <v>60.09355025589452</v>
      </c>
      <c r="W195">
        <f t="shared" si="82"/>
        <v>71.386344106144335</v>
      </c>
      <c r="X195">
        <f t="shared" si="83"/>
        <v>96.270942657414324</v>
      </c>
      <c r="Y195">
        <f t="shared" si="84"/>
        <v>89.521334357828735</v>
      </c>
      <c r="Z195">
        <f t="shared" si="85"/>
        <v>92.442727139906793</v>
      </c>
      <c r="AA195">
        <f t="shared" si="86"/>
        <v>72.980786521166095</v>
      </c>
      <c r="AC195">
        <f>'2026_Fantasy_Hitters'!F136</f>
        <v>97.488134891276971</v>
      </c>
      <c r="AD195">
        <f>'2026_Fantasy_Hitters'!G136</f>
        <v>65.482396671074639</v>
      </c>
      <c r="AE195">
        <f>'2026_Fantasy_Hitters'!H136</f>
        <v>18.916290320513191</v>
      </c>
      <c r="AF195">
        <f>'2026_Fantasy_Hitters'!I136</f>
        <v>1.7978072196930088</v>
      </c>
      <c r="AG195">
        <f>'2026_Fantasy_Hitters'!J136</f>
        <v>11.122499999999979</v>
      </c>
      <c r="AH195">
        <f>'2026_Fantasy_Hitters'!K136</f>
        <v>55.125</v>
      </c>
      <c r="AI195">
        <f>'2026_Fantasy_Hitters'!L136</f>
        <v>49.999999999999901</v>
      </c>
      <c r="AJ195">
        <f>'2026_Fantasy_Hitters'!M136</f>
        <v>28.224</v>
      </c>
      <c r="AK195">
        <f>'2026_Fantasy_Hitters'!N136</f>
        <v>0.15034131000000001</v>
      </c>
      <c r="AL195">
        <f>'2026_Fantasy_Hitters'!O136</f>
        <v>76.954499999999996</v>
      </c>
      <c r="AM195">
        <f>'2026_Fantasy_Hitters'!P136</f>
        <v>4.1081840100000004</v>
      </c>
      <c r="AN195">
        <f>'2026_Fantasy_Hitters'!Q136</f>
        <v>3.0068173800000002</v>
      </c>
      <c r="AO195">
        <f>'2026_Fantasy_Hitters'!R136</f>
        <v>0.98750042999999998</v>
      </c>
      <c r="AP195">
        <f>'2026_Fantasy_Hitters'!S136</f>
        <v>9.1562499999999556</v>
      </c>
      <c r="AQ195">
        <f>'2026_Fantasy_Hitters'!T136</f>
        <v>1.7924400899999999</v>
      </c>
      <c r="AR195">
        <f>'2026_Fantasy_Hitters'!U136</f>
        <v>7.3638099099999561</v>
      </c>
      <c r="AS195">
        <f>'2026_Fantasy_Hitters'!V136</f>
        <v>0.24190604191383863</v>
      </c>
      <c r="AT195">
        <f>'2026_Fantasy_Hitters'!W136</f>
        <v>0.29920878843649779</v>
      </c>
      <c r="AU195">
        <f>'2026_Fantasy_Hitters'!X136</f>
        <v>0.38014491059846145</v>
      </c>
      <c r="AV195">
        <f>'2026_Fantasy_Hitters'!Y136</f>
        <v>0.67935369903495924</v>
      </c>
      <c r="AW195">
        <f>'2026_Fantasy_Hitters'!Z136</f>
        <v>0.27165</v>
      </c>
      <c r="AX195">
        <f>'2026_Fantasy_Hitters'!AA136</f>
        <v>0.17449999999999999</v>
      </c>
      <c r="AY195">
        <f>'2026_Fantasy_Hitters'!AB136</f>
        <v>6.4000000000000001E-2</v>
      </c>
      <c r="AZ195">
        <f t="shared" si="87"/>
        <v>2.5221088435374104E-2</v>
      </c>
    </row>
    <row r="196" spans="1:52">
      <c r="A196" t="s">
        <v>971</v>
      </c>
      <c r="B196" t="s">
        <v>107</v>
      </c>
      <c r="C196" t="s">
        <v>87</v>
      </c>
      <c r="D196">
        <v>384</v>
      </c>
      <c r="E196">
        <v>424</v>
      </c>
      <c r="F196" s="6">
        <f t="shared" si="66"/>
        <v>-7.7131579370402639</v>
      </c>
      <c r="G196" s="5">
        <f t="shared" si="67"/>
        <v>-1.2500312720883031</v>
      </c>
      <c r="H196" s="5">
        <f t="shared" si="68"/>
        <v>-1.2430821167170465</v>
      </c>
      <c r="I196" s="5">
        <f t="shared" si="69"/>
        <v>-0.44026109188258461</v>
      </c>
      <c r="J196" s="5">
        <f t="shared" si="70"/>
        <v>-0.63109376387101446</v>
      </c>
      <c r="K196" s="5">
        <f t="shared" si="71"/>
        <v>-0.90475058438547584</v>
      </c>
      <c r="L196" s="5">
        <f t="shared" si="72"/>
        <v>-0.94425570155918304</v>
      </c>
      <c r="M196" s="5">
        <f t="shared" si="73"/>
        <v>-0.97467908046626872</v>
      </c>
      <c r="N196" s="5">
        <f t="shared" si="74"/>
        <v>-0.55998051386938752</v>
      </c>
      <c r="O196" s="5">
        <f t="shared" si="75"/>
        <v>-0.86107440490120335</v>
      </c>
      <c r="P196" s="1">
        <f t="shared" si="76"/>
        <v>9.6050592700203566E-2</v>
      </c>
      <c r="R196">
        <f t="shared" si="77"/>
        <v>70.448133951349917</v>
      </c>
      <c r="S196">
        <f t="shared" si="78"/>
        <v>74.688007455437671</v>
      </c>
      <c r="T196">
        <f t="shared" si="79"/>
        <v>80.524683905663323</v>
      </c>
      <c r="U196">
        <f t="shared" si="80"/>
        <v>83.762538816719058</v>
      </c>
      <c r="V196">
        <f t="shared" si="81"/>
        <v>67.256060993593962</v>
      </c>
      <c r="W196">
        <f t="shared" si="82"/>
        <v>54.089866921085076</v>
      </c>
      <c r="X196">
        <f t="shared" si="83"/>
        <v>93.567269543375261</v>
      </c>
      <c r="Y196">
        <f t="shared" si="84"/>
        <v>93.843114844719423</v>
      </c>
      <c r="Z196">
        <f t="shared" si="85"/>
        <v>20.824832018930778</v>
      </c>
      <c r="AA196">
        <f t="shared" si="86"/>
        <v>103.488510565971</v>
      </c>
      <c r="AC196">
        <f>'2026_Fantasy_Hitters'!F149</f>
        <v>90.283143449131998</v>
      </c>
      <c r="AD196">
        <f>'2026_Fantasy_Hitters'!G149</f>
        <v>56.339370606849002</v>
      </c>
      <c r="AE196">
        <f>'2026_Fantasy_Hitters'!H149</f>
        <v>17.79138019163646</v>
      </c>
      <c r="AF196">
        <f>'2026_Fantasy_Hitters'!I149</f>
        <v>0.14826118530576762</v>
      </c>
      <c r="AG196">
        <f>'2026_Fantasy_Hitters'!J149</f>
        <v>15.16398264</v>
      </c>
      <c r="AH196">
        <f>'2026_Fantasy_Hitters'!K149</f>
        <v>47.222748815165708</v>
      </c>
      <c r="AI196">
        <f>'2026_Fantasy_Hitters'!L149</f>
        <v>54.999999999999801</v>
      </c>
      <c r="AJ196">
        <f>'2026_Fantasy_Hitters'!M149</f>
        <v>31.587999999999997</v>
      </c>
      <c r="AK196">
        <f>'2026_Fantasy_Hitters'!N149</f>
        <v>1.9534782400000001</v>
      </c>
      <c r="AL196">
        <f>'2026_Fantasy_Hitters'!O149</f>
        <v>103.5196</v>
      </c>
      <c r="AM196">
        <f>'2026_Fantasy_Hitters'!P149</f>
        <v>3.1127959999999999</v>
      </c>
      <c r="AN196">
        <f>'2026_Fantasy_Hitters'!Q149</f>
        <v>3.0142159999999998</v>
      </c>
      <c r="AO196">
        <f>'2026_Fantasy_Hitters'!R149</f>
        <v>0.89999935999999991</v>
      </c>
      <c r="AP196">
        <f>'2026_Fantasy_Hitters'!S149</f>
        <v>2.7340198399999998</v>
      </c>
      <c r="AQ196">
        <f>'2026_Fantasy_Hitters'!T149</f>
        <v>1.0751537599999998</v>
      </c>
      <c r="AR196">
        <f>'2026_Fantasy_Hitters'!U149</f>
        <v>1.6588660799999999</v>
      </c>
      <c r="AS196">
        <f>'2026_Fantasy_Hitters'!V149</f>
        <v>0.23511235273211459</v>
      </c>
      <c r="AT196">
        <f>'2026_Fantasy_Hitters'!W149</f>
        <v>0.30183259774552518</v>
      </c>
      <c r="AU196">
        <f>'2026_Fantasy_Hitters'!X149</f>
        <v>0.39849699246364384</v>
      </c>
      <c r="AV196">
        <f>'2026_Fantasy_Hitters'!Y149</f>
        <v>0.70032959020916907</v>
      </c>
      <c r="AW196">
        <f>'2026_Fantasy_Hitters'!Z149</f>
        <v>0.27994999999999998</v>
      </c>
      <c r="AX196">
        <f>'2026_Fantasy_Hitters'!AA149</f>
        <v>0.24415000000000001</v>
      </c>
      <c r="AY196">
        <f>'2026_Fantasy_Hitters'!AB149</f>
        <v>7.4499999999999997E-2</v>
      </c>
      <c r="AZ196">
        <f t="shared" si="87"/>
        <v>3.5764110000000002E-2</v>
      </c>
    </row>
    <row r="197" spans="1:52">
      <c r="A197" t="s">
        <v>1349</v>
      </c>
      <c r="B197" t="s">
        <v>1350</v>
      </c>
      <c r="C197" t="s">
        <v>879</v>
      </c>
      <c r="D197">
        <v>464</v>
      </c>
      <c r="E197">
        <v>531</v>
      </c>
      <c r="F197" s="6">
        <f t="shared" si="66"/>
        <v>-7.8538359778551694</v>
      </c>
      <c r="G197" s="5">
        <f t="shared" si="67"/>
        <v>-0.72626722281213074</v>
      </c>
      <c r="H197" s="5">
        <f t="shared" si="68"/>
        <v>-0.21446463623031389</v>
      </c>
      <c r="I197" s="5">
        <f t="shared" si="69"/>
        <v>-1.7403125440735507</v>
      </c>
      <c r="J197" s="5">
        <f t="shared" si="70"/>
        <v>-1.5781654539188612</v>
      </c>
      <c r="K197" s="5">
        <f t="shared" si="71"/>
        <v>0.20462818313594722</v>
      </c>
      <c r="L197" s="5">
        <f t="shared" si="72"/>
        <v>0.50214727364746969</v>
      </c>
      <c r="M197" s="5">
        <f t="shared" si="73"/>
        <v>-0.12874134456919054</v>
      </c>
      <c r="N197" s="5">
        <f t="shared" si="74"/>
        <v>-2.1850505089355119</v>
      </c>
      <c r="O197" s="5">
        <f t="shared" si="75"/>
        <v>0.11542045690181282</v>
      </c>
      <c r="P197" s="1">
        <f t="shared" si="76"/>
        <v>-2.1030301810008392</v>
      </c>
      <c r="R197">
        <f t="shared" si="77"/>
        <v>82.830388196437795</v>
      </c>
      <c r="S197">
        <f t="shared" si="78"/>
        <v>95.633009919191409</v>
      </c>
      <c r="T197">
        <f t="shared" si="79"/>
        <v>23.015825100867943</v>
      </c>
      <c r="U197">
        <f t="shared" si="80"/>
        <v>59.395256670545059</v>
      </c>
      <c r="V197">
        <f t="shared" si="81"/>
        <v>107.40572359192882</v>
      </c>
      <c r="W197">
        <f t="shared" si="82"/>
        <v>124.41462425940638</v>
      </c>
      <c r="X197">
        <f t="shared" si="83"/>
        <v>99.15032713347982</v>
      </c>
      <c r="Y197">
        <f t="shared" si="84"/>
        <v>75.975762176001311</v>
      </c>
      <c r="Z197">
        <f t="shared" si="85"/>
        <v>110.61282743005385</v>
      </c>
      <c r="AA197">
        <f t="shared" si="86"/>
        <v>23.618972036166014</v>
      </c>
      <c r="AC197">
        <f>'2026_Fantasy_Hitters'!F216</f>
        <v>115.60154095900999</v>
      </c>
      <c r="AD197">
        <f>'2026_Fantasy_Hitters'!G216</f>
        <v>91.343969127747286</v>
      </c>
      <c r="AE197">
        <f>'2026_Fantasy_Hitters'!H216</f>
        <v>18.961505043949252</v>
      </c>
      <c r="AF197">
        <f>'2026_Fantasy_Hitters'!I216</f>
        <v>1.0313457135364328</v>
      </c>
      <c r="AG197">
        <f>'2026_Fantasy_Hitters'!J216</f>
        <v>4.3342184700000006</v>
      </c>
      <c r="AH197">
        <f>'2026_Fantasy_Hitters'!K216</f>
        <v>55.522813688212636</v>
      </c>
      <c r="AI197">
        <f>'2026_Fantasy_Hitters'!L216</f>
        <v>39.000001230000002</v>
      </c>
      <c r="AJ197">
        <f>'2026_Fantasy_Hitters'!M216</f>
        <v>50.445</v>
      </c>
      <c r="AK197">
        <f>'2026_Fantasy_Hitters'!N216</f>
        <v>0</v>
      </c>
      <c r="AL197">
        <f>'2026_Fantasy_Hitters'!O216</f>
        <v>79.278299999999987</v>
      </c>
      <c r="AM197">
        <f>'2026_Fantasy_Hitters'!P216</f>
        <v>7.1598871800000001</v>
      </c>
      <c r="AN197">
        <f>'2026_Fantasy_Hitters'!Q216</f>
        <v>3.0285160200000001</v>
      </c>
      <c r="AO197">
        <f>'2026_Fantasy_Hitters'!R216</f>
        <v>1.9920411900000001</v>
      </c>
      <c r="AP197">
        <f>'2026_Fantasy_Hitters'!S216</f>
        <v>12.630650994575015</v>
      </c>
      <c r="AQ197">
        <f>'2026_Fantasy_Hitters'!T216</f>
        <v>3.8194458300000003</v>
      </c>
      <c r="AR197">
        <f>'2026_Fantasy_Hitters'!U216</f>
        <v>8.8112051645750142</v>
      </c>
      <c r="AS197">
        <f>'2026_Fantasy_Hitters'!V216</f>
        <v>0.24914125206683188</v>
      </c>
      <c r="AT197">
        <f>'2026_Fantasy_Hitters'!W216</f>
        <v>0.33471554152409161</v>
      </c>
      <c r="AU197">
        <f>'2026_Fantasy_Hitters'!X216</f>
        <v>0.32262476344020496</v>
      </c>
      <c r="AV197">
        <f>'2026_Fantasy_Hitters'!Y216</f>
        <v>0.65734030496429652</v>
      </c>
      <c r="AW197">
        <f>'2026_Fantasy_Hitters'!Z216</f>
        <v>0.29020000000000001</v>
      </c>
      <c r="AX197">
        <f>'2026_Fantasy_Hitters'!AA216</f>
        <v>0.14929999999999999</v>
      </c>
      <c r="AY197">
        <f>'2026_Fantasy_Hitters'!AB216</f>
        <v>9.5000000000000001E-2</v>
      </c>
      <c r="AZ197">
        <f t="shared" si="87"/>
        <v>8.1623700000000004E-3</v>
      </c>
    </row>
    <row r="198" spans="1:52">
      <c r="A198" t="s">
        <v>790</v>
      </c>
      <c r="B198" t="s">
        <v>19</v>
      </c>
      <c r="C198" t="s">
        <v>49</v>
      </c>
      <c r="D198">
        <v>415</v>
      </c>
      <c r="E198">
        <v>474</v>
      </c>
      <c r="F198" s="6">
        <f t="shared" si="66"/>
        <v>-8.0405627896531868</v>
      </c>
      <c r="G198" s="5">
        <f t="shared" si="67"/>
        <v>-0.86495719867376186</v>
      </c>
      <c r="H198" s="5">
        <f t="shared" si="68"/>
        <v>-1.322464938292905</v>
      </c>
      <c r="I198" s="5">
        <f t="shared" si="69"/>
        <v>-0.25482042999899568</v>
      </c>
      <c r="J198" s="5">
        <f t="shared" si="70"/>
        <v>-0.86786170458452416</v>
      </c>
      <c r="K198" s="5">
        <f t="shared" si="71"/>
        <v>0.38800483999357477</v>
      </c>
      <c r="L198" s="5">
        <f t="shared" si="72"/>
        <v>-0.99663048522555875</v>
      </c>
      <c r="M198" s="5">
        <f t="shared" si="73"/>
        <v>-2.3176049441901205</v>
      </c>
      <c r="N198" s="5">
        <f t="shared" si="74"/>
        <v>-0.93398501318054372</v>
      </c>
      <c r="O198" s="5">
        <f t="shared" si="75"/>
        <v>-0.92537565650869025</v>
      </c>
      <c r="P198" s="1">
        <f t="shared" si="76"/>
        <v>5.5132741008339876E-2</v>
      </c>
      <c r="R198">
        <f t="shared" si="77"/>
        <v>79.551632152113882</v>
      </c>
      <c r="S198">
        <f t="shared" si="78"/>
        <v>73.071591805278473</v>
      </c>
      <c r="T198">
        <f t="shared" si="79"/>
        <v>88.727806038220734</v>
      </c>
      <c r="U198">
        <f t="shared" si="80"/>
        <v>77.670717811866496</v>
      </c>
      <c r="V198">
        <f t="shared" si="81"/>
        <v>114.04233059829303</v>
      </c>
      <c r="W198">
        <f t="shared" si="82"/>
        <v>51.543381594989349</v>
      </c>
      <c r="X198">
        <f t="shared" si="83"/>
        <v>84.704167546323106</v>
      </c>
      <c r="Y198">
        <f t="shared" si="84"/>
        <v>89.73100256083724</v>
      </c>
      <c r="Z198">
        <f t="shared" si="85"/>
        <v>14.912378497565342</v>
      </c>
      <c r="AA198">
        <f t="shared" si="86"/>
        <v>102.00239419801241</v>
      </c>
      <c r="AC198">
        <f>'2026_Fantasy_Hitters'!F118</f>
        <v>88.329214150592122</v>
      </c>
      <c r="AD198">
        <f>'2026_Fantasy_Hitters'!G118</f>
        <v>54.633454925683765</v>
      </c>
      <c r="AE198">
        <f>'2026_Fantasy_Hitters'!H118</f>
        <v>16.796127708666397</v>
      </c>
      <c r="AF198">
        <f>'2026_Fantasy_Hitters'!I118</f>
        <v>1.0229710659957976</v>
      </c>
      <c r="AG198">
        <f>'2026_Fantasy_Hitters'!J118</f>
        <v>16.70875122</v>
      </c>
      <c r="AH198">
        <f>'2026_Fantasy_Hitters'!K118</f>
        <v>53.325000000000003</v>
      </c>
      <c r="AI198">
        <f>'2026_Fantasy_Hitters'!L118</f>
        <v>50.999999999999638</v>
      </c>
      <c r="AJ198">
        <f>'2026_Fantasy_Hitters'!M118</f>
        <v>53.562000000000005</v>
      </c>
      <c r="AK198">
        <f>'2026_Fantasy_Hitters'!N118</f>
        <v>1.7991475800000001</v>
      </c>
      <c r="AL198">
        <f>'2026_Fantasy_Hitters'!O118</f>
        <v>151.18229999999954</v>
      </c>
      <c r="AM198">
        <f>'2026_Fantasy_Hitters'!P118</f>
        <v>2.9662493400000001</v>
      </c>
      <c r="AN198">
        <f>'2026_Fantasy_Hitters'!Q118</f>
        <v>2.9625000000000004</v>
      </c>
      <c r="AO198">
        <f>'2026_Fantasy_Hitters'!R118</f>
        <v>0</v>
      </c>
      <c r="AP198">
        <f>'2026_Fantasy_Hitters'!S118</f>
        <v>2.9755113</v>
      </c>
      <c r="AQ198">
        <f>'2026_Fantasy_Hitters'!T118</f>
        <v>1.7876199000000002</v>
      </c>
      <c r="AR198">
        <f>'2026_Fantasy_Hitters'!U118</f>
        <v>1.1878913999999998</v>
      </c>
      <c r="AS198">
        <f>'2026_Fantasy_Hitters'!V118</f>
        <v>0.21284147988094487</v>
      </c>
      <c r="AT198">
        <f>'2026_Fantasy_Hitters'!W118</f>
        <v>0.30984425101178703</v>
      </c>
      <c r="AU198">
        <f>'2026_Fantasy_Hitters'!X118</f>
        <v>0.38103524920723847</v>
      </c>
      <c r="AV198">
        <f>'2026_Fantasy_Hitters'!Y118</f>
        <v>0.69087950021902556</v>
      </c>
      <c r="AW198">
        <f>'2026_Fantasy_Hitters'!Z118</f>
        <v>0.28639999999999999</v>
      </c>
      <c r="AX198">
        <f>'2026_Fantasy_Hitters'!AA118</f>
        <v>0.31894999999999901</v>
      </c>
      <c r="AY198">
        <f>'2026_Fantasy_Hitters'!AB118</f>
        <v>0.113</v>
      </c>
      <c r="AZ198">
        <f t="shared" si="87"/>
        <v>3.5250530000000002E-2</v>
      </c>
    </row>
    <row r="199" spans="1:52">
      <c r="A199" t="s">
        <v>1348</v>
      </c>
      <c r="B199" t="s">
        <v>200</v>
      </c>
      <c r="C199" t="s">
        <v>20</v>
      </c>
      <c r="D199">
        <v>382</v>
      </c>
      <c r="E199">
        <v>427</v>
      </c>
      <c r="F199" s="6">
        <f t="shared" si="66"/>
        <v>-8.4242568017426436</v>
      </c>
      <c r="G199" s="5">
        <f t="shared" si="67"/>
        <v>-1.1466708605549669</v>
      </c>
      <c r="H199" s="5">
        <f t="shared" si="68"/>
        <v>-1.1556617873976018</v>
      </c>
      <c r="I199" s="5">
        <f t="shared" si="69"/>
        <v>-1.1077377736210521</v>
      </c>
      <c r="J199" s="5">
        <f t="shared" si="70"/>
        <v>-1.2822056008331386</v>
      </c>
      <c r="K199" s="5">
        <f t="shared" si="71"/>
        <v>-0.65295331414144486</v>
      </c>
      <c r="L199" s="5">
        <f t="shared" si="72"/>
        <v>-0.13402600763424252</v>
      </c>
      <c r="M199" s="5">
        <f t="shared" si="73"/>
        <v>-0.56079154516365448</v>
      </c>
      <c r="N199" s="5">
        <f t="shared" si="74"/>
        <v>-0.95887668913461022</v>
      </c>
      <c r="O199" s="5">
        <f t="shared" si="75"/>
        <v>-0.46390457137511043</v>
      </c>
      <c r="P199" s="1">
        <f t="shared" si="76"/>
        <v>-0.96142865188682303</v>
      </c>
      <c r="R199">
        <f t="shared" si="77"/>
        <v>72.891667248931867</v>
      </c>
      <c r="S199">
        <f t="shared" si="78"/>
        <v>76.468085130290632</v>
      </c>
      <c r="T199">
        <f t="shared" si="79"/>
        <v>50.998296945439897</v>
      </c>
      <c r="U199">
        <f t="shared" si="80"/>
        <v>67.010031053375215</v>
      </c>
      <c r="V199">
        <f t="shared" si="81"/>
        <v>76.368886783532616</v>
      </c>
      <c r="W199">
        <f t="shared" si="82"/>
        <v>93.48359577139594</v>
      </c>
      <c r="X199">
        <f t="shared" si="83"/>
        <v>96.298862954290399</v>
      </c>
      <c r="Y199">
        <f t="shared" si="84"/>
        <v>89.457323055254676</v>
      </c>
      <c r="Z199">
        <f t="shared" si="85"/>
        <v>57.344310599936456</v>
      </c>
      <c r="AA199">
        <f t="shared" si="86"/>
        <v>65.081381423612953</v>
      </c>
      <c r="AC199">
        <f>'2026_Fantasy_Hitters'!F215</f>
        <v>92.434908016760005</v>
      </c>
      <c r="AD199">
        <f>'2026_Fantasy_Hitters'!G215</f>
        <v>62.766446387628122</v>
      </c>
      <c r="AE199">
        <f>'2026_Fantasy_Hitters'!H215</f>
        <v>18.937897631759178</v>
      </c>
      <c r="AF199">
        <f>'2026_Fantasy_Hitters'!I215</f>
        <v>2.0181203672959716</v>
      </c>
      <c r="AG199">
        <f>'2026_Fantasy_Hitters'!J215</f>
        <v>9.6037295900000004</v>
      </c>
      <c r="AH199">
        <f>'2026_Fantasy_Hitters'!K215</f>
        <v>48.860696517412762</v>
      </c>
      <c r="AI199">
        <f>'2026_Fantasy_Hitters'!L215</f>
        <v>43.999999999999815</v>
      </c>
      <c r="AJ199">
        <f>'2026_Fantasy_Hitters'!M215</f>
        <v>35.868000000000002</v>
      </c>
      <c r="AK199">
        <f>'2026_Fantasy_Hitters'!N215</f>
        <v>0.25932991</v>
      </c>
      <c r="AL199">
        <f>'2026_Fantasy_Hitters'!O215</f>
        <v>111.06269999999999</v>
      </c>
      <c r="AM199">
        <f>'2026_Fantasy_Hitters'!P215</f>
        <v>5.3798498600000002</v>
      </c>
      <c r="AN199">
        <f>'2026_Fantasy_Hitters'!Q215</f>
        <v>2.1243762400000001</v>
      </c>
      <c r="AO199">
        <f>'2026_Fantasy_Hitters'!R215</f>
        <v>0.90000070999999993</v>
      </c>
      <c r="AP199">
        <f>'2026_Fantasy_Hitters'!S215</f>
        <v>5.929687499999976</v>
      </c>
      <c r="AQ199">
        <f>'2026_Fantasy_Hitters'!T215</f>
        <v>1.3617499700000002</v>
      </c>
      <c r="AR199">
        <f>'2026_Fantasy_Hitters'!U215</f>
        <v>4.567937529999976</v>
      </c>
      <c r="AS199">
        <f>'2026_Fantasy_Hitters'!V215</f>
        <v>0.24197619899675393</v>
      </c>
      <c r="AT199">
        <f>'2026_Fantasy_Hitters'!W215</f>
        <v>0.31871872458015005</v>
      </c>
      <c r="AU199">
        <f>'2026_Fantasy_Hitters'!X215</f>
        <v>0.3798730919189382</v>
      </c>
      <c r="AV199">
        <f>'2026_Fantasy_Hitters'!Y215</f>
        <v>0.6985918164990883</v>
      </c>
      <c r="AW199">
        <f>'2026_Fantasy_Hitters'!Z215</f>
        <v>0.31440000000000001</v>
      </c>
      <c r="AX199">
        <f>'2026_Fantasy_Hitters'!AA215</f>
        <v>0.2601</v>
      </c>
      <c r="AY199">
        <f>'2026_Fantasy_Hitters'!AB215</f>
        <v>8.4000000000000005E-2</v>
      </c>
      <c r="AZ199">
        <f t="shared" si="87"/>
        <v>2.2491170000000001E-2</v>
      </c>
    </row>
    <row r="200" spans="1:52">
      <c r="A200" t="s">
        <v>1344</v>
      </c>
      <c r="B200" t="s">
        <v>74</v>
      </c>
      <c r="C200" t="s">
        <v>20</v>
      </c>
      <c r="D200">
        <v>374</v>
      </c>
      <c r="E200">
        <v>409</v>
      </c>
      <c r="F200" s="6">
        <f t="shared" si="66"/>
        <v>-8.5186369078361039</v>
      </c>
      <c r="G200" s="5">
        <f t="shared" si="67"/>
        <v>-1.496451802418054</v>
      </c>
      <c r="H200" s="5">
        <f t="shared" si="68"/>
        <v>-1.3431304797607049</v>
      </c>
      <c r="I200" s="5">
        <f t="shared" si="69"/>
        <v>-0.55680982130469725</v>
      </c>
      <c r="J200" s="5">
        <f t="shared" si="70"/>
        <v>-0.9270536897628836</v>
      </c>
      <c r="K200" s="5">
        <f t="shared" si="71"/>
        <v>-1.0306492195074912</v>
      </c>
      <c r="L200" s="5">
        <f t="shared" si="72"/>
        <v>-0.97743835459074835</v>
      </c>
      <c r="M200" s="5">
        <f t="shared" si="73"/>
        <v>-0.99265088304458304</v>
      </c>
      <c r="N200" s="5">
        <f t="shared" si="74"/>
        <v>-0.54718156531637896</v>
      </c>
      <c r="O200" s="5">
        <f t="shared" si="75"/>
        <v>-0.65869826457586211</v>
      </c>
      <c r="P200" s="1">
        <f t="shared" si="76"/>
        <v>1.1427172445300615E-2</v>
      </c>
      <c r="R200">
        <f t="shared" si="77"/>
        <v>64.622530491224893</v>
      </c>
      <c r="S200">
        <f t="shared" si="78"/>
        <v>72.650794156814385</v>
      </c>
      <c r="T200">
        <f t="shared" si="79"/>
        <v>75.369053785856323</v>
      </c>
      <c r="U200">
        <f t="shared" si="80"/>
        <v>76.147762560653817</v>
      </c>
      <c r="V200">
        <f t="shared" si="81"/>
        <v>62.699648098624635</v>
      </c>
      <c r="W200">
        <f t="shared" si="82"/>
        <v>52.47651154067794</v>
      </c>
      <c r="X200">
        <f t="shared" si="83"/>
        <v>93.448658439348421</v>
      </c>
      <c r="Y200">
        <f t="shared" si="84"/>
        <v>93.983836984860886</v>
      </c>
      <c r="Z200">
        <f t="shared" si="85"/>
        <v>39.433171570560788</v>
      </c>
      <c r="AA200">
        <f t="shared" si="86"/>
        <v>100.41502931625875</v>
      </c>
      <c r="AC200">
        <f>'2026_Fantasy_Hitters'!F212</f>
        <v>87.820552375379975</v>
      </c>
      <c r="AD200">
        <f>'2026_Fantasy_Hitters'!G212</f>
        <v>56.164423496433379</v>
      </c>
      <c r="AE200">
        <f>'2026_Fantasy_Hitters'!H212</f>
        <v>17.266797990588774</v>
      </c>
      <c r="AF200">
        <f>'2026_Fantasy_Hitters'!I212</f>
        <v>0.59697946958204173</v>
      </c>
      <c r="AG200">
        <f>'2026_Fantasy_Hitters'!J212</f>
        <v>14.193101639999998</v>
      </c>
      <c r="AH200">
        <f>'2026_Fantasy_Hitters'!K212</f>
        <v>43.317733969999999</v>
      </c>
      <c r="AI200">
        <f>'2026_Fantasy_Hitters'!L212</f>
        <v>49.999999999999901</v>
      </c>
      <c r="AJ200">
        <f>'2026_Fantasy_Hitters'!M212</f>
        <v>29.447999999999997</v>
      </c>
      <c r="AK200">
        <f>'2026_Fantasy_Hitters'!N212</f>
        <v>1.9389831099999999</v>
      </c>
      <c r="AL200">
        <f>'2026_Fantasy_Hitters'!O212</f>
        <v>94.458550000000002</v>
      </c>
      <c r="AM200">
        <f>'2026_Fantasy_Hitters'!P212</f>
        <v>3.01994966</v>
      </c>
      <c r="AN200">
        <f>'2026_Fantasy_Hitters'!Q212</f>
        <v>3.0221664399999999</v>
      </c>
      <c r="AO200">
        <f>'2026_Fantasy_Hitters'!R212</f>
        <v>0</v>
      </c>
      <c r="AP200">
        <f>'2026_Fantasy_Hitters'!S212</f>
        <v>4.1973067915690256</v>
      </c>
      <c r="AQ200">
        <f>'2026_Fantasy_Hitters'!T212</f>
        <v>1.0561361599999999</v>
      </c>
      <c r="AR200">
        <f>'2026_Fantasy_Hitters'!U212</f>
        <v>3.1411706315690258</v>
      </c>
      <c r="AS200">
        <f>'2026_Fantasy_Hitters'!V212</f>
        <v>0.23481431116411758</v>
      </c>
      <c r="AT200">
        <f>'2026_Fantasy_Hitters'!W212</f>
        <v>0.29927704920434484</v>
      </c>
      <c r="AU200">
        <f>'2026_Fantasy_Hitters'!X212</f>
        <v>0.39909455734320065</v>
      </c>
      <c r="AV200">
        <f>'2026_Fantasy_Hitters'!Y212</f>
        <v>0.69837160654754549</v>
      </c>
      <c r="AW200">
        <f>'2026_Fantasy_Hitters'!Z212</f>
        <v>0.27434999999999998</v>
      </c>
      <c r="AX200">
        <f>'2026_Fantasy_Hitters'!AA212</f>
        <v>0.23094999999999999</v>
      </c>
      <c r="AY200">
        <f>'2026_Fantasy_Hitters'!AB212</f>
        <v>7.1999999999999995E-2</v>
      </c>
      <c r="AZ200">
        <f t="shared" si="87"/>
        <v>3.4701959999999997E-2</v>
      </c>
    </row>
    <row r="201" spans="1:52">
      <c r="A201" t="s">
        <v>828</v>
      </c>
      <c r="B201" t="s">
        <v>293</v>
      </c>
      <c r="C201" t="s">
        <v>87</v>
      </c>
      <c r="D201">
        <v>381</v>
      </c>
      <c r="E201">
        <v>416</v>
      </c>
      <c r="F201" s="6">
        <f t="shared" si="66"/>
        <v>-8.6805609490998474</v>
      </c>
      <c r="G201" s="5">
        <f t="shared" si="67"/>
        <v>-1.5538740030020122</v>
      </c>
      <c r="H201" s="5">
        <f t="shared" si="68"/>
        <v>-1.1648264163310327</v>
      </c>
      <c r="I201" s="5">
        <f t="shared" si="69"/>
        <v>-0.9165808020924423</v>
      </c>
      <c r="J201" s="5">
        <f t="shared" si="70"/>
        <v>-0.98624567494126625</v>
      </c>
      <c r="K201" s="5">
        <f t="shared" si="71"/>
        <v>-1.3069202431210354</v>
      </c>
      <c r="L201" s="5">
        <f t="shared" si="72"/>
        <v>0.10634800622422866</v>
      </c>
      <c r="M201" s="5">
        <f t="shared" si="73"/>
        <v>-0.55819629226479817</v>
      </c>
      <c r="N201" s="5">
        <f t="shared" si="74"/>
        <v>-0.63627664597104616</v>
      </c>
      <c r="O201" s="5">
        <f t="shared" si="75"/>
        <v>-1.0549145400407012</v>
      </c>
      <c r="P201" s="1">
        <f t="shared" si="76"/>
        <v>-0.60907433755974094</v>
      </c>
      <c r="R201">
        <f t="shared" si="77"/>
        <v>63.265017909126883</v>
      </c>
      <c r="S201">
        <f t="shared" si="78"/>
        <v>76.281472342513325</v>
      </c>
      <c r="T201">
        <f t="shared" si="79"/>
        <v>59.454284796277904</v>
      </c>
      <c r="U201">
        <f t="shared" si="80"/>
        <v>74.624807309440541</v>
      </c>
      <c r="V201">
        <f t="shared" si="81"/>
        <v>52.701089708542412</v>
      </c>
      <c r="W201">
        <f t="shared" si="82"/>
        <v>105.17068746354356</v>
      </c>
      <c r="X201">
        <f t="shared" si="83"/>
        <v>96.315991220095725</v>
      </c>
      <c r="Y201">
        <f t="shared" si="84"/>
        <v>93.004252578073505</v>
      </c>
      <c r="Z201">
        <f t="shared" si="85"/>
        <v>3.0013719627654893</v>
      </c>
      <c r="AA201">
        <f t="shared" si="86"/>
        <v>77.878717847470824</v>
      </c>
      <c r="AC201">
        <f>'2026_Fantasy_Hitters'!F125</f>
        <v>92.209329779204353</v>
      </c>
      <c r="AD201">
        <f>'2026_Fantasy_Hitters'!G125</f>
        <v>60.608010180873045</v>
      </c>
      <c r="AE201">
        <f>'2026_Fantasy_Hitters'!H125</f>
        <v>20.000137027105165</v>
      </c>
      <c r="AF201">
        <f>'2026_Fantasy_Hitters'!I125</f>
        <v>1.6924737728748271</v>
      </c>
      <c r="AG201">
        <f>'2026_Fantasy_Hitters'!J125</f>
        <v>11.19611650485432</v>
      </c>
      <c r="AH201">
        <f>'2026_Fantasy_Hitters'!K125</f>
        <v>42.407766990291044</v>
      </c>
      <c r="AI201">
        <f>'2026_Fantasy_Hitters'!L125</f>
        <v>48.999999999999773</v>
      </c>
      <c r="AJ201">
        <f>'2026_Fantasy_Hitters'!M125</f>
        <v>24.751999999999999</v>
      </c>
      <c r="AK201">
        <f>'2026_Fantasy_Hitters'!N125</f>
        <v>0.96869760000000005</v>
      </c>
      <c r="AL201">
        <f>'2026_Fantasy_Hitters'!O125</f>
        <v>103.41759999999999</v>
      </c>
      <c r="AM201">
        <f>'2026_Fantasy_Hitters'!P125</f>
        <v>6.0524256000000003</v>
      </c>
      <c r="AN201">
        <f>'2026_Fantasy_Hitters'!Q125</f>
        <v>3.0291248</v>
      </c>
      <c r="AO201">
        <f>'2026_Fantasy_Hitters'!R125</f>
        <v>0.89999935999999991</v>
      </c>
      <c r="AP201">
        <f>'2026_Fantasy_Hitters'!S125</f>
        <v>0.98908160000000001</v>
      </c>
      <c r="AQ201">
        <f>'2026_Fantasy_Hitters'!T125</f>
        <v>0.74999808000000001</v>
      </c>
      <c r="AR201">
        <f>'2026_Fantasy_Hitters'!U125</f>
        <v>0.23908351999999999</v>
      </c>
      <c r="AS201">
        <f>'2026_Fantasy_Hitters'!V125</f>
        <v>0.24201923826562821</v>
      </c>
      <c r="AT201">
        <f>'2026_Fantasy_Hitters'!W125</f>
        <v>0.30258085837111609</v>
      </c>
      <c r="AU201">
        <f>'2026_Fantasy_Hitters'!X125</f>
        <v>0.39493483352526282</v>
      </c>
      <c r="AV201">
        <f>'2026_Fantasy_Hitters'!Y125</f>
        <v>0.69751569189637896</v>
      </c>
      <c r="AW201">
        <f>'2026_Fantasy_Hitters'!Z125</f>
        <v>0.30069999999999902</v>
      </c>
      <c r="AX201">
        <f>'2026_Fantasy_Hitters'!AA125</f>
        <v>0.24859999999999999</v>
      </c>
      <c r="AY201">
        <f>'2026_Fantasy_Hitters'!AB125</f>
        <v>5.9499999999999997E-2</v>
      </c>
      <c r="AZ201">
        <f t="shared" si="87"/>
        <v>2.6913741598207499E-2</v>
      </c>
    </row>
    <row r="202" spans="1:52">
      <c r="A202" t="s">
        <v>929</v>
      </c>
      <c r="B202" t="s">
        <v>48</v>
      </c>
      <c r="C202" t="s">
        <v>20</v>
      </c>
      <c r="D202">
        <v>414</v>
      </c>
      <c r="E202">
        <v>462</v>
      </c>
      <c r="F202" s="6">
        <f t="shared" si="66"/>
        <v>-8.7377198161945362</v>
      </c>
      <c r="G202" s="5">
        <f t="shared" si="67"/>
        <v>-1.2629706482114258</v>
      </c>
      <c r="H202" s="5">
        <f t="shared" si="68"/>
        <v>-0.86921826353649423</v>
      </c>
      <c r="I202" s="5">
        <f t="shared" si="69"/>
        <v>-0.90182615199605454</v>
      </c>
      <c r="J202" s="5">
        <f t="shared" si="70"/>
        <v>-0.86786170458451362</v>
      </c>
      <c r="K202" s="5">
        <f t="shared" si="71"/>
        <v>-0.6213256944023815</v>
      </c>
      <c r="L202" s="5">
        <f t="shared" si="72"/>
        <v>-0.99895913082859045</v>
      </c>
      <c r="M202" s="5">
        <f t="shared" si="73"/>
        <v>-0.66168648945814357</v>
      </c>
      <c r="N202" s="5">
        <f t="shared" si="74"/>
        <v>-0.9341506153766429</v>
      </c>
      <c r="O202" s="5">
        <f t="shared" si="75"/>
        <v>-0.81834418004674325</v>
      </c>
      <c r="P202" s="1">
        <f t="shared" si="76"/>
        <v>-0.80137693775354468</v>
      </c>
      <c r="R202">
        <f t="shared" si="77"/>
        <v>70.14223543626332</v>
      </c>
      <c r="S202">
        <f t="shared" si="78"/>
        <v>82.300729846923545</v>
      </c>
      <c r="T202">
        <f t="shared" si="79"/>
        <v>60.10696903248818</v>
      </c>
      <c r="U202">
        <f t="shared" si="80"/>
        <v>77.670717811866766</v>
      </c>
      <c r="V202">
        <f t="shared" si="81"/>
        <v>77.513525836025849</v>
      </c>
      <c r="W202">
        <f t="shared" si="82"/>
        <v>51.430161807857232</v>
      </c>
      <c r="X202">
        <f t="shared" si="83"/>
        <v>95.632972001986246</v>
      </c>
      <c r="Y202">
        <f t="shared" si="84"/>
        <v>89.729181794439853</v>
      </c>
      <c r="Z202">
        <f t="shared" si="85"/>
        <v>24.753845251078715</v>
      </c>
      <c r="AA202">
        <f t="shared" si="86"/>
        <v>70.894381428708286</v>
      </c>
      <c r="AC202">
        <f>'2026_Fantasy_Hitters'!F142</f>
        <v>99.48543081928328</v>
      </c>
      <c r="AD202">
        <f>'2026_Fantasy_Hitters'!G142</f>
        <v>66.659403833269934</v>
      </c>
      <c r="AE202">
        <f>'2026_Fantasy_Hitters'!H142</f>
        <v>21.40964505098999</v>
      </c>
      <c r="AF202">
        <f>'2026_Fantasy_Hitters'!I142</f>
        <v>0.99686403476074759</v>
      </c>
      <c r="AG202">
        <f>'2026_Fantasy_Hitters'!J142</f>
        <v>11.31902654867255</v>
      </c>
      <c r="AH202">
        <f>'2026_Fantasy_Hitters'!K142</f>
        <v>47.017699115043882</v>
      </c>
      <c r="AI202">
        <f>'2026_Fantasy_Hitters'!L142</f>
        <v>50.999999999999815</v>
      </c>
      <c r="AJ202">
        <f>'2026_Fantasy_Hitters'!M142</f>
        <v>36.4056</v>
      </c>
      <c r="AK202">
        <f>'2026_Fantasy_Hitters'!N142</f>
        <v>0.25331922000000001</v>
      </c>
      <c r="AL202">
        <f>'2026_Fantasy_Hitters'!O142</f>
        <v>85.724099999999993</v>
      </c>
      <c r="AM202">
        <f>'2026_Fantasy_Hitters'!P142</f>
        <v>2.9597337000000001</v>
      </c>
      <c r="AN202">
        <f>'2026_Fantasy_Hitters'!Q142</f>
        <v>3.0663725400000001</v>
      </c>
      <c r="AO202">
        <f>'2026_Fantasy_Hitters'!R142</f>
        <v>0</v>
      </c>
      <c r="AP202">
        <f>'2026_Fantasy_Hitters'!S142</f>
        <v>2.9779411200000001</v>
      </c>
      <c r="AQ202">
        <f>'2026_Fantasy_Hitters'!T142</f>
        <v>1.0060974</v>
      </c>
      <c r="AR202">
        <f>'2026_Fantasy_Hitters'!U142</f>
        <v>1.9718437200000001</v>
      </c>
      <c r="AS202">
        <f>'2026_Fantasy_Hitters'!V142</f>
        <v>0.24030297299343786</v>
      </c>
      <c r="AT202">
        <f>'2026_Fantasy_Hitters'!W142</f>
        <v>0.30658216825361151</v>
      </c>
      <c r="AU202">
        <f>'2026_Fantasy_Hitters'!X142</f>
        <v>0.38102751747396701</v>
      </c>
      <c r="AV202">
        <f>'2026_Fantasy_Hitters'!Y142</f>
        <v>0.68760968572757852</v>
      </c>
      <c r="AW202">
        <f>'2026_Fantasy_Hitters'!Z142</f>
        <v>0.27550000000000002</v>
      </c>
      <c r="AX202">
        <f>'2026_Fantasy_Hitters'!AA142</f>
        <v>0.18554999999999999</v>
      </c>
      <c r="AY202">
        <f>'2026_Fantasy_Hitters'!AB142</f>
        <v>7.8799999999999995E-2</v>
      </c>
      <c r="AZ202">
        <f t="shared" si="87"/>
        <v>2.4500057464659199E-2</v>
      </c>
    </row>
    <row r="203" spans="1:52">
      <c r="A203" t="s">
        <v>1340</v>
      </c>
      <c r="B203" t="s">
        <v>116</v>
      </c>
      <c r="C203" t="s">
        <v>20</v>
      </c>
      <c r="D203">
        <v>372</v>
      </c>
      <c r="E203">
        <v>409</v>
      </c>
      <c r="F203" s="6">
        <f t="shared" si="66"/>
        <v>-8.7908246746767649</v>
      </c>
      <c r="G203" s="5">
        <f t="shared" si="67"/>
        <v>-1.0936279036850078</v>
      </c>
      <c r="H203" s="5">
        <f t="shared" si="68"/>
        <v>-0.89710102766202626</v>
      </c>
      <c r="I203" s="5">
        <f t="shared" si="69"/>
        <v>-1.641242909278418</v>
      </c>
      <c r="J203" s="5">
        <f t="shared" si="70"/>
        <v>-1.7557414798924489</v>
      </c>
      <c r="K203" s="5">
        <f t="shared" si="71"/>
        <v>-1.2063013479578657</v>
      </c>
      <c r="L203" s="5">
        <f t="shared" si="72"/>
        <v>-1.3191606101485909</v>
      </c>
      <c r="M203" s="5">
        <f t="shared" si="73"/>
        <v>0.86305475652057329</v>
      </c>
      <c r="N203" s="5">
        <f t="shared" si="74"/>
        <v>-1.2434723319729555</v>
      </c>
      <c r="O203" s="5">
        <f t="shared" si="75"/>
        <v>1.2510572057733502</v>
      </c>
      <c r="P203" s="1">
        <f t="shared" si="76"/>
        <v>-1.7482890263733739</v>
      </c>
      <c r="R203">
        <f t="shared" si="77"/>
        <v>74.145650562186631</v>
      </c>
      <c r="S203">
        <f t="shared" si="78"/>
        <v>81.732973052600755</v>
      </c>
      <c r="T203">
        <f t="shared" si="79"/>
        <v>27.398252911455117</v>
      </c>
      <c r="U203">
        <f t="shared" si="80"/>
        <v>54.826389104589062</v>
      </c>
      <c r="V203">
        <f t="shared" si="81"/>
        <v>56.342600444180754</v>
      </c>
      <c r="W203">
        <f t="shared" si="82"/>
        <v>35.8618231646563</v>
      </c>
      <c r="X203">
        <f t="shared" si="83"/>
        <v>105.69602726607091</v>
      </c>
      <c r="Y203">
        <f t="shared" si="84"/>
        <v>86.328245086913782</v>
      </c>
      <c r="Z203">
        <f t="shared" si="85"/>
        <v>215.03380411405567</v>
      </c>
      <c r="AA203">
        <f t="shared" si="86"/>
        <v>36.502997332763698</v>
      </c>
      <c r="AC203">
        <f>'2026_Fantasy_Hitters'!F208</f>
        <v>98.799124277545005</v>
      </c>
      <c r="AD203">
        <f>'2026_Fantasy_Hitters'!G208</f>
        <v>74.213304957663695</v>
      </c>
      <c r="AE203">
        <f>'2026_Fantasy_Hitters'!H208</f>
        <v>17.45997960930741</v>
      </c>
      <c r="AF203">
        <f>'2026_Fantasy_Hitters'!I208</f>
        <v>2.1995493646057733</v>
      </c>
      <c r="AG203">
        <f>'2026_Fantasy_Hitters'!J208</f>
        <v>5.1594940999999999</v>
      </c>
      <c r="AH203">
        <f>'2026_Fantasy_Hitters'!K208</f>
        <v>49.701265822784748</v>
      </c>
      <c r="AI203">
        <f>'2026_Fantasy_Hitters'!L208</f>
        <v>36.000000039999996</v>
      </c>
      <c r="AJ203">
        <f>'2026_Fantasy_Hitters'!M208</f>
        <v>26.462299999999999</v>
      </c>
      <c r="AK203">
        <f>'2026_Fantasy_Hitters'!N208</f>
        <v>0.15531775</v>
      </c>
      <c r="AL203">
        <f>'2026_Fantasy_Hitters'!O208</f>
        <v>84.724350000000001</v>
      </c>
      <c r="AM203">
        <f>'2026_Fantasy_Hitters'!P208</f>
        <v>2.0637976400000002</v>
      </c>
      <c r="AN203">
        <f>'2026_Fantasy_Hitters'!Q208</f>
        <v>2.0708856099999999</v>
      </c>
      <c r="AO203">
        <f>'2026_Fantasy_Hitters'!R208</f>
        <v>4.1747079899999999</v>
      </c>
      <c r="AP203">
        <f>'2026_Fantasy_Hitters'!S208</f>
        <v>22.247072380000002</v>
      </c>
      <c r="AQ203">
        <f>'2026_Fantasy_Hitters'!T208</f>
        <v>5.1178929765885925</v>
      </c>
      <c r="AR203">
        <f>'2026_Fantasy_Hitters'!U208</f>
        <v>17.12917940341141</v>
      </c>
      <c r="AS203">
        <f>'2026_Fantasy_Hitters'!V208</f>
        <v>0.26558904375684139</v>
      </c>
      <c r="AT203">
        <f>'2026_Fantasy_Hitters'!W208</f>
        <v>0.31815372439825074</v>
      </c>
      <c r="AU203">
        <f>'2026_Fantasy_Hitters'!X208</f>
        <v>0.36658572223144043</v>
      </c>
      <c r="AV203">
        <f>'2026_Fantasy_Hitters'!Y208</f>
        <v>0.68473944662969122</v>
      </c>
      <c r="AW203">
        <f>'2026_Fantasy_Hitters'!Z208</f>
        <v>0.32950000000000002</v>
      </c>
      <c r="AX203">
        <f>'2026_Fantasy_Hitters'!AA208</f>
        <v>0.20715</v>
      </c>
      <c r="AY203">
        <f>'2026_Fantasy_Hitters'!AB208</f>
        <v>6.4699999999999994E-2</v>
      </c>
      <c r="AZ203">
        <f t="shared" si="87"/>
        <v>1.26149E-2</v>
      </c>
    </row>
    <row r="204" spans="1:52">
      <c r="A204" t="s">
        <v>811</v>
      </c>
      <c r="B204" t="s">
        <v>228</v>
      </c>
      <c r="C204" t="s">
        <v>87</v>
      </c>
      <c r="D204">
        <v>326</v>
      </c>
      <c r="E204">
        <v>368</v>
      </c>
      <c r="F204" s="6">
        <f t="shared" si="66"/>
        <v>-9.1318211658275832</v>
      </c>
      <c r="G204" s="5">
        <f t="shared" si="67"/>
        <v>-1.6427091808651055</v>
      </c>
      <c r="H204" s="5">
        <f t="shared" si="68"/>
        <v>-1.8028355771246447</v>
      </c>
      <c r="I204" s="5">
        <f t="shared" si="69"/>
        <v>-0.71203920566453749</v>
      </c>
      <c r="J204" s="5">
        <f t="shared" si="70"/>
        <v>-1.3413975860115146</v>
      </c>
      <c r="K204" s="5">
        <f t="shared" si="71"/>
        <v>-0.76482660598631624</v>
      </c>
      <c r="L204" s="5">
        <f t="shared" si="72"/>
        <v>-0.62717437232545914</v>
      </c>
      <c r="M204" s="5">
        <f t="shared" si="73"/>
        <v>-1.0008075002986543</v>
      </c>
      <c r="N204" s="5">
        <f t="shared" si="74"/>
        <v>-0.46411875959237248</v>
      </c>
      <c r="O204" s="5">
        <f t="shared" si="75"/>
        <v>-0.81541510193996047</v>
      </c>
      <c r="P204" s="1">
        <f t="shared" si="76"/>
        <v>3.9502723980983236E-2</v>
      </c>
      <c r="R204">
        <f t="shared" si="77"/>
        <v>61.164874228535275</v>
      </c>
      <c r="S204">
        <f t="shared" si="78"/>
        <v>63.290147872316339</v>
      </c>
      <c r="T204">
        <f t="shared" si="79"/>
        <v>68.502352677634292</v>
      </c>
      <c r="U204">
        <f t="shared" si="80"/>
        <v>65.48707580216211</v>
      </c>
      <c r="V204">
        <f t="shared" si="81"/>
        <v>72.32006680172249</v>
      </c>
      <c r="W204">
        <f t="shared" si="82"/>
        <v>69.506502476392967</v>
      </c>
      <c r="X204">
        <f t="shared" si="83"/>
        <v>93.394826033087895</v>
      </c>
      <c r="Y204">
        <f t="shared" si="84"/>
        <v>94.897097612421518</v>
      </c>
      <c r="Z204">
        <f t="shared" si="85"/>
        <v>25.023171861896756</v>
      </c>
      <c r="AA204">
        <f t="shared" si="86"/>
        <v>101.43471962138148</v>
      </c>
      <c r="AC204">
        <f>'2026_Fantasy_Hitters'!F122</f>
        <v>76.505368049647998</v>
      </c>
      <c r="AD204">
        <f>'2026_Fantasy_Hitters'!G122</f>
        <v>50.511211722472787</v>
      </c>
      <c r="AE204">
        <f>'2026_Fantasy_Hitters'!H122</f>
        <v>13.073647844282139</v>
      </c>
      <c r="AF204">
        <f>'2026_Fantasy_Hitters'!I122</f>
        <v>1.0368569742400602</v>
      </c>
      <c r="AG204">
        <f>'2026_Fantasy_Hitters'!J122</f>
        <v>12.900000799999999</v>
      </c>
      <c r="AH204">
        <f>'2026_Fantasy_Hitters'!K122</f>
        <v>40.99999999999968</v>
      </c>
      <c r="AI204">
        <f>'2026_Fantasy_Hitters'!L122</f>
        <v>42.999999999999808</v>
      </c>
      <c r="AJ204">
        <f>'2026_Fantasy_Hitters'!M122</f>
        <v>33.9664</v>
      </c>
      <c r="AK204">
        <f>'2026_Fantasy_Hitters'!N122</f>
        <v>0</v>
      </c>
      <c r="AL204">
        <f>'2026_Fantasy_Hitters'!O122</f>
        <v>74.759199999999993</v>
      </c>
      <c r="AM204">
        <f>'2026_Fantasy_Hitters'!P122</f>
        <v>4.00000176</v>
      </c>
      <c r="AN204">
        <f>'2026_Fantasy_Hitters'!Q122</f>
        <v>2.9999985599999999</v>
      </c>
      <c r="AO204">
        <f>'2026_Fantasy_Hitters'!R122</f>
        <v>0.89999920000000011</v>
      </c>
      <c r="AP204">
        <f>'2026_Fantasy_Hitters'!S122</f>
        <v>1.9932977599999999</v>
      </c>
      <c r="AQ204">
        <f>'2026_Fantasy_Hitters'!T122</f>
        <v>0</v>
      </c>
      <c r="AR204">
        <f>'2026_Fantasy_Hitters'!U122</f>
        <v>1.9932977599999999</v>
      </c>
      <c r="AS204">
        <f>'2026_Fantasy_Hitters'!V122</f>
        <v>0.23467904309707974</v>
      </c>
      <c r="AT204">
        <f>'2026_Fantasy_Hitters'!W122</f>
        <v>0.31537842142907146</v>
      </c>
      <c r="AU204">
        <f>'2026_Fantasy_Hitters'!X122</f>
        <v>0.40297264274158667</v>
      </c>
      <c r="AV204">
        <f>'2026_Fantasy_Hitters'!Y122</f>
        <v>0.71835106417065808</v>
      </c>
      <c r="AW204">
        <f>'2026_Fantasy_Hitters'!Z122</f>
        <v>0.26355000000000001</v>
      </c>
      <c r="AX204">
        <f>'2026_Fantasy_Hitters'!AA122</f>
        <v>0.20315</v>
      </c>
      <c r="AY204">
        <f>'2026_Fantasy_Hitters'!AB122</f>
        <v>9.2299999999999993E-2</v>
      </c>
      <c r="AZ204">
        <f t="shared" si="87"/>
        <v>3.5054349999999998E-2</v>
      </c>
    </row>
    <row r="205" spans="1:52">
      <c r="A205" t="s">
        <v>935</v>
      </c>
      <c r="B205" t="s">
        <v>257</v>
      </c>
      <c r="C205" t="s">
        <v>163</v>
      </c>
      <c r="D205">
        <v>379</v>
      </c>
      <c r="E205">
        <v>414</v>
      </c>
      <c r="F205" s="6">
        <f t="shared" si="66"/>
        <v>-9.1847102157438432</v>
      </c>
      <c r="G205" s="5">
        <f t="shared" si="67"/>
        <v>-1.3776113887783954</v>
      </c>
      <c r="H205" s="5">
        <f t="shared" si="68"/>
        <v>-1.1095068129883698</v>
      </c>
      <c r="I205" s="5">
        <f t="shared" si="69"/>
        <v>-1.0186736006938235</v>
      </c>
      <c r="J205" s="5">
        <f t="shared" si="70"/>
        <v>-1.1638216304763804</v>
      </c>
      <c r="K205" s="5">
        <f t="shared" si="71"/>
        <v>-0.99242074609520814</v>
      </c>
      <c r="L205" s="5">
        <f t="shared" si="72"/>
        <v>-1.3244026324127114</v>
      </c>
      <c r="M205" s="5">
        <f t="shared" si="73"/>
        <v>-0.26454565246389877</v>
      </c>
      <c r="N205" s="5">
        <f t="shared" si="74"/>
        <v>-0.51897307718951413</v>
      </c>
      <c r="O205" s="5">
        <f t="shared" si="75"/>
        <v>-0.65237330963875706</v>
      </c>
      <c r="P205" s="1">
        <f t="shared" si="76"/>
        <v>-0.76238136500678355</v>
      </c>
      <c r="R205">
        <f t="shared" si="77"/>
        <v>67.432024992253076</v>
      </c>
      <c r="S205">
        <f t="shared" si="78"/>
        <v>77.4079058810117</v>
      </c>
      <c r="T205">
        <f t="shared" si="79"/>
        <v>54.938124816718258</v>
      </c>
      <c r="U205">
        <f t="shared" si="80"/>
        <v>70.055941555801581</v>
      </c>
      <c r="V205">
        <f t="shared" si="81"/>
        <v>64.083179453368132</v>
      </c>
      <c r="W205">
        <f t="shared" si="82"/>
        <v>35.606953705725815</v>
      </c>
      <c r="X205">
        <f t="shared" si="83"/>
        <v>98.254039806663258</v>
      </c>
      <c r="Y205">
        <f t="shared" si="84"/>
        <v>94.293984244452332</v>
      </c>
      <c r="Z205">
        <f t="shared" si="85"/>
        <v>40.014746596792627</v>
      </c>
      <c r="AA205">
        <f t="shared" si="86"/>
        <v>72.31068156521826</v>
      </c>
      <c r="AC205">
        <f>'2026_Fantasy_Hitters'!F143</f>
        <v>93.570966864018004</v>
      </c>
      <c r="AD205">
        <f>'2026_Fantasy_Hitters'!G143</f>
        <v>61.110880781379024</v>
      </c>
      <c r="AE205">
        <f>'2026_Fantasy_Hitters'!H143</f>
        <v>22.036084129472805</v>
      </c>
      <c r="AF205">
        <f>'2026_Fantasy_Hitters'!I143</f>
        <v>1.7301027190986367</v>
      </c>
      <c r="AG205">
        <f>'2026_Fantasy_Hitters'!J143</f>
        <v>10.34565714</v>
      </c>
      <c r="AH205">
        <f>'2026_Fantasy_Hitters'!K143</f>
        <v>45.200992555830872</v>
      </c>
      <c r="AI205">
        <f>'2026_Fantasy_Hitters'!L143</f>
        <v>45.99999999999995</v>
      </c>
      <c r="AJ205">
        <f>'2026_Fantasy_Hitters'!M143</f>
        <v>30.097799999999999</v>
      </c>
      <c r="AK205">
        <f>'2026_Fantasy_Hitters'!N143</f>
        <v>1.1729654999999999</v>
      </c>
      <c r="AL205">
        <f>'2026_Fantasy_Hitters'!O143</f>
        <v>96.110100000000003</v>
      </c>
      <c r="AM205">
        <f>'2026_Fantasy_Hitters'!P143</f>
        <v>2.0491302600000001</v>
      </c>
      <c r="AN205">
        <f>'2026_Fantasy_Hitters'!Q143</f>
        <v>3.0818863799999998</v>
      </c>
      <c r="AO205">
        <f>'2026_Fantasy_Hitters'!R143</f>
        <v>0.89999873999999991</v>
      </c>
      <c r="AP205">
        <f>'2026_Fantasy_Hitters'!S143</f>
        <v>5.0246310599999999</v>
      </c>
      <c r="AQ205">
        <f>'2026_Fantasy_Hitters'!T143</f>
        <v>1.8371332800000002</v>
      </c>
      <c r="AR205">
        <f>'2026_Fantasy_Hitters'!U143</f>
        <v>3.1874977799999997</v>
      </c>
      <c r="AS205">
        <f>'2026_Fantasy_Hitters'!V143</f>
        <v>0.24688909462801584</v>
      </c>
      <c r="AT205">
        <f>'2026_Fantasy_Hitters'!W143</f>
        <v>0.30697967473269189</v>
      </c>
      <c r="AU205">
        <f>'2026_Fantasy_Hitters'!X143</f>
        <v>0.40041157191984317</v>
      </c>
      <c r="AV205">
        <f>'2026_Fantasy_Hitters'!Y143</f>
        <v>0.70739124665253506</v>
      </c>
      <c r="AW205">
        <f>'2026_Fantasy_Hitters'!Z143</f>
        <v>0.30195</v>
      </c>
      <c r="AX205">
        <f>'2026_Fantasy_Hitters'!AA143</f>
        <v>0.23215</v>
      </c>
      <c r="AY205">
        <f>'2026_Fantasy_Hitters'!AB143</f>
        <v>7.2700000000000001E-2</v>
      </c>
      <c r="AZ205">
        <f t="shared" si="87"/>
        <v>2.498951E-2</v>
      </c>
    </row>
    <row r="206" spans="1:52">
      <c r="A206" t="s">
        <v>867</v>
      </c>
      <c r="B206" t="s">
        <v>293</v>
      </c>
      <c r="C206" t="s">
        <v>868</v>
      </c>
      <c r="D206">
        <v>391</v>
      </c>
      <c r="E206">
        <v>436</v>
      </c>
      <c r="F206" s="6">
        <f t="shared" si="66"/>
        <v>-9.2076141636336217</v>
      </c>
      <c r="G206" s="5">
        <f t="shared" si="67"/>
        <v>-0.92058957858558255</v>
      </c>
      <c r="H206" s="5">
        <f t="shared" si="68"/>
        <v>-1.1972233308175624</v>
      </c>
      <c r="I206" s="5">
        <f t="shared" si="69"/>
        <v>-1.2637901997040568</v>
      </c>
      <c r="J206" s="5">
        <f t="shared" si="70"/>
        <v>-1.5781655598725151</v>
      </c>
      <c r="K206" s="5">
        <f t="shared" si="71"/>
        <v>-0.60847697388338706</v>
      </c>
      <c r="L206" s="5">
        <f t="shared" si="72"/>
        <v>-0.59076092026465876</v>
      </c>
      <c r="M206" s="5">
        <f t="shared" si="73"/>
        <v>-1.0544131099021807</v>
      </c>
      <c r="N206" s="5">
        <f t="shared" si="74"/>
        <v>-1.1890580459717806</v>
      </c>
      <c r="O206" s="5">
        <f t="shared" si="75"/>
        <v>0.43082694715300807</v>
      </c>
      <c r="P206" s="1">
        <f t="shared" si="76"/>
        <v>-1.2359633917849069</v>
      </c>
      <c r="R206">
        <f t="shared" si="77"/>
        <v>78.236432544047119</v>
      </c>
      <c r="S206">
        <f t="shared" si="78"/>
        <v>75.62179713126055</v>
      </c>
      <c r="T206">
        <f t="shared" si="79"/>
        <v>44.095187901079534</v>
      </c>
      <c r="U206">
        <f t="shared" si="80"/>
        <v>59.395253944455149</v>
      </c>
      <c r="V206">
        <f t="shared" si="81"/>
        <v>77.978535451101223</v>
      </c>
      <c r="W206">
        <f t="shared" si="82"/>
        <v>71.276940745617708</v>
      </c>
      <c r="X206">
        <f t="shared" si="83"/>
        <v>93.04103734052913</v>
      </c>
      <c r="Y206">
        <f t="shared" si="84"/>
        <v>86.926520386532445</v>
      </c>
      <c r="Z206">
        <f t="shared" si="85"/>
        <v>139.61422580610139</v>
      </c>
      <c r="AA206">
        <f t="shared" si="86"/>
        <v>55.110413895595769</v>
      </c>
      <c r="AC206">
        <f>'2026_Fantasy_Hitters'!F131</f>
        <v>91.411911910440011</v>
      </c>
      <c r="AD206">
        <f>'2026_Fantasy_Hitters'!G131</f>
        <v>60.576849569953772</v>
      </c>
      <c r="AE206">
        <f>'2026_Fantasy_Hitters'!H131</f>
        <v>17.389270792936436</v>
      </c>
      <c r="AF206">
        <f>'2026_Fantasy_Hitters'!I131</f>
        <v>5.2526272153030096</v>
      </c>
      <c r="AG206">
        <f>'2026_Fantasy_Hitters'!J131</f>
        <v>8.3037726000000003</v>
      </c>
      <c r="AH206">
        <f>'2026_Fantasy_Hitters'!K131</f>
        <v>52.443396226414862</v>
      </c>
      <c r="AI206">
        <f>'2026_Fantasy_Hitters'!L131</f>
        <v>38.999999439999996</v>
      </c>
      <c r="AJ206">
        <f>'2026_Fantasy_Hitters'!M131</f>
        <v>36.624000000000002</v>
      </c>
      <c r="AK206">
        <f>'2026_Fantasy_Hitters'!N131</f>
        <v>0.95147408</v>
      </c>
      <c r="AL206">
        <f>'2026_Fantasy_Hitters'!O131</f>
        <v>94.938999999999993</v>
      </c>
      <c r="AM206">
        <f>'2026_Fantasy_Hitters'!P131</f>
        <v>4.1018879999999998</v>
      </c>
      <c r="AN206">
        <f>'2026_Fantasy_Hitters'!Q131</f>
        <v>3.0849049200000001</v>
      </c>
      <c r="AO206">
        <f>'2026_Fantasy_Hitters'!R131</f>
        <v>0.99296383999999993</v>
      </c>
      <c r="AP206">
        <f>'2026_Fantasy_Hitters'!S131</f>
        <v>14.968551440000001</v>
      </c>
      <c r="AQ206">
        <f>'2026_Fantasy_Hitters'!T131</f>
        <v>3.8471506400000002</v>
      </c>
      <c r="AR206">
        <f>'2026_Fantasy_Hitters'!U131</f>
        <v>11.1214008</v>
      </c>
      <c r="AS206">
        <f>'2026_Fantasy_Hitters'!V131</f>
        <v>0.23379005603693098</v>
      </c>
      <c r="AT206">
        <f>'2026_Fantasy_Hitters'!W131</f>
        <v>0.30831941142886315</v>
      </c>
      <c r="AU206">
        <f>'2026_Fantasy_Hitters'!X131</f>
        <v>0.36912624859778942</v>
      </c>
      <c r="AV206">
        <f>'2026_Fantasy_Hitters'!Y131</f>
        <v>0.67744566002665252</v>
      </c>
      <c r="AW206">
        <f>'2026_Fantasy_Hitters'!Z131</f>
        <v>0.28575</v>
      </c>
      <c r="AX206">
        <f>'2026_Fantasy_Hitters'!AA131</f>
        <v>0.21775</v>
      </c>
      <c r="AY206">
        <f>'2026_Fantasy_Hitters'!AB131</f>
        <v>8.4000000000000005E-2</v>
      </c>
      <c r="AZ206">
        <f t="shared" si="87"/>
        <v>1.9045349999999999E-2</v>
      </c>
    </row>
    <row r="207" spans="1:52">
      <c r="A207" t="s">
        <v>1049</v>
      </c>
      <c r="B207" t="s">
        <v>33</v>
      </c>
      <c r="C207" t="s">
        <v>87</v>
      </c>
      <c r="D207">
        <v>349</v>
      </c>
      <c r="E207">
        <v>391</v>
      </c>
      <c r="F207" s="6">
        <f t="shared" si="66"/>
        <v>-9.313147850209706</v>
      </c>
      <c r="G207" s="5">
        <f t="shared" si="67"/>
        <v>-1.3047470681962852</v>
      </c>
      <c r="H207" s="5">
        <f t="shared" si="68"/>
        <v>-1.533886435262368</v>
      </c>
      <c r="I207" s="5">
        <f t="shared" si="69"/>
        <v>-0.91893008260844622</v>
      </c>
      <c r="J207" s="5">
        <f t="shared" si="70"/>
        <v>-1.1046296452980182</v>
      </c>
      <c r="K207" s="5">
        <f t="shared" si="71"/>
        <v>-0.58702714100231845</v>
      </c>
      <c r="L207" s="5">
        <f t="shared" si="72"/>
        <v>-1.3369880133039962</v>
      </c>
      <c r="M207" s="5">
        <f t="shared" si="73"/>
        <v>-0.78962084822163903</v>
      </c>
      <c r="N207" s="5">
        <f t="shared" si="74"/>
        <v>-0.5375025013796737</v>
      </c>
      <c r="O207" s="5">
        <f t="shared" si="75"/>
        <v>-0.72385553903874766</v>
      </c>
      <c r="P207" s="1">
        <f t="shared" si="76"/>
        <v>-0.47596057589821372</v>
      </c>
      <c r="R207">
        <f t="shared" si="77"/>
        <v>69.154603210613288</v>
      </c>
      <c r="S207">
        <f t="shared" si="78"/>
        <v>68.766566993897172</v>
      </c>
      <c r="T207">
        <f t="shared" si="79"/>
        <v>59.350362415929006</v>
      </c>
      <c r="U207">
        <f t="shared" si="80"/>
        <v>71.578896807014331</v>
      </c>
      <c r="V207">
        <f t="shared" si="81"/>
        <v>78.75482897516936</v>
      </c>
      <c r="W207">
        <f t="shared" si="82"/>
        <v>34.995046877296147</v>
      </c>
      <c r="X207">
        <f t="shared" si="83"/>
        <v>94.788625116370312</v>
      </c>
      <c r="Y207">
        <f t="shared" si="84"/>
        <v>94.090256554101131</v>
      </c>
      <c r="Z207">
        <f t="shared" si="85"/>
        <v>33.442007367532938</v>
      </c>
      <c r="AA207">
        <f t="shared" si="86"/>
        <v>82.71334458925233</v>
      </c>
      <c r="AC207">
        <f>'2026_Fantasy_Hitters'!F163</f>
        <v>83.125284017231564</v>
      </c>
      <c r="AD207">
        <f>'2026_Fantasy_Hitters'!G163</f>
        <v>51.723711027706422</v>
      </c>
      <c r="AE207">
        <f>'2026_Fantasy_Hitters'!H163</f>
        <v>17.167345993481604</v>
      </c>
      <c r="AF207">
        <f>'2026_Fantasy_Hitters'!I163</f>
        <v>2.8923752269130691</v>
      </c>
      <c r="AG207">
        <f>'2026_Fantasy_Hitters'!J163</f>
        <v>11.176546391752549</v>
      </c>
      <c r="AH207">
        <f>'2026_Fantasy_Hitters'!K163</f>
        <v>46.355670103092457</v>
      </c>
      <c r="AI207">
        <f>'2026_Fantasy_Hitters'!L163</f>
        <v>46.999999999999737</v>
      </c>
      <c r="AJ207">
        <f>'2026_Fantasy_Hitters'!M163</f>
        <v>36.988599999999998</v>
      </c>
      <c r="AK207">
        <f>'2026_Fantasy_Hitters'!N163</f>
        <v>0.98245788000000012</v>
      </c>
      <c r="AL207">
        <f>'2026_Fantasy_Hitters'!O163</f>
        <v>100.89755</v>
      </c>
      <c r="AM207">
        <f>'2026_Fantasy_Hitters'!P163</f>
        <v>2.0139158800000003</v>
      </c>
      <c r="AN207">
        <f>'2026_Fantasy_Hitters'!Q163</f>
        <v>3.02319636</v>
      </c>
      <c r="AO207">
        <f>'2026_Fantasy_Hitters'!R163</f>
        <v>0.99750747000000006</v>
      </c>
      <c r="AP207">
        <f>'2026_Fantasy_Hitters'!S163</f>
        <v>3.7312973599999997</v>
      </c>
      <c r="AQ207">
        <f>'2026_Fantasy_Hitters'!T163</f>
        <v>1.0673713499999999</v>
      </c>
      <c r="AR207">
        <f>'2026_Fantasy_Hitters'!U163</f>
        <v>2.66392601</v>
      </c>
      <c r="AS207">
        <f>'2026_Fantasy_Hitters'!V163</f>
        <v>0.23818132956226809</v>
      </c>
      <c r="AT207">
        <f>'2026_Fantasy_Hitters'!W163</f>
        <v>0.31567197834014821</v>
      </c>
      <c r="AU207">
        <f>'2026_Fantasy_Hitters'!X163</f>
        <v>0.3995464592046391</v>
      </c>
      <c r="AV207">
        <f>'2026_Fantasy_Hitters'!Y163</f>
        <v>0.71521843754478731</v>
      </c>
      <c r="AW207">
        <f>'2026_Fantasy_Hitters'!Z163</f>
        <v>0.29985000000000001</v>
      </c>
      <c r="AX207">
        <f>'2026_Fantasy_Hitters'!AA163</f>
        <v>0.25805</v>
      </c>
      <c r="AY207">
        <f>'2026_Fantasy_Hitters'!AB163</f>
        <v>9.4600000000000004E-2</v>
      </c>
      <c r="AZ207">
        <f t="shared" si="87"/>
        <v>2.8584517625965599E-2</v>
      </c>
    </row>
    <row r="208" spans="1:52">
      <c r="A208" t="s">
        <v>940</v>
      </c>
      <c r="B208" t="s">
        <v>19</v>
      </c>
      <c r="C208" t="s">
        <v>352</v>
      </c>
      <c r="D208">
        <v>303</v>
      </c>
      <c r="E208">
        <v>352</v>
      </c>
      <c r="F208" s="6">
        <f t="shared" si="66"/>
        <v>-9.5315370689031464</v>
      </c>
      <c r="G208" s="5">
        <f t="shared" si="67"/>
        <v>-1.1897028250157813</v>
      </c>
      <c r="H208" s="5">
        <f t="shared" si="68"/>
        <v>-2.2252827382520421</v>
      </c>
      <c r="I208" s="5">
        <f t="shared" si="69"/>
        <v>-1.3387509068965469</v>
      </c>
      <c r="J208" s="5">
        <f t="shared" si="70"/>
        <v>-2.1108934501546841</v>
      </c>
      <c r="K208" s="5">
        <f t="shared" si="71"/>
        <v>-0.84549586228505802</v>
      </c>
      <c r="L208" s="5">
        <f t="shared" si="72"/>
        <v>5.5266366569885129E-2</v>
      </c>
      <c r="M208" s="5">
        <f t="shared" si="73"/>
        <v>-1.9959506025732139</v>
      </c>
      <c r="N208" s="5">
        <f t="shared" si="74"/>
        <v>-1.6878520262396171</v>
      </c>
      <c r="O208" s="5">
        <f t="shared" si="75"/>
        <v>2.8223233402968013</v>
      </c>
      <c r="P208" s="1">
        <f t="shared" si="76"/>
        <v>-1.0151983643528886</v>
      </c>
      <c r="R208">
        <f t="shared" si="77"/>
        <v>71.874352820124187</v>
      </c>
      <c r="S208">
        <f t="shared" si="78"/>
        <v>54.68815831013989</v>
      </c>
      <c r="T208">
        <f t="shared" si="79"/>
        <v>40.779238583400314</v>
      </c>
      <c r="U208">
        <f t="shared" si="80"/>
        <v>45.688656074355336</v>
      </c>
      <c r="V208">
        <f t="shared" si="81"/>
        <v>69.400555885095415</v>
      </c>
      <c r="W208">
        <f t="shared" si="82"/>
        <v>102.68707537568676</v>
      </c>
      <c r="X208">
        <f t="shared" si="83"/>
        <v>86.82703621283315</v>
      </c>
      <c r="Y208">
        <f t="shared" si="84"/>
        <v>81.442370176672455</v>
      </c>
      <c r="Z208">
        <f t="shared" si="85"/>
        <v>359.51058734643311</v>
      </c>
      <c r="AA208">
        <f t="shared" si="86"/>
        <v>63.128491755846348</v>
      </c>
      <c r="AC208">
        <f>'2026_Fantasy_Hitters'!F144</f>
        <v>66.107250814384003</v>
      </c>
      <c r="AD208">
        <f>'2026_Fantasy_Hitters'!G144</f>
        <v>45.54707686712046</v>
      </c>
      <c r="AE208">
        <f>'2026_Fantasy_Hitters'!H144</f>
        <v>12.792887378278385</v>
      </c>
      <c r="AF208">
        <f>'2026_Fantasy_Hitters'!I144</f>
        <v>0.97960633088036664</v>
      </c>
      <c r="AG208">
        <f>'2026_Fantasy_Hitters'!J144</f>
        <v>7.6793305600000004</v>
      </c>
      <c r="AH208">
        <f>'2026_Fantasy_Hitters'!K144</f>
        <v>48.17877094972058</v>
      </c>
      <c r="AI208">
        <f>'2026_Fantasy_Hitters'!L144</f>
        <v>29.999999039999999</v>
      </c>
      <c r="AJ208">
        <f>'2026_Fantasy_Hitters'!M144</f>
        <v>32.595199999999998</v>
      </c>
      <c r="AK208">
        <f>'2026_Fantasy_Hitters'!N144</f>
        <v>0</v>
      </c>
      <c r="AL208">
        <f>'2026_Fantasy_Hitters'!O144</f>
        <v>90.059200000000004</v>
      </c>
      <c r="AM208">
        <f>'2026_Fantasy_Hitters'!P144</f>
        <v>5.9094972067038682</v>
      </c>
      <c r="AN208">
        <f>'2026_Fantasy_Hitters'!Q144</f>
        <v>1.96647968</v>
      </c>
      <c r="AO208">
        <f>'2026_Fantasy_Hitters'!R144</f>
        <v>2.0234931199999999</v>
      </c>
      <c r="AP208">
        <f>'2026_Fantasy_Hitters'!S144</f>
        <v>36.969047619047458</v>
      </c>
      <c r="AQ208">
        <f>'2026_Fantasy_Hitters'!T144</f>
        <v>8.3311254399999992</v>
      </c>
      <c r="AR208">
        <f>'2026_Fantasy_Hitters'!U144</f>
        <v>28.637922179047457</v>
      </c>
      <c r="AS208">
        <f>'2026_Fantasy_Hitters'!V144</f>
        <v>0.2181757452619934</v>
      </c>
      <c r="AT208">
        <f>'2026_Fantasy_Hitters'!W144</f>
        <v>0.30990469095975992</v>
      </c>
      <c r="AU208">
        <f>'2026_Fantasy_Hitters'!X144</f>
        <v>0.3458382602518757</v>
      </c>
      <c r="AV208">
        <f>'2026_Fantasy_Hitters'!Y144</f>
        <v>0.65574295121163562</v>
      </c>
      <c r="AW208">
        <f>'2026_Fantasy_Hitters'!Z144</f>
        <v>0.28194999999999998</v>
      </c>
      <c r="AX208">
        <f>'2026_Fantasy_Hitters'!AA144</f>
        <v>0.25585000000000002</v>
      </c>
      <c r="AY208">
        <f>'2026_Fantasy_Hitters'!AB144</f>
        <v>9.2600000000000002E-2</v>
      </c>
      <c r="AZ208">
        <f t="shared" si="87"/>
        <v>2.181628E-2</v>
      </c>
    </row>
    <row r="209" spans="1:52">
      <c r="A209" t="s">
        <v>1232</v>
      </c>
      <c r="B209" t="s">
        <v>293</v>
      </c>
      <c r="C209" t="s">
        <v>34</v>
      </c>
      <c r="D209">
        <v>294</v>
      </c>
      <c r="E209">
        <v>333</v>
      </c>
      <c r="F209" s="6">
        <f t="shared" si="66"/>
        <v>-9.5523253685680238</v>
      </c>
      <c r="G209" s="5">
        <f t="shared" si="67"/>
        <v>-1.6356976687425744</v>
      </c>
      <c r="H209" s="5">
        <f t="shared" si="68"/>
        <v>-1.874774443877667</v>
      </c>
      <c r="I209" s="5">
        <f t="shared" si="69"/>
        <v>-1.1411976719678634</v>
      </c>
      <c r="J209" s="5">
        <f t="shared" si="70"/>
        <v>-1.5189735415466303</v>
      </c>
      <c r="K209" s="5">
        <f t="shared" si="71"/>
        <v>-0.99014398105818857</v>
      </c>
      <c r="L209" s="5">
        <f t="shared" si="72"/>
        <v>-1.3240913357644692</v>
      </c>
      <c r="M209" s="5">
        <f t="shared" si="73"/>
        <v>0.17627155982369866</v>
      </c>
      <c r="N209" s="5">
        <f t="shared" si="74"/>
        <v>-0.29227445503679167</v>
      </c>
      <c r="O209" s="5">
        <f t="shared" si="75"/>
        <v>-0.42915292796979232</v>
      </c>
      <c r="P209" s="1">
        <f t="shared" si="76"/>
        <v>-0.52229090242774734</v>
      </c>
      <c r="R209">
        <f t="shared" si="77"/>
        <v>61.33063269527937</v>
      </c>
      <c r="S209">
        <f t="shared" si="78"/>
        <v>61.825308153017851</v>
      </c>
      <c r="T209">
        <f t="shared" si="79"/>
        <v>49.518170473209388</v>
      </c>
      <c r="U209">
        <f t="shared" si="80"/>
        <v>60.918210048523115</v>
      </c>
      <c r="V209">
        <f t="shared" si="81"/>
        <v>64.165578135160331</v>
      </c>
      <c r="W209">
        <f t="shared" si="82"/>
        <v>35.62208908751299</v>
      </c>
      <c r="X209">
        <f t="shared" si="83"/>
        <v>101.16336490054988</v>
      </c>
      <c r="Y209">
        <f t="shared" si="84"/>
        <v>96.786494870956361</v>
      </c>
      <c r="Z209">
        <f t="shared" si="85"/>
        <v>60.53969904554932</v>
      </c>
      <c r="AA209">
        <f t="shared" si="86"/>
        <v>81.03064978144802</v>
      </c>
      <c r="AC209">
        <f>'2026_Fantasy_Hitters'!F194</f>
        <v>74.734664304654956</v>
      </c>
      <c r="AD209">
        <f>'2026_Fantasy_Hitters'!G194</f>
        <v>47.2537654170143</v>
      </c>
      <c r="AE209">
        <f>'2026_Fantasy_Hitters'!H194</f>
        <v>15.409007456385066</v>
      </c>
      <c r="AF209">
        <f>'2026_Fantasy_Hitters'!I194</f>
        <v>1.8203293939729515</v>
      </c>
      <c r="AG209">
        <f>'2026_Fantasy_Hitters'!J194</f>
        <v>9.3249999999999655</v>
      </c>
      <c r="AH209">
        <f>'2026_Fantasy_Hitters'!K194</f>
        <v>41.111111111110851</v>
      </c>
      <c r="AI209">
        <f>'2026_Fantasy_Hitters'!L194</f>
        <v>39.999999999999957</v>
      </c>
      <c r="AJ209">
        <f>'2026_Fantasy_Hitters'!M194</f>
        <v>30.136499999999998</v>
      </c>
      <c r="AK209">
        <f>'2026_Fantasy_Hitters'!N194</f>
        <v>0.15416568</v>
      </c>
      <c r="AL209">
        <f>'2026_Fantasy_Hitters'!O194</f>
        <v>47.502450000000003</v>
      </c>
      <c r="AM209">
        <f>'2026_Fantasy_Hitters'!P194</f>
        <v>2.05000128</v>
      </c>
      <c r="AN209">
        <f>'2026_Fantasy_Hitters'!Q194</f>
        <v>3.0833335800000001</v>
      </c>
      <c r="AO209">
        <f>'2026_Fantasy_Hitters'!R194</f>
        <v>0.99514385999999999</v>
      </c>
      <c r="AP209">
        <f>'2026_Fantasy_Hitters'!S194</f>
        <v>6.9150014099999995</v>
      </c>
      <c r="AQ209">
        <f>'2026_Fantasy_Hitters'!T194</f>
        <v>2.0925253799999997</v>
      </c>
      <c r="AR209">
        <f>'2026_Fantasy_Hitters'!U194</f>
        <v>4.8224760299999998</v>
      </c>
      <c r="AS209">
        <f>'2026_Fantasy_Hitters'!V194</f>
        <v>0.25419953845120735</v>
      </c>
      <c r="AT209">
        <f>'2026_Fantasy_Hitters'!W194</f>
        <v>0.32707341299763965</v>
      </c>
      <c r="AU209">
        <f>'2026_Fantasy_Hitters'!X194</f>
        <v>0.41099581126429641</v>
      </c>
      <c r="AV209">
        <f>'2026_Fantasy_Hitters'!Y194</f>
        <v>0.738069224261936</v>
      </c>
      <c r="AW209">
        <f>'2026_Fantasy_Hitters'!Z194</f>
        <v>0.27224999999999999</v>
      </c>
      <c r="AX209">
        <f>'2026_Fantasy_Hitters'!AA194</f>
        <v>0.14265</v>
      </c>
      <c r="AY209">
        <f>'2026_Fantasy_Hitters'!AB194</f>
        <v>9.0499999999999997E-2</v>
      </c>
      <c r="AZ209">
        <f t="shared" si="87"/>
        <v>2.8003003003002899E-2</v>
      </c>
    </row>
    <row r="210" spans="1:52">
      <c r="A210" t="s">
        <v>802</v>
      </c>
      <c r="B210" t="s">
        <v>19</v>
      </c>
      <c r="C210" t="s">
        <v>124</v>
      </c>
      <c r="D210">
        <v>328</v>
      </c>
      <c r="E210">
        <v>362</v>
      </c>
      <c r="F210" s="6">
        <f t="shared" si="66"/>
        <v>-9.6490913734254011</v>
      </c>
      <c r="G210" s="5">
        <f t="shared" si="67"/>
        <v>-1.642709180865092</v>
      </c>
      <c r="H210" s="5">
        <f t="shared" si="68"/>
        <v>-1.634385201362182</v>
      </c>
      <c r="I210" s="5">
        <f t="shared" si="69"/>
        <v>-0.83208352184637069</v>
      </c>
      <c r="J210" s="5">
        <f t="shared" si="70"/>
        <v>-1.5781655267250085</v>
      </c>
      <c r="K210" s="5">
        <f t="shared" si="71"/>
        <v>-1.138157240919627</v>
      </c>
      <c r="L210" s="5">
        <f t="shared" si="72"/>
        <v>-1.3419616975857129</v>
      </c>
      <c r="M210" s="5">
        <f t="shared" si="73"/>
        <v>-0.32484830358208489</v>
      </c>
      <c r="N210" s="5">
        <f t="shared" si="74"/>
        <v>-0.36787521096217274</v>
      </c>
      <c r="O210" s="5">
        <f t="shared" si="75"/>
        <v>-0.65461051887052002</v>
      </c>
      <c r="P210" s="1">
        <f t="shared" si="76"/>
        <v>-0.13429497070663157</v>
      </c>
      <c r="R210">
        <f t="shared" si="77"/>
        <v>61.164874228535595</v>
      </c>
      <c r="S210">
        <f t="shared" si="78"/>
        <v>66.720182459805088</v>
      </c>
      <c r="T210">
        <f t="shared" si="79"/>
        <v>63.192092366025349</v>
      </c>
      <c r="U210">
        <f t="shared" si="80"/>
        <v>59.395254797309953</v>
      </c>
      <c r="V210">
        <f t="shared" si="81"/>
        <v>58.808812152705514</v>
      </c>
      <c r="W210">
        <f t="shared" si="82"/>
        <v>34.75322413067245</v>
      </c>
      <c r="X210">
        <f t="shared" si="83"/>
        <v>97.856051680892051</v>
      </c>
      <c r="Y210">
        <f t="shared" si="84"/>
        <v>95.955278140451469</v>
      </c>
      <c r="Z210">
        <f t="shared" si="85"/>
        <v>39.809036828013753</v>
      </c>
      <c r="AA210">
        <f t="shared" si="86"/>
        <v>95.122472323215234</v>
      </c>
      <c r="AC210">
        <f>'2026_Fantasy_Hitters'!F120</f>
        <v>80.651606719658005</v>
      </c>
      <c r="AD210">
        <f>'2026_Fantasy_Hitters'!G120</f>
        <v>52.599687649751985</v>
      </c>
      <c r="AE210">
        <f>'2026_Fantasy_Hitters'!H120</f>
        <v>16.135298360092921</v>
      </c>
      <c r="AF210">
        <f>'2026_Fantasy_Hitters'!I120</f>
        <v>0.39286661499064313</v>
      </c>
      <c r="AG210">
        <f>'2026_Fantasy_Hitters'!J120</f>
        <v>11.90000066</v>
      </c>
      <c r="AH210">
        <f>'2026_Fantasy_Hitters'!K120</f>
        <v>40.999999999999893</v>
      </c>
      <c r="AI210">
        <f>'2026_Fantasy_Hitters'!L120</f>
        <v>38.999999999999908</v>
      </c>
      <c r="AJ210">
        <f>'2026_Fantasy_Hitters'!M120</f>
        <v>27.620600000000003</v>
      </c>
      <c r="AK210">
        <f>'2026_Fantasy_Hitters'!N120</f>
        <v>1.7603879000000002</v>
      </c>
      <c r="AL210">
        <f>'2026_Fantasy_Hitters'!O120</f>
        <v>82.083500000000001</v>
      </c>
      <c r="AM210">
        <f>'2026_Fantasy_Hitters'!P120</f>
        <v>1.9999993200000001</v>
      </c>
      <c r="AN210">
        <f>'2026_Fantasy_Hitters'!Q120</f>
        <v>1.9999993200000001</v>
      </c>
      <c r="AO210">
        <f>'2026_Fantasy_Hitters'!R120</f>
        <v>0</v>
      </c>
      <c r="AP210">
        <f>'2026_Fantasy_Hitters'!S120</f>
        <v>4.1753246753246369</v>
      </c>
      <c r="AQ210">
        <f>'2026_Fantasy_Hitters'!T120</f>
        <v>1.00421334</v>
      </c>
      <c r="AR210">
        <f>'2026_Fantasy_Hitters'!U120</f>
        <v>3.1711113353246372</v>
      </c>
      <c r="AS210">
        <f>'2026_Fantasy_Hitters'!V120</f>
        <v>0.24588904487700611</v>
      </c>
      <c r="AT210">
        <f>'2026_Fantasy_Hitters'!W120</f>
        <v>0.31173767651507878</v>
      </c>
      <c r="AU210">
        <f>'2026_Fantasy_Hitters'!X120</f>
        <v>0.40746611846009068</v>
      </c>
      <c r="AV210">
        <f>'2026_Fantasy_Hitters'!Y120</f>
        <v>0.71920379497516951</v>
      </c>
      <c r="AW210">
        <f>'2026_Fantasy_Hitters'!Z120</f>
        <v>0.2913</v>
      </c>
      <c r="AX210">
        <f>'2026_Fantasy_Hitters'!AA120</f>
        <v>0.22675000000000001</v>
      </c>
      <c r="AY210">
        <f>'2026_Fantasy_Hitters'!AB120</f>
        <v>7.6300000000000007E-2</v>
      </c>
      <c r="AZ210">
        <f t="shared" si="87"/>
        <v>3.2872930000000002E-2</v>
      </c>
    </row>
    <row r="211" spans="1:52">
      <c r="A211" t="s">
        <v>1101</v>
      </c>
      <c r="B211" t="s">
        <v>130</v>
      </c>
      <c r="C211" t="s">
        <v>20</v>
      </c>
      <c r="D211">
        <v>309</v>
      </c>
      <c r="E211">
        <v>334</v>
      </c>
      <c r="F211" s="6">
        <f t="shared" si="66"/>
        <v>-9.9473967855078254</v>
      </c>
      <c r="G211" s="5">
        <f t="shared" si="67"/>
        <v>-1.8288248887250858</v>
      </c>
      <c r="H211" s="5">
        <f t="shared" si="68"/>
        <v>-1.7606268635171907</v>
      </c>
      <c r="I211" s="5">
        <f t="shared" si="69"/>
        <v>-0.98662164217057258</v>
      </c>
      <c r="J211" s="5">
        <f t="shared" si="70"/>
        <v>-1.459781576493528</v>
      </c>
      <c r="K211" s="5">
        <f t="shared" si="71"/>
        <v>-1.6155719250388585</v>
      </c>
      <c r="L211" s="5">
        <f t="shared" si="72"/>
        <v>-0.92960174296800668</v>
      </c>
      <c r="M211" s="5">
        <f t="shared" si="73"/>
        <v>-1.9529364311088294E-2</v>
      </c>
      <c r="N211" s="5">
        <f t="shared" si="74"/>
        <v>-0.30573525576575661</v>
      </c>
      <c r="O211" s="5">
        <f t="shared" si="75"/>
        <v>-0.81928873293246574</v>
      </c>
      <c r="P211" s="1">
        <f t="shared" si="76"/>
        <v>-0.22181479358527156</v>
      </c>
      <c r="R211">
        <f t="shared" si="77"/>
        <v>56.764931130280296</v>
      </c>
      <c r="S211">
        <f t="shared" si="78"/>
        <v>64.14961373525469</v>
      </c>
      <c r="T211">
        <f t="shared" si="79"/>
        <v>56.355969898175871</v>
      </c>
      <c r="U211">
        <f t="shared" si="80"/>
        <v>62.441164781931469</v>
      </c>
      <c r="V211">
        <f t="shared" si="81"/>
        <v>41.530638955193325</v>
      </c>
      <c r="W211">
        <f t="shared" si="82"/>
        <v>54.802348919279979</v>
      </c>
      <c r="X211">
        <f t="shared" si="83"/>
        <v>99.871109230596872</v>
      </c>
      <c r="Y211">
        <f t="shared" si="84"/>
        <v>96.638495785035161</v>
      </c>
      <c r="Z211">
        <f t="shared" si="85"/>
        <v>24.666994297237324</v>
      </c>
      <c r="AA211">
        <f t="shared" si="86"/>
        <v>91.943795146313349</v>
      </c>
      <c r="AC211">
        <f>'2026_Fantasy_Hitters'!F171</f>
        <v>77.544293607269708</v>
      </c>
      <c r="AD211">
        <f>'2026_Fantasy_Hitters'!G171</f>
        <v>51.315838346651695</v>
      </c>
      <c r="AE211">
        <f>'2026_Fantasy_Hitters'!H171</f>
        <v>14.783905257812538</v>
      </c>
      <c r="AF211">
        <f>'2026_Fantasy_Hitters'!I171</f>
        <v>1.156409322318896</v>
      </c>
      <c r="AG211">
        <f>'2026_Fantasy_Hitters'!J171</f>
        <v>10.612658227848053</v>
      </c>
      <c r="AH211">
        <f>'2026_Fantasy_Hitters'!K171</f>
        <v>38.050632911392277</v>
      </c>
      <c r="AI211">
        <f>'2026_Fantasy_Hitters'!L171</f>
        <v>40.99999966</v>
      </c>
      <c r="AJ211">
        <f>'2026_Fantasy_Hitters'!M171</f>
        <v>19.505600000000001</v>
      </c>
      <c r="AK211">
        <f>'2026_Fantasy_Hitters'!N171</f>
        <v>0.68385832000000002</v>
      </c>
      <c r="AL211">
        <f>'2026_Fantasy_Hitters'!O171</f>
        <v>78.823999999999998</v>
      </c>
      <c r="AM211">
        <f>'2026_Fantasy_Hitters'!P171</f>
        <v>3.1537983399999998</v>
      </c>
      <c r="AN211">
        <f>'2026_Fantasy_Hitters'!Q171</f>
        <v>3.1708857799999999</v>
      </c>
      <c r="AO211">
        <f>'2026_Fantasy_Hitters'!R171</f>
        <v>0</v>
      </c>
      <c r="AP211">
        <f>'2026_Fantasy_Hitters'!S171</f>
        <v>2.9381879799999999</v>
      </c>
      <c r="AQ211">
        <f>'2026_Fantasy_Hitters'!T171</f>
        <v>0.97326264000000007</v>
      </c>
      <c r="AR211">
        <f>'2026_Fantasy_Hitters'!U171</f>
        <v>1.9649253399999997</v>
      </c>
      <c r="AS211">
        <f>'2026_Fantasy_Hitters'!V171</f>
        <v>0.25095240649601847</v>
      </c>
      <c r="AT211">
        <f>'2026_Fantasy_Hitters'!W171</f>
        <v>0.30354869965146875</v>
      </c>
      <c r="AU211">
        <f>'2026_Fantasy_Hitters'!X171</f>
        <v>0.41036734543891806</v>
      </c>
      <c r="AV211">
        <f>'2026_Fantasy_Hitters'!Y171</f>
        <v>0.71391604509038675</v>
      </c>
      <c r="AW211">
        <f>'2026_Fantasy_Hitters'!Z171</f>
        <v>0.30049999999999999</v>
      </c>
      <c r="AX211">
        <f>'2026_Fantasy_Hitters'!AA171</f>
        <v>0.23599999999999999</v>
      </c>
      <c r="AY211">
        <f>'2026_Fantasy_Hitters'!AB171</f>
        <v>5.8400000000000001E-2</v>
      </c>
      <c r="AZ211">
        <f t="shared" si="87"/>
        <v>3.17744258318804E-2</v>
      </c>
    </row>
    <row r="212" spans="1:52">
      <c r="A212" t="s">
        <v>1353</v>
      </c>
      <c r="B212" t="s">
        <v>1350</v>
      </c>
      <c r="C212" t="s">
        <v>884</v>
      </c>
      <c r="D212">
        <v>375</v>
      </c>
      <c r="E212">
        <v>399</v>
      </c>
      <c r="F212" s="6">
        <f t="shared" si="66"/>
        <v>-10.098736435235914</v>
      </c>
      <c r="G212" s="5">
        <f t="shared" si="67"/>
        <v>-1.7689164217878732</v>
      </c>
      <c r="H212" s="5">
        <f t="shared" si="68"/>
        <v>-1.1823361314612717</v>
      </c>
      <c r="I212" s="5">
        <f t="shared" si="69"/>
        <v>-0.80807495848066402</v>
      </c>
      <c r="J212" s="5">
        <f t="shared" si="70"/>
        <v>-1.1046296452980227</v>
      </c>
      <c r="K212" s="5">
        <f t="shared" si="71"/>
        <v>-1.784258446760987</v>
      </c>
      <c r="L212" s="5">
        <f t="shared" si="72"/>
        <v>-1.0217721123122943</v>
      </c>
      <c r="M212" s="5">
        <f t="shared" si="73"/>
        <v>-0.39399934766527134</v>
      </c>
      <c r="N212" s="5">
        <f t="shared" si="74"/>
        <v>-0.73962741200565452</v>
      </c>
      <c r="O212" s="5">
        <f t="shared" si="75"/>
        <v>-0.95789331065182637</v>
      </c>
      <c r="P212" s="1">
        <f t="shared" si="76"/>
        <v>-0.33722864881204828</v>
      </c>
      <c r="R212">
        <f t="shared" si="77"/>
        <v>58.181221290086334</v>
      </c>
      <c r="S212">
        <f t="shared" si="78"/>
        <v>75.924934529867031</v>
      </c>
      <c r="T212">
        <f t="shared" si="79"/>
        <v>64.254131163318732</v>
      </c>
      <c r="U212">
        <f t="shared" si="80"/>
        <v>71.578896807014218</v>
      </c>
      <c r="V212">
        <f t="shared" si="81"/>
        <v>35.425684425405677</v>
      </c>
      <c r="W212">
        <f t="shared" si="82"/>
        <v>50.320984480027228</v>
      </c>
      <c r="X212">
        <f t="shared" si="83"/>
        <v>97.39966553667675</v>
      </c>
      <c r="Y212">
        <f t="shared" si="84"/>
        <v>91.867929471420254</v>
      </c>
      <c r="Z212">
        <f t="shared" si="85"/>
        <v>11.922403746860127</v>
      </c>
      <c r="AA212">
        <f t="shared" si="86"/>
        <v>87.752020352432339</v>
      </c>
      <c r="AC212">
        <f>'2026_Fantasy_Hitters'!F218</f>
        <v>91.778345534466126</v>
      </c>
      <c r="AD212">
        <f>'2026_Fantasy_Hitters'!G218</f>
        <v>61.557826990320315</v>
      </c>
      <c r="AE212">
        <f>'2026_Fantasy_Hitters'!H218</f>
        <v>16.843397476614978</v>
      </c>
      <c r="AF212">
        <f>'2026_Fantasy_Hitters'!I218</f>
        <v>0.88215324513994253</v>
      </c>
      <c r="AG212">
        <f>'2026_Fantasy_Hitters'!J218</f>
        <v>12.099998190000001</v>
      </c>
      <c r="AH212">
        <f>'2026_Fantasy_Hitters'!K218</f>
        <v>38.999999639999999</v>
      </c>
      <c r="AI212">
        <f>'2026_Fantasy_Hitters'!L218</f>
        <v>46.999999999999659</v>
      </c>
      <c r="AJ212">
        <f>'2026_Fantasy_Hitters'!M218</f>
        <v>16.638300000000001</v>
      </c>
      <c r="AK212">
        <f>'2026_Fantasy_Hitters'!N218</f>
        <v>0.15000005999999999</v>
      </c>
      <c r="AL212">
        <f>'2026_Fantasy_Hitters'!O218</f>
        <v>88.478249999999605</v>
      </c>
      <c r="AM212">
        <f>'2026_Fantasy_Hitters'!P218</f>
        <v>2.8959021000000003</v>
      </c>
      <c r="AN212">
        <f>'2026_Fantasy_Hitters'!Q218</f>
        <v>2.9132546099999996</v>
      </c>
      <c r="AO212">
        <f>'2026_Fantasy_Hitters'!R218</f>
        <v>1.9900005299999999</v>
      </c>
      <c r="AP212">
        <f>'2026_Fantasy_Hitters'!S218</f>
        <v>1.9913810700000001</v>
      </c>
      <c r="AQ212">
        <f>'2026_Fantasy_Hitters'!T218</f>
        <v>1.04166531</v>
      </c>
      <c r="AR212">
        <f>'2026_Fantasy_Hitters'!U218</f>
        <v>0.94971576000000013</v>
      </c>
      <c r="AS212">
        <f>'2026_Fantasy_Hitters'!V218</f>
        <v>0.24474225475857633</v>
      </c>
      <c r="AT212">
        <f>'2026_Fantasy_Hitters'!W218</f>
        <v>0.2823970323290394</v>
      </c>
      <c r="AU212">
        <f>'2026_Fantasy_Hitters'!X218</f>
        <v>0.39010953183725361</v>
      </c>
      <c r="AV212">
        <f>'2026_Fantasy_Hitters'!Y218</f>
        <v>0.67250656416629306</v>
      </c>
      <c r="AW212">
        <f>'2026_Fantasy_Hitters'!Z218</f>
        <v>0.2873</v>
      </c>
      <c r="AX212">
        <f>'2026_Fantasy_Hitters'!AA218</f>
        <v>0.221749999999999</v>
      </c>
      <c r="AY212">
        <f>'2026_Fantasy_Hitters'!AB218</f>
        <v>4.1700000000000001E-2</v>
      </c>
      <c r="AZ212">
        <f t="shared" si="87"/>
        <v>3.0325810000000002E-2</v>
      </c>
    </row>
    <row r="213" spans="1:52">
      <c r="A213" t="s">
        <v>1067</v>
      </c>
      <c r="B213" t="s">
        <v>66</v>
      </c>
      <c r="C213" t="s">
        <v>648</v>
      </c>
      <c r="D213">
        <v>315</v>
      </c>
      <c r="E213">
        <v>360</v>
      </c>
      <c r="F213" s="6">
        <f t="shared" si="66"/>
        <v>-10.377193581935281</v>
      </c>
      <c r="G213" s="5">
        <f t="shared" si="67"/>
        <v>-1.2865197062286735</v>
      </c>
      <c r="H213" s="5">
        <f t="shared" si="68"/>
        <v>-1.8319926262017541</v>
      </c>
      <c r="I213" s="5">
        <f t="shared" si="69"/>
        <v>-1.2600554869892033</v>
      </c>
      <c r="J213" s="5">
        <f t="shared" si="70"/>
        <v>-1.8149335147920915</v>
      </c>
      <c r="K213" s="5">
        <f t="shared" si="71"/>
        <v>-0.70025354901906178</v>
      </c>
      <c r="L213" s="5">
        <f t="shared" si="72"/>
        <v>-0.79542329514142374</v>
      </c>
      <c r="M213" s="5">
        <f t="shared" si="73"/>
        <v>-0.6440254382070949</v>
      </c>
      <c r="N213" s="5">
        <f t="shared" si="74"/>
        <v>-1.3091351895884316</v>
      </c>
      <c r="O213" s="5">
        <f t="shared" si="75"/>
        <v>0.17388811622028841</v>
      </c>
      <c r="P213" s="1">
        <f t="shared" si="76"/>
        <v>-0.90874289198783498</v>
      </c>
      <c r="R213">
        <f t="shared" si="77"/>
        <v>69.585514477646825</v>
      </c>
      <c r="S213">
        <f t="shared" si="78"/>
        <v>62.696443724427596</v>
      </c>
      <c r="T213">
        <f t="shared" si="79"/>
        <v>44.260396028675572</v>
      </c>
      <c r="U213">
        <f t="shared" si="80"/>
        <v>53.30343257409357</v>
      </c>
      <c r="V213">
        <f t="shared" si="81"/>
        <v>74.657038200562837</v>
      </c>
      <c r="W213">
        <f t="shared" si="82"/>
        <v>61.326164857980523</v>
      </c>
      <c r="X213">
        <f t="shared" si="83"/>
        <v>95.749532195546863</v>
      </c>
      <c r="Y213">
        <f t="shared" si="84"/>
        <v>85.606293763085546</v>
      </c>
      <c r="Z213">
        <f t="shared" si="85"/>
        <v>115.98888636485795</v>
      </c>
      <c r="AA213">
        <f t="shared" si="86"/>
        <v>66.994902464107639</v>
      </c>
      <c r="AC213">
        <f>'2026_Fantasy_Hitters'!F166</f>
        <v>75.78769624963158</v>
      </c>
      <c r="AD213">
        <f>'2026_Fantasy_Hitters'!G166</f>
        <v>52.144539427341165</v>
      </c>
      <c r="AE213">
        <f>'2026_Fantasy_Hitters'!H166</f>
        <v>12.986754734144263</v>
      </c>
      <c r="AF213">
        <f>'2026_Fantasy_Hitters'!I166</f>
        <v>1.0170737431515182</v>
      </c>
      <c r="AG213">
        <f>'2026_Fantasy_Hitters'!J166</f>
        <v>8.3348837209301756</v>
      </c>
      <c r="AH213">
        <f>'2026_Fantasy_Hitters'!K166</f>
        <v>46.644518272425117</v>
      </c>
      <c r="AI213">
        <f>'2026_Fantasy_Hitters'!L166</f>
        <v>34.999999199999998</v>
      </c>
      <c r="AJ213">
        <f>'2026_Fantasy_Hitters'!M166</f>
        <v>35.064</v>
      </c>
      <c r="AK213">
        <f>'2026_Fantasy_Hitters'!N166</f>
        <v>0.93315599999999999</v>
      </c>
      <c r="AL213">
        <f>'2026_Fantasy_Hitters'!O166</f>
        <v>64.53</v>
      </c>
      <c r="AM213">
        <f>'2026_Fantasy_Hitters'!P166</f>
        <v>3.5292348000000002</v>
      </c>
      <c r="AN213">
        <f>'2026_Fantasy_Hitters'!Q166</f>
        <v>2.3920272000000002</v>
      </c>
      <c r="AO213">
        <f>'2026_Fantasy_Hitters'!R166</f>
        <v>1.9743336</v>
      </c>
      <c r="AP213">
        <f>'2026_Fantasy_Hitters'!S166</f>
        <v>13.236681599999999</v>
      </c>
      <c r="AQ213">
        <f>'2026_Fantasy_Hitters'!T166</f>
        <v>3.9972299168974681</v>
      </c>
      <c r="AR213">
        <f>'2026_Fantasy_Hitters'!U166</f>
        <v>9.23945168310253</v>
      </c>
      <c r="AS213">
        <f>'2026_Fantasy_Hitters'!V166</f>
        <v>0.24059586110994152</v>
      </c>
      <c r="AT213">
        <f>'2026_Fantasy_Hitters'!W166</f>
        <v>0.32630904547061296</v>
      </c>
      <c r="AU213">
        <f>'2026_Fantasy_Hitters'!X166</f>
        <v>0.36352001590096811</v>
      </c>
      <c r="AV213">
        <f>'2026_Fantasy_Hitters'!Y166</f>
        <v>0.68982906137158106</v>
      </c>
      <c r="AW213">
        <f>'2026_Fantasy_Hitters'!Z166</f>
        <v>0.27584999999999998</v>
      </c>
      <c r="AX213">
        <f>'2026_Fantasy_Hitters'!AA166</f>
        <v>0.17924999999999999</v>
      </c>
      <c r="AY213">
        <f>'2026_Fantasy_Hitters'!AB166</f>
        <v>9.74E-2</v>
      </c>
      <c r="AZ213">
        <f t="shared" si="87"/>
        <v>2.3152454780361598E-2</v>
      </c>
    </row>
    <row r="214" spans="1:52">
      <c r="A214" t="s">
        <v>1345</v>
      </c>
      <c r="B214" t="s">
        <v>1346</v>
      </c>
      <c r="C214" t="s">
        <v>20</v>
      </c>
      <c r="D214">
        <v>327</v>
      </c>
      <c r="E214">
        <v>367</v>
      </c>
      <c r="F214" s="6">
        <f t="shared" si="66"/>
        <v>-10.820731494675929</v>
      </c>
      <c r="G214" s="5">
        <f t="shared" si="67"/>
        <v>-1.6979038042936268</v>
      </c>
      <c r="H214" s="5">
        <f t="shared" si="68"/>
        <v>-1.7598479914429972</v>
      </c>
      <c r="I214" s="5">
        <f t="shared" si="69"/>
        <v>-1.2009555513332575</v>
      </c>
      <c r="J214" s="5">
        <f t="shared" si="70"/>
        <v>-1.5781655261330831</v>
      </c>
      <c r="K214" s="5">
        <f t="shared" si="71"/>
        <v>-0.97753058509082424</v>
      </c>
      <c r="L214" s="5">
        <f t="shared" si="72"/>
        <v>-0.65462257240955102</v>
      </c>
      <c r="M214" s="5">
        <f t="shared" si="73"/>
        <v>-0.84896713739326157</v>
      </c>
      <c r="N214" s="5">
        <f t="shared" si="74"/>
        <v>-0.95467325131879122</v>
      </c>
      <c r="O214" s="5">
        <f t="shared" si="75"/>
        <v>-0.31101608023097521</v>
      </c>
      <c r="P214" s="1">
        <f t="shared" si="76"/>
        <v>-0.83704899502956065</v>
      </c>
      <c r="R214">
        <f t="shared" si="77"/>
        <v>59.86002357832681</v>
      </c>
      <c r="S214">
        <f t="shared" si="78"/>
        <v>64.165473350536757</v>
      </c>
      <c r="T214">
        <f t="shared" si="79"/>
        <v>46.874730906947015</v>
      </c>
      <c r="U214">
        <f t="shared" si="80"/>
        <v>59.395254812539648</v>
      </c>
      <c r="V214">
        <f t="shared" si="81"/>
        <v>64.622071090618931</v>
      </c>
      <c r="W214">
        <f t="shared" si="82"/>
        <v>68.171958754224761</v>
      </c>
      <c r="X214">
        <f t="shared" si="83"/>
        <v>94.39694883081863</v>
      </c>
      <c r="Y214">
        <f t="shared" si="84"/>
        <v>89.503539098935434</v>
      </c>
      <c r="Z214">
        <f t="shared" si="85"/>
        <v>71.402296645983199</v>
      </c>
      <c r="AA214">
        <f t="shared" si="86"/>
        <v>69.598789749167963</v>
      </c>
      <c r="AC214">
        <f>'2026_Fantasy_Hitters'!F213</f>
        <v>77.563464769687101</v>
      </c>
      <c r="AD214">
        <f>'2026_Fantasy_Hitters'!G213</f>
        <v>51.400573386979204</v>
      </c>
      <c r="AE214">
        <f>'2026_Fantasy_Hitters'!H213</f>
        <v>16.215356050239631</v>
      </c>
      <c r="AF214">
        <f>'2026_Fantasy_Hitters'!I213</f>
        <v>1.7141948024008924</v>
      </c>
      <c r="AG214">
        <f>'2026_Fantasy_Hitters'!J213</f>
        <v>8.8272014399999996</v>
      </c>
      <c r="AH214">
        <f>'2026_Fantasy_Hitters'!K213</f>
        <v>40.125333333333209</v>
      </c>
      <c r="AI214">
        <f>'2026_Fantasy_Hitters'!L213</f>
        <v>39.000000010000001</v>
      </c>
      <c r="AJ214">
        <f>'2026_Fantasy_Hitters'!M213</f>
        <v>30.350899999999999</v>
      </c>
      <c r="AK214">
        <f>'2026_Fantasy_Hitters'!N213</f>
        <v>1.1646084399999999</v>
      </c>
      <c r="AL214">
        <f>'2026_Fantasy_Hitters'!O213</f>
        <v>79.877549999999644</v>
      </c>
      <c r="AM214">
        <f>'2026_Fantasy_Hitters'!P213</f>
        <v>3.9232006400000001</v>
      </c>
      <c r="AN214">
        <f>'2026_Fantasy_Hitters'!Q213</f>
        <v>1.9573321099999998</v>
      </c>
      <c r="AO214">
        <f>'2026_Fantasy_Hitters'!R213</f>
        <v>0.90000144000000004</v>
      </c>
      <c r="AP214">
        <f>'2026_Fantasy_Hitters'!S213</f>
        <v>7.5420151500000001</v>
      </c>
      <c r="AQ214">
        <f>'2026_Fantasy_Hitters'!T213</f>
        <v>1.8542454800000001</v>
      </c>
      <c r="AR214">
        <f>'2026_Fantasy_Hitters'!U213</f>
        <v>5.6877696699999998</v>
      </c>
      <c r="AS214">
        <f>'2026_Fantasy_Hitters'!V213</f>
        <v>0.23719713996846209</v>
      </c>
      <c r="AT214">
        <f>'2026_Fantasy_Hitters'!W213</f>
        <v>0.31348318413468085</v>
      </c>
      <c r="AU214">
        <f>'2026_Fantasy_Hitters'!X213</f>
        <v>0.38006934450966712</v>
      </c>
      <c r="AV214">
        <f>'2026_Fantasy_Hitters'!Y213</f>
        <v>0.69355252864434802</v>
      </c>
      <c r="AW214">
        <f>'2026_Fantasy_Hitters'!Z213</f>
        <v>0.28610000000000002</v>
      </c>
      <c r="AX214">
        <f>'2026_Fantasy_Hitters'!AA213</f>
        <v>0.21764999999999901</v>
      </c>
      <c r="AY214">
        <f>'2026_Fantasy_Hitters'!AB213</f>
        <v>8.2699999999999996E-2</v>
      </c>
      <c r="AZ214">
        <f t="shared" si="87"/>
        <v>2.4052319999999999E-2</v>
      </c>
    </row>
    <row r="215" spans="1:52">
      <c r="A215" t="s">
        <v>1260</v>
      </c>
      <c r="B215" t="s">
        <v>19</v>
      </c>
      <c r="C215" t="s">
        <v>20</v>
      </c>
      <c r="D215">
        <v>214</v>
      </c>
      <c r="E215">
        <v>240</v>
      </c>
      <c r="F215" s="6">
        <f t="shared" si="66"/>
        <v>-12.699762633870478</v>
      </c>
      <c r="G215" s="5">
        <f t="shared" si="67"/>
        <v>-2.237211563609713</v>
      </c>
      <c r="H215" s="5">
        <f t="shared" si="68"/>
        <v>-2.8065018378443249</v>
      </c>
      <c r="I215" s="5">
        <f t="shared" si="69"/>
        <v>-1.2992636503024539</v>
      </c>
      <c r="J215" s="5">
        <f t="shared" si="70"/>
        <v>-2.3476613340438828</v>
      </c>
      <c r="K215" s="5">
        <f t="shared" si="71"/>
        <v>-1.449997570512036</v>
      </c>
      <c r="L215" s="5">
        <f t="shared" si="72"/>
        <v>-1.4405808274237715</v>
      </c>
      <c r="M215" s="5">
        <f t="shared" si="73"/>
        <v>-0.55565946894557028</v>
      </c>
      <c r="N215" s="5">
        <f t="shared" si="74"/>
        <v>-0.59830502460473589</v>
      </c>
      <c r="O215" s="5">
        <f t="shared" si="75"/>
        <v>0.13028721884199335</v>
      </c>
      <c r="P215" s="1">
        <f t="shared" si="76"/>
        <v>-9.4868575425982565E-2</v>
      </c>
      <c r="R215">
        <f t="shared" si="77"/>
        <v>47.110302016816355</v>
      </c>
      <c r="S215">
        <f t="shared" si="78"/>
        <v>42.853209260683101</v>
      </c>
      <c r="T215">
        <f t="shared" si="79"/>
        <v>42.525990267905826</v>
      </c>
      <c r="U215">
        <f t="shared" si="80"/>
        <v>39.59683653153995</v>
      </c>
      <c r="V215">
        <f t="shared" si="81"/>
        <v>47.522960661549241</v>
      </c>
      <c r="W215">
        <f t="shared" si="82"/>
        <v>29.958318081902064</v>
      </c>
      <c r="X215">
        <f t="shared" si="83"/>
        <v>96.332733859756019</v>
      </c>
      <c r="Y215">
        <f t="shared" si="84"/>
        <v>93.421743733786641</v>
      </c>
      <c r="Z215">
        <f t="shared" si="85"/>
        <v>111.97981542464349</v>
      </c>
      <c r="AA215">
        <f t="shared" si="86"/>
        <v>96.554419723518961</v>
      </c>
      <c r="AC215">
        <f>'2026_Fantasy_Hitters'!F199</f>
        <v>51.801120029160003</v>
      </c>
      <c r="AD215">
        <f>'2026_Fantasy_Hitters'!G199</f>
        <v>33.027108031991474</v>
      </c>
      <c r="AE215">
        <f>'2026_Fantasy_Hitters'!H199</f>
        <v>9.7165386889698322</v>
      </c>
      <c r="AF215">
        <f>'2026_Fantasy_Hitters'!I199</f>
        <v>0.1340595495907532</v>
      </c>
      <c r="AG215">
        <f>'2026_Fantasy_Hitters'!J199</f>
        <v>8.0082696000000002</v>
      </c>
      <c r="AH215">
        <f>'2026_Fantasy_Hitters'!K199</f>
        <v>31.578948</v>
      </c>
      <c r="AI215">
        <f>'2026_Fantasy_Hitters'!L199</f>
        <v>25.999999999999922</v>
      </c>
      <c r="AJ215">
        <f>'2026_Fantasy_Hitters'!M199</f>
        <v>22.32</v>
      </c>
      <c r="AK215">
        <f>'2026_Fantasy_Hitters'!N199</f>
        <v>0.2353392</v>
      </c>
      <c r="AL215">
        <f>'2026_Fantasy_Hitters'!O199</f>
        <v>60.419999999999995</v>
      </c>
      <c r="AM215">
        <f>'2026_Fantasy_Hitters'!P199</f>
        <v>1.7240592000000001</v>
      </c>
      <c r="AN215">
        <f>'2026_Fantasy_Hitters'!Q199</f>
        <v>1.8045119999999999</v>
      </c>
      <c r="AO215">
        <f>'2026_Fantasy_Hitters'!R199</f>
        <v>0</v>
      </c>
      <c r="AP215">
        <f>'2026_Fantasy_Hitters'!S199</f>
        <v>10.9285704</v>
      </c>
      <c r="AQ215">
        <f>'2026_Fantasy_Hitters'!T199</f>
        <v>2.0084735999999999</v>
      </c>
      <c r="AR215">
        <f>'2026_Fantasy_Hitters'!U199</f>
        <v>8.9200967999999996</v>
      </c>
      <c r="AS215">
        <f>'2026_Fantasy_Hitters'!V199</f>
        <v>0.24206130854747665</v>
      </c>
      <c r="AT215">
        <f>'2026_Fantasy_Hitters'!W199</f>
        <v>0.31918344488864159</v>
      </c>
      <c r="AU215">
        <f>'2026_Fantasy_Hitters'!X199</f>
        <v>0.39670767504067012</v>
      </c>
      <c r="AV215">
        <f>'2026_Fantasy_Hitters'!Y199</f>
        <v>0.71589111992931165</v>
      </c>
      <c r="AW215">
        <f>'2026_Fantasy_Hitters'!Z199</f>
        <v>0.29715000000000003</v>
      </c>
      <c r="AX215">
        <f>'2026_Fantasy_Hitters'!AA199</f>
        <v>0.25174999999999997</v>
      </c>
      <c r="AY215">
        <f>'2026_Fantasy_Hitters'!AB199</f>
        <v>9.2999999999999999E-2</v>
      </c>
      <c r="AZ215">
        <f t="shared" si="87"/>
        <v>3.3367790000000001E-2</v>
      </c>
    </row>
    <row r="216" spans="1:52">
      <c r="A216" t="s">
        <v>841</v>
      </c>
      <c r="B216" t="s">
        <v>293</v>
      </c>
      <c r="C216" t="s">
        <v>352</v>
      </c>
      <c r="D216">
        <v>311</v>
      </c>
      <c r="E216">
        <v>330</v>
      </c>
      <c r="F216" s="6">
        <f t="shared" si="66"/>
        <v>-13.034209809095193</v>
      </c>
      <c r="G216" s="5">
        <f t="shared" si="67"/>
        <v>-2.1009663805153784</v>
      </c>
      <c r="H216" s="5">
        <f t="shared" si="68"/>
        <v>-1.9652346196279158</v>
      </c>
      <c r="I216" s="5">
        <f t="shared" si="69"/>
        <v>-1.2533124211393736</v>
      </c>
      <c r="J216" s="5">
        <f t="shared" si="70"/>
        <v>-1.637357511903381</v>
      </c>
      <c r="K216" s="5">
        <f t="shared" si="71"/>
        <v>-2.0176003890434404</v>
      </c>
      <c r="L216" s="5">
        <f t="shared" si="72"/>
        <v>-0.55729476148215229</v>
      </c>
      <c r="M216" s="5">
        <f t="shared" si="73"/>
        <v>-1.0933132661766201</v>
      </c>
      <c r="N216" s="5">
        <f t="shared" si="74"/>
        <v>-1.135715060595182</v>
      </c>
      <c r="O216" s="5">
        <f t="shared" si="75"/>
        <v>-0.54592471235300644</v>
      </c>
      <c r="P216" s="1">
        <f t="shared" si="76"/>
        <v>-0.72749068625874436</v>
      </c>
      <c r="R216">
        <f t="shared" si="77"/>
        <v>50.331260956388505</v>
      </c>
      <c r="S216">
        <f t="shared" si="78"/>
        <v>59.983332258281933</v>
      </c>
      <c r="T216">
        <f t="shared" si="79"/>
        <v>44.558681162864509</v>
      </c>
      <c r="U216">
        <f t="shared" si="80"/>
        <v>57.87229954609694</v>
      </c>
      <c r="V216">
        <f t="shared" si="81"/>
        <v>26.980777665911816</v>
      </c>
      <c r="W216">
        <f t="shared" si="82"/>
        <v>72.90408030199842</v>
      </c>
      <c r="X216">
        <f t="shared" si="83"/>
        <v>92.784302354574223</v>
      </c>
      <c r="Y216">
        <f t="shared" si="84"/>
        <v>87.513016928231977</v>
      </c>
      <c r="Z216">
        <f t="shared" si="85"/>
        <v>49.802618032148438</v>
      </c>
      <c r="AA216">
        <f t="shared" si="86"/>
        <v>73.577893958652794</v>
      </c>
      <c r="AC216">
        <f>'2026_Fantasy_Hitters'!F127</f>
        <v>72.508076936749774</v>
      </c>
      <c r="AD216">
        <f>'2026_Fantasy_Hitters'!G127</f>
        <v>48.930830425769287</v>
      </c>
      <c r="AE216">
        <f>'2026_Fantasy_Hitters'!H127</f>
        <v>14.91705603700599</v>
      </c>
      <c r="AF216">
        <f>'2026_Fantasy_Hitters'!I127</f>
        <v>1.0812160887445033</v>
      </c>
      <c r="AG216">
        <f>'2026_Fantasy_Hitters'!J127</f>
        <v>8.3910552000000003</v>
      </c>
      <c r="AH216">
        <f>'2026_Fantasy_Hitters'!K127</f>
        <v>33.738019169328872</v>
      </c>
      <c r="AI216">
        <f>'2026_Fantasy_Hitters'!L127</f>
        <v>37.99999999999995</v>
      </c>
      <c r="AJ216">
        <f>'2026_Fantasy_Hitters'!M127</f>
        <v>12.671999999999999</v>
      </c>
      <c r="AK216">
        <f>'2026_Fantasy_Hitters'!N127</f>
        <v>0</v>
      </c>
      <c r="AL216">
        <f>'2026_Fantasy_Hitters'!O127</f>
        <v>78.754500000000007</v>
      </c>
      <c r="AM216">
        <f>'2026_Fantasy_Hitters'!P127</f>
        <v>4.1955276000000001</v>
      </c>
      <c r="AN216">
        <f>'2026_Fantasy_Hitters'!Q127</f>
        <v>2.1086274</v>
      </c>
      <c r="AO216">
        <f>'2026_Fantasy_Hitters'!R127</f>
        <v>0</v>
      </c>
      <c r="AP216">
        <f>'2026_Fantasy_Hitters'!S127</f>
        <v>5.0357142000000001</v>
      </c>
      <c r="AQ216">
        <f>'2026_Fantasy_Hitters'!T127</f>
        <v>1.0685334</v>
      </c>
      <c r="AR216">
        <f>'2026_Fantasy_Hitters'!U127</f>
        <v>3.9671808000000004</v>
      </c>
      <c r="AS216">
        <f>'2026_Fantasy_Hitters'!V127</f>
        <v>0.23314494191880955</v>
      </c>
      <c r="AT216">
        <f>'2026_Fantasy_Hitters'!W127</f>
        <v>0.27434290752658108</v>
      </c>
      <c r="AU216">
        <f>'2026_Fantasy_Hitters'!X127</f>
        <v>0.37161675744699285</v>
      </c>
      <c r="AV216">
        <f>'2026_Fantasy_Hitters'!Y127</f>
        <v>0.64595966497357393</v>
      </c>
      <c r="AW216">
        <f>'2026_Fantasy_Hitters'!Z127</f>
        <v>0.283749999999999</v>
      </c>
      <c r="AX216">
        <f>'2026_Fantasy_Hitters'!AA127</f>
        <v>0.23865</v>
      </c>
      <c r="AY216">
        <f>'2026_Fantasy_Hitters'!AB127</f>
        <v>3.8399999999999997E-2</v>
      </c>
      <c r="AZ216">
        <f t="shared" si="87"/>
        <v>2.5427440000000003E-2</v>
      </c>
    </row>
    <row r="217" spans="1:52">
      <c r="A217" t="s">
        <v>914</v>
      </c>
      <c r="B217" t="s">
        <v>228</v>
      </c>
      <c r="C217" t="s">
        <v>49</v>
      </c>
      <c r="D217">
        <v>263</v>
      </c>
      <c r="E217">
        <v>295</v>
      </c>
      <c r="F217" s="6">
        <f t="shared" si="66"/>
        <v>-13.244714234621693</v>
      </c>
      <c r="G217" s="5">
        <f t="shared" si="67"/>
        <v>-1.985527369323981</v>
      </c>
      <c r="H217" s="5">
        <f t="shared" si="68"/>
        <v>-2.3723343718322911</v>
      </c>
      <c r="I217" s="5">
        <f t="shared" si="69"/>
        <v>-1.4864527598073352</v>
      </c>
      <c r="J217" s="5">
        <f t="shared" si="70"/>
        <v>-2.0517014081520184</v>
      </c>
      <c r="K217" s="5">
        <f t="shared" si="71"/>
        <v>-1.3799002696952691</v>
      </c>
      <c r="L217" s="5">
        <f t="shared" si="72"/>
        <v>-0.94008417740174743</v>
      </c>
      <c r="M217" s="5">
        <f t="shared" si="73"/>
        <v>-0.82492222386402614</v>
      </c>
      <c r="N217" s="5">
        <f t="shared" si="74"/>
        <v>-1.2317777583005713</v>
      </c>
      <c r="O217" s="5">
        <f t="shared" si="75"/>
        <v>3.963747882279274E-2</v>
      </c>
      <c r="P217" s="1">
        <f t="shared" si="76"/>
        <v>-1.0116513750672433</v>
      </c>
      <c r="R217">
        <f t="shared" si="77"/>
        <v>53.060343237520279</v>
      </c>
      <c r="S217">
        <f t="shared" si="78"/>
        <v>51.693851013145583</v>
      </c>
      <c r="T217">
        <f t="shared" si="79"/>
        <v>34.245524098532783</v>
      </c>
      <c r="U217">
        <f t="shared" si="80"/>
        <v>47.21161278760507</v>
      </c>
      <c r="V217">
        <f t="shared" si="81"/>
        <v>50.059860644893142</v>
      </c>
      <c r="W217">
        <f t="shared" si="82"/>
        <v>54.292688284931266</v>
      </c>
      <c r="X217">
        <f t="shared" si="83"/>
        <v>94.555641523302015</v>
      </c>
      <c r="Y217">
        <f t="shared" si="84"/>
        <v>86.456824823632317</v>
      </c>
      <c r="Z217">
        <f t="shared" si="85"/>
        <v>103.64463747415738</v>
      </c>
      <c r="AA217">
        <f t="shared" si="86"/>
        <v>63.257316672512715</v>
      </c>
      <c r="AC217">
        <f>'2026_Fantasy_Hitters'!F139</f>
        <v>62.487720926849988</v>
      </c>
      <c r="AD217">
        <f>'2026_Fantasy_Hitters'!G139</f>
        <v>42.640420894339442</v>
      </c>
      <c r="AE217">
        <f>'2026_Fantasy_Hitters'!H139</f>
        <v>11.462478735037468</v>
      </c>
      <c r="AF217">
        <f>'2026_Fantasy_Hitters'!I139</f>
        <v>1.7315071388954386</v>
      </c>
      <c r="AG217">
        <f>'2026_Fantasy_Hitters'!J139</f>
        <v>6.4489359999999998</v>
      </c>
      <c r="AH217">
        <f>'2026_Fantasy_Hitters'!K139</f>
        <v>35.56737588652458</v>
      </c>
      <c r="AI217">
        <f>'2026_Fantasy_Hitters'!L139</f>
        <v>30.999999999999744</v>
      </c>
      <c r="AJ217">
        <f>'2026_Fantasy_Hitters'!M139</f>
        <v>23.511499999999998</v>
      </c>
      <c r="AK217">
        <f>'2026_Fantasy_Hitters'!N139</f>
        <v>0</v>
      </c>
      <c r="AL217">
        <f>'2026_Fantasy_Hitters'!O139</f>
        <v>58.468999999999994</v>
      </c>
      <c r="AM217">
        <f>'2026_Fantasy_Hitters'!P139</f>
        <v>3.1244680851063666</v>
      </c>
      <c r="AN217">
        <f>'2026_Fantasy_Hitters'!Q139</f>
        <v>2.0921989999999999</v>
      </c>
      <c r="AO217">
        <f>'2026_Fantasy_Hitters'!R139</f>
        <v>0.90000075000000002</v>
      </c>
      <c r="AP217">
        <f>'2026_Fantasy_Hitters'!S139</f>
        <v>11.176588300000001</v>
      </c>
      <c r="AQ217">
        <f>'2026_Fantasy_Hitters'!T139</f>
        <v>2.9204557499999999</v>
      </c>
      <c r="AR217">
        <f>'2026_Fantasy_Hitters'!U139</f>
        <v>8.2561325500000002</v>
      </c>
      <c r="AS217">
        <f>'2026_Fantasy_Hitters'!V139</f>
        <v>0.23759589706026613</v>
      </c>
      <c r="AT217">
        <f>'2026_Fantasy_Hitters'!W139</f>
        <v>0.3088099332086397</v>
      </c>
      <c r="AU217">
        <f>'2026_Fantasy_Hitters'!X139</f>
        <v>0.3671317254034247</v>
      </c>
      <c r="AV217">
        <f>'2026_Fantasy_Hitters'!Y139</f>
        <v>0.67594165861206434</v>
      </c>
      <c r="AW217">
        <f>'2026_Fantasy_Hitters'!Z139</f>
        <v>0.27994999999999998</v>
      </c>
      <c r="AX217">
        <f>'2026_Fantasy_Hitters'!AA139</f>
        <v>0.19819999999999999</v>
      </c>
      <c r="AY217">
        <f>'2026_Fantasy_Hitters'!AB139</f>
        <v>7.9699999999999993E-2</v>
      </c>
      <c r="AZ217">
        <f t="shared" si="87"/>
        <v>2.18608E-2</v>
      </c>
    </row>
    <row r="218" spans="1:52">
      <c r="A218" t="s">
        <v>1338</v>
      </c>
      <c r="B218" t="s">
        <v>404</v>
      </c>
      <c r="C218" t="s">
        <v>20</v>
      </c>
      <c r="D218">
        <v>294</v>
      </c>
      <c r="E218">
        <v>314</v>
      </c>
      <c r="F218" s="6">
        <f t="shared" si="66"/>
        <v>-14.198163376077808</v>
      </c>
      <c r="G218" s="5">
        <f t="shared" si="67"/>
        <v>-2.0355137313385288</v>
      </c>
      <c r="H218" s="5">
        <f t="shared" si="68"/>
        <v>-1.7236546959284087</v>
      </c>
      <c r="I218" s="5">
        <f t="shared" si="69"/>
        <v>-2.1260985380401323</v>
      </c>
      <c r="J218" s="5">
        <f t="shared" si="70"/>
        <v>-2.2292774477397472</v>
      </c>
      <c r="K218" s="5">
        <f t="shared" si="71"/>
        <v>-1.9521448650075757</v>
      </c>
      <c r="L218" s="5">
        <f t="shared" si="72"/>
        <v>-0.96256610021675826</v>
      </c>
      <c r="M218" s="5">
        <f t="shared" si="73"/>
        <v>0.93917751234092994</v>
      </c>
      <c r="N218" s="5">
        <f t="shared" si="74"/>
        <v>-1.8822072240934096</v>
      </c>
      <c r="O218" s="5">
        <f t="shared" si="75"/>
        <v>0.24315067729339268</v>
      </c>
      <c r="P218" s="1">
        <f t="shared" si="76"/>
        <v>-2.4690289633475704</v>
      </c>
      <c r="R218">
        <f t="shared" si="77"/>
        <v>51.878620581857874</v>
      </c>
      <c r="S218">
        <f t="shared" si="78"/>
        <v>64.902451554879264</v>
      </c>
      <c r="T218">
        <f t="shared" si="79"/>
        <v>5.9502603353336951</v>
      </c>
      <c r="U218">
        <f t="shared" si="80"/>
        <v>42.642744871369764</v>
      </c>
      <c r="V218">
        <f t="shared" si="81"/>
        <v>29.34968653831497</v>
      </c>
      <c r="W218">
        <f t="shared" si="82"/>
        <v>53.199607177130993</v>
      </c>
      <c r="X218">
        <f t="shared" si="83"/>
        <v>106.19842562428084</v>
      </c>
      <c r="Y218">
        <f t="shared" si="84"/>
        <v>79.305469690173169</v>
      </c>
      <c r="Z218">
        <f t="shared" si="85"/>
        <v>122.35752869883987</v>
      </c>
      <c r="AA218">
        <f t="shared" si="86"/>
        <v>10.326075204865731</v>
      </c>
      <c r="AC218">
        <f>'2026_Fantasy_Hitters'!F206</f>
        <v>78.45432678633999</v>
      </c>
      <c r="AD218">
        <f>'2026_Fantasy_Hitters'!G206</f>
        <v>61.510118926181164</v>
      </c>
      <c r="AE218">
        <f>'2026_Fantasy_Hitters'!H206</f>
        <v>14.019230844877509</v>
      </c>
      <c r="AF218">
        <f>'2026_Fantasy_Hitters'!I206</f>
        <v>1.6593251846492512</v>
      </c>
      <c r="AG218">
        <f>'2026_Fantasy_Hitters'!J206</f>
        <v>1.12052156</v>
      </c>
      <c r="AH218">
        <f>'2026_Fantasy_Hitters'!K206</f>
        <v>34.775244299674128</v>
      </c>
      <c r="AI218">
        <f>'2026_Fantasy_Hitters'!L206</f>
        <v>27.99999858</v>
      </c>
      <c r="AJ218">
        <f>'2026_Fantasy_Hitters'!M206</f>
        <v>13.784599999999967</v>
      </c>
      <c r="AK218">
        <f>'2026_Fantasy_Hitters'!N206</f>
        <v>0</v>
      </c>
      <c r="AL218">
        <f>'2026_Fantasy_Hitters'!O206</f>
        <v>52.6892</v>
      </c>
      <c r="AM218">
        <f>'2026_Fantasy_Hitters'!P206</f>
        <v>3.0615628000000004</v>
      </c>
      <c r="AN218">
        <f>'2026_Fantasy_Hitters'!Q206</f>
        <v>2.0456032400000002</v>
      </c>
      <c r="AO218">
        <f>'2026_Fantasy_Hitters'!R206</f>
        <v>0.99154606000000001</v>
      </c>
      <c r="AP218">
        <f>'2026_Fantasy_Hitters'!S206</f>
        <v>12.95408256</v>
      </c>
      <c r="AQ218">
        <f>'2026_Fantasy_Hitters'!T206</f>
        <v>3.207317073170707</v>
      </c>
      <c r="AR218">
        <f>'2026_Fantasy_Hitters'!U206</f>
        <v>9.7467654868292932</v>
      </c>
      <c r="AS218">
        <f>'2026_Fantasy_Hitters'!V206</f>
        <v>0.26685145165421764</v>
      </c>
      <c r="AT218">
        <f>'2026_Fantasy_Hitters'!W206</f>
        <v>0.30758941055374939</v>
      </c>
      <c r="AU218">
        <f>'2026_Fantasy_Hitters'!X206</f>
        <v>0.33676408982953721</v>
      </c>
      <c r="AV218">
        <f>'2026_Fantasy_Hitters'!Y206</f>
        <v>0.64435350038328654</v>
      </c>
      <c r="AW218">
        <f>'2026_Fantasy_Hitters'!Z206</f>
        <v>0.31924999999999998</v>
      </c>
      <c r="AX218">
        <f>'2026_Fantasy_Hitters'!AA206</f>
        <v>0.1678</v>
      </c>
      <c r="AY218">
        <f>'2026_Fantasy_Hitters'!AB206</f>
        <v>4.3899999999999897E-2</v>
      </c>
      <c r="AZ218">
        <f t="shared" si="87"/>
        <v>3.5685400000000003E-3</v>
      </c>
    </row>
    <row r="219" spans="1:52">
      <c r="A219" t="s">
        <v>1238</v>
      </c>
      <c r="B219" t="s">
        <v>123</v>
      </c>
      <c r="C219" t="s">
        <v>20</v>
      </c>
      <c r="D219">
        <v>110</v>
      </c>
      <c r="E219">
        <v>123</v>
      </c>
      <c r="F219" s="6">
        <f t="shared" si="66"/>
        <v>-17.582222227663408</v>
      </c>
      <c r="G219" s="5">
        <f t="shared" si="67"/>
        <v>-3.3343713171963487</v>
      </c>
      <c r="H219" s="5">
        <f t="shared" si="68"/>
        <v>-3.9219905516217457</v>
      </c>
      <c r="I219" s="5">
        <f t="shared" si="69"/>
        <v>-1.5922872738135998</v>
      </c>
      <c r="J219" s="5">
        <f t="shared" si="70"/>
        <v>-2.9395811858276293</v>
      </c>
      <c r="K219" s="5">
        <f t="shared" si="71"/>
        <v>-2.1024407730198229</v>
      </c>
      <c r="L219" s="5">
        <f t="shared" si="72"/>
        <v>-1.4780457017658017</v>
      </c>
      <c r="M219" s="5">
        <f t="shared" si="73"/>
        <v>-1.80675144263162</v>
      </c>
      <c r="N219" s="5">
        <f t="shared" si="74"/>
        <v>-0.17201516505340742</v>
      </c>
      <c r="O219" s="5">
        <f t="shared" si="75"/>
        <v>-1.0875561452639877</v>
      </c>
      <c r="P219" s="1">
        <f t="shared" si="76"/>
        <v>0.85281732853055525</v>
      </c>
      <c r="R219">
        <f t="shared" si="77"/>
        <v>21.172456463723847</v>
      </c>
      <c r="S219">
        <f t="shared" si="78"/>
        <v>20.139309971997122</v>
      </c>
      <c r="T219">
        <f t="shared" si="79"/>
        <v>29.56384622155106</v>
      </c>
      <c r="U219">
        <f t="shared" si="80"/>
        <v>24.367284019409254</v>
      </c>
      <c r="V219">
        <f t="shared" si="81"/>
        <v>23.910308957577584</v>
      </c>
      <c r="W219">
        <f t="shared" si="82"/>
        <v>28.136759192729045</v>
      </c>
      <c r="X219">
        <f t="shared" si="83"/>
        <v>88.07572126508839</v>
      </c>
      <c r="Y219">
        <f t="shared" si="84"/>
        <v>98.108724160984778</v>
      </c>
      <c r="Z219">
        <f t="shared" si="85"/>
        <v>0</v>
      </c>
      <c r="AA219">
        <f t="shared" si="86"/>
        <v>130.97390841416026</v>
      </c>
      <c r="AC219">
        <f>'2026_Fantasy_Hitters'!F195</f>
        <v>24.344473404959921</v>
      </c>
      <c r="AD219">
        <f>'2026_Fantasy_Hitters'!G195</f>
        <v>14.045814472223295</v>
      </c>
      <c r="AE219">
        <f>'2026_Fantasy_Hitters'!H195</f>
        <v>4.7560585504010229</v>
      </c>
      <c r="AF219">
        <f>'2026_Fantasy_Hitters'!I195</f>
        <v>0</v>
      </c>
      <c r="AG219">
        <f>'2026_Fantasy_Hitters'!J195</f>
        <v>5.5673071800000002</v>
      </c>
      <c r="AH219">
        <f>'2026_Fantasy_Hitters'!K195</f>
        <v>14.192307692307645</v>
      </c>
      <c r="AI219">
        <f>'2026_Fantasy_Hitters'!L195</f>
        <v>15.999999999999984</v>
      </c>
      <c r="AJ219">
        <f>'2026_Fantasy_Hitters'!M195</f>
        <v>11.229900000000001</v>
      </c>
      <c r="AK219">
        <f>'2026_Fantasy_Hitters'!N195</f>
        <v>0</v>
      </c>
      <c r="AL219">
        <f>'2026_Fantasy_Hitters'!O195</f>
        <v>27.853350000000002</v>
      </c>
      <c r="AM219">
        <f>'2026_Fantasy_Hitters'!P195</f>
        <v>1.6192310399999998</v>
      </c>
      <c r="AN219">
        <f>'2026_Fantasy_Hitters'!Q195</f>
        <v>0.78846198000000001</v>
      </c>
      <c r="AO219">
        <f>'2026_Fantasy_Hitters'!R195</f>
        <v>0</v>
      </c>
      <c r="AP219">
        <f>'2026_Fantasy_Hitters'!S195</f>
        <v>0</v>
      </c>
      <c r="AQ219">
        <f>'2026_Fantasy_Hitters'!T195</f>
        <v>0</v>
      </c>
      <c r="AR219">
        <f>'2026_Fantasy_Hitters'!U195</f>
        <v>0</v>
      </c>
      <c r="AS219">
        <f>'2026_Fantasy_Hitters'!V195</f>
        <v>0.22131339459054472</v>
      </c>
      <c r="AT219">
        <f>'2026_Fantasy_Hitters'!W195</f>
        <v>0.30481973238631344</v>
      </c>
      <c r="AU219">
        <f>'2026_Fantasy_Hitters'!X195</f>
        <v>0.41661054811841219</v>
      </c>
      <c r="AV219">
        <f>'2026_Fantasy_Hitters'!Y195</f>
        <v>0.72143028050472569</v>
      </c>
      <c r="AW219">
        <f>'2026_Fantasy_Hitters'!Z195</f>
        <v>0.242699999999999</v>
      </c>
      <c r="AX219">
        <f>'2026_Fantasy_Hitters'!AA195</f>
        <v>0.22645000000000001</v>
      </c>
      <c r="AY219">
        <f>'2026_Fantasy_Hitters'!AB195</f>
        <v>9.1300000000000006E-2</v>
      </c>
      <c r="AZ219">
        <f t="shared" si="87"/>
        <v>4.5262660000000003E-2</v>
      </c>
    </row>
    <row r="220" spans="1:52">
      <c r="A220" t="s">
        <v>1354</v>
      </c>
      <c r="B220" t="s">
        <v>376</v>
      </c>
      <c r="C220" t="s">
        <v>20</v>
      </c>
      <c r="D220">
        <v>115</v>
      </c>
      <c r="E220">
        <v>126</v>
      </c>
      <c r="F220" s="6">
        <f t="shared" si="66"/>
        <v>-18.548308031365934</v>
      </c>
      <c r="G220" s="5">
        <f t="shared" si="67"/>
        <v>-3.2834030099640037</v>
      </c>
      <c r="H220" s="5">
        <f t="shared" si="68"/>
        <v>-3.7673356373574052</v>
      </c>
      <c r="I220" s="5">
        <f t="shared" si="69"/>
        <v>-1.9004779231399913</v>
      </c>
      <c r="J220" s="5">
        <f t="shared" si="70"/>
        <v>-3.1763490910259375</v>
      </c>
      <c r="K220" s="5">
        <f t="shared" si="71"/>
        <v>-2.2368052088867252</v>
      </c>
      <c r="L220" s="5">
        <f t="shared" si="72"/>
        <v>-1.6993545882464707</v>
      </c>
      <c r="M220" s="5">
        <f t="shared" si="73"/>
        <v>-0.39096276387791007</v>
      </c>
      <c r="N220" s="5">
        <f t="shared" si="74"/>
        <v>-0.59915888378585813</v>
      </c>
      <c r="O220" s="5">
        <f t="shared" si="75"/>
        <v>-0.63806761292371172</v>
      </c>
      <c r="P220" s="1">
        <f t="shared" si="76"/>
        <v>-0.85639331215792325</v>
      </c>
      <c r="R220">
        <f t="shared" si="77"/>
        <v>22.377393189459056</v>
      </c>
      <c r="S220">
        <f t="shared" si="78"/>
        <v>23.288437438473238</v>
      </c>
      <c r="T220">
        <f t="shared" si="79"/>
        <v>15.930776155593236</v>
      </c>
      <c r="U220">
        <f t="shared" si="80"/>
        <v>18.275463928330112</v>
      </c>
      <c r="V220">
        <f t="shared" si="81"/>
        <v>19.047509232895138</v>
      </c>
      <c r="W220">
        <f t="shared" si="82"/>
        <v>17.376622491307003</v>
      </c>
      <c r="X220">
        <f t="shared" si="83"/>
        <v>97.419706517759167</v>
      </c>
      <c r="Y220">
        <f t="shared" si="84"/>
        <v>93.412355705477182</v>
      </c>
      <c r="Z220">
        <f t="shared" si="85"/>
        <v>41.33014505022814</v>
      </c>
      <c r="AA220">
        <f t="shared" si="86"/>
        <v>68.896213608858091</v>
      </c>
      <c r="AC220">
        <f>'2026_Fantasy_Hitters'!F219</f>
        <v>28.15115049385</v>
      </c>
      <c r="AD220">
        <f>'2026_Fantasy_Hitters'!G219</f>
        <v>18.222008880554302</v>
      </c>
      <c r="AE220">
        <f>'2026_Fantasy_Hitters'!H219</f>
        <v>6.0991541111586249</v>
      </c>
      <c r="AF220">
        <f>'2026_Fantasy_Hitters'!I219</f>
        <v>1.0654943054418309</v>
      </c>
      <c r="AG220">
        <f>'2026_Fantasy_Hitters'!J219</f>
        <v>2.9999995200000003</v>
      </c>
      <c r="AH220">
        <f>'2026_Fantasy_Hitters'!K219</f>
        <v>15.000000120000001</v>
      </c>
      <c r="AI220">
        <f>'2026_Fantasy_Hitters'!L219</f>
        <v>12.0000006</v>
      </c>
      <c r="AJ220">
        <f>'2026_Fantasy_Hitters'!M219</f>
        <v>8.9459999999999997</v>
      </c>
      <c r="AK220">
        <f>'2026_Fantasy_Hitters'!N219</f>
        <v>0</v>
      </c>
      <c r="AL220">
        <f>'2026_Fantasy_Hitters'!O219</f>
        <v>29.855699999999999</v>
      </c>
      <c r="AM220">
        <f>'2026_Fantasy_Hitters'!P219</f>
        <v>1.0000002600000002</v>
      </c>
      <c r="AN220">
        <f>'2026_Fantasy_Hitters'!Q219</f>
        <v>1.0000002600000002</v>
      </c>
      <c r="AO220">
        <f>'2026_Fantasy_Hitters'!R219</f>
        <v>1.0058819399999999</v>
      </c>
      <c r="AP220">
        <f>'2026_Fantasy_Hitters'!S219</f>
        <v>4.3235294117646959</v>
      </c>
      <c r="AQ220">
        <f>'2026_Fantasy_Hitters'!T219</f>
        <v>1.03124952</v>
      </c>
      <c r="AR220">
        <f>'2026_Fantasy_Hitters'!U219</f>
        <v>3.2922798917646956</v>
      </c>
      <c r="AS220">
        <f>'2026_Fantasy_Hitters'!V219</f>
        <v>0.24479261298999999</v>
      </c>
      <c r="AT220">
        <f>'2026_Fantasy_Hitters'!W219</f>
        <v>0.30490892605264419</v>
      </c>
      <c r="AU220">
        <f>'2026_Fantasy_Hitters'!X219</f>
        <v>0.39666780955823516</v>
      </c>
      <c r="AV220">
        <f>'2026_Fantasy_Hitters'!Y219</f>
        <v>0.7015767356108793</v>
      </c>
      <c r="AW220">
        <f>'2026_Fantasy_Hitters'!Z219</f>
        <v>0.30249999999999999</v>
      </c>
      <c r="AX220">
        <f>'2026_Fantasy_Hitters'!AA219</f>
        <v>0.23694999999999999</v>
      </c>
      <c r="AY220">
        <f>'2026_Fantasy_Hitters'!AB219</f>
        <v>7.0999999999999994E-2</v>
      </c>
      <c r="AZ220">
        <f t="shared" si="87"/>
        <v>2.3809520000000001E-2</v>
      </c>
    </row>
    <row r="221" spans="1:52" s="7" customFormat="1">
      <c r="F221" s="6"/>
      <c r="G221" s="5"/>
      <c r="H221" s="5"/>
      <c r="I221" s="5"/>
      <c r="J221" s="5"/>
      <c r="K221" s="5"/>
      <c r="L221" s="5"/>
      <c r="M221" s="5"/>
      <c r="N221" s="5"/>
      <c r="O221" s="5"/>
      <c r="P221" s="1"/>
      <c r="Q221" s="7" t="s">
        <v>1308</v>
      </c>
      <c r="R221" s="7">
        <f>AVERAGE(R2:R220)</f>
        <v>99.999999999999972</v>
      </c>
      <c r="S221" s="7">
        <f t="shared" ref="S221:AA221" si="88">AVERAGE(S2:S220)</f>
        <v>100.00000000000009</v>
      </c>
      <c r="T221" s="7">
        <f t="shared" si="88"/>
        <v>100.00000000000009</v>
      </c>
      <c r="U221" s="7">
        <f t="shared" si="88"/>
        <v>99.999999999999716</v>
      </c>
      <c r="V221" s="7">
        <f t="shared" si="88"/>
        <v>99.999999999999787</v>
      </c>
      <c r="W221" s="7">
        <f t="shared" si="88"/>
        <v>99.999999999999986</v>
      </c>
      <c r="X221" s="7">
        <f t="shared" si="88"/>
        <v>100.00000000000003</v>
      </c>
      <c r="Y221" s="7">
        <f t="shared" si="88"/>
        <v>99.999999999999901</v>
      </c>
      <c r="Z221" s="7">
        <f t="shared" si="88"/>
        <v>100</v>
      </c>
      <c r="AA221" s="7">
        <f t="shared" si="88"/>
        <v>100.00000000000011</v>
      </c>
    </row>
    <row r="222" spans="1:52" s="7" customFormat="1">
      <c r="F222" s="6"/>
      <c r="G222" s="5"/>
      <c r="H222" s="5"/>
      <c r="I222" s="5"/>
      <c r="J222" s="5"/>
      <c r="K222" s="5"/>
      <c r="L222" s="5"/>
      <c r="M222" s="5"/>
      <c r="N222" s="5"/>
      <c r="O222" s="5"/>
      <c r="P222" s="1"/>
      <c r="Q222" s="7" t="s">
        <v>1356</v>
      </c>
      <c r="R222" s="7">
        <f>STDEV(R2:R220)</f>
        <v>23.640901398635162</v>
      </c>
      <c r="S222" s="7">
        <f t="shared" ref="S222:AA222" si="89">STDEV(S2:S220)</f>
        <v>20.362285165368519</v>
      </c>
      <c r="T222" s="7">
        <f t="shared" si="89"/>
        <v>44.235832903287147</v>
      </c>
      <c r="U222" s="7">
        <f t="shared" si="89"/>
        <v>25.729078803889649</v>
      </c>
      <c r="V222" s="7">
        <f t="shared" si="89"/>
        <v>36.19112225127342</v>
      </c>
      <c r="W222" s="7">
        <f t="shared" si="89"/>
        <v>48.620445715187884</v>
      </c>
      <c r="X222" s="7">
        <f t="shared" si="89"/>
        <v>6.5998445904342855</v>
      </c>
      <c r="Y222" s="7">
        <f t="shared" si="89"/>
        <v>10.994820360332286</v>
      </c>
      <c r="Z222" s="7">
        <f t="shared" si="89"/>
        <v>91.949275847019862</v>
      </c>
      <c r="AA222" s="7">
        <f t="shared" si="89"/>
        <v>36.319511081616582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01"/>
  <sheetViews>
    <sheetView workbookViewId="0">
      <pane ySplit="1" topLeftCell="A2" activePane="bottomLeft" state="frozen"/>
      <selection pane="bottomLeft" activeCell="G7" sqref="G7"/>
    </sheetView>
  </sheetViews>
  <sheetFormatPr baseColWidth="10" defaultColWidth="10.83203125" defaultRowHeight="15"/>
  <cols>
    <col min="1" max="1" width="10.83203125" style="1"/>
    <col min="2" max="2" width="13.33203125" style="1" customWidth="1"/>
    <col min="3" max="42" width="10.83203125" style="1"/>
  </cols>
  <sheetData>
    <row r="1" spans="1:42">
      <c r="A1" s="1" t="s">
        <v>1</v>
      </c>
      <c r="B1" s="1" t="s">
        <v>0</v>
      </c>
      <c r="C1" s="1" t="s">
        <v>2</v>
      </c>
      <c r="D1" s="1" t="s">
        <v>1280</v>
      </c>
      <c r="E1" s="1" t="s">
        <v>1281</v>
      </c>
      <c r="F1" s="1" t="s">
        <v>1282</v>
      </c>
      <c r="G1" s="1" t="s">
        <v>1283</v>
      </c>
      <c r="H1" s="1" t="s">
        <v>1284</v>
      </c>
      <c r="I1" s="1" t="s">
        <v>1285</v>
      </c>
      <c r="J1" s="1" t="s">
        <v>1286</v>
      </c>
      <c r="K1" s="1" t="s">
        <v>1287</v>
      </c>
      <c r="L1" s="1" t="s">
        <v>1288</v>
      </c>
      <c r="M1" s="1" t="s">
        <v>1289</v>
      </c>
      <c r="N1" s="1" t="s">
        <v>1290</v>
      </c>
      <c r="O1" s="1" t="s">
        <v>1291</v>
      </c>
      <c r="P1" s="1" t="s">
        <v>1292</v>
      </c>
      <c r="Q1" s="1" t="s">
        <v>1293</v>
      </c>
      <c r="R1" s="1" t="s">
        <v>1294</v>
      </c>
      <c r="S1" s="1" t="s">
        <v>1295</v>
      </c>
      <c r="T1" s="1" t="s">
        <v>1296</v>
      </c>
      <c r="U1" s="1" t="s">
        <v>1297</v>
      </c>
      <c r="V1" s="1" t="s">
        <v>1298</v>
      </c>
      <c r="W1" s="1" t="s">
        <v>1299</v>
      </c>
      <c r="X1" s="1" t="s">
        <v>1300</v>
      </c>
      <c r="Y1" s="1" t="s">
        <v>1301</v>
      </c>
      <c r="Z1" s="1" t="s">
        <v>3</v>
      </c>
      <c r="AA1" s="1" t="s">
        <v>4</v>
      </c>
      <c r="AB1" s="1" t="s">
        <v>5</v>
      </c>
      <c r="AD1" s="1" t="s">
        <v>1302</v>
      </c>
      <c r="AE1" s="1" t="s">
        <v>7</v>
      </c>
      <c r="AF1" s="1" t="s">
        <v>8</v>
      </c>
      <c r="AG1" s="1" t="s">
        <v>9</v>
      </c>
      <c r="AH1" s="1" t="s">
        <v>6</v>
      </c>
      <c r="AI1" s="1" t="s">
        <v>10</v>
      </c>
      <c r="AJ1" s="1" t="s">
        <v>11</v>
      </c>
      <c r="AK1" s="1" t="s">
        <v>12</v>
      </c>
      <c r="AL1" s="1" t="s">
        <v>13</v>
      </c>
      <c r="AM1" s="1" t="s">
        <v>14</v>
      </c>
      <c r="AN1" s="1" t="s">
        <v>15</v>
      </c>
      <c r="AO1" s="1" t="s">
        <v>16</v>
      </c>
      <c r="AP1" s="1" t="s">
        <v>17</v>
      </c>
    </row>
    <row r="2" spans="1:42">
      <c r="A2" s="1" t="s">
        <v>136</v>
      </c>
      <c r="B2" s="1" t="s">
        <v>222</v>
      </c>
      <c r="C2" s="1" t="s">
        <v>20</v>
      </c>
      <c r="D2" s="1">
        <v>569</v>
      </c>
      <c r="E2" s="1">
        <v>640</v>
      </c>
      <c r="F2" s="2">
        <f>AD2+J2</f>
        <v>151.35319486003198</v>
      </c>
      <c r="G2" s="2">
        <f t="shared" ref="G2:G33" si="0">$AD2*AE2</f>
        <v>84.124748522199127</v>
      </c>
      <c r="H2" s="2">
        <f t="shared" ref="H2:H33" si="1">$AD2*AF2</f>
        <v>31.950960868997157</v>
      </c>
      <c r="I2" s="2">
        <f t="shared" ref="I2:I33" si="2">$AD2*AG2</f>
        <v>1.8491092381137089</v>
      </c>
      <c r="J2" s="2">
        <f t="shared" ref="J2:J33" si="3">$E2*AH2</f>
        <v>34.140944640000001</v>
      </c>
      <c r="K2" s="2">
        <f t="shared" ref="K2:K33" si="4">$E2*AI2</f>
        <v>86.867225149487354</v>
      </c>
      <c r="L2" s="2">
        <f t="shared" ref="L2:L33" si="5">$E2*AJ2</f>
        <v>96</v>
      </c>
      <c r="M2" s="2">
        <f>$E2*AB2</f>
        <v>59.711999999999996</v>
      </c>
      <c r="N2" s="2">
        <f t="shared" ref="N2:N33" si="6">$E2*AK2</f>
        <v>2.7552761599999998</v>
      </c>
      <c r="O2" s="2">
        <f>$E2*AA2</f>
        <v>161.024</v>
      </c>
      <c r="P2" s="2">
        <f t="shared" ref="P2:P33" si="7">$E2*AL2</f>
        <v>7.2434732799999999</v>
      </c>
      <c r="Q2" s="2">
        <f t="shared" ref="Q2:Q33" si="8">$E2*AM2</f>
        <v>4.0251967999999998</v>
      </c>
      <c r="R2" s="2">
        <f t="shared" ref="R2:R33" si="9">$E2*AN2</f>
        <v>0</v>
      </c>
      <c r="S2" s="2">
        <f t="shared" ref="S2:S33" si="10">$E2*AO2</f>
        <v>6.1984960000000004</v>
      </c>
      <c r="T2" s="2">
        <f t="shared" ref="T2:T33" si="11">$E2*AP2</f>
        <v>1.99398528</v>
      </c>
      <c r="U2" s="2">
        <f>S2-T2</f>
        <v>4.20451072</v>
      </c>
      <c r="V2" s="3">
        <f>F2/D2</f>
        <v>0.26599858499126883</v>
      </c>
      <c r="W2" s="3">
        <f>(F2+M2+N2+P2)/(D2+M2+N2+Q2)</f>
        <v>0.34786241176132143</v>
      </c>
      <c r="X2" s="3">
        <f>(G2+H2*2+I2*3+J2*4)/D2</f>
        <v>0.50990821886561433</v>
      </c>
      <c r="Y2" s="3">
        <f>W2+X2</f>
        <v>0.8577706306269357</v>
      </c>
      <c r="Z2" s="1">
        <v>0.31019999999999998</v>
      </c>
      <c r="AA2" s="1">
        <v>0.25159999999999999</v>
      </c>
      <c r="AB2" s="1">
        <v>9.3299999999999994E-2</v>
      </c>
      <c r="AD2" s="2">
        <f>(D2-J2-O2+Q2)*Z2</f>
        <v>117.21225022003198</v>
      </c>
      <c r="AE2" s="4" t="s">
        <v>223</v>
      </c>
      <c r="AF2" s="4" t="s">
        <v>224</v>
      </c>
      <c r="AG2" s="4" t="s">
        <v>225</v>
      </c>
      <c r="AH2" s="1">
        <v>5.3345226000000003E-2</v>
      </c>
      <c r="AI2" s="4" t="s">
        <v>226</v>
      </c>
      <c r="AJ2" s="1">
        <v>0.15</v>
      </c>
      <c r="AK2" s="1">
        <v>4.3051189999999996E-3</v>
      </c>
      <c r="AL2" s="1">
        <v>1.1317927E-2</v>
      </c>
      <c r="AM2" s="1">
        <v>6.2893699999999999E-3</v>
      </c>
      <c r="AN2" s="1">
        <v>0</v>
      </c>
      <c r="AO2" s="1">
        <v>9.68515E-3</v>
      </c>
      <c r="AP2" s="1">
        <v>3.1156019999999999E-3</v>
      </c>
    </row>
    <row r="3" spans="1:42">
      <c r="A3" s="1" t="s">
        <v>136</v>
      </c>
      <c r="B3" s="1" t="s">
        <v>623</v>
      </c>
      <c r="C3" s="1" t="s">
        <v>34</v>
      </c>
      <c r="D3" s="1">
        <v>531</v>
      </c>
      <c r="E3" s="1">
        <v>575</v>
      </c>
      <c r="F3" s="2">
        <f t="shared" ref="F3:F66" si="12">AD3+J3</f>
        <v>156.41940134952694</v>
      </c>
      <c r="G3" s="2">
        <f t="shared" si="0"/>
        <v>119.69465755262422</v>
      </c>
      <c r="H3" s="2">
        <f t="shared" si="1"/>
        <v>27.805050379949339</v>
      </c>
      <c r="I3" s="2">
        <f t="shared" si="2"/>
        <v>1.0869721049051091</v>
      </c>
      <c r="J3" s="2">
        <f t="shared" si="3"/>
        <v>7.5115044247787175</v>
      </c>
      <c r="K3" s="2">
        <f t="shared" si="4"/>
        <v>69.630607114124302</v>
      </c>
      <c r="L3" s="2">
        <f t="shared" si="5"/>
        <v>63.999999999999453</v>
      </c>
      <c r="M3" s="2">
        <f t="shared" ref="M3:M66" si="13">$E3*AB3</f>
        <v>29.612499999999997</v>
      </c>
      <c r="N3" s="2">
        <f t="shared" si="6"/>
        <v>1.014571975</v>
      </c>
      <c r="O3" s="2">
        <f t="shared" ref="O3:O66" si="14">$E3*AA3</f>
        <v>44.504999999999995</v>
      </c>
      <c r="P3" s="2">
        <f t="shared" si="7"/>
        <v>6.5671100749999995</v>
      </c>
      <c r="Q3" s="2">
        <f t="shared" si="8"/>
        <v>3.8566371249999998</v>
      </c>
      <c r="R3" s="2">
        <f t="shared" si="9"/>
        <v>2.1477043499999997</v>
      </c>
      <c r="S3" s="2">
        <f t="shared" si="10"/>
        <v>5.5602270000000003</v>
      </c>
      <c r="T3" s="2">
        <f t="shared" si="11"/>
        <v>2.0597575250000002</v>
      </c>
      <c r="U3" s="2">
        <f t="shared" ref="U3:U66" si="15">S3-T3</f>
        <v>3.5004694750000001</v>
      </c>
      <c r="V3" s="3">
        <f t="shared" ref="V3:V66" si="16">F3/D3</f>
        <v>0.29457514378441985</v>
      </c>
      <c r="W3" s="3">
        <f t="shared" ref="W3:W66" si="17">(F3+M3+N3+P3)/(D3+M3+N3+Q3)</f>
        <v>0.34238578456605612</v>
      </c>
      <c r="X3" s="3">
        <f t="shared" ref="X3:X66" si="18">(G3+H3*2+I3*3+J3*4)/D3</f>
        <v>0.39286571059576852</v>
      </c>
      <c r="Y3" s="3">
        <f t="shared" ref="Y3:Y66" si="19">W3+X3</f>
        <v>0.73525149516182464</v>
      </c>
      <c r="Z3" s="1">
        <v>0.30840000000000001</v>
      </c>
      <c r="AA3" s="1">
        <v>7.7399999999999997E-2</v>
      </c>
      <c r="AB3" s="1">
        <v>5.1499999999999997E-2</v>
      </c>
      <c r="AD3" s="2">
        <f t="shared" ref="AD3:AD66" si="20">(D3-J3-O3+Q3)*Z3</f>
        <v>148.90789692474823</v>
      </c>
      <c r="AE3" s="4" t="s">
        <v>625</v>
      </c>
      <c r="AF3" s="4" t="s">
        <v>626</v>
      </c>
      <c r="AG3" s="1">
        <v>7.2996270000000004E-3</v>
      </c>
      <c r="AH3" s="4" t="s">
        <v>624</v>
      </c>
      <c r="AI3" s="4" t="s">
        <v>627</v>
      </c>
      <c r="AJ3" s="4" t="s">
        <v>628</v>
      </c>
      <c r="AK3" s="1">
        <v>1.7644729999999999E-3</v>
      </c>
      <c r="AL3" s="1">
        <v>1.1421061E-2</v>
      </c>
      <c r="AM3" s="1">
        <v>6.707195E-3</v>
      </c>
      <c r="AN3" s="1">
        <v>3.7351379999999998E-3</v>
      </c>
      <c r="AO3" s="1">
        <v>9.66996E-3</v>
      </c>
      <c r="AP3" s="1">
        <v>3.5821870000000001E-3</v>
      </c>
    </row>
    <row r="4" spans="1:42">
      <c r="A4" s="1" t="s">
        <v>136</v>
      </c>
      <c r="B4" s="1" t="s">
        <v>1044</v>
      </c>
      <c r="C4" s="1" t="s">
        <v>467</v>
      </c>
      <c r="D4" s="1">
        <v>476</v>
      </c>
      <c r="E4" s="1">
        <v>535</v>
      </c>
      <c r="F4" s="2">
        <f t="shared" si="12"/>
        <v>122.13839693368499</v>
      </c>
      <c r="G4" s="2">
        <f t="shared" si="0"/>
        <v>81.950327470810905</v>
      </c>
      <c r="H4" s="2">
        <f t="shared" si="1"/>
        <v>25.949428235084376</v>
      </c>
      <c r="I4" s="2">
        <f t="shared" si="2"/>
        <v>2.8416581483893038</v>
      </c>
      <c r="J4" s="2">
        <f t="shared" si="3"/>
        <v>12.184790850000001</v>
      </c>
      <c r="K4" s="2">
        <f t="shared" si="4"/>
        <v>60.389164479754953</v>
      </c>
      <c r="L4" s="2">
        <f t="shared" si="5"/>
        <v>56.999999999999808</v>
      </c>
      <c r="M4" s="2">
        <f t="shared" si="13"/>
        <v>42.960499999999996</v>
      </c>
      <c r="N4" s="2">
        <f t="shared" si="6"/>
        <v>2.4365681549999998</v>
      </c>
      <c r="O4" s="2">
        <f t="shared" si="14"/>
        <v>65.109499999999997</v>
      </c>
      <c r="P4" s="2">
        <f t="shared" si="7"/>
        <v>8.6629372099999991</v>
      </c>
      <c r="Q4" s="2">
        <f t="shared" si="8"/>
        <v>4.0547526949999995</v>
      </c>
      <c r="R4" s="2">
        <f t="shared" si="9"/>
        <v>2.0808081349999998</v>
      </c>
      <c r="S4" s="2">
        <f t="shared" si="10"/>
        <v>4.1495696750000004</v>
      </c>
      <c r="T4" s="2">
        <f t="shared" si="11"/>
        <v>0.98729702499999994</v>
      </c>
      <c r="U4" s="2">
        <f t="shared" si="15"/>
        <v>3.1622726500000002</v>
      </c>
      <c r="V4" s="3">
        <f t="shared" si="16"/>
        <v>0.25659327086908612</v>
      </c>
      <c r="W4" s="3">
        <f t="shared" si="17"/>
        <v>0.33532741786612641</v>
      </c>
      <c r="X4" s="3">
        <f t="shared" si="18"/>
        <v>0.40149857518098225</v>
      </c>
      <c r="Y4" s="3">
        <f t="shared" si="19"/>
        <v>0.73682599304710861</v>
      </c>
      <c r="Z4" s="1">
        <v>0.27300000000000002</v>
      </c>
      <c r="AA4" s="1">
        <v>0.1217</v>
      </c>
      <c r="AB4" s="1">
        <v>8.0299999999999996E-2</v>
      </c>
      <c r="AD4" s="2">
        <f t="shared" si="20"/>
        <v>109.95360608368499</v>
      </c>
      <c r="AE4" s="4" t="s">
        <v>1045</v>
      </c>
      <c r="AF4" s="4" t="s">
        <v>1046</v>
      </c>
      <c r="AG4" s="1">
        <v>2.5844156E-2</v>
      </c>
      <c r="AH4" s="1">
        <v>2.277531E-2</v>
      </c>
      <c r="AI4" s="4" t="s">
        <v>1047</v>
      </c>
      <c r="AJ4" s="4" t="s">
        <v>1048</v>
      </c>
      <c r="AK4" s="1">
        <v>4.5543329999999998E-3</v>
      </c>
      <c r="AL4" s="1">
        <v>1.6192405999999999E-2</v>
      </c>
      <c r="AM4" s="1">
        <v>7.5789769999999998E-3</v>
      </c>
      <c r="AN4" s="1">
        <v>3.889361E-3</v>
      </c>
      <c r="AO4" s="1">
        <v>7.7562050000000004E-3</v>
      </c>
      <c r="AP4" s="1">
        <v>1.845415E-3</v>
      </c>
    </row>
    <row r="5" spans="1:42">
      <c r="A5" s="1" t="s">
        <v>136</v>
      </c>
      <c r="B5" s="1" t="s">
        <v>595</v>
      </c>
      <c r="C5" s="1" t="s">
        <v>20</v>
      </c>
      <c r="D5" s="1">
        <v>508</v>
      </c>
      <c r="E5" s="1">
        <v>562</v>
      </c>
      <c r="F5" s="2">
        <f t="shared" si="12"/>
        <v>124.62712868280215</v>
      </c>
      <c r="G5" s="2">
        <f t="shared" si="0"/>
        <v>74.411554026623747</v>
      </c>
      <c r="H5" s="2">
        <f t="shared" si="1"/>
        <v>26.213631684106215</v>
      </c>
      <c r="I5" s="2">
        <f t="shared" si="2"/>
        <v>1.7861570840406975</v>
      </c>
      <c r="J5" s="2">
        <f t="shared" si="3"/>
        <v>22.149729729729707</v>
      </c>
      <c r="K5" s="2">
        <f t="shared" si="4"/>
        <v>73.481763191762695</v>
      </c>
      <c r="L5" s="2">
        <f t="shared" si="5"/>
        <v>64.999999999999531</v>
      </c>
      <c r="M5" s="2">
        <f t="shared" si="13"/>
        <v>48.7254</v>
      </c>
      <c r="N5" s="2">
        <f t="shared" si="6"/>
        <v>0.20252232000000001</v>
      </c>
      <c r="O5" s="2">
        <f t="shared" si="14"/>
        <v>143.36619999999999</v>
      </c>
      <c r="P5" s="2">
        <f t="shared" si="7"/>
        <v>1.610550938</v>
      </c>
      <c r="Q5" s="2">
        <f t="shared" si="8"/>
        <v>3.8403601220000003</v>
      </c>
      <c r="R5" s="2">
        <f t="shared" si="9"/>
        <v>0.97707971199999999</v>
      </c>
      <c r="S5" s="2">
        <f t="shared" si="10"/>
        <v>18.637414919999998</v>
      </c>
      <c r="T5" s="2">
        <f t="shared" si="11"/>
        <v>4.5944556560000001</v>
      </c>
      <c r="U5" s="2">
        <f t="shared" si="15"/>
        <v>14.042959263999997</v>
      </c>
      <c r="V5" s="3">
        <f t="shared" si="16"/>
        <v>0.24532899347008297</v>
      </c>
      <c r="W5" s="3">
        <f t="shared" si="17"/>
        <v>0.31236717094269584</v>
      </c>
      <c r="X5" s="3">
        <f t="shared" si="18"/>
        <v>0.43463820386983681</v>
      </c>
      <c r="Y5" s="3">
        <f t="shared" si="19"/>
        <v>0.74700537481253271</v>
      </c>
      <c r="Z5" s="4" t="s">
        <v>596</v>
      </c>
      <c r="AA5" s="1">
        <v>0.25509999999999999</v>
      </c>
      <c r="AB5" s="1">
        <v>8.6699999999999999E-2</v>
      </c>
      <c r="AD5" s="2">
        <f t="shared" si="20"/>
        <v>102.47739895307244</v>
      </c>
      <c r="AE5" s="4" t="s">
        <v>598</v>
      </c>
      <c r="AF5" s="4" t="s">
        <v>599</v>
      </c>
      <c r="AG5" s="1">
        <v>1.7429765999999999E-2</v>
      </c>
      <c r="AH5" s="4" t="s">
        <v>597</v>
      </c>
      <c r="AI5" s="4" t="s">
        <v>600</v>
      </c>
      <c r="AJ5" s="4" t="s">
        <v>601</v>
      </c>
      <c r="AK5" s="1">
        <v>3.6036E-4</v>
      </c>
      <c r="AL5" s="1">
        <v>2.8657489999999999E-3</v>
      </c>
      <c r="AM5" s="1">
        <v>6.8333810000000004E-3</v>
      </c>
      <c r="AN5" s="1">
        <v>1.7385759999999999E-3</v>
      </c>
      <c r="AO5" s="1">
        <v>3.3162659999999997E-2</v>
      </c>
      <c r="AP5" s="1">
        <v>8.1751879999999999E-3</v>
      </c>
    </row>
    <row r="6" spans="1:42">
      <c r="A6" s="1" t="s">
        <v>136</v>
      </c>
      <c r="B6" s="1" t="s">
        <v>135</v>
      </c>
      <c r="C6" s="1" t="s">
        <v>124</v>
      </c>
      <c r="D6" s="1">
        <v>514</v>
      </c>
      <c r="E6" s="1">
        <v>576</v>
      </c>
      <c r="F6" s="2">
        <f t="shared" si="12"/>
        <v>136.40553273903362</v>
      </c>
      <c r="G6" s="2">
        <f t="shared" si="0"/>
        <v>73.871589698580195</v>
      </c>
      <c r="H6" s="2">
        <f t="shared" si="1"/>
        <v>26.60246859698945</v>
      </c>
      <c r="I6" s="2">
        <f t="shared" si="2"/>
        <v>1.9082153467231555</v>
      </c>
      <c r="J6" s="2">
        <f t="shared" si="3"/>
        <v>33.812631359999997</v>
      </c>
      <c r="K6" s="2">
        <f t="shared" si="4"/>
        <v>90.325386192754365</v>
      </c>
      <c r="L6" s="2">
        <f t="shared" si="5"/>
        <v>94.999999999999673</v>
      </c>
      <c r="M6" s="2">
        <f t="shared" si="13"/>
        <v>65.836799999999997</v>
      </c>
      <c r="N6" s="2">
        <f t="shared" si="6"/>
        <v>3.1032731519999999</v>
      </c>
      <c r="O6" s="2">
        <f t="shared" si="14"/>
        <v>160.99200000000002</v>
      </c>
      <c r="P6" s="2">
        <f t="shared" si="7"/>
        <v>3.9226815359999998</v>
      </c>
      <c r="Q6" s="2">
        <f t="shared" si="8"/>
        <v>4.0336842239999999</v>
      </c>
      <c r="R6" s="2">
        <f t="shared" si="9"/>
        <v>0.50000025599999998</v>
      </c>
      <c r="S6" s="2">
        <f t="shared" si="10"/>
        <v>2.922077952</v>
      </c>
      <c r="T6" s="2">
        <f t="shared" si="11"/>
        <v>1.01803968</v>
      </c>
      <c r="U6" s="2">
        <f t="shared" si="15"/>
        <v>1.904038272</v>
      </c>
      <c r="V6" s="3">
        <f t="shared" si="16"/>
        <v>0.26538041388917044</v>
      </c>
      <c r="W6" s="3">
        <f t="shared" si="17"/>
        <v>0.35652068733454767</v>
      </c>
      <c r="X6" s="3">
        <f t="shared" si="18"/>
        <v>0.52150135870180647</v>
      </c>
      <c r="Y6" s="3">
        <f t="shared" si="19"/>
        <v>0.87802204603635414</v>
      </c>
      <c r="Z6" s="1">
        <v>0.31740000000000002</v>
      </c>
      <c r="AA6" s="1">
        <v>0.27950000000000003</v>
      </c>
      <c r="AB6" s="4" t="s">
        <v>137</v>
      </c>
      <c r="AD6" s="2">
        <f t="shared" si="20"/>
        <v>102.59290137903361</v>
      </c>
      <c r="AE6" s="4" t="s">
        <v>138</v>
      </c>
      <c r="AF6" s="4" t="s">
        <v>139</v>
      </c>
      <c r="AG6" s="1">
        <v>1.8599877000000001E-2</v>
      </c>
      <c r="AH6" s="1">
        <v>5.8702484999999999E-2</v>
      </c>
      <c r="AI6" s="4" t="s">
        <v>140</v>
      </c>
      <c r="AJ6" s="4" t="s">
        <v>141</v>
      </c>
      <c r="AK6" s="1">
        <v>5.3876269999999999E-3</v>
      </c>
      <c r="AL6" s="1">
        <v>6.810211E-3</v>
      </c>
      <c r="AM6" s="1">
        <v>7.0029239999999998E-3</v>
      </c>
      <c r="AN6" s="1">
        <v>8.6805599999999997E-4</v>
      </c>
      <c r="AO6" s="1">
        <v>5.0730519999999998E-3</v>
      </c>
      <c r="AP6" s="1">
        <v>1.76743E-3</v>
      </c>
    </row>
    <row r="7" spans="1:42">
      <c r="A7" s="1" t="s">
        <v>136</v>
      </c>
      <c r="B7" s="1" t="s">
        <v>323</v>
      </c>
      <c r="C7" s="1" t="s">
        <v>87</v>
      </c>
      <c r="D7" s="1">
        <v>478</v>
      </c>
      <c r="E7" s="1">
        <v>526</v>
      </c>
      <c r="F7" s="2">
        <f t="shared" si="12"/>
        <v>122.82639733622855</v>
      </c>
      <c r="G7" s="2">
        <f t="shared" si="0"/>
        <v>67.538337473312282</v>
      </c>
      <c r="H7" s="2">
        <f t="shared" si="1"/>
        <v>25.304395940713768</v>
      </c>
      <c r="I7" s="2">
        <f t="shared" si="2"/>
        <v>1.2446324927311307</v>
      </c>
      <c r="J7" s="2">
        <f t="shared" si="3"/>
        <v>29.00000008</v>
      </c>
      <c r="K7" s="2">
        <f t="shared" si="4"/>
        <v>70.333587786259159</v>
      </c>
      <c r="L7" s="2">
        <f t="shared" si="5"/>
        <v>75.999999999999929</v>
      </c>
      <c r="M7" s="2">
        <f t="shared" si="13"/>
        <v>38.923999999999999</v>
      </c>
      <c r="N7" s="2">
        <f t="shared" si="6"/>
        <v>0.992516238</v>
      </c>
      <c r="O7" s="2">
        <f t="shared" si="14"/>
        <v>117.66619999999948</v>
      </c>
      <c r="P7" s="2">
        <f t="shared" si="7"/>
        <v>3.9874771299999998</v>
      </c>
      <c r="Q7" s="2">
        <f t="shared" si="8"/>
        <v>4.0000001379999999</v>
      </c>
      <c r="R7" s="2">
        <f t="shared" si="9"/>
        <v>0.49999981999999998</v>
      </c>
      <c r="S7" s="2">
        <f t="shared" si="10"/>
        <v>5.9087783939999996</v>
      </c>
      <c r="T7" s="2">
        <f t="shared" si="11"/>
        <v>1.343371914</v>
      </c>
      <c r="U7" s="2">
        <f t="shared" si="15"/>
        <v>4.56540648</v>
      </c>
      <c r="V7" s="3">
        <f t="shared" si="16"/>
        <v>0.25695899024315599</v>
      </c>
      <c r="W7" s="3">
        <f t="shared" si="17"/>
        <v>0.31945796975720225</v>
      </c>
      <c r="X7" s="3">
        <f t="shared" si="18"/>
        <v>0.49765905262119914</v>
      </c>
      <c r="Y7" s="3">
        <f t="shared" si="19"/>
        <v>0.81711702237840145</v>
      </c>
      <c r="Z7" s="1">
        <v>0.27979999999999999</v>
      </c>
      <c r="AA7" s="4" t="s">
        <v>324</v>
      </c>
      <c r="AB7" s="1">
        <v>7.3999999999999996E-2</v>
      </c>
      <c r="AD7" s="2">
        <f t="shared" si="20"/>
        <v>93.826397256228546</v>
      </c>
      <c r="AE7" s="4" t="s">
        <v>325</v>
      </c>
      <c r="AF7" s="4" t="s">
        <v>326</v>
      </c>
      <c r="AG7" s="1">
        <v>1.3265269999999999E-2</v>
      </c>
      <c r="AH7" s="1">
        <v>5.5133080000000001E-2</v>
      </c>
      <c r="AI7" s="4" t="s">
        <v>327</v>
      </c>
      <c r="AJ7" s="4" t="s">
        <v>328</v>
      </c>
      <c r="AK7" s="1">
        <v>1.886913E-3</v>
      </c>
      <c r="AL7" s="1">
        <v>7.5807549999999998E-3</v>
      </c>
      <c r="AM7" s="1">
        <v>7.6045629999999999E-3</v>
      </c>
      <c r="AN7" s="1">
        <v>9.5056999999999997E-4</v>
      </c>
      <c r="AO7" s="1">
        <v>1.1233419E-2</v>
      </c>
      <c r="AP7" s="1">
        <v>2.5539389999999999E-3</v>
      </c>
    </row>
    <row r="8" spans="1:42">
      <c r="A8" s="1" t="s">
        <v>136</v>
      </c>
      <c r="B8" s="1" t="s">
        <v>390</v>
      </c>
      <c r="C8" s="1" t="s">
        <v>391</v>
      </c>
      <c r="D8" s="1">
        <v>525</v>
      </c>
      <c r="E8" s="1">
        <v>585</v>
      </c>
      <c r="F8" s="2">
        <f t="shared" si="12"/>
        <v>135.87892517877597</v>
      </c>
      <c r="G8" s="2">
        <f t="shared" si="0"/>
        <v>81.609289315222497</v>
      </c>
      <c r="H8" s="2">
        <f t="shared" si="1"/>
        <v>28.209877552775037</v>
      </c>
      <c r="I8" s="2">
        <f t="shared" si="2"/>
        <v>1.3279569680289689</v>
      </c>
      <c r="J8" s="2">
        <f t="shared" si="3"/>
        <v>23.135445450000002</v>
      </c>
      <c r="K8" s="2">
        <f t="shared" si="4"/>
        <v>71.944562482527147</v>
      </c>
      <c r="L8" s="2">
        <f t="shared" si="5"/>
        <v>77.999999999999801</v>
      </c>
      <c r="M8" s="2">
        <f t="shared" si="13"/>
        <v>50.309999999999995</v>
      </c>
      <c r="N8" s="2">
        <f t="shared" si="6"/>
        <v>2.0157239699999998</v>
      </c>
      <c r="O8" s="2">
        <f t="shared" si="14"/>
        <v>132.8535</v>
      </c>
      <c r="P8" s="2">
        <f t="shared" si="7"/>
        <v>6.0263057263177666</v>
      </c>
      <c r="Q8" s="2">
        <f t="shared" si="8"/>
        <v>4.8068490600000002</v>
      </c>
      <c r="R8" s="2">
        <f t="shared" si="9"/>
        <v>0</v>
      </c>
      <c r="S8" s="2">
        <f t="shared" si="10"/>
        <v>4.6913267699999999</v>
      </c>
      <c r="T8" s="2">
        <f t="shared" si="11"/>
        <v>2.1529971450000001</v>
      </c>
      <c r="U8" s="2">
        <f t="shared" si="15"/>
        <v>2.5383296249999998</v>
      </c>
      <c r="V8" s="3">
        <f t="shared" si="16"/>
        <v>0.25881700034052568</v>
      </c>
      <c r="W8" s="3">
        <f t="shared" si="17"/>
        <v>0.33365416036440237</v>
      </c>
      <c r="X8" s="3">
        <f t="shared" si="18"/>
        <v>0.44677085166639907</v>
      </c>
      <c r="Y8" s="3">
        <f t="shared" si="19"/>
        <v>0.78042501203080139</v>
      </c>
      <c r="Z8" s="1">
        <v>0.30159999999999998</v>
      </c>
      <c r="AA8" s="1">
        <v>0.2271</v>
      </c>
      <c r="AB8" s="1">
        <v>8.5999999999999993E-2</v>
      </c>
      <c r="AD8" s="2">
        <f t="shared" si="20"/>
        <v>112.74347972877598</v>
      </c>
      <c r="AE8" s="4" t="s">
        <v>392</v>
      </c>
      <c r="AF8" s="4" t="s">
        <v>393</v>
      </c>
      <c r="AG8" s="1">
        <v>1.177857E-2</v>
      </c>
      <c r="AH8" s="1">
        <v>3.9547770000000003E-2</v>
      </c>
      <c r="AI8" s="4" t="s">
        <v>394</v>
      </c>
      <c r="AJ8" s="4" t="s">
        <v>395</v>
      </c>
      <c r="AK8" s="1">
        <v>3.4456819999999998E-3</v>
      </c>
      <c r="AL8" s="4" t="s">
        <v>396</v>
      </c>
      <c r="AM8" s="1">
        <v>8.2168359999999999E-3</v>
      </c>
      <c r="AN8" s="1">
        <v>0</v>
      </c>
      <c r="AO8" s="1">
        <v>8.0193620000000004E-3</v>
      </c>
      <c r="AP8" s="1">
        <v>3.6803370000000001E-3</v>
      </c>
    </row>
    <row r="9" spans="1:42">
      <c r="A9" s="1" t="s">
        <v>66</v>
      </c>
      <c r="B9" s="1" t="s">
        <v>329</v>
      </c>
      <c r="C9" s="1" t="s">
        <v>49</v>
      </c>
      <c r="D9" s="1">
        <v>566</v>
      </c>
      <c r="E9" s="1">
        <v>625</v>
      </c>
      <c r="F9" s="2">
        <f t="shared" si="12"/>
        <v>146.75016619474999</v>
      </c>
      <c r="G9" s="2">
        <f t="shared" si="0"/>
        <v>86.194915091898466</v>
      </c>
      <c r="H9" s="2">
        <f t="shared" si="1"/>
        <v>28.393333829299564</v>
      </c>
      <c r="I9" s="2">
        <f t="shared" si="2"/>
        <v>2.0141800243968144</v>
      </c>
      <c r="J9" s="2">
        <f t="shared" si="3"/>
        <v>29.238411874999997</v>
      </c>
      <c r="K9" s="2">
        <f t="shared" si="4"/>
        <v>81.632667669984997</v>
      </c>
      <c r="L9" s="2">
        <f t="shared" si="5"/>
        <v>85</v>
      </c>
      <c r="M9" s="2">
        <f t="shared" si="13"/>
        <v>47.5625</v>
      </c>
      <c r="N9" s="2">
        <f t="shared" si="6"/>
        <v>1.015489375</v>
      </c>
      <c r="O9" s="2">
        <f t="shared" si="14"/>
        <v>161.5625</v>
      </c>
      <c r="P9" s="2">
        <f t="shared" si="7"/>
        <v>7.7739249405374995</v>
      </c>
      <c r="Q9" s="2">
        <f t="shared" si="8"/>
        <v>4.8518637499999997</v>
      </c>
      <c r="R9" s="2">
        <f t="shared" si="9"/>
        <v>0</v>
      </c>
      <c r="S9" s="2">
        <f t="shared" si="10"/>
        <v>2.3160712500000002</v>
      </c>
      <c r="T9" s="2">
        <f t="shared" si="11"/>
        <v>0.97701000000000005</v>
      </c>
      <c r="U9" s="2">
        <f t="shared" si="15"/>
        <v>1.3390612500000003</v>
      </c>
      <c r="V9" s="3">
        <f t="shared" si="16"/>
        <v>0.25927591200485867</v>
      </c>
      <c r="W9" s="3">
        <f t="shared" si="17"/>
        <v>0.32788552163839896</v>
      </c>
      <c r="X9" s="3">
        <f t="shared" si="18"/>
        <v>0.46992538926446642</v>
      </c>
      <c r="Y9" s="3">
        <f t="shared" si="19"/>
        <v>0.79781091090286538</v>
      </c>
      <c r="Z9" s="1">
        <v>0.30919999999999997</v>
      </c>
      <c r="AA9" s="1">
        <v>0.25850000000000001</v>
      </c>
      <c r="AB9" s="1">
        <v>7.6100000000000001E-2</v>
      </c>
      <c r="AD9" s="2">
        <f t="shared" si="20"/>
        <v>117.51175431975</v>
      </c>
      <c r="AE9" s="4" t="s">
        <v>330</v>
      </c>
      <c r="AF9" s="4" t="s">
        <v>331</v>
      </c>
      <c r="AG9" s="1">
        <v>1.7140242999999999E-2</v>
      </c>
      <c r="AH9" s="1">
        <v>4.6781458999999997E-2</v>
      </c>
      <c r="AI9" s="4" t="s">
        <v>332</v>
      </c>
      <c r="AJ9" s="1">
        <v>0.13600000000000001</v>
      </c>
      <c r="AK9" s="1">
        <v>1.6247830000000001E-3</v>
      </c>
      <c r="AL9" s="4" t="s">
        <v>333</v>
      </c>
      <c r="AM9" s="1">
        <v>7.7629819999999999E-3</v>
      </c>
      <c r="AN9" s="1">
        <v>0</v>
      </c>
      <c r="AO9" s="1">
        <v>3.7057140000000001E-3</v>
      </c>
      <c r="AP9" s="1">
        <v>1.5632160000000001E-3</v>
      </c>
    </row>
    <row r="10" spans="1:42">
      <c r="A10" s="1" t="s">
        <v>66</v>
      </c>
      <c r="B10" s="1" t="s">
        <v>591</v>
      </c>
      <c r="C10" s="1" t="s">
        <v>87</v>
      </c>
      <c r="D10" s="1">
        <v>465</v>
      </c>
      <c r="E10" s="1">
        <v>518</v>
      </c>
      <c r="F10" s="2">
        <f t="shared" si="12"/>
        <v>117.89769650427661</v>
      </c>
      <c r="G10" s="2">
        <f t="shared" si="0"/>
        <v>79.518125823058924</v>
      </c>
      <c r="H10" s="2">
        <f t="shared" si="1"/>
        <v>21.35036056359564</v>
      </c>
      <c r="I10" s="2">
        <f t="shared" si="2"/>
        <v>1.3533518585756619</v>
      </c>
      <c r="J10" s="2">
        <f t="shared" si="3"/>
        <v>15.605058210000001</v>
      </c>
      <c r="K10" s="2">
        <f t="shared" si="4"/>
        <v>62.365272373540684</v>
      </c>
      <c r="L10" s="2">
        <f t="shared" si="5"/>
        <v>74.999999999999588</v>
      </c>
      <c r="M10" s="2">
        <f t="shared" si="13"/>
        <v>44.289000000000001</v>
      </c>
      <c r="N10" s="2">
        <f t="shared" si="6"/>
        <v>1.0124988580000001</v>
      </c>
      <c r="O10" s="2">
        <f t="shared" si="14"/>
        <v>94.224199999999996</v>
      </c>
      <c r="P10" s="2">
        <f t="shared" si="7"/>
        <v>4.1526977380000005</v>
      </c>
      <c r="Q10" s="2">
        <f t="shared" si="8"/>
        <v>3.6249028760000002</v>
      </c>
      <c r="R10" s="2">
        <f t="shared" si="9"/>
        <v>0</v>
      </c>
      <c r="S10" s="2">
        <f t="shared" si="10"/>
        <v>0.99242428599999999</v>
      </c>
      <c r="T10" s="2">
        <f t="shared" si="11"/>
        <v>0</v>
      </c>
      <c r="U10" s="2">
        <f t="shared" si="15"/>
        <v>0.99242428599999999</v>
      </c>
      <c r="V10" s="3">
        <f t="shared" si="16"/>
        <v>0.25354343334253032</v>
      </c>
      <c r="W10" s="3">
        <f t="shared" si="17"/>
        <v>0.32563396730665572</v>
      </c>
      <c r="X10" s="3">
        <f t="shared" si="18"/>
        <v>0.40580459218489717</v>
      </c>
      <c r="Y10" s="3">
        <f t="shared" si="19"/>
        <v>0.7314385594915529</v>
      </c>
      <c r="Z10" s="1">
        <v>0.28510000000000002</v>
      </c>
      <c r="AA10" s="1">
        <v>0.18190000000000001</v>
      </c>
      <c r="AB10" s="1">
        <v>8.5500000000000007E-2</v>
      </c>
      <c r="AD10" s="2">
        <f t="shared" si="20"/>
        <v>102.29263829427661</v>
      </c>
      <c r="AE10" s="1">
        <v>0.77735922300000004</v>
      </c>
      <c r="AF10" s="4" t="s">
        <v>592</v>
      </c>
      <c r="AG10" s="1">
        <v>1.3230198E-2</v>
      </c>
      <c r="AH10" s="1">
        <v>3.0125595000000002E-2</v>
      </c>
      <c r="AI10" s="4" t="s">
        <v>593</v>
      </c>
      <c r="AJ10" s="4" t="s">
        <v>594</v>
      </c>
      <c r="AK10" s="1">
        <v>1.9546310000000001E-3</v>
      </c>
      <c r="AL10" s="1">
        <v>8.0167910000000005E-3</v>
      </c>
      <c r="AM10" s="1">
        <v>6.9978820000000004E-3</v>
      </c>
      <c r="AN10" s="1">
        <v>0</v>
      </c>
      <c r="AO10" s="1">
        <v>1.9158770000000001E-3</v>
      </c>
      <c r="AP10" s="1">
        <v>0</v>
      </c>
    </row>
    <row r="11" spans="1:42">
      <c r="A11" s="1" t="s">
        <v>66</v>
      </c>
      <c r="B11" s="1" t="s">
        <v>1067</v>
      </c>
      <c r="C11" s="1" t="s">
        <v>648</v>
      </c>
      <c r="D11" s="1">
        <v>315</v>
      </c>
      <c r="E11" s="1">
        <v>360</v>
      </c>
      <c r="F11" s="2">
        <f t="shared" si="12"/>
        <v>75.902647254113461</v>
      </c>
      <c r="G11" s="2">
        <f t="shared" si="0"/>
        <v>52.25867944266686</v>
      </c>
      <c r="H11" s="2">
        <f t="shared" si="1"/>
        <v>13.002785041125222</v>
      </c>
      <c r="I11" s="2">
        <f t="shared" si="2"/>
        <v>1.0276745476583073</v>
      </c>
      <c r="J11" s="2">
        <f t="shared" si="3"/>
        <v>8.3348837209301756</v>
      </c>
      <c r="K11" s="2">
        <f t="shared" si="4"/>
        <v>43.1490005067852</v>
      </c>
      <c r="L11" s="2">
        <f t="shared" si="5"/>
        <v>34.99999992</v>
      </c>
      <c r="M11" s="2">
        <f t="shared" si="13"/>
        <v>35.064</v>
      </c>
      <c r="N11" s="2">
        <f t="shared" si="6"/>
        <v>0.91993608000000004</v>
      </c>
      <c r="O11" s="2">
        <f t="shared" si="14"/>
        <v>64.367999999999995</v>
      </c>
      <c r="P11" s="2">
        <f t="shared" si="7"/>
        <v>3.3793545599999999</v>
      </c>
      <c r="Q11" s="2">
        <f t="shared" si="8"/>
        <v>2.51362116</v>
      </c>
      <c r="R11" s="2">
        <f t="shared" si="9"/>
        <v>1.8163263599999999</v>
      </c>
      <c r="S11" s="2">
        <f t="shared" si="10"/>
        <v>13.291525439999999</v>
      </c>
      <c r="T11" s="2">
        <f t="shared" si="11"/>
        <v>3.740017304635344</v>
      </c>
      <c r="U11" s="2">
        <f t="shared" si="15"/>
        <v>9.5515081353646547</v>
      </c>
      <c r="V11" s="3">
        <f t="shared" si="16"/>
        <v>0.24096078493369352</v>
      </c>
      <c r="W11" s="3">
        <f t="shared" si="17"/>
        <v>0.32607279890156632</v>
      </c>
      <c r="X11" s="3">
        <f t="shared" si="18"/>
        <v>0.36408510492575535</v>
      </c>
      <c r="Y11" s="3">
        <f t="shared" si="19"/>
        <v>0.69015790382732167</v>
      </c>
      <c r="Z11" s="1">
        <v>0.27600000000000002</v>
      </c>
      <c r="AA11" s="1">
        <v>0.17879999999999999</v>
      </c>
      <c r="AB11" s="1">
        <v>9.74E-2</v>
      </c>
      <c r="AD11" s="2">
        <f t="shared" si="20"/>
        <v>67.567763533183282</v>
      </c>
      <c r="AE11" s="4" t="s">
        <v>1069</v>
      </c>
      <c r="AF11" s="4" t="s">
        <v>1070</v>
      </c>
      <c r="AG11" s="4" t="s">
        <v>1071</v>
      </c>
      <c r="AH11" s="4" t="s">
        <v>1068</v>
      </c>
      <c r="AI11" s="4" t="s">
        <v>1072</v>
      </c>
      <c r="AJ11" s="1">
        <v>9.7222221999999997E-2</v>
      </c>
      <c r="AK11" s="1">
        <v>2.5553780000000001E-3</v>
      </c>
      <c r="AL11" s="1">
        <v>9.3870959999999993E-3</v>
      </c>
      <c r="AM11" s="1">
        <v>6.9822809999999999E-3</v>
      </c>
      <c r="AN11" s="1">
        <v>5.045351E-3</v>
      </c>
      <c r="AO11" s="1">
        <v>3.6920903999999997E-2</v>
      </c>
      <c r="AP11" s="4" t="s">
        <v>1073</v>
      </c>
    </row>
    <row r="12" spans="1:42">
      <c r="A12" s="1" t="s">
        <v>66</v>
      </c>
      <c r="B12" s="1" t="s">
        <v>727</v>
      </c>
      <c r="C12" s="1" t="s">
        <v>20</v>
      </c>
      <c r="D12" s="1">
        <v>509</v>
      </c>
      <c r="E12" s="1">
        <v>589</v>
      </c>
      <c r="F12" s="2">
        <f t="shared" si="12"/>
        <v>126.82189516022038</v>
      </c>
      <c r="G12" s="2">
        <f t="shared" si="0"/>
        <v>83.624547961933118</v>
      </c>
      <c r="H12" s="2">
        <f t="shared" si="1"/>
        <v>24.060186442012149</v>
      </c>
      <c r="I12" s="2">
        <f t="shared" si="2"/>
        <v>0.98033095496503642</v>
      </c>
      <c r="J12" s="2">
        <f t="shared" si="3"/>
        <v>19.225432377999997</v>
      </c>
      <c r="K12" s="2">
        <f t="shared" si="4"/>
        <v>74.57630187624919</v>
      </c>
      <c r="L12" s="2">
        <f t="shared" si="5"/>
        <v>65.999999999999631</v>
      </c>
      <c r="M12" s="2">
        <f t="shared" si="13"/>
        <v>65.555699999999405</v>
      </c>
      <c r="N12" s="2">
        <f t="shared" si="6"/>
        <v>1.0137991689999999</v>
      </c>
      <c r="O12" s="2">
        <f t="shared" si="14"/>
        <v>95.182400000000001</v>
      </c>
      <c r="P12" s="2">
        <f t="shared" si="7"/>
        <v>8.4143038050000012</v>
      </c>
      <c r="Q12" s="2">
        <f t="shared" si="8"/>
        <v>4.0608993739999999</v>
      </c>
      <c r="R12" s="2">
        <f t="shared" si="9"/>
        <v>1.0878241</v>
      </c>
      <c r="S12" s="2">
        <f t="shared" si="10"/>
        <v>8.6925468160000001</v>
      </c>
      <c r="T12" s="2">
        <f t="shared" si="11"/>
        <v>2.1995710239999999</v>
      </c>
      <c r="U12" s="2">
        <f t="shared" si="15"/>
        <v>6.4929757920000002</v>
      </c>
      <c r="V12" s="3">
        <f t="shared" si="16"/>
        <v>0.24915892958785929</v>
      </c>
      <c r="W12" s="3">
        <f t="shared" si="17"/>
        <v>0.34816272342080934</v>
      </c>
      <c r="X12" s="3">
        <f t="shared" si="18"/>
        <v>0.41569281576198924</v>
      </c>
      <c r="Y12" s="3">
        <f t="shared" si="19"/>
        <v>0.76385553918279858</v>
      </c>
      <c r="Z12" s="4" t="s">
        <v>728</v>
      </c>
      <c r="AA12" s="4" t="s">
        <v>729</v>
      </c>
      <c r="AB12" s="4" t="s">
        <v>730</v>
      </c>
      <c r="AD12" s="2">
        <f t="shared" si="20"/>
        <v>107.59646278222039</v>
      </c>
      <c r="AE12" s="4" t="s">
        <v>731</v>
      </c>
      <c r="AF12" s="4" t="s">
        <v>732</v>
      </c>
      <c r="AG12" s="1">
        <v>9.1111820000000007E-3</v>
      </c>
      <c r="AH12" s="1">
        <v>3.2640801999999997E-2</v>
      </c>
      <c r="AI12" s="4" t="s">
        <v>733</v>
      </c>
      <c r="AJ12" s="4" t="s">
        <v>734</v>
      </c>
      <c r="AK12" s="1">
        <v>1.721221E-3</v>
      </c>
      <c r="AL12" s="1">
        <v>1.4285745000000001E-2</v>
      </c>
      <c r="AM12" s="1">
        <v>6.8945660000000004E-3</v>
      </c>
      <c r="AN12" s="1">
        <v>1.8469000000000001E-3</v>
      </c>
      <c r="AO12" s="1">
        <v>1.4758144000000001E-2</v>
      </c>
      <c r="AP12" s="1">
        <v>3.734416E-3</v>
      </c>
    </row>
    <row r="13" spans="1:42">
      <c r="A13" s="1" t="s">
        <v>66</v>
      </c>
      <c r="B13" s="1" t="s">
        <v>206</v>
      </c>
      <c r="C13" s="1" t="s">
        <v>124</v>
      </c>
      <c r="D13" s="1">
        <v>576</v>
      </c>
      <c r="E13" s="1">
        <v>666</v>
      </c>
      <c r="F13" s="2">
        <f t="shared" si="12"/>
        <v>137.52991900587779</v>
      </c>
      <c r="G13" s="2">
        <f t="shared" si="0"/>
        <v>82.784910463549295</v>
      </c>
      <c r="H13" s="2">
        <f t="shared" si="1"/>
        <v>27.301330605926303</v>
      </c>
      <c r="I13" s="2">
        <f t="shared" si="2"/>
        <v>0.98168439307864963</v>
      </c>
      <c r="J13" s="2">
        <f t="shared" si="3"/>
        <v>26.512727399999999</v>
      </c>
      <c r="K13" s="2">
        <f t="shared" si="4"/>
        <v>86.718923933209126</v>
      </c>
      <c r="L13" s="2">
        <f t="shared" si="5"/>
        <v>91.999999999999901</v>
      </c>
      <c r="M13" s="2">
        <f t="shared" si="13"/>
        <v>80.652599999999339</v>
      </c>
      <c r="N13" s="2">
        <f t="shared" si="6"/>
        <v>3.9580406639999999</v>
      </c>
      <c r="O13" s="2">
        <f t="shared" si="14"/>
        <v>160.506</v>
      </c>
      <c r="P13" s="2">
        <f t="shared" si="7"/>
        <v>5.6365091820000002</v>
      </c>
      <c r="Q13" s="2">
        <f t="shared" si="8"/>
        <v>4.8363634620000004</v>
      </c>
      <c r="R13" s="2">
        <f t="shared" si="9"/>
        <v>0.50000016599999997</v>
      </c>
      <c r="S13" s="2">
        <f t="shared" si="10"/>
        <v>0.98833800599999999</v>
      </c>
      <c r="T13" s="2">
        <f t="shared" si="11"/>
        <v>0</v>
      </c>
      <c r="U13" s="2">
        <f t="shared" si="15"/>
        <v>0.98833800599999999</v>
      </c>
      <c r="V13" s="3">
        <f t="shared" si="16"/>
        <v>0.2387672204963156</v>
      </c>
      <c r="W13" s="3">
        <f t="shared" si="17"/>
        <v>0.34229182405147407</v>
      </c>
      <c r="X13" s="3">
        <f t="shared" si="18"/>
        <v>0.42774919176152398</v>
      </c>
      <c r="Y13" s="3">
        <f t="shared" si="19"/>
        <v>0.770041015812998</v>
      </c>
      <c r="Z13" s="1">
        <v>0.28189999999999998</v>
      </c>
      <c r="AA13" s="4" t="s">
        <v>207</v>
      </c>
      <c r="AB13" s="4" t="s">
        <v>208</v>
      </c>
      <c r="AD13" s="2">
        <f t="shared" si="20"/>
        <v>111.0171916058778</v>
      </c>
      <c r="AE13" s="4" t="s">
        <v>209</v>
      </c>
      <c r="AF13" s="4" t="s">
        <v>210</v>
      </c>
      <c r="AG13" s="1">
        <v>8.8426340000000003E-3</v>
      </c>
      <c r="AH13" s="1">
        <v>3.9808900000000001E-2</v>
      </c>
      <c r="AI13" s="4" t="s">
        <v>211</v>
      </c>
      <c r="AJ13" s="4" t="s">
        <v>212</v>
      </c>
      <c r="AK13" s="1">
        <v>5.943004E-3</v>
      </c>
      <c r="AL13" s="1">
        <v>8.4632270000000002E-3</v>
      </c>
      <c r="AM13" s="1">
        <v>7.2618070000000003E-3</v>
      </c>
      <c r="AN13" s="1">
        <v>7.5075100000000002E-4</v>
      </c>
      <c r="AO13" s="1">
        <v>1.483991E-3</v>
      </c>
      <c r="AP13" s="1">
        <v>0</v>
      </c>
    </row>
    <row r="14" spans="1:42">
      <c r="A14" s="1" t="s">
        <v>66</v>
      </c>
      <c r="B14" s="1" t="s">
        <v>432</v>
      </c>
      <c r="C14" s="1" t="s">
        <v>20</v>
      </c>
      <c r="D14" s="1">
        <v>532</v>
      </c>
      <c r="E14" s="1">
        <v>567</v>
      </c>
      <c r="F14" s="2">
        <f t="shared" si="12"/>
        <v>140.21443204412017</v>
      </c>
      <c r="G14" s="2">
        <f t="shared" si="0"/>
        <v>91.741394394627534</v>
      </c>
      <c r="H14" s="2">
        <f t="shared" si="1"/>
        <v>28.09034123606919</v>
      </c>
      <c r="I14" s="2">
        <f t="shared" si="2"/>
        <v>3.2964510986085207</v>
      </c>
      <c r="J14" s="2">
        <f t="shared" si="3"/>
        <v>18.228621915000002</v>
      </c>
      <c r="K14" s="2">
        <f t="shared" si="4"/>
        <v>69.892514866844451</v>
      </c>
      <c r="L14" s="2">
        <f t="shared" si="5"/>
        <v>69.999999999999559</v>
      </c>
      <c r="M14" s="2">
        <f t="shared" si="13"/>
        <v>26.932500000000001</v>
      </c>
      <c r="N14" s="2">
        <f t="shared" si="6"/>
        <v>1.1739196350000001</v>
      </c>
      <c r="O14" s="2">
        <f t="shared" si="14"/>
        <v>108.97739999999943</v>
      </c>
      <c r="P14" s="2">
        <f t="shared" si="7"/>
        <v>4.6708178579999995</v>
      </c>
      <c r="Q14" s="2">
        <f t="shared" si="8"/>
        <v>4.0056537149999993</v>
      </c>
      <c r="R14" s="2">
        <f t="shared" si="9"/>
        <v>1.9310347350000001</v>
      </c>
      <c r="S14" s="2">
        <f t="shared" si="10"/>
        <v>18.208536507000002</v>
      </c>
      <c r="T14" s="2">
        <f t="shared" si="11"/>
        <v>4.872398832</v>
      </c>
      <c r="U14" s="2">
        <f t="shared" si="15"/>
        <v>13.336137675000002</v>
      </c>
      <c r="V14" s="3">
        <f t="shared" si="16"/>
        <v>0.26356096248894767</v>
      </c>
      <c r="W14" s="3">
        <f t="shared" si="17"/>
        <v>0.3066618810510523</v>
      </c>
      <c r="X14" s="3">
        <f t="shared" si="18"/>
        <v>0.43369533425299156</v>
      </c>
      <c r="Y14" s="3">
        <f t="shared" si="19"/>
        <v>0.74035721530404386</v>
      </c>
      <c r="Z14" s="1">
        <v>0.2984</v>
      </c>
      <c r="AA14" s="4" t="s">
        <v>433</v>
      </c>
      <c r="AB14" s="1">
        <v>4.7500000000000001E-2</v>
      </c>
      <c r="AD14" s="2">
        <f t="shared" si="20"/>
        <v>121.98581012912018</v>
      </c>
      <c r="AE14" s="4" t="s">
        <v>434</v>
      </c>
      <c r="AF14" s="4" t="s">
        <v>435</v>
      </c>
      <c r="AG14" s="4" t="s">
        <v>436</v>
      </c>
      <c r="AH14" s="1">
        <v>3.2149245E-2</v>
      </c>
      <c r="AI14" s="4" t="s">
        <v>437</v>
      </c>
      <c r="AJ14" s="4" t="s">
        <v>438</v>
      </c>
      <c r="AK14" s="1">
        <v>2.070405E-3</v>
      </c>
      <c r="AL14" s="1">
        <v>8.2377739999999998E-3</v>
      </c>
      <c r="AM14" s="1">
        <v>7.0646449999999996E-3</v>
      </c>
      <c r="AN14" s="1">
        <v>3.4057050000000002E-3</v>
      </c>
      <c r="AO14" s="1">
        <v>3.2113821000000001E-2</v>
      </c>
      <c r="AP14" s="1">
        <v>8.5932960000000003E-3</v>
      </c>
    </row>
    <row r="15" spans="1:42">
      <c r="A15" s="1" t="s">
        <v>66</v>
      </c>
      <c r="B15" s="1" t="s">
        <v>514</v>
      </c>
      <c r="C15" s="1" t="s">
        <v>169</v>
      </c>
      <c r="D15" s="1">
        <v>538</v>
      </c>
      <c r="E15" s="1">
        <v>592</v>
      </c>
      <c r="F15" s="2">
        <f t="shared" si="12"/>
        <v>133.31682134010879</v>
      </c>
      <c r="G15" s="2">
        <f t="shared" si="0"/>
        <v>86.269509765783923</v>
      </c>
      <c r="H15" s="2">
        <f t="shared" si="1"/>
        <v>27.420852312112402</v>
      </c>
      <c r="I15" s="2">
        <f t="shared" si="2"/>
        <v>2.0119298044458107</v>
      </c>
      <c r="J15" s="2">
        <f t="shared" si="3"/>
        <v>18.093845968</v>
      </c>
      <c r="K15" s="2">
        <f t="shared" si="4"/>
        <v>69.498437118436726</v>
      </c>
      <c r="L15" s="2">
        <f t="shared" si="5"/>
        <v>70.999999999999744</v>
      </c>
      <c r="M15" s="2">
        <f t="shared" si="13"/>
        <v>42.801600000000001</v>
      </c>
      <c r="N15" s="2">
        <f t="shared" si="6"/>
        <v>0.96774180800000009</v>
      </c>
      <c r="O15" s="2">
        <f t="shared" si="14"/>
        <v>87.32</v>
      </c>
      <c r="P15" s="2">
        <f t="shared" si="7"/>
        <v>5.0284101120000004</v>
      </c>
      <c r="Q15" s="2">
        <f t="shared" si="8"/>
        <v>5.8574356639999996</v>
      </c>
      <c r="R15" s="2">
        <f t="shared" si="9"/>
        <v>0.50000023999999998</v>
      </c>
      <c r="S15" s="2">
        <f t="shared" si="10"/>
        <v>11.016507872</v>
      </c>
      <c r="T15" s="2">
        <f t="shared" si="11"/>
        <v>2.985348256</v>
      </c>
      <c r="U15" s="2">
        <f t="shared" si="15"/>
        <v>8.0311596160000001</v>
      </c>
      <c r="V15" s="3">
        <f t="shared" si="16"/>
        <v>0.24780078316005352</v>
      </c>
      <c r="W15" s="3">
        <f t="shared" si="17"/>
        <v>0.30991537527199636</v>
      </c>
      <c r="X15" s="3">
        <f t="shared" si="18"/>
        <v>0.40803417783521595</v>
      </c>
      <c r="Y15" s="3">
        <f t="shared" si="19"/>
        <v>0.71794955310721231</v>
      </c>
      <c r="Z15" s="1">
        <v>0.26279999999999998</v>
      </c>
      <c r="AA15" s="4" t="s">
        <v>515</v>
      </c>
      <c r="AB15" s="1">
        <v>7.2300000000000003E-2</v>
      </c>
      <c r="AD15" s="2">
        <f t="shared" si="20"/>
        <v>115.22297537210879</v>
      </c>
      <c r="AE15" s="4" t="s">
        <v>516</v>
      </c>
      <c r="AF15" s="4" t="s">
        <v>517</v>
      </c>
      <c r="AG15" s="1">
        <v>1.7461186E-2</v>
      </c>
      <c r="AH15" s="1">
        <v>3.0563929E-2</v>
      </c>
      <c r="AI15" s="4" t="s">
        <v>518</v>
      </c>
      <c r="AJ15" s="4" t="s">
        <v>519</v>
      </c>
      <c r="AK15" s="1">
        <v>1.6346990000000001E-3</v>
      </c>
      <c r="AL15" s="1">
        <v>8.4939360000000005E-3</v>
      </c>
      <c r="AM15" s="1">
        <v>9.8943169999999997E-3</v>
      </c>
      <c r="AN15" s="1">
        <v>8.4459499999999996E-4</v>
      </c>
      <c r="AO15" s="1">
        <v>1.8608966000000001E-2</v>
      </c>
      <c r="AP15" s="1">
        <v>5.0428180000000001E-3</v>
      </c>
    </row>
    <row r="16" spans="1:42">
      <c r="A16" s="1" t="s">
        <v>66</v>
      </c>
      <c r="B16" s="1" t="s">
        <v>65</v>
      </c>
      <c r="C16" s="1" t="s">
        <v>20</v>
      </c>
      <c r="D16" s="1">
        <v>533</v>
      </c>
      <c r="E16" s="1">
        <v>629</v>
      </c>
      <c r="F16" s="2">
        <f t="shared" si="12"/>
        <v>150.84626950774899</v>
      </c>
      <c r="G16" s="2">
        <f t="shared" si="0"/>
        <v>93.987537488564541</v>
      </c>
      <c r="H16" s="2">
        <f t="shared" si="1"/>
        <v>24.86912696642241</v>
      </c>
      <c r="I16" s="2">
        <f t="shared" si="2"/>
        <v>1.9749526660262553</v>
      </c>
      <c r="J16" s="2">
        <f t="shared" si="3"/>
        <v>29.151364159</v>
      </c>
      <c r="K16" s="2">
        <f t="shared" si="4"/>
        <v>107.75137817359611</v>
      </c>
      <c r="L16" s="2">
        <f t="shared" si="5"/>
        <v>77.999999999999403</v>
      </c>
      <c r="M16" s="2">
        <f t="shared" si="13"/>
        <v>83.342500000000001</v>
      </c>
      <c r="N16" s="2">
        <f t="shared" si="6"/>
        <v>3.6083226580000001</v>
      </c>
      <c r="O16" s="2">
        <f t="shared" si="14"/>
        <v>128.5676</v>
      </c>
      <c r="P16" s="2">
        <f t="shared" si="7"/>
        <v>7.6596494794684098</v>
      </c>
      <c r="Q16" s="2">
        <f t="shared" si="8"/>
        <v>3.8308188280000004</v>
      </c>
      <c r="R16" s="2">
        <f t="shared" si="9"/>
        <v>0.50000027699999994</v>
      </c>
      <c r="S16" s="2">
        <f t="shared" si="10"/>
        <v>24.758679130000001</v>
      </c>
      <c r="T16" s="2">
        <f t="shared" si="11"/>
        <v>5.9734695880000004</v>
      </c>
      <c r="U16" s="2">
        <f t="shared" si="15"/>
        <v>18.785209542</v>
      </c>
      <c r="V16" s="3">
        <f t="shared" si="16"/>
        <v>0.28301363885131142</v>
      </c>
      <c r="W16" s="3">
        <f t="shared" si="17"/>
        <v>0.39349786098301892</v>
      </c>
      <c r="X16" s="3">
        <f t="shared" si="18"/>
        <v>0.49954241286207907</v>
      </c>
      <c r="Y16" s="3">
        <f t="shared" si="19"/>
        <v>0.89304027384509799</v>
      </c>
      <c r="Z16" s="1">
        <v>0.32100000000000001</v>
      </c>
      <c r="AA16" s="4" t="s">
        <v>67</v>
      </c>
      <c r="AB16" s="1">
        <v>0.13250000000000001</v>
      </c>
      <c r="AD16" s="2">
        <f t="shared" si="20"/>
        <v>121.69490534874899</v>
      </c>
      <c r="AE16" s="4" t="s">
        <v>68</v>
      </c>
      <c r="AF16" s="4" t="s">
        <v>69</v>
      </c>
      <c r="AG16" s="1">
        <v>1.6228721000000002E-2</v>
      </c>
      <c r="AH16" s="1">
        <v>4.6345571000000002E-2</v>
      </c>
      <c r="AI16" s="4" t="s">
        <v>70</v>
      </c>
      <c r="AJ16" s="4" t="s">
        <v>71</v>
      </c>
      <c r="AK16" s="1">
        <v>5.7366020000000004E-3</v>
      </c>
      <c r="AL16" s="4" t="s">
        <v>72</v>
      </c>
      <c r="AM16" s="1">
        <v>6.0903320000000004E-3</v>
      </c>
      <c r="AN16" s="1">
        <v>7.9491299999999996E-4</v>
      </c>
      <c r="AO16" s="1">
        <v>3.9361970000000003E-2</v>
      </c>
      <c r="AP16" s="1">
        <v>9.4967720000000005E-3</v>
      </c>
    </row>
    <row r="17" spans="1:42">
      <c r="A17" s="1" t="s">
        <v>92</v>
      </c>
      <c r="B17" s="1" t="s">
        <v>91</v>
      </c>
      <c r="C17" s="1" t="s">
        <v>20</v>
      </c>
      <c r="D17" s="1">
        <v>525</v>
      </c>
      <c r="E17" s="1">
        <v>604</v>
      </c>
      <c r="F17" s="2">
        <f t="shared" si="12"/>
        <v>136.1146457047607</v>
      </c>
      <c r="G17" s="2">
        <f t="shared" si="0"/>
        <v>73.893421343568292</v>
      </c>
      <c r="H17" s="2">
        <f t="shared" si="1"/>
        <v>28.199932142308221</v>
      </c>
      <c r="I17" s="2">
        <f t="shared" si="2"/>
        <v>9.801685578219681</v>
      </c>
      <c r="J17" s="2">
        <f t="shared" si="3"/>
        <v>25.769836065573696</v>
      </c>
      <c r="K17" s="2">
        <f t="shared" si="4"/>
        <v>96.193010783127775</v>
      </c>
      <c r="L17" s="2">
        <f t="shared" si="5"/>
        <v>76.999999999999844</v>
      </c>
      <c r="M17" s="2">
        <f t="shared" si="13"/>
        <v>62.997199999999999</v>
      </c>
      <c r="N17" s="2">
        <f t="shared" si="6"/>
        <v>2.8387806719999999</v>
      </c>
      <c r="O17" s="2">
        <f t="shared" si="14"/>
        <v>126.53799999999939</v>
      </c>
      <c r="P17" s="2">
        <f t="shared" si="7"/>
        <v>8.0665540880000002</v>
      </c>
      <c r="Q17" s="2">
        <f t="shared" si="8"/>
        <v>4.1685247240000001</v>
      </c>
      <c r="R17" s="2">
        <f t="shared" si="9"/>
        <v>1.9137667520000001</v>
      </c>
      <c r="S17" s="2">
        <f t="shared" si="10"/>
        <v>32.379906063999996</v>
      </c>
      <c r="T17" s="2">
        <f t="shared" si="11"/>
        <v>7.1068198320000002</v>
      </c>
      <c r="U17" s="2">
        <f t="shared" si="15"/>
        <v>25.273086231999997</v>
      </c>
      <c r="V17" s="3">
        <f t="shared" si="16"/>
        <v>0.25926599181859183</v>
      </c>
      <c r="W17" s="3">
        <f t="shared" si="17"/>
        <v>0.35296737849906806</v>
      </c>
      <c r="X17" s="3">
        <f t="shared" si="18"/>
        <v>0.50052892690502582</v>
      </c>
      <c r="Y17" s="3">
        <f t="shared" si="19"/>
        <v>0.85349630540409382</v>
      </c>
      <c r="Z17" s="4" t="s">
        <v>93</v>
      </c>
      <c r="AA17" s="4" t="s">
        <v>94</v>
      </c>
      <c r="AB17" s="1">
        <v>0.1043</v>
      </c>
      <c r="AD17" s="2">
        <f t="shared" si="20"/>
        <v>110.34480963918702</v>
      </c>
      <c r="AE17" s="4" t="s">
        <v>96</v>
      </c>
      <c r="AF17" s="4" t="s">
        <v>97</v>
      </c>
      <c r="AG17" s="1">
        <v>8.8827790000000004E-2</v>
      </c>
      <c r="AH17" s="4" t="s">
        <v>95</v>
      </c>
      <c r="AI17" s="4" t="s">
        <v>98</v>
      </c>
      <c r="AJ17" s="4" t="s">
        <v>99</v>
      </c>
      <c r="AK17" s="1">
        <v>4.6999679999999997E-3</v>
      </c>
      <c r="AL17" s="1">
        <v>1.3355222E-2</v>
      </c>
      <c r="AM17" s="1">
        <v>6.9015309999999998E-3</v>
      </c>
      <c r="AN17" s="1">
        <v>3.1684880000000001E-3</v>
      </c>
      <c r="AO17" s="1">
        <v>5.3609115999999998E-2</v>
      </c>
      <c r="AP17" s="1">
        <v>1.1766258E-2</v>
      </c>
    </row>
    <row r="18" spans="1:42">
      <c r="A18" s="1" t="s">
        <v>92</v>
      </c>
      <c r="B18" s="1" t="s">
        <v>1029</v>
      </c>
      <c r="C18" s="1" t="s">
        <v>87</v>
      </c>
      <c r="D18" s="1">
        <v>392</v>
      </c>
      <c r="E18" s="1">
        <v>440</v>
      </c>
      <c r="F18" s="2">
        <f t="shared" si="12"/>
        <v>107.87896975690001</v>
      </c>
      <c r="G18" s="2">
        <f t="shared" si="0"/>
        <v>75.756002997019309</v>
      </c>
      <c r="H18" s="2">
        <f t="shared" si="1"/>
        <v>20.14787313750513</v>
      </c>
      <c r="I18" s="2">
        <f t="shared" si="2"/>
        <v>1.0273201109313437</v>
      </c>
      <c r="J18" s="2">
        <f t="shared" si="3"/>
        <v>10.16178504</v>
      </c>
      <c r="K18" s="2">
        <f t="shared" si="4"/>
        <v>52.625400457665641</v>
      </c>
      <c r="L18" s="2">
        <f t="shared" si="5"/>
        <v>53.99999999999968</v>
      </c>
      <c r="M18" s="2">
        <f t="shared" si="13"/>
        <v>39.512</v>
      </c>
      <c r="N18" s="2">
        <f t="shared" si="6"/>
        <v>2.0870044800000001</v>
      </c>
      <c r="O18" s="2">
        <f t="shared" si="14"/>
        <v>74.756</v>
      </c>
      <c r="P18" s="2">
        <f t="shared" si="7"/>
        <v>3.6761489599999999</v>
      </c>
      <c r="Q18" s="2">
        <f t="shared" si="8"/>
        <v>3.8219680400000002</v>
      </c>
      <c r="R18" s="2">
        <f t="shared" si="9"/>
        <v>0</v>
      </c>
      <c r="S18" s="2">
        <f t="shared" si="10"/>
        <v>3.94385948</v>
      </c>
      <c r="T18" s="2">
        <f t="shared" si="11"/>
        <v>1.6892365599999999</v>
      </c>
      <c r="U18" s="2">
        <f t="shared" si="15"/>
        <v>2.2546229200000001</v>
      </c>
      <c r="V18" s="3">
        <f t="shared" si="16"/>
        <v>0.27520145346147962</v>
      </c>
      <c r="W18" s="3">
        <f t="shared" si="17"/>
        <v>0.35012981273982557</v>
      </c>
      <c r="X18" s="3">
        <f t="shared" si="18"/>
        <v>0.40760420858373364</v>
      </c>
      <c r="Y18" s="3">
        <f t="shared" si="19"/>
        <v>0.75773402132355927</v>
      </c>
      <c r="Z18" s="1">
        <v>0.31430000000000002</v>
      </c>
      <c r="AA18" s="1">
        <v>0.1699</v>
      </c>
      <c r="AB18" s="1">
        <v>8.9800000000000005E-2</v>
      </c>
      <c r="AD18" s="2">
        <f t="shared" si="20"/>
        <v>97.717184716900007</v>
      </c>
      <c r="AE18" s="4" t="s">
        <v>1030</v>
      </c>
      <c r="AF18" s="4" t="s">
        <v>1031</v>
      </c>
      <c r="AG18" s="1">
        <v>1.0513198E-2</v>
      </c>
      <c r="AH18" s="1">
        <v>2.3094966000000001E-2</v>
      </c>
      <c r="AI18" s="4" t="s">
        <v>1032</v>
      </c>
      <c r="AJ18" s="4" t="s">
        <v>1033</v>
      </c>
      <c r="AK18" s="1">
        <v>4.7431920000000002E-3</v>
      </c>
      <c r="AL18" s="1">
        <v>8.3548839999999999E-3</v>
      </c>
      <c r="AM18" s="1">
        <v>8.6862910000000005E-3</v>
      </c>
      <c r="AN18" s="1">
        <v>0</v>
      </c>
      <c r="AO18" s="1">
        <v>8.9633170000000002E-3</v>
      </c>
      <c r="AP18" s="1">
        <v>3.8391739999999999E-3</v>
      </c>
    </row>
    <row r="19" spans="1:42">
      <c r="A19" s="1" t="s">
        <v>92</v>
      </c>
      <c r="B19" s="1" t="s">
        <v>307</v>
      </c>
      <c r="C19" s="1" t="s">
        <v>34</v>
      </c>
      <c r="D19" s="1">
        <v>549</v>
      </c>
      <c r="E19" s="1">
        <v>648</v>
      </c>
      <c r="F19" s="2">
        <f t="shared" si="12"/>
        <v>142.15155675672193</v>
      </c>
      <c r="G19" s="2">
        <f t="shared" si="0"/>
        <v>100.92341630571845</v>
      </c>
      <c r="H19" s="2">
        <f t="shared" si="1"/>
        <v>26.275572785327487</v>
      </c>
      <c r="I19" s="2">
        <f t="shared" si="2"/>
        <v>3.8128840604620842</v>
      </c>
      <c r="J19" s="2">
        <f t="shared" si="3"/>
        <v>11.323750104</v>
      </c>
      <c r="K19" s="2">
        <f t="shared" si="4"/>
        <v>87.941107871719922</v>
      </c>
      <c r="L19" s="2">
        <f t="shared" si="5"/>
        <v>64.999999999999588</v>
      </c>
      <c r="M19" s="2">
        <f t="shared" si="13"/>
        <v>72.640799999999999</v>
      </c>
      <c r="N19" s="2">
        <f t="shared" si="6"/>
        <v>0.99719100000000005</v>
      </c>
      <c r="O19" s="2">
        <f t="shared" si="14"/>
        <v>83.397600000000011</v>
      </c>
      <c r="P19" s="2">
        <f t="shared" si="7"/>
        <v>7.5122014925372973</v>
      </c>
      <c r="Q19" s="2">
        <f t="shared" si="8"/>
        <v>5.2500000959999999</v>
      </c>
      <c r="R19" s="2">
        <f t="shared" si="9"/>
        <v>9.8731340640000003</v>
      </c>
      <c r="S19" s="2">
        <f t="shared" si="10"/>
        <v>20.723615423999998</v>
      </c>
      <c r="T19" s="2">
        <f t="shared" si="11"/>
        <v>5.5633566959999996</v>
      </c>
      <c r="U19" s="2">
        <f t="shared" si="15"/>
        <v>15.160258727999999</v>
      </c>
      <c r="V19" s="3">
        <f t="shared" si="16"/>
        <v>0.25892815438382866</v>
      </c>
      <c r="W19" s="3">
        <f t="shared" si="17"/>
        <v>0.35563946502540733</v>
      </c>
      <c r="X19" s="3">
        <f t="shared" si="18"/>
        <v>0.38289292253872437</v>
      </c>
      <c r="Y19" s="3">
        <f t="shared" si="19"/>
        <v>0.73853238756413164</v>
      </c>
      <c r="Z19" s="4" t="s">
        <v>308</v>
      </c>
      <c r="AA19" s="1">
        <v>0.12870000000000001</v>
      </c>
      <c r="AB19" s="1">
        <v>0.11210000000000001</v>
      </c>
      <c r="AD19" s="2">
        <f t="shared" si="20"/>
        <v>130.82780665272193</v>
      </c>
      <c r="AE19" s="4" t="s">
        <v>309</v>
      </c>
      <c r="AF19" s="4" t="s">
        <v>310</v>
      </c>
      <c r="AG19" s="1">
        <v>2.9144294000000001E-2</v>
      </c>
      <c r="AH19" s="1">
        <v>1.7474923E-2</v>
      </c>
      <c r="AI19" s="4" t="s">
        <v>311</v>
      </c>
      <c r="AJ19" s="4" t="s">
        <v>312</v>
      </c>
      <c r="AK19" s="1">
        <v>1.5388750000000001E-3</v>
      </c>
      <c r="AL19" s="4" t="s">
        <v>313</v>
      </c>
      <c r="AM19" s="1">
        <v>8.1018519999999997E-3</v>
      </c>
      <c r="AN19" s="1">
        <v>1.5236318E-2</v>
      </c>
      <c r="AO19" s="1">
        <v>3.1980887999999999E-2</v>
      </c>
      <c r="AP19" s="1">
        <v>8.5854269999999996E-3</v>
      </c>
    </row>
    <row r="20" spans="1:42">
      <c r="A20" s="1" t="s">
        <v>92</v>
      </c>
      <c r="B20" s="1" t="s">
        <v>168</v>
      </c>
      <c r="C20" s="1" t="s">
        <v>169</v>
      </c>
      <c r="D20" s="1">
        <v>536</v>
      </c>
      <c r="E20" s="1">
        <v>616</v>
      </c>
      <c r="F20" s="2">
        <f t="shared" si="12"/>
        <v>147.78393997291158</v>
      </c>
      <c r="G20" s="2">
        <f t="shared" si="0"/>
        <v>85.738106661614822</v>
      </c>
      <c r="H20" s="2">
        <f t="shared" si="1"/>
        <v>30.798346216520148</v>
      </c>
      <c r="I20" s="2">
        <f t="shared" si="2"/>
        <v>2.193990235405562</v>
      </c>
      <c r="J20" s="2">
        <f t="shared" si="3"/>
        <v>29.113584192000001</v>
      </c>
      <c r="K20" s="2">
        <f t="shared" si="4"/>
        <v>89.491302314705976</v>
      </c>
      <c r="L20" s="2">
        <f t="shared" si="5"/>
        <v>86.999999999999844</v>
      </c>
      <c r="M20" s="2">
        <f t="shared" si="13"/>
        <v>67.328800000000001</v>
      </c>
      <c r="N20" s="2">
        <f t="shared" si="6"/>
        <v>5.348853664</v>
      </c>
      <c r="O20" s="2">
        <f t="shared" si="14"/>
        <v>100.34639999999999</v>
      </c>
      <c r="P20" s="2">
        <f t="shared" si="7"/>
        <v>6.385943256</v>
      </c>
      <c r="Q20" s="2">
        <f t="shared" si="8"/>
        <v>4.2261862719999996</v>
      </c>
      <c r="R20" s="2">
        <f t="shared" si="9"/>
        <v>0.49999980799999999</v>
      </c>
      <c r="S20" s="2">
        <f t="shared" si="10"/>
        <v>5.3208792560000004</v>
      </c>
      <c r="T20" s="2">
        <f t="shared" si="11"/>
        <v>1.498491456</v>
      </c>
      <c r="U20" s="2">
        <f t="shared" si="15"/>
        <v>3.8223878000000004</v>
      </c>
      <c r="V20" s="3">
        <f t="shared" si="16"/>
        <v>0.27571630591961116</v>
      </c>
      <c r="W20" s="3">
        <f t="shared" si="17"/>
        <v>0.37011929459701087</v>
      </c>
      <c r="X20" s="3">
        <f t="shared" si="18"/>
        <v>0.50442370628520861</v>
      </c>
      <c r="Y20" s="3">
        <f t="shared" si="19"/>
        <v>0.87454300088221948</v>
      </c>
      <c r="Z20" s="4" t="s">
        <v>170</v>
      </c>
      <c r="AA20" s="1">
        <v>0.16289999999999999</v>
      </c>
      <c r="AB20" s="1">
        <v>0.10929999999999999</v>
      </c>
      <c r="AD20" s="2">
        <f t="shared" si="20"/>
        <v>118.67035578091159</v>
      </c>
      <c r="AE20" s="1">
        <v>0.72248967399999997</v>
      </c>
      <c r="AF20" s="4" t="s">
        <v>171</v>
      </c>
      <c r="AG20" s="1">
        <v>1.8488107E-2</v>
      </c>
      <c r="AH20" s="1">
        <v>4.7262312000000001E-2</v>
      </c>
      <c r="AI20" s="4" t="s">
        <v>172</v>
      </c>
      <c r="AJ20" s="4" t="s">
        <v>173</v>
      </c>
      <c r="AK20" s="1">
        <v>8.6832039999999999E-3</v>
      </c>
      <c r="AL20" s="1">
        <v>1.0366791E-2</v>
      </c>
      <c r="AM20" s="1">
        <v>6.8606919999999998E-3</v>
      </c>
      <c r="AN20" s="1">
        <v>8.1168799999999997E-4</v>
      </c>
      <c r="AO20" s="1">
        <v>8.6377910000000006E-3</v>
      </c>
      <c r="AP20" s="1">
        <v>2.4326159999999999E-3</v>
      </c>
    </row>
    <row r="21" spans="1:42">
      <c r="A21" s="1" t="s">
        <v>92</v>
      </c>
      <c r="B21" s="1" t="s">
        <v>873</v>
      </c>
      <c r="C21" s="1" t="s">
        <v>49</v>
      </c>
      <c r="D21" s="1">
        <v>504</v>
      </c>
      <c r="E21" s="1">
        <v>551</v>
      </c>
      <c r="F21" s="2">
        <f t="shared" si="12"/>
        <v>126.80706965177981</v>
      </c>
      <c r="G21" s="2">
        <f t="shared" si="0"/>
        <v>86.111226423014699</v>
      </c>
      <c r="H21" s="2">
        <f t="shared" si="1"/>
        <v>24.213641967400289</v>
      </c>
      <c r="I21" s="2">
        <f t="shared" si="2"/>
        <v>1.3273135713356454</v>
      </c>
      <c r="J21" s="2">
        <f t="shared" si="3"/>
        <v>16.239114427000001</v>
      </c>
      <c r="K21" s="2">
        <f t="shared" si="4"/>
        <v>59.222912338367017</v>
      </c>
      <c r="L21" s="2">
        <f t="shared" si="5"/>
        <v>67.999999999999673</v>
      </c>
      <c r="M21" s="2">
        <f t="shared" si="13"/>
        <v>35.925199999999997</v>
      </c>
      <c r="N21" s="2">
        <f t="shared" si="6"/>
        <v>3.2707839369999996</v>
      </c>
      <c r="O21" s="2">
        <f t="shared" si="14"/>
        <v>77.470600000000005</v>
      </c>
      <c r="P21" s="2">
        <f t="shared" si="7"/>
        <v>4.0896481790000001</v>
      </c>
      <c r="Q21" s="2">
        <f t="shared" si="8"/>
        <v>5.0664207560000003</v>
      </c>
      <c r="R21" s="2">
        <f t="shared" si="9"/>
        <v>0</v>
      </c>
      <c r="S21" s="2">
        <f t="shared" si="10"/>
        <v>2.9112602939999999</v>
      </c>
      <c r="T21" s="2">
        <f t="shared" si="11"/>
        <v>0.98337410800000002</v>
      </c>
      <c r="U21" s="2">
        <f t="shared" si="15"/>
        <v>1.9278861859999998</v>
      </c>
      <c r="V21" s="3">
        <f t="shared" si="16"/>
        <v>0.25160132867416629</v>
      </c>
      <c r="W21" s="3">
        <f t="shared" si="17"/>
        <v>0.31023958657720357</v>
      </c>
      <c r="X21" s="3">
        <f t="shared" si="18"/>
        <v>0.40372402535679014</v>
      </c>
      <c r="Y21" s="3">
        <f t="shared" si="19"/>
        <v>0.71396361193399371</v>
      </c>
      <c r="Z21" s="1">
        <v>0.26619999999999999</v>
      </c>
      <c r="AA21" s="1">
        <v>0.1406</v>
      </c>
      <c r="AB21" s="1">
        <v>6.5199999999999994E-2</v>
      </c>
      <c r="AD21" s="2">
        <f t="shared" si="20"/>
        <v>110.56795522477981</v>
      </c>
      <c r="AE21" s="4" t="s">
        <v>874</v>
      </c>
      <c r="AF21" s="4" t="s">
        <v>875</v>
      </c>
      <c r="AG21" s="1">
        <v>1.2004505E-2</v>
      </c>
      <c r="AH21" s="1">
        <v>2.9472076999999999E-2</v>
      </c>
      <c r="AI21" s="4" t="s">
        <v>876</v>
      </c>
      <c r="AJ21" s="4" t="s">
        <v>877</v>
      </c>
      <c r="AK21" s="1">
        <v>5.9360869999999996E-3</v>
      </c>
      <c r="AL21" s="1">
        <v>7.4222289999999998E-3</v>
      </c>
      <c r="AM21" s="1">
        <v>9.1949560000000007E-3</v>
      </c>
      <c r="AN21" s="1">
        <v>0</v>
      </c>
      <c r="AO21" s="1">
        <v>5.283594E-3</v>
      </c>
      <c r="AP21" s="1">
        <v>1.7847080000000001E-3</v>
      </c>
    </row>
    <row r="22" spans="1:42">
      <c r="A22" s="1" t="s">
        <v>107</v>
      </c>
      <c r="B22" s="1" t="s">
        <v>703</v>
      </c>
      <c r="C22" s="1" t="s">
        <v>87</v>
      </c>
      <c r="D22" s="1">
        <v>492</v>
      </c>
      <c r="E22" s="1">
        <v>560</v>
      </c>
      <c r="F22" s="2">
        <f t="shared" si="12"/>
        <v>124.06163007577615</v>
      </c>
      <c r="G22" s="2">
        <f t="shared" si="0"/>
        <v>80.575866351016842</v>
      </c>
      <c r="H22" s="2">
        <f t="shared" si="1"/>
        <v>25.218728749563127</v>
      </c>
      <c r="I22" s="2">
        <f t="shared" si="2"/>
        <v>1.3142515930921437</v>
      </c>
      <c r="J22" s="2">
        <f t="shared" si="3"/>
        <v>17.84234872</v>
      </c>
      <c r="K22" s="2">
        <f t="shared" si="4"/>
        <v>66.191889138990717</v>
      </c>
      <c r="L22" s="2">
        <f t="shared" si="5"/>
        <v>63.999999999999844</v>
      </c>
      <c r="M22" s="2">
        <f t="shared" si="13"/>
        <v>60.871999999999446</v>
      </c>
      <c r="N22" s="2">
        <f t="shared" si="6"/>
        <v>1.9890488800000001</v>
      </c>
      <c r="O22" s="2">
        <f t="shared" si="14"/>
        <v>88.143999999999451</v>
      </c>
      <c r="P22" s="2">
        <f t="shared" si="7"/>
        <v>3.5919956799999997</v>
      </c>
      <c r="Q22" s="2">
        <f t="shared" si="8"/>
        <v>4.7857650400000002</v>
      </c>
      <c r="R22" s="2">
        <f t="shared" si="9"/>
        <v>0</v>
      </c>
      <c r="S22" s="2">
        <f t="shared" si="10"/>
        <v>0.99575952000000001</v>
      </c>
      <c r="T22" s="2">
        <f t="shared" si="11"/>
        <v>0</v>
      </c>
      <c r="U22" s="2">
        <f t="shared" si="15"/>
        <v>0.99575952000000001</v>
      </c>
      <c r="V22" s="3">
        <f t="shared" si="16"/>
        <v>0.25215778470686212</v>
      </c>
      <c r="W22" s="3">
        <f t="shared" si="17"/>
        <v>0.34041947509953902</v>
      </c>
      <c r="X22" s="3">
        <f t="shared" si="18"/>
        <v>0.41936071851508028</v>
      </c>
      <c r="Y22" s="3">
        <f t="shared" si="19"/>
        <v>0.75978019361461935</v>
      </c>
      <c r="Z22" s="4" t="s">
        <v>704</v>
      </c>
      <c r="AA22" s="4" t="s">
        <v>705</v>
      </c>
      <c r="AB22" s="4" t="s">
        <v>706</v>
      </c>
      <c r="AD22" s="2">
        <f t="shared" si="20"/>
        <v>106.21928135577615</v>
      </c>
      <c r="AE22" s="4" t="s">
        <v>707</v>
      </c>
      <c r="AF22" s="4" t="s">
        <v>708</v>
      </c>
      <c r="AG22" s="1">
        <v>1.2373004E-2</v>
      </c>
      <c r="AH22" s="1">
        <v>3.1861337000000003E-2</v>
      </c>
      <c r="AI22" s="4" t="s">
        <v>709</v>
      </c>
      <c r="AJ22" s="4" t="s">
        <v>710</v>
      </c>
      <c r="AK22" s="1">
        <v>3.5518730000000001E-3</v>
      </c>
      <c r="AL22" s="1">
        <v>6.4142779999999998E-3</v>
      </c>
      <c r="AM22" s="1">
        <v>8.5460090000000002E-3</v>
      </c>
      <c r="AN22" s="1">
        <v>0</v>
      </c>
      <c r="AO22" s="1">
        <v>1.7781419999999999E-3</v>
      </c>
      <c r="AP22" s="1">
        <v>0</v>
      </c>
    </row>
    <row r="23" spans="1:42">
      <c r="A23" s="1" t="s">
        <v>107</v>
      </c>
      <c r="B23" s="1" t="s">
        <v>1081</v>
      </c>
      <c r="C23" s="1" t="s">
        <v>20</v>
      </c>
      <c r="D23" s="1">
        <v>458</v>
      </c>
      <c r="E23" s="1">
        <v>518</v>
      </c>
      <c r="F23" s="2">
        <f t="shared" si="12"/>
        <v>104.96981812604642</v>
      </c>
      <c r="G23" s="2">
        <f t="shared" si="0"/>
        <v>60.096792782793955</v>
      </c>
      <c r="H23" s="2">
        <f t="shared" si="1"/>
        <v>22.061975651792441</v>
      </c>
      <c r="I23" s="2">
        <f t="shared" si="2"/>
        <v>1.0551850736001291</v>
      </c>
      <c r="J23" s="2">
        <f t="shared" si="3"/>
        <v>21.036557051999999</v>
      </c>
      <c r="K23" s="2">
        <f t="shared" si="4"/>
        <v>64.657038684</v>
      </c>
      <c r="L23" s="2">
        <f t="shared" si="5"/>
        <v>61.999999999999638</v>
      </c>
      <c r="M23" s="2">
        <f t="shared" si="13"/>
        <v>48.122199999999999</v>
      </c>
      <c r="N23" s="2">
        <f t="shared" si="6"/>
        <v>1.2293621480000001</v>
      </c>
      <c r="O23" s="2">
        <f t="shared" si="14"/>
        <v>161.30520000000001</v>
      </c>
      <c r="P23" s="2">
        <f t="shared" si="7"/>
        <v>7.1660948055952058</v>
      </c>
      <c r="Q23" s="2">
        <f t="shared" si="8"/>
        <v>3.0046424239999996</v>
      </c>
      <c r="R23" s="2">
        <f t="shared" si="9"/>
        <v>0.50000001799999994</v>
      </c>
      <c r="S23" s="2">
        <f t="shared" si="10"/>
        <v>13.172602739725969</v>
      </c>
      <c r="T23" s="2">
        <f t="shared" si="11"/>
        <v>3.1776906839999999</v>
      </c>
      <c r="U23" s="2">
        <f t="shared" si="15"/>
        <v>9.994912055725969</v>
      </c>
      <c r="V23" s="3">
        <f t="shared" si="16"/>
        <v>0.22919174263328912</v>
      </c>
      <c r="W23" s="3">
        <f t="shared" si="17"/>
        <v>0.3164211067347949</v>
      </c>
      <c r="X23" s="3">
        <f t="shared" si="18"/>
        <v>0.4181932915178585</v>
      </c>
      <c r="Y23" s="3">
        <f t="shared" si="19"/>
        <v>0.7346143982526534</v>
      </c>
      <c r="Z23" s="1">
        <v>0.30120000000000002</v>
      </c>
      <c r="AA23" s="1">
        <v>0.31140000000000001</v>
      </c>
      <c r="AB23" s="1">
        <v>9.2899999999999996E-2</v>
      </c>
      <c r="AD23" s="2">
        <f t="shared" si="20"/>
        <v>83.933261074046413</v>
      </c>
      <c r="AE23" s="4" t="s">
        <v>1082</v>
      </c>
      <c r="AF23" s="4" t="s">
        <v>1083</v>
      </c>
      <c r="AG23" s="4" t="s">
        <v>1084</v>
      </c>
      <c r="AH23" s="1">
        <v>4.0611113999999997E-2</v>
      </c>
      <c r="AI23" s="1">
        <v>0.12482053799999999</v>
      </c>
      <c r="AJ23" s="4" t="s">
        <v>1085</v>
      </c>
      <c r="AK23" s="1">
        <v>2.3732860000000001E-3</v>
      </c>
      <c r="AL23" s="4" t="s">
        <v>1086</v>
      </c>
      <c r="AM23" s="1">
        <v>5.8004679999999996E-3</v>
      </c>
      <c r="AN23" s="1">
        <v>9.6525099999999998E-4</v>
      </c>
      <c r="AO23" s="4" t="s">
        <v>1087</v>
      </c>
      <c r="AP23" s="1">
        <v>6.1345380000000001E-3</v>
      </c>
    </row>
    <row r="24" spans="1:42">
      <c r="A24" s="1" t="s">
        <v>107</v>
      </c>
      <c r="B24" s="1" t="s">
        <v>106</v>
      </c>
      <c r="C24" s="1" t="s">
        <v>34</v>
      </c>
      <c r="D24" s="1">
        <v>579</v>
      </c>
      <c r="E24" s="1">
        <v>657</v>
      </c>
      <c r="F24" s="2">
        <f t="shared" si="12"/>
        <v>155.70369284396043</v>
      </c>
      <c r="G24" s="2">
        <f t="shared" si="0"/>
        <v>93.382724011624759</v>
      </c>
      <c r="H24" s="2">
        <f t="shared" si="1"/>
        <v>33.838686012814549</v>
      </c>
      <c r="I24" s="2">
        <f t="shared" si="2"/>
        <v>4.0809917726555547</v>
      </c>
      <c r="J24" s="2">
        <f t="shared" si="3"/>
        <v>25.168702290076293</v>
      </c>
      <c r="K24" s="2">
        <f t="shared" si="4"/>
        <v>96.829561750272504</v>
      </c>
      <c r="L24" s="2">
        <f t="shared" si="5"/>
        <v>82.999999999999929</v>
      </c>
      <c r="M24" s="2">
        <f t="shared" si="13"/>
        <v>65.634299999999996</v>
      </c>
      <c r="N24" s="2">
        <f t="shared" si="6"/>
        <v>3.4654838130000001</v>
      </c>
      <c r="O24" s="2">
        <f t="shared" si="14"/>
        <v>137.96999999999935</v>
      </c>
      <c r="P24" s="2">
        <f t="shared" si="7"/>
        <v>6.0165221759999996</v>
      </c>
      <c r="Q24" s="2">
        <f t="shared" si="8"/>
        <v>4.812213582</v>
      </c>
      <c r="R24" s="2">
        <f t="shared" si="9"/>
        <v>0.49999999499999997</v>
      </c>
      <c r="S24" s="2">
        <f t="shared" si="10"/>
        <v>23.590178571428556</v>
      </c>
      <c r="T24" s="2">
        <f t="shared" si="11"/>
        <v>5.324323401</v>
      </c>
      <c r="U24" s="2">
        <f t="shared" si="15"/>
        <v>18.265855170428555</v>
      </c>
      <c r="V24" s="3">
        <f t="shared" si="16"/>
        <v>0.26891829506728915</v>
      </c>
      <c r="W24" s="3">
        <f t="shared" si="17"/>
        <v>0.35352390483539925</v>
      </c>
      <c r="X24" s="3">
        <f t="shared" si="18"/>
        <v>0.47319150348104605</v>
      </c>
      <c r="Y24" s="3">
        <f t="shared" si="19"/>
        <v>0.8267154083164453</v>
      </c>
      <c r="Z24" s="1">
        <v>0.31030000000000002</v>
      </c>
      <c r="AA24" s="4" t="s">
        <v>108</v>
      </c>
      <c r="AB24" s="1">
        <v>9.9900000000000003E-2</v>
      </c>
      <c r="AD24" s="2">
        <f t="shared" si="20"/>
        <v>130.53499055388414</v>
      </c>
      <c r="AE24" s="4" t="s">
        <v>110</v>
      </c>
      <c r="AF24" s="4" t="s">
        <v>111</v>
      </c>
      <c r="AG24" s="1">
        <v>3.1263585000000003E-2</v>
      </c>
      <c r="AH24" s="4" t="s">
        <v>109</v>
      </c>
      <c r="AI24" s="4" t="s">
        <v>112</v>
      </c>
      <c r="AJ24" s="4" t="s">
        <v>113</v>
      </c>
      <c r="AK24" s="1">
        <v>5.2747089999999998E-3</v>
      </c>
      <c r="AL24" s="1">
        <v>9.1575679999999996E-3</v>
      </c>
      <c r="AM24" s="1">
        <v>7.3245259999999996E-3</v>
      </c>
      <c r="AN24" s="1">
        <v>7.6103499999999997E-4</v>
      </c>
      <c r="AO24" s="4" t="s">
        <v>114</v>
      </c>
      <c r="AP24" s="1">
        <v>8.1039930000000003E-3</v>
      </c>
    </row>
    <row r="25" spans="1:42">
      <c r="A25" s="1" t="s">
        <v>107</v>
      </c>
      <c r="B25" s="1" t="s">
        <v>647</v>
      </c>
      <c r="C25" s="1" t="s">
        <v>648</v>
      </c>
      <c r="D25" s="1">
        <v>433</v>
      </c>
      <c r="E25" s="1">
        <v>489</v>
      </c>
      <c r="F25" s="2">
        <f t="shared" si="12"/>
        <v>108.96222851116356</v>
      </c>
      <c r="G25" s="2">
        <f t="shared" si="0"/>
        <v>72.172334756242208</v>
      </c>
      <c r="H25" s="2">
        <f t="shared" si="1"/>
        <v>21.638351406487594</v>
      </c>
      <c r="I25" s="2">
        <f t="shared" si="2"/>
        <v>2.1706714054852294</v>
      </c>
      <c r="J25" s="2">
        <f t="shared" si="3"/>
        <v>12.430933852140054</v>
      </c>
      <c r="K25" s="2">
        <f t="shared" si="4"/>
        <v>63.767481065869838</v>
      </c>
      <c r="L25" s="2">
        <f t="shared" si="5"/>
        <v>47.999999901000002</v>
      </c>
      <c r="M25" s="2">
        <f t="shared" si="13"/>
        <v>47.530799999999999</v>
      </c>
      <c r="N25" s="2">
        <f t="shared" si="6"/>
        <v>0.96382633500000003</v>
      </c>
      <c r="O25" s="2">
        <f t="shared" si="14"/>
        <v>105.81960000000001</v>
      </c>
      <c r="P25" s="2">
        <f t="shared" si="7"/>
        <v>3.8629268939999997</v>
      </c>
      <c r="Q25" s="2">
        <f t="shared" si="8"/>
        <v>2.6832686729999997</v>
      </c>
      <c r="R25" s="2">
        <f t="shared" si="9"/>
        <v>0.500000055</v>
      </c>
      <c r="S25" s="2">
        <f t="shared" si="10"/>
        <v>13.039285734</v>
      </c>
      <c r="T25" s="2">
        <f t="shared" si="11"/>
        <v>5.0219243760000003</v>
      </c>
      <c r="U25" s="2">
        <f t="shared" si="15"/>
        <v>8.0173613579999987</v>
      </c>
      <c r="V25" s="3">
        <f t="shared" si="16"/>
        <v>0.25164486954079346</v>
      </c>
      <c r="W25" s="3">
        <f t="shared" si="17"/>
        <v>0.33318287225297244</v>
      </c>
      <c r="X25" s="3">
        <f t="shared" si="18"/>
        <v>0.39650066326612771</v>
      </c>
      <c r="Y25" s="3">
        <f t="shared" si="19"/>
        <v>0.72968353551910015</v>
      </c>
      <c r="Z25" s="1">
        <v>0.30409999999999998</v>
      </c>
      <c r="AA25" s="1">
        <v>0.21640000000000001</v>
      </c>
      <c r="AB25" s="1">
        <v>9.7199999999999995E-2</v>
      </c>
      <c r="AD25" s="2">
        <f t="shared" si="20"/>
        <v>96.531294659023501</v>
      </c>
      <c r="AE25" s="1">
        <v>0.74765737899999996</v>
      </c>
      <c r="AF25" s="4" t="s">
        <v>650</v>
      </c>
      <c r="AG25" s="4" t="s">
        <v>651</v>
      </c>
      <c r="AH25" s="4" t="s">
        <v>649</v>
      </c>
      <c r="AI25" s="4" t="s">
        <v>652</v>
      </c>
      <c r="AJ25" s="1">
        <v>9.8159509000000006E-2</v>
      </c>
      <c r="AK25" s="1">
        <v>1.971015E-3</v>
      </c>
      <c r="AL25" s="1">
        <v>7.8996459999999998E-3</v>
      </c>
      <c r="AM25" s="1">
        <v>5.4872569999999997E-3</v>
      </c>
      <c r="AN25" s="1">
        <v>1.022495E-3</v>
      </c>
      <c r="AO25" s="1">
        <v>2.6665206E-2</v>
      </c>
      <c r="AP25" s="1">
        <v>1.0269784000000001E-2</v>
      </c>
    </row>
    <row r="26" spans="1:42">
      <c r="A26" s="1" t="s">
        <v>107</v>
      </c>
      <c r="B26" s="1" t="s">
        <v>570</v>
      </c>
      <c r="C26" s="1" t="s">
        <v>163</v>
      </c>
      <c r="D26" s="1">
        <v>375</v>
      </c>
      <c r="E26" s="1">
        <v>408</v>
      </c>
      <c r="F26" s="2">
        <f t="shared" si="12"/>
        <v>97.973843130470129</v>
      </c>
      <c r="G26" s="2">
        <f t="shared" si="0"/>
        <v>59.955390508584685</v>
      </c>
      <c r="H26" s="2">
        <f t="shared" si="1"/>
        <v>18.805105171263342</v>
      </c>
      <c r="I26" s="2">
        <f t="shared" si="2"/>
        <v>2.0321492759415394</v>
      </c>
      <c r="J26" s="2">
        <f t="shared" si="3"/>
        <v>16.234782671999998</v>
      </c>
      <c r="K26" s="2">
        <f t="shared" si="4"/>
        <v>55.551044607566212</v>
      </c>
      <c r="L26" s="2">
        <f t="shared" si="5"/>
        <v>51.999999999999645</v>
      </c>
      <c r="M26" s="2">
        <f t="shared" si="13"/>
        <v>26.275199999999998</v>
      </c>
      <c r="N26" s="2">
        <f t="shared" si="6"/>
        <v>0</v>
      </c>
      <c r="O26" s="2">
        <f t="shared" si="14"/>
        <v>91.351199999999992</v>
      </c>
      <c r="P26" s="2">
        <f t="shared" si="7"/>
        <v>5.1296697600000005</v>
      </c>
      <c r="Q26" s="2">
        <f t="shared" si="8"/>
        <v>2.173912944</v>
      </c>
      <c r="R26" s="2">
        <f t="shared" si="9"/>
        <v>0.49999992000000004</v>
      </c>
      <c r="S26" s="2">
        <f t="shared" si="10"/>
        <v>4.0779220560000002</v>
      </c>
      <c r="T26" s="2">
        <f t="shared" si="11"/>
        <v>1.5711170160000001</v>
      </c>
      <c r="U26" s="2">
        <f t="shared" si="15"/>
        <v>2.5068050400000002</v>
      </c>
      <c r="V26" s="3">
        <f t="shared" si="16"/>
        <v>0.26126358168125369</v>
      </c>
      <c r="W26" s="3">
        <f t="shared" si="17"/>
        <v>0.32068161445785187</v>
      </c>
      <c r="X26" s="3">
        <f t="shared" si="18"/>
        <v>0.44960314497849596</v>
      </c>
      <c r="Y26" s="3">
        <f t="shared" si="19"/>
        <v>0.77028475943634778</v>
      </c>
      <c r="Z26" s="4" t="s">
        <v>571</v>
      </c>
      <c r="AA26" s="1">
        <v>0.22389999999999999</v>
      </c>
      <c r="AB26" s="1">
        <v>6.4399999999999999E-2</v>
      </c>
      <c r="AD26" s="2">
        <f t="shared" si="20"/>
        <v>81.739060458470135</v>
      </c>
      <c r="AE26" s="4" t="s">
        <v>572</v>
      </c>
      <c r="AF26" s="4" t="s">
        <v>573</v>
      </c>
      <c r="AG26" s="1">
        <v>2.4861422000000001E-2</v>
      </c>
      <c r="AH26" s="1">
        <v>3.9791133999999999E-2</v>
      </c>
      <c r="AI26" s="4" t="s">
        <v>574</v>
      </c>
      <c r="AJ26" s="4" t="s">
        <v>575</v>
      </c>
      <c r="AK26" s="1">
        <v>0</v>
      </c>
      <c r="AL26" s="1">
        <v>1.2572720000000001E-2</v>
      </c>
      <c r="AM26" s="1">
        <v>5.328218E-3</v>
      </c>
      <c r="AN26" s="1">
        <v>1.2254900000000001E-3</v>
      </c>
      <c r="AO26" s="1">
        <v>9.9949070000000008E-3</v>
      </c>
      <c r="AP26" s="1">
        <v>3.8507770000000001E-3</v>
      </c>
    </row>
    <row r="27" spans="1:42">
      <c r="A27" s="1" t="s">
        <v>107</v>
      </c>
      <c r="B27" s="1" t="s">
        <v>142</v>
      </c>
      <c r="C27" s="1" t="s">
        <v>124</v>
      </c>
      <c r="D27" s="1">
        <v>575</v>
      </c>
      <c r="E27" s="1">
        <v>655</v>
      </c>
      <c r="F27" s="2">
        <f t="shared" si="12"/>
        <v>146.11764782937502</v>
      </c>
      <c r="G27" s="2">
        <f t="shared" si="0"/>
        <v>81.782419794358617</v>
      </c>
      <c r="H27" s="2">
        <f t="shared" si="1"/>
        <v>27.105515564223399</v>
      </c>
      <c r="I27" s="2">
        <f t="shared" si="2"/>
        <v>1.2136696741878246</v>
      </c>
      <c r="J27" s="2">
        <f t="shared" si="3"/>
        <v>37.15615356</v>
      </c>
      <c r="K27" s="2">
        <f t="shared" si="4"/>
        <v>85.960944828367303</v>
      </c>
      <c r="L27" s="2">
        <f t="shared" si="5"/>
        <v>102.99999999999963</v>
      </c>
      <c r="M27" s="2">
        <f t="shared" si="13"/>
        <v>61.6355</v>
      </c>
      <c r="N27" s="2">
        <f t="shared" si="6"/>
        <v>4.9960688299999996</v>
      </c>
      <c r="O27" s="2">
        <f t="shared" si="14"/>
        <v>146.851</v>
      </c>
      <c r="P27" s="2">
        <f t="shared" si="7"/>
        <v>13.14310686</v>
      </c>
      <c r="Q27" s="2">
        <f t="shared" si="8"/>
        <v>5.2307690850000004</v>
      </c>
      <c r="R27" s="2">
        <f t="shared" si="9"/>
        <v>0</v>
      </c>
      <c r="S27" s="2">
        <f t="shared" si="10"/>
        <v>2.2611196050000002</v>
      </c>
      <c r="T27" s="2">
        <f t="shared" si="11"/>
        <v>0.98840155000000007</v>
      </c>
      <c r="U27" s="2">
        <f t="shared" si="15"/>
        <v>1.2727180550000001</v>
      </c>
      <c r="V27" s="3">
        <f t="shared" si="16"/>
        <v>0.2541176483989131</v>
      </c>
      <c r="W27" s="3">
        <f t="shared" si="17"/>
        <v>0.34921235984689231</v>
      </c>
      <c r="X27" s="3">
        <f t="shared" si="18"/>
        <v>0.5013201290180328</v>
      </c>
      <c r="Y27" s="3">
        <f t="shared" si="19"/>
        <v>0.85053248886492505</v>
      </c>
      <c r="Z27" s="1">
        <v>0.27500000000000002</v>
      </c>
      <c r="AA27" s="1">
        <v>0.22420000000000001</v>
      </c>
      <c r="AB27" s="1">
        <v>9.4100000000000003E-2</v>
      </c>
      <c r="AD27" s="2">
        <f t="shared" si="20"/>
        <v>108.96149426937501</v>
      </c>
      <c r="AE27" s="4" t="s">
        <v>143</v>
      </c>
      <c r="AF27" s="4" t="s">
        <v>144</v>
      </c>
      <c r="AG27" s="1">
        <v>1.1138519E-2</v>
      </c>
      <c r="AH27" s="1">
        <v>5.6726951999999997E-2</v>
      </c>
      <c r="AI27" s="4" t="s">
        <v>145</v>
      </c>
      <c r="AJ27" s="4" t="s">
        <v>146</v>
      </c>
      <c r="AK27" s="1">
        <v>7.6275859999999996E-3</v>
      </c>
      <c r="AL27" s="1">
        <v>2.0065811999999999E-2</v>
      </c>
      <c r="AM27" s="1">
        <v>7.9859070000000004E-3</v>
      </c>
      <c r="AN27" s="1">
        <v>0</v>
      </c>
      <c r="AO27" s="1">
        <v>3.452091E-3</v>
      </c>
      <c r="AP27" s="1">
        <v>1.5090100000000001E-3</v>
      </c>
    </row>
    <row r="28" spans="1:42">
      <c r="A28" s="1" t="s">
        <v>107</v>
      </c>
      <c r="B28" s="1" t="s">
        <v>971</v>
      </c>
      <c r="C28" s="1" t="s">
        <v>87</v>
      </c>
      <c r="D28" s="1">
        <v>384</v>
      </c>
      <c r="E28" s="1">
        <v>424</v>
      </c>
      <c r="F28" s="2">
        <f t="shared" si="12"/>
        <v>89.954353876262417</v>
      </c>
      <c r="G28" s="2">
        <f t="shared" si="0"/>
        <v>56.092779699196811</v>
      </c>
      <c r="H28" s="2">
        <f t="shared" si="1"/>
        <v>17.713509378693661</v>
      </c>
      <c r="I28" s="2">
        <f t="shared" si="2"/>
        <v>0.19681677481071022</v>
      </c>
      <c r="J28" s="2">
        <f t="shared" si="3"/>
        <v>15.163980943999999</v>
      </c>
      <c r="K28" s="2">
        <f t="shared" si="4"/>
        <v>50.097517799562624</v>
      </c>
      <c r="L28" s="2">
        <f t="shared" si="5"/>
        <v>54.999999999999801</v>
      </c>
      <c r="M28" s="2">
        <f t="shared" si="13"/>
        <v>31.587999999999997</v>
      </c>
      <c r="N28" s="2">
        <f t="shared" si="6"/>
        <v>1.8859566640000001</v>
      </c>
      <c r="O28" s="2">
        <f t="shared" si="14"/>
        <v>105.0248</v>
      </c>
      <c r="P28" s="2">
        <f t="shared" si="7"/>
        <v>3.4385509600000002</v>
      </c>
      <c r="Q28" s="2">
        <f t="shared" si="8"/>
        <v>3.0113743519999998</v>
      </c>
      <c r="R28" s="2">
        <f t="shared" si="9"/>
        <v>0.49999988000000001</v>
      </c>
      <c r="S28" s="2">
        <f t="shared" si="10"/>
        <v>2.5744292079999997</v>
      </c>
      <c r="T28" s="2">
        <f t="shared" si="11"/>
        <v>1.0742023039999999</v>
      </c>
      <c r="U28" s="2">
        <f t="shared" si="15"/>
        <v>1.5002269039999998</v>
      </c>
      <c r="V28" s="3">
        <f t="shared" si="16"/>
        <v>0.23425612988610003</v>
      </c>
      <c r="W28" s="3">
        <f t="shared" si="17"/>
        <v>0.30171530881640901</v>
      </c>
      <c r="X28" s="3">
        <f t="shared" si="18"/>
        <v>0.39782857436722985</v>
      </c>
      <c r="Y28" s="3">
        <f t="shared" si="19"/>
        <v>0.69954388318363891</v>
      </c>
      <c r="Z28" s="1">
        <v>0.28029999999999999</v>
      </c>
      <c r="AA28" s="1">
        <v>0.2477</v>
      </c>
      <c r="AB28" s="1">
        <v>7.4499999999999997E-2</v>
      </c>
      <c r="AD28" s="2">
        <f t="shared" si="20"/>
        <v>74.790372932262414</v>
      </c>
      <c r="AE28" s="4" t="s">
        <v>131</v>
      </c>
      <c r="AF28" s="4" t="s">
        <v>972</v>
      </c>
      <c r="AG28" s="1">
        <v>2.6315790000000002E-3</v>
      </c>
      <c r="AH28" s="1">
        <v>3.5764105999999997E-2</v>
      </c>
      <c r="AI28" s="4" t="s">
        <v>973</v>
      </c>
      <c r="AJ28" s="4" t="s">
        <v>974</v>
      </c>
      <c r="AK28" s="1">
        <v>4.448011E-3</v>
      </c>
      <c r="AL28" s="1">
        <v>8.1097900000000004E-3</v>
      </c>
      <c r="AM28" s="1">
        <v>7.1022979999999999E-3</v>
      </c>
      <c r="AN28" s="1">
        <v>1.179245E-3</v>
      </c>
      <c r="AO28" s="1">
        <v>6.0717669999999996E-3</v>
      </c>
      <c r="AP28" s="1">
        <v>2.5334960000000001E-3</v>
      </c>
    </row>
    <row r="29" spans="1:42">
      <c r="A29" s="1" t="s">
        <v>107</v>
      </c>
      <c r="B29" s="1" t="s">
        <v>549</v>
      </c>
      <c r="C29" s="1" t="s">
        <v>20</v>
      </c>
      <c r="D29" s="1">
        <v>553</v>
      </c>
      <c r="E29" s="1">
        <v>629</v>
      </c>
      <c r="F29" s="2">
        <f t="shared" si="12"/>
        <v>135.97240005048016</v>
      </c>
      <c r="G29" s="2">
        <f t="shared" si="0"/>
        <v>81.0964674617789</v>
      </c>
      <c r="H29" s="2">
        <f t="shared" si="1"/>
        <v>26.422407944940463</v>
      </c>
      <c r="I29" s="2">
        <f t="shared" si="2"/>
        <v>2.0539166848391717</v>
      </c>
      <c r="J29" s="2">
        <f t="shared" si="3"/>
        <v>27.234028892455747</v>
      </c>
      <c r="K29" s="2">
        <f t="shared" si="4"/>
        <v>80.780992793961701</v>
      </c>
      <c r="L29" s="2">
        <f t="shared" si="5"/>
        <v>81.999999999999702</v>
      </c>
      <c r="M29" s="2">
        <f t="shared" si="13"/>
        <v>65.856300000000005</v>
      </c>
      <c r="N29" s="2">
        <f t="shared" si="6"/>
        <v>0.201925983</v>
      </c>
      <c r="O29" s="2">
        <f t="shared" si="14"/>
        <v>152.84700000000001</v>
      </c>
      <c r="P29" s="2">
        <f t="shared" si="7"/>
        <v>6.5716995369999998</v>
      </c>
      <c r="Q29" s="2">
        <f t="shared" si="8"/>
        <v>5.038523359</v>
      </c>
      <c r="R29" s="2">
        <f t="shared" si="9"/>
        <v>0.50000027699999994</v>
      </c>
      <c r="S29" s="2">
        <f t="shared" si="10"/>
        <v>5.1986321640000002</v>
      </c>
      <c r="T29" s="2">
        <f t="shared" si="11"/>
        <v>1.979728438</v>
      </c>
      <c r="U29" s="2">
        <f t="shared" si="15"/>
        <v>3.2189037260000002</v>
      </c>
      <c r="V29" s="3">
        <f t="shared" si="16"/>
        <v>0.24588137441316485</v>
      </c>
      <c r="W29" s="3">
        <f t="shared" si="17"/>
        <v>0.3342467747034647</v>
      </c>
      <c r="X29" s="3">
        <f t="shared" si="18"/>
        <v>0.45034204154792101</v>
      </c>
      <c r="Y29" s="3">
        <f t="shared" si="19"/>
        <v>0.78458881625138566</v>
      </c>
      <c r="Z29" s="4" t="s">
        <v>550</v>
      </c>
      <c r="AA29" s="1">
        <v>0.24299999999999999</v>
      </c>
      <c r="AB29" s="1">
        <v>0.1047</v>
      </c>
      <c r="AD29" s="2">
        <f t="shared" si="20"/>
        <v>108.73837115802442</v>
      </c>
      <c r="AE29" s="4" t="s">
        <v>552</v>
      </c>
      <c r="AF29" s="4" t="s">
        <v>553</v>
      </c>
      <c r="AG29" s="1">
        <v>1.888861E-2</v>
      </c>
      <c r="AH29" s="4" t="s">
        <v>551</v>
      </c>
      <c r="AI29" s="4" t="s">
        <v>554</v>
      </c>
      <c r="AJ29" s="4" t="s">
        <v>555</v>
      </c>
      <c r="AK29" s="1">
        <v>3.2102699999999999E-4</v>
      </c>
      <c r="AL29" s="1">
        <v>1.0447853E-2</v>
      </c>
      <c r="AM29" s="1">
        <v>8.0103710000000005E-3</v>
      </c>
      <c r="AN29" s="1">
        <v>7.9491299999999996E-4</v>
      </c>
      <c r="AO29" s="1">
        <v>8.2649160000000006E-3</v>
      </c>
      <c r="AP29" s="1">
        <v>3.147422E-3</v>
      </c>
    </row>
    <row r="30" spans="1:42">
      <c r="A30" s="1" t="s">
        <v>257</v>
      </c>
      <c r="B30" s="1" t="s">
        <v>1088</v>
      </c>
      <c r="C30" s="1" t="s">
        <v>163</v>
      </c>
      <c r="D30" s="1">
        <v>476</v>
      </c>
      <c r="E30" s="1">
        <v>535</v>
      </c>
      <c r="F30" s="2">
        <f t="shared" si="12"/>
        <v>119.15318295343199</v>
      </c>
      <c r="G30" s="2">
        <f t="shared" si="0"/>
        <v>85.220466761430984</v>
      </c>
      <c r="H30" s="2">
        <f t="shared" si="1"/>
        <v>22.421840902897003</v>
      </c>
      <c r="I30" s="2">
        <f t="shared" si="2"/>
        <v>1.8707451831613977</v>
      </c>
      <c r="J30" s="2">
        <f t="shared" si="3"/>
        <v>9.1918713800000003</v>
      </c>
      <c r="K30" s="2">
        <f t="shared" si="4"/>
        <v>63.720517148257628</v>
      </c>
      <c r="L30" s="2">
        <f t="shared" si="5"/>
        <v>53.999999999999822</v>
      </c>
      <c r="M30" s="2">
        <f t="shared" si="13"/>
        <v>33.812000000000005</v>
      </c>
      <c r="N30" s="2">
        <f t="shared" si="6"/>
        <v>0.20226852000000001</v>
      </c>
      <c r="O30" s="2">
        <f t="shared" si="14"/>
        <v>58.85</v>
      </c>
      <c r="P30" s="2">
        <f t="shared" si="7"/>
        <v>14.610624765000001</v>
      </c>
      <c r="Q30" s="2">
        <f t="shared" si="8"/>
        <v>4.0362946599999994</v>
      </c>
      <c r="R30" s="2">
        <f t="shared" si="9"/>
        <v>3.6357283900000001</v>
      </c>
      <c r="S30" s="2">
        <f t="shared" si="10"/>
        <v>22.153571574999997</v>
      </c>
      <c r="T30" s="2">
        <f t="shared" si="11"/>
        <v>6.3471207865168324</v>
      </c>
      <c r="U30" s="2">
        <f t="shared" si="15"/>
        <v>15.806450788483165</v>
      </c>
      <c r="V30" s="3">
        <f t="shared" si="16"/>
        <v>0.25032181292737815</v>
      </c>
      <c r="W30" s="3">
        <f t="shared" si="17"/>
        <v>0.32638438366943834</v>
      </c>
      <c r="X30" s="3">
        <f t="shared" si="18"/>
        <v>0.36227703705191006</v>
      </c>
      <c r="Y30" s="3">
        <f t="shared" si="19"/>
        <v>0.68866142072134839</v>
      </c>
      <c r="Z30" s="1">
        <v>0.26690000000000003</v>
      </c>
      <c r="AA30" s="4" t="s">
        <v>1089</v>
      </c>
      <c r="AB30" s="1">
        <v>6.3200000000000006E-2</v>
      </c>
      <c r="AD30" s="2">
        <f t="shared" si="20"/>
        <v>109.961311573432</v>
      </c>
      <c r="AE30" s="4" t="s">
        <v>1090</v>
      </c>
      <c r="AF30" s="4" t="s">
        <v>1091</v>
      </c>
      <c r="AG30" s="1">
        <v>1.7012757999999999E-2</v>
      </c>
      <c r="AH30" s="1">
        <v>1.7181068000000001E-2</v>
      </c>
      <c r="AI30" s="4" t="s">
        <v>1092</v>
      </c>
      <c r="AJ30" s="4" t="s">
        <v>1093</v>
      </c>
      <c r="AK30" s="1">
        <v>3.7807200000000002E-4</v>
      </c>
      <c r="AL30" s="1">
        <v>2.7309579E-2</v>
      </c>
      <c r="AM30" s="1">
        <v>7.5444759999999996E-3</v>
      </c>
      <c r="AN30" s="1">
        <v>6.7957540000000002E-3</v>
      </c>
      <c r="AO30" s="1">
        <v>4.1408544999999998E-2</v>
      </c>
      <c r="AP30" s="4" t="s">
        <v>1094</v>
      </c>
    </row>
    <row r="31" spans="1:42">
      <c r="A31" s="1" t="s">
        <v>257</v>
      </c>
      <c r="B31" s="1" t="s">
        <v>667</v>
      </c>
      <c r="C31" s="1" t="s">
        <v>467</v>
      </c>
      <c r="D31" s="1">
        <v>520</v>
      </c>
      <c r="E31" s="1">
        <v>558</v>
      </c>
      <c r="F31" s="2">
        <f t="shared" si="12"/>
        <v>131.77841314468</v>
      </c>
      <c r="G31" s="2">
        <f t="shared" si="0"/>
        <v>85.138941939323985</v>
      </c>
      <c r="H31" s="2">
        <f t="shared" si="1"/>
        <v>26.480836341457266</v>
      </c>
      <c r="I31" s="2">
        <f t="shared" si="2"/>
        <v>3.8307576936202374</v>
      </c>
      <c r="J31" s="2">
        <f t="shared" si="3"/>
        <v>16.289579610000001</v>
      </c>
      <c r="K31" s="2">
        <f t="shared" si="4"/>
        <v>70.403459983249292</v>
      </c>
      <c r="L31" s="2">
        <f t="shared" si="5"/>
        <v>62.999999999999659</v>
      </c>
      <c r="M31" s="2">
        <f t="shared" si="13"/>
        <v>24.496199999999941</v>
      </c>
      <c r="N31" s="2">
        <f t="shared" si="6"/>
        <v>0.20402209799999999</v>
      </c>
      <c r="O31" s="2">
        <f t="shared" si="14"/>
        <v>116.2872</v>
      </c>
      <c r="P31" s="2">
        <f t="shared" si="7"/>
        <v>6.5394051119999999</v>
      </c>
      <c r="Q31" s="2">
        <f t="shared" si="8"/>
        <v>4.0643509140000003</v>
      </c>
      <c r="R31" s="2">
        <f t="shared" si="9"/>
        <v>1.958763024</v>
      </c>
      <c r="S31" s="2">
        <f t="shared" si="10"/>
        <v>20.246305158000002</v>
      </c>
      <c r="T31" s="2">
        <f t="shared" si="11"/>
        <v>6.4037156940000006</v>
      </c>
      <c r="U31" s="2">
        <f t="shared" si="15"/>
        <v>13.842589464000001</v>
      </c>
      <c r="V31" s="3">
        <f t="shared" si="16"/>
        <v>0.25342002527823076</v>
      </c>
      <c r="W31" s="3">
        <f t="shared" si="17"/>
        <v>0.29706371069095089</v>
      </c>
      <c r="X31" s="3">
        <f t="shared" si="18"/>
        <v>0.41298308873672929</v>
      </c>
      <c r="Y31" s="3">
        <f t="shared" si="19"/>
        <v>0.71004679942768023</v>
      </c>
      <c r="Z31" s="1">
        <v>0.29499999999999998</v>
      </c>
      <c r="AA31" s="1">
        <v>0.2084</v>
      </c>
      <c r="AB31" s="4" t="s">
        <v>668</v>
      </c>
      <c r="AD31" s="2">
        <f t="shared" si="20"/>
        <v>115.48883353468</v>
      </c>
      <c r="AE31" s="4" t="s">
        <v>669</v>
      </c>
      <c r="AF31" s="4" t="s">
        <v>670</v>
      </c>
      <c r="AG31" s="4" t="s">
        <v>671</v>
      </c>
      <c r="AH31" s="1">
        <v>2.9192795000000001E-2</v>
      </c>
      <c r="AI31" s="4" t="s">
        <v>672</v>
      </c>
      <c r="AJ31" s="4" t="s">
        <v>673</v>
      </c>
      <c r="AK31" s="1">
        <v>3.65631E-4</v>
      </c>
      <c r="AL31" s="1">
        <v>1.1719363999999999E-2</v>
      </c>
      <c r="AM31" s="1">
        <v>7.2837830000000003E-3</v>
      </c>
      <c r="AN31" s="1">
        <v>3.5103280000000001E-3</v>
      </c>
      <c r="AO31" s="1">
        <v>3.6283701000000002E-2</v>
      </c>
      <c r="AP31" s="1">
        <v>1.1476193000000001E-2</v>
      </c>
    </row>
    <row r="32" spans="1:42">
      <c r="A32" s="1" t="s">
        <v>257</v>
      </c>
      <c r="B32" s="1" t="s">
        <v>256</v>
      </c>
      <c r="C32" s="1" t="s">
        <v>20</v>
      </c>
      <c r="D32" s="1">
        <v>547</v>
      </c>
      <c r="E32" s="1">
        <v>607</v>
      </c>
      <c r="F32" s="2">
        <f t="shared" si="12"/>
        <v>143.01766676846199</v>
      </c>
      <c r="G32" s="2">
        <f t="shared" si="0"/>
        <v>86.436594954688999</v>
      </c>
      <c r="H32" s="2">
        <f t="shared" si="1"/>
        <v>33.985632770317672</v>
      </c>
      <c r="I32" s="2">
        <f t="shared" si="2"/>
        <v>7.167972936473725</v>
      </c>
      <c r="J32" s="2">
        <f t="shared" si="3"/>
        <v>18.771874999999941</v>
      </c>
      <c r="K32" s="2">
        <f t="shared" si="4"/>
        <v>80.501099405490208</v>
      </c>
      <c r="L32" s="2">
        <f t="shared" si="5"/>
        <v>68.999999999999417</v>
      </c>
      <c r="M32" s="2">
        <f t="shared" si="13"/>
        <v>49.409799999999997</v>
      </c>
      <c r="N32" s="2">
        <f t="shared" si="6"/>
        <v>0.98702752500000002</v>
      </c>
      <c r="O32" s="2">
        <f t="shared" si="14"/>
        <v>141.1275</v>
      </c>
      <c r="P32" s="2">
        <f t="shared" si="7"/>
        <v>7.0483020586067937</v>
      </c>
      <c r="Q32" s="2">
        <f t="shared" si="8"/>
        <v>2.9960524519999998</v>
      </c>
      <c r="R32" s="2">
        <f t="shared" si="9"/>
        <v>0.97200609599999999</v>
      </c>
      <c r="S32" s="2">
        <f t="shared" si="10"/>
        <v>23.177242461999999</v>
      </c>
      <c r="T32" s="2">
        <f t="shared" si="11"/>
        <v>5.0987538680000002</v>
      </c>
      <c r="U32" s="2">
        <f t="shared" si="15"/>
        <v>18.078488594</v>
      </c>
      <c r="V32" s="3">
        <f t="shared" si="16"/>
        <v>0.26145825734636563</v>
      </c>
      <c r="W32" s="3">
        <f t="shared" si="17"/>
        <v>0.33388603202580974</v>
      </c>
      <c r="X32" s="3">
        <f t="shared" si="18"/>
        <v>0.45886522724816325</v>
      </c>
      <c r="Y32" s="3">
        <f t="shared" si="19"/>
        <v>0.79275125927397294</v>
      </c>
      <c r="Z32" s="1">
        <v>0.31850000000000001</v>
      </c>
      <c r="AA32" s="1">
        <v>0.23250000000000001</v>
      </c>
      <c r="AB32" s="1">
        <v>8.14E-2</v>
      </c>
      <c r="AD32" s="2">
        <f t="shared" si="20"/>
        <v>124.24579176846204</v>
      </c>
      <c r="AE32" s="4" t="s">
        <v>259</v>
      </c>
      <c r="AF32" s="4" t="s">
        <v>260</v>
      </c>
      <c r="AG32" s="1">
        <v>5.7691877000000003E-2</v>
      </c>
      <c r="AH32" s="4" t="s">
        <v>258</v>
      </c>
      <c r="AI32" s="4" t="s">
        <v>261</v>
      </c>
      <c r="AJ32" s="4" t="s">
        <v>262</v>
      </c>
      <c r="AK32" s="1">
        <v>1.626075E-3</v>
      </c>
      <c r="AL32" s="4" t="s">
        <v>263</v>
      </c>
      <c r="AM32" s="1">
        <v>4.9358359999999999E-3</v>
      </c>
      <c r="AN32" s="1">
        <v>1.601328E-3</v>
      </c>
      <c r="AO32" s="1">
        <v>3.8183266E-2</v>
      </c>
      <c r="AP32" s="1">
        <v>8.3999239999999996E-3</v>
      </c>
    </row>
    <row r="33" spans="1:42">
      <c r="A33" s="1" t="s">
        <v>257</v>
      </c>
      <c r="B33" s="1" t="s">
        <v>935</v>
      </c>
      <c r="C33" s="1" t="s">
        <v>163</v>
      </c>
      <c r="D33" s="1">
        <v>379</v>
      </c>
      <c r="E33" s="1">
        <v>414</v>
      </c>
      <c r="F33" s="2">
        <f t="shared" si="12"/>
        <v>93.618389301574524</v>
      </c>
      <c r="G33" s="2">
        <f t="shared" si="0"/>
        <v>61.05638940209311</v>
      </c>
      <c r="H33" s="2">
        <f t="shared" si="1"/>
        <v>22.086550008419149</v>
      </c>
      <c r="I33" s="2">
        <f t="shared" si="2"/>
        <v>1.6457782877123195</v>
      </c>
      <c r="J33" s="2">
        <f t="shared" si="3"/>
        <v>10.345657553999999</v>
      </c>
      <c r="K33" s="2">
        <f t="shared" si="4"/>
        <v>48.722957131855622</v>
      </c>
      <c r="L33" s="2">
        <f t="shared" si="5"/>
        <v>45.99999999999995</v>
      </c>
      <c r="M33" s="2">
        <f t="shared" si="13"/>
        <v>30.097799999999999</v>
      </c>
      <c r="N33" s="2">
        <f t="shared" si="6"/>
        <v>1.2726115740000001</v>
      </c>
      <c r="O33" s="2">
        <f t="shared" si="14"/>
        <v>95.799599999999998</v>
      </c>
      <c r="P33" s="2">
        <f t="shared" si="7"/>
        <v>2.0673152099999998</v>
      </c>
      <c r="Q33" s="2">
        <f t="shared" si="8"/>
        <v>3.0655085399999997</v>
      </c>
      <c r="R33" s="2">
        <f t="shared" si="9"/>
        <v>0.49999980600000005</v>
      </c>
      <c r="S33" s="2">
        <f t="shared" si="10"/>
        <v>4.9374385199999997</v>
      </c>
      <c r="T33" s="2">
        <f t="shared" si="11"/>
        <v>1.8242645039999998</v>
      </c>
      <c r="U33" s="2">
        <f t="shared" si="15"/>
        <v>3.1131740159999999</v>
      </c>
      <c r="V33" s="3">
        <f t="shared" si="16"/>
        <v>0.24701421979307261</v>
      </c>
      <c r="W33" s="3">
        <f t="shared" si="17"/>
        <v>0.30731755492009577</v>
      </c>
      <c r="X33" s="3">
        <f t="shared" si="18"/>
        <v>0.39986663455954713</v>
      </c>
      <c r="Y33" s="3">
        <f t="shared" si="19"/>
        <v>0.7071841894796429</v>
      </c>
      <c r="Z33" s="4" t="s">
        <v>936</v>
      </c>
      <c r="AA33" s="1">
        <v>0.23139999999999999</v>
      </c>
      <c r="AB33" s="1">
        <v>7.2700000000000001E-2</v>
      </c>
      <c r="AD33" s="2">
        <f t="shared" si="20"/>
        <v>83.272731747574525</v>
      </c>
      <c r="AE33" s="1">
        <v>0.73320987699999995</v>
      </c>
      <c r="AF33" s="4" t="s">
        <v>937</v>
      </c>
      <c r="AG33" s="1">
        <v>1.9763711999999999E-2</v>
      </c>
      <c r="AH33" s="1">
        <v>2.4989510999999999E-2</v>
      </c>
      <c r="AI33" s="4" t="s">
        <v>938</v>
      </c>
      <c r="AJ33" s="4" t="s">
        <v>939</v>
      </c>
      <c r="AK33" s="1">
        <v>3.0739410000000002E-3</v>
      </c>
      <c r="AL33" s="1">
        <v>4.9935149999999996E-3</v>
      </c>
      <c r="AM33" s="1">
        <v>7.4046099999999998E-3</v>
      </c>
      <c r="AN33" s="1">
        <v>1.2077290000000001E-3</v>
      </c>
      <c r="AO33" s="1">
        <v>1.192618E-2</v>
      </c>
      <c r="AP33" s="1">
        <v>4.4064359999999997E-3</v>
      </c>
    </row>
    <row r="34" spans="1:42">
      <c r="A34" s="1" t="s">
        <v>257</v>
      </c>
      <c r="B34" s="1" t="s">
        <v>264</v>
      </c>
      <c r="C34" s="1" t="s">
        <v>20</v>
      </c>
      <c r="D34" s="1">
        <v>525</v>
      </c>
      <c r="E34" s="1">
        <v>609</v>
      </c>
      <c r="F34" s="2">
        <f t="shared" si="12"/>
        <v>138.79033447999083</v>
      </c>
      <c r="G34" s="2">
        <f t="shared" ref="G34:G65" si="21">$AD34*AE34</f>
        <v>86.899068942169635</v>
      </c>
      <c r="H34" s="2">
        <f t="shared" ref="H34:H65" si="22">$AD34*AF34</f>
        <v>30.492054862783164</v>
      </c>
      <c r="I34" s="2">
        <f t="shared" ref="I34:I65" si="23">$AD34*AG34</f>
        <v>2.1226444013879551</v>
      </c>
      <c r="J34" s="2">
        <f t="shared" ref="J34:J65" si="24">$E34*AH34</f>
        <v>19.431818181818116</v>
      </c>
      <c r="K34" s="2">
        <f t="shared" ref="K34:K65" si="25">$E34*AI34</f>
        <v>85.960606060605883</v>
      </c>
      <c r="L34" s="2">
        <f t="shared" ref="L34:L65" si="26">$E34*AJ34</f>
        <v>67.999999999999574</v>
      </c>
      <c r="M34" s="2">
        <f t="shared" si="13"/>
        <v>72.349199999999399</v>
      </c>
      <c r="N34" s="2">
        <f t="shared" ref="N34:N65" si="27">$E34*AK34</f>
        <v>0.99909799499999996</v>
      </c>
      <c r="O34" s="2">
        <f t="shared" si="14"/>
        <v>150.17939999999939</v>
      </c>
      <c r="P34" s="2">
        <f t="shared" ref="P34:P65" si="28">$E34*AL34</f>
        <v>5.0936144909999994</v>
      </c>
      <c r="Q34" s="2">
        <f t="shared" ref="Q34:Q65" si="29">$E34*AM34</f>
        <v>3.2606060970000001</v>
      </c>
      <c r="R34" s="2">
        <f t="shared" ref="R34:R65" si="30">$E34*AN34</f>
        <v>0.49999996199999996</v>
      </c>
      <c r="S34" s="2">
        <f t="shared" ref="S34:S65" si="31">$E34*AO34</f>
        <v>9.7900002060000002</v>
      </c>
      <c r="T34" s="2">
        <f t="shared" ref="T34:T65" si="32">$E34*AP34</f>
        <v>3.2484017370000005</v>
      </c>
      <c r="U34" s="2">
        <f t="shared" si="15"/>
        <v>6.5415984690000002</v>
      </c>
      <c r="V34" s="3">
        <f t="shared" si="16"/>
        <v>0.2643625418666492</v>
      </c>
      <c r="W34" s="3">
        <f t="shared" si="17"/>
        <v>0.36108549173462789</v>
      </c>
      <c r="X34" s="3">
        <f t="shared" si="18"/>
        <v>0.44186358971270917</v>
      </c>
      <c r="Y34" s="3">
        <f t="shared" si="19"/>
        <v>0.80294908144733701</v>
      </c>
      <c r="Z34" s="1">
        <v>0.33279999999999998</v>
      </c>
      <c r="AA34" s="4" t="s">
        <v>265</v>
      </c>
      <c r="AB34" s="4" t="s">
        <v>266</v>
      </c>
      <c r="AD34" s="2">
        <f t="shared" si="20"/>
        <v>119.35851629817272</v>
      </c>
      <c r="AE34" s="4" t="s">
        <v>268</v>
      </c>
      <c r="AF34" s="4" t="s">
        <v>269</v>
      </c>
      <c r="AG34" s="1">
        <v>1.7783770000000001E-2</v>
      </c>
      <c r="AH34" s="4" t="s">
        <v>267</v>
      </c>
      <c r="AI34" s="4" t="s">
        <v>270</v>
      </c>
      <c r="AJ34" s="4" t="s">
        <v>271</v>
      </c>
      <c r="AK34" s="1">
        <v>1.6405549999999999E-3</v>
      </c>
      <c r="AL34" s="1">
        <v>8.3638989999999993E-3</v>
      </c>
      <c r="AM34" s="1">
        <v>5.3540330000000002E-3</v>
      </c>
      <c r="AN34" s="1">
        <v>8.2101799999999996E-4</v>
      </c>
      <c r="AO34" s="1">
        <v>1.6075533999999999E-2</v>
      </c>
      <c r="AP34" s="1">
        <v>5.3339930000000004E-3</v>
      </c>
    </row>
    <row r="35" spans="1:42">
      <c r="A35" s="1" t="s">
        <v>257</v>
      </c>
      <c r="B35" s="1" t="s">
        <v>520</v>
      </c>
      <c r="C35" s="1" t="s">
        <v>34</v>
      </c>
      <c r="D35" s="1">
        <v>530</v>
      </c>
      <c r="E35" s="1">
        <v>575</v>
      </c>
      <c r="F35" s="2">
        <f t="shared" si="12"/>
        <v>132.95684931604501</v>
      </c>
      <c r="G35" s="2">
        <f t="shared" si="21"/>
        <v>84.796552120882538</v>
      </c>
      <c r="H35" s="2">
        <f t="shared" si="22"/>
        <v>24.919744528893961</v>
      </c>
      <c r="I35" s="2">
        <f t="shared" si="23"/>
        <v>1.5368657915684225</v>
      </c>
      <c r="J35" s="2">
        <f t="shared" si="24"/>
        <v>21.510771850000001</v>
      </c>
      <c r="K35" s="2">
        <f t="shared" si="25"/>
        <v>71.916477909315077</v>
      </c>
      <c r="L35" s="2">
        <f t="shared" si="26"/>
        <v>71.999999999999531</v>
      </c>
      <c r="M35" s="2">
        <f t="shared" si="13"/>
        <v>35.477499999999999</v>
      </c>
      <c r="N35" s="2">
        <f t="shared" si="27"/>
        <v>1.7064838499999999</v>
      </c>
      <c r="O35" s="2">
        <f t="shared" si="14"/>
        <v>155.42249999999999</v>
      </c>
      <c r="P35" s="2">
        <f t="shared" si="28"/>
        <v>5.7458036499999992</v>
      </c>
      <c r="Q35" s="2">
        <f t="shared" si="29"/>
        <v>3.9034110750000002</v>
      </c>
      <c r="R35" s="2">
        <f t="shared" si="30"/>
        <v>1.0294661999999999</v>
      </c>
      <c r="S35" s="2">
        <f t="shared" si="31"/>
        <v>22.878947549999999</v>
      </c>
      <c r="T35" s="2">
        <f t="shared" si="32"/>
        <v>3.8759398750000003</v>
      </c>
      <c r="U35" s="2">
        <f t="shared" si="15"/>
        <v>19.003007674999999</v>
      </c>
      <c r="V35" s="3">
        <f t="shared" si="16"/>
        <v>0.25086197984159436</v>
      </c>
      <c r="W35" s="3">
        <f t="shared" si="17"/>
        <v>0.30798549990609392</v>
      </c>
      <c r="X35" s="3">
        <f t="shared" si="18"/>
        <v>0.42507495462901085</v>
      </c>
      <c r="Y35" s="3">
        <f t="shared" si="19"/>
        <v>0.73306045453510471</v>
      </c>
      <c r="Z35" s="1">
        <v>0.31219999999999998</v>
      </c>
      <c r="AA35" s="1">
        <v>0.27029999999999998</v>
      </c>
      <c r="AB35" s="1">
        <v>6.1699999999999998E-2</v>
      </c>
      <c r="AD35" s="2">
        <f t="shared" si="20"/>
        <v>111.446077466045</v>
      </c>
      <c r="AE35" s="4" t="s">
        <v>521</v>
      </c>
      <c r="AF35" s="4" t="s">
        <v>522</v>
      </c>
      <c r="AG35" s="4" t="s">
        <v>523</v>
      </c>
      <c r="AH35" s="1">
        <v>3.7410038E-2</v>
      </c>
      <c r="AI35" s="4" t="s">
        <v>524</v>
      </c>
      <c r="AJ35" s="4" t="s">
        <v>525</v>
      </c>
      <c r="AK35" s="1">
        <v>2.9677979999999998E-3</v>
      </c>
      <c r="AL35" s="1">
        <v>9.9927019999999991E-3</v>
      </c>
      <c r="AM35" s="1">
        <v>6.7885410000000004E-3</v>
      </c>
      <c r="AN35" s="1">
        <v>1.790376E-3</v>
      </c>
      <c r="AO35" s="1">
        <v>3.9789473999999998E-2</v>
      </c>
      <c r="AP35" s="1">
        <v>6.7407650000000001E-3</v>
      </c>
    </row>
    <row r="36" spans="1:42">
      <c r="A36" s="1" t="s">
        <v>257</v>
      </c>
      <c r="B36" s="1" t="s">
        <v>543</v>
      </c>
      <c r="C36" s="1" t="s">
        <v>124</v>
      </c>
      <c r="D36" s="1">
        <v>488</v>
      </c>
      <c r="E36" s="1">
        <v>562</v>
      </c>
      <c r="F36" s="2">
        <f t="shared" si="12"/>
        <v>123.99708976144059</v>
      </c>
      <c r="G36" s="2">
        <f t="shared" si="21"/>
        <v>76.693837724255289</v>
      </c>
      <c r="H36" s="2">
        <f t="shared" si="22"/>
        <v>23.357822360048477</v>
      </c>
      <c r="I36" s="2">
        <f t="shared" si="23"/>
        <v>1.0917296004552433</v>
      </c>
      <c r="J36" s="2">
        <f t="shared" si="24"/>
        <v>22.358695672</v>
      </c>
      <c r="K36" s="2">
        <f t="shared" si="25"/>
        <v>70.063157706860295</v>
      </c>
      <c r="L36" s="2">
        <f t="shared" si="26"/>
        <v>73.999999999999616</v>
      </c>
      <c r="M36" s="2">
        <f t="shared" si="13"/>
        <v>51.872599999999998</v>
      </c>
      <c r="N36" s="2">
        <f t="shared" si="27"/>
        <v>1.017755024</v>
      </c>
      <c r="O36" s="2">
        <f t="shared" si="14"/>
        <v>139.82560000000001</v>
      </c>
      <c r="P36" s="2">
        <f t="shared" si="28"/>
        <v>16.990231035109986</v>
      </c>
      <c r="Q36" s="2">
        <f t="shared" si="29"/>
        <v>3.8579709540000002</v>
      </c>
      <c r="R36" s="2">
        <f t="shared" si="30"/>
        <v>1.0878662100000001</v>
      </c>
      <c r="S36" s="2">
        <f t="shared" si="31"/>
        <v>5.1224956820000003</v>
      </c>
      <c r="T36" s="2">
        <f t="shared" si="32"/>
        <v>1.4925612859999999</v>
      </c>
      <c r="U36" s="2">
        <f t="shared" si="15"/>
        <v>3.6299343960000003</v>
      </c>
      <c r="V36" s="3">
        <f t="shared" si="16"/>
        <v>0.25409239705213238</v>
      </c>
      <c r="W36" s="3">
        <f t="shared" si="17"/>
        <v>0.3559032062603904</v>
      </c>
      <c r="X36" s="3">
        <f t="shared" si="18"/>
        <v>0.44286773347073355</v>
      </c>
      <c r="Y36" s="3">
        <f t="shared" si="19"/>
        <v>0.79877093973112401</v>
      </c>
      <c r="Z36" s="1">
        <v>0.30830000000000002</v>
      </c>
      <c r="AA36" s="1">
        <v>0.24879999999999999</v>
      </c>
      <c r="AB36" s="1">
        <v>9.2299999999999993E-2</v>
      </c>
      <c r="AD36" s="2">
        <f t="shared" si="20"/>
        <v>101.6383940894406</v>
      </c>
      <c r="AE36" s="4" t="s">
        <v>544</v>
      </c>
      <c r="AF36" s="4" t="s">
        <v>545</v>
      </c>
      <c r="AG36" s="1">
        <v>1.0741311E-2</v>
      </c>
      <c r="AH36" s="1">
        <v>3.9784156000000001E-2</v>
      </c>
      <c r="AI36" s="4" t="s">
        <v>546</v>
      </c>
      <c r="AJ36" s="4" t="s">
        <v>547</v>
      </c>
      <c r="AK36" s="1">
        <v>1.810952E-3</v>
      </c>
      <c r="AL36" s="4" t="s">
        <v>548</v>
      </c>
      <c r="AM36" s="1">
        <v>6.8647170000000002E-3</v>
      </c>
      <c r="AN36" s="1">
        <v>1.935705E-3</v>
      </c>
      <c r="AO36" s="1">
        <v>9.1147610000000007E-3</v>
      </c>
      <c r="AP36" s="1">
        <v>2.655803E-3</v>
      </c>
    </row>
    <row r="37" spans="1:42">
      <c r="A37" s="1" t="s">
        <v>257</v>
      </c>
      <c r="B37" s="1" t="s">
        <v>1244</v>
      </c>
      <c r="C37" s="1" t="s">
        <v>20</v>
      </c>
      <c r="D37" s="1">
        <v>447</v>
      </c>
      <c r="E37" s="1">
        <v>505</v>
      </c>
      <c r="F37" s="2">
        <f t="shared" si="12"/>
        <v>108.2344846456555</v>
      </c>
      <c r="G37" s="2">
        <f t="shared" si="21"/>
        <v>60.960568931473347</v>
      </c>
      <c r="H37" s="2">
        <f t="shared" si="22"/>
        <v>23.357280877841948</v>
      </c>
      <c r="I37" s="2">
        <f t="shared" si="23"/>
        <v>1.0271967166633378</v>
      </c>
      <c r="J37" s="2">
        <f t="shared" si="24"/>
        <v>22.118326835000001</v>
      </c>
      <c r="K37" s="2">
        <f t="shared" si="25"/>
        <v>64.333369994923672</v>
      </c>
      <c r="L37" s="2">
        <f t="shared" si="26"/>
        <v>69.999999999999687</v>
      </c>
      <c r="M37" s="2">
        <f t="shared" si="13"/>
        <v>49.944499999999998</v>
      </c>
      <c r="N37" s="2">
        <f t="shared" si="27"/>
        <v>3.3445554099999999</v>
      </c>
      <c r="O37" s="2">
        <f t="shared" si="14"/>
        <v>124.2805</v>
      </c>
      <c r="P37" s="2">
        <f t="shared" si="28"/>
        <v>2.631280785</v>
      </c>
      <c r="Q37" s="2">
        <f t="shared" si="29"/>
        <v>4.0191232999999995</v>
      </c>
      <c r="R37" s="2">
        <f t="shared" si="30"/>
        <v>0.49999999499999997</v>
      </c>
      <c r="S37" s="2">
        <f t="shared" si="31"/>
        <v>8.5046332899999992</v>
      </c>
      <c r="T37" s="2">
        <f t="shared" si="32"/>
        <v>2.7670066050000002</v>
      </c>
      <c r="U37" s="2">
        <f t="shared" si="15"/>
        <v>5.7376266849999986</v>
      </c>
      <c r="V37" s="3">
        <f t="shared" si="16"/>
        <v>0.24213531240638814</v>
      </c>
      <c r="W37" s="3">
        <f t="shared" si="17"/>
        <v>0.32550497447921017</v>
      </c>
      <c r="X37" s="3">
        <f t="shared" si="18"/>
        <v>0.44570476102270074</v>
      </c>
      <c r="Y37" s="3">
        <f t="shared" si="19"/>
        <v>0.77120973550191096</v>
      </c>
      <c r="Z37" s="1">
        <v>0.28270000000000001</v>
      </c>
      <c r="AA37" s="1">
        <v>0.24610000000000001</v>
      </c>
      <c r="AB37" s="1">
        <v>9.8900000000000002E-2</v>
      </c>
      <c r="AD37" s="2">
        <f t="shared" si="20"/>
        <v>86.116157810655494</v>
      </c>
      <c r="AE37" s="4" t="s">
        <v>1245</v>
      </c>
      <c r="AF37" s="4" t="s">
        <v>1246</v>
      </c>
      <c r="AG37" s="1">
        <v>1.1928037000000001E-2</v>
      </c>
      <c r="AH37" s="1">
        <v>4.3798666999999999E-2</v>
      </c>
      <c r="AI37" s="4" t="s">
        <v>1247</v>
      </c>
      <c r="AJ37" s="4" t="s">
        <v>196</v>
      </c>
      <c r="AK37" s="1">
        <v>6.6228820000000001E-3</v>
      </c>
      <c r="AL37" s="1">
        <v>5.2104569999999999E-3</v>
      </c>
      <c r="AM37" s="1">
        <v>7.9586599999999993E-3</v>
      </c>
      <c r="AN37" s="1">
        <v>9.9009899999999993E-4</v>
      </c>
      <c r="AO37" s="1">
        <v>1.6840858E-2</v>
      </c>
      <c r="AP37" s="1">
        <v>5.4792210000000003E-3</v>
      </c>
    </row>
    <row r="38" spans="1:42">
      <c r="A38" s="1" t="s">
        <v>228</v>
      </c>
      <c r="B38" s="1" t="s">
        <v>372</v>
      </c>
      <c r="C38" s="1" t="s">
        <v>49</v>
      </c>
      <c r="D38" s="1">
        <v>562</v>
      </c>
      <c r="E38" s="1">
        <v>640</v>
      </c>
      <c r="F38" s="2">
        <f t="shared" si="12"/>
        <v>141.23040428710399</v>
      </c>
      <c r="G38" s="2">
        <f t="shared" si="21"/>
        <v>90.180670642980033</v>
      </c>
      <c r="H38" s="2">
        <f t="shared" si="22"/>
        <v>27.294149772217935</v>
      </c>
      <c r="I38" s="2">
        <f t="shared" si="23"/>
        <v>0.99410475159774625</v>
      </c>
      <c r="J38" s="2">
        <f t="shared" si="24"/>
        <v>22.25590528</v>
      </c>
      <c r="K38" s="2">
        <f t="shared" si="25"/>
        <v>80.546681664791677</v>
      </c>
      <c r="L38" s="2">
        <f t="shared" si="26"/>
        <v>79</v>
      </c>
      <c r="M38" s="2">
        <f t="shared" si="13"/>
        <v>63.936</v>
      </c>
      <c r="N38" s="2">
        <f t="shared" si="27"/>
        <v>1.8300121599999999</v>
      </c>
      <c r="O38" s="2">
        <f t="shared" si="14"/>
        <v>91.712000000000003</v>
      </c>
      <c r="P38" s="2">
        <f t="shared" si="28"/>
        <v>8.1392038400000004</v>
      </c>
      <c r="Q38" s="2">
        <f t="shared" si="29"/>
        <v>5.0314963199999996</v>
      </c>
      <c r="R38" s="2">
        <f t="shared" si="30"/>
        <v>0.5</v>
      </c>
      <c r="S38" s="2">
        <f t="shared" si="31"/>
        <v>2.3428569599999998</v>
      </c>
      <c r="T38" s="2">
        <f t="shared" si="32"/>
        <v>0.97713088000000003</v>
      </c>
      <c r="U38" s="2">
        <f t="shared" si="15"/>
        <v>1.3657260799999997</v>
      </c>
      <c r="V38" s="3">
        <f t="shared" si="16"/>
        <v>0.25129965175641278</v>
      </c>
      <c r="W38" s="3">
        <f t="shared" si="17"/>
        <v>0.33997545408145913</v>
      </c>
      <c r="X38" s="3">
        <f t="shared" si="18"/>
        <v>0.42130766114272089</v>
      </c>
      <c r="Y38" s="3">
        <f t="shared" si="19"/>
        <v>0.76128311522418002</v>
      </c>
      <c r="Z38" s="1">
        <v>0.2626</v>
      </c>
      <c r="AA38" s="1">
        <v>0.14330000000000001</v>
      </c>
      <c r="AB38" s="1">
        <v>9.9900000000000003E-2</v>
      </c>
      <c r="AD38" s="2">
        <f t="shared" si="20"/>
        <v>118.974499007104</v>
      </c>
      <c r="AE38" s="1">
        <v>0.75798319300000006</v>
      </c>
      <c r="AF38" s="4" t="s">
        <v>373</v>
      </c>
      <c r="AG38" s="1">
        <v>8.3556120000000001E-3</v>
      </c>
      <c r="AH38" s="1">
        <v>3.4774852000000002E-2</v>
      </c>
      <c r="AI38" s="4" t="s">
        <v>374</v>
      </c>
      <c r="AJ38" s="1">
        <v>0.12343750000000001</v>
      </c>
      <c r="AK38" s="1">
        <v>2.8593939999999999E-3</v>
      </c>
      <c r="AL38" s="1">
        <v>1.2717506E-2</v>
      </c>
      <c r="AM38" s="1">
        <v>7.8617129999999993E-3</v>
      </c>
      <c r="AN38" s="1">
        <v>7.8125000000000004E-4</v>
      </c>
      <c r="AO38" s="1">
        <v>3.6607139999999998E-3</v>
      </c>
      <c r="AP38" s="1">
        <v>1.5267670000000001E-3</v>
      </c>
    </row>
    <row r="39" spans="1:42">
      <c r="A39" s="1" t="s">
        <v>228</v>
      </c>
      <c r="B39" s="1" t="s">
        <v>811</v>
      </c>
      <c r="C39" s="1" t="s">
        <v>87</v>
      </c>
      <c r="D39" s="1">
        <v>326</v>
      </c>
      <c r="E39" s="1">
        <v>368</v>
      </c>
      <c r="F39" s="2">
        <f t="shared" si="12"/>
        <v>76.468787815561598</v>
      </c>
      <c r="G39" s="2">
        <f t="shared" si="21"/>
        <v>50.492410628261645</v>
      </c>
      <c r="H39" s="2">
        <f t="shared" si="22"/>
        <v>13.055881234391876</v>
      </c>
      <c r="I39" s="2">
        <f t="shared" si="23"/>
        <v>1.0451756955666749</v>
      </c>
      <c r="J39" s="2">
        <f t="shared" si="24"/>
        <v>12.900000064</v>
      </c>
      <c r="K39" s="2">
        <f t="shared" si="25"/>
        <v>41.218498659517358</v>
      </c>
      <c r="L39" s="2">
        <f t="shared" si="26"/>
        <v>42.999999999999808</v>
      </c>
      <c r="M39" s="2">
        <f t="shared" si="13"/>
        <v>33.9664</v>
      </c>
      <c r="N39" s="2">
        <f t="shared" si="27"/>
        <v>0</v>
      </c>
      <c r="O39" s="2">
        <f t="shared" si="14"/>
        <v>75.035200000000003</v>
      </c>
      <c r="P39" s="2">
        <f t="shared" si="28"/>
        <v>4.0100278551531741</v>
      </c>
      <c r="Q39" s="2">
        <f t="shared" si="29"/>
        <v>3.000000032</v>
      </c>
      <c r="R39" s="2">
        <f t="shared" si="30"/>
        <v>0.50000012799999993</v>
      </c>
      <c r="S39" s="2">
        <f t="shared" si="31"/>
        <v>1.9892762560000001</v>
      </c>
      <c r="T39" s="2">
        <f t="shared" si="32"/>
        <v>0</v>
      </c>
      <c r="U39" s="2">
        <f t="shared" si="15"/>
        <v>1.9892762560000001</v>
      </c>
      <c r="V39" s="3">
        <f t="shared" si="16"/>
        <v>0.23456683379006624</v>
      </c>
      <c r="W39" s="3">
        <f t="shared" si="17"/>
        <v>0.31530526148047033</v>
      </c>
      <c r="X39" s="3">
        <f t="shared" si="18"/>
        <v>0.40288251668633557</v>
      </c>
      <c r="Y39" s="3">
        <f t="shared" si="19"/>
        <v>0.7181877781668059</v>
      </c>
      <c r="Z39" s="1">
        <v>0.26369999999999999</v>
      </c>
      <c r="AA39" s="1">
        <v>0.2039</v>
      </c>
      <c r="AB39" s="1">
        <v>9.2299999999999993E-2</v>
      </c>
      <c r="AD39" s="2">
        <f t="shared" si="20"/>
        <v>63.568787751561601</v>
      </c>
      <c r="AE39" s="4" t="s">
        <v>812</v>
      </c>
      <c r="AF39" s="4" t="s">
        <v>813</v>
      </c>
      <c r="AG39" s="1">
        <v>1.6441648999999999E-2</v>
      </c>
      <c r="AH39" s="1">
        <v>3.5054347999999999E-2</v>
      </c>
      <c r="AI39" s="4" t="s">
        <v>814</v>
      </c>
      <c r="AJ39" s="4" t="s">
        <v>815</v>
      </c>
      <c r="AK39" s="1">
        <v>0</v>
      </c>
      <c r="AL39" s="4" t="s">
        <v>816</v>
      </c>
      <c r="AM39" s="1">
        <v>8.1521739999999999E-3</v>
      </c>
      <c r="AN39" s="1">
        <v>1.3586959999999999E-3</v>
      </c>
      <c r="AO39" s="1">
        <v>5.4056420000000004E-3</v>
      </c>
      <c r="AP39" s="1">
        <v>0</v>
      </c>
    </row>
    <row r="40" spans="1:42">
      <c r="A40" s="1" t="s">
        <v>228</v>
      </c>
      <c r="B40" s="1" t="s">
        <v>661</v>
      </c>
      <c r="C40" s="1" t="s">
        <v>34</v>
      </c>
      <c r="D40" s="1">
        <v>568</v>
      </c>
      <c r="E40" s="1">
        <v>628</v>
      </c>
      <c r="F40" s="2">
        <f t="shared" si="12"/>
        <v>139.24751722891162</v>
      </c>
      <c r="G40" s="2">
        <f t="shared" si="21"/>
        <v>88.486073770414151</v>
      </c>
      <c r="H40" s="2">
        <f t="shared" si="22"/>
        <v>27.018478223675075</v>
      </c>
      <c r="I40" s="2">
        <f t="shared" si="23"/>
        <v>2.1582149438798526</v>
      </c>
      <c r="J40" s="2">
        <f t="shared" si="24"/>
        <v>22.287883908000001</v>
      </c>
      <c r="K40" s="2">
        <f t="shared" si="25"/>
        <v>76.557437228295186</v>
      </c>
      <c r="L40" s="2">
        <f t="shared" si="26"/>
        <v>74.999999999999559</v>
      </c>
      <c r="M40" s="2">
        <f t="shared" si="13"/>
        <v>51.433199999999999</v>
      </c>
      <c r="N40" s="2">
        <f t="shared" si="27"/>
        <v>0.9741115239999999</v>
      </c>
      <c r="O40" s="2">
        <f t="shared" si="14"/>
        <v>159.76320000000001</v>
      </c>
      <c r="P40" s="2">
        <f t="shared" si="28"/>
        <v>3.6483722800000002</v>
      </c>
      <c r="Q40" s="2">
        <f t="shared" si="29"/>
        <v>4.0465267919999999</v>
      </c>
      <c r="R40" s="2">
        <f t="shared" si="30"/>
        <v>0.499999784</v>
      </c>
      <c r="S40" s="2">
        <f t="shared" si="31"/>
        <v>16.008163265306049</v>
      </c>
      <c r="T40" s="2">
        <f t="shared" si="32"/>
        <v>3.7095294320000001</v>
      </c>
      <c r="U40" s="2">
        <f t="shared" si="15"/>
        <v>12.298633833306049</v>
      </c>
      <c r="V40" s="3">
        <f t="shared" si="16"/>
        <v>0.24515407962836552</v>
      </c>
      <c r="W40" s="3">
        <f t="shared" si="17"/>
        <v>0.3127584283244968</v>
      </c>
      <c r="X40" s="3">
        <f t="shared" si="18"/>
        <v>0.41927677936866881</v>
      </c>
      <c r="Y40" s="3">
        <f t="shared" si="19"/>
        <v>0.73203520769316555</v>
      </c>
      <c r="Z40" s="1">
        <v>0.2999</v>
      </c>
      <c r="AA40" s="1">
        <v>0.25440000000000002</v>
      </c>
      <c r="AB40" s="1">
        <v>8.1900000000000001E-2</v>
      </c>
      <c r="AD40" s="2">
        <f t="shared" si="20"/>
        <v>116.95963332091161</v>
      </c>
      <c r="AE40" s="4" t="s">
        <v>662</v>
      </c>
      <c r="AF40" s="4" t="s">
        <v>663</v>
      </c>
      <c r="AG40" s="1">
        <v>1.8452647999999999E-2</v>
      </c>
      <c r="AH40" s="1">
        <v>3.5490261000000002E-2</v>
      </c>
      <c r="AI40" s="4" t="s">
        <v>664</v>
      </c>
      <c r="AJ40" s="4" t="s">
        <v>665</v>
      </c>
      <c r="AK40" s="1">
        <v>1.5511329999999999E-3</v>
      </c>
      <c r="AL40" s="1">
        <v>5.8095100000000004E-3</v>
      </c>
      <c r="AM40" s="1">
        <v>6.443514E-3</v>
      </c>
      <c r="AN40" s="1">
        <v>7.9617800000000003E-4</v>
      </c>
      <c r="AO40" s="4" t="s">
        <v>666</v>
      </c>
      <c r="AP40" s="1">
        <v>5.9068940000000002E-3</v>
      </c>
    </row>
    <row r="41" spans="1:42">
      <c r="A41" s="1" t="s">
        <v>228</v>
      </c>
      <c r="B41" s="1" t="s">
        <v>585</v>
      </c>
      <c r="C41" s="1" t="s">
        <v>20</v>
      </c>
      <c r="D41" s="1">
        <v>543</v>
      </c>
      <c r="E41" s="1">
        <v>631</v>
      </c>
      <c r="F41" s="2">
        <f t="shared" si="12"/>
        <v>129.49696186156797</v>
      </c>
      <c r="G41" s="2">
        <f t="shared" si="21"/>
        <v>78.106313560407756</v>
      </c>
      <c r="H41" s="2">
        <f t="shared" si="22"/>
        <v>28.310593480370251</v>
      </c>
      <c r="I41" s="2">
        <f t="shared" si="23"/>
        <v>1.0004770715514586</v>
      </c>
      <c r="J41" s="2">
        <f t="shared" si="24"/>
        <v>21.150958463999999</v>
      </c>
      <c r="K41" s="2">
        <f t="shared" si="25"/>
        <v>80.202793827747612</v>
      </c>
      <c r="L41" s="2">
        <f t="shared" si="26"/>
        <v>74.99999999999973</v>
      </c>
      <c r="M41" s="2">
        <f t="shared" si="13"/>
        <v>77.991600000000005</v>
      </c>
      <c r="N41" s="2">
        <f t="shared" si="27"/>
        <v>1.9555781630000002</v>
      </c>
      <c r="O41" s="2">
        <f t="shared" si="14"/>
        <v>149.67320000000001</v>
      </c>
      <c r="P41" s="2">
        <f t="shared" si="28"/>
        <v>4.7184760250000002</v>
      </c>
      <c r="Q41" s="2">
        <f t="shared" si="29"/>
        <v>4.0255591499999994</v>
      </c>
      <c r="R41" s="2">
        <f t="shared" si="30"/>
        <v>0.49999998299999998</v>
      </c>
      <c r="S41" s="2">
        <f t="shared" si="31"/>
        <v>8.1563829820000002</v>
      </c>
      <c r="T41" s="2">
        <f t="shared" si="32"/>
        <v>1.9599188120000002</v>
      </c>
      <c r="U41" s="2">
        <f t="shared" si="15"/>
        <v>6.1964641700000005</v>
      </c>
      <c r="V41" s="3">
        <f t="shared" si="16"/>
        <v>0.23848427598815464</v>
      </c>
      <c r="W41" s="3">
        <f t="shared" si="17"/>
        <v>0.3415820231153891</v>
      </c>
      <c r="X41" s="3">
        <f t="shared" si="18"/>
        <v>0.40945260698306196</v>
      </c>
      <c r="Y41" s="3">
        <f t="shared" si="19"/>
        <v>0.75103463009845106</v>
      </c>
      <c r="Z41" s="1">
        <v>0.28799999999999998</v>
      </c>
      <c r="AA41" s="1">
        <v>0.23719999999999999</v>
      </c>
      <c r="AB41" s="4" t="s">
        <v>586</v>
      </c>
      <c r="AD41" s="2">
        <f t="shared" si="20"/>
        <v>108.34600339756797</v>
      </c>
      <c r="AE41" s="4" t="s">
        <v>587</v>
      </c>
      <c r="AF41" s="4" t="s">
        <v>588</v>
      </c>
      <c r="AG41" s="1">
        <v>9.2340930000000005E-3</v>
      </c>
      <c r="AH41" s="1">
        <v>3.3519743999999997E-2</v>
      </c>
      <c r="AI41" s="4" t="s">
        <v>589</v>
      </c>
      <c r="AJ41" s="4" t="s">
        <v>590</v>
      </c>
      <c r="AK41" s="1">
        <v>3.0991730000000002E-3</v>
      </c>
      <c r="AL41" s="1">
        <v>7.4777749999999999E-3</v>
      </c>
      <c r="AM41" s="1">
        <v>6.3796499999999997E-3</v>
      </c>
      <c r="AN41" s="1">
        <v>7.9239299999999996E-4</v>
      </c>
      <c r="AO41" s="1">
        <v>1.2926122E-2</v>
      </c>
      <c r="AP41" s="1">
        <v>3.1060520000000002E-3</v>
      </c>
    </row>
    <row r="42" spans="1:42">
      <c r="A42" s="1" t="s">
        <v>228</v>
      </c>
      <c r="B42" s="1" t="s">
        <v>914</v>
      </c>
      <c r="C42" s="1" t="s">
        <v>49</v>
      </c>
      <c r="D42" s="1">
        <v>263</v>
      </c>
      <c r="E42" s="1">
        <v>295</v>
      </c>
      <c r="F42" s="2">
        <f t="shared" si="12"/>
        <v>62.577468279979996</v>
      </c>
      <c r="G42" s="2">
        <f t="shared" si="21"/>
        <v>42.657684308584798</v>
      </c>
      <c r="H42" s="2">
        <f t="shared" si="22"/>
        <v>11.531862026004955</v>
      </c>
      <c r="I42" s="2">
        <f t="shared" si="23"/>
        <v>1.6532885294159758</v>
      </c>
      <c r="J42" s="2">
        <f t="shared" si="24"/>
        <v>6.4489362949999993</v>
      </c>
      <c r="K42" s="2">
        <f t="shared" si="25"/>
        <v>36.943633907463621</v>
      </c>
      <c r="L42" s="2">
        <f t="shared" si="26"/>
        <v>30.999999999999744</v>
      </c>
      <c r="M42" s="2">
        <f t="shared" si="13"/>
        <v>23.511499999999998</v>
      </c>
      <c r="N42" s="2">
        <f t="shared" si="27"/>
        <v>0</v>
      </c>
      <c r="O42" s="2">
        <f t="shared" si="14"/>
        <v>57.879000000000005</v>
      </c>
      <c r="P42" s="2">
        <f t="shared" si="28"/>
        <v>3.1169410900000001</v>
      </c>
      <c r="Q42" s="2">
        <f t="shared" si="29"/>
        <v>2.073758845</v>
      </c>
      <c r="R42" s="2">
        <f t="shared" si="30"/>
        <v>0.77830174499999993</v>
      </c>
      <c r="S42" s="2">
        <f t="shared" si="31"/>
        <v>11.165476239999998</v>
      </c>
      <c r="T42" s="2">
        <f t="shared" si="32"/>
        <v>3.1604978399999997</v>
      </c>
      <c r="U42" s="2">
        <f t="shared" si="15"/>
        <v>8.0049783999999988</v>
      </c>
      <c r="V42" s="3">
        <f t="shared" si="16"/>
        <v>0.23793714174897337</v>
      </c>
      <c r="W42" s="3">
        <f t="shared" si="17"/>
        <v>0.30911457406732185</v>
      </c>
      <c r="X42" s="3">
        <f t="shared" si="18"/>
        <v>0.36683277235301381</v>
      </c>
      <c r="Y42" s="3">
        <f t="shared" si="19"/>
        <v>0.6759473464203356</v>
      </c>
      <c r="Z42" s="1">
        <v>0.27960000000000002</v>
      </c>
      <c r="AA42" s="1">
        <v>0.19620000000000001</v>
      </c>
      <c r="AB42" s="1">
        <v>7.9699999999999993E-2</v>
      </c>
      <c r="AD42" s="2">
        <f t="shared" si="20"/>
        <v>56.128531984979993</v>
      </c>
      <c r="AE42" s="1">
        <v>0.76</v>
      </c>
      <c r="AF42" s="4" t="s">
        <v>915</v>
      </c>
      <c r="AG42" s="1">
        <v>2.9455403000000002E-2</v>
      </c>
      <c r="AH42" s="1">
        <v>2.1860800999999999E-2</v>
      </c>
      <c r="AI42" s="4" t="s">
        <v>916</v>
      </c>
      <c r="AJ42" s="4" t="s">
        <v>917</v>
      </c>
      <c r="AK42" s="1">
        <v>0</v>
      </c>
      <c r="AL42" s="1">
        <v>1.0565902E-2</v>
      </c>
      <c r="AM42" s="1">
        <v>7.0296910000000002E-3</v>
      </c>
      <c r="AN42" s="1">
        <v>2.638311E-3</v>
      </c>
      <c r="AO42" s="1">
        <v>3.7849071999999997E-2</v>
      </c>
      <c r="AP42" s="1">
        <v>1.0713551999999999E-2</v>
      </c>
    </row>
    <row r="43" spans="1:42">
      <c r="A43" s="1" t="s">
        <v>228</v>
      </c>
      <c r="B43" s="1" t="s">
        <v>509</v>
      </c>
      <c r="C43" s="1" t="s">
        <v>124</v>
      </c>
      <c r="D43" s="1">
        <v>513</v>
      </c>
      <c r="E43" s="1">
        <v>584</v>
      </c>
      <c r="F43" s="2">
        <f t="shared" si="12"/>
        <v>126.08909420964798</v>
      </c>
      <c r="G43" s="2">
        <f t="shared" si="21"/>
        <v>73.033282185126097</v>
      </c>
      <c r="H43" s="2">
        <f t="shared" si="22"/>
        <v>26.166226199034647</v>
      </c>
      <c r="I43" s="2">
        <f t="shared" si="23"/>
        <v>2.9984189636876071</v>
      </c>
      <c r="J43" s="2">
        <f t="shared" si="24"/>
        <v>24.57422652</v>
      </c>
      <c r="K43" s="2">
        <f t="shared" si="25"/>
        <v>78.482944930549081</v>
      </c>
      <c r="L43" s="2">
        <f t="shared" si="26"/>
        <v>78.999999999999574</v>
      </c>
      <c r="M43" s="2">
        <f t="shared" si="13"/>
        <v>57.757600000000004</v>
      </c>
      <c r="N43" s="2">
        <f t="shared" si="27"/>
        <v>1.780152304</v>
      </c>
      <c r="O43" s="2">
        <f t="shared" si="14"/>
        <v>142.78800000000001</v>
      </c>
      <c r="P43" s="2">
        <f t="shared" si="28"/>
        <v>8.0137642160000002</v>
      </c>
      <c r="Q43" s="2">
        <f t="shared" si="29"/>
        <v>3.8109965360000002</v>
      </c>
      <c r="R43" s="2">
        <f t="shared" si="30"/>
        <v>0.49999977600000001</v>
      </c>
      <c r="S43" s="2">
        <f t="shared" si="31"/>
        <v>2.9778154159999999</v>
      </c>
      <c r="T43" s="2">
        <f t="shared" si="32"/>
        <v>1.037001208</v>
      </c>
      <c r="U43" s="2">
        <f t="shared" si="15"/>
        <v>1.9408142079999999</v>
      </c>
      <c r="V43" s="3">
        <f t="shared" si="16"/>
        <v>0.24578770801100971</v>
      </c>
      <c r="W43" s="3">
        <f t="shared" si="17"/>
        <v>0.33597819223062891</v>
      </c>
      <c r="X43" s="3">
        <f t="shared" si="18"/>
        <v>0.45352416677243318</v>
      </c>
      <c r="Y43" s="3">
        <f t="shared" si="19"/>
        <v>0.78950235900306209</v>
      </c>
      <c r="Z43" s="1">
        <v>0.29049999999999998</v>
      </c>
      <c r="AA43" s="1">
        <v>0.2445</v>
      </c>
      <c r="AB43" s="1">
        <v>9.8900000000000002E-2</v>
      </c>
      <c r="AD43" s="2">
        <f t="shared" si="20"/>
        <v>101.51486768964799</v>
      </c>
      <c r="AE43" s="4" t="s">
        <v>510</v>
      </c>
      <c r="AF43" s="4" t="s">
        <v>511</v>
      </c>
      <c r="AG43" s="1">
        <v>2.9536746999999999E-2</v>
      </c>
      <c r="AH43" s="1">
        <v>4.2079155E-2</v>
      </c>
      <c r="AI43" s="4" t="s">
        <v>512</v>
      </c>
      <c r="AJ43" s="4" t="s">
        <v>513</v>
      </c>
      <c r="AK43" s="1">
        <v>3.0482059999999999E-3</v>
      </c>
      <c r="AL43" s="1">
        <v>1.3722198999999999E-2</v>
      </c>
      <c r="AM43" s="1">
        <v>6.5256790000000004E-3</v>
      </c>
      <c r="AN43" s="1">
        <v>8.5616399999999997E-4</v>
      </c>
      <c r="AO43" s="1">
        <v>5.0989989999999999E-3</v>
      </c>
      <c r="AP43" s="1">
        <v>1.775687E-3</v>
      </c>
    </row>
    <row r="44" spans="1:42">
      <c r="A44" s="1" t="s">
        <v>228</v>
      </c>
      <c r="B44" s="1" t="s">
        <v>460</v>
      </c>
      <c r="C44" s="1" t="s">
        <v>169</v>
      </c>
      <c r="D44" s="1">
        <v>557</v>
      </c>
      <c r="E44" s="1">
        <v>609</v>
      </c>
      <c r="F44" s="2">
        <f t="shared" si="12"/>
        <v>153.78072671445221</v>
      </c>
      <c r="G44" s="2">
        <f t="shared" si="21"/>
        <v>118.06103814677927</v>
      </c>
      <c r="H44" s="2">
        <f t="shared" si="22"/>
        <v>26.637264031696514</v>
      </c>
      <c r="I44" s="2">
        <f t="shared" si="23"/>
        <v>3.0517427161019608</v>
      </c>
      <c r="J44" s="2">
        <f t="shared" si="24"/>
        <v>5.2904524259999999</v>
      </c>
      <c r="K44" s="2">
        <f t="shared" si="25"/>
        <v>73.063131446707075</v>
      </c>
      <c r="L44" s="2">
        <f t="shared" si="26"/>
        <v>56.000000006999997</v>
      </c>
      <c r="M44" s="2">
        <f t="shared" si="13"/>
        <v>37.08809999999994</v>
      </c>
      <c r="N44" s="2">
        <f t="shared" si="27"/>
        <v>0.95008506599999998</v>
      </c>
      <c r="O44" s="2">
        <f t="shared" si="14"/>
        <v>56.454300000000003</v>
      </c>
      <c r="P44" s="2">
        <f t="shared" si="28"/>
        <v>9.1691105369116652</v>
      </c>
      <c r="Q44" s="2">
        <f t="shared" si="29"/>
        <v>4.8804017640000001</v>
      </c>
      <c r="R44" s="2">
        <f t="shared" si="30"/>
        <v>0.49999996199999996</v>
      </c>
      <c r="S44" s="2">
        <f t="shared" si="31"/>
        <v>26.040000188999997</v>
      </c>
      <c r="T44" s="2">
        <f t="shared" si="32"/>
        <v>6.2791091159999999</v>
      </c>
      <c r="U44" s="2">
        <f t="shared" si="15"/>
        <v>19.760891072999996</v>
      </c>
      <c r="V44" s="3">
        <f t="shared" si="16"/>
        <v>0.27608748063635946</v>
      </c>
      <c r="W44" s="3">
        <f t="shared" si="17"/>
        <v>0.33502549634175305</v>
      </c>
      <c r="X44" s="3">
        <f t="shared" si="18"/>
        <v>0.36203340047123556</v>
      </c>
      <c r="Y44" s="3">
        <f t="shared" si="19"/>
        <v>0.6970588968129886</v>
      </c>
      <c r="Z44" s="1">
        <v>0.2969</v>
      </c>
      <c r="AA44" s="1">
        <v>9.2700000000000005E-2</v>
      </c>
      <c r="AB44" s="4" t="s">
        <v>461</v>
      </c>
      <c r="AD44" s="2">
        <f t="shared" si="20"/>
        <v>148.49027428845221</v>
      </c>
      <c r="AE44" s="4" t="s">
        <v>462</v>
      </c>
      <c r="AF44" s="4" t="s">
        <v>463</v>
      </c>
      <c r="AG44" s="1">
        <v>2.0551802000000001E-2</v>
      </c>
      <c r="AH44" s="1">
        <v>8.6871139999999993E-3</v>
      </c>
      <c r="AI44" s="4" t="s">
        <v>464</v>
      </c>
      <c r="AJ44" s="1">
        <v>9.1954022999999996E-2</v>
      </c>
      <c r="AK44" s="1">
        <v>1.5600740000000001E-3</v>
      </c>
      <c r="AL44" s="4" t="s">
        <v>465</v>
      </c>
      <c r="AM44" s="1">
        <v>8.0137960000000001E-3</v>
      </c>
      <c r="AN44" s="1">
        <v>8.2101799999999996E-4</v>
      </c>
      <c r="AO44" s="1">
        <v>4.2758620999999997E-2</v>
      </c>
      <c r="AP44" s="1">
        <v>1.0310524E-2</v>
      </c>
    </row>
    <row r="45" spans="1:42">
      <c r="A45" s="1" t="s">
        <v>228</v>
      </c>
      <c r="B45" s="1" t="s">
        <v>227</v>
      </c>
      <c r="C45" s="1" t="s">
        <v>20</v>
      </c>
      <c r="D45" s="1">
        <v>563</v>
      </c>
      <c r="E45" s="1">
        <v>620</v>
      </c>
      <c r="F45" s="2">
        <f t="shared" si="12"/>
        <v>138.35315890609562</v>
      </c>
      <c r="G45" s="2">
        <f t="shared" si="21"/>
        <v>83.336334501231235</v>
      </c>
      <c r="H45" s="2">
        <f t="shared" si="22"/>
        <v>27.718874501669553</v>
      </c>
      <c r="I45" s="2">
        <f t="shared" si="23"/>
        <v>4.6116102591787689</v>
      </c>
      <c r="J45" s="2">
        <f t="shared" si="24"/>
        <v>22.29348508</v>
      </c>
      <c r="K45" s="2">
        <f t="shared" si="25"/>
        <v>85.130281020494294</v>
      </c>
      <c r="L45" s="2">
        <f t="shared" si="26"/>
        <v>78.999999999999588</v>
      </c>
      <c r="M45" s="2">
        <f t="shared" si="13"/>
        <v>35.588000000000001</v>
      </c>
      <c r="N45" s="2">
        <f t="shared" si="27"/>
        <v>1.1882070600000001</v>
      </c>
      <c r="O45" s="2">
        <f t="shared" si="14"/>
        <v>149.29599999999999</v>
      </c>
      <c r="P45" s="2">
        <f t="shared" si="28"/>
        <v>8.1557000999999989</v>
      </c>
      <c r="Q45" s="2">
        <f t="shared" si="29"/>
        <v>5.2390880400000004</v>
      </c>
      <c r="R45" s="2">
        <f t="shared" si="30"/>
        <v>7.0293157199999996</v>
      </c>
      <c r="S45" s="2">
        <f t="shared" si="31"/>
        <v>34.35962748</v>
      </c>
      <c r="T45" s="2">
        <f t="shared" si="32"/>
        <v>8.9082982600000005</v>
      </c>
      <c r="U45" s="2">
        <f t="shared" si="15"/>
        <v>25.451329219999998</v>
      </c>
      <c r="V45" s="3">
        <f t="shared" si="16"/>
        <v>0.245742733403367</v>
      </c>
      <c r="W45" s="3">
        <f t="shared" si="17"/>
        <v>0.30294286367719242</v>
      </c>
      <c r="X45" s="3">
        <f t="shared" si="18"/>
        <v>0.4294544486715926</v>
      </c>
      <c r="Y45" s="3">
        <f t="shared" si="19"/>
        <v>0.73239731234878502</v>
      </c>
      <c r="Z45" s="4" t="s">
        <v>229</v>
      </c>
      <c r="AA45" s="4" t="s">
        <v>230</v>
      </c>
      <c r="AB45" s="1">
        <v>5.74E-2</v>
      </c>
      <c r="AD45" s="2">
        <f t="shared" si="20"/>
        <v>116.05967382609562</v>
      </c>
      <c r="AE45" s="1">
        <v>0.71804729199999995</v>
      </c>
      <c r="AF45" s="4" t="s">
        <v>231</v>
      </c>
      <c r="AG45" s="4" t="s">
        <v>232</v>
      </c>
      <c r="AH45" s="1">
        <v>3.5957233999999998E-2</v>
      </c>
      <c r="AI45" s="4" t="s">
        <v>233</v>
      </c>
      <c r="AJ45" s="4" t="s">
        <v>234</v>
      </c>
      <c r="AK45" s="1">
        <v>1.916463E-3</v>
      </c>
      <c r="AL45" s="1">
        <v>1.3154355E-2</v>
      </c>
      <c r="AM45" s="1">
        <v>8.4501420000000008E-3</v>
      </c>
      <c r="AN45" s="1">
        <v>1.1337606E-2</v>
      </c>
      <c r="AO45" s="1">
        <v>5.5418754000000001E-2</v>
      </c>
      <c r="AP45" s="1">
        <v>1.4368222999999999E-2</v>
      </c>
    </row>
    <row r="46" spans="1:42">
      <c r="A46" s="1" t="s">
        <v>228</v>
      </c>
      <c r="B46" s="1" t="s">
        <v>446</v>
      </c>
      <c r="C46" s="1" t="s">
        <v>20</v>
      </c>
      <c r="D46" s="1">
        <v>529</v>
      </c>
      <c r="E46" s="1">
        <v>603</v>
      </c>
      <c r="F46" s="2">
        <f t="shared" si="12"/>
        <v>134.95556581230355</v>
      </c>
      <c r="G46" s="2">
        <f t="shared" si="21"/>
        <v>78.788259038685609</v>
      </c>
      <c r="H46" s="2">
        <f t="shared" si="22"/>
        <v>26.788711404578674</v>
      </c>
      <c r="I46" s="2">
        <f t="shared" si="23"/>
        <v>3.0190097311832891</v>
      </c>
      <c r="J46" s="2">
        <f t="shared" si="24"/>
        <v>27.021499721999998</v>
      </c>
      <c r="K46" s="2">
        <f t="shared" si="25"/>
        <v>77.029993579453958</v>
      </c>
      <c r="L46" s="2">
        <f t="shared" si="26"/>
        <v>83.999999999999588</v>
      </c>
      <c r="M46" s="2">
        <f t="shared" si="13"/>
        <v>64.098899999999404</v>
      </c>
      <c r="N46" s="2">
        <f t="shared" si="27"/>
        <v>1.971893817</v>
      </c>
      <c r="O46" s="2">
        <f t="shared" si="14"/>
        <v>151.83540000000002</v>
      </c>
      <c r="P46" s="2">
        <f t="shared" si="28"/>
        <v>3.6129981149999999</v>
      </c>
      <c r="Q46" s="2">
        <f t="shared" si="29"/>
        <v>5.0199997229999997</v>
      </c>
      <c r="R46" s="2">
        <f t="shared" si="30"/>
        <v>0</v>
      </c>
      <c r="S46" s="2">
        <f t="shared" si="31"/>
        <v>7.8004815409309387</v>
      </c>
      <c r="T46" s="2">
        <f t="shared" si="32"/>
        <v>2.9973164219999999</v>
      </c>
      <c r="U46" s="2">
        <f t="shared" si="15"/>
        <v>4.8031651189309388</v>
      </c>
      <c r="V46" s="3">
        <f t="shared" si="16"/>
        <v>0.25511449113857004</v>
      </c>
      <c r="W46" s="3">
        <f t="shared" si="17"/>
        <v>0.34101399312779596</v>
      </c>
      <c r="X46" s="3">
        <f t="shared" si="18"/>
        <v>0.47166107737125296</v>
      </c>
      <c r="Y46" s="3">
        <f t="shared" si="19"/>
        <v>0.81267507049904886</v>
      </c>
      <c r="Z46" s="4" t="s">
        <v>447</v>
      </c>
      <c r="AA46" s="1">
        <v>0.25180000000000002</v>
      </c>
      <c r="AB46" s="4" t="s">
        <v>448</v>
      </c>
      <c r="AD46" s="2">
        <f t="shared" si="20"/>
        <v>107.93406609030356</v>
      </c>
      <c r="AE46" s="1">
        <v>0.72996656100000001</v>
      </c>
      <c r="AF46" s="4" t="s">
        <v>449</v>
      </c>
      <c r="AG46" s="1">
        <v>2.7970869999999998E-2</v>
      </c>
      <c r="AH46" s="1">
        <v>4.4811773999999999E-2</v>
      </c>
      <c r="AI46" s="4" t="s">
        <v>450</v>
      </c>
      <c r="AJ46" s="4" t="s">
        <v>451</v>
      </c>
      <c r="AK46" s="1">
        <v>3.270139E-3</v>
      </c>
      <c r="AL46" s="1">
        <v>5.9917049999999999E-3</v>
      </c>
      <c r="AM46" s="1">
        <v>8.325041E-3</v>
      </c>
      <c r="AN46" s="1">
        <v>0</v>
      </c>
      <c r="AO46" s="4" t="s">
        <v>452</v>
      </c>
      <c r="AP46" s="1">
        <v>4.9706739999999996E-3</v>
      </c>
    </row>
    <row r="47" spans="1:42">
      <c r="A47" s="1" t="s">
        <v>58</v>
      </c>
      <c r="B47" s="1" t="s">
        <v>57</v>
      </c>
      <c r="C47" s="1" t="s">
        <v>34</v>
      </c>
      <c r="D47" s="1">
        <v>568</v>
      </c>
      <c r="E47" s="1">
        <v>636</v>
      </c>
      <c r="F47" s="2">
        <f t="shared" si="12"/>
        <v>148.45941215620041</v>
      </c>
      <c r="G47" s="2">
        <f t="shared" si="21"/>
        <v>92.534757621661782</v>
      </c>
      <c r="H47" s="2">
        <f t="shared" si="22"/>
        <v>30.863112896495061</v>
      </c>
      <c r="I47" s="2">
        <f t="shared" si="23"/>
        <v>5.1660773948363401</v>
      </c>
      <c r="J47" s="2">
        <f t="shared" si="24"/>
        <v>21.310333704000001</v>
      </c>
      <c r="K47" s="2">
        <f t="shared" si="25"/>
        <v>91.228889393594841</v>
      </c>
      <c r="L47" s="2">
        <f t="shared" si="26"/>
        <v>76.999999999999929</v>
      </c>
      <c r="M47" s="2">
        <f t="shared" si="13"/>
        <v>58.193999999999996</v>
      </c>
      <c r="N47" s="2">
        <f t="shared" si="27"/>
        <v>5.595536268</v>
      </c>
      <c r="O47" s="2">
        <f t="shared" si="14"/>
        <v>164.40600000000001</v>
      </c>
      <c r="P47" s="2">
        <f t="shared" si="28"/>
        <v>3.0108856919999996</v>
      </c>
      <c r="Q47" s="2">
        <f t="shared" si="29"/>
        <v>3.8356123319999997</v>
      </c>
      <c r="R47" s="2">
        <f t="shared" si="30"/>
        <v>0.98475632400000002</v>
      </c>
      <c r="S47" s="2">
        <f t="shared" si="31"/>
        <v>39.521428596</v>
      </c>
      <c r="T47" s="2">
        <f t="shared" si="32"/>
        <v>10.606977888400015</v>
      </c>
      <c r="U47" s="2">
        <f t="shared" si="15"/>
        <v>28.914450707599983</v>
      </c>
      <c r="V47" s="3">
        <f t="shared" si="16"/>
        <v>0.26137220450035287</v>
      </c>
      <c r="W47" s="3">
        <f t="shared" si="17"/>
        <v>0.3386584602423649</v>
      </c>
      <c r="X47" s="3">
        <f t="shared" si="18"/>
        <v>0.44894463101260723</v>
      </c>
      <c r="Y47" s="3">
        <f t="shared" si="19"/>
        <v>0.78760309125497208</v>
      </c>
      <c r="Z47" s="1">
        <v>0.32929999999999998</v>
      </c>
      <c r="AA47" s="1">
        <v>0.25850000000000001</v>
      </c>
      <c r="AB47" s="1">
        <v>9.1499999999999998E-2</v>
      </c>
      <c r="AD47" s="2">
        <f t="shared" si="20"/>
        <v>127.1490784522004</v>
      </c>
      <c r="AE47" s="4" t="s">
        <v>59</v>
      </c>
      <c r="AF47" s="4" t="s">
        <v>60</v>
      </c>
      <c r="AG47" s="4" t="s">
        <v>61</v>
      </c>
      <c r="AH47" s="1">
        <v>3.3506814000000003E-2</v>
      </c>
      <c r="AI47" s="4" t="s">
        <v>62</v>
      </c>
      <c r="AJ47" s="4" t="s">
        <v>63</v>
      </c>
      <c r="AK47" s="1">
        <v>8.7980130000000004E-3</v>
      </c>
      <c r="AL47" s="1">
        <v>4.7340969999999996E-3</v>
      </c>
      <c r="AM47" s="1">
        <v>6.0308369999999998E-3</v>
      </c>
      <c r="AN47" s="1">
        <v>1.548359E-3</v>
      </c>
      <c r="AO47" s="1">
        <v>6.2140610999999998E-2</v>
      </c>
      <c r="AP47" s="4" t="s">
        <v>64</v>
      </c>
    </row>
    <row r="48" spans="1:42">
      <c r="A48" s="1" t="s">
        <v>58</v>
      </c>
      <c r="B48" s="1" t="s">
        <v>425</v>
      </c>
      <c r="C48" s="1" t="s">
        <v>49</v>
      </c>
      <c r="D48" s="1">
        <v>532</v>
      </c>
      <c r="E48" s="1">
        <v>598</v>
      </c>
      <c r="F48" s="2">
        <f t="shared" si="12"/>
        <v>122.31840700676361</v>
      </c>
      <c r="G48" s="2">
        <f t="shared" si="21"/>
        <v>65.223638822839177</v>
      </c>
      <c r="H48" s="2">
        <f t="shared" si="22"/>
        <v>22.88927603555468</v>
      </c>
      <c r="I48" s="2">
        <f t="shared" si="23"/>
        <v>1.001341163699168</v>
      </c>
      <c r="J48" s="2">
        <f t="shared" si="24"/>
        <v>34.154285714285642</v>
      </c>
      <c r="K48" s="2">
        <f t="shared" si="25"/>
        <v>75.819392666157142</v>
      </c>
      <c r="L48" s="2">
        <f t="shared" si="26"/>
        <v>94.999999999999645</v>
      </c>
      <c r="M48" s="2">
        <f t="shared" si="13"/>
        <v>49.873200000000004</v>
      </c>
      <c r="N48" s="2">
        <f t="shared" si="27"/>
        <v>0.98049634799999996</v>
      </c>
      <c r="O48" s="2">
        <f t="shared" si="14"/>
        <v>180.35679999999999</v>
      </c>
      <c r="P48" s="2">
        <f t="shared" si="28"/>
        <v>10.408612785999999</v>
      </c>
      <c r="Q48" s="2">
        <f t="shared" si="29"/>
        <v>5.2201680439999993</v>
      </c>
      <c r="R48" s="2">
        <f t="shared" si="30"/>
        <v>0</v>
      </c>
      <c r="S48" s="2">
        <f t="shared" si="31"/>
        <v>2.9649348300000002</v>
      </c>
      <c r="T48" s="2">
        <f t="shared" si="32"/>
        <v>1.00123439</v>
      </c>
      <c r="U48" s="2">
        <f t="shared" si="15"/>
        <v>1.9637004400000002</v>
      </c>
      <c r="V48" s="3">
        <f t="shared" si="16"/>
        <v>0.22992181768188649</v>
      </c>
      <c r="W48" s="3">
        <f t="shared" si="17"/>
        <v>0.31217288721131098</v>
      </c>
      <c r="X48" s="3">
        <f t="shared" si="18"/>
        <v>0.47109653616952746</v>
      </c>
      <c r="Y48" s="3">
        <f t="shared" si="19"/>
        <v>0.78326942338083838</v>
      </c>
      <c r="Z48" s="1">
        <v>0.2732</v>
      </c>
      <c r="AA48" s="1">
        <v>0.30159999999999998</v>
      </c>
      <c r="AB48" s="1">
        <v>8.3400000000000002E-2</v>
      </c>
      <c r="AD48" s="2">
        <f t="shared" si="20"/>
        <v>88.164121292477958</v>
      </c>
      <c r="AE48" s="4" t="s">
        <v>427</v>
      </c>
      <c r="AF48" s="4" t="s">
        <v>428</v>
      </c>
      <c r="AG48" s="4" t="s">
        <v>429</v>
      </c>
      <c r="AH48" s="4" t="s">
        <v>426</v>
      </c>
      <c r="AI48" s="4" t="s">
        <v>430</v>
      </c>
      <c r="AJ48" s="4" t="s">
        <v>431</v>
      </c>
      <c r="AK48" s="1">
        <v>1.6396259999999999E-3</v>
      </c>
      <c r="AL48" s="1">
        <v>1.7405706999999999E-2</v>
      </c>
      <c r="AM48" s="1">
        <v>8.7293779999999994E-3</v>
      </c>
      <c r="AN48" s="1">
        <v>0</v>
      </c>
      <c r="AO48" s="1">
        <v>4.9580850000000001E-3</v>
      </c>
      <c r="AP48" s="1">
        <v>1.6743050000000001E-3</v>
      </c>
    </row>
    <row r="49" spans="1:42">
      <c r="A49" s="1" t="s">
        <v>58</v>
      </c>
      <c r="B49" s="1" t="s">
        <v>983</v>
      </c>
      <c r="C49" s="1" t="s">
        <v>169</v>
      </c>
      <c r="D49" s="1">
        <v>473</v>
      </c>
      <c r="E49" s="1">
        <v>534</v>
      </c>
      <c r="F49" s="2">
        <f t="shared" si="12"/>
        <v>112.32298488586441</v>
      </c>
      <c r="G49" s="2">
        <f t="shared" si="21"/>
        <v>70.337169067733853</v>
      </c>
      <c r="H49" s="2">
        <f t="shared" si="22"/>
        <v>21.76797628521841</v>
      </c>
      <c r="I49" s="2">
        <f t="shared" si="23"/>
        <v>1.995461045727956</v>
      </c>
      <c r="J49" s="2">
        <f t="shared" si="24"/>
        <v>17.372586756</v>
      </c>
      <c r="K49" s="2">
        <f t="shared" si="25"/>
        <v>65.503483678483491</v>
      </c>
      <c r="L49" s="2">
        <f t="shared" si="26"/>
        <v>55.999999999999524</v>
      </c>
      <c r="M49" s="2">
        <f t="shared" si="13"/>
        <v>48.006599999999999</v>
      </c>
      <c r="N49" s="2">
        <f t="shared" si="27"/>
        <v>0.20617740000000001</v>
      </c>
      <c r="O49" s="2">
        <f t="shared" si="14"/>
        <v>147.49080000000001</v>
      </c>
      <c r="P49" s="2">
        <f t="shared" si="28"/>
        <v>6.1681389480000002</v>
      </c>
      <c r="Q49" s="2">
        <f t="shared" si="29"/>
        <v>3.0741312000000001</v>
      </c>
      <c r="R49" s="2">
        <f t="shared" si="30"/>
        <v>1.9384883519999998</v>
      </c>
      <c r="S49" s="2">
        <f t="shared" si="31"/>
        <v>16.101623376623316</v>
      </c>
      <c r="T49" s="2">
        <f t="shared" si="32"/>
        <v>3.6260388899999998</v>
      </c>
      <c r="U49" s="2">
        <f t="shared" si="15"/>
        <v>12.475584486623315</v>
      </c>
      <c r="V49" s="3">
        <f t="shared" si="16"/>
        <v>0.23746931265510446</v>
      </c>
      <c r="W49" s="3">
        <f t="shared" si="17"/>
        <v>0.31796312000048366</v>
      </c>
      <c r="X49" s="3">
        <f t="shared" si="18"/>
        <v>0.40031681141512593</v>
      </c>
      <c r="Y49" s="3">
        <f t="shared" si="19"/>
        <v>0.71827993141560964</v>
      </c>
      <c r="Z49" s="1">
        <v>0.30509999999999998</v>
      </c>
      <c r="AA49" s="1">
        <v>0.2762</v>
      </c>
      <c r="AB49" s="1">
        <v>8.9899999999999994E-2</v>
      </c>
      <c r="AD49" s="2">
        <f t="shared" si="20"/>
        <v>94.950398129864411</v>
      </c>
      <c r="AE49" s="4" t="s">
        <v>984</v>
      </c>
      <c r="AF49" s="4" t="s">
        <v>985</v>
      </c>
      <c r="AG49" s="1">
        <v>2.1015826000000001E-2</v>
      </c>
      <c r="AH49" s="1">
        <v>3.2532933999999999E-2</v>
      </c>
      <c r="AI49" s="4" t="s">
        <v>986</v>
      </c>
      <c r="AJ49" s="4" t="s">
        <v>987</v>
      </c>
      <c r="AK49" s="1">
        <v>3.8610000000000001E-4</v>
      </c>
      <c r="AL49" s="1">
        <v>1.1550822000000001E-2</v>
      </c>
      <c r="AM49" s="1">
        <v>5.7568000000000003E-3</v>
      </c>
      <c r="AN49" s="1">
        <v>3.6301279999999998E-3</v>
      </c>
      <c r="AO49" s="4" t="s">
        <v>988</v>
      </c>
      <c r="AP49" s="1">
        <v>6.7903349999999998E-3</v>
      </c>
    </row>
    <row r="50" spans="1:42">
      <c r="A50" s="1" t="s">
        <v>58</v>
      </c>
      <c r="B50" s="1" t="s">
        <v>608</v>
      </c>
      <c r="C50" s="1" t="s">
        <v>609</v>
      </c>
      <c r="D50" s="1">
        <v>471</v>
      </c>
      <c r="E50" s="1">
        <v>510</v>
      </c>
      <c r="F50" s="2">
        <f t="shared" si="12"/>
        <v>118.92152339386499</v>
      </c>
      <c r="G50" s="2">
        <f t="shared" si="21"/>
        <v>76.723344856769643</v>
      </c>
      <c r="H50" s="2">
        <f t="shared" si="22"/>
        <v>23.381439345100532</v>
      </c>
      <c r="I50" s="2">
        <f t="shared" si="23"/>
        <v>1.8988006835948466</v>
      </c>
      <c r="J50" s="2">
        <f t="shared" si="24"/>
        <v>16.96023615</v>
      </c>
      <c r="K50" s="2">
        <f t="shared" si="25"/>
        <v>62.545619622222453</v>
      </c>
      <c r="L50" s="2">
        <f t="shared" si="26"/>
        <v>58.999999999999531</v>
      </c>
      <c r="M50" s="2">
        <f t="shared" si="13"/>
        <v>30.599999999999998</v>
      </c>
      <c r="N50" s="2">
        <f t="shared" si="27"/>
        <v>1.00142427</v>
      </c>
      <c r="O50" s="2">
        <f t="shared" si="14"/>
        <v>112.70173800000001</v>
      </c>
      <c r="P50" s="2">
        <f t="shared" si="28"/>
        <v>5.0471996999999993</v>
      </c>
      <c r="Q50" s="2">
        <f t="shared" si="29"/>
        <v>3.0094487999999999</v>
      </c>
      <c r="R50" s="2">
        <f t="shared" si="30"/>
        <v>0.49999992000000004</v>
      </c>
      <c r="S50" s="2">
        <f t="shared" si="31"/>
        <v>14.361039</v>
      </c>
      <c r="T50" s="2">
        <f t="shared" si="32"/>
        <v>4.7285205900000005</v>
      </c>
      <c r="U50" s="2">
        <f t="shared" si="15"/>
        <v>9.6325184099999994</v>
      </c>
      <c r="V50" s="3">
        <f t="shared" si="16"/>
        <v>0.25248731081499998</v>
      </c>
      <c r="W50" s="3">
        <f t="shared" si="17"/>
        <v>0.30768750367108277</v>
      </c>
      <c r="X50" s="3">
        <f t="shared" si="18"/>
        <v>0.41830906623727226</v>
      </c>
      <c r="Y50" s="3">
        <f t="shared" si="19"/>
        <v>0.72599656990835504</v>
      </c>
      <c r="Z50" s="1">
        <v>0.29609999999999997</v>
      </c>
      <c r="AA50" s="1">
        <v>0.22098380000000001</v>
      </c>
      <c r="AB50" s="1">
        <v>0.06</v>
      </c>
      <c r="AD50" s="2">
        <f t="shared" si="20"/>
        <v>101.96128724386499</v>
      </c>
      <c r="AE50" s="4" t="s">
        <v>610</v>
      </c>
      <c r="AF50" s="4" t="s">
        <v>611</v>
      </c>
      <c r="AG50" s="1">
        <v>1.8622761000000002E-2</v>
      </c>
      <c r="AH50" s="1">
        <v>3.3255365000000002E-2</v>
      </c>
      <c r="AI50" s="4" t="s">
        <v>612</v>
      </c>
      <c r="AJ50" s="4" t="s">
        <v>613</v>
      </c>
      <c r="AK50" s="1">
        <v>1.9635770000000002E-3</v>
      </c>
      <c r="AL50" s="1">
        <v>9.8964699999999992E-3</v>
      </c>
      <c r="AM50" s="1">
        <v>5.9008799999999998E-3</v>
      </c>
      <c r="AN50" s="1">
        <v>9.8039200000000007E-4</v>
      </c>
      <c r="AO50" s="1">
        <v>2.8158900000000001E-2</v>
      </c>
      <c r="AP50" s="1">
        <v>9.2716090000000001E-3</v>
      </c>
    </row>
    <row r="51" spans="1:42">
      <c r="A51" s="1" t="s">
        <v>58</v>
      </c>
      <c r="B51" s="1" t="s">
        <v>1226</v>
      </c>
      <c r="C51" s="1" t="s">
        <v>124</v>
      </c>
      <c r="D51" s="1">
        <v>431</v>
      </c>
      <c r="E51" s="1">
        <v>476</v>
      </c>
      <c r="F51" s="2">
        <f t="shared" si="12"/>
        <v>115.63871581577119</v>
      </c>
      <c r="G51" s="2">
        <f t="shared" si="21"/>
        <v>73.241388002266646</v>
      </c>
      <c r="H51" s="2">
        <f t="shared" si="22"/>
        <v>23.399346244120327</v>
      </c>
      <c r="I51" s="2">
        <f t="shared" si="23"/>
        <v>0.20096238539886557</v>
      </c>
      <c r="J51" s="2">
        <f t="shared" si="24"/>
        <v>18.171974492</v>
      </c>
      <c r="K51" s="2">
        <f t="shared" si="25"/>
        <v>60.417586694975107</v>
      </c>
      <c r="L51" s="2">
        <f t="shared" si="26"/>
        <v>62.999999999999723</v>
      </c>
      <c r="M51" s="2">
        <f t="shared" si="13"/>
        <v>34.985999999999997</v>
      </c>
      <c r="N51" s="2">
        <f t="shared" si="27"/>
        <v>0.20212292799999998</v>
      </c>
      <c r="O51" s="2">
        <f t="shared" si="14"/>
        <v>90.249600000000001</v>
      </c>
      <c r="P51" s="2">
        <f t="shared" si="28"/>
        <v>4.1583136280000002</v>
      </c>
      <c r="Q51" s="2">
        <f t="shared" si="29"/>
        <v>3.8339700839999997</v>
      </c>
      <c r="R51" s="2">
        <f t="shared" si="30"/>
        <v>0</v>
      </c>
      <c r="S51" s="2">
        <f t="shared" si="31"/>
        <v>6.9388888888888127</v>
      </c>
      <c r="T51" s="2">
        <f t="shared" si="32"/>
        <v>2.0376484239999999</v>
      </c>
      <c r="U51" s="2">
        <f t="shared" si="15"/>
        <v>4.9012404648888133</v>
      </c>
      <c r="V51" s="3">
        <f t="shared" si="16"/>
        <v>0.26830328495538558</v>
      </c>
      <c r="W51" s="3">
        <f t="shared" si="17"/>
        <v>0.32974014344430896</v>
      </c>
      <c r="X51" s="3">
        <f t="shared" si="18"/>
        <v>0.44856349330557749</v>
      </c>
      <c r="Y51" s="3">
        <f t="shared" si="19"/>
        <v>0.77830363674988645</v>
      </c>
      <c r="Z51" s="1">
        <v>0.29859999999999998</v>
      </c>
      <c r="AA51" s="1">
        <v>0.18959999999999999</v>
      </c>
      <c r="AB51" s="1">
        <v>7.3499999999999996E-2</v>
      </c>
      <c r="AD51" s="2">
        <f t="shared" si="20"/>
        <v>97.466741323771188</v>
      </c>
      <c r="AE51" s="4" t="s">
        <v>1227</v>
      </c>
      <c r="AF51" s="4" t="s">
        <v>1228</v>
      </c>
      <c r="AG51" s="1">
        <v>2.0618559999999999E-3</v>
      </c>
      <c r="AH51" s="1">
        <v>3.8176416999999997E-2</v>
      </c>
      <c r="AI51" s="4" t="s">
        <v>1229</v>
      </c>
      <c r="AJ51" s="4" t="s">
        <v>1230</v>
      </c>
      <c r="AK51" s="1">
        <v>4.2462799999999997E-4</v>
      </c>
      <c r="AL51" s="1">
        <v>8.7359529999999994E-3</v>
      </c>
      <c r="AM51" s="1">
        <v>8.0545589999999993E-3</v>
      </c>
      <c r="AN51" s="1">
        <v>0</v>
      </c>
      <c r="AO51" s="4" t="s">
        <v>1231</v>
      </c>
      <c r="AP51" s="1">
        <v>4.2807740000000002E-3</v>
      </c>
    </row>
    <row r="52" spans="1:42">
      <c r="A52" s="1" t="s">
        <v>58</v>
      </c>
      <c r="B52" s="1" t="s">
        <v>1015</v>
      </c>
      <c r="C52" s="1" t="s">
        <v>391</v>
      </c>
      <c r="D52" s="1">
        <v>379</v>
      </c>
      <c r="E52" s="1">
        <v>428</v>
      </c>
      <c r="F52" s="2">
        <f t="shared" si="12"/>
        <v>88.356330961095608</v>
      </c>
      <c r="G52" s="2">
        <f t="shared" si="21"/>
        <v>55.535225210215472</v>
      </c>
      <c r="H52" s="2">
        <f t="shared" si="22"/>
        <v>18.461813802593735</v>
      </c>
      <c r="I52" s="2">
        <f t="shared" si="23"/>
        <v>1.2047728339048027</v>
      </c>
      <c r="J52" s="2">
        <f t="shared" si="24"/>
        <v>13.464429744</v>
      </c>
      <c r="K52" s="2">
        <f t="shared" si="25"/>
        <v>49.3018571783672</v>
      </c>
      <c r="L52" s="2">
        <f t="shared" si="26"/>
        <v>51.999999999999687</v>
      </c>
      <c r="M52" s="2">
        <f t="shared" si="13"/>
        <v>40.488800000000005</v>
      </c>
      <c r="N52" s="2">
        <f t="shared" si="27"/>
        <v>0</v>
      </c>
      <c r="O52" s="2">
        <f t="shared" si="14"/>
        <v>91.164000000000001</v>
      </c>
      <c r="P52" s="2">
        <f t="shared" si="28"/>
        <v>5.5263368877683856</v>
      </c>
      <c r="Q52" s="2">
        <f t="shared" si="29"/>
        <v>2.6979865960000002</v>
      </c>
      <c r="R52" s="2">
        <f t="shared" si="30"/>
        <v>0</v>
      </c>
      <c r="S52" s="2">
        <f t="shared" si="31"/>
        <v>6.9174603174602396</v>
      </c>
      <c r="T52" s="2">
        <f t="shared" si="32"/>
        <v>2.1616867600000003</v>
      </c>
      <c r="U52" s="2">
        <f t="shared" si="15"/>
        <v>4.7557735574602393</v>
      </c>
      <c r="V52" s="3">
        <f t="shared" si="16"/>
        <v>0.23313016084721797</v>
      </c>
      <c r="W52" s="3">
        <f t="shared" si="17"/>
        <v>0.31827492502139121</v>
      </c>
      <c r="X52" s="3">
        <f t="shared" si="18"/>
        <v>0.3955960166045312</v>
      </c>
      <c r="Y52" s="3">
        <f t="shared" si="19"/>
        <v>0.71387094162592235</v>
      </c>
      <c r="Z52" s="4" t="s">
        <v>1016</v>
      </c>
      <c r="AA52" s="1">
        <v>0.21299999999999999</v>
      </c>
      <c r="AB52" s="1">
        <v>9.4600000000000004E-2</v>
      </c>
      <c r="AD52" s="2">
        <f t="shared" si="20"/>
        <v>74.891901217095608</v>
      </c>
      <c r="AE52" s="4" t="s">
        <v>1017</v>
      </c>
      <c r="AF52" s="4" t="s">
        <v>1018</v>
      </c>
      <c r="AG52" s="1">
        <v>1.6086824E-2</v>
      </c>
      <c r="AH52" s="1">
        <v>3.1458948E-2</v>
      </c>
      <c r="AI52" s="4" t="s">
        <v>1019</v>
      </c>
      <c r="AJ52" s="4" t="s">
        <v>1020</v>
      </c>
      <c r="AK52" s="1">
        <v>0</v>
      </c>
      <c r="AL52" s="4" t="s">
        <v>1021</v>
      </c>
      <c r="AM52" s="1">
        <v>6.3037070000000004E-3</v>
      </c>
      <c r="AN52" s="1">
        <v>0</v>
      </c>
      <c r="AO52" s="4" t="s">
        <v>1022</v>
      </c>
      <c r="AP52" s="1">
        <v>5.0506700000000002E-3</v>
      </c>
    </row>
    <row r="53" spans="1:42">
      <c r="A53" s="1" t="s">
        <v>58</v>
      </c>
      <c r="B53" s="1" t="s">
        <v>1211</v>
      </c>
      <c r="C53" s="1" t="s">
        <v>20</v>
      </c>
      <c r="D53" s="1">
        <v>498</v>
      </c>
      <c r="E53" s="1">
        <v>577</v>
      </c>
      <c r="F53" s="2">
        <f t="shared" si="12"/>
        <v>116.46427613260126</v>
      </c>
      <c r="G53" s="2">
        <f t="shared" si="21"/>
        <v>83.192519931877499</v>
      </c>
      <c r="H53" s="2">
        <f t="shared" si="22"/>
        <v>19.559457521525292</v>
      </c>
      <c r="I53" s="2">
        <f t="shared" si="23"/>
        <v>2.7057570465337255</v>
      </c>
      <c r="J53" s="2">
        <f t="shared" si="24"/>
        <v>12.290476203999999</v>
      </c>
      <c r="K53" s="2">
        <f t="shared" si="25"/>
        <v>68.716443731050447</v>
      </c>
      <c r="L53" s="2">
        <f t="shared" si="26"/>
        <v>55.000000048000004</v>
      </c>
      <c r="M53" s="2">
        <f t="shared" si="13"/>
        <v>57.296100000000003</v>
      </c>
      <c r="N53" s="2">
        <f t="shared" si="27"/>
        <v>0</v>
      </c>
      <c r="O53" s="2">
        <f t="shared" si="14"/>
        <v>97.397599999999429</v>
      </c>
      <c r="P53" s="2">
        <f t="shared" si="28"/>
        <v>11.680929143429056</v>
      </c>
      <c r="Q53" s="2">
        <f t="shared" si="29"/>
        <v>4.056437517</v>
      </c>
      <c r="R53" s="2">
        <f t="shared" si="30"/>
        <v>3.9493243909999998</v>
      </c>
      <c r="S53" s="2">
        <f t="shared" si="31"/>
        <v>11.416051364365908</v>
      </c>
      <c r="T53" s="2">
        <f t="shared" si="32"/>
        <v>3.0035036830000004</v>
      </c>
      <c r="U53" s="2">
        <f t="shared" si="15"/>
        <v>8.4125476813659077</v>
      </c>
      <c r="V53" s="3">
        <f t="shared" si="16"/>
        <v>0.2338640082983961</v>
      </c>
      <c r="W53" s="3">
        <f t="shared" si="17"/>
        <v>0.33152849560532183</v>
      </c>
      <c r="X53" s="3">
        <f t="shared" si="18"/>
        <v>0.36062371672797039</v>
      </c>
      <c r="Y53" s="3">
        <f t="shared" si="19"/>
        <v>0.69215221233329216</v>
      </c>
      <c r="Z53" s="4" t="s">
        <v>1212</v>
      </c>
      <c r="AA53" s="4" t="s">
        <v>1213</v>
      </c>
      <c r="AB53" s="1">
        <v>9.9299999999999999E-2</v>
      </c>
      <c r="AD53" s="2">
        <f t="shared" si="20"/>
        <v>104.17379992860126</v>
      </c>
      <c r="AE53" s="4" t="s">
        <v>1214</v>
      </c>
      <c r="AF53" s="4" t="s">
        <v>1215</v>
      </c>
      <c r="AG53" s="1">
        <v>2.5973488999999999E-2</v>
      </c>
      <c r="AH53" s="1">
        <v>2.1300652E-2</v>
      </c>
      <c r="AI53" s="4" t="s">
        <v>1216</v>
      </c>
      <c r="AJ53" s="1">
        <v>9.5320624000000007E-2</v>
      </c>
      <c r="AK53" s="1">
        <v>0</v>
      </c>
      <c r="AL53" s="4" t="s">
        <v>1217</v>
      </c>
      <c r="AM53" s="1">
        <v>7.0302209999999997E-3</v>
      </c>
      <c r="AN53" s="1">
        <v>6.8445829999999996E-3</v>
      </c>
      <c r="AO53" s="4" t="s">
        <v>1218</v>
      </c>
      <c r="AP53" s="1">
        <v>5.2053790000000004E-3</v>
      </c>
    </row>
    <row r="54" spans="1:42">
      <c r="A54" s="1" t="s">
        <v>58</v>
      </c>
      <c r="B54" s="1" t="s">
        <v>946</v>
      </c>
      <c r="C54" s="1" t="s">
        <v>87</v>
      </c>
      <c r="D54" s="1">
        <v>376</v>
      </c>
      <c r="E54" s="1">
        <v>425</v>
      </c>
      <c r="F54" s="2">
        <f t="shared" si="12"/>
        <v>89.608462802856877</v>
      </c>
      <c r="G54" s="2">
        <f t="shared" si="21"/>
        <v>56.882314923326895</v>
      </c>
      <c r="H54" s="2">
        <f t="shared" si="22"/>
        <v>17.221551109494353</v>
      </c>
      <c r="I54" s="2">
        <f t="shared" si="23"/>
        <v>1.017955768012458</v>
      </c>
      <c r="J54" s="2">
        <f t="shared" si="24"/>
        <v>15.060714285714257</v>
      </c>
      <c r="K54" s="2">
        <f t="shared" si="25"/>
        <v>47.320634920634525</v>
      </c>
      <c r="L54" s="2">
        <f t="shared" si="26"/>
        <v>51.999999999999751</v>
      </c>
      <c r="M54" s="2">
        <f t="shared" si="13"/>
        <v>40.204999999999998</v>
      </c>
      <c r="N54" s="2">
        <f t="shared" si="27"/>
        <v>0.97042672500000005</v>
      </c>
      <c r="O54" s="2">
        <f t="shared" si="14"/>
        <v>118.74499999999999</v>
      </c>
      <c r="P54" s="2">
        <f t="shared" si="28"/>
        <v>5.0287538500000002</v>
      </c>
      <c r="Q54" s="2">
        <f t="shared" si="29"/>
        <v>3.0285712500000002</v>
      </c>
      <c r="R54" s="2">
        <f t="shared" si="30"/>
        <v>0</v>
      </c>
      <c r="S54" s="2">
        <f t="shared" si="31"/>
        <v>0.97777795000000001</v>
      </c>
      <c r="T54" s="2">
        <f t="shared" si="32"/>
        <v>0.67222207499999997</v>
      </c>
      <c r="U54" s="2">
        <f t="shared" si="15"/>
        <v>0.30555587500000003</v>
      </c>
      <c r="V54" s="3">
        <f t="shared" si="16"/>
        <v>0.23832037979483212</v>
      </c>
      <c r="W54" s="3">
        <f t="shared" si="17"/>
        <v>0.32320645218120231</v>
      </c>
      <c r="X54" s="3">
        <f t="shared" si="18"/>
        <v>0.41122909997130319</v>
      </c>
      <c r="Y54" s="3">
        <f t="shared" si="19"/>
        <v>0.73443555215250544</v>
      </c>
      <c r="Z54" s="4" t="s">
        <v>947</v>
      </c>
      <c r="AA54" s="1">
        <v>0.27939999999999998</v>
      </c>
      <c r="AB54" s="1">
        <v>9.4600000000000004E-2</v>
      </c>
      <c r="AD54" s="2">
        <f t="shared" si="20"/>
        <v>74.547748517142622</v>
      </c>
      <c r="AE54" s="4" t="s">
        <v>949</v>
      </c>
      <c r="AF54" s="4" t="s">
        <v>950</v>
      </c>
      <c r="AG54" s="1">
        <v>1.3655084E-2</v>
      </c>
      <c r="AH54" s="4" t="s">
        <v>948</v>
      </c>
      <c r="AI54" s="4" t="s">
        <v>951</v>
      </c>
      <c r="AJ54" s="4" t="s">
        <v>952</v>
      </c>
      <c r="AK54" s="1">
        <v>2.2833570000000002E-3</v>
      </c>
      <c r="AL54" s="1">
        <v>1.1832362000000001E-2</v>
      </c>
      <c r="AM54" s="1">
        <v>7.1260500000000001E-3</v>
      </c>
      <c r="AN54" s="1">
        <v>0</v>
      </c>
      <c r="AO54" s="1">
        <v>2.3006540000000001E-3</v>
      </c>
      <c r="AP54" s="1">
        <v>1.581699E-3</v>
      </c>
    </row>
    <row r="55" spans="1:42">
      <c r="A55" s="1" t="s">
        <v>48</v>
      </c>
      <c r="B55" s="1" t="s">
        <v>929</v>
      </c>
      <c r="C55" s="1" t="s">
        <v>20</v>
      </c>
      <c r="D55" s="1">
        <v>414</v>
      </c>
      <c r="E55" s="1">
        <v>462</v>
      </c>
      <c r="F55" s="2">
        <f t="shared" si="12"/>
        <v>100.1100350689976</v>
      </c>
      <c r="G55" s="2">
        <f t="shared" si="21"/>
        <v>67.05596036462255</v>
      </c>
      <c r="H55" s="2">
        <f t="shared" si="22"/>
        <v>21.5871204364602</v>
      </c>
      <c r="I55" s="2">
        <f t="shared" si="23"/>
        <v>1.0056397714855296</v>
      </c>
      <c r="J55" s="2">
        <f t="shared" si="24"/>
        <v>11.31902654867255</v>
      </c>
      <c r="K55" s="2">
        <f t="shared" si="25"/>
        <v>52.480010411244109</v>
      </c>
      <c r="L55" s="2">
        <f t="shared" si="26"/>
        <v>50.999999999999815</v>
      </c>
      <c r="M55" s="2">
        <f t="shared" si="13"/>
        <v>36.4056</v>
      </c>
      <c r="N55" s="2">
        <f t="shared" si="27"/>
        <v>0.204424836</v>
      </c>
      <c r="O55" s="2">
        <f t="shared" si="14"/>
        <v>83.760599999999997</v>
      </c>
      <c r="P55" s="2">
        <f t="shared" si="28"/>
        <v>2.439822924</v>
      </c>
      <c r="Q55" s="2">
        <f t="shared" si="29"/>
        <v>3.253097232</v>
      </c>
      <c r="R55" s="2">
        <f t="shared" si="30"/>
        <v>0</v>
      </c>
      <c r="S55" s="2">
        <f t="shared" si="31"/>
        <v>2.9647057440000002</v>
      </c>
      <c r="T55" s="2">
        <f t="shared" si="32"/>
        <v>1.477905198</v>
      </c>
      <c r="U55" s="2">
        <f t="shared" si="15"/>
        <v>1.4868005460000002</v>
      </c>
      <c r="V55" s="3">
        <f t="shared" si="16"/>
        <v>0.24181167891062222</v>
      </c>
      <c r="W55" s="3">
        <f t="shared" si="17"/>
        <v>0.306612007150799</v>
      </c>
      <c r="X55" s="3">
        <f t="shared" si="18"/>
        <v>0.38290634479876751</v>
      </c>
      <c r="Y55" s="3">
        <f t="shared" si="19"/>
        <v>0.68951835194956645</v>
      </c>
      <c r="Z55" s="1">
        <v>0.27560000000000001</v>
      </c>
      <c r="AA55" s="1">
        <v>0.18129999999999999</v>
      </c>
      <c r="AB55" s="1">
        <v>7.8799999999999995E-2</v>
      </c>
      <c r="AD55" s="2">
        <f t="shared" si="20"/>
        <v>88.79100852032505</v>
      </c>
      <c r="AE55" s="1">
        <v>0.75521115800000005</v>
      </c>
      <c r="AF55" s="4" t="s">
        <v>931</v>
      </c>
      <c r="AG55" s="4" t="s">
        <v>932</v>
      </c>
      <c r="AH55" s="4" t="s">
        <v>930</v>
      </c>
      <c r="AI55" s="4" t="s">
        <v>933</v>
      </c>
      <c r="AJ55" s="4" t="s">
        <v>934</v>
      </c>
      <c r="AK55" s="1">
        <v>4.42478E-4</v>
      </c>
      <c r="AL55" s="1">
        <v>5.2810019999999999E-3</v>
      </c>
      <c r="AM55" s="1">
        <v>7.0413359999999996E-3</v>
      </c>
      <c r="AN55" s="1">
        <v>0</v>
      </c>
      <c r="AO55" s="1">
        <v>6.417112E-3</v>
      </c>
      <c r="AP55" s="1">
        <v>3.1989290000000001E-3</v>
      </c>
    </row>
    <row r="56" spans="1:42">
      <c r="A56" s="1" t="s">
        <v>48</v>
      </c>
      <c r="B56" s="1" t="s">
        <v>47</v>
      </c>
      <c r="C56" s="1" t="s">
        <v>49</v>
      </c>
      <c r="D56" s="1">
        <v>575</v>
      </c>
      <c r="E56" s="1">
        <v>649</v>
      </c>
      <c r="F56" s="2">
        <f t="shared" si="12"/>
        <v>155.18688657930318</v>
      </c>
      <c r="G56" s="2">
        <f t="shared" si="21"/>
        <v>94.218140195810093</v>
      </c>
      <c r="H56" s="2">
        <f t="shared" si="22"/>
        <v>31.712527074746824</v>
      </c>
      <c r="I56" s="2">
        <f t="shared" si="23"/>
        <v>2.7347536235613017</v>
      </c>
      <c r="J56" s="2">
        <f t="shared" si="24"/>
        <v>26.418351707000003</v>
      </c>
      <c r="K56" s="2">
        <f t="shared" si="25"/>
        <v>91.169288153606004</v>
      </c>
      <c r="L56" s="2">
        <f t="shared" si="26"/>
        <v>88.999999999999559</v>
      </c>
      <c r="M56" s="2">
        <f t="shared" si="13"/>
        <v>62.693400000000004</v>
      </c>
      <c r="N56" s="2">
        <f t="shared" si="27"/>
        <v>18.393545900087823</v>
      </c>
      <c r="O56" s="2">
        <f t="shared" si="14"/>
        <v>75.932999999999353</v>
      </c>
      <c r="P56" s="2">
        <f t="shared" si="28"/>
        <v>4.0299304540000005</v>
      </c>
      <c r="Q56" s="2">
        <f t="shared" si="29"/>
        <v>6.044789894</v>
      </c>
      <c r="R56" s="2">
        <f t="shared" si="30"/>
        <v>0</v>
      </c>
      <c r="S56" s="2">
        <f t="shared" si="31"/>
        <v>33.754933915999999</v>
      </c>
      <c r="T56" s="2">
        <f t="shared" si="32"/>
        <v>7.201818008</v>
      </c>
      <c r="U56" s="2">
        <f t="shared" si="15"/>
        <v>26.553115907999999</v>
      </c>
      <c r="V56" s="3">
        <f t="shared" si="16"/>
        <v>0.26989023752922292</v>
      </c>
      <c r="W56" s="3">
        <f t="shared" si="17"/>
        <v>0.36292439999903819</v>
      </c>
      <c r="X56" s="3">
        <f t="shared" si="18"/>
        <v>0.47221019485910898</v>
      </c>
      <c r="Y56" s="3">
        <f t="shared" si="19"/>
        <v>0.83513459485814723</v>
      </c>
      <c r="Z56" s="1">
        <v>0.26900000000000002</v>
      </c>
      <c r="AA56" s="4" t="s">
        <v>50</v>
      </c>
      <c r="AB56" s="1">
        <v>9.6600000000000005E-2</v>
      </c>
      <c r="AD56" s="2">
        <f t="shared" si="20"/>
        <v>128.76853487230318</v>
      </c>
      <c r="AE56" s="4" t="s">
        <v>51</v>
      </c>
      <c r="AF56" s="4" t="s">
        <v>52</v>
      </c>
      <c r="AG56" s="4" t="s">
        <v>53</v>
      </c>
      <c r="AH56" s="1">
        <v>4.0706243000000003E-2</v>
      </c>
      <c r="AI56" s="4" t="s">
        <v>54</v>
      </c>
      <c r="AJ56" s="4" t="s">
        <v>55</v>
      </c>
      <c r="AK56" s="4" t="s">
        <v>56</v>
      </c>
      <c r="AL56" s="1">
        <v>6.2094460000000004E-3</v>
      </c>
      <c r="AM56" s="1">
        <v>9.3140059999999997E-3</v>
      </c>
      <c r="AN56" s="1">
        <v>0</v>
      </c>
      <c r="AO56" s="1">
        <v>5.2010684000000001E-2</v>
      </c>
      <c r="AP56" s="1">
        <v>1.1096791999999999E-2</v>
      </c>
    </row>
    <row r="57" spans="1:42">
      <c r="A57" s="1" t="s">
        <v>48</v>
      </c>
      <c r="B57" s="1" t="s">
        <v>1254</v>
      </c>
      <c r="C57" s="1" t="s">
        <v>124</v>
      </c>
      <c r="D57" s="1">
        <v>484</v>
      </c>
      <c r="E57" s="1">
        <v>549</v>
      </c>
      <c r="F57" s="2">
        <f t="shared" si="12"/>
        <v>113.17682317145299</v>
      </c>
      <c r="G57" s="2">
        <f t="shared" si="21"/>
        <v>64.955743854658309</v>
      </c>
      <c r="H57" s="2">
        <f t="shared" si="22"/>
        <v>23.589757921821725</v>
      </c>
      <c r="I57" s="2">
        <f t="shared" si="23"/>
        <v>1.094778169983911</v>
      </c>
      <c r="J57" s="2">
        <f t="shared" si="24"/>
        <v>24.478966818</v>
      </c>
      <c r="K57" s="2">
        <f t="shared" si="25"/>
        <v>62.991769807033712</v>
      </c>
      <c r="L57" s="2">
        <f t="shared" si="26"/>
        <v>73.999999999999901</v>
      </c>
      <c r="M57" s="2">
        <f t="shared" si="13"/>
        <v>51.935400000000001</v>
      </c>
      <c r="N57" s="2">
        <f t="shared" si="27"/>
        <v>2.1518988299999999</v>
      </c>
      <c r="O57" s="2">
        <f t="shared" si="14"/>
        <v>128.8503</v>
      </c>
      <c r="P57" s="2">
        <f t="shared" si="28"/>
        <v>6.0885999539999993</v>
      </c>
      <c r="Q57" s="2">
        <f t="shared" si="29"/>
        <v>5.0516602830000004</v>
      </c>
      <c r="R57" s="2">
        <f t="shared" si="30"/>
        <v>0</v>
      </c>
      <c r="S57" s="2">
        <f t="shared" si="31"/>
        <v>2.0837020499999999</v>
      </c>
      <c r="T57" s="2">
        <f t="shared" si="32"/>
        <v>0.39878920800000001</v>
      </c>
      <c r="U57" s="2">
        <f t="shared" si="15"/>
        <v>1.6849128419999999</v>
      </c>
      <c r="V57" s="3">
        <f t="shared" si="16"/>
        <v>0.23383641151126652</v>
      </c>
      <c r="W57" s="3">
        <f t="shared" si="17"/>
        <v>0.31916827001059767</v>
      </c>
      <c r="X57" s="3">
        <f t="shared" si="18"/>
        <v>0.44077574686002785</v>
      </c>
      <c r="Y57" s="3">
        <f t="shared" si="19"/>
        <v>0.75994401687062552</v>
      </c>
      <c r="Z57" s="1">
        <v>0.26419999999999999</v>
      </c>
      <c r="AA57" s="1">
        <v>0.23469999999999999</v>
      </c>
      <c r="AB57" s="1">
        <v>9.4600000000000004E-2</v>
      </c>
      <c r="AD57" s="2">
        <f t="shared" si="20"/>
        <v>88.697856353452991</v>
      </c>
      <c r="AE57" s="4" t="s">
        <v>1255</v>
      </c>
      <c r="AF57" s="4" t="s">
        <v>1256</v>
      </c>
      <c r="AG57" s="4" t="s">
        <v>1257</v>
      </c>
      <c r="AH57" s="1">
        <v>4.4588282E-2</v>
      </c>
      <c r="AI57" s="4" t="s">
        <v>1258</v>
      </c>
      <c r="AJ57" s="4" t="s">
        <v>1259</v>
      </c>
      <c r="AK57" s="1">
        <v>3.9196700000000001E-3</v>
      </c>
      <c r="AL57" s="1">
        <v>1.1090345999999999E-2</v>
      </c>
      <c r="AM57" s="1">
        <v>9.2015670000000008E-3</v>
      </c>
      <c r="AN57" s="1">
        <v>0</v>
      </c>
      <c r="AO57" s="1">
        <v>3.7954500000000001E-3</v>
      </c>
      <c r="AP57" s="1">
        <v>7.2639199999999997E-4</v>
      </c>
    </row>
    <row r="58" spans="1:42">
      <c r="A58" s="1" t="s">
        <v>48</v>
      </c>
      <c r="B58" s="1" t="s">
        <v>686</v>
      </c>
      <c r="C58" s="1" t="s">
        <v>20</v>
      </c>
      <c r="D58" s="1">
        <v>576</v>
      </c>
      <c r="E58" s="1">
        <v>645</v>
      </c>
      <c r="F58" s="2">
        <f t="shared" si="12"/>
        <v>152.44752661688946</v>
      </c>
      <c r="G58" s="2">
        <f t="shared" si="21"/>
        <v>120.39207130786228</v>
      </c>
      <c r="H58" s="2">
        <f t="shared" si="22"/>
        <v>24.297214983037147</v>
      </c>
      <c r="I58" s="2">
        <f t="shared" si="23"/>
        <v>2.7563814653295244</v>
      </c>
      <c r="J58" s="2">
        <f t="shared" si="24"/>
        <v>4.5224645849999998</v>
      </c>
      <c r="K58" s="2">
        <f t="shared" si="25"/>
        <v>80.094130411832424</v>
      </c>
      <c r="L58" s="2">
        <f t="shared" si="26"/>
        <v>53.999999850000002</v>
      </c>
      <c r="M58" s="2">
        <f t="shared" si="13"/>
        <v>56.953500000000005</v>
      </c>
      <c r="N58" s="2">
        <f t="shared" si="27"/>
        <v>0.98482147499999995</v>
      </c>
      <c r="O58" s="2">
        <f t="shared" si="14"/>
        <v>59.082000000000001</v>
      </c>
      <c r="P58" s="2">
        <f t="shared" si="28"/>
        <v>4.7164057650000002</v>
      </c>
      <c r="Q58" s="2">
        <f t="shared" si="29"/>
        <v>4.8249611999999997</v>
      </c>
      <c r="R58" s="2">
        <f t="shared" si="30"/>
        <v>2.9930554199999997</v>
      </c>
      <c r="S58" s="2">
        <f t="shared" si="31"/>
        <v>18.171428264999999</v>
      </c>
      <c r="T58" s="2">
        <f t="shared" si="32"/>
        <v>4.7278422600000001</v>
      </c>
      <c r="U58" s="2">
        <f t="shared" si="15"/>
        <v>13.443586005</v>
      </c>
      <c r="V58" s="3">
        <f t="shared" si="16"/>
        <v>0.26466584482098865</v>
      </c>
      <c r="W58" s="3">
        <f t="shared" si="17"/>
        <v>0.3367479936481142</v>
      </c>
      <c r="X58" s="3">
        <f t="shared" si="18"/>
        <v>0.33914150001723115</v>
      </c>
      <c r="Y58" s="3">
        <f t="shared" si="19"/>
        <v>0.67588949366534534</v>
      </c>
      <c r="Z58" s="4" t="s">
        <v>687</v>
      </c>
      <c r="AA58" s="1">
        <v>9.1600000000000001E-2</v>
      </c>
      <c r="AB58" s="1">
        <v>8.8300000000000003E-2</v>
      </c>
      <c r="AD58" s="2">
        <f t="shared" si="20"/>
        <v>147.92506203188947</v>
      </c>
      <c r="AE58" s="4" t="s">
        <v>688</v>
      </c>
      <c r="AF58" s="4" t="s">
        <v>689</v>
      </c>
      <c r="AG58" s="1">
        <v>1.8633634E-2</v>
      </c>
      <c r="AH58" s="1">
        <v>7.0115730000000001E-3</v>
      </c>
      <c r="AI58" s="4" t="s">
        <v>690</v>
      </c>
      <c r="AJ58" s="1">
        <v>8.3720929999999999E-2</v>
      </c>
      <c r="AK58" s="1">
        <v>1.5268549999999999E-3</v>
      </c>
      <c r="AL58" s="1">
        <v>7.312257E-3</v>
      </c>
      <c r="AM58" s="1">
        <v>7.4805599999999998E-3</v>
      </c>
      <c r="AN58" s="1">
        <v>4.6403959999999998E-3</v>
      </c>
      <c r="AO58" s="1">
        <v>2.8172757E-2</v>
      </c>
      <c r="AP58" s="1">
        <v>7.329988E-3</v>
      </c>
    </row>
    <row r="59" spans="1:42">
      <c r="A59" s="1" t="s">
        <v>376</v>
      </c>
      <c r="B59" s="1" t="s">
        <v>735</v>
      </c>
      <c r="C59" s="1" t="s">
        <v>20</v>
      </c>
      <c r="D59" s="1">
        <v>518</v>
      </c>
      <c r="E59" s="1">
        <v>563</v>
      </c>
      <c r="F59" s="2">
        <f t="shared" si="12"/>
        <v>132.99915657005641</v>
      </c>
      <c r="G59" s="2">
        <f t="shared" si="21"/>
        <v>83.064621470123797</v>
      </c>
      <c r="H59" s="2">
        <f t="shared" si="22"/>
        <v>25.685985805121117</v>
      </c>
      <c r="I59" s="2">
        <f t="shared" si="23"/>
        <v>2.8696243591398769</v>
      </c>
      <c r="J59" s="2">
        <f t="shared" si="24"/>
        <v>20.026618705035908</v>
      </c>
      <c r="K59" s="2">
        <f t="shared" si="25"/>
        <v>68.630868750377516</v>
      </c>
      <c r="L59" s="2">
        <f t="shared" si="26"/>
        <v>63.999999999999481</v>
      </c>
      <c r="M59" s="2">
        <f t="shared" si="13"/>
        <v>36.257199999999997</v>
      </c>
      <c r="N59" s="2">
        <f t="shared" si="27"/>
        <v>0</v>
      </c>
      <c r="O59" s="2">
        <f t="shared" si="14"/>
        <v>149.19500000000002</v>
      </c>
      <c r="P59" s="2">
        <f t="shared" si="28"/>
        <v>2.9375476470000002</v>
      </c>
      <c r="Q59" s="2">
        <f t="shared" si="29"/>
        <v>4.0402878649999998</v>
      </c>
      <c r="R59" s="2">
        <f t="shared" si="30"/>
        <v>2.5744272850000001</v>
      </c>
      <c r="S59" s="2">
        <f t="shared" si="31"/>
        <v>20.832100665000002</v>
      </c>
      <c r="T59" s="2">
        <f t="shared" si="32"/>
        <v>4.2740319530000006</v>
      </c>
      <c r="U59" s="2">
        <f t="shared" si="15"/>
        <v>16.558068712000001</v>
      </c>
      <c r="V59" s="3">
        <f t="shared" si="16"/>
        <v>0.25675512851362242</v>
      </c>
      <c r="W59" s="3">
        <f t="shared" si="17"/>
        <v>0.30842679388644151</v>
      </c>
      <c r="X59" s="3">
        <f t="shared" si="18"/>
        <v>0.43079525285314535</v>
      </c>
      <c r="Y59" s="3">
        <f t="shared" si="19"/>
        <v>0.73922204673958691</v>
      </c>
      <c r="Z59" s="4" t="s">
        <v>736</v>
      </c>
      <c r="AA59" s="1">
        <v>0.26500000000000001</v>
      </c>
      <c r="AB59" s="1">
        <v>6.4399999999999999E-2</v>
      </c>
      <c r="AD59" s="2">
        <f t="shared" si="20"/>
        <v>112.9725378650205</v>
      </c>
      <c r="AE59" s="4" t="s">
        <v>738</v>
      </c>
      <c r="AF59" s="4" t="s">
        <v>739</v>
      </c>
      <c r="AG59" s="1">
        <v>2.5401079E-2</v>
      </c>
      <c r="AH59" s="4" t="s">
        <v>737</v>
      </c>
      <c r="AI59" s="4" t="s">
        <v>740</v>
      </c>
      <c r="AJ59" s="4" t="s">
        <v>741</v>
      </c>
      <c r="AK59" s="1">
        <v>0</v>
      </c>
      <c r="AL59" s="1">
        <v>5.2176690000000003E-3</v>
      </c>
      <c r="AM59" s="1">
        <v>7.1763549999999997E-3</v>
      </c>
      <c r="AN59" s="1">
        <v>4.5726949999999999E-3</v>
      </c>
      <c r="AO59" s="1">
        <v>3.7001955000000003E-2</v>
      </c>
      <c r="AP59" s="1">
        <v>7.5915310000000003E-3</v>
      </c>
    </row>
    <row r="60" spans="1:42">
      <c r="A60" s="1" t="s">
        <v>376</v>
      </c>
      <c r="B60" s="1" t="s">
        <v>910</v>
      </c>
      <c r="C60" s="1" t="s">
        <v>34</v>
      </c>
      <c r="D60" s="1">
        <v>584</v>
      </c>
      <c r="E60" s="1">
        <v>628</v>
      </c>
      <c r="F60" s="2">
        <f t="shared" si="12"/>
        <v>155.9487723931808</v>
      </c>
      <c r="G60" s="2">
        <f t="shared" si="21"/>
        <v>98.821642620195036</v>
      </c>
      <c r="H60" s="2">
        <f t="shared" si="22"/>
        <v>33.96782565234453</v>
      </c>
      <c r="I60" s="2">
        <f t="shared" si="23"/>
        <v>3.8651690714862124</v>
      </c>
      <c r="J60" s="2">
        <f t="shared" si="24"/>
        <v>20.990719764000001</v>
      </c>
      <c r="K60" s="2">
        <f t="shared" si="25"/>
        <v>77.822499293394472</v>
      </c>
      <c r="L60" s="2">
        <f t="shared" si="26"/>
        <v>70.999999999999787</v>
      </c>
      <c r="M60" s="2">
        <f t="shared" si="13"/>
        <v>30.771999999999935</v>
      </c>
      <c r="N60" s="2">
        <f t="shared" si="27"/>
        <v>0</v>
      </c>
      <c r="O60" s="2">
        <f t="shared" si="14"/>
        <v>151.03399999999999</v>
      </c>
      <c r="P60" s="2">
        <f t="shared" si="28"/>
        <v>3.9503686880000002</v>
      </c>
      <c r="Q60" s="2">
        <f t="shared" si="29"/>
        <v>4.8191997799999999</v>
      </c>
      <c r="R60" s="2">
        <f t="shared" si="30"/>
        <v>5.8237410440000001</v>
      </c>
      <c r="S60" s="2">
        <f t="shared" si="31"/>
        <v>8.8728110400000002</v>
      </c>
      <c r="T60" s="2">
        <f t="shared" si="32"/>
        <v>3.433659708</v>
      </c>
      <c r="U60" s="2">
        <f t="shared" si="15"/>
        <v>5.4391513319999998</v>
      </c>
      <c r="V60" s="3">
        <f t="shared" si="16"/>
        <v>0.26703556916640547</v>
      </c>
      <c r="W60" s="3">
        <f t="shared" si="17"/>
        <v>0.30773700651152391</v>
      </c>
      <c r="X60" s="3">
        <f t="shared" si="18"/>
        <v>0.44917068526599785</v>
      </c>
      <c r="Y60" s="3">
        <f t="shared" si="19"/>
        <v>0.75690769177752171</v>
      </c>
      <c r="Z60" s="1">
        <v>0.32379999999999998</v>
      </c>
      <c r="AA60" s="1">
        <v>0.24049999999999999</v>
      </c>
      <c r="AB60" s="4" t="s">
        <v>911</v>
      </c>
      <c r="AD60" s="2">
        <f t="shared" si="20"/>
        <v>134.9580526291808</v>
      </c>
      <c r="AE60" s="1">
        <v>0.73223969</v>
      </c>
      <c r="AF60" s="4" t="s">
        <v>912</v>
      </c>
      <c r="AG60" s="1">
        <v>2.8639781E-2</v>
      </c>
      <c r="AH60" s="1">
        <v>3.3424713000000002E-2</v>
      </c>
      <c r="AI60" s="4" t="s">
        <v>913</v>
      </c>
      <c r="AJ60" s="4" t="s">
        <v>180</v>
      </c>
      <c r="AK60" s="1">
        <v>0</v>
      </c>
      <c r="AL60" s="1">
        <v>6.2903960000000002E-3</v>
      </c>
      <c r="AM60" s="1">
        <v>7.6738850000000001E-3</v>
      </c>
      <c r="AN60" s="1">
        <v>9.2734730000000008E-3</v>
      </c>
      <c r="AO60" s="1">
        <v>1.4128679999999999E-2</v>
      </c>
      <c r="AP60" s="1">
        <v>5.4676109999999998E-3</v>
      </c>
    </row>
    <row r="61" spans="1:42">
      <c r="A61" s="1" t="s">
        <v>376</v>
      </c>
      <c r="B61" s="1" t="s">
        <v>375</v>
      </c>
      <c r="C61" s="1" t="s">
        <v>87</v>
      </c>
      <c r="D61" s="1">
        <v>514</v>
      </c>
      <c r="E61" s="1">
        <v>558</v>
      </c>
      <c r="F61" s="2">
        <f t="shared" si="12"/>
        <v>131.98098342042556</v>
      </c>
      <c r="G61" s="2">
        <f t="shared" si="21"/>
        <v>72.727607071519756</v>
      </c>
      <c r="H61" s="2">
        <f t="shared" si="22"/>
        <v>29.67646192977568</v>
      </c>
      <c r="I61" s="2">
        <f t="shared" si="23"/>
        <v>3.0197848305226955</v>
      </c>
      <c r="J61" s="2">
        <f t="shared" si="24"/>
        <v>28.320144983999999</v>
      </c>
      <c r="K61" s="2">
        <f t="shared" si="25"/>
        <v>70.688696678112109</v>
      </c>
      <c r="L61" s="2">
        <f t="shared" si="26"/>
        <v>85.999999999999915</v>
      </c>
      <c r="M61" s="2">
        <f t="shared" si="13"/>
        <v>33.870599999999996</v>
      </c>
      <c r="N61" s="2">
        <f t="shared" si="27"/>
        <v>0</v>
      </c>
      <c r="O61" s="2">
        <f t="shared" si="14"/>
        <v>142.79220000000001</v>
      </c>
      <c r="P61" s="2">
        <f t="shared" si="28"/>
        <v>6.0691986</v>
      </c>
      <c r="Q61" s="2">
        <f t="shared" si="29"/>
        <v>4.8508167599999998</v>
      </c>
      <c r="R61" s="2">
        <f t="shared" si="30"/>
        <v>0</v>
      </c>
      <c r="S61" s="2">
        <f t="shared" si="31"/>
        <v>1.9656944999999999</v>
      </c>
      <c r="T61" s="2">
        <f t="shared" si="32"/>
        <v>1.0354889700000001</v>
      </c>
      <c r="U61" s="2">
        <f t="shared" si="15"/>
        <v>0.93020552999999984</v>
      </c>
      <c r="V61" s="3">
        <f t="shared" si="16"/>
        <v>0.25677234128487464</v>
      </c>
      <c r="W61" s="3">
        <f t="shared" si="17"/>
        <v>0.31104418393665423</v>
      </c>
      <c r="X61" s="3">
        <f t="shared" si="18"/>
        <v>0.49498145011408407</v>
      </c>
      <c r="Y61" s="3">
        <f t="shared" si="19"/>
        <v>0.80602563405073835</v>
      </c>
      <c r="Z61" s="1">
        <v>0.29809999999999998</v>
      </c>
      <c r="AA61" s="1">
        <v>0.25590000000000002</v>
      </c>
      <c r="AB61" s="1">
        <v>6.0699999999999997E-2</v>
      </c>
      <c r="AD61" s="2">
        <f t="shared" si="20"/>
        <v>103.66083843642556</v>
      </c>
      <c r="AE61" s="4" t="s">
        <v>377</v>
      </c>
      <c r="AF61" s="4" t="s">
        <v>378</v>
      </c>
      <c r="AG61" s="1">
        <v>2.9131395000000001E-2</v>
      </c>
      <c r="AH61" s="1">
        <v>5.0752947999999999E-2</v>
      </c>
      <c r="AI61" s="4" t="s">
        <v>379</v>
      </c>
      <c r="AJ61" s="4" t="s">
        <v>380</v>
      </c>
      <c r="AK61" s="1">
        <v>0</v>
      </c>
      <c r="AL61" s="1">
        <v>1.08767E-2</v>
      </c>
      <c r="AM61" s="1">
        <v>8.6932199999999998E-3</v>
      </c>
      <c r="AN61" s="1">
        <v>0</v>
      </c>
      <c r="AO61" s="1">
        <v>3.5227499999999998E-3</v>
      </c>
      <c r="AP61" s="1">
        <v>1.855715E-3</v>
      </c>
    </row>
    <row r="62" spans="1:42">
      <c r="A62" s="1" t="s">
        <v>376</v>
      </c>
      <c r="B62" s="1" t="s">
        <v>1126</v>
      </c>
      <c r="C62" s="1" t="s">
        <v>896</v>
      </c>
      <c r="D62" s="1">
        <v>466</v>
      </c>
      <c r="E62" s="1">
        <v>524</v>
      </c>
      <c r="F62" s="2">
        <f t="shared" si="12"/>
        <v>118.81455105341216</v>
      </c>
      <c r="G62" s="2">
        <f t="shared" si="21"/>
        <v>80.03474725998538</v>
      </c>
      <c r="H62" s="2">
        <f t="shared" si="22"/>
        <v>22.905532893507868</v>
      </c>
      <c r="I62" s="2">
        <f t="shared" si="23"/>
        <v>3.9941358499584378</v>
      </c>
      <c r="J62" s="2">
        <f t="shared" si="24"/>
        <v>11.176153912</v>
      </c>
      <c r="K62" s="2">
        <f t="shared" si="25"/>
        <v>66.130036630036145</v>
      </c>
      <c r="L62" s="2">
        <f t="shared" si="26"/>
        <v>50.999999855999995</v>
      </c>
      <c r="M62" s="2">
        <f t="shared" si="13"/>
        <v>40.662399999999998</v>
      </c>
      <c r="N62" s="2">
        <f t="shared" si="27"/>
        <v>1.0075330520000001</v>
      </c>
      <c r="O62" s="2">
        <f t="shared" si="14"/>
        <v>117.48079999999948</v>
      </c>
      <c r="P62" s="2">
        <f t="shared" si="28"/>
        <v>11.664047239067919</v>
      </c>
      <c r="Q62" s="2">
        <f t="shared" si="29"/>
        <v>3.8246152160000002</v>
      </c>
      <c r="R62" s="2">
        <f t="shared" si="30"/>
        <v>1.0435685320000001</v>
      </c>
      <c r="S62" s="2">
        <f t="shared" si="31"/>
        <v>15.046153816</v>
      </c>
      <c r="T62" s="2">
        <f t="shared" si="32"/>
        <v>4.7202758399999993</v>
      </c>
      <c r="U62" s="2">
        <f t="shared" si="15"/>
        <v>10.325877976000001</v>
      </c>
      <c r="V62" s="3">
        <f t="shared" si="16"/>
        <v>0.25496684775410333</v>
      </c>
      <c r="W62" s="3">
        <f t="shared" si="17"/>
        <v>0.33655985567666707</v>
      </c>
      <c r="X62" s="3">
        <f t="shared" si="18"/>
        <v>0.39170136533235284</v>
      </c>
      <c r="Y62" s="3">
        <f t="shared" si="19"/>
        <v>0.72826122100901991</v>
      </c>
      <c r="Z62" s="1">
        <v>0.3155</v>
      </c>
      <c r="AA62" s="4" t="s">
        <v>1127</v>
      </c>
      <c r="AB62" s="1">
        <v>7.7600000000000002E-2</v>
      </c>
      <c r="AD62" s="2">
        <f t="shared" si="20"/>
        <v>107.63839714141216</v>
      </c>
      <c r="AE62" s="4" t="s">
        <v>1128</v>
      </c>
      <c r="AF62" s="4" t="s">
        <v>1129</v>
      </c>
      <c r="AG62" s="1">
        <v>3.7106979999999998E-2</v>
      </c>
      <c r="AH62" s="1">
        <v>2.1328538000000001E-2</v>
      </c>
      <c r="AI62" s="4" t="s">
        <v>1130</v>
      </c>
      <c r="AJ62" s="1">
        <v>9.7328243999999994E-2</v>
      </c>
      <c r="AK62" s="1">
        <v>1.922773E-3</v>
      </c>
      <c r="AL62" s="4" t="s">
        <v>1131</v>
      </c>
      <c r="AM62" s="1">
        <v>7.2988840000000003E-3</v>
      </c>
      <c r="AN62" s="1">
        <v>1.9915430000000001E-3</v>
      </c>
      <c r="AO62" s="1">
        <v>2.8714033999999999E-2</v>
      </c>
      <c r="AP62" s="1">
        <v>9.0081599999999994E-3</v>
      </c>
    </row>
    <row r="63" spans="1:42">
      <c r="A63" s="1" t="s">
        <v>630</v>
      </c>
      <c r="B63" s="1" t="s">
        <v>653</v>
      </c>
      <c r="C63" s="1" t="s">
        <v>654</v>
      </c>
      <c r="D63" s="1">
        <v>491</v>
      </c>
      <c r="E63" s="1">
        <v>550</v>
      </c>
      <c r="F63" s="2">
        <f t="shared" si="12"/>
        <v>107.41083203355738</v>
      </c>
      <c r="G63" s="2">
        <f t="shared" si="21"/>
        <v>62.712208715942467</v>
      </c>
      <c r="H63" s="2">
        <f t="shared" si="22"/>
        <v>20.100816986095349</v>
      </c>
      <c r="I63" s="2">
        <f t="shared" si="23"/>
        <v>2.0884204671863786</v>
      </c>
      <c r="J63" s="2">
        <f t="shared" si="24"/>
        <v>22.429390018484238</v>
      </c>
      <c r="K63" s="2">
        <f t="shared" si="25"/>
        <v>62.679701672183199</v>
      </c>
      <c r="L63" s="2">
        <f t="shared" si="26"/>
        <v>69.999999999999858</v>
      </c>
      <c r="M63" s="2">
        <f t="shared" si="13"/>
        <v>45.594999999999999</v>
      </c>
      <c r="N63" s="2">
        <f t="shared" si="27"/>
        <v>1.1765577999999999</v>
      </c>
      <c r="O63" s="2">
        <f t="shared" si="14"/>
        <v>163.625</v>
      </c>
      <c r="P63" s="2">
        <f t="shared" si="28"/>
        <v>9.1291125787861453</v>
      </c>
      <c r="Q63" s="2">
        <f t="shared" si="29"/>
        <v>3.8532345500000003</v>
      </c>
      <c r="R63" s="2">
        <f t="shared" si="30"/>
        <v>0</v>
      </c>
      <c r="S63" s="2">
        <f t="shared" si="31"/>
        <v>2.2963457000000003</v>
      </c>
      <c r="T63" s="2">
        <f t="shared" si="32"/>
        <v>0.98161359999999998</v>
      </c>
      <c r="U63" s="2">
        <f t="shared" si="15"/>
        <v>1.3147321000000003</v>
      </c>
      <c r="V63" s="3">
        <f t="shared" si="16"/>
        <v>0.21875933204390505</v>
      </c>
      <c r="W63" s="3">
        <f t="shared" si="17"/>
        <v>0.30152146784819078</v>
      </c>
      <c r="X63" s="3">
        <f t="shared" si="18"/>
        <v>0.40508485573040581</v>
      </c>
      <c r="Y63" s="3">
        <f t="shared" si="19"/>
        <v>0.70660632357859665</v>
      </c>
      <c r="Z63" s="1">
        <v>0.2752</v>
      </c>
      <c r="AA63" s="1">
        <v>0.29749999999999999</v>
      </c>
      <c r="AB63" s="1">
        <v>8.2900000000000001E-2</v>
      </c>
      <c r="AD63" s="2">
        <f t="shared" si="20"/>
        <v>84.981442015073142</v>
      </c>
      <c r="AE63" s="4" t="s">
        <v>656</v>
      </c>
      <c r="AF63" s="4" t="s">
        <v>657</v>
      </c>
      <c r="AG63" s="1">
        <v>2.4575018000000001E-2</v>
      </c>
      <c r="AH63" s="4" t="s">
        <v>655</v>
      </c>
      <c r="AI63" s="4" t="s">
        <v>658</v>
      </c>
      <c r="AJ63" s="4" t="s">
        <v>659</v>
      </c>
      <c r="AK63" s="1">
        <v>2.1391959999999999E-3</v>
      </c>
      <c r="AL63" s="4" t="s">
        <v>660</v>
      </c>
      <c r="AM63" s="1">
        <v>7.0058810000000003E-3</v>
      </c>
      <c r="AN63" s="1">
        <v>0</v>
      </c>
      <c r="AO63" s="1">
        <v>4.1751740000000002E-3</v>
      </c>
      <c r="AP63" s="1">
        <v>1.7847519999999999E-3</v>
      </c>
    </row>
    <row r="64" spans="1:42">
      <c r="A64" s="1" t="s">
        <v>630</v>
      </c>
      <c r="B64" s="1" t="s">
        <v>1008</v>
      </c>
      <c r="C64" s="1" t="s">
        <v>87</v>
      </c>
      <c r="D64" s="1">
        <v>409</v>
      </c>
      <c r="E64" s="1">
        <v>467</v>
      </c>
      <c r="F64" s="2">
        <f t="shared" si="12"/>
        <v>100.47645131216628</v>
      </c>
      <c r="G64" s="2">
        <f t="shared" si="21"/>
        <v>67.688327576088852</v>
      </c>
      <c r="H64" s="2">
        <f t="shared" si="22"/>
        <v>18.077001427670329</v>
      </c>
      <c r="I64" s="2">
        <f t="shared" si="23"/>
        <v>1.0473183056933446</v>
      </c>
      <c r="J64" s="2">
        <f t="shared" si="24"/>
        <v>12.099999887999999</v>
      </c>
      <c r="K64" s="2">
        <f t="shared" si="25"/>
        <v>56.284267241379133</v>
      </c>
      <c r="L64" s="2">
        <f t="shared" si="26"/>
        <v>48.99999999999973</v>
      </c>
      <c r="M64" s="2">
        <f t="shared" si="13"/>
        <v>48.661399999999531</v>
      </c>
      <c r="N64" s="2">
        <f t="shared" si="27"/>
        <v>0</v>
      </c>
      <c r="O64" s="2">
        <f t="shared" si="14"/>
        <v>117.63730000000001</v>
      </c>
      <c r="P64" s="2">
        <f t="shared" si="28"/>
        <v>4.5691700300000004</v>
      </c>
      <c r="Q64" s="2">
        <f t="shared" si="29"/>
        <v>3.0000000610000002</v>
      </c>
      <c r="R64" s="2">
        <f t="shared" si="30"/>
        <v>0.96146240199999988</v>
      </c>
      <c r="S64" s="2">
        <f t="shared" si="31"/>
        <v>6.615517241379278</v>
      </c>
      <c r="T64" s="2">
        <f t="shared" si="32"/>
        <v>2.0898801059999998</v>
      </c>
      <c r="U64" s="2">
        <f t="shared" si="15"/>
        <v>4.5256371353792781</v>
      </c>
      <c r="V64" s="3">
        <f t="shared" si="16"/>
        <v>0.24566369513977085</v>
      </c>
      <c r="W64" s="3">
        <f t="shared" si="17"/>
        <v>0.33366594492573587</v>
      </c>
      <c r="X64" s="3">
        <f t="shared" si="18"/>
        <v>0.37991267701836068</v>
      </c>
      <c r="Y64" s="3">
        <f t="shared" si="19"/>
        <v>0.71357862194409649</v>
      </c>
      <c r="Z64" s="4" t="s">
        <v>1009</v>
      </c>
      <c r="AA64" s="1">
        <v>0.25190000000000001</v>
      </c>
      <c r="AB64" s="4" t="s">
        <v>1010</v>
      </c>
      <c r="AD64" s="2">
        <f t="shared" si="20"/>
        <v>88.376451424166277</v>
      </c>
      <c r="AE64" s="1">
        <v>0.76590909100000004</v>
      </c>
      <c r="AF64" s="4" t="s">
        <v>1011</v>
      </c>
      <c r="AG64" s="1">
        <v>1.1850649E-2</v>
      </c>
      <c r="AH64" s="1">
        <v>2.5910064E-2</v>
      </c>
      <c r="AI64" s="4" t="s">
        <v>1012</v>
      </c>
      <c r="AJ64" s="4" t="s">
        <v>1013</v>
      </c>
      <c r="AK64" s="1">
        <v>0</v>
      </c>
      <c r="AL64" s="1">
        <v>9.7840900000000005E-3</v>
      </c>
      <c r="AM64" s="1">
        <v>6.4239830000000003E-3</v>
      </c>
      <c r="AN64" s="1">
        <v>2.0588059999999998E-3</v>
      </c>
      <c r="AO64" s="4" t="s">
        <v>1014</v>
      </c>
      <c r="AP64" s="1">
        <v>4.4751180000000002E-3</v>
      </c>
    </row>
    <row r="65" spans="1:42">
      <c r="A65" s="1" t="s">
        <v>630</v>
      </c>
      <c r="B65" s="1" t="s">
        <v>1219</v>
      </c>
      <c r="C65" s="1" t="s">
        <v>631</v>
      </c>
      <c r="D65" s="1">
        <v>509</v>
      </c>
      <c r="E65" s="1">
        <v>580</v>
      </c>
      <c r="F65" s="2">
        <f t="shared" si="12"/>
        <v>123.58738797952</v>
      </c>
      <c r="G65" s="2">
        <f t="shared" si="21"/>
        <v>72.645671684049404</v>
      </c>
      <c r="H65" s="2">
        <f t="shared" si="22"/>
        <v>28.185263098455181</v>
      </c>
      <c r="I65" s="2">
        <f t="shared" si="23"/>
        <v>1.5783909661573952</v>
      </c>
      <c r="J65" s="2">
        <f t="shared" si="24"/>
        <v>21.837499959999999</v>
      </c>
      <c r="K65" s="2">
        <f t="shared" si="25"/>
        <v>71.807129014396068</v>
      </c>
      <c r="L65" s="2">
        <f t="shared" si="26"/>
        <v>65.999999999999503</v>
      </c>
      <c r="M65" s="2">
        <f t="shared" si="13"/>
        <v>56.491999999999997</v>
      </c>
      <c r="N65" s="2">
        <f t="shared" si="27"/>
        <v>0.20138876</v>
      </c>
      <c r="O65" s="2">
        <f t="shared" si="14"/>
        <v>108.51799999999999</v>
      </c>
      <c r="P65" s="2">
        <f t="shared" si="28"/>
        <v>6.0565786599999996</v>
      </c>
      <c r="Q65" s="2">
        <f t="shared" si="29"/>
        <v>5.0277775599999996</v>
      </c>
      <c r="R65" s="2">
        <f t="shared" si="30"/>
        <v>0</v>
      </c>
      <c r="S65" s="2">
        <f t="shared" si="31"/>
        <v>7.7647840531560988</v>
      </c>
      <c r="T65" s="2">
        <f t="shared" si="32"/>
        <v>2.0751118200000001</v>
      </c>
      <c r="U65" s="2">
        <f t="shared" si="15"/>
        <v>5.6896722331560987</v>
      </c>
      <c r="V65" s="3">
        <f t="shared" si="16"/>
        <v>0.24280429858451866</v>
      </c>
      <c r="W65" s="3">
        <f t="shared" si="17"/>
        <v>0.3264945588070966</v>
      </c>
      <c r="X65" s="3">
        <f t="shared" si="18"/>
        <v>0.43438383225821608</v>
      </c>
      <c r="Y65" s="3">
        <f t="shared" si="19"/>
        <v>0.76087839106531274</v>
      </c>
      <c r="Z65" s="1">
        <v>0.26519999999999999</v>
      </c>
      <c r="AA65" s="4" t="s">
        <v>1220</v>
      </c>
      <c r="AB65" s="1">
        <v>9.74E-2</v>
      </c>
      <c r="AD65" s="2">
        <f t="shared" si="20"/>
        <v>101.74988801952</v>
      </c>
      <c r="AE65" s="4" t="s">
        <v>1221</v>
      </c>
      <c r="AF65" s="4" t="s">
        <v>1222</v>
      </c>
      <c r="AG65" s="1">
        <v>1.5512458999999999E-2</v>
      </c>
      <c r="AH65" s="1">
        <v>3.7650862E-2</v>
      </c>
      <c r="AI65" s="4" t="s">
        <v>1223</v>
      </c>
      <c r="AJ65" s="4" t="s">
        <v>1224</v>
      </c>
      <c r="AK65" s="1">
        <v>3.47222E-4</v>
      </c>
      <c r="AL65" s="1">
        <v>1.0442376999999999E-2</v>
      </c>
      <c r="AM65" s="1">
        <v>8.6685819999999993E-3</v>
      </c>
      <c r="AN65" s="1">
        <v>0</v>
      </c>
      <c r="AO65" s="4" t="s">
        <v>1225</v>
      </c>
      <c r="AP65" s="1">
        <v>3.5777790000000001E-3</v>
      </c>
    </row>
    <row r="66" spans="1:42">
      <c r="A66" s="1" t="s">
        <v>630</v>
      </c>
      <c r="B66" s="1" t="s">
        <v>629</v>
      </c>
      <c r="C66" s="1" t="s">
        <v>631</v>
      </c>
      <c r="D66" s="1">
        <v>460</v>
      </c>
      <c r="E66" s="1">
        <v>541</v>
      </c>
      <c r="F66" s="2">
        <f t="shared" si="12"/>
        <v>103.52651419403975</v>
      </c>
      <c r="G66" s="2">
        <f t="shared" ref="G66:G97" si="33">$AD66*AE66</f>
        <v>54.518458038957192</v>
      </c>
      <c r="H66" s="2">
        <f t="shared" ref="H66:H97" si="34">$AD66*AF66</f>
        <v>17.441230551059178</v>
      </c>
      <c r="I66" s="2">
        <f t="shared" ref="I66:I97" si="35">$AD66*AG66</f>
        <v>0.51532970039936798</v>
      </c>
      <c r="J66" s="2">
        <f t="shared" ref="J66:J97" si="36">$E66*AH66</f>
        <v>30.208474314999997</v>
      </c>
      <c r="K66" s="2">
        <f t="shared" ref="K66:K97" si="37">$E66*AI66</f>
        <v>70.185036896113999</v>
      </c>
      <c r="L66" s="2">
        <f t="shared" ref="L66:L97" si="38">$E66*AJ66</f>
        <v>72.999999999999545</v>
      </c>
      <c r="M66" s="2">
        <f t="shared" si="13"/>
        <v>77.308899999999994</v>
      </c>
      <c r="N66" s="2">
        <f t="shared" ref="N66:N97" si="39">$E66*AK66</f>
        <v>4.7907367760000001</v>
      </c>
      <c r="O66" s="2">
        <f t="shared" si="14"/>
        <v>171.6593</v>
      </c>
      <c r="P66" s="2">
        <f t="shared" ref="P66:P97" si="40">$E66*AL66</f>
        <v>5.7087966101694354</v>
      </c>
      <c r="Q66" s="2">
        <f t="shared" ref="Q66:Q97" si="41">$E66*AM66</f>
        <v>2.2301318399999999</v>
      </c>
      <c r="R66" s="2">
        <f t="shared" ref="R66:R97" si="42">$E66*AN66</f>
        <v>0.49999977400000001</v>
      </c>
      <c r="S66" s="2">
        <f t="shared" ref="S66:S97" si="43">$E66*AO66</f>
        <v>8.9403063199999995</v>
      </c>
      <c r="T66" s="2">
        <f t="shared" ref="T66:T97" si="44">$E66*AP66</f>
        <v>3.3142833970000001</v>
      </c>
      <c r="U66" s="2">
        <f t="shared" si="15"/>
        <v>5.626022922999999</v>
      </c>
      <c r="V66" s="3">
        <f t="shared" si="16"/>
        <v>0.22505763955226032</v>
      </c>
      <c r="W66" s="3">
        <f t="shared" si="17"/>
        <v>0.35150557366482615</v>
      </c>
      <c r="X66" s="3">
        <f t="shared" si="18"/>
        <v>0.46039305543972531</v>
      </c>
      <c r="Y66" s="3">
        <f t="shared" si="19"/>
        <v>0.81189862910455146</v>
      </c>
      <c r="Z66" s="4" t="s">
        <v>632</v>
      </c>
      <c r="AA66" s="1">
        <v>0.31730000000000003</v>
      </c>
      <c r="AB66" s="4" t="s">
        <v>633</v>
      </c>
      <c r="AD66" s="2">
        <f t="shared" si="20"/>
        <v>73.318039879039745</v>
      </c>
      <c r="AE66" s="4" t="s">
        <v>634</v>
      </c>
      <c r="AF66" s="4" t="s">
        <v>635</v>
      </c>
      <c r="AG66" s="1">
        <v>7.0286890000000003E-3</v>
      </c>
      <c r="AH66" s="1">
        <v>5.5838214999999997E-2</v>
      </c>
      <c r="AI66" s="4" t="s">
        <v>636</v>
      </c>
      <c r="AJ66" s="4" t="s">
        <v>637</v>
      </c>
      <c r="AK66" s="1">
        <v>8.8553360000000001E-3</v>
      </c>
      <c r="AL66" s="4" t="s">
        <v>638</v>
      </c>
      <c r="AM66" s="1">
        <v>4.1222400000000001E-3</v>
      </c>
      <c r="AN66" s="1">
        <v>9.2421400000000003E-4</v>
      </c>
      <c r="AO66" s="1">
        <v>1.6525519999999998E-2</v>
      </c>
      <c r="AP66" s="1">
        <v>6.1262169999999998E-3</v>
      </c>
    </row>
    <row r="67" spans="1:42">
      <c r="A67" s="1" t="s">
        <v>293</v>
      </c>
      <c r="B67" s="1" t="s">
        <v>965</v>
      </c>
      <c r="C67" s="1" t="s">
        <v>966</v>
      </c>
      <c r="D67" s="1">
        <v>436</v>
      </c>
      <c r="E67" s="1">
        <v>485</v>
      </c>
      <c r="F67" s="2">
        <f t="shared" ref="F67:F130" si="45">AD67+J67</f>
        <v>110.50205443496216</v>
      </c>
      <c r="G67" s="2">
        <f t="shared" si="33"/>
        <v>72.474774174359581</v>
      </c>
      <c r="H67" s="2">
        <f t="shared" si="34"/>
        <v>20.917533260637473</v>
      </c>
      <c r="I67" s="2">
        <f t="shared" si="35"/>
        <v>2.9053772326302698</v>
      </c>
      <c r="J67" s="2">
        <f t="shared" si="36"/>
        <v>13.396226224999999</v>
      </c>
      <c r="K67" s="2">
        <f t="shared" si="37"/>
        <v>61.864664356308317</v>
      </c>
      <c r="L67" s="2">
        <f t="shared" si="38"/>
        <v>53.99999991</v>
      </c>
      <c r="M67" s="2">
        <f t="shared" ref="M67:M130" si="46">$E67*AB67</f>
        <v>42.825500000000005</v>
      </c>
      <c r="N67" s="2">
        <f t="shared" si="39"/>
        <v>0.97539513999999994</v>
      </c>
      <c r="O67" s="2">
        <f t="shared" ref="O67:O130" si="47">$E67*AA67</f>
        <v>101.85</v>
      </c>
      <c r="P67" s="2">
        <f t="shared" si="40"/>
        <v>3.0073317399999997</v>
      </c>
      <c r="Q67" s="2">
        <f t="shared" si="41"/>
        <v>3.0402515999999999</v>
      </c>
      <c r="R67" s="2">
        <f t="shared" si="42"/>
        <v>0.50000007999999996</v>
      </c>
      <c r="S67" s="2">
        <f t="shared" si="43"/>
        <v>2.9877552000000001</v>
      </c>
      <c r="T67" s="2">
        <f t="shared" si="44"/>
        <v>0.99428055500000001</v>
      </c>
      <c r="U67" s="2">
        <f t="shared" ref="U67:U130" si="48">S67-T67</f>
        <v>1.993474645</v>
      </c>
      <c r="V67" s="3">
        <f t="shared" ref="V67:V130" si="49">F67/D67</f>
        <v>0.25344507897927099</v>
      </c>
      <c r="W67" s="3">
        <f t="shared" ref="W67:W130" si="50">(F67+M67+N67+P67)/(D67+M67+N67+Q67)</f>
        <v>0.32580131659672018</v>
      </c>
      <c r="X67" s="3">
        <f t="shared" ref="X67:X130" si="51">(G67+H67*2+I67*3+J67*4)/D67</f>
        <v>0.40507081948056267</v>
      </c>
      <c r="Y67" s="3">
        <f t="shared" ref="Y67:Y130" si="52">W67+X67</f>
        <v>0.73087213607728285</v>
      </c>
      <c r="Z67" s="4" t="s">
        <v>967</v>
      </c>
      <c r="AA67" s="1">
        <v>0.21</v>
      </c>
      <c r="AB67" s="1">
        <v>8.8300000000000003E-2</v>
      </c>
      <c r="AD67" s="2">
        <f t="shared" ref="AD67:AD130" si="53">(D67-J67-O67+Q67)*Z67</f>
        <v>97.105828209962169</v>
      </c>
      <c r="AE67" s="1">
        <v>0.74634834500000002</v>
      </c>
      <c r="AF67" s="4" t="s">
        <v>968</v>
      </c>
      <c r="AG67" s="4" t="s">
        <v>969</v>
      </c>
      <c r="AH67" s="1">
        <v>2.7621085E-2</v>
      </c>
      <c r="AI67" s="4" t="s">
        <v>970</v>
      </c>
      <c r="AJ67" s="1">
        <v>0.111340206</v>
      </c>
      <c r="AK67" s="1">
        <v>2.011124E-3</v>
      </c>
      <c r="AL67" s="1">
        <v>6.2006839999999997E-3</v>
      </c>
      <c r="AM67" s="1">
        <v>6.2685600000000003E-3</v>
      </c>
      <c r="AN67" s="1">
        <v>1.030928E-3</v>
      </c>
      <c r="AO67" s="1">
        <v>6.1603200000000004E-3</v>
      </c>
      <c r="AP67" s="1">
        <v>2.050063E-3</v>
      </c>
    </row>
    <row r="68" spans="1:42">
      <c r="A68" s="1" t="s">
        <v>293</v>
      </c>
      <c r="B68" s="1" t="s">
        <v>828</v>
      </c>
      <c r="C68" s="1" t="s">
        <v>87</v>
      </c>
      <c r="D68" s="1">
        <v>381</v>
      </c>
      <c r="E68" s="1">
        <v>416</v>
      </c>
      <c r="F68" s="2">
        <f t="shared" si="45"/>
        <v>92.022347331271547</v>
      </c>
      <c r="G68" s="2">
        <f t="shared" si="33"/>
        <v>60.417607542746886</v>
      </c>
      <c r="H68" s="2">
        <f t="shared" si="34"/>
        <v>19.903459341005163</v>
      </c>
      <c r="I68" s="2">
        <f t="shared" si="35"/>
        <v>1.6024614181481638</v>
      </c>
      <c r="J68" s="2">
        <f t="shared" si="36"/>
        <v>11.19611650485432</v>
      </c>
      <c r="K68" s="2">
        <f t="shared" si="37"/>
        <v>44.933277535989021</v>
      </c>
      <c r="L68" s="2">
        <f t="shared" si="38"/>
        <v>48.999999999999773</v>
      </c>
      <c r="M68" s="2">
        <f t="shared" si="46"/>
        <v>24.751999999999999</v>
      </c>
      <c r="N68" s="2">
        <f t="shared" si="39"/>
        <v>0.96899171200000001</v>
      </c>
      <c r="O68" s="2">
        <f t="shared" si="47"/>
        <v>103.83359999999999</v>
      </c>
      <c r="P68" s="2">
        <f t="shared" si="40"/>
        <v>6.2053218240000003</v>
      </c>
      <c r="Q68" s="2">
        <f t="shared" si="41"/>
        <v>2.8233008960000001</v>
      </c>
      <c r="R68" s="2">
        <f t="shared" si="42"/>
        <v>0.49999996799999996</v>
      </c>
      <c r="S68" s="2">
        <f t="shared" si="43"/>
        <v>0.98252876800000011</v>
      </c>
      <c r="T68" s="2">
        <f t="shared" si="44"/>
        <v>0.67816112000000006</v>
      </c>
      <c r="U68" s="2">
        <f t="shared" si="48"/>
        <v>0.30436764800000005</v>
      </c>
      <c r="V68" s="3">
        <f t="shared" si="49"/>
        <v>0.24152847068575209</v>
      </c>
      <c r="W68" s="3">
        <f t="shared" si="50"/>
        <v>0.30265019707138352</v>
      </c>
      <c r="X68" s="3">
        <f t="shared" si="51"/>
        <v>0.39321883595438051</v>
      </c>
      <c r="Y68" s="3">
        <f t="shared" si="52"/>
        <v>0.69586903302576397</v>
      </c>
      <c r="Z68" s="4" t="s">
        <v>829</v>
      </c>
      <c r="AA68" s="1">
        <v>0.24959999999999999</v>
      </c>
      <c r="AB68" s="1">
        <v>5.9499999999999997E-2</v>
      </c>
      <c r="AD68" s="2">
        <f t="shared" si="53"/>
        <v>80.82623082641723</v>
      </c>
      <c r="AE68" s="1">
        <v>0.74750000000000005</v>
      </c>
      <c r="AF68" s="4" t="s">
        <v>831</v>
      </c>
      <c r="AG68" s="1">
        <v>1.9826007E-2</v>
      </c>
      <c r="AH68" s="4" t="s">
        <v>830</v>
      </c>
      <c r="AI68" s="4" t="s">
        <v>832</v>
      </c>
      <c r="AJ68" s="4" t="s">
        <v>833</v>
      </c>
      <c r="AK68" s="1">
        <v>2.3293070000000001E-3</v>
      </c>
      <c r="AL68" s="1">
        <v>1.4916639000000001E-2</v>
      </c>
      <c r="AM68" s="1">
        <v>6.7867810000000004E-3</v>
      </c>
      <c r="AN68" s="1">
        <v>1.2019229999999999E-3</v>
      </c>
      <c r="AO68" s="1">
        <v>2.3618480000000002E-3</v>
      </c>
      <c r="AP68" s="1">
        <v>1.6301950000000001E-3</v>
      </c>
    </row>
    <row r="69" spans="1:42">
      <c r="A69" s="1" t="s">
        <v>293</v>
      </c>
      <c r="B69" s="1" t="s">
        <v>753</v>
      </c>
      <c r="C69" s="1" t="s">
        <v>169</v>
      </c>
      <c r="D69" s="1">
        <v>557</v>
      </c>
      <c r="E69" s="1">
        <v>639</v>
      </c>
      <c r="F69" s="2">
        <f t="shared" si="45"/>
        <v>142.9923211303948</v>
      </c>
      <c r="G69" s="2">
        <f t="shared" si="33"/>
        <v>98.551128147482032</v>
      </c>
      <c r="H69" s="2">
        <f t="shared" si="34"/>
        <v>26.977332067446341</v>
      </c>
      <c r="I69" s="2">
        <f t="shared" si="35"/>
        <v>1.0022039922116164</v>
      </c>
      <c r="J69" s="2">
        <f t="shared" si="36"/>
        <v>17.120662460567779</v>
      </c>
      <c r="K69" s="2">
        <f t="shared" si="37"/>
        <v>78.695740138990942</v>
      </c>
      <c r="L69" s="2">
        <f t="shared" si="38"/>
        <v>69.000000219</v>
      </c>
      <c r="M69" s="2">
        <f t="shared" si="46"/>
        <v>71.12069999999936</v>
      </c>
      <c r="N69" s="2">
        <f t="shared" si="39"/>
        <v>0.78425492399999996</v>
      </c>
      <c r="O69" s="2">
        <f t="shared" si="47"/>
        <v>109.26900000000001</v>
      </c>
      <c r="P69" s="2">
        <f t="shared" si="40"/>
        <v>4.0239989820000002</v>
      </c>
      <c r="Q69" s="2">
        <f t="shared" si="41"/>
        <v>5.8378547970000003</v>
      </c>
      <c r="R69" s="2">
        <f t="shared" si="42"/>
        <v>1.006339374</v>
      </c>
      <c r="S69" s="2">
        <f t="shared" si="43"/>
        <v>5.3061652620000004</v>
      </c>
      <c r="T69" s="2">
        <f t="shared" si="44"/>
        <v>1.962786267</v>
      </c>
      <c r="U69" s="2">
        <f t="shared" si="48"/>
        <v>3.3433789950000001</v>
      </c>
      <c r="V69" s="3">
        <f t="shared" si="49"/>
        <v>0.2567187093902959</v>
      </c>
      <c r="W69" s="3">
        <f t="shared" si="50"/>
        <v>0.34489760527200108</v>
      </c>
      <c r="X69" s="3">
        <f t="shared" si="51"/>
        <v>0.40214551903281992</v>
      </c>
      <c r="Y69" s="3">
        <f t="shared" si="52"/>
        <v>0.747043124304821</v>
      </c>
      <c r="Z69" s="1">
        <v>0.28839999999999999</v>
      </c>
      <c r="AA69" s="1">
        <v>0.17100000000000001</v>
      </c>
      <c r="AB69" s="4" t="s">
        <v>730</v>
      </c>
      <c r="AD69" s="2">
        <f t="shared" si="53"/>
        <v>125.87165866982703</v>
      </c>
      <c r="AE69" s="4" t="s">
        <v>755</v>
      </c>
      <c r="AF69" s="4" t="s">
        <v>756</v>
      </c>
      <c r="AG69" s="1">
        <v>7.9621099999999997E-3</v>
      </c>
      <c r="AH69" s="4" t="s">
        <v>754</v>
      </c>
      <c r="AI69" s="4" t="s">
        <v>757</v>
      </c>
      <c r="AJ69" s="1">
        <v>0.107981221</v>
      </c>
      <c r="AK69" s="1">
        <v>1.227316E-3</v>
      </c>
      <c r="AL69" s="1">
        <v>6.2973380000000004E-3</v>
      </c>
      <c r="AM69" s="1">
        <v>9.1359230000000007E-3</v>
      </c>
      <c r="AN69" s="1">
        <v>1.5748660000000001E-3</v>
      </c>
      <c r="AO69" s="1">
        <v>8.3038580000000008E-3</v>
      </c>
      <c r="AP69" s="1">
        <v>3.0716530000000001E-3</v>
      </c>
    </row>
    <row r="70" spans="1:42">
      <c r="A70" s="1" t="s">
        <v>293</v>
      </c>
      <c r="B70" s="1" t="s">
        <v>841</v>
      </c>
      <c r="C70" s="1" t="s">
        <v>352</v>
      </c>
      <c r="D70" s="1">
        <v>311</v>
      </c>
      <c r="E70" s="1">
        <v>330</v>
      </c>
      <c r="F70" s="2">
        <f t="shared" si="45"/>
        <v>72.692466841485867</v>
      </c>
      <c r="G70" s="2">
        <f t="shared" si="33"/>
        <v>49.08091405891642</v>
      </c>
      <c r="H70" s="2">
        <f t="shared" si="34"/>
        <v>14.900353827476186</v>
      </c>
      <c r="I70" s="2">
        <f t="shared" si="35"/>
        <v>1.1023274116237918</v>
      </c>
      <c r="J70" s="2">
        <f t="shared" si="36"/>
        <v>8.3910542100000001</v>
      </c>
      <c r="K70" s="2">
        <f t="shared" si="37"/>
        <v>34.81903240529406</v>
      </c>
      <c r="L70" s="2">
        <f t="shared" si="38"/>
        <v>37.99999999999995</v>
      </c>
      <c r="M70" s="2">
        <f t="shared" si="46"/>
        <v>12.671999999999999</v>
      </c>
      <c r="N70" s="2">
        <f t="shared" si="39"/>
        <v>0</v>
      </c>
      <c r="O70" s="2">
        <f t="shared" si="47"/>
        <v>78.242999999999668</v>
      </c>
      <c r="P70" s="2">
        <f t="shared" si="40"/>
        <v>4.12320843</v>
      </c>
      <c r="Q70" s="2">
        <f t="shared" si="41"/>
        <v>2.2869009899999999</v>
      </c>
      <c r="R70" s="2">
        <f t="shared" si="42"/>
        <v>0</v>
      </c>
      <c r="S70" s="2">
        <f t="shared" si="43"/>
        <v>5.0571428571428161</v>
      </c>
      <c r="T70" s="2">
        <f t="shared" si="44"/>
        <v>1.0108107900000001</v>
      </c>
      <c r="U70" s="2">
        <f t="shared" si="48"/>
        <v>4.0463320671428162</v>
      </c>
      <c r="V70" s="3">
        <f t="shared" si="49"/>
        <v>0.23373783550316998</v>
      </c>
      <c r="W70" s="3">
        <f t="shared" si="50"/>
        <v>0.2745366823844802</v>
      </c>
      <c r="X70" s="3">
        <f t="shared" si="51"/>
        <v>0.37219556523710662</v>
      </c>
      <c r="Y70" s="3">
        <f t="shared" si="52"/>
        <v>0.64673224762158688</v>
      </c>
      <c r="Z70" s="4" t="s">
        <v>805</v>
      </c>
      <c r="AA70" s="4" t="s">
        <v>842</v>
      </c>
      <c r="AB70" s="1">
        <v>3.8399999999999997E-2</v>
      </c>
      <c r="AD70" s="2">
        <f t="shared" si="53"/>
        <v>64.301412631485874</v>
      </c>
      <c r="AE70" s="4" t="s">
        <v>843</v>
      </c>
      <c r="AF70" s="4" t="s">
        <v>844</v>
      </c>
      <c r="AG70" s="1">
        <v>1.7143129E-2</v>
      </c>
      <c r="AH70" s="1">
        <v>2.5427437000000001E-2</v>
      </c>
      <c r="AI70" s="4" t="s">
        <v>845</v>
      </c>
      <c r="AJ70" s="4" t="s">
        <v>846</v>
      </c>
      <c r="AK70" s="1">
        <v>0</v>
      </c>
      <c r="AL70" s="1">
        <v>1.2494570999999999E-2</v>
      </c>
      <c r="AM70" s="1">
        <v>6.9300029999999997E-3</v>
      </c>
      <c r="AN70" s="1">
        <v>0</v>
      </c>
      <c r="AO70" s="4" t="s">
        <v>847</v>
      </c>
      <c r="AP70" s="1">
        <v>3.063063E-3</v>
      </c>
    </row>
    <row r="71" spans="1:42">
      <c r="A71" s="1" t="s">
        <v>293</v>
      </c>
      <c r="B71" s="1" t="s">
        <v>1183</v>
      </c>
      <c r="C71" s="1" t="s">
        <v>20</v>
      </c>
      <c r="D71" s="1">
        <v>438</v>
      </c>
      <c r="E71" s="1">
        <v>478</v>
      </c>
      <c r="F71" s="2">
        <f t="shared" si="45"/>
        <v>110.1816805571399</v>
      </c>
      <c r="G71" s="2">
        <f t="shared" si="33"/>
        <v>63.688585929646976</v>
      </c>
      <c r="H71" s="2">
        <f t="shared" si="34"/>
        <v>19.986372033390417</v>
      </c>
      <c r="I71" s="2">
        <f t="shared" si="35"/>
        <v>3.1173451022103178</v>
      </c>
      <c r="J71" s="2">
        <f t="shared" si="36"/>
        <v>23.08697458</v>
      </c>
      <c r="K71" s="2">
        <f t="shared" si="37"/>
        <v>60.591236494597695</v>
      </c>
      <c r="L71" s="2">
        <f t="shared" si="38"/>
        <v>69.999999999999787</v>
      </c>
      <c r="M71" s="2">
        <f t="shared" si="46"/>
        <v>31.117800000000003</v>
      </c>
      <c r="N71" s="2">
        <f t="shared" si="39"/>
        <v>1.791801164</v>
      </c>
      <c r="O71" s="2">
        <f t="shared" si="47"/>
        <v>113.23820000000001</v>
      </c>
      <c r="P71" s="2">
        <f t="shared" si="40"/>
        <v>6.6330977026002991</v>
      </c>
      <c r="Q71" s="2">
        <f t="shared" si="41"/>
        <v>3.813445282</v>
      </c>
      <c r="R71" s="2">
        <f t="shared" si="42"/>
        <v>0</v>
      </c>
      <c r="S71" s="2">
        <f t="shared" si="43"/>
        <v>2.2730611240000003</v>
      </c>
      <c r="T71" s="2">
        <f t="shared" si="44"/>
        <v>1.5161275700000001</v>
      </c>
      <c r="U71" s="2">
        <f t="shared" si="48"/>
        <v>0.75693355400000017</v>
      </c>
      <c r="V71" s="3">
        <f t="shared" si="49"/>
        <v>0.25155634830397239</v>
      </c>
      <c r="W71" s="3">
        <f t="shared" si="50"/>
        <v>0.3153931129837646</v>
      </c>
      <c r="X71" s="3">
        <f t="shared" si="51"/>
        <v>0.46886133247273692</v>
      </c>
      <c r="Y71" s="3">
        <f t="shared" si="52"/>
        <v>0.78425444545650147</v>
      </c>
      <c r="Z71" s="4" t="s">
        <v>1184</v>
      </c>
      <c r="AA71" s="1">
        <v>0.2369</v>
      </c>
      <c r="AB71" s="1">
        <v>6.5100000000000005E-2</v>
      </c>
      <c r="AD71" s="2">
        <f t="shared" si="53"/>
        <v>87.094705977139895</v>
      </c>
      <c r="AE71" s="4" t="s">
        <v>1185</v>
      </c>
      <c r="AF71" s="4" t="s">
        <v>1186</v>
      </c>
      <c r="AG71" s="1">
        <v>3.5792589999999999E-2</v>
      </c>
      <c r="AH71" s="1">
        <v>4.8299109999999999E-2</v>
      </c>
      <c r="AI71" s="4" t="s">
        <v>1187</v>
      </c>
      <c r="AJ71" s="4" t="s">
        <v>1188</v>
      </c>
      <c r="AK71" s="1">
        <v>3.748538E-3</v>
      </c>
      <c r="AL71" s="4" t="s">
        <v>1189</v>
      </c>
      <c r="AM71" s="1">
        <v>7.977919E-3</v>
      </c>
      <c r="AN71" s="1">
        <v>0</v>
      </c>
      <c r="AO71" s="1">
        <v>4.7553580000000003E-3</v>
      </c>
      <c r="AP71" s="1">
        <v>3.1718150000000001E-3</v>
      </c>
    </row>
    <row r="72" spans="1:42">
      <c r="A72" s="1" t="s">
        <v>293</v>
      </c>
      <c r="B72" s="1" t="s">
        <v>1232</v>
      </c>
      <c r="C72" s="1" t="s">
        <v>34</v>
      </c>
      <c r="D72" s="1">
        <v>294</v>
      </c>
      <c r="E72" s="1">
        <v>333</v>
      </c>
      <c r="F72" s="2">
        <f t="shared" si="45"/>
        <v>75.12448501104366</v>
      </c>
      <c r="G72" s="2">
        <f t="shared" si="33"/>
        <v>47.521147299802777</v>
      </c>
      <c r="H72" s="2">
        <f t="shared" si="34"/>
        <v>15.564108954535302</v>
      </c>
      <c r="I72" s="2">
        <f t="shared" si="35"/>
        <v>1.7855341014653467</v>
      </c>
      <c r="J72" s="2">
        <f t="shared" si="36"/>
        <v>9.3249999999999655</v>
      </c>
      <c r="K72" s="2">
        <f t="shared" si="37"/>
        <v>42.229365079364918</v>
      </c>
      <c r="L72" s="2">
        <f t="shared" si="38"/>
        <v>39.999999999999957</v>
      </c>
      <c r="M72" s="2">
        <f t="shared" si="46"/>
        <v>30.136499999999998</v>
      </c>
      <c r="N72" s="2">
        <f t="shared" si="39"/>
        <v>0.20555557199999999</v>
      </c>
      <c r="O72" s="2">
        <f t="shared" si="47"/>
        <v>45.920699999999997</v>
      </c>
      <c r="P72" s="2">
        <f t="shared" si="40"/>
        <v>2.0002507469999999</v>
      </c>
      <c r="Q72" s="2">
        <f t="shared" si="41"/>
        <v>3.0666665969999998</v>
      </c>
      <c r="R72" s="2">
        <f t="shared" si="42"/>
        <v>0.91729312200000002</v>
      </c>
      <c r="S72" s="2">
        <f t="shared" si="43"/>
        <v>6.7688570339999998</v>
      </c>
      <c r="T72" s="2">
        <f t="shared" si="44"/>
        <v>2.5381749510000002</v>
      </c>
      <c r="U72" s="2">
        <f t="shared" si="48"/>
        <v>4.2306820829999996</v>
      </c>
      <c r="V72" s="3">
        <f t="shared" si="49"/>
        <v>0.25552545922123693</v>
      </c>
      <c r="W72" s="3">
        <f t="shared" si="50"/>
        <v>0.32823435679447799</v>
      </c>
      <c r="X72" s="3">
        <f t="shared" si="51"/>
        <v>0.41260533167778668</v>
      </c>
      <c r="Y72" s="3">
        <f t="shared" si="52"/>
        <v>0.74083968847226467</v>
      </c>
      <c r="Z72" s="1">
        <v>0.27210000000000001</v>
      </c>
      <c r="AA72" s="1">
        <v>0.13789999999999999</v>
      </c>
      <c r="AB72" s="1">
        <v>9.0499999999999997E-2</v>
      </c>
      <c r="AD72" s="2">
        <f t="shared" si="53"/>
        <v>65.7994850110437</v>
      </c>
      <c r="AE72" s="4" t="s">
        <v>1234</v>
      </c>
      <c r="AF72" s="4" t="s">
        <v>1235</v>
      </c>
      <c r="AG72" s="1">
        <v>2.7135988999999999E-2</v>
      </c>
      <c r="AH72" s="4" t="s">
        <v>1233</v>
      </c>
      <c r="AI72" s="4" t="s">
        <v>1236</v>
      </c>
      <c r="AJ72" s="4" t="s">
        <v>1237</v>
      </c>
      <c r="AK72" s="1">
        <v>6.1728399999999995E-4</v>
      </c>
      <c r="AL72" s="1">
        <v>6.0067590000000004E-3</v>
      </c>
      <c r="AM72" s="1">
        <v>9.2092089999999995E-3</v>
      </c>
      <c r="AN72" s="1">
        <v>2.7546340000000002E-3</v>
      </c>
      <c r="AO72" s="1">
        <v>2.0326897999999999E-2</v>
      </c>
      <c r="AP72" s="1">
        <v>7.6221470000000001E-3</v>
      </c>
    </row>
    <row r="73" spans="1:42">
      <c r="A73" s="1" t="s">
        <v>293</v>
      </c>
      <c r="B73" s="1" t="s">
        <v>292</v>
      </c>
      <c r="C73" s="1" t="s">
        <v>20</v>
      </c>
      <c r="D73" s="1">
        <v>565</v>
      </c>
      <c r="E73" s="1">
        <v>630</v>
      </c>
      <c r="F73" s="2">
        <f t="shared" si="45"/>
        <v>144.68790460950586</v>
      </c>
      <c r="G73" s="2">
        <f t="shared" si="33"/>
        <v>86.865968476214121</v>
      </c>
      <c r="H73" s="2">
        <f t="shared" si="34"/>
        <v>27.384671531053076</v>
      </c>
      <c r="I73" s="2">
        <f t="shared" si="35"/>
        <v>2.9644062098064303</v>
      </c>
      <c r="J73" s="2">
        <f t="shared" si="36"/>
        <v>27.255271565495104</v>
      </c>
      <c r="K73" s="2">
        <f t="shared" si="37"/>
        <v>81.14611975677586</v>
      </c>
      <c r="L73" s="2">
        <f t="shared" si="38"/>
        <v>88.999999999999829</v>
      </c>
      <c r="M73" s="2">
        <f t="shared" si="46"/>
        <v>57.393000000000001</v>
      </c>
      <c r="N73" s="2">
        <f t="shared" si="39"/>
        <v>1.9809600299999999</v>
      </c>
      <c r="O73" s="2">
        <f t="shared" si="47"/>
        <v>170.73000000000002</v>
      </c>
      <c r="P73" s="2">
        <f t="shared" si="40"/>
        <v>4.9262774399999998</v>
      </c>
      <c r="Q73" s="2">
        <f t="shared" si="41"/>
        <v>4.0204470599999995</v>
      </c>
      <c r="R73" s="2">
        <f t="shared" si="42"/>
        <v>0</v>
      </c>
      <c r="S73" s="2">
        <f t="shared" si="43"/>
        <v>4.1419356299999999</v>
      </c>
      <c r="T73" s="2">
        <f t="shared" si="44"/>
        <v>1.4924844900000001</v>
      </c>
      <c r="U73" s="2">
        <f t="shared" si="48"/>
        <v>2.64945114</v>
      </c>
      <c r="V73" s="3">
        <f t="shared" si="49"/>
        <v>0.25608478691947939</v>
      </c>
      <c r="W73" s="3">
        <f t="shared" si="50"/>
        <v>0.33257479653152627</v>
      </c>
      <c r="X73" s="3">
        <f t="shared" si="51"/>
        <v>0.45937985208800003</v>
      </c>
      <c r="Y73" s="3">
        <f t="shared" si="52"/>
        <v>0.79195464861952636</v>
      </c>
      <c r="Z73" s="1">
        <v>0.3165</v>
      </c>
      <c r="AA73" s="1">
        <v>0.27100000000000002</v>
      </c>
      <c r="AB73" s="1">
        <v>9.11E-2</v>
      </c>
      <c r="AD73" s="2">
        <f t="shared" si="53"/>
        <v>117.43263304401077</v>
      </c>
      <c r="AE73" s="4" t="s">
        <v>295</v>
      </c>
      <c r="AF73" s="4" t="s">
        <v>296</v>
      </c>
      <c r="AG73" s="1">
        <v>2.5243462000000001E-2</v>
      </c>
      <c r="AH73" s="4" t="s">
        <v>294</v>
      </c>
      <c r="AI73" s="4" t="s">
        <v>297</v>
      </c>
      <c r="AJ73" s="4" t="s">
        <v>298</v>
      </c>
      <c r="AK73" s="1">
        <v>3.1443809999999999E-3</v>
      </c>
      <c r="AL73" s="1">
        <v>7.8194879999999994E-3</v>
      </c>
      <c r="AM73" s="1">
        <v>6.3816619999999998E-3</v>
      </c>
      <c r="AN73" s="1">
        <v>0</v>
      </c>
      <c r="AO73" s="1">
        <v>6.574501E-3</v>
      </c>
      <c r="AP73" s="1">
        <v>2.369023E-3</v>
      </c>
    </row>
    <row r="74" spans="1:42">
      <c r="A74" s="1" t="s">
        <v>293</v>
      </c>
      <c r="B74" s="1" t="s">
        <v>770</v>
      </c>
      <c r="C74" s="1" t="s">
        <v>124</v>
      </c>
      <c r="D74" s="1">
        <v>539</v>
      </c>
      <c r="E74" s="1">
        <v>616</v>
      </c>
      <c r="F74" s="2">
        <f t="shared" si="45"/>
        <v>123.93549906553199</v>
      </c>
      <c r="G74" s="2">
        <f t="shared" si="33"/>
        <v>70.010887401889406</v>
      </c>
      <c r="H74" s="2">
        <f t="shared" si="34"/>
        <v>26.550563370355825</v>
      </c>
      <c r="I74" s="2">
        <f t="shared" si="35"/>
        <v>0.82268181777613858</v>
      </c>
      <c r="J74" s="2">
        <f t="shared" si="36"/>
        <v>26.407894744</v>
      </c>
      <c r="K74" s="2">
        <f t="shared" si="37"/>
        <v>75.209422750423812</v>
      </c>
      <c r="L74" s="2">
        <f t="shared" si="38"/>
        <v>78.999999999999844</v>
      </c>
      <c r="M74" s="2">
        <f t="shared" si="46"/>
        <v>64.248800000000003</v>
      </c>
      <c r="N74" s="2">
        <f t="shared" si="39"/>
        <v>2.8867842079999999</v>
      </c>
      <c r="O74" s="2">
        <f t="shared" si="47"/>
        <v>159.48240000000001</v>
      </c>
      <c r="P74" s="2">
        <f t="shared" si="40"/>
        <v>7.023790312</v>
      </c>
      <c r="Q74" s="2">
        <f t="shared" si="41"/>
        <v>5.0526315840000002</v>
      </c>
      <c r="R74" s="2">
        <f t="shared" si="42"/>
        <v>0</v>
      </c>
      <c r="S74" s="2">
        <f t="shared" si="43"/>
        <v>1.9569894960000001</v>
      </c>
      <c r="T74" s="2">
        <f t="shared" si="44"/>
        <v>0.52027729600000006</v>
      </c>
      <c r="U74" s="2">
        <f t="shared" si="48"/>
        <v>1.4367122000000001</v>
      </c>
      <c r="V74" s="3">
        <f t="shared" si="49"/>
        <v>0.22993599084514282</v>
      </c>
      <c r="W74" s="3">
        <f t="shared" si="50"/>
        <v>0.32411435375735026</v>
      </c>
      <c r="X74" s="3">
        <f t="shared" si="51"/>
        <v>0.42896407898317157</v>
      </c>
      <c r="Y74" s="3">
        <f t="shared" si="52"/>
        <v>0.75307843274052177</v>
      </c>
      <c r="Z74" s="1">
        <v>0.27229999999999999</v>
      </c>
      <c r="AA74" s="1">
        <v>0.25890000000000002</v>
      </c>
      <c r="AB74" s="1">
        <v>0.1043</v>
      </c>
      <c r="AD74" s="2">
        <f t="shared" si="53"/>
        <v>97.527604321531982</v>
      </c>
      <c r="AE74" s="1">
        <v>0.71785714300000003</v>
      </c>
      <c r="AF74" s="4" t="s">
        <v>771</v>
      </c>
      <c r="AG74" s="1">
        <v>8.4353740000000007E-3</v>
      </c>
      <c r="AH74" s="1">
        <v>4.2869958999999999E-2</v>
      </c>
      <c r="AI74" s="4" t="s">
        <v>772</v>
      </c>
      <c r="AJ74" s="4" t="s">
        <v>773</v>
      </c>
      <c r="AK74" s="1">
        <v>4.686338E-3</v>
      </c>
      <c r="AL74" s="1">
        <v>1.1402257000000001E-2</v>
      </c>
      <c r="AM74" s="1">
        <v>8.2023240000000004E-3</v>
      </c>
      <c r="AN74" s="1">
        <v>0</v>
      </c>
      <c r="AO74" s="1">
        <v>3.176931E-3</v>
      </c>
      <c r="AP74" s="1">
        <v>8.4460600000000002E-4</v>
      </c>
    </row>
    <row r="75" spans="1:42">
      <c r="A75" s="1" t="s">
        <v>293</v>
      </c>
      <c r="B75" s="1" t="s">
        <v>867</v>
      </c>
      <c r="C75" s="1" t="s">
        <v>868</v>
      </c>
      <c r="D75" s="1">
        <v>391</v>
      </c>
      <c r="E75" s="1">
        <v>436</v>
      </c>
      <c r="F75" s="2">
        <f t="shared" si="45"/>
        <v>91.618705875314916</v>
      </c>
      <c r="G75" s="2">
        <f t="shared" si="33"/>
        <v>60.741377396840107</v>
      </c>
      <c r="H75" s="2">
        <f t="shared" si="34"/>
        <v>17.421877388582359</v>
      </c>
      <c r="I75" s="2">
        <f t="shared" si="35"/>
        <v>5.3066594715682269</v>
      </c>
      <c r="J75" s="2">
        <f t="shared" si="36"/>
        <v>8.3037734720000014</v>
      </c>
      <c r="K75" s="2">
        <f t="shared" si="37"/>
        <v>50.724073701572806</v>
      </c>
      <c r="L75" s="2">
        <f t="shared" si="38"/>
        <v>38.999999875999997</v>
      </c>
      <c r="M75" s="2">
        <f t="shared" si="46"/>
        <v>36.624000000000002</v>
      </c>
      <c r="N75" s="2">
        <f t="shared" si="39"/>
        <v>0.96050146000000003</v>
      </c>
      <c r="O75" s="2">
        <f t="shared" si="47"/>
        <v>94.045199999999994</v>
      </c>
      <c r="P75" s="2">
        <f t="shared" si="40"/>
        <v>4.1512946480000004</v>
      </c>
      <c r="Q75" s="2">
        <f t="shared" si="41"/>
        <v>3.0679244639999999</v>
      </c>
      <c r="R75" s="2">
        <f t="shared" si="42"/>
        <v>0.98337009600000003</v>
      </c>
      <c r="S75" s="2">
        <f t="shared" si="43"/>
        <v>14.856716568000001</v>
      </c>
      <c r="T75" s="2">
        <f t="shared" si="44"/>
        <v>3.6758553959999998</v>
      </c>
      <c r="U75" s="2">
        <f t="shared" si="48"/>
        <v>11.180861172000002</v>
      </c>
      <c r="V75" s="3">
        <f t="shared" si="49"/>
        <v>0.2343189408575829</v>
      </c>
      <c r="W75" s="3">
        <f t="shared" si="50"/>
        <v>0.30893954018179043</v>
      </c>
      <c r="X75" s="3">
        <f t="shared" si="51"/>
        <v>0.37012840019618803</v>
      </c>
      <c r="Y75" s="3">
        <f t="shared" si="52"/>
        <v>0.67906794037797846</v>
      </c>
      <c r="Z75" s="4" t="s">
        <v>117</v>
      </c>
      <c r="AA75" s="4" t="s">
        <v>869</v>
      </c>
      <c r="AB75" s="1">
        <v>8.4000000000000005E-2</v>
      </c>
      <c r="AD75" s="2">
        <f t="shared" si="53"/>
        <v>83.314932403314913</v>
      </c>
      <c r="AE75" s="4" t="s">
        <v>870</v>
      </c>
      <c r="AF75" s="4" t="s">
        <v>871</v>
      </c>
      <c r="AG75" s="1">
        <v>6.3693977999999998E-2</v>
      </c>
      <c r="AH75" s="1">
        <v>1.9045352000000002E-2</v>
      </c>
      <c r="AI75" s="4" t="s">
        <v>872</v>
      </c>
      <c r="AJ75" s="1">
        <v>8.9449540999999994E-2</v>
      </c>
      <c r="AK75" s="1">
        <v>2.2029850000000002E-3</v>
      </c>
      <c r="AL75" s="1">
        <v>9.5213180000000008E-3</v>
      </c>
      <c r="AM75" s="1">
        <v>7.0365239999999997E-3</v>
      </c>
      <c r="AN75" s="1">
        <v>2.255436E-3</v>
      </c>
      <c r="AO75" s="1">
        <v>3.4075038000000002E-2</v>
      </c>
      <c r="AP75" s="1">
        <v>8.4308609999999996E-3</v>
      </c>
    </row>
    <row r="76" spans="1:42">
      <c r="A76" s="1" t="s">
        <v>200</v>
      </c>
      <c r="B76" s="1" t="s">
        <v>1061</v>
      </c>
      <c r="C76" s="1" t="s">
        <v>654</v>
      </c>
      <c r="D76" s="1">
        <v>490</v>
      </c>
      <c r="E76" s="1">
        <v>546</v>
      </c>
      <c r="F76" s="2">
        <f t="shared" si="45"/>
        <v>126.96221787651639</v>
      </c>
      <c r="G76" s="2">
        <f t="shared" si="33"/>
        <v>89.175850044727184</v>
      </c>
      <c r="H76" s="2">
        <f t="shared" si="34"/>
        <v>22.647127130528379</v>
      </c>
      <c r="I76" s="2">
        <f t="shared" si="35"/>
        <v>0.83055224478712508</v>
      </c>
      <c r="J76" s="2">
        <f t="shared" si="36"/>
        <v>15.100000187999999</v>
      </c>
      <c r="K76" s="2">
        <f t="shared" si="37"/>
        <v>63.377777777777737</v>
      </c>
      <c r="L76" s="2">
        <f t="shared" si="38"/>
        <v>62.999999999999794</v>
      </c>
      <c r="M76" s="2">
        <f t="shared" si="46"/>
        <v>48.594000000000001</v>
      </c>
      <c r="N76" s="2">
        <f t="shared" si="39"/>
        <v>1.9810763699999998</v>
      </c>
      <c r="O76" s="2">
        <f t="shared" si="47"/>
        <v>111.657</v>
      </c>
      <c r="P76" s="2">
        <f t="shared" si="40"/>
        <v>3.0090567780000002</v>
      </c>
      <c r="Q76" s="2">
        <f t="shared" si="41"/>
        <v>3.9999998219999999</v>
      </c>
      <c r="R76" s="2">
        <f t="shared" si="42"/>
        <v>0</v>
      </c>
      <c r="S76" s="2">
        <f t="shared" si="43"/>
        <v>0.28888914600000004</v>
      </c>
      <c r="T76" s="2">
        <f t="shared" si="44"/>
        <v>0</v>
      </c>
      <c r="U76" s="2">
        <f t="shared" si="48"/>
        <v>0.28888914600000004</v>
      </c>
      <c r="V76" s="3">
        <f t="shared" si="49"/>
        <v>0.25910656709493141</v>
      </c>
      <c r="W76" s="3">
        <f t="shared" si="50"/>
        <v>0.33153619935566325</v>
      </c>
      <c r="X76" s="3">
        <f t="shared" si="51"/>
        <v>0.40277910569825576</v>
      </c>
      <c r="Y76" s="3">
        <f t="shared" si="52"/>
        <v>0.73431530505391907</v>
      </c>
      <c r="Z76" s="1">
        <v>0.30459999999999998</v>
      </c>
      <c r="AA76" s="4" t="s">
        <v>1062</v>
      </c>
      <c r="AB76" s="1">
        <v>8.8999999999999996E-2</v>
      </c>
      <c r="AD76" s="2">
        <f t="shared" si="53"/>
        <v>111.8622176885164</v>
      </c>
      <c r="AE76" s="4" t="s">
        <v>1063</v>
      </c>
      <c r="AF76" s="4" t="s">
        <v>1064</v>
      </c>
      <c r="AG76" s="1">
        <v>7.4247790000000003E-3</v>
      </c>
      <c r="AH76" s="1">
        <v>2.7655678E-2</v>
      </c>
      <c r="AI76" s="4" t="s">
        <v>1065</v>
      </c>
      <c r="AJ76" s="4" t="s">
        <v>1066</v>
      </c>
      <c r="AK76" s="1">
        <v>3.6283449999999998E-3</v>
      </c>
      <c r="AL76" s="1">
        <v>5.5110929999999999E-3</v>
      </c>
      <c r="AM76" s="1">
        <v>7.3260069999999998E-3</v>
      </c>
      <c r="AN76" s="1">
        <v>0</v>
      </c>
      <c r="AO76" s="1">
        <v>5.2910100000000003E-4</v>
      </c>
      <c r="AP76" s="1">
        <v>0</v>
      </c>
    </row>
    <row r="77" spans="1:42">
      <c r="A77" s="1" t="s">
        <v>200</v>
      </c>
      <c r="B77" s="1" t="s">
        <v>716</v>
      </c>
      <c r="C77" s="1" t="s">
        <v>124</v>
      </c>
      <c r="D77" s="1">
        <v>505</v>
      </c>
      <c r="E77" s="1">
        <v>564</v>
      </c>
      <c r="F77" s="2">
        <f t="shared" si="45"/>
        <v>115.28259668002158</v>
      </c>
      <c r="G77" s="2">
        <f t="shared" si="33"/>
        <v>66.560785016555485</v>
      </c>
      <c r="H77" s="2">
        <f t="shared" si="34"/>
        <v>20.673675652688889</v>
      </c>
      <c r="I77" s="2">
        <f t="shared" si="35"/>
        <v>1.0041085622186483</v>
      </c>
      <c r="J77" s="2">
        <f t="shared" si="36"/>
        <v>26.799999719999999</v>
      </c>
      <c r="K77" s="2">
        <f t="shared" si="37"/>
        <v>66.676470588235247</v>
      </c>
      <c r="L77" s="2">
        <f t="shared" si="38"/>
        <v>76.99999999999973</v>
      </c>
      <c r="M77" s="2">
        <f t="shared" si="46"/>
        <v>46.248000000000005</v>
      </c>
      <c r="N77" s="2">
        <f t="shared" si="39"/>
        <v>1.745779092</v>
      </c>
      <c r="O77" s="2">
        <f t="shared" si="47"/>
        <v>147.14760000000001</v>
      </c>
      <c r="P77" s="2">
        <f t="shared" si="40"/>
        <v>7.4968197879858058</v>
      </c>
      <c r="Q77" s="2">
        <f t="shared" si="41"/>
        <v>4.9999998719999992</v>
      </c>
      <c r="R77" s="2">
        <f t="shared" si="42"/>
        <v>0</v>
      </c>
      <c r="S77" s="2">
        <f t="shared" si="43"/>
        <v>2.937478944</v>
      </c>
      <c r="T77" s="2">
        <f t="shared" si="44"/>
        <v>0.99746783999999999</v>
      </c>
      <c r="U77" s="2">
        <f t="shared" si="48"/>
        <v>1.9400111039999999</v>
      </c>
      <c r="V77" s="3">
        <f t="shared" si="49"/>
        <v>0.22828236966340909</v>
      </c>
      <c r="W77" s="3">
        <f t="shared" si="50"/>
        <v>0.306048565410664</v>
      </c>
      <c r="X77" s="3">
        <f t="shared" si="51"/>
        <v>0.43192170472987962</v>
      </c>
      <c r="Y77" s="3">
        <f t="shared" si="52"/>
        <v>0.73797027014054362</v>
      </c>
      <c r="Z77" s="1">
        <v>0.26329999999999998</v>
      </c>
      <c r="AA77" s="1">
        <v>0.26090000000000002</v>
      </c>
      <c r="AB77" s="1">
        <v>8.2000000000000003E-2</v>
      </c>
      <c r="AD77" s="2">
        <f t="shared" si="53"/>
        <v>88.482596960021581</v>
      </c>
      <c r="AE77" s="4" t="s">
        <v>717</v>
      </c>
      <c r="AF77" s="4" t="s">
        <v>718</v>
      </c>
      <c r="AG77" s="1">
        <v>1.1348090999999999E-2</v>
      </c>
      <c r="AH77" s="1">
        <v>4.7517730000000001E-2</v>
      </c>
      <c r="AI77" s="4" t="s">
        <v>719</v>
      </c>
      <c r="AJ77" s="4" t="s">
        <v>720</v>
      </c>
      <c r="AK77" s="1">
        <v>3.0953529999999999E-3</v>
      </c>
      <c r="AL77" s="4" t="s">
        <v>721</v>
      </c>
      <c r="AM77" s="1">
        <v>8.8652479999999992E-3</v>
      </c>
      <c r="AN77" s="1">
        <v>0</v>
      </c>
      <c r="AO77" s="1">
        <v>5.2082960000000003E-3</v>
      </c>
      <c r="AP77" s="1">
        <v>1.76856E-3</v>
      </c>
    </row>
    <row r="78" spans="1:42">
      <c r="A78" s="1" t="s">
        <v>200</v>
      </c>
      <c r="B78" s="1" t="s">
        <v>862</v>
      </c>
      <c r="C78" s="1" t="s">
        <v>49</v>
      </c>
      <c r="D78" s="1">
        <v>421</v>
      </c>
      <c r="E78" s="1">
        <v>489</v>
      </c>
      <c r="F78" s="2">
        <f t="shared" si="45"/>
        <v>99.223819098640291</v>
      </c>
      <c r="G78" s="2">
        <f t="shared" si="33"/>
        <v>62.734852569609863</v>
      </c>
      <c r="H78" s="2">
        <f t="shared" si="34"/>
        <v>18.132888976960977</v>
      </c>
      <c r="I78" s="2">
        <f t="shared" si="35"/>
        <v>0.80650031834991698</v>
      </c>
      <c r="J78" s="2">
        <f t="shared" si="36"/>
        <v>18.333608048999999</v>
      </c>
      <c r="K78" s="2">
        <f t="shared" si="37"/>
        <v>59.799692887463827</v>
      </c>
      <c r="L78" s="2">
        <f t="shared" si="38"/>
        <v>61.999999999999645</v>
      </c>
      <c r="M78" s="2">
        <f t="shared" si="46"/>
        <v>54.083400000000005</v>
      </c>
      <c r="N78" s="2">
        <f t="shared" si="39"/>
        <v>0</v>
      </c>
      <c r="O78" s="2">
        <f t="shared" si="47"/>
        <v>82.543199999999999</v>
      </c>
      <c r="P78" s="2">
        <f t="shared" si="40"/>
        <v>9.6239424959999997</v>
      </c>
      <c r="Q78" s="2">
        <f t="shared" si="41"/>
        <v>3.8263917479999998</v>
      </c>
      <c r="R78" s="2">
        <f t="shared" si="42"/>
        <v>0</v>
      </c>
      <c r="S78" s="2">
        <f t="shared" si="43"/>
        <v>1.0109243700000001</v>
      </c>
      <c r="T78" s="2">
        <f t="shared" si="44"/>
        <v>1.0251205290000001</v>
      </c>
      <c r="U78" s="2">
        <f t="shared" si="48"/>
        <v>-1.419615899999993E-2</v>
      </c>
      <c r="V78" s="3">
        <f t="shared" si="49"/>
        <v>0.23568603111315983</v>
      </c>
      <c r="W78" s="3">
        <f t="shared" si="50"/>
        <v>0.3402126337821339</v>
      </c>
      <c r="X78" s="3">
        <f t="shared" si="51"/>
        <v>0.41509397547406546</v>
      </c>
      <c r="Y78" s="3">
        <f t="shared" si="52"/>
        <v>0.7553066092561993</v>
      </c>
      <c r="Z78" s="1">
        <v>0.24970000000000001</v>
      </c>
      <c r="AA78" s="1">
        <v>0.16880000000000001</v>
      </c>
      <c r="AB78" s="1">
        <v>0.1106</v>
      </c>
      <c r="AD78" s="2">
        <f t="shared" si="53"/>
        <v>80.890211049640286</v>
      </c>
      <c r="AE78" s="4" t="s">
        <v>863</v>
      </c>
      <c r="AF78" s="4" t="s">
        <v>864</v>
      </c>
      <c r="AG78" s="1">
        <v>9.9703080000000006E-3</v>
      </c>
      <c r="AH78" s="1">
        <v>3.7492040999999997E-2</v>
      </c>
      <c r="AI78" s="4" t="s">
        <v>865</v>
      </c>
      <c r="AJ78" s="4" t="s">
        <v>866</v>
      </c>
      <c r="AK78" s="1">
        <v>0</v>
      </c>
      <c r="AL78" s="1">
        <v>1.9680863999999999E-2</v>
      </c>
      <c r="AM78" s="1">
        <v>7.8249319999999997E-3</v>
      </c>
      <c r="AN78" s="1">
        <v>0</v>
      </c>
      <c r="AO78" s="1">
        <v>2.06733E-3</v>
      </c>
      <c r="AP78" s="1">
        <v>2.0963610000000001E-3</v>
      </c>
    </row>
    <row r="79" spans="1:42">
      <c r="A79" s="1" t="s">
        <v>200</v>
      </c>
      <c r="B79" s="1" t="s">
        <v>381</v>
      </c>
      <c r="C79" s="1" t="s">
        <v>34</v>
      </c>
      <c r="D79" s="1">
        <v>578</v>
      </c>
      <c r="E79" s="1">
        <v>633</v>
      </c>
      <c r="F79" s="2">
        <f t="shared" si="45"/>
        <v>157.56876607655335</v>
      </c>
      <c r="G79" s="2">
        <f t="shared" si="33"/>
        <v>108.28351431398531</v>
      </c>
      <c r="H79" s="2">
        <f t="shared" si="34"/>
        <v>29.218273470464396</v>
      </c>
      <c r="I79" s="2">
        <f t="shared" si="35"/>
        <v>2.0491648471741253</v>
      </c>
      <c r="J79" s="2">
        <f t="shared" si="36"/>
        <v>17.221815286624164</v>
      </c>
      <c r="K79" s="2">
        <f t="shared" si="37"/>
        <v>81.281515453931505</v>
      </c>
      <c r="L79" s="2">
        <f t="shared" si="38"/>
        <v>68.999999999999432</v>
      </c>
      <c r="M79" s="2">
        <f t="shared" si="46"/>
        <v>36.9039</v>
      </c>
      <c r="N79" s="2">
        <f t="shared" si="39"/>
        <v>1.494178776</v>
      </c>
      <c r="O79" s="2">
        <f t="shared" si="47"/>
        <v>112.8006</v>
      </c>
      <c r="P79" s="2">
        <f t="shared" si="40"/>
        <v>11.426746758896146</v>
      </c>
      <c r="Q79" s="2">
        <f t="shared" si="41"/>
        <v>4.0254774119999999</v>
      </c>
      <c r="R79" s="2">
        <f t="shared" si="42"/>
        <v>2.067453327</v>
      </c>
      <c r="S79" s="2">
        <f t="shared" si="43"/>
        <v>18.692626728110522</v>
      </c>
      <c r="T79" s="2">
        <f t="shared" si="44"/>
        <v>4.8133756769999998</v>
      </c>
      <c r="U79" s="2">
        <f t="shared" si="48"/>
        <v>13.879251051110522</v>
      </c>
      <c r="V79" s="3">
        <f t="shared" si="49"/>
        <v>0.27261032193175322</v>
      </c>
      <c r="W79" s="3">
        <f t="shared" si="50"/>
        <v>0.33427742957684431</v>
      </c>
      <c r="X79" s="3">
        <f t="shared" si="51"/>
        <v>0.41826092896701234</v>
      </c>
      <c r="Y79" s="3">
        <f t="shared" si="52"/>
        <v>0.75253835854385664</v>
      </c>
      <c r="Z79" s="1">
        <v>0.3105</v>
      </c>
      <c r="AA79" s="4" t="s">
        <v>382</v>
      </c>
      <c r="AB79" s="1">
        <v>5.8299999999999998E-2</v>
      </c>
      <c r="AD79" s="2">
        <f t="shared" si="53"/>
        <v>140.34695078992917</v>
      </c>
      <c r="AE79" s="4" t="s">
        <v>384</v>
      </c>
      <c r="AF79" s="4" t="s">
        <v>385</v>
      </c>
      <c r="AG79" s="1">
        <v>1.4600708E-2</v>
      </c>
      <c r="AH79" s="4" t="s">
        <v>383</v>
      </c>
      <c r="AI79" s="4" t="s">
        <v>386</v>
      </c>
      <c r="AJ79" s="4" t="s">
        <v>387</v>
      </c>
      <c r="AK79" s="1">
        <v>2.3604720000000002E-3</v>
      </c>
      <c r="AL79" s="4" t="s">
        <v>388</v>
      </c>
      <c r="AM79" s="1">
        <v>6.3593640000000002E-3</v>
      </c>
      <c r="AN79" s="1">
        <v>3.2661190000000001E-3</v>
      </c>
      <c r="AO79" s="4" t="s">
        <v>389</v>
      </c>
      <c r="AP79" s="1">
        <v>7.6040689999999998E-3</v>
      </c>
    </row>
    <row r="80" spans="1:42">
      <c r="A80" s="1" t="s">
        <v>200</v>
      </c>
      <c r="B80" s="1" t="s">
        <v>466</v>
      </c>
      <c r="C80" s="1" t="s">
        <v>467</v>
      </c>
      <c r="D80" s="1">
        <v>531</v>
      </c>
      <c r="E80" s="1">
        <v>590</v>
      </c>
      <c r="F80" s="2">
        <f t="shared" si="45"/>
        <v>136.91405038489563</v>
      </c>
      <c r="G80" s="2">
        <f t="shared" si="33"/>
        <v>91.28870766857527</v>
      </c>
      <c r="H80" s="2">
        <f t="shared" si="34"/>
        <v>24.523718066142589</v>
      </c>
      <c r="I80" s="2">
        <f t="shared" si="35"/>
        <v>0.97707448565360033</v>
      </c>
      <c r="J80" s="2">
        <f t="shared" si="36"/>
        <v>20.061224489795826</v>
      </c>
      <c r="K80" s="2">
        <f t="shared" si="37"/>
        <v>75.330879767636972</v>
      </c>
      <c r="L80" s="2">
        <f t="shared" si="38"/>
        <v>67.999999999999645</v>
      </c>
      <c r="M80" s="2">
        <f t="shared" si="46"/>
        <v>49.146999999999998</v>
      </c>
      <c r="N80" s="2">
        <f t="shared" si="39"/>
        <v>2.7518538100000001</v>
      </c>
      <c r="O80" s="2">
        <f t="shared" si="47"/>
        <v>102.188</v>
      </c>
      <c r="P80" s="2">
        <f t="shared" si="40"/>
        <v>5.1301691800000002</v>
      </c>
      <c r="Q80" s="2">
        <f t="shared" si="41"/>
        <v>4.0108843099999998</v>
      </c>
      <c r="R80" s="2">
        <f t="shared" si="42"/>
        <v>0.50000022</v>
      </c>
      <c r="S80" s="2">
        <f t="shared" si="43"/>
        <v>12.313964929999999</v>
      </c>
      <c r="T80" s="2">
        <f t="shared" si="44"/>
        <v>3.60330759</v>
      </c>
      <c r="U80" s="2">
        <f t="shared" si="48"/>
        <v>8.7106573399999991</v>
      </c>
      <c r="V80" s="3">
        <f t="shared" si="49"/>
        <v>0.25784190279641361</v>
      </c>
      <c r="W80" s="3">
        <f t="shared" si="50"/>
        <v>0.33044787090454081</v>
      </c>
      <c r="X80" s="3">
        <f t="shared" si="51"/>
        <v>0.42092705313936823</v>
      </c>
      <c r="Y80" s="3">
        <f t="shared" si="52"/>
        <v>0.75137492404390904</v>
      </c>
      <c r="Z80" s="1">
        <v>0.28310000000000002</v>
      </c>
      <c r="AA80" s="4" t="s">
        <v>468</v>
      </c>
      <c r="AB80" s="1">
        <v>8.3299999999999999E-2</v>
      </c>
      <c r="AD80" s="2">
        <f t="shared" si="53"/>
        <v>116.8528258950998</v>
      </c>
      <c r="AE80" s="4" t="s">
        <v>470</v>
      </c>
      <c r="AF80" s="4" t="s">
        <v>471</v>
      </c>
      <c r="AG80" s="1">
        <v>8.3615819999999993E-3</v>
      </c>
      <c r="AH80" s="4" t="s">
        <v>469</v>
      </c>
      <c r="AI80" s="4" t="s">
        <v>472</v>
      </c>
      <c r="AJ80" s="4" t="s">
        <v>473</v>
      </c>
      <c r="AK80" s="1">
        <v>4.6641590000000002E-3</v>
      </c>
      <c r="AL80" s="1">
        <v>8.6952020000000008E-3</v>
      </c>
      <c r="AM80" s="1">
        <v>6.7981090000000001E-3</v>
      </c>
      <c r="AN80" s="1">
        <v>8.4745800000000004E-4</v>
      </c>
      <c r="AO80" s="1">
        <v>2.0871127E-2</v>
      </c>
      <c r="AP80" s="1">
        <v>6.1073009999999999E-3</v>
      </c>
    </row>
    <row r="81" spans="1:42">
      <c r="A81" s="1" t="s">
        <v>200</v>
      </c>
      <c r="B81" s="1" t="s">
        <v>758</v>
      </c>
      <c r="C81" s="1" t="s">
        <v>87</v>
      </c>
      <c r="D81" s="1">
        <v>486</v>
      </c>
      <c r="E81" s="1">
        <v>516</v>
      </c>
      <c r="F81" s="2">
        <f t="shared" si="45"/>
        <v>130.85957463266521</v>
      </c>
      <c r="G81" s="2">
        <f t="shared" si="33"/>
        <v>87.941172924763109</v>
      </c>
      <c r="H81" s="2">
        <f t="shared" si="34"/>
        <v>23.943107664917232</v>
      </c>
      <c r="I81" s="2">
        <f t="shared" si="35"/>
        <v>1.0315250392811692</v>
      </c>
      <c r="J81" s="2">
        <f t="shared" si="36"/>
        <v>18.044529804</v>
      </c>
      <c r="K81" s="2">
        <f t="shared" si="37"/>
        <v>58.185577451999997</v>
      </c>
      <c r="L81" s="2">
        <f t="shared" si="38"/>
        <v>66.999999999999957</v>
      </c>
      <c r="M81" s="2">
        <f t="shared" si="46"/>
        <v>22.549200000000003</v>
      </c>
      <c r="N81" s="2">
        <f t="shared" si="39"/>
        <v>0.97511409599999999</v>
      </c>
      <c r="O81" s="2">
        <f t="shared" si="47"/>
        <v>89.371200000000002</v>
      </c>
      <c r="P81" s="2">
        <f t="shared" si="40"/>
        <v>2.9528827559999997</v>
      </c>
      <c r="Q81" s="2">
        <f t="shared" si="41"/>
        <v>3.9692897519999999</v>
      </c>
      <c r="R81" s="2">
        <f t="shared" si="42"/>
        <v>0.49999987200000001</v>
      </c>
      <c r="S81" s="2">
        <f t="shared" si="43"/>
        <v>1.3096265760000001</v>
      </c>
      <c r="T81" s="2">
        <f t="shared" si="44"/>
        <v>0.32182971600000004</v>
      </c>
      <c r="U81" s="2">
        <f t="shared" si="48"/>
        <v>0.98779686</v>
      </c>
      <c r="V81" s="3">
        <f t="shared" si="49"/>
        <v>0.26925838401782964</v>
      </c>
      <c r="W81" s="3">
        <f t="shared" si="50"/>
        <v>0.30640454000910733</v>
      </c>
      <c r="X81" s="3">
        <f t="shared" si="51"/>
        <v>0.43436230985275942</v>
      </c>
      <c r="Y81" s="3">
        <f t="shared" si="52"/>
        <v>0.74076684986186669</v>
      </c>
      <c r="Z81" s="1">
        <v>0.2949</v>
      </c>
      <c r="AA81" s="4" t="s">
        <v>468</v>
      </c>
      <c r="AB81" s="1">
        <v>4.3700000000000003E-2</v>
      </c>
      <c r="AD81" s="2">
        <f t="shared" si="53"/>
        <v>112.81504482866521</v>
      </c>
      <c r="AE81" s="4" t="s">
        <v>759</v>
      </c>
      <c r="AF81" s="4" t="s">
        <v>760</v>
      </c>
      <c r="AG81" s="1">
        <v>9.1435059999999992E-3</v>
      </c>
      <c r="AH81" s="1">
        <v>3.4970018999999998E-2</v>
      </c>
      <c r="AI81" s="1">
        <v>0.112762747</v>
      </c>
      <c r="AJ81" s="4" t="s">
        <v>761</v>
      </c>
      <c r="AK81" s="1">
        <v>1.889756E-3</v>
      </c>
      <c r="AL81" s="1">
        <v>5.7226409999999997E-3</v>
      </c>
      <c r="AM81" s="1">
        <v>7.692422E-3</v>
      </c>
      <c r="AN81" s="1">
        <v>9.6899200000000001E-4</v>
      </c>
      <c r="AO81" s="1">
        <v>2.538036E-3</v>
      </c>
      <c r="AP81" s="1">
        <v>6.2370100000000005E-4</v>
      </c>
    </row>
    <row r="82" spans="1:42">
      <c r="A82" s="1" t="s">
        <v>200</v>
      </c>
      <c r="B82" s="1" t="s">
        <v>199</v>
      </c>
      <c r="C82" s="1" t="s">
        <v>20</v>
      </c>
      <c r="D82" s="1">
        <v>469</v>
      </c>
      <c r="E82" s="1">
        <v>553</v>
      </c>
      <c r="F82" s="2">
        <f t="shared" si="45"/>
        <v>136.79946364171292</v>
      </c>
      <c r="G82" s="2">
        <f t="shared" si="33"/>
        <v>76.450367561871388</v>
      </c>
      <c r="H82" s="2">
        <f t="shared" si="34"/>
        <v>27.023395456966149</v>
      </c>
      <c r="I82" s="2">
        <f t="shared" si="35"/>
        <v>1.2409795297379436</v>
      </c>
      <c r="J82" s="2">
        <f t="shared" si="36"/>
        <v>32.980769230769205</v>
      </c>
      <c r="K82" s="2">
        <f t="shared" si="37"/>
        <v>80.69150641025638</v>
      </c>
      <c r="L82" s="2">
        <f t="shared" si="38"/>
        <v>83.999999999999901</v>
      </c>
      <c r="M82" s="2">
        <f t="shared" si="46"/>
        <v>69.290899999999993</v>
      </c>
      <c r="N82" s="2">
        <f t="shared" si="39"/>
        <v>10.410986480999998</v>
      </c>
      <c r="O82" s="2">
        <f t="shared" si="47"/>
        <v>95.668999999999997</v>
      </c>
      <c r="P82" s="2">
        <f t="shared" si="40"/>
        <v>7.6630183280000006</v>
      </c>
      <c r="Q82" s="2">
        <f t="shared" si="41"/>
        <v>5.251281917</v>
      </c>
      <c r="R82" s="2">
        <f t="shared" si="42"/>
        <v>0.49999992700000001</v>
      </c>
      <c r="S82" s="2">
        <f t="shared" si="43"/>
        <v>3.5775002269999998</v>
      </c>
      <c r="T82" s="2">
        <f t="shared" si="44"/>
        <v>0.99483870499999993</v>
      </c>
      <c r="U82" s="2">
        <f t="shared" si="48"/>
        <v>2.582661522</v>
      </c>
      <c r="V82" s="3">
        <f t="shared" si="49"/>
        <v>0.29168329134693588</v>
      </c>
      <c r="W82" s="3">
        <f t="shared" si="50"/>
        <v>0.40466303153203925</v>
      </c>
      <c r="X82" s="3">
        <f t="shared" si="51"/>
        <v>0.56746945413239736</v>
      </c>
      <c r="Y82" s="3">
        <f t="shared" si="52"/>
        <v>0.97213248566443666</v>
      </c>
      <c r="Z82" s="1">
        <v>0.3004</v>
      </c>
      <c r="AA82" s="1">
        <v>0.17299999999999999</v>
      </c>
      <c r="AB82" s="1">
        <v>0.12529999999999999</v>
      </c>
      <c r="AD82" s="2">
        <f t="shared" si="53"/>
        <v>103.81869441094372</v>
      </c>
      <c r="AE82" s="4" t="s">
        <v>202</v>
      </c>
      <c r="AF82" s="4" t="s">
        <v>203</v>
      </c>
      <c r="AG82" s="1">
        <v>1.1953333999999999E-2</v>
      </c>
      <c r="AH82" s="4" t="s">
        <v>201</v>
      </c>
      <c r="AI82" s="4" t="s">
        <v>204</v>
      </c>
      <c r="AJ82" s="4" t="s">
        <v>205</v>
      </c>
      <c r="AK82" s="1">
        <v>1.8826376999999998E-2</v>
      </c>
      <c r="AL82" s="1">
        <v>1.3857176000000001E-2</v>
      </c>
      <c r="AM82" s="1">
        <v>9.4959889999999998E-3</v>
      </c>
      <c r="AN82" s="1">
        <v>9.0415899999999997E-4</v>
      </c>
      <c r="AO82" s="1">
        <v>6.4692589999999998E-3</v>
      </c>
      <c r="AP82" s="1">
        <v>1.7989849999999999E-3</v>
      </c>
    </row>
    <row r="83" spans="1:42">
      <c r="A83" s="1" t="s">
        <v>33</v>
      </c>
      <c r="B83" s="1" t="s">
        <v>32</v>
      </c>
      <c r="C83" s="1" t="s">
        <v>34</v>
      </c>
      <c r="D83" s="1">
        <v>598</v>
      </c>
      <c r="E83" s="1">
        <v>660</v>
      </c>
      <c r="F83" s="2">
        <f t="shared" si="45"/>
        <v>174.11279959056</v>
      </c>
      <c r="G83" s="2">
        <f t="shared" si="33"/>
        <v>101.94943215719502</v>
      </c>
      <c r="H83" s="2">
        <f t="shared" si="34"/>
        <v>35.431945602743177</v>
      </c>
      <c r="I83" s="2">
        <f t="shared" si="35"/>
        <v>5.6801220782772814</v>
      </c>
      <c r="J83" s="2">
        <f t="shared" si="36"/>
        <v>30.870121919999999</v>
      </c>
      <c r="K83" s="2">
        <f t="shared" si="37"/>
        <v>101.4717482668197</v>
      </c>
      <c r="L83" s="2">
        <f t="shared" si="38"/>
        <v>91.99999999999973</v>
      </c>
      <c r="M83" s="2">
        <f t="shared" si="46"/>
        <v>48.18</v>
      </c>
      <c r="N83" s="2">
        <f t="shared" si="39"/>
        <v>5.7276218999999999</v>
      </c>
      <c r="O83" s="2">
        <f t="shared" si="47"/>
        <v>114.048</v>
      </c>
      <c r="P83" s="2">
        <f t="shared" si="40"/>
        <v>6.42407898</v>
      </c>
      <c r="Q83" s="2">
        <f t="shared" si="41"/>
        <v>6.0292683</v>
      </c>
      <c r="R83" s="2">
        <f t="shared" si="42"/>
        <v>0.50000016000000003</v>
      </c>
      <c r="S83" s="2">
        <f t="shared" si="43"/>
        <v>33.813844019999998</v>
      </c>
      <c r="T83" s="2">
        <f t="shared" si="44"/>
        <v>9.7831166399999994</v>
      </c>
      <c r="U83" s="2">
        <f t="shared" si="48"/>
        <v>24.030727379999998</v>
      </c>
      <c r="V83" s="3">
        <f t="shared" si="49"/>
        <v>0.29115852774341139</v>
      </c>
      <c r="W83" s="3">
        <f t="shared" si="50"/>
        <v>0.35633280936609807</v>
      </c>
      <c r="X83" s="3">
        <f t="shared" si="51"/>
        <v>0.52397019611624285</v>
      </c>
      <c r="Y83" s="3">
        <f t="shared" si="52"/>
        <v>0.88030300548234086</v>
      </c>
      <c r="Z83" s="1">
        <v>0.312</v>
      </c>
      <c r="AA83" s="1">
        <v>0.17280000000000001</v>
      </c>
      <c r="AB83" s="1">
        <v>7.2999999999999995E-2</v>
      </c>
      <c r="AD83" s="2">
        <f t="shared" si="53"/>
        <v>143.24267767056</v>
      </c>
      <c r="AE83" s="4" t="s">
        <v>35</v>
      </c>
      <c r="AF83" s="4" t="s">
        <v>36</v>
      </c>
      <c r="AG83" s="1">
        <v>3.9653839000000003E-2</v>
      </c>
      <c r="AH83" s="1">
        <v>4.6772912E-2</v>
      </c>
      <c r="AI83" s="4" t="s">
        <v>37</v>
      </c>
      <c r="AJ83" s="4" t="s">
        <v>38</v>
      </c>
      <c r="AK83" s="1">
        <v>8.6782149999999995E-3</v>
      </c>
      <c r="AL83" s="1">
        <v>9.7334529999999995E-3</v>
      </c>
      <c r="AM83" s="1">
        <v>9.1352550000000001E-3</v>
      </c>
      <c r="AN83" s="1">
        <v>7.5757600000000004E-4</v>
      </c>
      <c r="AO83" s="1">
        <v>5.1233096999999998E-2</v>
      </c>
      <c r="AP83" s="1">
        <v>1.4822904E-2</v>
      </c>
    </row>
    <row r="84" spans="1:42">
      <c r="A84" s="1" t="s">
        <v>33</v>
      </c>
      <c r="B84" s="1" t="s">
        <v>1049</v>
      </c>
      <c r="C84" s="1" t="s">
        <v>87</v>
      </c>
      <c r="D84" s="1">
        <v>349</v>
      </c>
      <c r="E84" s="1">
        <v>391</v>
      </c>
      <c r="F84" s="2">
        <f t="shared" si="45"/>
        <v>82.824240087317889</v>
      </c>
      <c r="G84" s="2">
        <f t="shared" si="33"/>
        <v>51.521307125371315</v>
      </c>
      <c r="H84" s="2">
        <f t="shared" si="34"/>
        <v>17.083602082457844</v>
      </c>
      <c r="I84" s="2">
        <f t="shared" si="35"/>
        <v>2.860969645477728</v>
      </c>
      <c r="J84" s="2">
        <f t="shared" si="36"/>
        <v>11.176546391752549</v>
      </c>
      <c r="K84" s="2">
        <f t="shared" si="37"/>
        <v>45.497567935830375</v>
      </c>
      <c r="L84" s="2">
        <f t="shared" si="38"/>
        <v>46.999999999999737</v>
      </c>
      <c r="M84" s="2">
        <f t="shared" si="46"/>
        <v>36.988599999999998</v>
      </c>
      <c r="N84" s="2">
        <f t="shared" si="39"/>
        <v>0.88959029699999992</v>
      </c>
      <c r="O84" s="2">
        <f t="shared" si="47"/>
        <v>101.7773</v>
      </c>
      <c r="P84" s="2">
        <f t="shared" si="40"/>
        <v>1.9429536810000001</v>
      </c>
      <c r="Q84" s="2">
        <f t="shared" si="41"/>
        <v>3.018556754</v>
      </c>
      <c r="R84" s="2">
        <f t="shared" si="42"/>
        <v>0.83418794299999999</v>
      </c>
      <c r="S84" s="2">
        <f t="shared" si="43"/>
        <v>3.6675811729999999</v>
      </c>
      <c r="T84" s="2">
        <f t="shared" si="44"/>
        <v>1.0683754379999999</v>
      </c>
      <c r="U84" s="2">
        <f t="shared" si="48"/>
        <v>2.599205735</v>
      </c>
      <c r="V84" s="3">
        <f t="shared" si="49"/>
        <v>0.23731873950520885</v>
      </c>
      <c r="W84" s="3">
        <f t="shared" si="50"/>
        <v>0.31455862351494662</v>
      </c>
      <c r="X84" s="3">
        <f t="shared" si="51"/>
        <v>0.39821663551212144</v>
      </c>
      <c r="Y84" s="3">
        <f t="shared" si="52"/>
        <v>0.71277525902706806</v>
      </c>
      <c r="Z84" s="4" t="s">
        <v>1050</v>
      </c>
      <c r="AA84" s="4" t="s">
        <v>1051</v>
      </c>
      <c r="AB84" s="1">
        <v>9.4600000000000004E-2</v>
      </c>
      <c r="AD84" s="2">
        <f t="shared" si="53"/>
        <v>71.647693695565337</v>
      </c>
      <c r="AE84" s="4" t="s">
        <v>1053</v>
      </c>
      <c r="AF84" s="4" t="s">
        <v>1054</v>
      </c>
      <c r="AG84" s="1">
        <v>3.9931078000000002E-2</v>
      </c>
      <c r="AH84" s="4" t="s">
        <v>1052</v>
      </c>
      <c r="AI84" s="4" t="s">
        <v>1055</v>
      </c>
      <c r="AJ84" s="4" t="s">
        <v>1056</v>
      </c>
      <c r="AK84" s="1">
        <v>2.2751669999999998E-3</v>
      </c>
      <c r="AL84" s="1">
        <v>4.9691910000000004E-3</v>
      </c>
      <c r="AM84" s="1">
        <v>7.7200940000000003E-3</v>
      </c>
      <c r="AN84" s="1">
        <v>2.1334729999999999E-3</v>
      </c>
      <c r="AO84" s="1">
        <v>9.3800029999999996E-3</v>
      </c>
      <c r="AP84" s="1">
        <v>2.7324179999999999E-3</v>
      </c>
    </row>
    <row r="85" spans="1:42">
      <c r="A85" s="1" t="s">
        <v>33</v>
      </c>
      <c r="B85" s="1" t="s">
        <v>1114</v>
      </c>
      <c r="C85" s="1" t="s">
        <v>391</v>
      </c>
      <c r="D85" s="1">
        <v>446</v>
      </c>
      <c r="E85" s="1">
        <v>493</v>
      </c>
      <c r="F85" s="2">
        <f t="shared" si="45"/>
        <v>106.63698358107929</v>
      </c>
      <c r="G85" s="2">
        <f t="shared" si="33"/>
        <v>67.135028869893532</v>
      </c>
      <c r="H85" s="2">
        <f t="shared" si="34"/>
        <v>20.847241047255892</v>
      </c>
      <c r="I85" s="2">
        <f t="shared" si="35"/>
        <v>1.8335929590426752</v>
      </c>
      <c r="J85" s="2">
        <f t="shared" si="36"/>
        <v>16.589999999999971</v>
      </c>
      <c r="K85" s="2">
        <f t="shared" si="37"/>
        <v>58.530766045548241</v>
      </c>
      <c r="L85" s="2">
        <f t="shared" si="38"/>
        <v>63.000000170999996</v>
      </c>
      <c r="M85" s="2">
        <f t="shared" si="46"/>
        <v>37.467999999999996</v>
      </c>
      <c r="N85" s="2">
        <f t="shared" si="39"/>
        <v>1.9718742849999999</v>
      </c>
      <c r="O85" s="2">
        <f t="shared" si="47"/>
        <v>105.79780000000001</v>
      </c>
      <c r="P85" s="2">
        <f t="shared" si="40"/>
        <v>6.1526715520000002</v>
      </c>
      <c r="Q85" s="2">
        <f t="shared" si="41"/>
        <v>3.0000001489999999</v>
      </c>
      <c r="R85" s="2">
        <f t="shared" si="42"/>
        <v>0</v>
      </c>
      <c r="S85" s="2">
        <f t="shared" si="43"/>
        <v>2.7186337099999998</v>
      </c>
      <c r="T85" s="2">
        <f t="shared" si="44"/>
        <v>1.1111648119999999</v>
      </c>
      <c r="U85" s="2">
        <f t="shared" si="48"/>
        <v>1.6074688979999998</v>
      </c>
      <c r="V85" s="3">
        <f t="shared" si="49"/>
        <v>0.23909637574233025</v>
      </c>
      <c r="W85" s="3">
        <f t="shared" si="50"/>
        <v>0.31166482792683864</v>
      </c>
      <c r="X85" s="3">
        <f t="shared" si="51"/>
        <v>0.40513517901689067</v>
      </c>
      <c r="Y85" s="3">
        <f t="shared" si="52"/>
        <v>0.71680000694372925</v>
      </c>
      <c r="Z85" s="1">
        <v>0.2757</v>
      </c>
      <c r="AA85" s="1">
        <v>0.21460000000000001</v>
      </c>
      <c r="AB85" s="1">
        <v>7.5999999999999998E-2</v>
      </c>
      <c r="AD85" s="2">
        <f t="shared" si="53"/>
        <v>90.046983581079317</v>
      </c>
      <c r="AE85" s="4" t="s">
        <v>1116</v>
      </c>
      <c r="AF85" s="4" t="s">
        <v>1117</v>
      </c>
      <c r="AG85" s="1">
        <v>2.0362624999999999E-2</v>
      </c>
      <c r="AH85" s="4" t="s">
        <v>1115</v>
      </c>
      <c r="AI85" s="4" t="s">
        <v>1118</v>
      </c>
      <c r="AJ85" s="1">
        <v>0.12778904699999999</v>
      </c>
      <c r="AK85" s="1">
        <v>3.9997449999999999E-3</v>
      </c>
      <c r="AL85" s="1">
        <v>1.2480064000000001E-2</v>
      </c>
      <c r="AM85" s="1">
        <v>6.085193E-3</v>
      </c>
      <c r="AN85" s="1">
        <v>0</v>
      </c>
      <c r="AO85" s="1">
        <v>5.5144699999999996E-3</v>
      </c>
      <c r="AP85" s="1">
        <v>2.2538839999999998E-3</v>
      </c>
    </row>
    <row r="86" spans="1:42">
      <c r="A86" s="1" t="s">
        <v>33</v>
      </c>
      <c r="B86" s="1" t="s">
        <v>989</v>
      </c>
      <c r="C86" s="1" t="s">
        <v>896</v>
      </c>
      <c r="D86" s="1">
        <v>454</v>
      </c>
      <c r="E86" s="1">
        <v>525</v>
      </c>
      <c r="F86" s="2">
        <f t="shared" si="45"/>
        <v>111.829552008975</v>
      </c>
      <c r="G86" s="2">
        <f t="shared" si="33"/>
        <v>73.235139628171851</v>
      </c>
      <c r="H86" s="2">
        <f t="shared" si="34"/>
        <v>24.295803352610108</v>
      </c>
      <c r="I86" s="2">
        <f t="shared" si="35"/>
        <v>1.011392830243754</v>
      </c>
      <c r="J86" s="2">
        <f t="shared" si="36"/>
        <v>13.035260174999999</v>
      </c>
      <c r="K86" s="2">
        <f t="shared" si="37"/>
        <v>62.5000951196307</v>
      </c>
      <c r="L86" s="2">
        <f t="shared" si="38"/>
        <v>50.999999924999997</v>
      </c>
      <c r="M86" s="2">
        <f t="shared" si="46"/>
        <v>53.549999999999471</v>
      </c>
      <c r="N86" s="2">
        <f t="shared" si="39"/>
        <v>0</v>
      </c>
      <c r="O86" s="2">
        <f t="shared" si="47"/>
        <v>100.17</v>
      </c>
      <c r="P86" s="2">
        <f t="shared" si="40"/>
        <v>13.209092329323502</v>
      </c>
      <c r="Q86" s="2">
        <f t="shared" si="41"/>
        <v>4.0369943250000002</v>
      </c>
      <c r="R86" s="2">
        <f t="shared" si="42"/>
        <v>0.97297305000000001</v>
      </c>
      <c r="S86" s="2">
        <f t="shared" si="43"/>
        <v>4.8987340499999998</v>
      </c>
      <c r="T86" s="2">
        <f t="shared" si="44"/>
        <v>1.9743669750000001</v>
      </c>
      <c r="U86" s="2">
        <f t="shared" si="48"/>
        <v>2.9243670749999997</v>
      </c>
      <c r="V86" s="3">
        <f t="shared" si="49"/>
        <v>0.24632059913871146</v>
      </c>
      <c r="W86" s="3">
        <f t="shared" si="50"/>
        <v>0.34908753803237758</v>
      </c>
      <c r="X86" s="3">
        <f t="shared" si="51"/>
        <v>0.38987217075798092</v>
      </c>
      <c r="Y86" s="3">
        <f t="shared" si="52"/>
        <v>0.73895970879035855</v>
      </c>
      <c r="Z86" s="1">
        <v>0.28649999999999998</v>
      </c>
      <c r="AA86" s="1">
        <v>0.1908</v>
      </c>
      <c r="AB86" s="4" t="s">
        <v>990</v>
      </c>
      <c r="AD86" s="2">
        <f t="shared" si="53"/>
        <v>98.794291833974995</v>
      </c>
      <c r="AE86" s="4" t="s">
        <v>991</v>
      </c>
      <c r="AF86" s="4" t="s">
        <v>992</v>
      </c>
      <c r="AG86" s="1">
        <v>1.0237361E-2</v>
      </c>
      <c r="AH86" s="1">
        <v>2.4829067E-2</v>
      </c>
      <c r="AI86" s="4" t="s">
        <v>993</v>
      </c>
      <c r="AJ86" s="1">
        <v>9.7142856999999999E-2</v>
      </c>
      <c r="AK86" s="1">
        <v>0</v>
      </c>
      <c r="AL86" s="4" t="s">
        <v>994</v>
      </c>
      <c r="AM86" s="1">
        <v>7.6895130000000003E-3</v>
      </c>
      <c r="AN86" s="1">
        <v>1.8532819999999999E-3</v>
      </c>
      <c r="AO86" s="1">
        <v>9.3309220000000002E-3</v>
      </c>
      <c r="AP86" s="1">
        <v>3.7606990000000002E-3</v>
      </c>
    </row>
    <row r="87" spans="1:42">
      <c r="A87" s="1" t="s">
        <v>33</v>
      </c>
      <c r="B87" s="1" t="s">
        <v>351</v>
      </c>
      <c r="C87" s="1" t="s">
        <v>352</v>
      </c>
      <c r="D87" s="1">
        <v>577</v>
      </c>
      <c r="E87" s="1">
        <v>640</v>
      </c>
      <c r="F87" s="2">
        <f t="shared" si="45"/>
        <v>154.4060012120745</v>
      </c>
      <c r="G87" s="2">
        <f t="shared" si="33"/>
        <v>107.76610269833756</v>
      </c>
      <c r="H87" s="2">
        <f t="shared" si="34"/>
        <v>31.324070354379831</v>
      </c>
      <c r="I87" s="2">
        <f t="shared" si="35"/>
        <v>4.0091598676152689</v>
      </c>
      <c r="J87" s="2">
        <f t="shared" si="36"/>
        <v>12.992125984251903</v>
      </c>
      <c r="K87" s="2">
        <f t="shared" si="37"/>
        <v>83.092220709253127</v>
      </c>
      <c r="L87" s="2">
        <f t="shared" si="38"/>
        <v>65</v>
      </c>
      <c r="M87" s="2">
        <f t="shared" si="46"/>
        <v>52.671999999999997</v>
      </c>
      <c r="N87" s="2">
        <f t="shared" si="39"/>
        <v>0.20157503999999998</v>
      </c>
      <c r="O87" s="2">
        <f t="shared" si="47"/>
        <v>96.255999999999361</v>
      </c>
      <c r="P87" s="2">
        <f t="shared" si="40"/>
        <v>1.9102361600000002</v>
      </c>
      <c r="Q87" s="2">
        <f t="shared" si="41"/>
        <v>5.8377952000000004</v>
      </c>
      <c r="R87" s="2">
        <f t="shared" si="42"/>
        <v>3.0118112000000004</v>
      </c>
      <c r="S87" s="2">
        <f t="shared" si="43"/>
        <v>26.282706560000001</v>
      </c>
      <c r="T87" s="2">
        <f t="shared" si="44"/>
        <v>6.9361631999999993</v>
      </c>
      <c r="U87" s="2">
        <f t="shared" si="48"/>
        <v>19.346543360000002</v>
      </c>
      <c r="V87" s="3">
        <f t="shared" si="49"/>
        <v>0.26760138858245147</v>
      </c>
      <c r="W87" s="3">
        <f t="shared" si="50"/>
        <v>0.32906413540015672</v>
      </c>
      <c r="X87" s="3">
        <f t="shared" si="51"/>
        <v>0.40625689245572033</v>
      </c>
      <c r="Y87" s="3">
        <f t="shared" si="52"/>
        <v>0.73532102785587705</v>
      </c>
      <c r="Z87" s="1">
        <v>0.29859999999999998</v>
      </c>
      <c r="AA87" s="4" t="s">
        <v>353</v>
      </c>
      <c r="AB87" s="1">
        <v>8.2299999999999998E-2</v>
      </c>
      <c r="AD87" s="2">
        <f t="shared" si="53"/>
        <v>141.41387522782259</v>
      </c>
      <c r="AE87" s="4" t="s">
        <v>355</v>
      </c>
      <c r="AF87" s="4" t="s">
        <v>356</v>
      </c>
      <c r="AG87" s="1">
        <v>2.8350541E-2</v>
      </c>
      <c r="AH87" s="4" t="s">
        <v>354</v>
      </c>
      <c r="AI87" s="4" t="s">
        <v>357</v>
      </c>
      <c r="AJ87" s="1">
        <v>0.1015625</v>
      </c>
      <c r="AK87" s="1">
        <v>3.14961E-4</v>
      </c>
      <c r="AL87" s="1">
        <v>2.9847440000000001E-3</v>
      </c>
      <c r="AM87" s="1">
        <v>9.1215549999999999E-3</v>
      </c>
      <c r="AN87" s="1">
        <v>4.7059550000000004E-3</v>
      </c>
      <c r="AO87" s="1">
        <v>4.1066729000000003E-2</v>
      </c>
      <c r="AP87" s="1">
        <v>1.0837754999999999E-2</v>
      </c>
    </row>
    <row r="88" spans="1:42">
      <c r="A88" s="1" t="s">
        <v>33</v>
      </c>
      <c r="B88" s="1" t="s">
        <v>453</v>
      </c>
      <c r="C88" s="1" t="s">
        <v>366</v>
      </c>
      <c r="D88" s="1">
        <v>532</v>
      </c>
      <c r="E88" s="1">
        <v>575</v>
      </c>
      <c r="F88" s="2">
        <f t="shared" si="45"/>
        <v>133.59234438244499</v>
      </c>
      <c r="G88" s="2">
        <f t="shared" si="33"/>
        <v>79.475221906224334</v>
      </c>
      <c r="H88" s="2">
        <f t="shared" si="34"/>
        <v>25.69348066204812</v>
      </c>
      <c r="I88" s="2">
        <f t="shared" si="35"/>
        <v>0.49665865535037335</v>
      </c>
      <c r="J88" s="2">
        <f t="shared" si="36"/>
        <v>28.300706499999997</v>
      </c>
      <c r="K88" s="2">
        <f t="shared" si="37"/>
        <v>61.315035166348146</v>
      </c>
      <c r="L88" s="2">
        <f t="shared" si="38"/>
        <v>87.999999999999673</v>
      </c>
      <c r="M88" s="2">
        <f t="shared" si="46"/>
        <v>29.727499999999942</v>
      </c>
      <c r="N88" s="2">
        <f t="shared" si="39"/>
        <v>5.0683116250000007</v>
      </c>
      <c r="O88" s="2">
        <f t="shared" si="47"/>
        <v>120.46249999999999</v>
      </c>
      <c r="P88" s="2">
        <f t="shared" si="40"/>
        <v>9.5858658249999991</v>
      </c>
      <c r="Q88" s="2">
        <f t="shared" si="41"/>
        <v>4.8636041500000005</v>
      </c>
      <c r="R88" s="2">
        <f t="shared" si="42"/>
        <v>0</v>
      </c>
      <c r="S88" s="2">
        <f t="shared" si="43"/>
        <v>0.27555897500000004</v>
      </c>
      <c r="T88" s="2">
        <f t="shared" si="44"/>
        <v>0</v>
      </c>
      <c r="U88" s="2">
        <f t="shared" si="48"/>
        <v>0.27555897500000004</v>
      </c>
      <c r="V88" s="3">
        <f t="shared" si="49"/>
        <v>0.25111342929031011</v>
      </c>
      <c r="W88" s="3">
        <f t="shared" si="50"/>
        <v>0.31132876835618134</v>
      </c>
      <c r="X88" s="3">
        <f t="shared" si="51"/>
        <v>0.46156952104581145</v>
      </c>
      <c r="Y88" s="3">
        <f t="shared" si="52"/>
        <v>0.77289828940199279</v>
      </c>
      <c r="Z88" s="1">
        <v>0.27129999999999999</v>
      </c>
      <c r="AA88" s="4" t="s">
        <v>454</v>
      </c>
      <c r="AB88" s="4" t="s">
        <v>455</v>
      </c>
      <c r="AD88" s="2">
        <f t="shared" si="53"/>
        <v>105.291637882445</v>
      </c>
      <c r="AE88" s="4" t="s">
        <v>456</v>
      </c>
      <c r="AF88" s="4" t="s">
        <v>457</v>
      </c>
      <c r="AG88" s="1">
        <v>4.7169810000000003E-3</v>
      </c>
      <c r="AH88" s="1">
        <v>4.9218619999999998E-2</v>
      </c>
      <c r="AI88" s="4" t="s">
        <v>458</v>
      </c>
      <c r="AJ88" s="4" t="s">
        <v>459</v>
      </c>
      <c r="AK88" s="1">
        <v>8.8144550000000006E-3</v>
      </c>
      <c r="AL88" s="1">
        <v>1.6671070999999999E-2</v>
      </c>
      <c r="AM88" s="1">
        <v>8.458442E-3</v>
      </c>
      <c r="AN88" s="1">
        <v>0</v>
      </c>
      <c r="AO88" s="1">
        <v>4.7923300000000002E-4</v>
      </c>
      <c r="AP88" s="1">
        <v>0</v>
      </c>
    </row>
    <row r="89" spans="1:42">
      <c r="A89" s="1" t="s">
        <v>33</v>
      </c>
      <c r="B89" s="1" t="s">
        <v>397</v>
      </c>
      <c r="C89" s="1" t="s">
        <v>124</v>
      </c>
      <c r="D89" s="1">
        <v>566</v>
      </c>
      <c r="E89" s="1">
        <v>630</v>
      </c>
      <c r="F89" s="2">
        <f t="shared" si="45"/>
        <v>145.52855376828398</v>
      </c>
      <c r="G89" s="2">
        <f t="shared" si="33"/>
        <v>88.751543598355781</v>
      </c>
      <c r="H89" s="2">
        <f t="shared" si="34"/>
        <v>30.531719873117346</v>
      </c>
      <c r="I89" s="2">
        <f t="shared" si="35"/>
        <v>1.2353224257955306</v>
      </c>
      <c r="J89" s="2">
        <f t="shared" si="36"/>
        <v>24.303349350000001</v>
      </c>
      <c r="K89" s="2">
        <f t="shared" si="37"/>
        <v>73.254639068025654</v>
      </c>
      <c r="L89" s="2">
        <f t="shared" si="38"/>
        <v>92.999999999999616</v>
      </c>
      <c r="M89" s="2">
        <f t="shared" si="46"/>
        <v>52.100999999999999</v>
      </c>
      <c r="N89" s="2">
        <f t="shared" si="39"/>
        <v>3.4843517099999999</v>
      </c>
      <c r="O89" s="2">
        <f t="shared" si="47"/>
        <v>93.303000000000011</v>
      </c>
      <c r="P89" s="2">
        <f t="shared" si="40"/>
        <v>6.03386406</v>
      </c>
      <c r="Q89" s="2">
        <f t="shared" si="41"/>
        <v>6.8267940300000003</v>
      </c>
      <c r="R89" s="2">
        <f t="shared" si="42"/>
        <v>0</v>
      </c>
      <c r="S89" s="2">
        <f t="shared" si="43"/>
        <v>1.28478231</v>
      </c>
      <c r="T89" s="2">
        <f t="shared" si="44"/>
        <v>0</v>
      </c>
      <c r="U89" s="2">
        <f t="shared" si="48"/>
        <v>1.28478231</v>
      </c>
      <c r="V89" s="3">
        <f t="shared" si="49"/>
        <v>0.25711758616304592</v>
      </c>
      <c r="W89" s="3">
        <f t="shared" si="50"/>
        <v>0.32963680117027777</v>
      </c>
      <c r="X89" s="3">
        <f t="shared" si="51"/>
        <v>0.442993547742009</v>
      </c>
      <c r="Y89" s="3">
        <f t="shared" si="52"/>
        <v>0.77263034891228677</v>
      </c>
      <c r="Z89" s="1">
        <v>0.26629999999999998</v>
      </c>
      <c r="AA89" s="1">
        <v>0.14810000000000001</v>
      </c>
      <c r="AB89" s="1">
        <v>8.2699999999999996E-2</v>
      </c>
      <c r="AD89" s="2">
        <f t="shared" si="53"/>
        <v>121.22520441828399</v>
      </c>
      <c r="AE89" s="4" t="s">
        <v>398</v>
      </c>
      <c r="AF89" s="4" t="s">
        <v>399</v>
      </c>
      <c r="AG89" s="4" t="s">
        <v>400</v>
      </c>
      <c r="AH89" s="1">
        <v>3.8576745000000003E-2</v>
      </c>
      <c r="AI89" s="4" t="s">
        <v>401</v>
      </c>
      <c r="AJ89" s="4" t="s">
        <v>402</v>
      </c>
      <c r="AK89" s="1">
        <v>5.5307170000000001E-3</v>
      </c>
      <c r="AL89" s="1">
        <v>9.5775619999999995E-3</v>
      </c>
      <c r="AM89" s="1">
        <v>1.0836181E-2</v>
      </c>
      <c r="AN89" s="1">
        <v>0</v>
      </c>
      <c r="AO89" s="1">
        <v>2.039337E-3</v>
      </c>
      <c r="AP89" s="1">
        <v>0</v>
      </c>
    </row>
    <row r="90" spans="1:42">
      <c r="A90" s="1" t="s">
        <v>214</v>
      </c>
      <c r="B90" s="1" t="s">
        <v>556</v>
      </c>
      <c r="C90" s="1" t="s">
        <v>20</v>
      </c>
      <c r="D90" s="1">
        <v>515</v>
      </c>
      <c r="E90" s="1">
        <v>566</v>
      </c>
      <c r="F90" s="2">
        <f t="shared" si="45"/>
        <v>122.02938256972178</v>
      </c>
      <c r="G90" s="2">
        <f t="shared" si="33"/>
        <v>67.407992495284191</v>
      </c>
      <c r="H90" s="2">
        <f t="shared" si="34"/>
        <v>23.114220991585363</v>
      </c>
      <c r="I90" s="2">
        <f t="shared" si="35"/>
        <v>1.307079787177706</v>
      </c>
      <c r="J90" s="2">
        <f t="shared" si="36"/>
        <v>30.387096699999997</v>
      </c>
      <c r="K90" s="2">
        <f t="shared" si="37"/>
        <v>68.650760309124621</v>
      </c>
      <c r="L90" s="2">
        <f t="shared" si="38"/>
        <v>83.000000259999993</v>
      </c>
      <c r="M90" s="2">
        <f t="shared" si="46"/>
        <v>39.2804</v>
      </c>
      <c r="N90" s="2">
        <f t="shared" si="39"/>
        <v>1.0007661080000001</v>
      </c>
      <c r="O90" s="2">
        <f t="shared" si="47"/>
        <v>152.08419999999944</v>
      </c>
      <c r="P90" s="2">
        <f t="shared" si="40"/>
        <v>8.2522148876986954</v>
      </c>
      <c r="Q90" s="2">
        <f t="shared" si="41"/>
        <v>3.0344086359999998</v>
      </c>
      <c r="R90" s="2">
        <f t="shared" si="42"/>
        <v>0</v>
      </c>
      <c r="S90" s="2">
        <f t="shared" si="43"/>
        <v>9.3488370800000009</v>
      </c>
      <c r="T90" s="2">
        <f t="shared" si="44"/>
        <v>3.5877902320000001</v>
      </c>
      <c r="U90" s="2">
        <f t="shared" si="48"/>
        <v>5.7610468480000012</v>
      </c>
      <c r="V90" s="3">
        <f t="shared" si="49"/>
        <v>0.23695025741693548</v>
      </c>
      <c r="W90" s="3">
        <f t="shared" si="50"/>
        <v>0.30549526339763544</v>
      </c>
      <c r="X90" s="3">
        <f t="shared" si="51"/>
        <v>0.4642836128931806</v>
      </c>
      <c r="Y90" s="3">
        <f t="shared" si="52"/>
        <v>0.76977887629081598</v>
      </c>
      <c r="Z90" s="1">
        <v>0.27310000000000001</v>
      </c>
      <c r="AA90" s="4" t="s">
        <v>557</v>
      </c>
      <c r="AB90" s="1">
        <v>6.9400000000000003E-2</v>
      </c>
      <c r="AD90" s="2">
        <f t="shared" si="53"/>
        <v>91.642285869721775</v>
      </c>
      <c r="AE90" s="4" t="s">
        <v>558</v>
      </c>
      <c r="AF90" s="4" t="s">
        <v>559</v>
      </c>
      <c r="AG90" s="4" t="s">
        <v>560</v>
      </c>
      <c r="AH90" s="1">
        <v>5.3687449999999998E-2</v>
      </c>
      <c r="AI90" s="4" t="s">
        <v>561</v>
      </c>
      <c r="AJ90" s="1">
        <v>0.14664310999999999</v>
      </c>
      <c r="AK90" s="1">
        <v>1.768138E-3</v>
      </c>
      <c r="AL90" s="4" t="s">
        <v>562</v>
      </c>
      <c r="AM90" s="1">
        <v>5.3611459999999998E-3</v>
      </c>
      <c r="AN90" s="1">
        <v>0</v>
      </c>
      <c r="AO90" s="1">
        <v>1.6517380000000002E-2</v>
      </c>
      <c r="AP90" s="1">
        <v>6.3388519999999999E-3</v>
      </c>
    </row>
    <row r="91" spans="1:42">
      <c r="A91" s="1" t="s">
        <v>214</v>
      </c>
      <c r="B91" s="1" t="s">
        <v>918</v>
      </c>
      <c r="C91" s="1" t="s">
        <v>87</v>
      </c>
      <c r="D91" s="1">
        <v>413</v>
      </c>
      <c r="E91" s="1">
        <v>451</v>
      </c>
      <c r="F91" s="2">
        <f t="shared" si="45"/>
        <v>96.181414909794995</v>
      </c>
      <c r="G91" s="2">
        <f t="shared" si="33"/>
        <v>59.054501762526328</v>
      </c>
      <c r="H91" s="2">
        <f t="shared" si="34"/>
        <v>16.799474468316252</v>
      </c>
      <c r="I91" s="2">
        <f t="shared" si="35"/>
        <v>1.0856864244124111</v>
      </c>
      <c r="J91" s="2">
        <f t="shared" si="36"/>
        <v>19.076169343</v>
      </c>
      <c r="K91" s="2">
        <f t="shared" si="37"/>
        <v>47.961397362428222</v>
      </c>
      <c r="L91" s="2">
        <f t="shared" si="38"/>
        <v>52.999999999999702</v>
      </c>
      <c r="M91" s="2">
        <f t="shared" si="46"/>
        <v>31.164099999999998</v>
      </c>
      <c r="N91" s="2">
        <f t="shared" si="39"/>
        <v>0</v>
      </c>
      <c r="O91" s="2">
        <f t="shared" si="47"/>
        <v>126.18979999999999</v>
      </c>
      <c r="P91" s="2">
        <f t="shared" si="40"/>
        <v>5.0223923749999999</v>
      </c>
      <c r="Q91" s="2">
        <f t="shared" si="41"/>
        <v>2.8106906299999999</v>
      </c>
      <c r="R91" s="2">
        <f t="shared" si="42"/>
        <v>1.009029516</v>
      </c>
      <c r="S91" s="2">
        <f t="shared" si="43"/>
        <v>2.3148314640000001</v>
      </c>
      <c r="T91" s="2">
        <f t="shared" si="44"/>
        <v>1.5704753570000001</v>
      </c>
      <c r="U91" s="2">
        <f t="shared" si="48"/>
        <v>0.74435610699999999</v>
      </c>
      <c r="V91" s="3">
        <f t="shared" si="49"/>
        <v>0.2328847818639104</v>
      </c>
      <c r="W91" s="3">
        <f t="shared" si="50"/>
        <v>0.29614177367413869</v>
      </c>
      <c r="X91" s="3">
        <f t="shared" si="51"/>
        <v>0.41698592577335608</v>
      </c>
      <c r="Y91" s="3">
        <f t="shared" si="52"/>
        <v>0.71312769944749477</v>
      </c>
      <c r="Z91" s="1">
        <v>0.28499999999999998</v>
      </c>
      <c r="AA91" s="4" t="s">
        <v>919</v>
      </c>
      <c r="AB91" s="1">
        <v>6.9099999999999995E-2</v>
      </c>
      <c r="AD91" s="2">
        <f t="shared" si="53"/>
        <v>77.105245566794991</v>
      </c>
      <c r="AE91" s="4" t="s">
        <v>920</v>
      </c>
      <c r="AF91" s="4" t="s">
        <v>921</v>
      </c>
      <c r="AG91" s="1">
        <v>1.4080578E-2</v>
      </c>
      <c r="AH91" s="1">
        <v>4.2297492999999999E-2</v>
      </c>
      <c r="AI91" s="4" t="s">
        <v>922</v>
      </c>
      <c r="AJ91" s="4" t="s">
        <v>923</v>
      </c>
      <c r="AK91" s="1">
        <v>0</v>
      </c>
      <c r="AL91" s="1">
        <v>1.1136125E-2</v>
      </c>
      <c r="AM91" s="1">
        <v>6.2321299999999998E-3</v>
      </c>
      <c r="AN91" s="1">
        <v>2.237316E-3</v>
      </c>
      <c r="AO91" s="1">
        <v>5.1326640000000003E-3</v>
      </c>
      <c r="AP91" s="1">
        <v>3.4822070000000002E-3</v>
      </c>
    </row>
    <row r="92" spans="1:42">
      <c r="A92" s="1" t="s">
        <v>214</v>
      </c>
      <c r="B92" s="1" t="s">
        <v>679</v>
      </c>
      <c r="C92" s="1" t="s">
        <v>20</v>
      </c>
      <c r="D92" s="1">
        <v>424</v>
      </c>
      <c r="E92" s="1">
        <v>502</v>
      </c>
      <c r="F92" s="2">
        <f t="shared" si="45"/>
        <v>99.493947291764613</v>
      </c>
      <c r="G92" s="2">
        <f t="shared" si="33"/>
        <v>55.539233308607706</v>
      </c>
      <c r="H92" s="2">
        <f t="shared" si="34"/>
        <v>18.446243553761391</v>
      </c>
      <c r="I92" s="2">
        <f t="shared" si="35"/>
        <v>1.7727527779245045</v>
      </c>
      <c r="J92" s="2">
        <f t="shared" si="36"/>
        <v>24.305454545454477</v>
      </c>
      <c r="K92" s="2">
        <f t="shared" si="37"/>
        <v>65.297824675324634</v>
      </c>
      <c r="L92" s="2">
        <f t="shared" si="38"/>
        <v>63.999999999999773</v>
      </c>
      <c r="M92" s="2">
        <f t="shared" si="46"/>
        <v>67.920600000000007</v>
      </c>
      <c r="N92" s="2">
        <f t="shared" si="39"/>
        <v>6.8718383420000002</v>
      </c>
      <c r="O92" s="2">
        <f t="shared" si="47"/>
        <v>153.7124</v>
      </c>
      <c r="P92" s="2">
        <f t="shared" si="40"/>
        <v>6.7085317179999997</v>
      </c>
      <c r="Q92" s="2">
        <f t="shared" si="41"/>
        <v>3.2339392199999999</v>
      </c>
      <c r="R92" s="2">
        <f t="shared" si="42"/>
        <v>0</v>
      </c>
      <c r="S92" s="2">
        <f t="shared" si="43"/>
        <v>3.1446429579999999</v>
      </c>
      <c r="T92" s="2">
        <f t="shared" si="44"/>
        <v>1.0128633120000001</v>
      </c>
      <c r="U92" s="2">
        <f t="shared" si="48"/>
        <v>2.131779646</v>
      </c>
      <c r="V92" s="3">
        <f t="shared" si="49"/>
        <v>0.23465553606548259</v>
      </c>
      <c r="W92" s="3">
        <f t="shared" si="50"/>
        <v>0.36052870016658001</v>
      </c>
      <c r="X92" s="3">
        <f t="shared" si="51"/>
        <v>0.45983914370689127</v>
      </c>
      <c r="Y92" s="3">
        <f t="shared" si="52"/>
        <v>0.82036784387347128</v>
      </c>
      <c r="Z92" s="4" t="s">
        <v>680</v>
      </c>
      <c r="AA92" s="1">
        <v>0.30620000000000003</v>
      </c>
      <c r="AB92" s="1">
        <v>0.1353</v>
      </c>
      <c r="AD92" s="2">
        <f t="shared" si="53"/>
        <v>75.188492746310132</v>
      </c>
      <c r="AE92" s="4" t="s">
        <v>682</v>
      </c>
      <c r="AF92" s="4" t="s">
        <v>683</v>
      </c>
      <c r="AG92" s="1">
        <v>2.3577448000000001E-2</v>
      </c>
      <c r="AH92" s="4" t="s">
        <v>681</v>
      </c>
      <c r="AI92" s="4" t="s">
        <v>684</v>
      </c>
      <c r="AJ92" s="4" t="s">
        <v>685</v>
      </c>
      <c r="AK92" s="1">
        <v>1.3688921E-2</v>
      </c>
      <c r="AL92" s="1">
        <v>1.3363609E-2</v>
      </c>
      <c r="AM92" s="1">
        <v>6.44211E-3</v>
      </c>
      <c r="AN92" s="1">
        <v>0</v>
      </c>
      <c r="AO92" s="1">
        <v>6.2642289999999996E-3</v>
      </c>
      <c r="AP92" s="1">
        <v>2.0176560000000001E-3</v>
      </c>
    </row>
    <row r="93" spans="1:42">
      <c r="A93" s="1" t="s">
        <v>214</v>
      </c>
      <c r="B93" s="1" t="s">
        <v>1144</v>
      </c>
      <c r="C93" s="1" t="s">
        <v>124</v>
      </c>
      <c r="D93" s="1">
        <v>516</v>
      </c>
      <c r="E93" s="1">
        <v>598</v>
      </c>
      <c r="F93" s="2">
        <f t="shared" si="45"/>
        <v>131.40648861099899</v>
      </c>
      <c r="G93" s="2">
        <f t="shared" si="33"/>
        <v>97.843641473622881</v>
      </c>
      <c r="H93" s="2">
        <f t="shared" si="34"/>
        <v>22.514257673645393</v>
      </c>
      <c r="I93" s="2">
        <f t="shared" si="35"/>
        <v>1.2425394874058036</v>
      </c>
      <c r="J93" s="2">
        <f t="shared" si="36"/>
        <v>8.5484848484847991</v>
      </c>
      <c r="K93" s="2">
        <f t="shared" si="37"/>
        <v>71.277152477152157</v>
      </c>
      <c r="L93" s="2">
        <f t="shared" si="38"/>
        <v>56.000000030000002</v>
      </c>
      <c r="M93" s="2">
        <f t="shared" si="46"/>
        <v>65.78</v>
      </c>
      <c r="N93" s="2">
        <f t="shared" si="39"/>
        <v>2.687481966</v>
      </c>
      <c r="O93" s="2">
        <f t="shared" si="47"/>
        <v>82.40440000000001</v>
      </c>
      <c r="P93" s="2">
        <f t="shared" si="40"/>
        <v>9.0772728279999999</v>
      </c>
      <c r="Q93" s="2">
        <f t="shared" si="41"/>
        <v>4.8269358019999995</v>
      </c>
      <c r="R93" s="2">
        <f t="shared" si="42"/>
        <v>3.068181922</v>
      </c>
      <c r="S93" s="2">
        <f t="shared" si="43"/>
        <v>6.2211038961038421</v>
      </c>
      <c r="T93" s="2">
        <f t="shared" si="44"/>
        <v>1.542532628</v>
      </c>
      <c r="U93" s="2">
        <f t="shared" si="48"/>
        <v>4.6785712681038421</v>
      </c>
      <c r="V93" s="3">
        <f t="shared" si="49"/>
        <v>0.25466373761821509</v>
      </c>
      <c r="W93" s="3">
        <f t="shared" si="50"/>
        <v>0.3545786912362392</v>
      </c>
      <c r="X93" s="3">
        <f t="shared" si="51"/>
        <v>0.35037541604083383</v>
      </c>
      <c r="Y93" s="3">
        <f t="shared" si="52"/>
        <v>0.70495410727707308</v>
      </c>
      <c r="Z93" s="4" t="s">
        <v>1145</v>
      </c>
      <c r="AA93" s="1">
        <v>0.13780000000000001</v>
      </c>
      <c r="AB93" s="1">
        <v>0.11</v>
      </c>
      <c r="AD93" s="2">
        <f t="shared" si="53"/>
        <v>122.8580037625142</v>
      </c>
      <c r="AE93" s="4" t="s">
        <v>1147</v>
      </c>
      <c r="AF93" s="4" t="s">
        <v>1148</v>
      </c>
      <c r="AG93" s="4" t="s">
        <v>1149</v>
      </c>
      <c r="AH93" s="4" t="s">
        <v>1146</v>
      </c>
      <c r="AI93" s="4" t="s">
        <v>1150</v>
      </c>
      <c r="AJ93" s="1">
        <v>9.3645485000000001E-2</v>
      </c>
      <c r="AK93" s="1">
        <v>4.4941169999999997E-3</v>
      </c>
      <c r="AL93" s="1">
        <v>1.5179386E-2</v>
      </c>
      <c r="AM93" s="1">
        <v>8.0717989999999993E-3</v>
      </c>
      <c r="AN93" s="1">
        <v>5.1307389999999996E-3</v>
      </c>
      <c r="AO93" s="4" t="s">
        <v>1151</v>
      </c>
      <c r="AP93" s="1">
        <v>2.5794860000000002E-3</v>
      </c>
    </row>
    <row r="94" spans="1:42">
      <c r="A94" s="1" t="s">
        <v>214</v>
      </c>
      <c r="B94" s="1" t="s">
        <v>213</v>
      </c>
      <c r="C94" s="1" t="s">
        <v>34</v>
      </c>
      <c r="D94" s="1">
        <v>567</v>
      </c>
      <c r="E94" s="1">
        <v>634</v>
      </c>
      <c r="F94" s="2">
        <f t="shared" si="45"/>
        <v>143.10914940838879</v>
      </c>
      <c r="G94" s="2">
        <f t="shared" si="33"/>
        <v>85.055880657243563</v>
      </c>
      <c r="H94" s="2">
        <f t="shared" si="34"/>
        <v>29.926112629686966</v>
      </c>
      <c r="I94" s="2">
        <f t="shared" si="35"/>
        <v>1.0355575413460603</v>
      </c>
      <c r="J94" s="2">
        <f t="shared" si="36"/>
        <v>26.361243865999999</v>
      </c>
      <c r="K94" s="2">
        <f t="shared" si="37"/>
        <v>87.596582365003215</v>
      </c>
      <c r="L94" s="2">
        <f t="shared" si="38"/>
        <v>74.999999999999829</v>
      </c>
      <c r="M94" s="2">
        <f t="shared" si="46"/>
        <v>43.936199999999999</v>
      </c>
      <c r="N94" s="2">
        <f t="shared" si="39"/>
        <v>3.7986008560000002</v>
      </c>
      <c r="O94" s="2">
        <f t="shared" si="47"/>
        <v>151.71619999999936</v>
      </c>
      <c r="P94" s="2">
        <f t="shared" si="40"/>
        <v>16.434879736195455</v>
      </c>
      <c r="Q94" s="2">
        <f t="shared" si="41"/>
        <v>4.0357257319999995</v>
      </c>
      <c r="R94" s="2">
        <f t="shared" si="42"/>
        <v>2.5709460799999997</v>
      </c>
      <c r="S94" s="2">
        <f t="shared" si="43"/>
        <v>27.449924812030037</v>
      </c>
      <c r="T94" s="2">
        <f t="shared" si="44"/>
        <v>8.4304590360000002</v>
      </c>
      <c r="U94" s="2">
        <f t="shared" si="48"/>
        <v>19.019465776030039</v>
      </c>
      <c r="V94" s="3">
        <f t="shared" si="49"/>
        <v>0.25239708890368395</v>
      </c>
      <c r="W94" s="3">
        <f t="shared" si="50"/>
        <v>0.33498497600322535</v>
      </c>
      <c r="X94" s="3">
        <f t="shared" si="51"/>
        <v>0.44701896649851092</v>
      </c>
      <c r="Y94" s="3">
        <f t="shared" si="52"/>
        <v>0.78200394250173622</v>
      </c>
      <c r="Z94" s="1">
        <v>0.29709999999999998</v>
      </c>
      <c r="AA94" s="4" t="s">
        <v>215</v>
      </c>
      <c r="AB94" s="1">
        <v>6.93E-2</v>
      </c>
      <c r="AD94" s="2">
        <f t="shared" si="53"/>
        <v>116.74790554238878</v>
      </c>
      <c r="AE94" s="4" t="s">
        <v>216</v>
      </c>
      <c r="AF94" s="4" t="s">
        <v>217</v>
      </c>
      <c r="AG94" s="1">
        <v>8.8700310000000004E-3</v>
      </c>
      <c r="AH94" s="1">
        <v>4.1579248999999999E-2</v>
      </c>
      <c r="AI94" s="4" t="s">
        <v>218</v>
      </c>
      <c r="AJ94" s="4" t="s">
        <v>219</v>
      </c>
      <c r="AK94" s="1">
        <v>5.991484E-3</v>
      </c>
      <c r="AL94" s="4" t="s">
        <v>220</v>
      </c>
      <c r="AM94" s="1">
        <v>6.3654979999999998E-3</v>
      </c>
      <c r="AN94" s="1">
        <v>4.0551199999999997E-3</v>
      </c>
      <c r="AO94" s="4" t="s">
        <v>221</v>
      </c>
      <c r="AP94" s="1">
        <v>1.3297254E-2</v>
      </c>
    </row>
    <row r="95" spans="1:42">
      <c r="A95" s="1" t="s">
        <v>27</v>
      </c>
      <c r="B95" s="1" t="s">
        <v>602</v>
      </c>
      <c r="C95" s="1" t="s">
        <v>20</v>
      </c>
      <c r="D95" s="1">
        <v>530</v>
      </c>
      <c r="E95" s="1">
        <v>579</v>
      </c>
      <c r="F95" s="2">
        <f t="shared" si="45"/>
        <v>135.95785735768101</v>
      </c>
      <c r="G95" s="2">
        <f t="shared" si="33"/>
        <v>82.092878737445943</v>
      </c>
      <c r="H95" s="2">
        <f t="shared" si="34"/>
        <v>28.967189645438772</v>
      </c>
      <c r="I95" s="2">
        <f t="shared" si="35"/>
        <v>1.59134225329044</v>
      </c>
      <c r="J95" s="2">
        <f t="shared" si="36"/>
        <v>22.203124914</v>
      </c>
      <c r="K95" s="2">
        <f t="shared" si="37"/>
        <v>73.546442414174564</v>
      </c>
      <c r="L95" s="2">
        <f t="shared" si="38"/>
        <v>76.999999999999574</v>
      </c>
      <c r="M95" s="2">
        <f t="shared" si="46"/>
        <v>35.319000000000003</v>
      </c>
      <c r="N95" s="2">
        <f t="shared" si="39"/>
        <v>0.20104153799999999</v>
      </c>
      <c r="O95" s="2">
        <f t="shared" si="47"/>
        <v>125.23769999999999</v>
      </c>
      <c r="P95" s="2">
        <f t="shared" si="40"/>
        <v>8.2080220713072212</v>
      </c>
      <c r="Q95" s="2">
        <f t="shared" si="41"/>
        <v>5.02083324</v>
      </c>
      <c r="R95" s="2">
        <f t="shared" si="42"/>
        <v>0.99151086599999994</v>
      </c>
      <c r="S95" s="2">
        <f t="shared" si="43"/>
        <v>9.2700996677740299</v>
      </c>
      <c r="T95" s="2">
        <f t="shared" si="44"/>
        <v>3.795810516</v>
      </c>
      <c r="U95" s="2">
        <f t="shared" si="48"/>
        <v>5.4742891517740304</v>
      </c>
      <c r="V95" s="3">
        <f t="shared" si="49"/>
        <v>0.25652425916543586</v>
      </c>
      <c r="W95" s="3">
        <f t="shared" si="50"/>
        <v>0.31493961065787768</v>
      </c>
      <c r="X95" s="3">
        <f t="shared" si="51"/>
        <v>0.44078072536640533</v>
      </c>
      <c r="Y95" s="3">
        <f t="shared" si="52"/>
        <v>0.75572033602428301</v>
      </c>
      <c r="Z95" s="1">
        <v>0.29349999999999998</v>
      </c>
      <c r="AA95" s="1">
        <v>0.21629999999999999</v>
      </c>
      <c r="AB95" s="1">
        <v>6.0999999999999999E-2</v>
      </c>
      <c r="AD95" s="2">
        <f t="shared" si="53"/>
        <v>113.75473244368099</v>
      </c>
      <c r="AE95" s="4" t="s">
        <v>603</v>
      </c>
      <c r="AF95" s="1">
        <v>0.25464601799999997</v>
      </c>
      <c r="AG95" s="1">
        <v>1.398924E-2</v>
      </c>
      <c r="AH95" s="1">
        <v>3.8347366000000001E-2</v>
      </c>
      <c r="AI95" s="4" t="s">
        <v>604</v>
      </c>
      <c r="AJ95" s="4" t="s">
        <v>605</v>
      </c>
      <c r="AK95" s="1">
        <v>3.47222E-4</v>
      </c>
      <c r="AL95" s="4" t="s">
        <v>606</v>
      </c>
      <c r="AM95" s="1">
        <v>8.67156E-3</v>
      </c>
      <c r="AN95" s="1">
        <v>1.712454E-3</v>
      </c>
      <c r="AO95" s="4" t="s">
        <v>607</v>
      </c>
      <c r="AP95" s="1">
        <v>6.5558040000000001E-3</v>
      </c>
    </row>
    <row r="96" spans="1:42">
      <c r="A96" s="1" t="s">
        <v>27</v>
      </c>
      <c r="B96" s="1" t="s">
        <v>272</v>
      </c>
      <c r="C96" s="1" t="s">
        <v>124</v>
      </c>
      <c r="D96" s="1">
        <v>540</v>
      </c>
      <c r="E96" s="1">
        <v>617</v>
      </c>
      <c r="F96" s="2">
        <f t="shared" si="45"/>
        <v>147.02390477723839</v>
      </c>
      <c r="G96" s="2">
        <f t="shared" si="33"/>
        <v>92.022090275449159</v>
      </c>
      <c r="H96" s="2">
        <f t="shared" si="34"/>
        <v>31.677539356335547</v>
      </c>
      <c r="I96" s="2">
        <f t="shared" si="35"/>
        <v>1.9150923210125901</v>
      </c>
      <c r="J96" s="2">
        <f t="shared" si="36"/>
        <v>22.194435244000001</v>
      </c>
      <c r="K96" s="2">
        <f t="shared" si="37"/>
        <v>83.936930501999996</v>
      </c>
      <c r="L96" s="2">
        <f t="shared" si="38"/>
        <v>83.999999999999645</v>
      </c>
      <c r="M96" s="2">
        <f t="shared" si="46"/>
        <v>63.304199999999994</v>
      </c>
      <c r="N96" s="2">
        <f t="shared" si="39"/>
        <v>7.6852403230000004</v>
      </c>
      <c r="O96" s="2">
        <f t="shared" si="47"/>
        <v>114.6386</v>
      </c>
      <c r="P96" s="2">
        <f t="shared" si="40"/>
        <v>7.4680445325371583</v>
      </c>
      <c r="Q96" s="2">
        <f t="shared" si="41"/>
        <v>5.0392796300000002</v>
      </c>
      <c r="R96" s="2">
        <f t="shared" si="42"/>
        <v>0</v>
      </c>
      <c r="S96" s="2">
        <f t="shared" si="43"/>
        <v>8.1172044910000007</v>
      </c>
      <c r="T96" s="2">
        <f t="shared" si="44"/>
        <v>1.9103868669999999</v>
      </c>
      <c r="U96" s="2">
        <f t="shared" si="48"/>
        <v>6.206817624000001</v>
      </c>
      <c r="V96" s="3">
        <f t="shared" si="49"/>
        <v>0.27226649032821926</v>
      </c>
      <c r="W96" s="3">
        <f t="shared" si="50"/>
        <v>0.3660241516823739</v>
      </c>
      <c r="X96" s="3">
        <f t="shared" si="51"/>
        <v>0.4627781239391815</v>
      </c>
      <c r="Y96" s="3">
        <f t="shared" si="52"/>
        <v>0.8288022756215554</v>
      </c>
      <c r="Z96" s="4" t="s">
        <v>273</v>
      </c>
      <c r="AA96" s="4" t="s">
        <v>274</v>
      </c>
      <c r="AB96" s="1">
        <v>0.1026</v>
      </c>
      <c r="AD96" s="2">
        <f t="shared" si="53"/>
        <v>124.8294695332384</v>
      </c>
      <c r="AE96" s="4" t="s">
        <v>275</v>
      </c>
      <c r="AF96" s="4" t="s">
        <v>276</v>
      </c>
      <c r="AG96" s="4" t="s">
        <v>277</v>
      </c>
      <c r="AH96" s="1">
        <v>3.5971532000000001E-2</v>
      </c>
      <c r="AI96" s="1">
        <v>0.136040406</v>
      </c>
      <c r="AJ96" s="4" t="s">
        <v>278</v>
      </c>
      <c r="AK96" s="1">
        <v>1.2455819E-2</v>
      </c>
      <c r="AL96" s="4" t="s">
        <v>279</v>
      </c>
      <c r="AM96" s="1">
        <v>8.1673900000000001E-3</v>
      </c>
      <c r="AN96" s="1">
        <v>0</v>
      </c>
      <c r="AO96" s="1">
        <v>1.3155923E-2</v>
      </c>
      <c r="AP96" s="1">
        <v>3.096251E-3</v>
      </c>
    </row>
    <row r="97" spans="1:42">
      <c r="A97" s="1" t="s">
        <v>27</v>
      </c>
      <c r="B97" s="1" t="s">
        <v>81</v>
      </c>
      <c r="C97" s="1" t="s">
        <v>20</v>
      </c>
      <c r="D97" s="1">
        <v>528</v>
      </c>
      <c r="E97" s="1">
        <v>620</v>
      </c>
      <c r="F97" s="2">
        <f t="shared" si="45"/>
        <v>141.55568923182003</v>
      </c>
      <c r="G97" s="2">
        <f t="shared" si="33"/>
        <v>82.225983485050222</v>
      </c>
      <c r="H97" s="2">
        <f t="shared" si="34"/>
        <v>28.102189303768522</v>
      </c>
      <c r="I97" s="2">
        <f t="shared" si="35"/>
        <v>2.0822302340284535</v>
      </c>
      <c r="J97" s="2">
        <f t="shared" si="36"/>
        <v>28.446254099999997</v>
      </c>
      <c r="K97" s="2">
        <f t="shared" si="37"/>
        <v>95.480905847680518</v>
      </c>
      <c r="L97" s="2">
        <f t="shared" si="38"/>
        <v>87.999999999999531</v>
      </c>
      <c r="M97" s="2">
        <f t="shared" si="46"/>
        <v>81.715999999999994</v>
      </c>
      <c r="N97" s="2">
        <f t="shared" si="39"/>
        <v>5.67508692</v>
      </c>
      <c r="O97" s="2">
        <f t="shared" si="47"/>
        <v>90.83</v>
      </c>
      <c r="P97" s="2">
        <f t="shared" si="40"/>
        <v>3.5376152199999997</v>
      </c>
      <c r="Q97" s="2">
        <f t="shared" si="41"/>
        <v>4.8390882199999998</v>
      </c>
      <c r="R97" s="2">
        <f t="shared" si="42"/>
        <v>1.0354055799999999</v>
      </c>
      <c r="S97" s="2">
        <f t="shared" si="43"/>
        <v>22.752381179999997</v>
      </c>
      <c r="T97" s="2">
        <f t="shared" si="44"/>
        <v>4.2286052199999995</v>
      </c>
      <c r="U97" s="2">
        <f t="shared" si="48"/>
        <v>18.523775959999998</v>
      </c>
      <c r="V97" s="3">
        <f t="shared" si="49"/>
        <v>0.26809789627238639</v>
      </c>
      <c r="W97" s="3">
        <f t="shared" si="50"/>
        <v>0.37483566696725618</v>
      </c>
      <c r="X97" s="3">
        <f t="shared" si="51"/>
        <v>0.48951149468687993</v>
      </c>
      <c r="Y97" s="3">
        <f t="shared" si="52"/>
        <v>0.86434716165413605</v>
      </c>
      <c r="Z97" s="1">
        <v>0.27350000000000002</v>
      </c>
      <c r="AA97" s="1">
        <v>0.14649999999999999</v>
      </c>
      <c r="AB97" s="1">
        <v>0.1318</v>
      </c>
      <c r="AD97" s="2">
        <f t="shared" si="53"/>
        <v>113.10943513182002</v>
      </c>
      <c r="AE97" s="4" t="s">
        <v>82</v>
      </c>
      <c r="AF97" s="4" t="s">
        <v>83</v>
      </c>
      <c r="AG97" s="1">
        <v>1.8408988000000001E-2</v>
      </c>
      <c r="AH97" s="1">
        <v>4.5881054999999997E-2</v>
      </c>
      <c r="AI97" s="4" t="s">
        <v>84</v>
      </c>
      <c r="AJ97" s="4" t="s">
        <v>85</v>
      </c>
      <c r="AK97" s="1">
        <v>9.1533659999999996E-3</v>
      </c>
      <c r="AL97" s="1">
        <v>5.7058309999999998E-3</v>
      </c>
      <c r="AM97" s="1">
        <v>7.8049809999999999E-3</v>
      </c>
      <c r="AN97" s="1">
        <v>1.6700090000000001E-3</v>
      </c>
      <c r="AO97" s="1">
        <v>3.6697388999999997E-2</v>
      </c>
      <c r="AP97" s="1">
        <v>6.8203309999999998E-3</v>
      </c>
    </row>
    <row r="98" spans="1:42">
      <c r="A98" s="1" t="s">
        <v>27</v>
      </c>
      <c r="B98" s="1" t="s">
        <v>762</v>
      </c>
      <c r="C98" s="1" t="s">
        <v>49</v>
      </c>
      <c r="D98" s="1">
        <v>379</v>
      </c>
      <c r="E98" s="1">
        <v>457</v>
      </c>
      <c r="F98" s="2">
        <f t="shared" si="45"/>
        <v>89.42180507688721</v>
      </c>
      <c r="G98" s="2">
        <f t="shared" ref="G98:G129" si="54">$AD98*AE98</f>
        <v>52.387149135695111</v>
      </c>
      <c r="H98" s="2">
        <f t="shared" ref="H98:H129" si="55">$AD98*AF98</f>
        <v>18.273820804193662</v>
      </c>
      <c r="I98" s="2">
        <f t="shared" ref="I98:I129" si="56">$AD98*AG98</f>
        <v>1.275677990787486</v>
      </c>
      <c r="J98" s="2">
        <f t="shared" ref="J98:J129" si="57">$E98*AH98</f>
        <v>17.262027960518687</v>
      </c>
      <c r="K98" s="2">
        <f t="shared" ref="K98:K129" si="58">$E98*AI98</f>
        <v>55.330194452479283</v>
      </c>
      <c r="L98" s="2">
        <f t="shared" ref="L98:L129" si="59">$E98*AJ98</f>
        <v>57.312874251496723</v>
      </c>
      <c r="M98" s="2">
        <f t="shared" si="46"/>
        <v>27.100099999999998</v>
      </c>
      <c r="N98" s="2">
        <f t="shared" ref="N98:N129" si="60">$E98*AK98</f>
        <v>1.6932224740000001</v>
      </c>
      <c r="O98" s="2">
        <f t="shared" si="47"/>
        <v>127.50300000000001</v>
      </c>
      <c r="P98" s="2">
        <f t="shared" ref="P98:P129" si="61">$E98*AL98</f>
        <v>5.8048540567060236</v>
      </c>
      <c r="Q98" s="2">
        <f t="shared" ref="Q98:Q129" si="62">$E98*AM98</f>
        <v>3.4454532449999999</v>
      </c>
      <c r="R98" s="2">
        <f t="shared" ref="R98:R129" si="63">$E98*AN98</f>
        <v>0.89134468199999994</v>
      </c>
      <c r="S98" s="2">
        <f t="shared" ref="S98:S129" si="64">$E98*AO98</f>
        <v>3.6045504829999997</v>
      </c>
      <c r="T98" s="2">
        <f t="shared" ref="T98:T129" si="65">$E98*AP98</f>
        <v>1.5787883030000001</v>
      </c>
      <c r="U98" s="2">
        <f t="shared" si="48"/>
        <v>2.0257621799999996</v>
      </c>
      <c r="V98" s="3">
        <f t="shared" si="49"/>
        <v>0.23594143819759159</v>
      </c>
      <c r="W98" s="3">
        <f t="shared" si="50"/>
        <v>0.30157657528952536</v>
      </c>
      <c r="X98" s="3">
        <f t="shared" si="51"/>
        <v>0.42693914659240012</v>
      </c>
      <c r="Y98" s="3">
        <f t="shared" si="52"/>
        <v>0.72851572188192548</v>
      </c>
      <c r="Z98" s="1">
        <v>0.30359999999999998</v>
      </c>
      <c r="AA98" s="1">
        <v>0.27900000000000003</v>
      </c>
      <c r="AB98" s="4" t="s">
        <v>763</v>
      </c>
      <c r="AD98" s="2">
        <f t="shared" si="53"/>
        <v>72.159777116368517</v>
      </c>
      <c r="AE98" s="4" t="s">
        <v>765</v>
      </c>
      <c r="AF98" s="4" t="s">
        <v>766</v>
      </c>
      <c r="AG98" s="1">
        <v>1.7678519E-2</v>
      </c>
      <c r="AH98" s="4" t="s">
        <v>764</v>
      </c>
      <c r="AI98" s="4" t="s">
        <v>767</v>
      </c>
      <c r="AJ98" s="4" t="s">
        <v>768</v>
      </c>
      <c r="AK98" s="1">
        <v>3.7050820000000002E-3</v>
      </c>
      <c r="AL98" s="4" t="s">
        <v>769</v>
      </c>
      <c r="AM98" s="1">
        <v>7.5392849999999997E-3</v>
      </c>
      <c r="AN98" s="1">
        <v>1.9504259999999999E-3</v>
      </c>
      <c r="AO98" s="1">
        <v>7.8874189999999997E-3</v>
      </c>
      <c r="AP98" s="1">
        <v>3.454679E-3</v>
      </c>
    </row>
    <row r="99" spans="1:42">
      <c r="A99" s="1" t="s">
        <v>27</v>
      </c>
      <c r="B99" s="1" t="s">
        <v>235</v>
      </c>
      <c r="C99" s="1" t="s">
        <v>34</v>
      </c>
      <c r="D99" s="1">
        <v>545</v>
      </c>
      <c r="E99" s="1">
        <v>621</v>
      </c>
      <c r="F99" s="2">
        <f t="shared" si="45"/>
        <v>144.51196819102904</v>
      </c>
      <c r="G99" s="2">
        <f t="shared" si="54"/>
        <v>91.248023172319762</v>
      </c>
      <c r="H99" s="2">
        <f t="shared" si="55"/>
        <v>30.693668439870176</v>
      </c>
      <c r="I99" s="2">
        <f t="shared" si="56"/>
        <v>2.3413818718820245</v>
      </c>
      <c r="J99" s="2">
        <f t="shared" si="57"/>
        <v>20.246104062000001</v>
      </c>
      <c r="K99" s="2">
        <f t="shared" si="58"/>
        <v>88.745800167573847</v>
      </c>
      <c r="L99" s="2">
        <f t="shared" si="59"/>
        <v>80.999999999999602</v>
      </c>
      <c r="M99" s="2">
        <f t="shared" si="46"/>
        <v>63.652499999999378</v>
      </c>
      <c r="N99" s="2">
        <f t="shared" si="60"/>
        <v>2.5442444519999996</v>
      </c>
      <c r="O99" s="2">
        <f t="shared" si="47"/>
        <v>73.091700000000003</v>
      </c>
      <c r="P99" s="2">
        <f t="shared" si="61"/>
        <v>5.2344412919999996</v>
      </c>
      <c r="Q99" s="2">
        <f t="shared" si="62"/>
        <v>6.0389610749999996</v>
      </c>
      <c r="R99" s="2">
        <f t="shared" si="63"/>
        <v>0.50000001299999997</v>
      </c>
      <c r="S99" s="2">
        <f t="shared" si="64"/>
        <v>9.4064516129031954</v>
      </c>
      <c r="T99" s="2">
        <f t="shared" si="65"/>
        <v>1.9843738289999999</v>
      </c>
      <c r="U99" s="2">
        <f t="shared" si="48"/>
        <v>7.4220777839031955</v>
      </c>
      <c r="V99" s="3">
        <f t="shared" si="49"/>
        <v>0.26515957466243861</v>
      </c>
      <c r="W99" s="3">
        <f t="shared" si="50"/>
        <v>0.34985525302794163</v>
      </c>
      <c r="X99" s="3">
        <f t="shared" si="51"/>
        <v>0.44154848057927742</v>
      </c>
      <c r="Y99" s="3">
        <f t="shared" si="52"/>
        <v>0.79140373360721905</v>
      </c>
      <c r="Z99" s="4" t="s">
        <v>236</v>
      </c>
      <c r="AA99" s="1">
        <v>0.1177</v>
      </c>
      <c r="AB99" s="4" t="s">
        <v>237</v>
      </c>
      <c r="AD99" s="2">
        <f t="shared" si="53"/>
        <v>124.26586412902905</v>
      </c>
      <c r="AE99" s="4" t="s">
        <v>238</v>
      </c>
      <c r="AF99" s="1">
        <v>0.247</v>
      </c>
      <c r="AG99" s="1">
        <v>1.8841713999999999E-2</v>
      </c>
      <c r="AH99" s="1">
        <v>3.2602421999999999E-2</v>
      </c>
      <c r="AI99" s="4" t="s">
        <v>239</v>
      </c>
      <c r="AJ99" s="4" t="s">
        <v>240</v>
      </c>
      <c r="AK99" s="1">
        <v>4.0970119999999997E-3</v>
      </c>
      <c r="AL99" s="1">
        <v>8.4290519999999994E-3</v>
      </c>
      <c r="AM99" s="1">
        <v>9.7245749999999992E-3</v>
      </c>
      <c r="AN99" s="1">
        <v>8.0515299999999997E-4</v>
      </c>
      <c r="AO99" s="4" t="s">
        <v>241</v>
      </c>
      <c r="AP99" s="1">
        <v>3.1954489999999999E-3</v>
      </c>
    </row>
    <row r="100" spans="1:42">
      <c r="A100" s="1" t="s">
        <v>27</v>
      </c>
      <c r="B100" s="1" t="s">
        <v>26</v>
      </c>
      <c r="C100" s="1" t="s">
        <v>28</v>
      </c>
      <c r="D100" s="1">
        <v>559</v>
      </c>
      <c r="E100" s="1">
        <v>659</v>
      </c>
      <c r="F100" s="2">
        <f t="shared" si="45"/>
        <v>158.36648694698758</v>
      </c>
      <c r="G100" s="2">
        <f t="shared" si="54"/>
        <v>77.448973095626044</v>
      </c>
      <c r="H100" s="2">
        <f t="shared" si="55"/>
        <v>29.800803866572235</v>
      </c>
      <c r="I100" s="2">
        <f t="shared" si="56"/>
        <v>5.5242615440328882</v>
      </c>
      <c r="J100" s="2">
        <f t="shared" si="57"/>
        <v>47.093444819999995</v>
      </c>
      <c r="K100" s="2">
        <f t="shared" si="58"/>
        <v>123.51081800711206</v>
      </c>
      <c r="L100" s="2">
        <f t="shared" si="59"/>
        <v>108.999999716</v>
      </c>
      <c r="M100" s="2">
        <f t="shared" si="46"/>
        <v>90.678399999999996</v>
      </c>
      <c r="N100" s="2">
        <f t="shared" si="60"/>
        <v>14.921077341</v>
      </c>
      <c r="O100" s="2">
        <f t="shared" si="47"/>
        <v>158.81899999999999</v>
      </c>
      <c r="P100" s="2">
        <f t="shared" si="61"/>
        <v>4.9871393419999999</v>
      </c>
      <c r="Q100" s="2">
        <f t="shared" si="62"/>
        <v>4.0146339309999997</v>
      </c>
      <c r="R100" s="2">
        <f t="shared" si="63"/>
        <v>0.49999977500000004</v>
      </c>
      <c r="S100" s="2">
        <f t="shared" si="64"/>
        <v>24.202503854</v>
      </c>
      <c r="T100" s="2">
        <f t="shared" si="65"/>
        <v>6.1143700449999994</v>
      </c>
      <c r="U100" s="2">
        <f t="shared" si="48"/>
        <v>18.088133808999999</v>
      </c>
      <c r="V100" s="3">
        <f t="shared" si="49"/>
        <v>0.28330319668512982</v>
      </c>
      <c r="W100" s="3">
        <f t="shared" si="50"/>
        <v>0.40225460261124263</v>
      </c>
      <c r="X100" s="3">
        <f t="shared" si="51"/>
        <v>0.61180169005522211</v>
      </c>
      <c r="Y100" s="3">
        <f t="shared" si="52"/>
        <v>1.0140562926664647</v>
      </c>
      <c r="Z100" s="1">
        <v>0.31159999999999999</v>
      </c>
      <c r="AA100" s="1">
        <v>0.24099999999999999</v>
      </c>
      <c r="AB100" s="1">
        <v>0.1376</v>
      </c>
      <c r="AD100" s="2">
        <f t="shared" si="53"/>
        <v>111.27304212698759</v>
      </c>
      <c r="AE100" s="4" t="s">
        <v>29</v>
      </c>
      <c r="AF100" s="1">
        <v>0.26781692400000001</v>
      </c>
      <c r="AG100" s="4" t="s">
        <v>30</v>
      </c>
      <c r="AH100" s="1">
        <v>7.1461979999999994E-2</v>
      </c>
      <c r="AI100" s="4" t="s">
        <v>31</v>
      </c>
      <c r="AJ100" s="1">
        <v>0.16540212400000001</v>
      </c>
      <c r="AK100" s="1">
        <v>2.2641998999999999E-2</v>
      </c>
      <c r="AL100" s="1">
        <v>7.5677380000000001E-3</v>
      </c>
      <c r="AM100" s="1">
        <v>6.0920089999999998E-3</v>
      </c>
      <c r="AN100" s="1">
        <v>7.5872500000000002E-4</v>
      </c>
      <c r="AO100" s="1">
        <v>3.6726106000000001E-2</v>
      </c>
      <c r="AP100" s="1">
        <v>9.2782549999999991E-3</v>
      </c>
    </row>
    <row r="101" spans="1:42">
      <c r="A101" s="1" t="s">
        <v>27</v>
      </c>
      <c r="B101" s="1" t="s">
        <v>482</v>
      </c>
      <c r="C101" s="1" t="s">
        <v>20</v>
      </c>
      <c r="D101" s="1">
        <v>509</v>
      </c>
      <c r="E101" s="1">
        <v>553</v>
      </c>
      <c r="F101" s="2">
        <f t="shared" si="45"/>
        <v>132.49154531167068</v>
      </c>
      <c r="G101" s="2">
        <f t="shared" si="54"/>
        <v>79.110346037858292</v>
      </c>
      <c r="H101" s="2">
        <f t="shared" si="55"/>
        <v>25.335338667820366</v>
      </c>
      <c r="I101" s="2">
        <f t="shared" si="56"/>
        <v>1.0113061031725896</v>
      </c>
      <c r="J101" s="2">
        <f t="shared" si="57"/>
        <v>26.343486071000001</v>
      </c>
      <c r="K101" s="2">
        <f t="shared" si="58"/>
        <v>71.57606044252536</v>
      </c>
      <c r="L101" s="2">
        <f t="shared" si="59"/>
        <v>82.999999999999602</v>
      </c>
      <c r="M101" s="2">
        <f t="shared" si="46"/>
        <v>35.447300000000006</v>
      </c>
      <c r="N101" s="2">
        <f t="shared" si="60"/>
        <v>0.96231290400000002</v>
      </c>
      <c r="O101" s="2">
        <f t="shared" si="47"/>
        <v>146.15789999999998</v>
      </c>
      <c r="P101" s="2">
        <f t="shared" si="61"/>
        <v>5.1333795520000001</v>
      </c>
      <c r="Q101" s="2">
        <f t="shared" si="62"/>
        <v>4.0469723420000001</v>
      </c>
      <c r="R101" s="2">
        <f t="shared" si="63"/>
        <v>0</v>
      </c>
      <c r="S101" s="2">
        <f t="shared" si="64"/>
        <v>6.3882352941176084</v>
      </c>
      <c r="T101" s="2">
        <f t="shared" si="65"/>
        <v>1.9348861700000002</v>
      </c>
      <c r="U101" s="2">
        <f t="shared" si="48"/>
        <v>4.453349124117608</v>
      </c>
      <c r="V101" s="3">
        <f t="shared" si="49"/>
        <v>0.26029773145711332</v>
      </c>
      <c r="W101" s="3">
        <f t="shared" si="50"/>
        <v>0.31673937930829016</v>
      </c>
      <c r="X101" s="3">
        <f t="shared" si="51"/>
        <v>0.46795458932616263</v>
      </c>
      <c r="Y101" s="3">
        <f t="shared" si="52"/>
        <v>0.78469396863445273</v>
      </c>
      <c r="Z101" s="1">
        <v>0.31169999999999998</v>
      </c>
      <c r="AA101" s="1">
        <v>0.26429999999999998</v>
      </c>
      <c r="AB101" s="1">
        <v>6.4100000000000004E-2</v>
      </c>
      <c r="AD101" s="2">
        <f t="shared" si="53"/>
        <v>106.14805924067069</v>
      </c>
      <c r="AE101" s="4" t="s">
        <v>483</v>
      </c>
      <c r="AF101" s="4" t="s">
        <v>484</v>
      </c>
      <c r="AG101" s="1">
        <v>9.5273159999999992E-3</v>
      </c>
      <c r="AH101" s="1">
        <v>4.7637407E-2</v>
      </c>
      <c r="AI101" s="4" t="s">
        <v>485</v>
      </c>
      <c r="AJ101" s="4" t="s">
        <v>486</v>
      </c>
      <c r="AK101" s="1">
        <v>1.7401680000000001E-3</v>
      </c>
      <c r="AL101" s="1">
        <v>9.2827840000000005E-3</v>
      </c>
      <c r="AM101" s="1">
        <v>7.318214E-3</v>
      </c>
      <c r="AN101" s="1">
        <v>0</v>
      </c>
      <c r="AO101" s="4" t="s">
        <v>487</v>
      </c>
      <c r="AP101" s="1">
        <v>3.4988900000000002E-3</v>
      </c>
    </row>
    <row r="102" spans="1:42">
      <c r="A102" s="1" t="s">
        <v>27</v>
      </c>
      <c r="B102" s="1" t="s">
        <v>895</v>
      </c>
      <c r="C102" s="1" t="s">
        <v>896</v>
      </c>
      <c r="D102" s="1">
        <v>403</v>
      </c>
      <c r="E102" s="1">
        <v>441</v>
      </c>
      <c r="F102" s="2">
        <f t="shared" si="45"/>
        <v>97.31477810982598</v>
      </c>
      <c r="G102" s="2">
        <f t="shared" si="54"/>
        <v>65.338861665772654</v>
      </c>
      <c r="H102" s="2">
        <f t="shared" si="55"/>
        <v>18.889264690815462</v>
      </c>
      <c r="I102" s="2">
        <f t="shared" si="56"/>
        <v>1.7526156249308393</v>
      </c>
      <c r="J102" s="2">
        <f t="shared" si="57"/>
        <v>11.122499999999979</v>
      </c>
      <c r="K102" s="2">
        <f t="shared" si="58"/>
        <v>55.08749999999975</v>
      </c>
      <c r="L102" s="2">
        <f t="shared" si="59"/>
        <v>49.999999999999901</v>
      </c>
      <c r="M102" s="2">
        <f t="shared" si="46"/>
        <v>28.224</v>
      </c>
      <c r="N102" s="2">
        <f t="shared" si="60"/>
        <v>0.20045434500000001</v>
      </c>
      <c r="O102" s="2">
        <f t="shared" si="47"/>
        <v>77.616</v>
      </c>
      <c r="P102" s="2">
        <f t="shared" si="61"/>
        <v>4.3315416899999999</v>
      </c>
      <c r="Q102" s="2">
        <f t="shared" si="62"/>
        <v>3.2054543639999999</v>
      </c>
      <c r="R102" s="2">
        <f t="shared" si="63"/>
        <v>1.032608556</v>
      </c>
      <c r="S102" s="2">
        <f t="shared" si="64"/>
        <v>9.162500004</v>
      </c>
      <c r="T102" s="2">
        <f t="shared" si="65"/>
        <v>1.6259281919999999</v>
      </c>
      <c r="U102" s="2">
        <f t="shared" si="48"/>
        <v>7.536571812</v>
      </c>
      <c r="V102" s="3">
        <f t="shared" si="49"/>
        <v>0.24147587620304214</v>
      </c>
      <c r="W102" s="3">
        <f t="shared" si="50"/>
        <v>0.29926788639829416</v>
      </c>
      <c r="X102" s="3">
        <f t="shared" si="51"/>
        <v>0.37931820824366252</v>
      </c>
      <c r="Y102" s="3">
        <f t="shared" si="52"/>
        <v>0.67858609464195663</v>
      </c>
      <c r="Z102" s="1">
        <v>0.27150000000000002</v>
      </c>
      <c r="AA102" s="4" t="s">
        <v>897</v>
      </c>
      <c r="AB102" s="1">
        <v>6.4000000000000001E-2</v>
      </c>
      <c r="AD102" s="2">
        <f t="shared" si="53"/>
        <v>86.192278109826006</v>
      </c>
      <c r="AE102" s="4" t="s">
        <v>899</v>
      </c>
      <c r="AF102" s="4" t="s">
        <v>900</v>
      </c>
      <c r="AG102" s="4" t="s">
        <v>901</v>
      </c>
      <c r="AH102" s="4" t="s">
        <v>898</v>
      </c>
      <c r="AI102" s="4" t="s">
        <v>902</v>
      </c>
      <c r="AJ102" s="4" t="s">
        <v>903</v>
      </c>
      <c r="AK102" s="1">
        <v>4.5454499999999999E-4</v>
      </c>
      <c r="AL102" s="1">
        <v>9.8220900000000003E-3</v>
      </c>
      <c r="AM102" s="1">
        <v>7.2686039999999997E-3</v>
      </c>
      <c r="AN102" s="1">
        <v>2.3415160000000001E-3</v>
      </c>
      <c r="AO102" s="1">
        <v>2.0776644E-2</v>
      </c>
      <c r="AP102" s="1">
        <v>3.6869120000000001E-3</v>
      </c>
    </row>
    <row r="103" spans="1:42">
      <c r="A103" s="1" t="s">
        <v>27</v>
      </c>
      <c r="B103" s="1" t="s">
        <v>500</v>
      </c>
      <c r="C103" s="1" t="s">
        <v>87</v>
      </c>
      <c r="D103" s="1">
        <v>429</v>
      </c>
      <c r="E103" s="1">
        <v>501</v>
      </c>
      <c r="F103" s="2">
        <f t="shared" si="45"/>
        <v>114.63999201941611</v>
      </c>
      <c r="G103" s="2">
        <f t="shared" si="54"/>
        <v>68.477907200152089</v>
      </c>
      <c r="H103" s="2">
        <f t="shared" si="55"/>
        <v>20.780867791953639</v>
      </c>
      <c r="I103" s="2">
        <f t="shared" si="56"/>
        <v>1.2207223903938631</v>
      </c>
      <c r="J103" s="2">
        <f t="shared" si="57"/>
        <v>23.599999788000002</v>
      </c>
      <c r="K103" s="2">
        <f t="shared" si="58"/>
        <v>68.86699999999982</v>
      </c>
      <c r="L103" s="2">
        <f t="shared" si="59"/>
        <v>68.999999999999716</v>
      </c>
      <c r="M103" s="2">
        <f t="shared" si="46"/>
        <v>56.713199999999496</v>
      </c>
      <c r="N103" s="2">
        <f t="shared" si="60"/>
        <v>2.8288724519999997</v>
      </c>
      <c r="O103" s="2">
        <f t="shared" si="47"/>
        <v>97.143899999999988</v>
      </c>
      <c r="P103" s="2">
        <f t="shared" si="61"/>
        <v>8.7258729119999998</v>
      </c>
      <c r="Q103" s="2">
        <f t="shared" si="62"/>
        <v>5.999999999999992</v>
      </c>
      <c r="R103" s="2">
        <f t="shared" si="63"/>
        <v>0</v>
      </c>
      <c r="S103" s="2">
        <f t="shared" si="64"/>
        <v>2.3022002100000001</v>
      </c>
      <c r="T103" s="2">
        <f t="shared" si="65"/>
        <v>1.0194322949999999</v>
      </c>
      <c r="U103" s="2">
        <f t="shared" si="48"/>
        <v>1.2827679150000002</v>
      </c>
      <c r="V103" s="3">
        <f t="shared" si="49"/>
        <v>0.26722608862334757</v>
      </c>
      <c r="W103" s="3">
        <f t="shared" si="50"/>
        <v>0.36985313802834996</v>
      </c>
      <c r="X103" s="3">
        <f t="shared" si="51"/>
        <v>0.48508580211478081</v>
      </c>
      <c r="Y103" s="3">
        <f t="shared" si="52"/>
        <v>0.85493894014313077</v>
      </c>
      <c r="Z103" s="4" t="s">
        <v>501</v>
      </c>
      <c r="AA103" s="4" t="s">
        <v>502</v>
      </c>
      <c r="AB103" s="4" t="s">
        <v>503</v>
      </c>
      <c r="AD103" s="2">
        <f t="shared" si="53"/>
        <v>91.039992231416107</v>
      </c>
      <c r="AE103" s="4" t="s">
        <v>504</v>
      </c>
      <c r="AF103" s="4" t="s">
        <v>505</v>
      </c>
      <c r="AG103" s="1">
        <v>1.3408639E-2</v>
      </c>
      <c r="AH103" s="1">
        <v>4.7105788000000003E-2</v>
      </c>
      <c r="AI103" s="4" t="s">
        <v>506</v>
      </c>
      <c r="AJ103" s="4" t="s">
        <v>507</v>
      </c>
      <c r="AK103" s="1">
        <v>5.6464519999999997E-3</v>
      </c>
      <c r="AL103" s="1">
        <v>1.7416912E-2</v>
      </c>
      <c r="AM103" s="4" t="s">
        <v>508</v>
      </c>
      <c r="AN103" s="1">
        <v>0</v>
      </c>
      <c r="AO103" s="1">
        <v>4.5952099999999997E-3</v>
      </c>
      <c r="AP103" s="1">
        <v>2.0347949999999998E-3</v>
      </c>
    </row>
    <row r="104" spans="1:42">
      <c r="A104" s="1" t="s">
        <v>489</v>
      </c>
      <c r="B104" s="1" t="s">
        <v>532</v>
      </c>
      <c r="C104" s="1" t="s">
        <v>87</v>
      </c>
      <c r="D104" s="1">
        <v>462</v>
      </c>
      <c r="E104" s="1">
        <v>508</v>
      </c>
      <c r="F104" s="2">
        <f t="shared" si="45"/>
        <v>113.65316231402639</v>
      </c>
      <c r="G104" s="2">
        <f t="shared" si="54"/>
        <v>70.806556295949505</v>
      </c>
      <c r="H104" s="2">
        <f t="shared" si="55"/>
        <v>24.285708527994714</v>
      </c>
      <c r="I104" s="2">
        <f t="shared" si="56"/>
        <v>1.0833257057757288</v>
      </c>
      <c r="J104" s="2">
        <f t="shared" si="57"/>
        <v>16.98046896</v>
      </c>
      <c r="K104" s="2">
        <f t="shared" si="58"/>
        <v>61.890657688284151</v>
      </c>
      <c r="L104" s="2">
        <f t="shared" si="59"/>
        <v>62.999999983999999</v>
      </c>
      <c r="M104" s="2">
        <f t="shared" si="46"/>
        <v>35.864799999999995</v>
      </c>
      <c r="N104" s="2">
        <f t="shared" si="60"/>
        <v>1.408255756</v>
      </c>
      <c r="O104" s="2">
        <f t="shared" si="47"/>
        <v>99.669600000000003</v>
      </c>
      <c r="P104" s="2">
        <f t="shared" si="61"/>
        <v>5.3365624999999577</v>
      </c>
      <c r="Q104" s="2">
        <f t="shared" si="62"/>
        <v>3.7749998160000002</v>
      </c>
      <c r="R104" s="2">
        <f t="shared" si="63"/>
        <v>0</v>
      </c>
      <c r="S104" s="2">
        <f t="shared" si="64"/>
        <v>12.301255052</v>
      </c>
      <c r="T104" s="2">
        <f t="shared" si="65"/>
        <v>3.2827137799999999</v>
      </c>
      <c r="U104" s="2">
        <f t="shared" si="48"/>
        <v>9.0185412720000002</v>
      </c>
      <c r="V104" s="3">
        <f t="shared" si="49"/>
        <v>0.24600251583122595</v>
      </c>
      <c r="W104" s="3">
        <f t="shared" si="50"/>
        <v>0.31063191446460292</v>
      </c>
      <c r="X104" s="3">
        <f t="shared" si="51"/>
        <v>0.41244551149191799</v>
      </c>
      <c r="Y104" s="3">
        <f t="shared" si="52"/>
        <v>0.72307742595652091</v>
      </c>
      <c r="Z104" s="4" t="s">
        <v>533</v>
      </c>
      <c r="AA104" s="1">
        <v>0.19620000000000001</v>
      </c>
      <c r="AB104" s="1">
        <v>7.0599999999999996E-2</v>
      </c>
      <c r="AD104" s="2">
        <f t="shared" si="53"/>
        <v>96.672693354026393</v>
      </c>
      <c r="AE104" s="4" t="s">
        <v>534</v>
      </c>
      <c r="AF104" s="4" t="s">
        <v>535</v>
      </c>
      <c r="AG104" s="1">
        <v>1.1206119E-2</v>
      </c>
      <c r="AH104" s="1">
        <v>3.3426119999999997E-2</v>
      </c>
      <c r="AI104" s="4" t="s">
        <v>536</v>
      </c>
      <c r="AJ104" s="1">
        <v>0.124015748</v>
      </c>
      <c r="AK104" s="1">
        <v>2.7721569999999999E-3</v>
      </c>
      <c r="AL104" s="4" t="s">
        <v>537</v>
      </c>
      <c r="AM104" s="1">
        <v>7.4311020000000002E-3</v>
      </c>
      <c r="AN104" s="1">
        <v>0</v>
      </c>
      <c r="AO104" s="1">
        <v>2.4215068999999999E-2</v>
      </c>
      <c r="AP104" s="1">
        <v>6.4620349999999997E-3</v>
      </c>
    </row>
    <row r="105" spans="1:42">
      <c r="A105" s="1" t="s">
        <v>489</v>
      </c>
      <c r="B105" s="1" t="s">
        <v>563</v>
      </c>
      <c r="C105" s="1" t="s">
        <v>20</v>
      </c>
      <c r="D105" s="1">
        <v>495</v>
      </c>
      <c r="E105" s="1">
        <v>573</v>
      </c>
      <c r="F105" s="2">
        <f t="shared" si="45"/>
        <v>116.68644151334004</v>
      </c>
      <c r="G105" s="2">
        <f t="shared" si="54"/>
        <v>76.440859724514056</v>
      </c>
      <c r="H105" s="2">
        <f t="shared" si="55"/>
        <v>24.439361465208677</v>
      </c>
      <c r="I105" s="2">
        <f t="shared" si="56"/>
        <v>3.894621617372382</v>
      </c>
      <c r="J105" s="2">
        <f t="shared" si="57"/>
        <v>12.961579161</v>
      </c>
      <c r="K105" s="2">
        <f t="shared" si="58"/>
        <v>71.371102454932313</v>
      </c>
      <c r="L105" s="2">
        <f t="shared" si="59"/>
        <v>55.999999946999999</v>
      </c>
      <c r="M105" s="2">
        <f t="shared" si="46"/>
        <v>59.821199999999422</v>
      </c>
      <c r="N105" s="2">
        <f t="shared" si="60"/>
        <v>0.20105252099999998</v>
      </c>
      <c r="O105" s="2">
        <f t="shared" si="47"/>
        <v>122.1636</v>
      </c>
      <c r="P105" s="2">
        <f t="shared" si="61"/>
        <v>7.6392818399999998</v>
      </c>
      <c r="Q105" s="2">
        <f t="shared" si="62"/>
        <v>3.816842388</v>
      </c>
      <c r="R105" s="2">
        <f t="shared" si="63"/>
        <v>6.0163550309999998</v>
      </c>
      <c r="S105" s="2">
        <f t="shared" si="64"/>
        <v>36.278313474000001</v>
      </c>
      <c r="T105" s="2">
        <f t="shared" si="65"/>
        <v>10.083972588</v>
      </c>
      <c r="U105" s="2">
        <f t="shared" si="48"/>
        <v>26.194340885999999</v>
      </c>
      <c r="V105" s="3">
        <f t="shared" si="49"/>
        <v>0.23573018487543443</v>
      </c>
      <c r="W105" s="3">
        <f t="shared" si="50"/>
        <v>0.32987666316430214</v>
      </c>
      <c r="X105" s="3">
        <f t="shared" si="51"/>
        <v>0.38151467505262332</v>
      </c>
      <c r="Y105" s="3">
        <f t="shared" si="52"/>
        <v>0.71139133821692546</v>
      </c>
      <c r="Z105" s="4" t="s">
        <v>564</v>
      </c>
      <c r="AA105" s="1">
        <v>0.2132</v>
      </c>
      <c r="AB105" s="4" t="s">
        <v>565</v>
      </c>
      <c r="AD105" s="2">
        <f t="shared" si="53"/>
        <v>103.72486235234004</v>
      </c>
      <c r="AE105" s="4" t="s">
        <v>566</v>
      </c>
      <c r="AF105" s="4" t="s">
        <v>567</v>
      </c>
      <c r="AG105" s="4" t="s">
        <v>568</v>
      </c>
      <c r="AH105" s="1">
        <v>2.2620556999999999E-2</v>
      </c>
      <c r="AI105" s="4" t="s">
        <v>569</v>
      </c>
      <c r="AJ105" s="1">
        <v>9.7731238999999998E-2</v>
      </c>
      <c r="AK105" s="1">
        <v>3.5087699999999998E-4</v>
      </c>
      <c r="AL105" s="1">
        <v>1.333208E-2</v>
      </c>
      <c r="AM105" s="1">
        <v>6.6611559999999997E-3</v>
      </c>
      <c r="AN105" s="1">
        <v>1.0499747E-2</v>
      </c>
      <c r="AO105" s="1">
        <v>6.3312937999999999E-2</v>
      </c>
      <c r="AP105" s="1">
        <v>1.7598556000000001E-2</v>
      </c>
    </row>
    <row r="106" spans="1:42">
      <c r="A106" s="1" t="s">
        <v>489</v>
      </c>
      <c r="B106" s="1" t="s">
        <v>488</v>
      </c>
      <c r="C106" s="1" t="s">
        <v>20</v>
      </c>
      <c r="D106" s="1">
        <v>507</v>
      </c>
      <c r="E106" s="1">
        <v>576</v>
      </c>
      <c r="F106" s="2">
        <f t="shared" si="45"/>
        <v>121.08877203939807</v>
      </c>
      <c r="G106" s="2">
        <f t="shared" si="54"/>
        <v>69.685856241799286</v>
      </c>
      <c r="H106" s="2">
        <f t="shared" si="55"/>
        <v>24.757575491527444</v>
      </c>
      <c r="I106" s="2">
        <f t="shared" si="56"/>
        <v>2.9263432322661047</v>
      </c>
      <c r="J106" s="2">
        <f t="shared" si="57"/>
        <v>24.289141824000001</v>
      </c>
      <c r="K106" s="2">
        <f t="shared" si="58"/>
        <v>68.739505491187003</v>
      </c>
      <c r="L106" s="2">
        <f t="shared" si="59"/>
        <v>81.999999999999929</v>
      </c>
      <c r="M106" s="2">
        <f t="shared" si="46"/>
        <v>54.604799999999997</v>
      </c>
      <c r="N106" s="2">
        <f t="shared" si="60"/>
        <v>2.5751629440000001</v>
      </c>
      <c r="O106" s="2">
        <f t="shared" si="47"/>
        <v>162.77760000000001</v>
      </c>
      <c r="P106" s="2">
        <f t="shared" si="61"/>
        <v>7.2152087040000001</v>
      </c>
      <c r="Q106" s="2">
        <f t="shared" si="62"/>
        <v>4.0280209920000001</v>
      </c>
      <c r="R106" s="2">
        <f t="shared" si="63"/>
        <v>0.50000025599999998</v>
      </c>
      <c r="S106" s="2">
        <f t="shared" si="64"/>
        <v>4.5133004159999999</v>
      </c>
      <c r="T106" s="2">
        <f t="shared" si="65"/>
        <v>1.022704128</v>
      </c>
      <c r="U106" s="2">
        <f t="shared" si="48"/>
        <v>3.4905962879999999</v>
      </c>
      <c r="V106" s="3">
        <f t="shared" si="49"/>
        <v>0.23883386990019342</v>
      </c>
      <c r="W106" s="3">
        <f t="shared" si="50"/>
        <v>0.32643670791554735</v>
      </c>
      <c r="X106" s="3">
        <f t="shared" si="51"/>
        <v>0.44405641857525152</v>
      </c>
      <c r="Y106" s="3">
        <f t="shared" si="52"/>
        <v>0.77049312649079882</v>
      </c>
      <c r="Z106" s="4" t="s">
        <v>490</v>
      </c>
      <c r="AA106" s="1">
        <v>0.28260000000000002</v>
      </c>
      <c r="AB106" s="1">
        <v>9.4799999999999995E-2</v>
      </c>
      <c r="AD106" s="2">
        <f t="shared" si="53"/>
        <v>96.799630215398068</v>
      </c>
      <c r="AE106" s="4" t="s">
        <v>491</v>
      </c>
      <c r="AF106" s="4" t="s">
        <v>492</v>
      </c>
      <c r="AG106" s="1">
        <v>3.0230934000000001E-2</v>
      </c>
      <c r="AH106" s="1">
        <v>4.2168649000000002E-2</v>
      </c>
      <c r="AI106" s="4" t="s">
        <v>493</v>
      </c>
      <c r="AJ106" s="4" t="s">
        <v>494</v>
      </c>
      <c r="AK106" s="1">
        <v>4.4707690000000003E-3</v>
      </c>
      <c r="AL106" s="1">
        <v>1.2526404E-2</v>
      </c>
      <c r="AM106" s="1">
        <v>6.9930920000000002E-3</v>
      </c>
      <c r="AN106" s="1">
        <v>8.6805599999999997E-4</v>
      </c>
      <c r="AO106" s="1">
        <v>7.8355909999999994E-3</v>
      </c>
      <c r="AP106" s="1">
        <v>1.775528E-3</v>
      </c>
    </row>
    <row r="107" spans="1:42">
      <c r="A107" s="1" t="s">
        <v>489</v>
      </c>
      <c r="B107" s="1" t="s">
        <v>1248</v>
      </c>
      <c r="C107" s="1" t="s">
        <v>648</v>
      </c>
      <c r="D107" s="1">
        <v>516</v>
      </c>
      <c r="E107" s="1">
        <v>563</v>
      </c>
      <c r="F107" s="2">
        <f t="shared" si="45"/>
        <v>140.78544509665815</v>
      </c>
      <c r="G107" s="2">
        <f t="shared" si="54"/>
        <v>100.14349067300726</v>
      </c>
      <c r="H107" s="2">
        <f t="shared" si="55"/>
        <v>26.281381623450056</v>
      </c>
      <c r="I107" s="2">
        <f t="shared" si="56"/>
        <v>2.3078725459970286</v>
      </c>
      <c r="J107" s="2">
        <f t="shared" si="57"/>
        <v>12.235208895000001</v>
      </c>
      <c r="K107" s="2">
        <f t="shared" si="58"/>
        <v>63.152743928787224</v>
      </c>
      <c r="L107" s="2">
        <f t="shared" si="59"/>
        <v>59.999999999999794</v>
      </c>
      <c r="M107" s="2">
        <f t="shared" si="46"/>
        <v>37.101700000000001</v>
      </c>
      <c r="N107" s="2">
        <f t="shared" si="60"/>
        <v>1.189624067</v>
      </c>
      <c r="O107" s="2">
        <f t="shared" si="47"/>
        <v>84.393699999999441</v>
      </c>
      <c r="P107" s="2">
        <f t="shared" si="61"/>
        <v>3.9709476590000001</v>
      </c>
      <c r="Q107" s="2">
        <f t="shared" si="62"/>
        <v>4.8871141810000003</v>
      </c>
      <c r="R107" s="2">
        <f t="shared" si="63"/>
        <v>1.031132248</v>
      </c>
      <c r="S107" s="2">
        <f t="shared" si="64"/>
        <v>16.071264569</v>
      </c>
      <c r="T107" s="2">
        <f t="shared" si="65"/>
        <v>5.1663886420000003</v>
      </c>
      <c r="U107" s="2">
        <f t="shared" si="48"/>
        <v>10.904875926999999</v>
      </c>
      <c r="V107" s="3">
        <f t="shared" si="49"/>
        <v>0.27284000987724449</v>
      </c>
      <c r="W107" s="3">
        <f t="shared" si="50"/>
        <v>0.32735117147252207</v>
      </c>
      <c r="X107" s="3">
        <f t="shared" si="51"/>
        <v>0.404206796778873</v>
      </c>
      <c r="Y107" s="3">
        <f t="shared" si="52"/>
        <v>0.73155796825139507</v>
      </c>
      <c r="Z107" s="1">
        <v>0.30299999999999999</v>
      </c>
      <c r="AA107" s="4" t="s">
        <v>1249</v>
      </c>
      <c r="AB107" s="1">
        <v>6.59E-2</v>
      </c>
      <c r="AD107" s="2">
        <f t="shared" si="53"/>
        <v>128.55023620165815</v>
      </c>
      <c r="AE107" s="4" t="s">
        <v>1250</v>
      </c>
      <c r="AF107" s="4" t="s">
        <v>1251</v>
      </c>
      <c r="AG107" s="1">
        <v>1.7953079E-2</v>
      </c>
      <c r="AH107" s="1">
        <v>2.1732165000000001E-2</v>
      </c>
      <c r="AI107" s="4" t="s">
        <v>1252</v>
      </c>
      <c r="AJ107" s="4" t="s">
        <v>1253</v>
      </c>
      <c r="AK107" s="1">
        <v>2.1130089999999999E-3</v>
      </c>
      <c r="AL107" s="1">
        <v>7.0531930000000001E-3</v>
      </c>
      <c r="AM107" s="1">
        <v>8.6804870000000006E-3</v>
      </c>
      <c r="AN107" s="1">
        <v>1.8314959999999999E-3</v>
      </c>
      <c r="AO107" s="1">
        <v>2.8545762999999998E-2</v>
      </c>
      <c r="AP107" s="1">
        <v>9.1765340000000001E-3</v>
      </c>
    </row>
    <row r="108" spans="1:42">
      <c r="A108" s="1" t="s">
        <v>489</v>
      </c>
      <c r="B108" s="1" t="s">
        <v>674</v>
      </c>
      <c r="C108" s="1" t="s">
        <v>648</v>
      </c>
      <c r="D108" s="1">
        <v>522</v>
      </c>
      <c r="E108" s="1">
        <v>581</v>
      </c>
      <c r="F108" s="2">
        <f t="shared" si="45"/>
        <v>143.6352305653696</v>
      </c>
      <c r="G108" s="2">
        <f t="shared" si="54"/>
        <v>115.85598613989775</v>
      </c>
      <c r="H108" s="2">
        <f t="shared" si="55"/>
        <v>22.588605312025788</v>
      </c>
      <c r="I108" s="2">
        <f t="shared" si="56"/>
        <v>3.8464492271378905</v>
      </c>
      <c r="J108" s="2">
        <f t="shared" si="57"/>
        <v>2.2156249080000001</v>
      </c>
      <c r="K108" s="2">
        <f t="shared" si="58"/>
        <v>68.557033268733306</v>
      </c>
      <c r="L108" s="2">
        <f t="shared" si="59"/>
        <v>43.999999756999998</v>
      </c>
      <c r="M108" s="2">
        <f t="shared" si="46"/>
        <v>46.189500000000002</v>
      </c>
      <c r="N108" s="2">
        <f t="shared" si="60"/>
        <v>0.99224458199999999</v>
      </c>
      <c r="O108" s="2">
        <f t="shared" si="47"/>
        <v>79.655100000000004</v>
      </c>
      <c r="P108" s="2">
        <f t="shared" si="61"/>
        <v>2.92092521</v>
      </c>
      <c r="Q108" s="2">
        <f t="shared" si="62"/>
        <v>4.0277778519999998</v>
      </c>
      <c r="R108" s="2">
        <f t="shared" si="63"/>
        <v>4.5662544619999998</v>
      </c>
      <c r="S108" s="2">
        <f t="shared" si="64"/>
        <v>26.623255813953449</v>
      </c>
      <c r="T108" s="2">
        <f t="shared" si="65"/>
        <v>6.764466219</v>
      </c>
      <c r="U108" s="2">
        <f t="shared" si="48"/>
        <v>19.85878959495345</v>
      </c>
      <c r="V108" s="3">
        <f t="shared" si="49"/>
        <v>0.27516327694515247</v>
      </c>
      <c r="W108" s="3">
        <f t="shared" si="50"/>
        <v>0.33798793072157457</v>
      </c>
      <c r="X108" s="3">
        <f t="shared" si="51"/>
        <v>0.34757671279188312</v>
      </c>
      <c r="Y108" s="3">
        <f t="shared" si="52"/>
        <v>0.68556464351345769</v>
      </c>
      <c r="Z108" s="1">
        <v>0.31840000000000002</v>
      </c>
      <c r="AA108" s="1">
        <v>0.1371</v>
      </c>
      <c r="AB108" s="1">
        <v>7.9500000000000001E-2</v>
      </c>
      <c r="AD108" s="2">
        <f t="shared" si="53"/>
        <v>141.4196056573696</v>
      </c>
      <c r="AE108" s="4" t="s">
        <v>675</v>
      </c>
      <c r="AF108" s="4" t="s">
        <v>676</v>
      </c>
      <c r="AG108" s="1">
        <v>2.7198839999999998E-2</v>
      </c>
      <c r="AH108" s="1">
        <v>3.813468E-3</v>
      </c>
      <c r="AI108" s="4" t="s">
        <v>677</v>
      </c>
      <c r="AJ108" s="1">
        <v>7.5731496999999995E-2</v>
      </c>
      <c r="AK108" s="1">
        <v>1.7078219999999999E-3</v>
      </c>
      <c r="AL108" s="1">
        <v>5.0274100000000004E-3</v>
      </c>
      <c r="AM108" s="1">
        <v>6.9324920000000002E-3</v>
      </c>
      <c r="AN108" s="1">
        <v>7.8593020000000003E-3</v>
      </c>
      <c r="AO108" s="4" t="s">
        <v>678</v>
      </c>
      <c r="AP108" s="1">
        <v>1.1642799000000001E-2</v>
      </c>
    </row>
    <row r="109" spans="1:42">
      <c r="A109" s="1" t="s">
        <v>156</v>
      </c>
      <c r="B109" s="1" t="s">
        <v>286</v>
      </c>
      <c r="C109" s="1" t="s">
        <v>169</v>
      </c>
      <c r="D109" s="1">
        <v>566</v>
      </c>
      <c r="E109" s="1">
        <v>633</v>
      </c>
      <c r="F109" s="2">
        <f t="shared" si="45"/>
        <v>144.89199972447398</v>
      </c>
      <c r="G109" s="2">
        <f t="shared" si="54"/>
        <v>104.55687080005161</v>
      </c>
      <c r="H109" s="2">
        <f t="shared" si="55"/>
        <v>23.815594352248819</v>
      </c>
      <c r="I109" s="2">
        <f t="shared" si="56"/>
        <v>2.7674249620056108</v>
      </c>
      <c r="J109" s="2">
        <f t="shared" si="57"/>
        <v>12.334231614</v>
      </c>
      <c r="K109" s="2">
        <f t="shared" si="58"/>
        <v>79.315170857464096</v>
      </c>
      <c r="L109" s="2">
        <f t="shared" si="59"/>
        <v>66.999999999999645</v>
      </c>
      <c r="M109" s="2">
        <f t="shared" si="46"/>
        <v>57.1599</v>
      </c>
      <c r="N109" s="2">
        <f t="shared" si="60"/>
        <v>0.99609259799999994</v>
      </c>
      <c r="O109" s="2">
        <f t="shared" si="47"/>
        <v>130.2081</v>
      </c>
      <c r="P109" s="2">
        <f t="shared" si="61"/>
        <v>1.906897941</v>
      </c>
      <c r="Q109" s="2">
        <f t="shared" si="62"/>
        <v>4.0101423540000001</v>
      </c>
      <c r="R109" s="2">
        <f t="shared" si="63"/>
        <v>3.0464169449999998</v>
      </c>
      <c r="S109" s="2">
        <f t="shared" si="64"/>
        <v>28.582027649769493</v>
      </c>
      <c r="T109" s="2">
        <f t="shared" si="65"/>
        <v>6.4619532810000004</v>
      </c>
      <c r="U109" s="2">
        <f t="shared" si="48"/>
        <v>22.120074368769494</v>
      </c>
      <c r="V109" s="3">
        <f t="shared" si="49"/>
        <v>0.25599293237539572</v>
      </c>
      <c r="W109" s="3">
        <f t="shared" si="50"/>
        <v>0.3262749754555539</v>
      </c>
      <c r="X109" s="3">
        <f t="shared" si="51"/>
        <v>0.37071954213174224</v>
      </c>
      <c r="Y109" s="3">
        <f t="shared" si="52"/>
        <v>0.69699451758729614</v>
      </c>
      <c r="Z109" s="1">
        <v>0.31009999999999999</v>
      </c>
      <c r="AA109" s="1">
        <v>0.20569999999999999</v>
      </c>
      <c r="AB109" s="1">
        <v>9.0300000000000005E-2</v>
      </c>
      <c r="AD109" s="2">
        <f t="shared" si="53"/>
        <v>132.55776811047397</v>
      </c>
      <c r="AE109" s="4" t="s">
        <v>287</v>
      </c>
      <c r="AF109" s="4" t="s">
        <v>288</v>
      </c>
      <c r="AG109" s="1">
        <v>2.0877124E-2</v>
      </c>
      <c r="AH109" s="1">
        <v>1.9485358000000001E-2</v>
      </c>
      <c r="AI109" s="4" t="s">
        <v>289</v>
      </c>
      <c r="AJ109" s="4" t="s">
        <v>290</v>
      </c>
      <c r="AK109" s="1">
        <v>1.573606E-3</v>
      </c>
      <c r="AL109" s="1">
        <v>3.0124769999999999E-3</v>
      </c>
      <c r="AM109" s="1">
        <v>6.3351379999999997E-3</v>
      </c>
      <c r="AN109" s="1">
        <v>4.8126649999999998E-3</v>
      </c>
      <c r="AO109" s="4" t="s">
        <v>291</v>
      </c>
      <c r="AP109" s="1">
        <v>1.0208457000000001E-2</v>
      </c>
    </row>
    <row r="110" spans="1:42">
      <c r="A110" s="1" t="s">
        <v>156</v>
      </c>
      <c r="B110" s="1" t="s">
        <v>474</v>
      </c>
      <c r="C110" s="1" t="s">
        <v>20</v>
      </c>
      <c r="D110" s="1">
        <v>506</v>
      </c>
      <c r="E110" s="1">
        <v>576</v>
      </c>
      <c r="F110" s="2">
        <f t="shared" si="45"/>
        <v>129.00787545503999</v>
      </c>
      <c r="G110" s="2">
        <f t="shared" si="54"/>
        <v>86.270449094915477</v>
      </c>
      <c r="H110" s="2">
        <f t="shared" si="55"/>
        <v>22.325748737696109</v>
      </c>
      <c r="I110" s="2">
        <f t="shared" si="56"/>
        <v>1.2863723064283277</v>
      </c>
      <c r="J110" s="2">
        <f t="shared" si="57"/>
        <v>17.497876032000001</v>
      </c>
      <c r="K110" s="2">
        <f t="shared" si="58"/>
        <v>73.705031605562112</v>
      </c>
      <c r="L110" s="2">
        <f t="shared" si="59"/>
        <v>73.999999999999858</v>
      </c>
      <c r="M110" s="2">
        <f t="shared" si="46"/>
        <v>64.166399999999427</v>
      </c>
      <c r="N110" s="2">
        <f t="shared" si="60"/>
        <v>4.8480405120000007</v>
      </c>
      <c r="O110" s="2">
        <f t="shared" si="47"/>
        <v>140.0256</v>
      </c>
      <c r="P110" s="2">
        <f t="shared" si="61"/>
        <v>4.0581544320000003</v>
      </c>
      <c r="Q110" s="2">
        <f t="shared" si="62"/>
        <v>2.8467256320000001</v>
      </c>
      <c r="R110" s="2">
        <f t="shared" si="63"/>
        <v>0</v>
      </c>
      <c r="S110" s="2">
        <f t="shared" si="64"/>
        <v>16.639999999999951</v>
      </c>
      <c r="T110" s="2">
        <f t="shared" si="65"/>
        <v>3.7292083200000001</v>
      </c>
      <c r="U110" s="2">
        <f t="shared" si="48"/>
        <v>12.910791679999951</v>
      </c>
      <c r="V110" s="3">
        <f t="shared" si="49"/>
        <v>0.25495627560284584</v>
      </c>
      <c r="W110" s="3">
        <f t="shared" si="50"/>
        <v>0.34970418889280797</v>
      </c>
      <c r="X110" s="3">
        <f t="shared" si="51"/>
        <v>0.40468886880947169</v>
      </c>
      <c r="Y110" s="3">
        <f t="shared" si="52"/>
        <v>0.75439305770227971</v>
      </c>
      <c r="Z110" s="1">
        <v>0.31740000000000002</v>
      </c>
      <c r="AA110" s="1">
        <v>0.24310000000000001</v>
      </c>
      <c r="AB110" s="4" t="s">
        <v>475</v>
      </c>
      <c r="AD110" s="2">
        <f t="shared" si="53"/>
        <v>111.50999942304</v>
      </c>
      <c r="AE110" s="4" t="s">
        <v>476</v>
      </c>
      <c r="AF110" s="4" t="s">
        <v>477</v>
      </c>
      <c r="AG110" s="4" t="s">
        <v>478</v>
      </c>
      <c r="AH110" s="1">
        <v>3.0378256999999999E-2</v>
      </c>
      <c r="AI110" s="4" t="s">
        <v>479</v>
      </c>
      <c r="AJ110" s="4" t="s">
        <v>480</v>
      </c>
      <c r="AK110" s="1">
        <v>8.4167370000000005E-3</v>
      </c>
      <c r="AL110" s="1">
        <v>7.0454070000000001E-3</v>
      </c>
      <c r="AM110" s="1">
        <v>4.9422320000000004E-3</v>
      </c>
      <c r="AN110" s="1">
        <v>0</v>
      </c>
      <c r="AO110" s="4" t="s">
        <v>481</v>
      </c>
      <c r="AP110" s="1">
        <v>6.4743200000000004E-3</v>
      </c>
    </row>
    <row r="111" spans="1:42">
      <c r="A111" s="1" t="s">
        <v>156</v>
      </c>
      <c r="B111" s="1" t="s">
        <v>155</v>
      </c>
      <c r="C111" s="1" t="s">
        <v>20</v>
      </c>
      <c r="D111" s="1">
        <v>580</v>
      </c>
      <c r="E111" s="1">
        <v>629</v>
      </c>
      <c r="F111" s="2">
        <f t="shared" si="45"/>
        <v>155.963110795164</v>
      </c>
      <c r="G111" s="2">
        <f t="shared" si="54"/>
        <v>98.814132739486141</v>
      </c>
      <c r="H111" s="2">
        <f t="shared" si="55"/>
        <v>31.426574923523127</v>
      </c>
      <c r="I111" s="2">
        <f t="shared" si="56"/>
        <v>3.6127557514857291</v>
      </c>
      <c r="J111" s="2">
        <f t="shared" si="57"/>
        <v>21.320960142000001</v>
      </c>
      <c r="K111" s="2">
        <f t="shared" si="58"/>
        <v>86.347868509984565</v>
      </c>
      <c r="L111" s="2">
        <f t="shared" si="59"/>
        <v>83.999999999999844</v>
      </c>
      <c r="M111" s="2">
        <f t="shared" si="46"/>
        <v>39.438300000000005</v>
      </c>
      <c r="N111" s="2">
        <f t="shared" si="60"/>
        <v>2.1690932909999998</v>
      </c>
      <c r="O111" s="2">
        <f t="shared" si="47"/>
        <v>126.5548</v>
      </c>
      <c r="P111" s="2">
        <f t="shared" si="61"/>
        <v>3.9148840489999999</v>
      </c>
      <c r="Q111" s="2">
        <f t="shared" si="62"/>
        <v>5.0255999250000007</v>
      </c>
      <c r="R111" s="2">
        <f t="shared" si="63"/>
        <v>0.999206127</v>
      </c>
      <c r="S111" s="2">
        <f t="shared" si="64"/>
        <v>23.965437795000003</v>
      </c>
      <c r="T111" s="2">
        <f t="shared" si="65"/>
        <v>6.6877808580000009</v>
      </c>
      <c r="U111" s="2">
        <f t="shared" si="48"/>
        <v>17.277656937000003</v>
      </c>
      <c r="V111" s="3">
        <f t="shared" si="49"/>
        <v>0.26890191516407586</v>
      </c>
      <c r="W111" s="3">
        <f t="shared" si="50"/>
        <v>0.32153651390282301</v>
      </c>
      <c r="X111" s="3">
        <f t="shared" si="51"/>
        <v>0.44446446622239577</v>
      </c>
      <c r="Y111" s="3">
        <f t="shared" si="52"/>
        <v>0.76600098012521878</v>
      </c>
      <c r="Z111" s="1">
        <v>0.308</v>
      </c>
      <c r="AA111" s="4" t="s">
        <v>157</v>
      </c>
      <c r="AB111" s="1">
        <v>6.2700000000000006E-2</v>
      </c>
      <c r="AD111" s="2">
        <f t="shared" si="53"/>
        <v>134.64215065316401</v>
      </c>
      <c r="AE111" s="4" t="s">
        <v>158</v>
      </c>
      <c r="AF111" s="4" t="s">
        <v>159</v>
      </c>
      <c r="AG111" s="1">
        <v>2.6832279000000001E-2</v>
      </c>
      <c r="AH111" s="1">
        <v>3.3896598E-2</v>
      </c>
      <c r="AI111" s="4" t="s">
        <v>160</v>
      </c>
      <c r="AJ111" s="4" t="s">
        <v>161</v>
      </c>
      <c r="AK111" s="1">
        <v>3.448479E-3</v>
      </c>
      <c r="AL111" s="1">
        <v>6.223981E-3</v>
      </c>
      <c r="AM111" s="1">
        <v>7.9898250000000007E-3</v>
      </c>
      <c r="AN111" s="1">
        <v>1.5885630000000001E-3</v>
      </c>
      <c r="AO111" s="1">
        <v>3.8100855000000003E-2</v>
      </c>
      <c r="AP111" s="1">
        <v>1.0632402000000001E-2</v>
      </c>
    </row>
    <row r="112" spans="1:42">
      <c r="A112" s="1" t="s">
        <v>156</v>
      </c>
      <c r="B112" s="1" t="s">
        <v>1167</v>
      </c>
      <c r="C112" s="1" t="s">
        <v>20</v>
      </c>
      <c r="D112" s="1">
        <v>493</v>
      </c>
      <c r="E112" s="1">
        <v>548</v>
      </c>
      <c r="F112" s="2">
        <f t="shared" si="45"/>
        <v>124.77752194542749</v>
      </c>
      <c r="G112" s="2">
        <f t="shared" si="54"/>
        <v>93.577421669185654</v>
      </c>
      <c r="H112" s="2">
        <f t="shared" si="55"/>
        <v>21.302476975864327</v>
      </c>
      <c r="I112" s="2">
        <f t="shared" si="56"/>
        <v>3.1027785015487752</v>
      </c>
      <c r="J112" s="2">
        <f t="shared" si="57"/>
        <v>6.1511754068715767</v>
      </c>
      <c r="K112" s="2">
        <f t="shared" si="58"/>
        <v>64.061903936188216</v>
      </c>
      <c r="L112" s="2">
        <f t="shared" si="59"/>
        <v>52.000000027999995</v>
      </c>
      <c r="M112" s="2">
        <f t="shared" si="46"/>
        <v>43.237200000000001</v>
      </c>
      <c r="N112" s="2">
        <f t="shared" si="60"/>
        <v>0.485604172</v>
      </c>
      <c r="O112" s="2">
        <f t="shared" si="47"/>
        <v>76.062399999999997</v>
      </c>
      <c r="P112" s="2">
        <f t="shared" si="61"/>
        <v>5.4435048440000005</v>
      </c>
      <c r="Q112" s="2">
        <f t="shared" si="62"/>
        <v>2.9782999920000002</v>
      </c>
      <c r="R112" s="2">
        <f t="shared" si="63"/>
        <v>1.958041812</v>
      </c>
      <c r="S112" s="2">
        <f t="shared" si="64"/>
        <v>17.834442444</v>
      </c>
      <c r="T112" s="2">
        <f t="shared" si="65"/>
        <v>4.3900888279999997</v>
      </c>
      <c r="U112" s="2">
        <f t="shared" si="48"/>
        <v>13.444353616000001</v>
      </c>
      <c r="V112" s="3">
        <f t="shared" si="49"/>
        <v>0.25309842179599895</v>
      </c>
      <c r="W112" s="3">
        <f t="shared" si="50"/>
        <v>0.32229660013549061</v>
      </c>
      <c r="X112" s="3">
        <f t="shared" si="51"/>
        <v>0.34502112120293499</v>
      </c>
      <c r="Y112" s="3">
        <f t="shared" si="52"/>
        <v>0.6673177213384256</v>
      </c>
      <c r="Z112" s="4" t="s">
        <v>1168</v>
      </c>
      <c r="AA112" s="1">
        <v>0.13880000000000001</v>
      </c>
      <c r="AB112" s="1">
        <v>7.8899999999999998E-2</v>
      </c>
      <c r="AD112" s="2">
        <f t="shared" si="53"/>
        <v>118.62634653855592</v>
      </c>
      <c r="AE112" s="4" t="s">
        <v>1170</v>
      </c>
      <c r="AF112" s="4" t="s">
        <v>1171</v>
      </c>
      <c r="AG112" s="1">
        <v>2.6155897000000001E-2</v>
      </c>
      <c r="AH112" s="4" t="s">
        <v>1169</v>
      </c>
      <c r="AI112" s="4" t="s">
        <v>1172</v>
      </c>
      <c r="AJ112" s="1">
        <v>9.4890510999999997E-2</v>
      </c>
      <c r="AK112" s="1">
        <v>8.8613899999999998E-4</v>
      </c>
      <c r="AL112" s="1">
        <v>9.9334030000000004E-3</v>
      </c>
      <c r="AM112" s="1">
        <v>5.4348540000000002E-3</v>
      </c>
      <c r="AN112" s="1">
        <v>3.5730689999999999E-3</v>
      </c>
      <c r="AO112" s="1">
        <v>3.2544602999999998E-2</v>
      </c>
      <c r="AP112" s="1">
        <v>8.0111109999999996E-3</v>
      </c>
    </row>
    <row r="113" spans="1:42">
      <c r="A113" s="1" t="s">
        <v>156</v>
      </c>
      <c r="B113" s="1" t="s">
        <v>318</v>
      </c>
      <c r="C113" s="1" t="s">
        <v>87</v>
      </c>
      <c r="D113" s="1">
        <v>526</v>
      </c>
      <c r="E113" s="1">
        <v>603</v>
      </c>
      <c r="F113" s="2">
        <f t="shared" si="45"/>
        <v>140.43822525293999</v>
      </c>
      <c r="G113" s="2">
        <f t="shared" si="54"/>
        <v>91.768174701646942</v>
      </c>
      <c r="H113" s="2">
        <f t="shared" si="55"/>
        <v>27.320644456404839</v>
      </c>
      <c r="I113" s="2">
        <f t="shared" si="56"/>
        <v>1.0000086073420567</v>
      </c>
      <c r="J113" s="2">
        <f t="shared" si="57"/>
        <v>20.862894897</v>
      </c>
      <c r="K113" s="2">
        <f t="shared" si="58"/>
        <v>76.294641444586276</v>
      </c>
      <c r="L113" s="2">
        <f t="shared" si="59"/>
        <v>76.999999999999631</v>
      </c>
      <c r="M113" s="2">
        <f t="shared" si="46"/>
        <v>67.475700000000003</v>
      </c>
      <c r="N113" s="2">
        <f t="shared" si="60"/>
        <v>3.6957122280000001</v>
      </c>
      <c r="O113" s="2">
        <f t="shared" si="47"/>
        <v>114.50970000000001</v>
      </c>
      <c r="P113" s="2">
        <f t="shared" si="61"/>
        <v>4.4891498790000002</v>
      </c>
      <c r="Q113" s="2">
        <f t="shared" si="62"/>
        <v>4.0106488770000004</v>
      </c>
      <c r="R113" s="2">
        <f t="shared" si="63"/>
        <v>0</v>
      </c>
      <c r="S113" s="2">
        <f t="shared" si="64"/>
        <v>6.2690165370000006</v>
      </c>
      <c r="T113" s="2">
        <f t="shared" si="65"/>
        <v>2.0059307550000001</v>
      </c>
      <c r="U113" s="2">
        <f t="shared" si="48"/>
        <v>4.263085782000001</v>
      </c>
      <c r="V113" s="3">
        <f t="shared" si="49"/>
        <v>0.26699282367479082</v>
      </c>
      <c r="W113" s="3">
        <f t="shared" si="50"/>
        <v>0.35945647972719036</v>
      </c>
      <c r="X113" s="3">
        <f t="shared" si="51"/>
        <v>0.44270165213779999</v>
      </c>
      <c r="Y113" s="3">
        <f t="shared" si="52"/>
        <v>0.80215813186499041</v>
      </c>
      <c r="Z113" s="1">
        <v>0.30299999999999999</v>
      </c>
      <c r="AA113" s="1">
        <v>0.18990000000000001</v>
      </c>
      <c r="AB113" s="1">
        <v>0.1119</v>
      </c>
      <c r="AD113" s="2">
        <f t="shared" si="53"/>
        <v>119.57533035594</v>
      </c>
      <c r="AE113" s="4" t="s">
        <v>319</v>
      </c>
      <c r="AF113" s="4" t="s">
        <v>320</v>
      </c>
      <c r="AG113" s="1">
        <v>8.3630010000000001E-3</v>
      </c>
      <c r="AH113" s="1">
        <v>3.4598498999999998E-2</v>
      </c>
      <c r="AI113" s="4" t="s">
        <v>321</v>
      </c>
      <c r="AJ113" s="4" t="s">
        <v>322</v>
      </c>
      <c r="AK113" s="1">
        <v>6.1288760000000001E-3</v>
      </c>
      <c r="AL113" s="1">
        <v>7.4446929999999996E-3</v>
      </c>
      <c r="AM113" s="1">
        <v>6.6511590000000002E-3</v>
      </c>
      <c r="AN113" s="1">
        <v>0</v>
      </c>
      <c r="AO113" s="1">
        <v>1.0396379000000001E-2</v>
      </c>
      <c r="AP113" s="1">
        <v>3.326585E-3</v>
      </c>
    </row>
    <row r="114" spans="1:42">
      <c r="A114" s="1" t="s">
        <v>440</v>
      </c>
      <c r="B114" s="1" t="s">
        <v>1038</v>
      </c>
      <c r="C114" s="1" t="s">
        <v>879</v>
      </c>
      <c r="D114" s="1">
        <v>505</v>
      </c>
      <c r="E114" s="1">
        <v>549</v>
      </c>
      <c r="F114" s="2">
        <f t="shared" si="45"/>
        <v>121.1655741092861</v>
      </c>
      <c r="G114" s="2">
        <f t="shared" si="54"/>
        <v>84.185149331038929</v>
      </c>
      <c r="H114" s="2">
        <f t="shared" si="55"/>
        <v>22.815567878116294</v>
      </c>
      <c r="I114" s="2">
        <f t="shared" si="56"/>
        <v>1.5967670437684314</v>
      </c>
      <c r="J114" s="2">
        <f t="shared" si="57"/>
        <v>12.400371153</v>
      </c>
      <c r="K114" s="2">
        <f t="shared" si="58"/>
        <v>56.361366364727594</v>
      </c>
      <c r="L114" s="2">
        <f t="shared" si="59"/>
        <v>61.999999999999766</v>
      </c>
      <c r="M114" s="2">
        <f t="shared" si="46"/>
        <v>34.367400000000004</v>
      </c>
      <c r="N114" s="2">
        <f t="shared" si="60"/>
        <v>0.98486098200000005</v>
      </c>
      <c r="O114" s="2">
        <f t="shared" si="47"/>
        <v>92.890799999999999</v>
      </c>
      <c r="P114" s="2">
        <f t="shared" si="61"/>
        <v>2.946598839</v>
      </c>
      <c r="Q114" s="2">
        <f t="shared" si="62"/>
        <v>5.0742115559999998</v>
      </c>
      <c r="R114" s="2">
        <f t="shared" si="63"/>
        <v>0.50000010300000008</v>
      </c>
      <c r="S114" s="2">
        <f t="shared" si="64"/>
        <v>3.8763023400000001</v>
      </c>
      <c r="T114" s="2">
        <f t="shared" si="65"/>
        <v>1.040837571</v>
      </c>
      <c r="U114" s="2">
        <f t="shared" si="48"/>
        <v>2.8354647690000001</v>
      </c>
      <c r="V114" s="3">
        <f t="shared" si="49"/>
        <v>0.23993182991937842</v>
      </c>
      <c r="W114" s="3">
        <f t="shared" si="50"/>
        <v>0.29236650943666131</v>
      </c>
      <c r="X114" s="3">
        <f t="shared" si="51"/>
        <v>0.36476845709025113</v>
      </c>
      <c r="Y114" s="3">
        <f t="shared" si="52"/>
        <v>0.65713496652691239</v>
      </c>
      <c r="Z114" s="4" t="s">
        <v>1039</v>
      </c>
      <c r="AA114" s="1">
        <v>0.16919999999999999</v>
      </c>
      <c r="AB114" s="1">
        <v>6.2600000000000003E-2</v>
      </c>
      <c r="AD114" s="2">
        <f t="shared" si="53"/>
        <v>108.7652029562861</v>
      </c>
      <c r="AE114" s="4" t="s">
        <v>1040</v>
      </c>
      <c r="AF114" s="4" t="s">
        <v>1041</v>
      </c>
      <c r="AG114" s="1">
        <v>1.4680863000000001E-2</v>
      </c>
      <c r="AH114" s="1">
        <v>2.2587197E-2</v>
      </c>
      <c r="AI114" s="4" t="s">
        <v>1042</v>
      </c>
      <c r="AJ114" s="4" t="s">
        <v>1043</v>
      </c>
      <c r="AK114" s="1">
        <v>1.793918E-3</v>
      </c>
      <c r="AL114" s="1">
        <v>5.3672110000000002E-3</v>
      </c>
      <c r="AM114" s="1">
        <v>9.2426439999999995E-3</v>
      </c>
      <c r="AN114" s="1">
        <v>9.1074700000000005E-4</v>
      </c>
      <c r="AO114" s="1">
        <v>7.0606599999999999E-3</v>
      </c>
      <c r="AP114" s="1">
        <v>1.8958790000000001E-3</v>
      </c>
    </row>
    <row r="115" spans="1:42">
      <c r="A115" s="1" t="s">
        <v>440</v>
      </c>
      <c r="B115" s="1" t="s">
        <v>439</v>
      </c>
      <c r="C115" s="1" t="s">
        <v>20</v>
      </c>
      <c r="D115" s="1">
        <v>466</v>
      </c>
      <c r="E115" s="1">
        <v>519</v>
      </c>
      <c r="F115" s="2">
        <f t="shared" si="45"/>
        <v>116.2509998727058</v>
      </c>
      <c r="G115" s="2">
        <f t="shared" si="54"/>
        <v>59.77815364637663</v>
      </c>
      <c r="H115" s="2">
        <f t="shared" si="55"/>
        <v>26.63339173169582</v>
      </c>
      <c r="I115" s="2">
        <f t="shared" si="56"/>
        <v>3.8962890069359282</v>
      </c>
      <c r="J115" s="2">
        <f t="shared" si="57"/>
        <v>27.188737782</v>
      </c>
      <c r="K115" s="2">
        <f t="shared" si="58"/>
        <v>77.501790915395233</v>
      </c>
      <c r="L115" s="2">
        <f t="shared" si="59"/>
        <v>71.999999999999503</v>
      </c>
      <c r="M115" s="2">
        <f t="shared" si="46"/>
        <v>40.845300000000002</v>
      </c>
      <c r="N115" s="2">
        <f t="shared" si="60"/>
        <v>2.7808118610000001</v>
      </c>
      <c r="O115" s="2">
        <f t="shared" si="47"/>
        <v>142.25790000000001</v>
      </c>
      <c r="P115" s="2">
        <f t="shared" si="61"/>
        <v>8.1150829620000007</v>
      </c>
      <c r="Q115" s="2">
        <f t="shared" si="62"/>
        <v>3.2186407799999999</v>
      </c>
      <c r="R115" s="2">
        <f t="shared" si="63"/>
        <v>0.49999992900000001</v>
      </c>
      <c r="S115" s="2">
        <f t="shared" si="64"/>
        <v>15.580178628000001</v>
      </c>
      <c r="T115" s="2">
        <f t="shared" si="65"/>
        <v>2.2820004419999997</v>
      </c>
      <c r="U115" s="2">
        <f t="shared" si="48"/>
        <v>13.298178186000001</v>
      </c>
      <c r="V115" s="3">
        <f t="shared" si="49"/>
        <v>0.249465664962888</v>
      </c>
      <c r="W115" s="3">
        <f t="shared" si="50"/>
        <v>0.32756929622579789</v>
      </c>
      <c r="X115" s="3">
        <f t="shared" si="51"/>
        <v>0.50104883102698727</v>
      </c>
      <c r="Y115" s="3">
        <f t="shared" si="52"/>
        <v>0.82861812725278516</v>
      </c>
      <c r="Z115" s="1">
        <v>0.29709999999999998</v>
      </c>
      <c r="AA115" s="1">
        <v>0.27410000000000001</v>
      </c>
      <c r="AB115" s="1">
        <v>7.8700000000000006E-2</v>
      </c>
      <c r="AD115" s="2">
        <f t="shared" si="53"/>
        <v>89.062262090705801</v>
      </c>
      <c r="AE115" s="4" t="s">
        <v>441</v>
      </c>
      <c r="AF115" s="4" t="s">
        <v>442</v>
      </c>
      <c r="AG115" s="4" t="s">
        <v>443</v>
      </c>
      <c r="AH115" s="1">
        <v>5.2386778000000002E-2</v>
      </c>
      <c r="AI115" s="4" t="s">
        <v>444</v>
      </c>
      <c r="AJ115" s="4" t="s">
        <v>445</v>
      </c>
      <c r="AK115" s="1">
        <v>5.3580190000000003E-3</v>
      </c>
      <c r="AL115" s="1">
        <v>1.5635998000000002E-2</v>
      </c>
      <c r="AM115" s="1">
        <v>6.2016199999999997E-3</v>
      </c>
      <c r="AN115" s="1">
        <v>9.6339099999999997E-4</v>
      </c>
      <c r="AO115" s="1">
        <v>3.0019612000000001E-2</v>
      </c>
      <c r="AP115" s="1">
        <v>4.3969179999999997E-3</v>
      </c>
    </row>
    <row r="116" spans="1:42">
      <c r="A116" s="1" t="s">
        <v>440</v>
      </c>
      <c r="B116" s="1" t="s">
        <v>526</v>
      </c>
      <c r="C116" s="1" t="s">
        <v>169</v>
      </c>
      <c r="D116" s="1">
        <v>468</v>
      </c>
      <c r="E116" s="1">
        <v>533</v>
      </c>
      <c r="F116" s="2">
        <f t="shared" si="45"/>
        <v>126.24222004043521</v>
      </c>
      <c r="G116" s="2">
        <f t="shared" si="54"/>
        <v>87.342937179105334</v>
      </c>
      <c r="H116" s="2">
        <f t="shared" si="55"/>
        <v>26.993822863099503</v>
      </c>
      <c r="I116" s="2">
        <f t="shared" si="56"/>
        <v>1.5594861589421281</v>
      </c>
      <c r="J116" s="2">
        <f t="shared" si="57"/>
        <v>10.185227052</v>
      </c>
      <c r="K116" s="2">
        <f t="shared" si="58"/>
        <v>68.967072510822106</v>
      </c>
      <c r="L116" s="2">
        <f t="shared" si="59"/>
        <v>54.999999999999531</v>
      </c>
      <c r="M116" s="2">
        <f t="shared" si="46"/>
        <v>46.424299999999995</v>
      </c>
      <c r="N116" s="2">
        <f t="shared" si="60"/>
        <v>0.40378800800000003</v>
      </c>
      <c r="O116" s="2">
        <f t="shared" si="47"/>
        <v>88.957700000000003</v>
      </c>
      <c r="P116" s="2">
        <f t="shared" si="61"/>
        <v>10.180090787228822</v>
      </c>
      <c r="Q116" s="2">
        <f t="shared" si="62"/>
        <v>5.0378786900000003</v>
      </c>
      <c r="R116" s="2">
        <f t="shared" si="63"/>
        <v>0.49999983799999997</v>
      </c>
      <c r="S116" s="2">
        <f t="shared" si="64"/>
        <v>23.822678581000002</v>
      </c>
      <c r="T116" s="2">
        <f t="shared" si="65"/>
        <v>6.5299999310000008</v>
      </c>
      <c r="U116" s="2">
        <f t="shared" si="48"/>
        <v>17.292678649999999</v>
      </c>
      <c r="V116" s="3">
        <f t="shared" si="49"/>
        <v>0.26974833341973337</v>
      </c>
      <c r="W116" s="3">
        <f t="shared" si="50"/>
        <v>0.3524954710915279</v>
      </c>
      <c r="X116" s="3">
        <f t="shared" si="51"/>
        <v>0.39903835382506569</v>
      </c>
      <c r="Y116" s="3">
        <f t="shared" si="52"/>
        <v>0.7515338249165936</v>
      </c>
      <c r="Z116" s="1">
        <v>0.31040000000000001</v>
      </c>
      <c r="AA116" s="1">
        <v>0.16689999999999999</v>
      </c>
      <c r="AB116" s="1">
        <v>8.7099999999999997E-2</v>
      </c>
      <c r="AD116" s="2">
        <f t="shared" si="53"/>
        <v>116.05699298843521</v>
      </c>
      <c r="AE116" s="1">
        <v>0.75258659500000002</v>
      </c>
      <c r="AF116" s="4" t="s">
        <v>527</v>
      </c>
      <c r="AG116" s="4" t="s">
        <v>528</v>
      </c>
      <c r="AH116" s="1">
        <v>1.9109244000000001E-2</v>
      </c>
      <c r="AI116" s="4" t="s">
        <v>529</v>
      </c>
      <c r="AJ116" s="4" t="s">
        <v>530</v>
      </c>
      <c r="AK116" s="1">
        <v>7.5757600000000004E-4</v>
      </c>
      <c r="AL116" s="4" t="s">
        <v>531</v>
      </c>
      <c r="AM116" s="1">
        <v>9.4519300000000007E-3</v>
      </c>
      <c r="AN116" s="1">
        <v>9.3808599999999998E-4</v>
      </c>
      <c r="AO116" s="1">
        <v>4.4695457000000001E-2</v>
      </c>
      <c r="AP116" s="1">
        <v>1.2251407000000001E-2</v>
      </c>
    </row>
    <row r="117" spans="1:42">
      <c r="A117" s="1" t="s">
        <v>440</v>
      </c>
      <c r="B117" s="1" t="s">
        <v>1206</v>
      </c>
      <c r="C117" s="1" t="s">
        <v>49</v>
      </c>
      <c r="D117" s="1">
        <v>445</v>
      </c>
      <c r="E117" s="1">
        <v>486</v>
      </c>
      <c r="F117" s="2">
        <f t="shared" si="45"/>
        <v>106.19092896199402</v>
      </c>
      <c r="G117" s="2">
        <f t="shared" si="54"/>
        <v>66.469698350761206</v>
      </c>
      <c r="H117" s="2">
        <f t="shared" si="55"/>
        <v>22.827022247685168</v>
      </c>
      <c r="I117" s="2">
        <f t="shared" si="56"/>
        <v>0.5161869507130129</v>
      </c>
      <c r="J117" s="2">
        <f t="shared" si="57"/>
        <v>16.790212818000001</v>
      </c>
      <c r="K117" s="2">
        <f t="shared" si="58"/>
        <v>55.524802431610652</v>
      </c>
      <c r="L117" s="2">
        <f t="shared" si="59"/>
        <v>61.999999999999822</v>
      </c>
      <c r="M117" s="2">
        <f t="shared" si="46"/>
        <v>34.311599999999999</v>
      </c>
      <c r="N117" s="2">
        <f t="shared" si="60"/>
        <v>0.99627083999999999</v>
      </c>
      <c r="O117" s="2">
        <f t="shared" si="47"/>
        <v>101.81699999999999</v>
      </c>
      <c r="P117" s="2">
        <f t="shared" si="61"/>
        <v>2.7018708299999998</v>
      </c>
      <c r="Q117" s="2">
        <f t="shared" si="62"/>
        <v>4.1089360860000008</v>
      </c>
      <c r="R117" s="2">
        <f t="shared" si="63"/>
        <v>0</v>
      </c>
      <c r="S117" s="2">
        <f t="shared" si="64"/>
        <v>10.628571654</v>
      </c>
      <c r="T117" s="2">
        <f t="shared" si="65"/>
        <v>2.1897653399999997</v>
      </c>
      <c r="U117" s="2">
        <f t="shared" si="48"/>
        <v>8.4388063140000007</v>
      </c>
      <c r="V117" s="3">
        <f t="shared" si="49"/>
        <v>0.2386313010381888</v>
      </c>
      <c r="W117" s="3">
        <f t="shared" si="50"/>
        <v>0.29767891735024427</v>
      </c>
      <c r="X117" s="3">
        <f t="shared" si="51"/>
        <v>0.40636664038263054</v>
      </c>
      <c r="Y117" s="3">
        <f t="shared" si="52"/>
        <v>0.7040455577328748</v>
      </c>
      <c r="Z117" s="1">
        <v>0.27050000000000002</v>
      </c>
      <c r="AA117" s="1">
        <v>0.20949999999999999</v>
      </c>
      <c r="AB117" s="1">
        <v>7.0599999999999996E-2</v>
      </c>
      <c r="AD117" s="2">
        <f t="shared" si="53"/>
        <v>89.400716143994018</v>
      </c>
      <c r="AE117" s="4" t="s">
        <v>1207</v>
      </c>
      <c r="AF117" s="4" t="s">
        <v>1208</v>
      </c>
      <c r="AG117" s="1">
        <v>5.7738570000000003E-3</v>
      </c>
      <c r="AH117" s="1">
        <v>3.4547763000000002E-2</v>
      </c>
      <c r="AI117" s="4" t="s">
        <v>1209</v>
      </c>
      <c r="AJ117" s="4" t="s">
        <v>1210</v>
      </c>
      <c r="AK117" s="1">
        <v>2.0499400000000001E-3</v>
      </c>
      <c r="AL117" s="1">
        <v>5.5594049999999999E-3</v>
      </c>
      <c r="AM117" s="1">
        <v>8.4546010000000008E-3</v>
      </c>
      <c r="AN117" s="1">
        <v>0</v>
      </c>
      <c r="AO117" s="1">
        <v>2.1869488999999999E-2</v>
      </c>
      <c r="AP117" s="1">
        <v>4.5056899999999997E-3</v>
      </c>
    </row>
    <row r="118" spans="1:42">
      <c r="A118" s="1" t="s">
        <v>440</v>
      </c>
      <c r="B118" s="1" t="s">
        <v>1152</v>
      </c>
      <c r="C118" s="1" t="s">
        <v>87</v>
      </c>
      <c r="D118" s="1">
        <v>445</v>
      </c>
      <c r="E118" s="1">
        <v>505</v>
      </c>
      <c r="F118" s="2">
        <f t="shared" si="45"/>
        <v>107.198154559575</v>
      </c>
      <c r="G118" s="2">
        <f t="shared" si="54"/>
        <v>69.140417248768287</v>
      </c>
      <c r="H118" s="2">
        <f t="shared" si="55"/>
        <v>22.046270769442536</v>
      </c>
      <c r="I118" s="2">
        <f t="shared" si="56"/>
        <v>1.0244164915189493</v>
      </c>
      <c r="J118" s="2">
        <f t="shared" si="57"/>
        <v>16.114970159999999</v>
      </c>
      <c r="K118" s="2">
        <f t="shared" si="58"/>
        <v>57.174124790571504</v>
      </c>
      <c r="L118" s="2">
        <f t="shared" si="59"/>
        <v>56.999999999999559</v>
      </c>
      <c r="M118" s="2">
        <f t="shared" si="46"/>
        <v>45.753</v>
      </c>
      <c r="N118" s="2">
        <f t="shared" si="60"/>
        <v>1.0383602950000002</v>
      </c>
      <c r="O118" s="2">
        <f t="shared" si="47"/>
        <v>103.6765</v>
      </c>
      <c r="P118" s="2">
        <f t="shared" si="61"/>
        <v>9.2050299100000004</v>
      </c>
      <c r="Q118" s="2">
        <f t="shared" si="62"/>
        <v>3.0191616900000002</v>
      </c>
      <c r="R118" s="2">
        <f t="shared" si="63"/>
        <v>1.0899531150000001</v>
      </c>
      <c r="S118" s="2">
        <f t="shared" si="64"/>
        <v>2.358699965</v>
      </c>
      <c r="T118" s="2">
        <f t="shared" si="65"/>
        <v>1.0107135650000001</v>
      </c>
      <c r="U118" s="2">
        <f t="shared" si="48"/>
        <v>1.3479863999999999</v>
      </c>
      <c r="V118" s="3">
        <f t="shared" si="49"/>
        <v>0.24089472934735956</v>
      </c>
      <c r="W118" s="3">
        <f t="shared" si="50"/>
        <v>0.3298121958075948</v>
      </c>
      <c r="X118" s="3">
        <f t="shared" si="51"/>
        <v>0.40621593011732626</v>
      </c>
      <c r="Y118" s="3">
        <f t="shared" si="52"/>
        <v>0.73602812592492106</v>
      </c>
      <c r="Z118" s="1">
        <v>0.27750000000000002</v>
      </c>
      <c r="AA118" s="1">
        <v>0.20530000000000001</v>
      </c>
      <c r="AB118" s="1">
        <v>9.06E-2</v>
      </c>
      <c r="AD118" s="2">
        <f t="shared" si="53"/>
        <v>91.083184399575003</v>
      </c>
      <c r="AE118" s="4" t="s">
        <v>1153</v>
      </c>
      <c r="AF118" s="4" t="s">
        <v>1154</v>
      </c>
      <c r="AG118" s="1">
        <v>1.1247043E-2</v>
      </c>
      <c r="AH118" s="1">
        <v>3.1910832E-2</v>
      </c>
      <c r="AI118" s="4" t="s">
        <v>1155</v>
      </c>
      <c r="AJ118" s="4" t="s">
        <v>1156</v>
      </c>
      <c r="AK118" s="1">
        <v>2.0561590000000001E-3</v>
      </c>
      <c r="AL118" s="1">
        <v>1.8227782000000001E-2</v>
      </c>
      <c r="AM118" s="1">
        <v>5.9785380000000003E-3</v>
      </c>
      <c r="AN118" s="1">
        <v>2.1583230000000002E-3</v>
      </c>
      <c r="AO118" s="1">
        <v>4.6706930000000001E-3</v>
      </c>
      <c r="AP118" s="1">
        <v>2.0014130000000001E-3</v>
      </c>
    </row>
    <row r="119" spans="1:42">
      <c r="A119" s="1" t="s">
        <v>40</v>
      </c>
      <c r="B119" s="1" t="s">
        <v>345</v>
      </c>
      <c r="C119" s="1" t="s">
        <v>34</v>
      </c>
      <c r="D119" s="1">
        <v>561</v>
      </c>
      <c r="E119" s="1">
        <v>607</v>
      </c>
      <c r="F119" s="2">
        <f t="shared" si="45"/>
        <v>159.62687417484449</v>
      </c>
      <c r="G119" s="2">
        <f t="shared" si="54"/>
        <v>112.59381549349804</v>
      </c>
      <c r="H119" s="2">
        <f t="shared" si="55"/>
        <v>27.342295431513964</v>
      </c>
      <c r="I119" s="2">
        <f t="shared" si="56"/>
        <v>1.7059100408259418</v>
      </c>
      <c r="J119" s="2">
        <f t="shared" si="57"/>
        <v>17.230267400999999</v>
      </c>
      <c r="K119" s="2">
        <f t="shared" si="58"/>
        <v>74.680674690711072</v>
      </c>
      <c r="L119" s="2">
        <f t="shared" si="59"/>
        <v>76.99999999999946</v>
      </c>
      <c r="M119" s="2">
        <f t="shared" si="46"/>
        <v>36.116499999999995</v>
      </c>
      <c r="N119" s="2">
        <f t="shared" si="60"/>
        <v>0.96877139300000004</v>
      </c>
      <c r="O119" s="2">
        <f t="shared" si="47"/>
        <v>98.758900000000011</v>
      </c>
      <c r="P119" s="2">
        <f t="shared" si="61"/>
        <v>3.9406355020000001</v>
      </c>
      <c r="Q119" s="2">
        <f t="shared" si="62"/>
        <v>4.0481606960000001</v>
      </c>
      <c r="R119" s="2">
        <f t="shared" si="63"/>
        <v>0</v>
      </c>
      <c r="S119" s="2">
        <f t="shared" si="64"/>
        <v>5.4907295810000001</v>
      </c>
      <c r="T119" s="2">
        <f t="shared" si="65"/>
        <v>2.4063027849999998</v>
      </c>
      <c r="U119" s="2">
        <f t="shared" si="48"/>
        <v>3.0844267960000002</v>
      </c>
      <c r="V119" s="3">
        <f t="shared" si="49"/>
        <v>0.28453988266460695</v>
      </c>
      <c r="W119" s="3">
        <f t="shared" si="50"/>
        <v>0.33323640637875501</v>
      </c>
      <c r="X119" s="3">
        <f t="shared" si="51"/>
        <v>0.43015544756328666</v>
      </c>
      <c r="Y119" s="3">
        <f t="shared" si="52"/>
        <v>0.76339185394204168</v>
      </c>
      <c r="Z119" s="1">
        <v>0.31709999999999999</v>
      </c>
      <c r="AA119" s="1">
        <v>0.16270000000000001</v>
      </c>
      <c r="AB119" s="1">
        <v>5.9499999999999997E-2</v>
      </c>
      <c r="AD119" s="2">
        <f t="shared" si="53"/>
        <v>142.3966067738445</v>
      </c>
      <c r="AE119" s="4" t="s">
        <v>346</v>
      </c>
      <c r="AF119" s="4" t="s">
        <v>347</v>
      </c>
      <c r="AG119" s="4" t="s">
        <v>348</v>
      </c>
      <c r="AH119" s="1">
        <v>2.8385943E-2</v>
      </c>
      <c r="AI119" s="4" t="s">
        <v>349</v>
      </c>
      <c r="AJ119" s="4" t="s">
        <v>350</v>
      </c>
      <c r="AK119" s="1">
        <v>1.5959990000000001E-3</v>
      </c>
      <c r="AL119" s="1">
        <v>6.4919859999999999E-3</v>
      </c>
      <c r="AM119" s="1">
        <v>6.6691279999999999E-3</v>
      </c>
      <c r="AN119" s="1">
        <v>0</v>
      </c>
      <c r="AO119" s="1">
        <v>9.0456830000000005E-3</v>
      </c>
      <c r="AP119" s="1">
        <v>3.9642549999999999E-3</v>
      </c>
    </row>
    <row r="120" spans="1:42">
      <c r="A120" s="1" t="s">
        <v>40</v>
      </c>
      <c r="B120" s="1" t="s">
        <v>824</v>
      </c>
      <c r="C120" s="1" t="s">
        <v>163</v>
      </c>
      <c r="D120" s="1">
        <v>404</v>
      </c>
      <c r="E120" s="1">
        <v>447</v>
      </c>
      <c r="F120" s="2">
        <f t="shared" si="45"/>
        <v>96.319561742814884</v>
      </c>
      <c r="G120" s="2">
        <f t="shared" si="54"/>
        <v>64.333127228357853</v>
      </c>
      <c r="H120" s="2">
        <f t="shared" si="55"/>
        <v>16.717253573488417</v>
      </c>
      <c r="I120" s="2">
        <f t="shared" si="56"/>
        <v>0.8551322755299704</v>
      </c>
      <c r="J120" s="2">
        <f t="shared" si="57"/>
        <v>14.950663725</v>
      </c>
      <c r="K120" s="2">
        <f t="shared" si="58"/>
        <v>52.349924748660101</v>
      </c>
      <c r="L120" s="2">
        <f t="shared" si="59"/>
        <v>51.999999912</v>
      </c>
      <c r="M120" s="2">
        <f t="shared" si="46"/>
        <v>35.536500000000004</v>
      </c>
      <c r="N120" s="2">
        <f t="shared" si="60"/>
        <v>0.197787666</v>
      </c>
      <c r="O120" s="2">
        <f t="shared" si="47"/>
        <v>109.3809</v>
      </c>
      <c r="P120" s="2">
        <f t="shared" si="61"/>
        <v>3.059706507</v>
      </c>
      <c r="Q120" s="2">
        <f t="shared" si="62"/>
        <v>1.982301066</v>
      </c>
      <c r="R120" s="2">
        <f t="shared" si="63"/>
        <v>0.49999989599999994</v>
      </c>
      <c r="S120" s="2">
        <f t="shared" si="64"/>
        <v>4.4190478110000004</v>
      </c>
      <c r="T120" s="2">
        <f t="shared" si="65"/>
        <v>1.070217234</v>
      </c>
      <c r="U120" s="2">
        <f t="shared" si="48"/>
        <v>3.3488305770000002</v>
      </c>
      <c r="V120" s="3">
        <f t="shared" si="49"/>
        <v>0.23841475678914575</v>
      </c>
      <c r="W120" s="3">
        <f t="shared" si="50"/>
        <v>0.30588291081318547</v>
      </c>
      <c r="X120" s="3">
        <f t="shared" si="51"/>
        <v>0.39637546064832818</v>
      </c>
      <c r="Y120" s="3">
        <f t="shared" si="52"/>
        <v>0.7022583714615136</v>
      </c>
      <c r="Z120" s="1">
        <v>0.28889999999999999</v>
      </c>
      <c r="AA120" s="1">
        <v>0.2447</v>
      </c>
      <c r="AB120" s="1">
        <v>7.9500000000000001E-2</v>
      </c>
      <c r="AD120" s="2">
        <f t="shared" si="53"/>
        <v>81.368898017814885</v>
      </c>
      <c r="AE120" s="4" t="s">
        <v>825</v>
      </c>
      <c r="AF120" s="4" t="s">
        <v>826</v>
      </c>
      <c r="AG120" s="1">
        <v>1.0509325999999999E-2</v>
      </c>
      <c r="AH120" s="1">
        <v>3.3446675000000002E-2</v>
      </c>
      <c r="AI120" s="4" t="s">
        <v>827</v>
      </c>
      <c r="AJ120" s="1">
        <v>0.11633109599999999</v>
      </c>
      <c r="AK120" s="1">
        <v>4.42478E-4</v>
      </c>
      <c r="AL120" s="1">
        <v>6.844981E-3</v>
      </c>
      <c r="AM120" s="1">
        <v>4.4346780000000001E-3</v>
      </c>
      <c r="AN120" s="1">
        <v>1.1185679999999999E-3</v>
      </c>
      <c r="AO120" s="1">
        <v>9.8860130000000008E-3</v>
      </c>
      <c r="AP120" s="1">
        <v>2.3942220000000001E-3</v>
      </c>
    </row>
    <row r="121" spans="1:42">
      <c r="A121" s="1" t="s">
        <v>40</v>
      </c>
      <c r="B121" s="1" t="s">
        <v>1001</v>
      </c>
      <c r="C121" s="1" t="s">
        <v>87</v>
      </c>
      <c r="D121" s="1">
        <v>389</v>
      </c>
      <c r="E121" s="1">
        <v>438</v>
      </c>
      <c r="F121" s="2">
        <f t="shared" si="45"/>
        <v>88.605968695724471</v>
      </c>
      <c r="G121" s="2">
        <f t="shared" si="54"/>
        <v>55.794977964620145</v>
      </c>
      <c r="H121" s="2">
        <f t="shared" si="55"/>
        <v>15.272347983016459</v>
      </c>
      <c r="I121" s="2">
        <f t="shared" si="56"/>
        <v>1.0497433724672314</v>
      </c>
      <c r="J121" s="2">
        <f t="shared" si="57"/>
        <v>17.335011441647573</v>
      </c>
      <c r="K121" s="2">
        <f t="shared" si="58"/>
        <v>51.737663030651163</v>
      </c>
      <c r="L121" s="2">
        <f t="shared" si="59"/>
        <v>57.999999999999595</v>
      </c>
      <c r="M121" s="2">
        <f t="shared" si="46"/>
        <v>38.324999999999996</v>
      </c>
      <c r="N121" s="2">
        <f t="shared" si="60"/>
        <v>0.98944813200000004</v>
      </c>
      <c r="O121" s="2">
        <f t="shared" si="47"/>
        <v>112.74120000000001</v>
      </c>
      <c r="P121" s="2">
        <f t="shared" si="61"/>
        <v>6.0041563536169411</v>
      </c>
      <c r="Q121" s="2">
        <f t="shared" si="62"/>
        <v>3.0054920519999997</v>
      </c>
      <c r="R121" s="2">
        <f t="shared" si="63"/>
        <v>0.50000021400000005</v>
      </c>
      <c r="S121" s="2">
        <f t="shared" si="64"/>
        <v>0.99282511200000001</v>
      </c>
      <c r="T121" s="2">
        <f t="shared" si="65"/>
        <v>0</v>
      </c>
      <c r="U121" s="2">
        <f t="shared" si="48"/>
        <v>0.99282511200000001</v>
      </c>
      <c r="V121" s="3">
        <f t="shared" si="49"/>
        <v>0.22777883983476727</v>
      </c>
      <c r="W121" s="3">
        <f t="shared" si="50"/>
        <v>0.31049937808163819</v>
      </c>
      <c r="X121" s="3">
        <f t="shared" si="51"/>
        <v>0.40830064219703099</v>
      </c>
      <c r="Y121" s="3">
        <f t="shared" si="52"/>
        <v>0.71880002027866918</v>
      </c>
      <c r="Z121" s="1">
        <v>0.27210000000000001</v>
      </c>
      <c r="AA121" s="1">
        <v>0.25740000000000002</v>
      </c>
      <c r="AB121" s="1">
        <v>8.7499999999999994E-2</v>
      </c>
      <c r="AD121" s="2">
        <f t="shared" si="53"/>
        <v>71.270957254076905</v>
      </c>
      <c r="AE121" s="4" t="s">
        <v>1003</v>
      </c>
      <c r="AF121" s="4" t="s">
        <v>1004</v>
      </c>
      <c r="AG121" s="1">
        <v>1.4728908000000001E-2</v>
      </c>
      <c r="AH121" s="4" t="s">
        <v>1002</v>
      </c>
      <c r="AI121" s="4" t="s">
        <v>1005</v>
      </c>
      <c r="AJ121" s="4" t="s">
        <v>1006</v>
      </c>
      <c r="AK121" s="1">
        <v>2.2590140000000002E-3</v>
      </c>
      <c r="AL121" s="4" t="s">
        <v>1007</v>
      </c>
      <c r="AM121" s="1">
        <v>6.8618539999999997E-3</v>
      </c>
      <c r="AN121" s="1">
        <v>1.141553E-3</v>
      </c>
      <c r="AO121" s="1">
        <v>2.2667239999999999E-3</v>
      </c>
      <c r="AP121" s="1">
        <v>0</v>
      </c>
    </row>
    <row r="122" spans="1:42">
      <c r="A122" s="1" t="s">
        <v>40</v>
      </c>
      <c r="B122" s="1" t="s">
        <v>147</v>
      </c>
      <c r="C122" s="1" t="s">
        <v>34</v>
      </c>
      <c r="D122" s="1">
        <v>547</v>
      </c>
      <c r="E122" s="1">
        <v>618</v>
      </c>
      <c r="F122" s="2">
        <f t="shared" si="45"/>
        <v>141.61242820279364</v>
      </c>
      <c r="G122" s="2">
        <f t="shared" si="54"/>
        <v>87.484834007305878</v>
      </c>
      <c r="H122" s="2">
        <f t="shared" si="55"/>
        <v>27.316275483310203</v>
      </c>
      <c r="I122" s="2">
        <f t="shared" si="56"/>
        <v>1.2155017964887107</v>
      </c>
      <c r="J122" s="2">
        <f t="shared" si="57"/>
        <v>24.963651050080742</v>
      </c>
      <c r="K122" s="2">
        <f t="shared" si="58"/>
        <v>90.377298253711331</v>
      </c>
      <c r="L122" s="2">
        <f t="shared" si="59"/>
        <v>75.999999999999901</v>
      </c>
      <c r="M122" s="2">
        <f t="shared" si="46"/>
        <v>53.7042</v>
      </c>
      <c r="N122" s="2">
        <f t="shared" si="60"/>
        <v>1.732415298</v>
      </c>
      <c r="O122" s="2">
        <f t="shared" si="47"/>
        <v>112.35239999999999</v>
      </c>
      <c r="P122" s="2">
        <f t="shared" si="61"/>
        <v>9.494847558</v>
      </c>
      <c r="Q122" s="2">
        <f t="shared" si="62"/>
        <v>4.9935382620000004</v>
      </c>
      <c r="R122" s="2">
        <f t="shared" si="63"/>
        <v>0.49999969799999999</v>
      </c>
      <c r="S122" s="2">
        <f t="shared" si="64"/>
        <v>23.020952380952345</v>
      </c>
      <c r="T122" s="2">
        <f t="shared" si="65"/>
        <v>4.4865755579999993</v>
      </c>
      <c r="U122" s="2">
        <f t="shared" si="48"/>
        <v>18.534376822952346</v>
      </c>
      <c r="V122" s="3">
        <f t="shared" si="49"/>
        <v>0.25888926545300484</v>
      </c>
      <c r="W122" s="3">
        <f t="shared" si="50"/>
        <v>0.34002903848004629</v>
      </c>
      <c r="X122" s="3">
        <f t="shared" si="51"/>
        <v>0.44902832644189283</v>
      </c>
      <c r="Y122" s="3">
        <f t="shared" si="52"/>
        <v>0.78905736492193912</v>
      </c>
      <c r="Z122" s="1">
        <v>0.28129999999999999</v>
      </c>
      <c r="AA122" s="1">
        <v>0.18179999999999999</v>
      </c>
      <c r="AB122" s="1">
        <v>8.6900000000000005E-2</v>
      </c>
      <c r="AD122" s="2">
        <f t="shared" si="53"/>
        <v>116.64877715271288</v>
      </c>
      <c r="AE122" s="4" t="s">
        <v>149</v>
      </c>
      <c r="AF122" s="4" t="s">
        <v>150</v>
      </c>
      <c r="AG122" s="4" t="s">
        <v>151</v>
      </c>
      <c r="AH122" s="4" t="s">
        <v>148</v>
      </c>
      <c r="AI122" s="4" t="s">
        <v>152</v>
      </c>
      <c r="AJ122" s="4" t="s">
        <v>153</v>
      </c>
      <c r="AK122" s="1">
        <v>2.803261E-3</v>
      </c>
      <c r="AL122" s="1">
        <v>1.5363831E-2</v>
      </c>
      <c r="AM122" s="1">
        <v>8.080159E-3</v>
      </c>
      <c r="AN122" s="1">
        <v>8.0906100000000002E-4</v>
      </c>
      <c r="AO122" s="4" t="s">
        <v>154</v>
      </c>
      <c r="AP122" s="1">
        <v>7.2598309999999996E-3</v>
      </c>
    </row>
    <row r="123" spans="1:42">
      <c r="A123" s="1" t="s">
        <v>40</v>
      </c>
      <c r="B123" s="1" t="s">
        <v>834</v>
      </c>
      <c r="C123" s="1" t="s">
        <v>163</v>
      </c>
      <c r="D123" s="1">
        <v>453</v>
      </c>
      <c r="E123" s="1">
        <v>509</v>
      </c>
      <c r="F123" s="2">
        <f t="shared" si="45"/>
        <v>110.28316635473332</v>
      </c>
      <c r="G123" s="2">
        <f t="shared" si="54"/>
        <v>67.619185629795851</v>
      </c>
      <c r="H123" s="2">
        <f t="shared" si="55"/>
        <v>21.277683076347433</v>
      </c>
      <c r="I123" s="2">
        <f t="shared" si="56"/>
        <v>0</v>
      </c>
      <c r="J123" s="2">
        <f t="shared" si="57"/>
        <v>19.507800133</v>
      </c>
      <c r="K123" s="2">
        <f t="shared" si="58"/>
        <v>61.076136263735911</v>
      </c>
      <c r="L123" s="2">
        <f t="shared" si="59"/>
        <v>68.999999999999829</v>
      </c>
      <c r="M123" s="2">
        <f t="shared" si="46"/>
        <v>46.115400000000001</v>
      </c>
      <c r="N123" s="2">
        <f t="shared" si="60"/>
        <v>0.99254999999999993</v>
      </c>
      <c r="O123" s="2">
        <f t="shared" si="47"/>
        <v>102.4616999999995</v>
      </c>
      <c r="P123" s="2">
        <f t="shared" si="61"/>
        <v>3.6660327979999998</v>
      </c>
      <c r="Q123" s="2">
        <f t="shared" si="62"/>
        <v>4.0575998809999998</v>
      </c>
      <c r="R123" s="2">
        <f t="shared" si="63"/>
        <v>2.0761097089999998</v>
      </c>
      <c r="S123" s="2">
        <f t="shared" si="64"/>
        <v>5.4238093259999998</v>
      </c>
      <c r="T123" s="2">
        <f t="shared" si="65"/>
        <v>1.9806421780000001</v>
      </c>
      <c r="U123" s="2">
        <f t="shared" si="48"/>
        <v>3.4431671479999997</v>
      </c>
      <c r="V123" s="3">
        <f t="shared" si="49"/>
        <v>0.24345069835481969</v>
      </c>
      <c r="W123" s="3">
        <f t="shared" si="50"/>
        <v>0.31945290429056133</v>
      </c>
      <c r="X123" s="3">
        <f t="shared" si="51"/>
        <v>0.4154652368973305</v>
      </c>
      <c r="Y123" s="3">
        <f t="shared" si="52"/>
        <v>0.73491814118789178</v>
      </c>
      <c r="Z123" s="4" t="s">
        <v>835</v>
      </c>
      <c r="AA123" s="4" t="s">
        <v>836</v>
      </c>
      <c r="AB123" s="1">
        <v>9.06E-2</v>
      </c>
      <c r="AD123" s="2">
        <f t="shared" si="53"/>
        <v>90.775366221733321</v>
      </c>
      <c r="AE123" s="4" t="s">
        <v>837</v>
      </c>
      <c r="AF123" s="4" t="s">
        <v>838</v>
      </c>
      <c r="AG123" s="1">
        <v>0</v>
      </c>
      <c r="AH123" s="1">
        <v>3.8325736999999999E-2</v>
      </c>
      <c r="AI123" s="4" t="s">
        <v>839</v>
      </c>
      <c r="AJ123" s="4" t="s">
        <v>840</v>
      </c>
      <c r="AK123" s="1">
        <v>1.9499999999999999E-3</v>
      </c>
      <c r="AL123" s="1">
        <v>7.202422E-3</v>
      </c>
      <c r="AM123" s="1">
        <v>7.9717090000000004E-3</v>
      </c>
      <c r="AN123" s="1">
        <v>4.078801E-3</v>
      </c>
      <c r="AO123" s="1">
        <v>1.0655814E-2</v>
      </c>
      <c r="AP123" s="1">
        <v>3.8912420000000001E-3</v>
      </c>
    </row>
    <row r="124" spans="1:42">
      <c r="A124" s="1" t="s">
        <v>40</v>
      </c>
      <c r="B124" s="1" t="s">
        <v>39</v>
      </c>
      <c r="C124" s="1" t="s">
        <v>20</v>
      </c>
      <c r="D124" s="1">
        <v>542</v>
      </c>
      <c r="E124" s="1">
        <v>675</v>
      </c>
      <c r="F124" s="2">
        <f t="shared" si="45"/>
        <v>147.69156299117645</v>
      </c>
      <c r="G124" s="2">
        <f t="shared" si="54"/>
        <v>82.692410449880583</v>
      </c>
      <c r="H124" s="2">
        <f t="shared" si="55"/>
        <v>25.770542406870437</v>
      </c>
      <c r="I124" s="2">
        <f t="shared" si="56"/>
        <v>1.0265949431612353</v>
      </c>
      <c r="J124" s="2">
        <f t="shared" si="57"/>
        <v>38.10163447251108</v>
      </c>
      <c r="K124" s="2">
        <f t="shared" si="58"/>
        <v>109.9496016704277</v>
      </c>
      <c r="L124" s="2">
        <f t="shared" si="59"/>
        <v>98.999999999999545</v>
      </c>
      <c r="M124" s="2">
        <f t="shared" si="46"/>
        <v>121.83749999999999</v>
      </c>
      <c r="N124" s="2">
        <f t="shared" si="60"/>
        <v>8.9533410750000009</v>
      </c>
      <c r="O124" s="2">
        <f t="shared" si="47"/>
        <v>118.46249999999999</v>
      </c>
      <c r="P124" s="2">
        <f t="shared" si="61"/>
        <v>3.909371175</v>
      </c>
      <c r="Q124" s="2">
        <f t="shared" si="62"/>
        <v>4.0095094500000004</v>
      </c>
      <c r="R124" s="2">
        <f t="shared" si="63"/>
        <v>1.0037310750000001</v>
      </c>
      <c r="S124" s="2">
        <f t="shared" si="64"/>
        <v>21.3572889</v>
      </c>
      <c r="T124" s="2">
        <f t="shared" si="65"/>
        <v>5.4164342249999997</v>
      </c>
      <c r="U124" s="2">
        <f t="shared" si="48"/>
        <v>15.940854675000001</v>
      </c>
      <c r="V124" s="3">
        <f t="shared" si="49"/>
        <v>0.27249365865530711</v>
      </c>
      <c r="W124" s="3">
        <f t="shared" si="50"/>
        <v>0.41724531469601434</v>
      </c>
      <c r="X124" s="3">
        <f t="shared" si="51"/>
        <v>0.53453840956300647</v>
      </c>
      <c r="Y124" s="3">
        <f t="shared" si="52"/>
        <v>0.9517837242590208</v>
      </c>
      <c r="Z124" s="1">
        <v>0.28139999999999998</v>
      </c>
      <c r="AA124" s="4" t="s">
        <v>41</v>
      </c>
      <c r="AB124" s="1">
        <v>0.18049999999999999</v>
      </c>
      <c r="AD124" s="2">
        <f t="shared" si="53"/>
        <v>109.58992851866537</v>
      </c>
      <c r="AE124" s="4" t="s">
        <v>43</v>
      </c>
      <c r="AF124" s="4" t="s">
        <v>44</v>
      </c>
      <c r="AG124" s="1">
        <v>9.3676030000000004E-3</v>
      </c>
      <c r="AH124" s="4" t="s">
        <v>42</v>
      </c>
      <c r="AI124" s="4" t="s">
        <v>45</v>
      </c>
      <c r="AJ124" s="4" t="s">
        <v>46</v>
      </c>
      <c r="AK124" s="1">
        <v>1.3264209000000001E-2</v>
      </c>
      <c r="AL124" s="1">
        <v>5.791661E-3</v>
      </c>
      <c r="AM124" s="1">
        <v>5.9400140000000004E-3</v>
      </c>
      <c r="AN124" s="1">
        <v>1.4870090000000001E-3</v>
      </c>
      <c r="AO124" s="1">
        <v>3.1640427999999998E-2</v>
      </c>
      <c r="AP124" s="1">
        <v>8.0243469999999994E-3</v>
      </c>
    </row>
    <row r="125" spans="1:42">
      <c r="A125" s="1" t="s">
        <v>40</v>
      </c>
      <c r="B125" s="1" t="s">
        <v>614</v>
      </c>
      <c r="C125" s="1" t="s">
        <v>20</v>
      </c>
      <c r="D125" s="1">
        <v>474</v>
      </c>
      <c r="E125" s="1">
        <v>521</v>
      </c>
      <c r="F125" s="2">
        <f t="shared" si="45"/>
        <v>110.97094255773158</v>
      </c>
      <c r="G125" s="2">
        <f t="shared" si="54"/>
        <v>70.082378067809415</v>
      </c>
      <c r="H125" s="2">
        <f t="shared" si="55"/>
        <v>19.751575797386074</v>
      </c>
      <c r="I125" s="2">
        <f t="shared" si="56"/>
        <v>1.0513193148725164</v>
      </c>
      <c r="J125" s="2">
        <f t="shared" si="57"/>
        <v>18.549411516999999</v>
      </c>
      <c r="K125" s="2">
        <f t="shared" si="58"/>
        <v>65.803018985371509</v>
      </c>
      <c r="L125" s="2">
        <f t="shared" si="59"/>
        <v>60.999999999999773</v>
      </c>
      <c r="M125" s="2">
        <f t="shared" si="46"/>
        <v>37.980900000000005</v>
      </c>
      <c r="N125" s="2">
        <f t="shared" si="60"/>
        <v>3.2440294239999998</v>
      </c>
      <c r="O125" s="2">
        <f t="shared" si="47"/>
        <v>144.89010000000002</v>
      </c>
      <c r="P125" s="2">
        <f t="shared" si="61"/>
        <v>5.731902377972431</v>
      </c>
      <c r="Q125" s="2">
        <f t="shared" si="62"/>
        <v>3.0517647940000003</v>
      </c>
      <c r="R125" s="2">
        <f t="shared" si="63"/>
        <v>0.50000005299999994</v>
      </c>
      <c r="S125" s="2">
        <f t="shared" si="64"/>
        <v>29.437213403880016</v>
      </c>
      <c r="T125" s="2">
        <f t="shared" si="65"/>
        <v>7.3691957006422015</v>
      </c>
      <c r="U125" s="2">
        <f t="shared" si="48"/>
        <v>22.068017703237814</v>
      </c>
      <c r="V125" s="3">
        <f t="shared" si="49"/>
        <v>0.23411591256905395</v>
      </c>
      <c r="W125" s="3">
        <f t="shared" si="50"/>
        <v>0.30471710598137697</v>
      </c>
      <c r="X125" s="3">
        <f t="shared" si="51"/>
        <v>0.39438213855527238</v>
      </c>
      <c r="Y125" s="3">
        <f t="shared" si="52"/>
        <v>0.69909924453664929</v>
      </c>
      <c r="Z125" s="4" t="s">
        <v>615</v>
      </c>
      <c r="AA125" s="1">
        <v>0.27810000000000001</v>
      </c>
      <c r="AB125" s="1">
        <v>7.2900000000000006E-2</v>
      </c>
      <c r="AD125" s="2">
        <f t="shared" si="53"/>
        <v>92.42153104073158</v>
      </c>
      <c r="AE125" s="4" t="s">
        <v>616</v>
      </c>
      <c r="AF125" s="4" t="s">
        <v>617</v>
      </c>
      <c r="AG125" s="1">
        <v>1.1375264E-2</v>
      </c>
      <c r="AH125" s="1">
        <v>3.5603477000000001E-2</v>
      </c>
      <c r="AI125" s="4" t="s">
        <v>618</v>
      </c>
      <c r="AJ125" s="4" t="s">
        <v>619</v>
      </c>
      <c r="AK125" s="1">
        <v>6.2265439999999997E-3</v>
      </c>
      <c r="AL125" s="4" t="s">
        <v>620</v>
      </c>
      <c r="AM125" s="1">
        <v>5.8575140000000003E-3</v>
      </c>
      <c r="AN125" s="1">
        <v>9.5969299999999996E-4</v>
      </c>
      <c r="AO125" s="4" t="s">
        <v>621</v>
      </c>
      <c r="AP125" s="4" t="s">
        <v>622</v>
      </c>
    </row>
    <row r="126" spans="1:42">
      <c r="A126" s="1" t="s">
        <v>40</v>
      </c>
      <c r="B126" s="1" t="s">
        <v>742</v>
      </c>
      <c r="C126" s="1" t="s">
        <v>169</v>
      </c>
      <c r="D126" s="1">
        <v>518</v>
      </c>
      <c r="E126" s="1">
        <v>579</v>
      </c>
      <c r="F126" s="2">
        <f t="shared" si="45"/>
        <v>126.92850345427269</v>
      </c>
      <c r="G126" s="2">
        <f t="shared" si="54"/>
        <v>81.509329297477734</v>
      </c>
      <c r="H126" s="2">
        <f t="shared" si="55"/>
        <v>22.507694194218637</v>
      </c>
      <c r="I126" s="2">
        <f t="shared" si="56"/>
        <v>1.9644724368415314</v>
      </c>
      <c r="J126" s="2">
        <f t="shared" si="57"/>
        <v>19.200527028</v>
      </c>
      <c r="K126" s="2">
        <f t="shared" si="58"/>
        <v>72.804331997947443</v>
      </c>
      <c r="L126" s="2">
        <f t="shared" si="59"/>
        <v>66.999999999999716</v>
      </c>
      <c r="M126" s="2">
        <f t="shared" si="46"/>
        <v>50.083499999999994</v>
      </c>
      <c r="N126" s="2">
        <f t="shared" si="60"/>
        <v>0.74850167099999998</v>
      </c>
      <c r="O126" s="2">
        <f t="shared" si="47"/>
        <v>94.724400000000003</v>
      </c>
      <c r="P126" s="2">
        <f t="shared" si="61"/>
        <v>3.4302577080000001</v>
      </c>
      <c r="Q126" s="2">
        <f t="shared" si="62"/>
        <v>5.0702989469999995</v>
      </c>
      <c r="R126" s="2">
        <f t="shared" si="63"/>
        <v>0</v>
      </c>
      <c r="S126" s="2">
        <f t="shared" si="64"/>
        <v>9.4458077370000009</v>
      </c>
      <c r="T126" s="2">
        <f t="shared" si="65"/>
        <v>2.0791583130000002</v>
      </c>
      <c r="U126" s="2">
        <f t="shared" si="48"/>
        <v>7.3666494240000002</v>
      </c>
      <c r="V126" s="3">
        <f t="shared" si="49"/>
        <v>0.24503572095419437</v>
      </c>
      <c r="W126" s="3">
        <f t="shared" si="50"/>
        <v>0.31571708745227117</v>
      </c>
      <c r="X126" s="3">
        <f t="shared" si="51"/>
        <v>0.40390008322092585</v>
      </c>
      <c r="Y126" s="3">
        <f t="shared" si="52"/>
        <v>0.71961717067319708</v>
      </c>
      <c r="Z126" s="1">
        <v>0.26329999999999998</v>
      </c>
      <c r="AA126" s="1">
        <v>0.1636</v>
      </c>
      <c r="AB126" s="1">
        <v>8.6499999999999994E-2</v>
      </c>
      <c r="AD126" s="2">
        <f t="shared" si="53"/>
        <v>107.72797642627269</v>
      </c>
      <c r="AE126" s="4" t="s">
        <v>743</v>
      </c>
      <c r="AF126" s="4" t="s">
        <v>744</v>
      </c>
      <c r="AG126" s="1">
        <v>1.823549E-2</v>
      </c>
      <c r="AH126" s="1">
        <v>3.3161532000000001E-2</v>
      </c>
      <c r="AI126" s="4" t="s">
        <v>745</v>
      </c>
      <c r="AJ126" s="4" t="s">
        <v>746</v>
      </c>
      <c r="AK126" s="1">
        <v>1.2927489999999999E-3</v>
      </c>
      <c r="AL126" s="1">
        <v>5.9244520000000002E-3</v>
      </c>
      <c r="AM126" s="1">
        <v>8.7569929999999994E-3</v>
      </c>
      <c r="AN126" s="1">
        <v>0</v>
      </c>
      <c r="AO126" s="1">
        <v>1.6314003000000001E-2</v>
      </c>
      <c r="AP126" s="1">
        <v>3.5909470000000001E-3</v>
      </c>
    </row>
    <row r="127" spans="1:42">
      <c r="A127" s="1" t="s">
        <v>40</v>
      </c>
      <c r="B127" s="1" t="s">
        <v>1173</v>
      </c>
      <c r="C127" s="1" t="s">
        <v>49</v>
      </c>
      <c r="D127" s="1">
        <v>411</v>
      </c>
      <c r="E127" s="1">
        <v>450</v>
      </c>
      <c r="F127" s="2">
        <f t="shared" si="45"/>
        <v>97.00430793612</v>
      </c>
      <c r="G127" s="2">
        <f t="shared" si="54"/>
        <v>60.474257364184119</v>
      </c>
      <c r="H127" s="2">
        <f t="shared" si="55"/>
        <v>18.096693598176671</v>
      </c>
      <c r="I127" s="2">
        <f t="shared" si="56"/>
        <v>0.99918881641739721</v>
      </c>
      <c r="J127" s="2">
        <f t="shared" si="57"/>
        <v>17.992715400000002</v>
      </c>
      <c r="K127" s="2">
        <f t="shared" si="58"/>
        <v>51.565711582646102</v>
      </c>
      <c r="L127" s="2">
        <f t="shared" si="59"/>
        <v>59.999999999999851</v>
      </c>
      <c r="M127" s="2">
        <f t="shared" si="46"/>
        <v>31.184999999999999</v>
      </c>
      <c r="N127" s="2">
        <f t="shared" si="60"/>
        <v>0.19867545</v>
      </c>
      <c r="O127" s="2">
        <f t="shared" si="47"/>
        <v>117</v>
      </c>
      <c r="P127" s="2">
        <f t="shared" si="61"/>
        <v>4.0964400000000003</v>
      </c>
      <c r="Q127" s="2">
        <f t="shared" si="62"/>
        <v>3.7788079500000005</v>
      </c>
      <c r="R127" s="2">
        <f t="shared" si="63"/>
        <v>0</v>
      </c>
      <c r="S127" s="2">
        <f t="shared" si="64"/>
        <v>1.00816335</v>
      </c>
      <c r="T127" s="2">
        <f t="shared" si="65"/>
        <v>0</v>
      </c>
      <c r="U127" s="2">
        <f t="shared" si="48"/>
        <v>1.00816335</v>
      </c>
      <c r="V127" s="3">
        <f t="shared" si="49"/>
        <v>0.23602021395649636</v>
      </c>
      <c r="W127" s="3">
        <f t="shared" si="50"/>
        <v>0.2969420969161658</v>
      </c>
      <c r="X127" s="3">
        <f t="shared" si="51"/>
        <v>0.41760601608221332</v>
      </c>
      <c r="Y127" s="3">
        <f t="shared" si="52"/>
        <v>0.71454811299837906</v>
      </c>
      <c r="Z127" s="1">
        <v>0.28239999999999998</v>
      </c>
      <c r="AA127" s="1">
        <v>0.26</v>
      </c>
      <c r="AB127" s="1">
        <v>6.93E-2</v>
      </c>
      <c r="AD127" s="2">
        <f t="shared" si="53"/>
        <v>79.011592536119991</v>
      </c>
      <c r="AE127" s="4" t="s">
        <v>1174</v>
      </c>
      <c r="AF127" s="4" t="s">
        <v>1175</v>
      </c>
      <c r="AG127" s="1">
        <v>1.2646104E-2</v>
      </c>
      <c r="AH127" s="1">
        <v>3.9983812000000001E-2</v>
      </c>
      <c r="AI127" s="4" t="s">
        <v>1176</v>
      </c>
      <c r="AJ127" s="4" t="s">
        <v>395</v>
      </c>
      <c r="AK127" s="1">
        <v>4.4150100000000001E-4</v>
      </c>
      <c r="AL127" s="1">
        <v>9.1032000000000005E-3</v>
      </c>
      <c r="AM127" s="1">
        <v>8.3973510000000008E-3</v>
      </c>
      <c r="AN127" s="1">
        <v>0</v>
      </c>
      <c r="AO127" s="1">
        <v>2.240363E-3</v>
      </c>
      <c r="AP127" s="1">
        <v>0</v>
      </c>
    </row>
    <row r="128" spans="1:42">
      <c r="A128" s="1" t="s">
        <v>19</v>
      </c>
      <c r="B128" s="1" t="s">
        <v>18</v>
      </c>
      <c r="C128" s="1" t="s">
        <v>20</v>
      </c>
      <c r="D128" s="1">
        <v>512</v>
      </c>
      <c r="E128" s="1">
        <v>637</v>
      </c>
      <c r="F128" s="2">
        <f t="shared" si="45"/>
        <v>149.1533040298992</v>
      </c>
      <c r="G128" s="2">
        <f t="shared" si="54"/>
        <v>73.222548905120874</v>
      </c>
      <c r="H128" s="2">
        <f t="shared" si="55"/>
        <v>25.764299537357424</v>
      </c>
      <c r="I128" s="2">
        <f t="shared" si="56"/>
        <v>0.98024377412335495</v>
      </c>
      <c r="J128" s="2">
        <f t="shared" si="57"/>
        <v>49.770754760999999</v>
      </c>
      <c r="K128" s="2">
        <f t="shared" si="58"/>
        <v>108.02975799835883</v>
      </c>
      <c r="L128" s="2">
        <f t="shared" si="59"/>
        <v>111.99999999999947</v>
      </c>
      <c r="M128" s="2">
        <f t="shared" si="46"/>
        <v>110.0099</v>
      </c>
      <c r="N128" s="2">
        <f t="shared" si="60"/>
        <v>22.518975569999998</v>
      </c>
      <c r="O128" s="2">
        <f t="shared" si="47"/>
        <v>156.63830000000002</v>
      </c>
      <c r="P128" s="2">
        <f t="shared" si="61"/>
        <v>6.0181606940000005</v>
      </c>
      <c r="Q128" s="2">
        <f t="shared" si="62"/>
        <v>4.2050312850000005</v>
      </c>
      <c r="R128" s="2">
        <f t="shared" si="63"/>
        <v>0.49999977299999998</v>
      </c>
      <c r="S128" s="2">
        <f t="shared" si="64"/>
        <v>9.5543478260869552</v>
      </c>
      <c r="T128" s="2">
        <f t="shared" si="65"/>
        <v>2.1929221860000001</v>
      </c>
      <c r="U128" s="2">
        <f t="shared" si="48"/>
        <v>7.3614256400869547</v>
      </c>
      <c r="V128" s="3">
        <f t="shared" si="49"/>
        <v>0.29131504693339688</v>
      </c>
      <c r="W128" s="3">
        <f t="shared" si="50"/>
        <v>0.44347973376117028</v>
      </c>
      <c r="X128" s="3">
        <f t="shared" si="51"/>
        <v>0.63823222333243312</v>
      </c>
      <c r="Y128" s="3">
        <f t="shared" si="52"/>
        <v>1.0817119570936033</v>
      </c>
      <c r="Z128" s="1">
        <v>0.32079999999999997</v>
      </c>
      <c r="AA128" s="1">
        <v>0.24590000000000001</v>
      </c>
      <c r="AB128" s="1">
        <v>0.17269999999999999</v>
      </c>
      <c r="AD128" s="2">
        <f t="shared" si="53"/>
        <v>99.382549268899197</v>
      </c>
      <c r="AE128" s="4" t="s">
        <v>21</v>
      </c>
      <c r="AF128" s="4" t="s">
        <v>22</v>
      </c>
      <c r="AG128" s="1">
        <v>9.8633390000000005E-3</v>
      </c>
      <c r="AH128" s="1">
        <v>7.8133052999999994E-2</v>
      </c>
      <c r="AI128" s="4" t="s">
        <v>23</v>
      </c>
      <c r="AJ128" s="4" t="s">
        <v>24</v>
      </c>
      <c r="AK128" s="1">
        <v>3.5351609999999999E-2</v>
      </c>
      <c r="AL128" s="1">
        <v>9.4476620000000008E-3</v>
      </c>
      <c r="AM128" s="1">
        <v>6.601305E-3</v>
      </c>
      <c r="AN128" s="1">
        <v>7.8492899999999997E-4</v>
      </c>
      <c r="AO128" s="4" t="s">
        <v>25</v>
      </c>
      <c r="AP128" s="1">
        <v>3.442578E-3</v>
      </c>
    </row>
    <row r="129" spans="1:42">
      <c r="A129" s="1" t="s">
        <v>19</v>
      </c>
      <c r="B129" s="1" t="s">
        <v>889</v>
      </c>
      <c r="C129" s="1" t="s">
        <v>34</v>
      </c>
      <c r="D129" s="1">
        <v>410</v>
      </c>
      <c r="E129" s="1">
        <v>452</v>
      </c>
      <c r="F129" s="2">
        <f t="shared" si="45"/>
        <v>94.546267548007791</v>
      </c>
      <c r="G129" s="2">
        <f t="shared" si="54"/>
        <v>60.396288922252964</v>
      </c>
      <c r="H129" s="2">
        <f t="shared" si="55"/>
        <v>20.640482577806988</v>
      </c>
      <c r="I129" s="2">
        <f t="shared" si="56"/>
        <v>2.0731595971895183</v>
      </c>
      <c r="J129" s="2">
        <f t="shared" si="57"/>
        <v>13.204464285714243</v>
      </c>
      <c r="K129" s="2">
        <f t="shared" si="58"/>
        <v>53.008088235293876</v>
      </c>
      <c r="L129" s="2">
        <f t="shared" si="59"/>
        <v>48.99999999999968</v>
      </c>
      <c r="M129" s="2">
        <f t="shared" si="46"/>
        <v>32.182400000000001</v>
      </c>
      <c r="N129" s="2">
        <f t="shared" si="60"/>
        <v>0</v>
      </c>
      <c r="O129" s="2">
        <f t="shared" si="47"/>
        <v>107.7116</v>
      </c>
      <c r="P129" s="2">
        <f t="shared" si="61"/>
        <v>3.9895065839999995</v>
      </c>
      <c r="Q129" s="2">
        <f t="shared" si="62"/>
        <v>3.8285715319999998</v>
      </c>
      <c r="R129" s="2">
        <f t="shared" si="63"/>
        <v>1.736156408</v>
      </c>
      <c r="S129" s="2">
        <f t="shared" si="64"/>
        <v>16.911764705882288</v>
      </c>
      <c r="T129" s="2">
        <f t="shared" si="65"/>
        <v>4.4324182199999997</v>
      </c>
      <c r="U129" s="2">
        <f t="shared" si="48"/>
        <v>12.479346485882289</v>
      </c>
      <c r="V129" s="3">
        <f t="shared" si="49"/>
        <v>0.23060065255611656</v>
      </c>
      <c r="W129" s="3">
        <f t="shared" si="50"/>
        <v>0.29308286673532902</v>
      </c>
      <c r="X129" s="3">
        <f t="shared" si="51"/>
        <v>0.3919868049080304</v>
      </c>
      <c r="Y129" s="3">
        <f t="shared" si="52"/>
        <v>0.68506967164335941</v>
      </c>
      <c r="Z129" s="1">
        <v>0.2777</v>
      </c>
      <c r="AA129" s="1">
        <v>0.23830000000000001</v>
      </c>
      <c r="AB129" s="1">
        <v>7.1199999999999999E-2</v>
      </c>
      <c r="AD129" s="2">
        <f t="shared" si="53"/>
        <v>81.341803262293553</v>
      </c>
      <c r="AE129" s="4" t="s">
        <v>891</v>
      </c>
      <c r="AF129" s="1">
        <v>0.25374999999999998</v>
      </c>
      <c r="AG129" s="1">
        <v>2.5487012999999999E-2</v>
      </c>
      <c r="AH129" s="4" t="s">
        <v>890</v>
      </c>
      <c r="AI129" s="4" t="s">
        <v>892</v>
      </c>
      <c r="AJ129" s="4" t="s">
        <v>893</v>
      </c>
      <c r="AK129" s="1">
        <v>0</v>
      </c>
      <c r="AL129" s="1">
        <v>8.8263419999999992E-3</v>
      </c>
      <c r="AM129" s="1">
        <v>8.4702909999999996E-3</v>
      </c>
      <c r="AN129" s="1">
        <v>3.841054E-3</v>
      </c>
      <c r="AO129" s="4" t="s">
        <v>894</v>
      </c>
      <c r="AP129" s="1">
        <v>9.806235E-3</v>
      </c>
    </row>
    <row r="130" spans="1:42">
      <c r="A130" s="1" t="s">
        <v>19</v>
      </c>
      <c r="B130" s="1" t="s">
        <v>904</v>
      </c>
      <c r="C130" s="1" t="s">
        <v>87</v>
      </c>
      <c r="D130" s="1">
        <v>399</v>
      </c>
      <c r="E130" s="1">
        <v>446</v>
      </c>
      <c r="F130" s="2">
        <f t="shared" si="45"/>
        <v>88.098072491627931</v>
      </c>
      <c r="G130" s="2">
        <f t="shared" ref="G130:G161" si="66">$AD130*AE130</f>
        <v>51.251178864909093</v>
      </c>
      <c r="H130" s="2">
        <f t="shared" ref="H130:H161" si="67">$AD130*AF130</f>
        <v>17.876125748971916</v>
      </c>
      <c r="I130" s="2">
        <f t="shared" ref="I130:I161" si="68">$AD130*AG130</f>
        <v>1.0295586604332372</v>
      </c>
      <c r="J130" s="2">
        <f t="shared" ref="J130:J161" si="69">$E130*AH130</f>
        <v>18.072973006000002</v>
      </c>
      <c r="K130" s="2">
        <f t="shared" ref="K130:K161" si="70">$E130*AI130</f>
        <v>50.382789079751902</v>
      </c>
      <c r="L130" s="2">
        <f t="shared" ref="L130:L161" si="71">$E130*AJ130</f>
        <v>57.999999999999844</v>
      </c>
      <c r="M130" s="2">
        <f t="shared" si="46"/>
        <v>37.196400000000004</v>
      </c>
      <c r="N130" s="2">
        <f t="shared" ref="N130:N161" si="72">$E130*AK130</f>
        <v>0.20090070000000002</v>
      </c>
      <c r="O130" s="2">
        <f t="shared" si="47"/>
        <v>108.6902</v>
      </c>
      <c r="P130" s="2">
        <f t="shared" ref="P130:P161" si="73">$E130*AL130</f>
        <v>5.0101727562751721</v>
      </c>
      <c r="Q130" s="2">
        <f t="shared" ref="Q130:Q161" si="74">$E130*AM130</f>
        <v>4.2144145599999998</v>
      </c>
      <c r="R130" s="2">
        <f t="shared" ref="R130:R161" si="75">$E130*AN130</f>
        <v>0.49999989599999994</v>
      </c>
      <c r="S130" s="2">
        <f t="shared" ref="S130:S161" si="76">$E130*AO130</f>
        <v>4.3349242060000002</v>
      </c>
      <c r="T130" s="2">
        <f t="shared" ref="T130:T161" si="77">$E130*AP130</f>
        <v>1.0303630259999998</v>
      </c>
      <c r="U130" s="2">
        <f t="shared" si="48"/>
        <v>3.3045611800000003</v>
      </c>
      <c r="V130" s="3">
        <f t="shared" si="49"/>
        <v>0.22079717416448102</v>
      </c>
      <c r="W130" s="3">
        <f t="shared" si="50"/>
        <v>0.29619172942529065</v>
      </c>
      <c r="X130" s="3">
        <f t="shared" si="51"/>
        <v>0.40697743951917958</v>
      </c>
      <c r="Y130" s="3">
        <f t="shared" si="52"/>
        <v>0.70316916894447024</v>
      </c>
      <c r="Z130" s="4" t="s">
        <v>905</v>
      </c>
      <c r="AA130" s="1">
        <v>0.2437</v>
      </c>
      <c r="AB130" s="1">
        <v>8.3400000000000002E-2</v>
      </c>
      <c r="AD130" s="2">
        <f t="shared" si="53"/>
        <v>70.025099485627933</v>
      </c>
      <c r="AE130" s="1">
        <v>0.73189726600000005</v>
      </c>
      <c r="AF130" s="4" t="s">
        <v>906</v>
      </c>
      <c r="AG130" s="1">
        <v>1.4702709E-2</v>
      </c>
      <c r="AH130" s="1">
        <v>4.0522361E-2</v>
      </c>
      <c r="AI130" s="4" t="s">
        <v>907</v>
      </c>
      <c r="AJ130" s="4" t="s">
        <v>908</v>
      </c>
      <c r="AK130" s="1">
        <v>4.5045000000000003E-4</v>
      </c>
      <c r="AL130" s="4" t="s">
        <v>909</v>
      </c>
      <c r="AM130" s="1">
        <v>9.4493600000000004E-3</v>
      </c>
      <c r="AN130" s="1">
        <v>1.1210759999999999E-3</v>
      </c>
      <c r="AO130" s="1">
        <v>9.7195609999999998E-3</v>
      </c>
      <c r="AP130" s="1">
        <v>2.3102309999999998E-3</v>
      </c>
    </row>
    <row r="131" spans="1:42">
      <c r="A131" s="1" t="s">
        <v>19</v>
      </c>
      <c r="B131" s="1" t="s">
        <v>365</v>
      </c>
      <c r="C131" s="1" t="s">
        <v>366</v>
      </c>
      <c r="D131" s="1">
        <v>475</v>
      </c>
      <c r="E131" s="1">
        <v>541</v>
      </c>
      <c r="F131" s="2">
        <f t="shared" ref="F131:F194" si="78">AD131+J131</f>
        <v>117.89050244031195</v>
      </c>
      <c r="G131" s="2">
        <f t="shared" si="66"/>
        <v>66.594574591928207</v>
      </c>
      <c r="H131" s="2">
        <f t="shared" si="67"/>
        <v>23.232928839947515</v>
      </c>
      <c r="I131" s="2">
        <f t="shared" si="68"/>
        <v>2.1390333405144055</v>
      </c>
      <c r="J131" s="2">
        <f t="shared" si="69"/>
        <v>26.274301757</v>
      </c>
      <c r="K131" s="2">
        <f t="shared" si="70"/>
        <v>73.863855976425512</v>
      </c>
      <c r="L131" s="2">
        <f t="shared" si="71"/>
        <v>74.999999999999716</v>
      </c>
      <c r="M131" s="2">
        <f t="shared" ref="M131:M194" si="79">$E131*AB131</f>
        <v>53.559000000000005</v>
      </c>
      <c r="N131" s="2">
        <f t="shared" si="72"/>
        <v>0</v>
      </c>
      <c r="O131" s="2">
        <f t="shared" ref="O131:O194" si="80">$E131*AA131</f>
        <v>113.55589999999947</v>
      </c>
      <c r="P131" s="2">
        <f t="shared" si="73"/>
        <v>8.0961915939999987</v>
      </c>
      <c r="Q131" s="2">
        <f t="shared" si="74"/>
        <v>4.0238362749999999</v>
      </c>
      <c r="R131" s="2">
        <f t="shared" si="75"/>
        <v>0</v>
      </c>
      <c r="S131" s="2">
        <f t="shared" si="76"/>
        <v>4.2826009030000005</v>
      </c>
      <c r="T131" s="2">
        <f t="shared" si="77"/>
        <v>1.739874935</v>
      </c>
      <c r="U131" s="2">
        <f t="shared" ref="U131:U194" si="81">S131-T131</f>
        <v>2.5427259680000005</v>
      </c>
      <c r="V131" s="3">
        <f t="shared" ref="V131:V194" si="82">F131/D131</f>
        <v>0.24819053145328832</v>
      </c>
      <c r="W131" s="3">
        <f t="shared" ref="W131:W194" si="83">(F131+M131+N131+P131)/(D131+M131+N131+Q131)</f>
        <v>0.337122569120127</v>
      </c>
      <c r="X131" s="3">
        <f t="shared" ref="X131:X194" si="84">(G131+H131*2+I131*3+J131*4)/D131</f>
        <v>0.47278892488708729</v>
      </c>
      <c r="Y131" s="3">
        <f t="shared" ref="Y131:Y194" si="85">W131+X131</f>
        <v>0.80991149400721429</v>
      </c>
      <c r="Z131" s="1">
        <v>0.27010000000000001</v>
      </c>
      <c r="AA131" s="4" t="s">
        <v>367</v>
      </c>
      <c r="AB131" s="1">
        <v>9.9000000000000005E-2</v>
      </c>
      <c r="AD131" s="2">
        <f t="shared" ref="AD131:AD194" si="86">(D131-J131-O131+Q131)*Z131</f>
        <v>91.616200683311945</v>
      </c>
      <c r="AE131" s="4" t="s">
        <v>368</v>
      </c>
      <c r="AF131" s="4" t="s">
        <v>369</v>
      </c>
      <c r="AG131" s="1">
        <v>2.3347763000000001E-2</v>
      </c>
      <c r="AH131" s="1">
        <v>4.8566177000000002E-2</v>
      </c>
      <c r="AI131" s="4" t="s">
        <v>370</v>
      </c>
      <c r="AJ131" s="4" t="s">
        <v>371</v>
      </c>
      <c r="AK131" s="1">
        <v>0</v>
      </c>
      <c r="AL131" s="1">
        <v>1.4965233999999999E-2</v>
      </c>
      <c r="AM131" s="1">
        <v>7.4377749999999998E-3</v>
      </c>
      <c r="AN131" s="1">
        <v>0</v>
      </c>
      <c r="AO131" s="1">
        <v>7.9160830000000008E-3</v>
      </c>
      <c r="AP131" s="1">
        <v>3.2160349999999999E-3</v>
      </c>
    </row>
    <row r="132" spans="1:42">
      <c r="A132" s="1" t="s">
        <v>19</v>
      </c>
      <c r="B132" s="1" t="s">
        <v>299</v>
      </c>
      <c r="C132" s="1" t="s">
        <v>20</v>
      </c>
      <c r="D132" s="1">
        <v>535</v>
      </c>
      <c r="E132" s="1">
        <v>594</v>
      </c>
      <c r="F132" s="2">
        <f t="shared" si="78"/>
        <v>135.31174439979637</v>
      </c>
      <c r="G132" s="2">
        <f t="shared" si="66"/>
        <v>86.273461674831509</v>
      </c>
      <c r="H132" s="2">
        <f t="shared" si="67"/>
        <v>24.5517038865692</v>
      </c>
      <c r="I132" s="2">
        <f t="shared" si="68"/>
        <v>3.0196627686753983</v>
      </c>
      <c r="J132" s="2">
        <f t="shared" si="69"/>
        <v>21.295938906</v>
      </c>
      <c r="K132" s="2">
        <f t="shared" si="70"/>
        <v>76.907795503987998</v>
      </c>
      <c r="L132" s="2">
        <f t="shared" si="71"/>
        <v>79.999999999999602</v>
      </c>
      <c r="M132" s="2">
        <f t="shared" si="79"/>
        <v>49.717799999999997</v>
      </c>
      <c r="N132" s="2">
        <f t="shared" si="72"/>
        <v>2.9331108180000003</v>
      </c>
      <c r="O132" s="2">
        <f t="shared" si="80"/>
        <v>86.902199999999397</v>
      </c>
      <c r="P132" s="2">
        <f t="shared" si="73"/>
        <v>3.0036827699999997</v>
      </c>
      <c r="Q132" s="2">
        <f t="shared" si="74"/>
        <v>6.2243656200000004</v>
      </c>
      <c r="R132" s="2">
        <f t="shared" si="75"/>
        <v>0</v>
      </c>
      <c r="S132" s="2">
        <f t="shared" si="76"/>
        <v>11.132142857142773</v>
      </c>
      <c r="T132" s="2">
        <f t="shared" si="77"/>
        <v>2.9777873400000003</v>
      </c>
      <c r="U132" s="2">
        <f t="shared" si="81"/>
        <v>8.154355517142772</v>
      </c>
      <c r="V132" s="3">
        <f t="shared" si="82"/>
        <v>0.25291914841083435</v>
      </c>
      <c r="W132" s="3">
        <f t="shared" si="83"/>
        <v>0.32155967012668363</v>
      </c>
      <c r="X132" s="3">
        <f t="shared" si="84"/>
        <v>0.42919553902429186</v>
      </c>
      <c r="Y132" s="3">
        <f t="shared" si="85"/>
        <v>0.75075520915097549</v>
      </c>
      <c r="Z132" s="1">
        <v>0.26329999999999998</v>
      </c>
      <c r="AA132" s="4" t="s">
        <v>300</v>
      </c>
      <c r="AB132" s="1">
        <v>8.3699999999999997E-2</v>
      </c>
      <c r="AD132" s="2">
        <f t="shared" si="86"/>
        <v>114.01580549379636</v>
      </c>
      <c r="AE132" s="4" t="s">
        <v>301</v>
      </c>
      <c r="AF132" s="4" t="s">
        <v>302</v>
      </c>
      <c r="AG132" s="4" t="s">
        <v>303</v>
      </c>
      <c r="AH132" s="1">
        <v>3.5851749000000002E-2</v>
      </c>
      <c r="AI132" s="4" t="s">
        <v>304</v>
      </c>
      <c r="AJ132" s="4" t="s">
        <v>305</v>
      </c>
      <c r="AK132" s="1">
        <v>4.9378970000000001E-3</v>
      </c>
      <c r="AL132" s="1">
        <v>5.0567049999999999E-3</v>
      </c>
      <c r="AM132" s="1">
        <v>1.047873E-2</v>
      </c>
      <c r="AN132" s="1">
        <v>0</v>
      </c>
      <c r="AO132" s="4" t="s">
        <v>306</v>
      </c>
      <c r="AP132" s="1">
        <v>5.0131100000000003E-3</v>
      </c>
    </row>
    <row r="133" spans="1:42">
      <c r="A133" s="1" t="s">
        <v>19</v>
      </c>
      <c r="B133" s="1" t="s">
        <v>855</v>
      </c>
      <c r="C133" s="1" t="s">
        <v>20</v>
      </c>
      <c r="D133" s="1">
        <v>354</v>
      </c>
      <c r="E133" s="1">
        <v>397</v>
      </c>
      <c r="F133" s="2">
        <f t="shared" si="78"/>
        <v>78.569477711105947</v>
      </c>
      <c r="G133" s="2">
        <f t="shared" si="66"/>
        <v>42.188817747155312</v>
      </c>
      <c r="H133" s="2">
        <f t="shared" si="67"/>
        <v>12.09316453916742</v>
      </c>
      <c r="I133" s="2">
        <f t="shared" si="68"/>
        <v>0</v>
      </c>
      <c r="J133" s="2">
        <f t="shared" si="69"/>
        <v>24.009367088607533</v>
      </c>
      <c r="K133" s="2">
        <f t="shared" si="70"/>
        <v>46.818825512611994</v>
      </c>
      <c r="L133" s="2">
        <f t="shared" si="71"/>
        <v>63.99999999999978</v>
      </c>
      <c r="M133" s="2">
        <f t="shared" si="79"/>
        <v>37.437100000000001</v>
      </c>
      <c r="N133" s="2">
        <f t="shared" si="72"/>
        <v>2.036165757</v>
      </c>
      <c r="O133" s="2">
        <f t="shared" si="80"/>
        <v>122.47449999999999</v>
      </c>
      <c r="P133" s="2">
        <f t="shared" si="73"/>
        <v>2.0303695570000002</v>
      </c>
      <c r="Q133" s="2">
        <f t="shared" si="74"/>
        <v>2.00810143</v>
      </c>
      <c r="R133" s="2">
        <f t="shared" si="75"/>
        <v>0</v>
      </c>
      <c r="S133" s="2">
        <f t="shared" si="76"/>
        <v>0.288377624</v>
      </c>
      <c r="T133" s="2">
        <f t="shared" si="77"/>
        <v>0</v>
      </c>
      <c r="U133" s="2">
        <f t="shared" si="81"/>
        <v>0.288377624</v>
      </c>
      <c r="V133" s="3">
        <f t="shared" si="82"/>
        <v>0.22194767715001679</v>
      </c>
      <c r="W133" s="3">
        <f t="shared" si="83"/>
        <v>0.30361256683005855</v>
      </c>
      <c r="X133" s="3">
        <f t="shared" si="84"/>
        <v>0.45879269824836244</v>
      </c>
      <c r="Y133" s="3">
        <f t="shared" si="85"/>
        <v>0.76240526507842099</v>
      </c>
      <c r="Z133" s="4" t="s">
        <v>856</v>
      </c>
      <c r="AA133" s="1">
        <v>0.3085</v>
      </c>
      <c r="AB133" s="1">
        <v>9.4299999999999995E-2</v>
      </c>
      <c r="AD133" s="2">
        <f t="shared" si="86"/>
        <v>54.560110622498406</v>
      </c>
      <c r="AE133" s="4" t="s">
        <v>858</v>
      </c>
      <c r="AF133" s="4" t="s">
        <v>859</v>
      </c>
      <c r="AG133" s="1">
        <v>0</v>
      </c>
      <c r="AH133" s="4" t="s">
        <v>857</v>
      </c>
      <c r="AI133" s="4" t="s">
        <v>860</v>
      </c>
      <c r="AJ133" s="4" t="s">
        <v>861</v>
      </c>
      <c r="AK133" s="1">
        <v>5.1288810000000001E-3</v>
      </c>
      <c r="AL133" s="1">
        <v>5.114281E-3</v>
      </c>
      <c r="AM133" s="1">
        <v>5.0581899999999997E-3</v>
      </c>
      <c r="AN133" s="1">
        <v>0</v>
      </c>
      <c r="AO133" s="1">
        <v>7.2639199999999997E-4</v>
      </c>
      <c r="AP133" s="1">
        <v>0</v>
      </c>
    </row>
    <row r="134" spans="1:42">
      <c r="A134" s="1" t="s">
        <v>19</v>
      </c>
      <c r="B134" s="1" t="s">
        <v>1260</v>
      </c>
      <c r="C134" s="1" t="s">
        <v>20</v>
      </c>
      <c r="D134" s="1">
        <v>214</v>
      </c>
      <c r="E134" s="1">
        <v>240</v>
      </c>
      <c r="F134" s="2">
        <f t="shared" si="78"/>
        <v>51.967863734000069</v>
      </c>
      <c r="G134" s="2">
        <f t="shared" si="66"/>
        <v>33.213914842577807</v>
      </c>
      <c r="H134" s="2">
        <f t="shared" si="67"/>
        <v>9.6894269954358201</v>
      </c>
      <c r="I134" s="2">
        <f t="shared" si="68"/>
        <v>0.17942692616557343</v>
      </c>
      <c r="J134" s="2">
        <f t="shared" si="69"/>
        <v>8.0082705599999997</v>
      </c>
      <c r="K134" s="2">
        <f t="shared" si="70"/>
        <v>31.687218045112559</v>
      </c>
      <c r="L134" s="2">
        <f t="shared" si="71"/>
        <v>25.999999999999922</v>
      </c>
      <c r="M134" s="2">
        <f t="shared" si="79"/>
        <v>22.32</v>
      </c>
      <c r="N134" s="2">
        <f t="shared" si="72"/>
        <v>0.33331727999999999</v>
      </c>
      <c r="O134" s="2">
        <f t="shared" si="80"/>
        <v>60.071999999999768</v>
      </c>
      <c r="P134" s="2">
        <f t="shared" si="73"/>
        <v>1.4846176799999999</v>
      </c>
      <c r="Q134" s="2">
        <f t="shared" si="74"/>
        <v>1.8436089600000001</v>
      </c>
      <c r="R134" s="2">
        <f t="shared" si="75"/>
        <v>0</v>
      </c>
      <c r="S134" s="2">
        <f t="shared" si="76"/>
        <v>10.88571432</v>
      </c>
      <c r="T134" s="2">
        <f t="shared" si="77"/>
        <v>2.0815980000000001</v>
      </c>
      <c r="U134" s="2">
        <f t="shared" si="81"/>
        <v>8.8041163200000003</v>
      </c>
      <c r="V134" s="3">
        <f t="shared" si="82"/>
        <v>0.24284048473831807</v>
      </c>
      <c r="W134" s="3">
        <f t="shared" si="83"/>
        <v>0.31910599391714856</v>
      </c>
      <c r="X134" s="3">
        <f t="shared" si="84"/>
        <v>0.39796323295301944</v>
      </c>
      <c r="Y134" s="3">
        <f t="shared" si="85"/>
        <v>0.71706922687016794</v>
      </c>
      <c r="Z134" s="1">
        <v>0.29749999999999999</v>
      </c>
      <c r="AA134" s="4" t="s">
        <v>1261</v>
      </c>
      <c r="AB134" s="1">
        <v>9.2999999999999999E-2</v>
      </c>
      <c r="AD134" s="2">
        <f t="shared" si="86"/>
        <v>43.959593174000069</v>
      </c>
      <c r="AE134" s="4" t="s">
        <v>1262</v>
      </c>
      <c r="AF134" s="4" t="s">
        <v>1263</v>
      </c>
      <c r="AG134" s="1">
        <v>4.0816330000000003E-3</v>
      </c>
      <c r="AH134" s="1">
        <v>3.3367793999999999E-2</v>
      </c>
      <c r="AI134" s="4" t="s">
        <v>1264</v>
      </c>
      <c r="AJ134" s="4" t="s">
        <v>1265</v>
      </c>
      <c r="AK134" s="1">
        <v>1.3888220000000001E-3</v>
      </c>
      <c r="AL134" s="1">
        <v>6.185907E-3</v>
      </c>
      <c r="AM134" s="1">
        <v>7.6817040000000001E-3</v>
      </c>
      <c r="AN134" s="1">
        <v>0</v>
      </c>
      <c r="AO134" s="1">
        <v>4.5357143000000003E-2</v>
      </c>
      <c r="AP134" s="1">
        <v>8.6733250000000008E-3</v>
      </c>
    </row>
    <row r="135" spans="1:42">
      <c r="A135" s="1" t="s">
        <v>19</v>
      </c>
      <c r="B135" s="1" t="s">
        <v>162</v>
      </c>
      <c r="C135" s="1" t="s">
        <v>163</v>
      </c>
      <c r="D135" s="1">
        <v>524</v>
      </c>
      <c r="E135" s="1">
        <v>591</v>
      </c>
      <c r="F135" s="2">
        <f t="shared" si="78"/>
        <v>124.826621038532</v>
      </c>
      <c r="G135" s="2">
        <f t="shared" si="66"/>
        <v>74.239552754812891</v>
      </c>
      <c r="H135" s="2">
        <f t="shared" si="67"/>
        <v>20.829254169849506</v>
      </c>
      <c r="I135" s="2">
        <f t="shared" si="68"/>
        <v>1.9435885665662467</v>
      </c>
      <c r="J135" s="2">
        <f t="shared" si="69"/>
        <v>27.265587606</v>
      </c>
      <c r="K135" s="2">
        <f t="shared" si="70"/>
        <v>79.448355586139684</v>
      </c>
      <c r="L135" s="2">
        <f t="shared" si="71"/>
        <v>76.999999999999702</v>
      </c>
      <c r="M135" s="2">
        <f t="shared" si="79"/>
        <v>56.322299999999998</v>
      </c>
      <c r="N135" s="2">
        <f t="shared" si="72"/>
        <v>2.029835598</v>
      </c>
      <c r="O135" s="2">
        <f t="shared" si="80"/>
        <v>153.06900000000002</v>
      </c>
      <c r="P135" s="2">
        <f t="shared" si="73"/>
        <v>5.0676654299999999</v>
      </c>
      <c r="Q135" s="2">
        <f t="shared" si="74"/>
        <v>4.0218058260000005</v>
      </c>
      <c r="R135" s="2">
        <f t="shared" si="75"/>
        <v>1.04722245</v>
      </c>
      <c r="S135" s="2">
        <f t="shared" si="76"/>
        <v>32.706896829000002</v>
      </c>
      <c r="T135" s="2">
        <f t="shared" si="77"/>
        <v>8.070094361999999</v>
      </c>
      <c r="U135" s="2">
        <f t="shared" si="81"/>
        <v>24.636802467000003</v>
      </c>
      <c r="V135" s="3">
        <f t="shared" si="82"/>
        <v>0.23821874243994656</v>
      </c>
      <c r="W135" s="3">
        <f t="shared" si="83"/>
        <v>0.32103476769342526</v>
      </c>
      <c r="X135" s="3">
        <f t="shared" si="84"/>
        <v>0.44044117789734855</v>
      </c>
      <c r="Y135" s="3">
        <f t="shared" si="85"/>
        <v>0.76147594559077381</v>
      </c>
      <c r="Z135" s="1">
        <v>0.28060000000000002</v>
      </c>
      <c r="AA135" s="1">
        <v>0.25900000000000001</v>
      </c>
      <c r="AB135" s="1">
        <v>9.5299999999999996E-2</v>
      </c>
      <c r="AD135" s="2">
        <f t="shared" si="86"/>
        <v>97.561033432532</v>
      </c>
      <c r="AE135" s="4" t="s">
        <v>164</v>
      </c>
      <c r="AF135" s="4" t="s">
        <v>165</v>
      </c>
      <c r="AG135" s="1">
        <v>1.9921771000000001E-2</v>
      </c>
      <c r="AH135" s="1">
        <v>4.6134665999999998E-2</v>
      </c>
      <c r="AI135" s="4" t="s">
        <v>166</v>
      </c>
      <c r="AJ135" s="4" t="s">
        <v>167</v>
      </c>
      <c r="AK135" s="1">
        <v>3.4345780000000002E-3</v>
      </c>
      <c r="AL135" s="1">
        <v>8.5747299999999992E-3</v>
      </c>
      <c r="AM135" s="1">
        <v>6.8050860000000001E-3</v>
      </c>
      <c r="AN135" s="1">
        <v>1.77195E-3</v>
      </c>
      <c r="AO135" s="1">
        <v>5.5341619000000002E-2</v>
      </c>
      <c r="AP135" s="1">
        <v>1.3654982E-2</v>
      </c>
    </row>
    <row r="136" spans="1:42">
      <c r="A136" s="1" t="s">
        <v>19</v>
      </c>
      <c r="B136" s="1" t="s">
        <v>940</v>
      </c>
      <c r="C136" s="1" t="s">
        <v>352</v>
      </c>
      <c r="D136" s="1">
        <v>303</v>
      </c>
      <c r="E136" s="1">
        <v>352</v>
      </c>
      <c r="F136" s="2">
        <f t="shared" si="78"/>
        <v>66.587975193343993</v>
      </c>
      <c r="G136" s="2">
        <f t="shared" si="66"/>
        <v>45.847395430050732</v>
      </c>
      <c r="H136" s="2">
        <f t="shared" si="67"/>
        <v>12.925063605280224</v>
      </c>
      <c r="I136" s="2">
        <f t="shared" si="68"/>
        <v>0.99548306542925868</v>
      </c>
      <c r="J136" s="2">
        <f t="shared" si="69"/>
        <v>7.6793295039999991</v>
      </c>
      <c r="K136" s="2">
        <f t="shared" si="70"/>
        <v>44.367500221689916</v>
      </c>
      <c r="L136" s="2">
        <f t="shared" si="71"/>
        <v>30.000000096000001</v>
      </c>
      <c r="M136" s="2">
        <f t="shared" si="79"/>
        <v>32.595199999999998</v>
      </c>
      <c r="N136" s="2">
        <f t="shared" si="72"/>
        <v>0</v>
      </c>
      <c r="O136" s="2">
        <f t="shared" si="80"/>
        <v>88.915199999999999</v>
      </c>
      <c r="P136" s="2">
        <f t="shared" si="73"/>
        <v>6.0691984832257155</v>
      </c>
      <c r="Q136" s="2">
        <f t="shared" si="74"/>
        <v>1.9731842240000002</v>
      </c>
      <c r="R136" s="2">
        <f t="shared" si="75"/>
        <v>2.3678754879999997</v>
      </c>
      <c r="S136" s="2">
        <f t="shared" si="76"/>
        <v>36.726984126984092</v>
      </c>
      <c r="T136" s="2">
        <f t="shared" si="77"/>
        <v>8.8671922240000001</v>
      </c>
      <c r="U136" s="2">
        <f t="shared" si="81"/>
        <v>27.859791902984092</v>
      </c>
      <c r="V136" s="3">
        <f t="shared" si="82"/>
        <v>0.21976229436747194</v>
      </c>
      <c r="W136" s="3">
        <f t="shared" si="83"/>
        <v>0.31179570894508735</v>
      </c>
      <c r="X136" s="3">
        <f t="shared" si="84"/>
        <v>0.34785904241880844</v>
      </c>
      <c r="Y136" s="3">
        <f t="shared" si="85"/>
        <v>0.65965475136389573</v>
      </c>
      <c r="Z136" s="1">
        <v>0.28270000000000001</v>
      </c>
      <c r="AA136" s="1">
        <v>0.25259999999999999</v>
      </c>
      <c r="AB136" s="1">
        <v>9.2600000000000002E-2</v>
      </c>
      <c r="AD136" s="2">
        <f t="shared" si="86"/>
        <v>58.908645689343999</v>
      </c>
      <c r="AE136" s="4" t="s">
        <v>941</v>
      </c>
      <c r="AF136" s="4" t="s">
        <v>942</v>
      </c>
      <c r="AG136" s="1">
        <v>1.6898759999999999E-2</v>
      </c>
      <c r="AH136" s="1">
        <v>2.1816276999999999E-2</v>
      </c>
      <c r="AI136" s="4" t="s">
        <v>943</v>
      </c>
      <c r="AJ136" s="1">
        <v>8.5227273000000006E-2</v>
      </c>
      <c r="AK136" s="1">
        <v>0</v>
      </c>
      <c r="AL136" s="4" t="s">
        <v>944</v>
      </c>
      <c r="AM136" s="1">
        <v>5.6056370000000001E-3</v>
      </c>
      <c r="AN136" s="1">
        <v>6.7269189999999996E-3</v>
      </c>
      <c r="AO136" s="4" t="s">
        <v>945</v>
      </c>
      <c r="AP136" s="1">
        <v>2.5190886999999999E-2</v>
      </c>
    </row>
    <row r="137" spans="1:42">
      <c r="A137" s="1" t="s">
        <v>19</v>
      </c>
      <c r="B137" s="1" t="s">
        <v>802</v>
      </c>
      <c r="C137" s="1" t="s">
        <v>124</v>
      </c>
      <c r="D137" s="1">
        <v>328</v>
      </c>
      <c r="E137" s="1">
        <v>362</v>
      </c>
      <c r="F137" s="2">
        <f t="shared" si="78"/>
        <v>0</v>
      </c>
      <c r="G137" s="2">
        <f t="shared" si="66"/>
        <v>0</v>
      </c>
      <c r="H137" s="2">
        <f t="shared" si="67"/>
        <v>0</v>
      </c>
      <c r="I137" s="2">
        <f t="shared" si="68"/>
        <v>0</v>
      </c>
      <c r="J137" s="2">
        <f t="shared" si="69"/>
        <v>0</v>
      </c>
      <c r="K137" s="2">
        <f t="shared" si="70"/>
        <v>0</v>
      </c>
      <c r="L137" s="2">
        <f t="shared" si="71"/>
        <v>38.999999999999908</v>
      </c>
      <c r="M137" s="2">
        <f t="shared" si="79"/>
        <v>0</v>
      </c>
      <c r="N137" s="2">
        <f t="shared" si="72"/>
        <v>0</v>
      </c>
      <c r="O137" s="2">
        <f t="shared" si="80"/>
        <v>81.811999999999998</v>
      </c>
      <c r="P137" s="2">
        <f t="shared" si="73"/>
        <v>0</v>
      </c>
      <c r="Q137" s="2">
        <f t="shared" si="74"/>
        <v>0</v>
      </c>
      <c r="R137" s="2">
        <f t="shared" si="75"/>
        <v>0</v>
      </c>
      <c r="S137" s="2">
        <f t="shared" si="76"/>
        <v>4.1864934380000003</v>
      </c>
      <c r="T137" s="2">
        <f t="shared" si="77"/>
        <v>0.97518600799999999</v>
      </c>
      <c r="U137" s="2">
        <f t="shared" si="81"/>
        <v>3.2113074300000002</v>
      </c>
      <c r="V137" s="3">
        <f t="shared" si="82"/>
        <v>0</v>
      </c>
      <c r="W137" s="3">
        <f t="shared" si="83"/>
        <v>0</v>
      </c>
      <c r="X137" s="3">
        <f t="shared" si="84"/>
        <v>0</v>
      </c>
      <c r="Y137" s="3">
        <f t="shared" si="85"/>
        <v>0</v>
      </c>
      <c r="AA137" s="1">
        <v>0.22600000000000001</v>
      </c>
      <c r="AD137" s="2">
        <f t="shared" si="86"/>
        <v>0</v>
      </c>
      <c r="AJ137" s="4" t="s">
        <v>803</v>
      </c>
      <c r="AN137" s="1">
        <v>0</v>
      </c>
      <c r="AO137" s="1">
        <v>1.1564899E-2</v>
      </c>
      <c r="AP137" s="1">
        <v>2.6938840000000001E-3</v>
      </c>
    </row>
    <row r="138" spans="1:42">
      <c r="A138" s="1" t="s">
        <v>19</v>
      </c>
      <c r="B138" s="1" t="s">
        <v>790</v>
      </c>
      <c r="C138" s="1" t="s">
        <v>49</v>
      </c>
      <c r="D138" s="1">
        <v>415</v>
      </c>
      <c r="E138" s="1">
        <v>474</v>
      </c>
      <c r="F138" s="2">
        <f t="shared" si="78"/>
        <v>88.506161505187194</v>
      </c>
      <c r="G138" s="2">
        <f t="shared" si="66"/>
        <v>54.742831328693143</v>
      </c>
      <c r="H138" s="2">
        <f t="shared" si="67"/>
        <v>16.81471665319593</v>
      </c>
      <c r="I138" s="2">
        <f t="shared" si="68"/>
        <v>1.0376599186159989</v>
      </c>
      <c r="J138" s="2">
        <f t="shared" si="69"/>
        <v>16.708749797999999</v>
      </c>
      <c r="K138" s="2">
        <f t="shared" si="70"/>
        <v>52.199693877550743</v>
      </c>
      <c r="L138" s="2">
        <f t="shared" si="71"/>
        <v>50.999999999999638</v>
      </c>
      <c r="M138" s="2">
        <f t="shared" si="79"/>
        <v>53.562000000000005</v>
      </c>
      <c r="N138" s="2">
        <f t="shared" si="72"/>
        <v>1.662920454</v>
      </c>
      <c r="O138" s="2">
        <f t="shared" si="80"/>
        <v>150.92160000000001</v>
      </c>
      <c r="P138" s="2">
        <f t="shared" si="73"/>
        <v>3.0095492400000001</v>
      </c>
      <c r="Q138" s="2">
        <f t="shared" si="74"/>
        <v>2.9700001020000002</v>
      </c>
      <c r="R138" s="2">
        <f t="shared" si="75"/>
        <v>0</v>
      </c>
      <c r="S138" s="2">
        <f t="shared" si="76"/>
        <v>2.9608163520000002</v>
      </c>
      <c r="T138" s="2">
        <f t="shared" si="77"/>
        <v>1.712492796</v>
      </c>
      <c r="U138" s="2">
        <f t="shared" si="81"/>
        <v>1.2483235560000001</v>
      </c>
      <c r="V138" s="3">
        <f t="shared" si="82"/>
        <v>0.21326785904864384</v>
      </c>
      <c r="W138" s="3">
        <f t="shared" si="83"/>
        <v>0.31010609967403746</v>
      </c>
      <c r="X138" s="3">
        <f t="shared" si="84"/>
        <v>0.38149456285044103</v>
      </c>
      <c r="Y138" s="3">
        <f t="shared" si="85"/>
        <v>0.69160066252447849</v>
      </c>
      <c r="Z138" s="1">
        <v>0.2868</v>
      </c>
      <c r="AA138" s="1">
        <v>0.31840000000000002</v>
      </c>
      <c r="AB138" s="1">
        <v>0.113</v>
      </c>
      <c r="AD138" s="2">
        <f t="shared" si="86"/>
        <v>71.797411707187194</v>
      </c>
      <c r="AE138" s="4" t="s">
        <v>791</v>
      </c>
      <c r="AF138" s="4" t="s">
        <v>792</v>
      </c>
      <c r="AG138" s="1">
        <v>1.4452609E-2</v>
      </c>
      <c r="AH138" s="1">
        <v>3.5250526999999997E-2</v>
      </c>
      <c r="AI138" s="4" t="s">
        <v>793</v>
      </c>
      <c r="AJ138" s="4" t="s">
        <v>794</v>
      </c>
      <c r="AK138" s="1">
        <v>3.5082709999999999E-3</v>
      </c>
      <c r="AL138" s="1">
        <v>6.3492599999999998E-3</v>
      </c>
      <c r="AM138" s="1">
        <v>6.2658230000000002E-3</v>
      </c>
      <c r="AN138" s="1">
        <v>0</v>
      </c>
      <c r="AO138" s="1">
        <v>6.2464479999999999E-3</v>
      </c>
      <c r="AP138" s="1">
        <v>3.612854E-3</v>
      </c>
    </row>
    <row r="139" spans="1:42">
      <c r="A139" s="1" t="s">
        <v>19</v>
      </c>
      <c r="B139" s="1" t="s">
        <v>1177</v>
      </c>
      <c r="C139" s="1" t="s">
        <v>20</v>
      </c>
      <c r="D139" s="1">
        <v>449</v>
      </c>
      <c r="E139" s="1">
        <v>526</v>
      </c>
      <c r="F139" s="2">
        <f t="shared" si="78"/>
        <v>100.095533655479</v>
      </c>
      <c r="G139" s="2">
        <f t="shared" si="66"/>
        <v>54.837893827211019</v>
      </c>
      <c r="H139" s="2">
        <f t="shared" si="67"/>
        <v>18.70623266226395</v>
      </c>
      <c r="I139" s="2">
        <f t="shared" si="68"/>
        <v>1.2321060637675894</v>
      </c>
      <c r="J139" s="2">
        <f t="shared" si="69"/>
        <v>25.059615204</v>
      </c>
      <c r="K139" s="2">
        <f t="shared" si="70"/>
        <v>70.280137362637035</v>
      </c>
      <c r="L139" s="2">
        <f t="shared" si="71"/>
        <v>62.999999999999616</v>
      </c>
      <c r="M139" s="2">
        <f t="shared" si="79"/>
        <v>68.064399999999992</v>
      </c>
      <c r="N139" s="2">
        <f t="shared" si="72"/>
        <v>0</v>
      </c>
      <c r="O139" s="2">
        <f t="shared" si="80"/>
        <v>130.50059999999999</v>
      </c>
      <c r="P139" s="2">
        <f t="shared" si="73"/>
        <v>5.6368303636099846</v>
      </c>
      <c r="Q139" s="2">
        <f t="shared" si="74"/>
        <v>3.027692294</v>
      </c>
      <c r="R139" s="2">
        <f t="shared" si="75"/>
        <v>1.99058388</v>
      </c>
      <c r="S139" s="2">
        <f t="shared" si="76"/>
        <v>5.2542855359999994</v>
      </c>
      <c r="T139" s="2">
        <f t="shared" si="77"/>
        <v>1.66531863</v>
      </c>
      <c r="U139" s="2">
        <f t="shared" si="81"/>
        <v>3.5889669059999996</v>
      </c>
      <c r="V139" s="3">
        <f t="shared" si="82"/>
        <v>0.22292991905451895</v>
      </c>
      <c r="W139" s="3">
        <f t="shared" si="83"/>
        <v>0.33416536531542645</v>
      </c>
      <c r="X139" s="3">
        <f t="shared" si="84"/>
        <v>0.43693794690209731</v>
      </c>
      <c r="Y139" s="3">
        <f t="shared" si="85"/>
        <v>0.77110331221752371</v>
      </c>
      <c r="Z139" s="1">
        <v>0.25309999999999999</v>
      </c>
      <c r="AA139" s="1">
        <v>0.24809999999999999</v>
      </c>
      <c r="AB139" s="1">
        <v>0.12939999999999999</v>
      </c>
      <c r="AD139" s="2">
        <f t="shared" si="86"/>
        <v>75.035918451479006</v>
      </c>
      <c r="AE139" s="4" t="s">
        <v>1178</v>
      </c>
      <c r="AF139" s="4" t="s">
        <v>1179</v>
      </c>
      <c r="AG139" s="1">
        <v>1.6420217000000001E-2</v>
      </c>
      <c r="AH139" s="1">
        <v>4.7641853999999997E-2</v>
      </c>
      <c r="AI139" s="4" t="s">
        <v>1180</v>
      </c>
      <c r="AJ139" s="4" t="s">
        <v>1181</v>
      </c>
      <c r="AK139" s="1">
        <v>0</v>
      </c>
      <c r="AL139" s="4" t="s">
        <v>1182</v>
      </c>
      <c r="AM139" s="1">
        <v>5.7560689999999999E-3</v>
      </c>
      <c r="AN139" s="1">
        <v>3.7843799999999999E-3</v>
      </c>
      <c r="AO139" s="1">
        <v>9.9891359999999992E-3</v>
      </c>
      <c r="AP139" s="1">
        <v>3.1660049999999999E-3</v>
      </c>
    </row>
    <row r="140" spans="1:42">
      <c r="A140" s="1" t="s">
        <v>116</v>
      </c>
      <c r="B140" s="1" t="s">
        <v>1119</v>
      </c>
      <c r="C140" s="1" t="s">
        <v>20</v>
      </c>
      <c r="D140" s="1">
        <v>514</v>
      </c>
      <c r="E140" s="1">
        <v>562</v>
      </c>
      <c r="F140" s="2">
        <f t="shared" si="78"/>
        <v>119.08470849204241</v>
      </c>
      <c r="G140" s="2">
        <f t="shared" si="66"/>
        <v>71.481241071334054</v>
      </c>
      <c r="H140" s="2">
        <f t="shared" si="67"/>
        <v>22.928307771290712</v>
      </c>
      <c r="I140" s="2">
        <f t="shared" si="68"/>
        <v>0.90624460485285541</v>
      </c>
      <c r="J140" s="2">
        <f t="shared" si="69"/>
        <v>23.78492647058815</v>
      </c>
      <c r="K140" s="2">
        <f t="shared" si="70"/>
        <v>68.22944074181369</v>
      </c>
      <c r="L140" s="2">
        <f t="shared" si="71"/>
        <v>77.999999999999659</v>
      </c>
      <c r="M140" s="2">
        <f t="shared" si="79"/>
        <v>37.485399999999998</v>
      </c>
      <c r="N140" s="2">
        <f t="shared" si="72"/>
        <v>0.97795643200000004</v>
      </c>
      <c r="O140" s="2">
        <f t="shared" si="80"/>
        <v>147.91839999999999</v>
      </c>
      <c r="P140" s="2">
        <f t="shared" si="73"/>
        <v>5.2191175320000003</v>
      </c>
      <c r="Q140" s="2">
        <f t="shared" si="74"/>
        <v>5.1323531620000002</v>
      </c>
      <c r="R140" s="2">
        <f t="shared" si="75"/>
        <v>0</v>
      </c>
      <c r="S140" s="2">
        <f t="shared" si="76"/>
        <v>11.675533701999999</v>
      </c>
      <c r="T140" s="2">
        <f t="shared" si="77"/>
        <v>3.457248656</v>
      </c>
      <c r="U140" s="2">
        <f t="shared" si="81"/>
        <v>8.2182850459999983</v>
      </c>
      <c r="V140" s="3">
        <f t="shared" si="82"/>
        <v>0.23168231224132765</v>
      </c>
      <c r="W140" s="3">
        <f t="shared" si="83"/>
        <v>0.29190895779050641</v>
      </c>
      <c r="X140" s="3">
        <f t="shared" si="84"/>
        <v>0.41866983718059658</v>
      </c>
      <c r="Y140" s="3">
        <f t="shared" si="85"/>
        <v>0.71057879497110299</v>
      </c>
      <c r="Z140" s="4" t="s">
        <v>1120</v>
      </c>
      <c r="AA140" s="1">
        <v>0.26319999999999999</v>
      </c>
      <c r="AB140" s="1">
        <v>6.6699999999999995E-2</v>
      </c>
      <c r="AD140" s="2">
        <f t="shared" si="86"/>
        <v>95.299782021454263</v>
      </c>
      <c r="AE140" s="4" t="s">
        <v>1122</v>
      </c>
      <c r="AF140" s="4" t="s">
        <v>1123</v>
      </c>
      <c r="AG140" s="1">
        <v>9.5094089999999999E-3</v>
      </c>
      <c r="AH140" s="4" t="s">
        <v>1121</v>
      </c>
      <c r="AI140" s="4" t="s">
        <v>1124</v>
      </c>
      <c r="AJ140" s="4" t="s">
        <v>1125</v>
      </c>
      <c r="AK140" s="1">
        <v>1.740136E-3</v>
      </c>
      <c r="AL140" s="1">
        <v>9.2866860000000006E-3</v>
      </c>
      <c r="AM140" s="1">
        <v>9.1323010000000007E-3</v>
      </c>
      <c r="AN140" s="1">
        <v>0</v>
      </c>
      <c r="AO140" s="1">
        <v>2.0774971E-2</v>
      </c>
      <c r="AP140" s="1">
        <v>6.1516879999999998E-3</v>
      </c>
    </row>
    <row r="141" spans="1:42">
      <c r="A141" s="1" t="s">
        <v>116</v>
      </c>
      <c r="B141" s="1" t="s">
        <v>1023</v>
      </c>
      <c r="C141" s="1" t="s">
        <v>631</v>
      </c>
      <c r="D141" s="1">
        <v>520</v>
      </c>
      <c r="E141" s="1">
        <v>567</v>
      </c>
      <c r="F141" s="2">
        <f t="shared" si="78"/>
        <v>141.85974278822516</v>
      </c>
      <c r="G141" s="2">
        <f t="shared" si="66"/>
        <v>99.99448969055085</v>
      </c>
      <c r="H141" s="2">
        <f t="shared" si="67"/>
        <v>26.361110363727168</v>
      </c>
      <c r="I141" s="2">
        <f t="shared" si="68"/>
        <v>2.0470256225297079</v>
      </c>
      <c r="J141" s="2">
        <f t="shared" si="69"/>
        <v>14.226212006999999</v>
      </c>
      <c r="K141" s="2">
        <f t="shared" si="70"/>
        <v>64.408828081470389</v>
      </c>
      <c r="L141" s="2">
        <f t="shared" si="71"/>
        <v>70.999999999999488</v>
      </c>
      <c r="M141" s="2">
        <f t="shared" si="79"/>
        <v>36.061199999999999</v>
      </c>
      <c r="N141" s="2">
        <f t="shared" si="72"/>
        <v>1.7421250769999999</v>
      </c>
      <c r="O141" s="2">
        <f t="shared" si="80"/>
        <v>87.828299999999444</v>
      </c>
      <c r="P141" s="2">
        <f t="shared" si="73"/>
        <v>4.4493380189999998</v>
      </c>
      <c r="Q141" s="2">
        <f t="shared" si="74"/>
        <v>6.0861757320000001</v>
      </c>
      <c r="R141" s="2">
        <f t="shared" si="75"/>
        <v>0</v>
      </c>
      <c r="S141" s="2">
        <f t="shared" si="76"/>
        <v>3.1965515189999998</v>
      </c>
      <c r="T141" s="2">
        <f t="shared" si="77"/>
        <v>0.98525435400000005</v>
      </c>
      <c r="U141" s="2">
        <f t="shared" si="81"/>
        <v>2.2112971649999995</v>
      </c>
      <c r="V141" s="3">
        <f t="shared" si="82"/>
        <v>0.27280719766966377</v>
      </c>
      <c r="W141" s="3">
        <f t="shared" si="83"/>
        <v>0.32650440488798443</v>
      </c>
      <c r="X141" s="3">
        <f t="shared" si="84"/>
        <v>0.41492814483383528</v>
      </c>
      <c r="Y141" s="3">
        <f t="shared" si="85"/>
        <v>0.74143254972181971</v>
      </c>
      <c r="Z141" s="1">
        <v>0.30099999999999999</v>
      </c>
      <c r="AA141" s="4" t="s">
        <v>1024</v>
      </c>
      <c r="AB141" s="1">
        <v>6.3600000000000004E-2</v>
      </c>
      <c r="AD141" s="2">
        <f t="shared" si="86"/>
        <v>127.63353078122516</v>
      </c>
      <c r="AE141" s="4" t="s">
        <v>1025</v>
      </c>
      <c r="AF141" s="4" t="s">
        <v>1026</v>
      </c>
      <c r="AG141" s="1">
        <v>1.6038305999999999E-2</v>
      </c>
      <c r="AH141" s="1">
        <v>2.5090320999999999E-2</v>
      </c>
      <c r="AI141" s="4" t="s">
        <v>1027</v>
      </c>
      <c r="AJ141" s="4" t="s">
        <v>1028</v>
      </c>
      <c r="AK141" s="1">
        <v>3.0725309999999999E-3</v>
      </c>
      <c r="AL141" s="1">
        <v>7.8471570000000004E-3</v>
      </c>
      <c r="AM141" s="1">
        <v>1.0733996000000001E-2</v>
      </c>
      <c r="AN141" s="1">
        <v>0</v>
      </c>
      <c r="AO141" s="1">
        <v>5.6376569999999999E-3</v>
      </c>
      <c r="AP141" s="1">
        <v>1.7376620000000001E-3</v>
      </c>
    </row>
    <row r="142" spans="1:42">
      <c r="A142" s="1" t="s">
        <v>116</v>
      </c>
      <c r="B142" s="1" t="s">
        <v>189</v>
      </c>
      <c r="C142" s="1" t="s">
        <v>124</v>
      </c>
      <c r="D142" s="1">
        <v>523</v>
      </c>
      <c r="E142" s="1">
        <v>606</v>
      </c>
      <c r="F142" s="2">
        <f t="shared" si="78"/>
        <v>141.94541914708736</v>
      </c>
      <c r="G142" s="2">
        <f t="shared" si="66"/>
        <v>85.72045562285534</v>
      </c>
      <c r="H142" s="2">
        <f t="shared" si="67"/>
        <v>29.450229979779703</v>
      </c>
      <c r="I142" s="2">
        <f t="shared" si="68"/>
        <v>1.0065038597263207</v>
      </c>
      <c r="J142" s="2">
        <f t="shared" si="69"/>
        <v>26.313043478260816</v>
      </c>
      <c r="K142" s="2">
        <f t="shared" si="70"/>
        <v>82.72959237558743</v>
      </c>
      <c r="L142" s="2">
        <f t="shared" si="71"/>
        <v>83.999999999999616</v>
      </c>
      <c r="M142" s="2">
        <f t="shared" si="79"/>
        <v>74.537999999999997</v>
      </c>
      <c r="N142" s="2">
        <f t="shared" si="72"/>
        <v>7.3734607537179189</v>
      </c>
      <c r="O142" s="2">
        <f t="shared" si="80"/>
        <v>130.35060000000001</v>
      </c>
      <c r="P142" s="2">
        <f t="shared" si="73"/>
        <v>4.9800613380000005</v>
      </c>
      <c r="Q142" s="2">
        <f t="shared" si="74"/>
        <v>4.0428096179999997</v>
      </c>
      <c r="R142" s="2">
        <f t="shared" si="75"/>
        <v>0</v>
      </c>
      <c r="S142" s="2">
        <f t="shared" si="76"/>
        <v>9.4096240601503336</v>
      </c>
      <c r="T142" s="2">
        <f t="shared" si="77"/>
        <v>2.8789575299999997</v>
      </c>
      <c r="U142" s="2">
        <f t="shared" si="81"/>
        <v>6.5306665301503344</v>
      </c>
      <c r="V142" s="3">
        <f t="shared" si="82"/>
        <v>0.27140615515695482</v>
      </c>
      <c r="W142" s="3">
        <f t="shared" si="83"/>
        <v>0.37578674191597117</v>
      </c>
      <c r="X142" s="3">
        <f t="shared" si="84"/>
        <v>0.48354225826890429</v>
      </c>
      <c r="Y142" s="3">
        <f t="shared" si="85"/>
        <v>0.85932900018487546</v>
      </c>
      <c r="Z142" s="4" t="s">
        <v>190</v>
      </c>
      <c r="AA142" s="1">
        <v>0.21510000000000001</v>
      </c>
      <c r="AB142" s="4" t="s">
        <v>191</v>
      </c>
      <c r="AD142" s="2">
        <f t="shared" si="86"/>
        <v>115.63237566882655</v>
      </c>
      <c r="AE142" s="4" t="s">
        <v>193</v>
      </c>
      <c r="AF142" s="4" t="s">
        <v>194</v>
      </c>
      <c r="AG142" s="1">
        <v>8.7043429999999998E-3</v>
      </c>
      <c r="AH142" s="4" t="s">
        <v>192</v>
      </c>
      <c r="AI142" s="4" t="s">
        <v>195</v>
      </c>
      <c r="AJ142" s="4" t="s">
        <v>196</v>
      </c>
      <c r="AK142" s="4" t="s">
        <v>197</v>
      </c>
      <c r="AL142" s="1">
        <v>8.2179230000000002E-3</v>
      </c>
      <c r="AM142" s="1">
        <v>6.671303E-3</v>
      </c>
      <c r="AN142" s="1">
        <v>0</v>
      </c>
      <c r="AO142" s="4" t="s">
        <v>198</v>
      </c>
      <c r="AP142" s="1">
        <v>4.7507549999999997E-3</v>
      </c>
    </row>
    <row r="143" spans="1:42">
      <c r="A143" s="1" t="s">
        <v>116</v>
      </c>
      <c r="B143" s="1" t="s">
        <v>1074</v>
      </c>
      <c r="C143" s="1" t="s">
        <v>648</v>
      </c>
      <c r="D143" s="1">
        <v>514</v>
      </c>
      <c r="E143" s="1">
        <v>574</v>
      </c>
      <c r="F143" s="2">
        <f t="shared" si="78"/>
        <v>131.7554233963092</v>
      </c>
      <c r="G143" s="2">
        <f t="shared" si="66"/>
        <v>91.390788124082533</v>
      </c>
      <c r="H143" s="2">
        <f t="shared" si="67"/>
        <v>23.513113854545974</v>
      </c>
      <c r="I143" s="2">
        <f t="shared" si="68"/>
        <v>2.878858362546528</v>
      </c>
      <c r="J143" s="2">
        <f t="shared" si="69"/>
        <v>14.078091608000001</v>
      </c>
      <c r="K143" s="2">
        <f t="shared" si="70"/>
        <v>68.429920196926673</v>
      </c>
      <c r="L143" s="2">
        <f t="shared" si="71"/>
        <v>59.999999999999609</v>
      </c>
      <c r="M143" s="2">
        <f t="shared" si="79"/>
        <v>48.330799999999996</v>
      </c>
      <c r="N143" s="2">
        <f t="shared" si="72"/>
        <v>0.96774104000000005</v>
      </c>
      <c r="O143" s="2">
        <f t="shared" si="80"/>
        <v>94.997</v>
      </c>
      <c r="P143" s="2">
        <f t="shared" si="73"/>
        <v>3.0296822080000001</v>
      </c>
      <c r="Q143" s="2">
        <f t="shared" si="74"/>
        <v>4.245229954</v>
      </c>
      <c r="R143" s="2">
        <f t="shared" si="75"/>
        <v>2.0141344299999999</v>
      </c>
      <c r="S143" s="2">
        <f t="shared" si="76"/>
        <v>23.889887640449366</v>
      </c>
      <c r="T143" s="2">
        <f t="shared" si="77"/>
        <v>4.93405234</v>
      </c>
      <c r="U143" s="2">
        <f t="shared" si="81"/>
        <v>18.955835300449365</v>
      </c>
      <c r="V143" s="3">
        <f t="shared" si="82"/>
        <v>0.25633350855313075</v>
      </c>
      <c r="W143" s="3">
        <f t="shared" si="83"/>
        <v>0.3243514527908638</v>
      </c>
      <c r="X143" s="3">
        <f t="shared" si="84"/>
        <v>0.39565361352687561</v>
      </c>
      <c r="Y143" s="3">
        <f t="shared" si="85"/>
        <v>0.72000506631773942</v>
      </c>
      <c r="Z143" s="4" t="s">
        <v>1075</v>
      </c>
      <c r="AA143" s="1">
        <v>0.16550000000000001</v>
      </c>
      <c r="AB143" s="1">
        <v>8.4199999999999997E-2</v>
      </c>
      <c r="AD143" s="2">
        <f t="shared" si="86"/>
        <v>117.6773317883092</v>
      </c>
      <c r="AE143" s="4" t="s">
        <v>1076</v>
      </c>
      <c r="AF143" s="4" t="s">
        <v>1077</v>
      </c>
      <c r="AG143" s="1">
        <v>2.4464000999999999E-2</v>
      </c>
      <c r="AH143" s="1">
        <v>2.4526292000000002E-2</v>
      </c>
      <c r="AI143" s="4" t="s">
        <v>1078</v>
      </c>
      <c r="AJ143" s="4" t="s">
        <v>1079</v>
      </c>
      <c r="AK143" s="1">
        <v>1.68596E-3</v>
      </c>
      <c r="AL143" s="1">
        <v>5.2781920000000001E-3</v>
      </c>
      <c r="AM143" s="1">
        <v>7.395871E-3</v>
      </c>
      <c r="AN143" s="1">
        <v>3.5089449999999999E-3</v>
      </c>
      <c r="AO143" s="4" t="s">
        <v>1080</v>
      </c>
      <c r="AP143" s="1">
        <v>8.59591E-3</v>
      </c>
    </row>
    <row r="144" spans="1:42">
      <c r="A144" s="1" t="s">
        <v>116</v>
      </c>
      <c r="B144" s="1" t="s">
        <v>817</v>
      </c>
      <c r="C144" s="1" t="s">
        <v>87</v>
      </c>
      <c r="D144" s="1">
        <v>432</v>
      </c>
      <c r="E144" s="1">
        <v>474</v>
      </c>
      <c r="F144" s="2">
        <f t="shared" si="78"/>
        <v>110.90822387316121</v>
      </c>
      <c r="G144" s="2">
        <f t="shared" si="66"/>
        <v>72.167286759341096</v>
      </c>
      <c r="H144" s="2">
        <f t="shared" si="67"/>
        <v>22.204402006429259</v>
      </c>
      <c r="I144" s="2">
        <f t="shared" si="68"/>
        <v>2.3783789781235929</v>
      </c>
      <c r="J144" s="2">
        <f t="shared" si="69"/>
        <v>15.161290529999999</v>
      </c>
      <c r="K144" s="2">
        <f t="shared" si="70"/>
        <v>54.664645161290061</v>
      </c>
      <c r="L144" s="2">
        <f t="shared" si="71"/>
        <v>53.999999999999815</v>
      </c>
      <c r="M144" s="2">
        <f t="shared" si="79"/>
        <v>31.141799999999996</v>
      </c>
      <c r="N144" s="2">
        <f t="shared" si="72"/>
        <v>0.96689553600000011</v>
      </c>
      <c r="O144" s="2">
        <f t="shared" si="80"/>
        <v>114.8976</v>
      </c>
      <c r="P144" s="2">
        <f t="shared" si="73"/>
        <v>7.2483634439999998</v>
      </c>
      <c r="Q144" s="2">
        <f t="shared" si="74"/>
        <v>3.861935382</v>
      </c>
      <c r="R144" s="2">
        <f t="shared" si="75"/>
        <v>0</v>
      </c>
      <c r="S144" s="2">
        <f t="shared" si="76"/>
        <v>6.8543999999999592</v>
      </c>
      <c r="T144" s="2">
        <f t="shared" si="77"/>
        <v>1.710755112</v>
      </c>
      <c r="U144" s="2">
        <f t="shared" si="81"/>
        <v>5.143644887999959</v>
      </c>
      <c r="V144" s="3">
        <f t="shared" si="82"/>
        <v>0.25673199970639166</v>
      </c>
      <c r="W144" s="3">
        <f t="shared" si="83"/>
        <v>0.32109981465800874</v>
      </c>
      <c r="X144" s="3">
        <f t="shared" si="84"/>
        <v>0.42675090237632035</v>
      </c>
      <c r="Y144" s="3">
        <f t="shared" si="85"/>
        <v>0.74785071703432915</v>
      </c>
      <c r="Z144" s="1">
        <v>0.31309999999999999</v>
      </c>
      <c r="AA144" s="1">
        <v>0.2424</v>
      </c>
      <c r="AB144" s="1">
        <v>6.5699999999999995E-2</v>
      </c>
      <c r="AD144" s="2">
        <f t="shared" si="86"/>
        <v>95.746933343161203</v>
      </c>
      <c r="AE144" s="4" t="s">
        <v>818</v>
      </c>
      <c r="AF144" s="4" t="s">
        <v>819</v>
      </c>
      <c r="AG144" s="4" t="s">
        <v>820</v>
      </c>
      <c r="AH144" s="1">
        <v>3.1985844999999999E-2</v>
      </c>
      <c r="AI144" s="4" t="s">
        <v>821</v>
      </c>
      <c r="AJ144" s="4" t="s">
        <v>822</v>
      </c>
      <c r="AK144" s="1">
        <v>2.0398640000000002E-3</v>
      </c>
      <c r="AL144" s="1">
        <v>1.5291905999999999E-2</v>
      </c>
      <c r="AM144" s="1">
        <v>8.1475430000000001E-3</v>
      </c>
      <c r="AN144" s="1">
        <v>0</v>
      </c>
      <c r="AO144" s="4" t="s">
        <v>823</v>
      </c>
      <c r="AP144" s="1">
        <v>3.6091880000000002E-3</v>
      </c>
    </row>
    <row r="145" spans="1:42">
      <c r="A145" s="1" t="s">
        <v>116</v>
      </c>
      <c r="B145" s="1" t="s">
        <v>115</v>
      </c>
      <c r="C145" s="1" t="s">
        <v>20</v>
      </c>
      <c r="D145" s="1">
        <v>549</v>
      </c>
      <c r="E145" s="1">
        <v>657</v>
      </c>
      <c r="F145" s="2">
        <f t="shared" si="78"/>
        <v>125.03458064478617</v>
      </c>
      <c r="G145" s="2">
        <f t="shared" si="66"/>
        <v>62.440323898257574</v>
      </c>
      <c r="H145" s="2">
        <f t="shared" si="67"/>
        <v>20.493498627974841</v>
      </c>
      <c r="I145" s="2">
        <f t="shared" si="68"/>
        <v>1.0202595229822298</v>
      </c>
      <c r="J145" s="2">
        <f t="shared" si="69"/>
        <v>40.476073626000002</v>
      </c>
      <c r="K145" s="2">
        <f t="shared" si="70"/>
        <v>97.667058076516852</v>
      </c>
      <c r="L145" s="2">
        <f t="shared" si="71"/>
        <v>104.99999999999966</v>
      </c>
      <c r="M145" s="2">
        <f t="shared" si="79"/>
        <v>97.695899999999995</v>
      </c>
      <c r="N145" s="2">
        <f t="shared" si="72"/>
        <v>4.6801795769999996</v>
      </c>
      <c r="O145" s="2">
        <f t="shared" si="80"/>
        <v>187.63919999999936</v>
      </c>
      <c r="P145" s="2">
        <f t="shared" si="73"/>
        <v>7.0227492119999999</v>
      </c>
      <c r="Q145" s="2">
        <f t="shared" si="74"/>
        <v>3.2184051660000002</v>
      </c>
      <c r="R145" s="2">
        <f t="shared" si="75"/>
        <v>0.49999999499999997</v>
      </c>
      <c r="S145" s="2">
        <f t="shared" si="76"/>
        <v>5.9943149189999998</v>
      </c>
      <c r="T145" s="2">
        <f t="shared" si="77"/>
        <v>1.9874381399999999</v>
      </c>
      <c r="U145" s="2">
        <f t="shared" si="81"/>
        <v>4.0068767789999997</v>
      </c>
      <c r="V145" s="3">
        <f t="shared" si="82"/>
        <v>0.22774969152055768</v>
      </c>
      <c r="W145" s="3">
        <f t="shared" si="83"/>
        <v>0.35813532637053452</v>
      </c>
      <c r="X145" s="3">
        <f t="shared" si="84"/>
        <v>0.4888750350221383</v>
      </c>
      <c r="Y145" s="3">
        <f t="shared" si="85"/>
        <v>0.84701036139267283</v>
      </c>
      <c r="Z145" s="1">
        <v>0.26090000000000002</v>
      </c>
      <c r="AA145" s="4" t="s">
        <v>117</v>
      </c>
      <c r="AB145" s="1">
        <v>0.1487</v>
      </c>
      <c r="AD145" s="2">
        <f t="shared" si="86"/>
        <v>84.558507018786173</v>
      </c>
      <c r="AE145" s="4" t="s">
        <v>118</v>
      </c>
      <c r="AF145" s="4" t="s">
        <v>119</v>
      </c>
      <c r="AG145" s="1">
        <v>1.2065723E-2</v>
      </c>
      <c r="AH145" s="1">
        <v>6.1607417999999997E-2</v>
      </c>
      <c r="AI145" s="4" t="s">
        <v>120</v>
      </c>
      <c r="AJ145" s="4" t="s">
        <v>121</v>
      </c>
      <c r="AK145" s="1">
        <v>7.1235609999999996E-3</v>
      </c>
      <c r="AL145" s="1">
        <v>1.0689116E-2</v>
      </c>
      <c r="AM145" s="1">
        <v>4.8986380000000003E-3</v>
      </c>
      <c r="AN145" s="1">
        <v>7.6103499999999997E-4</v>
      </c>
      <c r="AO145" s="1">
        <v>9.1237669999999996E-3</v>
      </c>
      <c r="AP145" s="1">
        <v>3.0250199999999998E-3</v>
      </c>
    </row>
    <row r="146" spans="1:42">
      <c r="A146" s="1" t="s">
        <v>116</v>
      </c>
      <c r="B146" s="1" t="s">
        <v>174</v>
      </c>
      <c r="C146" s="1" t="s">
        <v>34</v>
      </c>
      <c r="D146" s="1">
        <v>578</v>
      </c>
      <c r="E146" s="1">
        <v>628</v>
      </c>
      <c r="F146" s="2">
        <f t="shared" si="78"/>
        <v>162.95182659920127</v>
      </c>
      <c r="G146" s="2">
        <f t="shared" si="66"/>
        <v>111.56925481341449</v>
      </c>
      <c r="H146" s="2">
        <f t="shared" si="67"/>
        <v>29.287487737309277</v>
      </c>
      <c r="I146" s="2">
        <f t="shared" si="68"/>
        <v>4.0982732014379701</v>
      </c>
      <c r="J146" s="2">
        <f t="shared" si="69"/>
        <v>17.222792937399582</v>
      </c>
      <c r="K146" s="2">
        <f t="shared" si="70"/>
        <v>88.993579454253165</v>
      </c>
      <c r="L146" s="2">
        <f t="shared" si="71"/>
        <v>70.999999999999787</v>
      </c>
      <c r="M146" s="2">
        <f t="shared" si="79"/>
        <v>39.752399999999994</v>
      </c>
      <c r="N146" s="2">
        <f t="shared" si="72"/>
        <v>0.80001548</v>
      </c>
      <c r="O146" s="2">
        <f t="shared" si="80"/>
        <v>115.238</v>
      </c>
      <c r="P146" s="2">
        <f t="shared" si="73"/>
        <v>5.0448068959999999</v>
      </c>
      <c r="Q146" s="2">
        <f t="shared" si="74"/>
        <v>3.8256824279999999</v>
      </c>
      <c r="R146" s="2">
        <f t="shared" si="75"/>
        <v>0.499999784</v>
      </c>
      <c r="S146" s="2">
        <f t="shared" si="76"/>
        <v>28.01428571428562</v>
      </c>
      <c r="T146" s="2">
        <f t="shared" si="77"/>
        <v>4.9846859439999998</v>
      </c>
      <c r="U146" s="2">
        <f t="shared" si="81"/>
        <v>23.029599770285621</v>
      </c>
      <c r="V146" s="3">
        <f t="shared" si="82"/>
        <v>0.28192357543114405</v>
      </c>
      <c r="W146" s="3">
        <f t="shared" si="83"/>
        <v>0.33508417098255444</v>
      </c>
      <c r="X146" s="3">
        <f t="shared" si="84"/>
        <v>0.43482737308295033</v>
      </c>
      <c r="Y146" s="3">
        <f t="shared" si="85"/>
        <v>0.76991154406550477</v>
      </c>
      <c r="Z146" s="4" t="s">
        <v>175</v>
      </c>
      <c r="AA146" s="1">
        <v>0.1835</v>
      </c>
      <c r="AB146" s="1">
        <v>6.3299999999999995E-2</v>
      </c>
      <c r="AD146" s="2">
        <f t="shared" si="86"/>
        <v>145.72903366180168</v>
      </c>
      <c r="AE146" s="4" t="s">
        <v>177</v>
      </c>
      <c r="AF146" s="4" t="s">
        <v>178</v>
      </c>
      <c r="AG146" s="1">
        <v>2.8122557999999999E-2</v>
      </c>
      <c r="AH146" s="4" t="s">
        <v>176</v>
      </c>
      <c r="AI146" s="4" t="s">
        <v>179</v>
      </c>
      <c r="AJ146" s="4" t="s">
        <v>180</v>
      </c>
      <c r="AK146" s="1">
        <v>1.2739100000000001E-3</v>
      </c>
      <c r="AL146" s="1">
        <v>8.0331320000000001E-3</v>
      </c>
      <c r="AM146" s="1">
        <v>6.0918509999999997E-3</v>
      </c>
      <c r="AN146" s="1">
        <v>7.9617800000000003E-4</v>
      </c>
      <c r="AO146" s="4" t="s">
        <v>181</v>
      </c>
      <c r="AP146" s="1">
        <v>7.937398E-3</v>
      </c>
    </row>
    <row r="147" spans="1:42">
      <c r="A147" s="1" t="s">
        <v>404</v>
      </c>
      <c r="B147" s="1" t="s">
        <v>953</v>
      </c>
      <c r="C147" s="1" t="s">
        <v>169</v>
      </c>
      <c r="D147" s="1">
        <v>481</v>
      </c>
      <c r="E147" s="1">
        <v>533</v>
      </c>
      <c r="F147" s="2">
        <f t="shared" si="78"/>
        <v>114.75935118656938</v>
      </c>
      <c r="G147" s="2">
        <f t="shared" si="66"/>
        <v>69.152395633917422</v>
      </c>
      <c r="H147" s="2">
        <f t="shared" si="67"/>
        <v>23.70639577287114</v>
      </c>
      <c r="I147" s="2">
        <f t="shared" si="68"/>
        <v>1.0397459850604103</v>
      </c>
      <c r="J147" s="2">
        <f t="shared" si="69"/>
        <v>21.271186440677926</v>
      </c>
      <c r="K147" s="2">
        <f t="shared" si="70"/>
        <v>66.525275760021131</v>
      </c>
      <c r="L147" s="2">
        <f t="shared" si="71"/>
        <v>71.999999999999673</v>
      </c>
      <c r="M147" s="2">
        <f t="shared" si="79"/>
        <v>45.198399999999999</v>
      </c>
      <c r="N147" s="2">
        <f t="shared" si="72"/>
        <v>1.0151752519999999</v>
      </c>
      <c r="O147" s="2">
        <f t="shared" si="80"/>
        <v>137.08759999999998</v>
      </c>
      <c r="P147" s="2">
        <f t="shared" si="73"/>
        <v>4.6464013829999997</v>
      </c>
      <c r="Q147" s="2">
        <f t="shared" si="74"/>
        <v>4.0120524990000002</v>
      </c>
      <c r="R147" s="2">
        <f t="shared" si="75"/>
        <v>0</v>
      </c>
      <c r="S147" s="2">
        <f t="shared" si="76"/>
        <v>4.2547620440000005</v>
      </c>
      <c r="T147" s="2">
        <f t="shared" si="77"/>
        <v>1.0150889060000001</v>
      </c>
      <c r="U147" s="2">
        <f t="shared" si="81"/>
        <v>3.2396731380000006</v>
      </c>
      <c r="V147" s="3">
        <f t="shared" si="82"/>
        <v>0.23858492970180745</v>
      </c>
      <c r="W147" s="3">
        <f t="shared" si="83"/>
        <v>0.31176833189079445</v>
      </c>
      <c r="X147" s="3">
        <f t="shared" si="84"/>
        <v>0.42571553201154394</v>
      </c>
      <c r="Y147" s="3">
        <f t="shared" si="85"/>
        <v>0.73748386390233844</v>
      </c>
      <c r="Z147" s="4" t="s">
        <v>954</v>
      </c>
      <c r="AA147" s="1">
        <v>0.25719999999999998</v>
      </c>
      <c r="AB147" s="1">
        <v>8.48E-2</v>
      </c>
      <c r="AD147" s="2">
        <f t="shared" si="86"/>
        <v>93.488164745891453</v>
      </c>
      <c r="AE147" s="4" t="s">
        <v>956</v>
      </c>
      <c r="AF147" s="4" t="s">
        <v>957</v>
      </c>
      <c r="AG147" s="4" t="s">
        <v>958</v>
      </c>
      <c r="AH147" s="4" t="s">
        <v>955</v>
      </c>
      <c r="AI147" s="4" t="s">
        <v>959</v>
      </c>
      <c r="AJ147" s="4" t="s">
        <v>960</v>
      </c>
      <c r="AK147" s="1">
        <v>1.904644E-3</v>
      </c>
      <c r="AL147" s="1">
        <v>8.7174509999999993E-3</v>
      </c>
      <c r="AM147" s="1">
        <v>7.5273029999999999E-3</v>
      </c>
      <c r="AN147" s="1">
        <v>0</v>
      </c>
      <c r="AO147" s="1">
        <v>7.9826680000000001E-3</v>
      </c>
      <c r="AP147" s="1">
        <v>1.9044820000000001E-3</v>
      </c>
    </row>
    <row r="148" spans="1:42">
      <c r="A148" s="1" t="s">
        <v>404</v>
      </c>
      <c r="B148" s="1" t="s">
        <v>722</v>
      </c>
      <c r="C148" s="1" t="s">
        <v>20</v>
      </c>
      <c r="D148" s="1">
        <v>565</v>
      </c>
      <c r="E148" s="1">
        <v>632</v>
      </c>
      <c r="F148" s="2">
        <f t="shared" si="78"/>
        <v>143.75587465387238</v>
      </c>
      <c r="G148" s="2">
        <f t="shared" si="66"/>
        <v>94.655613633322403</v>
      </c>
      <c r="H148" s="2">
        <f t="shared" si="67"/>
        <v>28.677717175547468</v>
      </c>
      <c r="I148" s="2">
        <f t="shared" si="68"/>
        <v>3.884139868324644</v>
      </c>
      <c r="J148" s="2">
        <f t="shared" si="69"/>
        <v>17.148571712000003</v>
      </c>
      <c r="K148" s="2">
        <f t="shared" si="70"/>
        <v>72.76749482401631</v>
      </c>
      <c r="L148" s="2">
        <f t="shared" si="71"/>
        <v>73.999999999999545</v>
      </c>
      <c r="M148" s="2">
        <f t="shared" si="79"/>
        <v>55.868800000000007</v>
      </c>
      <c r="N148" s="2">
        <f t="shared" si="72"/>
        <v>1.992282672</v>
      </c>
      <c r="O148" s="2">
        <f t="shared" si="80"/>
        <v>154.9032</v>
      </c>
      <c r="P148" s="2">
        <f t="shared" si="73"/>
        <v>8.0281000799999997</v>
      </c>
      <c r="Q148" s="2">
        <f t="shared" si="74"/>
        <v>4.8126983279999997</v>
      </c>
      <c r="R148" s="2">
        <f t="shared" si="75"/>
        <v>0</v>
      </c>
      <c r="S148" s="2">
        <f t="shared" si="76"/>
        <v>5.257142848</v>
      </c>
      <c r="T148" s="2">
        <f t="shared" si="77"/>
        <v>2.0071087599999999</v>
      </c>
      <c r="U148" s="2">
        <f t="shared" si="81"/>
        <v>3.250034088</v>
      </c>
      <c r="V148" s="3">
        <f t="shared" si="82"/>
        <v>0.25443517637853519</v>
      </c>
      <c r="W148" s="3">
        <f t="shared" si="83"/>
        <v>0.33400320955237156</v>
      </c>
      <c r="X148" s="3">
        <f t="shared" si="84"/>
        <v>0.41107567157060404</v>
      </c>
      <c r="Y148" s="3">
        <f t="shared" si="85"/>
        <v>0.7450788811229756</v>
      </c>
      <c r="Z148" s="4" t="s">
        <v>723</v>
      </c>
      <c r="AA148" s="1">
        <v>0.24510000000000001</v>
      </c>
      <c r="AB148" s="1">
        <v>8.8400000000000006E-2</v>
      </c>
      <c r="AD148" s="2">
        <f t="shared" si="86"/>
        <v>126.60730294187239</v>
      </c>
      <c r="AE148" s="1">
        <v>0.74763154600000004</v>
      </c>
      <c r="AF148" s="4" t="s">
        <v>724</v>
      </c>
      <c r="AG148" s="1">
        <v>3.067864E-2</v>
      </c>
      <c r="AH148" s="1">
        <v>2.7133816000000002E-2</v>
      </c>
      <c r="AI148" s="4" t="s">
        <v>725</v>
      </c>
      <c r="AJ148" s="4" t="s">
        <v>726</v>
      </c>
      <c r="AK148" s="1">
        <v>3.1523459999999999E-3</v>
      </c>
      <c r="AL148" s="1">
        <v>1.2702690000000001E-2</v>
      </c>
      <c r="AM148" s="1">
        <v>7.6150289999999997E-3</v>
      </c>
      <c r="AN148" s="1">
        <v>0</v>
      </c>
      <c r="AO148" s="1">
        <v>8.3182640000000006E-3</v>
      </c>
      <c r="AP148" s="1">
        <v>3.1758049999999999E-3</v>
      </c>
    </row>
    <row r="149" spans="1:42">
      <c r="A149" s="1" t="s">
        <v>404</v>
      </c>
      <c r="B149" s="1" t="s">
        <v>1157</v>
      </c>
      <c r="C149" s="1" t="s">
        <v>1158</v>
      </c>
      <c r="D149" s="1">
        <v>348</v>
      </c>
      <c r="E149" s="1">
        <v>383</v>
      </c>
      <c r="F149" s="2">
        <f t="shared" si="78"/>
        <v>89.99441269604759</v>
      </c>
      <c r="G149" s="2">
        <f t="shared" si="66"/>
        <v>62.179605207630168</v>
      </c>
      <c r="H149" s="2">
        <f t="shared" si="67"/>
        <v>16.072651922124098</v>
      </c>
      <c r="I149" s="2">
        <f t="shared" si="68"/>
        <v>1.0265448127851324</v>
      </c>
      <c r="J149" s="2">
        <f t="shared" si="69"/>
        <v>10.682584269662904</v>
      </c>
      <c r="K149" s="2">
        <f t="shared" si="70"/>
        <v>51.909390048154052</v>
      </c>
      <c r="L149" s="2">
        <f t="shared" si="71"/>
        <v>43.999999999999943</v>
      </c>
      <c r="M149" s="2">
        <f t="shared" si="79"/>
        <v>22.826799999999999</v>
      </c>
      <c r="N149" s="2">
        <f t="shared" si="72"/>
        <v>0.81790033000000006</v>
      </c>
      <c r="O149" s="2">
        <f t="shared" si="80"/>
        <v>95.252099999999999</v>
      </c>
      <c r="P149" s="2">
        <f t="shared" si="73"/>
        <v>7.5043365439999992</v>
      </c>
      <c r="Q149" s="2">
        <f t="shared" si="74"/>
        <v>2.1213481440000002</v>
      </c>
      <c r="R149" s="2">
        <f t="shared" si="75"/>
        <v>1.14805399</v>
      </c>
      <c r="S149" s="2">
        <f t="shared" si="76"/>
        <v>19.292963752665212</v>
      </c>
      <c r="T149" s="2">
        <f t="shared" si="77"/>
        <v>4.9348757189999999</v>
      </c>
      <c r="U149" s="2">
        <f t="shared" si="81"/>
        <v>14.358088033665211</v>
      </c>
      <c r="V149" s="3">
        <f t="shared" si="82"/>
        <v>0.25860463418404478</v>
      </c>
      <c r="W149" s="3">
        <f t="shared" si="83"/>
        <v>0.32411571373228831</v>
      </c>
      <c r="X149" s="3">
        <f t="shared" si="84"/>
        <v>0.40268643841633728</v>
      </c>
      <c r="Y149" s="3">
        <f t="shared" si="85"/>
        <v>0.72680215214862565</v>
      </c>
      <c r="Z149" s="1">
        <v>0.32479999999999998</v>
      </c>
      <c r="AA149" s="1">
        <v>0.2487</v>
      </c>
      <c r="AB149" s="1">
        <v>5.96E-2</v>
      </c>
      <c r="AD149" s="2">
        <f t="shared" si="86"/>
        <v>79.311828426384679</v>
      </c>
      <c r="AE149" s="4" t="s">
        <v>1160</v>
      </c>
      <c r="AF149" s="4" t="s">
        <v>1161</v>
      </c>
      <c r="AG149" s="1">
        <v>1.2943148999999999E-2</v>
      </c>
      <c r="AH149" s="4" t="s">
        <v>1159</v>
      </c>
      <c r="AI149" s="4" t="s">
        <v>1162</v>
      </c>
      <c r="AJ149" s="4" t="s">
        <v>1163</v>
      </c>
      <c r="AK149" s="1">
        <v>2.1355100000000002E-3</v>
      </c>
      <c r="AL149" s="1">
        <v>1.9593567999999999E-2</v>
      </c>
      <c r="AM149" s="1">
        <v>5.5387680000000003E-3</v>
      </c>
      <c r="AN149" s="1">
        <v>2.99753E-3</v>
      </c>
      <c r="AO149" s="4" t="s">
        <v>1164</v>
      </c>
      <c r="AP149" s="1">
        <v>1.2884793E-2</v>
      </c>
    </row>
    <row r="150" spans="1:42">
      <c r="A150" s="1" t="s">
        <v>404</v>
      </c>
      <c r="B150" s="1" t="s">
        <v>1165</v>
      </c>
      <c r="C150" s="1" t="s">
        <v>28</v>
      </c>
      <c r="D150" s="1">
        <v>446</v>
      </c>
      <c r="E150" s="1">
        <v>518</v>
      </c>
      <c r="F150" s="2">
        <f t="shared" si="78"/>
        <v>0</v>
      </c>
      <c r="G150" s="2">
        <f t="shared" si="66"/>
        <v>0</v>
      </c>
      <c r="H150" s="2">
        <f t="shared" si="67"/>
        <v>0</v>
      </c>
      <c r="I150" s="2">
        <f t="shared" si="68"/>
        <v>0</v>
      </c>
      <c r="J150" s="2">
        <f t="shared" si="69"/>
        <v>0</v>
      </c>
      <c r="K150" s="2">
        <f t="shared" si="70"/>
        <v>0</v>
      </c>
      <c r="L150" s="2">
        <f t="shared" si="71"/>
        <v>67.999999999999858</v>
      </c>
      <c r="M150" s="2">
        <f t="shared" si="79"/>
        <v>0</v>
      </c>
      <c r="N150" s="2">
        <f t="shared" si="72"/>
        <v>0</v>
      </c>
      <c r="O150" s="2">
        <f t="shared" si="80"/>
        <v>126.4956</v>
      </c>
      <c r="P150" s="2">
        <f t="shared" si="73"/>
        <v>0</v>
      </c>
      <c r="Q150" s="2">
        <f t="shared" si="74"/>
        <v>0</v>
      </c>
      <c r="R150" s="2">
        <f t="shared" si="75"/>
        <v>0</v>
      </c>
      <c r="S150" s="2">
        <f t="shared" si="76"/>
        <v>0.29600022200000004</v>
      </c>
      <c r="T150" s="2">
        <f t="shared" si="77"/>
        <v>0</v>
      </c>
      <c r="U150" s="2">
        <f t="shared" si="81"/>
        <v>0.29600022200000004</v>
      </c>
      <c r="V150" s="3">
        <f t="shared" si="82"/>
        <v>0</v>
      </c>
      <c r="W150" s="3">
        <f t="shared" si="83"/>
        <v>0</v>
      </c>
      <c r="X150" s="3">
        <f t="shared" si="84"/>
        <v>0</v>
      </c>
      <c r="Y150" s="3">
        <f t="shared" si="85"/>
        <v>0</v>
      </c>
      <c r="AA150" s="1">
        <v>0.2442</v>
      </c>
      <c r="AD150" s="2">
        <f t="shared" si="86"/>
        <v>0</v>
      </c>
      <c r="AJ150" s="4" t="s">
        <v>1166</v>
      </c>
      <c r="AN150" s="1">
        <v>0</v>
      </c>
      <c r="AO150" s="1">
        <v>5.7142900000000003E-4</v>
      </c>
      <c r="AP150" s="1">
        <v>0</v>
      </c>
    </row>
    <row r="151" spans="1:42">
      <c r="A151" s="1" t="s">
        <v>404</v>
      </c>
      <c r="B151" s="1" t="s">
        <v>403</v>
      </c>
      <c r="C151" s="1" t="s">
        <v>20</v>
      </c>
      <c r="D151" s="1">
        <v>466</v>
      </c>
      <c r="E151" s="1">
        <v>529</v>
      </c>
      <c r="F151" s="2">
        <f t="shared" si="78"/>
        <v>112.37716491089307</v>
      </c>
      <c r="G151" s="2">
        <f t="shared" si="66"/>
        <v>63.113222208702659</v>
      </c>
      <c r="H151" s="2">
        <f t="shared" si="67"/>
        <v>23.096998277378244</v>
      </c>
      <c r="I151" s="2">
        <f t="shared" si="68"/>
        <v>2.9355844067521049</v>
      </c>
      <c r="J151" s="2">
        <f t="shared" si="69"/>
        <v>23.823193916349762</v>
      </c>
      <c r="K151" s="2">
        <f t="shared" si="70"/>
        <v>70.047758488116486</v>
      </c>
      <c r="L151" s="2">
        <f t="shared" si="71"/>
        <v>63.999999999999567</v>
      </c>
      <c r="M151" s="2">
        <f t="shared" si="79"/>
        <v>53.376099999999475</v>
      </c>
      <c r="N151" s="2">
        <f t="shared" si="72"/>
        <v>3.697867113</v>
      </c>
      <c r="O151" s="2">
        <f t="shared" si="80"/>
        <v>159.91670000000002</v>
      </c>
      <c r="P151" s="2">
        <f t="shared" si="73"/>
        <v>3.9908717489999996</v>
      </c>
      <c r="Q151" s="2">
        <f t="shared" si="74"/>
        <v>3.2136882250000003</v>
      </c>
      <c r="R151" s="2">
        <f t="shared" si="75"/>
        <v>0</v>
      </c>
      <c r="S151" s="2">
        <f t="shared" si="76"/>
        <v>28.184786729999999</v>
      </c>
      <c r="T151" s="2">
        <f t="shared" si="77"/>
        <v>6.1116967579999999</v>
      </c>
      <c r="U151" s="2">
        <f t="shared" si="81"/>
        <v>22.073089971999998</v>
      </c>
      <c r="V151" s="3">
        <f t="shared" si="82"/>
        <v>0.24115271440105809</v>
      </c>
      <c r="W151" s="3">
        <f t="shared" si="83"/>
        <v>0.32955742361371232</v>
      </c>
      <c r="X151" s="3">
        <f t="shared" si="84"/>
        <v>0.45795439409681221</v>
      </c>
      <c r="Y151" s="3">
        <f t="shared" si="85"/>
        <v>0.78751181771052448</v>
      </c>
      <c r="Z151" s="4" t="s">
        <v>405</v>
      </c>
      <c r="AA151" s="1">
        <v>0.30230000000000001</v>
      </c>
      <c r="AB151" s="4" t="s">
        <v>406</v>
      </c>
      <c r="AD151" s="2">
        <f t="shared" si="86"/>
        <v>88.553970994543306</v>
      </c>
      <c r="AE151" s="1">
        <v>0.71270911400000003</v>
      </c>
      <c r="AF151" s="4" t="s">
        <v>408</v>
      </c>
      <c r="AG151" s="4" t="s">
        <v>409</v>
      </c>
      <c r="AH151" s="4" t="s">
        <v>407</v>
      </c>
      <c r="AI151" s="4" t="s">
        <v>410</v>
      </c>
      <c r="AJ151" s="4" t="s">
        <v>411</v>
      </c>
      <c r="AK151" s="1">
        <v>6.9902970000000004E-3</v>
      </c>
      <c r="AL151" s="1">
        <v>7.5441809999999996E-3</v>
      </c>
      <c r="AM151" s="1">
        <v>6.0750250000000004E-3</v>
      </c>
      <c r="AN151" s="1">
        <v>0</v>
      </c>
      <c r="AO151" s="1">
        <v>5.327937E-2</v>
      </c>
      <c r="AP151" s="1">
        <v>1.1553302E-2</v>
      </c>
    </row>
    <row r="152" spans="1:42">
      <c r="A152" s="1" t="s">
        <v>404</v>
      </c>
      <c r="B152" s="1" t="s">
        <v>975</v>
      </c>
      <c r="C152" s="1" t="s">
        <v>391</v>
      </c>
      <c r="D152" s="1">
        <v>455</v>
      </c>
      <c r="E152" s="1">
        <v>511</v>
      </c>
      <c r="F152" s="2">
        <f t="shared" si="78"/>
        <v>119.49873629569662</v>
      </c>
      <c r="G152" s="2">
        <f t="shared" si="66"/>
        <v>82.592599947305658</v>
      </c>
      <c r="H152" s="2">
        <f t="shared" si="67"/>
        <v>22.78399784978825</v>
      </c>
      <c r="I152" s="2">
        <f t="shared" si="68"/>
        <v>1.2483298510629095</v>
      </c>
      <c r="J152" s="2">
        <f t="shared" si="69"/>
        <v>13.333532709</v>
      </c>
      <c r="K152" s="2">
        <f t="shared" si="70"/>
        <v>59.780254874865591</v>
      </c>
      <c r="L152" s="2">
        <f t="shared" si="71"/>
        <v>59.999999999999559</v>
      </c>
      <c r="M152" s="2">
        <f t="shared" si="79"/>
        <v>47.369700000000002</v>
      </c>
      <c r="N152" s="2">
        <f t="shared" si="72"/>
        <v>2.975947492</v>
      </c>
      <c r="O152" s="2">
        <f t="shared" si="80"/>
        <v>96.732299999999483</v>
      </c>
      <c r="P152" s="2">
        <f t="shared" si="73"/>
        <v>5.0932831460000001</v>
      </c>
      <c r="Q152" s="2">
        <f t="shared" si="74"/>
        <v>4.0638721129999995</v>
      </c>
      <c r="R152" s="2">
        <f t="shared" si="75"/>
        <v>0</v>
      </c>
      <c r="S152" s="2">
        <f t="shared" si="76"/>
        <v>3.203846338</v>
      </c>
      <c r="T152" s="2">
        <f t="shared" si="77"/>
        <v>1.0086153770000001</v>
      </c>
      <c r="U152" s="2">
        <f t="shared" si="81"/>
        <v>2.195230961</v>
      </c>
      <c r="V152" s="3">
        <f t="shared" si="82"/>
        <v>0.26263458526526728</v>
      </c>
      <c r="W152" s="3">
        <f t="shared" si="83"/>
        <v>0.34341263796825905</v>
      </c>
      <c r="X152" s="3">
        <f t="shared" si="84"/>
        <v>0.40712025502433163</v>
      </c>
      <c r="Y152" s="3">
        <f t="shared" si="85"/>
        <v>0.75053289299259074</v>
      </c>
      <c r="Z152" s="4" t="s">
        <v>976</v>
      </c>
      <c r="AA152" s="4" t="s">
        <v>977</v>
      </c>
      <c r="AB152" s="1">
        <v>9.2700000000000005E-2</v>
      </c>
      <c r="AD152" s="2">
        <f t="shared" si="86"/>
        <v>106.16520358669662</v>
      </c>
      <c r="AE152" s="4" t="s">
        <v>978</v>
      </c>
      <c r="AF152" s="4" t="s">
        <v>979</v>
      </c>
      <c r="AG152" s="1">
        <v>1.1758371E-2</v>
      </c>
      <c r="AH152" s="1">
        <v>2.6093018999999999E-2</v>
      </c>
      <c r="AI152" s="4" t="s">
        <v>980</v>
      </c>
      <c r="AJ152" s="4" t="s">
        <v>981</v>
      </c>
      <c r="AK152" s="1">
        <v>5.8237719999999996E-3</v>
      </c>
      <c r="AL152" s="1">
        <v>9.9672860000000005E-3</v>
      </c>
      <c r="AM152" s="1">
        <v>7.9527829999999997E-3</v>
      </c>
      <c r="AN152" s="1">
        <v>0</v>
      </c>
      <c r="AO152" s="1">
        <v>6.2697580000000003E-3</v>
      </c>
      <c r="AP152" s="1">
        <v>1.9738070000000002E-3</v>
      </c>
    </row>
    <row r="153" spans="1:42">
      <c r="A153" s="1" t="s">
        <v>130</v>
      </c>
      <c r="B153" s="1" t="s">
        <v>129</v>
      </c>
      <c r="C153" s="1" t="s">
        <v>20</v>
      </c>
      <c r="D153" s="1">
        <v>565</v>
      </c>
      <c r="E153" s="1">
        <v>646</v>
      </c>
      <c r="F153" s="2">
        <f t="shared" si="78"/>
        <v>154.15382643071499</v>
      </c>
      <c r="G153" s="2">
        <f t="shared" si="66"/>
        <v>93.879577721036242</v>
      </c>
      <c r="H153" s="2">
        <f t="shared" si="67"/>
        <v>27.558198621336366</v>
      </c>
      <c r="I153" s="2">
        <f t="shared" si="68"/>
        <v>2.2966662341843223</v>
      </c>
      <c r="J153" s="2">
        <f t="shared" si="69"/>
        <v>28.981056135999999</v>
      </c>
      <c r="K153" s="2">
        <f t="shared" si="70"/>
        <v>98.087655279502783</v>
      </c>
      <c r="L153" s="2">
        <f t="shared" si="71"/>
        <v>80.999999999999503</v>
      </c>
      <c r="M153" s="2">
        <f t="shared" si="79"/>
        <v>69.509600000000006</v>
      </c>
      <c r="N153" s="2">
        <f t="shared" si="72"/>
        <v>3.728209412</v>
      </c>
      <c r="O153" s="2">
        <f t="shared" si="80"/>
        <v>126.0346</v>
      </c>
      <c r="P153" s="2">
        <f t="shared" si="73"/>
        <v>6.0130435819999999</v>
      </c>
      <c r="Q153" s="2">
        <f t="shared" si="74"/>
        <v>3.8099381020000003</v>
      </c>
      <c r="R153" s="2">
        <f t="shared" si="75"/>
        <v>0.50000012399999993</v>
      </c>
      <c r="S153" s="2">
        <f t="shared" si="76"/>
        <v>25.501488247999998</v>
      </c>
      <c r="T153" s="2">
        <f t="shared" si="77"/>
        <v>5.7575034239999994</v>
      </c>
      <c r="U153" s="2">
        <f t="shared" si="81"/>
        <v>19.743984823999998</v>
      </c>
      <c r="V153" s="3">
        <f t="shared" si="82"/>
        <v>0.27283863085082299</v>
      </c>
      <c r="W153" s="3">
        <f t="shared" si="83"/>
        <v>0.36353165372584001</v>
      </c>
      <c r="X153" s="3">
        <f t="shared" si="84"/>
        <v>0.481079996832322</v>
      </c>
      <c r="Y153" s="3">
        <f t="shared" si="85"/>
        <v>0.84461165055816201</v>
      </c>
      <c r="Z153" s="1">
        <v>0.30249999999999999</v>
      </c>
      <c r="AA153" s="1">
        <v>0.1951</v>
      </c>
      <c r="AB153" s="1">
        <v>0.1076</v>
      </c>
      <c r="AD153" s="2">
        <f t="shared" si="86"/>
        <v>125.17277029471499</v>
      </c>
      <c r="AE153" s="4" t="s">
        <v>131</v>
      </c>
      <c r="AF153" s="4" t="s">
        <v>132</v>
      </c>
      <c r="AG153" s="1">
        <v>1.8347970000000002E-2</v>
      </c>
      <c r="AH153" s="1">
        <v>4.4862315999999999E-2</v>
      </c>
      <c r="AI153" s="4" t="s">
        <v>133</v>
      </c>
      <c r="AJ153" s="4" t="s">
        <v>134</v>
      </c>
      <c r="AK153" s="1">
        <v>5.7712220000000003E-3</v>
      </c>
      <c r="AL153" s="1">
        <v>9.3081169999999994E-3</v>
      </c>
      <c r="AM153" s="1">
        <v>5.8977370000000001E-3</v>
      </c>
      <c r="AN153" s="1">
        <v>7.7399399999999996E-4</v>
      </c>
      <c r="AO153" s="1">
        <v>3.9475987999999997E-2</v>
      </c>
      <c r="AP153" s="1">
        <v>8.9125439999999997E-3</v>
      </c>
    </row>
    <row r="154" spans="1:42">
      <c r="A154" s="1" t="s">
        <v>130</v>
      </c>
      <c r="B154" s="1" t="s">
        <v>280</v>
      </c>
      <c r="C154" s="1" t="s">
        <v>20</v>
      </c>
      <c r="D154" s="1">
        <v>555</v>
      </c>
      <c r="E154" s="1">
        <v>606</v>
      </c>
      <c r="F154" s="2">
        <f t="shared" si="78"/>
        <v>150.92039921936822</v>
      </c>
      <c r="G154" s="2">
        <f t="shared" si="66"/>
        <v>92.986873456563771</v>
      </c>
      <c r="H154" s="2">
        <f t="shared" si="67"/>
        <v>33.098823493500241</v>
      </c>
      <c r="I154" s="2">
        <f t="shared" si="68"/>
        <v>4.0366753972537124</v>
      </c>
      <c r="J154" s="2">
        <f t="shared" si="69"/>
        <v>22.032727416</v>
      </c>
      <c r="K154" s="2">
        <f t="shared" si="70"/>
        <v>77.963549783549396</v>
      </c>
      <c r="L154" s="2">
        <f t="shared" si="71"/>
        <v>80.999999999999602</v>
      </c>
      <c r="M154" s="2">
        <f t="shared" si="79"/>
        <v>40.662600000000005</v>
      </c>
      <c r="N154" s="2">
        <f t="shared" si="72"/>
        <v>2.0272827059999998</v>
      </c>
      <c r="O154" s="2">
        <f t="shared" si="80"/>
        <v>115.80659999999999</v>
      </c>
      <c r="P154" s="2">
        <f t="shared" si="73"/>
        <v>3.3353337059999997</v>
      </c>
      <c r="Q154" s="2">
        <f t="shared" si="74"/>
        <v>5.0066114099999997</v>
      </c>
      <c r="R154" s="2">
        <f t="shared" si="75"/>
        <v>3.1617916680000002</v>
      </c>
      <c r="S154" s="2">
        <f t="shared" si="76"/>
        <v>7.4933333333332941</v>
      </c>
      <c r="T154" s="2">
        <f t="shared" si="77"/>
        <v>2.4633348540000002</v>
      </c>
      <c r="U154" s="2">
        <f t="shared" si="81"/>
        <v>5.0299984793332939</v>
      </c>
      <c r="V154" s="3">
        <f t="shared" si="82"/>
        <v>0.27192864724210492</v>
      </c>
      <c r="W154" s="3">
        <f t="shared" si="83"/>
        <v>0.32677411857229488</v>
      </c>
      <c r="X154" s="3">
        <f t="shared" si="84"/>
        <v>0.46743325459337909</v>
      </c>
      <c r="Y154" s="3">
        <f t="shared" si="85"/>
        <v>0.79420737316567402</v>
      </c>
      <c r="Z154" s="1">
        <v>0.30530000000000002</v>
      </c>
      <c r="AA154" s="1">
        <v>0.19109999999999999</v>
      </c>
      <c r="AB154" s="1">
        <v>6.7100000000000007E-2</v>
      </c>
      <c r="AD154" s="2">
        <f t="shared" si="86"/>
        <v>128.88767180336822</v>
      </c>
      <c r="AE154" s="4" t="s">
        <v>281</v>
      </c>
      <c r="AF154" s="4" t="s">
        <v>282</v>
      </c>
      <c r="AG154" s="1">
        <v>3.1319329E-2</v>
      </c>
      <c r="AH154" s="1">
        <v>3.6357635999999999E-2</v>
      </c>
      <c r="AI154" s="4" t="s">
        <v>283</v>
      </c>
      <c r="AJ154" s="4" t="s">
        <v>284</v>
      </c>
      <c r="AK154" s="1">
        <v>3.3453509999999999E-3</v>
      </c>
      <c r="AL154" s="1">
        <v>5.5038509999999997E-3</v>
      </c>
      <c r="AM154" s="1">
        <v>8.2617349999999992E-3</v>
      </c>
      <c r="AN154" s="1">
        <v>5.2174780000000002E-3</v>
      </c>
      <c r="AO154" s="4" t="s">
        <v>285</v>
      </c>
      <c r="AP154" s="1">
        <v>4.0649090000000002E-3</v>
      </c>
    </row>
    <row r="155" spans="1:42">
      <c r="A155" s="1" t="s">
        <v>130</v>
      </c>
      <c r="B155" s="1" t="s">
        <v>1102</v>
      </c>
      <c r="C155" s="1" t="s">
        <v>1103</v>
      </c>
      <c r="D155" s="1">
        <v>498</v>
      </c>
      <c r="E155" s="1">
        <v>579</v>
      </c>
      <c r="F155" s="2">
        <f t="shared" si="78"/>
        <v>117.46754045768964</v>
      </c>
      <c r="G155" s="2">
        <f t="shared" si="66"/>
        <v>76.296741378336449</v>
      </c>
      <c r="H155" s="2">
        <f t="shared" si="67"/>
        <v>24.007584148154447</v>
      </c>
      <c r="I155" s="2">
        <f t="shared" si="68"/>
        <v>2.0293309579994232</v>
      </c>
      <c r="J155" s="2">
        <f t="shared" si="69"/>
        <v>15.137258463</v>
      </c>
      <c r="K155" s="2">
        <f t="shared" si="70"/>
        <v>65.258176416435973</v>
      </c>
      <c r="L155" s="2">
        <f t="shared" si="71"/>
        <v>60.999999999999787</v>
      </c>
      <c r="M155" s="2">
        <f t="shared" si="79"/>
        <v>61.142400000000002</v>
      </c>
      <c r="N155" s="2">
        <f t="shared" si="72"/>
        <v>0.98530224899999996</v>
      </c>
      <c r="O155" s="2">
        <f t="shared" si="80"/>
        <v>115.6842</v>
      </c>
      <c r="P155" s="2">
        <f t="shared" si="73"/>
        <v>10.994501883</v>
      </c>
      <c r="Q155" s="2">
        <f t="shared" si="74"/>
        <v>4.2562388430000002</v>
      </c>
      <c r="R155" s="2">
        <f t="shared" si="75"/>
        <v>2.5742114190000001</v>
      </c>
      <c r="S155" s="2">
        <f t="shared" si="76"/>
        <v>4.1461906289999995</v>
      </c>
      <c r="T155" s="2">
        <f t="shared" si="77"/>
        <v>1.637763453</v>
      </c>
      <c r="U155" s="2">
        <f t="shared" si="81"/>
        <v>2.5084271759999996</v>
      </c>
      <c r="V155" s="3">
        <f t="shared" si="82"/>
        <v>0.23587859529656555</v>
      </c>
      <c r="W155" s="3">
        <f t="shared" si="83"/>
        <v>0.33769519419869831</v>
      </c>
      <c r="X155" s="3">
        <f t="shared" si="84"/>
        <v>0.38343159919807956</v>
      </c>
      <c r="Y155" s="3">
        <f t="shared" si="85"/>
        <v>0.72112679339677788</v>
      </c>
      <c r="Z155" s="4" t="s">
        <v>1104</v>
      </c>
      <c r="AA155" s="1">
        <v>0.19980000000000001</v>
      </c>
      <c r="AB155" s="1">
        <v>0.1056</v>
      </c>
      <c r="AD155" s="2">
        <f t="shared" si="86"/>
        <v>102.33028199468964</v>
      </c>
      <c r="AE155" s="4" t="s">
        <v>1105</v>
      </c>
      <c r="AF155" s="4" t="s">
        <v>1106</v>
      </c>
      <c r="AG155" s="1">
        <v>1.9831187E-2</v>
      </c>
      <c r="AH155" s="1">
        <v>2.6143797E-2</v>
      </c>
      <c r="AI155" s="4" t="s">
        <v>1107</v>
      </c>
      <c r="AJ155" s="4" t="s">
        <v>1108</v>
      </c>
      <c r="AK155" s="1">
        <v>1.7017309999999999E-3</v>
      </c>
      <c r="AL155" s="1">
        <v>1.8988776999999998E-2</v>
      </c>
      <c r="AM155" s="1">
        <v>7.3510169999999996E-3</v>
      </c>
      <c r="AN155" s="1">
        <v>4.445961E-3</v>
      </c>
      <c r="AO155" s="1">
        <v>7.1609509999999996E-3</v>
      </c>
      <c r="AP155" s="1">
        <v>2.8286069999999999E-3</v>
      </c>
    </row>
    <row r="156" spans="1:42">
      <c r="A156" s="1" t="s">
        <v>130</v>
      </c>
      <c r="B156" s="1" t="s">
        <v>182</v>
      </c>
      <c r="C156" s="1" t="s">
        <v>49</v>
      </c>
      <c r="D156" s="1">
        <v>566</v>
      </c>
      <c r="E156" s="1">
        <v>624</v>
      </c>
      <c r="F156" s="2">
        <f t="shared" si="78"/>
        <v>147.7230539136732</v>
      </c>
      <c r="G156" s="2">
        <f t="shared" si="66"/>
        <v>93.349279128887332</v>
      </c>
      <c r="H156" s="2">
        <f t="shared" si="67"/>
        <v>27.133284212631313</v>
      </c>
      <c r="I156" s="2">
        <f t="shared" si="68"/>
        <v>0.19795124789784896</v>
      </c>
      <c r="J156" s="2">
        <f t="shared" si="69"/>
        <v>27.962580671999998</v>
      </c>
      <c r="K156" s="2">
        <f t="shared" si="70"/>
        <v>77.858409136445189</v>
      </c>
      <c r="L156" s="2">
        <f t="shared" si="71"/>
        <v>86.999999999999432</v>
      </c>
      <c r="M156" s="2">
        <f t="shared" si="79"/>
        <v>50.980799999999995</v>
      </c>
      <c r="N156" s="2">
        <f t="shared" si="72"/>
        <v>3.9586341599999999</v>
      </c>
      <c r="O156" s="2">
        <f t="shared" si="80"/>
        <v>122.8656</v>
      </c>
      <c r="P156" s="2">
        <f t="shared" si="73"/>
        <v>2.010339552</v>
      </c>
      <c r="Q156" s="2">
        <f t="shared" si="74"/>
        <v>5.6309678880000007</v>
      </c>
      <c r="R156" s="2">
        <f t="shared" si="75"/>
        <v>0</v>
      </c>
      <c r="S156" s="2">
        <f t="shared" si="76"/>
        <v>9.4695650400000009</v>
      </c>
      <c r="T156" s="2">
        <f t="shared" si="77"/>
        <v>2.51439864</v>
      </c>
      <c r="U156" s="2">
        <f t="shared" si="81"/>
        <v>6.9551664000000013</v>
      </c>
      <c r="V156" s="3">
        <f t="shared" si="82"/>
        <v>0.26099479490048266</v>
      </c>
      <c r="W156" s="3">
        <f t="shared" si="83"/>
        <v>0.32665575481491338</v>
      </c>
      <c r="X156" s="3">
        <f t="shared" si="84"/>
        <v>0.45947000704212632</v>
      </c>
      <c r="Y156" s="3">
        <f t="shared" si="85"/>
        <v>0.78612576185703964</v>
      </c>
      <c r="Z156" s="4" t="s">
        <v>183</v>
      </c>
      <c r="AA156" s="4" t="s">
        <v>184</v>
      </c>
      <c r="AB156" s="1">
        <v>8.1699999999999995E-2</v>
      </c>
      <c r="AD156" s="2">
        <f t="shared" si="86"/>
        <v>119.76047324167321</v>
      </c>
      <c r="AE156" s="4" t="s">
        <v>185</v>
      </c>
      <c r="AF156" s="4" t="s">
        <v>186</v>
      </c>
      <c r="AG156" s="1">
        <v>1.6528929999999999E-3</v>
      </c>
      <c r="AH156" s="1">
        <v>4.4811827999999998E-2</v>
      </c>
      <c r="AI156" s="4" t="s">
        <v>187</v>
      </c>
      <c r="AJ156" s="4" t="s">
        <v>188</v>
      </c>
      <c r="AK156" s="1">
        <v>6.343965E-3</v>
      </c>
      <c r="AL156" s="1">
        <v>3.2216979999999998E-3</v>
      </c>
      <c r="AM156" s="1">
        <v>9.0239870000000007E-3</v>
      </c>
      <c r="AN156" s="1">
        <v>0</v>
      </c>
      <c r="AO156" s="1">
        <v>1.5175585E-2</v>
      </c>
      <c r="AP156" s="1">
        <v>4.0294850000000002E-3</v>
      </c>
    </row>
    <row r="157" spans="1:42">
      <c r="A157" s="1" t="s">
        <v>130</v>
      </c>
      <c r="B157" s="1" t="s">
        <v>1101</v>
      </c>
      <c r="C157" s="1" t="s">
        <v>20</v>
      </c>
      <c r="D157" s="1">
        <v>318</v>
      </c>
      <c r="E157" s="1">
        <v>344</v>
      </c>
      <c r="F157" s="2">
        <f t="shared" si="78"/>
        <v>78.82788055096961</v>
      </c>
      <c r="G157" s="2">
        <f t="shared" si="66"/>
        <v>52.140782002022881</v>
      </c>
      <c r="H157" s="2">
        <f t="shared" si="67"/>
        <v>14.857350685465205</v>
      </c>
      <c r="I157" s="2">
        <f t="shared" si="68"/>
        <v>1.1862179271400779</v>
      </c>
      <c r="J157" s="2">
        <f t="shared" si="69"/>
        <v>10.09999996</v>
      </c>
      <c r="K157" s="2">
        <f t="shared" si="70"/>
        <v>38.601098967999995</v>
      </c>
      <c r="L157" s="2">
        <f t="shared" si="71"/>
        <v>41.999999912</v>
      </c>
      <c r="M157" s="2">
        <f t="shared" si="79"/>
        <v>20.00000004</v>
      </c>
      <c r="N157" s="2">
        <f t="shared" si="72"/>
        <v>0.657142856</v>
      </c>
      <c r="O157" s="2">
        <f t="shared" si="80"/>
        <v>82.035928728000002</v>
      </c>
      <c r="P157" s="2">
        <f t="shared" si="73"/>
        <v>2.9461539439999997</v>
      </c>
      <c r="Q157" s="2">
        <f t="shared" si="74"/>
        <v>2.99999992</v>
      </c>
      <c r="R157" s="2">
        <f t="shared" si="75"/>
        <v>0</v>
      </c>
      <c r="S157" s="2">
        <f t="shared" si="76"/>
        <v>2.934065784</v>
      </c>
      <c r="T157" s="2">
        <f t="shared" si="77"/>
        <v>0.94846338400000008</v>
      </c>
      <c r="U157" s="2">
        <f t="shared" si="81"/>
        <v>1.9856023999999999</v>
      </c>
      <c r="V157" s="3">
        <f t="shared" si="82"/>
        <v>0.24788641682694845</v>
      </c>
      <c r="W157" s="3">
        <f t="shared" si="83"/>
        <v>0.29980692499712813</v>
      </c>
      <c r="X157" s="3">
        <f t="shared" si="84"/>
        <v>0.395641940233879</v>
      </c>
      <c r="Y157" s="3">
        <f t="shared" si="85"/>
        <v>0.69544886523100713</v>
      </c>
      <c r="Z157" s="1">
        <v>0.30030000000000001</v>
      </c>
      <c r="AA157" s="1">
        <v>0.23847653699999999</v>
      </c>
      <c r="AB157" s="1">
        <v>5.8139534999999999E-2</v>
      </c>
      <c r="AD157" s="2">
        <f t="shared" si="86"/>
        <v>68.727880590969605</v>
      </c>
      <c r="AE157" s="1">
        <v>0.758655462</v>
      </c>
      <c r="AF157" s="1">
        <v>0.21617647100000001</v>
      </c>
      <c r="AG157" s="1">
        <v>1.7259632E-2</v>
      </c>
      <c r="AH157" s="1">
        <v>2.9360464999999999E-2</v>
      </c>
      <c r="AI157" s="1">
        <v>0.11221249699999999</v>
      </c>
      <c r="AJ157" s="1">
        <v>0.12209302299999999</v>
      </c>
      <c r="AK157" s="1">
        <v>1.9102990000000001E-3</v>
      </c>
      <c r="AL157" s="1">
        <v>8.5644009999999993E-3</v>
      </c>
      <c r="AM157" s="1">
        <v>8.72093E-3</v>
      </c>
      <c r="AN157" s="1">
        <v>0</v>
      </c>
      <c r="AO157" s="1">
        <v>8.5292609999999998E-3</v>
      </c>
      <c r="AP157" s="1">
        <v>2.7571610000000002E-3</v>
      </c>
    </row>
    <row r="158" spans="1:42">
      <c r="A158" s="1" t="s">
        <v>130</v>
      </c>
      <c r="B158" s="1" t="s">
        <v>1274</v>
      </c>
      <c r="C158" s="1" t="s">
        <v>20</v>
      </c>
      <c r="D158" s="1">
        <v>463</v>
      </c>
      <c r="E158" s="1">
        <v>512</v>
      </c>
      <c r="F158" s="2">
        <f t="shared" si="78"/>
        <v>111.92224036700128</v>
      </c>
      <c r="G158" s="2">
        <f t="shared" si="66"/>
        <v>68.583884893203276</v>
      </c>
      <c r="H158" s="2">
        <f t="shared" si="67"/>
        <v>20.604306333824052</v>
      </c>
      <c r="I158" s="2">
        <f t="shared" si="68"/>
        <v>2.9878641565367876</v>
      </c>
      <c r="J158" s="2">
        <f t="shared" si="69"/>
        <v>19.271428608000001</v>
      </c>
      <c r="K158" s="2">
        <f t="shared" si="70"/>
        <v>64.24920634920602</v>
      </c>
      <c r="L158" s="2">
        <f t="shared" si="71"/>
        <v>64</v>
      </c>
      <c r="M158" s="2">
        <f t="shared" si="79"/>
        <v>36.351999999999997</v>
      </c>
      <c r="N158" s="2">
        <f t="shared" si="72"/>
        <v>1.0078289920000001</v>
      </c>
      <c r="O158" s="2">
        <f t="shared" si="80"/>
        <v>138.75200000000001</v>
      </c>
      <c r="P158" s="2">
        <f t="shared" si="73"/>
        <v>9.8377720318896635</v>
      </c>
      <c r="Q158" s="2">
        <f t="shared" si="74"/>
        <v>3.0380953599999998</v>
      </c>
      <c r="R158" s="2">
        <f t="shared" si="75"/>
        <v>0</v>
      </c>
      <c r="S158" s="2">
        <f t="shared" si="76"/>
        <v>8.64</v>
      </c>
      <c r="T158" s="2">
        <f t="shared" si="77"/>
        <v>2.6680273919999999</v>
      </c>
      <c r="U158" s="2">
        <f t="shared" si="81"/>
        <v>5.9719726080000006</v>
      </c>
      <c r="V158" s="3">
        <f t="shared" si="82"/>
        <v>0.24173270057667662</v>
      </c>
      <c r="W158" s="3">
        <f t="shared" si="83"/>
        <v>0.31609157227995782</v>
      </c>
      <c r="X158" s="3">
        <f t="shared" si="84"/>
        <v>0.42298445888220682</v>
      </c>
      <c r="Y158" s="3">
        <f t="shared" si="85"/>
        <v>0.73907603116216469</v>
      </c>
      <c r="Z158" s="4" t="s">
        <v>1275</v>
      </c>
      <c r="AA158" s="1">
        <v>0.27100000000000002</v>
      </c>
      <c r="AB158" s="1">
        <v>7.0999999999999994E-2</v>
      </c>
      <c r="AD158" s="2">
        <f t="shared" si="86"/>
        <v>92.650811759001286</v>
      </c>
      <c r="AE158" s="4" t="s">
        <v>1276</v>
      </c>
      <c r="AF158" s="4" t="s">
        <v>1277</v>
      </c>
      <c r="AG158" s="1">
        <v>3.2248656000000001E-2</v>
      </c>
      <c r="AH158" s="1">
        <v>3.7639509000000002E-2</v>
      </c>
      <c r="AI158" s="4" t="s">
        <v>1278</v>
      </c>
      <c r="AJ158" s="1">
        <v>0.125</v>
      </c>
      <c r="AK158" s="1">
        <v>1.9684160000000002E-3</v>
      </c>
      <c r="AL158" s="4" t="s">
        <v>1279</v>
      </c>
      <c r="AM158" s="1">
        <v>5.9337799999999996E-3</v>
      </c>
      <c r="AN158" s="1">
        <v>0</v>
      </c>
      <c r="AO158" s="1">
        <v>1.6875000000000001E-2</v>
      </c>
      <c r="AP158" s="1">
        <v>5.2109909999999999E-3</v>
      </c>
    </row>
    <row r="159" spans="1:42">
      <c r="A159" s="1" t="s">
        <v>130</v>
      </c>
      <c r="B159" s="1" t="s">
        <v>1202</v>
      </c>
      <c r="C159" s="1" t="s">
        <v>34</v>
      </c>
      <c r="D159" s="1">
        <v>513</v>
      </c>
      <c r="E159" s="1">
        <v>569</v>
      </c>
      <c r="F159" s="2">
        <f t="shared" si="78"/>
        <v>136.50213630518451</v>
      </c>
      <c r="G159" s="2">
        <f t="shared" si="66"/>
        <v>94.728813571815962</v>
      </c>
      <c r="H159" s="2">
        <f t="shared" si="67"/>
        <v>25.64437013705027</v>
      </c>
      <c r="I159" s="2">
        <f t="shared" si="68"/>
        <v>1.0034716684474136</v>
      </c>
      <c r="J159" s="2">
        <f t="shared" si="69"/>
        <v>14.992513289000001</v>
      </c>
      <c r="K159" s="2">
        <f t="shared" si="70"/>
        <v>68.137963523967045</v>
      </c>
      <c r="L159" s="2">
        <f t="shared" si="71"/>
        <v>57.999999903999999</v>
      </c>
      <c r="M159" s="2">
        <f t="shared" si="79"/>
        <v>45.292400000000001</v>
      </c>
      <c r="N159" s="2">
        <f t="shared" si="72"/>
        <v>1.774110705</v>
      </c>
      <c r="O159" s="2">
        <f t="shared" si="80"/>
        <v>100.3147</v>
      </c>
      <c r="P159" s="2">
        <f t="shared" si="73"/>
        <v>4.7735640480000008</v>
      </c>
      <c r="Q159" s="2">
        <f t="shared" si="74"/>
        <v>5.0570409860000005</v>
      </c>
      <c r="R159" s="2">
        <f t="shared" si="75"/>
        <v>0.50000021500000003</v>
      </c>
      <c r="S159" s="2">
        <f t="shared" si="76"/>
        <v>16.553366208</v>
      </c>
      <c r="T159" s="2">
        <f t="shared" si="77"/>
        <v>3.4317482480000003</v>
      </c>
      <c r="U159" s="2">
        <f t="shared" si="81"/>
        <v>13.12161796</v>
      </c>
      <c r="V159" s="3">
        <f t="shared" si="82"/>
        <v>0.26608603568262085</v>
      </c>
      <c r="W159" s="3">
        <f t="shared" si="83"/>
        <v>0.33327616676851374</v>
      </c>
      <c r="X159" s="3">
        <f t="shared" si="84"/>
        <v>0.40740355167106967</v>
      </c>
      <c r="Y159" s="3">
        <f t="shared" si="85"/>
        <v>0.74067971843958347</v>
      </c>
      <c r="Z159" s="4" t="s">
        <v>680</v>
      </c>
      <c r="AA159" s="1">
        <v>0.17630000000000001</v>
      </c>
      <c r="AB159" s="1">
        <v>7.9600000000000004E-2</v>
      </c>
      <c r="AD159" s="2">
        <f t="shared" si="86"/>
        <v>121.50962301618451</v>
      </c>
      <c r="AE159" s="4" t="s">
        <v>1203</v>
      </c>
      <c r="AF159" s="4" t="s">
        <v>1204</v>
      </c>
      <c r="AG159" s="1">
        <v>8.2583719999999999E-3</v>
      </c>
      <c r="AH159" s="1">
        <v>2.6348881000000001E-2</v>
      </c>
      <c r="AI159" s="4" t="s">
        <v>1205</v>
      </c>
      <c r="AJ159" s="1">
        <v>0.10193321599999999</v>
      </c>
      <c r="AK159" s="1">
        <v>3.117945E-3</v>
      </c>
      <c r="AL159" s="1">
        <v>8.3893920000000007E-3</v>
      </c>
      <c r="AM159" s="1">
        <v>8.8875940000000004E-3</v>
      </c>
      <c r="AN159" s="1">
        <v>8.7873499999999995E-4</v>
      </c>
      <c r="AO159" s="1">
        <v>2.9092032E-2</v>
      </c>
      <c r="AP159" s="1">
        <v>6.0311920000000003E-3</v>
      </c>
    </row>
    <row r="160" spans="1:42">
      <c r="A160" s="1" t="s">
        <v>74</v>
      </c>
      <c r="B160" s="1" t="s">
        <v>774</v>
      </c>
      <c r="C160" s="1" t="s">
        <v>775</v>
      </c>
      <c r="D160" s="1">
        <v>489</v>
      </c>
      <c r="E160" s="1">
        <v>551</v>
      </c>
      <c r="F160" s="2">
        <f t="shared" si="78"/>
        <v>129.99383182687981</v>
      </c>
      <c r="G160" s="2">
        <f t="shared" si="66"/>
        <v>90.355371516039099</v>
      </c>
      <c r="H160" s="2">
        <f t="shared" si="67"/>
        <v>25.479739302307966</v>
      </c>
      <c r="I160" s="2">
        <f t="shared" si="68"/>
        <v>0.98607175192703855</v>
      </c>
      <c r="J160" s="2">
        <f t="shared" si="69"/>
        <v>12.964050873</v>
      </c>
      <c r="K160" s="2">
        <f t="shared" si="70"/>
        <v>65.022549530760884</v>
      </c>
      <c r="L160" s="2">
        <f t="shared" si="71"/>
        <v>56.000000094000001</v>
      </c>
      <c r="M160" s="2">
        <f t="shared" si="79"/>
        <v>47.992100000000001</v>
      </c>
      <c r="N160" s="2">
        <f t="shared" si="72"/>
        <v>2.005219587</v>
      </c>
      <c r="O160" s="2">
        <f t="shared" si="80"/>
        <v>75.046199999999999</v>
      </c>
      <c r="P160" s="2">
        <f t="shared" si="73"/>
        <v>9.1613971049999989</v>
      </c>
      <c r="Q160" s="2">
        <f t="shared" si="74"/>
        <v>3.8175180950000001</v>
      </c>
      <c r="R160" s="2">
        <f t="shared" si="75"/>
        <v>1.5159178119999999</v>
      </c>
      <c r="S160" s="2">
        <f t="shared" si="76"/>
        <v>4.9678573249999998</v>
      </c>
      <c r="T160" s="2">
        <f t="shared" si="77"/>
        <v>2.4824985420000001</v>
      </c>
      <c r="U160" s="2">
        <f t="shared" si="81"/>
        <v>2.4853587829999997</v>
      </c>
      <c r="V160" s="3">
        <f t="shared" si="82"/>
        <v>0.26583605690568468</v>
      </c>
      <c r="W160" s="3">
        <f t="shared" si="83"/>
        <v>0.34846606133064473</v>
      </c>
      <c r="X160" s="3">
        <f t="shared" si="84"/>
        <v>0.40108234942420479</v>
      </c>
      <c r="Y160" s="3">
        <f t="shared" si="85"/>
        <v>0.74954841075484957</v>
      </c>
      <c r="Z160" s="4" t="s">
        <v>776</v>
      </c>
      <c r="AA160" s="1">
        <v>0.13619999999999999</v>
      </c>
      <c r="AB160" s="1">
        <v>8.7099999999999997E-2</v>
      </c>
      <c r="AD160" s="2">
        <f t="shared" si="86"/>
        <v>117.02978095387981</v>
      </c>
      <c r="AE160" s="1">
        <v>0.77207161099999999</v>
      </c>
      <c r="AF160" s="4" t="s">
        <v>777</v>
      </c>
      <c r="AG160" s="1">
        <v>8.4258189999999993E-3</v>
      </c>
      <c r="AH160" s="1">
        <v>2.3528223000000001E-2</v>
      </c>
      <c r="AI160" s="4" t="s">
        <v>778</v>
      </c>
      <c r="AJ160" s="1">
        <v>0.101633394</v>
      </c>
      <c r="AK160" s="1">
        <v>3.639237E-3</v>
      </c>
      <c r="AL160" s="1">
        <v>1.6626854999999999E-2</v>
      </c>
      <c r="AM160" s="1">
        <v>6.9283449999999998E-3</v>
      </c>
      <c r="AN160" s="1">
        <v>2.7512119999999998E-3</v>
      </c>
      <c r="AO160" s="1">
        <v>9.0160750000000001E-3</v>
      </c>
      <c r="AP160" s="1">
        <v>4.5054420000000001E-3</v>
      </c>
    </row>
    <row r="161" spans="1:42">
      <c r="A161" s="1" t="s">
        <v>74</v>
      </c>
      <c r="B161" s="1" t="s">
        <v>86</v>
      </c>
      <c r="C161" s="1" t="s">
        <v>87</v>
      </c>
      <c r="D161" s="1">
        <v>540</v>
      </c>
      <c r="E161" s="1">
        <v>626</v>
      </c>
      <c r="F161" s="2">
        <f t="shared" si="78"/>
        <v>122.92028541306237</v>
      </c>
      <c r="G161" s="2">
        <f t="shared" si="66"/>
        <v>60.340577416542104</v>
      </c>
      <c r="H161" s="2">
        <f t="shared" si="67"/>
        <v>22.596727150632034</v>
      </c>
      <c r="I161" s="2">
        <f t="shared" si="68"/>
        <v>0</v>
      </c>
      <c r="J161" s="2">
        <f t="shared" si="69"/>
        <v>39.212499775999994</v>
      </c>
      <c r="K161" s="2">
        <f t="shared" si="70"/>
        <v>85.192752534000007</v>
      </c>
      <c r="L161" s="2">
        <f t="shared" si="71"/>
        <v>101.9999999999996</v>
      </c>
      <c r="M161" s="2">
        <f t="shared" si="79"/>
        <v>74.869600000000005</v>
      </c>
      <c r="N161" s="2">
        <f t="shared" si="72"/>
        <v>9.8336656060000003</v>
      </c>
      <c r="O161" s="2">
        <f t="shared" si="80"/>
        <v>168.08100000000002</v>
      </c>
      <c r="P161" s="2">
        <f t="shared" si="73"/>
        <v>5.9155641579999996</v>
      </c>
      <c r="Q161" s="2">
        <f t="shared" si="74"/>
        <v>4.01025616</v>
      </c>
      <c r="R161" s="2">
        <f t="shared" si="75"/>
        <v>0.49999997199999996</v>
      </c>
      <c r="S161" s="2">
        <f t="shared" si="76"/>
        <v>8.2395603620000006</v>
      </c>
      <c r="T161" s="2">
        <f t="shared" si="77"/>
        <v>2.2988291260000002</v>
      </c>
      <c r="U161" s="2">
        <f t="shared" si="81"/>
        <v>5.9407312360000004</v>
      </c>
      <c r="V161" s="3">
        <f t="shared" si="82"/>
        <v>0.22763015817233773</v>
      </c>
      <c r="W161" s="3">
        <f t="shared" si="83"/>
        <v>0.33964454045341691</v>
      </c>
      <c r="X161" s="3">
        <f t="shared" si="84"/>
        <v>0.48589635337371512</v>
      </c>
      <c r="Y161" s="3">
        <f t="shared" si="85"/>
        <v>0.82554089382713203</v>
      </c>
      <c r="Z161" s="1">
        <v>0.24859999999999999</v>
      </c>
      <c r="AA161" s="1">
        <v>0.26850000000000002</v>
      </c>
      <c r="AB161" s="1">
        <v>0.1196</v>
      </c>
      <c r="AD161" s="2">
        <f t="shared" si="86"/>
        <v>83.707785637062386</v>
      </c>
      <c r="AE161" s="4" t="s">
        <v>88</v>
      </c>
      <c r="AF161" s="4" t="s">
        <v>89</v>
      </c>
      <c r="AG161" s="1">
        <v>0</v>
      </c>
      <c r="AH161" s="1">
        <v>6.2639775999999994E-2</v>
      </c>
      <c r="AI161" s="1">
        <v>0.136090659</v>
      </c>
      <c r="AJ161" s="4" t="s">
        <v>90</v>
      </c>
      <c r="AK161" s="1">
        <v>1.5708731E-2</v>
      </c>
      <c r="AL161" s="1">
        <v>9.4497829999999998E-3</v>
      </c>
      <c r="AM161" s="1">
        <v>6.4061600000000002E-3</v>
      </c>
      <c r="AN161" s="1">
        <v>7.9872199999999997E-4</v>
      </c>
      <c r="AO161" s="1">
        <v>1.3162237E-2</v>
      </c>
      <c r="AP161" s="1">
        <v>3.6722510000000001E-3</v>
      </c>
    </row>
    <row r="162" spans="1:42">
      <c r="A162" s="1" t="s">
        <v>74</v>
      </c>
      <c r="B162" s="1" t="s">
        <v>848</v>
      </c>
      <c r="C162" s="1" t="s">
        <v>34</v>
      </c>
      <c r="D162" s="1">
        <v>518</v>
      </c>
      <c r="E162" s="1">
        <v>598</v>
      </c>
      <c r="F162" s="2">
        <f t="shared" si="78"/>
        <v>124.359736841188</v>
      </c>
      <c r="G162" s="2">
        <f t="shared" ref="G162:G193" si="87">$AD162*AE162</f>
        <v>88.930300067113166</v>
      </c>
      <c r="H162" s="2">
        <f t="shared" ref="H162:H193" si="88">$AD162*AF162</f>
        <v>23.470794547950771</v>
      </c>
      <c r="I162" s="2">
        <f t="shared" ref="I162:I193" si="89">$AD162*AG162</f>
        <v>1.0648561467501068</v>
      </c>
      <c r="J162" s="2">
        <f t="shared" ref="J162:J193" si="90">$E162*AH162</f>
        <v>10.222033796</v>
      </c>
      <c r="K162" s="2">
        <f t="shared" ref="K162:K193" si="91">$E162*AI162</f>
        <v>64.455890695260976</v>
      </c>
      <c r="L162" s="2">
        <f t="shared" ref="L162:L193" si="92">$E162*AJ162</f>
        <v>54.999999912</v>
      </c>
      <c r="M162" s="2">
        <f t="shared" si="79"/>
        <v>66.078999999999397</v>
      </c>
      <c r="N162" s="2">
        <f t="shared" ref="N162:N193" si="93">$E162*AK162</f>
        <v>0.974119874</v>
      </c>
      <c r="O162" s="2">
        <f t="shared" si="80"/>
        <v>114.6365999999994</v>
      </c>
      <c r="P162" s="2">
        <f t="shared" ref="P162:P193" si="94">$E162*AL162</f>
        <v>5.0440450840000004</v>
      </c>
      <c r="Q162" s="2">
        <f t="shared" ref="Q162:Q193" si="95">$E162*AM162</f>
        <v>3.0325423180000004</v>
      </c>
      <c r="R162" s="2">
        <f t="shared" ref="R162:R193" si="96">$E162*AN162</f>
        <v>3.5134682699999997</v>
      </c>
      <c r="S162" s="2">
        <f t="shared" ref="S162:S193" si="97">$E162*AO162</f>
        <v>5.8530613440000003</v>
      </c>
      <c r="T162" s="2">
        <f t="shared" ref="T162:T193" si="98">$E162*AP162</f>
        <v>1.023933274</v>
      </c>
      <c r="U162" s="2">
        <f t="shared" si="81"/>
        <v>4.8291280700000003</v>
      </c>
      <c r="V162" s="3">
        <f t="shared" si="82"/>
        <v>0.24007671204862546</v>
      </c>
      <c r="W162" s="3">
        <f t="shared" si="83"/>
        <v>0.33406170976337751</v>
      </c>
      <c r="X162" s="3">
        <f t="shared" si="84"/>
        <v>0.34740268877850394</v>
      </c>
      <c r="Y162" s="3">
        <f t="shared" si="85"/>
        <v>0.68146439854188146</v>
      </c>
      <c r="Z162" s="4" t="s">
        <v>849</v>
      </c>
      <c r="AA162" s="4" t="s">
        <v>850</v>
      </c>
      <c r="AB162" s="4" t="s">
        <v>851</v>
      </c>
      <c r="AD162" s="2">
        <f t="shared" si="86"/>
        <v>114.13770304518799</v>
      </c>
      <c r="AE162" s="4" t="s">
        <v>852</v>
      </c>
      <c r="AF162" s="4" t="s">
        <v>853</v>
      </c>
      <c r="AG162" s="1">
        <v>9.3295740000000002E-3</v>
      </c>
      <c r="AH162" s="1">
        <v>1.7093701999999999E-2</v>
      </c>
      <c r="AI162" s="4" t="s">
        <v>854</v>
      </c>
      <c r="AJ162" s="1">
        <v>9.1973243999999996E-2</v>
      </c>
      <c r="AK162" s="1">
        <v>1.628963E-3</v>
      </c>
      <c r="AL162" s="1">
        <v>8.4348579999999999E-3</v>
      </c>
      <c r="AM162" s="1">
        <v>5.0711410000000004E-3</v>
      </c>
      <c r="AN162" s="1">
        <v>5.8753649999999996E-3</v>
      </c>
      <c r="AO162" s="1">
        <v>9.7877280000000007E-3</v>
      </c>
      <c r="AP162" s="1">
        <v>1.7122629999999999E-3</v>
      </c>
    </row>
    <row r="163" spans="1:42">
      <c r="A163" s="1" t="s">
        <v>74</v>
      </c>
      <c r="B163" s="1" t="s">
        <v>314</v>
      </c>
      <c r="C163" s="1" t="s">
        <v>124</v>
      </c>
      <c r="D163" s="1">
        <v>546</v>
      </c>
      <c r="E163" s="1">
        <v>607</v>
      </c>
      <c r="F163" s="2">
        <f t="shared" si="78"/>
        <v>138.20578568659462</v>
      </c>
      <c r="G163" s="2">
        <f t="shared" si="87"/>
        <v>91.928504648340223</v>
      </c>
      <c r="H163" s="2">
        <f t="shared" si="88"/>
        <v>26.123080269600916</v>
      </c>
      <c r="I163" s="2">
        <f t="shared" si="89"/>
        <v>0.30752973576203224</v>
      </c>
      <c r="J163" s="2">
        <f t="shared" si="90"/>
        <v>20.319402696000001</v>
      </c>
      <c r="K163" s="2">
        <f t="shared" si="91"/>
        <v>72.04262821792544</v>
      </c>
      <c r="L163" s="2">
        <f t="shared" si="92"/>
        <v>85.999999999999446</v>
      </c>
      <c r="M163" s="2">
        <f t="shared" si="79"/>
        <v>51.230800000000002</v>
      </c>
      <c r="N163" s="2">
        <f t="shared" si="93"/>
        <v>5.7909159680000002</v>
      </c>
      <c r="O163" s="2">
        <f t="shared" si="80"/>
        <v>89.350399999999993</v>
      </c>
      <c r="P163" s="2">
        <f t="shared" si="94"/>
        <v>5.5375092500000003</v>
      </c>
      <c r="Q163" s="2">
        <f t="shared" si="95"/>
        <v>5.0265342220000004</v>
      </c>
      <c r="R163" s="2">
        <f t="shared" si="96"/>
        <v>0</v>
      </c>
      <c r="S163" s="2">
        <f t="shared" si="97"/>
        <v>17.215088152</v>
      </c>
      <c r="T163" s="2">
        <f t="shared" si="98"/>
        <v>3.5393714749999998</v>
      </c>
      <c r="U163" s="2">
        <f t="shared" si="81"/>
        <v>13.675716677</v>
      </c>
      <c r="V163" s="3">
        <f t="shared" si="82"/>
        <v>0.25312414960914764</v>
      </c>
      <c r="W163" s="3">
        <f t="shared" si="83"/>
        <v>0.33017940737739238</v>
      </c>
      <c r="X163" s="3">
        <f t="shared" si="84"/>
        <v>0.41460598018100392</v>
      </c>
      <c r="Y163" s="3">
        <f t="shared" si="85"/>
        <v>0.74478538755839629</v>
      </c>
      <c r="Z163" s="1">
        <v>0.2671</v>
      </c>
      <c r="AA163" s="1">
        <v>0.1472</v>
      </c>
      <c r="AB163" s="1">
        <v>8.4400000000000003E-2</v>
      </c>
      <c r="AD163" s="2">
        <f t="shared" si="86"/>
        <v>117.88638299059461</v>
      </c>
      <c r="AE163" s="1">
        <v>0.77980596499999999</v>
      </c>
      <c r="AF163" s="4" t="s">
        <v>315</v>
      </c>
      <c r="AG163" s="1">
        <v>2.6086960000000002E-3</v>
      </c>
      <c r="AH163" s="1">
        <v>3.3475128E-2</v>
      </c>
      <c r="AI163" s="4" t="s">
        <v>316</v>
      </c>
      <c r="AJ163" s="4" t="s">
        <v>317</v>
      </c>
      <c r="AK163" s="1">
        <v>9.5402239999999999E-3</v>
      </c>
      <c r="AL163" s="1">
        <v>9.1227500000000007E-3</v>
      </c>
      <c r="AM163" s="1">
        <v>8.2809460000000008E-3</v>
      </c>
      <c r="AN163" s="1">
        <v>0</v>
      </c>
      <c r="AO163" s="1">
        <v>2.8360936E-2</v>
      </c>
      <c r="AP163" s="1">
        <v>5.8309249999999998E-3</v>
      </c>
    </row>
    <row r="164" spans="1:42">
      <c r="A164" s="1" t="s">
        <v>74</v>
      </c>
      <c r="B164" s="1" t="s">
        <v>73</v>
      </c>
      <c r="C164" s="1" t="s">
        <v>20</v>
      </c>
      <c r="D164" s="1">
        <v>599</v>
      </c>
      <c r="E164" s="1">
        <v>659</v>
      </c>
      <c r="F164" s="2">
        <f t="shared" si="78"/>
        <v>163.5585237337518</v>
      </c>
      <c r="G164" s="2">
        <f t="shared" si="87"/>
        <v>103.92595735865986</v>
      </c>
      <c r="H164" s="2">
        <f t="shared" si="88"/>
        <v>26.915037829025451</v>
      </c>
      <c r="I164" s="2">
        <f t="shared" si="89"/>
        <v>2.987624425534229</v>
      </c>
      <c r="J164" s="2">
        <f t="shared" si="90"/>
        <v>28.292660503</v>
      </c>
      <c r="K164" s="2">
        <f t="shared" si="91"/>
        <v>93.156047110848945</v>
      </c>
      <c r="L164" s="2">
        <f t="shared" si="92"/>
        <v>90.999999999999702</v>
      </c>
      <c r="M164" s="2">
        <f t="shared" si="79"/>
        <v>47.447999999999993</v>
      </c>
      <c r="N164" s="2">
        <f t="shared" si="93"/>
        <v>4.6919541310000001</v>
      </c>
      <c r="O164" s="2">
        <f t="shared" si="80"/>
        <v>144.97999999999934</v>
      </c>
      <c r="P164" s="2">
        <f t="shared" si="94"/>
        <v>9.0318249910000006</v>
      </c>
      <c r="Q164" s="2">
        <f t="shared" si="95"/>
        <v>3.8244649829999999</v>
      </c>
      <c r="R164" s="2">
        <f t="shared" si="96"/>
        <v>0</v>
      </c>
      <c r="S164" s="2">
        <f t="shared" si="97"/>
        <v>27.655248025000002</v>
      </c>
      <c r="T164" s="2">
        <f t="shared" si="98"/>
        <v>6.681662287</v>
      </c>
      <c r="U164" s="2">
        <f t="shared" si="81"/>
        <v>20.973585738000004</v>
      </c>
      <c r="V164" s="3">
        <f t="shared" si="82"/>
        <v>0.27305262726836693</v>
      </c>
      <c r="W164" s="3">
        <f t="shared" si="83"/>
        <v>0.34311833787819296</v>
      </c>
      <c r="X164" s="3">
        <f t="shared" si="84"/>
        <v>0.46726134942456343</v>
      </c>
      <c r="Y164" s="3">
        <f t="shared" si="85"/>
        <v>0.81037968730275645</v>
      </c>
      <c r="Z164" s="4" t="s">
        <v>75</v>
      </c>
      <c r="AA164" s="4" t="s">
        <v>76</v>
      </c>
      <c r="AB164" s="1">
        <v>7.1999999999999995E-2</v>
      </c>
      <c r="AD164" s="2">
        <f t="shared" si="86"/>
        <v>135.26586323075179</v>
      </c>
      <c r="AE164" s="4" t="s">
        <v>77</v>
      </c>
      <c r="AF164" s="4" t="s">
        <v>78</v>
      </c>
      <c r="AG164" s="1">
        <v>2.2087053999999998E-2</v>
      </c>
      <c r="AH164" s="1">
        <v>4.2932717000000002E-2</v>
      </c>
      <c r="AI164" s="4" t="s">
        <v>79</v>
      </c>
      <c r="AJ164" s="4" t="s">
        <v>80</v>
      </c>
      <c r="AK164" s="1">
        <v>7.1198090000000004E-3</v>
      </c>
      <c r="AL164" s="1">
        <v>1.3705349E-2</v>
      </c>
      <c r="AM164" s="1">
        <v>5.8034369999999998E-3</v>
      </c>
      <c r="AN164" s="1">
        <v>0</v>
      </c>
      <c r="AO164" s="1">
        <v>4.1965475000000002E-2</v>
      </c>
      <c r="AP164" s="1">
        <v>1.0139093E-2</v>
      </c>
    </row>
    <row r="165" spans="1:42">
      <c r="A165" s="1" t="s">
        <v>74</v>
      </c>
      <c r="B165" s="1" t="s">
        <v>358</v>
      </c>
      <c r="C165" s="1" t="s">
        <v>20</v>
      </c>
      <c r="D165" s="1">
        <v>565</v>
      </c>
      <c r="E165" s="1">
        <v>654</v>
      </c>
      <c r="F165" s="2">
        <f t="shared" si="78"/>
        <v>131.14090990179997</v>
      </c>
      <c r="G165" s="2">
        <f t="shared" si="87"/>
        <v>79.901820233618594</v>
      </c>
      <c r="H165" s="2">
        <f t="shared" si="88"/>
        <v>25.410552185547424</v>
      </c>
      <c r="I165" s="2">
        <f t="shared" si="89"/>
        <v>1.8838724994427747</v>
      </c>
      <c r="J165" s="2">
        <f t="shared" si="90"/>
        <v>24.066409967999999</v>
      </c>
      <c r="K165" s="2">
        <f t="shared" si="91"/>
        <v>83.487660635712061</v>
      </c>
      <c r="L165" s="2">
        <f t="shared" si="92"/>
        <v>72.999999999999588</v>
      </c>
      <c r="M165" s="2">
        <f t="shared" si="79"/>
        <v>65.465399999999349</v>
      </c>
      <c r="N165" s="2">
        <f t="shared" si="93"/>
        <v>0.98544262199999999</v>
      </c>
      <c r="O165" s="2">
        <f t="shared" si="80"/>
        <v>172.52519999999998</v>
      </c>
      <c r="P165" s="2">
        <f t="shared" si="94"/>
        <v>18.094761474000002</v>
      </c>
      <c r="Q165" s="2">
        <f t="shared" si="95"/>
        <v>4.0246532159999999</v>
      </c>
      <c r="R165" s="2">
        <f t="shared" si="96"/>
        <v>0.500000004</v>
      </c>
      <c r="S165" s="2">
        <f t="shared" si="97"/>
        <v>24.031811405999999</v>
      </c>
      <c r="T165" s="2">
        <f t="shared" si="98"/>
        <v>7.4292699600000001</v>
      </c>
      <c r="U165" s="2">
        <f t="shared" si="81"/>
        <v>16.602541446</v>
      </c>
      <c r="V165" s="3">
        <f t="shared" si="82"/>
        <v>0.23210780513592916</v>
      </c>
      <c r="W165" s="3">
        <f t="shared" si="83"/>
        <v>0.33940964743789875</v>
      </c>
      <c r="X165" s="3">
        <f t="shared" si="84"/>
        <v>0.41175253446910054</v>
      </c>
      <c r="Y165" s="3">
        <f t="shared" si="85"/>
        <v>0.75116218190699935</v>
      </c>
      <c r="Z165" s="1">
        <v>0.28749999999999998</v>
      </c>
      <c r="AA165" s="4" t="s">
        <v>359</v>
      </c>
      <c r="AB165" s="4" t="s">
        <v>360</v>
      </c>
      <c r="AD165" s="2">
        <f t="shared" si="86"/>
        <v>107.07449993379998</v>
      </c>
      <c r="AE165" s="4" t="s">
        <v>361</v>
      </c>
      <c r="AF165" s="4" t="s">
        <v>362</v>
      </c>
      <c r="AG165" s="1">
        <v>1.7594035000000001E-2</v>
      </c>
      <c r="AH165" s="1">
        <v>3.6798791999999997E-2</v>
      </c>
      <c r="AI165" s="4" t="s">
        <v>363</v>
      </c>
      <c r="AJ165" s="4" t="s">
        <v>364</v>
      </c>
      <c r="AK165" s="1">
        <v>1.506793E-3</v>
      </c>
      <c r="AL165" s="1">
        <v>2.7667831E-2</v>
      </c>
      <c r="AM165" s="1">
        <v>6.153904E-3</v>
      </c>
      <c r="AN165" s="1">
        <v>7.6452599999999996E-4</v>
      </c>
      <c r="AO165" s="1">
        <v>3.6745888999999997E-2</v>
      </c>
      <c r="AP165" s="1">
        <v>1.135974E-2</v>
      </c>
    </row>
    <row r="166" spans="1:42">
      <c r="A166" s="1" t="s">
        <v>243</v>
      </c>
      <c r="B166" s="1" t="s">
        <v>982</v>
      </c>
      <c r="C166" s="1" t="s">
        <v>124</v>
      </c>
      <c r="D166" s="1">
        <v>361</v>
      </c>
      <c r="E166" s="1">
        <v>405</v>
      </c>
      <c r="F166" s="2">
        <f t="shared" si="78"/>
        <v>85.549993215272011</v>
      </c>
      <c r="G166" s="2">
        <f t="shared" si="87"/>
        <v>51.020181660240375</v>
      </c>
      <c r="H166" s="2">
        <f t="shared" si="88"/>
        <v>17.456517179617162</v>
      </c>
      <c r="I166" s="2">
        <f t="shared" si="89"/>
        <v>0.57142849859447054</v>
      </c>
      <c r="J166" s="2">
        <f t="shared" si="90"/>
        <v>16.799999400000001</v>
      </c>
      <c r="K166" s="2">
        <f t="shared" si="91"/>
        <v>42.340401</v>
      </c>
      <c r="L166" s="2">
        <f t="shared" si="92"/>
        <v>51.000000029999995</v>
      </c>
      <c r="M166" s="2">
        <f t="shared" si="79"/>
        <v>34.2999765</v>
      </c>
      <c r="N166" s="2">
        <f t="shared" si="93"/>
        <v>3.15801423</v>
      </c>
      <c r="O166" s="2">
        <f t="shared" si="80"/>
        <v>120.852</v>
      </c>
      <c r="P166" s="2">
        <f t="shared" si="94"/>
        <v>2.9724213599999998</v>
      </c>
      <c r="Q166" s="2">
        <f t="shared" si="95"/>
        <v>3.4000001100000001</v>
      </c>
      <c r="R166" s="2">
        <f t="shared" si="96"/>
        <v>0</v>
      </c>
      <c r="S166" s="2">
        <f t="shared" si="97"/>
        <v>1.5616071</v>
      </c>
      <c r="T166" s="2">
        <f t="shared" si="98"/>
        <v>0.65200909499999993</v>
      </c>
      <c r="U166" s="2">
        <f t="shared" si="81"/>
        <v>0.9095980050000001</v>
      </c>
      <c r="V166" s="3">
        <f t="shared" si="82"/>
        <v>0.23698059062402219</v>
      </c>
      <c r="W166" s="3">
        <f t="shared" si="83"/>
        <v>0.3134948369246966</v>
      </c>
      <c r="X166" s="3">
        <f t="shared" si="84"/>
        <v>0.42894044076248788</v>
      </c>
      <c r="Y166" s="3">
        <f t="shared" si="85"/>
        <v>0.74243527768718454</v>
      </c>
      <c r="Z166" s="1">
        <v>0.30320000000000003</v>
      </c>
      <c r="AA166" s="1">
        <v>0.2984</v>
      </c>
      <c r="AB166" s="1">
        <v>8.4691299999999997E-2</v>
      </c>
      <c r="AD166" s="2">
        <f t="shared" si="86"/>
        <v>68.749993815272006</v>
      </c>
      <c r="AE166" s="1">
        <v>0.74211179999999999</v>
      </c>
      <c r="AF166" s="1">
        <v>0.253913</v>
      </c>
      <c r="AG166" s="1">
        <v>8.3116879999999994E-3</v>
      </c>
      <c r="AH166" s="1">
        <v>4.1481480000000001E-2</v>
      </c>
      <c r="AI166" s="1">
        <v>0.1045442</v>
      </c>
      <c r="AJ166" s="1">
        <v>0.12592592599999999</v>
      </c>
      <c r="AK166" s="1">
        <v>7.7975659999999997E-3</v>
      </c>
      <c r="AL166" s="1">
        <v>7.3393119999999997E-3</v>
      </c>
      <c r="AM166" s="1">
        <v>8.395062E-3</v>
      </c>
      <c r="AN166" s="1">
        <v>0</v>
      </c>
      <c r="AO166" s="1">
        <v>3.8558199999999998E-3</v>
      </c>
      <c r="AP166" s="1">
        <v>1.6098989999999999E-3</v>
      </c>
    </row>
    <row r="167" spans="1:42">
      <c r="A167" s="1" t="s">
        <v>243</v>
      </c>
      <c r="B167" s="1" t="s">
        <v>1194</v>
      </c>
      <c r="C167" s="1" t="s">
        <v>20</v>
      </c>
      <c r="D167" s="1">
        <v>554</v>
      </c>
      <c r="E167" s="1">
        <v>613</v>
      </c>
      <c r="F167" s="2">
        <f t="shared" si="78"/>
        <v>143.2484354104111</v>
      </c>
      <c r="G167" s="2">
        <f t="shared" si="87"/>
        <v>90.337340983290275</v>
      </c>
      <c r="H167" s="2">
        <f t="shared" si="88"/>
        <v>26.126146291448414</v>
      </c>
      <c r="I167" s="2">
        <f t="shared" si="89"/>
        <v>2.1126786378837163</v>
      </c>
      <c r="J167" s="2">
        <f t="shared" si="90"/>
        <v>24.013509060955467</v>
      </c>
      <c r="K167" s="2">
        <f t="shared" si="91"/>
        <v>74.87489486017121</v>
      </c>
      <c r="L167" s="2">
        <f t="shared" si="92"/>
        <v>70.999999999999673</v>
      </c>
      <c r="M167" s="2">
        <f t="shared" si="79"/>
        <v>45.7911</v>
      </c>
      <c r="N167" s="2">
        <f t="shared" si="93"/>
        <v>1.7285275920000001</v>
      </c>
      <c r="O167" s="2">
        <f t="shared" si="80"/>
        <v>144.36149999999998</v>
      </c>
      <c r="P167" s="2">
        <f t="shared" si="94"/>
        <v>8.6010403929999999</v>
      </c>
      <c r="Q167" s="2">
        <f t="shared" si="95"/>
        <v>4.031631118</v>
      </c>
      <c r="R167" s="2">
        <f t="shared" si="96"/>
        <v>0.50000019299999998</v>
      </c>
      <c r="S167" s="2">
        <f t="shared" si="97"/>
        <v>6.2652173790000001</v>
      </c>
      <c r="T167" s="2">
        <f t="shared" si="98"/>
        <v>2.5191486330000004</v>
      </c>
      <c r="U167" s="2">
        <f t="shared" si="81"/>
        <v>3.7460687459999997</v>
      </c>
      <c r="V167" s="3">
        <f t="shared" si="82"/>
        <v>0.25857118305128357</v>
      </c>
      <c r="W167" s="3">
        <f t="shared" si="83"/>
        <v>0.32923571791449202</v>
      </c>
      <c r="X167" s="3">
        <f t="shared" si="84"/>
        <v>0.44220524498855618</v>
      </c>
      <c r="Y167" s="3">
        <f t="shared" si="85"/>
        <v>0.7714409629030482</v>
      </c>
      <c r="Z167" s="1">
        <v>0.30599999999999999</v>
      </c>
      <c r="AA167" s="4" t="s">
        <v>1195</v>
      </c>
      <c r="AB167" s="1">
        <v>7.4700000000000003E-2</v>
      </c>
      <c r="AD167" s="2">
        <f t="shared" si="86"/>
        <v>119.23492634945563</v>
      </c>
      <c r="AE167" s="4" t="s">
        <v>1197</v>
      </c>
      <c r="AF167" s="4" t="s">
        <v>1198</v>
      </c>
      <c r="AG167" s="4" t="s">
        <v>1199</v>
      </c>
      <c r="AH167" s="4" t="s">
        <v>1196</v>
      </c>
      <c r="AI167" s="4" t="s">
        <v>1200</v>
      </c>
      <c r="AJ167" s="4" t="s">
        <v>1201</v>
      </c>
      <c r="AK167" s="1">
        <v>2.8197840000000001E-3</v>
      </c>
      <c r="AL167" s="1">
        <v>1.4031060999999999E-2</v>
      </c>
      <c r="AM167" s="1">
        <v>6.5768859999999997E-3</v>
      </c>
      <c r="AN167" s="1">
        <v>8.1566099999999997E-4</v>
      </c>
      <c r="AO167" s="1">
        <v>1.0220583E-2</v>
      </c>
      <c r="AP167" s="1">
        <v>4.1095410000000004E-3</v>
      </c>
    </row>
    <row r="168" spans="1:42">
      <c r="A168" s="1" t="s">
        <v>243</v>
      </c>
      <c r="B168" s="1" t="s">
        <v>1034</v>
      </c>
      <c r="C168" s="1" t="s">
        <v>20</v>
      </c>
      <c r="D168" s="1">
        <v>516</v>
      </c>
      <c r="E168" s="1">
        <v>568</v>
      </c>
      <c r="F168" s="2">
        <f t="shared" si="78"/>
        <v>139.01234312791198</v>
      </c>
      <c r="G168" s="2">
        <f t="shared" si="87"/>
        <v>95.230829415998315</v>
      </c>
      <c r="H168" s="2">
        <f t="shared" si="88"/>
        <v>31.777669472505849</v>
      </c>
      <c r="I168" s="2">
        <f t="shared" si="89"/>
        <v>6.086036828061709</v>
      </c>
      <c r="J168" s="2">
        <f t="shared" si="90"/>
        <v>7.201431168</v>
      </c>
      <c r="K168" s="2">
        <f t="shared" si="91"/>
        <v>64.42030396761713</v>
      </c>
      <c r="L168" s="2">
        <f t="shared" si="92"/>
        <v>55.000000047999997</v>
      </c>
      <c r="M168" s="2">
        <f t="shared" si="79"/>
        <v>42.372799999999998</v>
      </c>
      <c r="N168" s="2">
        <f t="shared" si="93"/>
        <v>0.98107572799999998</v>
      </c>
      <c r="O168" s="2">
        <f t="shared" si="80"/>
        <v>60.5488</v>
      </c>
      <c r="P168" s="2">
        <f t="shared" si="94"/>
        <v>5.0674960640000002</v>
      </c>
      <c r="Q168" s="2">
        <f t="shared" si="95"/>
        <v>4.8644008479999998</v>
      </c>
      <c r="R168" s="2">
        <f t="shared" si="96"/>
        <v>1.0191953440000001</v>
      </c>
      <c r="S168" s="2">
        <f t="shared" si="97"/>
        <v>9.0374383439999999</v>
      </c>
      <c r="T168" s="2">
        <f t="shared" si="98"/>
        <v>3.5576606159999997</v>
      </c>
      <c r="U168" s="2">
        <f t="shared" si="81"/>
        <v>5.4797777280000002</v>
      </c>
      <c r="V168" s="3">
        <f t="shared" si="82"/>
        <v>0.26940376575176739</v>
      </c>
      <c r="W168" s="3">
        <f t="shared" si="83"/>
        <v>0.33220071504483567</v>
      </c>
      <c r="X168" s="3">
        <f t="shared" si="84"/>
        <v>0.39893411534340145</v>
      </c>
      <c r="Y168" s="3">
        <f t="shared" si="85"/>
        <v>0.73113483038823712</v>
      </c>
      <c r="Z168" s="1">
        <v>0.29089999999999999</v>
      </c>
      <c r="AA168" s="1">
        <v>0.1066</v>
      </c>
      <c r="AB168" s="1">
        <v>7.46E-2</v>
      </c>
      <c r="AD168" s="2">
        <f t="shared" si="86"/>
        <v>131.81091195991198</v>
      </c>
      <c r="AE168" s="4" t="s">
        <v>1035</v>
      </c>
      <c r="AF168" s="4" t="s">
        <v>1036</v>
      </c>
      <c r="AG168" s="1">
        <v>4.6172481000000001E-2</v>
      </c>
      <c r="AH168" s="1">
        <v>1.2678576E-2</v>
      </c>
      <c r="AI168" s="4" t="s">
        <v>1037</v>
      </c>
      <c r="AJ168" s="1">
        <v>9.6830985999999994E-2</v>
      </c>
      <c r="AK168" s="1">
        <v>1.727246E-3</v>
      </c>
      <c r="AL168" s="1">
        <v>8.9216480000000008E-3</v>
      </c>
      <c r="AM168" s="1">
        <v>8.5640860000000003E-3</v>
      </c>
      <c r="AN168" s="1">
        <v>1.794358E-3</v>
      </c>
      <c r="AO168" s="1">
        <v>1.5910983E-2</v>
      </c>
      <c r="AP168" s="1">
        <v>6.2634869999999999E-3</v>
      </c>
    </row>
    <row r="169" spans="1:42">
      <c r="A169" s="1" t="s">
        <v>243</v>
      </c>
      <c r="B169" s="1" t="s">
        <v>883</v>
      </c>
      <c r="C169" s="1" t="s">
        <v>884</v>
      </c>
      <c r="D169" s="1">
        <v>560</v>
      </c>
      <c r="E169" s="1">
        <v>605</v>
      </c>
      <c r="F169" s="2">
        <f t="shared" si="78"/>
        <v>164.62962830721096</v>
      </c>
      <c r="G169" s="2">
        <f t="shared" si="87"/>
        <v>134.89117611039106</v>
      </c>
      <c r="H169" s="2">
        <f t="shared" si="88"/>
        <v>25.881661262081781</v>
      </c>
      <c r="I169" s="2">
        <f t="shared" si="89"/>
        <v>3.0102367900950102</v>
      </c>
      <c r="J169" s="2">
        <f t="shared" si="90"/>
        <v>0.399999985</v>
      </c>
      <c r="K169" s="2">
        <f t="shared" si="91"/>
        <v>68.523973215940714</v>
      </c>
      <c r="L169" s="2">
        <f t="shared" si="92"/>
        <v>53.999999789999997</v>
      </c>
      <c r="M169" s="2">
        <f t="shared" si="79"/>
        <v>32.307000000000002</v>
      </c>
      <c r="N169" s="2">
        <f t="shared" si="93"/>
        <v>2.1303024050000001</v>
      </c>
      <c r="O169" s="2">
        <f t="shared" si="80"/>
        <v>25.2285</v>
      </c>
      <c r="P169" s="2">
        <f t="shared" si="94"/>
        <v>3.969496355</v>
      </c>
      <c r="Q169" s="2">
        <f t="shared" si="95"/>
        <v>4.7933992699999992</v>
      </c>
      <c r="R169" s="2">
        <f t="shared" si="96"/>
        <v>6.2677469135801571</v>
      </c>
      <c r="S169" s="2">
        <f t="shared" si="97"/>
        <v>8.0046551749999999</v>
      </c>
      <c r="T169" s="2">
        <f t="shared" si="98"/>
        <v>2.9764245499999999</v>
      </c>
      <c r="U169" s="2">
        <f t="shared" si="81"/>
        <v>5.028230625</v>
      </c>
      <c r="V169" s="3">
        <f t="shared" si="82"/>
        <v>0.2939814791200196</v>
      </c>
      <c r="W169" s="3">
        <f t="shared" si="83"/>
        <v>0.33882847874728927</v>
      </c>
      <c r="X169" s="3">
        <f t="shared" si="84"/>
        <v>0.35229501597292795</v>
      </c>
      <c r="Y169" s="3">
        <f t="shared" si="85"/>
        <v>0.69112349472021717</v>
      </c>
      <c r="Z169" s="1">
        <v>0.30459999999999998</v>
      </c>
      <c r="AA169" s="1">
        <v>4.1700000000000001E-2</v>
      </c>
      <c r="AB169" s="1">
        <v>5.3400000000000003E-2</v>
      </c>
      <c r="AD169" s="2">
        <f t="shared" si="86"/>
        <v>164.22962832221097</v>
      </c>
      <c r="AE169" s="4" t="s">
        <v>885</v>
      </c>
      <c r="AF169" s="4" t="s">
        <v>886</v>
      </c>
      <c r="AG169" s="1">
        <v>1.8329438E-2</v>
      </c>
      <c r="AH169" s="1">
        <v>6.61157E-4</v>
      </c>
      <c r="AI169" s="4" t="s">
        <v>887</v>
      </c>
      <c r="AJ169" s="1">
        <v>8.9256197999999995E-2</v>
      </c>
      <c r="AK169" s="1">
        <v>3.5211610000000001E-3</v>
      </c>
      <c r="AL169" s="1">
        <v>6.5611510000000003E-3</v>
      </c>
      <c r="AM169" s="1">
        <v>7.9229739999999993E-3</v>
      </c>
      <c r="AN169" s="4" t="s">
        <v>888</v>
      </c>
      <c r="AO169" s="1">
        <v>1.3230835E-2</v>
      </c>
      <c r="AP169" s="1">
        <v>4.9197099999999999E-3</v>
      </c>
    </row>
    <row r="170" spans="1:42">
      <c r="A170" s="1" t="s">
        <v>243</v>
      </c>
      <c r="B170" s="1" t="s">
        <v>576</v>
      </c>
      <c r="C170" s="1" t="s">
        <v>49</v>
      </c>
      <c r="D170" s="1">
        <v>531</v>
      </c>
      <c r="E170" s="1">
        <v>612</v>
      </c>
      <c r="F170" s="2">
        <f t="shared" si="78"/>
        <v>127.2336665903058</v>
      </c>
      <c r="G170" s="2">
        <f t="shared" si="87"/>
        <v>71.578272405299586</v>
      </c>
      <c r="H170" s="2">
        <f t="shared" si="88"/>
        <v>27.56895697225216</v>
      </c>
      <c r="I170" s="2">
        <f t="shared" si="89"/>
        <v>2.1967073297344797</v>
      </c>
      <c r="J170" s="2">
        <f t="shared" si="90"/>
        <v>26.049253731343249</v>
      </c>
      <c r="K170" s="2">
        <f t="shared" si="91"/>
        <v>81.268576759061631</v>
      </c>
      <c r="L170" s="2">
        <f t="shared" si="92"/>
        <v>73.999999999999659</v>
      </c>
      <c r="M170" s="2">
        <f t="shared" si="79"/>
        <v>68.911199999999397</v>
      </c>
      <c r="N170" s="2">
        <f t="shared" si="93"/>
        <v>0.99399142799999995</v>
      </c>
      <c r="O170" s="2">
        <f t="shared" si="80"/>
        <v>150.49080000000001</v>
      </c>
      <c r="P170" s="2">
        <f t="shared" si="94"/>
        <v>7.1458675543670687</v>
      </c>
      <c r="Q170" s="2">
        <f t="shared" si="95"/>
        <v>4.8597016680000005</v>
      </c>
      <c r="R170" s="2">
        <f t="shared" si="96"/>
        <v>0</v>
      </c>
      <c r="S170" s="2">
        <f t="shared" si="97"/>
        <v>9.2249999999999357</v>
      </c>
      <c r="T170" s="2">
        <f t="shared" si="98"/>
        <v>2.8949081039999998</v>
      </c>
      <c r="U170" s="2">
        <f t="shared" si="81"/>
        <v>6.3300918959999359</v>
      </c>
      <c r="V170" s="3">
        <f t="shared" si="82"/>
        <v>0.23961142484050058</v>
      </c>
      <c r="W170" s="3">
        <f t="shared" si="83"/>
        <v>0.33723434273088182</v>
      </c>
      <c r="X170" s="3">
        <f t="shared" si="84"/>
        <v>0.44727556170316446</v>
      </c>
      <c r="Y170" s="3">
        <f t="shared" si="85"/>
        <v>0.78450990443404622</v>
      </c>
      <c r="Z170" s="1">
        <v>0.28160000000000002</v>
      </c>
      <c r="AA170" s="1">
        <v>0.24590000000000001</v>
      </c>
      <c r="AB170" s="4" t="s">
        <v>577</v>
      </c>
      <c r="AD170" s="2">
        <f t="shared" si="86"/>
        <v>101.18441285896255</v>
      </c>
      <c r="AE170" s="4" t="s">
        <v>579</v>
      </c>
      <c r="AF170" s="4" t="s">
        <v>580</v>
      </c>
      <c r="AG170" s="1">
        <v>2.1709938000000002E-2</v>
      </c>
      <c r="AH170" s="4" t="s">
        <v>578</v>
      </c>
      <c r="AI170" s="4" t="s">
        <v>581</v>
      </c>
      <c r="AJ170" s="4" t="s">
        <v>582</v>
      </c>
      <c r="AK170" s="1">
        <v>1.624169E-3</v>
      </c>
      <c r="AL170" s="4" t="s">
        <v>583</v>
      </c>
      <c r="AM170" s="1">
        <v>7.9406890000000008E-3</v>
      </c>
      <c r="AN170" s="1">
        <v>0</v>
      </c>
      <c r="AO170" s="4" t="s">
        <v>584</v>
      </c>
      <c r="AP170" s="1">
        <v>4.730242E-3</v>
      </c>
    </row>
    <row r="171" spans="1:42">
      <c r="A171" s="1" t="s">
        <v>243</v>
      </c>
      <c r="B171" s="1" t="s">
        <v>242</v>
      </c>
      <c r="C171" s="1" t="s">
        <v>124</v>
      </c>
      <c r="D171" s="1">
        <v>562</v>
      </c>
      <c r="E171" s="1">
        <v>656</v>
      </c>
      <c r="F171" s="2">
        <f t="shared" si="78"/>
        <v>142.11547287078679</v>
      </c>
      <c r="G171" s="2">
        <f t="shared" si="87"/>
        <v>82.069542830665824</v>
      </c>
      <c r="H171" s="2">
        <f t="shared" si="88"/>
        <v>27.487406689696702</v>
      </c>
      <c r="I171" s="2">
        <f t="shared" si="89"/>
        <v>1.009751314091156</v>
      </c>
      <c r="J171" s="2">
        <f t="shared" si="90"/>
        <v>32.165846111999997</v>
      </c>
      <c r="K171" s="2">
        <f t="shared" si="91"/>
        <v>88.501529490917079</v>
      </c>
      <c r="L171" s="2">
        <f t="shared" si="92"/>
        <v>91.99999999999973</v>
      </c>
      <c r="M171" s="2">
        <f t="shared" si="79"/>
        <v>82.393599999999992</v>
      </c>
      <c r="N171" s="2">
        <f t="shared" si="93"/>
        <v>10.326540767999999</v>
      </c>
      <c r="O171" s="2">
        <f t="shared" si="80"/>
        <v>158.096</v>
      </c>
      <c r="P171" s="2">
        <f t="shared" si="94"/>
        <v>6.02422184</v>
      </c>
      <c r="Q171" s="2">
        <f t="shared" si="95"/>
        <v>4.0295383840000003</v>
      </c>
      <c r="R171" s="2">
        <f t="shared" si="96"/>
        <v>0.49999991999999999</v>
      </c>
      <c r="S171" s="2">
        <f t="shared" si="97"/>
        <v>2.2518951520000003</v>
      </c>
      <c r="T171" s="2">
        <f t="shared" si="98"/>
        <v>0.99301409600000001</v>
      </c>
      <c r="U171" s="2">
        <f t="shared" si="81"/>
        <v>1.2588810560000003</v>
      </c>
      <c r="V171" s="3">
        <f t="shared" si="82"/>
        <v>0.252874506887521</v>
      </c>
      <c r="W171" s="3">
        <f t="shared" si="83"/>
        <v>0.36563180689339014</v>
      </c>
      <c r="X171" s="3">
        <f t="shared" si="84"/>
        <v>0.4781797056945421</v>
      </c>
      <c r="Y171" s="3">
        <f t="shared" si="85"/>
        <v>0.84381151258793219</v>
      </c>
      <c r="Z171" s="4" t="s">
        <v>229</v>
      </c>
      <c r="AA171" s="1">
        <v>0.24099999999999999</v>
      </c>
      <c r="AB171" s="1">
        <v>0.12559999999999999</v>
      </c>
      <c r="AD171" s="2">
        <f t="shared" si="86"/>
        <v>109.94962675878681</v>
      </c>
      <c r="AE171" s="4" t="s">
        <v>244</v>
      </c>
      <c r="AF171" s="1">
        <v>0.25</v>
      </c>
      <c r="AG171" s="1">
        <v>9.1837629999999993E-3</v>
      </c>
      <c r="AH171" s="1">
        <v>4.9033302000000001E-2</v>
      </c>
      <c r="AI171" s="4" t="s">
        <v>245</v>
      </c>
      <c r="AJ171" s="4" t="s">
        <v>246</v>
      </c>
      <c r="AK171" s="1">
        <v>1.5741677999999999E-2</v>
      </c>
      <c r="AL171" s="1">
        <v>9.1832649999999995E-3</v>
      </c>
      <c r="AM171" s="1">
        <v>6.1425890000000004E-3</v>
      </c>
      <c r="AN171" s="1">
        <v>7.6219500000000002E-4</v>
      </c>
      <c r="AO171" s="1">
        <v>3.4327670000000002E-3</v>
      </c>
      <c r="AP171" s="1">
        <v>1.5137410000000001E-3</v>
      </c>
    </row>
    <row r="172" spans="1:42">
      <c r="A172" s="1" t="s">
        <v>243</v>
      </c>
      <c r="B172" s="1" t="s">
        <v>495</v>
      </c>
      <c r="C172" s="1" t="s">
        <v>34</v>
      </c>
      <c r="D172" s="1">
        <v>570</v>
      </c>
      <c r="E172" s="1">
        <v>649</v>
      </c>
      <c r="F172" s="2">
        <f t="shared" si="78"/>
        <v>136.79999149549201</v>
      </c>
      <c r="G172" s="2">
        <f t="shared" si="87"/>
        <v>78.002416132311652</v>
      </c>
      <c r="H172" s="2">
        <f t="shared" si="88"/>
        <v>28.531486618729389</v>
      </c>
      <c r="I172" s="2">
        <f t="shared" si="89"/>
        <v>1.3531455336468559</v>
      </c>
      <c r="J172" s="2">
        <f t="shared" si="90"/>
        <v>28.961860587</v>
      </c>
      <c r="K172" s="2">
        <f t="shared" si="91"/>
        <v>82.426424632667377</v>
      </c>
      <c r="L172" s="2">
        <f t="shared" si="92"/>
        <v>83.999999999999631</v>
      </c>
      <c r="M172" s="2">
        <f t="shared" si="79"/>
        <v>68.988699999999355</v>
      </c>
      <c r="N172" s="2">
        <f t="shared" si="93"/>
        <v>1.9573749140000001</v>
      </c>
      <c r="O172" s="2">
        <f t="shared" si="80"/>
        <v>158.35599999999999</v>
      </c>
      <c r="P172" s="2">
        <f t="shared" si="94"/>
        <v>4.0142681369999993</v>
      </c>
      <c r="Q172" s="2">
        <f t="shared" si="95"/>
        <v>5.2248063010000001</v>
      </c>
      <c r="R172" s="2">
        <f t="shared" si="96"/>
        <v>0</v>
      </c>
      <c r="S172" s="2">
        <f t="shared" si="97"/>
        <v>11.474668512999999</v>
      </c>
      <c r="T172" s="2">
        <f t="shared" si="98"/>
        <v>3.7677636590000003</v>
      </c>
      <c r="U172" s="2">
        <f t="shared" si="81"/>
        <v>7.7069048539999994</v>
      </c>
      <c r="V172" s="3">
        <f t="shared" si="82"/>
        <v>0.23999998507981055</v>
      </c>
      <c r="W172" s="3">
        <f t="shared" si="83"/>
        <v>0.32771568744836826</v>
      </c>
      <c r="X172" s="3">
        <f t="shared" si="84"/>
        <v>0.44731976898019471</v>
      </c>
      <c r="Y172" s="3">
        <f t="shared" si="85"/>
        <v>0.77503545642856297</v>
      </c>
      <c r="Z172" s="1">
        <v>0.27800000000000002</v>
      </c>
      <c r="AA172" s="1">
        <v>0.24399999999999999</v>
      </c>
      <c r="AB172" s="4" t="s">
        <v>448</v>
      </c>
      <c r="AD172" s="2">
        <f t="shared" si="86"/>
        <v>107.838130908492</v>
      </c>
      <c r="AE172" s="4" t="s">
        <v>496</v>
      </c>
      <c r="AF172" s="4" t="s">
        <v>497</v>
      </c>
      <c r="AG172" s="1">
        <v>1.2547931999999999E-2</v>
      </c>
      <c r="AH172" s="1">
        <v>4.4625363000000001E-2</v>
      </c>
      <c r="AI172" s="4" t="s">
        <v>498</v>
      </c>
      <c r="AJ172" s="4" t="s">
        <v>499</v>
      </c>
      <c r="AK172" s="1">
        <v>3.015986E-3</v>
      </c>
      <c r="AL172" s="1">
        <v>6.1853129999999996E-3</v>
      </c>
      <c r="AM172" s="1">
        <v>8.0505490000000006E-3</v>
      </c>
      <c r="AN172" s="1">
        <v>0</v>
      </c>
      <c r="AO172" s="1">
        <v>1.7680537E-2</v>
      </c>
      <c r="AP172" s="1">
        <v>5.8054910000000003E-3</v>
      </c>
    </row>
    <row r="173" spans="1:42">
      <c r="A173" s="1" t="s">
        <v>692</v>
      </c>
      <c r="B173" s="1" t="s">
        <v>711</v>
      </c>
      <c r="C173" s="1" t="s">
        <v>391</v>
      </c>
      <c r="D173" s="1">
        <v>525</v>
      </c>
      <c r="E173" s="1">
        <v>574</v>
      </c>
      <c r="F173" s="2">
        <f t="shared" si="78"/>
        <v>139.71050195705121</v>
      </c>
      <c r="G173" s="2">
        <f t="shared" si="87"/>
        <v>93.342100836498233</v>
      </c>
      <c r="H173" s="2">
        <f t="shared" si="88"/>
        <v>25.360535198528421</v>
      </c>
      <c r="I173" s="2">
        <f t="shared" si="89"/>
        <v>1.0042005495972055</v>
      </c>
      <c r="J173" s="2">
        <f t="shared" si="90"/>
        <v>20.126315832</v>
      </c>
      <c r="K173" s="2">
        <f t="shared" si="91"/>
        <v>65.461917584659034</v>
      </c>
      <c r="L173" s="2">
        <f t="shared" si="92"/>
        <v>72.999999799999998</v>
      </c>
      <c r="M173" s="2">
        <f t="shared" si="79"/>
        <v>39.2042</v>
      </c>
      <c r="N173" s="2">
        <f t="shared" si="93"/>
        <v>0.20140339799999998</v>
      </c>
      <c r="O173" s="2">
        <f t="shared" si="80"/>
        <v>79.7286</v>
      </c>
      <c r="P173" s="2">
        <f t="shared" si="94"/>
        <v>3.941747544</v>
      </c>
      <c r="Q173" s="2">
        <f t="shared" si="95"/>
        <v>5.633684294</v>
      </c>
      <c r="R173" s="2">
        <f t="shared" si="96"/>
        <v>1.0415092239999999</v>
      </c>
      <c r="S173" s="2">
        <f t="shared" si="97"/>
        <v>5.8883721119999999</v>
      </c>
      <c r="T173" s="2">
        <f t="shared" si="98"/>
        <v>1.990087274</v>
      </c>
      <c r="U173" s="2">
        <f t="shared" si="81"/>
        <v>3.8982848379999999</v>
      </c>
      <c r="V173" s="3">
        <f t="shared" si="82"/>
        <v>0.26611524182295471</v>
      </c>
      <c r="W173" s="3">
        <f t="shared" si="83"/>
        <v>0.32113199362139377</v>
      </c>
      <c r="X173" s="3">
        <f t="shared" si="84"/>
        <v>0.43348768801970794</v>
      </c>
      <c r="Y173" s="3">
        <f t="shared" si="85"/>
        <v>0.75461968164110171</v>
      </c>
      <c r="Z173" s="1">
        <v>0.27760000000000001</v>
      </c>
      <c r="AA173" s="4" t="s">
        <v>712</v>
      </c>
      <c r="AB173" s="1">
        <v>6.83E-2</v>
      </c>
      <c r="AD173" s="2">
        <f t="shared" si="86"/>
        <v>119.5841861250512</v>
      </c>
      <c r="AE173" s="4" t="s">
        <v>713</v>
      </c>
      <c r="AF173" s="4" t="s">
        <v>714</v>
      </c>
      <c r="AG173" s="1">
        <v>8.3974359999999994E-3</v>
      </c>
      <c r="AH173" s="1">
        <v>3.5063268000000002E-2</v>
      </c>
      <c r="AI173" s="4" t="s">
        <v>715</v>
      </c>
      <c r="AJ173" s="1">
        <v>0.1271777</v>
      </c>
      <c r="AK173" s="1">
        <v>3.5087699999999998E-4</v>
      </c>
      <c r="AL173" s="1">
        <v>6.8671560000000001E-3</v>
      </c>
      <c r="AM173" s="1">
        <v>9.8147809999999999E-3</v>
      </c>
      <c r="AN173" s="1">
        <v>1.814476E-3</v>
      </c>
      <c r="AO173" s="1">
        <v>1.0258488E-2</v>
      </c>
      <c r="AP173" s="1">
        <v>3.4670510000000001E-3</v>
      </c>
    </row>
    <row r="174" spans="1:42">
      <c r="A174" s="1" t="s">
        <v>692</v>
      </c>
      <c r="B174" s="1" t="s">
        <v>691</v>
      </c>
      <c r="C174" s="1" t="s">
        <v>87</v>
      </c>
      <c r="D174" s="1">
        <v>469</v>
      </c>
      <c r="E174" s="1">
        <v>538</v>
      </c>
      <c r="F174" s="2">
        <f t="shared" si="78"/>
        <v>125.60585165242337</v>
      </c>
      <c r="G174" s="2">
        <f t="shared" si="87"/>
        <v>84.805246352228622</v>
      </c>
      <c r="H174" s="2">
        <f t="shared" si="88"/>
        <v>22.474706601781655</v>
      </c>
      <c r="I174" s="2">
        <f t="shared" si="89"/>
        <v>1.0261502862283072</v>
      </c>
      <c r="J174" s="2">
        <f t="shared" si="90"/>
        <v>17.43881453154869</v>
      </c>
      <c r="K174" s="2">
        <f t="shared" si="91"/>
        <v>68.142811375559504</v>
      </c>
      <c r="L174" s="2">
        <f t="shared" si="92"/>
        <v>65.000000071999992</v>
      </c>
      <c r="M174" s="2">
        <f t="shared" si="79"/>
        <v>51.755599999999994</v>
      </c>
      <c r="N174" s="2">
        <f t="shared" si="93"/>
        <v>1.001168504</v>
      </c>
      <c r="O174" s="2">
        <f t="shared" si="80"/>
        <v>105.3404</v>
      </c>
      <c r="P174" s="2">
        <f t="shared" si="94"/>
        <v>9.8984102159999985</v>
      </c>
      <c r="Q174" s="2">
        <f t="shared" si="95"/>
        <v>3.268833662</v>
      </c>
      <c r="R174" s="2">
        <f t="shared" si="96"/>
        <v>0.49999998400000001</v>
      </c>
      <c r="S174" s="2">
        <f t="shared" si="97"/>
        <v>8.980698962</v>
      </c>
      <c r="T174" s="2">
        <f t="shared" si="98"/>
        <v>2.5948832139999998</v>
      </c>
      <c r="U174" s="2">
        <f t="shared" si="81"/>
        <v>6.3858157480000006</v>
      </c>
      <c r="V174" s="3">
        <f t="shared" si="82"/>
        <v>0.26781631482393042</v>
      </c>
      <c r="W174" s="3">
        <f t="shared" si="83"/>
        <v>0.35857495252755295</v>
      </c>
      <c r="X174" s="3">
        <f t="shared" si="84"/>
        <v>0.43195814187776471</v>
      </c>
      <c r="Y174" s="3">
        <f t="shared" si="85"/>
        <v>0.79053309440531772</v>
      </c>
      <c r="Z174" s="1">
        <v>0.3095</v>
      </c>
      <c r="AA174" s="1">
        <v>0.1958</v>
      </c>
      <c r="AB174" s="1">
        <v>9.6199999999999994E-2</v>
      </c>
      <c r="AD174" s="2">
        <f t="shared" si="86"/>
        <v>108.16703712087468</v>
      </c>
      <c r="AE174" s="4" t="s">
        <v>694</v>
      </c>
      <c r="AF174" s="4" t="s">
        <v>695</v>
      </c>
      <c r="AG174" s="1">
        <v>9.4867189999999994E-3</v>
      </c>
      <c r="AH174" s="4" t="s">
        <v>693</v>
      </c>
      <c r="AI174" s="4" t="s">
        <v>696</v>
      </c>
      <c r="AJ174" s="1">
        <v>0.12081784399999999</v>
      </c>
      <c r="AK174" s="1">
        <v>1.8609080000000001E-3</v>
      </c>
      <c r="AL174" s="1">
        <v>1.8398531999999999E-2</v>
      </c>
      <c r="AM174" s="1">
        <v>6.0758990000000001E-3</v>
      </c>
      <c r="AN174" s="1">
        <v>9.2936799999999997E-4</v>
      </c>
      <c r="AO174" s="1">
        <v>1.6692749E-2</v>
      </c>
      <c r="AP174" s="1">
        <v>4.8232029999999999E-3</v>
      </c>
    </row>
    <row r="175" spans="1:42">
      <c r="A175" s="1" t="s">
        <v>692</v>
      </c>
      <c r="B175" s="1" t="s">
        <v>878</v>
      </c>
      <c r="C175" s="1" t="s">
        <v>879</v>
      </c>
      <c r="D175" s="1">
        <v>431</v>
      </c>
      <c r="E175" s="1">
        <v>487</v>
      </c>
      <c r="F175" s="2">
        <f t="shared" si="78"/>
        <v>105.73623813111041</v>
      </c>
      <c r="G175" s="2">
        <f t="shared" si="87"/>
        <v>73.835674381027815</v>
      </c>
      <c r="H175" s="2">
        <f t="shared" si="88"/>
        <v>21.613440978221959</v>
      </c>
      <c r="I175" s="2">
        <f t="shared" si="89"/>
        <v>1.2609358884111328</v>
      </c>
      <c r="J175" s="2">
        <f t="shared" si="90"/>
        <v>8.3818948210000013</v>
      </c>
      <c r="K175" s="2">
        <f t="shared" si="91"/>
        <v>55.308617908407214</v>
      </c>
      <c r="L175" s="2">
        <f t="shared" si="92"/>
        <v>47.999999836000001</v>
      </c>
      <c r="M175" s="2">
        <f t="shared" si="79"/>
        <v>41.5411</v>
      </c>
      <c r="N175" s="2">
        <f t="shared" si="93"/>
        <v>0.93616496999999999</v>
      </c>
      <c r="O175" s="2">
        <f t="shared" si="80"/>
        <v>81.913399999999996</v>
      </c>
      <c r="P175" s="2">
        <f t="shared" si="94"/>
        <v>6.7221135959999998</v>
      </c>
      <c r="Q175" s="2">
        <f t="shared" si="95"/>
        <v>3.0606313679999997</v>
      </c>
      <c r="R175" s="2">
        <f t="shared" si="96"/>
        <v>0.49999997800000007</v>
      </c>
      <c r="S175" s="2">
        <f t="shared" si="97"/>
        <v>10.936920354</v>
      </c>
      <c r="T175" s="2">
        <f t="shared" si="98"/>
        <v>2.7722250979999998</v>
      </c>
      <c r="U175" s="2">
        <f t="shared" si="81"/>
        <v>8.1646952559999999</v>
      </c>
      <c r="V175" s="3">
        <f t="shared" si="82"/>
        <v>0.24532769868007057</v>
      </c>
      <c r="W175" s="3">
        <f t="shared" si="83"/>
        <v>0.32512758772749789</v>
      </c>
      <c r="X175" s="3">
        <f t="shared" si="84"/>
        <v>0.35817388233574277</v>
      </c>
      <c r="Y175" s="3">
        <f t="shared" si="85"/>
        <v>0.68330147006324071</v>
      </c>
      <c r="Z175" s="1">
        <v>0.28320000000000001</v>
      </c>
      <c r="AA175" s="1">
        <v>0.16819999999999999</v>
      </c>
      <c r="AB175" s="1">
        <v>8.5300000000000001E-2</v>
      </c>
      <c r="AD175" s="2">
        <f t="shared" si="86"/>
        <v>97.354343310110409</v>
      </c>
      <c r="AE175" s="4" t="s">
        <v>880</v>
      </c>
      <c r="AF175" s="4" t="s">
        <v>881</v>
      </c>
      <c r="AG175" s="1">
        <v>1.2952025000000001E-2</v>
      </c>
      <c r="AH175" s="1">
        <v>1.7211283000000001E-2</v>
      </c>
      <c r="AI175" s="4" t="s">
        <v>882</v>
      </c>
      <c r="AJ175" s="1">
        <v>9.8562627999999999E-2</v>
      </c>
      <c r="AK175" s="1">
        <v>1.92231E-3</v>
      </c>
      <c r="AL175" s="1">
        <v>1.3803108E-2</v>
      </c>
      <c r="AM175" s="1">
        <v>6.2846639999999997E-3</v>
      </c>
      <c r="AN175" s="1">
        <v>1.0266940000000001E-3</v>
      </c>
      <c r="AO175" s="1">
        <v>2.2457741999999999E-2</v>
      </c>
      <c r="AP175" s="1">
        <v>5.6924539999999996E-3</v>
      </c>
    </row>
    <row r="176" spans="1:42">
      <c r="A176" s="1" t="s">
        <v>692</v>
      </c>
      <c r="B176" s="1" t="s">
        <v>1190</v>
      </c>
      <c r="C176" s="1" t="s">
        <v>34</v>
      </c>
      <c r="D176" s="1">
        <v>558</v>
      </c>
      <c r="E176" s="1">
        <v>611</v>
      </c>
      <c r="F176" s="2">
        <f t="shared" si="78"/>
        <v>139.21853860683751</v>
      </c>
      <c r="G176" s="2">
        <f t="shared" si="87"/>
        <v>97.438447069438325</v>
      </c>
      <c r="H176" s="2">
        <f t="shared" si="88"/>
        <v>26.750641899774486</v>
      </c>
      <c r="I176" s="2">
        <f t="shared" si="89"/>
        <v>2.1734358117715948</v>
      </c>
      <c r="J176" s="2">
        <f t="shared" si="90"/>
        <v>12.189109062</v>
      </c>
      <c r="K176" s="2">
        <f t="shared" si="91"/>
        <v>72.384842568107345</v>
      </c>
      <c r="L176" s="2">
        <f t="shared" si="92"/>
        <v>60.000000202999999</v>
      </c>
      <c r="M176" s="2">
        <f t="shared" si="79"/>
        <v>38.798499999999997</v>
      </c>
      <c r="N176" s="2">
        <f t="shared" si="93"/>
        <v>0</v>
      </c>
      <c r="O176" s="2">
        <f t="shared" si="80"/>
        <v>109.00240000000001</v>
      </c>
      <c r="P176" s="2">
        <f t="shared" si="94"/>
        <v>5.0364778879999994</v>
      </c>
      <c r="Q176" s="2">
        <f t="shared" si="95"/>
        <v>5.0330031310000001</v>
      </c>
      <c r="R176" s="2">
        <f t="shared" si="96"/>
        <v>2.5234507740000001</v>
      </c>
      <c r="S176" s="2">
        <f t="shared" si="97"/>
        <v>13.618167797</v>
      </c>
      <c r="T176" s="2">
        <f t="shared" si="98"/>
        <v>3.8631751990000001</v>
      </c>
      <c r="U176" s="2">
        <f t="shared" si="81"/>
        <v>9.7549925979999994</v>
      </c>
      <c r="V176" s="3">
        <f t="shared" si="82"/>
        <v>0.24949558890114248</v>
      </c>
      <c r="W176" s="3">
        <f t="shared" si="83"/>
        <v>0.30416074190618175</v>
      </c>
      <c r="X176" s="3">
        <f t="shared" si="84"/>
        <v>0.36956357446649113</v>
      </c>
      <c r="Y176" s="3">
        <f t="shared" si="85"/>
        <v>0.67372431637267294</v>
      </c>
      <c r="Z176" s="1">
        <v>0.28749999999999998</v>
      </c>
      <c r="AA176" s="1">
        <v>0.1784</v>
      </c>
      <c r="AB176" s="1">
        <v>6.3500000000000001E-2</v>
      </c>
      <c r="AD176" s="2">
        <f t="shared" si="86"/>
        <v>127.0294295448375</v>
      </c>
      <c r="AE176" s="4" t="s">
        <v>1191</v>
      </c>
      <c r="AF176" s="4" t="s">
        <v>1192</v>
      </c>
      <c r="AG176" s="1">
        <v>1.7109703E-2</v>
      </c>
      <c r="AH176" s="1">
        <v>1.9949442000000001E-2</v>
      </c>
      <c r="AI176" s="4" t="s">
        <v>1193</v>
      </c>
      <c r="AJ176" s="1">
        <v>9.8199673000000001E-2</v>
      </c>
      <c r="AK176" s="1">
        <v>0</v>
      </c>
      <c r="AL176" s="1">
        <v>8.2430079999999996E-3</v>
      </c>
      <c r="AM176" s="1">
        <v>8.2373210000000006E-3</v>
      </c>
      <c r="AN176" s="1">
        <v>4.1300340000000003E-3</v>
      </c>
      <c r="AO176" s="1">
        <v>2.2288327E-2</v>
      </c>
      <c r="AP176" s="1">
        <v>6.3227090000000001E-3</v>
      </c>
    </row>
    <row r="177" spans="1:42">
      <c r="A177" s="1" t="s">
        <v>692</v>
      </c>
      <c r="B177" s="1" t="s">
        <v>1057</v>
      </c>
      <c r="C177" s="1" t="s">
        <v>20</v>
      </c>
      <c r="D177" s="1">
        <v>451</v>
      </c>
      <c r="E177" s="1">
        <v>507</v>
      </c>
      <c r="F177" s="2">
        <f t="shared" si="78"/>
        <v>101.6999828208528</v>
      </c>
      <c r="G177" s="2">
        <f t="shared" si="87"/>
        <v>74.447906283235696</v>
      </c>
      <c r="H177" s="2">
        <f t="shared" si="88"/>
        <v>16.575435469272673</v>
      </c>
      <c r="I177" s="2">
        <f t="shared" si="89"/>
        <v>2.5347876362010382</v>
      </c>
      <c r="J177" s="2">
        <f t="shared" si="90"/>
        <v>7.1789045250000001</v>
      </c>
      <c r="K177" s="2">
        <f t="shared" si="91"/>
        <v>56.789996962640252</v>
      </c>
      <c r="L177" s="2">
        <f t="shared" si="92"/>
        <v>39.000000039</v>
      </c>
      <c r="M177" s="2">
        <f t="shared" si="79"/>
        <v>37.112400000000001</v>
      </c>
      <c r="N177" s="2">
        <f t="shared" si="93"/>
        <v>0.20567975999999999</v>
      </c>
      <c r="O177" s="2">
        <f t="shared" si="80"/>
        <v>108.39659999999999</v>
      </c>
      <c r="P177" s="2">
        <f t="shared" si="94"/>
        <v>7.6070127899999997</v>
      </c>
      <c r="Q177" s="2">
        <f t="shared" si="95"/>
        <v>4.090871967</v>
      </c>
      <c r="R177" s="2">
        <f t="shared" si="96"/>
        <v>6.9455252918287513</v>
      </c>
      <c r="S177" s="2">
        <f t="shared" si="97"/>
        <v>32.987607705000002</v>
      </c>
      <c r="T177" s="2">
        <f t="shared" si="98"/>
        <v>6.0779580810000002</v>
      </c>
      <c r="U177" s="2">
        <f t="shared" si="81"/>
        <v>26.909649624000004</v>
      </c>
      <c r="V177" s="3">
        <f t="shared" si="82"/>
        <v>0.22549885326131441</v>
      </c>
      <c r="W177" s="3">
        <f t="shared" si="83"/>
        <v>0.29777093786902614</v>
      </c>
      <c r="X177" s="3">
        <f t="shared" si="84"/>
        <v>0.31911032867047484</v>
      </c>
      <c r="Y177" s="3">
        <f t="shared" si="85"/>
        <v>0.61688126653950093</v>
      </c>
      <c r="Z177" s="1">
        <v>0.27839999999999998</v>
      </c>
      <c r="AA177" s="1">
        <v>0.21379999999999999</v>
      </c>
      <c r="AB177" s="1">
        <v>7.3200000000000001E-2</v>
      </c>
      <c r="AD177" s="2">
        <f t="shared" si="86"/>
        <v>94.521078295852803</v>
      </c>
      <c r="AE177" s="1">
        <v>0.78763285000000005</v>
      </c>
      <c r="AF177" s="4" t="s">
        <v>1058</v>
      </c>
      <c r="AG177" s="1">
        <v>2.6817167999999999E-2</v>
      </c>
      <c r="AH177" s="1">
        <v>1.4159575000000001E-2</v>
      </c>
      <c r="AI177" s="4" t="s">
        <v>1059</v>
      </c>
      <c r="AJ177" s="1">
        <v>7.6923077000000006E-2</v>
      </c>
      <c r="AK177" s="1">
        <v>4.0568000000000001E-4</v>
      </c>
      <c r="AL177" s="1">
        <v>1.500397E-2</v>
      </c>
      <c r="AM177" s="1">
        <v>8.0687810000000006E-3</v>
      </c>
      <c r="AN177" s="4" t="s">
        <v>1060</v>
      </c>
      <c r="AO177" s="1">
        <v>6.5064314999999998E-2</v>
      </c>
      <c r="AP177" s="1">
        <v>1.1988083E-2</v>
      </c>
    </row>
    <row r="178" spans="1:42">
      <c r="A178" s="1" t="s">
        <v>101</v>
      </c>
      <c r="B178" s="1" t="s">
        <v>784</v>
      </c>
      <c r="C178" s="1" t="s">
        <v>20</v>
      </c>
      <c r="D178" s="1">
        <v>421</v>
      </c>
      <c r="E178" s="1">
        <v>453</v>
      </c>
      <c r="F178" s="2">
        <f t="shared" si="78"/>
        <v>119.702503202364</v>
      </c>
      <c r="G178" s="2">
        <f t="shared" si="87"/>
        <v>100.63361302786817</v>
      </c>
      <c r="H178" s="2">
        <f t="shared" si="88"/>
        <v>15.289521654435443</v>
      </c>
      <c r="I178" s="2">
        <f t="shared" si="89"/>
        <v>3.2966899039736295</v>
      </c>
      <c r="J178" s="2">
        <f t="shared" si="90"/>
        <v>0.100000203</v>
      </c>
      <c r="K178" s="2">
        <f t="shared" si="91"/>
        <v>55.579120879120644</v>
      </c>
      <c r="L178" s="2">
        <f t="shared" si="92"/>
        <v>32.999999945999996</v>
      </c>
      <c r="M178" s="2">
        <f t="shared" si="79"/>
        <v>23.646599999999953</v>
      </c>
      <c r="N178" s="2">
        <f t="shared" si="93"/>
        <v>0.19999995300000001</v>
      </c>
      <c r="O178" s="2">
        <f t="shared" si="80"/>
        <v>47.791499999999999</v>
      </c>
      <c r="P178" s="2">
        <f t="shared" si="94"/>
        <v>0.90000001500000004</v>
      </c>
      <c r="Q178" s="2">
        <f t="shared" si="95"/>
        <v>3.0000002009999998</v>
      </c>
      <c r="R178" s="2">
        <f t="shared" si="96"/>
        <v>4.8413976359999999</v>
      </c>
      <c r="S178" s="2">
        <f t="shared" si="97"/>
        <v>43.021318493999999</v>
      </c>
      <c r="T178" s="2">
        <f t="shared" si="98"/>
        <v>9.8579087639999994</v>
      </c>
      <c r="U178" s="2">
        <f t="shared" si="81"/>
        <v>33.163409729999998</v>
      </c>
      <c r="V178" s="3">
        <f t="shared" si="82"/>
        <v>0.28432898622889313</v>
      </c>
      <c r="W178" s="3">
        <f t="shared" si="83"/>
        <v>0.32254147540852734</v>
      </c>
      <c r="X178" s="3">
        <f t="shared" si="84"/>
        <v>0.33611099016783835</v>
      </c>
      <c r="Y178" s="3">
        <f t="shared" si="85"/>
        <v>0.6586524655763657</v>
      </c>
      <c r="Z178" s="1">
        <v>0.318</v>
      </c>
      <c r="AA178" s="4" t="s">
        <v>785</v>
      </c>
      <c r="AB178" s="4" t="s">
        <v>786</v>
      </c>
      <c r="AD178" s="2">
        <f t="shared" si="86"/>
        <v>119.60250299936401</v>
      </c>
      <c r="AE178" s="4" t="s">
        <v>787</v>
      </c>
      <c r="AF178" s="4" t="s">
        <v>788</v>
      </c>
      <c r="AG178" s="1">
        <v>2.756372E-2</v>
      </c>
      <c r="AH178" s="1">
        <v>2.2075099999999999E-4</v>
      </c>
      <c r="AI178" s="4" t="s">
        <v>789</v>
      </c>
      <c r="AJ178" s="1">
        <v>7.2847681999999997E-2</v>
      </c>
      <c r="AK178" s="1">
        <v>4.4150100000000001E-4</v>
      </c>
      <c r="AL178" s="1">
        <v>1.9867550000000002E-3</v>
      </c>
      <c r="AM178" s="1">
        <v>6.6225169999999996E-3</v>
      </c>
      <c r="AN178" s="1">
        <v>1.0687412E-2</v>
      </c>
      <c r="AO178" s="1">
        <v>9.4969797999999994E-2</v>
      </c>
      <c r="AP178" s="1">
        <v>2.1761388E-2</v>
      </c>
    </row>
    <row r="179" spans="1:42">
      <c r="A179" s="1" t="s">
        <v>101</v>
      </c>
      <c r="B179" s="1" t="s">
        <v>961</v>
      </c>
      <c r="C179" s="1" t="s">
        <v>124</v>
      </c>
      <c r="D179" s="1">
        <v>496</v>
      </c>
      <c r="E179" s="1">
        <v>567</v>
      </c>
      <c r="F179" s="2">
        <f t="shared" si="78"/>
        <v>126.717508300232</v>
      </c>
      <c r="G179" s="2">
        <f t="shared" si="87"/>
        <v>79.994304002380616</v>
      </c>
      <c r="H179" s="2">
        <f t="shared" si="88"/>
        <v>24.397129976248031</v>
      </c>
      <c r="I179" s="2">
        <f t="shared" si="89"/>
        <v>1.0275753325943693</v>
      </c>
      <c r="J179" s="2">
        <f t="shared" si="90"/>
        <v>21.170483271000002</v>
      </c>
      <c r="K179" s="2">
        <f t="shared" si="91"/>
        <v>69.93373635185975</v>
      </c>
      <c r="L179" s="2">
        <f t="shared" si="92"/>
        <v>73.999999999999901</v>
      </c>
      <c r="M179" s="2">
        <f t="shared" si="79"/>
        <v>54.148499999999999</v>
      </c>
      <c r="N179" s="2">
        <f t="shared" si="93"/>
        <v>2.559960207</v>
      </c>
      <c r="O179" s="2">
        <f t="shared" si="80"/>
        <v>144.018</v>
      </c>
      <c r="P179" s="2">
        <f t="shared" si="94"/>
        <v>9.1875256830000005</v>
      </c>
      <c r="Q179" s="2">
        <f t="shared" si="95"/>
        <v>4.045796181</v>
      </c>
      <c r="R179" s="2">
        <f t="shared" si="96"/>
        <v>0</v>
      </c>
      <c r="S179" s="2">
        <f t="shared" si="97"/>
        <v>1.9448275770000001</v>
      </c>
      <c r="T179" s="2">
        <f t="shared" si="98"/>
        <v>1.021375089</v>
      </c>
      <c r="U179" s="2">
        <f t="shared" si="81"/>
        <v>0.92345248800000013</v>
      </c>
      <c r="V179" s="3">
        <f t="shared" si="82"/>
        <v>0.2554788473795</v>
      </c>
      <c r="W179" s="3">
        <f t="shared" si="83"/>
        <v>0.34595782965330457</v>
      </c>
      <c r="X179" s="3">
        <f t="shared" si="84"/>
        <v>0.43659923999326572</v>
      </c>
      <c r="Y179" s="3">
        <f t="shared" si="85"/>
        <v>0.78255706964657024</v>
      </c>
      <c r="Z179" s="1">
        <v>0.31519999999999998</v>
      </c>
      <c r="AA179" s="1">
        <v>0.254</v>
      </c>
      <c r="AB179" s="1">
        <v>9.5500000000000002E-2</v>
      </c>
      <c r="AD179" s="2">
        <f t="shared" si="86"/>
        <v>105.547025029232</v>
      </c>
      <c r="AE179" s="1">
        <v>0.75790202500000003</v>
      </c>
      <c r="AF179" s="4" t="s">
        <v>962</v>
      </c>
      <c r="AG179" s="1">
        <v>9.7357109999999993E-3</v>
      </c>
      <c r="AH179" s="1">
        <v>3.7337713000000002E-2</v>
      </c>
      <c r="AI179" s="4" t="s">
        <v>963</v>
      </c>
      <c r="AJ179" s="4" t="s">
        <v>964</v>
      </c>
      <c r="AK179" s="1">
        <v>4.5149209999999999E-3</v>
      </c>
      <c r="AL179" s="1">
        <v>1.6203749E-2</v>
      </c>
      <c r="AM179" s="1">
        <v>7.135443E-3</v>
      </c>
      <c r="AN179" s="1">
        <v>0</v>
      </c>
      <c r="AO179" s="1">
        <v>3.4300310000000001E-3</v>
      </c>
      <c r="AP179" s="1">
        <v>1.8013669999999999E-3</v>
      </c>
    </row>
    <row r="180" spans="1:42">
      <c r="A180" s="1" t="s">
        <v>101</v>
      </c>
      <c r="B180" s="1" t="s">
        <v>100</v>
      </c>
      <c r="C180" s="1" t="s">
        <v>49</v>
      </c>
      <c r="D180" s="1">
        <v>579</v>
      </c>
      <c r="E180" s="1">
        <v>631</v>
      </c>
      <c r="F180" s="2">
        <f t="shared" si="78"/>
        <v>156.76513473307517</v>
      </c>
      <c r="G180" s="2">
        <f t="shared" si="87"/>
        <v>92.87040633016781</v>
      </c>
      <c r="H180" s="2">
        <f t="shared" si="88"/>
        <v>27.368394580576815</v>
      </c>
      <c r="I180" s="2">
        <f t="shared" si="89"/>
        <v>1.0715041340673945</v>
      </c>
      <c r="J180" s="2">
        <f t="shared" si="90"/>
        <v>36.258785758000002</v>
      </c>
      <c r="K180" s="2">
        <f t="shared" si="91"/>
        <v>83.754205001320756</v>
      </c>
      <c r="L180" s="2">
        <f t="shared" si="92"/>
        <v>102.99999999999953</v>
      </c>
      <c r="M180" s="2">
        <f t="shared" si="79"/>
        <v>41.582900000000002</v>
      </c>
      <c r="N180" s="2">
        <f t="shared" si="93"/>
        <v>1.174805265</v>
      </c>
      <c r="O180" s="2">
        <f t="shared" si="80"/>
        <v>120.14240000000001</v>
      </c>
      <c r="P180" s="2">
        <f t="shared" si="94"/>
        <v>4.5211358229999998</v>
      </c>
      <c r="Q180" s="2">
        <f t="shared" si="95"/>
        <v>5.0319486219999998</v>
      </c>
      <c r="R180" s="2">
        <f t="shared" si="96"/>
        <v>0</v>
      </c>
      <c r="S180" s="2">
        <f t="shared" si="97"/>
        <v>5.5926318749999995</v>
      </c>
      <c r="T180" s="2">
        <f t="shared" si="98"/>
        <v>2.074159469</v>
      </c>
      <c r="U180" s="2">
        <f t="shared" si="81"/>
        <v>3.5184724059999994</v>
      </c>
      <c r="V180" s="3">
        <f t="shared" si="82"/>
        <v>0.27075152803639924</v>
      </c>
      <c r="W180" s="3">
        <f t="shared" si="83"/>
        <v>0.3255382001851948</v>
      </c>
      <c r="X180" s="3">
        <f t="shared" si="84"/>
        <v>0.51097901714252791</v>
      </c>
      <c r="Y180" s="3">
        <f t="shared" si="85"/>
        <v>0.83651721732772266</v>
      </c>
      <c r="Z180" s="1">
        <v>0.28179999999999999</v>
      </c>
      <c r="AA180" s="1">
        <v>0.19040000000000001</v>
      </c>
      <c r="AB180" s="1">
        <v>6.59E-2</v>
      </c>
      <c r="AD180" s="2">
        <f t="shared" si="86"/>
        <v>120.50634897507518</v>
      </c>
      <c r="AE180" s="4" t="s">
        <v>102</v>
      </c>
      <c r="AF180" s="4" t="s">
        <v>103</v>
      </c>
      <c r="AG180" s="1">
        <v>8.8916819999999997E-3</v>
      </c>
      <c r="AH180" s="1">
        <v>5.7462418000000001E-2</v>
      </c>
      <c r="AI180" s="4" t="s">
        <v>104</v>
      </c>
      <c r="AJ180" s="4" t="s">
        <v>105</v>
      </c>
      <c r="AK180" s="1">
        <v>1.861815E-3</v>
      </c>
      <c r="AL180" s="1">
        <v>7.1650330000000003E-3</v>
      </c>
      <c r="AM180" s="1">
        <v>7.9745619999999993E-3</v>
      </c>
      <c r="AN180" s="1">
        <v>0</v>
      </c>
      <c r="AO180" s="1">
        <v>8.8631249999999995E-3</v>
      </c>
      <c r="AP180" s="1">
        <v>3.2870989999999999E-3</v>
      </c>
    </row>
    <row r="181" spans="1:42">
      <c r="A181" s="1" t="s">
        <v>101</v>
      </c>
      <c r="B181" s="1" t="s">
        <v>538</v>
      </c>
      <c r="C181" s="1" t="s">
        <v>124</v>
      </c>
      <c r="D181" s="1">
        <v>547</v>
      </c>
      <c r="E181" s="1">
        <v>614</v>
      </c>
      <c r="F181" s="2">
        <f t="shared" si="78"/>
        <v>157.7336281760866</v>
      </c>
      <c r="G181" s="2">
        <f t="shared" si="87"/>
        <v>109.19160084743251</v>
      </c>
      <c r="H181" s="2">
        <f t="shared" si="88"/>
        <v>24.969824569513928</v>
      </c>
      <c r="I181" s="2">
        <f t="shared" si="89"/>
        <v>0.98739413062193193</v>
      </c>
      <c r="J181" s="2">
        <f t="shared" si="90"/>
        <v>22.769950539999996</v>
      </c>
      <c r="K181" s="2">
        <f t="shared" si="91"/>
        <v>76.366115790030634</v>
      </c>
      <c r="L181" s="2">
        <f t="shared" si="92"/>
        <v>73.999999999999702</v>
      </c>
      <c r="M181" s="2">
        <f t="shared" si="79"/>
        <v>56.242400000000004</v>
      </c>
      <c r="N181" s="2">
        <f t="shared" si="93"/>
        <v>1.7745502580000001</v>
      </c>
      <c r="O181" s="2">
        <f t="shared" si="80"/>
        <v>91.05619999999999</v>
      </c>
      <c r="P181" s="2">
        <f t="shared" si="94"/>
        <v>5.4543738300000006</v>
      </c>
      <c r="Q181" s="2">
        <f t="shared" si="95"/>
        <v>4.0262724580000002</v>
      </c>
      <c r="R181" s="2">
        <f t="shared" si="96"/>
        <v>0.49999984799999997</v>
      </c>
      <c r="S181" s="2">
        <f t="shared" si="97"/>
        <v>2.0488480039999999</v>
      </c>
      <c r="T181" s="2">
        <f t="shared" si="98"/>
        <v>0.972562492</v>
      </c>
      <c r="U181" s="2">
        <f t="shared" si="81"/>
        <v>1.0762855119999999</v>
      </c>
      <c r="V181" s="3">
        <f t="shared" si="82"/>
        <v>0.28836129465463728</v>
      </c>
      <c r="W181" s="3">
        <f t="shared" si="83"/>
        <v>0.36320074505982253</v>
      </c>
      <c r="X181" s="3">
        <f t="shared" si="84"/>
        <v>0.46283955125836596</v>
      </c>
      <c r="Y181" s="3">
        <f t="shared" si="85"/>
        <v>0.82604029631818854</v>
      </c>
      <c r="Z181" s="1">
        <v>0.30869999999999997</v>
      </c>
      <c r="AA181" s="1">
        <v>0.14829999999999999</v>
      </c>
      <c r="AB181" s="1">
        <v>9.1600000000000001E-2</v>
      </c>
      <c r="AD181" s="2">
        <f t="shared" si="86"/>
        <v>134.9636776360866</v>
      </c>
      <c r="AE181" s="4" t="s">
        <v>539</v>
      </c>
      <c r="AF181" s="4" t="s">
        <v>540</v>
      </c>
      <c r="AG181" s="1">
        <v>7.3159990000000001E-3</v>
      </c>
      <c r="AH181" s="1">
        <v>3.7084609999999997E-2</v>
      </c>
      <c r="AI181" s="4" t="s">
        <v>541</v>
      </c>
      <c r="AJ181" s="4" t="s">
        <v>542</v>
      </c>
      <c r="AK181" s="1">
        <v>2.890147E-3</v>
      </c>
      <c r="AL181" s="1">
        <v>8.8833450000000008E-3</v>
      </c>
      <c r="AM181" s="1">
        <v>6.5574470000000001E-3</v>
      </c>
      <c r="AN181" s="1">
        <v>8.1433199999999997E-4</v>
      </c>
      <c r="AO181" s="1">
        <v>3.3368859999999998E-3</v>
      </c>
      <c r="AP181" s="1">
        <v>1.583978E-3</v>
      </c>
    </row>
    <row r="182" spans="1:42">
      <c r="A182" s="1" t="s">
        <v>335</v>
      </c>
      <c r="B182" s="1" t="s">
        <v>639</v>
      </c>
      <c r="C182" s="1" t="s">
        <v>20</v>
      </c>
      <c r="D182" s="1">
        <v>550</v>
      </c>
      <c r="E182" s="1">
        <v>622</v>
      </c>
      <c r="F182" s="2">
        <f t="shared" si="78"/>
        <v>137.70135677206943</v>
      </c>
      <c r="G182" s="2">
        <f t="shared" si="87"/>
        <v>87.630721714983551</v>
      </c>
      <c r="H182" s="2">
        <f t="shared" si="88"/>
        <v>25.806872639423833</v>
      </c>
      <c r="I182" s="2">
        <f t="shared" si="89"/>
        <v>2.7797108250447859</v>
      </c>
      <c r="J182" s="2">
        <f t="shared" si="90"/>
        <v>21.931884057970926</v>
      </c>
      <c r="K182" s="2">
        <f t="shared" si="91"/>
        <v>78.717506326201445</v>
      </c>
      <c r="L182" s="2">
        <f t="shared" si="92"/>
        <v>71.999999999999815</v>
      </c>
      <c r="M182" s="2">
        <f t="shared" si="79"/>
        <v>59.7742</v>
      </c>
      <c r="N182" s="2">
        <f t="shared" si="93"/>
        <v>0.99788144199999995</v>
      </c>
      <c r="O182" s="2">
        <f t="shared" si="80"/>
        <v>136.28019999999998</v>
      </c>
      <c r="P182" s="2">
        <f t="shared" si="94"/>
        <v>9.1217249681347727</v>
      </c>
      <c r="Q182" s="2">
        <f t="shared" si="95"/>
        <v>4.0051531660000004</v>
      </c>
      <c r="R182" s="2">
        <f t="shared" si="96"/>
        <v>1.0065148019999999</v>
      </c>
      <c r="S182" s="2">
        <f t="shared" si="97"/>
        <v>9.250476190476089</v>
      </c>
      <c r="T182" s="2">
        <f t="shared" si="98"/>
        <v>2.2592644760000002</v>
      </c>
      <c r="U182" s="2">
        <f t="shared" si="81"/>
        <v>6.9912117144760888</v>
      </c>
      <c r="V182" s="3">
        <f t="shared" si="82"/>
        <v>0.25036610322194441</v>
      </c>
      <c r="W182" s="3">
        <f t="shared" si="83"/>
        <v>0.33767542370786224</v>
      </c>
      <c r="X182" s="3">
        <f t="shared" si="84"/>
        <v>0.42783842854699872</v>
      </c>
      <c r="Y182" s="3">
        <f t="shared" si="85"/>
        <v>0.76551385225486102</v>
      </c>
      <c r="Z182" s="1">
        <v>0.29249999999999998</v>
      </c>
      <c r="AA182" s="1">
        <v>0.21909999999999999</v>
      </c>
      <c r="AB182" s="1">
        <v>9.6100000000000005E-2</v>
      </c>
      <c r="AD182" s="2">
        <f t="shared" si="86"/>
        <v>115.7694727140985</v>
      </c>
      <c r="AE182" s="4" t="s">
        <v>641</v>
      </c>
      <c r="AF182" s="4" t="s">
        <v>642</v>
      </c>
      <c r="AG182" s="1">
        <v>2.4010740999999999E-2</v>
      </c>
      <c r="AH182" s="4" t="s">
        <v>640</v>
      </c>
      <c r="AI182" s="4" t="s">
        <v>643</v>
      </c>
      <c r="AJ182" s="4" t="s">
        <v>644</v>
      </c>
      <c r="AK182" s="1">
        <v>1.604311E-3</v>
      </c>
      <c r="AL182" s="4" t="s">
        <v>645</v>
      </c>
      <c r="AM182" s="1">
        <v>6.4391530000000004E-3</v>
      </c>
      <c r="AN182" s="1">
        <v>1.6181909999999999E-3</v>
      </c>
      <c r="AO182" s="4" t="s">
        <v>646</v>
      </c>
      <c r="AP182" s="1">
        <v>3.6322580000000002E-3</v>
      </c>
    </row>
    <row r="183" spans="1:42">
      <c r="A183" s="1" t="s">
        <v>335</v>
      </c>
      <c r="B183" s="1" t="s">
        <v>340</v>
      </c>
      <c r="C183" s="1" t="s">
        <v>34</v>
      </c>
      <c r="D183" s="1">
        <v>459</v>
      </c>
      <c r="E183" s="1">
        <v>526</v>
      </c>
      <c r="F183" s="2">
        <f t="shared" si="78"/>
        <v>127.49200327851094</v>
      </c>
      <c r="G183" s="2">
        <f t="shared" si="87"/>
        <v>75.640981109568457</v>
      </c>
      <c r="H183" s="2">
        <f t="shared" si="88"/>
        <v>23.93475212327947</v>
      </c>
      <c r="I183" s="2">
        <f t="shared" si="89"/>
        <v>0.50789518515417975</v>
      </c>
      <c r="J183" s="2">
        <f t="shared" si="90"/>
        <v>27.944550572000001</v>
      </c>
      <c r="K183" s="2">
        <f t="shared" si="91"/>
        <v>70.773163070199317</v>
      </c>
      <c r="L183" s="2">
        <f t="shared" si="92"/>
        <v>75.999999999999929</v>
      </c>
      <c r="M183" s="2">
        <f t="shared" si="79"/>
        <v>59.438000000000002</v>
      </c>
      <c r="N183" s="2">
        <f t="shared" si="93"/>
        <v>9.1863364679999986</v>
      </c>
      <c r="O183" s="2">
        <f t="shared" si="80"/>
        <v>95.784599999999486</v>
      </c>
      <c r="P183" s="2">
        <f t="shared" si="94"/>
        <v>4.6439835159999996</v>
      </c>
      <c r="Q183" s="2">
        <f t="shared" si="95"/>
        <v>4.0183554340000001</v>
      </c>
      <c r="R183" s="2">
        <f t="shared" si="96"/>
        <v>0</v>
      </c>
      <c r="S183" s="2">
        <f t="shared" si="97"/>
        <v>2.3271428759999999</v>
      </c>
      <c r="T183" s="2">
        <f t="shared" si="98"/>
        <v>0.51062975399999999</v>
      </c>
      <c r="U183" s="2">
        <f t="shared" si="81"/>
        <v>1.8165131219999999</v>
      </c>
      <c r="V183" s="3">
        <f t="shared" si="82"/>
        <v>0.27776035572660335</v>
      </c>
      <c r="W183" s="3">
        <f t="shared" si="83"/>
        <v>0.37762265205653939</v>
      </c>
      <c r="X183" s="3">
        <f t="shared" si="84"/>
        <v>0.5159310962954029</v>
      </c>
      <c r="Y183" s="3">
        <f t="shared" si="85"/>
        <v>0.89355374835194223</v>
      </c>
      <c r="Z183" s="1">
        <v>0.29339999999999999</v>
      </c>
      <c r="AA183" s="4" t="s">
        <v>341</v>
      </c>
      <c r="AB183" s="1">
        <v>0.113</v>
      </c>
      <c r="AD183" s="2">
        <f t="shared" si="86"/>
        <v>99.547452706510938</v>
      </c>
      <c r="AE183" s="4" t="s">
        <v>342</v>
      </c>
      <c r="AF183" s="4" t="s">
        <v>343</v>
      </c>
      <c r="AG183" s="1">
        <v>5.1020409999999999E-3</v>
      </c>
      <c r="AH183" s="1">
        <v>5.3126522000000002E-2</v>
      </c>
      <c r="AI183" s="4" t="s">
        <v>344</v>
      </c>
      <c r="AJ183" s="4" t="s">
        <v>328</v>
      </c>
      <c r="AK183" s="1">
        <v>1.7464517999999998E-2</v>
      </c>
      <c r="AL183" s="1">
        <v>8.8288659999999995E-3</v>
      </c>
      <c r="AM183" s="1">
        <v>7.6394590000000004E-3</v>
      </c>
      <c r="AN183" s="1">
        <v>0</v>
      </c>
      <c r="AO183" s="1">
        <v>4.4242259999999999E-3</v>
      </c>
      <c r="AP183" s="1">
        <v>9.7077899999999996E-4</v>
      </c>
    </row>
    <row r="184" spans="1:42">
      <c r="A184" s="1" t="s">
        <v>335</v>
      </c>
      <c r="B184" s="1" t="s">
        <v>1132</v>
      </c>
      <c r="C184" s="1" t="s">
        <v>124</v>
      </c>
      <c r="D184" s="1">
        <v>488</v>
      </c>
      <c r="E184" s="1">
        <v>528</v>
      </c>
      <c r="F184" s="2">
        <f t="shared" si="78"/>
        <v>118.33465617042557</v>
      </c>
      <c r="G184" s="2">
        <f t="shared" si="87"/>
        <v>68.332789463928663</v>
      </c>
      <c r="H184" s="2">
        <f t="shared" si="88"/>
        <v>22.503627566401423</v>
      </c>
      <c r="I184" s="2">
        <f t="shared" si="89"/>
        <v>1.0138596392791153</v>
      </c>
      <c r="J184" s="2">
        <f t="shared" si="90"/>
        <v>26.397872159999999</v>
      </c>
      <c r="K184" s="2">
        <f t="shared" si="91"/>
        <v>61.739166304819342</v>
      </c>
      <c r="L184" s="2">
        <f t="shared" si="92"/>
        <v>72.999999999999602</v>
      </c>
      <c r="M184" s="2">
        <f t="shared" si="79"/>
        <v>28.564800000000002</v>
      </c>
      <c r="N184" s="2">
        <f t="shared" si="93"/>
        <v>0.97916068799999989</v>
      </c>
      <c r="O184" s="2">
        <f t="shared" si="80"/>
        <v>130.416</v>
      </c>
      <c r="P184" s="2">
        <f t="shared" si="94"/>
        <v>7.558497408</v>
      </c>
      <c r="Q184" s="2">
        <f t="shared" si="95"/>
        <v>3.251063904</v>
      </c>
      <c r="R184" s="2">
        <f t="shared" si="96"/>
        <v>0</v>
      </c>
      <c r="S184" s="2">
        <f t="shared" si="97"/>
        <v>1.9183670879999999</v>
      </c>
      <c r="T184" s="2">
        <f t="shared" si="98"/>
        <v>0.97027761599999995</v>
      </c>
      <c r="U184" s="2">
        <f t="shared" si="81"/>
        <v>0.94808947199999993</v>
      </c>
      <c r="V184" s="3">
        <f t="shared" si="82"/>
        <v>0.2424890495295606</v>
      </c>
      <c r="W184" s="3">
        <f t="shared" si="83"/>
        <v>0.29846121204440795</v>
      </c>
      <c r="X184" s="3">
        <f t="shared" si="84"/>
        <v>0.45486293474296891</v>
      </c>
      <c r="Y184" s="3">
        <f t="shared" si="85"/>
        <v>0.7533241467873768</v>
      </c>
      <c r="Z184" s="4" t="s">
        <v>1133</v>
      </c>
      <c r="AA184" s="1">
        <v>0.247</v>
      </c>
      <c r="AB184" s="1">
        <v>5.4100000000000002E-2</v>
      </c>
      <c r="AD184" s="2">
        <f t="shared" si="86"/>
        <v>91.936784010425583</v>
      </c>
      <c r="AE184" s="4" t="s">
        <v>1134</v>
      </c>
      <c r="AF184" s="4" t="s">
        <v>1135</v>
      </c>
      <c r="AG184" s="1">
        <v>1.1027791E-2</v>
      </c>
      <c r="AH184" s="1">
        <v>4.9995970000000001E-2</v>
      </c>
      <c r="AI184" s="4" t="s">
        <v>1136</v>
      </c>
      <c r="AJ184" s="4" t="s">
        <v>1137</v>
      </c>
      <c r="AK184" s="1">
        <v>1.8544709999999999E-3</v>
      </c>
      <c r="AL184" s="1">
        <v>1.4315336E-2</v>
      </c>
      <c r="AM184" s="1">
        <v>6.1573180000000002E-3</v>
      </c>
      <c r="AN184" s="1">
        <v>0</v>
      </c>
      <c r="AO184" s="1">
        <v>3.633271E-3</v>
      </c>
      <c r="AP184" s="1">
        <v>1.837647E-3</v>
      </c>
    </row>
    <row r="185" spans="1:42">
      <c r="A185" s="1" t="s">
        <v>335</v>
      </c>
      <c r="B185" s="1" t="s">
        <v>924</v>
      </c>
      <c r="C185" s="1" t="s">
        <v>49</v>
      </c>
      <c r="D185" s="1">
        <v>486</v>
      </c>
      <c r="E185" s="1">
        <v>521</v>
      </c>
      <c r="F185" s="2">
        <f t="shared" si="78"/>
        <v>119.02324882742289</v>
      </c>
      <c r="G185" s="2">
        <f t="shared" si="87"/>
        <v>78.692456861820133</v>
      </c>
      <c r="H185" s="2">
        <f t="shared" si="88"/>
        <v>22.816649931838615</v>
      </c>
      <c r="I185" s="2">
        <f t="shared" si="89"/>
        <v>1.0564522396396236</v>
      </c>
      <c r="J185" s="2">
        <f t="shared" si="90"/>
        <v>16.497633283000003</v>
      </c>
      <c r="K185" s="2">
        <f t="shared" si="91"/>
        <v>56.588756352858383</v>
      </c>
      <c r="L185" s="2">
        <f t="shared" si="92"/>
        <v>61.999999999999716</v>
      </c>
      <c r="M185" s="2">
        <f t="shared" si="79"/>
        <v>29.384399999999999</v>
      </c>
      <c r="N185" s="2">
        <f t="shared" si="93"/>
        <v>0</v>
      </c>
      <c r="O185" s="2">
        <f t="shared" si="80"/>
        <v>131.86509999999998</v>
      </c>
      <c r="P185" s="2">
        <f t="shared" si="94"/>
        <v>3.6833105739999996</v>
      </c>
      <c r="Q185" s="2">
        <f t="shared" si="95"/>
        <v>2.8662721220000003</v>
      </c>
      <c r="R185" s="2">
        <f t="shared" si="96"/>
        <v>0</v>
      </c>
      <c r="S185" s="2">
        <f t="shared" si="97"/>
        <v>4.1458554159999998</v>
      </c>
      <c r="T185" s="2">
        <f t="shared" si="98"/>
        <v>1.0122571519999999</v>
      </c>
      <c r="U185" s="2">
        <f t="shared" si="81"/>
        <v>3.1335982639999997</v>
      </c>
      <c r="V185" s="3">
        <f t="shared" si="82"/>
        <v>0.24490380417165203</v>
      </c>
      <c r="W185" s="3">
        <f t="shared" si="83"/>
        <v>0.29346987391001306</v>
      </c>
      <c r="X185" s="3">
        <f t="shared" si="84"/>
        <v>0.39811861435476598</v>
      </c>
      <c r="Y185" s="3">
        <f t="shared" si="85"/>
        <v>0.69158848826477903</v>
      </c>
      <c r="Z185" s="1">
        <v>0.30109999999999998</v>
      </c>
      <c r="AA185" s="1">
        <v>0.25309999999999999</v>
      </c>
      <c r="AB185" s="1">
        <v>5.6399999999999999E-2</v>
      </c>
      <c r="AD185" s="2">
        <f t="shared" si="86"/>
        <v>102.52561554442289</v>
      </c>
      <c r="AE185" s="4" t="s">
        <v>925</v>
      </c>
      <c r="AF185" s="4" t="s">
        <v>926</v>
      </c>
      <c r="AG185" s="1">
        <v>1.0304275999999999E-2</v>
      </c>
      <c r="AH185" s="1">
        <v>3.1665323000000002E-2</v>
      </c>
      <c r="AI185" s="4" t="s">
        <v>927</v>
      </c>
      <c r="AJ185" s="4" t="s">
        <v>928</v>
      </c>
      <c r="AK185" s="1">
        <v>0</v>
      </c>
      <c r="AL185" s="1">
        <v>7.0696939999999996E-3</v>
      </c>
      <c r="AM185" s="1">
        <v>5.5014820000000002E-3</v>
      </c>
      <c r="AN185" s="1">
        <v>0</v>
      </c>
      <c r="AO185" s="1">
        <v>7.9574959999999997E-3</v>
      </c>
      <c r="AP185" s="1">
        <v>1.942912E-3</v>
      </c>
    </row>
    <row r="186" spans="1:42">
      <c r="A186" s="1" t="s">
        <v>335</v>
      </c>
      <c r="B186" s="1" t="s">
        <v>1095</v>
      </c>
      <c r="C186" s="1" t="s">
        <v>1096</v>
      </c>
      <c r="D186" s="1">
        <v>445</v>
      </c>
      <c r="E186" s="1">
        <v>508</v>
      </c>
      <c r="F186" s="2">
        <f t="shared" si="78"/>
        <v>104.9963250809552</v>
      </c>
      <c r="G186" s="2">
        <f t="shared" si="87"/>
        <v>73.00367988723319</v>
      </c>
      <c r="H186" s="2">
        <f t="shared" si="88"/>
        <v>20.98590498388176</v>
      </c>
      <c r="I186" s="2">
        <f t="shared" si="89"/>
        <v>1.7196099591109879</v>
      </c>
      <c r="J186" s="2">
        <f t="shared" si="90"/>
        <v>9.2959676919999996</v>
      </c>
      <c r="K186" s="2">
        <f t="shared" si="91"/>
        <v>58.490003787639587</v>
      </c>
      <c r="L186" s="2">
        <f t="shared" si="92"/>
        <v>43.999999884000005</v>
      </c>
      <c r="M186" s="2">
        <f t="shared" si="79"/>
        <v>46.532800000000002</v>
      </c>
      <c r="N186" s="2">
        <f t="shared" si="93"/>
        <v>0.98783190800000009</v>
      </c>
      <c r="O186" s="2">
        <f t="shared" si="80"/>
        <v>95.504000000000005</v>
      </c>
      <c r="P186" s="2">
        <f t="shared" si="94"/>
        <v>10.588876112086142</v>
      </c>
      <c r="Q186" s="2">
        <f t="shared" si="95"/>
        <v>3.0580644960000001</v>
      </c>
      <c r="R186" s="2">
        <f t="shared" si="96"/>
        <v>2.9296436200000002</v>
      </c>
      <c r="S186" s="2">
        <f t="shared" si="97"/>
        <v>9.2771036200000001</v>
      </c>
      <c r="T186" s="2">
        <f t="shared" si="98"/>
        <v>3.0618943080000003</v>
      </c>
      <c r="U186" s="2">
        <f t="shared" si="81"/>
        <v>6.2152093119999998</v>
      </c>
      <c r="V186" s="3">
        <f t="shared" si="82"/>
        <v>0.23594679793473078</v>
      </c>
      <c r="W186" s="3">
        <f t="shared" si="83"/>
        <v>0.3291219624341481</v>
      </c>
      <c r="X186" s="3">
        <f t="shared" si="84"/>
        <v>0.35352402359624646</v>
      </c>
      <c r="Y186" s="3">
        <f t="shared" si="85"/>
        <v>0.68264598603039461</v>
      </c>
      <c r="Z186" s="1">
        <v>0.27879999999999999</v>
      </c>
      <c r="AA186" s="1">
        <v>0.188</v>
      </c>
      <c r="AB186" s="1">
        <v>9.1600000000000001E-2</v>
      </c>
      <c r="AD186" s="2">
        <f t="shared" si="86"/>
        <v>95.700357388955197</v>
      </c>
      <c r="AE186" s="4" t="s">
        <v>1097</v>
      </c>
      <c r="AF186" s="4" t="s">
        <v>1098</v>
      </c>
      <c r="AG186" s="1">
        <v>1.7968688999999999E-2</v>
      </c>
      <c r="AH186" s="1">
        <v>1.8299149000000001E-2</v>
      </c>
      <c r="AI186" s="4" t="s">
        <v>1099</v>
      </c>
      <c r="AJ186" s="1">
        <v>8.6614173000000003E-2</v>
      </c>
      <c r="AK186" s="1">
        <v>1.9445510000000001E-3</v>
      </c>
      <c r="AL186" s="4" t="s">
        <v>1100</v>
      </c>
      <c r="AM186" s="1">
        <v>6.0198120000000003E-3</v>
      </c>
      <c r="AN186" s="1">
        <v>5.7670150000000003E-3</v>
      </c>
      <c r="AO186" s="1">
        <v>1.8262014999999999E-2</v>
      </c>
      <c r="AP186" s="1">
        <v>6.0273510000000002E-3</v>
      </c>
    </row>
    <row r="187" spans="1:42">
      <c r="A187" s="1" t="s">
        <v>335</v>
      </c>
      <c r="B187" s="1" t="s">
        <v>334</v>
      </c>
      <c r="C187" s="1" t="s">
        <v>20</v>
      </c>
      <c r="D187" s="1">
        <v>531</v>
      </c>
      <c r="E187" s="1">
        <v>613</v>
      </c>
      <c r="F187" s="2">
        <f t="shared" si="78"/>
        <v>134.87068597291756</v>
      </c>
      <c r="G187" s="2">
        <f t="shared" si="87"/>
        <v>79.399349153424538</v>
      </c>
      <c r="H187" s="2">
        <f t="shared" si="88"/>
        <v>27.691782879990207</v>
      </c>
      <c r="I187" s="2">
        <f t="shared" si="89"/>
        <v>2.0636801318095719</v>
      </c>
      <c r="J187" s="2">
        <f t="shared" si="90"/>
        <v>25.010655620999998</v>
      </c>
      <c r="K187" s="2">
        <f t="shared" si="91"/>
        <v>85.318441095611007</v>
      </c>
      <c r="L187" s="2">
        <f t="shared" si="92"/>
        <v>73.999999999999773</v>
      </c>
      <c r="M187" s="2">
        <f t="shared" si="79"/>
        <v>70.433700000000002</v>
      </c>
      <c r="N187" s="2">
        <f t="shared" si="93"/>
        <v>2.9517807390000002</v>
      </c>
      <c r="O187" s="2">
        <f t="shared" si="80"/>
        <v>138.35410000000002</v>
      </c>
      <c r="P187" s="2">
        <f t="shared" si="94"/>
        <v>5.6293910980000001</v>
      </c>
      <c r="Q187" s="2">
        <f t="shared" si="95"/>
        <v>4.0157378670000003</v>
      </c>
      <c r="R187" s="2">
        <f t="shared" si="96"/>
        <v>0.50000019299999998</v>
      </c>
      <c r="S187" s="2">
        <f t="shared" si="97"/>
        <v>22.461956710000003</v>
      </c>
      <c r="T187" s="2">
        <f t="shared" si="98"/>
        <v>5.8294718459999997</v>
      </c>
      <c r="U187" s="2">
        <f t="shared" si="81"/>
        <v>16.632484864000002</v>
      </c>
      <c r="V187" s="3">
        <f t="shared" si="82"/>
        <v>0.25399375889438336</v>
      </c>
      <c r="W187" s="3">
        <f t="shared" si="83"/>
        <v>0.35155346713470281</v>
      </c>
      <c r="X187" s="3">
        <f t="shared" si="84"/>
        <v>0.4538918602501576</v>
      </c>
      <c r="Y187" s="3">
        <f t="shared" si="85"/>
        <v>0.80544532738486041</v>
      </c>
      <c r="Z187" s="1">
        <v>0.29559999999999997</v>
      </c>
      <c r="AA187" s="1">
        <v>0.22570000000000001</v>
      </c>
      <c r="AB187" s="1">
        <v>0.1149</v>
      </c>
      <c r="AD187" s="2">
        <f t="shared" si="86"/>
        <v>109.86003035191757</v>
      </c>
      <c r="AE187" s="4" t="s">
        <v>336</v>
      </c>
      <c r="AF187" s="4" t="s">
        <v>337</v>
      </c>
      <c r="AG187" s="1">
        <v>1.8784631E-2</v>
      </c>
      <c r="AH187" s="1">
        <v>4.0800416999999999E-2</v>
      </c>
      <c r="AI187" s="4" t="s">
        <v>338</v>
      </c>
      <c r="AJ187" s="4" t="s">
        <v>339</v>
      </c>
      <c r="AK187" s="1">
        <v>4.8153029999999999E-3</v>
      </c>
      <c r="AL187" s="1">
        <v>9.1833460000000002E-3</v>
      </c>
      <c r="AM187" s="1">
        <v>6.5509590000000003E-3</v>
      </c>
      <c r="AN187" s="1">
        <v>8.1566099999999997E-4</v>
      </c>
      <c r="AO187" s="1">
        <v>3.6642670000000002E-2</v>
      </c>
      <c r="AP187" s="1">
        <v>9.5097419999999998E-3</v>
      </c>
    </row>
    <row r="188" spans="1:42">
      <c r="A188" s="1" t="s">
        <v>123</v>
      </c>
      <c r="B188" s="1" t="s">
        <v>795</v>
      </c>
      <c r="C188" s="1" t="s">
        <v>609</v>
      </c>
      <c r="D188" s="1">
        <v>430</v>
      </c>
      <c r="E188" s="1">
        <v>475</v>
      </c>
      <c r="F188" s="2">
        <f t="shared" si="78"/>
        <v>103.46577551967971</v>
      </c>
      <c r="G188" s="2">
        <f t="shared" si="87"/>
        <v>61.881148928108509</v>
      </c>
      <c r="H188" s="2">
        <f t="shared" si="88"/>
        <v>23.938488174335738</v>
      </c>
      <c r="I188" s="2">
        <f t="shared" si="89"/>
        <v>1.01677414745122</v>
      </c>
      <c r="J188" s="2">
        <f t="shared" si="90"/>
        <v>17.2620985</v>
      </c>
      <c r="K188" s="2">
        <f t="shared" si="91"/>
        <v>58.752480715649554</v>
      </c>
      <c r="L188" s="2">
        <f t="shared" si="92"/>
        <v>59.999999999999893</v>
      </c>
      <c r="M188" s="2">
        <f t="shared" si="79"/>
        <v>36.8125</v>
      </c>
      <c r="N188" s="2">
        <f t="shared" si="93"/>
        <v>1.8750981250000001</v>
      </c>
      <c r="O188" s="2">
        <f t="shared" si="80"/>
        <v>111.38749999999999</v>
      </c>
      <c r="P188" s="2">
        <f t="shared" si="94"/>
        <v>4.0086180999999996</v>
      </c>
      <c r="Q188" s="2">
        <f t="shared" si="95"/>
        <v>3.0411134</v>
      </c>
      <c r="R188" s="2">
        <f t="shared" si="96"/>
        <v>0</v>
      </c>
      <c r="S188" s="2">
        <f t="shared" si="97"/>
        <v>4.1422778749999996</v>
      </c>
      <c r="T188" s="2">
        <f t="shared" si="98"/>
        <v>1.432253725</v>
      </c>
      <c r="U188" s="2">
        <f t="shared" si="81"/>
        <v>2.7100241499999997</v>
      </c>
      <c r="V188" s="3">
        <f t="shared" si="82"/>
        <v>0.2406180826039063</v>
      </c>
      <c r="W188" s="3">
        <f t="shared" si="83"/>
        <v>0.30984332344785342</v>
      </c>
      <c r="X188" s="3">
        <f t="shared" si="84"/>
        <v>0.42292288771891545</v>
      </c>
      <c r="Y188" s="3">
        <f t="shared" si="85"/>
        <v>0.73276621116676888</v>
      </c>
      <c r="Z188" s="4" t="s">
        <v>796</v>
      </c>
      <c r="AA188" s="1">
        <v>0.23449999999999999</v>
      </c>
      <c r="AB188" s="1">
        <v>7.7499999999999999E-2</v>
      </c>
      <c r="AD188" s="2">
        <f t="shared" si="86"/>
        <v>86.203677019679702</v>
      </c>
      <c r="AE188" s="4" t="s">
        <v>797</v>
      </c>
      <c r="AF188" s="4" t="s">
        <v>798</v>
      </c>
      <c r="AG188" s="4" t="s">
        <v>799</v>
      </c>
      <c r="AH188" s="1">
        <v>3.634126E-2</v>
      </c>
      <c r="AI188" s="4" t="s">
        <v>800</v>
      </c>
      <c r="AJ188" s="4" t="s">
        <v>801</v>
      </c>
      <c r="AK188" s="1">
        <v>3.947575E-3</v>
      </c>
      <c r="AL188" s="1">
        <v>8.4391959999999995E-3</v>
      </c>
      <c r="AM188" s="1">
        <v>6.4023439999999999E-3</v>
      </c>
      <c r="AN188" s="1">
        <v>0</v>
      </c>
      <c r="AO188" s="1">
        <v>8.7205849999999994E-3</v>
      </c>
      <c r="AP188" s="1">
        <v>3.0152709999999999E-3</v>
      </c>
    </row>
    <row r="189" spans="1:42">
      <c r="A189" s="1" t="s">
        <v>123</v>
      </c>
      <c r="B189" s="1" t="s">
        <v>779</v>
      </c>
      <c r="C189" s="1" t="s">
        <v>87</v>
      </c>
      <c r="D189" s="1">
        <v>428</v>
      </c>
      <c r="E189" s="1">
        <v>484</v>
      </c>
      <c r="F189" s="2">
        <f t="shared" si="78"/>
        <v>115.6815304022944</v>
      </c>
      <c r="G189" s="2">
        <f t="shared" si="87"/>
        <v>77.80736265069045</v>
      </c>
      <c r="H189" s="2">
        <f t="shared" si="88"/>
        <v>19.06285483052427</v>
      </c>
      <c r="I189" s="2">
        <f t="shared" si="89"/>
        <v>0.31585257034287395</v>
      </c>
      <c r="J189" s="2">
        <f t="shared" si="90"/>
        <v>17.767219888</v>
      </c>
      <c r="K189" s="2">
        <f t="shared" si="91"/>
        <v>52.871184877823843</v>
      </c>
      <c r="L189" s="2">
        <f t="shared" si="92"/>
        <v>62.999999999999829</v>
      </c>
      <c r="M189" s="2">
        <f t="shared" si="79"/>
        <v>45.738</v>
      </c>
      <c r="N189" s="2">
        <f t="shared" si="93"/>
        <v>1.989521688</v>
      </c>
      <c r="O189" s="2">
        <f t="shared" si="80"/>
        <v>58.418799999999997</v>
      </c>
      <c r="P189" s="2">
        <f t="shared" si="94"/>
        <v>4.6191706439999995</v>
      </c>
      <c r="Q189" s="2">
        <f t="shared" si="95"/>
        <v>5.0165975639999996</v>
      </c>
      <c r="R189" s="2">
        <f t="shared" si="96"/>
        <v>0</v>
      </c>
      <c r="S189" s="2">
        <f t="shared" si="97"/>
        <v>0.99111100000000008</v>
      </c>
      <c r="T189" s="2">
        <f t="shared" si="98"/>
        <v>0</v>
      </c>
      <c r="U189" s="2">
        <f t="shared" si="81"/>
        <v>0.99111100000000008</v>
      </c>
      <c r="V189" s="3">
        <f t="shared" si="82"/>
        <v>0.270283949538071</v>
      </c>
      <c r="W189" s="3">
        <f t="shared" si="83"/>
        <v>0.34951695924171283</v>
      </c>
      <c r="X189" s="3">
        <f t="shared" si="84"/>
        <v>0.43913436816534485</v>
      </c>
      <c r="Y189" s="3">
        <f t="shared" si="85"/>
        <v>0.78865132740705768</v>
      </c>
      <c r="Z189" s="1">
        <v>0.27439999999999998</v>
      </c>
      <c r="AA189" s="1">
        <v>0.1207</v>
      </c>
      <c r="AB189" s="1">
        <v>9.4500000000000001E-2</v>
      </c>
      <c r="AD189" s="2">
        <f t="shared" si="86"/>
        <v>97.914310514294399</v>
      </c>
      <c r="AE189" s="4" t="s">
        <v>780</v>
      </c>
      <c r="AF189" s="4" t="s">
        <v>781</v>
      </c>
      <c r="AG189" s="1">
        <v>3.2258059999999999E-3</v>
      </c>
      <c r="AH189" s="1">
        <v>3.6709131999999998E-2</v>
      </c>
      <c r="AI189" s="4" t="s">
        <v>782</v>
      </c>
      <c r="AJ189" s="4" t="s">
        <v>783</v>
      </c>
      <c r="AK189" s="1">
        <v>4.1105819999999998E-3</v>
      </c>
      <c r="AL189" s="1">
        <v>9.5437409999999997E-3</v>
      </c>
      <c r="AM189" s="1">
        <v>1.0364870999999999E-2</v>
      </c>
      <c r="AN189" s="1">
        <v>0</v>
      </c>
      <c r="AO189" s="1">
        <v>2.0477500000000001E-3</v>
      </c>
      <c r="AP189" s="1">
        <v>0</v>
      </c>
    </row>
    <row r="190" spans="1:42">
      <c r="A190" s="1" t="s">
        <v>123</v>
      </c>
      <c r="B190" s="1" t="s">
        <v>804</v>
      </c>
      <c r="C190" s="1" t="s">
        <v>648</v>
      </c>
      <c r="D190" s="1">
        <v>505</v>
      </c>
      <c r="E190" s="1">
        <v>558</v>
      </c>
      <c r="F190" s="2">
        <f t="shared" si="78"/>
        <v>123.21766858792033</v>
      </c>
      <c r="G190" s="2">
        <f t="shared" si="87"/>
        <v>89.749765404031876</v>
      </c>
      <c r="H190" s="2">
        <f t="shared" si="88"/>
        <v>22.583115665646556</v>
      </c>
      <c r="I190" s="2">
        <f t="shared" si="89"/>
        <v>2.0671595906352884</v>
      </c>
      <c r="J190" s="2">
        <f t="shared" si="90"/>
        <v>8.4047272727272482</v>
      </c>
      <c r="K190" s="2">
        <f t="shared" si="91"/>
        <v>63.7718961038956</v>
      </c>
      <c r="L190" s="2">
        <f t="shared" si="92"/>
        <v>54.999999864000003</v>
      </c>
      <c r="M190" s="2">
        <f t="shared" si="79"/>
        <v>30.466799999999942</v>
      </c>
      <c r="N190" s="2">
        <f t="shared" si="93"/>
        <v>1.987479378</v>
      </c>
      <c r="O190" s="2">
        <f t="shared" si="80"/>
        <v>96.1434</v>
      </c>
      <c r="P190" s="2">
        <f t="shared" si="94"/>
        <v>14.546412719999999</v>
      </c>
      <c r="Q190" s="2">
        <f t="shared" si="95"/>
        <v>4.2465457259999999</v>
      </c>
      <c r="R190" s="2">
        <f t="shared" si="96"/>
        <v>3.1096151459999999</v>
      </c>
      <c r="S190" s="2">
        <f t="shared" si="97"/>
        <v>20.346554879999999</v>
      </c>
      <c r="T190" s="2">
        <f t="shared" si="98"/>
        <v>3.9510590579999998</v>
      </c>
      <c r="U190" s="2">
        <f t="shared" si="81"/>
        <v>16.395495822000001</v>
      </c>
      <c r="V190" s="3">
        <f t="shared" si="82"/>
        <v>0.24399538334241649</v>
      </c>
      <c r="W190" s="3">
        <f t="shared" si="83"/>
        <v>0.31422946541246344</v>
      </c>
      <c r="X190" s="3">
        <f t="shared" si="84"/>
        <v>0.34601264276859378</v>
      </c>
      <c r="Y190" s="3">
        <f t="shared" si="85"/>
        <v>0.66024210818105722</v>
      </c>
      <c r="Z190" s="4" t="s">
        <v>805</v>
      </c>
      <c r="AA190" s="1">
        <v>0.17230000000000001</v>
      </c>
      <c r="AB190" s="4" t="s">
        <v>806</v>
      </c>
      <c r="AD190" s="2">
        <f t="shared" si="86"/>
        <v>114.81294131519309</v>
      </c>
      <c r="AE190" s="4" t="s">
        <v>808</v>
      </c>
      <c r="AF190" s="4" t="s">
        <v>809</v>
      </c>
      <c r="AG190" s="1">
        <v>1.8004586999999999E-2</v>
      </c>
      <c r="AH190" s="4" t="s">
        <v>807</v>
      </c>
      <c r="AI190" s="4" t="s">
        <v>810</v>
      </c>
      <c r="AJ190" s="1">
        <v>9.8566308000000005E-2</v>
      </c>
      <c r="AK190" s="1">
        <v>3.5617909999999999E-3</v>
      </c>
      <c r="AL190" s="1">
        <v>2.6068839999999999E-2</v>
      </c>
      <c r="AM190" s="1">
        <v>7.6102970000000002E-3</v>
      </c>
      <c r="AN190" s="1">
        <v>5.5727870000000001E-3</v>
      </c>
      <c r="AO190" s="1">
        <v>3.646336E-2</v>
      </c>
      <c r="AP190" s="1">
        <v>7.0807509999999997E-3</v>
      </c>
    </row>
    <row r="191" spans="1:42">
      <c r="A191" s="1" t="s">
        <v>123</v>
      </c>
      <c r="B191" s="1" t="s">
        <v>1238</v>
      </c>
      <c r="C191" s="1" t="s">
        <v>20</v>
      </c>
      <c r="D191" s="1">
        <v>110</v>
      </c>
      <c r="E191" s="1">
        <v>123</v>
      </c>
      <c r="F191" s="2">
        <f t="shared" si="78"/>
        <v>24.3240982054119</v>
      </c>
      <c r="G191" s="2">
        <f t="shared" si="87"/>
        <v>14.018232924970986</v>
      </c>
      <c r="H191" s="2">
        <f t="shared" si="88"/>
        <v>4.763237595984851</v>
      </c>
      <c r="I191" s="2">
        <f t="shared" si="89"/>
        <v>0</v>
      </c>
      <c r="J191" s="2">
        <f t="shared" si="90"/>
        <v>5.5673076720000001</v>
      </c>
      <c r="K191" s="2">
        <f t="shared" si="91"/>
        <v>15.025961538461463</v>
      </c>
      <c r="L191" s="2">
        <f t="shared" si="92"/>
        <v>15.999999999999984</v>
      </c>
      <c r="M191" s="2">
        <f t="shared" si="79"/>
        <v>11.229900000000001</v>
      </c>
      <c r="N191" s="2">
        <f t="shared" si="93"/>
        <v>0.14527554600000001</v>
      </c>
      <c r="O191" s="2">
        <f t="shared" si="80"/>
        <v>27.970199999999998</v>
      </c>
      <c r="P191" s="2">
        <f t="shared" si="94"/>
        <v>1.6914294367050247</v>
      </c>
      <c r="Q191" s="2">
        <f t="shared" si="95"/>
        <v>0.63076921500000005</v>
      </c>
      <c r="R191" s="2">
        <f t="shared" si="96"/>
        <v>0</v>
      </c>
      <c r="S191" s="2">
        <f t="shared" si="97"/>
        <v>0</v>
      </c>
      <c r="T191" s="2">
        <f t="shared" si="98"/>
        <v>0</v>
      </c>
      <c r="U191" s="2">
        <f t="shared" si="81"/>
        <v>0</v>
      </c>
      <c r="V191" s="3">
        <f t="shared" si="82"/>
        <v>0.22112816550374453</v>
      </c>
      <c r="W191" s="3">
        <f t="shared" si="83"/>
        <v>0.30646624032429204</v>
      </c>
      <c r="X191" s="3">
        <f t="shared" si="84"/>
        <v>0.4164903527721881</v>
      </c>
      <c r="Y191" s="3">
        <f t="shared" si="85"/>
        <v>0.72295659309648008</v>
      </c>
      <c r="Z191" s="1">
        <v>0.24329999999999999</v>
      </c>
      <c r="AA191" s="1">
        <v>0.22739999999999999</v>
      </c>
      <c r="AB191" s="1">
        <v>9.1300000000000006E-2</v>
      </c>
      <c r="AD191" s="2">
        <f t="shared" si="86"/>
        <v>18.756790533411898</v>
      </c>
      <c r="AE191" s="4" t="s">
        <v>1239</v>
      </c>
      <c r="AF191" s="4" t="s">
        <v>1240</v>
      </c>
      <c r="AG191" s="1">
        <v>0</v>
      </c>
      <c r="AH191" s="1">
        <v>4.5262664000000001E-2</v>
      </c>
      <c r="AI191" s="4" t="s">
        <v>1241</v>
      </c>
      <c r="AJ191" s="4" t="s">
        <v>1242</v>
      </c>
      <c r="AK191" s="1">
        <v>1.1811020000000001E-3</v>
      </c>
      <c r="AL191" s="4" t="s">
        <v>1243</v>
      </c>
      <c r="AM191" s="1">
        <v>5.1282050000000003E-3</v>
      </c>
      <c r="AN191" s="1">
        <v>0</v>
      </c>
      <c r="AO191" s="1">
        <v>0</v>
      </c>
      <c r="AP191" s="1">
        <v>0</v>
      </c>
    </row>
    <row r="192" spans="1:42">
      <c r="A192" s="1" t="s">
        <v>123</v>
      </c>
      <c r="B192" s="1" t="s">
        <v>1109</v>
      </c>
      <c r="C192" s="1" t="s">
        <v>20</v>
      </c>
      <c r="D192" s="1">
        <v>491</v>
      </c>
      <c r="E192" s="1">
        <v>543</v>
      </c>
      <c r="F192" s="2">
        <f t="shared" si="78"/>
        <v>109.64153886737361</v>
      </c>
      <c r="G192" s="2">
        <f t="shared" si="87"/>
        <v>60.009638106908184</v>
      </c>
      <c r="H192" s="2">
        <f t="shared" si="88"/>
        <v>21.849180034463313</v>
      </c>
      <c r="I192" s="2">
        <f t="shared" si="89"/>
        <v>2.8527007664843902</v>
      </c>
      <c r="J192" s="2">
        <f t="shared" si="90"/>
        <v>26.349906333</v>
      </c>
      <c r="K192" s="2">
        <f t="shared" si="91"/>
        <v>70.394961124636353</v>
      </c>
      <c r="L192" s="2">
        <f t="shared" si="92"/>
        <v>74.999999999999474</v>
      </c>
      <c r="M192" s="2">
        <f t="shared" si="79"/>
        <v>43.494300000000003</v>
      </c>
      <c r="N192" s="2">
        <f t="shared" si="93"/>
        <v>1.0188960599999999</v>
      </c>
      <c r="O192" s="2">
        <f t="shared" si="80"/>
        <v>138.89940000000001</v>
      </c>
      <c r="P192" s="2">
        <f t="shared" si="94"/>
        <v>4.1153579040000006</v>
      </c>
      <c r="Q192" s="2">
        <f t="shared" si="95"/>
        <v>4.2478504469999994</v>
      </c>
      <c r="R192" s="2">
        <f t="shared" si="96"/>
        <v>1.0993377090000001</v>
      </c>
      <c r="S192" s="2">
        <f t="shared" si="97"/>
        <v>8.5416805050000004</v>
      </c>
      <c r="T192" s="2">
        <f t="shared" si="98"/>
        <v>2.4231244680000001</v>
      </c>
      <c r="U192" s="2">
        <f t="shared" si="81"/>
        <v>6.1185560370000003</v>
      </c>
      <c r="V192" s="3">
        <f t="shared" si="82"/>
        <v>0.22330252315147375</v>
      </c>
      <c r="W192" s="3">
        <f t="shared" si="83"/>
        <v>0.29322251736319227</v>
      </c>
      <c r="X192" s="3">
        <f t="shared" si="84"/>
        <v>0.4433110505240081</v>
      </c>
      <c r="Y192" s="3">
        <f t="shared" si="85"/>
        <v>0.73653356788720037</v>
      </c>
      <c r="Z192" s="1">
        <v>0.25240000000000001</v>
      </c>
      <c r="AA192" s="1">
        <v>0.25580000000000003</v>
      </c>
      <c r="AB192" s="1">
        <v>8.0100000000000005E-2</v>
      </c>
      <c r="AD192" s="2">
        <f t="shared" si="86"/>
        <v>83.291632534373605</v>
      </c>
      <c r="AE192" s="4" t="s">
        <v>1110</v>
      </c>
      <c r="AF192" s="4" t="s">
        <v>1111</v>
      </c>
      <c r="AG192" s="1">
        <v>3.4249547999999998E-2</v>
      </c>
      <c r="AH192" s="1">
        <v>4.8526530999999998E-2</v>
      </c>
      <c r="AI192" s="4" t="s">
        <v>1112</v>
      </c>
      <c r="AJ192" s="4" t="s">
        <v>1113</v>
      </c>
      <c r="AK192" s="1">
        <v>1.87642E-3</v>
      </c>
      <c r="AL192" s="1">
        <v>7.5789280000000004E-3</v>
      </c>
      <c r="AM192" s="1">
        <v>7.8229289999999993E-3</v>
      </c>
      <c r="AN192" s="1">
        <v>2.0245630000000001E-3</v>
      </c>
      <c r="AO192" s="1">
        <v>1.5730535E-2</v>
      </c>
      <c r="AP192" s="1">
        <v>4.4624759999999999E-3</v>
      </c>
    </row>
    <row r="193" spans="1:42">
      <c r="A193" s="1" t="s">
        <v>123</v>
      </c>
      <c r="B193" s="1" t="s">
        <v>747</v>
      </c>
      <c r="C193" s="1" t="s">
        <v>748</v>
      </c>
      <c r="D193" s="1">
        <v>514</v>
      </c>
      <c r="E193" s="1">
        <v>551</v>
      </c>
      <c r="F193" s="2">
        <f t="shared" si="78"/>
        <v>132.86208848472</v>
      </c>
      <c r="G193" s="2">
        <f t="shared" si="87"/>
        <v>94.10241960955247</v>
      </c>
      <c r="H193" s="2">
        <f t="shared" si="88"/>
        <v>25.554303149249968</v>
      </c>
      <c r="I193" s="2">
        <f t="shared" si="89"/>
        <v>2.0655828943595695</v>
      </c>
      <c r="J193" s="2">
        <f t="shared" si="90"/>
        <v>10.234637108999999</v>
      </c>
      <c r="K193" s="2">
        <f t="shared" si="91"/>
        <v>64.042638247914738</v>
      </c>
      <c r="L193" s="2">
        <f t="shared" si="92"/>
        <v>56.000000094000001</v>
      </c>
      <c r="M193" s="2">
        <f t="shared" si="79"/>
        <v>23.4726</v>
      </c>
      <c r="N193" s="2">
        <f t="shared" si="93"/>
        <v>0.96229229699999996</v>
      </c>
      <c r="O193" s="2">
        <f t="shared" si="80"/>
        <v>54.493900000000004</v>
      </c>
      <c r="P193" s="2">
        <f t="shared" si="94"/>
        <v>3.3762100729999998</v>
      </c>
      <c r="Q193" s="2">
        <f t="shared" si="95"/>
        <v>4.9042829450000003</v>
      </c>
      <c r="R193" s="2">
        <f t="shared" si="96"/>
        <v>4.7440240439999997</v>
      </c>
      <c r="S193" s="2">
        <f t="shared" si="97"/>
        <v>8.1368010339999994</v>
      </c>
      <c r="T193" s="2">
        <f t="shared" si="98"/>
        <v>2.5928269250000002</v>
      </c>
      <c r="U193" s="2">
        <f t="shared" si="81"/>
        <v>5.5439741089999988</v>
      </c>
      <c r="V193" s="3">
        <f t="shared" si="82"/>
        <v>0.25848655347221788</v>
      </c>
      <c r="W193" s="3">
        <f t="shared" si="83"/>
        <v>0.29571434966594695</v>
      </c>
      <c r="X193" s="3">
        <f t="shared" si="84"/>
        <v>0.3742146362395547</v>
      </c>
      <c r="Y193" s="3">
        <f t="shared" si="85"/>
        <v>0.66992898590550165</v>
      </c>
      <c r="Z193" s="1">
        <v>0.27</v>
      </c>
      <c r="AA193" s="1">
        <v>9.8900000000000002E-2</v>
      </c>
      <c r="AB193" s="1">
        <v>4.2599999999999999E-2</v>
      </c>
      <c r="AD193" s="2">
        <f t="shared" si="86"/>
        <v>122.62745137572</v>
      </c>
      <c r="AE193" s="4" t="s">
        <v>749</v>
      </c>
      <c r="AF193" s="4" t="s">
        <v>750</v>
      </c>
      <c r="AG193" s="4" t="s">
        <v>751</v>
      </c>
      <c r="AH193" s="1">
        <v>1.8574659E-2</v>
      </c>
      <c r="AI193" s="4" t="s">
        <v>752</v>
      </c>
      <c r="AJ193" s="1">
        <v>0.101633394</v>
      </c>
      <c r="AK193" s="1">
        <v>1.7464469999999999E-3</v>
      </c>
      <c r="AL193" s="1">
        <v>6.1274229999999999E-3</v>
      </c>
      <c r="AM193" s="1">
        <v>8.9006950000000001E-3</v>
      </c>
      <c r="AN193" s="1">
        <v>8.6098440000000002E-3</v>
      </c>
      <c r="AO193" s="1">
        <v>1.4767334E-2</v>
      </c>
      <c r="AP193" s="1">
        <v>4.7056750000000003E-3</v>
      </c>
    </row>
    <row r="194" spans="1:42">
      <c r="A194" s="1" t="s">
        <v>123</v>
      </c>
      <c r="B194" s="1" t="s">
        <v>412</v>
      </c>
      <c r="C194" s="1" t="s">
        <v>20</v>
      </c>
      <c r="D194" s="1">
        <v>500</v>
      </c>
      <c r="E194" s="1">
        <v>568</v>
      </c>
      <c r="F194" s="2">
        <f t="shared" si="78"/>
        <v>131.11699671347199</v>
      </c>
      <c r="G194" s="2">
        <f t="shared" ref="G194:G201" si="99">$AD194*AE194</f>
        <v>80.13621634489698</v>
      </c>
      <c r="H194" s="2">
        <f t="shared" ref="H194:H201" si="100">$AD194*AF194</f>
        <v>22.81624377895227</v>
      </c>
      <c r="I194" s="2">
        <f t="shared" ref="I194:I201" si="101">$AD194*AG194</f>
        <v>1.6813295160396662</v>
      </c>
      <c r="J194" s="2">
        <f t="shared" ref="J194:J201" si="102">$E194*AH194</f>
        <v>26.007815176000001</v>
      </c>
      <c r="K194" s="2">
        <f t="shared" ref="K194:K201" si="103">$E194*AI194</f>
        <v>81.992611609474963</v>
      </c>
      <c r="L194" s="2">
        <f t="shared" ref="L194:L201" si="104">$E194*AJ194</f>
        <v>71</v>
      </c>
      <c r="M194" s="2">
        <f t="shared" si="79"/>
        <v>57.140799999999999</v>
      </c>
      <c r="N194" s="2">
        <f t="shared" ref="N194:N201" si="105">$E194*AK194</f>
        <v>0.99003592799999995</v>
      </c>
      <c r="O194" s="2">
        <f t="shared" si="80"/>
        <v>110.2488</v>
      </c>
      <c r="P194" s="2">
        <f t="shared" ref="P194:P201" si="106">$E194*AL194</f>
        <v>6.4575192960000001</v>
      </c>
      <c r="Q194" s="2">
        <f t="shared" ref="Q194:Q201" si="107">$E194*AM194</f>
        <v>4.028419016</v>
      </c>
      <c r="R194" s="2">
        <f t="shared" ref="R194:R201" si="108">$E194*AN194</f>
        <v>0.50000017600000002</v>
      </c>
      <c r="S194" s="2">
        <f t="shared" ref="S194:S201" si="109">$E194*AO194</f>
        <v>13.93680672268904</v>
      </c>
      <c r="T194" s="2">
        <f t="shared" ref="T194:T201" si="110">$E194*AP194</f>
        <v>2.8713416719999998</v>
      </c>
      <c r="U194" s="2">
        <f t="shared" si="81"/>
        <v>11.06546505068904</v>
      </c>
      <c r="V194" s="3">
        <f t="shared" si="82"/>
        <v>0.26223399342694398</v>
      </c>
      <c r="W194" s="3">
        <f t="shared" si="83"/>
        <v>0.34813151294105671</v>
      </c>
      <c r="X194" s="3">
        <f t="shared" si="84"/>
        <v>0.46968790630984103</v>
      </c>
      <c r="Y194" s="3">
        <f t="shared" si="85"/>
        <v>0.81781941925089774</v>
      </c>
      <c r="Z194" s="1">
        <v>0.2858</v>
      </c>
      <c r="AA194" s="1">
        <v>0.19409999999999999</v>
      </c>
      <c r="AB194" s="1">
        <v>0.10059999999999999</v>
      </c>
      <c r="AD194" s="2">
        <f t="shared" si="86"/>
        <v>105.10918153747198</v>
      </c>
      <c r="AE194" s="4" t="s">
        <v>413</v>
      </c>
      <c r="AF194" s="4" t="s">
        <v>414</v>
      </c>
      <c r="AG194" s="1">
        <v>1.5996028999999998E-2</v>
      </c>
      <c r="AH194" s="1">
        <v>4.5788407000000003E-2</v>
      </c>
      <c r="AI194" s="4" t="s">
        <v>415</v>
      </c>
      <c r="AJ194" s="1">
        <v>0.125</v>
      </c>
      <c r="AK194" s="1">
        <v>1.743021E-3</v>
      </c>
      <c r="AL194" s="1">
        <v>1.1368872E-2</v>
      </c>
      <c r="AM194" s="1">
        <v>7.0922870000000001E-3</v>
      </c>
      <c r="AN194" s="1">
        <v>8.8028200000000003E-4</v>
      </c>
      <c r="AO194" s="4" t="s">
        <v>416</v>
      </c>
      <c r="AP194" s="1">
        <v>5.0551789999999999E-3</v>
      </c>
    </row>
    <row r="195" spans="1:42">
      <c r="A195" s="1" t="s">
        <v>123</v>
      </c>
      <c r="B195" s="1" t="s">
        <v>697</v>
      </c>
      <c r="C195" s="1" t="s">
        <v>631</v>
      </c>
      <c r="D195" s="1">
        <v>463</v>
      </c>
      <c r="E195" s="1">
        <v>522</v>
      </c>
      <c r="F195" s="2">
        <f t="shared" ref="F195:F201" si="111">AD195+J195</f>
        <v>114.71981194842141</v>
      </c>
      <c r="G195" s="2">
        <f t="shared" si="99"/>
        <v>65.790769691014091</v>
      </c>
      <c r="H195" s="2">
        <f t="shared" si="100"/>
        <v>23.674471745109187</v>
      </c>
      <c r="I195" s="2">
        <f t="shared" si="101"/>
        <v>0.51186307984910695</v>
      </c>
      <c r="J195" s="2">
        <f t="shared" si="102"/>
        <v>24.917601617999999</v>
      </c>
      <c r="K195" s="2">
        <f t="shared" si="103"/>
        <v>62.486439624205268</v>
      </c>
      <c r="L195" s="2">
        <f t="shared" si="104"/>
        <v>69.999999999999702</v>
      </c>
      <c r="M195" s="2">
        <f t="shared" ref="M195:M201" si="112">$E195*AB195</f>
        <v>50.738399999999999</v>
      </c>
      <c r="N195" s="2">
        <f t="shared" si="105"/>
        <v>5.098478922</v>
      </c>
      <c r="O195" s="2">
        <f t="shared" ref="O195:O201" si="113">$E195*AA195</f>
        <v>93.907800000000009</v>
      </c>
      <c r="P195" s="2">
        <f t="shared" si="106"/>
        <v>7.1842553191488587</v>
      </c>
      <c r="Q195" s="2">
        <f t="shared" si="107"/>
        <v>4.030947684</v>
      </c>
      <c r="R195" s="2">
        <f t="shared" si="108"/>
        <v>0.499999788</v>
      </c>
      <c r="S195" s="2">
        <f t="shared" si="109"/>
        <v>2.225356992</v>
      </c>
      <c r="T195" s="2">
        <f t="shared" si="110"/>
        <v>0.96955966800000004</v>
      </c>
      <c r="U195" s="2">
        <f t="shared" ref="U195:U201" si="114">S195-T195</f>
        <v>1.255797324</v>
      </c>
      <c r="V195" s="3">
        <f t="shared" ref="V195:V201" si="115">F195/D195</f>
        <v>0.24777497181084537</v>
      </c>
      <c r="W195" s="3">
        <f t="shared" ref="W195:W201" si="116">(F195+M195+N195+P195)/(D195+M195+N195+Q195)</f>
        <v>0.33993475433994252</v>
      </c>
      <c r="X195" s="3">
        <f t="shared" ref="X195:X201" si="117">(G195+H195*2+I195*3+J195*4)/D195</f>
        <v>0.46294969523278573</v>
      </c>
      <c r="Y195" s="3">
        <f t="shared" ref="Y195:Y201" si="118">W195+X195</f>
        <v>0.80288444957272831</v>
      </c>
      <c r="Z195" s="1">
        <v>0.25790000000000002</v>
      </c>
      <c r="AA195" s="1">
        <v>0.1799</v>
      </c>
      <c r="AB195" s="1">
        <v>9.7199999999999995E-2</v>
      </c>
      <c r="AD195" s="2">
        <f t="shared" ref="AD195:AD201" si="119">(D195-J195-O195+Q195)*Z195</f>
        <v>89.802210330421403</v>
      </c>
      <c r="AE195" s="4" t="s">
        <v>698</v>
      </c>
      <c r="AF195" s="4" t="s">
        <v>699</v>
      </c>
      <c r="AG195" s="1">
        <v>5.6998939999999996E-3</v>
      </c>
      <c r="AH195" s="1">
        <v>4.7734868999999999E-2</v>
      </c>
      <c r="AI195" s="4" t="s">
        <v>700</v>
      </c>
      <c r="AJ195" s="4" t="s">
        <v>701</v>
      </c>
      <c r="AK195" s="1">
        <v>9.7672009999999997E-3</v>
      </c>
      <c r="AL195" s="4" t="s">
        <v>702</v>
      </c>
      <c r="AM195" s="1">
        <v>7.7221219999999997E-3</v>
      </c>
      <c r="AN195" s="1">
        <v>9.5785399999999995E-4</v>
      </c>
      <c r="AO195" s="1">
        <v>4.2631359999999998E-3</v>
      </c>
      <c r="AP195" s="1">
        <v>1.8573940000000001E-3</v>
      </c>
    </row>
    <row r="196" spans="1:42">
      <c r="A196" s="1" t="s">
        <v>123</v>
      </c>
      <c r="B196" s="1" t="s">
        <v>122</v>
      </c>
      <c r="C196" s="1" t="s">
        <v>124</v>
      </c>
      <c r="D196" s="1">
        <v>577</v>
      </c>
      <c r="E196" s="1">
        <v>663</v>
      </c>
      <c r="F196" s="2">
        <f t="shared" si="111"/>
        <v>171.77020622252442</v>
      </c>
      <c r="G196" s="2">
        <f t="shared" si="99"/>
        <v>109.075948001119</v>
      </c>
      <c r="H196" s="2">
        <f t="shared" si="100"/>
        <v>31.093599020355299</v>
      </c>
      <c r="I196" s="2">
        <f t="shared" si="101"/>
        <v>0.51805344044914026</v>
      </c>
      <c r="J196" s="2">
        <f t="shared" si="102"/>
        <v>31.699999773000002</v>
      </c>
      <c r="K196" s="2">
        <f t="shared" si="103"/>
        <v>95.445360824741584</v>
      </c>
      <c r="L196" s="2">
        <f t="shared" si="104"/>
        <v>94.999999692000003</v>
      </c>
      <c r="M196" s="2">
        <f t="shared" si="112"/>
        <v>73.062599999999335</v>
      </c>
      <c r="N196" s="2">
        <f t="shared" si="105"/>
        <v>8.4939615150000005</v>
      </c>
      <c r="O196" s="2">
        <f t="shared" si="113"/>
        <v>89.902799999999999</v>
      </c>
      <c r="P196" s="2">
        <f t="shared" si="106"/>
        <v>6.5999999129999996</v>
      </c>
      <c r="Q196" s="2">
        <f t="shared" si="107"/>
        <v>4.0000003289999997</v>
      </c>
      <c r="R196" s="2">
        <f t="shared" si="108"/>
        <v>0</v>
      </c>
      <c r="S196" s="2">
        <f t="shared" si="109"/>
        <v>5.2458025230000001</v>
      </c>
      <c r="T196" s="2">
        <f t="shared" si="110"/>
        <v>2.0009260439999998</v>
      </c>
      <c r="U196" s="2">
        <f t="shared" si="114"/>
        <v>3.2448764790000002</v>
      </c>
      <c r="V196" s="3">
        <f t="shared" si="115"/>
        <v>0.29769533140818788</v>
      </c>
      <c r="W196" s="3">
        <f t="shared" si="116"/>
        <v>0.39230879689291215</v>
      </c>
      <c r="X196" s="3">
        <f t="shared" si="117"/>
        <v>0.51926742713202256</v>
      </c>
      <c r="Y196" s="3">
        <f t="shared" si="118"/>
        <v>0.91157622402493477</v>
      </c>
      <c r="Z196" s="1">
        <v>0.3049</v>
      </c>
      <c r="AA196" s="1">
        <v>0.1356</v>
      </c>
      <c r="AB196" s="4" t="s">
        <v>125</v>
      </c>
      <c r="AD196" s="2">
        <f t="shared" si="119"/>
        <v>140.07020644952442</v>
      </c>
      <c r="AE196" s="4" t="s">
        <v>126</v>
      </c>
      <c r="AF196" s="4" t="s">
        <v>127</v>
      </c>
      <c r="AG196" s="1">
        <v>3.6985270000000001E-3</v>
      </c>
      <c r="AH196" s="1">
        <v>4.7812971000000003E-2</v>
      </c>
      <c r="AI196" s="4" t="s">
        <v>128</v>
      </c>
      <c r="AJ196" s="1">
        <v>0.14328808400000001</v>
      </c>
      <c r="AK196" s="1">
        <v>1.2811405E-2</v>
      </c>
      <c r="AL196" s="1">
        <v>9.9547509999999995E-3</v>
      </c>
      <c r="AM196" s="1">
        <v>6.0331830000000001E-3</v>
      </c>
      <c r="AN196" s="1">
        <v>0</v>
      </c>
      <c r="AO196" s="1">
        <v>7.9122210000000005E-3</v>
      </c>
      <c r="AP196" s="1">
        <v>3.0179880000000001E-3</v>
      </c>
    </row>
    <row r="197" spans="1:42">
      <c r="A197" s="1" t="s">
        <v>248</v>
      </c>
      <c r="B197" s="1" t="s">
        <v>417</v>
      </c>
      <c r="C197" s="1" t="s">
        <v>34</v>
      </c>
      <c r="D197" s="1">
        <v>550</v>
      </c>
      <c r="E197" s="1">
        <v>607</v>
      </c>
      <c r="F197" s="2">
        <f t="shared" si="111"/>
        <v>135.63234295877419</v>
      </c>
      <c r="G197" s="2">
        <f t="shared" si="99"/>
        <v>87.991875993181637</v>
      </c>
      <c r="H197" s="2">
        <f t="shared" si="100"/>
        <v>28.426599207842926</v>
      </c>
      <c r="I197" s="2">
        <f t="shared" si="101"/>
        <v>3.8276420505577549</v>
      </c>
      <c r="J197" s="2">
        <f t="shared" si="102"/>
        <v>16.099999999999966</v>
      </c>
      <c r="K197" s="2">
        <f t="shared" si="103"/>
        <v>80.030158730158306</v>
      </c>
      <c r="L197" s="2">
        <f t="shared" si="104"/>
        <v>63.999999999999766</v>
      </c>
      <c r="M197" s="2">
        <f t="shared" si="112"/>
        <v>37.391199999999941</v>
      </c>
      <c r="N197" s="2">
        <f t="shared" si="105"/>
        <v>1.737035511</v>
      </c>
      <c r="O197" s="2">
        <f t="shared" si="113"/>
        <v>114.1767</v>
      </c>
      <c r="P197" s="2">
        <f t="shared" si="106"/>
        <v>12.53385802</v>
      </c>
      <c r="Q197" s="2">
        <f t="shared" si="107"/>
        <v>4.0000001020000004</v>
      </c>
      <c r="R197" s="2">
        <f t="shared" si="108"/>
        <v>1.477952736</v>
      </c>
      <c r="S197" s="2">
        <f t="shared" si="109"/>
        <v>30.139999851999999</v>
      </c>
      <c r="T197" s="2">
        <f t="shared" si="110"/>
        <v>6.9290749600000003</v>
      </c>
      <c r="U197" s="2">
        <f t="shared" si="114"/>
        <v>23.210924891999998</v>
      </c>
      <c r="V197" s="3">
        <f t="shared" si="115"/>
        <v>0.24660425992504398</v>
      </c>
      <c r="W197" s="3">
        <f t="shared" si="116"/>
        <v>0.31577393427612616</v>
      </c>
      <c r="X197" s="3">
        <f t="shared" si="117"/>
        <v>0.40132363738280113</v>
      </c>
      <c r="Y197" s="3">
        <f t="shared" si="118"/>
        <v>0.71709757165892729</v>
      </c>
      <c r="Z197" s="1">
        <v>0.28210000000000002</v>
      </c>
      <c r="AA197" s="1">
        <v>0.18809999999999999</v>
      </c>
      <c r="AB197" s="4" t="s">
        <v>418</v>
      </c>
      <c r="AD197" s="2">
        <f t="shared" si="119"/>
        <v>119.53234295877424</v>
      </c>
      <c r="AE197" s="4" t="s">
        <v>420</v>
      </c>
      <c r="AF197" s="4" t="s">
        <v>421</v>
      </c>
      <c r="AG197" s="4" t="s">
        <v>422</v>
      </c>
      <c r="AH197" s="4" t="s">
        <v>419</v>
      </c>
      <c r="AI197" s="4" t="s">
        <v>423</v>
      </c>
      <c r="AJ197" s="4" t="s">
        <v>424</v>
      </c>
      <c r="AK197" s="1">
        <v>2.8616729999999999E-3</v>
      </c>
      <c r="AL197" s="1">
        <v>2.0648860000000002E-2</v>
      </c>
      <c r="AM197" s="1">
        <v>6.5897860000000003E-3</v>
      </c>
      <c r="AN197" s="1">
        <v>2.4348479999999999E-3</v>
      </c>
      <c r="AO197" s="1">
        <v>4.9654035999999999E-2</v>
      </c>
      <c r="AP197" s="1">
        <v>1.141528E-2</v>
      </c>
    </row>
    <row r="198" spans="1:42">
      <c r="A198" s="1" t="s">
        <v>248</v>
      </c>
      <c r="B198" s="1" t="s">
        <v>1266</v>
      </c>
      <c r="C198" s="1" t="s">
        <v>20</v>
      </c>
      <c r="D198" s="1">
        <v>495</v>
      </c>
      <c r="E198" s="1">
        <v>542</v>
      </c>
      <c r="F198" s="2">
        <f t="shared" si="111"/>
        <v>130.56595466022782</v>
      </c>
      <c r="G198" s="2">
        <f t="shared" si="99"/>
        <v>88.27093463626214</v>
      </c>
      <c r="H198" s="2">
        <f t="shared" si="100"/>
        <v>29.11808017763223</v>
      </c>
      <c r="I198" s="2">
        <f t="shared" si="101"/>
        <v>7.6173776815931467</v>
      </c>
      <c r="J198" s="2">
        <f t="shared" si="102"/>
        <v>8.3400742115027313</v>
      </c>
      <c r="K198" s="2">
        <f t="shared" si="103"/>
        <v>63.610370822667257</v>
      </c>
      <c r="L198" s="2">
        <f t="shared" si="104"/>
        <v>58.999999999999666</v>
      </c>
      <c r="M198" s="2">
        <f t="shared" si="112"/>
        <v>34.254400000000004</v>
      </c>
      <c r="N198" s="2">
        <f t="shared" si="105"/>
        <v>0.20111343600000001</v>
      </c>
      <c r="O198" s="2">
        <f t="shared" si="113"/>
        <v>97.289000000000001</v>
      </c>
      <c r="P198" s="2">
        <f t="shared" si="106"/>
        <v>5.4882020129048668</v>
      </c>
      <c r="Q198" s="2">
        <f t="shared" si="107"/>
        <v>4.0178107699999996</v>
      </c>
      <c r="R198" s="2">
        <f t="shared" si="108"/>
        <v>0.97964603000000006</v>
      </c>
      <c r="S198" s="2">
        <f t="shared" si="109"/>
        <v>14.182640286000002</v>
      </c>
      <c r="T198" s="2">
        <f t="shared" si="110"/>
        <v>4.9053048759999998</v>
      </c>
      <c r="U198" s="2">
        <f t="shared" si="114"/>
        <v>9.2773354100000027</v>
      </c>
      <c r="V198" s="3">
        <f t="shared" si="115"/>
        <v>0.26376960537419764</v>
      </c>
      <c r="W198" s="3">
        <f t="shared" si="116"/>
        <v>0.31962173621879286</v>
      </c>
      <c r="X198" s="3">
        <f t="shared" si="117"/>
        <v>0.4095343937016504</v>
      </c>
      <c r="Y198" s="3">
        <f t="shared" si="118"/>
        <v>0.72915612992044321</v>
      </c>
      <c r="Z198" s="1">
        <v>0.31069999999999998</v>
      </c>
      <c r="AA198" s="1">
        <v>0.17949999999999999</v>
      </c>
      <c r="AB198" s="1">
        <v>6.3200000000000006E-2</v>
      </c>
      <c r="AD198" s="2">
        <f t="shared" si="119"/>
        <v>122.22588044872509</v>
      </c>
      <c r="AE198" s="4" t="s">
        <v>1268</v>
      </c>
      <c r="AF198" s="4" t="s">
        <v>1269</v>
      </c>
      <c r="AG198" s="4" t="s">
        <v>1270</v>
      </c>
      <c r="AH198" s="4" t="s">
        <v>1267</v>
      </c>
      <c r="AI198" s="4" t="s">
        <v>1271</v>
      </c>
      <c r="AJ198" s="4" t="s">
        <v>1272</v>
      </c>
      <c r="AK198" s="1">
        <v>3.7105800000000001E-4</v>
      </c>
      <c r="AL198" s="4" t="s">
        <v>1273</v>
      </c>
      <c r="AM198" s="1">
        <v>7.4129349999999998E-3</v>
      </c>
      <c r="AN198" s="1">
        <v>1.8074650000000001E-3</v>
      </c>
      <c r="AO198" s="1">
        <v>2.6167233000000002E-2</v>
      </c>
      <c r="AP198" s="1">
        <v>9.0503779999999995E-3</v>
      </c>
    </row>
    <row r="199" spans="1:42">
      <c r="A199" s="1" t="s">
        <v>248</v>
      </c>
      <c r="B199" s="1" t="s">
        <v>1138</v>
      </c>
      <c r="C199" s="1" t="s">
        <v>20</v>
      </c>
      <c r="D199" s="1">
        <v>513</v>
      </c>
      <c r="E199" s="1">
        <v>565</v>
      </c>
      <c r="F199" s="2">
        <f t="shared" si="111"/>
        <v>122.14348915469617</v>
      </c>
      <c r="G199" s="2">
        <f t="shared" si="99"/>
        <v>80.24172873854485</v>
      </c>
      <c r="H199" s="2">
        <f t="shared" si="100"/>
        <v>22.475512511079287</v>
      </c>
      <c r="I199" s="2">
        <f t="shared" si="101"/>
        <v>3.6305298951129998</v>
      </c>
      <c r="J199" s="2">
        <f t="shared" si="102"/>
        <v>16.312477396021663</v>
      </c>
      <c r="K199" s="2">
        <f t="shared" si="103"/>
        <v>67.566971598765875</v>
      </c>
      <c r="L199" s="2">
        <f t="shared" si="104"/>
        <v>59.999999999999588</v>
      </c>
      <c r="M199" s="2">
        <f t="shared" si="112"/>
        <v>37.572500000000005</v>
      </c>
      <c r="N199" s="2">
        <f t="shared" si="105"/>
        <v>0.20434015999999999</v>
      </c>
      <c r="O199" s="2">
        <f t="shared" si="113"/>
        <v>124.4695</v>
      </c>
      <c r="P199" s="2">
        <f t="shared" si="106"/>
        <v>8.739203774864313</v>
      </c>
      <c r="Q199" s="2">
        <f t="shared" si="107"/>
        <v>3.8694392249999998</v>
      </c>
      <c r="R199" s="2">
        <f t="shared" si="108"/>
        <v>0</v>
      </c>
      <c r="S199" s="2">
        <f t="shared" si="109"/>
        <v>24.87563016</v>
      </c>
      <c r="T199" s="2">
        <f t="shared" si="110"/>
        <v>7.5022027749999998</v>
      </c>
      <c r="U199" s="2">
        <f t="shared" si="114"/>
        <v>17.373427384999999</v>
      </c>
      <c r="V199" s="3">
        <f t="shared" si="115"/>
        <v>0.23809647008712703</v>
      </c>
      <c r="W199" s="3">
        <f t="shared" si="116"/>
        <v>0.30408485436262667</v>
      </c>
      <c r="X199" s="3">
        <f t="shared" si="117"/>
        <v>0.39246443085795141</v>
      </c>
      <c r="Y199" s="3">
        <f t="shared" si="118"/>
        <v>0.69654928522057813</v>
      </c>
      <c r="Z199" s="1">
        <v>0.28139999999999998</v>
      </c>
      <c r="AA199" s="1">
        <v>0.2203</v>
      </c>
      <c r="AB199" s="1">
        <v>6.6500000000000004E-2</v>
      </c>
      <c r="AD199" s="2">
        <f t="shared" si="119"/>
        <v>105.83101175867451</v>
      </c>
      <c r="AE199" s="1">
        <v>0.75820619499999997</v>
      </c>
      <c r="AF199" s="4" t="s">
        <v>1140</v>
      </c>
      <c r="AG199" s="1">
        <v>3.4304972000000003E-2</v>
      </c>
      <c r="AH199" s="4" t="s">
        <v>1139</v>
      </c>
      <c r="AI199" s="4" t="s">
        <v>1141</v>
      </c>
      <c r="AJ199" s="4" t="s">
        <v>1142</v>
      </c>
      <c r="AK199" s="1">
        <v>3.6166399999999999E-4</v>
      </c>
      <c r="AL199" s="4" t="s">
        <v>1143</v>
      </c>
      <c r="AM199" s="1">
        <v>6.848565E-3</v>
      </c>
      <c r="AN199" s="1">
        <v>0</v>
      </c>
      <c r="AO199" s="1">
        <v>4.4027664000000001E-2</v>
      </c>
      <c r="AP199" s="1">
        <v>1.3278234999999999E-2</v>
      </c>
    </row>
    <row r="200" spans="1:42">
      <c r="A200" s="1" t="s">
        <v>248</v>
      </c>
      <c r="B200" s="1" t="s">
        <v>247</v>
      </c>
      <c r="C200" s="1" t="s">
        <v>20</v>
      </c>
      <c r="D200" s="1">
        <v>549</v>
      </c>
      <c r="E200" s="1">
        <v>630</v>
      </c>
      <c r="F200" s="2">
        <f t="shared" si="111"/>
        <v>142.17779590246107</v>
      </c>
      <c r="G200" s="2">
        <f t="shared" si="99"/>
        <v>88.149471543473425</v>
      </c>
      <c r="H200" s="2">
        <f t="shared" si="100"/>
        <v>29.853825602823914</v>
      </c>
      <c r="I200" s="2">
        <f t="shared" si="101"/>
        <v>1.7966972441570928</v>
      </c>
      <c r="J200" s="2">
        <f t="shared" si="102"/>
        <v>23.165923566878948</v>
      </c>
      <c r="K200" s="2">
        <f t="shared" si="103"/>
        <v>84.384201052339662</v>
      </c>
      <c r="L200" s="2">
        <f t="shared" si="104"/>
        <v>79.999999999999389</v>
      </c>
      <c r="M200" s="2">
        <f t="shared" si="112"/>
        <v>72.197999999999993</v>
      </c>
      <c r="N200" s="2">
        <f t="shared" si="105"/>
        <v>4.6887485399999997</v>
      </c>
      <c r="O200" s="2">
        <f t="shared" si="113"/>
        <v>183.07799999999938</v>
      </c>
      <c r="P200" s="2">
        <f t="shared" si="106"/>
        <v>3.5957533499999998</v>
      </c>
      <c r="Q200" s="2">
        <f t="shared" si="107"/>
        <v>3.0076433100000002</v>
      </c>
      <c r="R200" s="2">
        <f t="shared" si="108"/>
        <v>0.50000012999999999</v>
      </c>
      <c r="S200" s="2">
        <f t="shared" si="109"/>
        <v>16.154347860000001</v>
      </c>
      <c r="T200" s="2">
        <f t="shared" si="110"/>
        <v>5.9768881199999999</v>
      </c>
      <c r="U200" s="2">
        <f t="shared" si="114"/>
        <v>10.177459740000002</v>
      </c>
      <c r="V200" s="3">
        <f t="shared" si="115"/>
        <v>0.25897594882051195</v>
      </c>
      <c r="W200" s="3">
        <f t="shared" si="116"/>
        <v>0.35405037901112113</v>
      </c>
      <c r="X200" s="3">
        <f t="shared" si="117"/>
        <v>0.44792515254846688</v>
      </c>
      <c r="Y200" s="3">
        <f t="shared" si="118"/>
        <v>0.80197553155958801</v>
      </c>
      <c r="Z200" s="4" t="s">
        <v>249</v>
      </c>
      <c r="AA200" s="4" t="s">
        <v>250</v>
      </c>
      <c r="AB200" s="1">
        <v>0.11459999999999999</v>
      </c>
      <c r="AD200" s="2">
        <f t="shared" si="119"/>
        <v>119.01187233558211</v>
      </c>
      <c r="AE200" s="4" t="s">
        <v>252</v>
      </c>
      <c r="AF200" s="4" t="s">
        <v>253</v>
      </c>
      <c r="AG200" s="1">
        <v>1.5096790000000001E-2</v>
      </c>
      <c r="AH200" s="4" t="s">
        <v>251</v>
      </c>
      <c r="AI200" s="4" t="s">
        <v>254</v>
      </c>
      <c r="AJ200" s="4" t="s">
        <v>255</v>
      </c>
      <c r="AK200" s="1">
        <v>7.4424579999999999E-3</v>
      </c>
      <c r="AL200" s="1">
        <v>5.7075449999999996E-3</v>
      </c>
      <c r="AM200" s="1">
        <v>4.7740370000000001E-3</v>
      </c>
      <c r="AN200" s="1">
        <v>7.9365100000000004E-4</v>
      </c>
      <c r="AO200" s="1">
        <v>2.5641822000000002E-2</v>
      </c>
      <c r="AP200" s="1">
        <v>9.4871239999999996E-3</v>
      </c>
    </row>
    <row r="201" spans="1:42">
      <c r="A201" s="1" t="s">
        <v>248</v>
      </c>
      <c r="B201" s="1" t="s">
        <v>995</v>
      </c>
      <c r="C201" s="1" t="s">
        <v>169</v>
      </c>
      <c r="D201" s="1">
        <v>476</v>
      </c>
      <c r="E201" s="1">
        <v>511</v>
      </c>
      <c r="F201" s="2">
        <f t="shared" si="111"/>
        <v>126.40636383063014</v>
      </c>
      <c r="G201" s="2">
        <f t="shared" si="99"/>
        <v>86.244923617194161</v>
      </c>
      <c r="H201" s="2">
        <f t="shared" si="100"/>
        <v>24.539265653241696</v>
      </c>
      <c r="I201" s="2">
        <f t="shared" si="101"/>
        <v>1.7470872081407181</v>
      </c>
      <c r="J201" s="2">
        <f t="shared" si="102"/>
        <v>14.351497005988016</v>
      </c>
      <c r="K201" s="2">
        <f t="shared" si="103"/>
        <v>59.783552894211184</v>
      </c>
      <c r="L201" s="2">
        <f t="shared" si="104"/>
        <v>61.999999963999997</v>
      </c>
      <c r="M201" s="2">
        <f t="shared" si="112"/>
        <v>28.462699999999998</v>
      </c>
      <c r="N201" s="2">
        <f t="shared" si="105"/>
        <v>1.1749065300000001</v>
      </c>
      <c r="O201" s="2">
        <f t="shared" si="113"/>
        <v>79.664899999999491</v>
      </c>
      <c r="P201" s="2">
        <f t="shared" si="106"/>
        <v>1.9173706230000001</v>
      </c>
      <c r="Q201" s="2">
        <f t="shared" si="107"/>
        <v>5.0798402690000009</v>
      </c>
      <c r="R201" s="2">
        <f t="shared" si="108"/>
        <v>0</v>
      </c>
      <c r="S201" s="2">
        <f t="shared" si="109"/>
        <v>13.153333333333247</v>
      </c>
      <c r="T201" s="2">
        <f t="shared" si="110"/>
        <v>5.0817202379999999</v>
      </c>
      <c r="U201" s="2">
        <f t="shared" si="114"/>
        <v>8.0716130953332481</v>
      </c>
      <c r="V201" s="3">
        <f t="shared" si="115"/>
        <v>0.26555958787947509</v>
      </c>
      <c r="W201" s="3">
        <f t="shared" si="116"/>
        <v>0.30929301901408907</v>
      </c>
      <c r="X201" s="3">
        <f t="shared" si="117"/>
        <v>0.4159048415379239</v>
      </c>
      <c r="Y201" s="3">
        <f t="shared" si="118"/>
        <v>0.72519786055201296</v>
      </c>
      <c r="Z201" s="1">
        <v>0.28949999999999998</v>
      </c>
      <c r="AA201" s="4" t="s">
        <v>996</v>
      </c>
      <c r="AB201" s="1">
        <v>5.57E-2</v>
      </c>
      <c r="AD201" s="2">
        <f t="shared" si="119"/>
        <v>112.05486682464212</v>
      </c>
      <c r="AE201" s="4" t="s">
        <v>998</v>
      </c>
      <c r="AF201" s="4" t="s">
        <v>875</v>
      </c>
      <c r="AG201" s="1">
        <v>1.5591354999999999E-2</v>
      </c>
      <c r="AH201" s="4" t="s">
        <v>997</v>
      </c>
      <c r="AI201" s="4" t="s">
        <v>999</v>
      </c>
      <c r="AJ201" s="1">
        <v>0.121330724</v>
      </c>
      <c r="AK201" s="1">
        <v>2.2992300000000002E-3</v>
      </c>
      <c r="AL201" s="1">
        <v>3.752193E-3</v>
      </c>
      <c r="AM201" s="1">
        <v>9.9409790000000008E-3</v>
      </c>
      <c r="AN201" s="1">
        <v>0</v>
      </c>
      <c r="AO201" s="4" t="s">
        <v>1000</v>
      </c>
      <c r="AP201" s="1">
        <v>9.9446580000000003E-3</v>
      </c>
    </row>
  </sheetData>
  <sortState xmlns:xlrd2="http://schemas.microsoft.com/office/spreadsheetml/2017/richdata2" ref="A2:AP201">
    <sortCondition ref="A2:A201"/>
  </sortState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8DACF-684E-E542-A6C2-B7A1B31BC132}">
  <dimension ref="A1:AX204"/>
  <sheetViews>
    <sheetView topLeftCell="A99" zoomScaleNormal="100" workbookViewId="0">
      <selection activeCell="AI17" sqref="AI17"/>
    </sheetView>
  </sheetViews>
  <sheetFormatPr baseColWidth="10" defaultColWidth="10.83203125" defaultRowHeight="15"/>
  <cols>
    <col min="2" max="2" width="13.5" style="8" customWidth="1"/>
    <col min="6" max="6" width="10.83203125" style="5"/>
    <col min="7" max="7" width="10.83203125" style="5" customWidth="1"/>
    <col min="8" max="8" width="10.83203125" style="5"/>
    <col min="10" max="12" width="10.83203125" style="5"/>
    <col min="13" max="13" width="10.83203125" style="6"/>
    <col min="14" max="14" width="10.83203125" customWidth="1"/>
  </cols>
  <sheetData>
    <row r="1" spans="1:50">
      <c r="A1" t="s">
        <v>1</v>
      </c>
      <c r="B1" s="8" t="s">
        <v>0</v>
      </c>
      <c r="C1" t="s">
        <v>2</v>
      </c>
      <c r="D1" t="s">
        <v>1314</v>
      </c>
      <c r="E1" t="s">
        <v>1315</v>
      </c>
      <c r="F1" s="5" t="s">
        <v>1305</v>
      </c>
      <c r="G1" s="5" t="s">
        <v>1303</v>
      </c>
      <c r="H1" s="5" t="s">
        <v>1306</v>
      </c>
      <c r="I1" s="5" t="s">
        <v>1311</v>
      </c>
      <c r="J1" s="5" t="s">
        <v>1307</v>
      </c>
      <c r="K1" s="5" t="s">
        <v>1312</v>
      </c>
      <c r="L1" s="5" t="s">
        <v>1310</v>
      </c>
      <c r="M1" s="6" t="s">
        <v>1304</v>
      </c>
      <c r="N1" s="5"/>
      <c r="O1" t="s">
        <v>1282</v>
      </c>
      <c r="P1" t="s">
        <v>1286</v>
      </c>
      <c r="Q1" s="1" t="s">
        <v>1287</v>
      </c>
      <c r="R1" s="1" t="s">
        <v>1288</v>
      </c>
      <c r="S1" s="1" t="s">
        <v>1289</v>
      </c>
      <c r="T1" s="1" t="s">
        <v>1313</v>
      </c>
      <c r="U1" s="1" t="s">
        <v>1292</v>
      </c>
      <c r="V1" s="1" t="s">
        <v>1295</v>
      </c>
      <c r="W1" s="1" t="s">
        <v>1297</v>
      </c>
      <c r="X1" s="1" t="s">
        <v>1298</v>
      </c>
      <c r="Y1" s="1" t="s">
        <v>1301</v>
      </c>
      <c r="Z1" s="1"/>
      <c r="AA1" s="1"/>
      <c r="AB1" t="s">
        <v>1316</v>
      </c>
      <c r="AC1" t="s">
        <v>124</v>
      </c>
      <c r="AD1" t="s">
        <v>169</v>
      </c>
      <c r="AE1" t="s">
        <v>49</v>
      </c>
      <c r="AF1" t="s">
        <v>1317</v>
      </c>
      <c r="AG1" t="s">
        <v>1318</v>
      </c>
      <c r="AH1" t="s">
        <v>1319</v>
      </c>
      <c r="AI1" t="s">
        <v>1320</v>
      </c>
      <c r="AJ1" t="s">
        <v>1321</v>
      </c>
      <c r="AK1" t="s">
        <v>1322</v>
      </c>
      <c r="AL1" t="s">
        <v>1323</v>
      </c>
      <c r="AM1" t="s">
        <v>1324</v>
      </c>
      <c r="AN1" t="s">
        <v>1325</v>
      </c>
      <c r="AO1" t="s">
        <v>1326</v>
      </c>
      <c r="AP1" t="s">
        <v>1327</v>
      </c>
      <c r="AQ1" t="s">
        <v>1328</v>
      </c>
      <c r="AR1" t="s">
        <v>1329</v>
      </c>
      <c r="AS1" t="s">
        <v>1330</v>
      </c>
      <c r="AT1" t="s">
        <v>1331</v>
      </c>
      <c r="AU1" t="s">
        <v>1332</v>
      </c>
      <c r="AV1" t="s">
        <v>3</v>
      </c>
      <c r="AW1" t="s">
        <v>4</v>
      </c>
      <c r="AX1" t="s">
        <v>5</v>
      </c>
    </row>
    <row r="2" spans="1:50" s="10" customFormat="1">
      <c r="A2" s="10" t="s">
        <v>19</v>
      </c>
      <c r="B2" s="10" t="s">
        <v>18</v>
      </c>
      <c r="C2" s="10" t="s">
        <v>20</v>
      </c>
      <c r="D2" s="10">
        <v>512</v>
      </c>
      <c r="E2" s="10">
        <v>637</v>
      </c>
      <c r="F2" s="11">
        <v>2.5018811087053989</v>
      </c>
      <c r="G2" s="11">
        <v>3.6574934514429205</v>
      </c>
      <c r="H2" s="11">
        <v>2.7553725665406827</v>
      </c>
      <c r="I2" s="11">
        <v>-0.15795484386212291</v>
      </c>
      <c r="J2" s="11">
        <v>3.6525367657632617</v>
      </c>
      <c r="K2" s="11">
        <v>-1.3139447625958414</v>
      </c>
      <c r="L2" s="11">
        <v>5.0428574796504151</v>
      </c>
      <c r="M2" s="11">
        <v>22.793777944392804</v>
      </c>
      <c r="O2" s="10">
        <v>120.65593734809443</v>
      </c>
      <c r="P2" s="10">
        <v>255.55960332934569</v>
      </c>
      <c r="Q2" s="10">
        <v>155.6036084388991</v>
      </c>
      <c r="R2" s="10">
        <v>166.05871235242239</v>
      </c>
      <c r="S2" s="10">
        <v>228.57499312000525</v>
      </c>
      <c r="T2" s="10">
        <v>63.080686526176827</v>
      </c>
      <c r="U2" s="10">
        <v>101.19034913127673</v>
      </c>
      <c r="V2" s="10">
        <v>86.264740965023677</v>
      </c>
      <c r="W2" s="10">
        <v>91.035065442463278</v>
      </c>
      <c r="X2" s="10">
        <v>115.4854537310954</v>
      </c>
      <c r="Y2" s="10">
        <v>142.74045880675465</v>
      </c>
      <c r="AB2" s="10">
        <v>149.1533040298992</v>
      </c>
      <c r="AC2" s="10">
        <v>73.222548905120874</v>
      </c>
      <c r="AD2" s="10">
        <v>25.764299537357424</v>
      </c>
      <c r="AE2" s="10">
        <v>0.98024377412335495</v>
      </c>
      <c r="AF2" s="10">
        <v>49.770754760999999</v>
      </c>
      <c r="AG2" s="10">
        <v>108.02975799835883</v>
      </c>
      <c r="AH2" s="10">
        <v>111.99999999999947</v>
      </c>
      <c r="AI2" s="10">
        <v>110.0099</v>
      </c>
      <c r="AJ2" s="10">
        <v>22.518975569999998</v>
      </c>
      <c r="AK2" s="10">
        <v>156.63830000000002</v>
      </c>
      <c r="AL2" s="10">
        <v>6.0181606940000005</v>
      </c>
      <c r="AM2" s="10">
        <v>4.2050312850000005</v>
      </c>
      <c r="AN2" s="10">
        <v>0.49999977299999998</v>
      </c>
      <c r="AO2" s="10">
        <v>9.5543478260869552</v>
      </c>
      <c r="AP2" s="10">
        <v>2.1929221860000001</v>
      </c>
      <c r="AQ2" s="10">
        <v>7.3614256400869547</v>
      </c>
      <c r="AR2" s="10">
        <v>0.29131504693339688</v>
      </c>
      <c r="AS2" s="10">
        <v>0.44347973376117028</v>
      </c>
      <c r="AT2" s="10">
        <v>0.63823222333243312</v>
      </c>
      <c r="AU2" s="10">
        <v>1.0817119570936033</v>
      </c>
      <c r="AV2" s="10">
        <v>0.32079999999999997</v>
      </c>
      <c r="AW2" s="10">
        <v>0.24590000000000001</v>
      </c>
      <c r="AX2" s="10">
        <v>0.17269999999999999</v>
      </c>
    </row>
    <row r="3" spans="1:50" s="10" customFormat="1">
      <c r="A3" s="10" t="s">
        <v>27</v>
      </c>
      <c r="B3" s="10" t="s">
        <v>26</v>
      </c>
      <c r="C3" s="10" t="s">
        <v>28</v>
      </c>
      <c r="D3" s="10">
        <v>559</v>
      </c>
      <c r="E3" s="10">
        <v>659</v>
      </c>
      <c r="F3" s="11">
        <v>3.5052038276188862</v>
      </c>
      <c r="G3" s="11">
        <v>3.3342696309285005</v>
      </c>
      <c r="H3" s="11">
        <v>2.5698421304850885</v>
      </c>
      <c r="I3" s="11">
        <v>1.3629825109032463</v>
      </c>
      <c r="J3" s="11">
        <v>2.5114975107149116</v>
      </c>
      <c r="K3" s="11">
        <v>-1.3817848137831765</v>
      </c>
      <c r="L3" s="11">
        <v>3.9894967194599147</v>
      </c>
      <c r="M3" s="11">
        <v>21.457768311185987</v>
      </c>
      <c r="O3" s="10">
        <v>128.1088411107755</v>
      </c>
      <c r="P3" s="10">
        <v>241.81232805097642</v>
      </c>
      <c r="Q3" s="10">
        <v>177.90217546760368</v>
      </c>
      <c r="R3" s="10">
        <v>161.61071070762011</v>
      </c>
      <c r="S3" s="10">
        <v>188.40863100623744</v>
      </c>
      <c r="T3" s="10">
        <v>61.174511938656643</v>
      </c>
      <c r="U3" s="10">
        <v>83.854585618897346</v>
      </c>
      <c r="V3" s="10">
        <v>218.52069483693674</v>
      </c>
      <c r="W3" s="10">
        <v>223.68689511273755</v>
      </c>
      <c r="X3" s="10">
        <v>112.30933162244837</v>
      </c>
      <c r="Y3" s="10">
        <v>133.81275812093338</v>
      </c>
      <c r="AB3" s="10">
        <v>158.36648694698758</v>
      </c>
      <c r="AC3" s="10">
        <v>77.448973095626044</v>
      </c>
      <c r="AD3" s="10">
        <v>29.800803866572235</v>
      </c>
      <c r="AE3" s="10">
        <v>5.5242615440328882</v>
      </c>
      <c r="AF3" s="10">
        <v>47.093444819999995</v>
      </c>
      <c r="AG3" s="10">
        <v>123.51081800711206</v>
      </c>
      <c r="AH3" s="10">
        <v>108.999999716</v>
      </c>
      <c r="AI3" s="10">
        <v>90.678399999999996</v>
      </c>
      <c r="AJ3" s="10">
        <v>14.921077341</v>
      </c>
      <c r="AK3" s="10">
        <v>158.81899999999999</v>
      </c>
      <c r="AL3" s="10">
        <v>4.9871393419999999</v>
      </c>
      <c r="AM3" s="10">
        <v>4.0146339309999997</v>
      </c>
      <c r="AN3" s="10">
        <v>0.49999977500000004</v>
      </c>
      <c r="AO3" s="10">
        <v>24.202503854</v>
      </c>
      <c r="AP3" s="10">
        <v>6.1143700449999994</v>
      </c>
      <c r="AQ3" s="10">
        <v>18.088133808999999</v>
      </c>
      <c r="AR3" s="10">
        <v>0.28330319668512982</v>
      </c>
      <c r="AS3" s="10">
        <v>0.40225460261124263</v>
      </c>
      <c r="AT3" s="10">
        <v>0.61180169005522211</v>
      </c>
      <c r="AU3" s="10">
        <v>1.0140562926664647</v>
      </c>
      <c r="AV3" s="10">
        <v>0.31159999999999999</v>
      </c>
      <c r="AW3" s="10">
        <v>0.24099999999999999</v>
      </c>
      <c r="AX3" s="10">
        <v>0.1376</v>
      </c>
    </row>
    <row r="4" spans="1:50" s="10" customFormat="1">
      <c r="A4" s="10" t="s">
        <v>40</v>
      </c>
      <c r="B4" s="10" t="s">
        <v>39</v>
      </c>
      <c r="C4" s="10" t="s">
        <v>20</v>
      </c>
      <c r="D4" s="10">
        <v>542</v>
      </c>
      <c r="E4" s="10">
        <v>675</v>
      </c>
      <c r="F4" s="11">
        <v>2.6263055842813521</v>
      </c>
      <c r="G4" s="11">
        <v>2.2487145932585251</v>
      </c>
      <c r="H4" s="11">
        <v>1.9514074197416686</v>
      </c>
      <c r="I4" s="11">
        <v>1.0675600906593947</v>
      </c>
      <c r="J4" s="11">
        <v>4.3506593063322727</v>
      </c>
      <c r="K4" s="11">
        <v>-0.12632233579825428</v>
      </c>
      <c r="L4" s="11">
        <v>3.0199477459615847</v>
      </c>
      <c r="M4" s="11">
        <v>20.623512779591341</v>
      </c>
      <c r="O4" s="10">
        <v>119.47347788912116</v>
      </c>
      <c r="P4" s="10">
        <v>195.64177072967928</v>
      </c>
      <c r="Q4" s="10">
        <v>158.36890763559859</v>
      </c>
      <c r="R4" s="10">
        <v>146.78404038294482</v>
      </c>
      <c r="S4" s="10">
        <v>253.14999581181908</v>
      </c>
      <c r="T4" s="10">
        <v>96.45058601636525</v>
      </c>
      <c r="U4" s="10">
        <v>65.732813428593957</v>
      </c>
      <c r="V4" s="10">
        <v>192.83168544934944</v>
      </c>
      <c r="W4" s="10">
        <v>197.13256908349075</v>
      </c>
      <c r="X4" s="10">
        <v>108.0241276237582</v>
      </c>
      <c r="Y4" s="10">
        <v>125.59539958360479</v>
      </c>
      <c r="AB4" s="10">
        <v>147.69156299117645</v>
      </c>
      <c r="AC4" s="10">
        <v>82.692410449880583</v>
      </c>
      <c r="AD4" s="10">
        <v>25.770542406870437</v>
      </c>
      <c r="AE4" s="10">
        <v>1.0265949431612353</v>
      </c>
      <c r="AF4" s="10">
        <v>38.10163447251108</v>
      </c>
      <c r="AG4" s="10">
        <v>109.9496016704277</v>
      </c>
      <c r="AH4" s="10">
        <v>98.999999999999545</v>
      </c>
      <c r="AI4" s="10">
        <v>121.83749999999999</v>
      </c>
      <c r="AJ4" s="10">
        <v>8.9533410750000009</v>
      </c>
      <c r="AK4" s="10">
        <v>118.46249999999999</v>
      </c>
      <c r="AL4" s="10">
        <v>3.909371175</v>
      </c>
      <c r="AM4" s="10">
        <v>4.0095094500000004</v>
      </c>
      <c r="AN4" s="10">
        <v>1.0037310750000001</v>
      </c>
      <c r="AO4" s="10">
        <v>21.3572889</v>
      </c>
      <c r="AP4" s="10">
        <v>5.4164342249999997</v>
      </c>
      <c r="AQ4" s="10">
        <v>15.940854675000001</v>
      </c>
      <c r="AR4" s="10">
        <v>0.27249365865530711</v>
      </c>
      <c r="AS4" s="10">
        <v>0.41724531469601434</v>
      </c>
      <c r="AT4" s="10">
        <v>0.53453840956300647</v>
      </c>
      <c r="AU4" s="10">
        <v>0.9517837242590208</v>
      </c>
      <c r="AV4" s="10">
        <v>0.28139999999999998</v>
      </c>
      <c r="AW4" s="10" t="s">
        <v>41</v>
      </c>
      <c r="AX4" s="10">
        <v>0.18049999999999999</v>
      </c>
    </row>
    <row r="5" spans="1:50" s="10" customFormat="1">
      <c r="A5" s="10" t="s">
        <v>27</v>
      </c>
      <c r="B5" s="10" t="s">
        <v>81</v>
      </c>
      <c r="C5" s="10" t="s">
        <v>20</v>
      </c>
      <c r="D5" s="10">
        <v>528</v>
      </c>
      <c r="E5" s="10">
        <v>620</v>
      </c>
      <c r="F5" s="11">
        <v>1.6885938756643126</v>
      </c>
      <c r="G5" s="11">
        <v>1.0830486818409988</v>
      </c>
      <c r="H5" s="11">
        <v>1.2711292186040359</v>
      </c>
      <c r="I5" s="11">
        <v>1.2124143615965326</v>
      </c>
      <c r="J5" s="11">
        <v>1.9824930248009724</v>
      </c>
      <c r="K5" s="11">
        <v>0.73330540503453245</v>
      </c>
      <c r="L5" s="11">
        <v>1.6586094924127717</v>
      </c>
      <c r="M5" s="11">
        <v>12.612066297633408</v>
      </c>
      <c r="O5" s="10">
        <v>114.50992978202511</v>
      </c>
      <c r="P5" s="10">
        <v>146.06395761750167</v>
      </c>
      <c r="Q5" s="10">
        <v>137.52852697438772</v>
      </c>
      <c r="R5" s="10">
        <v>130.47470256261752</v>
      </c>
      <c r="S5" s="10">
        <v>169.78684770910934</v>
      </c>
      <c r="T5" s="10">
        <v>120.60446747170164</v>
      </c>
      <c r="U5" s="10">
        <v>59.482047323995616</v>
      </c>
      <c r="V5" s="10">
        <v>205.4277596500302</v>
      </c>
      <c r="W5" s="10">
        <v>229.07426349282647</v>
      </c>
      <c r="X5" s="10">
        <v>106.28152414814114</v>
      </c>
      <c r="Y5" s="10">
        <v>114.057452738457</v>
      </c>
      <c r="AB5" s="10">
        <v>141.55568923182003</v>
      </c>
      <c r="AC5" s="10">
        <v>82.225983485050222</v>
      </c>
      <c r="AD5" s="10">
        <v>28.102189303768522</v>
      </c>
      <c r="AE5" s="10">
        <v>2.0822302340284535</v>
      </c>
      <c r="AF5" s="10">
        <v>28.446254099999997</v>
      </c>
      <c r="AG5" s="10">
        <v>95.480905847680518</v>
      </c>
      <c r="AH5" s="10">
        <v>87.999999999999531</v>
      </c>
      <c r="AI5" s="10">
        <v>81.715999999999994</v>
      </c>
      <c r="AJ5" s="10">
        <v>5.67508692</v>
      </c>
      <c r="AK5" s="10">
        <v>90.83</v>
      </c>
      <c r="AL5" s="10">
        <v>3.5376152199999997</v>
      </c>
      <c r="AM5" s="10">
        <v>4.8390882199999998</v>
      </c>
      <c r="AN5" s="10">
        <v>1.0354055799999999</v>
      </c>
      <c r="AO5" s="10">
        <v>22.752381179999997</v>
      </c>
      <c r="AP5" s="10">
        <v>4.2286052199999995</v>
      </c>
      <c r="AQ5" s="10">
        <v>18.523775959999998</v>
      </c>
      <c r="AR5" s="10">
        <v>0.26809789627238639</v>
      </c>
      <c r="AS5" s="10">
        <v>0.37483566696725618</v>
      </c>
      <c r="AT5" s="10">
        <v>0.48951149468687993</v>
      </c>
      <c r="AU5" s="10">
        <v>0.86434716165413605</v>
      </c>
      <c r="AV5" s="10">
        <v>0.27350000000000002</v>
      </c>
      <c r="AW5" s="10">
        <v>0.14649999999999999</v>
      </c>
      <c r="AX5" s="10">
        <v>0.1318</v>
      </c>
    </row>
    <row r="6" spans="1:50" s="10" customFormat="1">
      <c r="A6" s="10" t="s">
        <v>116</v>
      </c>
      <c r="B6" s="10" t="s">
        <v>115</v>
      </c>
      <c r="C6" s="10" t="s">
        <v>20</v>
      </c>
      <c r="D6" s="10">
        <v>549</v>
      </c>
      <c r="E6" s="10">
        <v>657</v>
      </c>
      <c r="F6" s="11">
        <v>1.8302777265734018</v>
      </c>
      <c r="G6" s="11">
        <v>2.535373706951972</v>
      </c>
      <c r="H6" s="11">
        <v>2.3224682567258377</v>
      </c>
      <c r="I6" s="11">
        <v>-0.52759775470118286</v>
      </c>
      <c r="J6" s="11">
        <v>2.9257045289132817</v>
      </c>
      <c r="K6" s="11">
        <v>-2.2783610705948489</v>
      </c>
      <c r="L6" s="11">
        <v>1.3886852331905051</v>
      </c>
      <c r="M6" s="11">
        <v>12.323282916646141</v>
      </c>
      <c r="O6" s="10">
        <v>101.14535931164096</v>
      </c>
      <c r="P6" s="10">
        <v>207.83388497647366</v>
      </c>
      <c r="Q6" s="10">
        <v>140.67741096437911</v>
      </c>
      <c r="R6" s="10">
        <v>155.68004283039622</v>
      </c>
      <c r="S6" s="10">
        <v>202.98936432405372</v>
      </c>
      <c r="T6" s="10">
        <v>35.982448451130338</v>
      </c>
      <c r="U6" s="10">
        <v>118.08166660158618</v>
      </c>
      <c r="V6" s="10">
        <v>54.121749926084981</v>
      </c>
      <c r="W6" s="10">
        <v>49.551039109843231</v>
      </c>
      <c r="X6" s="10">
        <v>90.286364330442467</v>
      </c>
      <c r="Y6" s="10">
        <v>111.76972465397566</v>
      </c>
      <c r="AB6" s="10">
        <v>125.03458064478617</v>
      </c>
      <c r="AC6" s="10">
        <v>62.440323898257574</v>
      </c>
      <c r="AD6" s="10">
        <v>20.493498627974841</v>
      </c>
      <c r="AE6" s="10">
        <v>1.0202595229822298</v>
      </c>
      <c r="AF6" s="10">
        <v>40.476073626000002</v>
      </c>
      <c r="AG6" s="10">
        <v>97.667058076516852</v>
      </c>
      <c r="AH6" s="10">
        <v>104.99999999999966</v>
      </c>
      <c r="AI6" s="10">
        <v>97.695899999999995</v>
      </c>
      <c r="AJ6" s="10">
        <v>4.6801795769999996</v>
      </c>
      <c r="AK6" s="10">
        <v>187.63919999999936</v>
      </c>
      <c r="AL6" s="10">
        <v>7.0227492119999999</v>
      </c>
      <c r="AM6" s="10">
        <v>3.2184051660000002</v>
      </c>
      <c r="AN6" s="10">
        <v>0.49999999499999997</v>
      </c>
      <c r="AO6" s="10">
        <v>5.9943149189999998</v>
      </c>
      <c r="AP6" s="10">
        <v>1.9874381399999999</v>
      </c>
      <c r="AQ6" s="10">
        <v>4.0068767789999997</v>
      </c>
      <c r="AR6" s="10">
        <v>0.22774969152055768</v>
      </c>
      <c r="AS6" s="10">
        <v>0.35813532637053452</v>
      </c>
      <c r="AT6" s="10">
        <v>0.4888750350221383</v>
      </c>
      <c r="AU6" s="10">
        <v>0.84701036139267283</v>
      </c>
      <c r="AV6" s="10">
        <v>0.26090000000000002</v>
      </c>
      <c r="AW6" s="10" t="s">
        <v>117</v>
      </c>
      <c r="AX6" s="10">
        <v>0.1487</v>
      </c>
    </row>
    <row r="7" spans="1:50" s="12" customFormat="1">
      <c r="A7" s="12" t="s">
        <v>123</v>
      </c>
      <c r="B7" s="12" t="s">
        <v>122</v>
      </c>
      <c r="C7" s="12" t="s">
        <v>124</v>
      </c>
      <c r="D7" s="12">
        <v>577</v>
      </c>
      <c r="E7" s="12">
        <v>663</v>
      </c>
      <c r="F7" s="13">
        <v>1.6862902137032616</v>
      </c>
      <c r="G7" s="13">
        <v>1.4758639070429436</v>
      </c>
      <c r="H7" s="13">
        <v>1.7040335093711325</v>
      </c>
      <c r="I7" s="13">
        <v>-0.60531678373200104</v>
      </c>
      <c r="J7" s="13">
        <v>1.4717272234075922</v>
      </c>
      <c r="K7" s="13">
        <v>0.76214994828252536</v>
      </c>
      <c r="L7" s="13">
        <v>2.3939395119053186</v>
      </c>
      <c r="M7" s="13">
        <v>12.219421976390247</v>
      </c>
      <c r="O7" s="12">
        <v>138.95163352264476</v>
      </c>
      <c r="P7" s="12">
        <v>162.77107724065098</v>
      </c>
      <c r="Q7" s="12">
        <v>137.47732873110903</v>
      </c>
      <c r="R7" s="12">
        <v>140.85337162798322</v>
      </c>
      <c r="S7" s="12">
        <v>151.80709456448506</v>
      </c>
      <c r="T7" s="12">
        <v>121.41494350120993</v>
      </c>
      <c r="U7" s="12">
        <v>110.97348997820994</v>
      </c>
      <c r="V7" s="12">
        <v>47.363546318116235</v>
      </c>
      <c r="W7" s="12">
        <v>40.127762890094964</v>
      </c>
      <c r="X7" s="12">
        <v>118.01477741437621</v>
      </c>
      <c r="Y7" s="12">
        <v>120.28970152484746</v>
      </c>
      <c r="AB7" s="12">
        <v>171.77020622252442</v>
      </c>
      <c r="AC7" s="12">
        <v>109.075948001119</v>
      </c>
      <c r="AD7" s="12">
        <v>31.093599020355299</v>
      </c>
      <c r="AE7" s="12">
        <v>0.51805344044914026</v>
      </c>
      <c r="AF7" s="12">
        <v>31.699999773000002</v>
      </c>
      <c r="AG7" s="12">
        <v>95.445360824741584</v>
      </c>
      <c r="AH7" s="12">
        <v>94.999999692000003</v>
      </c>
      <c r="AI7" s="12">
        <v>73.062599999999335</v>
      </c>
      <c r="AJ7" s="12">
        <v>8.4939615150000005</v>
      </c>
      <c r="AK7" s="12">
        <v>89.902799999999999</v>
      </c>
      <c r="AL7" s="12">
        <v>6.5999999129999996</v>
      </c>
      <c r="AM7" s="12">
        <v>4.0000003289999997</v>
      </c>
      <c r="AN7" s="12">
        <v>0</v>
      </c>
      <c r="AO7" s="12">
        <v>5.2458025230000001</v>
      </c>
      <c r="AP7" s="12">
        <v>2.0009260439999998</v>
      </c>
      <c r="AQ7" s="12">
        <v>3.2448764790000002</v>
      </c>
      <c r="AR7" s="12">
        <v>0.29769533140818788</v>
      </c>
      <c r="AS7" s="12">
        <v>0.39230879689291215</v>
      </c>
      <c r="AT7" s="12">
        <v>0.51926742713202256</v>
      </c>
      <c r="AU7" s="12">
        <v>0.91157622402493477</v>
      </c>
      <c r="AV7" s="12">
        <v>0.3049</v>
      </c>
      <c r="AW7" s="12">
        <v>0.1356</v>
      </c>
      <c r="AX7" s="12" t="s">
        <v>125</v>
      </c>
    </row>
    <row r="8" spans="1:50" s="12" customFormat="1">
      <c r="A8" s="12" t="s">
        <v>66</v>
      </c>
      <c r="B8" s="12" t="s">
        <v>65</v>
      </c>
      <c r="C8" s="12" t="s">
        <v>20</v>
      </c>
      <c r="D8" s="12">
        <v>533</v>
      </c>
      <c r="E8" s="12">
        <v>629</v>
      </c>
      <c r="F8" s="13">
        <v>2.4838393982208671</v>
      </c>
      <c r="G8" s="13">
        <v>1.1681745627347149</v>
      </c>
      <c r="H8" s="13">
        <v>0.65269449029708981</v>
      </c>
      <c r="I8" s="13">
        <v>1.4207309231575533</v>
      </c>
      <c r="J8" s="13">
        <v>2.078496974227356</v>
      </c>
      <c r="K8" s="13">
        <v>-0.44068492636694678</v>
      </c>
      <c r="L8" s="13">
        <v>2.1053451608245823</v>
      </c>
      <c r="M8" s="13">
        <v>12.039764451127494</v>
      </c>
      <c r="O8" s="12">
        <v>122.02544329337996</v>
      </c>
      <c r="P8" s="12">
        <v>149.68451044710781</v>
      </c>
      <c r="Q8" s="12">
        <v>155.20263646550706</v>
      </c>
      <c r="R8" s="12">
        <v>115.64803181686526</v>
      </c>
      <c r="S8" s="12">
        <v>173.16633652156793</v>
      </c>
      <c r="T8" s="12">
        <v>87.617603568366704</v>
      </c>
      <c r="U8" s="12">
        <v>128.79061302290484</v>
      </c>
      <c r="V8" s="12">
        <v>223.54231609132435</v>
      </c>
      <c r="W8" s="12">
        <v>232.30728171644691</v>
      </c>
      <c r="X8" s="12">
        <v>112.19454277727225</v>
      </c>
      <c r="Y8" s="12">
        <v>117.84373611257818</v>
      </c>
      <c r="AB8" s="12">
        <v>150.84626950774899</v>
      </c>
      <c r="AC8" s="12">
        <v>93.987537488564541</v>
      </c>
      <c r="AD8" s="12">
        <v>24.86912696642241</v>
      </c>
      <c r="AE8" s="12">
        <v>1.9749526660262553</v>
      </c>
      <c r="AF8" s="12">
        <v>29.151364159</v>
      </c>
      <c r="AG8" s="12">
        <v>107.75137817359611</v>
      </c>
      <c r="AH8" s="12">
        <v>77.999999999999403</v>
      </c>
      <c r="AI8" s="12">
        <v>83.342500000000001</v>
      </c>
      <c r="AJ8" s="12">
        <v>3.6083226580000001</v>
      </c>
      <c r="AK8" s="12">
        <v>128.5676</v>
      </c>
      <c r="AL8" s="12">
        <v>7.6596494794684098</v>
      </c>
      <c r="AM8" s="12">
        <v>3.8308188280000004</v>
      </c>
      <c r="AN8" s="12">
        <v>0.50000027699999994</v>
      </c>
      <c r="AO8" s="12">
        <v>24.758679130000001</v>
      </c>
      <c r="AP8" s="12">
        <v>5.9734695880000004</v>
      </c>
      <c r="AQ8" s="12">
        <v>18.785209542</v>
      </c>
      <c r="AR8" s="12">
        <v>0.28301363885131142</v>
      </c>
      <c r="AS8" s="12">
        <v>0.39349786098301892</v>
      </c>
      <c r="AT8" s="12">
        <v>0.49954241286207907</v>
      </c>
      <c r="AU8" s="12">
        <v>0.89304027384509799</v>
      </c>
      <c r="AV8" s="12">
        <v>0.32100000000000001</v>
      </c>
      <c r="AW8" s="12" t="s">
        <v>67</v>
      </c>
      <c r="AX8" s="12">
        <v>0.13250000000000001</v>
      </c>
    </row>
    <row r="9" spans="1:50" s="12" customFormat="1">
      <c r="A9" s="12" t="s">
        <v>48</v>
      </c>
      <c r="B9" s="12" t="s">
        <v>47</v>
      </c>
      <c r="C9" s="12" t="s">
        <v>49</v>
      </c>
      <c r="D9" s="12">
        <v>575</v>
      </c>
      <c r="E9" s="12">
        <v>649</v>
      </c>
      <c r="F9" s="13">
        <v>1.4091592642560253</v>
      </c>
      <c r="G9" s="13">
        <v>0.83822594052963273</v>
      </c>
      <c r="H9" s="13">
        <v>1.332972691434732</v>
      </c>
      <c r="I9" s="13">
        <v>2.3548239196371616</v>
      </c>
      <c r="J9" s="13">
        <v>0.85968655178632147</v>
      </c>
      <c r="K9" s="13">
        <v>1.1967406517616319</v>
      </c>
      <c r="L9" s="13">
        <v>1.2037862070620302</v>
      </c>
      <c r="M9" s="13">
        <v>11.480947739035962</v>
      </c>
      <c r="O9" s="12">
        <v>125.53673809736586</v>
      </c>
      <c r="P9" s="12">
        <v>135.65121757298448</v>
      </c>
      <c r="Q9" s="12">
        <v>131.31817082958185</v>
      </c>
      <c r="R9" s="12">
        <v>131.95736963719278</v>
      </c>
      <c r="S9" s="12">
        <v>130.26230797109838</v>
      </c>
      <c r="T9" s="12">
        <v>133.62610402431764</v>
      </c>
      <c r="U9" s="12">
        <v>67.759917082570439</v>
      </c>
      <c r="V9" s="12">
        <v>304.7681206041882</v>
      </c>
      <c r="W9" s="12">
        <v>328.36909079442108</v>
      </c>
      <c r="X9" s="12">
        <v>106.99205848361629</v>
      </c>
      <c r="Y9" s="12">
        <v>110.2026232156457</v>
      </c>
      <c r="AB9" s="12">
        <v>155.18688657930318</v>
      </c>
      <c r="AC9" s="12">
        <v>94.218140195810093</v>
      </c>
      <c r="AD9" s="12">
        <v>31.712527074746824</v>
      </c>
      <c r="AE9" s="12">
        <v>2.7347536235613017</v>
      </c>
      <c r="AF9" s="12">
        <v>26.418351707000003</v>
      </c>
      <c r="AG9" s="12">
        <v>91.169288153606004</v>
      </c>
      <c r="AH9" s="12">
        <v>88.999999999999559</v>
      </c>
      <c r="AI9" s="12">
        <v>62.693400000000004</v>
      </c>
      <c r="AJ9" s="12">
        <v>18.393545900087823</v>
      </c>
      <c r="AK9" s="12">
        <v>75.932999999999353</v>
      </c>
      <c r="AL9" s="12">
        <v>4.0299304540000005</v>
      </c>
      <c r="AM9" s="12">
        <v>6.044789894</v>
      </c>
      <c r="AN9" s="12">
        <v>0</v>
      </c>
      <c r="AO9" s="12">
        <v>33.754933915999999</v>
      </c>
      <c r="AP9" s="12">
        <v>7.201818008</v>
      </c>
      <c r="AQ9" s="12">
        <v>26.553115907999999</v>
      </c>
      <c r="AR9" s="12">
        <v>0.26989023752922292</v>
      </c>
      <c r="AS9" s="12">
        <v>0.36292439999903819</v>
      </c>
      <c r="AT9" s="12">
        <v>0.47221019485910898</v>
      </c>
      <c r="AU9" s="12">
        <v>0.83513459485814723</v>
      </c>
      <c r="AV9" s="12">
        <v>0.26900000000000002</v>
      </c>
      <c r="AW9" s="12" t="s">
        <v>50</v>
      </c>
      <c r="AX9" s="12">
        <v>9.6600000000000005E-2</v>
      </c>
    </row>
    <row r="10" spans="1:50" s="12" customFormat="1">
      <c r="A10" s="12" t="s">
        <v>33</v>
      </c>
      <c r="B10" s="12" t="s">
        <v>32</v>
      </c>
      <c r="C10" s="12" t="s">
        <v>34</v>
      </c>
      <c r="D10" s="12">
        <v>598</v>
      </c>
      <c r="E10" s="12">
        <v>660</v>
      </c>
      <c r="F10" s="13">
        <v>2.0768585229917185</v>
      </c>
      <c r="G10" s="13">
        <v>1.3756751742783035</v>
      </c>
      <c r="H10" s="13">
        <v>1.5185031099268238</v>
      </c>
      <c r="I10" s="13">
        <v>2.3609406334116438</v>
      </c>
      <c r="J10" s="13">
        <v>3.0350180606043544E-3</v>
      </c>
      <c r="K10" s="13">
        <v>1.100967042291035E-2</v>
      </c>
      <c r="L10" s="13">
        <v>1.9070330342798278</v>
      </c>
      <c r="M10" s="13">
        <v>11.323590269031044</v>
      </c>
      <c r="O10" s="12">
        <v>140.84664885927518</v>
      </c>
      <c r="P10" s="12">
        <v>158.50987493534305</v>
      </c>
      <c r="Q10" s="12">
        <v>146.15760025270649</v>
      </c>
      <c r="R10" s="12">
        <v>136.40537086091865</v>
      </c>
      <c r="S10" s="12">
        <v>100.10683737119889</v>
      </c>
      <c r="T10" s="12">
        <v>100.30935050327676</v>
      </c>
      <c r="U10" s="12">
        <v>108.01552631872877</v>
      </c>
      <c r="V10" s="12">
        <v>305.30001089688892</v>
      </c>
      <c r="W10" s="12">
        <v>297.17597468558461</v>
      </c>
      <c r="X10" s="12">
        <v>115.42340513503633</v>
      </c>
      <c r="Y10" s="12">
        <v>116.16295268578708</v>
      </c>
      <c r="AB10" s="12">
        <v>174.11279959056</v>
      </c>
      <c r="AC10" s="12">
        <v>101.94943215719502</v>
      </c>
      <c r="AD10" s="12">
        <v>35.431945602743177</v>
      </c>
      <c r="AE10" s="12">
        <v>5.6801220782772814</v>
      </c>
      <c r="AF10" s="12">
        <v>30.870121919999999</v>
      </c>
      <c r="AG10" s="12">
        <v>101.4717482668197</v>
      </c>
      <c r="AH10" s="12">
        <v>91.99999999999973</v>
      </c>
      <c r="AI10" s="12">
        <v>48.18</v>
      </c>
      <c r="AJ10" s="12">
        <v>5.7276218999999999</v>
      </c>
      <c r="AK10" s="12">
        <v>114.048</v>
      </c>
      <c r="AL10" s="12">
        <v>6.42407898</v>
      </c>
      <c r="AM10" s="12">
        <v>6.0292683</v>
      </c>
      <c r="AN10" s="12">
        <v>0.50000016000000003</v>
      </c>
      <c r="AO10" s="12">
        <v>33.813844019999998</v>
      </c>
      <c r="AP10" s="12">
        <v>9.7831166399999994</v>
      </c>
      <c r="AQ10" s="12">
        <v>24.030727379999998</v>
      </c>
      <c r="AR10" s="12">
        <v>0.29115852774341139</v>
      </c>
      <c r="AS10" s="12">
        <v>0.35633280936609807</v>
      </c>
      <c r="AT10" s="12">
        <v>0.52397019611624285</v>
      </c>
      <c r="AU10" s="12">
        <v>0.88030300548234086</v>
      </c>
      <c r="AV10" s="12">
        <v>0.312</v>
      </c>
      <c r="AW10" s="12">
        <v>0.17280000000000001</v>
      </c>
      <c r="AX10" s="12">
        <v>7.2999999999999995E-2</v>
      </c>
    </row>
    <row r="11" spans="1:50" s="12" customFormat="1">
      <c r="A11" s="12" t="s">
        <v>200</v>
      </c>
      <c r="B11" s="12" t="s">
        <v>199</v>
      </c>
      <c r="C11" s="12" t="s">
        <v>20</v>
      </c>
      <c r="D11" s="12">
        <v>469</v>
      </c>
      <c r="E11" s="12">
        <v>553</v>
      </c>
      <c r="F11" s="13">
        <v>0.7300974648071733</v>
      </c>
      <c r="G11" s="13">
        <v>1.6304874681774908</v>
      </c>
      <c r="H11" s="13">
        <v>1.0237553272812838</v>
      </c>
      <c r="I11" s="13">
        <v>-0.778538810872624</v>
      </c>
      <c r="J11" s="13">
        <v>1.249103125005238</v>
      </c>
      <c r="K11" s="13">
        <v>0.58276750083151596</v>
      </c>
      <c r="L11" s="13">
        <v>3.3367665513703746</v>
      </c>
      <c r="M11" s="13">
        <v>11.136105141785064</v>
      </c>
      <c r="O11" s="12">
        <v>110.66243300315169</v>
      </c>
      <c r="P11" s="12">
        <v>169.34748815014194</v>
      </c>
      <c r="Q11" s="12">
        <v>116.2262121146027</v>
      </c>
      <c r="R11" s="12">
        <v>124.54403426431725</v>
      </c>
      <c r="S11" s="12">
        <v>143.97037894570371</v>
      </c>
      <c r="T11" s="12">
        <v>116.37464272322167</v>
      </c>
      <c r="U11" s="12">
        <v>128.84725739922101</v>
      </c>
      <c r="V11" s="12">
        <v>32.300700791093391</v>
      </c>
      <c r="W11" s="12">
        <v>31.938482050363376</v>
      </c>
      <c r="X11" s="12">
        <v>115.63143614302078</v>
      </c>
      <c r="Y11" s="12">
        <v>128.28057979272668</v>
      </c>
      <c r="AB11" s="12">
        <v>136.79946364171292</v>
      </c>
      <c r="AC11" s="12">
        <v>76.450367561871388</v>
      </c>
      <c r="AD11" s="12">
        <v>27.023395456966149</v>
      </c>
      <c r="AE11" s="12">
        <v>1.2409795297379436</v>
      </c>
      <c r="AF11" s="12">
        <v>32.980769230769205</v>
      </c>
      <c r="AG11" s="12">
        <v>80.69150641025638</v>
      </c>
      <c r="AH11" s="12">
        <v>83.999999999999901</v>
      </c>
      <c r="AI11" s="12">
        <v>69.290899999999993</v>
      </c>
      <c r="AJ11" s="12">
        <v>10.410986480999998</v>
      </c>
      <c r="AK11" s="12">
        <v>95.668999999999997</v>
      </c>
      <c r="AL11" s="12">
        <v>7.6630183280000006</v>
      </c>
      <c r="AM11" s="12">
        <v>5.251281917</v>
      </c>
      <c r="AN11" s="12">
        <v>0.49999992700000001</v>
      </c>
      <c r="AO11" s="12">
        <v>3.5775002269999998</v>
      </c>
      <c r="AP11" s="12">
        <v>0.99483870499999993</v>
      </c>
      <c r="AQ11" s="12">
        <v>2.582661522</v>
      </c>
      <c r="AR11" s="12">
        <v>0.29168329134693588</v>
      </c>
      <c r="AS11" s="12">
        <v>0.40466303153203925</v>
      </c>
      <c r="AT11" s="12">
        <v>0.56746945413239736</v>
      </c>
      <c r="AU11" s="12">
        <v>0.97213248566443666</v>
      </c>
      <c r="AV11" s="12">
        <v>0.3004</v>
      </c>
      <c r="AW11" s="12">
        <v>0.17299999999999999</v>
      </c>
      <c r="AX11" s="12">
        <v>0.12529999999999999</v>
      </c>
    </row>
    <row r="12" spans="1:50" s="12" customFormat="1">
      <c r="A12" s="12" t="s">
        <v>130</v>
      </c>
      <c r="B12" s="12" t="s">
        <v>129</v>
      </c>
      <c r="C12" s="12" t="s">
        <v>20</v>
      </c>
      <c r="D12" s="12">
        <v>565</v>
      </c>
      <c r="E12" s="12">
        <v>646</v>
      </c>
      <c r="F12" s="13">
        <v>1.8575365014265874</v>
      </c>
      <c r="G12" s="13">
        <v>1.147613771839598</v>
      </c>
      <c r="H12" s="13">
        <v>0.83822490878917799</v>
      </c>
      <c r="I12" s="13">
        <v>1.4978577733135503</v>
      </c>
      <c r="J12" s="13">
        <v>1.262011863855254</v>
      </c>
      <c r="K12" s="13">
        <v>-0.36188506868018466</v>
      </c>
      <c r="L12" s="13">
        <v>1.3513386504688374</v>
      </c>
      <c r="M12" s="13">
        <v>9.7641824563597517</v>
      </c>
      <c r="O12" s="12">
        <v>124.70105536559154</v>
      </c>
      <c r="P12" s="12">
        <v>148.81002399395499</v>
      </c>
      <c r="Q12" s="12">
        <v>141.28322961746647</v>
      </c>
      <c r="R12" s="12">
        <v>120.09603304059104</v>
      </c>
      <c r="S12" s="12">
        <v>144.42478669441857</v>
      </c>
      <c r="T12" s="12">
        <v>89.831727579092018</v>
      </c>
      <c r="U12" s="12">
        <v>101.10430916389265</v>
      </c>
      <c r="V12" s="12">
        <v>230.24902567706602</v>
      </c>
      <c r="W12" s="12">
        <v>244.16397562451101</v>
      </c>
      <c r="X12" s="12">
        <v>108.16088427585407</v>
      </c>
      <c r="Y12" s="12">
        <v>111.45319576399022</v>
      </c>
      <c r="AB12" s="12">
        <v>154.15382643071499</v>
      </c>
      <c r="AC12" s="12">
        <v>93.879577721036242</v>
      </c>
      <c r="AD12" s="12">
        <v>27.558198621336366</v>
      </c>
      <c r="AE12" s="12">
        <v>2.2966662341843223</v>
      </c>
      <c r="AF12" s="12">
        <v>28.981056135999999</v>
      </c>
      <c r="AG12" s="12">
        <v>98.087655279502783</v>
      </c>
      <c r="AH12" s="12">
        <v>80.999999999999503</v>
      </c>
      <c r="AI12" s="12">
        <v>69.509600000000006</v>
      </c>
      <c r="AJ12" s="12">
        <v>3.728209412</v>
      </c>
      <c r="AK12" s="12">
        <v>126.0346</v>
      </c>
      <c r="AL12" s="12">
        <v>6.0130435819999999</v>
      </c>
      <c r="AM12" s="12">
        <v>3.8099381020000003</v>
      </c>
      <c r="AN12" s="12">
        <v>0.50000012399999993</v>
      </c>
      <c r="AO12" s="12">
        <v>25.501488247999998</v>
      </c>
      <c r="AP12" s="12">
        <v>5.7575034239999994</v>
      </c>
      <c r="AQ12" s="12">
        <v>19.743984823999998</v>
      </c>
      <c r="AR12" s="12">
        <v>0.27283863085082299</v>
      </c>
      <c r="AS12" s="12">
        <v>0.36353165372584001</v>
      </c>
      <c r="AT12" s="12">
        <v>0.481079996832322</v>
      </c>
      <c r="AU12" s="12">
        <v>0.84461165055816201</v>
      </c>
      <c r="AV12" s="12">
        <v>0.30249999999999999</v>
      </c>
      <c r="AW12" s="12">
        <v>0.1951</v>
      </c>
      <c r="AX12" s="12">
        <v>0.1076</v>
      </c>
    </row>
    <row r="13" spans="1:50" s="10" customFormat="1">
      <c r="A13" s="10" t="s">
        <v>74</v>
      </c>
      <c r="B13" s="10" t="s">
        <v>86</v>
      </c>
      <c r="C13" s="10" t="s">
        <v>87</v>
      </c>
      <c r="D13" s="10">
        <v>540</v>
      </c>
      <c r="E13" s="10">
        <v>626</v>
      </c>
      <c r="F13" s="11">
        <v>1.0218218361887015</v>
      </c>
      <c r="G13" s="11">
        <v>2.3828261213905595</v>
      </c>
      <c r="H13" s="11">
        <v>2.1369378382337532</v>
      </c>
      <c r="I13" s="11">
        <v>-0.29447095987675986</v>
      </c>
      <c r="J13" s="11">
        <v>1.5783851616882805</v>
      </c>
      <c r="K13" s="11">
        <v>-1.6699191532599988</v>
      </c>
      <c r="L13" s="11">
        <v>1.0544176612552907</v>
      </c>
      <c r="M13" s="11">
        <v>9.7384706919198063</v>
      </c>
      <c r="O13" s="10">
        <v>99.435023260599777</v>
      </c>
      <c r="P13" s="10">
        <v>201.34576894459917</v>
      </c>
      <c r="Q13" s="10">
        <v>122.70970474018793</v>
      </c>
      <c r="R13" s="10">
        <v>151.23204160667052</v>
      </c>
      <c r="S13" s="10">
        <v>155.56162040777735</v>
      </c>
      <c r="T13" s="10">
        <v>53.078492756920419</v>
      </c>
      <c r="U13" s="10">
        <v>99.465274008598442</v>
      </c>
      <c r="V13" s="10">
        <v>74.393726629137461</v>
      </c>
      <c r="W13" s="10">
        <v>73.466049008267589</v>
      </c>
      <c r="X13" s="10">
        <v>90.238977959225139</v>
      </c>
      <c r="Y13" s="10">
        <v>108.93665839216226</v>
      </c>
      <c r="AB13" s="10">
        <v>122.92028541306237</v>
      </c>
      <c r="AC13" s="10">
        <v>60.340577416542104</v>
      </c>
      <c r="AD13" s="10">
        <v>22.596727150632034</v>
      </c>
      <c r="AE13" s="10">
        <v>0</v>
      </c>
      <c r="AF13" s="10">
        <v>39.212499775999994</v>
      </c>
      <c r="AG13" s="10">
        <v>85.192752534000007</v>
      </c>
      <c r="AH13" s="10">
        <v>101.9999999999996</v>
      </c>
      <c r="AI13" s="10">
        <v>74.869600000000005</v>
      </c>
      <c r="AJ13" s="10">
        <v>9.8336656060000003</v>
      </c>
      <c r="AK13" s="10">
        <v>168.08100000000002</v>
      </c>
      <c r="AL13" s="10">
        <v>5.9155641579999996</v>
      </c>
      <c r="AM13" s="10">
        <v>4.01025616</v>
      </c>
      <c r="AN13" s="10">
        <v>0.49999997199999996</v>
      </c>
      <c r="AO13" s="10">
        <v>8.2395603620000006</v>
      </c>
      <c r="AP13" s="10">
        <v>2.2988291260000002</v>
      </c>
      <c r="AQ13" s="10">
        <v>5.9407312360000004</v>
      </c>
      <c r="AR13" s="10">
        <v>0.22763015817233773</v>
      </c>
      <c r="AS13" s="10">
        <v>0.33964454045341691</v>
      </c>
      <c r="AT13" s="10">
        <v>0.48589635337371512</v>
      </c>
      <c r="AU13" s="10">
        <v>0.82554089382713203</v>
      </c>
      <c r="AV13" s="10">
        <v>0.24859999999999999</v>
      </c>
      <c r="AW13" s="10">
        <v>0.26850000000000002</v>
      </c>
      <c r="AX13" s="10">
        <v>0.1196</v>
      </c>
    </row>
    <row r="14" spans="1:50" s="12" customFormat="1">
      <c r="A14" s="12" t="s">
        <v>92</v>
      </c>
      <c r="B14" s="12" t="s">
        <v>168</v>
      </c>
      <c r="C14" s="12" t="s">
        <v>169</v>
      </c>
      <c r="D14" s="12">
        <v>536</v>
      </c>
      <c r="E14" s="12">
        <v>616</v>
      </c>
      <c r="F14" s="13">
        <v>1.3004095201666943</v>
      </c>
      <c r="G14" s="13">
        <v>1.1636134975081436</v>
      </c>
      <c r="H14" s="13">
        <v>1.2092857457733612</v>
      </c>
      <c r="I14" s="13">
        <v>-0.59752146755187185</v>
      </c>
      <c r="J14" s="13">
        <v>1.1332904295428907</v>
      </c>
      <c r="K14" s="13">
        <v>0.43725685955869331</v>
      </c>
      <c r="L14" s="13">
        <v>1.8173529923253371</v>
      </c>
      <c r="M14" s="13">
        <v>8.9943814681362575</v>
      </c>
      <c r="O14" s="12">
        <v>119.54820524023907</v>
      </c>
      <c r="P14" s="12">
        <v>149.49052035339355</v>
      </c>
      <c r="Q14" s="12">
        <v>128.90123815954678</v>
      </c>
      <c r="R14" s="12">
        <v>128.99203548804277</v>
      </c>
      <c r="S14" s="12">
        <v>139.89359136566989</v>
      </c>
      <c r="T14" s="12">
        <v>112.28607436642477</v>
      </c>
      <c r="U14" s="12">
        <v>107.37430594889364</v>
      </c>
      <c r="V14" s="12">
        <v>48.041402624232923</v>
      </c>
      <c r="W14" s="12">
        <v>47.269556269723182</v>
      </c>
      <c r="X14" s="12">
        <v>109.30167536957894</v>
      </c>
      <c r="Y14" s="12">
        <v>115.40287446537113</v>
      </c>
      <c r="AB14" s="12">
        <v>147.78393997291158</v>
      </c>
      <c r="AC14" s="12">
        <v>85.738106661614822</v>
      </c>
      <c r="AD14" s="12">
        <v>30.798346216520148</v>
      </c>
      <c r="AE14" s="12">
        <v>2.193990235405562</v>
      </c>
      <c r="AF14" s="12">
        <v>29.113584192000001</v>
      </c>
      <c r="AG14" s="12">
        <v>89.491302314705976</v>
      </c>
      <c r="AH14" s="12">
        <v>86.999999999999844</v>
      </c>
      <c r="AI14" s="12">
        <v>67.328800000000001</v>
      </c>
      <c r="AJ14" s="12">
        <v>5.348853664</v>
      </c>
      <c r="AK14" s="12">
        <v>100.34639999999999</v>
      </c>
      <c r="AL14" s="12">
        <v>6.385943256</v>
      </c>
      <c r="AM14" s="12">
        <v>4.2261862719999996</v>
      </c>
      <c r="AN14" s="12">
        <v>0.49999980799999999</v>
      </c>
      <c r="AO14" s="12">
        <v>5.3208792560000004</v>
      </c>
      <c r="AP14" s="12">
        <v>1.498491456</v>
      </c>
      <c r="AQ14" s="12">
        <v>3.8223878000000004</v>
      </c>
      <c r="AR14" s="12">
        <v>0.27571630591961116</v>
      </c>
      <c r="AS14" s="12">
        <v>0.37011929459701087</v>
      </c>
      <c r="AT14" s="12">
        <v>0.50442370628520861</v>
      </c>
      <c r="AU14" s="12">
        <v>0.87454300088221948</v>
      </c>
      <c r="AV14" s="12" t="s">
        <v>170</v>
      </c>
      <c r="AW14" s="12">
        <v>0.16289999999999999</v>
      </c>
      <c r="AX14" s="12">
        <v>0.10929999999999999</v>
      </c>
    </row>
    <row r="15" spans="1:50" s="12" customFormat="1">
      <c r="A15" s="12" t="s">
        <v>107</v>
      </c>
      <c r="B15" s="12" t="s">
        <v>142</v>
      </c>
      <c r="C15" s="12" t="s">
        <v>124</v>
      </c>
      <c r="D15" s="12">
        <v>575</v>
      </c>
      <c r="E15" s="12">
        <v>655</v>
      </c>
      <c r="F15" s="13">
        <v>1.0716081415836285</v>
      </c>
      <c r="G15" s="13">
        <v>2.1345694402878741</v>
      </c>
      <c r="H15" s="13">
        <v>2.1987813110644492</v>
      </c>
      <c r="I15" s="13">
        <v>-0.91522034657403717</v>
      </c>
      <c r="J15" s="13">
        <v>0.79724414287259815</v>
      </c>
      <c r="K15" s="13">
        <v>-1.0094687076658584</v>
      </c>
      <c r="L15" s="13">
        <v>1.4435227830553059</v>
      </c>
      <c r="M15" s="13">
        <v>8.8167786426591412</v>
      </c>
      <c r="O15" s="12">
        <v>118.20027639761773</v>
      </c>
      <c r="P15" s="12">
        <v>190.78697742551714</v>
      </c>
      <c r="Q15" s="12">
        <v>123.81619146378425</v>
      </c>
      <c r="R15" s="12">
        <v>152.71470868124578</v>
      </c>
      <c r="S15" s="12">
        <v>128.06423774994872</v>
      </c>
      <c r="T15" s="12">
        <v>71.635876392016485</v>
      </c>
      <c r="U15" s="12">
        <v>220.99037221771437</v>
      </c>
      <c r="V15" s="12">
        <v>20.415302076787356</v>
      </c>
      <c r="W15" s="12">
        <v>15.739067008406408</v>
      </c>
      <c r="X15" s="12">
        <v>100.73936185361892</v>
      </c>
      <c r="Y15" s="12">
        <v>112.23449726563835</v>
      </c>
      <c r="AB15" s="12">
        <v>146.11764782937502</v>
      </c>
      <c r="AC15" s="12">
        <v>81.782419794358617</v>
      </c>
      <c r="AD15" s="12">
        <v>27.105515564223399</v>
      </c>
      <c r="AE15" s="12">
        <v>1.2136696741878246</v>
      </c>
      <c r="AF15" s="12">
        <v>37.15615356</v>
      </c>
      <c r="AG15" s="12">
        <v>85.960944828367303</v>
      </c>
      <c r="AH15" s="12">
        <v>102.99999999999963</v>
      </c>
      <c r="AI15" s="12">
        <v>61.6355</v>
      </c>
      <c r="AJ15" s="12">
        <v>4.9960688299999996</v>
      </c>
      <c r="AK15" s="12">
        <v>146.851</v>
      </c>
      <c r="AL15" s="12">
        <v>13.14310686</v>
      </c>
      <c r="AM15" s="12">
        <v>5.2307690850000004</v>
      </c>
      <c r="AN15" s="12">
        <v>0</v>
      </c>
      <c r="AO15" s="12">
        <v>2.2611196050000002</v>
      </c>
      <c r="AP15" s="12">
        <v>0.98840155000000007</v>
      </c>
      <c r="AQ15" s="12">
        <v>1.2727180550000001</v>
      </c>
      <c r="AR15" s="12">
        <v>0.2541176483989131</v>
      </c>
      <c r="AS15" s="12">
        <v>0.34921235984689231</v>
      </c>
      <c r="AT15" s="12">
        <v>0.5013201290180328</v>
      </c>
      <c r="AU15" s="12">
        <v>0.85053248886492505</v>
      </c>
      <c r="AV15" s="12">
        <v>0.27500000000000002</v>
      </c>
      <c r="AW15" s="12">
        <v>0.22420000000000001</v>
      </c>
      <c r="AX15" s="12">
        <v>9.4100000000000003E-2</v>
      </c>
    </row>
    <row r="16" spans="1:50" s="12" customFormat="1">
      <c r="A16" s="12" t="s">
        <v>92</v>
      </c>
      <c r="B16" s="12" t="s">
        <v>91</v>
      </c>
      <c r="C16" s="12" t="s">
        <v>20</v>
      </c>
      <c r="D16" s="12">
        <v>525</v>
      </c>
      <c r="E16" s="12">
        <v>604</v>
      </c>
      <c r="F16" s="13">
        <v>1.7347451766463307</v>
      </c>
      <c r="G16" s="13">
        <v>0.7599325386058805</v>
      </c>
      <c r="H16" s="13">
        <v>0.59085101746642343</v>
      </c>
      <c r="I16" s="13">
        <v>2.2120529647152978</v>
      </c>
      <c r="J16" s="13">
        <v>0.87761830698812648</v>
      </c>
      <c r="K16" s="13">
        <v>-0.37754549045652441</v>
      </c>
      <c r="L16" s="13">
        <v>1.4896677447403124</v>
      </c>
      <c r="M16" s="13">
        <v>8.6772574748804701</v>
      </c>
      <c r="O16" s="12">
        <v>110.10845700755996</v>
      </c>
      <c r="P16" s="12">
        <v>132.32126204243963</v>
      </c>
      <c r="Q16" s="12">
        <v>138.5542267407838</v>
      </c>
      <c r="R16" s="12">
        <v>114.16536474229071</v>
      </c>
      <c r="S16" s="12">
        <v>130.89353373268764</v>
      </c>
      <c r="T16" s="12">
        <v>89.391699933218433</v>
      </c>
      <c r="U16" s="12">
        <v>135.63237440051108</v>
      </c>
      <c r="V16" s="12">
        <v>292.35320504620461</v>
      </c>
      <c r="W16" s="12">
        <v>312.53960462962175</v>
      </c>
      <c r="X16" s="12">
        <v>102.78030955626551</v>
      </c>
      <c r="Y16" s="12">
        <v>112.62559632842091</v>
      </c>
      <c r="AB16" s="12">
        <v>136.1146457047607</v>
      </c>
      <c r="AC16" s="12">
        <v>73.893421343568292</v>
      </c>
      <c r="AD16" s="12">
        <v>28.199932142308221</v>
      </c>
      <c r="AE16" s="12">
        <v>9.801685578219681</v>
      </c>
      <c r="AF16" s="12">
        <v>25.769836065573696</v>
      </c>
      <c r="AG16" s="12">
        <v>96.193010783127775</v>
      </c>
      <c r="AH16" s="12">
        <v>76.999999999999844</v>
      </c>
      <c r="AI16" s="12">
        <v>62.997199999999999</v>
      </c>
      <c r="AJ16" s="12">
        <v>2.8387806719999999</v>
      </c>
      <c r="AK16" s="12">
        <v>126.53799999999939</v>
      </c>
      <c r="AL16" s="12">
        <v>8.0665540880000002</v>
      </c>
      <c r="AM16" s="12">
        <v>4.1685247240000001</v>
      </c>
      <c r="AN16" s="12">
        <v>1.9137667520000001</v>
      </c>
      <c r="AO16" s="12">
        <v>32.379906063999996</v>
      </c>
      <c r="AP16" s="12">
        <v>7.1068198320000002</v>
      </c>
      <c r="AQ16" s="12">
        <v>25.273086231999997</v>
      </c>
      <c r="AR16" s="12">
        <v>0.25926599181859183</v>
      </c>
      <c r="AS16" s="12">
        <v>0.35296737849906806</v>
      </c>
      <c r="AT16" s="12">
        <v>0.50052892690502582</v>
      </c>
      <c r="AU16" s="12">
        <v>0.85349630540409382</v>
      </c>
      <c r="AV16" s="12" t="s">
        <v>93</v>
      </c>
      <c r="AW16" s="12" t="s">
        <v>94</v>
      </c>
      <c r="AX16" s="12">
        <v>0.1043</v>
      </c>
    </row>
    <row r="17" spans="1:50" s="10" customFormat="1">
      <c r="A17" s="10" t="s">
        <v>243</v>
      </c>
      <c r="B17" s="10" t="s">
        <v>242</v>
      </c>
      <c r="C17" s="10" t="s">
        <v>124</v>
      </c>
      <c r="D17" s="10">
        <v>562</v>
      </c>
      <c r="E17" s="10">
        <v>656</v>
      </c>
      <c r="F17" s="11">
        <v>1.2362626490797617</v>
      </c>
      <c r="G17" s="11">
        <v>1.5321041768594426</v>
      </c>
      <c r="H17" s="11">
        <v>1.5185031099268238</v>
      </c>
      <c r="I17" s="11">
        <v>-0.91617813369196821</v>
      </c>
      <c r="J17" s="11">
        <v>2.0224882760344909</v>
      </c>
      <c r="K17" s="11">
        <v>-1.3592927896586096</v>
      </c>
      <c r="L17" s="11">
        <v>1.3388809509145552</v>
      </c>
      <c r="M17" s="11">
        <v>8.0025222479416023</v>
      </c>
      <c r="O17" s="10">
        <v>114.96276064695937</v>
      </c>
      <c r="P17" s="10">
        <v>165.16307443215339</v>
      </c>
      <c r="Q17" s="10">
        <v>127.47559187680076</v>
      </c>
      <c r="R17" s="10">
        <v>136.40537086091865</v>
      </c>
      <c r="S17" s="10">
        <v>171.19474295615635</v>
      </c>
      <c r="T17" s="10">
        <v>61.806494433624813</v>
      </c>
      <c r="U17" s="10">
        <v>101.29226224245156</v>
      </c>
      <c r="V17" s="10">
        <v>20.332015905603967</v>
      </c>
      <c r="W17" s="10">
        <v>15.567951769174371</v>
      </c>
      <c r="X17" s="10">
        <v>100.24654569802948</v>
      </c>
      <c r="Y17" s="10">
        <v>111.34761122253227</v>
      </c>
      <c r="AB17" s="10">
        <v>142.11547287078679</v>
      </c>
      <c r="AC17" s="10">
        <v>82.069542830665824</v>
      </c>
      <c r="AD17" s="10">
        <v>27.487406689696702</v>
      </c>
      <c r="AE17" s="10">
        <v>1.009751314091156</v>
      </c>
      <c r="AF17" s="10">
        <v>32.165846111999997</v>
      </c>
      <c r="AG17" s="10">
        <v>88.501529490917079</v>
      </c>
      <c r="AH17" s="10">
        <v>91.99999999999973</v>
      </c>
      <c r="AI17" s="10">
        <v>82.393599999999992</v>
      </c>
      <c r="AJ17" s="10">
        <v>10.326540767999999</v>
      </c>
      <c r="AK17" s="10">
        <v>158.096</v>
      </c>
      <c r="AL17" s="10">
        <v>6.02422184</v>
      </c>
      <c r="AM17" s="10">
        <v>4.0295383840000003</v>
      </c>
      <c r="AN17" s="10">
        <v>0.49999991999999999</v>
      </c>
      <c r="AO17" s="10">
        <v>2.2518951520000003</v>
      </c>
      <c r="AP17" s="10">
        <v>0.99301409600000001</v>
      </c>
      <c r="AQ17" s="10">
        <v>1.2588810560000003</v>
      </c>
      <c r="AR17" s="10">
        <v>0.252874506887521</v>
      </c>
      <c r="AS17" s="10">
        <v>0.36563180689339014</v>
      </c>
      <c r="AT17" s="10">
        <v>0.4781797056945421</v>
      </c>
      <c r="AU17" s="10">
        <v>0.84381151258793219</v>
      </c>
      <c r="AV17" s="10" t="s">
        <v>229</v>
      </c>
      <c r="AW17" s="10">
        <v>0.24099999999999999</v>
      </c>
      <c r="AX17" s="10">
        <v>0.12559999999999999</v>
      </c>
    </row>
    <row r="18" spans="1:50" s="12" customFormat="1">
      <c r="A18" s="12" t="s">
        <v>101</v>
      </c>
      <c r="B18" s="12" t="s">
        <v>100</v>
      </c>
      <c r="C18" s="12" t="s">
        <v>49</v>
      </c>
      <c r="D18" s="12">
        <v>579</v>
      </c>
      <c r="E18" s="12">
        <v>631</v>
      </c>
      <c r="F18" s="13">
        <v>0.92859001479159053</v>
      </c>
      <c r="G18" s="13">
        <v>2.0262328428221617</v>
      </c>
      <c r="H18" s="13">
        <v>2.1987813110644421</v>
      </c>
      <c r="I18" s="13">
        <v>-0.56930503480055406</v>
      </c>
      <c r="J18" s="13">
        <v>-0.38635794521071248</v>
      </c>
      <c r="K18" s="13">
        <v>-0.17858284939003993</v>
      </c>
      <c r="L18" s="13">
        <v>1.2253128636685426</v>
      </c>
      <c r="M18" s="13">
        <v>8.0015500698782986</v>
      </c>
      <c r="O18" s="12">
        <v>126.81344471543103</v>
      </c>
      <c r="P18" s="12">
        <v>186.17923216183974</v>
      </c>
      <c r="Q18" s="12">
        <v>120.63765356518513</v>
      </c>
      <c r="R18" s="12">
        <v>152.71470868124561</v>
      </c>
      <c r="S18" s="12">
        <v>86.399597503587103</v>
      </c>
      <c r="T18" s="12">
        <v>94.982166385248988</v>
      </c>
      <c r="U18" s="12">
        <v>76.019125387497027</v>
      </c>
      <c r="V18" s="12">
        <v>50.495015336614443</v>
      </c>
      <c r="W18" s="12">
        <v>43.511186745333696</v>
      </c>
      <c r="X18" s="12">
        <v>107.33349819317678</v>
      </c>
      <c r="Y18" s="12">
        <v>110.38507119948235</v>
      </c>
      <c r="AB18" s="12">
        <v>156.76513473307517</v>
      </c>
      <c r="AC18" s="12">
        <v>92.87040633016781</v>
      </c>
      <c r="AD18" s="12">
        <v>27.368394580576815</v>
      </c>
      <c r="AE18" s="12">
        <v>1.0715041340673945</v>
      </c>
      <c r="AF18" s="12">
        <v>36.258785758000002</v>
      </c>
      <c r="AG18" s="12">
        <v>83.754205001320756</v>
      </c>
      <c r="AH18" s="12">
        <v>102.99999999999953</v>
      </c>
      <c r="AI18" s="12">
        <v>41.582900000000002</v>
      </c>
      <c r="AJ18" s="12">
        <v>1.174805265</v>
      </c>
      <c r="AK18" s="12">
        <v>120.14240000000001</v>
      </c>
      <c r="AL18" s="12">
        <v>4.5211358229999998</v>
      </c>
      <c r="AM18" s="12">
        <v>5.0319486219999998</v>
      </c>
      <c r="AN18" s="12">
        <v>0</v>
      </c>
      <c r="AO18" s="12">
        <v>5.5926318749999995</v>
      </c>
      <c r="AP18" s="12">
        <v>2.074159469</v>
      </c>
      <c r="AQ18" s="12">
        <v>3.5184724059999994</v>
      </c>
      <c r="AR18" s="12">
        <v>0.27075152803639924</v>
      </c>
      <c r="AS18" s="12">
        <v>0.3255382001851948</v>
      </c>
      <c r="AT18" s="12">
        <v>0.51097901714252791</v>
      </c>
      <c r="AU18" s="12">
        <v>0.83651721732772266</v>
      </c>
      <c r="AV18" s="12">
        <v>0.28179999999999999</v>
      </c>
      <c r="AW18" s="12">
        <v>0.19040000000000001</v>
      </c>
      <c r="AX18" s="12">
        <v>6.59E-2</v>
      </c>
    </row>
    <row r="19" spans="1:50" s="12" customFormat="1">
      <c r="A19" s="12" t="s">
        <v>136</v>
      </c>
      <c r="B19" s="12" t="s">
        <v>135</v>
      </c>
      <c r="C19" s="12" t="s">
        <v>124</v>
      </c>
      <c r="D19" s="12">
        <v>514</v>
      </c>
      <c r="E19" s="12">
        <v>576</v>
      </c>
      <c r="F19" s="13">
        <v>1.3544662387539388</v>
      </c>
      <c r="G19" s="13">
        <v>1.7309157568241194</v>
      </c>
      <c r="H19" s="13">
        <v>1.7040335284189012</v>
      </c>
      <c r="I19" s="13">
        <v>-0.84659216989564512</v>
      </c>
      <c r="J19" s="13">
        <v>1.0452253249968317</v>
      </c>
      <c r="K19" s="13">
        <v>-1.4493853233581215</v>
      </c>
      <c r="L19" s="13">
        <v>1.871519774653565</v>
      </c>
      <c r="M19" s="13">
        <v>7.8044767664491239</v>
      </c>
      <c r="O19" s="12">
        <v>110.34376689902285</v>
      </c>
      <c r="P19" s="12">
        <v>173.61887918674142</v>
      </c>
      <c r="Q19" s="12">
        <v>130.10263362288765</v>
      </c>
      <c r="R19" s="12">
        <v>140.85337208464418</v>
      </c>
      <c r="S19" s="12">
        <v>136.79356227978718</v>
      </c>
      <c r="T19" s="12">
        <v>59.275068008413392</v>
      </c>
      <c r="U19" s="12">
        <v>65.95661603958041</v>
      </c>
      <c r="V19" s="12">
        <v>26.382993606390897</v>
      </c>
      <c r="W19" s="12">
        <v>23.546288065802869</v>
      </c>
      <c r="X19" s="12">
        <v>105.20423792713896</v>
      </c>
      <c r="Y19" s="12">
        <v>115.86196202398969</v>
      </c>
      <c r="AB19" s="12">
        <v>136.40553273903362</v>
      </c>
      <c r="AC19" s="12">
        <v>73.871589698580195</v>
      </c>
      <c r="AD19" s="12">
        <v>26.60246859698945</v>
      </c>
      <c r="AE19" s="12">
        <v>1.9082153467231555</v>
      </c>
      <c r="AF19" s="12">
        <v>33.812631359999997</v>
      </c>
      <c r="AG19" s="12">
        <v>90.325386192754365</v>
      </c>
      <c r="AH19" s="12">
        <v>94.999999999999673</v>
      </c>
      <c r="AI19" s="12">
        <v>65.836799999999997</v>
      </c>
      <c r="AJ19" s="12">
        <v>3.1032731519999999</v>
      </c>
      <c r="AK19" s="12">
        <v>160.99200000000002</v>
      </c>
      <c r="AL19" s="12">
        <v>3.9226815359999998</v>
      </c>
      <c r="AM19" s="12">
        <v>4.0336842239999999</v>
      </c>
      <c r="AN19" s="12">
        <v>0.50000025599999998</v>
      </c>
      <c r="AO19" s="12">
        <v>2.922077952</v>
      </c>
      <c r="AP19" s="12">
        <v>1.01803968</v>
      </c>
      <c r="AQ19" s="12">
        <v>1.904038272</v>
      </c>
      <c r="AR19" s="12">
        <v>0.26538041388917044</v>
      </c>
      <c r="AS19" s="12">
        <v>0.35652068733454767</v>
      </c>
      <c r="AT19" s="12">
        <v>0.52150135870180647</v>
      </c>
      <c r="AU19" s="12">
        <v>0.87802204603635414</v>
      </c>
      <c r="AV19" s="12">
        <v>0.31740000000000002</v>
      </c>
      <c r="AW19" s="12">
        <v>0.27950000000000003</v>
      </c>
      <c r="AX19" s="12" t="s">
        <v>137</v>
      </c>
    </row>
    <row r="20" spans="1:50" s="12" customFormat="1">
      <c r="A20" s="12" t="s">
        <v>107</v>
      </c>
      <c r="B20" s="12" t="s">
        <v>106</v>
      </c>
      <c r="C20" s="12" t="s">
        <v>34</v>
      </c>
      <c r="D20" s="12">
        <v>579</v>
      </c>
      <c r="E20" s="12">
        <v>657</v>
      </c>
      <c r="F20" s="13">
        <v>1.7759998482722767</v>
      </c>
      <c r="G20" s="13">
        <v>0.68735941116141497</v>
      </c>
      <c r="H20" s="13">
        <v>0.96191185445059135</v>
      </c>
      <c r="I20" s="13">
        <v>1.2994039694298007</v>
      </c>
      <c r="J20" s="13">
        <v>1.0332727890245952</v>
      </c>
      <c r="K20" s="13">
        <v>-0.733187011607357</v>
      </c>
      <c r="L20" s="13">
        <v>1.0727041932965238</v>
      </c>
      <c r="M20" s="13">
        <v>7.2785470594785862</v>
      </c>
      <c r="O20" s="12">
        <v>125.95480288443278</v>
      </c>
      <c r="P20" s="12">
        <v>129.23459980571647</v>
      </c>
      <c r="Q20" s="12">
        <v>139.47110028820487</v>
      </c>
      <c r="R20" s="12">
        <v>123.06136718974207</v>
      </c>
      <c r="S20" s="12">
        <v>136.37281436431047</v>
      </c>
      <c r="T20" s="12">
        <v>79.398859155243059</v>
      </c>
      <c r="U20" s="12">
        <v>101.16279881866323</v>
      </c>
      <c r="V20" s="12">
        <v>212.99210378615496</v>
      </c>
      <c r="W20" s="12">
        <v>225.88468621451401</v>
      </c>
      <c r="X20" s="12">
        <v>106.60675323626117</v>
      </c>
      <c r="Y20" s="12">
        <v>109.0916448799979</v>
      </c>
      <c r="AB20" s="12">
        <v>155.70369284396043</v>
      </c>
      <c r="AC20" s="12">
        <v>93.382724011624759</v>
      </c>
      <c r="AD20" s="12">
        <v>33.838686012814549</v>
      </c>
      <c r="AE20" s="12">
        <v>4.0809917726555547</v>
      </c>
      <c r="AF20" s="12">
        <v>25.168702290076293</v>
      </c>
      <c r="AG20" s="12">
        <v>96.829561750272504</v>
      </c>
      <c r="AH20" s="12">
        <v>82.999999999999929</v>
      </c>
      <c r="AI20" s="12">
        <v>65.634299999999996</v>
      </c>
      <c r="AJ20" s="12">
        <v>3.4654838130000001</v>
      </c>
      <c r="AK20" s="12">
        <v>137.96999999999935</v>
      </c>
      <c r="AL20" s="12">
        <v>6.0165221759999996</v>
      </c>
      <c r="AM20" s="12">
        <v>4.812213582</v>
      </c>
      <c r="AN20" s="12">
        <v>0.49999999499999997</v>
      </c>
      <c r="AO20" s="12">
        <v>23.590178571428556</v>
      </c>
      <c r="AP20" s="12">
        <v>5.324323401</v>
      </c>
      <c r="AQ20" s="12">
        <v>18.265855170428555</v>
      </c>
      <c r="AR20" s="12">
        <v>0.26891829506728915</v>
      </c>
      <c r="AS20" s="12">
        <v>0.35352390483539925</v>
      </c>
      <c r="AT20" s="12">
        <v>0.47319150348104605</v>
      </c>
      <c r="AU20" s="12">
        <v>0.8267154083164453</v>
      </c>
      <c r="AV20" s="12">
        <v>0.31030000000000002</v>
      </c>
      <c r="AW20" s="12" t="s">
        <v>108</v>
      </c>
      <c r="AX20" s="12">
        <v>9.9900000000000003E-2</v>
      </c>
    </row>
    <row r="21" spans="1:50" s="10" customFormat="1">
      <c r="A21" s="10" t="s">
        <v>136</v>
      </c>
      <c r="B21" s="10" t="s">
        <v>222</v>
      </c>
      <c r="C21" s="10" t="s">
        <v>20</v>
      </c>
      <c r="D21" s="10">
        <v>569</v>
      </c>
      <c r="E21" s="10">
        <v>640</v>
      </c>
      <c r="F21" s="11">
        <v>1.1303438893534732</v>
      </c>
      <c r="G21" s="11">
        <v>1.7705520615575134</v>
      </c>
      <c r="H21" s="11">
        <v>1.765877001249615</v>
      </c>
      <c r="I21" s="11">
        <v>-0.50639736383713774</v>
      </c>
      <c r="J21" s="11">
        <v>0.68370980735360021</v>
      </c>
      <c r="K21" s="11">
        <v>-1.4503808209680604</v>
      </c>
      <c r="L21" s="11">
        <v>1.5562165918199682</v>
      </c>
      <c r="M21" s="11">
        <v>7.2224137520580118</v>
      </c>
      <c r="O21" s="10">
        <v>122.43551502422783</v>
      </c>
      <c r="P21" s="10">
        <v>175.30468065805653</v>
      </c>
      <c r="Q21" s="10">
        <v>125.12157704305757</v>
      </c>
      <c r="R21" s="10">
        <v>142.33603915921987</v>
      </c>
      <c r="S21" s="10">
        <v>124.06765199479094</v>
      </c>
      <c r="T21" s="10">
        <v>59.247096445703889</v>
      </c>
      <c r="U21" s="10">
        <v>121.79295758204528</v>
      </c>
      <c r="V21" s="10">
        <v>55.965269586770958</v>
      </c>
      <c r="W21" s="10">
        <v>51.995079114080021</v>
      </c>
      <c r="X21" s="10">
        <v>105.44929828691367</v>
      </c>
      <c r="Y21" s="10">
        <v>113.18962738992182</v>
      </c>
      <c r="AB21" s="10">
        <v>151.35319486003198</v>
      </c>
      <c r="AC21" s="10">
        <v>84.124748522199127</v>
      </c>
      <c r="AD21" s="10">
        <v>31.950960868997157</v>
      </c>
      <c r="AE21" s="10">
        <v>1.8491092381137089</v>
      </c>
      <c r="AF21" s="10">
        <v>34.140944640000001</v>
      </c>
      <c r="AG21" s="10">
        <v>86.867225149487354</v>
      </c>
      <c r="AH21" s="10">
        <v>96</v>
      </c>
      <c r="AI21" s="10">
        <v>59.711999999999996</v>
      </c>
      <c r="AJ21" s="10">
        <v>2.7552761599999998</v>
      </c>
      <c r="AK21" s="10">
        <v>161.024</v>
      </c>
      <c r="AL21" s="10">
        <v>7.2434732799999999</v>
      </c>
      <c r="AM21" s="10">
        <v>4.0251967999999998</v>
      </c>
      <c r="AN21" s="10">
        <v>0</v>
      </c>
      <c r="AO21" s="10">
        <v>6.1984960000000004</v>
      </c>
      <c r="AP21" s="10">
        <v>1.99398528</v>
      </c>
      <c r="AQ21" s="10">
        <v>4.20451072</v>
      </c>
      <c r="AR21" s="10">
        <v>0.26599858499126883</v>
      </c>
      <c r="AS21" s="10">
        <v>0.34786241176132143</v>
      </c>
      <c r="AT21" s="10">
        <v>0.50990821886561433</v>
      </c>
      <c r="AU21" s="10">
        <v>0.8577706306269357</v>
      </c>
      <c r="AV21" s="10">
        <v>0.31019999999999998</v>
      </c>
      <c r="AW21" s="10">
        <v>0.25159999999999999</v>
      </c>
      <c r="AX21" s="10">
        <v>9.3299999999999994E-2</v>
      </c>
    </row>
    <row r="22" spans="1:50" s="10" customFormat="1">
      <c r="A22" s="10" t="s">
        <v>116</v>
      </c>
      <c r="B22" s="10" t="s">
        <v>189</v>
      </c>
      <c r="C22" s="10" t="s">
        <v>124</v>
      </c>
      <c r="D22" s="10">
        <v>523</v>
      </c>
      <c r="E22" s="10">
        <v>606</v>
      </c>
      <c r="F22" s="11">
        <v>0.86218518689850132</v>
      </c>
      <c r="G22" s="11">
        <v>0.82551238521673065</v>
      </c>
      <c r="H22" s="11">
        <v>1.0237553272812661</v>
      </c>
      <c r="I22" s="11">
        <v>-0.1729817033054469</v>
      </c>
      <c r="J22" s="11">
        <v>1.5588125151283112</v>
      </c>
      <c r="K22" s="11">
        <v>-0.49615280882075558</v>
      </c>
      <c r="L22" s="11">
        <v>1.5804795320498577</v>
      </c>
      <c r="M22" s="11">
        <v>6.951208865427339</v>
      </c>
      <c r="O22" s="10">
        <v>114.8251975432391</v>
      </c>
      <c r="P22" s="10">
        <v>135.11048779516341</v>
      </c>
      <c r="Q22" s="10">
        <v>119.16182482345471</v>
      </c>
      <c r="R22" s="10">
        <v>124.54403426431682</v>
      </c>
      <c r="S22" s="10">
        <v>154.87263271013745</v>
      </c>
      <c r="T22" s="10">
        <v>86.059063058645719</v>
      </c>
      <c r="U22" s="10">
        <v>83.735574889152858</v>
      </c>
      <c r="V22" s="10">
        <v>84.958052281792163</v>
      </c>
      <c r="W22" s="10">
        <v>80.76148344386695</v>
      </c>
      <c r="X22" s="10">
        <v>107.59301074097637</v>
      </c>
      <c r="Y22" s="10">
        <v>113.39526659380792</v>
      </c>
      <c r="AB22" s="10">
        <v>141.94541914708736</v>
      </c>
      <c r="AC22" s="10">
        <v>85.72045562285534</v>
      </c>
      <c r="AD22" s="10">
        <v>29.450229979779703</v>
      </c>
      <c r="AE22" s="10">
        <v>1.0065038597263207</v>
      </c>
      <c r="AF22" s="10">
        <v>26.313043478260816</v>
      </c>
      <c r="AG22" s="10">
        <v>82.72959237558743</v>
      </c>
      <c r="AH22" s="10">
        <v>83.999999999999616</v>
      </c>
      <c r="AI22" s="10">
        <v>74.537999999999997</v>
      </c>
      <c r="AJ22" s="10">
        <v>7.3734607537179189</v>
      </c>
      <c r="AK22" s="10">
        <v>130.35060000000001</v>
      </c>
      <c r="AL22" s="10">
        <v>4.9800613380000005</v>
      </c>
      <c r="AM22" s="10">
        <v>4.0428096179999997</v>
      </c>
      <c r="AN22" s="10">
        <v>0</v>
      </c>
      <c r="AO22" s="10">
        <v>9.4096240601503336</v>
      </c>
      <c r="AP22" s="10">
        <v>2.8789575299999997</v>
      </c>
      <c r="AQ22" s="10">
        <v>6.5306665301503344</v>
      </c>
      <c r="AR22" s="10">
        <v>0.27140615515695482</v>
      </c>
      <c r="AS22" s="10">
        <v>0.37578674191597117</v>
      </c>
      <c r="AT22" s="10">
        <v>0.48354225826890429</v>
      </c>
      <c r="AU22" s="10">
        <v>0.85932900018487546</v>
      </c>
      <c r="AV22" s="10" t="s">
        <v>190</v>
      </c>
      <c r="AW22" s="10">
        <v>0.21510000000000001</v>
      </c>
      <c r="AX22" s="10" t="s">
        <v>191</v>
      </c>
    </row>
    <row r="23" spans="1:50" s="12" customFormat="1">
      <c r="A23" s="12" t="s">
        <v>74</v>
      </c>
      <c r="B23" s="12" t="s">
        <v>73</v>
      </c>
      <c r="C23" s="12" t="s">
        <v>20</v>
      </c>
      <c r="D23" s="12">
        <v>599</v>
      </c>
      <c r="E23" s="12">
        <v>659</v>
      </c>
      <c r="F23" s="13">
        <v>1.5379204988019561</v>
      </c>
      <c r="G23" s="13">
        <v>1.0645057748474402</v>
      </c>
      <c r="H23" s="13">
        <v>1.4566596370961278</v>
      </c>
      <c r="I23" s="13">
        <v>1.7214854908083879</v>
      </c>
      <c r="J23" s="13">
        <v>-4.0171186046443652E-2</v>
      </c>
      <c r="K23" s="13">
        <v>-0.95126320678469622</v>
      </c>
      <c r="L23" s="13">
        <v>0.81836617665091682</v>
      </c>
      <c r="M23" s="13">
        <v>6.7085446512292801</v>
      </c>
      <c r="O23" s="12">
        <v>132.30888260048494</v>
      </c>
      <c r="P23" s="12">
        <v>145.27529530141388</v>
      </c>
      <c r="Q23" s="12">
        <v>134.17985328239268</v>
      </c>
      <c r="R23" s="12">
        <v>134.92270378634339</v>
      </c>
      <c r="S23" s="12">
        <v>98.585911573031225</v>
      </c>
      <c r="T23" s="12">
        <v>73.271338699189215</v>
      </c>
      <c r="U23" s="12">
        <v>151.86259899026226</v>
      </c>
      <c r="V23" s="12">
        <v>249.69499233493738</v>
      </c>
      <c r="W23" s="12">
        <v>259.36983453647861</v>
      </c>
      <c r="X23" s="12">
        <v>108.24571845670756</v>
      </c>
      <c r="Y23" s="12">
        <v>106.93601712979886</v>
      </c>
      <c r="AB23" s="12">
        <v>163.5585237337518</v>
      </c>
      <c r="AC23" s="12">
        <v>103.92595735865986</v>
      </c>
      <c r="AD23" s="12">
        <v>26.915037829025451</v>
      </c>
      <c r="AE23" s="12">
        <v>2.987624425534229</v>
      </c>
      <c r="AF23" s="12">
        <v>28.292660503</v>
      </c>
      <c r="AG23" s="12">
        <v>93.156047110848945</v>
      </c>
      <c r="AH23" s="12">
        <v>90.999999999999702</v>
      </c>
      <c r="AI23" s="12">
        <v>47.447999999999993</v>
      </c>
      <c r="AJ23" s="12">
        <v>4.6919541310000001</v>
      </c>
      <c r="AK23" s="12">
        <v>144.97999999999934</v>
      </c>
      <c r="AL23" s="12">
        <v>9.0318249910000006</v>
      </c>
      <c r="AM23" s="12">
        <v>3.8244649829999999</v>
      </c>
      <c r="AN23" s="12">
        <v>0</v>
      </c>
      <c r="AO23" s="12">
        <v>27.655248025000002</v>
      </c>
      <c r="AP23" s="12">
        <v>6.681662287</v>
      </c>
      <c r="AQ23" s="12">
        <v>20.973585738000004</v>
      </c>
      <c r="AR23" s="12">
        <v>0.27305262726836693</v>
      </c>
      <c r="AS23" s="12">
        <v>0.34311833787819296</v>
      </c>
      <c r="AT23" s="12">
        <v>0.46726134942456343</v>
      </c>
      <c r="AU23" s="12">
        <v>0.81037968730275645</v>
      </c>
      <c r="AV23" s="12" t="s">
        <v>75</v>
      </c>
      <c r="AW23" s="12" t="s">
        <v>76</v>
      </c>
      <c r="AX23" s="12">
        <v>7.1999999999999995E-2</v>
      </c>
    </row>
    <row r="24" spans="1:50" s="12" customFormat="1">
      <c r="A24" s="12" t="s">
        <v>335</v>
      </c>
      <c r="B24" s="12" t="s">
        <v>340</v>
      </c>
      <c r="C24" s="12" t="s">
        <v>34</v>
      </c>
      <c r="D24" s="12">
        <v>459</v>
      </c>
      <c r="E24" s="12">
        <v>526</v>
      </c>
      <c r="F24" s="13">
        <v>8.7292695531883763E-2</v>
      </c>
      <c r="G24" s="13">
        <v>1.0224794781778792</v>
      </c>
      <c r="H24" s="13">
        <v>0.52900754463573507</v>
      </c>
      <c r="I24" s="13">
        <v>-0.90836506329084832</v>
      </c>
      <c r="J24" s="13">
        <v>0.66753699324795734</v>
      </c>
      <c r="K24" s="13">
        <v>0.57917126571562627</v>
      </c>
      <c r="L24" s="13">
        <v>2.1133396709878873</v>
      </c>
      <c r="M24" s="13">
        <v>6.2475359317547312</v>
      </c>
      <c r="O24" s="12">
        <v>103.13326452943652</v>
      </c>
      <c r="P24" s="12">
        <v>143.48784328649936</v>
      </c>
      <c r="Q24" s="12">
        <v>101.94005576245898</v>
      </c>
      <c r="R24" s="12">
        <v>112.68269766771563</v>
      </c>
      <c r="S24" s="12">
        <v>123.49834370422001</v>
      </c>
      <c r="T24" s="12">
        <v>116.27359545293399</v>
      </c>
      <c r="U24" s="12">
        <v>78.084706812904187</v>
      </c>
      <c r="V24" s="12">
        <v>21.011416063231053</v>
      </c>
      <c r="W24" s="12">
        <v>22.463908354633588</v>
      </c>
      <c r="X24" s="12">
        <v>110.11199403280756</v>
      </c>
      <c r="Y24" s="12">
        <v>117.91149313995676</v>
      </c>
      <c r="AB24" s="12">
        <v>127.49200327851094</v>
      </c>
      <c r="AC24" s="12">
        <v>75.640981109568457</v>
      </c>
      <c r="AD24" s="12">
        <v>23.93475212327947</v>
      </c>
      <c r="AE24" s="12">
        <v>0.50789518515417975</v>
      </c>
      <c r="AF24" s="12">
        <v>27.944550572000001</v>
      </c>
      <c r="AG24" s="12">
        <v>70.773163070199317</v>
      </c>
      <c r="AH24" s="12">
        <v>75.999999999999929</v>
      </c>
      <c r="AI24" s="12">
        <v>59.438000000000002</v>
      </c>
      <c r="AJ24" s="12">
        <v>9.1863364679999986</v>
      </c>
      <c r="AK24" s="12">
        <v>95.784599999999486</v>
      </c>
      <c r="AL24" s="12">
        <v>4.6439835159999996</v>
      </c>
      <c r="AM24" s="12">
        <v>4.0183554340000001</v>
      </c>
      <c r="AN24" s="12">
        <v>0</v>
      </c>
      <c r="AO24" s="12">
        <v>2.3271428759999999</v>
      </c>
      <c r="AP24" s="12">
        <v>0.51062975399999999</v>
      </c>
      <c r="AQ24" s="12">
        <v>1.8165131219999999</v>
      </c>
      <c r="AR24" s="12">
        <v>0.27776035572660335</v>
      </c>
      <c r="AS24" s="12">
        <v>0.37762265205653939</v>
      </c>
      <c r="AT24" s="12">
        <v>0.5159310962954029</v>
      </c>
      <c r="AU24" s="12">
        <v>0.89355374835194223</v>
      </c>
      <c r="AV24" s="12">
        <v>0.29339999999999999</v>
      </c>
      <c r="AW24" s="12" t="s">
        <v>341</v>
      </c>
      <c r="AX24" s="12">
        <v>0.113</v>
      </c>
    </row>
    <row r="25" spans="1:50" s="10" customFormat="1">
      <c r="A25" s="10" t="s">
        <v>27</v>
      </c>
      <c r="B25" s="10" t="s">
        <v>235</v>
      </c>
      <c r="C25" s="10" t="s">
        <v>34</v>
      </c>
      <c r="D25" s="10">
        <v>545</v>
      </c>
      <c r="E25" s="10">
        <v>621</v>
      </c>
      <c r="F25" s="11">
        <v>1.2520937562077961</v>
      </c>
      <c r="G25" s="11">
        <v>9.3068484373147825E-2</v>
      </c>
      <c r="H25" s="11">
        <v>0.83822490878918388</v>
      </c>
      <c r="I25" s="11">
        <v>-0.17331110268616073</v>
      </c>
      <c r="J25" s="11">
        <v>0.91629730364293727</v>
      </c>
      <c r="K25" s="11">
        <v>1.2851315067341333</v>
      </c>
      <c r="L25" s="11">
        <v>0.52292121754335363</v>
      </c>
      <c r="M25" s="11">
        <v>5.974743206352648</v>
      </c>
      <c r="O25" s="10">
        <v>116.90137937950979</v>
      </c>
      <c r="P25" s="10">
        <v>103.95836566866274</v>
      </c>
      <c r="Q25" s="10">
        <v>127.82743380839318</v>
      </c>
      <c r="R25" s="10">
        <v>120.09603304059118</v>
      </c>
      <c r="S25" s="10">
        <v>132.25509476484382</v>
      </c>
      <c r="T25" s="10">
        <v>136.1097165595219</v>
      </c>
      <c r="U25" s="10">
        <v>88.012761502484921</v>
      </c>
      <c r="V25" s="10">
        <v>84.929408742224524</v>
      </c>
      <c r="W25" s="10">
        <v>91.785120139948745</v>
      </c>
      <c r="X25" s="10">
        <v>105.11669106483569</v>
      </c>
      <c r="Y25" s="10">
        <v>104.4319897692486</v>
      </c>
      <c r="AB25" s="10">
        <v>144.51196819102904</v>
      </c>
      <c r="AC25" s="10">
        <v>91.248023172319762</v>
      </c>
      <c r="AD25" s="10">
        <v>30.693668439870176</v>
      </c>
      <c r="AE25" s="10">
        <v>2.3413818718820245</v>
      </c>
      <c r="AF25" s="10">
        <v>20.246104062000001</v>
      </c>
      <c r="AG25" s="10">
        <v>88.745800167573847</v>
      </c>
      <c r="AH25" s="10">
        <v>80.999999999999602</v>
      </c>
      <c r="AI25" s="10">
        <v>63.652499999999378</v>
      </c>
      <c r="AJ25" s="10">
        <v>2.5442444519999996</v>
      </c>
      <c r="AK25" s="10">
        <v>73.091700000000003</v>
      </c>
      <c r="AL25" s="10">
        <v>5.2344412919999996</v>
      </c>
      <c r="AM25" s="10">
        <v>6.0389610749999996</v>
      </c>
      <c r="AN25" s="10">
        <v>0.50000001299999997</v>
      </c>
      <c r="AO25" s="10">
        <v>9.4064516129031954</v>
      </c>
      <c r="AP25" s="10">
        <v>1.9843738289999999</v>
      </c>
      <c r="AQ25" s="10">
        <v>7.4220777839031955</v>
      </c>
      <c r="AR25" s="10">
        <v>0.26515957466243861</v>
      </c>
      <c r="AS25" s="10">
        <v>0.34985525302794163</v>
      </c>
      <c r="AT25" s="10">
        <v>0.44154848057927742</v>
      </c>
      <c r="AU25" s="10">
        <v>0.79140373360721905</v>
      </c>
      <c r="AV25" s="10" t="s">
        <v>236</v>
      </c>
      <c r="AW25" s="10">
        <v>0.1177</v>
      </c>
      <c r="AX25" s="10" t="s">
        <v>237</v>
      </c>
    </row>
    <row r="26" spans="1:50" s="12" customFormat="1">
      <c r="A26" s="12" t="s">
        <v>335</v>
      </c>
      <c r="B26" s="12" t="s">
        <v>334</v>
      </c>
      <c r="C26" s="12" t="s">
        <v>20</v>
      </c>
      <c r="D26" s="12">
        <v>531</v>
      </c>
      <c r="E26" s="12">
        <v>613</v>
      </c>
      <c r="F26" s="13">
        <v>1.0299676730564975</v>
      </c>
      <c r="G26" s="13">
        <v>0.66827889776394933</v>
      </c>
      <c r="H26" s="13">
        <v>0.4053205989743377</v>
      </c>
      <c r="I26" s="13">
        <v>1.1822592059360382</v>
      </c>
      <c r="J26" s="13">
        <v>1.3165567452969518</v>
      </c>
      <c r="K26" s="13">
        <v>-0.74513609385668145</v>
      </c>
      <c r="L26" s="13">
        <v>0.74154095945471221</v>
      </c>
      <c r="M26" s="13">
        <v>5.8869166589918649</v>
      </c>
      <c r="O26" s="12">
        <v>109.10216935979366</v>
      </c>
      <c r="P26" s="12">
        <v>128.42307214754416</v>
      </c>
      <c r="Q26" s="12">
        <v>122.89074368805322</v>
      </c>
      <c r="R26" s="12">
        <v>109.71736351856498</v>
      </c>
      <c r="S26" s="12">
        <v>146.34485162623105</v>
      </c>
      <c r="T26" s="12">
        <v>79.063112991594778</v>
      </c>
      <c r="U26" s="12">
        <v>94.65351285336105</v>
      </c>
      <c r="V26" s="12">
        <v>202.80556165907484</v>
      </c>
      <c r="W26" s="12">
        <v>205.68561337082727</v>
      </c>
      <c r="X26" s="12">
        <v>100.69024857988401</v>
      </c>
      <c r="Y26" s="12">
        <v>106.28488926347613</v>
      </c>
      <c r="AB26" s="12">
        <v>134.87068597291756</v>
      </c>
      <c r="AC26" s="12">
        <v>79.399349153424538</v>
      </c>
      <c r="AD26" s="12">
        <v>27.691782879990207</v>
      </c>
      <c r="AE26" s="12">
        <v>2.0636801318095719</v>
      </c>
      <c r="AF26" s="12">
        <v>25.010655620999998</v>
      </c>
      <c r="AG26" s="12">
        <v>85.318441095611007</v>
      </c>
      <c r="AH26" s="12">
        <v>73.999999999999773</v>
      </c>
      <c r="AI26" s="12">
        <v>70.433700000000002</v>
      </c>
      <c r="AJ26" s="12">
        <v>2.9517807390000002</v>
      </c>
      <c r="AK26" s="12">
        <v>138.35410000000002</v>
      </c>
      <c r="AL26" s="12">
        <v>5.6293910980000001</v>
      </c>
      <c r="AM26" s="12">
        <v>4.0157378670000003</v>
      </c>
      <c r="AN26" s="12">
        <v>0.50000019299999998</v>
      </c>
      <c r="AO26" s="12">
        <v>22.461956710000003</v>
      </c>
      <c r="AP26" s="12">
        <v>5.8294718459999997</v>
      </c>
      <c r="AQ26" s="12">
        <v>16.632484864000002</v>
      </c>
      <c r="AR26" s="12">
        <v>0.25399375889438336</v>
      </c>
      <c r="AS26" s="12">
        <v>0.35155346713470281</v>
      </c>
      <c r="AT26" s="12">
        <v>0.4538918602501576</v>
      </c>
      <c r="AU26" s="12">
        <v>0.80544532738486041</v>
      </c>
      <c r="AV26" s="12">
        <v>0.29559999999999997</v>
      </c>
      <c r="AW26" s="12">
        <v>0.22570000000000001</v>
      </c>
      <c r="AX26" s="12">
        <v>0.1149</v>
      </c>
    </row>
    <row r="27" spans="1:50" s="12" customFormat="1">
      <c r="A27" s="12" t="s">
        <v>40</v>
      </c>
      <c r="B27" s="12" t="s">
        <v>147</v>
      </c>
      <c r="C27" s="12" t="s">
        <v>34</v>
      </c>
      <c r="D27" s="12">
        <v>547</v>
      </c>
      <c r="E27" s="12">
        <v>618</v>
      </c>
      <c r="F27" s="13">
        <v>1.3578306433951126</v>
      </c>
      <c r="G27" s="13">
        <v>0.66260417301075603</v>
      </c>
      <c r="H27" s="13">
        <v>0.5290075446357333</v>
      </c>
      <c r="I27" s="13">
        <v>1.2403004635170904</v>
      </c>
      <c r="J27" s="13">
        <v>0.32910019938321716</v>
      </c>
      <c r="K27" s="13">
        <v>6.3758600029572454E-2</v>
      </c>
      <c r="L27" s="13">
        <v>0.48638957273665195</v>
      </c>
      <c r="M27" s="13">
        <v>5.8593268559306635</v>
      </c>
      <c r="O27" s="12">
        <v>114.55582815331172</v>
      </c>
      <c r="P27" s="12">
        <v>128.18171616336278</v>
      </c>
      <c r="Q27" s="12">
        <v>130.17740657578574</v>
      </c>
      <c r="R27" s="12">
        <v>112.68269766771559</v>
      </c>
      <c r="S27" s="12">
        <v>111.58484050540348</v>
      </c>
      <c r="T27" s="12">
        <v>101.79149368234738</v>
      </c>
      <c r="U27" s="12">
        <v>159.64793700177495</v>
      </c>
      <c r="V27" s="12">
        <v>207.85264782686227</v>
      </c>
      <c r="W27" s="12">
        <v>229.20535905770706</v>
      </c>
      <c r="X27" s="12">
        <v>102.63096466069535</v>
      </c>
      <c r="Y27" s="12">
        <v>104.12236784035125</v>
      </c>
      <c r="AB27" s="12">
        <v>141.61242820279364</v>
      </c>
      <c r="AC27" s="12">
        <v>87.484834007305878</v>
      </c>
      <c r="AD27" s="12">
        <v>27.316275483310203</v>
      </c>
      <c r="AE27" s="12">
        <v>1.2155017964887107</v>
      </c>
      <c r="AF27" s="12">
        <v>24.963651050080742</v>
      </c>
      <c r="AG27" s="12">
        <v>90.377298253711331</v>
      </c>
      <c r="AH27" s="12">
        <v>75.999999999999901</v>
      </c>
      <c r="AI27" s="12">
        <v>53.7042</v>
      </c>
      <c r="AJ27" s="12">
        <v>1.732415298</v>
      </c>
      <c r="AK27" s="12">
        <v>112.35239999999999</v>
      </c>
      <c r="AL27" s="12">
        <v>9.494847558</v>
      </c>
      <c r="AM27" s="12">
        <v>4.9935382620000004</v>
      </c>
      <c r="AN27" s="12">
        <v>0.49999969799999999</v>
      </c>
      <c r="AO27" s="12">
        <v>23.020952380952345</v>
      </c>
      <c r="AP27" s="12">
        <v>4.4865755579999993</v>
      </c>
      <c r="AQ27" s="12">
        <v>18.534376822952346</v>
      </c>
      <c r="AR27" s="12">
        <v>0.25888926545300484</v>
      </c>
      <c r="AS27" s="12">
        <v>0.34002903848004629</v>
      </c>
      <c r="AT27" s="12">
        <v>0.44902832644189283</v>
      </c>
      <c r="AU27" s="12">
        <v>0.78905736492193912</v>
      </c>
      <c r="AV27" s="12">
        <v>0.28129999999999999</v>
      </c>
      <c r="AW27" s="12">
        <v>0.18179999999999999</v>
      </c>
      <c r="AX27" s="12">
        <v>8.6900000000000005E-2</v>
      </c>
    </row>
    <row r="28" spans="1:50" s="12" customFormat="1">
      <c r="A28" s="12" t="s">
        <v>123</v>
      </c>
      <c r="B28" s="12" t="s">
        <v>412</v>
      </c>
      <c r="C28" s="12" t="s">
        <v>20</v>
      </c>
      <c r="D28" s="12">
        <v>500</v>
      </c>
      <c r="E28" s="12">
        <v>568</v>
      </c>
      <c r="F28" s="13">
        <v>0.81442169101224882</v>
      </c>
      <c r="G28" s="13">
        <v>0.78866306251596696</v>
      </c>
      <c r="H28" s="13">
        <v>0.21979018048227034</v>
      </c>
      <c r="I28" s="13">
        <v>0.29708164188150782</v>
      </c>
      <c r="J28" s="13">
        <v>0.531945064184146</v>
      </c>
      <c r="K28" s="13">
        <v>0.12920012416295998</v>
      </c>
      <c r="L28" s="13">
        <v>0.93419863158079652</v>
      </c>
      <c r="M28" s="13">
        <v>5.2288675837673999</v>
      </c>
      <c r="O28" s="12">
        <v>106.06566340333768</v>
      </c>
      <c r="P28" s="12">
        <v>133.54322155165875</v>
      </c>
      <c r="Q28" s="12">
        <v>118.100294475873</v>
      </c>
      <c r="R28" s="12">
        <v>105.26936229483969</v>
      </c>
      <c r="S28" s="12">
        <v>118.72529624035288</v>
      </c>
      <c r="T28" s="12">
        <v>103.63027428596432</v>
      </c>
      <c r="U28" s="12">
        <v>108.57779732197298</v>
      </c>
      <c r="V28" s="12">
        <v>125.83329011005473</v>
      </c>
      <c r="W28" s="12">
        <v>136.84106643083175</v>
      </c>
      <c r="X28" s="12">
        <v>103.95690862323211</v>
      </c>
      <c r="Y28" s="12">
        <v>107.91774867553332</v>
      </c>
      <c r="AB28" s="12">
        <v>131.11699671347199</v>
      </c>
      <c r="AC28" s="12">
        <v>80.13621634489698</v>
      </c>
      <c r="AD28" s="12">
        <v>22.81624377895227</v>
      </c>
      <c r="AE28" s="12">
        <v>1.6813295160396662</v>
      </c>
      <c r="AF28" s="12">
        <v>26.007815176000001</v>
      </c>
      <c r="AG28" s="12">
        <v>81.992611609474963</v>
      </c>
      <c r="AH28" s="12">
        <v>71</v>
      </c>
      <c r="AI28" s="12">
        <v>57.140799999999999</v>
      </c>
      <c r="AJ28" s="12">
        <v>0.99003592799999995</v>
      </c>
      <c r="AK28" s="12">
        <v>110.2488</v>
      </c>
      <c r="AL28" s="12">
        <v>6.4575192960000001</v>
      </c>
      <c r="AM28" s="12">
        <v>4.028419016</v>
      </c>
      <c r="AN28" s="12">
        <v>0.50000017600000002</v>
      </c>
      <c r="AO28" s="12">
        <v>13.93680672268904</v>
      </c>
      <c r="AP28" s="12">
        <v>2.8713416719999998</v>
      </c>
      <c r="AQ28" s="12">
        <v>11.06546505068904</v>
      </c>
      <c r="AR28" s="12">
        <v>0.26223399342694398</v>
      </c>
      <c r="AS28" s="12">
        <v>0.34813151294105671</v>
      </c>
      <c r="AT28" s="12">
        <v>0.46968790630984103</v>
      </c>
      <c r="AU28" s="12">
        <v>0.81781941925089774</v>
      </c>
      <c r="AV28" s="12">
        <v>0.2858</v>
      </c>
      <c r="AW28" s="12">
        <v>0.19409999999999999</v>
      </c>
      <c r="AX28" s="12">
        <v>0.10059999999999999</v>
      </c>
    </row>
    <row r="29" spans="1:50" s="12" customFormat="1">
      <c r="A29" s="12" t="s">
        <v>27</v>
      </c>
      <c r="B29" s="12" t="s">
        <v>272</v>
      </c>
      <c r="C29" s="12" t="s">
        <v>124</v>
      </c>
      <c r="D29" s="12">
        <v>540</v>
      </c>
      <c r="E29" s="12">
        <v>617</v>
      </c>
      <c r="F29" s="13">
        <v>0.94043239806848899</v>
      </c>
      <c r="G29" s="13">
        <v>0.32828482545848281</v>
      </c>
      <c r="H29" s="13">
        <v>1.0237553272812678</v>
      </c>
      <c r="I29" s="13">
        <v>-0.30717533129553326</v>
      </c>
      <c r="J29" s="13">
        <v>0.89573894177072655</v>
      </c>
      <c r="K29" s="13">
        <v>-7.3634823405328816E-3</v>
      </c>
      <c r="L29" s="13">
        <v>1.1051955471179731</v>
      </c>
      <c r="M29" s="13">
        <v>4.915483193963694</v>
      </c>
      <c r="O29" s="12">
        <v>118.93338306417041</v>
      </c>
      <c r="P29" s="12">
        <v>113.96252868401402</v>
      </c>
      <c r="Q29" s="12">
        <v>120.90084722391688</v>
      </c>
      <c r="R29" s="12">
        <v>124.54403426431686</v>
      </c>
      <c r="S29" s="12">
        <v>131.53140835022515</v>
      </c>
      <c r="T29" s="12">
        <v>99.793100349019213</v>
      </c>
      <c r="U29" s="12">
        <v>125.5689357595205</v>
      </c>
      <c r="V29" s="12">
        <v>73.288994238241486</v>
      </c>
      <c r="W29" s="12">
        <v>76.756606154293792</v>
      </c>
      <c r="X29" s="12">
        <v>107.93407172859163</v>
      </c>
      <c r="Y29" s="12">
        <v>109.36702354679251</v>
      </c>
      <c r="AB29" s="12">
        <v>147.02390477723839</v>
      </c>
      <c r="AC29" s="12">
        <v>92.022090275449159</v>
      </c>
      <c r="AD29" s="12">
        <v>31.677539356335547</v>
      </c>
      <c r="AE29" s="12">
        <v>1.9150923210125901</v>
      </c>
      <c r="AF29" s="12">
        <v>22.194435244000001</v>
      </c>
      <c r="AG29" s="12">
        <v>83.936930501999996</v>
      </c>
      <c r="AH29" s="12">
        <v>83.999999999999645</v>
      </c>
      <c r="AI29" s="12">
        <v>63.304199999999994</v>
      </c>
      <c r="AJ29" s="12">
        <v>7.6852403230000004</v>
      </c>
      <c r="AK29" s="12">
        <v>114.6386</v>
      </c>
      <c r="AL29" s="12">
        <v>7.4680445325371583</v>
      </c>
      <c r="AM29" s="12">
        <v>5.0392796300000002</v>
      </c>
      <c r="AN29" s="12">
        <v>0</v>
      </c>
      <c r="AO29" s="12">
        <v>8.1172044910000007</v>
      </c>
      <c r="AP29" s="12">
        <v>1.9103868669999999</v>
      </c>
      <c r="AQ29" s="12">
        <v>6.206817624000001</v>
      </c>
      <c r="AR29" s="12">
        <v>0.27226649032821926</v>
      </c>
      <c r="AS29" s="12">
        <v>0.3660241516823739</v>
      </c>
      <c r="AT29" s="12">
        <v>0.4627781239391815</v>
      </c>
      <c r="AU29" s="12">
        <v>0.8288022756215554</v>
      </c>
      <c r="AV29" s="12" t="s">
        <v>273</v>
      </c>
      <c r="AW29" s="12" t="s">
        <v>274</v>
      </c>
      <c r="AX29" s="12">
        <v>0.1026</v>
      </c>
    </row>
    <row r="30" spans="1:50" s="12" customFormat="1">
      <c r="A30" s="12" t="s">
        <v>243</v>
      </c>
      <c r="B30" s="12" t="s">
        <v>495</v>
      </c>
      <c r="C30" s="12" t="s">
        <v>34</v>
      </c>
      <c r="D30" s="12">
        <v>570</v>
      </c>
      <c r="E30" s="12">
        <v>649</v>
      </c>
      <c r="F30" s="13">
        <v>0.84253697909222502</v>
      </c>
      <c r="G30" s="13">
        <v>1.1452963491947123</v>
      </c>
      <c r="H30" s="13">
        <v>1.0237553272812672</v>
      </c>
      <c r="I30" s="13">
        <v>4.1434585106900658E-2</v>
      </c>
      <c r="J30" s="13">
        <v>1.2312658095937934</v>
      </c>
      <c r="K30" s="13">
        <v>-1.3673812077393666</v>
      </c>
      <c r="L30" s="13">
        <v>0.26807631966364548</v>
      </c>
      <c r="M30" s="13">
        <v>4.8348709869124598</v>
      </c>
      <c r="O30" s="12">
        <v>110.66286000470497</v>
      </c>
      <c r="P30" s="12">
        <v>148.71145994943356</v>
      </c>
      <c r="Q30" s="12">
        <v>118.72514889605557</v>
      </c>
      <c r="R30" s="12">
        <v>124.54403426431685</v>
      </c>
      <c r="S30" s="12">
        <v>143.34247761208727</v>
      </c>
      <c r="T30" s="12">
        <v>61.579225486609985</v>
      </c>
      <c r="U30" s="12">
        <v>67.496568294457319</v>
      </c>
      <c r="V30" s="12">
        <v>103.60302188609577</v>
      </c>
      <c r="W30" s="12">
        <v>95.307433919069027</v>
      </c>
      <c r="X30" s="12">
        <v>95.142724223012237</v>
      </c>
      <c r="Y30" s="12">
        <v>102.27206597527012</v>
      </c>
      <c r="AB30" s="12">
        <v>136.79999149549201</v>
      </c>
      <c r="AC30" s="12">
        <v>78.002416132311652</v>
      </c>
      <c r="AD30" s="12">
        <v>28.531486618729389</v>
      </c>
      <c r="AE30" s="12">
        <v>1.3531455336468559</v>
      </c>
      <c r="AF30" s="12">
        <v>28.961860587</v>
      </c>
      <c r="AG30" s="12">
        <v>82.426424632667377</v>
      </c>
      <c r="AH30" s="12">
        <v>83.999999999999631</v>
      </c>
      <c r="AI30" s="12">
        <v>68.988699999999355</v>
      </c>
      <c r="AJ30" s="12">
        <v>1.9573749140000001</v>
      </c>
      <c r="AK30" s="12">
        <v>158.35599999999999</v>
      </c>
      <c r="AL30" s="12">
        <v>4.0142681369999993</v>
      </c>
      <c r="AM30" s="12">
        <v>5.2248063010000001</v>
      </c>
      <c r="AN30" s="12">
        <v>0</v>
      </c>
      <c r="AO30" s="12">
        <v>11.474668512999999</v>
      </c>
      <c r="AP30" s="12">
        <v>3.7677636590000003</v>
      </c>
      <c r="AQ30" s="12">
        <v>7.7069048539999994</v>
      </c>
      <c r="AR30" s="12">
        <v>0.23999998507981055</v>
      </c>
      <c r="AS30" s="12">
        <v>0.32771568744836826</v>
      </c>
      <c r="AT30" s="12">
        <v>0.44731976898019471</v>
      </c>
      <c r="AU30" s="12">
        <v>0.77503545642856297</v>
      </c>
      <c r="AV30" s="12">
        <v>0.27800000000000002</v>
      </c>
      <c r="AW30" s="12">
        <v>0.24399999999999999</v>
      </c>
      <c r="AX30" s="12" t="s">
        <v>448</v>
      </c>
    </row>
    <row r="31" spans="1:50" s="12" customFormat="1">
      <c r="A31" s="12" t="s">
        <v>19</v>
      </c>
      <c r="B31" s="12" t="s">
        <v>162</v>
      </c>
      <c r="C31" s="12" t="s">
        <v>163</v>
      </c>
      <c r="D31" s="12">
        <v>524</v>
      </c>
      <c r="E31" s="12">
        <v>591</v>
      </c>
      <c r="F31" s="13">
        <v>0.64952924375725341</v>
      </c>
      <c r="G31" s="13">
        <v>0.94051025956124323</v>
      </c>
      <c r="H31" s="13">
        <v>0.59085101746641455</v>
      </c>
      <c r="I31" s="13">
        <v>2.2460048470002842</v>
      </c>
      <c r="J31" s="13">
        <v>0.48363320890871053</v>
      </c>
      <c r="K31" s="13">
        <v>-1.2029063369971995</v>
      </c>
      <c r="L31" s="13">
        <v>5.6962338818967576E-2</v>
      </c>
      <c r="M31" s="13">
        <v>4.8157134038132945</v>
      </c>
      <c r="O31" s="12">
        <v>100.97713265795511</v>
      </c>
      <c r="P31" s="12">
        <v>140.00154883306982</v>
      </c>
      <c r="Q31" s="12">
        <v>114.43560591821293</v>
      </c>
      <c r="R31" s="12">
        <v>114.16536474229049</v>
      </c>
      <c r="S31" s="12">
        <v>117.02464355483343</v>
      </c>
      <c r="T31" s="12">
        <v>66.200652113023196</v>
      </c>
      <c r="U31" s="12">
        <v>85.208564579116839</v>
      </c>
      <c r="V31" s="12">
        <v>295.30555450575253</v>
      </c>
      <c r="W31" s="12">
        <v>304.67100185907645</v>
      </c>
      <c r="X31" s="12">
        <v>94.436589690535115</v>
      </c>
      <c r="Y31" s="12">
        <v>100.48278114256701</v>
      </c>
      <c r="AB31" s="12">
        <v>124.826621038532</v>
      </c>
      <c r="AC31" s="12">
        <v>74.239552754812891</v>
      </c>
      <c r="AD31" s="12">
        <v>20.829254169849506</v>
      </c>
      <c r="AE31" s="12">
        <v>1.9435885665662467</v>
      </c>
      <c r="AF31" s="12">
        <v>27.265587606</v>
      </c>
      <c r="AG31" s="12">
        <v>79.448355586139684</v>
      </c>
      <c r="AH31" s="12">
        <v>76.999999999999702</v>
      </c>
      <c r="AI31" s="12">
        <v>56.322299999999998</v>
      </c>
      <c r="AJ31" s="12">
        <v>2.029835598</v>
      </c>
      <c r="AK31" s="12">
        <v>153.06900000000002</v>
      </c>
      <c r="AL31" s="12">
        <v>5.0676654299999999</v>
      </c>
      <c r="AM31" s="12">
        <v>4.0218058260000005</v>
      </c>
      <c r="AN31" s="12">
        <v>1.04722245</v>
      </c>
      <c r="AO31" s="12">
        <v>32.706896829000002</v>
      </c>
      <c r="AP31" s="12">
        <v>8.070094361999999</v>
      </c>
      <c r="AQ31" s="12">
        <v>24.636802467000003</v>
      </c>
      <c r="AR31" s="12">
        <v>0.23821874243994656</v>
      </c>
      <c r="AS31" s="12">
        <v>0.32103476769342526</v>
      </c>
      <c r="AT31" s="12">
        <v>0.44044117789734855</v>
      </c>
      <c r="AU31" s="12">
        <v>0.76147594559077381</v>
      </c>
      <c r="AV31" s="12">
        <v>0.28060000000000002</v>
      </c>
      <c r="AW31" s="12">
        <v>0.25900000000000001</v>
      </c>
      <c r="AX31" s="12">
        <v>9.5299999999999996E-2</v>
      </c>
    </row>
    <row r="32" spans="1:50" s="12" customFormat="1">
      <c r="A32" s="12" t="s">
        <v>66</v>
      </c>
      <c r="B32" s="12" t="s">
        <v>206</v>
      </c>
      <c r="C32" s="12" t="s">
        <v>124</v>
      </c>
      <c r="D32" s="12">
        <v>576</v>
      </c>
      <c r="E32" s="12">
        <v>666</v>
      </c>
      <c r="F32" s="13">
        <v>1.1207325333190465</v>
      </c>
      <c r="G32" s="13">
        <v>0.84961964268865897</v>
      </c>
      <c r="H32" s="13">
        <v>1.5185031099268331</v>
      </c>
      <c r="I32" s="13">
        <v>-1.0473749382296873</v>
      </c>
      <c r="J32" s="13">
        <v>1.919725979107717</v>
      </c>
      <c r="K32" s="13">
        <v>-1.4342662034071667</v>
      </c>
      <c r="L32" s="13">
        <v>0.19031567969234531</v>
      </c>
      <c r="M32" s="13">
        <v>4.63441515498101</v>
      </c>
      <c r="O32" s="12">
        <v>111.25332689737336</v>
      </c>
      <c r="P32" s="12">
        <v>136.13581168418148</v>
      </c>
      <c r="Q32" s="12">
        <v>124.90796734128335</v>
      </c>
      <c r="R32" s="12">
        <v>136.40537086091888</v>
      </c>
      <c r="S32" s="12">
        <v>167.5773497667972</v>
      </c>
      <c r="T32" s="12">
        <v>59.699886117064224</v>
      </c>
      <c r="U32" s="12">
        <v>94.773197494853562</v>
      </c>
      <c r="V32" s="12">
        <v>8.9235522534243188</v>
      </c>
      <c r="W32" s="12">
        <v>12.222281315392181</v>
      </c>
      <c r="X32" s="12">
        <v>94.654021772633541</v>
      </c>
      <c r="Y32" s="12">
        <v>101.61300998511142</v>
      </c>
      <c r="AB32" s="12">
        <v>137.52991900587779</v>
      </c>
      <c r="AC32" s="12">
        <v>82.784910463549295</v>
      </c>
      <c r="AD32" s="12">
        <v>27.301330605926303</v>
      </c>
      <c r="AE32" s="12">
        <v>0.98168439307864963</v>
      </c>
      <c r="AF32" s="12">
        <v>26.512727399999999</v>
      </c>
      <c r="AG32" s="12">
        <v>86.718923933209126</v>
      </c>
      <c r="AH32" s="12">
        <v>91.999999999999901</v>
      </c>
      <c r="AI32" s="12">
        <v>80.652599999999339</v>
      </c>
      <c r="AJ32" s="12">
        <v>3.9580406639999999</v>
      </c>
      <c r="AK32" s="12">
        <v>160.506</v>
      </c>
      <c r="AL32" s="12">
        <v>5.6365091820000002</v>
      </c>
      <c r="AM32" s="12">
        <v>4.8363634620000004</v>
      </c>
      <c r="AN32" s="12">
        <v>0.50000016599999997</v>
      </c>
      <c r="AO32" s="12">
        <v>0.98833800599999999</v>
      </c>
      <c r="AP32" s="12">
        <v>0</v>
      </c>
      <c r="AQ32" s="12">
        <v>0.98833800599999999</v>
      </c>
      <c r="AR32" s="12">
        <v>0.2387672204963156</v>
      </c>
      <c r="AS32" s="12">
        <v>0.34229182405147407</v>
      </c>
      <c r="AT32" s="12">
        <v>0.42774919176152398</v>
      </c>
      <c r="AU32" s="12">
        <v>0.770041015812998</v>
      </c>
      <c r="AV32" s="12">
        <v>0.28189999999999998</v>
      </c>
      <c r="AW32" s="12" t="s">
        <v>207</v>
      </c>
      <c r="AX32" s="12" t="s">
        <v>208</v>
      </c>
    </row>
    <row r="33" spans="1:50" s="10" customFormat="1">
      <c r="A33" s="10" t="s">
        <v>58</v>
      </c>
      <c r="B33" s="10" t="s">
        <v>57</v>
      </c>
      <c r="C33" s="10" t="s">
        <v>34</v>
      </c>
      <c r="D33" s="10">
        <v>568</v>
      </c>
      <c r="E33" s="10">
        <v>636</v>
      </c>
      <c r="F33" s="11">
        <v>1.4130220022159847</v>
      </c>
      <c r="G33" s="11">
        <v>0.22154982511155022</v>
      </c>
      <c r="H33" s="11">
        <v>0.59085101746642876</v>
      </c>
      <c r="I33" s="11">
        <v>2.9535666656971458</v>
      </c>
      <c r="J33" s="11">
        <v>0.59411005621357549</v>
      </c>
      <c r="K33" s="11">
        <v>-1.5555924746185259</v>
      </c>
      <c r="L33" s="11">
        <v>0.46374734716201205</v>
      </c>
      <c r="M33" s="11">
        <v>4.5328379677130206</v>
      </c>
      <c r="O33" s="10">
        <v>120.09462109040985</v>
      </c>
      <c r="P33" s="10">
        <v>109.42290215131959</v>
      </c>
      <c r="Q33" s="10">
        <v>131.40401910122046</v>
      </c>
      <c r="R33" s="10">
        <v>114.16536474229083</v>
      </c>
      <c r="S33" s="10">
        <v>120.91360095432852</v>
      </c>
      <c r="T33" s="10">
        <v>56.290851911841671</v>
      </c>
      <c r="U33" s="10">
        <v>50.625529935017994</v>
      </c>
      <c r="V33" s="10">
        <v>356.8329165380535</v>
      </c>
      <c r="W33" s="10">
        <v>357.57053607460614</v>
      </c>
      <c r="X33" s="10">
        <v>103.6152713262388</v>
      </c>
      <c r="Y33" s="10">
        <v>103.93046491361352</v>
      </c>
      <c r="AB33" s="10">
        <v>148.45941215620041</v>
      </c>
      <c r="AC33" s="10">
        <v>92.534757621661782</v>
      </c>
      <c r="AD33" s="10">
        <v>30.863112896495061</v>
      </c>
      <c r="AE33" s="10">
        <v>5.1660773948363401</v>
      </c>
      <c r="AF33" s="10">
        <v>21.310333704000001</v>
      </c>
      <c r="AG33" s="10">
        <v>91.228889393594841</v>
      </c>
      <c r="AH33" s="10">
        <v>76.999999999999929</v>
      </c>
      <c r="AI33" s="10">
        <v>58.193999999999996</v>
      </c>
      <c r="AJ33" s="10">
        <v>5.595536268</v>
      </c>
      <c r="AK33" s="10">
        <v>164.40600000000001</v>
      </c>
      <c r="AL33" s="10">
        <v>3.0108856919999996</v>
      </c>
      <c r="AM33" s="10">
        <v>3.8356123319999997</v>
      </c>
      <c r="AN33" s="10">
        <v>0.98475632400000002</v>
      </c>
      <c r="AO33" s="10">
        <v>39.521428596</v>
      </c>
      <c r="AP33" s="10">
        <v>10.606977888400015</v>
      </c>
      <c r="AQ33" s="10">
        <v>28.914450707599983</v>
      </c>
      <c r="AR33" s="10">
        <v>0.26137220450035287</v>
      </c>
      <c r="AS33" s="10">
        <v>0.3386584602423649</v>
      </c>
      <c r="AT33" s="10">
        <v>0.44894463101260723</v>
      </c>
      <c r="AU33" s="10">
        <v>0.78760309125497208</v>
      </c>
      <c r="AV33" s="10">
        <v>0.32929999999999998</v>
      </c>
      <c r="AW33" s="10">
        <v>0.25850000000000001</v>
      </c>
      <c r="AX33" s="10">
        <v>9.1499999999999998E-2</v>
      </c>
    </row>
    <row r="34" spans="1:50" s="12" customFormat="1">
      <c r="A34" s="12" t="s">
        <v>130</v>
      </c>
      <c r="B34" s="12" t="s">
        <v>182</v>
      </c>
      <c r="C34" s="12" t="s">
        <v>49</v>
      </c>
      <c r="D34" s="12">
        <v>566</v>
      </c>
      <c r="E34" s="12">
        <v>624</v>
      </c>
      <c r="F34" s="13">
        <v>0.54648530529746053</v>
      </c>
      <c r="G34" s="13">
        <v>1.0246561995641523</v>
      </c>
      <c r="H34" s="13">
        <v>1.2092857457733364</v>
      </c>
      <c r="I34" s="13">
        <v>-0.16675795233222718</v>
      </c>
      <c r="J34" s="13">
        <v>0.16835187115216002</v>
      </c>
      <c r="K34" s="13">
        <v>-0.26329969599587849</v>
      </c>
      <c r="L34" s="13">
        <v>0.4407461567837283</v>
      </c>
      <c r="M34" s="13">
        <v>4.448978017167101</v>
      </c>
      <c r="O34" s="12">
        <v>119.49895212716444</v>
      </c>
      <c r="P34" s="12">
        <v>143.58042306002528</v>
      </c>
      <c r="Q34" s="12">
        <v>112.14548318368973</v>
      </c>
      <c r="R34" s="12">
        <v>128.99203548804218</v>
      </c>
      <c r="S34" s="12">
        <v>105.92624853992561</v>
      </c>
      <c r="T34" s="12">
        <v>92.601786398668992</v>
      </c>
      <c r="U34" s="12">
        <v>33.802181676888011</v>
      </c>
      <c r="V34" s="12">
        <v>85.499250194411914</v>
      </c>
      <c r="W34" s="12">
        <v>86.011060811278227</v>
      </c>
      <c r="X34" s="12">
        <v>103.46565557743936</v>
      </c>
      <c r="Y34" s="12">
        <v>103.73551960059676</v>
      </c>
      <c r="AB34" s="12">
        <v>147.7230539136732</v>
      </c>
      <c r="AC34" s="12">
        <v>93.349279128887332</v>
      </c>
      <c r="AD34" s="12">
        <v>27.133284212631313</v>
      </c>
      <c r="AE34" s="12">
        <v>0.19795124789784896</v>
      </c>
      <c r="AF34" s="12">
        <v>27.962580671999998</v>
      </c>
      <c r="AG34" s="12">
        <v>77.858409136445189</v>
      </c>
      <c r="AH34" s="12">
        <v>86.999999999999432</v>
      </c>
      <c r="AI34" s="12">
        <v>50.980799999999995</v>
      </c>
      <c r="AJ34" s="12">
        <v>3.9586341599999999</v>
      </c>
      <c r="AK34" s="12">
        <v>122.8656</v>
      </c>
      <c r="AL34" s="12">
        <v>2.010339552</v>
      </c>
      <c r="AM34" s="12">
        <v>5.6309678880000007</v>
      </c>
      <c r="AN34" s="12">
        <v>0</v>
      </c>
      <c r="AO34" s="12">
        <v>9.4695650400000009</v>
      </c>
      <c r="AP34" s="12">
        <v>2.51439864</v>
      </c>
      <c r="AQ34" s="12">
        <v>6.9551664000000013</v>
      </c>
      <c r="AR34" s="12">
        <v>0.26099479490048266</v>
      </c>
      <c r="AS34" s="12">
        <v>0.32665575481491338</v>
      </c>
      <c r="AT34" s="12">
        <v>0.45947000704212632</v>
      </c>
      <c r="AU34" s="12">
        <v>0.78612576185703964</v>
      </c>
      <c r="AV34" s="12" t="s">
        <v>183</v>
      </c>
      <c r="AW34" s="12" t="s">
        <v>184</v>
      </c>
      <c r="AX34" s="12">
        <v>8.1699999999999995E-2</v>
      </c>
    </row>
    <row r="35" spans="1:50" s="12" customFormat="1">
      <c r="A35" s="12" t="s">
        <v>630</v>
      </c>
      <c r="B35" s="12" t="s">
        <v>629</v>
      </c>
      <c r="C35" s="12" t="s">
        <v>631</v>
      </c>
      <c r="D35" s="12">
        <v>460</v>
      </c>
      <c r="E35" s="12">
        <v>541</v>
      </c>
      <c r="F35" s="13">
        <v>4.9176419791474045E-2</v>
      </c>
      <c r="G35" s="13">
        <v>1.2957963886930834</v>
      </c>
      <c r="H35" s="13">
        <v>0.3434771261436298</v>
      </c>
      <c r="I35" s="13">
        <v>-0.22171158308611749</v>
      </c>
      <c r="J35" s="13">
        <v>1.7223645246368062</v>
      </c>
      <c r="K35" s="13">
        <v>-1.7812375625614356</v>
      </c>
      <c r="L35" s="13">
        <v>0.84201524882501455</v>
      </c>
      <c r="M35" s="13">
        <v>4.1641386265197653</v>
      </c>
      <c r="O35" s="12">
        <v>83.746643707997976</v>
      </c>
      <c r="P35" s="12">
        <v>155.11249026055586</v>
      </c>
      <c r="Q35" s="12">
        <v>101.09293218650475</v>
      </c>
      <c r="R35" s="12">
        <v>108.23469644398944</v>
      </c>
      <c r="S35" s="12">
        <v>160.6299186310975</v>
      </c>
      <c r="T35" s="12">
        <v>49.950660168062008</v>
      </c>
      <c r="U35" s="12">
        <v>95.988650266255959</v>
      </c>
      <c r="V35" s="12">
        <v>80.720654395374638</v>
      </c>
      <c r="W35" s="12">
        <v>69.574208858007779</v>
      </c>
      <c r="X35" s="12">
        <v>89.219159439039828</v>
      </c>
      <c r="Y35" s="12">
        <v>107.13645352903357</v>
      </c>
      <c r="AB35" s="12">
        <v>103.52651419403975</v>
      </c>
      <c r="AC35" s="12">
        <v>54.518458038957192</v>
      </c>
      <c r="AD35" s="12">
        <v>17.441230551059178</v>
      </c>
      <c r="AE35" s="12">
        <v>0.51532970039936798</v>
      </c>
      <c r="AF35" s="12">
        <v>30.208474314999997</v>
      </c>
      <c r="AG35" s="12">
        <v>70.185036896113999</v>
      </c>
      <c r="AH35" s="12">
        <v>72.999999999999545</v>
      </c>
      <c r="AI35" s="12">
        <v>77.308899999999994</v>
      </c>
      <c r="AJ35" s="12">
        <v>4.7907367760000001</v>
      </c>
      <c r="AK35" s="12">
        <v>171.6593</v>
      </c>
      <c r="AL35" s="12">
        <v>5.7087966101694354</v>
      </c>
      <c r="AM35" s="12">
        <v>2.2301318399999999</v>
      </c>
      <c r="AN35" s="12">
        <v>0.49999977400000001</v>
      </c>
      <c r="AO35" s="12">
        <v>8.9403063199999995</v>
      </c>
      <c r="AP35" s="12">
        <v>3.3142833970000001</v>
      </c>
      <c r="AQ35" s="12">
        <v>5.626022922999999</v>
      </c>
      <c r="AR35" s="12">
        <v>0.22505763955226032</v>
      </c>
      <c r="AS35" s="12">
        <v>0.35150557366482615</v>
      </c>
      <c r="AT35" s="12">
        <v>0.46039305543972531</v>
      </c>
      <c r="AU35" s="12">
        <v>0.81189862910455146</v>
      </c>
      <c r="AV35" s="12" t="s">
        <v>632</v>
      </c>
      <c r="AW35" s="12">
        <v>0.31730000000000003</v>
      </c>
      <c r="AX35" s="12" t="s">
        <v>633</v>
      </c>
    </row>
    <row r="36" spans="1:50" s="12" customFormat="1">
      <c r="A36" s="12" t="s">
        <v>228</v>
      </c>
      <c r="B36" s="12" t="s">
        <v>446</v>
      </c>
      <c r="C36" s="12" t="s">
        <v>20</v>
      </c>
      <c r="D36" s="12">
        <v>529</v>
      </c>
      <c r="E36" s="12">
        <v>603</v>
      </c>
      <c r="F36" s="13">
        <v>0.49279594884766181</v>
      </c>
      <c r="G36" s="13">
        <v>0.91104224123449995</v>
      </c>
      <c r="H36" s="13">
        <v>1.0237553272812643</v>
      </c>
      <c r="I36" s="13">
        <v>-0.34006109281756919</v>
      </c>
      <c r="J36" s="13">
        <v>0.94264600516395791</v>
      </c>
      <c r="K36" s="13">
        <v>-1.1645299041340378</v>
      </c>
      <c r="L36" s="13">
        <v>0.85410400598195446</v>
      </c>
      <c r="M36" s="13">
        <v>3.9753739439244411</v>
      </c>
      <c r="O36" s="12">
        <v>109.17083197943647</v>
      </c>
      <c r="P36" s="12">
        <v>138.74822239443967</v>
      </c>
      <c r="Q36" s="12">
        <v>110.9522522411867</v>
      </c>
      <c r="R36" s="12">
        <v>124.54403426431678</v>
      </c>
      <c r="S36" s="12">
        <v>133.18261016962808</v>
      </c>
      <c r="T36" s="12">
        <v>67.278955855475118</v>
      </c>
      <c r="U36" s="12">
        <v>60.749547786584024</v>
      </c>
      <c r="V36" s="12">
        <v>70.429351304708518</v>
      </c>
      <c r="W36" s="12">
        <v>59.398338353339661</v>
      </c>
      <c r="X36" s="12">
        <v>101.13453826932309</v>
      </c>
      <c r="Y36" s="12">
        <v>107.23891111967063</v>
      </c>
      <c r="AB36" s="12">
        <v>134.95556581230355</v>
      </c>
      <c r="AC36" s="12">
        <v>78.788259038685609</v>
      </c>
      <c r="AD36" s="12">
        <v>26.788711404578674</v>
      </c>
      <c r="AE36" s="12">
        <v>3.0190097311832891</v>
      </c>
      <c r="AF36" s="12">
        <v>27.021499721999998</v>
      </c>
      <c r="AG36" s="12">
        <v>77.029993579453958</v>
      </c>
      <c r="AH36" s="12">
        <v>83.999999999999588</v>
      </c>
      <c r="AI36" s="12">
        <v>64.098899999999404</v>
      </c>
      <c r="AJ36" s="12">
        <v>1.971893817</v>
      </c>
      <c r="AK36" s="12">
        <v>151.83540000000002</v>
      </c>
      <c r="AL36" s="12">
        <v>3.6129981149999999</v>
      </c>
      <c r="AM36" s="12">
        <v>5.0199997229999997</v>
      </c>
      <c r="AN36" s="12">
        <v>0</v>
      </c>
      <c r="AO36" s="12">
        <v>7.8004815409309387</v>
      </c>
      <c r="AP36" s="12">
        <v>2.9973164219999999</v>
      </c>
      <c r="AQ36" s="12">
        <v>4.8031651189309388</v>
      </c>
      <c r="AR36" s="12">
        <v>0.25511449113857004</v>
      </c>
      <c r="AS36" s="12">
        <v>0.34101399312779596</v>
      </c>
      <c r="AT36" s="12">
        <v>0.47166107737125296</v>
      </c>
      <c r="AU36" s="12">
        <v>0.81267507049904886</v>
      </c>
      <c r="AV36" s="12" t="s">
        <v>447</v>
      </c>
      <c r="AW36" s="12">
        <v>0.25180000000000002</v>
      </c>
      <c r="AX36" s="12" t="s">
        <v>448</v>
      </c>
    </row>
    <row r="37" spans="1:50" s="12" customFormat="1">
      <c r="A37" s="12" t="s">
        <v>228</v>
      </c>
      <c r="B37" s="12" t="s">
        <v>372</v>
      </c>
      <c r="C37" s="12" t="s">
        <v>49</v>
      </c>
      <c r="D37" s="12">
        <v>562</v>
      </c>
      <c r="E37" s="12">
        <v>640</v>
      </c>
      <c r="F37" s="13">
        <v>0.72071141777270353</v>
      </c>
      <c r="G37" s="13">
        <v>0.33570592362078899</v>
      </c>
      <c r="H37" s="13">
        <v>0.71453796312782081</v>
      </c>
      <c r="I37" s="13">
        <v>-0.90673344922925747</v>
      </c>
      <c r="J37" s="13">
        <v>0.93303085400410557</v>
      </c>
      <c r="K37" s="13">
        <v>0.70586700216057863</v>
      </c>
      <c r="L37" s="13">
        <v>5.3960078132256097E-2</v>
      </c>
      <c r="M37" s="13">
        <v>3.8800876031025222</v>
      </c>
      <c r="O37" s="12">
        <v>114.24679407634829</v>
      </c>
      <c r="P37" s="12">
        <v>114.27816098841119</v>
      </c>
      <c r="Q37" s="12">
        <v>116.0176098423853</v>
      </c>
      <c r="R37" s="12">
        <v>117.13069889144136</v>
      </c>
      <c r="S37" s="12">
        <v>132.84414184651251</v>
      </c>
      <c r="T37" s="12">
        <v>119.83350127452053</v>
      </c>
      <c r="U37" s="12">
        <v>136.85391934471801</v>
      </c>
      <c r="V37" s="12">
        <v>21.153296117258535</v>
      </c>
      <c r="W37" s="12">
        <v>16.889250689735988</v>
      </c>
      <c r="X37" s="12">
        <v>99.622228961591347</v>
      </c>
      <c r="Y37" s="12">
        <v>100.45733564867285</v>
      </c>
      <c r="AB37" s="12">
        <v>141.23040428710399</v>
      </c>
      <c r="AC37" s="12">
        <v>90.180670642980033</v>
      </c>
      <c r="AD37" s="12">
        <v>27.294149772217935</v>
      </c>
      <c r="AE37" s="12">
        <v>0.99410475159774625</v>
      </c>
      <c r="AF37" s="12">
        <v>22.25590528</v>
      </c>
      <c r="AG37" s="12">
        <v>80.546681664791677</v>
      </c>
      <c r="AH37" s="12">
        <v>79</v>
      </c>
      <c r="AI37" s="12">
        <v>63.936</v>
      </c>
      <c r="AJ37" s="12">
        <v>1.8300121599999999</v>
      </c>
      <c r="AK37" s="12">
        <v>91.712000000000003</v>
      </c>
      <c r="AL37" s="12">
        <v>8.1392038400000004</v>
      </c>
      <c r="AM37" s="12">
        <v>5.0314963199999996</v>
      </c>
      <c r="AN37" s="12">
        <v>0.5</v>
      </c>
      <c r="AO37" s="12">
        <v>2.3428569599999998</v>
      </c>
      <c r="AP37" s="12">
        <v>0.97713088000000003</v>
      </c>
      <c r="AQ37" s="12">
        <v>1.3657260799999997</v>
      </c>
      <c r="AR37" s="12">
        <v>0.25129965175641278</v>
      </c>
      <c r="AS37" s="12">
        <v>0.33997545408145913</v>
      </c>
      <c r="AT37" s="12">
        <v>0.42130766114272089</v>
      </c>
      <c r="AU37" s="12">
        <v>0.76128311522418002</v>
      </c>
      <c r="AV37" s="12">
        <v>0.2626</v>
      </c>
      <c r="AW37" s="12">
        <v>0.14330000000000001</v>
      </c>
      <c r="AX37" s="12">
        <v>9.9900000000000003E-2</v>
      </c>
    </row>
    <row r="38" spans="1:50" s="12" customFormat="1">
      <c r="A38" s="12" t="s">
        <v>33</v>
      </c>
      <c r="B38" s="12" t="s">
        <v>397</v>
      </c>
      <c r="C38" s="12" t="s">
        <v>124</v>
      </c>
      <c r="D38" s="12">
        <v>566</v>
      </c>
      <c r="E38" s="12">
        <v>630</v>
      </c>
      <c r="F38" s="13">
        <v>0.24811638871891042</v>
      </c>
      <c r="G38" s="13">
        <v>0.58288787460096203</v>
      </c>
      <c r="H38" s="13">
        <v>1.5803465827575103</v>
      </c>
      <c r="I38" s="13">
        <v>-1.0165947352674951</v>
      </c>
      <c r="J38" s="13">
        <v>0.23447152940450297</v>
      </c>
      <c r="K38" s="13">
        <v>0.65637210536640633</v>
      </c>
      <c r="L38" s="13">
        <v>0.23063014419354999</v>
      </c>
      <c r="M38" s="13">
        <v>3.8359835190612444</v>
      </c>
      <c r="O38" s="12">
        <v>117.72373518661723</v>
      </c>
      <c r="P38" s="12">
        <v>124.79124235277561</v>
      </c>
      <c r="Q38" s="12">
        <v>105.51431739805537</v>
      </c>
      <c r="R38" s="12">
        <v>137.88803793549368</v>
      </c>
      <c r="S38" s="12">
        <v>108.25376367531825</v>
      </c>
      <c r="T38" s="12">
        <v>118.44279014105666</v>
      </c>
      <c r="U38" s="12">
        <v>101.45438812406408</v>
      </c>
      <c r="V38" s="12">
        <v>11.600102402173746</v>
      </c>
      <c r="W38" s="12">
        <v>15.88825961010285</v>
      </c>
      <c r="X38" s="12">
        <v>101.92862130829836</v>
      </c>
      <c r="Y38" s="12">
        <v>101.95469299247048</v>
      </c>
      <c r="AB38" s="12">
        <v>145.52855376828398</v>
      </c>
      <c r="AC38" s="12">
        <v>88.751543598355781</v>
      </c>
      <c r="AD38" s="12">
        <v>30.531719873117346</v>
      </c>
      <c r="AE38" s="12">
        <v>1.2353224257955306</v>
      </c>
      <c r="AF38" s="12">
        <v>24.303349350000001</v>
      </c>
      <c r="AG38" s="12">
        <v>73.254639068025654</v>
      </c>
      <c r="AH38" s="12">
        <v>92.999999999999616</v>
      </c>
      <c r="AI38" s="12">
        <v>52.100999999999999</v>
      </c>
      <c r="AJ38" s="12">
        <v>3.4843517099999999</v>
      </c>
      <c r="AK38" s="12">
        <v>93.303000000000011</v>
      </c>
      <c r="AL38" s="12">
        <v>6.03386406</v>
      </c>
      <c r="AM38" s="12">
        <v>6.8267940300000003</v>
      </c>
      <c r="AN38" s="12">
        <v>0</v>
      </c>
      <c r="AO38" s="12">
        <v>1.28478231</v>
      </c>
      <c r="AP38" s="12">
        <v>0</v>
      </c>
      <c r="AQ38" s="12">
        <v>1.28478231</v>
      </c>
      <c r="AR38" s="12">
        <v>0.25711758616304592</v>
      </c>
      <c r="AS38" s="12">
        <v>0.32963680117027777</v>
      </c>
      <c r="AT38" s="12">
        <v>0.442993547742009</v>
      </c>
      <c r="AU38" s="12">
        <v>0.77263034891228677</v>
      </c>
      <c r="AV38" s="12">
        <v>0.26629999999999998</v>
      </c>
      <c r="AW38" s="12">
        <v>0.14810000000000001</v>
      </c>
      <c r="AX38" s="12">
        <v>8.2699999999999996E-2</v>
      </c>
    </row>
    <row r="39" spans="1:50" s="12" customFormat="1">
      <c r="A39" s="12" t="s">
        <v>101</v>
      </c>
      <c r="B39" s="12" t="s">
        <v>538</v>
      </c>
      <c r="C39" s="12" t="s">
        <v>124</v>
      </c>
      <c r="D39" s="12">
        <v>547</v>
      </c>
      <c r="E39" s="12">
        <v>614</v>
      </c>
      <c r="F39" s="13">
        <v>0.44977023430783919</v>
      </c>
      <c r="G39" s="13">
        <v>0.39776510859227854</v>
      </c>
      <c r="H39" s="13">
        <v>0.40532059897433353</v>
      </c>
      <c r="I39" s="13">
        <v>-0.93726078679747105</v>
      </c>
      <c r="J39" s="13">
        <v>0.47891712187571472</v>
      </c>
      <c r="K39" s="13">
        <v>0.72626848130427379</v>
      </c>
      <c r="L39" s="13">
        <v>1.0621930780230437</v>
      </c>
      <c r="M39" s="13">
        <v>3.7822143007584241</v>
      </c>
      <c r="O39" s="12">
        <v>127.59689691544801</v>
      </c>
      <c r="P39" s="12">
        <v>116.91764683446208</v>
      </c>
      <c r="Q39" s="12">
        <v>109.99601775995906</v>
      </c>
      <c r="R39" s="12">
        <v>109.71736351856488</v>
      </c>
      <c r="S39" s="12">
        <v>116.85862993287498</v>
      </c>
      <c r="T39" s="12">
        <v>120.40674348779874</v>
      </c>
      <c r="U39" s="12">
        <v>91.710743566628835</v>
      </c>
      <c r="V39" s="12">
        <v>18.498734352039207</v>
      </c>
      <c r="W39" s="12">
        <v>13.309884091763749</v>
      </c>
      <c r="X39" s="12">
        <v>114.31450349796241</v>
      </c>
      <c r="Y39" s="12">
        <v>109.00255850562145</v>
      </c>
      <c r="AB39" s="12">
        <v>157.7336281760866</v>
      </c>
      <c r="AC39" s="12">
        <v>109.19160084743251</v>
      </c>
      <c r="AD39" s="12">
        <v>24.969824569513928</v>
      </c>
      <c r="AE39" s="12">
        <v>0.98739413062193193</v>
      </c>
      <c r="AF39" s="12">
        <v>22.769950539999996</v>
      </c>
      <c r="AG39" s="12">
        <v>76.366115790030634</v>
      </c>
      <c r="AH39" s="12">
        <v>73.999999999999702</v>
      </c>
      <c r="AI39" s="12">
        <v>56.242400000000004</v>
      </c>
      <c r="AJ39" s="12">
        <v>1.7745502580000001</v>
      </c>
      <c r="AK39" s="12">
        <v>91.05619999999999</v>
      </c>
      <c r="AL39" s="12">
        <v>5.4543738300000006</v>
      </c>
      <c r="AM39" s="12">
        <v>4.0262724580000002</v>
      </c>
      <c r="AN39" s="12">
        <v>0.49999984799999997</v>
      </c>
      <c r="AO39" s="12">
        <v>2.0488480039999999</v>
      </c>
      <c r="AP39" s="12">
        <v>0.972562492</v>
      </c>
      <c r="AQ39" s="12">
        <v>1.0762855119999999</v>
      </c>
      <c r="AR39" s="12">
        <v>0.28836129465463728</v>
      </c>
      <c r="AS39" s="12">
        <v>0.36320074505982253</v>
      </c>
      <c r="AT39" s="12">
        <v>0.46283955125836596</v>
      </c>
      <c r="AU39" s="12">
        <v>0.82604029631818854</v>
      </c>
      <c r="AV39" s="12">
        <v>0.30869999999999997</v>
      </c>
      <c r="AW39" s="12">
        <v>0.14829999999999999</v>
      </c>
      <c r="AX39" s="12">
        <v>9.1600000000000001E-2</v>
      </c>
    </row>
    <row r="40" spans="1:50" s="12" customFormat="1">
      <c r="A40" s="12" t="s">
        <v>214</v>
      </c>
      <c r="B40" s="12" t="s">
        <v>213</v>
      </c>
      <c r="C40" s="12" t="s">
        <v>34</v>
      </c>
      <c r="D40" s="12">
        <v>567</v>
      </c>
      <c r="E40" s="12">
        <v>634</v>
      </c>
      <c r="F40" s="13">
        <v>1.1776133052795648</v>
      </c>
      <c r="G40" s="13">
        <v>0.83133147744686509</v>
      </c>
      <c r="H40" s="13">
        <v>0.46716407180503494</v>
      </c>
      <c r="I40" s="13">
        <v>1.7001665108759385</v>
      </c>
      <c r="J40" s="13">
        <v>-0.24745472099607449</v>
      </c>
      <c r="K40" s="13">
        <v>-1.1608216755369931</v>
      </c>
      <c r="L40" s="13">
        <v>0.37657174055068499</v>
      </c>
      <c r="M40" s="13">
        <v>3.6874297273287837</v>
      </c>
      <c r="O40" s="12">
        <v>115.7665844364823</v>
      </c>
      <c r="P40" s="12">
        <v>135.35798398102793</v>
      </c>
      <c r="Q40" s="12">
        <v>126.1721266016055</v>
      </c>
      <c r="R40" s="12">
        <v>111.20003059314027</v>
      </c>
      <c r="S40" s="12">
        <v>91.289207723297395</v>
      </c>
      <c r="T40" s="12">
        <v>67.383149926568649</v>
      </c>
      <c r="U40" s="12">
        <v>276.33878571806758</v>
      </c>
      <c r="V40" s="12">
        <v>247.84116053988805</v>
      </c>
      <c r="W40" s="12">
        <v>235.2042112838802</v>
      </c>
      <c r="X40" s="12">
        <v>100.0572838213664</v>
      </c>
      <c r="Y40" s="12">
        <v>103.19161289601028</v>
      </c>
      <c r="AB40" s="12">
        <v>143.10914940838879</v>
      </c>
      <c r="AC40" s="12">
        <v>85.055880657243563</v>
      </c>
      <c r="AD40" s="12">
        <v>29.926112629686966</v>
      </c>
      <c r="AE40" s="12">
        <v>1.0355575413460603</v>
      </c>
      <c r="AF40" s="12">
        <v>26.361243865999999</v>
      </c>
      <c r="AG40" s="12">
        <v>87.596582365003215</v>
      </c>
      <c r="AH40" s="12">
        <v>74.999999999999829</v>
      </c>
      <c r="AI40" s="12">
        <v>43.936199999999999</v>
      </c>
      <c r="AJ40" s="12">
        <v>3.7986008560000002</v>
      </c>
      <c r="AK40" s="12">
        <v>151.71619999999936</v>
      </c>
      <c r="AL40" s="12">
        <v>16.434879736195455</v>
      </c>
      <c r="AM40" s="12">
        <v>4.0357257319999995</v>
      </c>
      <c r="AN40" s="12">
        <v>2.5709460799999997</v>
      </c>
      <c r="AO40" s="12">
        <v>27.449924812030037</v>
      </c>
      <c r="AP40" s="12">
        <v>8.4304590360000002</v>
      </c>
      <c r="AQ40" s="12">
        <v>19.019465776030039</v>
      </c>
      <c r="AR40" s="12">
        <v>0.25239708890368395</v>
      </c>
      <c r="AS40" s="12">
        <v>0.33498497600322535</v>
      </c>
      <c r="AT40" s="12">
        <v>0.44701896649851092</v>
      </c>
      <c r="AU40" s="12">
        <v>0.78200394250173622</v>
      </c>
      <c r="AV40" s="12">
        <v>0.29709999999999998</v>
      </c>
      <c r="AW40" s="12" t="s">
        <v>215</v>
      </c>
      <c r="AX40" s="12">
        <v>6.93E-2</v>
      </c>
    </row>
    <row r="41" spans="1:50" s="12" customFormat="1">
      <c r="A41" s="12" t="s">
        <v>107</v>
      </c>
      <c r="B41" s="12" t="s">
        <v>549</v>
      </c>
      <c r="C41" s="12" t="s">
        <v>20</v>
      </c>
      <c r="D41" s="12">
        <v>553</v>
      </c>
      <c r="E41" s="12">
        <v>629</v>
      </c>
      <c r="F41" s="13">
        <v>0.73589704970343972</v>
      </c>
      <c r="G41" s="13">
        <v>0.93670026811942964</v>
      </c>
      <c r="H41" s="13">
        <v>0.90006838161988345</v>
      </c>
      <c r="I41" s="13">
        <v>-0.6102145443036443</v>
      </c>
      <c r="J41" s="13">
        <v>1.0463763099423069</v>
      </c>
      <c r="K41" s="13">
        <v>-1.1960000723282449</v>
      </c>
      <c r="L41" s="13">
        <v>0.41681677547838891</v>
      </c>
      <c r="M41" s="13">
        <v>3.5598826892177344</v>
      </c>
      <c r="O41" s="12">
        <v>109.99338893808246</v>
      </c>
      <c r="P41" s="12">
        <v>139.83950322307894</v>
      </c>
      <c r="Q41" s="12">
        <v>116.35510626810907</v>
      </c>
      <c r="R41" s="12">
        <v>121.57870011516653</v>
      </c>
      <c r="S41" s="12">
        <v>136.834078745722</v>
      </c>
      <c r="T41" s="12">
        <v>66.394704829320489</v>
      </c>
      <c r="U41" s="12">
        <v>110.49764277611686</v>
      </c>
      <c r="V41" s="12">
        <v>46.937652382242156</v>
      </c>
      <c r="W41" s="12">
        <v>39.806570856828969</v>
      </c>
      <c r="X41" s="12">
        <v>97.474271882089852</v>
      </c>
      <c r="Y41" s="12">
        <v>103.53270745687088</v>
      </c>
      <c r="AB41" s="12">
        <v>135.97240005048016</v>
      </c>
      <c r="AC41" s="12">
        <v>81.0964674617789</v>
      </c>
      <c r="AD41" s="12">
        <v>26.422407944940463</v>
      </c>
      <c r="AE41" s="12">
        <v>2.0539166848391717</v>
      </c>
      <c r="AF41" s="12">
        <v>27.234028892455747</v>
      </c>
      <c r="AG41" s="12">
        <v>80.780992793961701</v>
      </c>
      <c r="AH41" s="12">
        <v>81.999999999999702</v>
      </c>
      <c r="AI41" s="12">
        <v>65.856300000000005</v>
      </c>
      <c r="AJ41" s="12">
        <v>0.201925983</v>
      </c>
      <c r="AK41" s="12">
        <v>152.84700000000001</v>
      </c>
      <c r="AL41" s="12">
        <v>6.5716995369999998</v>
      </c>
      <c r="AM41" s="12">
        <v>5.038523359</v>
      </c>
      <c r="AN41" s="12">
        <v>0.50000027699999994</v>
      </c>
      <c r="AO41" s="12">
        <v>5.1986321640000002</v>
      </c>
      <c r="AP41" s="12">
        <v>1.979728438</v>
      </c>
      <c r="AQ41" s="12">
        <v>3.2189037260000002</v>
      </c>
      <c r="AR41" s="12">
        <v>0.24588137441316485</v>
      </c>
      <c r="AS41" s="12">
        <v>0.3342467747034647</v>
      </c>
      <c r="AT41" s="12">
        <v>0.45034204154792101</v>
      </c>
      <c r="AU41" s="12">
        <v>0.78458881625138566</v>
      </c>
      <c r="AV41" s="12" t="s">
        <v>550</v>
      </c>
      <c r="AW41" s="12">
        <v>0.24299999999999999</v>
      </c>
      <c r="AX41" s="12">
        <v>0.1047</v>
      </c>
    </row>
    <row r="42" spans="1:50" s="12" customFormat="1">
      <c r="A42" s="12" t="s">
        <v>243</v>
      </c>
      <c r="B42" s="12" t="s">
        <v>576</v>
      </c>
      <c r="C42" s="12" t="s">
        <v>49</v>
      </c>
      <c r="D42" s="12">
        <v>531</v>
      </c>
      <c r="E42" s="12">
        <v>612</v>
      </c>
      <c r="F42" s="13">
        <v>0.76749721592500841</v>
      </c>
      <c r="G42" s="13">
        <v>0.79366581844255246</v>
      </c>
      <c r="H42" s="13">
        <v>0.40532059897433059</v>
      </c>
      <c r="I42" s="13">
        <v>-0.19215146290768637</v>
      </c>
      <c r="J42" s="13">
        <v>1.226691382246397</v>
      </c>
      <c r="K42" s="13">
        <v>-1.1227003389363979</v>
      </c>
      <c r="L42" s="13">
        <v>0.41558816272874627</v>
      </c>
      <c r="M42" s="13">
        <v>3.5364056257917791</v>
      </c>
      <c r="O42" s="12">
        <v>102.92428588515155</v>
      </c>
      <c r="P42" s="12">
        <v>133.7559975245552</v>
      </c>
      <c r="Q42" s="12">
        <v>117.05741113106774</v>
      </c>
      <c r="R42" s="12">
        <v>109.71736351856481</v>
      </c>
      <c r="S42" s="12">
        <v>143.1814506320901</v>
      </c>
      <c r="T42" s="12">
        <v>68.454285956075708</v>
      </c>
      <c r="U42" s="12">
        <v>120.15179877020849</v>
      </c>
      <c r="V42" s="12">
        <v>83.291109962474508</v>
      </c>
      <c r="W42" s="12">
        <v>78.281077359677539</v>
      </c>
      <c r="X42" s="12">
        <v>94.988688048049966</v>
      </c>
      <c r="Y42" s="12">
        <v>103.52229441767089</v>
      </c>
      <c r="AB42" s="12">
        <v>127.2336665903058</v>
      </c>
      <c r="AC42" s="12">
        <v>71.578272405299586</v>
      </c>
      <c r="AD42" s="12">
        <v>27.56895697225216</v>
      </c>
      <c r="AE42" s="12">
        <v>2.1967073297344797</v>
      </c>
      <c r="AF42" s="12">
        <v>26.049253731343249</v>
      </c>
      <c r="AG42" s="12">
        <v>81.268576759061631</v>
      </c>
      <c r="AH42" s="12">
        <v>73.999999999999659</v>
      </c>
      <c r="AI42" s="12">
        <v>68.911199999999397</v>
      </c>
      <c r="AJ42" s="12">
        <v>0.99399142799999995</v>
      </c>
      <c r="AK42" s="12">
        <v>150.49080000000001</v>
      </c>
      <c r="AL42" s="12">
        <v>7.1458675543670687</v>
      </c>
      <c r="AM42" s="12">
        <v>4.8597016680000005</v>
      </c>
      <c r="AN42" s="12">
        <v>0</v>
      </c>
      <c r="AO42" s="12">
        <v>9.2249999999999357</v>
      </c>
      <c r="AP42" s="12">
        <v>2.8949081039999998</v>
      </c>
      <c r="AQ42" s="12">
        <v>6.3300918959999359</v>
      </c>
      <c r="AR42" s="12">
        <v>0.23961142484050058</v>
      </c>
      <c r="AS42" s="12">
        <v>0.33723434273088182</v>
      </c>
      <c r="AT42" s="12">
        <v>0.44727556170316446</v>
      </c>
      <c r="AU42" s="12">
        <v>0.78450990443404622</v>
      </c>
      <c r="AV42" s="12">
        <v>0.28160000000000002</v>
      </c>
      <c r="AW42" s="12">
        <v>0.24590000000000001</v>
      </c>
      <c r="AX42" s="12" t="s">
        <v>577</v>
      </c>
    </row>
    <row r="43" spans="1:50" s="12" customFormat="1">
      <c r="A43" s="12" t="s">
        <v>27</v>
      </c>
      <c r="B43" s="12" t="s">
        <v>500</v>
      </c>
      <c r="C43" s="12" t="s">
        <v>87</v>
      </c>
      <c r="D43" s="12">
        <v>429</v>
      </c>
      <c r="E43" s="12">
        <v>501</v>
      </c>
      <c r="F43" s="13">
        <v>-3.6245144461222935E-2</v>
      </c>
      <c r="G43" s="13">
        <v>0.49797453337537734</v>
      </c>
      <c r="H43" s="13">
        <v>9.6103234820865205E-2</v>
      </c>
      <c r="I43" s="13">
        <v>-0.91095489318988443</v>
      </c>
      <c r="J43" s="13">
        <v>0.50670603020027261</v>
      </c>
      <c r="K43" s="13">
        <v>0.53688439380340525</v>
      </c>
      <c r="L43" s="13">
        <v>1.5121287587330978</v>
      </c>
      <c r="M43" s="13">
        <v>3.4713539253468157</v>
      </c>
      <c r="O43" s="12">
        <v>92.736770295802231</v>
      </c>
      <c r="P43" s="12">
        <v>121.17972920756131</v>
      </c>
      <c r="Q43" s="12">
        <v>99.194461793799732</v>
      </c>
      <c r="R43" s="12">
        <v>102.30402814568886</v>
      </c>
      <c r="S43" s="12">
        <v>117.83684286426373</v>
      </c>
      <c r="T43" s="12">
        <v>115.08541591571328</v>
      </c>
      <c r="U43" s="12">
        <v>146.71827013870532</v>
      </c>
      <c r="V43" s="12">
        <v>20.786212557912549</v>
      </c>
      <c r="W43" s="12">
        <v>15.863348595631237</v>
      </c>
      <c r="X43" s="12">
        <v>105.93591514862213</v>
      </c>
      <c r="Y43" s="12">
        <v>112.81596340644968</v>
      </c>
      <c r="AB43" s="12">
        <v>114.63999201941611</v>
      </c>
      <c r="AC43" s="12">
        <v>68.477907200152089</v>
      </c>
      <c r="AD43" s="12">
        <v>20.780867791953639</v>
      </c>
      <c r="AE43" s="12">
        <v>1.2207223903938631</v>
      </c>
      <c r="AF43" s="12">
        <v>23.599999788000002</v>
      </c>
      <c r="AG43" s="12">
        <v>68.86699999999982</v>
      </c>
      <c r="AH43" s="12">
        <v>68.999999999999716</v>
      </c>
      <c r="AI43" s="12">
        <v>56.713199999999496</v>
      </c>
      <c r="AJ43" s="12">
        <v>2.8288724519999997</v>
      </c>
      <c r="AK43" s="12">
        <v>97.143899999999988</v>
      </c>
      <c r="AL43" s="12">
        <v>8.7258729119999998</v>
      </c>
      <c r="AM43" s="12">
        <v>5.999999999999992</v>
      </c>
      <c r="AN43" s="12">
        <v>0</v>
      </c>
      <c r="AO43" s="12">
        <v>2.3022002100000001</v>
      </c>
      <c r="AP43" s="12">
        <v>1.0194322949999999</v>
      </c>
      <c r="AQ43" s="12">
        <v>1.2827679150000002</v>
      </c>
      <c r="AR43" s="12">
        <v>0.26722608862334757</v>
      </c>
      <c r="AS43" s="12">
        <v>0.36985313802834996</v>
      </c>
      <c r="AT43" s="12">
        <v>0.48508580211478081</v>
      </c>
      <c r="AU43" s="12">
        <v>0.85493894014313077</v>
      </c>
      <c r="AV43" s="12" t="s">
        <v>501</v>
      </c>
      <c r="AW43" s="12" t="s">
        <v>502</v>
      </c>
      <c r="AX43" s="12" t="s">
        <v>503</v>
      </c>
    </row>
    <row r="44" spans="1:50" s="12" customFormat="1">
      <c r="A44" s="12" t="s">
        <v>74</v>
      </c>
      <c r="B44" s="12" t="s">
        <v>314</v>
      </c>
      <c r="C44" s="12" t="s">
        <v>124</v>
      </c>
      <c r="D44" s="12">
        <v>546</v>
      </c>
      <c r="E44" s="12">
        <v>607</v>
      </c>
      <c r="F44" s="13">
        <v>0.16956633976957347</v>
      </c>
      <c r="G44" s="13">
        <v>0.10191761467261513</v>
      </c>
      <c r="H44" s="13">
        <v>1.1474422729426434</v>
      </c>
      <c r="I44" s="13">
        <v>0.63746992527850144</v>
      </c>
      <c r="J44" s="13">
        <v>0.18310808840183523</v>
      </c>
      <c r="K44" s="13">
        <v>0.77933472577410356</v>
      </c>
      <c r="L44" s="13">
        <v>-0.20290029124836004</v>
      </c>
      <c r="M44" s="13">
        <v>3.4500365046878043</v>
      </c>
      <c r="O44" s="12">
        <v>111.80006187193274</v>
      </c>
      <c r="P44" s="12">
        <v>104.33473468134046</v>
      </c>
      <c r="Q44" s="12">
        <v>103.76856451258139</v>
      </c>
      <c r="R44" s="12">
        <v>127.50936841346699</v>
      </c>
      <c r="S44" s="12">
        <v>106.44569041088452</v>
      </c>
      <c r="T44" s="12">
        <v>121.897802602483</v>
      </c>
      <c r="U44" s="12">
        <v>93.108596266601182</v>
      </c>
      <c r="V44" s="12">
        <v>155.43239027446441</v>
      </c>
      <c r="W44" s="12">
        <v>169.12074148840762</v>
      </c>
      <c r="X44" s="12">
        <v>100.34551107342359</v>
      </c>
      <c r="Y44" s="12">
        <v>98.280329837800508</v>
      </c>
      <c r="AB44" s="12">
        <v>138.20578568659462</v>
      </c>
      <c r="AC44" s="12">
        <v>91.928504648340223</v>
      </c>
      <c r="AD44" s="12">
        <v>26.123080269600916</v>
      </c>
      <c r="AE44" s="12">
        <v>0.30752973576203224</v>
      </c>
      <c r="AF44" s="12">
        <v>20.319402696000001</v>
      </c>
      <c r="AG44" s="12">
        <v>72.04262821792544</v>
      </c>
      <c r="AH44" s="12">
        <v>85.999999999999446</v>
      </c>
      <c r="AI44" s="12">
        <v>51.230800000000002</v>
      </c>
      <c r="AJ44" s="12">
        <v>5.7909159680000002</v>
      </c>
      <c r="AK44" s="12">
        <v>89.350399999999993</v>
      </c>
      <c r="AL44" s="12">
        <v>5.5375092500000003</v>
      </c>
      <c r="AM44" s="12">
        <v>5.0265342220000004</v>
      </c>
      <c r="AN44" s="12">
        <v>0</v>
      </c>
      <c r="AO44" s="12">
        <v>17.215088152</v>
      </c>
      <c r="AP44" s="12">
        <v>3.5393714749999998</v>
      </c>
      <c r="AQ44" s="12">
        <v>13.675716677</v>
      </c>
      <c r="AR44" s="12">
        <v>0.25312414960914764</v>
      </c>
      <c r="AS44" s="12">
        <v>0.33017940737739238</v>
      </c>
      <c r="AT44" s="12">
        <v>0.41460598018100392</v>
      </c>
      <c r="AU44" s="12">
        <v>0.74478538755839629</v>
      </c>
      <c r="AV44" s="12">
        <v>0.2671</v>
      </c>
      <c r="AW44" s="12">
        <v>0.1472</v>
      </c>
      <c r="AX44" s="12">
        <v>8.4400000000000003E-2</v>
      </c>
    </row>
    <row r="45" spans="1:50" s="12" customFormat="1">
      <c r="A45" s="12" t="s">
        <v>19</v>
      </c>
      <c r="B45" s="12" t="s">
        <v>365</v>
      </c>
      <c r="C45" s="12" t="s">
        <v>366</v>
      </c>
      <c r="D45" s="12">
        <v>475</v>
      </c>
      <c r="E45" s="12">
        <v>541</v>
      </c>
      <c r="F45" s="13">
        <v>0.28759954843783242</v>
      </c>
      <c r="G45" s="13">
        <v>0.82083521020331018</v>
      </c>
      <c r="H45" s="13">
        <v>0.46716407180502784</v>
      </c>
      <c r="I45" s="13">
        <v>-0.70532727797010986</v>
      </c>
      <c r="J45" s="13">
        <v>0.32052978840460605</v>
      </c>
      <c r="K45" s="13">
        <v>2.631855710577552E-2</v>
      </c>
      <c r="L45" s="13">
        <v>0.81107666955813607</v>
      </c>
      <c r="M45" s="13">
        <v>3.4328735556047349</v>
      </c>
      <c r="O45" s="12">
        <v>95.366235222803226</v>
      </c>
      <c r="P45" s="12">
        <v>134.91155934882468</v>
      </c>
      <c r="Q45" s="12">
        <v>106.39181958842822</v>
      </c>
      <c r="R45" s="12">
        <v>111.2000305931401</v>
      </c>
      <c r="S45" s="12">
        <v>111.28314866675055</v>
      </c>
      <c r="T45" s="12">
        <v>100.73950069106954</v>
      </c>
      <c r="U45" s="12">
        <v>136.13070432754512</v>
      </c>
      <c r="V45" s="12">
        <v>38.666946638175418</v>
      </c>
      <c r="W45" s="12">
        <v>31.444619047513271</v>
      </c>
      <c r="X45" s="12">
        <v>98.389686486732572</v>
      </c>
      <c r="Y45" s="12">
        <v>106.87423531683314</v>
      </c>
      <c r="AB45" s="12">
        <v>117.89050244031195</v>
      </c>
      <c r="AC45" s="12">
        <v>66.594574591928207</v>
      </c>
      <c r="AD45" s="12">
        <v>23.232928839947515</v>
      </c>
      <c r="AE45" s="12">
        <v>2.1390333405144055</v>
      </c>
      <c r="AF45" s="12">
        <v>26.274301757</v>
      </c>
      <c r="AG45" s="12">
        <v>73.863855976425512</v>
      </c>
      <c r="AH45" s="12">
        <v>74.999999999999716</v>
      </c>
      <c r="AI45" s="12">
        <v>53.559000000000005</v>
      </c>
      <c r="AJ45" s="12">
        <v>0</v>
      </c>
      <c r="AK45" s="12">
        <v>113.55589999999947</v>
      </c>
      <c r="AL45" s="12">
        <v>8.0961915939999987</v>
      </c>
      <c r="AM45" s="12">
        <v>4.0238362749999999</v>
      </c>
      <c r="AN45" s="12">
        <v>0</v>
      </c>
      <c r="AO45" s="12">
        <v>4.2826009030000005</v>
      </c>
      <c r="AP45" s="12">
        <v>1.739874935</v>
      </c>
      <c r="AQ45" s="12">
        <v>2.5427259680000005</v>
      </c>
      <c r="AR45" s="12">
        <v>0.24819053145328832</v>
      </c>
      <c r="AS45" s="12">
        <v>0.337122569120127</v>
      </c>
      <c r="AT45" s="12">
        <v>0.47278892488708729</v>
      </c>
      <c r="AU45" s="12">
        <v>0.80991149400721429</v>
      </c>
      <c r="AV45" s="12">
        <v>0.27010000000000001</v>
      </c>
      <c r="AW45" s="12" t="s">
        <v>367</v>
      </c>
      <c r="AX45" s="12">
        <v>9.9000000000000005E-2</v>
      </c>
    </row>
    <row r="46" spans="1:50" s="12" customFormat="1">
      <c r="A46" s="12" t="s">
        <v>156</v>
      </c>
      <c r="B46" s="12" t="s">
        <v>318</v>
      </c>
      <c r="C46" s="12" t="s">
        <v>87</v>
      </c>
      <c r="D46" s="12">
        <v>526</v>
      </c>
      <c r="E46" s="12">
        <v>603</v>
      </c>
      <c r="F46" s="13">
        <v>0.44513800404949488</v>
      </c>
      <c r="G46" s="13">
        <v>0.1675318429458631</v>
      </c>
      <c r="H46" s="13">
        <v>0.59085101746641044</v>
      </c>
      <c r="I46" s="13">
        <v>-0.49907512349527994</v>
      </c>
      <c r="J46" s="13">
        <v>1.1419611827987999</v>
      </c>
      <c r="K46" s="13">
        <v>-3.3534935304961491E-3</v>
      </c>
      <c r="L46" s="13">
        <v>0.69036116836073558</v>
      </c>
      <c r="M46" s="13">
        <v>3.3540162076484741</v>
      </c>
      <c r="O46" s="12">
        <v>113.60596949296927</v>
      </c>
      <c r="P46" s="12">
        <v>107.12542274639246</v>
      </c>
      <c r="Q46" s="12">
        <v>109.89306773703927</v>
      </c>
      <c r="R46" s="12">
        <v>114.16536474229039</v>
      </c>
      <c r="S46" s="12">
        <v>140.19881540904535</v>
      </c>
      <c r="T46" s="12">
        <v>99.905773300058485</v>
      </c>
      <c r="U46" s="12">
        <v>75.481308435570114</v>
      </c>
      <c r="V46" s="12">
        <v>56.601988698085833</v>
      </c>
      <c r="W46" s="12">
        <v>52.719447580621164</v>
      </c>
      <c r="X46" s="12">
        <v>105.84344238174238</v>
      </c>
      <c r="Y46" s="12">
        <v>105.8511177833545</v>
      </c>
      <c r="AB46" s="12">
        <v>140.43822525293999</v>
      </c>
      <c r="AC46" s="12">
        <v>91.768174701646942</v>
      </c>
      <c r="AD46" s="12">
        <v>27.320644456404839</v>
      </c>
      <c r="AE46" s="12">
        <v>1.0000086073420567</v>
      </c>
      <c r="AF46" s="12">
        <v>20.862894897</v>
      </c>
      <c r="AG46" s="12">
        <v>76.294641444586276</v>
      </c>
      <c r="AH46" s="12">
        <v>76.999999999999631</v>
      </c>
      <c r="AI46" s="12">
        <v>67.475700000000003</v>
      </c>
      <c r="AJ46" s="12">
        <v>3.6957122280000001</v>
      </c>
      <c r="AK46" s="12">
        <v>114.50970000000001</v>
      </c>
      <c r="AL46" s="12">
        <v>4.4891498790000002</v>
      </c>
      <c r="AM46" s="12">
        <v>4.0106488770000004</v>
      </c>
      <c r="AN46" s="12">
        <v>0</v>
      </c>
      <c r="AO46" s="12">
        <v>6.2690165370000006</v>
      </c>
      <c r="AP46" s="12">
        <v>2.0059307550000001</v>
      </c>
      <c r="AQ46" s="12">
        <v>4.263085782000001</v>
      </c>
      <c r="AR46" s="12">
        <v>0.26699282367479082</v>
      </c>
      <c r="AS46" s="12">
        <v>0.35945647972719036</v>
      </c>
      <c r="AT46" s="12">
        <v>0.44270165213779999</v>
      </c>
      <c r="AU46" s="12">
        <v>0.80215813186499041</v>
      </c>
      <c r="AV46" s="12">
        <v>0.30299999999999999</v>
      </c>
      <c r="AW46" s="12">
        <v>0.18990000000000001</v>
      </c>
      <c r="AX46" s="12">
        <v>0.1119</v>
      </c>
    </row>
    <row r="47" spans="1:50" s="12" customFormat="1">
      <c r="A47" s="12" t="s">
        <v>58</v>
      </c>
      <c r="B47" s="12" t="s">
        <v>425</v>
      </c>
      <c r="C47" s="12" t="s">
        <v>49</v>
      </c>
      <c r="D47" s="12">
        <v>532</v>
      </c>
      <c r="E47" s="12">
        <v>598</v>
      </c>
      <c r="F47" s="13">
        <v>0.41433727746719179</v>
      </c>
      <c r="G47" s="13">
        <v>1.7721626905453398</v>
      </c>
      <c r="H47" s="13">
        <v>1.7040335284189001</v>
      </c>
      <c r="I47" s="13">
        <v>-0.84214228374379019</v>
      </c>
      <c r="J47" s="13">
        <v>0.1029759262492016</v>
      </c>
      <c r="K47" s="13">
        <v>-2.0518107020129204</v>
      </c>
      <c r="L47" s="13">
        <v>0.3962745682755256</v>
      </c>
      <c r="M47" s="13">
        <v>3.1796576531356</v>
      </c>
      <c r="O47" s="12">
        <v>98.948140293079348</v>
      </c>
      <c r="P47" s="12">
        <v>175.3731835302512</v>
      </c>
      <c r="Q47" s="12">
        <v>109.20853019664345</v>
      </c>
      <c r="R47" s="12">
        <v>140.85337208464415</v>
      </c>
      <c r="S47" s="12">
        <v>103.62491327482932</v>
      </c>
      <c r="T47" s="12">
        <v>42.348076834748419</v>
      </c>
      <c r="U47" s="12">
        <v>175.01213665459011</v>
      </c>
      <c r="V47" s="12">
        <v>26.769941783967738</v>
      </c>
      <c r="W47" s="12">
        <v>24.284100227993662</v>
      </c>
      <c r="X47" s="12">
        <v>91.147456052078084</v>
      </c>
      <c r="Y47" s="12">
        <v>103.35860311934067</v>
      </c>
      <c r="AB47" s="12">
        <v>122.31840700676361</v>
      </c>
      <c r="AC47" s="12">
        <v>65.223638822839177</v>
      </c>
      <c r="AD47" s="12">
        <v>22.88927603555468</v>
      </c>
      <c r="AE47" s="12">
        <v>1.001341163699168</v>
      </c>
      <c r="AF47" s="12">
        <v>34.154285714285642</v>
      </c>
      <c r="AG47" s="12">
        <v>75.819392666157142</v>
      </c>
      <c r="AH47" s="12">
        <v>94.999999999999645</v>
      </c>
      <c r="AI47" s="12">
        <v>49.873200000000004</v>
      </c>
      <c r="AJ47" s="12">
        <v>0.98049634799999996</v>
      </c>
      <c r="AK47" s="12">
        <v>180.35679999999999</v>
      </c>
      <c r="AL47" s="12">
        <v>10.408612785999999</v>
      </c>
      <c r="AM47" s="12">
        <v>5.2201680439999993</v>
      </c>
      <c r="AN47" s="12">
        <v>0</v>
      </c>
      <c r="AO47" s="12">
        <v>2.9649348300000002</v>
      </c>
      <c r="AP47" s="12">
        <v>1.00123439</v>
      </c>
      <c r="AQ47" s="12">
        <v>1.9637004400000002</v>
      </c>
      <c r="AR47" s="12">
        <v>0.22992181768188649</v>
      </c>
      <c r="AS47" s="12">
        <v>0.31217288721131098</v>
      </c>
      <c r="AT47" s="12">
        <v>0.47109653616952746</v>
      </c>
      <c r="AU47" s="12">
        <v>0.78326942338083838</v>
      </c>
      <c r="AV47" s="12">
        <v>0.2732</v>
      </c>
      <c r="AW47" s="12">
        <v>0.30159999999999998</v>
      </c>
      <c r="AX47" s="12">
        <v>8.3400000000000002E-2</v>
      </c>
    </row>
    <row r="48" spans="1:50" s="12" customFormat="1">
      <c r="A48" s="12" t="s">
        <v>19</v>
      </c>
      <c r="B48" s="12" t="s">
        <v>299</v>
      </c>
      <c r="C48" s="12" t="s">
        <v>20</v>
      </c>
      <c r="D48" s="12">
        <v>535</v>
      </c>
      <c r="E48" s="12">
        <v>594</v>
      </c>
      <c r="F48" s="13">
        <v>0.48487632930913038</v>
      </c>
      <c r="G48" s="13">
        <v>0.21981198313298717</v>
      </c>
      <c r="H48" s="13">
        <v>0.77638143595849018</v>
      </c>
      <c r="I48" s="13">
        <v>5.8696946206142899E-3</v>
      </c>
      <c r="J48" s="13">
        <v>9.3803461606803404E-2</v>
      </c>
      <c r="K48" s="13">
        <v>0.85549651479454469</v>
      </c>
      <c r="L48" s="13">
        <v>-0.10995351636695887</v>
      </c>
      <c r="M48" s="13">
        <v>3.1306538659557659</v>
      </c>
      <c r="O48" s="12">
        <v>109.45895876024618</v>
      </c>
      <c r="P48" s="12">
        <v>109.34898868778961</v>
      </c>
      <c r="Q48" s="12">
        <v>110.77624091024323</v>
      </c>
      <c r="R48" s="12">
        <v>118.61336596601598</v>
      </c>
      <c r="S48" s="12">
        <v>103.30202820784126</v>
      </c>
      <c r="T48" s="12">
        <v>124.0378019720286</v>
      </c>
      <c r="U48" s="12">
        <v>50.504418813363834</v>
      </c>
      <c r="V48" s="12">
        <v>100.51041027991982</v>
      </c>
      <c r="W48" s="12">
        <v>100.84083225697505</v>
      </c>
      <c r="X48" s="12">
        <v>100.26424284971924</v>
      </c>
      <c r="Y48" s="12">
        <v>99.068095071910321</v>
      </c>
      <c r="AB48" s="12">
        <v>135.31174439979637</v>
      </c>
      <c r="AC48" s="12">
        <v>86.273461674831509</v>
      </c>
      <c r="AD48" s="12">
        <v>24.5517038865692</v>
      </c>
      <c r="AE48" s="12">
        <v>3.0196627686753983</v>
      </c>
      <c r="AF48" s="12">
        <v>21.295938906</v>
      </c>
      <c r="AG48" s="12">
        <v>76.907795503987998</v>
      </c>
      <c r="AH48" s="12">
        <v>79.999999999999602</v>
      </c>
      <c r="AI48" s="12">
        <v>49.717799999999997</v>
      </c>
      <c r="AJ48" s="12">
        <v>2.9331108180000003</v>
      </c>
      <c r="AK48" s="12">
        <v>86.902199999999397</v>
      </c>
      <c r="AL48" s="12">
        <v>3.0036827699999997</v>
      </c>
      <c r="AM48" s="12">
        <v>6.2243656200000004</v>
      </c>
      <c r="AN48" s="12">
        <v>0</v>
      </c>
      <c r="AO48" s="12">
        <v>11.132142857142773</v>
      </c>
      <c r="AP48" s="12">
        <v>2.9777873400000003</v>
      </c>
      <c r="AQ48" s="12">
        <v>8.154355517142772</v>
      </c>
      <c r="AR48" s="12">
        <v>0.25291914841083435</v>
      </c>
      <c r="AS48" s="12">
        <v>0.32155967012668363</v>
      </c>
      <c r="AT48" s="12">
        <v>0.42919553902429186</v>
      </c>
      <c r="AU48" s="12">
        <v>0.75075520915097549</v>
      </c>
      <c r="AV48" s="12">
        <v>0.26329999999999998</v>
      </c>
      <c r="AW48" s="12" t="s">
        <v>300</v>
      </c>
      <c r="AX48" s="12">
        <v>8.3699999999999997E-2</v>
      </c>
    </row>
    <row r="49" spans="1:50" s="12" customFormat="1">
      <c r="A49" s="12" t="s">
        <v>248</v>
      </c>
      <c r="B49" s="12" t="s">
        <v>247</v>
      </c>
      <c r="C49" s="12" t="s">
        <v>20</v>
      </c>
      <c r="D49" s="12">
        <v>549</v>
      </c>
      <c r="E49" s="12">
        <v>630</v>
      </c>
      <c r="F49" s="13">
        <v>0.96941986432745231</v>
      </c>
      <c r="G49" s="13">
        <v>0.44556977722943614</v>
      </c>
      <c r="H49" s="13">
        <v>0.77638143595847664</v>
      </c>
      <c r="I49" s="13">
        <v>0.52733186211661032</v>
      </c>
      <c r="J49" s="13">
        <v>1.4206943216713555</v>
      </c>
      <c r="K49" s="13">
        <v>-2.1364653300181184</v>
      </c>
      <c r="L49" s="13">
        <v>0.68751818399071629</v>
      </c>
      <c r="M49" s="13">
        <v>3.0009192769467021</v>
      </c>
      <c r="O49" s="12">
        <v>115.01317618320206</v>
      </c>
      <c r="P49" s="12">
        <v>118.95086313114561</v>
      </c>
      <c r="Q49" s="12">
        <v>121.54508556037933</v>
      </c>
      <c r="R49" s="12">
        <v>118.61336596601565</v>
      </c>
      <c r="S49" s="12">
        <v>150.01065679796216</v>
      </c>
      <c r="T49" s="12">
        <v>39.969445070838297</v>
      </c>
      <c r="U49" s="12">
        <v>60.459591456109742</v>
      </c>
      <c r="V49" s="12">
        <v>145.85512888664871</v>
      </c>
      <c r="W49" s="12">
        <v>125.85954932745763</v>
      </c>
      <c r="X49" s="12">
        <v>102.66532837837104</v>
      </c>
      <c r="Y49" s="12">
        <v>105.82702222704631</v>
      </c>
      <c r="AB49" s="12">
        <v>142.17779590246107</v>
      </c>
      <c r="AC49" s="12">
        <v>88.149471543473425</v>
      </c>
      <c r="AD49" s="12">
        <v>29.853825602823914</v>
      </c>
      <c r="AE49" s="12">
        <v>1.7966972441570928</v>
      </c>
      <c r="AF49" s="12">
        <v>23.165923566878948</v>
      </c>
      <c r="AG49" s="12">
        <v>84.384201052339662</v>
      </c>
      <c r="AH49" s="12">
        <v>79.999999999999389</v>
      </c>
      <c r="AI49" s="12">
        <v>72.197999999999993</v>
      </c>
      <c r="AJ49" s="12">
        <v>4.6887485399999997</v>
      </c>
      <c r="AK49" s="12">
        <v>183.07799999999938</v>
      </c>
      <c r="AL49" s="12">
        <v>3.5957533499999998</v>
      </c>
      <c r="AM49" s="12">
        <v>3.0076433100000002</v>
      </c>
      <c r="AN49" s="12">
        <v>0.50000012999999999</v>
      </c>
      <c r="AO49" s="12">
        <v>16.154347860000001</v>
      </c>
      <c r="AP49" s="12">
        <v>5.9768881199999999</v>
      </c>
      <c r="AQ49" s="12">
        <v>10.177459740000002</v>
      </c>
      <c r="AR49" s="12">
        <v>0.25897594882051195</v>
      </c>
      <c r="AS49" s="12">
        <v>0.35405037901112113</v>
      </c>
      <c r="AT49" s="12">
        <v>0.44792515254846688</v>
      </c>
      <c r="AU49" s="12">
        <v>0.80197553155958801</v>
      </c>
      <c r="AV49" s="12" t="s">
        <v>249</v>
      </c>
      <c r="AW49" s="12" t="s">
        <v>250</v>
      </c>
      <c r="AX49" s="12">
        <v>0.11459999999999999</v>
      </c>
    </row>
    <row r="50" spans="1:50" s="12" customFormat="1">
      <c r="A50" s="12" t="s">
        <v>92</v>
      </c>
      <c r="B50" s="12" t="s">
        <v>307</v>
      </c>
      <c r="C50" s="12" t="s">
        <v>34</v>
      </c>
      <c r="D50" s="12">
        <v>549</v>
      </c>
      <c r="E50" s="12">
        <v>648</v>
      </c>
      <c r="F50" s="13">
        <v>1.1999418969870193</v>
      </c>
      <c r="G50" s="13">
        <v>-0.98410128597086455</v>
      </c>
      <c r="H50" s="13">
        <v>-0.15127065650191776</v>
      </c>
      <c r="I50" s="13">
        <v>1.0017649381135125</v>
      </c>
      <c r="J50" s="13">
        <v>1.4468305336639795</v>
      </c>
      <c r="K50" s="13">
        <v>0.96452216866307083</v>
      </c>
      <c r="L50" s="13">
        <v>-0.3002559950641609</v>
      </c>
      <c r="M50" s="13">
        <v>2.9069560220978676</v>
      </c>
      <c r="O50" s="12">
        <v>114.99195031264586</v>
      </c>
      <c r="P50" s="12">
        <v>58.144448455230389</v>
      </c>
      <c r="Q50" s="12">
        <v>126.66837331211997</v>
      </c>
      <c r="R50" s="12">
        <v>96.373359847387846</v>
      </c>
      <c r="S50" s="12">
        <v>150.93069223980456</v>
      </c>
      <c r="T50" s="12">
        <v>127.10121255552112</v>
      </c>
      <c r="U50" s="12">
        <v>126.31139818719291</v>
      </c>
      <c r="V50" s="12">
        <v>187.1103448347348</v>
      </c>
      <c r="W50" s="12">
        <v>187.47932980707969</v>
      </c>
      <c r="X50" s="12">
        <v>102.64638132340669</v>
      </c>
      <c r="Y50" s="12">
        <v>97.455196971100833</v>
      </c>
      <c r="AB50" s="12">
        <v>142.15155675672193</v>
      </c>
      <c r="AC50" s="12">
        <v>100.92341630571845</v>
      </c>
      <c r="AD50" s="12">
        <v>26.275572785327487</v>
      </c>
      <c r="AE50" s="12">
        <v>3.8128840604620842</v>
      </c>
      <c r="AF50" s="12">
        <v>11.323750104</v>
      </c>
      <c r="AG50" s="12">
        <v>87.941107871719922</v>
      </c>
      <c r="AH50" s="12">
        <v>64.999999999999588</v>
      </c>
      <c r="AI50" s="12">
        <v>72.640799999999999</v>
      </c>
      <c r="AJ50" s="12">
        <v>0.99719100000000005</v>
      </c>
      <c r="AK50" s="12">
        <v>83.397600000000011</v>
      </c>
      <c r="AL50" s="12">
        <v>7.5122014925372973</v>
      </c>
      <c r="AM50" s="12">
        <v>5.2500000959999999</v>
      </c>
      <c r="AN50" s="12">
        <v>9.8731340640000003</v>
      </c>
      <c r="AO50" s="12">
        <v>20.723615423999998</v>
      </c>
      <c r="AP50" s="12">
        <v>5.5633566959999996</v>
      </c>
      <c r="AQ50" s="12">
        <v>15.160258727999999</v>
      </c>
      <c r="AR50" s="12">
        <v>0.25892815438382866</v>
      </c>
      <c r="AS50" s="12">
        <v>0.35563946502540733</v>
      </c>
      <c r="AT50" s="12">
        <v>0.38289292253872437</v>
      </c>
      <c r="AU50" s="12">
        <v>0.73853238756413164</v>
      </c>
      <c r="AV50" s="12" t="s">
        <v>308</v>
      </c>
      <c r="AW50" s="12">
        <v>0.12870000000000001</v>
      </c>
      <c r="AX50" s="12">
        <v>0.11210000000000001</v>
      </c>
    </row>
    <row r="51" spans="1:50" s="12" customFormat="1">
      <c r="A51" s="12" t="s">
        <v>136</v>
      </c>
      <c r="B51" s="12" t="s">
        <v>323</v>
      </c>
      <c r="C51" s="12" t="s">
        <v>87</v>
      </c>
      <c r="D51" s="12">
        <v>478</v>
      </c>
      <c r="E51" s="12">
        <v>526</v>
      </c>
      <c r="F51" s="13">
        <v>5.8803957112122357E-2</v>
      </c>
      <c r="G51" s="13">
        <v>1.1499008189466671</v>
      </c>
      <c r="H51" s="13">
        <v>0.52900754463573507</v>
      </c>
      <c r="I51" s="13">
        <v>-0.53647912487647431</v>
      </c>
      <c r="J51" s="13">
        <v>-0.54329916939135348</v>
      </c>
      <c r="K51" s="13">
        <v>-0.10154999996090337</v>
      </c>
      <c r="L51" s="13">
        <v>0.92326270611420169</v>
      </c>
      <c r="M51" s="13">
        <v>2.8820733763238673</v>
      </c>
      <c r="O51" s="12">
        <v>99.359073525594752</v>
      </c>
      <c r="P51" s="12">
        <v>148.90729611364418</v>
      </c>
      <c r="Q51" s="12">
        <v>101.30690151284306</v>
      </c>
      <c r="R51" s="12">
        <v>112.68269766771563</v>
      </c>
      <c r="S51" s="12">
        <v>80.875021540816633</v>
      </c>
      <c r="T51" s="12">
        <v>97.146640872165378</v>
      </c>
      <c r="U51" s="12">
        <v>67.046099872334395</v>
      </c>
      <c r="V51" s="12">
        <v>53.349453762444547</v>
      </c>
      <c r="W51" s="12">
        <v>56.458096297952501</v>
      </c>
      <c r="X51" s="12">
        <v>101.86574943826902</v>
      </c>
      <c r="Y51" s="12">
        <v>107.82506184593227</v>
      </c>
      <c r="AB51" s="12">
        <v>122.82639733622855</v>
      </c>
      <c r="AC51" s="12">
        <v>67.538337473312282</v>
      </c>
      <c r="AD51" s="12">
        <v>25.304395940713768</v>
      </c>
      <c r="AE51" s="12">
        <v>1.2446324927311307</v>
      </c>
      <c r="AF51" s="12">
        <v>29.00000008</v>
      </c>
      <c r="AG51" s="12">
        <v>70.333587786259159</v>
      </c>
      <c r="AH51" s="12">
        <v>75.999999999999929</v>
      </c>
      <c r="AI51" s="12">
        <v>38.923999999999999</v>
      </c>
      <c r="AJ51" s="12">
        <v>0.992516238</v>
      </c>
      <c r="AK51" s="12">
        <v>117.66619999999948</v>
      </c>
      <c r="AL51" s="12">
        <v>3.9874771299999998</v>
      </c>
      <c r="AM51" s="12">
        <v>4.0000001379999999</v>
      </c>
      <c r="AN51" s="12">
        <v>0.49999981999999998</v>
      </c>
      <c r="AO51" s="12">
        <v>5.9087783939999996</v>
      </c>
      <c r="AP51" s="12">
        <v>1.343371914</v>
      </c>
      <c r="AQ51" s="12">
        <v>4.56540648</v>
      </c>
      <c r="AR51" s="12">
        <v>0.25695899024315599</v>
      </c>
      <c r="AS51" s="12">
        <v>0.31945796975720225</v>
      </c>
      <c r="AT51" s="12">
        <v>0.49765905262119914</v>
      </c>
      <c r="AU51" s="12">
        <v>0.81711702237840145</v>
      </c>
      <c r="AV51" s="12">
        <v>0.27979999999999999</v>
      </c>
      <c r="AW51" s="12" t="s">
        <v>324</v>
      </c>
      <c r="AX51" s="12">
        <v>7.3999999999999996E-2</v>
      </c>
    </row>
    <row r="52" spans="1:50" s="12" customFormat="1">
      <c r="A52" s="12" t="s">
        <v>156</v>
      </c>
      <c r="B52" s="12" t="s">
        <v>155</v>
      </c>
      <c r="C52" s="12" t="s">
        <v>20</v>
      </c>
      <c r="D52" s="12">
        <v>580</v>
      </c>
      <c r="E52" s="12">
        <v>629</v>
      </c>
      <c r="F52" s="13">
        <v>1.0966845459146464</v>
      </c>
      <c r="G52" s="13">
        <v>0.22283272397814008</v>
      </c>
      <c r="H52" s="13">
        <v>1.0237553272812803</v>
      </c>
      <c r="I52" s="13">
        <v>1.3383676294128368</v>
      </c>
      <c r="J52" s="13">
        <v>-0.512942679265322</v>
      </c>
      <c r="K52" s="13">
        <v>-0.37806812670176149</v>
      </c>
      <c r="L52" s="13">
        <v>0.12741458930605701</v>
      </c>
      <c r="M52" s="13">
        <v>2.8067876929095457</v>
      </c>
      <c r="O52" s="12">
        <v>126.16465620461879</v>
      </c>
      <c r="P52" s="12">
        <v>109.47746608737248</v>
      </c>
      <c r="Q52" s="12">
        <v>124.37350754192472</v>
      </c>
      <c r="R52" s="12">
        <v>124.54403426431716</v>
      </c>
      <c r="S52" s="12">
        <v>81.943617357753297</v>
      </c>
      <c r="T52" s="12">
        <v>89.377014862795406</v>
      </c>
      <c r="U52" s="12">
        <v>65.825507803693128</v>
      </c>
      <c r="V52" s="12">
        <v>216.38026175416823</v>
      </c>
      <c r="W52" s="12">
        <v>213.66413339653673</v>
      </c>
      <c r="X52" s="12">
        <v>106.60025978329823</v>
      </c>
      <c r="Y52" s="12">
        <v>101.07989528309896</v>
      </c>
      <c r="AB52" s="12">
        <v>155.963110795164</v>
      </c>
      <c r="AC52" s="12">
        <v>98.814132739486141</v>
      </c>
      <c r="AD52" s="12">
        <v>31.426574923523127</v>
      </c>
      <c r="AE52" s="12">
        <v>3.6127557514857291</v>
      </c>
      <c r="AF52" s="12">
        <v>21.320960142000001</v>
      </c>
      <c r="AG52" s="12">
        <v>86.347868509984565</v>
      </c>
      <c r="AH52" s="12">
        <v>83.999999999999844</v>
      </c>
      <c r="AI52" s="12">
        <v>39.438300000000005</v>
      </c>
      <c r="AJ52" s="12">
        <v>2.1690932909999998</v>
      </c>
      <c r="AK52" s="12">
        <v>126.5548</v>
      </c>
      <c r="AL52" s="12">
        <v>3.9148840489999999</v>
      </c>
      <c r="AM52" s="12">
        <v>5.0255999250000007</v>
      </c>
      <c r="AN52" s="12">
        <v>0.999206127</v>
      </c>
      <c r="AO52" s="12">
        <v>23.965437795000003</v>
      </c>
      <c r="AP52" s="12">
        <v>6.6877808580000009</v>
      </c>
      <c r="AQ52" s="12">
        <v>17.277656937000003</v>
      </c>
      <c r="AR52" s="12">
        <v>0.26890191516407586</v>
      </c>
      <c r="AS52" s="12">
        <v>0.32153651390282301</v>
      </c>
      <c r="AT52" s="12">
        <v>0.44446446622239577</v>
      </c>
      <c r="AU52" s="12">
        <v>0.76600098012521878</v>
      </c>
      <c r="AV52" s="12">
        <v>0.308</v>
      </c>
      <c r="AW52" s="12" t="s">
        <v>157</v>
      </c>
      <c r="AX52" s="12">
        <v>6.2700000000000006E-2</v>
      </c>
    </row>
    <row r="53" spans="1:50" s="12" customFormat="1">
      <c r="A53" s="12" t="s">
        <v>440</v>
      </c>
      <c r="B53" s="12" t="s">
        <v>439</v>
      </c>
      <c r="C53" s="12" t="s">
        <v>20</v>
      </c>
      <c r="D53" s="12">
        <v>466</v>
      </c>
      <c r="E53" s="12">
        <v>519</v>
      </c>
      <c r="F53" s="13">
        <v>0.52337298850806591</v>
      </c>
      <c r="G53" s="13">
        <v>0.9312324044505037</v>
      </c>
      <c r="H53" s="13">
        <v>0.28163365331293377</v>
      </c>
      <c r="I53" s="13">
        <v>0.46771511368481739</v>
      </c>
      <c r="J53" s="13">
        <v>-0.42989468858415286</v>
      </c>
      <c r="K53" s="13">
        <v>-0.86658058040921981</v>
      </c>
      <c r="L53" s="13">
        <v>1.102328460269324</v>
      </c>
      <c r="M53" s="13">
        <v>2.7584183234113406</v>
      </c>
      <c r="O53" s="12">
        <v>94.039977515233616</v>
      </c>
      <c r="P53" s="12">
        <v>139.60694540317047</v>
      </c>
      <c r="Q53" s="12">
        <v>111.63181840225722</v>
      </c>
      <c r="R53" s="12">
        <v>106.75202936941417</v>
      </c>
      <c r="S53" s="12">
        <v>84.867036207509969</v>
      </c>
      <c r="T53" s="12">
        <v>75.650757163300497</v>
      </c>
      <c r="U53" s="12">
        <v>136.44834691315992</v>
      </c>
      <c r="V53" s="12">
        <v>140.67104296365881</v>
      </c>
      <c r="W53" s="12">
        <v>164.45191198233007</v>
      </c>
      <c r="X53" s="12">
        <v>98.895185167538827</v>
      </c>
      <c r="Y53" s="12">
        <v>109.34272371126383</v>
      </c>
      <c r="AB53" s="12">
        <v>116.2509998727058</v>
      </c>
      <c r="AC53" s="12">
        <v>59.77815364637663</v>
      </c>
      <c r="AD53" s="12">
        <v>26.63339173169582</v>
      </c>
      <c r="AE53" s="12">
        <v>3.8962890069359282</v>
      </c>
      <c r="AF53" s="12">
        <v>27.188737782</v>
      </c>
      <c r="AG53" s="12">
        <v>77.501790915395233</v>
      </c>
      <c r="AH53" s="12">
        <v>71.999999999999503</v>
      </c>
      <c r="AI53" s="12">
        <v>40.845300000000002</v>
      </c>
      <c r="AJ53" s="12">
        <v>2.7808118610000001</v>
      </c>
      <c r="AK53" s="12">
        <v>142.25790000000001</v>
      </c>
      <c r="AL53" s="12">
        <v>8.1150829620000007</v>
      </c>
      <c r="AM53" s="12">
        <v>3.2186407799999999</v>
      </c>
      <c r="AN53" s="12">
        <v>0.49999992900000001</v>
      </c>
      <c r="AO53" s="12">
        <v>15.580178628000001</v>
      </c>
      <c r="AP53" s="12">
        <v>2.2820004419999997</v>
      </c>
      <c r="AQ53" s="12">
        <v>13.298178186000001</v>
      </c>
      <c r="AR53" s="12">
        <v>0.249465664962888</v>
      </c>
      <c r="AS53" s="12">
        <v>0.32756929622579789</v>
      </c>
      <c r="AT53" s="12">
        <v>0.50104883102698727</v>
      </c>
      <c r="AU53" s="12">
        <v>0.82861812725278516</v>
      </c>
      <c r="AV53" s="12">
        <v>0.29709999999999998</v>
      </c>
      <c r="AW53" s="12">
        <v>0.27410000000000001</v>
      </c>
      <c r="AX53" s="12">
        <v>7.8700000000000006E-2</v>
      </c>
    </row>
    <row r="54" spans="1:50" s="12" customFormat="1">
      <c r="A54" s="12" t="s">
        <v>74</v>
      </c>
      <c r="B54" s="12" t="s">
        <v>358</v>
      </c>
      <c r="C54" s="12" t="s">
        <v>20</v>
      </c>
      <c r="D54" s="12">
        <v>565</v>
      </c>
      <c r="E54" s="12">
        <v>654</v>
      </c>
      <c r="F54" s="13">
        <v>0.9113153567602682</v>
      </c>
      <c r="G54" s="13">
        <v>0.55428287407130294</v>
      </c>
      <c r="H54" s="13">
        <v>0.34347712614363279</v>
      </c>
      <c r="I54" s="13">
        <v>1.3452592889601676</v>
      </c>
      <c r="J54" s="13">
        <v>1.0233034886506771</v>
      </c>
      <c r="K54" s="13">
        <v>-1.8081751057003874</v>
      </c>
      <c r="L54" s="13">
        <v>-0.1036171787477513</v>
      </c>
      <c r="M54" s="13">
        <v>2.7048343527200092</v>
      </c>
      <c r="O54" s="12">
        <v>106.085007716033</v>
      </c>
      <c r="P54" s="12">
        <v>123.57462157280565</v>
      </c>
      <c r="Q54" s="12">
        <v>120.2537291181971</v>
      </c>
      <c r="R54" s="12">
        <v>108.23469644398951</v>
      </c>
      <c r="S54" s="12">
        <v>136.02187943628931</v>
      </c>
      <c r="T54" s="12">
        <v>49.193767163369159</v>
      </c>
      <c r="U54" s="12">
        <v>304.24831175191537</v>
      </c>
      <c r="V54" s="12">
        <v>216.9795389067327</v>
      </c>
      <c r="W54" s="12">
        <v>205.31531811139314</v>
      </c>
      <c r="X54" s="12">
        <v>92.014042778847184</v>
      </c>
      <c r="Y54" s="12">
        <v>99.121798349881644</v>
      </c>
      <c r="AB54" s="12">
        <v>131.14090990179997</v>
      </c>
      <c r="AC54" s="12">
        <v>79.901820233618594</v>
      </c>
      <c r="AD54" s="12">
        <v>25.410552185547424</v>
      </c>
      <c r="AE54" s="12">
        <v>1.8838724994427747</v>
      </c>
      <c r="AF54" s="12">
        <v>24.066409967999999</v>
      </c>
      <c r="AG54" s="12">
        <v>83.487660635712061</v>
      </c>
      <c r="AH54" s="12">
        <v>72.999999999999588</v>
      </c>
      <c r="AI54" s="12">
        <v>65.465399999999349</v>
      </c>
      <c r="AJ54" s="12">
        <v>0.98544262199999999</v>
      </c>
      <c r="AK54" s="12">
        <v>172.52519999999998</v>
      </c>
      <c r="AL54" s="12">
        <v>18.094761474000002</v>
      </c>
      <c r="AM54" s="12">
        <v>4.0246532159999999</v>
      </c>
      <c r="AN54" s="12">
        <v>0.500000004</v>
      </c>
      <c r="AO54" s="12">
        <v>24.031811405999999</v>
      </c>
      <c r="AP54" s="12">
        <v>7.4292699600000001</v>
      </c>
      <c r="AQ54" s="12">
        <v>16.602541446</v>
      </c>
      <c r="AR54" s="12">
        <v>0.23210780513592916</v>
      </c>
      <c r="AS54" s="12">
        <v>0.33940964743789875</v>
      </c>
      <c r="AT54" s="12">
        <v>0.41175253446910054</v>
      </c>
      <c r="AU54" s="12">
        <v>0.75116218190699935</v>
      </c>
      <c r="AV54" s="12">
        <v>0.28749999999999998</v>
      </c>
      <c r="AW54" s="12" t="s">
        <v>359</v>
      </c>
      <c r="AX54" s="12" t="s">
        <v>360</v>
      </c>
    </row>
    <row r="55" spans="1:50" s="12" customFormat="1">
      <c r="A55" s="12" t="s">
        <v>66</v>
      </c>
      <c r="B55" s="12" t="s">
        <v>727</v>
      </c>
      <c r="C55" s="12" t="s">
        <v>20</v>
      </c>
      <c r="D55" s="12">
        <v>509</v>
      </c>
      <c r="E55" s="12">
        <v>589</v>
      </c>
      <c r="F55" s="13">
        <v>0.3337729472158032</v>
      </c>
      <c r="G55" s="13">
        <v>-3.015423113738613E-2</v>
      </c>
      <c r="H55" s="13">
        <v>-8.9427183671221142E-2</v>
      </c>
      <c r="I55" s="13">
        <v>-0.24743677907076361</v>
      </c>
      <c r="J55" s="13">
        <v>1.0286334343212629</v>
      </c>
      <c r="K55" s="13">
        <v>0.59790528636265605</v>
      </c>
      <c r="L55" s="13">
        <v>9.4011276794281562E-2</v>
      </c>
      <c r="M55" s="13">
        <v>2.4553427644505135</v>
      </c>
      <c r="O55" s="12">
        <v>102.59118788109953</v>
      </c>
      <c r="P55" s="12">
        <v>98.717487728492728</v>
      </c>
      <c r="Q55" s="12">
        <v>107.41801047216367</v>
      </c>
      <c r="R55" s="12">
        <v>97.856026921963121</v>
      </c>
      <c r="S55" s="12">
        <v>136.20950184007978</v>
      </c>
      <c r="T55" s="12">
        <v>116.79998529867328</v>
      </c>
      <c r="U55" s="12">
        <v>141.47949564946933</v>
      </c>
      <c r="V55" s="12">
        <v>78.483671837985781</v>
      </c>
      <c r="W55" s="12">
        <v>80.295380954777642</v>
      </c>
      <c r="X55" s="12">
        <v>98.773586663330192</v>
      </c>
      <c r="Y55" s="12">
        <v>100.79678736101712</v>
      </c>
      <c r="AB55" s="12">
        <v>126.82189516022038</v>
      </c>
      <c r="AC55" s="12">
        <v>83.624547961933118</v>
      </c>
      <c r="AD55" s="12">
        <v>24.060186442012149</v>
      </c>
      <c r="AE55" s="12">
        <v>0.98033095496503642</v>
      </c>
      <c r="AF55" s="12">
        <v>19.225432377999997</v>
      </c>
      <c r="AG55" s="12">
        <v>74.57630187624919</v>
      </c>
      <c r="AH55" s="12">
        <v>65.999999999999631</v>
      </c>
      <c r="AI55" s="12">
        <v>65.555699999999405</v>
      </c>
      <c r="AJ55" s="12">
        <v>1.0137991689999999</v>
      </c>
      <c r="AK55" s="12">
        <v>95.182400000000001</v>
      </c>
      <c r="AL55" s="12">
        <v>8.4143038050000012</v>
      </c>
      <c r="AM55" s="12">
        <v>4.0608993739999999</v>
      </c>
      <c r="AN55" s="12">
        <v>1.0878241</v>
      </c>
      <c r="AO55" s="12">
        <v>8.6925468160000001</v>
      </c>
      <c r="AP55" s="12">
        <v>2.1995710239999999</v>
      </c>
      <c r="AQ55" s="12">
        <v>6.4929757920000002</v>
      </c>
      <c r="AR55" s="12">
        <v>0.24915892958785929</v>
      </c>
      <c r="AS55" s="12">
        <v>0.34816272342080934</v>
      </c>
      <c r="AT55" s="12">
        <v>0.41569281576198924</v>
      </c>
      <c r="AU55" s="12">
        <v>0.76385553918279858</v>
      </c>
      <c r="AV55" s="12" t="s">
        <v>728</v>
      </c>
      <c r="AW55" s="12" t="s">
        <v>729</v>
      </c>
      <c r="AX55" s="12" t="s">
        <v>730</v>
      </c>
    </row>
    <row r="56" spans="1:50" s="12" customFormat="1">
      <c r="A56" s="12" t="s">
        <v>293</v>
      </c>
      <c r="B56" s="12" t="s">
        <v>292</v>
      </c>
      <c r="C56" s="12" t="s">
        <v>20</v>
      </c>
      <c r="D56" s="12">
        <v>565</v>
      </c>
      <c r="E56" s="12">
        <v>630</v>
      </c>
      <c r="F56" s="13">
        <v>0.75956081541923604</v>
      </c>
      <c r="G56" s="13">
        <v>0.93926483407892936</v>
      </c>
      <c r="H56" s="13">
        <v>1.3329726914347486</v>
      </c>
      <c r="I56" s="13">
        <v>-0.71993273874048169</v>
      </c>
      <c r="J56" s="13">
        <v>0.54683113614561762</v>
      </c>
      <c r="K56" s="13">
        <v>-1.7523276897827909</v>
      </c>
      <c r="L56" s="13">
        <v>0.53149865538360053</v>
      </c>
      <c r="M56" s="13">
        <v>2.4440166782386674</v>
      </c>
      <c r="O56" s="12">
        <v>117.04370122496306</v>
      </c>
      <c r="P56" s="12">
        <v>139.9485787056924</v>
      </c>
      <c r="Q56" s="12">
        <v>116.88102684781713</v>
      </c>
      <c r="R56" s="12">
        <v>131.95736963719318</v>
      </c>
      <c r="S56" s="12">
        <v>119.24930919977621</v>
      </c>
      <c r="T56" s="12">
        <v>50.762971831373108</v>
      </c>
      <c r="U56" s="12">
        <v>82.83124353394544</v>
      </c>
      <c r="V56" s="12">
        <v>37.396901465129929</v>
      </c>
      <c r="W56" s="12">
        <v>32.764435818393991</v>
      </c>
      <c r="X56" s="12">
        <v>101.51919072614349</v>
      </c>
      <c r="Y56" s="12">
        <v>104.50468736781409</v>
      </c>
      <c r="AB56" s="12">
        <v>144.68790460950586</v>
      </c>
      <c r="AC56" s="12">
        <v>86.865968476214121</v>
      </c>
      <c r="AD56" s="12">
        <v>27.384671531053076</v>
      </c>
      <c r="AE56" s="12">
        <v>2.9644062098064303</v>
      </c>
      <c r="AF56" s="12">
        <v>27.255271565495104</v>
      </c>
      <c r="AG56" s="12">
        <v>81.14611975677586</v>
      </c>
      <c r="AH56" s="12">
        <v>88.999999999999829</v>
      </c>
      <c r="AI56" s="12">
        <v>57.393000000000001</v>
      </c>
      <c r="AJ56" s="12">
        <v>1.9809600299999999</v>
      </c>
      <c r="AK56" s="12">
        <v>170.73000000000002</v>
      </c>
      <c r="AL56" s="12">
        <v>4.9262774399999998</v>
      </c>
      <c r="AM56" s="12">
        <v>4.0204470599999995</v>
      </c>
      <c r="AN56" s="12">
        <v>0</v>
      </c>
      <c r="AO56" s="12">
        <v>4.1419356299999999</v>
      </c>
      <c r="AP56" s="12">
        <v>1.4924844900000001</v>
      </c>
      <c r="AQ56" s="12">
        <v>2.64945114</v>
      </c>
      <c r="AR56" s="12">
        <v>0.25608478691947939</v>
      </c>
      <c r="AS56" s="12">
        <v>0.33257479653152627</v>
      </c>
      <c r="AT56" s="12">
        <v>0.45937985208800003</v>
      </c>
      <c r="AU56" s="12">
        <v>0.79195464861952636</v>
      </c>
      <c r="AV56" s="12">
        <v>0.3165</v>
      </c>
      <c r="AW56" s="12">
        <v>0.27100000000000002</v>
      </c>
      <c r="AX56" s="12">
        <v>9.11E-2</v>
      </c>
    </row>
    <row r="57" spans="1:50" s="12" customFormat="1">
      <c r="A57" s="12" t="s">
        <v>123</v>
      </c>
      <c r="B57" s="12" t="s">
        <v>697</v>
      </c>
      <c r="C57" s="12" t="s">
        <v>631</v>
      </c>
      <c r="D57" s="12">
        <v>463</v>
      </c>
      <c r="E57" s="12">
        <v>522</v>
      </c>
      <c r="F57" s="13">
        <v>-0.44976729222204742</v>
      </c>
      <c r="G57" s="13">
        <v>0.65704475938377094</v>
      </c>
      <c r="H57" s="13">
        <v>0.15794670765155827</v>
      </c>
      <c r="I57" s="13">
        <v>-0.91893362583676963</v>
      </c>
      <c r="J57" s="13">
        <v>0.15404424290687563</v>
      </c>
      <c r="K57" s="13">
        <v>0.63755720053855269</v>
      </c>
      <c r="L57" s="13">
        <v>0.70166952781948599</v>
      </c>
      <c r="M57" s="13">
        <v>2.3209293810397966</v>
      </c>
      <c r="O57" s="12">
        <v>92.801339756169412</v>
      </c>
      <c r="P57" s="12">
        <v>127.94526456336979</v>
      </c>
      <c r="Q57" s="12">
        <v>90.004047627075664</v>
      </c>
      <c r="R57" s="12">
        <v>103.78669522026405</v>
      </c>
      <c r="S57" s="12">
        <v>105.42259770184387</v>
      </c>
      <c r="T57" s="12">
        <v>117.91412760584677</v>
      </c>
      <c r="U57" s="12">
        <v>120.7972569954286</v>
      </c>
      <c r="V57" s="12">
        <v>20.092406929694832</v>
      </c>
      <c r="W57" s="12">
        <v>15.529816799380157</v>
      </c>
      <c r="X57" s="12">
        <v>98.224946991244636</v>
      </c>
      <c r="Y57" s="12">
        <v>105.94696115659458</v>
      </c>
      <c r="AB57" s="12">
        <v>114.71981194842141</v>
      </c>
      <c r="AC57" s="12">
        <v>65.790769691014091</v>
      </c>
      <c r="AD57" s="12">
        <v>23.674471745109187</v>
      </c>
      <c r="AE57" s="12">
        <v>0.51186307984910695</v>
      </c>
      <c r="AF57" s="12">
        <v>24.917601617999999</v>
      </c>
      <c r="AG57" s="12">
        <v>62.486439624205268</v>
      </c>
      <c r="AH57" s="12">
        <v>69.999999999999702</v>
      </c>
      <c r="AI57" s="12">
        <v>50.738399999999999</v>
      </c>
      <c r="AJ57" s="12">
        <v>5.098478922</v>
      </c>
      <c r="AK57" s="12">
        <v>93.907800000000009</v>
      </c>
      <c r="AL57" s="12">
        <v>7.1842553191488587</v>
      </c>
      <c r="AM57" s="12">
        <v>4.030947684</v>
      </c>
      <c r="AN57" s="12">
        <v>0.499999788</v>
      </c>
      <c r="AO57" s="12">
        <v>2.225356992</v>
      </c>
      <c r="AP57" s="12">
        <v>0.96955966800000004</v>
      </c>
      <c r="AQ57" s="12">
        <v>1.255797324</v>
      </c>
      <c r="AR57" s="12">
        <v>0.24777497181084537</v>
      </c>
      <c r="AS57" s="12">
        <v>0.33993475433994252</v>
      </c>
      <c r="AT57" s="12">
        <v>0.46294969523278573</v>
      </c>
      <c r="AU57" s="12">
        <v>0.80288444957272831</v>
      </c>
      <c r="AV57" s="12">
        <v>0.25790000000000002</v>
      </c>
      <c r="AW57" s="12">
        <v>0.1799</v>
      </c>
      <c r="AX57" s="12">
        <v>9.7199999999999995E-2</v>
      </c>
    </row>
    <row r="58" spans="1:50" s="12" customFormat="1">
      <c r="A58" s="12" t="s">
        <v>66</v>
      </c>
      <c r="B58" s="12" t="s">
        <v>329</v>
      </c>
      <c r="C58" s="12" t="s">
        <v>49</v>
      </c>
      <c r="D58" s="12">
        <v>566</v>
      </c>
      <c r="E58" s="12">
        <v>625</v>
      </c>
      <c r="F58" s="13">
        <v>0.79109383543767497</v>
      </c>
      <c r="G58" s="13">
        <v>1.1786835796033646</v>
      </c>
      <c r="H58" s="13">
        <v>1.0855988001119834</v>
      </c>
      <c r="I58" s="13">
        <v>-0.90951464481696687</v>
      </c>
      <c r="J58" s="13">
        <v>-3.341283854609247E-2</v>
      </c>
      <c r="K58" s="13">
        <v>-1.4671331791853208</v>
      </c>
      <c r="L58" s="13">
        <v>0.62267737549352309</v>
      </c>
      <c r="M58" s="13">
        <v>2.2857452886375071</v>
      </c>
      <c r="O58" s="12">
        <v>118.71194522561034</v>
      </c>
      <c r="P58" s="12">
        <v>150.13147734319989</v>
      </c>
      <c r="Q58" s="12">
        <v>117.58183940517662</v>
      </c>
      <c r="R58" s="12">
        <v>126.02670133889259</v>
      </c>
      <c r="S58" s="12">
        <v>98.823815949930406</v>
      </c>
      <c r="T58" s="12">
        <v>58.776387491982781</v>
      </c>
      <c r="U58" s="12">
        <v>130.71205952303694</v>
      </c>
      <c r="V58" s="12">
        <v>20.911452050371508</v>
      </c>
      <c r="W58" s="12">
        <v>16.559500086694726</v>
      </c>
      <c r="X58" s="12">
        <v>102.78424219628593</v>
      </c>
      <c r="Y58" s="12">
        <v>105.2774675517944</v>
      </c>
      <c r="AB58" s="12">
        <v>146.75016619474999</v>
      </c>
      <c r="AC58" s="12">
        <v>86.194915091898466</v>
      </c>
      <c r="AD58" s="12">
        <v>28.393333829299564</v>
      </c>
      <c r="AE58" s="12">
        <v>2.0141800243968144</v>
      </c>
      <c r="AF58" s="12">
        <v>29.238411874999997</v>
      </c>
      <c r="AG58" s="12">
        <v>81.632667669984997</v>
      </c>
      <c r="AH58" s="12">
        <v>85</v>
      </c>
      <c r="AI58" s="12">
        <v>47.5625</v>
      </c>
      <c r="AJ58" s="12">
        <v>1.015489375</v>
      </c>
      <c r="AK58" s="12">
        <v>161.5625</v>
      </c>
      <c r="AL58" s="12">
        <v>7.7739249405374995</v>
      </c>
      <c r="AM58" s="12">
        <v>4.8518637499999997</v>
      </c>
      <c r="AN58" s="12">
        <v>0</v>
      </c>
      <c r="AO58" s="12">
        <v>2.3160712500000002</v>
      </c>
      <c r="AP58" s="12">
        <v>0.97701000000000005</v>
      </c>
      <c r="AQ58" s="12">
        <v>1.3390612500000003</v>
      </c>
      <c r="AR58" s="12">
        <v>0.25927591200485867</v>
      </c>
      <c r="AS58" s="12">
        <v>0.32788552163839896</v>
      </c>
      <c r="AT58" s="12">
        <v>0.46992538926446642</v>
      </c>
      <c r="AU58" s="12">
        <v>0.79781091090286538</v>
      </c>
      <c r="AV58" s="12">
        <v>0.30919999999999997</v>
      </c>
      <c r="AW58" s="12">
        <v>0.25850000000000001</v>
      </c>
      <c r="AX58" s="12">
        <v>7.6100000000000001E-2</v>
      </c>
    </row>
    <row r="59" spans="1:50" s="12" customFormat="1">
      <c r="A59" s="12" t="s">
        <v>228</v>
      </c>
      <c r="B59" s="12" t="s">
        <v>585</v>
      </c>
      <c r="C59" s="12" t="s">
        <v>20</v>
      </c>
      <c r="D59" s="12">
        <v>543</v>
      </c>
      <c r="E59" s="12">
        <v>631</v>
      </c>
      <c r="F59" s="13">
        <v>0.69842415323983287</v>
      </c>
      <c r="G59" s="13">
        <v>0.20230891722138522</v>
      </c>
      <c r="H59" s="13">
        <v>0.467164071805029</v>
      </c>
      <c r="I59" s="13">
        <v>-0.30310737691604078</v>
      </c>
      <c r="J59" s="13">
        <v>1.7626608027022188</v>
      </c>
      <c r="K59" s="13">
        <v>-1.0972653750024475</v>
      </c>
      <c r="L59" s="13">
        <v>-0.10560308888777803</v>
      </c>
      <c r="M59" s="13">
        <v>2.2607431938441631</v>
      </c>
      <c r="O59" s="12">
        <v>104.75515389190321</v>
      </c>
      <c r="P59" s="12">
        <v>108.60455263440939</v>
      </c>
      <c r="Q59" s="12">
        <v>115.52228161677623</v>
      </c>
      <c r="R59" s="12">
        <v>111.20003059314013</v>
      </c>
      <c r="S59" s="12">
        <v>162.04841049231209</v>
      </c>
      <c r="T59" s="12">
        <v>69.1689593833039</v>
      </c>
      <c r="U59" s="12">
        <v>79.3372361780456</v>
      </c>
      <c r="V59" s="12">
        <v>73.642730823828998</v>
      </c>
      <c r="W59" s="12">
        <v>76.628570172063263</v>
      </c>
      <c r="X59" s="12">
        <v>94.541854635200494</v>
      </c>
      <c r="Y59" s="12">
        <v>99.104966878661955</v>
      </c>
      <c r="AB59" s="12">
        <v>129.49696186156797</v>
      </c>
      <c r="AC59" s="12">
        <v>78.106313560407756</v>
      </c>
      <c r="AD59" s="12">
        <v>28.310593480370251</v>
      </c>
      <c r="AE59" s="12">
        <v>1.0004770715514586</v>
      </c>
      <c r="AF59" s="12">
        <v>21.150958463999999</v>
      </c>
      <c r="AG59" s="12">
        <v>80.202793827747612</v>
      </c>
      <c r="AH59" s="12">
        <v>74.99999999999973</v>
      </c>
      <c r="AI59" s="12">
        <v>77.991600000000005</v>
      </c>
      <c r="AJ59" s="12">
        <v>1.9555781630000002</v>
      </c>
      <c r="AK59" s="12">
        <v>149.67320000000001</v>
      </c>
      <c r="AL59" s="12">
        <v>4.7184760250000002</v>
      </c>
      <c r="AM59" s="12">
        <v>4.0255591499999994</v>
      </c>
      <c r="AN59" s="12">
        <v>0.49999998299999998</v>
      </c>
      <c r="AO59" s="12">
        <v>8.1563829820000002</v>
      </c>
      <c r="AP59" s="12">
        <v>1.9599188120000002</v>
      </c>
      <c r="AQ59" s="12">
        <v>6.1964641700000005</v>
      </c>
      <c r="AR59" s="12">
        <v>0.23848427598815464</v>
      </c>
      <c r="AS59" s="12">
        <v>0.3415820231153891</v>
      </c>
      <c r="AT59" s="12">
        <v>0.40945260698306196</v>
      </c>
      <c r="AU59" s="12">
        <v>0.75103463009845106</v>
      </c>
      <c r="AV59" s="12">
        <v>0.28799999999999998</v>
      </c>
      <c r="AW59" s="12">
        <v>0.23719999999999999</v>
      </c>
      <c r="AX59" s="12" t="s">
        <v>586</v>
      </c>
    </row>
    <row r="60" spans="1:50" s="10" customFormat="1">
      <c r="A60" s="10" t="s">
        <v>257</v>
      </c>
      <c r="B60" s="10" t="s">
        <v>264</v>
      </c>
      <c r="C60" s="10" t="s">
        <v>20</v>
      </c>
      <c r="D60" s="10">
        <v>525</v>
      </c>
      <c r="E60" s="10">
        <v>609</v>
      </c>
      <c r="F60" s="11">
        <v>1.0715861861496159</v>
      </c>
      <c r="G60" s="11">
        <v>-5.2378749888276786E-3</v>
      </c>
      <c r="H60" s="11">
        <v>3.4259761990162646E-2</v>
      </c>
      <c r="I60" s="11">
        <v>-0.13348674653532411</v>
      </c>
      <c r="J60" s="11">
        <v>1.4296188818639235</v>
      </c>
      <c r="K60" s="11">
        <v>-1.1130129028196567</v>
      </c>
      <c r="L60" s="11">
        <v>0.70267580986765954</v>
      </c>
      <c r="M60" s="11">
        <v>2.1368492925664446</v>
      </c>
      <c r="O60" s="10">
        <v>112.27292623824124</v>
      </c>
      <c r="P60" s="10">
        <v>99.777224001527841</v>
      </c>
      <c r="Q60" s="10">
        <v>123.81570351039922</v>
      </c>
      <c r="R60" s="10">
        <v>100.82136107111344</v>
      </c>
      <c r="S60" s="10">
        <v>150.32481524151686</v>
      </c>
      <c r="T60" s="10">
        <v>68.726484225693241</v>
      </c>
      <c r="U60" s="10">
        <v>85.644876381963272</v>
      </c>
      <c r="V60" s="10">
        <v>88.392410156162583</v>
      </c>
      <c r="W60" s="10">
        <v>80.896673258618733</v>
      </c>
      <c r="X60" s="10">
        <v>104.80072491399918</v>
      </c>
      <c r="Y60" s="10">
        <v>105.95548984426848</v>
      </c>
      <c r="AB60" s="10">
        <v>138.79033447999083</v>
      </c>
      <c r="AC60" s="10">
        <v>86.899068942169635</v>
      </c>
      <c r="AD60" s="10">
        <v>30.492054862783164</v>
      </c>
      <c r="AE60" s="10">
        <v>2.1226444013879551</v>
      </c>
      <c r="AF60" s="10">
        <v>19.431818181818116</v>
      </c>
      <c r="AG60" s="10">
        <v>85.960606060605883</v>
      </c>
      <c r="AH60" s="10">
        <v>67.999999999999574</v>
      </c>
      <c r="AI60" s="10">
        <v>72.349199999999399</v>
      </c>
      <c r="AJ60" s="10">
        <v>0.99909799499999996</v>
      </c>
      <c r="AK60" s="10">
        <v>150.17939999999939</v>
      </c>
      <c r="AL60" s="10">
        <v>5.0936144909999994</v>
      </c>
      <c r="AM60" s="10">
        <v>3.2606060970000001</v>
      </c>
      <c r="AN60" s="10">
        <v>0.49999996199999996</v>
      </c>
      <c r="AO60" s="10">
        <v>9.7900002060000002</v>
      </c>
      <c r="AP60" s="10">
        <v>3.2484017370000005</v>
      </c>
      <c r="AQ60" s="10">
        <v>6.5415984690000002</v>
      </c>
      <c r="AR60" s="10">
        <v>0.2643625418666492</v>
      </c>
      <c r="AS60" s="10">
        <v>0.36108549173462789</v>
      </c>
      <c r="AT60" s="10">
        <v>0.44186358971270917</v>
      </c>
      <c r="AU60" s="10">
        <v>0.80294908144733701</v>
      </c>
      <c r="AV60" s="10">
        <v>0.33279999999999998</v>
      </c>
      <c r="AW60" s="10" t="s">
        <v>265</v>
      </c>
      <c r="AX60" s="10" t="s">
        <v>266</v>
      </c>
    </row>
    <row r="61" spans="1:50" s="12" customFormat="1">
      <c r="A61" s="12" t="s">
        <v>19</v>
      </c>
      <c r="B61" s="12" t="s">
        <v>1177</v>
      </c>
      <c r="C61" s="12" t="s">
        <v>20</v>
      </c>
      <c r="D61" s="12">
        <v>449</v>
      </c>
      <c r="E61" s="12">
        <v>526</v>
      </c>
      <c r="F61" s="13">
        <v>5.5339851661635624E-2</v>
      </c>
      <c r="G61" s="13">
        <v>0.67418964542364745</v>
      </c>
      <c r="H61" s="13">
        <v>-0.27495760216330334</v>
      </c>
      <c r="I61" s="13">
        <v>-0.60443598130689891</v>
      </c>
      <c r="J61" s="13">
        <v>1.1767091231783331</v>
      </c>
      <c r="K61" s="13">
        <v>-0.50081920386734557</v>
      </c>
      <c r="L61" s="13">
        <v>0.20685503907479555</v>
      </c>
      <c r="M61" s="13">
        <v>2.0821102997918293</v>
      </c>
      <c r="O61" s="12">
        <v>80.971189449068973</v>
      </c>
      <c r="P61" s="12">
        <v>128.67446659938105</v>
      </c>
      <c r="Q61" s="12">
        <v>101.22991273732143</v>
      </c>
      <c r="R61" s="12">
        <v>93.408025698237481</v>
      </c>
      <c r="S61" s="12">
        <v>141.42199712677933</v>
      </c>
      <c r="T61" s="12">
        <v>85.927946358444871</v>
      </c>
      <c r="U61" s="12">
        <v>94.778597895557596</v>
      </c>
      <c r="V61" s="12">
        <v>47.440138141270282</v>
      </c>
      <c r="W61" s="12">
        <v>44.382956934233952</v>
      </c>
      <c r="X61" s="12">
        <v>88.375671367684575</v>
      </c>
      <c r="Y61" s="12">
        <v>101.75318840800524</v>
      </c>
      <c r="AB61" s="12">
        <v>100.095533655479</v>
      </c>
      <c r="AC61" s="12">
        <v>54.837893827211019</v>
      </c>
      <c r="AD61" s="12">
        <v>18.70623266226395</v>
      </c>
      <c r="AE61" s="12">
        <v>1.2321060637675894</v>
      </c>
      <c r="AF61" s="12">
        <v>25.059615204</v>
      </c>
      <c r="AG61" s="12">
        <v>70.280137362637035</v>
      </c>
      <c r="AH61" s="12">
        <v>62.999999999999616</v>
      </c>
      <c r="AI61" s="12">
        <v>68.064399999999992</v>
      </c>
      <c r="AJ61" s="12">
        <v>0</v>
      </c>
      <c r="AK61" s="12">
        <v>130.50059999999999</v>
      </c>
      <c r="AL61" s="12">
        <v>5.6368303636099846</v>
      </c>
      <c r="AM61" s="12">
        <v>3.027692294</v>
      </c>
      <c r="AN61" s="12">
        <v>1.99058388</v>
      </c>
      <c r="AO61" s="12">
        <v>5.2542855359999994</v>
      </c>
      <c r="AP61" s="12">
        <v>1.66531863</v>
      </c>
      <c r="AQ61" s="12">
        <v>3.5889669059999996</v>
      </c>
      <c r="AR61" s="12">
        <v>0.22292991905451895</v>
      </c>
      <c r="AS61" s="12">
        <v>0.33416536531542645</v>
      </c>
      <c r="AT61" s="12">
        <v>0.43693794690209731</v>
      </c>
      <c r="AU61" s="12">
        <v>0.77110331221752371</v>
      </c>
      <c r="AV61" s="12">
        <v>0.25309999999999999</v>
      </c>
      <c r="AW61" s="12">
        <v>0.24809999999999999</v>
      </c>
      <c r="AX61" s="12">
        <v>0.12939999999999999</v>
      </c>
    </row>
    <row r="62" spans="1:50" s="12" customFormat="1">
      <c r="A62" s="12" t="s">
        <v>228</v>
      </c>
      <c r="B62" s="12" t="s">
        <v>509</v>
      </c>
      <c r="C62" s="12" t="s">
        <v>124</v>
      </c>
      <c r="D62" s="12">
        <v>513</v>
      </c>
      <c r="E62" s="12">
        <v>584</v>
      </c>
      <c r="F62" s="13">
        <v>0.5869612772686833</v>
      </c>
      <c r="G62" s="13">
        <v>0.61559008529265047</v>
      </c>
      <c r="H62" s="13">
        <v>0.71453796312779416</v>
      </c>
      <c r="I62" s="13">
        <v>-0.84080487551565963</v>
      </c>
      <c r="J62" s="13">
        <v>0.56835160338254354</v>
      </c>
      <c r="K62" s="13">
        <v>-0.88307162050387134</v>
      </c>
      <c r="L62" s="13">
        <v>0.49331788106886609</v>
      </c>
      <c r="M62" s="13">
        <v>2.0209074334993185</v>
      </c>
      <c r="O62" s="12">
        <v>101.9983965503546</v>
      </c>
      <c r="P62" s="12">
        <v>126.1821246580289</v>
      </c>
      <c r="Q62" s="12">
        <v>113.04505034890819</v>
      </c>
      <c r="R62" s="12">
        <v>117.13069889144072</v>
      </c>
      <c r="S62" s="12">
        <v>120.00686322438267</v>
      </c>
      <c r="T62" s="12">
        <v>75.187390744790633</v>
      </c>
      <c r="U62" s="12">
        <v>134.74475676284959</v>
      </c>
      <c r="V62" s="12">
        <v>26.886238619188035</v>
      </c>
      <c r="W62" s="12">
        <v>24.001077654688572</v>
      </c>
      <c r="X62" s="12">
        <v>97.437139893659747</v>
      </c>
      <c r="Y62" s="12">
        <v>104.18108833325996</v>
      </c>
      <c r="AB62" s="12">
        <v>126.08909420964798</v>
      </c>
      <c r="AC62" s="12">
        <v>73.033282185126097</v>
      </c>
      <c r="AD62" s="12">
        <v>26.166226199034647</v>
      </c>
      <c r="AE62" s="12">
        <v>2.9984189636876071</v>
      </c>
      <c r="AF62" s="12">
        <v>24.57422652</v>
      </c>
      <c r="AG62" s="12">
        <v>78.482944930549081</v>
      </c>
      <c r="AH62" s="12">
        <v>78.999999999999574</v>
      </c>
      <c r="AI62" s="12">
        <v>57.757600000000004</v>
      </c>
      <c r="AJ62" s="12">
        <v>1.780152304</v>
      </c>
      <c r="AK62" s="12">
        <v>142.78800000000001</v>
      </c>
      <c r="AL62" s="12">
        <v>8.0137642160000002</v>
      </c>
      <c r="AM62" s="12">
        <v>3.8109965360000002</v>
      </c>
      <c r="AN62" s="12">
        <v>0.49999977600000001</v>
      </c>
      <c r="AO62" s="12">
        <v>2.9778154159999999</v>
      </c>
      <c r="AP62" s="12">
        <v>1.037001208</v>
      </c>
      <c r="AQ62" s="12">
        <v>1.9408142079999999</v>
      </c>
      <c r="AR62" s="12">
        <v>0.24578770801100971</v>
      </c>
      <c r="AS62" s="12">
        <v>0.33597819223062891</v>
      </c>
      <c r="AT62" s="12">
        <v>0.45352416677243318</v>
      </c>
      <c r="AU62" s="12">
        <v>0.78950235900306209</v>
      </c>
      <c r="AV62" s="12">
        <v>0.29049999999999998</v>
      </c>
      <c r="AW62" s="12">
        <v>0.2445</v>
      </c>
      <c r="AX62" s="12">
        <v>9.8900000000000002E-2</v>
      </c>
    </row>
    <row r="63" spans="1:50" s="10" customFormat="1">
      <c r="A63" s="10" t="s">
        <v>116</v>
      </c>
      <c r="B63" s="10" t="s">
        <v>174</v>
      </c>
      <c r="C63" s="10" t="s">
        <v>34</v>
      </c>
      <c r="D63" s="10">
        <v>578</v>
      </c>
      <c r="E63" s="10">
        <v>628</v>
      </c>
      <c r="F63" s="11">
        <v>1.2681522552680011</v>
      </c>
      <c r="G63" s="11">
        <v>-0.27192704988766991</v>
      </c>
      <c r="H63" s="11">
        <v>0.21979018048225729</v>
      </c>
      <c r="I63" s="11">
        <v>1.7587648474975548</v>
      </c>
      <c r="J63" s="11">
        <v>-0.49440296791283167</v>
      </c>
      <c r="K63" s="11">
        <v>-2.6010396946709039E-2</v>
      </c>
      <c r="L63" s="11">
        <v>0.18829987717946767</v>
      </c>
      <c r="M63" s="11">
        <v>1.9745694884187952</v>
      </c>
      <c r="O63" s="10">
        <v>131.81810157533968</v>
      </c>
      <c r="P63" s="10">
        <v>88.43446623305455</v>
      </c>
      <c r="Q63" s="10">
        <v>128.18432946212874</v>
      </c>
      <c r="R63" s="10">
        <v>105.26936229483938</v>
      </c>
      <c r="S63" s="10">
        <v>82.596244124426022</v>
      </c>
      <c r="T63" s="10">
        <v>99.269158015016558</v>
      </c>
      <c r="U63" s="10">
        <v>84.82421740832838</v>
      </c>
      <c r="V63" s="10">
        <v>252.93668855813104</v>
      </c>
      <c r="W63" s="10">
        <v>284.79553074408625</v>
      </c>
      <c r="X63" s="10">
        <v>111.76241106969698</v>
      </c>
      <c r="Y63" s="10">
        <v>101.59592516274397</v>
      </c>
      <c r="AB63" s="10">
        <v>162.95182659920127</v>
      </c>
      <c r="AC63" s="10">
        <v>111.56925481341449</v>
      </c>
      <c r="AD63" s="10">
        <v>29.287487737309277</v>
      </c>
      <c r="AE63" s="10">
        <v>4.0982732014379701</v>
      </c>
      <c r="AF63" s="10">
        <v>17.222792937399582</v>
      </c>
      <c r="AG63" s="10">
        <v>88.993579454253165</v>
      </c>
      <c r="AH63" s="10">
        <v>70.999999999999787</v>
      </c>
      <c r="AI63" s="10">
        <v>39.752399999999994</v>
      </c>
      <c r="AJ63" s="10">
        <v>0.80001548</v>
      </c>
      <c r="AK63" s="10">
        <v>115.238</v>
      </c>
      <c r="AL63" s="10">
        <v>5.0448068959999999</v>
      </c>
      <c r="AM63" s="10">
        <v>3.8256824279999999</v>
      </c>
      <c r="AN63" s="10">
        <v>0.499999784</v>
      </c>
      <c r="AO63" s="10">
        <v>28.01428571428562</v>
      </c>
      <c r="AP63" s="10">
        <v>4.9846859439999998</v>
      </c>
      <c r="AQ63" s="10">
        <v>23.029599770285621</v>
      </c>
      <c r="AR63" s="10">
        <v>0.28192357543114405</v>
      </c>
      <c r="AS63" s="10">
        <v>0.33508417098255444</v>
      </c>
      <c r="AT63" s="10">
        <v>0.43482737308295033</v>
      </c>
      <c r="AU63" s="10">
        <v>0.76991154406550477</v>
      </c>
      <c r="AV63" s="10" t="s">
        <v>175</v>
      </c>
      <c r="AW63" s="10">
        <v>0.1835</v>
      </c>
      <c r="AX63" s="10">
        <v>6.3299999999999995E-2</v>
      </c>
    </row>
    <row r="64" spans="1:50" s="12" customFormat="1">
      <c r="A64" s="12" t="s">
        <v>228</v>
      </c>
      <c r="B64" s="12" t="s">
        <v>227</v>
      </c>
      <c r="C64" s="12" t="s">
        <v>20</v>
      </c>
      <c r="D64" s="12">
        <v>563</v>
      </c>
      <c r="E64" s="12">
        <v>620</v>
      </c>
      <c r="F64" s="13">
        <v>1.0177730766883986</v>
      </c>
      <c r="G64" s="13">
        <v>0.34024282326925886</v>
      </c>
      <c r="H64" s="13">
        <v>0.71453796312779538</v>
      </c>
      <c r="I64" s="13">
        <v>2.4176100497084998</v>
      </c>
      <c r="J64" s="13">
        <v>-0.74020613237101274</v>
      </c>
      <c r="K64" s="13">
        <v>-1.0855309469252867</v>
      </c>
      <c r="L64" s="13">
        <v>-0.39577567619334553</v>
      </c>
      <c r="M64" s="13">
        <v>1.866146852560046</v>
      </c>
      <c r="O64" s="12">
        <v>111.91927782933007</v>
      </c>
      <c r="P64" s="12">
        <v>114.4711232777579</v>
      </c>
      <c r="Q64" s="12">
        <v>122.61972219180272</v>
      </c>
      <c r="R64" s="12">
        <v>117.13069889144074</v>
      </c>
      <c r="S64" s="12">
        <v>73.94358921474111</v>
      </c>
      <c r="T64" s="12">
        <v>69.498674178742363</v>
      </c>
      <c r="U64" s="12">
        <v>137.13129018834212</v>
      </c>
      <c r="V64" s="12">
        <v>310.22780603862992</v>
      </c>
      <c r="W64" s="12">
        <v>314.7438464260585</v>
      </c>
      <c r="X64" s="12">
        <v>97.419310698001397</v>
      </c>
      <c r="Y64" s="12">
        <v>96.645625212824754</v>
      </c>
      <c r="AB64" s="12">
        <v>138.35315890609562</v>
      </c>
      <c r="AC64" s="12">
        <v>83.336334501231235</v>
      </c>
      <c r="AD64" s="12">
        <v>27.718874501669553</v>
      </c>
      <c r="AE64" s="12">
        <v>4.6116102591787689</v>
      </c>
      <c r="AF64" s="12">
        <v>22.29348508</v>
      </c>
      <c r="AG64" s="12">
        <v>85.130281020494294</v>
      </c>
      <c r="AH64" s="12">
        <v>78.999999999999588</v>
      </c>
      <c r="AI64" s="12">
        <v>35.588000000000001</v>
      </c>
      <c r="AJ64" s="12">
        <v>1.1882070600000001</v>
      </c>
      <c r="AK64" s="12">
        <v>149.29599999999999</v>
      </c>
      <c r="AL64" s="12">
        <v>8.1557000999999989</v>
      </c>
      <c r="AM64" s="12">
        <v>5.2390880400000004</v>
      </c>
      <c r="AN64" s="12">
        <v>7.0293157199999996</v>
      </c>
      <c r="AO64" s="12">
        <v>34.35962748</v>
      </c>
      <c r="AP64" s="12">
        <v>8.9082982600000005</v>
      </c>
      <c r="AQ64" s="12">
        <v>25.451329219999998</v>
      </c>
      <c r="AR64" s="12">
        <v>0.245742733403367</v>
      </c>
      <c r="AS64" s="12">
        <v>0.30294286367719242</v>
      </c>
      <c r="AT64" s="12">
        <v>0.4294544486715926</v>
      </c>
      <c r="AU64" s="12">
        <v>0.73239731234878502</v>
      </c>
      <c r="AV64" s="12" t="s">
        <v>229</v>
      </c>
      <c r="AW64" s="12" t="s">
        <v>230</v>
      </c>
      <c r="AX64" s="12">
        <v>5.74E-2</v>
      </c>
    </row>
    <row r="65" spans="1:50" s="12" customFormat="1">
      <c r="A65" s="12" t="s">
        <v>404</v>
      </c>
      <c r="B65" s="12" t="s">
        <v>403</v>
      </c>
      <c r="C65" s="12" t="s">
        <v>20</v>
      </c>
      <c r="D65" s="12">
        <v>466</v>
      </c>
      <c r="E65" s="12">
        <v>529</v>
      </c>
      <c r="F65" s="13">
        <v>4.0279448558089521E-2</v>
      </c>
      <c r="G65" s="13">
        <v>0.52492010952135404</v>
      </c>
      <c r="H65" s="13">
        <v>-0.21311412933261323</v>
      </c>
      <c r="I65" s="13">
        <v>1.7764681927740031</v>
      </c>
      <c r="J65" s="13">
        <v>0.30973413986471299</v>
      </c>
      <c r="K65" s="13">
        <v>-1.4159334927341281</v>
      </c>
      <c r="L65" s="13">
        <v>0.46232626925259152</v>
      </c>
      <c r="M65" s="13">
        <v>1.7189610257513335</v>
      </c>
      <c r="O65" s="12">
        <v>90.906281004188571</v>
      </c>
      <c r="P65" s="12">
        <v>122.32577176167584</v>
      </c>
      <c r="Q65" s="12">
        <v>100.89519948728419</v>
      </c>
      <c r="R65" s="12">
        <v>94.890692772812599</v>
      </c>
      <c r="S65" s="12">
        <v>110.90312499395593</v>
      </c>
      <c r="T65" s="12">
        <v>60.214999926586678</v>
      </c>
      <c r="U65" s="12">
        <v>67.103177557568046</v>
      </c>
      <c r="V65" s="12">
        <v>254.47611607559227</v>
      </c>
      <c r="W65" s="12">
        <v>272.96685293891846</v>
      </c>
      <c r="X65" s="12">
        <v>95.599698451067979</v>
      </c>
      <c r="Y65" s="12">
        <v>103.9184206466292</v>
      </c>
      <c r="AB65" s="12">
        <v>112.37716491089307</v>
      </c>
      <c r="AC65" s="12">
        <v>63.113222208702659</v>
      </c>
      <c r="AD65" s="12">
        <v>23.096998277378244</v>
      </c>
      <c r="AE65" s="12">
        <v>2.9355844067521049</v>
      </c>
      <c r="AF65" s="12">
        <v>23.823193916349762</v>
      </c>
      <c r="AG65" s="12">
        <v>70.047758488116486</v>
      </c>
      <c r="AH65" s="12">
        <v>63.999999999999567</v>
      </c>
      <c r="AI65" s="12">
        <v>53.376099999999475</v>
      </c>
      <c r="AJ65" s="12">
        <v>3.697867113</v>
      </c>
      <c r="AK65" s="12">
        <v>159.91670000000002</v>
      </c>
      <c r="AL65" s="12">
        <v>3.9908717489999996</v>
      </c>
      <c r="AM65" s="12">
        <v>3.2136882250000003</v>
      </c>
      <c r="AN65" s="12">
        <v>0</v>
      </c>
      <c r="AO65" s="12">
        <v>28.184786729999999</v>
      </c>
      <c r="AP65" s="12">
        <v>6.1116967579999999</v>
      </c>
      <c r="AQ65" s="12">
        <v>22.073089971999998</v>
      </c>
      <c r="AR65" s="12">
        <v>0.24115271440105809</v>
      </c>
      <c r="AS65" s="12">
        <v>0.32955742361371232</v>
      </c>
      <c r="AT65" s="12">
        <v>0.45795439409681221</v>
      </c>
      <c r="AU65" s="12">
        <v>0.78751181771052448</v>
      </c>
      <c r="AV65" s="12" t="s">
        <v>405</v>
      </c>
      <c r="AW65" s="12">
        <v>0.30230000000000001</v>
      </c>
      <c r="AX65" s="12" t="s">
        <v>406</v>
      </c>
    </row>
    <row r="66" spans="1:50" s="12" customFormat="1">
      <c r="A66" s="12" t="s">
        <v>214</v>
      </c>
      <c r="B66" s="12" t="s">
        <v>556</v>
      </c>
      <c r="C66" s="12" t="s">
        <v>20</v>
      </c>
      <c r="D66" s="12">
        <v>515</v>
      </c>
      <c r="E66" s="12">
        <v>566</v>
      </c>
      <c r="F66" s="13">
        <v>-5.0259572056183394E-2</v>
      </c>
      <c r="G66" s="13">
        <v>1.3173609482627289</v>
      </c>
      <c r="H66" s="13">
        <v>0.96191187052989835</v>
      </c>
      <c r="I66" s="13">
        <v>-0.17929329560538174</v>
      </c>
      <c r="J66" s="13">
        <v>-0.52226270608021708</v>
      </c>
      <c r="K66" s="13">
        <v>-1.1722698980512982</v>
      </c>
      <c r="L66" s="13">
        <v>0.18623431431518694</v>
      </c>
      <c r="M66" s="13">
        <v>1.6701967816430696</v>
      </c>
      <c r="O66" s="12">
        <v>98.714337129317073</v>
      </c>
      <c r="P66" s="12">
        <v>156.02966875374022</v>
      </c>
      <c r="Q66" s="12">
        <v>98.882995057121462</v>
      </c>
      <c r="R66" s="12">
        <v>123.06136757523561</v>
      </c>
      <c r="S66" s="12">
        <v>81.61553787205564</v>
      </c>
      <c r="T66" s="12">
        <v>67.06147695540912</v>
      </c>
      <c r="U66" s="12">
        <v>138.75410578934444</v>
      </c>
      <c r="V66" s="12">
        <v>84.409215962227066</v>
      </c>
      <c r="W66" s="12">
        <v>71.2439821396582</v>
      </c>
      <c r="X66" s="12">
        <v>93.933726656251054</v>
      </c>
      <c r="Y66" s="12">
        <v>101.57841859927875</v>
      </c>
      <c r="AB66" s="12">
        <v>122.02938256972178</v>
      </c>
      <c r="AC66" s="12">
        <v>67.407992495284191</v>
      </c>
      <c r="AD66" s="12">
        <v>23.114220991585363</v>
      </c>
      <c r="AE66" s="12">
        <v>1.307079787177706</v>
      </c>
      <c r="AF66" s="12">
        <v>30.387096699999997</v>
      </c>
      <c r="AG66" s="12">
        <v>68.650760309124621</v>
      </c>
      <c r="AH66" s="12">
        <v>83.000000259999993</v>
      </c>
      <c r="AI66" s="12">
        <v>39.2804</v>
      </c>
      <c r="AJ66" s="12">
        <v>1.0007661080000001</v>
      </c>
      <c r="AK66" s="12">
        <v>152.08419999999944</v>
      </c>
      <c r="AL66" s="12">
        <v>8.2522148876986954</v>
      </c>
      <c r="AM66" s="12">
        <v>3.0344086359999998</v>
      </c>
      <c r="AN66" s="12">
        <v>0</v>
      </c>
      <c r="AO66" s="12">
        <v>9.3488370800000009</v>
      </c>
      <c r="AP66" s="12">
        <v>3.5877902320000001</v>
      </c>
      <c r="AQ66" s="12">
        <v>5.7610468480000012</v>
      </c>
      <c r="AR66" s="12">
        <v>0.23695025741693548</v>
      </c>
      <c r="AS66" s="12">
        <v>0.30549526339763544</v>
      </c>
      <c r="AT66" s="12">
        <v>0.4642836128931806</v>
      </c>
      <c r="AU66" s="12">
        <v>0.76977887629081598</v>
      </c>
      <c r="AV66" s="12">
        <v>0.27310000000000001</v>
      </c>
      <c r="AW66" s="12" t="s">
        <v>557</v>
      </c>
      <c r="AX66" s="12">
        <v>6.9400000000000003E-2</v>
      </c>
    </row>
    <row r="67" spans="1:50" s="12" customFormat="1">
      <c r="A67" s="12" t="s">
        <v>130</v>
      </c>
      <c r="B67" s="12" t="s">
        <v>280</v>
      </c>
      <c r="C67" s="12" t="s">
        <v>20</v>
      </c>
      <c r="D67" s="12">
        <v>555</v>
      </c>
      <c r="E67" s="12">
        <v>606</v>
      </c>
      <c r="F67" s="13">
        <v>0.55329943817087268</v>
      </c>
      <c r="G67" s="13">
        <v>0.3087623110223221</v>
      </c>
      <c r="H67" s="13">
        <v>0.83822490878918388</v>
      </c>
      <c r="I67" s="13">
        <v>-0.37195269620398141</v>
      </c>
      <c r="J67" s="13">
        <v>-0.44067853215021513</v>
      </c>
      <c r="K67" s="13">
        <v>-4.3699145103318945E-2</v>
      </c>
      <c r="L67" s="13">
        <v>0.56657231345084791</v>
      </c>
      <c r="M67" s="13">
        <v>1.6314832258824268</v>
      </c>
      <c r="O67" s="12">
        <v>122.08540971449908</v>
      </c>
      <c r="P67" s="12">
        <v>113.1322019474118</v>
      </c>
      <c r="Q67" s="12">
        <v>112.29692538245189</v>
      </c>
      <c r="R67" s="12">
        <v>120.09603304059118</v>
      </c>
      <c r="S67" s="12">
        <v>84.487428088213207</v>
      </c>
      <c r="T67" s="12">
        <v>98.772138310121804</v>
      </c>
      <c r="U67" s="12">
        <v>56.080852496334991</v>
      </c>
      <c r="V67" s="12">
        <v>67.656157252264876</v>
      </c>
      <c r="W67" s="12">
        <v>62.203472958831426</v>
      </c>
      <c r="X67" s="12">
        <v>107.80014125537873</v>
      </c>
      <c r="Y67" s="12">
        <v>104.80195221098576</v>
      </c>
      <c r="AB67" s="12">
        <v>150.92039921936822</v>
      </c>
      <c r="AC67" s="12">
        <v>92.986873456563771</v>
      </c>
      <c r="AD67" s="12">
        <v>33.098823493500241</v>
      </c>
      <c r="AE67" s="12">
        <v>4.0366753972537124</v>
      </c>
      <c r="AF67" s="12">
        <v>22.032727416</v>
      </c>
      <c r="AG67" s="12">
        <v>77.963549783549396</v>
      </c>
      <c r="AH67" s="12">
        <v>80.999999999999602</v>
      </c>
      <c r="AI67" s="12">
        <v>40.662600000000005</v>
      </c>
      <c r="AJ67" s="12">
        <v>2.0272827059999998</v>
      </c>
      <c r="AK67" s="12">
        <v>115.80659999999999</v>
      </c>
      <c r="AL67" s="12">
        <v>3.3353337059999997</v>
      </c>
      <c r="AM67" s="12">
        <v>5.0066114099999997</v>
      </c>
      <c r="AN67" s="12">
        <v>3.1617916680000002</v>
      </c>
      <c r="AO67" s="12">
        <v>7.4933333333332941</v>
      </c>
      <c r="AP67" s="12">
        <v>2.4633348540000002</v>
      </c>
      <c r="AQ67" s="12">
        <v>5.0299984793332939</v>
      </c>
      <c r="AR67" s="12">
        <v>0.27192864724210492</v>
      </c>
      <c r="AS67" s="12">
        <v>0.32677411857229488</v>
      </c>
      <c r="AT67" s="12">
        <v>0.46743325459337909</v>
      </c>
      <c r="AU67" s="12">
        <v>0.79420737316567402</v>
      </c>
      <c r="AV67" s="12">
        <v>0.30530000000000002</v>
      </c>
      <c r="AW67" s="12">
        <v>0.19109999999999999</v>
      </c>
      <c r="AX67" s="12">
        <v>6.7100000000000007E-2</v>
      </c>
    </row>
    <row r="68" spans="1:50" s="12" customFormat="1">
      <c r="A68" s="12" t="s">
        <v>335</v>
      </c>
      <c r="B68" s="12" t="s">
        <v>639</v>
      </c>
      <c r="C68" s="12" t="s">
        <v>20</v>
      </c>
      <c r="D68" s="12">
        <v>550</v>
      </c>
      <c r="E68" s="12">
        <v>622</v>
      </c>
      <c r="F68" s="13">
        <v>0.60216312889286161</v>
      </c>
      <c r="G68" s="13">
        <v>0.2965877865279764</v>
      </c>
      <c r="H68" s="13">
        <v>0.2816336533129527</v>
      </c>
      <c r="I68" s="13">
        <v>-0.18950623645881023</v>
      </c>
      <c r="J68" s="13">
        <v>0.68738115420531964</v>
      </c>
      <c r="K68" s="13">
        <v>-0.68061851594251677</v>
      </c>
      <c r="L68" s="13">
        <v>0.11983028150012837</v>
      </c>
      <c r="M68" s="13">
        <v>1.5657342509612775</v>
      </c>
      <c r="O68" s="12">
        <v>111.39200960716147</v>
      </c>
      <c r="P68" s="12">
        <v>112.61439809452543</v>
      </c>
      <c r="Q68" s="12">
        <v>113.38290725278578</v>
      </c>
      <c r="R68" s="12">
        <v>106.75202936941463</v>
      </c>
      <c r="S68" s="12">
        <v>124.19688913228552</v>
      </c>
      <c r="T68" s="12">
        <v>80.875932488572005</v>
      </c>
      <c r="U68" s="12">
        <v>153.37419207255249</v>
      </c>
      <c r="V68" s="12">
        <v>83.521130578450041</v>
      </c>
      <c r="W68" s="12">
        <v>86.456815169558482</v>
      </c>
      <c r="X68" s="12">
        <v>99.252144143735279</v>
      </c>
      <c r="Y68" s="12">
        <v>101.01561490304358</v>
      </c>
      <c r="AB68" s="12">
        <v>137.70135677206943</v>
      </c>
      <c r="AC68" s="12">
        <v>87.630721714983551</v>
      </c>
      <c r="AD68" s="12">
        <v>25.806872639423833</v>
      </c>
      <c r="AE68" s="12">
        <v>2.7797108250447859</v>
      </c>
      <c r="AF68" s="12">
        <v>21.931884057970926</v>
      </c>
      <c r="AG68" s="12">
        <v>78.717506326201445</v>
      </c>
      <c r="AH68" s="12">
        <v>71.999999999999815</v>
      </c>
      <c r="AI68" s="12">
        <v>59.7742</v>
      </c>
      <c r="AJ68" s="12">
        <v>0.99788144199999995</v>
      </c>
      <c r="AK68" s="12">
        <v>136.28019999999998</v>
      </c>
      <c r="AL68" s="12">
        <v>9.1217249681347727</v>
      </c>
      <c r="AM68" s="12">
        <v>4.0051531660000004</v>
      </c>
      <c r="AN68" s="12">
        <v>1.0065148019999999</v>
      </c>
      <c r="AO68" s="12">
        <v>9.250476190476089</v>
      </c>
      <c r="AP68" s="12">
        <v>2.2592644760000002</v>
      </c>
      <c r="AQ68" s="12">
        <v>6.9912117144760888</v>
      </c>
      <c r="AR68" s="12">
        <v>0.25036610322194441</v>
      </c>
      <c r="AS68" s="12">
        <v>0.33767542370786224</v>
      </c>
      <c r="AT68" s="12">
        <v>0.42783842854699872</v>
      </c>
      <c r="AU68" s="12">
        <v>0.76551385225486102</v>
      </c>
      <c r="AV68" s="12">
        <v>0.29249999999999998</v>
      </c>
      <c r="AW68" s="12">
        <v>0.21909999999999999</v>
      </c>
      <c r="AX68" s="12">
        <v>9.6100000000000005E-2</v>
      </c>
    </row>
    <row r="69" spans="1:50" s="12" customFormat="1">
      <c r="A69" s="12" t="s">
        <v>630</v>
      </c>
      <c r="B69" s="12" t="s">
        <v>1219</v>
      </c>
      <c r="C69" s="12" t="s">
        <v>631</v>
      </c>
      <c r="D69" s="12">
        <v>509</v>
      </c>
      <c r="E69" s="12">
        <v>580</v>
      </c>
      <c r="F69" s="13">
        <v>0.15430370910646307</v>
      </c>
      <c r="G69" s="13">
        <v>0.28519306966132335</v>
      </c>
      <c r="H69" s="13">
        <v>-8.942718367122944E-2</v>
      </c>
      <c r="I69" s="13">
        <v>-0.34376761004230216</v>
      </c>
      <c r="J69" s="13">
        <v>0.49364972917778976</v>
      </c>
      <c r="K69" s="13">
        <v>0.1830441011405553</v>
      </c>
      <c r="L69" s="13">
        <v>4.7658749909974436E-2</v>
      </c>
      <c r="M69" s="13">
        <v>1.4967910849337318</v>
      </c>
      <c r="O69" s="12">
        <v>99.974668600585886</v>
      </c>
      <c r="P69" s="12">
        <v>112.12976082603559</v>
      </c>
      <c r="Q69" s="12">
        <v>103.42935681154948</v>
      </c>
      <c r="R69" s="12">
        <v>97.856026921962922</v>
      </c>
      <c r="S69" s="12">
        <v>117.37724069684033</v>
      </c>
      <c r="T69" s="12">
        <v>105.14318618401541</v>
      </c>
      <c r="U69" s="12">
        <v>101.83631516477418</v>
      </c>
      <c r="V69" s="12">
        <v>70.1070441632843</v>
      </c>
      <c r="W69" s="12">
        <v>70.36132801110702</v>
      </c>
      <c r="X69" s="12">
        <v>96.254432735513134</v>
      </c>
      <c r="Y69" s="12">
        <v>100.40392909090296</v>
      </c>
      <c r="AB69" s="12">
        <v>123.58738797952</v>
      </c>
      <c r="AC69" s="12">
        <v>72.645671684049404</v>
      </c>
      <c r="AD69" s="12">
        <v>28.185263098455181</v>
      </c>
      <c r="AE69" s="12">
        <v>1.5783909661573952</v>
      </c>
      <c r="AF69" s="12">
        <v>21.837499959999999</v>
      </c>
      <c r="AG69" s="12">
        <v>71.807129014396068</v>
      </c>
      <c r="AH69" s="12">
        <v>65.999999999999503</v>
      </c>
      <c r="AI69" s="12">
        <v>56.491999999999997</v>
      </c>
      <c r="AJ69" s="12">
        <v>0.20138876</v>
      </c>
      <c r="AK69" s="12">
        <v>108.51799999999999</v>
      </c>
      <c r="AL69" s="12">
        <v>6.0565786599999996</v>
      </c>
      <c r="AM69" s="12">
        <v>5.0277775599999996</v>
      </c>
      <c r="AN69" s="12">
        <v>0</v>
      </c>
      <c r="AO69" s="12">
        <v>7.7647840531560988</v>
      </c>
      <c r="AP69" s="12">
        <v>2.0751118200000001</v>
      </c>
      <c r="AQ69" s="12">
        <v>5.6896722331560987</v>
      </c>
      <c r="AR69" s="12">
        <v>0.24280429858451866</v>
      </c>
      <c r="AS69" s="12">
        <v>0.3264945588070966</v>
      </c>
      <c r="AT69" s="12">
        <v>0.43438383225821608</v>
      </c>
      <c r="AU69" s="12">
        <v>0.76087839106531274</v>
      </c>
      <c r="AV69" s="12">
        <v>0.26519999999999999</v>
      </c>
      <c r="AW69" s="12" t="s">
        <v>1220</v>
      </c>
      <c r="AX69" s="12">
        <v>9.74E-2</v>
      </c>
    </row>
    <row r="70" spans="1:50" s="12" customFormat="1">
      <c r="A70" s="12" t="s">
        <v>293</v>
      </c>
      <c r="B70" s="12" t="s">
        <v>753</v>
      </c>
      <c r="C70" s="12" t="s">
        <v>169</v>
      </c>
      <c r="D70" s="12">
        <v>557</v>
      </c>
      <c r="E70" s="12">
        <v>639</v>
      </c>
      <c r="F70" s="13">
        <v>0.60075246902072965</v>
      </c>
      <c r="G70" s="13">
        <v>-0.28425696448104892</v>
      </c>
      <c r="H70" s="13">
        <v>9.6103248364603544E-2</v>
      </c>
      <c r="I70" s="13">
        <v>-0.59904924095008993</v>
      </c>
      <c r="J70" s="13">
        <v>1.3571068302990192</v>
      </c>
      <c r="K70" s="13">
        <v>0.15968101660729048</v>
      </c>
      <c r="L70" s="13">
        <v>-0.16774859603316916</v>
      </c>
      <c r="M70" s="13">
        <v>1.4945972395589164</v>
      </c>
      <c r="O70" s="12">
        <v>115.67207747613161</v>
      </c>
      <c r="P70" s="12">
        <v>87.910053367059106</v>
      </c>
      <c r="Q70" s="12">
        <v>113.35155573136554</v>
      </c>
      <c r="R70" s="12">
        <v>102.30402847039338</v>
      </c>
      <c r="S70" s="12">
        <v>147.77227788762474</v>
      </c>
      <c r="T70" s="12">
        <v>104.48672857167638</v>
      </c>
      <c r="U70" s="12">
        <v>67.660184331475762</v>
      </c>
      <c r="V70" s="12">
        <v>47.908552229410027</v>
      </c>
      <c r="W70" s="12">
        <v>41.345894190841392</v>
      </c>
      <c r="X70" s="12">
        <v>101.77049537018173</v>
      </c>
      <c r="Y70" s="12">
        <v>98.57825608049032</v>
      </c>
      <c r="AB70" s="12">
        <v>142.9923211303948</v>
      </c>
      <c r="AC70" s="12">
        <v>98.551128147482032</v>
      </c>
      <c r="AD70" s="12">
        <v>26.977332067446341</v>
      </c>
      <c r="AE70" s="12">
        <v>1.0022039922116164</v>
      </c>
      <c r="AF70" s="12">
        <v>17.120662460567779</v>
      </c>
      <c r="AG70" s="12">
        <v>78.695740138990942</v>
      </c>
      <c r="AH70" s="12">
        <v>69.000000219</v>
      </c>
      <c r="AI70" s="12">
        <v>71.12069999999936</v>
      </c>
      <c r="AJ70" s="12">
        <v>0.78425492399999996</v>
      </c>
      <c r="AK70" s="12">
        <v>109.26900000000001</v>
      </c>
      <c r="AL70" s="12">
        <v>4.0239989820000002</v>
      </c>
      <c r="AM70" s="12">
        <v>5.8378547970000003</v>
      </c>
      <c r="AN70" s="12">
        <v>1.006339374</v>
      </c>
      <c r="AO70" s="12">
        <v>5.3061652620000004</v>
      </c>
      <c r="AP70" s="12">
        <v>1.962786267</v>
      </c>
      <c r="AQ70" s="12">
        <v>3.3433789950000001</v>
      </c>
      <c r="AR70" s="12">
        <v>0.2567187093902959</v>
      </c>
      <c r="AS70" s="12">
        <v>0.34489760527200108</v>
      </c>
      <c r="AT70" s="12">
        <v>0.40214551903281992</v>
      </c>
      <c r="AU70" s="12">
        <v>0.747043124304821</v>
      </c>
      <c r="AV70" s="12">
        <v>0.28839999999999999</v>
      </c>
      <c r="AW70" s="12">
        <v>0.17100000000000001</v>
      </c>
      <c r="AX70" s="12" t="s">
        <v>730</v>
      </c>
    </row>
    <row r="71" spans="1:50" s="12" customFormat="1">
      <c r="A71" s="12" t="s">
        <v>293</v>
      </c>
      <c r="B71" s="12" t="s">
        <v>770</v>
      </c>
      <c r="C71" s="12" t="s">
        <v>124</v>
      </c>
      <c r="D71" s="12">
        <v>539</v>
      </c>
      <c r="E71" s="12">
        <v>616</v>
      </c>
      <c r="F71" s="13">
        <v>0.37480531557550217</v>
      </c>
      <c r="G71" s="13">
        <v>0.83696350188550017</v>
      </c>
      <c r="H71" s="13">
        <v>0.71453796312781137</v>
      </c>
      <c r="I71" s="13">
        <v>-0.94679857680352952</v>
      </c>
      <c r="J71" s="13">
        <v>0.95149383302689794</v>
      </c>
      <c r="K71" s="13">
        <v>-1.4024227236092324</v>
      </c>
      <c r="L71" s="13">
        <v>-7.3782227723235005E-2</v>
      </c>
      <c r="M71" s="13">
        <v>1.4847778930167976</v>
      </c>
      <c r="O71" s="12">
        <v>100.25626926412612</v>
      </c>
      <c r="P71" s="12">
        <v>135.59752384603291</v>
      </c>
      <c r="Q71" s="12">
        <v>108.32994339161961</v>
      </c>
      <c r="R71" s="12">
        <v>117.13069889144113</v>
      </c>
      <c r="S71" s="12">
        <v>133.49406751545627</v>
      </c>
      <c r="T71" s="12">
        <v>60.594626479234925</v>
      </c>
      <c r="U71" s="12">
        <v>118.09917182915274</v>
      </c>
      <c r="V71" s="12">
        <v>17.669357973630866</v>
      </c>
      <c r="W71" s="12">
        <v>17.767100497049981</v>
      </c>
      <c r="X71" s="12">
        <v>91.153074691440139</v>
      </c>
      <c r="Y71" s="12">
        <v>99.374662822139797</v>
      </c>
      <c r="AB71" s="12">
        <v>123.93549906553199</v>
      </c>
      <c r="AC71" s="12">
        <v>70.010887401889406</v>
      </c>
      <c r="AD71" s="12">
        <v>26.550563370355825</v>
      </c>
      <c r="AE71" s="12">
        <v>0.82268181777613858</v>
      </c>
      <c r="AF71" s="12">
        <v>26.407894744</v>
      </c>
      <c r="AG71" s="12">
        <v>75.209422750423812</v>
      </c>
      <c r="AH71" s="12">
        <v>78.999999999999844</v>
      </c>
      <c r="AI71" s="12">
        <v>64.248800000000003</v>
      </c>
      <c r="AJ71" s="12">
        <v>2.8867842079999999</v>
      </c>
      <c r="AK71" s="12">
        <v>159.48240000000001</v>
      </c>
      <c r="AL71" s="12">
        <v>7.023790312</v>
      </c>
      <c r="AM71" s="12">
        <v>5.0526315840000002</v>
      </c>
      <c r="AN71" s="12">
        <v>0</v>
      </c>
      <c r="AO71" s="12">
        <v>1.9569894960000001</v>
      </c>
      <c r="AP71" s="12">
        <v>0.52027729600000006</v>
      </c>
      <c r="AQ71" s="12">
        <v>1.4367122000000001</v>
      </c>
      <c r="AR71" s="12">
        <v>0.22993599084514282</v>
      </c>
      <c r="AS71" s="12">
        <v>0.32411435375735026</v>
      </c>
      <c r="AT71" s="12">
        <v>0.42896407898317157</v>
      </c>
      <c r="AU71" s="12">
        <v>0.75307843274052177</v>
      </c>
      <c r="AV71" s="12">
        <v>0.27229999999999999</v>
      </c>
      <c r="AW71" s="12">
        <v>0.25890000000000002</v>
      </c>
      <c r="AX71" s="12">
        <v>0.1043</v>
      </c>
    </row>
    <row r="72" spans="1:50" s="12" customFormat="1">
      <c r="A72" s="12" t="s">
        <v>200</v>
      </c>
      <c r="B72" s="12" t="s">
        <v>466</v>
      </c>
      <c r="C72" s="12" t="s">
        <v>467</v>
      </c>
      <c r="D72" s="12">
        <v>531</v>
      </c>
      <c r="E72" s="12">
        <v>590</v>
      </c>
      <c r="F72" s="13">
        <v>0.38267690735749399</v>
      </c>
      <c r="G72" s="13">
        <v>7.0748512842102401E-2</v>
      </c>
      <c r="H72" s="13">
        <v>3.4259761990167385E-2</v>
      </c>
      <c r="I72" s="13">
        <v>0.12857983874179787</v>
      </c>
      <c r="J72" s="13">
        <v>6.0112066382346035E-2</v>
      </c>
      <c r="K72" s="13">
        <v>0.37996597210668331</v>
      </c>
      <c r="L72" s="13">
        <v>-0.10030490296187075</v>
      </c>
      <c r="M72" s="13">
        <v>1.2821999449663883</v>
      </c>
      <c r="O72" s="12">
        <v>110.75512669838223</v>
      </c>
      <c r="P72" s="12">
        <v>103.00905818150321</v>
      </c>
      <c r="Q72" s="12">
        <v>108.50488731909633</v>
      </c>
      <c r="R72" s="12">
        <v>100.82136107111356</v>
      </c>
      <c r="S72" s="12">
        <v>102.1160385280679</v>
      </c>
      <c r="T72" s="12">
        <v>110.67631093249199</v>
      </c>
      <c r="U72" s="12">
        <v>86.259512967852913</v>
      </c>
      <c r="V72" s="12">
        <v>111.18090049416713</v>
      </c>
      <c r="W72" s="12">
        <v>107.72033839146492</v>
      </c>
      <c r="X72" s="12">
        <v>102.21576073322677</v>
      </c>
      <c r="Y72" s="12">
        <v>99.149871359550133</v>
      </c>
      <c r="AB72" s="12">
        <v>136.91405038489563</v>
      </c>
      <c r="AC72" s="12">
        <v>91.28870766857527</v>
      </c>
      <c r="AD72" s="12">
        <v>24.523718066142589</v>
      </c>
      <c r="AE72" s="12">
        <v>0.97707448565360033</v>
      </c>
      <c r="AF72" s="12">
        <v>20.061224489795826</v>
      </c>
      <c r="AG72" s="12">
        <v>75.330879767636972</v>
      </c>
      <c r="AH72" s="12">
        <v>67.999999999999645</v>
      </c>
      <c r="AI72" s="12">
        <v>49.146999999999998</v>
      </c>
      <c r="AJ72" s="12">
        <v>2.7518538100000001</v>
      </c>
      <c r="AK72" s="12">
        <v>102.188</v>
      </c>
      <c r="AL72" s="12">
        <v>5.1301691800000002</v>
      </c>
      <c r="AM72" s="12">
        <v>4.0108843099999998</v>
      </c>
      <c r="AN72" s="12">
        <v>0.50000022</v>
      </c>
      <c r="AO72" s="12">
        <v>12.313964929999999</v>
      </c>
      <c r="AP72" s="12">
        <v>3.60330759</v>
      </c>
      <c r="AQ72" s="12">
        <v>8.7106573399999991</v>
      </c>
      <c r="AR72" s="12">
        <v>0.25784190279641361</v>
      </c>
      <c r="AS72" s="12">
        <v>0.33044787090454081</v>
      </c>
      <c r="AT72" s="12">
        <v>0.42092705313936823</v>
      </c>
      <c r="AU72" s="12">
        <v>0.75137492404390904</v>
      </c>
      <c r="AV72" s="12">
        <v>0.28310000000000002</v>
      </c>
      <c r="AW72" s="12" t="s">
        <v>468</v>
      </c>
      <c r="AX72" s="12">
        <v>8.3299999999999999E-2</v>
      </c>
    </row>
    <row r="73" spans="1:50" s="12" customFormat="1">
      <c r="A73" s="12" t="s">
        <v>257</v>
      </c>
      <c r="B73" s="12" t="s">
        <v>256</v>
      </c>
      <c r="C73" s="12" t="s">
        <v>20</v>
      </c>
      <c r="D73" s="12">
        <v>547</v>
      </c>
      <c r="E73" s="12">
        <v>607</v>
      </c>
      <c r="F73" s="13">
        <v>0.71775724562230137</v>
      </c>
      <c r="G73" s="13">
        <v>-8.4910890534438982E-2</v>
      </c>
      <c r="H73" s="13">
        <v>9.6103234820846831E-2</v>
      </c>
      <c r="I73" s="13">
        <v>1.2565282687092061</v>
      </c>
      <c r="J73" s="13">
        <v>7.5623801955204212E-2</v>
      </c>
      <c r="K73" s="13">
        <v>-0.831414627338112</v>
      </c>
      <c r="L73" s="13">
        <v>0.54390143660892465</v>
      </c>
      <c r="M73" s="13">
        <v>1.2683267213508196</v>
      </c>
      <c r="O73" s="12">
        <v>115.69258055340886</v>
      </c>
      <c r="P73" s="12">
        <v>96.388591086973051</v>
      </c>
      <c r="Q73" s="12">
        <v>115.95195419194671</v>
      </c>
      <c r="R73" s="12">
        <v>102.30402814568842</v>
      </c>
      <c r="S73" s="12">
        <v>102.6620758228199</v>
      </c>
      <c r="T73" s="12">
        <v>76.638852616014233</v>
      </c>
      <c r="U73" s="12">
        <v>118.51131639010335</v>
      </c>
      <c r="V73" s="12">
        <v>209.2637669950557</v>
      </c>
      <c r="W73" s="12">
        <v>223.5676175676449</v>
      </c>
      <c r="X73" s="12">
        <v>103.64938508751288</v>
      </c>
      <c r="Y73" s="12">
        <v>104.60980645202166</v>
      </c>
      <c r="AB73" s="12">
        <v>143.01766676846199</v>
      </c>
      <c r="AC73" s="12">
        <v>86.436594954688999</v>
      </c>
      <c r="AD73" s="12">
        <v>33.985632770317672</v>
      </c>
      <c r="AE73" s="12">
        <v>7.167972936473725</v>
      </c>
      <c r="AF73" s="12">
        <v>18.771874999999941</v>
      </c>
      <c r="AG73" s="12">
        <v>80.501099405490208</v>
      </c>
      <c r="AH73" s="12">
        <v>68.999999999999417</v>
      </c>
      <c r="AI73" s="12">
        <v>49.409799999999997</v>
      </c>
      <c r="AJ73" s="12">
        <v>0.98702752500000002</v>
      </c>
      <c r="AK73" s="12">
        <v>141.1275</v>
      </c>
      <c r="AL73" s="12">
        <v>7.0483020586067937</v>
      </c>
      <c r="AM73" s="12">
        <v>2.9960524519999998</v>
      </c>
      <c r="AN73" s="12">
        <v>0.97200609599999999</v>
      </c>
      <c r="AO73" s="12">
        <v>23.177242461999999</v>
      </c>
      <c r="AP73" s="12">
        <v>5.0987538680000002</v>
      </c>
      <c r="AQ73" s="12">
        <v>18.078488594</v>
      </c>
      <c r="AR73" s="12">
        <v>0.26145825734636563</v>
      </c>
      <c r="AS73" s="12">
        <v>0.33388603202580974</v>
      </c>
      <c r="AT73" s="12">
        <v>0.45886522724816325</v>
      </c>
      <c r="AU73" s="12">
        <v>0.79275125927397294</v>
      </c>
      <c r="AV73" s="12">
        <v>0.31850000000000001</v>
      </c>
      <c r="AW73" s="12">
        <v>0.23250000000000001</v>
      </c>
      <c r="AX73" s="12">
        <v>8.14E-2</v>
      </c>
    </row>
    <row r="74" spans="1:50" s="12" customFormat="1">
      <c r="A74" s="12" t="s">
        <v>33</v>
      </c>
      <c r="B74" s="12" t="s">
        <v>351</v>
      </c>
      <c r="C74" s="12" t="s">
        <v>352</v>
      </c>
      <c r="D74" s="12">
        <v>577</v>
      </c>
      <c r="E74" s="12">
        <v>640</v>
      </c>
      <c r="F74" s="13">
        <v>0.8856870172307143</v>
      </c>
      <c r="G74" s="13">
        <v>-0.7826831319458174</v>
      </c>
      <c r="H74" s="13">
        <v>-0.15127065650189228</v>
      </c>
      <c r="I74" s="13">
        <v>1.5789727007271706</v>
      </c>
      <c r="J74" s="13">
        <v>0.26817472960275962</v>
      </c>
      <c r="K74" s="13">
        <v>0.56450634154921087</v>
      </c>
      <c r="L74" s="13">
        <v>-0.35025506509288246</v>
      </c>
      <c r="M74" s="13">
        <v>1.2554477732265226</v>
      </c>
      <c r="O74" s="12">
        <v>124.90504940258843</v>
      </c>
      <c r="P74" s="12">
        <v>66.711115370547589</v>
      </c>
      <c r="Q74" s="12">
        <v>119.68414643451879</v>
      </c>
      <c r="R74" s="12">
        <v>96.373359847388457</v>
      </c>
      <c r="S74" s="12">
        <v>109.44016890858836</v>
      </c>
      <c r="T74" s="12">
        <v>115.8615393697695</v>
      </c>
      <c r="U74" s="12">
        <v>32.119026689716605</v>
      </c>
      <c r="V74" s="12">
        <v>237.30252598378596</v>
      </c>
      <c r="W74" s="12">
        <v>239.24901601563278</v>
      </c>
      <c r="X74" s="12">
        <v>106.08469457666274</v>
      </c>
      <c r="Y74" s="12">
        <v>97.03143262686504</v>
      </c>
      <c r="AB74" s="12">
        <v>154.4060012120745</v>
      </c>
      <c r="AC74" s="12">
        <v>107.76610269833756</v>
      </c>
      <c r="AD74" s="12">
        <v>31.324070354379831</v>
      </c>
      <c r="AE74" s="12">
        <v>4.0091598676152689</v>
      </c>
      <c r="AF74" s="12">
        <v>12.992125984251903</v>
      </c>
      <c r="AG74" s="12">
        <v>83.092220709253127</v>
      </c>
      <c r="AH74" s="12">
        <v>65</v>
      </c>
      <c r="AI74" s="12">
        <v>52.671999999999997</v>
      </c>
      <c r="AJ74" s="12">
        <v>0.20157503999999998</v>
      </c>
      <c r="AK74" s="12">
        <v>96.255999999999361</v>
      </c>
      <c r="AL74" s="12">
        <v>1.9102361600000002</v>
      </c>
      <c r="AM74" s="12">
        <v>5.8377952000000004</v>
      </c>
      <c r="AN74" s="12">
        <v>3.0118112000000004</v>
      </c>
      <c r="AO74" s="12">
        <v>26.282706560000001</v>
      </c>
      <c r="AP74" s="12">
        <v>6.9361631999999993</v>
      </c>
      <c r="AQ74" s="12">
        <v>19.346543360000002</v>
      </c>
      <c r="AR74" s="12">
        <v>0.26760138858245147</v>
      </c>
      <c r="AS74" s="12">
        <v>0.32906413540015672</v>
      </c>
      <c r="AT74" s="12">
        <v>0.40625689245572033</v>
      </c>
      <c r="AU74" s="12">
        <v>0.73532102785587705</v>
      </c>
      <c r="AV74" s="12">
        <v>0.29859999999999998</v>
      </c>
      <c r="AW74" s="12" t="s">
        <v>353</v>
      </c>
      <c r="AX74" s="12">
        <v>8.2299999999999998E-2</v>
      </c>
    </row>
    <row r="75" spans="1:50" s="12" customFormat="1">
      <c r="A75" s="12" t="s">
        <v>376</v>
      </c>
      <c r="B75" s="12" t="s">
        <v>375</v>
      </c>
      <c r="C75" s="12" t="s">
        <v>87</v>
      </c>
      <c r="D75" s="12">
        <v>514</v>
      </c>
      <c r="E75" s="12">
        <v>558</v>
      </c>
      <c r="F75" s="13">
        <v>8.1818454742310559E-2</v>
      </c>
      <c r="G75" s="13">
        <v>1.0678238960771242</v>
      </c>
      <c r="H75" s="13">
        <v>1.1474422729426723</v>
      </c>
      <c r="I75" s="13">
        <v>-0.94589472476019032</v>
      </c>
      <c r="J75" s="13">
        <v>-0.84157544238937898</v>
      </c>
      <c r="K75" s="13">
        <v>-0.88320227956517594</v>
      </c>
      <c r="L75" s="13">
        <v>0.7505760088609752</v>
      </c>
      <c r="M75" s="13">
        <v>1.1163351690467465</v>
      </c>
      <c r="O75" s="12">
        <v>106.76457601986866</v>
      </c>
      <c r="P75" s="12">
        <v>145.41642080967273</v>
      </c>
      <c r="Q75" s="12">
        <v>101.81839229079978</v>
      </c>
      <c r="R75" s="12">
        <v>127.50936841346768</v>
      </c>
      <c r="S75" s="12">
        <v>70.375231338001839</v>
      </c>
      <c r="T75" s="12">
        <v>75.183719477185008</v>
      </c>
      <c r="U75" s="12">
        <v>102.04850892289183</v>
      </c>
      <c r="V75" s="12">
        <v>17.747954119472354</v>
      </c>
      <c r="W75" s="12">
        <v>11.503386088335333</v>
      </c>
      <c r="X75" s="12">
        <v>101.79175655715126</v>
      </c>
      <c r="Y75" s="12">
        <v>106.36146532348252</v>
      </c>
      <c r="AB75" s="12">
        <v>131.98098342042556</v>
      </c>
      <c r="AC75" s="12">
        <v>72.727607071519756</v>
      </c>
      <c r="AD75" s="12">
        <v>29.67646192977568</v>
      </c>
      <c r="AE75" s="12">
        <v>3.0197848305226955</v>
      </c>
      <c r="AF75" s="12">
        <v>28.320144983999999</v>
      </c>
      <c r="AG75" s="12">
        <v>70.688696678112109</v>
      </c>
      <c r="AH75" s="12">
        <v>85.999999999999915</v>
      </c>
      <c r="AI75" s="12">
        <v>33.870599999999996</v>
      </c>
      <c r="AJ75" s="12">
        <v>0</v>
      </c>
      <c r="AK75" s="12">
        <v>142.79220000000001</v>
      </c>
      <c r="AL75" s="12">
        <v>6.0691986</v>
      </c>
      <c r="AM75" s="12">
        <v>4.8508167599999998</v>
      </c>
      <c r="AN75" s="12">
        <v>0</v>
      </c>
      <c r="AO75" s="12">
        <v>1.9656944999999999</v>
      </c>
      <c r="AP75" s="12">
        <v>1.0354889700000001</v>
      </c>
      <c r="AQ75" s="12">
        <v>0.93020552999999984</v>
      </c>
      <c r="AR75" s="12">
        <v>0.25677234128487464</v>
      </c>
      <c r="AS75" s="12">
        <v>0.31104418393665423</v>
      </c>
      <c r="AT75" s="12">
        <v>0.49498145011408407</v>
      </c>
      <c r="AU75" s="12">
        <v>0.80602563405073835</v>
      </c>
      <c r="AV75" s="12">
        <v>0.29809999999999998</v>
      </c>
      <c r="AW75" s="12">
        <v>0.25590000000000002</v>
      </c>
      <c r="AX75" s="12">
        <v>6.0699999999999997E-2</v>
      </c>
    </row>
    <row r="76" spans="1:50" s="12" customFormat="1">
      <c r="A76" s="12" t="s">
        <v>214</v>
      </c>
      <c r="B76" s="12" t="s">
        <v>679</v>
      </c>
      <c r="C76" s="12" t="s">
        <v>20</v>
      </c>
      <c r="D76" s="12">
        <v>424</v>
      </c>
      <c r="E76" s="12">
        <v>502</v>
      </c>
      <c r="F76" s="13">
        <v>-0.26756229516067515</v>
      </c>
      <c r="G76" s="13">
        <v>0.58314202870815202</v>
      </c>
      <c r="H76" s="13">
        <v>-0.21311412933260018</v>
      </c>
      <c r="I76" s="13">
        <v>-0.82348295185864939</v>
      </c>
      <c r="J76" s="13">
        <v>1.168221347016321</v>
      </c>
      <c r="K76" s="13">
        <v>-1.2229220608170424</v>
      </c>
      <c r="L76" s="13">
        <v>0.97387617403717519</v>
      </c>
      <c r="M76" s="13">
        <v>1.0455207987545485</v>
      </c>
      <c r="O76" s="12">
        <v>80.484542726209639</v>
      </c>
      <c r="P76" s="12">
        <v>124.80205197215672</v>
      </c>
      <c r="Q76" s="12">
        <v>94.053502765834722</v>
      </c>
      <c r="R76" s="12">
        <v>94.890692772812912</v>
      </c>
      <c r="S76" s="12">
        <v>141.1232141626038</v>
      </c>
      <c r="T76" s="12">
        <v>65.638248880294952</v>
      </c>
      <c r="U76" s="12">
        <v>112.79836169536878</v>
      </c>
      <c r="V76" s="12">
        <v>28.392498905962157</v>
      </c>
      <c r="W76" s="12">
        <v>26.362651620865776</v>
      </c>
      <c r="X76" s="12">
        <v>93.024034763406405</v>
      </c>
      <c r="Y76" s="12">
        <v>108.25403348543591</v>
      </c>
      <c r="AB76" s="12">
        <v>99.493947291764613</v>
      </c>
      <c r="AC76" s="12">
        <v>55.539233308607706</v>
      </c>
      <c r="AD76" s="12">
        <v>18.446243553761391</v>
      </c>
      <c r="AE76" s="12">
        <v>1.7727527779245045</v>
      </c>
      <c r="AF76" s="12">
        <v>24.305454545454477</v>
      </c>
      <c r="AG76" s="12">
        <v>65.297824675324634</v>
      </c>
      <c r="AH76" s="12">
        <v>63.999999999999773</v>
      </c>
      <c r="AI76" s="12">
        <v>67.920600000000007</v>
      </c>
      <c r="AJ76" s="12">
        <v>6.8718383420000002</v>
      </c>
      <c r="AK76" s="12">
        <v>153.7124</v>
      </c>
      <c r="AL76" s="12">
        <v>6.7085317179999997</v>
      </c>
      <c r="AM76" s="12">
        <v>3.2339392199999999</v>
      </c>
      <c r="AN76" s="12">
        <v>0</v>
      </c>
      <c r="AO76" s="12">
        <v>3.1446429579999999</v>
      </c>
      <c r="AP76" s="12">
        <v>1.0128633120000001</v>
      </c>
      <c r="AQ76" s="12">
        <v>2.131779646</v>
      </c>
      <c r="AR76" s="12">
        <v>0.23465553606548259</v>
      </c>
      <c r="AS76" s="12">
        <v>0.36052870016658001</v>
      </c>
      <c r="AT76" s="12">
        <v>0.45983914370689127</v>
      </c>
      <c r="AU76" s="12">
        <v>0.82036784387347128</v>
      </c>
      <c r="AV76" s="12" t="s">
        <v>680</v>
      </c>
      <c r="AW76" s="12">
        <v>0.30620000000000003</v>
      </c>
      <c r="AX76" s="12">
        <v>0.1353</v>
      </c>
    </row>
    <row r="77" spans="1:50" s="12" customFormat="1">
      <c r="A77" s="12" t="s">
        <v>136</v>
      </c>
      <c r="B77" s="12" t="s">
        <v>390</v>
      </c>
      <c r="C77" s="12" t="s">
        <v>391</v>
      </c>
      <c r="D77" s="12">
        <v>525</v>
      </c>
      <c r="E77" s="12">
        <v>585</v>
      </c>
      <c r="F77" s="13">
        <v>0.16321072973922426</v>
      </c>
      <c r="G77" s="13">
        <v>0.44189024307134822</v>
      </c>
      <c r="H77" s="13">
        <v>0.65269449029711479</v>
      </c>
      <c r="I77" s="13">
        <v>-0.66288873227230527</v>
      </c>
      <c r="J77" s="13">
        <v>0.12875798902783259</v>
      </c>
      <c r="K77" s="13">
        <v>-0.574016276568168</v>
      </c>
      <c r="L77" s="13">
        <v>0.35198867843409032</v>
      </c>
      <c r="M77" s="13">
        <v>0.94184334256599134</v>
      </c>
      <c r="O77" s="12">
        <v>109.91777346085709</v>
      </c>
      <c r="P77" s="12">
        <v>118.7943660979539</v>
      </c>
      <c r="Q77" s="12">
        <v>103.62731285586268</v>
      </c>
      <c r="R77" s="12">
        <v>115.64803181686585</v>
      </c>
      <c r="S77" s="12">
        <v>104.53248211176869</v>
      </c>
      <c r="T77" s="12">
        <v>83.871249799094059</v>
      </c>
      <c r="U77" s="12">
        <v>101.32730105161046</v>
      </c>
      <c r="V77" s="12">
        <v>42.357269796203042</v>
      </c>
      <c r="W77" s="12">
        <v>31.390251674631969</v>
      </c>
      <c r="X77" s="12">
        <v>102.60231674363294</v>
      </c>
      <c r="Y77" s="12">
        <v>102.98326051683279</v>
      </c>
      <c r="AB77" s="12">
        <v>135.87892517877597</v>
      </c>
      <c r="AC77" s="12">
        <v>81.609289315222497</v>
      </c>
      <c r="AD77" s="12">
        <v>28.209877552775037</v>
      </c>
      <c r="AE77" s="12">
        <v>1.3279569680289689</v>
      </c>
      <c r="AF77" s="12">
        <v>23.135445450000002</v>
      </c>
      <c r="AG77" s="12">
        <v>71.944562482527147</v>
      </c>
      <c r="AH77" s="12">
        <v>77.999999999999801</v>
      </c>
      <c r="AI77" s="12">
        <v>50.309999999999995</v>
      </c>
      <c r="AJ77" s="12">
        <v>2.0157239699999998</v>
      </c>
      <c r="AK77" s="12">
        <v>132.8535</v>
      </c>
      <c r="AL77" s="12">
        <v>6.0263057263177666</v>
      </c>
      <c r="AM77" s="12">
        <v>4.8068490600000002</v>
      </c>
      <c r="AN77" s="12">
        <v>0</v>
      </c>
      <c r="AO77" s="12">
        <v>4.6913267699999999</v>
      </c>
      <c r="AP77" s="12">
        <v>2.1529971450000001</v>
      </c>
      <c r="AQ77" s="12">
        <v>2.5383296249999998</v>
      </c>
      <c r="AR77" s="12">
        <v>0.25881700034052568</v>
      </c>
      <c r="AS77" s="12">
        <v>0.33365416036440237</v>
      </c>
      <c r="AT77" s="12">
        <v>0.44677085166639907</v>
      </c>
      <c r="AU77" s="12">
        <v>0.78042501203080139</v>
      </c>
      <c r="AV77" s="12">
        <v>0.30159999999999998</v>
      </c>
      <c r="AW77" s="12">
        <v>0.2271</v>
      </c>
      <c r="AX77" s="12">
        <v>8.5999999999999993E-2</v>
      </c>
    </row>
    <row r="78" spans="1:50" s="12" customFormat="1">
      <c r="A78" s="12" t="s">
        <v>156</v>
      </c>
      <c r="B78" s="12" t="s">
        <v>474</v>
      </c>
      <c r="C78" s="12" t="s">
        <v>20</v>
      </c>
      <c r="D78" s="12">
        <v>506</v>
      </c>
      <c r="E78" s="12">
        <v>576</v>
      </c>
      <c r="F78" s="13">
        <v>0.27730619000408879</v>
      </c>
      <c r="G78" s="13">
        <v>-0.23871707018600449</v>
      </c>
      <c r="H78" s="13">
        <v>0.40532059897434303</v>
      </c>
      <c r="I78" s="13">
        <v>0.57775776417145752</v>
      </c>
      <c r="J78" s="13">
        <v>0.94663018382137176</v>
      </c>
      <c r="K78" s="13">
        <v>-0.79713528932585642</v>
      </c>
      <c r="L78" s="13">
        <v>-5.3314254186827052E-2</v>
      </c>
      <c r="M78" s="13">
        <v>0.83451996524132421</v>
      </c>
      <c r="O78" s="12">
        <v>104.35951278151913</v>
      </c>
      <c r="P78" s="12">
        <v>89.846944843762273</v>
      </c>
      <c r="Q78" s="12">
        <v>106.16305257392877</v>
      </c>
      <c r="R78" s="12">
        <v>109.71736351856511</v>
      </c>
      <c r="S78" s="12">
        <v>133.32285947478704</v>
      </c>
      <c r="T78" s="12">
        <v>77.602035895689809</v>
      </c>
      <c r="U78" s="12">
        <v>68.234479716057592</v>
      </c>
      <c r="V78" s="12">
        <v>150.24000756374866</v>
      </c>
      <c r="W78" s="12">
        <v>159.66129700508972</v>
      </c>
      <c r="X78" s="12">
        <v>101.07181719424386</v>
      </c>
      <c r="Y78" s="12">
        <v>99.548137996348217</v>
      </c>
      <c r="AB78" s="12">
        <v>129.00787545503999</v>
      </c>
      <c r="AC78" s="12">
        <v>86.270449094915477</v>
      </c>
      <c r="AD78" s="12">
        <v>22.325748737696109</v>
      </c>
      <c r="AE78" s="12">
        <v>1.2863723064283277</v>
      </c>
      <c r="AF78" s="12">
        <v>17.497876032000001</v>
      </c>
      <c r="AG78" s="12">
        <v>73.705031605562112</v>
      </c>
      <c r="AH78" s="12">
        <v>73.999999999999858</v>
      </c>
      <c r="AI78" s="12">
        <v>64.166399999999427</v>
      </c>
      <c r="AJ78" s="12">
        <v>4.8480405120000007</v>
      </c>
      <c r="AK78" s="12">
        <v>140.0256</v>
      </c>
      <c r="AL78" s="12">
        <v>4.0581544320000003</v>
      </c>
      <c r="AM78" s="12">
        <v>2.8467256320000001</v>
      </c>
      <c r="AN78" s="12">
        <v>0</v>
      </c>
      <c r="AO78" s="12">
        <v>16.639999999999951</v>
      </c>
      <c r="AP78" s="12">
        <v>3.7292083200000001</v>
      </c>
      <c r="AQ78" s="12">
        <v>12.910791679999951</v>
      </c>
      <c r="AR78" s="12">
        <v>0.25495627560284584</v>
      </c>
      <c r="AS78" s="12">
        <v>0.34970418889280797</v>
      </c>
      <c r="AT78" s="12">
        <v>0.40468886880947169</v>
      </c>
      <c r="AU78" s="12">
        <v>0.75439305770227971</v>
      </c>
      <c r="AV78" s="12">
        <v>0.31740000000000002</v>
      </c>
      <c r="AW78" s="12">
        <v>0.24310000000000001</v>
      </c>
      <c r="AX78" s="12" t="s">
        <v>475</v>
      </c>
    </row>
    <row r="79" spans="1:50" s="12" customFormat="1">
      <c r="A79" s="12" t="s">
        <v>33</v>
      </c>
      <c r="B79" s="12" t="s">
        <v>453</v>
      </c>
      <c r="C79" s="12" t="s">
        <v>366</v>
      </c>
      <c r="D79" s="12">
        <v>532</v>
      </c>
      <c r="E79" s="12">
        <v>575</v>
      </c>
      <c r="F79" s="13">
        <v>-0.52568565342858342</v>
      </c>
      <c r="G79" s="13">
        <v>1.0654771445982341</v>
      </c>
      <c r="H79" s="13">
        <v>1.2711292186040444</v>
      </c>
      <c r="I79" s="13">
        <v>-1.1213837248561784</v>
      </c>
      <c r="J79" s="13">
        <v>-1.0861213771378917</v>
      </c>
      <c r="K79" s="13">
        <v>-0.18854093641946348</v>
      </c>
      <c r="L79" s="13">
        <v>0.23480182738241939</v>
      </c>
      <c r="M79" s="13">
        <v>0.61056105886125445</v>
      </c>
      <c r="O79" s="12">
        <v>108.06806888275293</v>
      </c>
      <c r="P79" s="12">
        <v>145.31660935846571</v>
      </c>
      <c r="Q79" s="12">
        <v>88.31678326620623</v>
      </c>
      <c r="R79" s="12">
        <v>130.47470256261772</v>
      </c>
      <c r="S79" s="12">
        <v>61.766832875722486</v>
      </c>
      <c r="T79" s="12">
        <v>94.702363347020366</v>
      </c>
      <c r="U79" s="12">
        <v>161.17833319479055</v>
      </c>
      <c r="V79" s="12">
        <v>2.4879797168424744</v>
      </c>
      <c r="W79" s="12">
        <v>3.4076998870679063</v>
      </c>
      <c r="X79" s="12">
        <v>99.548405153933018</v>
      </c>
      <c r="Y79" s="12">
        <v>101.99004986190576</v>
      </c>
      <c r="AB79" s="12">
        <v>133.59234438244499</v>
      </c>
      <c r="AC79" s="12">
        <v>79.475221906224334</v>
      </c>
      <c r="AD79" s="12">
        <v>25.69348066204812</v>
      </c>
      <c r="AE79" s="12">
        <v>0.49665865535037335</v>
      </c>
      <c r="AF79" s="12">
        <v>28.300706499999997</v>
      </c>
      <c r="AG79" s="12">
        <v>61.315035166348146</v>
      </c>
      <c r="AH79" s="12">
        <v>87.999999999999673</v>
      </c>
      <c r="AI79" s="12">
        <v>29.727499999999942</v>
      </c>
      <c r="AJ79" s="12">
        <v>5.0683116250000007</v>
      </c>
      <c r="AK79" s="12">
        <v>120.46249999999999</v>
      </c>
      <c r="AL79" s="12">
        <v>9.5858658249999991</v>
      </c>
      <c r="AM79" s="12">
        <v>4.8636041500000005</v>
      </c>
      <c r="AN79" s="12">
        <v>0</v>
      </c>
      <c r="AO79" s="12">
        <v>0.27555897500000004</v>
      </c>
      <c r="AP79" s="12">
        <v>0</v>
      </c>
      <c r="AQ79" s="12">
        <v>0.27555897500000004</v>
      </c>
      <c r="AR79" s="12">
        <v>0.25111342929031011</v>
      </c>
      <c r="AS79" s="12">
        <v>0.31132876835618134</v>
      </c>
      <c r="AT79" s="12">
        <v>0.46156952104581145</v>
      </c>
      <c r="AU79" s="12">
        <v>0.77289828940199279</v>
      </c>
      <c r="AV79" s="12">
        <v>0.27129999999999999</v>
      </c>
      <c r="AW79" s="12" t="s">
        <v>454</v>
      </c>
      <c r="AX79" s="12" t="s">
        <v>455</v>
      </c>
    </row>
    <row r="80" spans="1:50" s="12" customFormat="1">
      <c r="A80" s="12" t="s">
        <v>692</v>
      </c>
      <c r="B80" s="12" t="s">
        <v>711</v>
      </c>
      <c r="C80" s="12" t="s">
        <v>391</v>
      </c>
      <c r="D80" s="12">
        <v>525</v>
      </c>
      <c r="E80" s="12">
        <v>574</v>
      </c>
      <c r="F80" s="13">
        <v>-0.25692748437544949</v>
      </c>
      <c r="G80" s="13">
        <v>7.8606800740509131E-2</v>
      </c>
      <c r="H80" s="13">
        <v>0.34347711377496309</v>
      </c>
      <c r="I80" s="13">
        <v>-0.5385979360433224</v>
      </c>
      <c r="J80" s="13">
        <v>-0.526760401097918</v>
      </c>
      <c r="K80" s="13">
        <v>1.0786621915026806</v>
      </c>
      <c r="L80" s="13">
        <v>-4.9785846528780452E-2</v>
      </c>
      <c r="M80" s="13">
        <v>0.52253553428582744</v>
      </c>
      <c r="O80" s="12">
        <v>113.01728567556015</v>
      </c>
      <c r="P80" s="12">
        <v>103.34328493120297</v>
      </c>
      <c r="Q80" s="12">
        <v>94.289858463419989</v>
      </c>
      <c r="R80" s="12">
        <v>108.23469614745669</v>
      </c>
      <c r="S80" s="12">
        <v>81.457211989787368</v>
      </c>
      <c r="T80" s="12">
        <v>130.30832704243434</v>
      </c>
      <c r="U80" s="12">
        <v>66.277195051035392</v>
      </c>
      <c r="V80" s="12">
        <v>53.165208572418827</v>
      </c>
      <c r="W80" s="12">
        <v>48.208136941324916</v>
      </c>
      <c r="X80" s="12">
        <v>105.49554432631292</v>
      </c>
      <c r="Y80" s="12">
        <v>99.578042819708926</v>
      </c>
      <c r="AB80" s="12">
        <v>139.71050195705121</v>
      </c>
      <c r="AC80" s="12">
        <v>93.342100836498233</v>
      </c>
      <c r="AD80" s="12">
        <v>25.360535198528421</v>
      </c>
      <c r="AE80" s="12">
        <v>1.0042005495972055</v>
      </c>
      <c r="AF80" s="12">
        <v>20.126315832</v>
      </c>
      <c r="AG80" s="12">
        <v>65.461917584659034</v>
      </c>
      <c r="AH80" s="12">
        <v>72.999999799999998</v>
      </c>
      <c r="AI80" s="12">
        <v>39.2042</v>
      </c>
      <c r="AJ80" s="12">
        <v>0.20140339799999998</v>
      </c>
      <c r="AK80" s="12">
        <v>79.7286</v>
      </c>
      <c r="AL80" s="12">
        <v>3.941747544</v>
      </c>
      <c r="AM80" s="12">
        <v>5.633684294</v>
      </c>
      <c r="AN80" s="12">
        <v>1.0415092239999999</v>
      </c>
      <c r="AO80" s="12">
        <v>5.8883721119999999</v>
      </c>
      <c r="AP80" s="12">
        <v>1.990087274</v>
      </c>
      <c r="AQ80" s="12">
        <v>3.8982848379999999</v>
      </c>
      <c r="AR80" s="12">
        <v>0.26611524182295471</v>
      </c>
      <c r="AS80" s="12">
        <v>0.32113199362139377</v>
      </c>
      <c r="AT80" s="12">
        <v>0.43348768801970794</v>
      </c>
      <c r="AU80" s="12">
        <v>0.75461968164110171</v>
      </c>
      <c r="AV80" s="12">
        <v>0.27760000000000001</v>
      </c>
      <c r="AW80" s="12" t="s">
        <v>712</v>
      </c>
      <c r="AX80" s="12">
        <v>6.83E-2</v>
      </c>
    </row>
    <row r="81" spans="1:50" s="12" customFormat="1">
      <c r="A81" s="12" t="s">
        <v>27</v>
      </c>
      <c r="B81" s="12" t="s">
        <v>482</v>
      </c>
      <c r="C81" s="12" t="s">
        <v>20</v>
      </c>
      <c r="D81" s="12">
        <v>509</v>
      </c>
      <c r="E81" s="12">
        <v>553</v>
      </c>
      <c r="F81" s="13">
        <v>0.13932822631305672</v>
      </c>
      <c r="G81" s="13">
        <v>0.82918763064903489</v>
      </c>
      <c r="H81" s="13">
        <v>0.96191185445057126</v>
      </c>
      <c r="I81" s="13">
        <v>-0.48669648274736982</v>
      </c>
      <c r="J81" s="13">
        <v>-0.74851093143912972</v>
      </c>
      <c r="K81" s="13">
        <v>-0.98790685162057779</v>
      </c>
      <c r="L81" s="13">
        <v>0.41845393912316581</v>
      </c>
      <c r="M81" s="13">
        <v>0.50133993917244979</v>
      </c>
      <c r="O81" s="12">
        <v>107.1775894892186</v>
      </c>
      <c r="P81" s="12">
        <v>135.26680242133497</v>
      </c>
      <c r="Q81" s="12">
        <v>103.09653089167237</v>
      </c>
      <c r="R81" s="12">
        <v>123.06136718974159</v>
      </c>
      <c r="S81" s="12">
        <v>73.65124732976544</v>
      </c>
      <c r="T81" s="12">
        <v>72.241722958077972</v>
      </c>
      <c r="U81" s="12">
        <v>86.313492693559652</v>
      </c>
      <c r="V81" s="12">
        <v>57.678396568944621</v>
      </c>
      <c r="W81" s="12">
        <v>55.072339078520415</v>
      </c>
      <c r="X81" s="12">
        <v>103.18932008126681</v>
      </c>
      <c r="Y81" s="12">
        <v>103.54658314651745</v>
      </c>
      <c r="AB81" s="12">
        <v>132.49154531167068</v>
      </c>
      <c r="AC81" s="12">
        <v>79.110346037858292</v>
      </c>
      <c r="AD81" s="12">
        <v>25.335338667820366</v>
      </c>
      <c r="AE81" s="12">
        <v>1.0113061031725896</v>
      </c>
      <c r="AF81" s="12">
        <v>26.343486071000001</v>
      </c>
      <c r="AG81" s="12">
        <v>71.57606044252536</v>
      </c>
      <c r="AH81" s="12">
        <v>82.999999999999602</v>
      </c>
      <c r="AI81" s="12">
        <v>35.447300000000006</v>
      </c>
      <c r="AJ81" s="12">
        <v>0.96231290400000002</v>
      </c>
      <c r="AK81" s="12">
        <v>146.15789999999998</v>
      </c>
      <c r="AL81" s="12">
        <v>5.1333795520000001</v>
      </c>
      <c r="AM81" s="12">
        <v>4.0469723420000001</v>
      </c>
      <c r="AN81" s="12">
        <v>0</v>
      </c>
      <c r="AO81" s="12">
        <v>6.3882352941176084</v>
      </c>
      <c r="AP81" s="12">
        <v>1.9348861700000002</v>
      </c>
      <c r="AQ81" s="12">
        <v>4.453349124117608</v>
      </c>
      <c r="AR81" s="12">
        <v>0.26029773145711332</v>
      </c>
      <c r="AS81" s="12">
        <v>0.31673937930829016</v>
      </c>
      <c r="AT81" s="12">
        <v>0.46795458932616263</v>
      </c>
      <c r="AU81" s="12">
        <v>0.78469396863445273</v>
      </c>
      <c r="AV81" s="12">
        <v>0.31169999999999998</v>
      </c>
      <c r="AW81" s="12">
        <v>0.26429999999999998</v>
      </c>
      <c r="AX81" s="12">
        <v>6.4100000000000004E-2</v>
      </c>
    </row>
    <row r="82" spans="1:50" s="12" customFormat="1">
      <c r="A82" s="12" t="s">
        <v>257</v>
      </c>
      <c r="B82" s="12" t="s">
        <v>543</v>
      </c>
      <c r="C82" s="12" t="s">
        <v>124</v>
      </c>
      <c r="D82" s="12">
        <v>488</v>
      </c>
      <c r="E82" s="12">
        <v>562</v>
      </c>
      <c r="F82" s="13">
        <v>4.1277467169893112E-2</v>
      </c>
      <c r="G82" s="13">
        <v>0.34811550784771084</v>
      </c>
      <c r="H82" s="13">
        <v>0.40532059897432821</v>
      </c>
      <c r="I82" s="13">
        <v>-0.61811989561977987</v>
      </c>
      <c r="J82" s="13">
        <v>0.22099024932520006</v>
      </c>
      <c r="K82" s="13">
        <v>-0.79091342926373609</v>
      </c>
      <c r="L82" s="13">
        <v>0.637624486055543</v>
      </c>
      <c r="M82" s="13">
        <v>0.4815066562914575</v>
      </c>
      <c r="O82" s="12">
        <v>100.3060923853443</v>
      </c>
      <c r="P82" s="12">
        <v>114.80596234347868</v>
      </c>
      <c r="Q82" s="12">
        <v>100.91738017201472</v>
      </c>
      <c r="R82" s="12">
        <v>109.71736351856475</v>
      </c>
      <c r="S82" s="12">
        <v>107.7792015820102</v>
      </c>
      <c r="T82" s="12">
        <v>77.776858162624279</v>
      </c>
      <c r="U82" s="12">
        <v>285.67655429638023</v>
      </c>
      <c r="V82" s="12">
        <v>46.250227764961075</v>
      </c>
      <c r="W82" s="12">
        <v>44.889581372964201</v>
      </c>
      <c r="X82" s="12">
        <v>100.72935151165071</v>
      </c>
      <c r="Y82" s="12">
        <v>105.40415095814367</v>
      </c>
      <c r="AB82" s="12">
        <v>123.99708976144059</v>
      </c>
      <c r="AC82" s="12">
        <v>76.693837724255289</v>
      </c>
      <c r="AD82" s="12">
        <v>23.357822360048477</v>
      </c>
      <c r="AE82" s="12">
        <v>1.0917296004552433</v>
      </c>
      <c r="AF82" s="12">
        <v>22.358695672</v>
      </c>
      <c r="AG82" s="12">
        <v>70.063157706860295</v>
      </c>
      <c r="AH82" s="12">
        <v>73.999999999999616</v>
      </c>
      <c r="AI82" s="12">
        <v>51.872599999999998</v>
      </c>
      <c r="AJ82" s="12">
        <v>1.017755024</v>
      </c>
      <c r="AK82" s="12">
        <v>139.82560000000001</v>
      </c>
      <c r="AL82" s="12">
        <v>16.990231035109986</v>
      </c>
      <c r="AM82" s="12">
        <v>3.8579709540000002</v>
      </c>
      <c r="AN82" s="12">
        <v>1.0878662100000001</v>
      </c>
      <c r="AO82" s="12">
        <v>5.1224956820000003</v>
      </c>
      <c r="AP82" s="12">
        <v>1.4925612859999999</v>
      </c>
      <c r="AQ82" s="12">
        <v>3.6299343960000003</v>
      </c>
      <c r="AR82" s="12">
        <v>0.25409239705213238</v>
      </c>
      <c r="AS82" s="12">
        <v>0.3559032062603904</v>
      </c>
      <c r="AT82" s="12">
        <v>0.44286773347073355</v>
      </c>
      <c r="AU82" s="12">
        <v>0.79877093973112401</v>
      </c>
      <c r="AV82" s="12">
        <v>0.30830000000000002</v>
      </c>
      <c r="AW82" s="12">
        <v>0.24879999999999999</v>
      </c>
      <c r="AX82" s="12">
        <v>9.2299999999999993E-2</v>
      </c>
    </row>
    <row r="83" spans="1:50" s="12" customFormat="1">
      <c r="A83" s="12" t="s">
        <v>123</v>
      </c>
      <c r="B83" s="12" t="s">
        <v>1109</v>
      </c>
      <c r="C83" s="12" t="s">
        <v>20</v>
      </c>
      <c r="D83" s="12">
        <v>491</v>
      </c>
      <c r="E83" s="12">
        <v>543</v>
      </c>
      <c r="F83" s="13">
        <v>6.2781544221440819E-2</v>
      </c>
      <c r="G83" s="13">
        <v>0.82996273015490984</v>
      </c>
      <c r="H83" s="13">
        <v>0.46716407180501301</v>
      </c>
      <c r="I83" s="13">
        <v>-0.26310142706729667</v>
      </c>
      <c r="J83" s="13">
        <v>-0.27353781060659943</v>
      </c>
      <c r="K83" s="13">
        <v>-0.76209999531605377</v>
      </c>
      <c r="L83" s="13">
        <v>-0.3313764966837055</v>
      </c>
      <c r="M83" s="13">
        <v>0.45691780877874655</v>
      </c>
      <c r="O83" s="12">
        <v>88.693326174515249</v>
      </c>
      <c r="P83" s="12">
        <v>135.29976876106338</v>
      </c>
      <c r="Q83" s="12">
        <v>101.39530227472922</v>
      </c>
      <c r="R83" s="12">
        <v>111.20003059313974</v>
      </c>
      <c r="S83" s="12">
        <v>90.371042272190451</v>
      </c>
      <c r="T83" s="12">
        <v>78.586460080797906</v>
      </c>
      <c r="U83" s="12">
        <v>69.196308353995448</v>
      </c>
      <c r="V83" s="12">
        <v>77.121523057591844</v>
      </c>
      <c r="W83" s="12">
        <v>75.665119295437776</v>
      </c>
      <c r="X83" s="12">
        <v>88.523382080371277</v>
      </c>
      <c r="Y83" s="12">
        <v>97.191436886092859</v>
      </c>
      <c r="AB83" s="12">
        <v>109.64153886737361</v>
      </c>
      <c r="AC83" s="12">
        <v>60.009638106908184</v>
      </c>
      <c r="AD83" s="12">
        <v>21.849180034463313</v>
      </c>
      <c r="AE83" s="12">
        <v>2.8527007664843902</v>
      </c>
      <c r="AF83" s="12">
        <v>26.349906333</v>
      </c>
      <c r="AG83" s="12">
        <v>70.394961124636353</v>
      </c>
      <c r="AH83" s="12">
        <v>74.999999999999474</v>
      </c>
      <c r="AI83" s="12">
        <v>43.494300000000003</v>
      </c>
      <c r="AJ83" s="12">
        <v>1.0188960599999999</v>
      </c>
      <c r="AK83" s="12">
        <v>138.89940000000001</v>
      </c>
      <c r="AL83" s="12">
        <v>4.1153579040000006</v>
      </c>
      <c r="AM83" s="12">
        <v>4.2478504469999994</v>
      </c>
      <c r="AN83" s="12">
        <v>1.0993377090000001</v>
      </c>
      <c r="AO83" s="12">
        <v>8.5416805050000004</v>
      </c>
      <c r="AP83" s="12">
        <v>2.4231244680000001</v>
      </c>
      <c r="AQ83" s="12">
        <v>6.1185560370000003</v>
      </c>
      <c r="AR83" s="12">
        <v>0.22330252315147375</v>
      </c>
      <c r="AS83" s="12">
        <v>0.29322251736319227</v>
      </c>
      <c r="AT83" s="12">
        <v>0.4433110505240081</v>
      </c>
      <c r="AU83" s="12">
        <v>0.73653356788720037</v>
      </c>
      <c r="AV83" s="12">
        <v>0.25240000000000001</v>
      </c>
      <c r="AW83" s="12">
        <v>0.25580000000000003</v>
      </c>
      <c r="AX83" s="12">
        <v>8.0100000000000005E-2</v>
      </c>
    </row>
    <row r="84" spans="1:50" s="12" customFormat="1">
      <c r="A84" s="12" t="s">
        <v>40</v>
      </c>
      <c r="B84" s="12" t="s">
        <v>742</v>
      </c>
      <c r="C84" s="12" t="s">
        <v>169</v>
      </c>
      <c r="D84" s="12">
        <v>518</v>
      </c>
      <c r="E84" s="12">
        <v>579</v>
      </c>
      <c r="F84" s="13">
        <v>0.21893212655331082</v>
      </c>
      <c r="G84" s="13">
        <v>-3.316098140375269E-2</v>
      </c>
      <c r="H84" s="13">
        <v>-2.7583710840522135E-2</v>
      </c>
      <c r="I84" s="13">
        <v>-0.16922470442800802</v>
      </c>
      <c r="J84" s="13">
        <v>0.11538885619962748</v>
      </c>
      <c r="K84" s="13">
        <v>0.61215334590491322</v>
      </c>
      <c r="L84" s="13">
        <v>-0.59475531617955124</v>
      </c>
      <c r="M84" s="13">
        <v>0.43577924475265861</v>
      </c>
      <c r="O84" s="12">
        <v>102.67742749698752</v>
      </c>
      <c r="P84" s="12">
        <v>98.589605372732976</v>
      </c>
      <c r="Q84" s="12">
        <v>104.86570532756659</v>
      </c>
      <c r="R84" s="12">
        <v>99.338693996538453</v>
      </c>
      <c r="S84" s="12">
        <v>104.06186777667993</v>
      </c>
      <c r="T84" s="12">
        <v>117.20032828995326</v>
      </c>
      <c r="U84" s="12">
        <v>57.676920363531437</v>
      </c>
      <c r="V84" s="12">
        <v>85.284749149795672</v>
      </c>
      <c r="W84" s="12">
        <v>91.099665362863448</v>
      </c>
      <c r="X84" s="12">
        <v>97.139031136936026</v>
      </c>
      <c r="Y84" s="12">
        <v>94.959184312892191</v>
      </c>
      <c r="AB84" s="12">
        <v>126.92850345427269</v>
      </c>
      <c r="AC84" s="12">
        <v>81.509329297477734</v>
      </c>
      <c r="AD84" s="12">
        <v>22.507694194218637</v>
      </c>
      <c r="AE84" s="12">
        <v>1.9644724368415314</v>
      </c>
      <c r="AF84" s="12">
        <v>19.200527028</v>
      </c>
      <c r="AG84" s="12">
        <v>72.804331997947443</v>
      </c>
      <c r="AH84" s="12">
        <v>66.999999999999716</v>
      </c>
      <c r="AI84" s="12">
        <v>50.083499999999994</v>
      </c>
      <c r="AJ84" s="12">
        <v>0.74850167099999998</v>
      </c>
      <c r="AK84" s="12">
        <v>94.724400000000003</v>
      </c>
      <c r="AL84" s="12">
        <v>3.4302577080000001</v>
      </c>
      <c r="AM84" s="12">
        <v>5.0702989469999995</v>
      </c>
      <c r="AN84" s="12">
        <v>0</v>
      </c>
      <c r="AO84" s="12">
        <v>9.4458077370000009</v>
      </c>
      <c r="AP84" s="12">
        <v>2.0791583130000002</v>
      </c>
      <c r="AQ84" s="12">
        <v>7.3666494240000002</v>
      </c>
      <c r="AR84" s="12">
        <v>0.24503572095419437</v>
      </c>
      <c r="AS84" s="12">
        <v>0.31571708745227117</v>
      </c>
      <c r="AT84" s="12">
        <v>0.40390008322092585</v>
      </c>
      <c r="AU84" s="12">
        <v>0.71961717067319708</v>
      </c>
      <c r="AV84" s="12">
        <v>0.26329999999999998</v>
      </c>
      <c r="AW84" s="12">
        <v>0.1636</v>
      </c>
      <c r="AX84" s="12">
        <v>8.6499999999999994E-2</v>
      </c>
    </row>
    <row r="85" spans="1:50" s="10" customFormat="1">
      <c r="A85" s="10" t="s">
        <v>107</v>
      </c>
      <c r="B85" s="10" t="s">
        <v>703</v>
      </c>
      <c r="C85" s="10" t="s">
        <v>87</v>
      </c>
      <c r="D85" s="10">
        <v>492</v>
      </c>
      <c r="E85" s="10">
        <v>560</v>
      </c>
      <c r="F85" s="11">
        <v>-0.20961825334039977</v>
      </c>
      <c r="G85" s="11">
        <v>-0.19712988725542302</v>
      </c>
      <c r="H85" s="11">
        <v>-0.21311412933259602</v>
      </c>
      <c r="I85" s="11">
        <v>-1.0466043526453992</v>
      </c>
      <c r="J85" s="11">
        <v>0.75217865539205886</v>
      </c>
      <c r="K85" s="11">
        <v>0.81686498566883414</v>
      </c>
      <c r="L85" s="11">
        <v>3.0560431368628457E-2</v>
      </c>
      <c r="M85" s="11">
        <v>0.42196443950301549</v>
      </c>
      <c r="O85" s="10">
        <v>100.3583015681951</v>
      </c>
      <c r="P85" s="10">
        <v>91.615720582161472</v>
      </c>
      <c r="Q85" s="10">
        <v>95.34129290163736</v>
      </c>
      <c r="R85" s="10">
        <v>94.890692772813011</v>
      </c>
      <c r="S85" s="10">
        <v>126.47786227603909</v>
      </c>
      <c r="T85" s="10">
        <v>122.95233051663232</v>
      </c>
      <c r="U85" s="10">
        <v>60.396409371324395</v>
      </c>
      <c r="V85" s="10">
        <v>8.9905599649324017</v>
      </c>
      <c r="W85" s="10">
        <v>12.31405946349885</v>
      </c>
      <c r="X85" s="10">
        <v>99.962416927120316</v>
      </c>
      <c r="Y85" s="10">
        <v>100.25901324066723</v>
      </c>
      <c r="AB85" s="10">
        <v>124.06163007577615</v>
      </c>
      <c r="AC85" s="10">
        <v>80.575866351016842</v>
      </c>
      <c r="AD85" s="10">
        <v>25.218728749563127</v>
      </c>
      <c r="AE85" s="10">
        <v>1.3142515930921437</v>
      </c>
      <c r="AF85" s="10">
        <v>17.84234872</v>
      </c>
      <c r="AG85" s="10">
        <v>66.191889138990717</v>
      </c>
      <c r="AH85" s="10">
        <v>63.999999999999844</v>
      </c>
      <c r="AI85" s="10">
        <v>60.871999999999446</v>
      </c>
      <c r="AJ85" s="10">
        <v>1.9890488800000001</v>
      </c>
      <c r="AK85" s="10">
        <v>88.143999999999451</v>
      </c>
      <c r="AL85" s="10">
        <v>3.5919956799999997</v>
      </c>
      <c r="AM85" s="10">
        <v>4.7857650400000002</v>
      </c>
      <c r="AN85" s="10">
        <v>0</v>
      </c>
      <c r="AO85" s="10">
        <v>0.99575952000000001</v>
      </c>
      <c r="AP85" s="10">
        <v>0</v>
      </c>
      <c r="AQ85" s="10">
        <v>0.99575952000000001</v>
      </c>
      <c r="AR85" s="10">
        <v>0.25215778470686212</v>
      </c>
      <c r="AS85" s="10">
        <v>0.34041947509953902</v>
      </c>
      <c r="AT85" s="10">
        <v>0.41936071851508028</v>
      </c>
      <c r="AU85" s="10">
        <v>0.75978019361461935</v>
      </c>
      <c r="AV85" s="10" t="s">
        <v>704</v>
      </c>
      <c r="AW85" s="10" t="s">
        <v>705</v>
      </c>
      <c r="AX85" s="10" t="s">
        <v>706</v>
      </c>
    </row>
    <row r="86" spans="1:50" s="12" customFormat="1">
      <c r="A86" s="12" t="s">
        <v>257</v>
      </c>
      <c r="B86" s="12" t="s">
        <v>1244</v>
      </c>
      <c r="C86" s="12" t="s">
        <v>20</v>
      </c>
      <c r="D86" s="12">
        <v>447</v>
      </c>
      <c r="E86" s="12">
        <v>505</v>
      </c>
      <c r="F86" s="13">
        <v>-0.33006830519239133</v>
      </c>
      <c r="G86" s="13">
        <v>0.31909647921827688</v>
      </c>
      <c r="H86" s="13">
        <v>0.15794670765155711</v>
      </c>
      <c r="I86" s="13">
        <v>-0.26694808824950633</v>
      </c>
      <c r="J86" s="13">
        <v>0.1071843994088086</v>
      </c>
      <c r="K86" s="13">
        <v>-0.30731624500535326</v>
      </c>
      <c r="L86" s="13">
        <v>0.20851198994052536</v>
      </c>
      <c r="M86" s="13">
        <v>0.26698573380105994</v>
      </c>
      <c r="O86" s="12">
        <v>87.555105019273796</v>
      </c>
      <c r="P86" s="12">
        <v>113.57173222317135</v>
      </c>
      <c r="Q86" s="12">
        <v>92.664324161468556</v>
      </c>
      <c r="R86" s="12">
        <v>103.78669522026402</v>
      </c>
      <c r="S86" s="12">
        <v>103.77305809642679</v>
      </c>
      <c r="T86" s="12">
        <v>91.365006271240944</v>
      </c>
      <c r="U86" s="12">
        <v>44.242790253511608</v>
      </c>
      <c r="V86" s="12">
        <v>76.787029436088488</v>
      </c>
      <c r="W86" s="12">
        <v>70.954356708985074</v>
      </c>
      <c r="X86" s="12">
        <v>95.989227854630698</v>
      </c>
      <c r="Y86" s="12">
        <v>101.76723180314526</v>
      </c>
      <c r="AB86" s="12">
        <v>108.2344846456555</v>
      </c>
      <c r="AC86" s="12">
        <v>60.960568931473347</v>
      </c>
      <c r="AD86" s="12">
        <v>23.357280877841948</v>
      </c>
      <c r="AE86" s="12">
        <v>1.0271967166633378</v>
      </c>
      <c r="AF86" s="12">
        <v>22.118326835000001</v>
      </c>
      <c r="AG86" s="12">
        <v>64.333369994923672</v>
      </c>
      <c r="AH86" s="12">
        <v>69.999999999999687</v>
      </c>
      <c r="AI86" s="12">
        <v>49.944499999999998</v>
      </c>
      <c r="AJ86" s="12">
        <v>3.3445554099999999</v>
      </c>
      <c r="AK86" s="12">
        <v>124.2805</v>
      </c>
      <c r="AL86" s="12">
        <v>2.631280785</v>
      </c>
      <c r="AM86" s="12">
        <v>4.0191232999999995</v>
      </c>
      <c r="AN86" s="12">
        <v>0.49999999499999997</v>
      </c>
      <c r="AO86" s="12">
        <v>8.5046332899999992</v>
      </c>
      <c r="AP86" s="12">
        <v>2.7670066050000002</v>
      </c>
      <c r="AQ86" s="12">
        <v>5.7376266849999986</v>
      </c>
      <c r="AR86" s="12">
        <v>0.24213531240638814</v>
      </c>
      <c r="AS86" s="12">
        <v>0.32550497447921017</v>
      </c>
      <c r="AT86" s="12">
        <v>0.44570476102270074</v>
      </c>
      <c r="AU86" s="12">
        <v>0.77120973550191096</v>
      </c>
      <c r="AV86" s="12">
        <v>0.28270000000000001</v>
      </c>
      <c r="AW86" s="12">
        <v>0.24610000000000001</v>
      </c>
      <c r="AX86" s="12">
        <v>9.8900000000000002E-2</v>
      </c>
    </row>
    <row r="87" spans="1:50" s="12" customFormat="1">
      <c r="A87" s="12" t="s">
        <v>48</v>
      </c>
      <c r="B87" s="12" t="s">
        <v>1254</v>
      </c>
      <c r="C87" s="12" t="s">
        <v>124</v>
      </c>
      <c r="D87" s="12">
        <v>484</v>
      </c>
      <c r="E87" s="12">
        <v>549</v>
      </c>
      <c r="F87" s="13">
        <v>-0.41701699910918483</v>
      </c>
      <c r="G87" s="13">
        <v>0.60408965930536085</v>
      </c>
      <c r="H87" s="13">
        <v>0.40532059897434597</v>
      </c>
      <c r="I87" s="13">
        <v>-0.93364184524434368</v>
      </c>
      <c r="J87" s="13">
        <v>0.22469701109831849</v>
      </c>
      <c r="K87" s="13">
        <v>-0.44947952556475496</v>
      </c>
      <c r="L87" s="13">
        <v>3.3111067607953362E-2</v>
      </c>
      <c r="M87" s="13">
        <v>0.26082319879251825</v>
      </c>
      <c r="O87" s="12">
        <v>91.553155826127906</v>
      </c>
      <c r="P87" s="12">
        <v>125.69299139546749</v>
      </c>
      <c r="Q87" s="12">
        <v>90.73191373876675</v>
      </c>
      <c r="R87" s="12">
        <v>109.71736351856518</v>
      </c>
      <c r="S87" s="12">
        <v>107.90968537999508</v>
      </c>
      <c r="T87" s="12">
        <v>87.370492294054799</v>
      </c>
      <c r="U87" s="12">
        <v>102.37472649744691</v>
      </c>
      <c r="V87" s="12">
        <v>18.813426187055256</v>
      </c>
      <c r="W87" s="12">
        <v>20.836473576673257</v>
      </c>
      <c r="X87" s="12">
        <v>92.699310820027151</v>
      </c>
      <c r="Y87" s="12">
        <v>100.28063101661228</v>
      </c>
      <c r="AB87" s="12">
        <v>113.17682317145299</v>
      </c>
      <c r="AC87" s="12">
        <v>64.955743854658309</v>
      </c>
      <c r="AD87" s="12">
        <v>23.589757921821725</v>
      </c>
      <c r="AE87" s="12">
        <v>1.094778169983911</v>
      </c>
      <c r="AF87" s="12">
        <v>24.478966818</v>
      </c>
      <c r="AG87" s="12">
        <v>62.991769807033712</v>
      </c>
      <c r="AH87" s="12">
        <v>73.999999999999901</v>
      </c>
      <c r="AI87" s="12">
        <v>51.935400000000001</v>
      </c>
      <c r="AJ87" s="12">
        <v>2.1518988299999999</v>
      </c>
      <c r="AK87" s="12">
        <v>128.8503</v>
      </c>
      <c r="AL87" s="12">
        <v>6.0885999539999993</v>
      </c>
      <c r="AM87" s="12">
        <v>5.0516602830000004</v>
      </c>
      <c r="AN87" s="12">
        <v>0</v>
      </c>
      <c r="AO87" s="12">
        <v>2.0837020499999999</v>
      </c>
      <c r="AP87" s="12">
        <v>0.39878920800000001</v>
      </c>
      <c r="AQ87" s="12">
        <v>1.6849128419999999</v>
      </c>
      <c r="AR87" s="12">
        <v>0.23383641151126652</v>
      </c>
      <c r="AS87" s="12">
        <v>0.31916827001059767</v>
      </c>
      <c r="AT87" s="12">
        <v>0.44077574686002785</v>
      </c>
      <c r="AU87" s="12">
        <v>0.75994401687062552</v>
      </c>
      <c r="AV87" s="12">
        <v>0.26419999999999999</v>
      </c>
      <c r="AW87" s="12">
        <v>0.23469999999999999</v>
      </c>
      <c r="AX87" s="12">
        <v>9.4600000000000004E-2</v>
      </c>
    </row>
    <row r="88" spans="1:50" s="12" customFormat="1">
      <c r="A88" s="12" t="s">
        <v>136</v>
      </c>
      <c r="B88" s="12" t="s">
        <v>595</v>
      </c>
      <c r="C88" s="12" t="s">
        <v>20</v>
      </c>
      <c r="D88" s="12">
        <v>508</v>
      </c>
      <c r="E88" s="12">
        <v>562</v>
      </c>
      <c r="F88" s="13">
        <v>0.26283623304674397</v>
      </c>
      <c r="G88" s="13">
        <v>0.3228876591090728</v>
      </c>
      <c r="H88" s="13">
        <v>-0.15127065650192131</v>
      </c>
      <c r="I88" s="13">
        <v>0.78515198901482652</v>
      </c>
      <c r="J88" s="13">
        <v>3.5227181612494642E-2</v>
      </c>
      <c r="K88" s="13">
        <v>-0.90105901794346277</v>
      </c>
      <c r="L88" s="13">
        <v>-0.16833633446172985</v>
      </c>
      <c r="M88" s="13">
        <v>0.23685262437414917</v>
      </c>
      <c r="O88" s="12">
        <v>100.81575549416436</v>
      </c>
      <c r="P88" s="12">
        <v>113.73297774494522</v>
      </c>
      <c r="Q88" s="12">
        <v>105.84146182447854</v>
      </c>
      <c r="R88" s="12">
        <v>96.373359847387761</v>
      </c>
      <c r="S88" s="12">
        <v>101.24005175688282</v>
      </c>
      <c r="T88" s="12">
        <v>74.681979571083033</v>
      </c>
      <c r="U88" s="12">
        <v>27.080069808106927</v>
      </c>
      <c r="V88" s="12">
        <v>168.2743604897554</v>
      </c>
      <c r="W88" s="12">
        <v>173.66224670429258</v>
      </c>
      <c r="X88" s="12">
        <v>97.255292586252779</v>
      </c>
      <c r="Y88" s="12">
        <v>98.573274736044951</v>
      </c>
      <c r="AB88" s="12">
        <v>124.62712868280215</v>
      </c>
      <c r="AC88" s="12">
        <v>74.411554026623747</v>
      </c>
      <c r="AD88" s="12">
        <v>26.213631684106215</v>
      </c>
      <c r="AE88" s="12">
        <v>1.7861570840406975</v>
      </c>
      <c r="AF88" s="12">
        <v>22.149729729729707</v>
      </c>
      <c r="AG88" s="12">
        <v>73.481763191762695</v>
      </c>
      <c r="AH88" s="12">
        <v>64.999999999999531</v>
      </c>
      <c r="AI88" s="12">
        <v>48.7254</v>
      </c>
      <c r="AJ88" s="12">
        <v>0.20252232000000001</v>
      </c>
      <c r="AK88" s="12">
        <v>143.36619999999999</v>
      </c>
      <c r="AL88" s="12">
        <v>1.610550938</v>
      </c>
      <c r="AM88" s="12">
        <v>3.8403601220000003</v>
      </c>
      <c r="AN88" s="12">
        <v>0.97707971199999999</v>
      </c>
      <c r="AO88" s="12">
        <v>18.637414919999998</v>
      </c>
      <c r="AP88" s="12">
        <v>4.5944556560000001</v>
      </c>
      <c r="AQ88" s="12">
        <v>14.042959263999997</v>
      </c>
      <c r="AR88" s="12">
        <v>0.24532899347008297</v>
      </c>
      <c r="AS88" s="12">
        <v>0.31236717094269584</v>
      </c>
      <c r="AT88" s="12">
        <v>0.43463820386983681</v>
      </c>
      <c r="AU88" s="12">
        <v>0.74700537481253271</v>
      </c>
      <c r="AV88" s="12" t="s">
        <v>596</v>
      </c>
      <c r="AW88" s="12">
        <v>0.25509999999999999</v>
      </c>
      <c r="AX88" s="12">
        <v>8.6699999999999999E-2</v>
      </c>
    </row>
    <row r="89" spans="1:50" s="12" customFormat="1">
      <c r="A89" s="12" t="s">
        <v>692</v>
      </c>
      <c r="B89" s="12" t="s">
        <v>691</v>
      </c>
      <c r="C89" s="12" t="s">
        <v>87</v>
      </c>
      <c r="D89" s="12">
        <v>469</v>
      </c>
      <c r="E89" s="12">
        <v>538</v>
      </c>
      <c r="F89" s="13">
        <v>-8.3179585595670333E-2</v>
      </c>
      <c r="G89" s="13">
        <v>-0.24584739287627022</v>
      </c>
      <c r="H89" s="13">
        <v>-0.15127065204916298</v>
      </c>
      <c r="I89" s="13">
        <v>-0.21751756180737117</v>
      </c>
      <c r="J89" s="13">
        <v>0.21408433965235205</v>
      </c>
      <c r="K89" s="13">
        <v>0.28189701380753251</v>
      </c>
      <c r="L89" s="13">
        <v>0.50936585334241335</v>
      </c>
      <c r="M89" s="13">
        <v>0.18675160188936024</v>
      </c>
      <c r="O89" s="12">
        <v>101.60748275808126</v>
      </c>
      <c r="P89" s="12">
        <v>89.54367972954303</v>
      </c>
      <c r="Q89" s="12">
        <v>98.151356956380511</v>
      </c>
      <c r="R89" s="12">
        <v>96.373359954140469</v>
      </c>
      <c r="S89" s="12">
        <v>107.53610278640143</v>
      </c>
      <c r="T89" s="12">
        <v>107.92076236107056</v>
      </c>
      <c r="U89" s="12">
        <v>166.43350627048511</v>
      </c>
      <c r="V89" s="12">
        <v>81.085353364100584</v>
      </c>
      <c r="W89" s="12">
        <v>78.970186339588679</v>
      </c>
      <c r="X89" s="12">
        <v>106.16989736579842</v>
      </c>
      <c r="Y89" s="12">
        <v>104.31710203197291</v>
      </c>
      <c r="AB89" s="12">
        <v>125.60585165242337</v>
      </c>
      <c r="AC89" s="12">
        <v>84.805246352228622</v>
      </c>
      <c r="AD89" s="12">
        <v>22.474706601781655</v>
      </c>
      <c r="AE89" s="12">
        <v>1.0261502862283072</v>
      </c>
      <c r="AF89" s="12">
        <v>17.43881453154869</v>
      </c>
      <c r="AG89" s="12">
        <v>68.142811375559504</v>
      </c>
      <c r="AH89" s="12">
        <v>65.000000071999992</v>
      </c>
      <c r="AI89" s="12">
        <v>51.755599999999994</v>
      </c>
      <c r="AJ89" s="12">
        <v>1.001168504</v>
      </c>
      <c r="AK89" s="12">
        <v>105.3404</v>
      </c>
      <c r="AL89" s="12">
        <v>9.8984102159999985</v>
      </c>
      <c r="AM89" s="12">
        <v>3.268833662</v>
      </c>
      <c r="AN89" s="12">
        <v>0.49999998400000001</v>
      </c>
      <c r="AO89" s="12">
        <v>8.980698962</v>
      </c>
      <c r="AP89" s="12">
        <v>2.5948832139999998</v>
      </c>
      <c r="AQ89" s="12">
        <v>6.3858157480000006</v>
      </c>
      <c r="AR89" s="12">
        <v>0.26781631482393042</v>
      </c>
      <c r="AS89" s="12">
        <v>0.35857495252755295</v>
      </c>
      <c r="AT89" s="12">
        <v>0.43195814187776471</v>
      </c>
      <c r="AU89" s="12">
        <v>0.79053309440531772</v>
      </c>
      <c r="AV89" s="12">
        <v>0.3095</v>
      </c>
      <c r="AW89" s="12">
        <v>0.1958</v>
      </c>
      <c r="AX89" s="12">
        <v>9.6199999999999994E-2</v>
      </c>
    </row>
    <row r="90" spans="1:50" s="12" customFormat="1">
      <c r="A90" s="12" t="s">
        <v>489</v>
      </c>
      <c r="B90" s="12" t="s">
        <v>488</v>
      </c>
      <c r="C90" s="12" t="s">
        <v>20</v>
      </c>
      <c r="D90" s="12">
        <v>507</v>
      </c>
      <c r="E90" s="12">
        <v>576</v>
      </c>
      <c r="F90" s="13">
        <v>-4.4508024209527354E-2</v>
      </c>
      <c r="G90" s="13">
        <v>0.58117264142476044</v>
      </c>
      <c r="H90" s="13">
        <v>0.90006838161989777</v>
      </c>
      <c r="I90" s="13">
        <v>-0.68137344334551597</v>
      </c>
      <c r="J90" s="13">
        <v>0.38225799640344527</v>
      </c>
      <c r="K90" s="13">
        <v>-1.504934089992737</v>
      </c>
      <c r="L90" s="13">
        <v>0.19735478944451365</v>
      </c>
      <c r="M90" s="13">
        <v>0.14045916668733147</v>
      </c>
      <c r="O90" s="12">
        <v>97.953440507188304</v>
      </c>
      <c r="P90" s="12">
        <v>124.71829048121396</v>
      </c>
      <c r="Q90" s="12">
        <v>99.010821600625178</v>
      </c>
      <c r="R90" s="12">
        <v>121.57870011516687</v>
      </c>
      <c r="S90" s="12">
        <v>113.45607790134581</v>
      </c>
      <c r="T90" s="12">
        <v>57.714254809222282</v>
      </c>
      <c r="U90" s="12">
        <v>121.31771232707244</v>
      </c>
      <c r="V90" s="12">
        <v>40.749897153684614</v>
      </c>
      <c r="W90" s="12">
        <v>43.166456750019663</v>
      </c>
      <c r="X90" s="12">
        <v>94.680443465329333</v>
      </c>
      <c r="Y90" s="12">
        <v>101.67266956930804</v>
      </c>
      <c r="AB90" s="12">
        <v>121.08877203939807</v>
      </c>
      <c r="AC90" s="12">
        <v>69.685856241799286</v>
      </c>
      <c r="AD90" s="12">
        <v>24.757575491527444</v>
      </c>
      <c r="AE90" s="12">
        <v>2.9263432322661047</v>
      </c>
      <c r="AF90" s="12">
        <v>24.289141824000001</v>
      </c>
      <c r="AG90" s="12">
        <v>68.739505491187003</v>
      </c>
      <c r="AH90" s="12">
        <v>81.999999999999929</v>
      </c>
      <c r="AI90" s="12">
        <v>54.604799999999997</v>
      </c>
      <c r="AJ90" s="12">
        <v>2.5751629440000001</v>
      </c>
      <c r="AK90" s="12">
        <v>162.77760000000001</v>
      </c>
      <c r="AL90" s="12">
        <v>7.2152087040000001</v>
      </c>
      <c r="AM90" s="12">
        <v>4.0280209920000001</v>
      </c>
      <c r="AN90" s="12">
        <v>0.50000025599999998</v>
      </c>
      <c r="AO90" s="12">
        <v>4.5133004159999999</v>
      </c>
      <c r="AP90" s="12">
        <v>1.022704128</v>
      </c>
      <c r="AQ90" s="12">
        <v>3.4905962879999999</v>
      </c>
      <c r="AR90" s="12">
        <v>0.23883386990019342</v>
      </c>
      <c r="AS90" s="12">
        <v>0.32643670791554735</v>
      </c>
      <c r="AT90" s="12">
        <v>0.44405641857525152</v>
      </c>
      <c r="AU90" s="12">
        <v>0.77049312649079882</v>
      </c>
      <c r="AV90" s="12" t="s">
        <v>490</v>
      </c>
      <c r="AW90" s="12">
        <v>0.28260000000000002</v>
      </c>
      <c r="AX90" s="12">
        <v>9.4799999999999995E-2</v>
      </c>
    </row>
    <row r="91" spans="1:50" s="12" customFormat="1">
      <c r="A91" s="12" t="s">
        <v>228</v>
      </c>
      <c r="B91" s="12" t="s">
        <v>661</v>
      </c>
      <c r="C91" s="12" t="s">
        <v>34</v>
      </c>
      <c r="D91" s="12">
        <v>568</v>
      </c>
      <c r="E91" s="12">
        <v>628</v>
      </c>
      <c r="F91" s="13">
        <v>0.46216971764538156</v>
      </c>
      <c r="G91" s="13">
        <v>0.33956661011011968</v>
      </c>
      <c r="H91" s="13">
        <v>0.46716407180501834</v>
      </c>
      <c r="I91" s="13">
        <v>0.51215332289723103</v>
      </c>
      <c r="J91" s="13">
        <v>0.1950547218871716</v>
      </c>
      <c r="K91" s="13">
        <v>-1.4111582151364503</v>
      </c>
      <c r="L91" s="13">
        <v>-0.40141344264707146</v>
      </c>
      <c r="M91" s="13">
        <v>6.4834955101940261E-2</v>
      </c>
      <c r="O91" s="12">
        <v>112.64275923301928</v>
      </c>
      <c r="P91" s="12">
        <v>114.4423627475756</v>
      </c>
      <c r="Q91" s="12">
        <v>110.27159281184557</v>
      </c>
      <c r="R91" s="12">
        <v>111.20003059313987</v>
      </c>
      <c r="S91" s="12">
        <v>106.86623054961284</v>
      </c>
      <c r="T91" s="12">
        <v>60.349176016458898</v>
      </c>
      <c r="U91" s="12">
        <v>61.344334846714567</v>
      </c>
      <c r="V91" s="12">
        <v>144.53525060464614</v>
      </c>
      <c r="W91" s="12">
        <v>152.09104738775628</v>
      </c>
      <c r="X91" s="12">
        <v>97.18595183441991</v>
      </c>
      <c r="Y91" s="12">
        <v>96.597842636011919</v>
      </c>
      <c r="AB91" s="12">
        <v>139.24751722891162</v>
      </c>
      <c r="AC91" s="12">
        <v>88.486073770414151</v>
      </c>
      <c r="AD91" s="12">
        <v>27.018478223675075</v>
      </c>
      <c r="AE91" s="12">
        <v>2.1582149438798526</v>
      </c>
      <c r="AF91" s="12">
        <v>22.287883908000001</v>
      </c>
      <c r="AG91" s="12">
        <v>76.557437228295186</v>
      </c>
      <c r="AH91" s="12">
        <v>74.999999999999559</v>
      </c>
      <c r="AI91" s="12">
        <v>51.433199999999999</v>
      </c>
      <c r="AJ91" s="12">
        <v>0.9741115239999999</v>
      </c>
      <c r="AK91" s="12">
        <v>159.76320000000001</v>
      </c>
      <c r="AL91" s="12">
        <v>3.6483722800000002</v>
      </c>
      <c r="AM91" s="12">
        <v>4.0465267919999999</v>
      </c>
      <c r="AN91" s="12">
        <v>0.499999784</v>
      </c>
      <c r="AO91" s="12">
        <v>16.008163265306049</v>
      </c>
      <c r="AP91" s="12">
        <v>3.7095294320000001</v>
      </c>
      <c r="AQ91" s="12">
        <v>12.298633833306049</v>
      </c>
      <c r="AR91" s="12">
        <v>0.24515407962836552</v>
      </c>
      <c r="AS91" s="12">
        <v>0.3127584283244968</v>
      </c>
      <c r="AT91" s="12">
        <v>0.41927677936866881</v>
      </c>
      <c r="AU91" s="12">
        <v>0.73203520769316555</v>
      </c>
      <c r="AV91" s="12">
        <v>0.2999</v>
      </c>
      <c r="AW91" s="12">
        <v>0.25440000000000002</v>
      </c>
      <c r="AX91" s="12">
        <v>8.1900000000000001E-2</v>
      </c>
    </row>
    <row r="92" spans="1:50" s="12" customFormat="1">
      <c r="A92" s="12" t="s">
        <v>243</v>
      </c>
      <c r="B92" s="12" t="s">
        <v>1194</v>
      </c>
      <c r="C92" s="12" t="s">
        <v>20</v>
      </c>
      <c r="D92" s="12">
        <v>554</v>
      </c>
      <c r="E92" s="12">
        <v>613</v>
      </c>
      <c r="F92" s="13">
        <v>0.35312466630401435</v>
      </c>
      <c r="G92" s="13">
        <v>0.54789630185500404</v>
      </c>
      <c r="H92" s="13">
        <v>0.21979018048225016</v>
      </c>
      <c r="I92" s="13">
        <v>-0.49946959507981559</v>
      </c>
      <c r="J92" s="13">
        <v>-0.13796949149038781</v>
      </c>
      <c r="K92" s="13">
        <v>-0.93202210454260725</v>
      </c>
      <c r="L92" s="13">
        <v>0.21211207092563097</v>
      </c>
      <c r="M92" s="13">
        <v>5.0310683220097435E-2</v>
      </c>
      <c r="O92" s="12">
        <v>115.87925832756889</v>
      </c>
      <c r="P92" s="12">
        <v>123.30298946907359</v>
      </c>
      <c r="Q92" s="12">
        <v>107.84809702066367</v>
      </c>
      <c r="R92" s="12">
        <v>105.26936229483921</v>
      </c>
      <c r="S92" s="12">
        <v>95.143258629064036</v>
      </c>
      <c r="T92" s="12">
        <v>73.811976559683558</v>
      </c>
      <c r="U92" s="12">
        <v>144.61931552070376</v>
      </c>
      <c r="V92" s="12">
        <v>56.567686683262764</v>
      </c>
      <c r="W92" s="12">
        <v>46.325756737528913</v>
      </c>
      <c r="X92" s="12">
        <v>102.50486787690974</v>
      </c>
      <c r="Y92" s="12">
        <v>101.79774408981325</v>
      </c>
      <c r="AB92" s="12">
        <v>143.2484354104111</v>
      </c>
      <c r="AC92" s="12">
        <v>90.337340983290275</v>
      </c>
      <c r="AD92" s="12">
        <v>26.126146291448414</v>
      </c>
      <c r="AE92" s="12">
        <v>2.1126786378837163</v>
      </c>
      <c r="AF92" s="12">
        <v>24.013509060955467</v>
      </c>
      <c r="AG92" s="12">
        <v>74.87489486017121</v>
      </c>
      <c r="AH92" s="12">
        <v>70.999999999999673</v>
      </c>
      <c r="AI92" s="12">
        <v>45.7911</v>
      </c>
      <c r="AJ92" s="12">
        <v>1.7285275920000001</v>
      </c>
      <c r="AK92" s="12">
        <v>144.36149999999998</v>
      </c>
      <c r="AL92" s="12">
        <v>8.6010403929999999</v>
      </c>
      <c r="AM92" s="12">
        <v>4.031631118</v>
      </c>
      <c r="AN92" s="12">
        <v>0.50000019299999998</v>
      </c>
      <c r="AO92" s="12">
        <v>6.2652173790000001</v>
      </c>
      <c r="AP92" s="12">
        <v>2.5191486330000004</v>
      </c>
      <c r="AQ92" s="12">
        <v>3.7460687459999997</v>
      </c>
      <c r="AR92" s="12">
        <v>0.25857118305128357</v>
      </c>
      <c r="AS92" s="12">
        <v>0.32923571791449202</v>
      </c>
      <c r="AT92" s="12">
        <v>0.44220524498855618</v>
      </c>
      <c r="AU92" s="12">
        <v>0.7714409629030482</v>
      </c>
      <c r="AV92" s="12">
        <v>0.30599999999999999</v>
      </c>
      <c r="AW92" s="12" t="s">
        <v>1195</v>
      </c>
      <c r="AX92" s="12">
        <v>7.4700000000000003E-2</v>
      </c>
    </row>
    <row r="93" spans="1:50" s="12" customFormat="1">
      <c r="A93" s="12" t="s">
        <v>489</v>
      </c>
      <c r="B93" s="12" t="s">
        <v>563</v>
      </c>
      <c r="C93" s="12" t="s">
        <v>20</v>
      </c>
      <c r="D93" s="12">
        <v>495</v>
      </c>
      <c r="E93" s="12">
        <v>573</v>
      </c>
      <c r="F93" s="13">
        <v>0.12604496242423857</v>
      </c>
      <c r="G93" s="13">
        <v>-0.7863709608239231</v>
      </c>
      <c r="H93" s="13">
        <v>-0.70786191525584097</v>
      </c>
      <c r="I93" s="13">
        <v>2.6168297463569306</v>
      </c>
      <c r="J93" s="13">
        <v>0.69015532304822425</v>
      </c>
      <c r="K93" s="13">
        <v>-0.24146096717783391</v>
      </c>
      <c r="L93" s="13">
        <v>-0.7228269152497131</v>
      </c>
      <c r="M93" s="13">
        <v>1.9300010021392588E-2</v>
      </c>
      <c r="O93" s="12">
        <v>94.39222327775849</v>
      </c>
      <c r="P93" s="12">
        <v>66.55426554838364</v>
      </c>
      <c r="Q93" s="12">
        <v>102.8013140640244</v>
      </c>
      <c r="R93" s="12">
        <v>83.029356097630227</v>
      </c>
      <c r="S93" s="12">
        <v>124.29454420402459</v>
      </c>
      <c r="T93" s="12">
        <v>93.215412555609049</v>
      </c>
      <c r="U93" s="12">
        <v>128.4481481646894</v>
      </c>
      <c r="V93" s="12">
        <v>327.55132756813828</v>
      </c>
      <c r="W93" s="12">
        <v>323.93229971566132</v>
      </c>
      <c r="X93" s="12">
        <v>93.450055687232023</v>
      </c>
      <c r="Y93" s="12">
        <v>93.873720579986355</v>
      </c>
      <c r="AB93" s="12">
        <v>116.68644151334004</v>
      </c>
      <c r="AC93" s="12">
        <v>76.440859724514056</v>
      </c>
      <c r="AD93" s="12">
        <v>24.439361465208677</v>
      </c>
      <c r="AE93" s="12">
        <v>3.894621617372382</v>
      </c>
      <c r="AF93" s="12">
        <v>12.961579161</v>
      </c>
      <c r="AG93" s="12">
        <v>71.371102454932313</v>
      </c>
      <c r="AH93" s="12">
        <v>55.999999946999999</v>
      </c>
      <c r="AI93" s="12">
        <v>59.821199999999422</v>
      </c>
      <c r="AJ93" s="12">
        <v>0.20105252099999998</v>
      </c>
      <c r="AK93" s="12">
        <v>122.1636</v>
      </c>
      <c r="AL93" s="12">
        <v>7.6392818399999998</v>
      </c>
      <c r="AM93" s="12">
        <v>3.816842388</v>
      </c>
      <c r="AN93" s="12">
        <v>6.0163550309999998</v>
      </c>
      <c r="AO93" s="12">
        <v>36.278313474000001</v>
      </c>
      <c r="AP93" s="12">
        <v>10.083972588</v>
      </c>
      <c r="AQ93" s="12">
        <v>26.194340885999999</v>
      </c>
      <c r="AR93" s="12">
        <v>0.23573018487543443</v>
      </c>
      <c r="AS93" s="12">
        <v>0.32987666316430214</v>
      </c>
      <c r="AT93" s="12">
        <v>0.38151467505262332</v>
      </c>
      <c r="AU93" s="12">
        <v>0.71139133821692546</v>
      </c>
      <c r="AV93" s="12" t="s">
        <v>564</v>
      </c>
      <c r="AW93" s="12">
        <v>0.2132</v>
      </c>
      <c r="AX93" s="12" t="s">
        <v>565</v>
      </c>
    </row>
    <row r="94" spans="1:50" s="12" customFormat="1">
      <c r="A94" s="12" t="s">
        <v>200</v>
      </c>
      <c r="B94" s="12" t="s">
        <v>381</v>
      </c>
      <c r="C94" s="12" t="s">
        <v>34</v>
      </c>
      <c r="D94" s="12">
        <v>578</v>
      </c>
      <c r="E94" s="12">
        <v>633</v>
      </c>
      <c r="F94" s="13">
        <v>0.76833576874430431</v>
      </c>
      <c r="G94" s="13">
        <v>-0.27204507881436241</v>
      </c>
      <c r="H94" s="13">
        <v>9.6103234820847427E-2</v>
      </c>
      <c r="I94" s="13">
        <v>0.79088470385070198</v>
      </c>
      <c r="J94" s="13">
        <v>-0.66253530725562482</v>
      </c>
      <c r="K94" s="13">
        <v>4.9815411630358672E-2</v>
      </c>
      <c r="L94" s="13">
        <v>-8.2190880142443301E-2</v>
      </c>
      <c r="M94" s="13">
        <v>-2.6059713200394907E-2</v>
      </c>
      <c r="O94" s="12">
        <v>127.46353351943252</v>
      </c>
      <c r="P94" s="12">
        <v>88.429446256050781</v>
      </c>
      <c r="Q94" s="12">
        <v>117.07604773312578</v>
      </c>
      <c r="R94" s="12">
        <v>102.30402814568843</v>
      </c>
      <c r="S94" s="12">
        <v>76.677723446720364</v>
      </c>
      <c r="T94" s="12">
        <v>101.39971698214717</v>
      </c>
      <c r="U94" s="12">
        <v>192.13120964353328</v>
      </c>
      <c r="V94" s="12">
        <v>168.77285943615766</v>
      </c>
      <c r="W94" s="12">
        <v>171.63774919490987</v>
      </c>
      <c r="X94" s="12">
        <v>108.07037621804112</v>
      </c>
      <c r="Y94" s="12">
        <v>99.303395755046637</v>
      </c>
      <c r="AB94" s="12">
        <v>157.56876607655335</v>
      </c>
      <c r="AC94" s="12">
        <v>108.28351431398531</v>
      </c>
      <c r="AD94" s="12">
        <v>29.218273470464396</v>
      </c>
      <c r="AE94" s="12">
        <v>2.0491648471741253</v>
      </c>
      <c r="AF94" s="12">
        <v>17.221815286624164</v>
      </c>
      <c r="AG94" s="12">
        <v>81.281515453931505</v>
      </c>
      <c r="AH94" s="12">
        <v>68.999999999999432</v>
      </c>
      <c r="AI94" s="12">
        <v>36.9039</v>
      </c>
      <c r="AJ94" s="12">
        <v>1.494178776</v>
      </c>
      <c r="AK94" s="12">
        <v>112.8006</v>
      </c>
      <c r="AL94" s="12">
        <v>11.426746758896146</v>
      </c>
      <c r="AM94" s="12">
        <v>4.0254774119999999</v>
      </c>
      <c r="AN94" s="12">
        <v>2.067453327</v>
      </c>
      <c r="AO94" s="12">
        <v>18.692626728110522</v>
      </c>
      <c r="AP94" s="12">
        <v>4.8133756769999998</v>
      </c>
      <c r="AQ94" s="12">
        <v>13.879251051110522</v>
      </c>
      <c r="AR94" s="12">
        <v>0.27261032193175322</v>
      </c>
      <c r="AS94" s="12">
        <v>0.33427742957684431</v>
      </c>
      <c r="AT94" s="12">
        <v>0.41826092896701234</v>
      </c>
      <c r="AU94" s="12">
        <v>0.75253835854385664</v>
      </c>
      <c r="AV94" s="12">
        <v>0.3105</v>
      </c>
      <c r="AW94" s="12" t="s">
        <v>382</v>
      </c>
      <c r="AX94" s="12">
        <v>5.8299999999999998E-2</v>
      </c>
    </row>
    <row r="95" spans="1:50" s="12" customFormat="1">
      <c r="A95" s="12" t="s">
        <v>66</v>
      </c>
      <c r="B95" s="12" t="s">
        <v>514</v>
      </c>
      <c r="C95" s="12" t="s">
        <v>169</v>
      </c>
      <c r="D95" s="12">
        <v>538</v>
      </c>
      <c r="E95" s="12">
        <v>592</v>
      </c>
      <c r="F95" s="13">
        <v>4.6781002090261958E-3</v>
      </c>
      <c r="G95" s="13">
        <v>-0.16676735802316683</v>
      </c>
      <c r="H95" s="13">
        <v>0.21979018048225432</v>
      </c>
      <c r="I95" s="13">
        <v>-6.1368383577512205E-3</v>
      </c>
      <c r="J95" s="13">
        <v>-0.31442433736199832</v>
      </c>
      <c r="K95" s="13">
        <v>0.84249904912475526</v>
      </c>
      <c r="L95" s="13">
        <v>-0.62071918663868408</v>
      </c>
      <c r="M95" s="13">
        <v>-2.7194071718936286E-2</v>
      </c>
      <c r="O95" s="12">
        <v>107.8451875248756</v>
      </c>
      <c r="P95" s="12">
        <v>92.90709213651985</v>
      </c>
      <c r="Q95" s="12">
        <v>100.1039694697545</v>
      </c>
      <c r="R95" s="12">
        <v>105.26936229483931</v>
      </c>
      <c r="S95" s="12">
        <v>88.931772736137532</v>
      </c>
      <c r="T95" s="12">
        <v>123.67259825640193</v>
      </c>
      <c r="U95" s="12">
        <v>84.548519170618604</v>
      </c>
      <c r="V95" s="12">
        <v>99.466359736501303</v>
      </c>
      <c r="W95" s="12">
        <v>99.317330224746001</v>
      </c>
      <c r="X95" s="12">
        <v>98.235179333878818</v>
      </c>
      <c r="Y95" s="12">
        <v>94.739128969210455</v>
      </c>
      <c r="AB95" s="12">
        <v>133.31682134010879</v>
      </c>
      <c r="AC95" s="12">
        <v>86.269509765783923</v>
      </c>
      <c r="AD95" s="12">
        <v>27.420852312112402</v>
      </c>
      <c r="AE95" s="12">
        <v>2.0119298044458107</v>
      </c>
      <c r="AF95" s="12">
        <v>18.093845968</v>
      </c>
      <c r="AG95" s="12">
        <v>69.498437118436726</v>
      </c>
      <c r="AH95" s="12">
        <v>70.999999999999744</v>
      </c>
      <c r="AI95" s="12">
        <v>42.801600000000001</v>
      </c>
      <c r="AJ95" s="12">
        <v>0.96774180800000009</v>
      </c>
      <c r="AK95" s="12">
        <v>87.32</v>
      </c>
      <c r="AL95" s="12">
        <v>5.0284101120000004</v>
      </c>
      <c r="AM95" s="12">
        <v>5.8574356639999996</v>
      </c>
      <c r="AN95" s="12">
        <v>0.50000023999999998</v>
      </c>
      <c r="AO95" s="12">
        <v>11.016507872</v>
      </c>
      <c r="AP95" s="12">
        <v>2.985348256</v>
      </c>
      <c r="AQ95" s="12">
        <v>8.0311596160000001</v>
      </c>
      <c r="AR95" s="12">
        <v>0.24780078316005352</v>
      </c>
      <c r="AS95" s="12">
        <v>0.30991537527199636</v>
      </c>
      <c r="AT95" s="12">
        <v>0.40803417783521595</v>
      </c>
      <c r="AU95" s="12">
        <v>0.71794955310721231</v>
      </c>
      <c r="AV95" s="12">
        <v>0.26279999999999998</v>
      </c>
      <c r="AW95" s="12" t="s">
        <v>515</v>
      </c>
      <c r="AX95" s="12">
        <v>7.2300000000000003E-2</v>
      </c>
    </row>
    <row r="96" spans="1:50" s="12" customFormat="1">
      <c r="A96" s="12" t="s">
        <v>123</v>
      </c>
      <c r="B96" s="12" t="s">
        <v>779</v>
      </c>
      <c r="C96" s="12" t="s">
        <v>87</v>
      </c>
      <c r="D96" s="12">
        <v>428</v>
      </c>
      <c r="E96" s="12">
        <v>484</v>
      </c>
      <c r="F96" s="13">
        <v>-1.0729289833291513</v>
      </c>
      <c r="G96" s="13">
        <v>-0.20619997202146098</v>
      </c>
      <c r="H96" s="13">
        <v>-0.27495760216329029</v>
      </c>
      <c r="I96" s="13">
        <v>-1.0470870146063245</v>
      </c>
      <c r="J96" s="13">
        <v>-0.14110371203421876</v>
      </c>
      <c r="K96" s="13">
        <v>1.741595159261607</v>
      </c>
      <c r="L96" s="13">
        <v>0.48006779629763779</v>
      </c>
      <c r="M96" s="13">
        <v>-2.966856301369819E-2</v>
      </c>
      <c r="O96" s="12">
        <v>93.579311402669077</v>
      </c>
      <c r="P96" s="12">
        <v>91.22995398897406</v>
      </c>
      <c r="Q96" s="12">
        <v>76.154453197558098</v>
      </c>
      <c r="R96" s="12">
        <v>93.408025698237793</v>
      </c>
      <c r="S96" s="12">
        <v>95.032929175672365</v>
      </c>
      <c r="T96" s="12">
        <v>148.93546476203727</v>
      </c>
      <c r="U96" s="12">
        <v>77.667499079795135</v>
      </c>
      <c r="V96" s="12">
        <v>8.9485891908963282</v>
      </c>
      <c r="W96" s="12">
        <v>12.256573543909283</v>
      </c>
      <c r="X96" s="12">
        <v>107.14813696449062</v>
      </c>
      <c r="Y96" s="12">
        <v>104.06878797485484</v>
      </c>
      <c r="AB96" s="12">
        <v>115.6815304022944</v>
      </c>
      <c r="AC96" s="12">
        <v>77.80736265069045</v>
      </c>
      <c r="AD96" s="12">
        <v>19.06285483052427</v>
      </c>
      <c r="AE96" s="12">
        <v>0.31585257034287395</v>
      </c>
      <c r="AF96" s="12">
        <v>17.767219888</v>
      </c>
      <c r="AG96" s="12">
        <v>52.871184877823843</v>
      </c>
      <c r="AH96" s="12">
        <v>62.999999999999829</v>
      </c>
      <c r="AI96" s="12">
        <v>45.738</v>
      </c>
      <c r="AJ96" s="12">
        <v>1.989521688</v>
      </c>
      <c r="AK96" s="12">
        <v>58.418799999999997</v>
      </c>
      <c r="AL96" s="12">
        <v>4.6191706439999995</v>
      </c>
      <c r="AM96" s="12">
        <v>5.0165975639999996</v>
      </c>
      <c r="AN96" s="12">
        <v>0</v>
      </c>
      <c r="AO96" s="12">
        <v>0.99111100000000008</v>
      </c>
      <c r="AP96" s="12">
        <v>0</v>
      </c>
      <c r="AQ96" s="12">
        <v>0.99111100000000008</v>
      </c>
      <c r="AR96" s="12">
        <v>0.270283949538071</v>
      </c>
      <c r="AS96" s="12">
        <v>0.34951695924171283</v>
      </c>
      <c r="AT96" s="12">
        <v>0.43913436816534485</v>
      </c>
      <c r="AU96" s="12">
        <v>0.78865132740705768</v>
      </c>
      <c r="AV96" s="12">
        <v>0.27439999999999998</v>
      </c>
      <c r="AW96" s="12">
        <v>0.1207</v>
      </c>
      <c r="AX96" s="12">
        <v>9.4500000000000001E-2</v>
      </c>
    </row>
    <row r="97" spans="1:50" s="12" customFormat="1">
      <c r="A97" s="12" t="s">
        <v>248</v>
      </c>
      <c r="B97" s="12" t="s">
        <v>417</v>
      </c>
      <c r="C97" s="12" t="s">
        <v>34</v>
      </c>
      <c r="D97" s="12">
        <v>550</v>
      </c>
      <c r="E97" s="12">
        <v>607</v>
      </c>
      <c r="F97" s="13">
        <v>0.68723572587147042</v>
      </c>
      <c r="G97" s="13">
        <v>-0.40747856647351577</v>
      </c>
      <c r="H97" s="13">
        <v>-0.21311412933260077</v>
      </c>
      <c r="I97" s="13">
        <v>1.9794805492856711</v>
      </c>
      <c r="J97" s="13">
        <v>-0.63377248859256285</v>
      </c>
      <c r="K97" s="13">
        <v>7.0059034729354989E-3</v>
      </c>
      <c r="L97" s="13">
        <v>-0.63398406007733243</v>
      </c>
      <c r="M97" s="13">
        <v>-0.13922820811602221</v>
      </c>
      <c r="O97" s="12">
        <v>109.71830346533004</v>
      </c>
      <c r="P97" s="12">
        <v>82.669222786763044</v>
      </c>
      <c r="Q97" s="12">
        <v>115.27362194535027</v>
      </c>
      <c r="R97" s="12">
        <v>94.890692772812898</v>
      </c>
      <c r="S97" s="12">
        <v>77.690219541593308</v>
      </c>
      <c r="T97" s="12">
        <v>100.19685237450442</v>
      </c>
      <c r="U97" s="12">
        <v>210.74636147056208</v>
      </c>
      <c r="V97" s="12">
        <v>272.129435440858</v>
      </c>
      <c r="W97" s="12">
        <v>287.03788774511895</v>
      </c>
      <c r="X97" s="12">
        <v>97.760843970328338</v>
      </c>
      <c r="Y97" s="12">
        <v>94.626703270275044</v>
      </c>
      <c r="AB97" s="12">
        <v>135.63234295877419</v>
      </c>
      <c r="AC97" s="12">
        <v>87.991875993181637</v>
      </c>
      <c r="AD97" s="12">
        <v>28.426599207842926</v>
      </c>
      <c r="AE97" s="12">
        <v>3.8276420505577549</v>
      </c>
      <c r="AF97" s="12">
        <v>16.099999999999966</v>
      </c>
      <c r="AG97" s="12">
        <v>80.030158730158306</v>
      </c>
      <c r="AH97" s="12">
        <v>63.999999999999766</v>
      </c>
      <c r="AI97" s="12">
        <v>37.391199999999941</v>
      </c>
      <c r="AJ97" s="12">
        <v>1.737035511</v>
      </c>
      <c r="AK97" s="12">
        <v>114.1767</v>
      </c>
      <c r="AL97" s="12">
        <v>12.53385802</v>
      </c>
      <c r="AM97" s="12">
        <v>4.0000001020000004</v>
      </c>
      <c r="AN97" s="12">
        <v>1.477952736</v>
      </c>
      <c r="AO97" s="12">
        <v>30.139999851999999</v>
      </c>
      <c r="AP97" s="12">
        <v>6.9290749600000003</v>
      </c>
      <c r="AQ97" s="12">
        <v>23.210924891999998</v>
      </c>
      <c r="AR97" s="12">
        <v>0.24660425992504398</v>
      </c>
      <c r="AS97" s="12">
        <v>0.31577393427612616</v>
      </c>
      <c r="AT97" s="12">
        <v>0.40132363738280113</v>
      </c>
      <c r="AU97" s="12">
        <v>0.71709757165892729</v>
      </c>
      <c r="AV97" s="12">
        <v>0.28210000000000002</v>
      </c>
      <c r="AW97" s="12">
        <v>0.18809999999999999</v>
      </c>
      <c r="AX97" s="12" t="s">
        <v>418</v>
      </c>
    </row>
    <row r="98" spans="1:50" s="12" customFormat="1">
      <c r="A98" s="12" t="s">
        <v>27</v>
      </c>
      <c r="B98" s="12" t="s">
        <v>602</v>
      </c>
      <c r="C98" s="12" t="s">
        <v>20</v>
      </c>
      <c r="D98" s="12">
        <v>530</v>
      </c>
      <c r="E98" s="12">
        <v>579</v>
      </c>
      <c r="F98" s="13">
        <v>0.2670280734795562</v>
      </c>
      <c r="G98" s="13">
        <v>0.3293339039732251</v>
      </c>
      <c r="H98" s="13">
        <v>0.59085101746640689</v>
      </c>
      <c r="I98" s="13">
        <v>-0.18746870493634724</v>
      </c>
      <c r="J98" s="13">
        <v>-0.75608382213166314</v>
      </c>
      <c r="K98" s="13">
        <v>-0.33709406726266378</v>
      </c>
      <c r="L98" s="13">
        <v>-3.2649274926213973E-2</v>
      </c>
      <c r="M98" s="13">
        <v>-0.17867096307502564</v>
      </c>
      <c r="O98" s="12">
        <v>109.98162478547009</v>
      </c>
      <c r="P98" s="12">
        <v>114.00714783091919</v>
      </c>
      <c r="Q98" s="12">
        <v>105.93462430660186</v>
      </c>
      <c r="R98" s="12">
        <v>114.16536474229031</v>
      </c>
      <c r="S98" s="12">
        <v>73.384669761589322</v>
      </c>
      <c r="T98" s="12">
        <v>90.528306901692488</v>
      </c>
      <c r="U98" s="12">
        <v>138.01104046637855</v>
      </c>
      <c r="V98" s="12">
        <v>83.698307944896541</v>
      </c>
      <c r="W98" s="12">
        <v>67.697793273753561</v>
      </c>
      <c r="X98" s="12">
        <v>101.69340984822719</v>
      </c>
      <c r="Y98" s="12">
        <v>99.723282881642874</v>
      </c>
      <c r="AB98" s="12">
        <v>135.95785735768101</v>
      </c>
      <c r="AC98" s="12">
        <v>82.092878737445943</v>
      </c>
      <c r="AD98" s="12">
        <v>28.967189645438772</v>
      </c>
      <c r="AE98" s="12">
        <v>1.59134225329044</v>
      </c>
      <c r="AF98" s="12">
        <v>22.203124914</v>
      </c>
      <c r="AG98" s="12">
        <v>73.546442414174564</v>
      </c>
      <c r="AH98" s="12">
        <v>76.999999999999574</v>
      </c>
      <c r="AI98" s="12">
        <v>35.319000000000003</v>
      </c>
      <c r="AJ98" s="12">
        <v>0.20104153799999999</v>
      </c>
      <c r="AK98" s="12">
        <v>125.23769999999999</v>
      </c>
      <c r="AL98" s="12">
        <v>8.2080220713072212</v>
      </c>
      <c r="AM98" s="12">
        <v>5.02083324</v>
      </c>
      <c r="AN98" s="12">
        <v>0.99151086599999994</v>
      </c>
      <c r="AO98" s="12">
        <v>9.2700996677740299</v>
      </c>
      <c r="AP98" s="12">
        <v>3.795810516</v>
      </c>
      <c r="AQ98" s="12">
        <v>5.4742891517740304</v>
      </c>
      <c r="AR98" s="12">
        <v>0.25652425916543586</v>
      </c>
      <c r="AS98" s="12">
        <v>0.31493961065787768</v>
      </c>
      <c r="AT98" s="12">
        <v>0.44078072536640533</v>
      </c>
      <c r="AU98" s="12">
        <v>0.75572033602428301</v>
      </c>
      <c r="AV98" s="12">
        <v>0.29349999999999998</v>
      </c>
      <c r="AW98" s="12">
        <v>0.21629999999999999</v>
      </c>
      <c r="AX98" s="12">
        <v>6.0999999999999999E-2</v>
      </c>
    </row>
    <row r="99" spans="1:50" s="12" customFormat="1">
      <c r="A99" s="12" t="s">
        <v>200</v>
      </c>
      <c r="B99" s="12" t="s">
        <v>716</v>
      </c>
      <c r="C99" s="12" t="s">
        <v>124</v>
      </c>
      <c r="D99" s="12">
        <v>505</v>
      </c>
      <c r="E99" s="12">
        <v>564</v>
      </c>
      <c r="F99" s="13">
        <v>-0.17821267924430059</v>
      </c>
      <c r="G99" s="13">
        <v>0.88430119202162827</v>
      </c>
      <c r="H99" s="13">
        <v>0.59085101746641633</v>
      </c>
      <c r="I99" s="13">
        <v>-0.84499306458924306</v>
      </c>
      <c r="J99" s="13">
        <v>-0.11100102884488176</v>
      </c>
      <c r="K99" s="13">
        <v>-1.0186957261379845</v>
      </c>
      <c r="L99" s="13">
        <v>-0.30900784816678895</v>
      </c>
      <c r="M99" s="13">
        <v>-0.22515472695414485</v>
      </c>
      <c r="O99" s="12">
        <v>93.256598322233771</v>
      </c>
      <c r="P99" s="12">
        <v>137.61087872906037</v>
      </c>
      <c r="Q99" s="12">
        <v>96.039273008990236</v>
      </c>
      <c r="R99" s="12">
        <v>114.16536474229054</v>
      </c>
      <c r="S99" s="12">
        <v>96.092590592428536</v>
      </c>
      <c r="T99" s="12">
        <v>71.376614970152616</v>
      </c>
      <c r="U99" s="12">
        <v>126.05276766319389</v>
      </c>
      <c r="V99" s="12">
        <v>26.522046800776067</v>
      </c>
      <c r="W99" s="12">
        <v>23.99114606958922</v>
      </c>
      <c r="X99" s="12">
        <v>90.497532883757515</v>
      </c>
      <c r="Y99" s="12">
        <v>97.381021125655053</v>
      </c>
      <c r="AB99" s="12">
        <v>115.28259668002158</v>
      </c>
      <c r="AC99" s="12">
        <v>66.560785016555485</v>
      </c>
      <c r="AD99" s="12">
        <v>20.673675652688889</v>
      </c>
      <c r="AE99" s="12">
        <v>1.0041085622186483</v>
      </c>
      <c r="AF99" s="12">
        <v>26.799999719999999</v>
      </c>
      <c r="AG99" s="12">
        <v>66.676470588235247</v>
      </c>
      <c r="AH99" s="12">
        <v>76.99999999999973</v>
      </c>
      <c r="AI99" s="12">
        <v>46.248000000000005</v>
      </c>
      <c r="AJ99" s="12">
        <v>1.745779092</v>
      </c>
      <c r="AK99" s="12">
        <v>147.14760000000001</v>
      </c>
      <c r="AL99" s="12">
        <v>7.4968197879858058</v>
      </c>
      <c r="AM99" s="12">
        <v>4.9999998719999992</v>
      </c>
      <c r="AN99" s="12">
        <v>0</v>
      </c>
      <c r="AO99" s="12">
        <v>2.937478944</v>
      </c>
      <c r="AP99" s="12">
        <v>0.99746783999999999</v>
      </c>
      <c r="AQ99" s="12">
        <v>1.9400111039999999</v>
      </c>
      <c r="AR99" s="12">
        <v>0.22828236966340909</v>
      </c>
      <c r="AS99" s="12">
        <v>0.306048565410664</v>
      </c>
      <c r="AT99" s="12">
        <v>0.43192170472987962</v>
      </c>
      <c r="AU99" s="12">
        <v>0.73797027014054362</v>
      </c>
      <c r="AV99" s="12">
        <v>0.26329999999999998</v>
      </c>
      <c r="AW99" s="12">
        <v>0.26090000000000002</v>
      </c>
      <c r="AX99" s="12">
        <v>8.2000000000000003E-2</v>
      </c>
    </row>
    <row r="100" spans="1:50" s="12" customFormat="1">
      <c r="A100" s="12" t="s">
        <v>200</v>
      </c>
      <c r="B100" s="12" t="s">
        <v>862</v>
      </c>
      <c r="C100" s="12" t="s">
        <v>49</v>
      </c>
      <c r="D100" s="12">
        <v>421</v>
      </c>
      <c r="E100" s="12">
        <v>489</v>
      </c>
      <c r="F100" s="13">
        <v>-0.62389451861450307</v>
      </c>
      <c r="G100" s="13">
        <v>-0.13782158127594371</v>
      </c>
      <c r="H100" s="13">
        <v>-0.33680107499399581</v>
      </c>
      <c r="I100" s="13">
        <v>-1.0450297662742229</v>
      </c>
      <c r="J100" s="13">
        <v>0.35148242970752391</v>
      </c>
      <c r="K100" s="13">
        <v>0.99110195484845209</v>
      </c>
      <c r="L100" s="13">
        <v>-3.9090768726178247E-2</v>
      </c>
      <c r="M100" s="13">
        <v>-0.37549350496479506</v>
      </c>
      <c r="O100" s="12">
        <v>80.266025472719718</v>
      </c>
      <c r="P100" s="12">
        <v>94.138206725961268</v>
      </c>
      <c r="Q100" s="12">
        <v>86.134118683934304</v>
      </c>
      <c r="R100" s="12">
        <v>91.925358623662305</v>
      </c>
      <c r="S100" s="12">
        <v>112.37272993527394</v>
      </c>
      <c r="T100" s="12">
        <v>127.84805327986527</v>
      </c>
      <c r="U100" s="12">
        <v>161.81856063771812</v>
      </c>
      <c r="V100" s="12">
        <v>9.1274810694217763</v>
      </c>
      <c r="W100" s="12">
        <v>-0.17555679114099121</v>
      </c>
      <c r="X100" s="12">
        <v>93.43255189769593</v>
      </c>
      <c r="Y100" s="12">
        <v>99.668688358295285</v>
      </c>
      <c r="AB100" s="12">
        <v>99.223819098640291</v>
      </c>
      <c r="AC100" s="12">
        <v>62.734852569609863</v>
      </c>
      <c r="AD100" s="12">
        <v>18.132888976960977</v>
      </c>
      <c r="AE100" s="12">
        <v>0.80650031834991698</v>
      </c>
      <c r="AF100" s="12">
        <v>18.333608048999999</v>
      </c>
      <c r="AG100" s="12">
        <v>59.799692887463827</v>
      </c>
      <c r="AH100" s="12">
        <v>61.999999999999645</v>
      </c>
      <c r="AI100" s="12">
        <v>54.083400000000005</v>
      </c>
      <c r="AJ100" s="12">
        <v>0</v>
      </c>
      <c r="AK100" s="12">
        <v>82.543199999999999</v>
      </c>
      <c r="AL100" s="12">
        <v>9.6239424959999997</v>
      </c>
      <c r="AM100" s="12">
        <v>3.8263917479999998</v>
      </c>
      <c r="AN100" s="12">
        <v>0</v>
      </c>
      <c r="AO100" s="12">
        <v>1.0109243700000001</v>
      </c>
      <c r="AP100" s="12">
        <v>1.0251205290000001</v>
      </c>
      <c r="AQ100" s="12">
        <v>-1.419615899999993E-2</v>
      </c>
      <c r="AR100" s="12">
        <v>0.23568603111315983</v>
      </c>
      <c r="AS100" s="12">
        <v>0.3402126337821339</v>
      </c>
      <c r="AT100" s="12">
        <v>0.41509397547406546</v>
      </c>
      <c r="AU100" s="12">
        <v>0.7553066092561993</v>
      </c>
      <c r="AV100" s="12">
        <v>0.24970000000000001</v>
      </c>
      <c r="AW100" s="12">
        <v>0.16880000000000001</v>
      </c>
      <c r="AX100" s="12">
        <v>0.1106</v>
      </c>
    </row>
    <row r="101" spans="1:50" s="12" customFormat="1">
      <c r="A101" s="12" t="s">
        <v>101</v>
      </c>
      <c r="B101" s="12" t="s">
        <v>961</v>
      </c>
      <c r="C101" s="12" t="s">
        <v>124</v>
      </c>
      <c r="D101" s="12">
        <v>496</v>
      </c>
      <c r="E101" s="12">
        <v>567</v>
      </c>
      <c r="F101" s="13">
        <v>3.2889709115135196E-2</v>
      </c>
      <c r="G101" s="13">
        <v>0.20466609022429547</v>
      </c>
      <c r="H101" s="13">
        <v>0.40532059897434597</v>
      </c>
      <c r="I101" s="13">
        <v>-0.94806136488944848</v>
      </c>
      <c r="J101" s="13">
        <v>0.35532494867933867</v>
      </c>
      <c r="K101" s="13">
        <v>-0.92133605988591516</v>
      </c>
      <c r="L101" s="13">
        <v>0.38518362005401696</v>
      </c>
      <c r="M101" s="13">
        <v>-0.46201887799507646</v>
      </c>
      <c r="O101" s="12">
        <v>102.50674527005152</v>
      </c>
      <c r="P101" s="12">
        <v>108.70480733128839</v>
      </c>
      <c r="Q101" s="12">
        <v>100.73096459337904</v>
      </c>
      <c r="R101" s="12">
        <v>109.71736351856518</v>
      </c>
      <c r="S101" s="12">
        <v>112.50799259847162</v>
      </c>
      <c r="T101" s="12">
        <v>74.112233803143525</v>
      </c>
      <c r="U101" s="12">
        <v>154.48057617375107</v>
      </c>
      <c r="V101" s="12">
        <v>17.559549872516101</v>
      </c>
      <c r="W101" s="12">
        <v>11.419874598786635</v>
      </c>
      <c r="X101" s="12">
        <v>101.27897930059316</v>
      </c>
      <c r="Y101" s="12">
        <v>103.26460240298053</v>
      </c>
      <c r="AB101" s="12">
        <v>126.717508300232</v>
      </c>
      <c r="AC101" s="12">
        <v>79.994304002380616</v>
      </c>
      <c r="AD101" s="12">
        <v>24.397129976248031</v>
      </c>
      <c r="AE101" s="12">
        <v>1.0275753325943693</v>
      </c>
      <c r="AF101" s="12">
        <v>21.170483271000002</v>
      </c>
      <c r="AG101" s="12">
        <v>69.93373635185975</v>
      </c>
      <c r="AH101" s="12">
        <v>73.999999999999901</v>
      </c>
      <c r="AI101" s="12">
        <v>54.148499999999999</v>
      </c>
      <c r="AJ101" s="12">
        <v>2.559960207</v>
      </c>
      <c r="AK101" s="12">
        <v>144.018</v>
      </c>
      <c r="AL101" s="12">
        <v>9.1875256830000005</v>
      </c>
      <c r="AM101" s="12">
        <v>4.045796181</v>
      </c>
      <c r="AN101" s="12">
        <v>0</v>
      </c>
      <c r="AO101" s="12">
        <v>1.9448275770000001</v>
      </c>
      <c r="AP101" s="12">
        <v>1.021375089</v>
      </c>
      <c r="AQ101" s="12">
        <v>0.92345248800000013</v>
      </c>
      <c r="AR101" s="12">
        <v>0.2554788473795</v>
      </c>
      <c r="AS101" s="12">
        <v>0.34595782965330457</v>
      </c>
      <c r="AT101" s="12">
        <v>0.43659923999326572</v>
      </c>
      <c r="AU101" s="12">
        <v>0.78255706964657024</v>
      </c>
      <c r="AV101" s="12">
        <v>0.31519999999999998</v>
      </c>
      <c r="AW101" s="12">
        <v>0.254</v>
      </c>
      <c r="AX101" s="12">
        <v>9.5500000000000002E-2</v>
      </c>
    </row>
    <row r="102" spans="1:50" s="12" customFormat="1">
      <c r="A102" s="12" t="s">
        <v>116</v>
      </c>
      <c r="B102" s="12" t="s">
        <v>1074</v>
      </c>
      <c r="C102" s="12" t="s">
        <v>648</v>
      </c>
      <c r="D102" s="12">
        <v>514</v>
      </c>
      <c r="E102" s="12">
        <v>574</v>
      </c>
      <c r="F102" s="13">
        <v>-6.4572151536550285E-2</v>
      </c>
      <c r="G102" s="13">
        <v>-0.65157766952629681</v>
      </c>
      <c r="H102" s="13">
        <v>-0.46048802065538552</v>
      </c>
      <c r="I102" s="13">
        <v>1.3305231572488729</v>
      </c>
      <c r="J102" s="13">
        <v>1.1935968305607803E-2</v>
      </c>
      <c r="K102" s="13">
        <v>0.60367295064024229</v>
      </c>
      <c r="L102" s="13">
        <v>-0.58871599848946043</v>
      </c>
      <c r="M102" s="13">
        <v>-0.48878380882949002</v>
      </c>
      <c r="O102" s="12">
        <v>106.5821117002545</v>
      </c>
      <c r="P102" s="12">
        <v>72.287260344982229</v>
      </c>
      <c r="Q102" s="12">
        <v>98.564901978114705</v>
      </c>
      <c r="R102" s="12">
        <v>88.96002447451184</v>
      </c>
      <c r="S102" s="12">
        <v>100.42016470776129</v>
      </c>
      <c r="T102" s="12">
        <v>116.96204554012155</v>
      </c>
      <c r="U102" s="12">
        <v>50.941577663419132</v>
      </c>
      <c r="V102" s="12">
        <v>215.69813099748973</v>
      </c>
      <c r="W102" s="12">
        <v>234.41732504854588</v>
      </c>
      <c r="X102" s="12">
        <v>101.61779095643485</v>
      </c>
      <c r="Y102" s="12">
        <v>95.010370214932024</v>
      </c>
      <c r="AB102" s="12">
        <v>131.7554233963092</v>
      </c>
      <c r="AC102" s="12">
        <v>91.390788124082533</v>
      </c>
      <c r="AD102" s="12">
        <v>23.513113854545974</v>
      </c>
      <c r="AE102" s="12">
        <v>2.878858362546528</v>
      </c>
      <c r="AF102" s="12">
        <v>14.078091608000001</v>
      </c>
      <c r="AG102" s="12">
        <v>68.429920196926673</v>
      </c>
      <c r="AH102" s="12">
        <v>59.999999999999609</v>
      </c>
      <c r="AI102" s="12">
        <v>48.330799999999996</v>
      </c>
      <c r="AJ102" s="12">
        <v>0.96774104000000005</v>
      </c>
      <c r="AK102" s="12">
        <v>94.997</v>
      </c>
      <c r="AL102" s="12">
        <v>3.0296822080000001</v>
      </c>
      <c r="AM102" s="12">
        <v>4.245229954</v>
      </c>
      <c r="AN102" s="12">
        <v>2.0141344299999999</v>
      </c>
      <c r="AO102" s="12">
        <v>23.889887640449366</v>
      </c>
      <c r="AP102" s="12">
        <v>4.93405234</v>
      </c>
      <c r="AQ102" s="12">
        <v>18.955835300449365</v>
      </c>
      <c r="AR102" s="12">
        <v>0.25633350855313075</v>
      </c>
      <c r="AS102" s="12">
        <v>0.3243514527908638</v>
      </c>
      <c r="AT102" s="12">
        <v>0.39565361352687561</v>
      </c>
      <c r="AU102" s="12">
        <v>0.72000506631773942</v>
      </c>
      <c r="AV102" s="12" t="s">
        <v>1075</v>
      </c>
      <c r="AW102" s="12">
        <v>0.16550000000000001</v>
      </c>
      <c r="AX102" s="12">
        <v>8.4199999999999997E-2</v>
      </c>
    </row>
    <row r="103" spans="1:50" s="12" customFormat="1">
      <c r="A103" s="12" t="s">
        <v>40</v>
      </c>
      <c r="B103" s="12" t="s">
        <v>345</v>
      </c>
      <c r="C103" s="12" t="s">
        <v>34</v>
      </c>
      <c r="D103" s="12">
        <v>561</v>
      </c>
      <c r="E103" s="12">
        <v>607</v>
      </c>
      <c r="F103" s="13">
        <v>0.34053731709275864</v>
      </c>
      <c r="G103" s="13">
        <v>-0.27102467969726862</v>
      </c>
      <c r="H103" s="13">
        <v>0.59085101746639979</v>
      </c>
      <c r="I103" s="13">
        <v>-0.57988568435026822</v>
      </c>
      <c r="J103" s="13">
        <v>-0.70901148910520095</v>
      </c>
      <c r="K103" s="13">
        <v>0.48664287380177768</v>
      </c>
      <c r="L103" s="13">
        <v>8.6791957586814641E-2</v>
      </c>
      <c r="M103" s="13">
        <v>-0.57282001440260155</v>
      </c>
      <c r="O103" s="12">
        <v>129.12841760214278</v>
      </c>
      <c r="P103" s="12">
        <v>88.472845617936201</v>
      </c>
      <c r="Q103" s="12">
        <v>107.56834670223687</v>
      </c>
      <c r="R103" s="12">
        <v>114.16536474229014</v>
      </c>
      <c r="S103" s="12">
        <v>75.041689329948198</v>
      </c>
      <c r="T103" s="12">
        <v>113.67372611021726</v>
      </c>
      <c r="U103" s="12">
        <v>66.258496992949176</v>
      </c>
      <c r="V103" s="12">
        <v>49.574955155044535</v>
      </c>
      <c r="W103" s="12">
        <v>38.143561988494199</v>
      </c>
      <c r="X103" s="12">
        <v>112.79958862415914</v>
      </c>
      <c r="Y103" s="12">
        <v>100.73560042157958</v>
      </c>
      <c r="AB103" s="12">
        <v>159.62687417484449</v>
      </c>
      <c r="AC103" s="12">
        <v>112.59381549349804</v>
      </c>
      <c r="AD103" s="12">
        <v>27.342295431513964</v>
      </c>
      <c r="AE103" s="12">
        <v>1.7059100408259418</v>
      </c>
      <c r="AF103" s="12">
        <v>17.230267400999999</v>
      </c>
      <c r="AG103" s="12">
        <v>74.680674690711072</v>
      </c>
      <c r="AH103" s="12">
        <v>76.99999999999946</v>
      </c>
      <c r="AI103" s="12">
        <v>36.116499999999995</v>
      </c>
      <c r="AJ103" s="12">
        <v>0.96877139300000004</v>
      </c>
      <c r="AK103" s="12">
        <v>98.758900000000011</v>
      </c>
      <c r="AL103" s="12">
        <v>3.9406355020000001</v>
      </c>
      <c r="AM103" s="12">
        <v>4.0481606960000001</v>
      </c>
      <c r="AN103" s="12">
        <v>0</v>
      </c>
      <c r="AO103" s="12">
        <v>5.4907295810000001</v>
      </c>
      <c r="AP103" s="12">
        <v>2.4063027849999998</v>
      </c>
      <c r="AQ103" s="12">
        <v>3.0844267960000002</v>
      </c>
      <c r="AR103" s="12">
        <v>0.28453988266460695</v>
      </c>
      <c r="AS103" s="12">
        <v>0.33323640637875501</v>
      </c>
      <c r="AT103" s="12">
        <v>0.43015544756328666</v>
      </c>
      <c r="AU103" s="12">
        <v>0.76339185394204168</v>
      </c>
      <c r="AV103" s="12">
        <v>0.31709999999999999</v>
      </c>
      <c r="AW103" s="12">
        <v>0.16270000000000001</v>
      </c>
      <c r="AX103" s="12">
        <v>5.9499999999999997E-2</v>
      </c>
    </row>
    <row r="104" spans="1:50" s="10" customFormat="1">
      <c r="A104" s="10" t="s">
        <v>156</v>
      </c>
      <c r="B104" s="10" t="s">
        <v>286</v>
      </c>
      <c r="C104" s="10" t="s">
        <v>169</v>
      </c>
      <c r="D104" s="10">
        <v>566</v>
      </c>
      <c r="E104" s="10">
        <v>633</v>
      </c>
      <c r="F104" s="11">
        <v>0.64089758261667285</v>
      </c>
      <c r="G104" s="11">
        <v>-0.86210880044661231</v>
      </c>
      <c r="H104" s="11">
        <v>-2.7583710840526875E-2</v>
      </c>
      <c r="I104" s="11">
        <v>1.817714241257339</v>
      </c>
      <c r="J104" s="11">
        <v>0.53307243918202096</v>
      </c>
      <c r="K104" s="11">
        <v>-0.49171973352649417</v>
      </c>
      <c r="L104" s="11">
        <v>-0.94697734006868028</v>
      </c>
      <c r="M104" s="11">
        <v>-0.60919216966843592</v>
      </c>
      <c r="O104" s="10">
        <v>117.20880174060238</v>
      </c>
      <c r="P104" s="10">
        <v>63.333002559087213</v>
      </c>
      <c r="Q104" s="10">
        <v>114.24376966165858</v>
      </c>
      <c r="R104" s="10">
        <v>99.338693996538339</v>
      </c>
      <c r="S104" s="10">
        <v>118.76498159929413</v>
      </c>
      <c r="T104" s="10">
        <v>86.183623923836549</v>
      </c>
      <c r="U104" s="10">
        <v>32.0628973234098</v>
      </c>
      <c r="V104" s="10">
        <v>258.0627434067701</v>
      </c>
      <c r="W104" s="10">
        <v>273.54788545134295</v>
      </c>
      <c r="X104" s="10">
        <v>101.48277700906148</v>
      </c>
      <c r="Y104" s="10">
        <v>91.973946089600446</v>
      </c>
      <c r="AB104" s="10">
        <v>144.89199972447398</v>
      </c>
      <c r="AC104" s="10">
        <v>104.55687080005161</v>
      </c>
      <c r="AD104" s="10">
        <v>23.815594352248819</v>
      </c>
      <c r="AE104" s="10">
        <v>2.7674249620056108</v>
      </c>
      <c r="AF104" s="10">
        <v>12.334231614</v>
      </c>
      <c r="AG104" s="10">
        <v>79.315170857464096</v>
      </c>
      <c r="AH104" s="10">
        <v>66.999999999999645</v>
      </c>
      <c r="AI104" s="10">
        <v>57.1599</v>
      </c>
      <c r="AJ104" s="10">
        <v>0.99609259799999994</v>
      </c>
      <c r="AK104" s="10">
        <v>130.2081</v>
      </c>
      <c r="AL104" s="10">
        <v>1.906897941</v>
      </c>
      <c r="AM104" s="10">
        <v>4.0101423540000001</v>
      </c>
      <c r="AN104" s="10">
        <v>3.0464169449999998</v>
      </c>
      <c r="AO104" s="10">
        <v>28.582027649769493</v>
      </c>
      <c r="AP104" s="10">
        <v>6.4619532810000004</v>
      </c>
      <c r="AQ104" s="10">
        <v>22.120074368769494</v>
      </c>
      <c r="AR104" s="10">
        <v>0.25599293237539572</v>
      </c>
      <c r="AS104" s="10">
        <v>0.3262749754555539</v>
      </c>
      <c r="AT104" s="10">
        <v>0.37071954213174224</v>
      </c>
      <c r="AU104" s="10">
        <v>0.69699451758729614</v>
      </c>
      <c r="AV104" s="10">
        <v>0.31009999999999999</v>
      </c>
      <c r="AW104" s="10">
        <v>0.20569999999999999</v>
      </c>
      <c r="AX104" s="10">
        <v>9.0300000000000005E-2</v>
      </c>
    </row>
    <row r="105" spans="1:50" s="12" customFormat="1">
      <c r="A105" s="12" t="s">
        <v>40</v>
      </c>
      <c r="B105" s="12" t="s">
        <v>834</v>
      </c>
      <c r="C105" s="12" t="s">
        <v>163</v>
      </c>
      <c r="D105" s="12">
        <v>453</v>
      </c>
      <c r="E105" s="12">
        <v>509</v>
      </c>
      <c r="F105" s="13">
        <v>-0.54116861753949208</v>
      </c>
      <c r="G105" s="13">
        <v>3.9352043678250789E-3</v>
      </c>
      <c r="H105" s="13">
        <v>9.610323482087231E-2</v>
      </c>
      <c r="I105" s="13">
        <v>-0.58683410266489933</v>
      </c>
      <c r="J105" s="13">
        <v>-0.11882772647410957</v>
      </c>
      <c r="K105" s="13">
        <v>0.37145135661168616</v>
      </c>
      <c r="L105" s="13">
        <v>-0.35652778461242324</v>
      </c>
      <c r="M105" s="13">
        <v>-0.99965381387001484</v>
      </c>
      <c r="O105" s="12">
        <v>89.212363727315093</v>
      </c>
      <c r="P105" s="12">
        <v>100.16737113506996</v>
      </c>
      <c r="Q105" s="12">
        <v>87.972678715873712</v>
      </c>
      <c r="R105" s="12">
        <v>102.30402814568903</v>
      </c>
      <c r="S105" s="12">
        <v>95.817078624071925</v>
      </c>
      <c r="T105" s="12">
        <v>110.43706666019257</v>
      </c>
      <c r="U105" s="12">
        <v>61.641281716883853</v>
      </c>
      <c r="V105" s="12">
        <v>48.970742437654621</v>
      </c>
      <c r="W105" s="12">
        <v>42.579924320721261</v>
      </c>
      <c r="X105" s="12">
        <v>96.510683730958476</v>
      </c>
      <c r="Y105" s="12">
        <v>96.978268540568109</v>
      </c>
      <c r="AB105" s="12">
        <v>110.28316635473332</v>
      </c>
      <c r="AC105" s="12">
        <v>67.619185629795851</v>
      </c>
      <c r="AD105" s="12">
        <v>21.277683076347433</v>
      </c>
      <c r="AE105" s="12">
        <v>0</v>
      </c>
      <c r="AF105" s="12">
        <v>19.507800133</v>
      </c>
      <c r="AG105" s="12">
        <v>61.076136263735911</v>
      </c>
      <c r="AH105" s="12">
        <v>68.999999999999829</v>
      </c>
      <c r="AI105" s="12">
        <v>46.115400000000001</v>
      </c>
      <c r="AJ105" s="12">
        <v>0.99254999999999993</v>
      </c>
      <c r="AK105" s="12">
        <v>102.4616999999995</v>
      </c>
      <c r="AL105" s="12">
        <v>3.6660327979999998</v>
      </c>
      <c r="AM105" s="12">
        <v>4.0575998809999998</v>
      </c>
      <c r="AN105" s="12">
        <v>2.0761097089999998</v>
      </c>
      <c r="AO105" s="12">
        <v>5.4238093259999998</v>
      </c>
      <c r="AP105" s="12">
        <v>1.9806421780000001</v>
      </c>
      <c r="AQ105" s="12">
        <v>3.4431671479999997</v>
      </c>
      <c r="AR105" s="12">
        <v>0.24345069835481969</v>
      </c>
      <c r="AS105" s="12">
        <v>0.31945290429056133</v>
      </c>
      <c r="AT105" s="12">
        <v>0.4154652368973305</v>
      </c>
      <c r="AU105" s="12">
        <v>0.73491814118789178</v>
      </c>
      <c r="AV105" s="12" t="s">
        <v>835</v>
      </c>
      <c r="AW105" s="12" t="s">
        <v>836</v>
      </c>
      <c r="AX105" s="12">
        <v>9.06E-2</v>
      </c>
    </row>
    <row r="106" spans="1:50" s="12" customFormat="1">
      <c r="A106" s="12" t="s">
        <v>257</v>
      </c>
      <c r="B106" s="12" t="s">
        <v>520</v>
      </c>
      <c r="C106" s="12" t="s">
        <v>34</v>
      </c>
      <c r="D106" s="12">
        <v>530</v>
      </c>
      <c r="E106" s="12">
        <v>575</v>
      </c>
      <c r="F106" s="13">
        <v>0.1613905772213266</v>
      </c>
      <c r="G106" s="13">
        <v>0.24574813787871094</v>
      </c>
      <c r="H106" s="13">
        <v>0.28163365331293494</v>
      </c>
      <c r="I106" s="13">
        <v>1.2255559146782473</v>
      </c>
      <c r="J106" s="13">
        <v>-0.74672838039536937</v>
      </c>
      <c r="K106" s="13">
        <v>-1.276122075278207</v>
      </c>
      <c r="L106" s="13">
        <v>-0.3854509241801809</v>
      </c>
      <c r="M106" s="13">
        <v>-1.1367761177812594</v>
      </c>
      <c r="O106" s="12">
        <v>107.55399208495561</v>
      </c>
      <c r="P106" s="12">
        <v>110.45209878154566</v>
      </c>
      <c r="Q106" s="12">
        <v>103.58686047483143</v>
      </c>
      <c r="R106" s="12">
        <v>106.7520293694142</v>
      </c>
      <c r="S106" s="12">
        <v>73.71399590777726</v>
      </c>
      <c r="T106" s="12">
        <v>64.143431086871615</v>
      </c>
      <c r="U106" s="12">
        <v>96.610892753815861</v>
      </c>
      <c r="V106" s="12">
        <v>206.57050799054201</v>
      </c>
      <c r="W106" s="12">
        <v>235.00068218807985</v>
      </c>
      <c r="X106" s="12">
        <v>99.448723541256101</v>
      </c>
      <c r="Y106" s="12">
        <v>96.733132075727255</v>
      </c>
      <c r="AB106" s="12">
        <v>132.95684931604501</v>
      </c>
      <c r="AC106" s="12">
        <v>84.796552120882538</v>
      </c>
      <c r="AD106" s="12">
        <v>24.919744528893961</v>
      </c>
      <c r="AE106" s="12">
        <v>1.5368657915684225</v>
      </c>
      <c r="AF106" s="12">
        <v>21.510771850000001</v>
      </c>
      <c r="AG106" s="12">
        <v>71.916477909315077</v>
      </c>
      <c r="AH106" s="12">
        <v>71.999999999999531</v>
      </c>
      <c r="AI106" s="12">
        <v>35.477499999999999</v>
      </c>
      <c r="AJ106" s="12">
        <v>1.7064838499999999</v>
      </c>
      <c r="AK106" s="12">
        <v>155.42249999999999</v>
      </c>
      <c r="AL106" s="12">
        <v>5.7458036499999992</v>
      </c>
      <c r="AM106" s="12">
        <v>3.9034110750000002</v>
      </c>
      <c r="AN106" s="12">
        <v>1.0294661999999999</v>
      </c>
      <c r="AO106" s="12">
        <v>22.878947549999999</v>
      </c>
      <c r="AP106" s="12">
        <v>3.8759398750000003</v>
      </c>
      <c r="AQ106" s="12">
        <v>19.003007674999999</v>
      </c>
      <c r="AR106" s="12">
        <v>0.25086197984159436</v>
      </c>
      <c r="AS106" s="12">
        <v>0.30798549990609392</v>
      </c>
      <c r="AT106" s="12">
        <v>0.42507495462901085</v>
      </c>
      <c r="AU106" s="12">
        <v>0.73306045453510471</v>
      </c>
      <c r="AV106" s="12">
        <v>0.31219999999999998</v>
      </c>
      <c r="AW106" s="12">
        <v>0.27029999999999998</v>
      </c>
      <c r="AX106" s="12">
        <v>6.1699999999999998E-2</v>
      </c>
    </row>
    <row r="107" spans="1:50" s="12" customFormat="1">
      <c r="A107" s="12" t="s">
        <v>293</v>
      </c>
      <c r="B107" s="12" t="s">
        <v>1183</v>
      </c>
      <c r="C107" s="12" t="s">
        <v>20</v>
      </c>
      <c r="D107" s="12">
        <v>438</v>
      </c>
      <c r="E107" s="12">
        <v>478</v>
      </c>
      <c r="F107" s="13">
        <v>-0.57259482184961019</v>
      </c>
      <c r="G107" s="13">
        <v>0.43603849630675551</v>
      </c>
      <c r="H107" s="13">
        <v>0.15794670765156363</v>
      </c>
      <c r="I107" s="13">
        <v>-0.91398044291072766</v>
      </c>
      <c r="J107" s="13">
        <v>-1.0040591017689973</v>
      </c>
      <c r="K107" s="13">
        <v>3.6201981814437789E-2</v>
      </c>
      <c r="L107" s="13">
        <v>0.41161080968576724</v>
      </c>
      <c r="M107" s="13">
        <v>-1.2787071865879573</v>
      </c>
      <c r="O107" s="12">
        <v>89.130267899027572</v>
      </c>
      <c r="P107" s="12">
        <v>118.54548105753784</v>
      </c>
      <c r="Q107" s="12">
        <v>87.274240107779804</v>
      </c>
      <c r="R107" s="12">
        <v>103.78669522026418</v>
      </c>
      <c r="S107" s="12">
        <v>64.655553008499226</v>
      </c>
      <c r="T107" s="12">
        <v>101.0172058620945</v>
      </c>
      <c r="U107" s="12">
        <v>111.53000168592604</v>
      </c>
      <c r="V107" s="12">
        <v>20.523120220109618</v>
      </c>
      <c r="W107" s="12">
        <v>9.3606183085987595</v>
      </c>
      <c r="X107" s="12">
        <v>99.723990671390382</v>
      </c>
      <c r="Y107" s="12">
        <v>103.48858458260628</v>
      </c>
      <c r="AB107" s="12">
        <v>110.1816805571399</v>
      </c>
      <c r="AC107" s="12">
        <v>63.688585929646976</v>
      </c>
      <c r="AD107" s="12">
        <v>19.986372033390417</v>
      </c>
      <c r="AE107" s="12">
        <v>3.1173451022103178</v>
      </c>
      <c r="AF107" s="12">
        <v>23.08697458</v>
      </c>
      <c r="AG107" s="12">
        <v>60.591236494597695</v>
      </c>
      <c r="AH107" s="12">
        <v>69.999999999999787</v>
      </c>
      <c r="AI107" s="12">
        <v>31.117800000000003</v>
      </c>
      <c r="AJ107" s="12">
        <v>1.791801164</v>
      </c>
      <c r="AK107" s="12">
        <v>113.23820000000001</v>
      </c>
      <c r="AL107" s="12">
        <v>6.6330977026002991</v>
      </c>
      <c r="AM107" s="12">
        <v>3.813445282</v>
      </c>
      <c r="AN107" s="12">
        <v>0</v>
      </c>
      <c r="AO107" s="12">
        <v>2.2730611240000003</v>
      </c>
      <c r="AP107" s="12">
        <v>1.5161275700000001</v>
      </c>
      <c r="AQ107" s="12">
        <v>0.75693355400000017</v>
      </c>
      <c r="AR107" s="12">
        <v>0.25155634830397239</v>
      </c>
      <c r="AS107" s="12">
        <v>0.3153931129837646</v>
      </c>
      <c r="AT107" s="12">
        <v>0.46886133247273692</v>
      </c>
      <c r="AU107" s="12">
        <v>0.78425444545650147</v>
      </c>
      <c r="AV107" s="12" t="s">
        <v>1184</v>
      </c>
      <c r="AW107" s="12">
        <v>0.2369</v>
      </c>
      <c r="AX107" s="12">
        <v>6.5100000000000005E-2</v>
      </c>
    </row>
    <row r="108" spans="1:50" s="12" customFormat="1">
      <c r="A108" s="12" t="s">
        <v>116</v>
      </c>
      <c r="B108" s="12" t="s">
        <v>1119</v>
      </c>
      <c r="C108" s="12" t="s">
        <v>20</v>
      </c>
      <c r="D108" s="12">
        <v>514</v>
      </c>
      <c r="E108" s="12">
        <v>562</v>
      </c>
      <c r="F108" s="13">
        <v>-7.7565163118219746E-2</v>
      </c>
      <c r="G108" s="13">
        <v>0.52030019240567738</v>
      </c>
      <c r="H108" s="13">
        <v>0.6526944902971058</v>
      </c>
      <c r="I108" s="13">
        <v>6.2290682532402476E-2</v>
      </c>
      <c r="J108" s="13">
        <v>-0.628212345932882</v>
      </c>
      <c r="K108" s="13">
        <v>-1.0426747748173981</v>
      </c>
      <c r="L108" s="13">
        <v>-0.73547775798925963</v>
      </c>
      <c r="M108" s="13">
        <v>-1.303637948389198</v>
      </c>
      <c r="O108" s="12">
        <v>96.332275174083293</v>
      </c>
      <c r="P108" s="12">
        <v>122.12927859402694</v>
      </c>
      <c r="Q108" s="12">
        <v>98.276135926876137</v>
      </c>
      <c r="R108" s="12">
        <v>115.64803181686564</v>
      </c>
      <c r="S108" s="12">
        <v>77.885945238570741</v>
      </c>
      <c r="T108" s="12">
        <v>70.702849953387116</v>
      </c>
      <c r="U108" s="12">
        <v>87.755105267756974</v>
      </c>
      <c r="V108" s="12">
        <v>105.41660286654373</v>
      </c>
      <c r="W108" s="12">
        <v>101.63141673446148</v>
      </c>
      <c r="X108" s="12">
        <v>91.845365463652925</v>
      </c>
      <c r="Y108" s="12">
        <v>93.766499064176671</v>
      </c>
      <c r="AB108" s="12">
        <v>119.08470849204241</v>
      </c>
      <c r="AC108" s="12">
        <v>71.481241071334054</v>
      </c>
      <c r="AD108" s="12">
        <v>22.928307771290712</v>
      </c>
      <c r="AE108" s="12">
        <v>0.90624460485285541</v>
      </c>
      <c r="AF108" s="12">
        <v>23.78492647058815</v>
      </c>
      <c r="AG108" s="12">
        <v>68.22944074181369</v>
      </c>
      <c r="AH108" s="12">
        <v>77.999999999999659</v>
      </c>
      <c r="AI108" s="12">
        <v>37.485399999999998</v>
      </c>
      <c r="AJ108" s="12">
        <v>0.97795643200000004</v>
      </c>
      <c r="AK108" s="12">
        <v>147.91839999999999</v>
      </c>
      <c r="AL108" s="12">
        <v>5.2191175320000003</v>
      </c>
      <c r="AM108" s="12">
        <v>5.1323531620000002</v>
      </c>
      <c r="AN108" s="12">
        <v>0</v>
      </c>
      <c r="AO108" s="12">
        <v>11.675533701999999</v>
      </c>
      <c r="AP108" s="12">
        <v>3.457248656</v>
      </c>
      <c r="AQ108" s="12">
        <v>8.2182850459999983</v>
      </c>
      <c r="AR108" s="12">
        <v>0.23168231224132765</v>
      </c>
      <c r="AS108" s="12">
        <v>0.29190895779050641</v>
      </c>
      <c r="AT108" s="12">
        <v>0.41866983718059658</v>
      </c>
      <c r="AU108" s="12">
        <v>0.71057879497110299</v>
      </c>
      <c r="AV108" s="12" t="s">
        <v>1120</v>
      </c>
      <c r="AW108" s="12">
        <v>0.26319999999999999</v>
      </c>
      <c r="AX108" s="12">
        <v>6.6699999999999995E-2</v>
      </c>
    </row>
    <row r="109" spans="1:50" s="12" customFormat="1">
      <c r="A109" s="12" t="s">
        <v>130</v>
      </c>
      <c r="B109" s="12" t="s">
        <v>1202</v>
      </c>
      <c r="C109" s="12" t="s">
        <v>34</v>
      </c>
      <c r="D109" s="12">
        <v>513</v>
      </c>
      <c r="E109" s="12">
        <v>569</v>
      </c>
      <c r="F109" s="13">
        <v>-8.3493773360454049E-2</v>
      </c>
      <c r="G109" s="13">
        <v>-0.54118220698838748</v>
      </c>
      <c r="H109" s="13">
        <v>-0.58417497225372239</v>
      </c>
      <c r="I109" s="13">
        <v>0.56876246331675517</v>
      </c>
      <c r="J109" s="13">
        <v>-0.16740519366003906</v>
      </c>
      <c r="K109" s="13">
        <v>0.43824302437853901</v>
      </c>
      <c r="L109" s="13">
        <v>-0.26682325735477924</v>
      </c>
      <c r="M109" s="13">
        <v>-1.3124283110454191</v>
      </c>
      <c r="O109" s="12">
        <v>110.42191329947246</v>
      </c>
      <c r="P109" s="12">
        <v>76.982572746698722</v>
      </c>
      <c r="Q109" s="12">
        <v>98.144374221114418</v>
      </c>
      <c r="R109" s="12">
        <v>85.994690183025966</v>
      </c>
      <c r="S109" s="12">
        <v>94.107075984875223</v>
      </c>
      <c r="T109" s="12">
        <v>112.31378369573387</v>
      </c>
      <c r="U109" s="12">
        <v>80.263495306665988</v>
      </c>
      <c r="V109" s="12">
        <v>149.45780434467721</v>
      </c>
      <c r="W109" s="12">
        <v>162.26848006108384</v>
      </c>
      <c r="X109" s="12">
        <v>105.48396619327896</v>
      </c>
      <c r="Y109" s="12">
        <v>97.738554284812565</v>
      </c>
      <c r="AB109" s="12">
        <v>136.50213630518451</v>
      </c>
      <c r="AC109" s="12">
        <v>94.728813571815962</v>
      </c>
      <c r="AD109" s="12">
        <v>25.64437013705027</v>
      </c>
      <c r="AE109" s="12">
        <v>1.0034716684474136</v>
      </c>
      <c r="AF109" s="12">
        <v>14.992513289000001</v>
      </c>
      <c r="AG109" s="12">
        <v>68.137963523967045</v>
      </c>
      <c r="AH109" s="12">
        <v>57.999999903999999</v>
      </c>
      <c r="AI109" s="12">
        <v>45.292400000000001</v>
      </c>
      <c r="AJ109" s="12">
        <v>1.774110705</v>
      </c>
      <c r="AK109" s="12">
        <v>100.3147</v>
      </c>
      <c r="AL109" s="12">
        <v>4.7735640480000008</v>
      </c>
      <c r="AM109" s="12">
        <v>5.0570409860000005</v>
      </c>
      <c r="AN109" s="12">
        <v>0.50000021500000003</v>
      </c>
      <c r="AO109" s="12">
        <v>16.553366208</v>
      </c>
      <c r="AP109" s="12">
        <v>3.4317482480000003</v>
      </c>
      <c r="AQ109" s="12">
        <v>13.12161796</v>
      </c>
      <c r="AR109" s="12">
        <v>0.26608603568262085</v>
      </c>
      <c r="AS109" s="12">
        <v>0.33327616676851374</v>
      </c>
      <c r="AT109" s="12">
        <v>0.40740355167106967</v>
      </c>
      <c r="AU109" s="12">
        <v>0.74067971843958347</v>
      </c>
      <c r="AV109" s="12" t="s">
        <v>680</v>
      </c>
      <c r="AW109" s="12">
        <v>0.17630000000000001</v>
      </c>
      <c r="AX109" s="12">
        <v>7.9600000000000004E-2</v>
      </c>
    </row>
    <row r="110" spans="1:50" s="12" customFormat="1">
      <c r="A110" s="12" t="s">
        <v>440</v>
      </c>
      <c r="B110" s="12" t="s">
        <v>526</v>
      </c>
      <c r="C110" s="12" t="s">
        <v>169</v>
      </c>
      <c r="D110" s="12">
        <v>468</v>
      </c>
      <c r="E110" s="12">
        <v>533</v>
      </c>
      <c r="F110" s="13">
        <v>-2.9759475935298065E-2</v>
      </c>
      <c r="G110" s="13">
        <v>-1.1215518534138429</v>
      </c>
      <c r="H110" s="13">
        <v>-0.76970538480885919</v>
      </c>
      <c r="I110" s="13">
        <v>1.3235447519874601</v>
      </c>
      <c r="J110" s="13">
        <v>-0.10059494444041178</v>
      </c>
      <c r="K110" s="13">
        <v>0.79155134800607785</v>
      </c>
      <c r="L110" s="13">
        <v>-9.7830905470851784E-2</v>
      </c>
      <c r="M110" s="13">
        <v>-1.3411960424136573</v>
      </c>
      <c r="O110" s="12">
        <v>102.12226601986455</v>
      </c>
      <c r="P110" s="12">
        <v>52.298435049413392</v>
      </c>
      <c r="Q110" s="12">
        <v>99.338603964235091</v>
      </c>
      <c r="R110" s="12">
        <v>81.546689101635693</v>
      </c>
      <c r="S110" s="12">
        <v>96.458900999828728</v>
      </c>
      <c r="T110" s="12">
        <v>122.24106612360886</v>
      </c>
      <c r="U110" s="12">
        <v>171.16972997660176</v>
      </c>
      <c r="V110" s="12">
        <v>215.09131070902669</v>
      </c>
      <c r="W110" s="12">
        <v>213.84989940068758</v>
      </c>
      <c r="X110" s="12">
        <v>106.93580371530541</v>
      </c>
      <c r="Y110" s="12">
        <v>99.170839588035591</v>
      </c>
      <c r="AB110" s="12">
        <v>126.24222004043521</v>
      </c>
      <c r="AC110" s="12">
        <v>87.342937179105334</v>
      </c>
      <c r="AD110" s="12">
        <v>26.993822863099503</v>
      </c>
      <c r="AE110" s="12">
        <v>1.5594861589421281</v>
      </c>
      <c r="AF110" s="12">
        <v>10.185227052</v>
      </c>
      <c r="AG110" s="12">
        <v>68.967072510822106</v>
      </c>
      <c r="AH110" s="12">
        <v>54.999999999999531</v>
      </c>
      <c r="AI110" s="12">
        <v>46.424299999999995</v>
      </c>
      <c r="AJ110" s="12">
        <v>0.40378800800000003</v>
      </c>
      <c r="AK110" s="12">
        <v>88.957700000000003</v>
      </c>
      <c r="AL110" s="12">
        <v>10.180090787228822</v>
      </c>
      <c r="AM110" s="12">
        <v>5.0378786900000003</v>
      </c>
      <c r="AN110" s="12">
        <v>0.49999983799999997</v>
      </c>
      <c r="AO110" s="12">
        <v>23.822678581000002</v>
      </c>
      <c r="AP110" s="12">
        <v>6.5299999310000008</v>
      </c>
      <c r="AQ110" s="12">
        <v>17.292678649999999</v>
      </c>
      <c r="AR110" s="12">
        <v>0.26974833341973337</v>
      </c>
      <c r="AS110" s="12">
        <v>0.3524954710915279</v>
      </c>
      <c r="AT110" s="12">
        <v>0.39903835382506569</v>
      </c>
      <c r="AU110" s="12">
        <v>0.7515338249165936</v>
      </c>
      <c r="AV110" s="12">
        <v>0.31040000000000001</v>
      </c>
      <c r="AW110" s="12">
        <v>0.16689999999999999</v>
      </c>
      <c r="AX110" s="12">
        <v>8.7099999999999997E-2</v>
      </c>
    </row>
    <row r="111" spans="1:50" s="12" customFormat="1">
      <c r="A111" s="12" t="s">
        <v>66</v>
      </c>
      <c r="B111" s="12" t="s">
        <v>432</v>
      </c>
      <c r="C111" s="12" t="s">
        <v>20</v>
      </c>
      <c r="D111" s="12">
        <v>532</v>
      </c>
      <c r="E111" s="12">
        <v>567</v>
      </c>
      <c r="F111" s="13">
        <v>3.021815739969598E-2</v>
      </c>
      <c r="G111" s="13">
        <v>-0.15049625103040756</v>
      </c>
      <c r="H111" s="13">
        <v>0.15794670765154939</v>
      </c>
      <c r="I111" s="13">
        <v>0.74062097789361891</v>
      </c>
      <c r="J111" s="13">
        <v>-1.251095885989252</v>
      </c>
      <c r="K111" s="13">
        <v>0.16875248857788067</v>
      </c>
      <c r="L111" s="13">
        <v>-0.27184445034567395</v>
      </c>
      <c r="M111" s="13">
        <v>-1.3428143310938858</v>
      </c>
      <c r="O111" s="12">
        <v>113.4249344193052</v>
      </c>
      <c r="P111" s="12">
        <v>93.599130819056498</v>
      </c>
      <c r="Q111" s="12">
        <v>100.67159010312342</v>
      </c>
      <c r="R111" s="12">
        <v>103.78669522026384</v>
      </c>
      <c r="S111" s="12">
        <v>55.959472758402114</v>
      </c>
      <c r="T111" s="12">
        <v>104.74161943686737</v>
      </c>
      <c r="U111" s="12">
        <v>78.535903876883424</v>
      </c>
      <c r="V111" s="12">
        <v>164.40208308512513</v>
      </c>
      <c r="W111" s="12">
        <v>164.92133797862888</v>
      </c>
      <c r="X111" s="12">
        <v>104.48295637059636</v>
      </c>
      <c r="Y111" s="12">
        <v>97.695997442178381</v>
      </c>
      <c r="AB111" s="12">
        <v>140.21443204412017</v>
      </c>
      <c r="AC111" s="12">
        <v>91.741394394627534</v>
      </c>
      <c r="AD111" s="12">
        <v>28.09034123606919</v>
      </c>
      <c r="AE111" s="12">
        <v>3.2964510986085207</v>
      </c>
      <c r="AF111" s="12">
        <v>18.228621915000002</v>
      </c>
      <c r="AG111" s="12">
        <v>69.892514866844451</v>
      </c>
      <c r="AH111" s="12">
        <v>69.999999999999559</v>
      </c>
      <c r="AI111" s="12">
        <v>26.932500000000001</v>
      </c>
      <c r="AJ111" s="12">
        <v>1.1739196350000001</v>
      </c>
      <c r="AK111" s="12">
        <v>108.97739999999943</v>
      </c>
      <c r="AL111" s="12">
        <v>4.6708178579999995</v>
      </c>
      <c r="AM111" s="12">
        <v>4.0056537149999993</v>
      </c>
      <c r="AN111" s="12">
        <v>1.9310347350000001</v>
      </c>
      <c r="AO111" s="12">
        <v>18.208536507000002</v>
      </c>
      <c r="AP111" s="12">
        <v>4.872398832</v>
      </c>
      <c r="AQ111" s="12">
        <v>13.336137675000002</v>
      </c>
      <c r="AR111" s="12">
        <v>0.26356096248894767</v>
      </c>
      <c r="AS111" s="12">
        <v>0.3066618810510523</v>
      </c>
      <c r="AT111" s="12">
        <v>0.43369533425299156</v>
      </c>
      <c r="AU111" s="12">
        <v>0.74035721530404386</v>
      </c>
      <c r="AV111" s="12">
        <v>0.2984</v>
      </c>
      <c r="AW111" s="12" t="s">
        <v>433</v>
      </c>
      <c r="AX111" s="12">
        <v>4.7500000000000001E-2</v>
      </c>
    </row>
    <row r="112" spans="1:50" s="12" customFormat="1">
      <c r="A112" s="12" t="s">
        <v>58</v>
      </c>
      <c r="B112" s="12" t="s">
        <v>1226</v>
      </c>
      <c r="C112" s="12" t="s">
        <v>124</v>
      </c>
      <c r="D112" s="12">
        <v>431</v>
      </c>
      <c r="E112" s="12">
        <v>476</v>
      </c>
      <c r="F112" s="13">
        <v>-0.58384901174342962</v>
      </c>
      <c r="G112" s="13">
        <v>-0.15733512919089329</v>
      </c>
      <c r="H112" s="13">
        <v>-0.27495760216329679</v>
      </c>
      <c r="I112" s="13">
        <v>-0.42952139393568417</v>
      </c>
      <c r="J112" s="13">
        <v>-0.77573910350823005</v>
      </c>
      <c r="K112" s="13">
        <v>0.75136124293480766</v>
      </c>
      <c r="L112" s="13">
        <v>0.31896005477818806</v>
      </c>
      <c r="M112" s="13">
        <v>-1.3992725669015891</v>
      </c>
      <c r="O112" s="12">
        <v>93.544677010204708</v>
      </c>
      <c r="P112" s="12">
        <v>93.308261351212835</v>
      </c>
      <c r="Q112" s="12">
        <v>87.024118882604256</v>
      </c>
      <c r="R112" s="12">
        <v>93.408025698237637</v>
      </c>
      <c r="S112" s="12">
        <v>72.692773189472064</v>
      </c>
      <c r="T112" s="12">
        <v>121.11180169034553</v>
      </c>
      <c r="U112" s="12">
        <v>69.918573000913284</v>
      </c>
      <c r="V112" s="12">
        <v>62.650163410496987</v>
      </c>
      <c r="W112" s="12">
        <v>60.611187056034957</v>
      </c>
      <c r="X112" s="12">
        <v>106.36294598164093</v>
      </c>
      <c r="Y112" s="12">
        <v>102.70332824936233</v>
      </c>
      <c r="AB112" s="12">
        <v>115.63871581577119</v>
      </c>
      <c r="AC112" s="12">
        <v>73.241388002266646</v>
      </c>
      <c r="AD112" s="12">
        <v>23.399346244120327</v>
      </c>
      <c r="AE112" s="12">
        <v>0.20096238539886557</v>
      </c>
      <c r="AF112" s="12">
        <v>18.171974492</v>
      </c>
      <c r="AG112" s="12">
        <v>60.417586694975107</v>
      </c>
      <c r="AH112" s="12">
        <v>62.999999999999723</v>
      </c>
      <c r="AI112" s="12">
        <v>34.985999999999997</v>
      </c>
      <c r="AJ112" s="12">
        <v>0.20212292799999998</v>
      </c>
      <c r="AK112" s="12">
        <v>90.249600000000001</v>
      </c>
      <c r="AL112" s="12">
        <v>4.1583136280000002</v>
      </c>
      <c r="AM112" s="12">
        <v>3.8339700839999997</v>
      </c>
      <c r="AN112" s="12">
        <v>0</v>
      </c>
      <c r="AO112" s="12">
        <v>6.9388888888888127</v>
      </c>
      <c r="AP112" s="12">
        <v>2.0376484239999999</v>
      </c>
      <c r="AQ112" s="12">
        <v>4.9012404648888133</v>
      </c>
      <c r="AR112" s="12">
        <v>0.26830328495538558</v>
      </c>
      <c r="AS112" s="12">
        <v>0.32974014344430896</v>
      </c>
      <c r="AT112" s="12">
        <v>0.44856349330557749</v>
      </c>
      <c r="AU112" s="12">
        <v>0.77830363674988645</v>
      </c>
      <c r="AV112" s="12">
        <v>0.29859999999999998</v>
      </c>
      <c r="AW112" s="12">
        <v>0.18959999999999999</v>
      </c>
      <c r="AX112" s="12">
        <v>7.3499999999999996E-2</v>
      </c>
    </row>
    <row r="113" spans="1:50" s="12" customFormat="1">
      <c r="A113" s="12" t="s">
        <v>335</v>
      </c>
      <c r="B113" s="12" t="s">
        <v>1132</v>
      </c>
      <c r="C113" s="12" t="s">
        <v>124</v>
      </c>
      <c r="D113" s="12">
        <v>488</v>
      </c>
      <c r="E113" s="12">
        <v>528</v>
      </c>
      <c r="F113" s="13">
        <v>-0.49819784530780969</v>
      </c>
      <c r="G113" s="13">
        <v>0.83575350455112385</v>
      </c>
      <c r="H113" s="13">
        <v>0.34347712614363335</v>
      </c>
      <c r="I113" s="13">
        <v>-0.95080879235190652</v>
      </c>
      <c r="J113" s="13">
        <v>-1.1547495923226754</v>
      </c>
      <c r="K113" s="13">
        <v>-0.49818735706106887</v>
      </c>
      <c r="L113" s="13">
        <v>-6.9956597787053251E-2</v>
      </c>
      <c r="M113" s="13">
        <v>-1.5655077720009432</v>
      </c>
      <c r="O113" s="12">
        <v>95.725528535023571</v>
      </c>
      <c r="P113" s="12">
        <v>135.54606053984685</v>
      </c>
      <c r="Q113" s="12">
        <v>88.927692119657692</v>
      </c>
      <c r="R113" s="12">
        <v>108.23469644398952</v>
      </c>
      <c r="S113" s="12">
        <v>59.351012622266964</v>
      </c>
      <c r="T113" s="12">
        <v>86.001896177358148</v>
      </c>
      <c r="U113" s="12">
        <v>127.08982536573161</v>
      </c>
      <c r="V113" s="12">
        <v>17.320642176151892</v>
      </c>
      <c r="W113" s="12">
        <v>11.724547845573426</v>
      </c>
      <c r="X113" s="12">
        <v>96.129459169837844</v>
      </c>
      <c r="Y113" s="12">
        <v>99.407086736429875</v>
      </c>
      <c r="AB113" s="12">
        <v>118.33465617042557</v>
      </c>
      <c r="AC113" s="12">
        <v>68.332789463928663</v>
      </c>
      <c r="AD113" s="12">
        <v>22.503627566401423</v>
      </c>
      <c r="AE113" s="12">
        <v>1.0138596392791153</v>
      </c>
      <c r="AF113" s="12">
        <v>26.397872159999999</v>
      </c>
      <c r="AG113" s="12">
        <v>61.739166304819342</v>
      </c>
      <c r="AH113" s="12">
        <v>72.999999999999602</v>
      </c>
      <c r="AI113" s="12">
        <v>28.564800000000002</v>
      </c>
      <c r="AJ113" s="12">
        <v>0.97916068799999989</v>
      </c>
      <c r="AK113" s="12">
        <v>130.416</v>
      </c>
      <c r="AL113" s="12">
        <v>7.558497408</v>
      </c>
      <c r="AM113" s="12">
        <v>3.251063904</v>
      </c>
      <c r="AN113" s="12">
        <v>0</v>
      </c>
      <c r="AO113" s="12">
        <v>1.9183670879999999</v>
      </c>
      <c r="AP113" s="12">
        <v>0.97027761599999995</v>
      </c>
      <c r="AQ113" s="12">
        <v>0.94808947199999993</v>
      </c>
      <c r="AR113" s="12">
        <v>0.2424890495295606</v>
      </c>
      <c r="AS113" s="12">
        <v>0.29846121204440795</v>
      </c>
      <c r="AT113" s="12">
        <v>0.45486293474296891</v>
      </c>
      <c r="AU113" s="12">
        <v>0.7533241467873768</v>
      </c>
      <c r="AV113" s="12" t="s">
        <v>1133</v>
      </c>
      <c r="AW113" s="12">
        <v>0.247</v>
      </c>
      <c r="AX113" s="12">
        <v>5.4100000000000002E-2</v>
      </c>
    </row>
    <row r="114" spans="1:50" s="12" customFormat="1">
      <c r="A114" s="12" t="s">
        <v>404</v>
      </c>
      <c r="B114" s="12" t="s">
        <v>953</v>
      </c>
      <c r="C114" s="12" t="s">
        <v>169</v>
      </c>
      <c r="D114" s="12">
        <v>481</v>
      </c>
      <c r="E114" s="12">
        <v>533</v>
      </c>
      <c r="F114" s="13">
        <v>-0.18801156937479999</v>
      </c>
      <c r="G114" s="13">
        <v>0.21682369018788172</v>
      </c>
      <c r="H114" s="13">
        <v>0.28163365331294382</v>
      </c>
      <c r="I114" s="13">
        <v>-0.70821782340712347</v>
      </c>
      <c r="J114" s="13">
        <v>-0.17295353134591659</v>
      </c>
      <c r="K114" s="13">
        <v>-0.70573616501329905</v>
      </c>
      <c r="L114" s="13">
        <v>-0.31658092056472542</v>
      </c>
      <c r="M114" s="13">
        <v>-1.7071519791028242</v>
      </c>
      <c r="O114" s="12">
        <v>92.833324591314707</v>
      </c>
      <c r="P114" s="12">
        <v>109.22189135423483</v>
      </c>
      <c r="Q114" s="12">
        <v>95.821495414341058</v>
      </c>
      <c r="R114" s="12">
        <v>106.75202936941442</v>
      </c>
      <c r="S114" s="12">
        <v>93.911765841394683</v>
      </c>
      <c r="T114" s="12">
        <v>80.170174996957471</v>
      </c>
      <c r="U114" s="12">
        <v>78.125361228484508</v>
      </c>
      <c r="V114" s="12">
        <v>38.415593850511577</v>
      </c>
      <c r="W114" s="12">
        <v>40.063415776965819</v>
      </c>
      <c r="X114" s="12">
        <v>94.58175658984814</v>
      </c>
      <c r="Y114" s="12">
        <v>97.316835970676806</v>
      </c>
      <c r="AB114" s="12">
        <v>114.75935118656938</v>
      </c>
      <c r="AC114" s="12">
        <v>69.152395633917422</v>
      </c>
      <c r="AD114" s="12">
        <v>23.70639577287114</v>
      </c>
      <c r="AE114" s="12">
        <v>1.0397459850604103</v>
      </c>
      <c r="AF114" s="12">
        <v>21.271186440677926</v>
      </c>
      <c r="AG114" s="12">
        <v>66.525275760021131</v>
      </c>
      <c r="AH114" s="12">
        <v>71.999999999999673</v>
      </c>
      <c r="AI114" s="12">
        <v>45.198399999999999</v>
      </c>
      <c r="AJ114" s="12">
        <v>1.0151752519999999</v>
      </c>
      <c r="AK114" s="12">
        <v>137.08759999999998</v>
      </c>
      <c r="AL114" s="12">
        <v>4.6464013829999997</v>
      </c>
      <c r="AM114" s="12">
        <v>4.0120524990000002</v>
      </c>
      <c r="AN114" s="12">
        <v>0</v>
      </c>
      <c r="AO114" s="12">
        <v>4.2547620440000005</v>
      </c>
      <c r="AP114" s="12">
        <v>1.0150889060000001</v>
      </c>
      <c r="AQ114" s="12">
        <v>3.2396731380000006</v>
      </c>
      <c r="AR114" s="12">
        <v>0.23858492970180745</v>
      </c>
      <c r="AS114" s="12">
        <v>0.31176833189079445</v>
      </c>
      <c r="AT114" s="12">
        <v>0.42571553201154394</v>
      </c>
      <c r="AU114" s="12">
        <v>0.73748386390233844</v>
      </c>
      <c r="AV114" s="12" t="s">
        <v>954</v>
      </c>
      <c r="AW114" s="12">
        <v>0.25719999999999998</v>
      </c>
      <c r="AX114" s="12">
        <v>8.48E-2</v>
      </c>
    </row>
    <row r="115" spans="1:50" s="12" customFormat="1">
      <c r="A115" s="12" t="s">
        <v>48</v>
      </c>
      <c r="B115" s="12" t="s">
        <v>686</v>
      </c>
      <c r="C115" s="12" t="s">
        <v>20</v>
      </c>
      <c r="D115" s="12">
        <v>576</v>
      </c>
      <c r="E115" s="12">
        <v>645</v>
      </c>
      <c r="F115" s="13">
        <v>0.69138171080754396</v>
      </c>
      <c r="G115" s="13">
        <v>-1.8052006499987274</v>
      </c>
      <c r="H115" s="13">
        <v>-0.83154886691604479</v>
      </c>
      <c r="I115" s="13">
        <v>0.73676798019753187</v>
      </c>
      <c r="J115" s="13">
        <v>0.52088970622068975</v>
      </c>
      <c r="K115" s="13">
        <v>1.7209634712956132</v>
      </c>
      <c r="L115" s="13">
        <v>-1.2755707288189526</v>
      </c>
      <c r="M115" s="13">
        <v>-1.8291917634522854</v>
      </c>
      <c r="O115" s="12">
        <v>123.32076275475721</v>
      </c>
      <c r="P115" s="12">
        <v>23.221654181528677</v>
      </c>
      <c r="Q115" s="12">
        <v>115.36576530187384</v>
      </c>
      <c r="R115" s="12">
        <v>80.064021804661124</v>
      </c>
      <c r="S115" s="12">
        <v>118.33613039063047</v>
      </c>
      <c r="T115" s="12">
        <v>148.35575412488248</v>
      </c>
      <c r="U115" s="12">
        <v>79.302426484047004</v>
      </c>
      <c r="V115" s="12">
        <v>164.0670384601998</v>
      </c>
      <c r="W115" s="12">
        <v>166.25009768245138</v>
      </c>
      <c r="X115" s="12">
        <v>104.92096271039382</v>
      </c>
      <c r="Y115" s="12">
        <v>89.188971052585018</v>
      </c>
      <c r="AB115" s="12">
        <v>152.44752661688946</v>
      </c>
      <c r="AC115" s="12">
        <v>120.39207130786228</v>
      </c>
      <c r="AD115" s="12">
        <v>24.297214983037147</v>
      </c>
      <c r="AE115" s="12">
        <v>2.7563814653295244</v>
      </c>
      <c r="AF115" s="12">
        <v>4.5224645849999998</v>
      </c>
      <c r="AG115" s="12">
        <v>80.094130411832424</v>
      </c>
      <c r="AH115" s="12">
        <v>53.999999850000002</v>
      </c>
      <c r="AI115" s="12">
        <v>56.953500000000005</v>
      </c>
      <c r="AJ115" s="12">
        <v>0.98482147499999995</v>
      </c>
      <c r="AK115" s="12">
        <v>59.082000000000001</v>
      </c>
      <c r="AL115" s="12">
        <v>4.7164057650000002</v>
      </c>
      <c r="AM115" s="12">
        <v>4.8249611999999997</v>
      </c>
      <c r="AN115" s="12">
        <v>2.9930554199999997</v>
      </c>
      <c r="AO115" s="12">
        <v>18.171428264999999</v>
      </c>
      <c r="AP115" s="12">
        <v>4.7278422600000001</v>
      </c>
      <c r="AQ115" s="12">
        <v>13.443586005</v>
      </c>
      <c r="AR115" s="12">
        <v>0.26466584482098865</v>
      </c>
      <c r="AS115" s="12">
        <v>0.3367479936481142</v>
      </c>
      <c r="AT115" s="12">
        <v>0.33914150001723115</v>
      </c>
      <c r="AU115" s="12">
        <v>0.67588949366534534</v>
      </c>
      <c r="AV115" s="12" t="s">
        <v>687</v>
      </c>
      <c r="AW115" s="12">
        <v>9.1600000000000001E-2</v>
      </c>
      <c r="AX115" s="12">
        <v>8.8300000000000003E-2</v>
      </c>
    </row>
    <row r="116" spans="1:50" s="12" customFormat="1">
      <c r="A116" s="12" t="s">
        <v>74</v>
      </c>
      <c r="B116" s="12" t="s">
        <v>774</v>
      </c>
      <c r="C116" s="12" t="s">
        <v>775</v>
      </c>
      <c r="D116" s="12">
        <v>489</v>
      </c>
      <c r="E116" s="12">
        <v>551</v>
      </c>
      <c r="F116" s="13">
        <v>-0.28540279228017695</v>
      </c>
      <c r="G116" s="13">
        <v>-0.78607255824317701</v>
      </c>
      <c r="H116" s="13">
        <v>-0.70786190616484979</v>
      </c>
      <c r="I116" s="13">
        <v>-0.63417620012613984</v>
      </c>
      <c r="J116" s="13">
        <v>-8.0557548242513079E-3</v>
      </c>
      <c r="K116" s="13">
        <v>1.2243283792770558</v>
      </c>
      <c r="L116" s="13">
        <v>-0.12874269073548189</v>
      </c>
      <c r="M116" s="13">
        <v>-1.8969560482353838</v>
      </c>
      <c r="O116" s="12">
        <v>105.15709142721116</v>
      </c>
      <c r="P116" s="12">
        <v>66.566957132855237</v>
      </c>
      <c r="Q116" s="12">
        <v>93.657002703247258</v>
      </c>
      <c r="R116" s="12">
        <v>83.029356315582305</v>
      </c>
      <c r="S116" s="12">
        <v>99.71642486098618</v>
      </c>
      <c r="T116" s="12">
        <v>134.40126595590459</v>
      </c>
      <c r="U116" s="12">
        <v>154.0412459423799</v>
      </c>
      <c r="V116" s="12">
        <v>44.854021759833316</v>
      </c>
      <c r="W116" s="12">
        <v>30.735187791115592</v>
      </c>
      <c r="X116" s="12">
        <v>105.3848675961364</v>
      </c>
      <c r="Y116" s="12">
        <v>98.908848466914762</v>
      </c>
      <c r="AB116" s="12">
        <v>129.99383182687981</v>
      </c>
      <c r="AC116" s="12">
        <v>90.355371516039099</v>
      </c>
      <c r="AD116" s="12">
        <v>25.479739302307966</v>
      </c>
      <c r="AE116" s="12">
        <v>0.98607175192703855</v>
      </c>
      <c r="AF116" s="12">
        <v>12.964050873</v>
      </c>
      <c r="AG116" s="12">
        <v>65.022549530760884</v>
      </c>
      <c r="AH116" s="12">
        <v>56.000000094000001</v>
      </c>
      <c r="AI116" s="12">
        <v>47.992100000000001</v>
      </c>
      <c r="AJ116" s="12">
        <v>2.005219587</v>
      </c>
      <c r="AK116" s="12">
        <v>75.046199999999999</v>
      </c>
      <c r="AL116" s="12">
        <v>9.1613971049999989</v>
      </c>
      <c r="AM116" s="12">
        <v>3.8175180950000001</v>
      </c>
      <c r="AN116" s="12">
        <v>1.5159178119999999</v>
      </c>
      <c r="AO116" s="12">
        <v>4.9678573249999998</v>
      </c>
      <c r="AP116" s="12">
        <v>2.4824985420000001</v>
      </c>
      <c r="AQ116" s="12">
        <v>2.4853587829999997</v>
      </c>
      <c r="AR116" s="12">
        <v>0.26583605690568468</v>
      </c>
      <c r="AS116" s="12">
        <v>0.34846606133064473</v>
      </c>
      <c r="AT116" s="12">
        <v>0.40108234942420479</v>
      </c>
      <c r="AU116" s="12">
        <v>0.74954841075484957</v>
      </c>
      <c r="AV116" s="12" t="s">
        <v>776</v>
      </c>
      <c r="AW116" s="12">
        <v>0.13619999999999999</v>
      </c>
      <c r="AX116" s="12">
        <v>8.7099999999999997E-2</v>
      </c>
    </row>
    <row r="117" spans="1:50" s="12" customFormat="1">
      <c r="A117" s="12" t="s">
        <v>66</v>
      </c>
      <c r="B117" s="12" t="s">
        <v>591</v>
      </c>
      <c r="C117" s="12" t="s">
        <v>87</v>
      </c>
      <c r="D117" s="12">
        <v>465</v>
      </c>
      <c r="E117" s="12">
        <v>518</v>
      </c>
      <c r="F117" s="13">
        <v>-0.45762010432350048</v>
      </c>
      <c r="G117" s="13">
        <v>-0.46723144522922699</v>
      </c>
      <c r="H117" s="13">
        <v>0.46716407180502012</v>
      </c>
      <c r="I117" s="13">
        <v>-1.0469506543893059</v>
      </c>
      <c r="J117" s="13">
        <v>-0.22663074721333323</v>
      </c>
      <c r="K117" s="13">
        <v>0.62771421792027804</v>
      </c>
      <c r="L117" s="13">
        <v>-0.4107029206019262</v>
      </c>
      <c r="M117" s="13">
        <v>-2.0145630145223627</v>
      </c>
      <c r="O117" s="12">
        <v>95.372054782327183</v>
      </c>
      <c r="P117" s="12">
        <v>80.127828184030975</v>
      </c>
      <c r="Q117" s="12">
        <v>89.829521072750552</v>
      </c>
      <c r="R117" s="12">
        <v>111.20003059313991</v>
      </c>
      <c r="S117" s="12">
        <v>92.022244091594601</v>
      </c>
      <c r="T117" s="12">
        <v>117.63755877955643</v>
      </c>
      <c r="U117" s="12">
        <v>69.824146497754384</v>
      </c>
      <c r="V117" s="12">
        <v>8.9604466487432859</v>
      </c>
      <c r="W117" s="12">
        <v>12.272814294383437</v>
      </c>
      <c r="X117" s="12">
        <v>100.51172690299191</v>
      </c>
      <c r="Y117" s="12">
        <v>96.519110180956844</v>
      </c>
      <c r="AB117" s="12">
        <v>117.89769650427661</v>
      </c>
      <c r="AC117" s="12">
        <v>79.518125823058924</v>
      </c>
      <c r="AD117" s="12">
        <v>21.35036056359564</v>
      </c>
      <c r="AE117" s="12">
        <v>1.3533518585756619</v>
      </c>
      <c r="AF117" s="12">
        <v>15.605058210000001</v>
      </c>
      <c r="AG117" s="12">
        <v>62.365272373540684</v>
      </c>
      <c r="AH117" s="12">
        <v>74.999999999999588</v>
      </c>
      <c r="AI117" s="12">
        <v>44.289000000000001</v>
      </c>
      <c r="AJ117" s="12">
        <v>1.0124988580000001</v>
      </c>
      <c r="AK117" s="12">
        <v>94.224199999999996</v>
      </c>
      <c r="AL117" s="12">
        <v>4.1526977380000005</v>
      </c>
      <c r="AM117" s="12">
        <v>3.6249028760000002</v>
      </c>
      <c r="AN117" s="12">
        <v>0</v>
      </c>
      <c r="AO117" s="12">
        <v>0.99242428599999999</v>
      </c>
      <c r="AP117" s="12">
        <v>0</v>
      </c>
      <c r="AQ117" s="12">
        <v>0.99242428599999999</v>
      </c>
      <c r="AR117" s="12">
        <v>0.25354343334253032</v>
      </c>
      <c r="AS117" s="12">
        <v>0.32563396730665572</v>
      </c>
      <c r="AT117" s="12">
        <v>0.40580459218489717</v>
      </c>
      <c r="AU117" s="12">
        <v>0.7314385594915529</v>
      </c>
      <c r="AV117" s="12">
        <v>0.28510000000000002</v>
      </c>
      <c r="AW117" s="12">
        <v>0.18190000000000001</v>
      </c>
      <c r="AX117" s="12">
        <v>8.5500000000000007E-2</v>
      </c>
    </row>
    <row r="118" spans="1:50" s="12" customFormat="1">
      <c r="A118" s="12" t="s">
        <v>376</v>
      </c>
      <c r="B118" s="12" t="s">
        <v>735</v>
      </c>
      <c r="C118" s="12" t="s">
        <v>20</v>
      </c>
      <c r="D118" s="12">
        <v>518</v>
      </c>
      <c r="E118" s="12">
        <v>563</v>
      </c>
      <c r="F118" s="13">
        <v>-5.1548737836452183E-2</v>
      </c>
      <c r="G118" s="13">
        <v>6.6570657379532189E-2</v>
      </c>
      <c r="H118" s="13">
        <v>-0.21311412933261795</v>
      </c>
      <c r="I118" s="13">
        <v>1.0130291037302097</v>
      </c>
      <c r="J118" s="13">
        <v>-0.70070669003708397</v>
      </c>
      <c r="K118" s="13">
        <v>-1.082388907593917</v>
      </c>
      <c r="L118" s="13">
        <v>-0.28951838839839222</v>
      </c>
      <c r="M118" s="13">
        <v>-2.0493689048349237</v>
      </c>
      <c r="O118" s="12">
        <v>107.58821607632188</v>
      </c>
      <c r="P118" s="12">
        <v>102.83136667032132</v>
      </c>
      <c r="Q118" s="12">
        <v>98.854343707938853</v>
      </c>
      <c r="R118" s="12">
        <v>94.890692772812486</v>
      </c>
      <c r="S118" s="12">
        <v>75.334031214923868</v>
      </c>
      <c r="T118" s="12">
        <v>69.586959423544243</v>
      </c>
      <c r="U118" s="12">
        <v>49.392411918486147</v>
      </c>
      <c r="V118" s="12">
        <v>188.08984143499899</v>
      </c>
      <c r="W118" s="12">
        <v>204.76534607499187</v>
      </c>
      <c r="X118" s="12">
        <v>101.78493293194219</v>
      </c>
      <c r="Y118" s="12">
        <v>97.546202960707589</v>
      </c>
      <c r="AB118" s="12">
        <v>132.99915657005641</v>
      </c>
      <c r="AC118" s="12">
        <v>83.064621470123797</v>
      </c>
      <c r="AD118" s="12">
        <v>25.685985805121117</v>
      </c>
      <c r="AE118" s="12">
        <v>2.8696243591398769</v>
      </c>
      <c r="AF118" s="12">
        <v>20.026618705035908</v>
      </c>
      <c r="AG118" s="12">
        <v>68.630868750377516</v>
      </c>
      <c r="AH118" s="12">
        <v>63.999999999999481</v>
      </c>
      <c r="AI118" s="12">
        <v>36.257199999999997</v>
      </c>
      <c r="AJ118" s="12">
        <v>0</v>
      </c>
      <c r="AK118" s="12">
        <v>149.19500000000002</v>
      </c>
      <c r="AL118" s="12">
        <v>2.9375476470000002</v>
      </c>
      <c r="AM118" s="12">
        <v>4.0402878649999998</v>
      </c>
      <c r="AN118" s="12">
        <v>2.5744272850000001</v>
      </c>
      <c r="AO118" s="12">
        <v>20.832100665000002</v>
      </c>
      <c r="AP118" s="12">
        <v>4.2740319530000006</v>
      </c>
      <c r="AQ118" s="12">
        <v>16.558068712000001</v>
      </c>
      <c r="AR118" s="12">
        <v>0.25675512851362242</v>
      </c>
      <c r="AS118" s="12">
        <v>0.30842679388644151</v>
      </c>
      <c r="AT118" s="12">
        <v>0.43079525285314535</v>
      </c>
      <c r="AU118" s="12">
        <v>0.73922204673958691</v>
      </c>
      <c r="AV118" s="12" t="s">
        <v>736</v>
      </c>
      <c r="AW118" s="12">
        <v>0.26500000000000001</v>
      </c>
      <c r="AX118" s="12">
        <v>6.4399999999999999E-2</v>
      </c>
    </row>
    <row r="119" spans="1:50" s="12" customFormat="1">
      <c r="A119" s="12" t="s">
        <v>404</v>
      </c>
      <c r="B119" s="12" t="s">
        <v>722</v>
      </c>
      <c r="C119" s="12" t="s">
        <v>20</v>
      </c>
      <c r="D119" s="12">
        <v>565</v>
      </c>
      <c r="E119" s="12">
        <v>632</v>
      </c>
      <c r="F119" s="13">
        <v>0.2165447206854457</v>
      </c>
      <c r="G119" s="13">
        <v>-0.28088756195597131</v>
      </c>
      <c r="H119" s="13">
        <v>0.40532059897432349</v>
      </c>
      <c r="I119" s="13">
        <v>-0.60413930283441819</v>
      </c>
      <c r="J119" s="13">
        <v>0.45686543081780112</v>
      </c>
      <c r="K119" s="13">
        <v>-1.2599670156269103</v>
      </c>
      <c r="L119" s="13">
        <v>-0.19833076101147551</v>
      </c>
      <c r="M119" s="13">
        <v>-2.0874760262897167</v>
      </c>
      <c r="O119" s="12">
        <v>116.28974576507652</v>
      </c>
      <c r="P119" s="12">
        <v>88.053359958640613</v>
      </c>
      <c r="Q119" s="12">
        <v>104.81264589936291</v>
      </c>
      <c r="R119" s="12">
        <v>109.71736351856464</v>
      </c>
      <c r="S119" s="12">
        <v>116.08237600091401</v>
      </c>
      <c r="T119" s="12">
        <v>64.59735710296701</v>
      </c>
      <c r="U119" s="12">
        <v>134.98580235086533</v>
      </c>
      <c r="V119" s="12">
        <v>47.46593637303063</v>
      </c>
      <c r="W119" s="12">
        <v>40.191544458475512</v>
      </c>
      <c r="X119" s="12">
        <v>100.86523884893718</v>
      </c>
      <c r="Y119" s="12">
        <v>98.319058637819921</v>
      </c>
      <c r="AB119" s="12">
        <v>143.75587465387238</v>
      </c>
      <c r="AC119" s="12">
        <v>94.655613633322403</v>
      </c>
      <c r="AD119" s="12">
        <v>28.677717175547468</v>
      </c>
      <c r="AE119" s="12">
        <v>3.884139868324644</v>
      </c>
      <c r="AF119" s="12">
        <v>17.148571712000003</v>
      </c>
      <c r="AG119" s="12">
        <v>72.76749482401631</v>
      </c>
      <c r="AH119" s="12">
        <v>73.999999999999545</v>
      </c>
      <c r="AI119" s="12">
        <v>55.868800000000007</v>
      </c>
      <c r="AJ119" s="12">
        <v>1.992282672</v>
      </c>
      <c r="AK119" s="12">
        <v>154.9032</v>
      </c>
      <c r="AL119" s="12">
        <v>8.0281000799999997</v>
      </c>
      <c r="AM119" s="12">
        <v>4.8126983279999997</v>
      </c>
      <c r="AN119" s="12">
        <v>0</v>
      </c>
      <c r="AO119" s="12">
        <v>5.257142848</v>
      </c>
      <c r="AP119" s="12">
        <v>2.0071087599999999</v>
      </c>
      <c r="AQ119" s="12">
        <v>3.250034088</v>
      </c>
      <c r="AR119" s="12">
        <v>0.25443517637853519</v>
      </c>
      <c r="AS119" s="12">
        <v>0.33400320955237156</v>
      </c>
      <c r="AT119" s="12">
        <v>0.41107567157060404</v>
      </c>
      <c r="AU119" s="12">
        <v>0.7450788811229756</v>
      </c>
      <c r="AV119" s="12" t="s">
        <v>723</v>
      </c>
      <c r="AW119" s="12">
        <v>0.24510000000000001</v>
      </c>
      <c r="AX119" s="12">
        <v>8.8400000000000006E-2</v>
      </c>
    </row>
    <row r="120" spans="1:50" s="12" customFormat="1">
      <c r="A120" s="12" t="s">
        <v>214</v>
      </c>
      <c r="B120" s="12" t="s">
        <v>1144</v>
      </c>
      <c r="C120" s="12" t="s">
        <v>124</v>
      </c>
      <c r="D120" s="12">
        <v>516</v>
      </c>
      <c r="E120" s="12">
        <v>598</v>
      </c>
      <c r="F120" s="13">
        <v>0.11995609337425481</v>
      </c>
      <c r="G120" s="13">
        <v>-1.3191509659094895</v>
      </c>
      <c r="H120" s="13">
        <v>-0.70786191012283206</v>
      </c>
      <c r="I120" s="13">
        <v>-0.50404995617494031</v>
      </c>
      <c r="J120" s="13">
        <v>1.0418727124377063</v>
      </c>
      <c r="K120" s="13">
        <v>0.99541992573156413</v>
      </c>
      <c r="L120" s="13">
        <v>-0.82305099158891137</v>
      </c>
      <c r="M120" s="13">
        <v>-2.156945222032248</v>
      </c>
      <c r="O120" s="12">
        <v>106.2998447141573</v>
      </c>
      <c r="P120" s="12">
        <v>43.894198660165209</v>
      </c>
      <c r="Q120" s="12">
        <v>102.66599065104806</v>
      </c>
      <c r="R120" s="12">
        <v>83.029356220691611</v>
      </c>
      <c r="S120" s="12">
        <v>136.67554508670534</v>
      </c>
      <c r="T120" s="12">
        <v>127.96937993311781</v>
      </c>
      <c r="U120" s="12">
        <v>152.62676643728244</v>
      </c>
      <c r="V120" s="12">
        <v>56.169392812831148</v>
      </c>
      <c r="W120" s="12">
        <v>57.857548577238724</v>
      </c>
      <c r="X120" s="12">
        <v>100.95584693371562</v>
      </c>
      <c r="Y120" s="12">
        <v>93.024276981092996</v>
      </c>
      <c r="AB120" s="12">
        <v>131.40648861099899</v>
      </c>
      <c r="AC120" s="12">
        <v>97.843641473622881</v>
      </c>
      <c r="AD120" s="12">
        <v>22.514257673645393</v>
      </c>
      <c r="AE120" s="12">
        <v>1.2425394874058036</v>
      </c>
      <c r="AF120" s="12">
        <v>8.5484848484847991</v>
      </c>
      <c r="AG120" s="12">
        <v>71.277152477152157</v>
      </c>
      <c r="AH120" s="12">
        <v>56.000000030000002</v>
      </c>
      <c r="AI120" s="12">
        <v>65.78</v>
      </c>
      <c r="AJ120" s="12">
        <v>2.687481966</v>
      </c>
      <c r="AK120" s="12">
        <v>82.40440000000001</v>
      </c>
      <c r="AL120" s="12">
        <v>9.0772728279999999</v>
      </c>
      <c r="AM120" s="12">
        <v>4.8269358019999995</v>
      </c>
      <c r="AN120" s="12">
        <v>3.068181922</v>
      </c>
      <c r="AO120" s="12">
        <v>6.2211038961038421</v>
      </c>
      <c r="AP120" s="12">
        <v>1.542532628</v>
      </c>
      <c r="AQ120" s="12">
        <v>4.6785712681038421</v>
      </c>
      <c r="AR120" s="12">
        <v>0.25466373761821509</v>
      </c>
      <c r="AS120" s="12">
        <v>0.3545786912362392</v>
      </c>
      <c r="AT120" s="12">
        <v>0.35037541604083383</v>
      </c>
      <c r="AU120" s="12">
        <v>0.70495410727707308</v>
      </c>
      <c r="AV120" s="12" t="s">
        <v>1145</v>
      </c>
      <c r="AW120" s="12">
        <v>0.13780000000000001</v>
      </c>
      <c r="AX120" s="12">
        <v>0.11</v>
      </c>
    </row>
    <row r="121" spans="1:50" s="12" customFormat="1">
      <c r="A121" s="12" t="s">
        <v>130</v>
      </c>
      <c r="B121" s="12" t="s">
        <v>1102</v>
      </c>
      <c r="C121" s="12" t="s">
        <v>1103</v>
      </c>
      <c r="D121" s="12">
        <v>498</v>
      </c>
      <c r="E121" s="12">
        <v>579</v>
      </c>
      <c r="F121" s="13">
        <v>-0.27013188657662857</v>
      </c>
      <c r="G121" s="13">
        <v>-0.52370754429624156</v>
      </c>
      <c r="H121" s="13">
        <v>-0.39864454782468062</v>
      </c>
      <c r="I121" s="13">
        <v>-0.71949093658386509</v>
      </c>
      <c r="J121" s="13">
        <v>0.76813897996933966</v>
      </c>
      <c r="K121" s="13">
        <v>-3.9891366745301471E-2</v>
      </c>
      <c r="L121" s="13">
        <v>-0.57125133682798601</v>
      </c>
      <c r="M121" s="13">
        <v>-2.1764161487177072</v>
      </c>
      <c r="O121" s="12">
        <v>95.024084743416765</v>
      </c>
      <c r="P121" s="12">
        <v>77.725800761401501</v>
      </c>
      <c r="Q121" s="12">
        <v>93.996394314740272</v>
      </c>
      <c r="R121" s="12">
        <v>90.442691549087314</v>
      </c>
      <c r="S121" s="12">
        <v>127.03969060366938</v>
      </c>
      <c r="T121" s="12">
        <v>98.879129537485696</v>
      </c>
      <c r="U121" s="12">
        <v>184.86337281994307</v>
      </c>
      <c r="V121" s="12">
        <v>37.435319198419805</v>
      </c>
      <c r="W121" s="12">
        <v>31.020463058309986</v>
      </c>
      <c r="X121" s="12">
        <v>93.50888973992916</v>
      </c>
      <c r="Y121" s="12">
        <v>95.158390985958832</v>
      </c>
      <c r="AB121" s="12">
        <v>117.46754045768964</v>
      </c>
      <c r="AC121" s="12">
        <v>76.296741378336449</v>
      </c>
      <c r="AD121" s="12">
        <v>24.007584148154447</v>
      </c>
      <c r="AE121" s="12">
        <v>2.0293309579994232</v>
      </c>
      <c r="AF121" s="12">
        <v>15.137258463</v>
      </c>
      <c r="AG121" s="12">
        <v>65.258176416435973</v>
      </c>
      <c r="AH121" s="12">
        <v>60.999999999999787</v>
      </c>
      <c r="AI121" s="12">
        <v>61.142400000000002</v>
      </c>
      <c r="AJ121" s="12">
        <v>0.98530224899999996</v>
      </c>
      <c r="AK121" s="12">
        <v>115.6842</v>
      </c>
      <c r="AL121" s="12">
        <v>10.994501883</v>
      </c>
      <c r="AM121" s="12">
        <v>4.2562388430000002</v>
      </c>
      <c r="AN121" s="12">
        <v>2.5742114190000001</v>
      </c>
      <c r="AO121" s="12">
        <v>4.1461906289999995</v>
      </c>
      <c r="AP121" s="12">
        <v>1.637763453</v>
      </c>
      <c r="AQ121" s="12">
        <v>2.5084271759999996</v>
      </c>
      <c r="AR121" s="12">
        <v>0.23587859529656555</v>
      </c>
      <c r="AS121" s="12">
        <v>0.33769519419869831</v>
      </c>
      <c r="AT121" s="12">
        <v>0.38343159919807956</v>
      </c>
      <c r="AU121" s="12">
        <v>0.72112679339677788</v>
      </c>
      <c r="AV121" s="12" t="s">
        <v>1104</v>
      </c>
      <c r="AW121" s="12">
        <v>0.19980000000000001</v>
      </c>
      <c r="AX121" s="12">
        <v>0.1056</v>
      </c>
    </row>
    <row r="122" spans="1:50" s="12" customFormat="1">
      <c r="A122" s="12" t="s">
        <v>40</v>
      </c>
      <c r="B122" s="12" t="s">
        <v>614</v>
      </c>
      <c r="C122" s="12" t="s">
        <v>20</v>
      </c>
      <c r="D122" s="12">
        <v>474</v>
      </c>
      <c r="E122" s="12">
        <v>521</v>
      </c>
      <c r="F122" s="13">
        <v>-0.2348208079208311</v>
      </c>
      <c r="G122" s="13">
        <v>-0.11176825799833756</v>
      </c>
      <c r="H122" s="13">
        <v>-0.39864454782468178</v>
      </c>
      <c r="I122" s="13">
        <v>1.9065093057153739</v>
      </c>
      <c r="J122" s="13">
        <v>-0.59896552334402609</v>
      </c>
      <c r="K122" s="13">
        <v>-0.94846648068679429</v>
      </c>
      <c r="L122" s="13">
        <v>-0.91420792160037634</v>
      </c>
      <c r="M122" s="13">
        <v>-2.2417326226725898</v>
      </c>
      <c r="O122" s="12">
        <v>89.768732779936485</v>
      </c>
      <c r="P122" s="12">
        <v>95.246300202622649</v>
      </c>
      <c r="Q122" s="12">
        <v>94.781173169458953</v>
      </c>
      <c r="R122" s="12">
        <v>90.442691549087286</v>
      </c>
      <c r="S122" s="12">
        <v>78.915479026811298</v>
      </c>
      <c r="T122" s="12">
        <v>73.349921308175666</v>
      </c>
      <c r="U122" s="12">
        <v>96.377154467092993</v>
      </c>
      <c r="V122" s="12">
        <v>265.78408440232153</v>
      </c>
      <c r="W122" s="12">
        <v>272.90412673053402</v>
      </c>
      <c r="X122" s="12">
        <v>92.810112877170056</v>
      </c>
      <c r="Y122" s="12">
        <v>92.251681477883309</v>
      </c>
      <c r="AB122" s="12">
        <v>110.97094255773158</v>
      </c>
      <c r="AC122" s="12">
        <v>70.082378067809415</v>
      </c>
      <c r="AD122" s="12">
        <v>19.751575797386074</v>
      </c>
      <c r="AE122" s="12">
        <v>1.0513193148725164</v>
      </c>
      <c r="AF122" s="12">
        <v>18.549411516999999</v>
      </c>
      <c r="AG122" s="12">
        <v>65.803018985371509</v>
      </c>
      <c r="AH122" s="12">
        <v>60.999999999999773</v>
      </c>
      <c r="AI122" s="12">
        <v>37.980900000000005</v>
      </c>
      <c r="AJ122" s="12">
        <v>3.2440294239999998</v>
      </c>
      <c r="AK122" s="12">
        <v>144.89010000000002</v>
      </c>
      <c r="AL122" s="12">
        <v>5.731902377972431</v>
      </c>
      <c r="AM122" s="12">
        <v>3.0517647940000003</v>
      </c>
      <c r="AN122" s="12">
        <v>0.50000005299999994</v>
      </c>
      <c r="AO122" s="12">
        <v>29.437213403880016</v>
      </c>
      <c r="AP122" s="12">
        <v>7.3691957006422015</v>
      </c>
      <c r="AQ122" s="12">
        <v>22.068017703237814</v>
      </c>
      <c r="AR122" s="12">
        <v>0.23411591256905395</v>
      </c>
      <c r="AS122" s="12">
        <v>0.30471710598137697</v>
      </c>
      <c r="AT122" s="12">
        <v>0.39438213855527238</v>
      </c>
      <c r="AU122" s="12">
        <v>0.69909924453664929</v>
      </c>
      <c r="AV122" s="12" t="s">
        <v>615</v>
      </c>
      <c r="AW122" s="12">
        <v>0.27810000000000001</v>
      </c>
      <c r="AX122" s="12">
        <v>7.2900000000000006E-2</v>
      </c>
    </row>
    <row r="123" spans="1:50" s="12" customFormat="1">
      <c r="A123" s="12" t="s">
        <v>376</v>
      </c>
      <c r="B123" s="12" t="s">
        <v>910</v>
      </c>
      <c r="C123" s="12" t="s">
        <v>34</v>
      </c>
      <c r="D123" s="12">
        <v>584</v>
      </c>
      <c r="E123" s="12">
        <v>628</v>
      </c>
      <c r="F123" s="13">
        <v>0.54415799945761278</v>
      </c>
      <c r="G123" s="13">
        <v>0.18296376632379538</v>
      </c>
      <c r="H123" s="13">
        <v>0.21979018048225729</v>
      </c>
      <c r="I123" s="13">
        <v>-0.22871970700470004</v>
      </c>
      <c r="J123" s="13">
        <v>-1.0244699014687513</v>
      </c>
      <c r="K123" s="13">
        <v>-1.1395989108651179</v>
      </c>
      <c r="L123" s="13">
        <v>-1.4162811605837522E-2</v>
      </c>
      <c r="M123" s="13">
        <v>-2.2676281413619828</v>
      </c>
      <c r="O123" s="12">
        <v>126.15305731083225</v>
      </c>
      <c r="P123" s="12">
        <v>107.7817694797907</v>
      </c>
      <c r="Q123" s="12">
        <v>112.09375946181255</v>
      </c>
      <c r="R123" s="12">
        <v>105.26936229483938</v>
      </c>
      <c r="S123" s="12">
        <v>63.937061012588742</v>
      </c>
      <c r="T123" s="12">
        <v>67.979468679081648</v>
      </c>
      <c r="U123" s="12">
        <v>66.422152391928734</v>
      </c>
      <c r="V123" s="12">
        <v>80.111249865463748</v>
      </c>
      <c r="W123" s="12">
        <v>67.263261448122492</v>
      </c>
      <c r="X123" s="12">
        <v>105.8603878932978</v>
      </c>
      <c r="Y123" s="12">
        <v>99.879963875943332</v>
      </c>
      <c r="AB123" s="12">
        <v>155.9487723931808</v>
      </c>
      <c r="AC123" s="12">
        <v>98.821642620195036</v>
      </c>
      <c r="AD123" s="12">
        <v>33.96782565234453</v>
      </c>
      <c r="AE123" s="12">
        <v>3.8651690714862124</v>
      </c>
      <c r="AF123" s="12">
        <v>20.990719764000001</v>
      </c>
      <c r="AG123" s="12">
        <v>77.822499293394472</v>
      </c>
      <c r="AH123" s="12">
        <v>70.999999999999787</v>
      </c>
      <c r="AI123" s="12">
        <v>30.771999999999935</v>
      </c>
      <c r="AJ123" s="12">
        <v>0</v>
      </c>
      <c r="AK123" s="12">
        <v>151.03399999999999</v>
      </c>
      <c r="AL123" s="12">
        <v>3.9503686880000002</v>
      </c>
      <c r="AM123" s="12">
        <v>4.8191997799999999</v>
      </c>
      <c r="AN123" s="12">
        <v>5.8237410440000001</v>
      </c>
      <c r="AO123" s="12">
        <v>8.8728110400000002</v>
      </c>
      <c r="AP123" s="12">
        <v>3.433659708</v>
      </c>
      <c r="AQ123" s="12">
        <v>5.4391513319999998</v>
      </c>
      <c r="AR123" s="12">
        <v>0.26703556916640547</v>
      </c>
      <c r="AS123" s="12">
        <v>0.30773700651152391</v>
      </c>
      <c r="AT123" s="12">
        <v>0.44917068526599785</v>
      </c>
      <c r="AU123" s="12">
        <v>0.75690769177752171</v>
      </c>
      <c r="AV123" s="12">
        <v>0.32379999999999998</v>
      </c>
      <c r="AW123" s="12">
        <v>0.24049999999999999</v>
      </c>
      <c r="AX123" s="12" t="s">
        <v>911</v>
      </c>
    </row>
    <row r="124" spans="1:50" s="12" customFormat="1">
      <c r="A124" s="12" t="s">
        <v>489</v>
      </c>
      <c r="B124" s="12" t="s">
        <v>532</v>
      </c>
      <c r="C124" s="12" t="s">
        <v>87</v>
      </c>
      <c r="D124" s="12">
        <v>462</v>
      </c>
      <c r="E124" s="12">
        <v>508</v>
      </c>
      <c r="F124" s="13">
        <v>-0.48837973552308311</v>
      </c>
      <c r="G124" s="13">
        <v>-0.30118211691516827</v>
      </c>
      <c r="H124" s="13">
        <v>-0.27495760315277534</v>
      </c>
      <c r="I124" s="13">
        <v>0.1272601553503955</v>
      </c>
      <c r="J124" s="13">
        <v>-0.72386804863217347</v>
      </c>
      <c r="K124" s="13">
        <v>0.45831163400891034</v>
      </c>
      <c r="L124" s="13">
        <v>-0.54088108160425608</v>
      </c>
      <c r="M124" s="13">
        <v>-2.328248179152534</v>
      </c>
      <c r="O124" s="12">
        <v>91.938485176467069</v>
      </c>
      <c r="P124" s="12">
        <v>87.190196986208548</v>
      </c>
      <c r="Q124" s="12">
        <v>89.145896865750743</v>
      </c>
      <c r="R124" s="12">
        <v>93.408025674515372</v>
      </c>
      <c r="S124" s="12">
        <v>74.51871525426678</v>
      </c>
      <c r="T124" s="12">
        <v>112.87767291773108</v>
      </c>
      <c r="U124" s="12">
        <v>89.72984438156557</v>
      </c>
      <c r="V124" s="12">
        <v>111.06614495529369</v>
      </c>
      <c r="W124" s="12">
        <v>111.5277848384784</v>
      </c>
      <c r="X124" s="12">
        <v>97.5222957372861</v>
      </c>
      <c r="Y124" s="12">
        <v>95.415792399260411</v>
      </c>
      <c r="AB124" s="12">
        <v>113.65316231402639</v>
      </c>
      <c r="AC124" s="12">
        <v>70.806556295949505</v>
      </c>
      <c r="AD124" s="12">
        <v>24.285708527994714</v>
      </c>
      <c r="AE124" s="12">
        <v>1.0833257057757288</v>
      </c>
      <c r="AF124" s="12">
        <v>16.98046896</v>
      </c>
      <c r="AG124" s="12">
        <v>61.890657688284151</v>
      </c>
      <c r="AH124" s="12">
        <v>62.999999983999999</v>
      </c>
      <c r="AI124" s="12">
        <v>35.864799999999995</v>
      </c>
      <c r="AJ124" s="12">
        <v>1.408255756</v>
      </c>
      <c r="AK124" s="12">
        <v>99.669600000000003</v>
      </c>
      <c r="AL124" s="12">
        <v>5.3365624999999577</v>
      </c>
      <c r="AM124" s="12">
        <v>3.7749998160000002</v>
      </c>
      <c r="AN124" s="12">
        <v>0</v>
      </c>
      <c r="AO124" s="12">
        <v>12.301255052</v>
      </c>
      <c r="AP124" s="12">
        <v>3.2827137799999999</v>
      </c>
      <c r="AQ124" s="12">
        <v>9.0185412720000002</v>
      </c>
      <c r="AR124" s="12">
        <v>0.24600251583122595</v>
      </c>
      <c r="AS124" s="12">
        <v>0.31063191446460292</v>
      </c>
      <c r="AT124" s="12">
        <v>0.41244551149191799</v>
      </c>
      <c r="AU124" s="12">
        <v>0.72307742595652091</v>
      </c>
      <c r="AV124" s="12" t="s">
        <v>533</v>
      </c>
      <c r="AW124" s="12">
        <v>0.19620000000000001</v>
      </c>
      <c r="AX124" s="12">
        <v>7.0599999999999996E-2</v>
      </c>
    </row>
    <row r="125" spans="1:50" s="12" customFormat="1">
      <c r="A125" s="12" t="s">
        <v>58</v>
      </c>
      <c r="B125" s="12" t="s">
        <v>1211</v>
      </c>
      <c r="C125" s="12" t="s">
        <v>20</v>
      </c>
      <c r="D125" s="12">
        <v>498</v>
      </c>
      <c r="E125" s="12">
        <v>577</v>
      </c>
      <c r="F125" s="13">
        <v>-4.6002649762949065E-2</v>
      </c>
      <c r="G125" s="13">
        <v>-0.86739126347855111</v>
      </c>
      <c r="H125" s="13">
        <v>-0.76970538184034354</v>
      </c>
      <c r="I125" s="13">
        <v>3.534828927433728E-2</v>
      </c>
      <c r="J125" s="13">
        <v>0.54111162633964394</v>
      </c>
      <c r="K125" s="13">
        <v>0.52899196431462203</v>
      </c>
      <c r="L125" s="13">
        <v>-1.0223693177636928</v>
      </c>
      <c r="M125" s="13">
        <v>-2.3660518328076261</v>
      </c>
      <c r="O125" s="12">
        <v>94.212505017853488</v>
      </c>
      <c r="P125" s="12">
        <v>63.108330153036519</v>
      </c>
      <c r="Q125" s="12">
        <v>98.977603965404199</v>
      </c>
      <c r="R125" s="12">
        <v>81.546689172804406</v>
      </c>
      <c r="S125" s="12">
        <v>119.04797353059254</v>
      </c>
      <c r="T125" s="12">
        <v>114.86365387010737</v>
      </c>
      <c r="U125" s="12">
        <v>196.40507429117366</v>
      </c>
      <c r="V125" s="12">
        <v>103.07377664245686</v>
      </c>
      <c r="W125" s="12">
        <v>104.03376548974308</v>
      </c>
      <c r="X125" s="12">
        <v>92.710250960321062</v>
      </c>
      <c r="Y125" s="12">
        <v>91.334965565158413</v>
      </c>
      <c r="AB125" s="12">
        <v>116.46427613260126</v>
      </c>
      <c r="AC125" s="12">
        <v>83.192519931877499</v>
      </c>
      <c r="AD125" s="12">
        <v>19.559457521525292</v>
      </c>
      <c r="AE125" s="12">
        <v>2.7057570465337255</v>
      </c>
      <c r="AF125" s="12">
        <v>12.290476203999999</v>
      </c>
      <c r="AG125" s="12">
        <v>68.716443731050447</v>
      </c>
      <c r="AH125" s="12">
        <v>55.000000048000004</v>
      </c>
      <c r="AI125" s="12">
        <v>57.296100000000003</v>
      </c>
      <c r="AJ125" s="12">
        <v>0</v>
      </c>
      <c r="AK125" s="12">
        <v>97.397599999999429</v>
      </c>
      <c r="AL125" s="12">
        <v>11.680929143429056</v>
      </c>
      <c r="AM125" s="12">
        <v>4.056437517</v>
      </c>
      <c r="AN125" s="12">
        <v>3.9493243909999998</v>
      </c>
      <c r="AO125" s="12">
        <v>11.416051364365908</v>
      </c>
      <c r="AP125" s="12">
        <v>3.0035036830000004</v>
      </c>
      <c r="AQ125" s="12">
        <v>8.4125476813659077</v>
      </c>
      <c r="AR125" s="12">
        <v>0.2338640082983961</v>
      </c>
      <c r="AS125" s="12">
        <v>0.33152849560532183</v>
      </c>
      <c r="AT125" s="12">
        <v>0.36062371672797039</v>
      </c>
      <c r="AU125" s="12">
        <v>0.69215221233329216</v>
      </c>
      <c r="AV125" s="12" t="s">
        <v>1212</v>
      </c>
      <c r="AW125" s="12" t="s">
        <v>1213</v>
      </c>
      <c r="AX125" s="12">
        <v>9.9299999999999999E-2</v>
      </c>
    </row>
    <row r="126" spans="1:50" s="12" customFormat="1">
      <c r="A126" s="12" t="s">
        <v>228</v>
      </c>
      <c r="B126" s="12" t="s">
        <v>460</v>
      </c>
      <c r="C126" s="12" t="s">
        <v>169</v>
      </c>
      <c r="D126" s="12">
        <v>557</v>
      </c>
      <c r="E126" s="12">
        <v>609</v>
      </c>
      <c r="F126" s="13">
        <v>0.23570483891512642</v>
      </c>
      <c r="G126" s="13">
        <v>-1.7124837178739682</v>
      </c>
      <c r="H126" s="13">
        <v>-0.70786191154523215</v>
      </c>
      <c r="I126" s="13">
        <v>1.5537721782047436</v>
      </c>
      <c r="J126" s="13">
        <v>-0.65166292638606815</v>
      </c>
      <c r="K126" s="13">
        <v>1.8027093797217897</v>
      </c>
      <c r="L126" s="13">
        <v>-0.94597499162246912</v>
      </c>
      <c r="M126" s="13">
        <v>-2.4189995007291696</v>
      </c>
      <c r="O126" s="12">
        <v>124.39924042235054</v>
      </c>
      <c r="P126" s="12">
        <v>27.165067717252541</v>
      </c>
      <c r="Q126" s="12">
        <v>105.23847417232886</v>
      </c>
      <c r="R126" s="12">
        <v>83.029356186590263</v>
      </c>
      <c r="S126" s="12">
        <v>77.060448217242751</v>
      </c>
      <c r="T126" s="12">
        <v>150.65265647900128</v>
      </c>
      <c r="U126" s="12">
        <v>154.17094086211179</v>
      </c>
      <c r="V126" s="12">
        <v>235.11116738914589</v>
      </c>
      <c r="W126" s="12">
        <v>244.37304674189355</v>
      </c>
      <c r="X126" s="12">
        <v>109.44881943586876</v>
      </c>
      <c r="Y126" s="12">
        <v>91.98244143824914</v>
      </c>
      <c r="AB126" s="12">
        <v>153.78072671445221</v>
      </c>
      <c r="AC126" s="12">
        <v>118.06103814677927</v>
      </c>
      <c r="AD126" s="12">
        <v>26.637264031696514</v>
      </c>
      <c r="AE126" s="12">
        <v>3.0517427161019608</v>
      </c>
      <c r="AF126" s="12">
        <v>5.2904524259999999</v>
      </c>
      <c r="AG126" s="12">
        <v>73.063131446707075</v>
      </c>
      <c r="AH126" s="12">
        <v>56.000000006999997</v>
      </c>
      <c r="AI126" s="12">
        <v>37.08809999999994</v>
      </c>
      <c r="AJ126" s="12">
        <v>0.95008506599999998</v>
      </c>
      <c r="AK126" s="12">
        <v>56.454300000000003</v>
      </c>
      <c r="AL126" s="12">
        <v>9.1691105369116652</v>
      </c>
      <c r="AM126" s="12">
        <v>4.8804017640000001</v>
      </c>
      <c r="AN126" s="12">
        <v>0.49999996199999996</v>
      </c>
      <c r="AO126" s="12">
        <v>26.040000188999997</v>
      </c>
      <c r="AP126" s="12">
        <v>6.2791091159999999</v>
      </c>
      <c r="AQ126" s="12">
        <v>19.760891072999996</v>
      </c>
      <c r="AR126" s="12">
        <v>0.27608748063635946</v>
      </c>
      <c r="AS126" s="12">
        <v>0.33502549634175305</v>
      </c>
      <c r="AT126" s="12">
        <v>0.36203340047123556</v>
      </c>
      <c r="AU126" s="12">
        <v>0.6970588968129886</v>
      </c>
      <c r="AV126" s="12">
        <v>0.2969</v>
      </c>
      <c r="AW126" s="12">
        <v>9.2700000000000005E-2</v>
      </c>
      <c r="AX126" s="12" t="s">
        <v>461</v>
      </c>
    </row>
    <row r="127" spans="1:50" s="12" customFormat="1">
      <c r="A127" s="12" t="s">
        <v>248</v>
      </c>
      <c r="B127" s="12" t="s">
        <v>1138</v>
      </c>
      <c r="C127" s="12" t="s">
        <v>20</v>
      </c>
      <c r="D127" s="12">
        <v>513</v>
      </c>
      <c r="E127" s="12">
        <v>565</v>
      </c>
      <c r="F127" s="13">
        <v>-0.12049958372140882</v>
      </c>
      <c r="G127" s="13">
        <v>-0.38182679016500337</v>
      </c>
      <c r="H127" s="13">
        <v>-0.46048802065538669</v>
      </c>
      <c r="I127" s="13">
        <v>1.4328741028087215</v>
      </c>
      <c r="J127" s="13">
        <v>-0.62307127984309474</v>
      </c>
      <c r="K127" s="13">
        <v>-0.3131959027640574</v>
      </c>
      <c r="L127" s="13">
        <v>-0.95390935837400104</v>
      </c>
      <c r="M127" s="13">
        <v>-2.4609906092653118</v>
      </c>
      <c r="O127" s="12">
        <v>98.806642405805718</v>
      </c>
      <c r="P127" s="12">
        <v>83.760237767438142</v>
      </c>
      <c r="Q127" s="12">
        <v>97.321930427876211</v>
      </c>
      <c r="R127" s="12">
        <v>88.960024474511812</v>
      </c>
      <c r="S127" s="12">
        <v>78.066918786412842</v>
      </c>
      <c r="T127" s="12">
        <v>91.199799228987857</v>
      </c>
      <c r="U127" s="12">
        <v>146.94241747142874</v>
      </c>
      <c r="V127" s="12">
        <v>224.59824900188858</v>
      </c>
      <c r="W127" s="12">
        <v>214.84847858011869</v>
      </c>
      <c r="X127" s="12">
        <v>94.388117501086697</v>
      </c>
      <c r="Y127" s="12">
        <v>91.915194153020479</v>
      </c>
      <c r="AB127" s="12">
        <v>122.14348915469617</v>
      </c>
      <c r="AC127" s="12">
        <v>80.24172873854485</v>
      </c>
      <c r="AD127" s="12">
        <v>22.475512511079287</v>
      </c>
      <c r="AE127" s="12">
        <v>3.6305298951129998</v>
      </c>
      <c r="AF127" s="12">
        <v>16.312477396021663</v>
      </c>
      <c r="AG127" s="12">
        <v>67.566971598765875</v>
      </c>
      <c r="AH127" s="12">
        <v>59.999999999999588</v>
      </c>
      <c r="AI127" s="12">
        <v>37.572500000000005</v>
      </c>
      <c r="AJ127" s="12">
        <v>0.20434015999999999</v>
      </c>
      <c r="AK127" s="12">
        <v>124.4695</v>
      </c>
      <c r="AL127" s="12">
        <v>8.739203774864313</v>
      </c>
      <c r="AM127" s="12">
        <v>3.8694392249999998</v>
      </c>
      <c r="AN127" s="12">
        <v>0</v>
      </c>
      <c r="AO127" s="12">
        <v>24.87563016</v>
      </c>
      <c r="AP127" s="12">
        <v>7.5022027749999998</v>
      </c>
      <c r="AQ127" s="12">
        <v>17.373427384999999</v>
      </c>
      <c r="AR127" s="12">
        <v>0.23809647008712703</v>
      </c>
      <c r="AS127" s="12">
        <v>0.30408485436262667</v>
      </c>
      <c r="AT127" s="12">
        <v>0.39246443085795141</v>
      </c>
      <c r="AU127" s="12">
        <v>0.69654928522057813</v>
      </c>
      <c r="AV127" s="12">
        <v>0.28139999999999998</v>
      </c>
      <c r="AW127" s="12">
        <v>0.2203</v>
      </c>
      <c r="AX127" s="12">
        <v>6.6500000000000004E-2</v>
      </c>
    </row>
    <row r="128" spans="1:50">
      <c r="A128" t="s">
        <v>92</v>
      </c>
      <c r="B128" s="8" t="s">
        <v>873</v>
      </c>
      <c r="C128" t="s">
        <v>49</v>
      </c>
      <c r="D128">
        <v>504</v>
      </c>
      <c r="E128">
        <v>551</v>
      </c>
      <c r="F128" s="5">
        <v>-0.6612754879027184</v>
      </c>
      <c r="G128" s="5">
        <v>-0.39068368744399584</v>
      </c>
      <c r="H128" s="5">
        <v>3.4259761990168572E-2</v>
      </c>
      <c r="I128" s="5">
        <v>-0.84771538158945325</v>
      </c>
      <c r="J128" s="5">
        <v>-0.7203029465446521</v>
      </c>
      <c r="K128" s="5">
        <v>1.1489069916040255</v>
      </c>
      <c r="L128" s="5">
        <v>-0.68277805576438388</v>
      </c>
      <c r="M128" s="6">
        <v>-2.4913123142873168</v>
      </c>
      <c r="O128">
        <v>102.57919494786086</v>
      </c>
      <c r="P128">
        <v>83.383538411515772</v>
      </c>
      <c r="Q128">
        <v>85.3033370883836</v>
      </c>
      <c r="R128">
        <v>100.82136107111359</v>
      </c>
      <c r="S128">
        <v>74.64421241029045</v>
      </c>
      <c r="T128">
        <v>132.28207043612471</v>
      </c>
      <c r="U128">
        <v>68.764020786231953</v>
      </c>
      <c r="V128">
        <v>26.285322631646778</v>
      </c>
      <c r="W128">
        <v>23.841203278942288</v>
      </c>
      <c r="X128">
        <v>99.741822151485621</v>
      </c>
      <c r="Y128">
        <v>94.213152466768307</v>
      </c>
      <c r="AB128">
        <v>126.80706965177981</v>
      </c>
      <c r="AC128">
        <v>86.111226423014699</v>
      </c>
      <c r="AD128">
        <v>24.213641967400289</v>
      </c>
      <c r="AE128">
        <v>1.3273135713356454</v>
      </c>
      <c r="AF128">
        <v>16.239114427000001</v>
      </c>
      <c r="AG128">
        <v>59.222912338367017</v>
      </c>
      <c r="AH128">
        <v>67.999999999999673</v>
      </c>
      <c r="AI128">
        <v>35.925199999999997</v>
      </c>
      <c r="AJ128">
        <v>3.2707839369999996</v>
      </c>
      <c r="AK128">
        <v>77.470600000000005</v>
      </c>
      <c r="AL128">
        <v>4.0896481790000001</v>
      </c>
      <c r="AM128">
        <v>5.0664207560000003</v>
      </c>
      <c r="AN128">
        <v>0</v>
      </c>
      <c r="AO128">
        <v>2.9112602939999999</v>
      </c>
      <c r="AP128">
        <v>0.98337410800000002</v>
      </c>
      <c r="AQ128">
        <v>1.9278861859999998</v>
      </c>
      <c r="AR128">
        <v>0.25160132867416629</v>
      </c>
      <c r="AS128">
        <v>0.31023958657720357</v>
      </c>
      <c r="AT128">
        <v>0.40372402535679014</v>
      </c>
      <c r="AU128">
        <v>0.71396361193399371</v>
      </c>
      <c r="AV128">
        <v>0.26619999999999999</v>
      </c>
      <c r="AW128">
        <v>0.1406</v>
      </c>
      <c r="AX128">
        <v>6.5199999999999994E-2</v>
      </c>
    </row>
    <row r="129" spans="1:50">
      <c r="A129" t="s">
        <v>107</v>
      </c>
      <c r="B129" s="8" t="s">
        <v>1081</v>
      </c>
      <c r="C129" t="s">
        <v>20</v>
      </c>
      <c r="D129">
        <v>458</v>
      </c>
      <c r="E129">
        <v>518</v>
      </c>
      <c r="F129" s="5">
        <v>-0.30909143739602518</v>
      </c>
      <c r="G129" s="5">
        <v>0.18849756841465257</v>
      </c>
      <c r="H129" s="5">
        <v>-0.33680107499399581</v>
      </c>
      <c r="I129" s="5">
        <v>0.21773333468610659</v>
      </c>
      <c r="J129" s="5">
        <v>-3.7661936752076883E-4</v>
      </c>
      <c r="K129" s="5">
        <v>-1.4591287562154027</v>
      </c>
      <c r="L129" s="5">
        <v>-0.361256891803585</v>
      </c>
      <c r="M129" s="6">
        <v>-2.5074302118452527</v>
      </c>
      <c r="O129">
        <v>84.914188670726702</v>
      </c>
      <c r="P129">
        <v>108.01713177628838</v>
      </c>
      <c r="Q129">
        <v>93.130529185826106</v>
      </c>
      <c r="R129">
        <v>91.925358623662305</v>
      </c>
      <c r="S129">
        <v>99.986742410633184</v>
      </c>
      <c r="T129">
        <v>59.001296338393985</v>
      </c>
      <c r="U129">
        <v>120.49190311733598</v>
      </c>
      <c r="V129">
        <v>118.93340957035407</v>
      </c>
      <c r="W129">
        <v>123.60207350731739</v>
      </c>
      <c r="X129">
        <v>90.858033829873762</v>
      </c>
      <c r="Y129">
        <v>96.938187254925552</v>
      </c>
      <c r="AB129">
        <v>104.96981812604642</v>
      </c>
      <c r="AC129">
        <v>60.096792782793955</v>
      </c>
      <c r="AD129">
        <v>22.061975651792441</v>
      </c>
      <c r="AE129">
        <v>1.0551850736001291</v>
      </c>
      <c r="AF129">
        <v>21.036557051999999</v>
      </c>
      <c r="AG129">
        <v>64.657038684</v>
      </c>
      <c r="AH129">
        <v>61.999999999999638</v>
      </c>
      <c r="AI129">
        <v>48.122199999999999</v>
      </c>
      <c r="AJ129">
        <v>1.2293621480000001</v>
      </c>
      <c r="AK129">
        <v>161.30520000000001</v>
      </c>
      <c r="AL129">
        <v>7.1660948055952058</v>
      </c>
      <c r="AM129">
        <v>3.0046424239999996</v>
      </c>
      <c r="AN129">
        <v>0.50000001799999994</v>
      </c>
      <c r="AO129">
        <v>13.172602739725969</v>
      </c>
      <c r="AP129">
        <v>3.1776906839999999</v>
      </c>
      <c r="AQ129">
        <v>9.994912055725969</v>
      </c>
      <c r="AR129">
        <v>0.22919174263328912</v>
      </c>
      <c r="AS129">
        <v>0.3164211067347949</v>
      </c>
      <c r="AT129">
        <v>0.4181932915178585</v>
      </c>
      <c r="AU129">
        <v>0.7346143982526534</v>
      </c>
      <c r="AV129">
        <v>0.30120000000000002</v>
      </c>
      <c r="AW129">
        <v>0.31140000000000001</v>
      </c>
      <c r="AX129">
        <v>9.2899999999999996E-2</v>
      </c>
    </row>
    <row r="130" spans="1:50" s="12" customFormat="1">
      <c r="A130" s="12" t="s">
        <v>489</v>
      </c>
      <c r="B130" s="12" t="s">
        <v>1248</v>
      </c>
      <c r="C130" s="12" t="s">
        <v>648</v>
      </c>
      <c r="D130" s="12">
        <v>516</v>
      </c>
      <c r="E130" s="12">
        <v>563</v>
      </c>
      <c r="F130" s="13">
        <v>-0.4065843159840547</v>
      </c>
      <c r="G130" s="13">
        <v>-0.87406352450106761</v>
      </c>
      <c r="H130" s="13">
        <v>-0.46048802065537425</v>
      </c>
      <c r="I130" s="13">
        <v>0.51870521446226048</v>
      </c>
      <c r="J130" s="13">
        <v>-0.65086018816768243</v>
      </c>
      <c r="K130" s="13">
        <v>0.93353419462369547</v>
      </c>
      <c r="L130" s="13">
        <v>-0.40884379316439817</v>
      </c>
      <c r="M130" s="13">
        <v>-2.5183587169102157</v>
      </c>
      <c r="O130" s="12">
        <v>113.88684919578347</v>
      </c>
      <c r="P130" s="12">
        <v>62.824547203934301</v>
      </c>
      <c r="Q130" s="12">
        <v>90.963777205595122</v>
      </c>
      <c r="R130" s="12">
        <v>88.96002447451211</v>
      </c>
      <c r="S130" s="12">
        <v>77.088705855023036</v>
      </c>
      <c r="T130" s="12">
        <v>126.2305102550544</v>
      </c>
      <c r="U130" s="12">
        <v>66.768170613464179</v>
      </c>
      <c r="V130" s="12">
        <v>145.10498259648875</v>
      </c>
      <c r="W130" s="12">
        <v>134.85514113603966</v>
      </c>
      <c r="X130" s="12">
        <v>108.16143096059855</v>
      </c>
      <c r="Y130" s="12">
        <v>96.534867112415014</v>
      </c>
      <c r="AB130" s="12">
        <v>140.78544509665815</v>
      </c>
      <c r="AC130" s="12">
        <v>100.14349067300726</v>
      </c>
      <c r="AD130" s="12">
        <v>26.281381623450056</v>
      </c>
      <c r="AE130" s="12">
        <v>2.3078725459970286</v>
      </c>
      <c r="AF130" s="12">
        <v>12.235208895000001</v>
      </c>
      <c r="AG130" s="12">
        <v>63.152743928787224</v>
      </c>
      <c r="AH130" s="12">
        <v>59.999999999999794</v>
      </c>
      <c r="AI130" s="12">
        <v>37.101700000000001</v>
      </c>
      <c r="AJ130" s="12">
        <v>1.189624067</v>
      </c>
      <c r="AK130" s="12">
        <v>84.393699999999441</v>
      </c>
      <c r="AL130" s="12">
        <v>3.9709476590000001</v>
      </c>
      <c r="AM130" s="12">
        <v>4.8871141810000003</v>
      </c>
      <c r="AN130" s="12">
        <v>1.031132248</v>
      </c>
      <c r="AO130" s="12">
        <v>16.071264569</v>
      </c>
      <c r="AP130" s="12">
        <v>5.1663886420000003</v>
      </c>
      <c r="AQ130" s="12">
        <v>10.904875926999999</v>
      </c>
      <c r="AR130" s="12">
        <v>0.27284000987724449</v>
      </c>
      <c r="AS130" s="12">
        <v>0.32735117147252207</v>
      </c>
      <c r="AT130" s="12">
        <v>0.404206796778873</v>
      </c>
      <c r="AU130" s="12">
        <v>0.73155796825139507</v>
      </c>
      <c r="AV130" s="12">
        <v>0.30299999999999999</v>
      </c>
      <c r="AW130" s="12" t="s">
        <v>1249</v>
      </c>
      <c r="AX130" s="12">
        <v>6.59E-2</v>
      </c>
    </row>
    <row r="131" spans="1:50" s="12" customFormat="1">
      <c r="A131" s="12" t="s">
        <v>116</v>
      </c>
      <c r="B131" s="12" t="s">
        <v>1023</v>
      </c>
      <c r="C131" s="12" t="s">
        <v>631</v>
      </c>
      <c r="D131" s="12">
        <v>520</v>
      </c>
      <c r="E131" s="12">
        <v>567</v>
      </c>
      <c r="F131" s="13">
        <v>-0.32517788990330559</v>
      </c>
      <c r="G131" s="13">
        <v>-0.63369552576410793</v>
      </c>
      <c r="H131" s="13">
        <v>0.21979018048223892</v>
      </c>
      <c r="I131" s="13">
        <v>-0.81809321752576991</v>
      </c>
      <c r="J131" s="13">
        <v>-0.71227556436082884</v>
      </c>
      <c r="K131" s="13">
        <v>0.82668619177689184</v>
      </c>
      <c r="L131" s="13">
        <v>-0.25510209640741277</v>
      </c>
      <c r="M131" s="13">
        <v>-2.5912058966404246</v>
      </c>
      <c r="O131" s="12">
        <v>114.7558905878597</v>
      </c>
      <c r="P131" s="12">
        <v>73.047819243379436</v>
      </c>
      <c r="Q131" s="12">
        <v>92.773012274541458</v>
      </c>
      <c r="R131" s="12">
        <v>105.26936229483894</v>
      </c>
      <c r="S131" s="12">
        <v>74.926788788092097</v>
      </c>
      <c r="T131" s="12">
        <v>123.2282874649884</v>
      </c>
      <c r="U131" s="12">
        <v>74.811905237848592</v>
      </c>
      <c r="V131" s="12">
        <v>28.861173340893856</v>
      </c>
      <c r="W131" s="12">
        <v>27.346004968424921</v>
      </c>
      <c r="X131" s="12">
        <v>108.14842328138572</v>
      </c>
      <c r="Y131" s="12">
        <v>97.837896334168477</v>
      </c>
      <c r="AB131" s="12">
        <v>141.85974278822516</v>
      </c>
      <c r="AC131" s="12">
        <v>99.99448969055085</v>
      </c>
      <c r="AD131" s="12">
        <v>26.361110363727168</v>
      </c>
      <c r="AE131" s="12">
        <v>2.0470256225297079</v>
      </c>
      <c r="AF131" s="12">
        <v>14.226212006999999</v>
      </c>
      <c r="AG131" s="12">
        <v>64.408828081470389</v>
      </c>
      <c r="AH131" s="12">
        <v>70.999999999999488</v>
      </c>
      <c r="AI131" s="12">
        <v>36.061199999999999</v>
      </c>
      <c r="AJ131" s="12">
        <v>1.7421250769999999</v>
      </c>
      <c r="AK131" s="12">
        <v>87.828299999999444</v>
      </c>
      <c r="AL131" s="12">
        <v>4.4493380189999998</v>
      </c>
      <c r="AM131" s="12">
        <v>6.0861757320000001</v>
      </c>
      <c r="AN131" s="12">
        <v>0</v>
      </c>
      <c r="AO131" s="12">
        <v>3.1965515189999998</v>
      </c>
      <c r="AP131" s="12">
        <v>0.98525435400000005</v>
      </c>
      <c r="AQ131" s="12">
        <v>2.2112971649999995</v>
      </c>
      <c r="AR131" s="12">
        <v>0.27280719766966377</v>
      </c>
      <c r="AS131" s="12">
        <v>0.32650440488798443</v>
      </c>
      <c r="AT131" s="12">
        <v>0.41492814483383528</v>
      </c>
      <c r="AU131" s="12">
        <v>0.74143254972181971</v>
      </c>
      <c r="AV131" s="12">
        <v>0.30099999999999999</v>
      </c>
      <c r="AW131" s="12" t="s">
        <v>1024</v>
      </c>
      <c r="AX131" s="12">
        <v>6.3600000000000004E-2</v>
      </c>
    </row>
    <row r="132" spans="1:50">
      <c r="A132" t="s">
        <v>136</v>
      </c>
      <c r="B132" s="8" t="s">
        <v>1044</v>
      </c>
      <c r="C132" t="s">
        <v>467</v>
      </c>
      <c r="D132">
        <v>476</v>
      </c>
      <c r="E132">
        <v>535</v>
      </c>
      <c r="F132" s="5">
        <v>-0.58569104673561356</v>
      </c>
      <c r="G132" s="5">
        <v>-0.88015034802426462</v>
      </c>
      <c r="H132" s="5">
        <v>-0.64601843914745471</v>
      </c>
      <c r="I132" s="5">
        <v>-0.71914008578222988</v>
      </c>
      <c r="J132" s="5">
        <v>-0.30504528567810524</v>
      </c>
      <c r="K132" s="5">
        <v>1.5334521636734424</v>
      </c>
      <c r="L132" s="5">
        <v>-0.32682360090848828</v>
      </c>
      <c r="M132" s="6">
        <v>-2.6354387256414431</v>
      </c>
      <c r="O132">
        <v>98.802523109198219</v>
      </c>
      <c r="P132">
        <v>62.565663937190322</v>
      </c>
      <c r="Q132">
        <v>86.983180169697491</v>
      </c>
      <c r="R132">
        <v>84.512023250786513</v>
      </c>
      <c r="S132">
        <v>89.261929989319</v>
      </c>
      <c r="T132">
        <v>143.08704805514429</v>
      </c>
      <c r="U132">
        <v>145.6600588376094</v>
      </c>
      <c r="V132">
        <v>37.465828086436538</v>
      </c>
      <c r="W132">
        <v>39.10624269190626</v>
      </c>
      <c r="X132">
        <v>101.72076802279696</v>
      </c>
      <c r="Y132">
        <v>97.230024701655239</v>
      </c>
      <c r="AB132">
        <v>122.13839693368499</v>
      </c>
      <c r="AC132">
        <v>81.950327470810905</v>
      </c>
      <c r="AD132">
        <v>25.949428235084376</v>
      </c>
      <c r="AE132">
        <v>2.8416581483893038</v>
      </c>
      <c r="AF132">
        <v>12.184790850000001</v>
      </c>
      <c r="AG132">
        <v>60.389164479754953</v>
      </c>
      <c r="AH132">
        <v>56.999999999999808</v>
      </c>
      <c r="AI132">
        <v>42.960499999999996</v>
      </c>
      <c r="AJ132">
        <v>2.4365681549999998</v>
      </c>
      <c r="AK132">
        <v>65.109499999999997</v>
      </c>
      <c r="AL132">
        <v>8.6629372099999991</v>
      </c>
      <c r="AM132">
        <v>4.0547526949999995</v>
      </c>
      <c r="AN132">
        <v>2.0808081349999998</v>
      </c>
      <c r="AO132">
        <v>4.1495696750000004</v>
      </c>
      <c r="AP132">
        <v>0.98729702499999994</v>
      </c>
      <c r="AQ132">
        <v>3.1622726500000002</v>
      </c>
      <c r="AR132">
        <v>0.25659327086908612</v>
      </c>
      <c r="AS132">
        <v>0.33532741786612641</v>
      </c>
      <c r="AT132">
        <v>0.40149857518098225</v>
      </c>
      <c r="AU132">
        <v>0.73682599304710861</v>
      </c>
      <c r="AV132">
        <v>0.27300000000000002</v>
      </c>
      <c r="AW132">
        <v>0.1217</v>
      </c>
      <c r="AX132">
        <v>8.0299999999999996E-2</v>
      </c>
    </row>
    <row r="133" spans="1:50" s="12" customFormat="1">
      <c r="A133" s="12" t="s">
        <v>19</v>
      </c>
      <c r="B133" s="12" t="s">
        <v>855</v>
      </c>
      <c r="C133" s="12" t="s">
        <v>20</v>
      </c>
      <c r="D133" s="12">
        <v>354</v>
      </c>
      <c r="E133" s="12">
        <v>397</v>
      </c>
      <c r="F133" s="13">
        <v>-1.4651805249362753</v>
      </c>
      <c r="G133" s="13">
        <v>0.54739625361394617</v>
      </c>
      <c r="H133" s="13">
        <v>-0.21311412933259957</v>
      </c>
      <c r="I133" s="13">
        <v>-1.1200527476284252</v>
      </c>
      <c r="J133" s="13">
        <v>-0.63106324710551887</v>
      </c>
      <c r="K133" s="13">
        <v>-0.25113284864440077</v>
      </c>
      <c r="L133" s="13">
        <v>7.1431322166580158E-2</v>
      </c>
      <c r="M133" s="13">
        <v>-2.6817195893207342</v>
      </c>
      <c r="O133" s="12">
        <v>63.55792144090465</v>
      </c>
      <c r="P133" s="12">
        <v>123.28172154144578</v>
      </c>
      <c r="Q133" s="12">
        <v>67.436772308092117</v>
      </c>
      <c r="R133" s="12">
        <v>94.890692772812926</v>
      </c>
      <c r="S133" s="12">
        <v>77.785589069101491</v>
      </c>
      <c r="T133" s="12">
        <v>92.94365134165939</v>
      </c>
      <c r="U133" s="12">
        <v>34.138969493317035</v>
      </c>
      <c r="V133" s="12">
        <v>2.6037173323903886</v>
      </c>
      <c r="W133" s="12">
        <v>3.5662217016800497</v>
      </c>
      <c r="X133" s="12">
        <v>87.986283132475904</v>
      </c>
      <c r="Y133" s="12">
        <v>100.60541220823558</v>
      </c>
      <c r="AB133" s="12">
        <v>78.569477711105947</v>
      </c>
      <c r="AC133" s="12">
        <v>42.188817747155312</v>
      </c>
      <c r="AD133" s="12">
        <v>12.09316453916742</v>
      </c>
      <c r="AE133" s="12">
        <v>0</v>
      </c>
      <c r="AF133" s="12">
        <v>24.009367088607533</v>
      </c>
      <c r="AG133" s="12">
        <v>46.818825512611994</v>
      </c>
      <c r="AH133" s="12">
        <v>63.99999999999978</v>
      </c>
      <c r="AI133" s="12">
        <v>37.437100000000001</v>
      </c>
      <c r="AJ133" s="12">
        <v>2.036165757</v>
      </c>
      <c r="AK133" s="12">
        <v>122.47449999999999</v>
      </c>
      <c r="AL133" s="12">
        <v>2.0303695570000002</v>
      </c>
      <c r="AM133" s="12">
        <v>2.00810143</v>
      </c>
      <c r="AN133" s="12">
        <v>0</v>
      </c>
      <c r="AO133" s="12">
        <v>0.288377624</v>
      </c>
      <c r="AP133" s="12">
        <v>0</v>
      </c>
      <c r="AQ133" s="12">
        <v>0.288377624</v>
      </c>
      <c r="AR133" s="12">
        <v>0.22194767715001679</v>
      </c>
      <c r="AS133" s="12">
        <v>0.30361256683005855</v>
      </c>
      <c r="AT133" s="12">
        <v>0.45879269824836244</v>
      </c>
      <c r="AU133" s="12">
        <v>0.76240526507842099</v>
      </c>
      <c r="AV133" s="12" t="s">
        <v>856</v>
      </c>
      <c r="AW133" s="12">
        <v>0.3085</v>
      </c>
      <c r="AX133" s="12">
        <v>9.4299999999999995E-2</v>
      </c>
    </row>
    <row r="134" spans="1:50" s="12" customFormat="1">
      <c r="A134" s="12" t="s">
        <v>257</v>
      </c>
      <c r="B134" s="12" t="s">
        <v>1088</v>
      </c>
      <c r="C134" s="12" t="s">
        <v>163</v>
      </c>
      <c r="D134" s="12">
        <v>476</v>
      </c>
      <c r="E134" s="12">
        <v>535</v>
      </c>
      <c r="F134" s="13">
        <v>-0.36978710894763628</v>
      </c>
      <c r="G134" s="13">
        <v>-1.2414767864657046</v>
      </c>
      <c r="H134" s="13">
        <v>-0.83154885763953512</v>
      </c>
      <c r="I134" s="13">
        <v>1.1502391707464832</v>
      </c>
      <c r="J134" s="13">
        <v>-0.84503429971270239</v>
      </c>
      <c r="K134" s="13">
        <v>1.7281808289676734</v>
      </c>
      <c r="L134" s="13">
        <v>-1.0767189858536967</v>
      </c>
      <c r="M134" s="13">
        <v>-2.9067879539761892</v>
      </c>
      <c r="O134" s="12">
        <v>96.38766684225385</v>
      </c>
      <c r="P134" s="12">
        <v>47.197817573943645</v>
      </c>
      <c r="Q134" s="12">
        <v>91.781584848243995</v>
      </c>
      <c r="R134" s="12">
        <v>80.064022027060915</v>
      </c>
      <c r="S134" s="12">
        <v>70.253474163449084</v>
      </c>
      <c r="T134" s="12">
        <v>148.55854795452649</v>
      </c>
      <c r="U134" s="12">
        <v>245.66546095560739</v>
      </c>
      <c r="V134" s="12">
        <v>200.02119957884958</v>
      </c>
      <c r="W134" s="12">
        <v>195.47046350734354</v>
      </c>
      <c r="X134" s="12">
        <v>99.234586228970116</v>
      </c>
      <c r="Y134" s="12">
        <v>90.874327968411848</v>
      </c>
      <c r="AB134" s="12">
        <v>119.15318295343199</v>
      </c>
      <c r="AC134" s="12">
        <v>85.220466761430984</v>
      </c>
      <c r="AD134" s="12">
        <v>22.421840902897003</v>
      </c>
      <c r="AE134" s="12">
        <v>1.8707451831613977</v>
      </c>
      <c r="AF134" s="12">
        <v>9.1918713800000003</v>
      </c>
      <c r="AG134" s="12">
        <v>63.720517148257628</v>
      </c>
      <c r="AH134" s="12">
        <v>53.999999999999822</v>
      </c>
      <c r="AI134" s="12">
        <v>33.812000000000005</v>
      </c>
      <c r="AJ134" s="12">
        <v>0.20226852000000001</v>
      </c>
      <c r="AK134" s="12">
        <v>58.85</v>
      </c>
      <c r="AL134" s="12">
        <v>14.610624765000001</v>
      </c>
      <c r="AM134" s="12">
        <v>4.0362946599999994</v>
      </c>
      <c r="AN134" s="12">
        <v>3.6357283900000001</v>
      </c>
      <c r="AO134" s="12">
        <v>22.153571574999997</v>
      </c>
      <c r="AP134" s="12">
        <v>6.3471207865168324</v>
      </c>
      <c r="AQ134" s="12">
        <v>15.806450788483165</v>
      </c>
      <c r="AR134" s="12">
        <v>0.25032181292737815</v>
      </c>
      <c r="AS134" s="12">
        <v>0.32638438366943834</v>
      </c>
      <c r="AT134" s="12">
        <v>0.36227703705191006</v>
      </c>
      <c r="AU134" s="12">
        <v>0.68866142072134839</v>
      </c>
      <c r="AV134" s="12">
        <v>0.26690000000000003</v>
      </c>
      <c r="AW134" s="12" t="s">
        <v>1089</v>
      </c>
      <c r="AX134" s="12">
        <v>6.3200000000000006E-2</v>
      </c>
    </row>
    <row r="135" spans="1:50" s="12" customFormat="1">
      <c r="A135" s="12" t="s">
        <v>248</v>
      </c>
      <c r="B135" s="12" t="s">
        <v>995</v>
      </c>
      <c r="C135" s="12" t="s">
        <v>169</v>
      </c>
      <c r="D135" s="12">
        <v>476</v>
      </c>
      <c r="E135" s="12">
        <v>511</v>
      </c>
      <c r="F135" s="13">
        <v>-0.62494054659348697</v>
      </c>
      <c r="G135" s="13">
        <v>-0.6185702332434645</v>
      </c>
      <c r="H135" s="13">
        <v>-0.33680107722033881</v>
      </c>
      <c r="I135" s="13">
        <v>0.21573256681259426</v>
      </c>
      <c r="J135" s="13">
        <v>-1.1607760314474431</v>
      </c>
      <c r="K135" s="13">
        <v>1.0806438539324814</v>
      </c>
      <c r="L135" s="13">
        <v>-0.50786710389294121</v>
      </c>
      <c r="M135" s="13">
        <v>-2.9205000102752772</v>
      </c>
      <c r="O135" s="12">
        <v>102.25504834738086</v>
      </c>
      <c r="P135" s="12">
        <v>73.691124429291222</v>
      </c>
      <c r="Q135" s="12">
        <v>86.110871004435396</v>
      </c>
      <c r="R135" s="12">
        <v>91.925358570286818</v>
      </c>
      <c r="S135" s="12">
        <v>59.138872562167336</v>
      </c>
      <c r="T135" s="12">
        <v>130.36400793445341</v>
      </c>
      <c r="U135" s="12">
        <v>32.238986730423719</v>
      </c>
      <c r="V135" s="12">
        <v>118.7594290557993</v>
      </c>
      <c r="W135" s="12">
        <v>99.817598150896515</v>
      </c>
      <c r="X135" s="12">
        <v>105.27526752133591</v>
      </c>
      <c r="Y135" s="12">
        <v>95.695600535840029</v>
      </c>
      <c r="AB135" s="12">
        <v>126.40636383063014</v>
      </c>
      <c r="AC135" s="12">
        <v>86.244923617194161</v>
      </c>
      <c r="AD135" s="12">
        <v>24.539265653241696</v>
      </c>
      <c r="AE135" s="12">
        <v>1.7470872081407181</v>
      </c>
      <c r="AF135" s="12">
        <v>14.351497005988016</v>
      </c>
      <c r="AG135" s="12">
        <v>59.783552894211184</v>
      </c>
      <c r="AH135" s="12">
        <v>61.999999963999997</v>
      </c>
      <c r="AI135" s="12">
        <v>28.462699999999998</v>
      </c>
      <c r="AJ135" s="12">
        <v>1.1749065300000001</v>
      </c>
      <c r="AK135" s="12">
        <v>79.664899999999491</v>
      </c>
      <c r="AL135" s="12">
        <v>1.9173706230000001</v>
      </c>
      <c r="AM135" s="12">
        <v>5.0798402690000009</v>
      </c>
      <c r="AN135" s="12">
        <v>0</v>
      </c>
      <c r="AO135" s="12">
        <v>13.153333333333247</v>
      </c>
      <c r="AP135" s="12">
        <v>5.0817202379999999</v>
      </c>
      <c r="AQ135" s="12">
        <v>8.0716130953332481</v>
      </c>
      <c r="AR135" s="12">
        <v>0.26555958787947509</v>
      </c>
      <c r="AS135" s="12">
        <v>0.30929301901408907</v>
      </c>
      <c r="AT135" s="12">
        <v>0.4159048415379239</v>
      </c>
      <c r="AU135" s="12">
        <v>0.72519786055201296</v>
      </c>
      <c r="AV135" s="12">
        <v>0.28949999999999998</v>
      </c>
      <c r="AW135" s="12" t="s">
        <v>996</v>
      </c>
      <c r="AX135" s="12">
        <v>5.57E-2</v>
      </c>
    </row>
    <row r="136" spans="1:50" s="12" customFormat="1">
      <c r="A136" s="12" t="s">
        <v>136</v>
      </c>
      <c r="B136" s="12" t="s">
        <v>623</v>
      </c>
      <c r="C136" s="12" t="s">
        <v>34</v>
      </c>
      <c r="D136" s="12">
        <v>531</v>
      </c>
      <c r="E136" s="12">
        <v>575</v>
      </c>
      <c r="F136" s="13">
        <v>1.3243996817983395E-2</v>
      </c>
      <c r="G136" s="13">
        <v>-1.4443425879985441</v>
      </c>
      <c r="H136" s="13">
        <v>-0.21311412933261975</v>
      </c>
      <c r="I136" s="13">
        <v>-0.57266967569938687</v>
      </c>
      <c r="J136" s="13">
        <v>-1.0929092370727389</v>
      </c>
      <c r="K136" s="13">
        <v>2.1744437419232998</v>
      </c>
      <c r="L136" s="13">
        <v>-0.35133765015187624</v>
      </c>
      <c r="M136" s="13">
        <v>-3.112432171086418</v>
      </c>
      <c r="O136" s="12">
        <v>126.53376746834719</v>
      </c>
      <c r="P136" s="12">
        <v>38.569579674272646</v>
      </c>
      <c r="Q136" s="12">
        <v>100.29434412797278</v>
      </c>
      <c r="R136" s="12">
        <v>94.890692772812443</v>
      </c>
      <c r="S136" s="12">
        <v>61.527889615081506</v>
      </c>
      <c r="T136" s="12">
        <v>161.09767505040276</v>
      </c>
      <c r="U136" s="12">
        <v>110.4204748030902</v>
      </c>
      <c r="V136" s="12">
        <v>50.202436690875125</v>
      </c>
      <c r="W136" s="12">
        <v>43.288553510703665</v>
      </c>
      <c r="X136" s="12">
        <v>116.77784754326186</v>
      </c>
      <c r="Y136" s="12">
        <v>97.022257237255985</v>
      </c>
      <c r="AB136" s="12">
        <v>156.41940134952694</v>
      </c>
      <c r="AC136" s="12">
        <v>119.69465755262422</v>
      </c>
      <c r="AD136" s="12">
        <v>27.805050379949339</v>
      </c>
      <c r="AE136" s="12">
        <v>1.0869721049051091</v>
      </c>
      <c r="AF136" s="12">
        <v>7.5115044247787175</v>
      </c>
      <c r="AG136" s="12">
        <v>69.630607114124302</v>
      </c>
      <c r="AH136" s="12">
        <v>63.999999999999453</v>
      </c>
      <c r="AI136" s="12">
        <v>29.612499999999997</v>
      </c>
      <c r="AJ136" s="12">
        <v>1.014571975</v>
      </c>
      <c r="AK136" s="12">
        <v>44.504999999999995</v>
      </c>
      <c r="AL136" s="12">
        <v>6.5671100749999995</v>
      </c>
      <c r="AM136" s="12">
        <v>3.8566371249999998</v>
      </c>
      <c r="AN136" s="12">
        <v>2.1477043499999997</v>
      </c>
      <c r="AO136" s="12">
        <v>5.5602270000000003</v>
      </c>
      <c r="AP136" s="12">
        <v>2.0597575250000002</v>
      </c>
      <c r="AQ136" s="12">
        <v>3.5004694750000001</v>
      </c>
      <c r="AR136" s="12">
        <v>0.29457514378441985</v>
      </c>
      <c r="AS136" s="12">
        <v>0.34238578456605612</v>
      </c>
      <c r="AT136" s="12">
        <v>0.39286571059576852</v>
      </c>
      <c r="AU136" s="12">
        <v>0.73525149516182464</v>
      </c>
      <c r="AV136" s="12">
        <v>0.30840000000000001</v>
      </c>
      <c r="AW136" s="12">
        <v>7.7399999999999997E-2</v>
      </c>
      <c r="AX136" s="12">
        <v>5.1499999999999997E-2</v>
      </c>
    </row>
    <row r="137" spans="1:50" s="12" customFormat="1">
      <c r="A137" s="12" t="s">
        <v>404</v>
      </c>
      <c r="B137" s="12" t="s">
        <v>975</v>
      </c>
      <c r="C137" s="12" t="s">
        <v>391</v>
      </c>
      <c r="D137" s="12">
        <v>455</v>
      </c>
      <c r="E137" s="12">
        <v>511</v>
      </c>
      <c r="F137" s="13">
        <v>-0.62515429020890978</v>
      </c>
      <c r="G137" s="13">
        <v>-0.74146609381642647</v>
      </c>
      <c r="H137" s="13">
        <v>-0.46048802065538846</v>
      </c>
      <c r="I137" s="13">
        <v>-0.81733578685038599</v>
      </c>
      <c r="J137" s="13">
        <v>-4.4792833289041593E-2</v>
      </c>
      <c r="K137" s="13">
        <v>0.5496889818112658</v>
      </c>
      <c r="L137" s="13">
        <v>-0.11341485429899573</v>
      </c>
      <c r="M137" s="13">
        <v>-3.1127139637714096</v>
      </c>
      <c r="O137" s="12">
        <v>96.667198446906383</v>
      </c>
      <c r="P137" s="12">
        <v>68.464148202168673</v>
      </c>
      <c r="Q137" s="12">
        <v>86.106120612317667</v>
      </c>
      <c r="R137" s="12">
        <v>88.960024474511769</v>
      </c>
      <c r="S137" s="12">
        <v>98.423222379046905</v>
      </c>
      <c r="T137" s="12">
        <v>115.4452001410649</v>
      </c>
      <c r="U137" s="12">
        <v>85.639305092338816</v>
      </c>
      <c r="V137" s="12">
        <v>28.927037142680874</v>
      </c>
      <c r="W137" s="12">
        <v>27.147322266994465</v>
      </c>
      <c r="X137" s="12">
        <v>104.11571446143627</v>
      </c>
      <c r="Y137" s="12">
        <v>99.038758694291587</v>
      </c>
      <c r="AB137" s="12">
        <v>119.49873629569662</v>
      </c>
      <c r="AC137" s="12">
        <v>82.592599947305658</v>
      </c>
      <c r="AD137" s="12">
        <v>22.78399784978825</v>
      </c>
      <c r="AE137" s="12">
        <v>1.2483298510629095</v>
      </c>
      <c r="AF137" s="12">
        <v>13.333532709</v>
      </c>
      <c r="AG137" s="12">
        <v>59.780254874865591</v>
      </c>
      <c r="AH137" s="12">
        <v>59.999999999999559</v>
      </c>
      <c r="AI137" s="12">
        <v>47.369700000000002</v>
      </c>
      <c r="AJ137" s="12">
        <v>2.975947492</v>
      </c>
      <c r="AK137" s="12">
        <v>96.732299999999483</v>
      </c>
      <c r="AL137" s="12">
        <v>5.0932831460000001</v>
      </c>
      <c r="AM137" s="12">
        <v>4.0638721129999995</v>
      </c>
      <c r="AN137" s="12">
        <v>0</v>
      </c>
      <c r="AO137" s="12">
        <v>3.203846338</v>
      </c>
      <c r="AP137" s="12">
        <v>1.0086153770000001</v>
      </c>
      <c r="AQ137" s="12">
        <v>2.195230961</v>
      </c>
      <c r="AR137" s="12">
        <v>0.26263458526526728</v>
      </c>
      <c r="AS137" s="12">
        <v>0.34341263796825905</v>
      </c>
      <c r="AT137" s="12">
        <v>0.40712025502433163</v>
      </c>
      <c r="AU137" s="12">
        <v>0.75053289299259074</v>
      </c>
      <c r="AV137" s="12" t="s">
        <v>976</v>
      </c>
      <c r="AW137" s="12" t="s">
        <v>977</v>
      </c>
      <c r="AX137" s="12">
        <v>9.2700000000000005E-2</v>
      </c>
    </row>
    <row r="138" spans="1:50" s="12" customFormat="1">
      <c r="A138" s="12" t="s">
        <v>257</v>
      </c>
      <c r="B138" s="12" t="s">
        <v>667</v>
      </c>
      <c r="C138" s="12" t="s">
        <v>467</v>
      </c>
      <c r="D138" s="12">
        <v>520</v>
      </c>
      <c r="E138" s="12">
        <v>558</v>
      </c>
      <c r="F138" s="13">
        <v>6.333235262386111E-2</v>
      </c>
      <c r="G138" s="13">
        <v>-0.38459117308754204</v>
      </c>
      <c r="H138" s="13">
        <v>-0.27495760216330095</v>
      </c>
      <c r="I138" s="13">
        <v>0.95220518383529351</v>
      </c>
      <c r="J138" s="13">
        <v>-1.3948981743307856</v>
      </c>
      <c r="K138" s="13">
        <v>-5.865027483259555E-2</v>
      </c>
      <c r="L138" s="13">
        <v>-0.74376063030723505</v>
      </c>
      <c r="M138" s="13">
        <v>-3.1449813024753084</v>
      </c>
      <c r="O138" s="12">
        <v>106.60070900627542</v>
      </c>
      <c r="P138" s="12">
        <v>83.642663719366809</v>
      </c>
      <c r="Q138" s="12">
        <v>101.40754383753828</v>
      </c>
      <c r="R138" s="12">
        <v>93.408025698237537</v>
      </c>
      <c r="S138" s="12">
        <v>50.897407837533343</v>
      </c>
      <c r="T138" s="12">
        <v>98.352040402678227</v>
      </c>
      <c r="U138" s="12">
        <v>109.95463897364249</v>
      </c>
      <c r="V138" s="12">
        <v>182.80078365840703</v>
      </c>
      <c r="W138" s="12">
        <v>171.18437370149235</v>
      </c>
      <c r="X138" s="12">
        <v>100.4628044856649</v>
      </c>
      <c r="Y138" s="12">
        <v>93.696298039353621</v>
      </c>
      <c r="AB138" s="12">
        <v>131.77841314468</v>
      </c>
      <c r="AC138" s="12">
        <v>85.138941939323985</v>
      </c>
      <c r="AD138" s="12">
        <v>26.480836341457266</v>
      </c>
      <c r="AE138" s="12">
        <v>3.8307576936202374</v>
      </c>
      <c r="AF138" s="12">
        <v>16.289579610000001</v>
      </c>
      <c r="AG138" s="12">
        <v>70.403459983249292</v>
      </c>
      <c r="AH138" s="12">
        <v>62.999999999999659</v>
      </c>
      <c r="AI138" s="12">
        <v>24.496199999999941</v>
      </c>
      <c r="AJ138" s="12">
        <v>0.20402209799999999</v>
      </c>
      <c r="AK138" s="12">
        <v>116.2872</v>
      </c>
      <c r="AL138" s="12">
        <v>6.5394051119999999</v>
      </c>
      <c r="AM138" s="12">
        <v>4.0643509140000003</v>
      </c>
      <c r="AN138" s="12">
        <v>1.958763024</v>
      </c>
      <c r="AO138" s="12">
        <v>20.246305158000002</v>
      </c>
      <c r="AP138" s="12">
        <v>6.4037156940000006</v>
      </c>
      <c r="AQ138" s="12">
        <v>13.842589464000001</v>
      </c>
      <c r="AR138" s="12">
        <v>0.25342002527823076</v>
      </c>
      <c r="AS138" s="12">
        <v>0.29706371069095089</v>
      </c>
      <c r="AT138" s="12">
        <v>0.41298308873672929</v>
      </c>
      <c r="AU138" s="12">
        <v>0.71004679942768023</v>
      </c>
      <c r="AV138" s="12">
        <v>0.29499999999999998</v>
      </c>
      <c r="AW138" s="12">
        <v>0.2084</v>
      </c>
      <c r="AX138" s="12" t="s">
        <v>668</v>
      </c>
    </row>
    <row r="139" spans="1:50">
      <c r="A139" t="s">
        <v>33</v>
      </c>
      <c r="B139" s="8" t="s">
        <v>989</v>
      </c>
      <c r="C139" t="s">
        <v>896</v>
      </c>
      <c r="D139">
        <v>454</v>
      </c>
      <c r="E139">
        <v>525</v>
      </c>
      <c r="F139" s="5">
        <v>-0.44888228378007983</v>
      </c>
      <c r="G139" s="5">
        <v>-0.77747566690230818</v>
      </c>
      <c r="H139" s="5">
        <v>-1.0170792807698661</v>
      </c>
      <c r="I139" s="5">
        <v>-0.6413533609121721</v>
      </c>
      <c r="J139" s="5">
        <v>0.31999856458358639</v>
      </c>
      <c r="K139" s="5">
        <v>0.44274454013348369</v>
      </c>
      <c r="L139" s="5">
        <v>-0.29360284317340379</v>
      </c>
      <c r="M139" s="6">
        <v>-3.2004922788156871</v>
      </c>
      <c r="O139">
        <v>90.463295524151278</v>
      </c>
      <c r="P139">
        <v>66.932597980776222</v>
      </c>
      <c r="Q139">
        <v>90.023716692364601</v>
      </c>
      <c r="R139">
        <v>75.616020692135521</v>
      </c>
      <c r="S139">
        <v>111.26444875939492</v>
      </c>
      <c r="T139">
        <v>112.44026760586098</v>
      </c>
      <c r="U139">
        <v>222.09986281092719</v>
      </c>
      <c r="V139">
        <v>44.229918312788172</v>
      </c>
      <c r="W139">
        <v>36.164183551715553</v>
      </c>
      <c r="X139">
        <v>97.648392880142055</v>
      </c>
      <c r="Y139">
        <v>97.511585390854805</v>
      </c>
      <c r="AB139">
        <v>111.829552008975</v>
      </c>
      <c r="AC139">
        <v>73.235139628171851</v>
      </c>
      <c r="AD139">
        <v>24.295803352610108</v>
      </c>
      <c r="AE139">
        <v>1.011392830243754</v>
      </c>
      <c r="AF139">
        <v>13.035260174999999</v>
      </c>
      <c r="AG139">
        <v>62.5000951196307</v>
      </c>
      <c r="AH139">
        <v>50.999999924999997</v>
      </c>
      <c r="AI139">
        <v>53.549999999999471</v>
      </c>
      <c r="AJ139">
        <v>0</v>
      </c>
      <c r="AK139">
        <v>100.17</v>
      </c>
      <c r="AL139">
        <v>13.209092329323502</v>
      </c>
      <c r="AM139">
        <v>4.0369943250000002</v>
      </c>
      <c r="AN139">
        <v>0.97297305000000001</v>
      </c>
      <c r="AO139">
        <v>4.8987340499999998</v>
      </c>
      <c r="AP139">
        <v>1.9743669750000001</v>
      </c>
      <c r="AQ139">
        <v>2.9243670749999997</v>
      </c>
      <c r="AR139">
        <v>0.24632059913871146</v>
      </c>
      <c r="AS139">
        <v>0.34908753803237758</v>
      </c>
      <c r="AT139">
        <v>0.38987217075798092</v>
      </c>
      <c r="AU139">
        <v>0.73895970879035855</v>
      </c>
      <c r="AV139">
        <v>0.28649999999999998</v>
      </c>
      <c r="AW139">
        <v>0.1908</v>
      </c>
      <c r="AX139" t="s">
        <v>990</v>
      </c>
    </row>
    <row r="140" spans="1:50">
      <c r="A140" t="s">
        <v>58</v>
      </c>
      <c r="B140" s="8" t="s">
        <v>983</v>
      </c>
      <c r="C140" t="s">
        <v>169</v>
      </c>
      <c r="D140">
        <v>473</v>
      </c>
      <c r="E140">
        <v>534</v>
      </c>
      <c r="F140" s="5">
        <v>-0.25423359866949713</v>
      </c>
      <c r="G140" s="5">
        <v>-0.25384287905783054</v>
      </c>
      <c r="H140" s="5">
        <v>-0.70786191197816617</v>
      </c>
      <c r="I140" s="5">
        <v>0.5218574094875218</v>
      </c>
      <c r="J140" s="5">
        <v>-7.1998942237702082E-3</v>
      </c>
      <c r="K140" s="5">
        <v>-1.0293724380045839</v>
      </c>
      <c r="L140" s="5">
        <v>-0.61557538162205139</v>
      </c>
      <c r="M140" s="6">
        <v>-3.2452791787693003</v>
      </c>
      <c r="O140">
        <v>90.86245266429431</v>
      </c>
      <c r="P140">
        <v>89.203617696530202</v>
      </c>
      <c r="Q140">
        <v>94.349729320373072</v>
      </c>
      <c r="R140">
        <v>83.029356176210882</v>
      </c>
      <c r="S140">
        <v>99.746552489501795</v>
      </c>
      <c r="T140">
        <v>71.076619960093041</v>
      </c>
      <c r="U140">
        <v>103.71210829591483</v>
      </c>
      <c r="V140">
        <v>145.37908761373356</v>
      </c>
      <c r="W140">
        <v>154.27930752817031</v>
      </c>
      <c r="X140">
        <v>94.139494708133213</v>
      </c>
      <c r="Y140">
        <v>94.782725003266648</v>
      </c>
      <c r="AB140">
        <v>112.32298488586441</v>
      </c>
      <c r="AC140">
        <v>70.337169067733853</v>
      </c>
      <c r="AD140">
        <v>21.76797628521841</v>
      </c>
      <c r="AE140">
        <v>1.995461045727956</v>
      </c>
      <c r="AF140">
        <v>17.372586756</v>
      </c>
      <c r="AG140">
        <v>65.503483678483491</v>
      </c>
      <c r="AH140">
        <v>55.999999999999524</v>
      </c>
      <c r="AI140">
        <v>48.006599999999999</v>
      </c>
      <c r="AJ140">
        <v>0.20617740000000001</v>
      </c>
      <c r="AK140">
        <v>147.49080000000001</v>
      </c>
      <c r="AL140">
        <v>6.1681389480000002</v>
      </c>
      <c r="AM140">
        <v>3.0741312000000001</v>
      </c>
      <c r="AN140">
        <v>1.9384883519999998</v>
      </c>
      <c r="AO140">
        <v>16.101623376623316</v>
      </c>
      <c r="AP140">
        <v>3.6260388899999998</v>
      </c>
      <c r="AQ140">
        <v>12.475584486623315</v>
      </c>
      <c r="AR140">
        <v>0.23746931265510446</v>
      </c>
      <c r="AS140">
        <v>0.31796312000048366</v>
      </c>
      <c r="AT140">
        <v>0.40031681141512593</v>
      </c>
      <c r="AU140">
        <v>0.71827993141560964</v>
      </c>
      <c r="AV140">
        <v>0.30509999999999998</v>
      </c>
      <c r="AW140">
        <v>0.2762</v>
      </c>
      <c r="AX140">
        <v>8.9899999999999994E-2</v>
      </c>
    </row>
    <row r="141" spans="1:50" s="12" customFormat="1">
      <c r="A141" s="12" t="s">
        <v>200</v>
      </c>
      <c r="B141" s="12" t="s">
        <v>1061</v>
      </c>
      <c r="C141" s="12" t="s">
        <v>654</v>
      </c>
      <c r="D141" s="12">
        <v>490</v>
      </c>
      <c r="E141" s="12">
        <v>546</v>
      </c>
      <c r="F141" s="13">
        <v>-0.39199994171710728</v>
      </c>
      <c r="G141" s="13">
        <v>-0.52820562716922392</v>
      </c>
      <c r="H141" s="13">
        <v>-0.27495760216329268</v>
      </c>
      <c r="I141" s="13">
        <v>-1.1199996356246957</v>
      </c>
      <c r="J141" s="13">
        <v>2.7471313826065751E-2</v>
      </c>
      <c r="K141" s="13">
        <v>8.5392007465566799E-2</v>
      </c>
      <c r="L141" s="13">
        <v>-0.36591360520451355</v>
      </c>
      <c r="M141" s="13">
        <v>-3.3040898706952202</v>
      </c>
      <c r="O141" s="12">
        <v>102.70470041088252</v>
      </c>
      <c r="P141" s="12">
        <v>77.534489417511708</v>
      </c>
      <c r="Q141" s="12">
        <v>91.287910847774995</v>
      </c>
      <c r="R141" s="12">
        <v>93.408025698237736</v>
      </c>
      <c r="S141" s="12">
        <v>100.96703310950683</v>
      </c>
      <c r="T141" s="12">
        <v>102.39935070447859</v>
      </c>
      <c r="U141" s="12">
        <v>50.594778272574764</v>
      </c>
      <c r="V141" s="12">
        <v>2.6083357860652114</v>
      </c>
      <c r="W141" s="12">
        <v>3.5725474381639799</v>
      </c>
      <c r="X141" s="12">
        <v>102.71710912518002</v>
      </c>
      <c r="Y141" s="12">
        <v>96.898719538835934</v>
      </c>
      <c r="AB141" s="12">
        <v>126.96221787651639</v>
      </c>
      <c r="AC141" s="12">
        <v>89.175850044727184</v>
      </c>
      <c r="AD141" s="12">
        <v>22.647127130528379</v>
      </c>
      <c r="AE141" s="12">
        <v>0.83055224478712508</v>
      </c>
      <c r="AF141" s="12">
        <v>15.100000187999999</v>
      </c>
      <c r="AG141" s="12">
        <v>63.377777777777737</v>
      </c>
      <c r="AH141" s="12">
        <v>62.999999999999794</v>
      </c>
      <c r="AI141" s="12">
        <v>48.594000000000001</v>
      </c>
      <c r="AJ141" s="12">
        <v>1.9810763699999998</v>
      </c>
      <c r="AK141" s="12">
        <v>111.657</v>
      </c>
      <c r="AL141" s="12">
        <v>3.0090567780000002</v>
      </c>
      <c r="AM141" s="12">
        <v>3.9999998219999999</v>
      </c>
      <c r="AN141" s="12">
        <v>0</v>
      </c>
      <c r="AO141" s="12">
        <v>0.28888914600000004</v>
      </c>
      <c r="AP141" s="12">
        <v>0</v>
      </c>
      <c r="AQ141" s="12">
        <v>0.28888914600000004</v>
      </c>
      <c r="AR141" s="12">
        <v>0.25910656709493141</v>
      </c>
      <c r="AS141" s="12">
        <v>0.33153619935566325</v>
      </c>
      <c r="AT141" s="12">
        <v>0.40277910569825576</v>
      </c>
      <c r="AU141" s="12">
        <v>0.73431530505391907</v>
      </c>
      <c r="AV141" s="12">
        <v>0.30459999999999998</v>
      </c>
      <c r="AW141" s="12" t="s">
        <v>1062</v>
      </c>
      <c r="AX141" s="12">
        <v>8.8999999999999996E-2</v>
      </c>
    </row>
    <row r="142" spans="1:50" s="12" customFormat="1">
      <c r="A142" s="12" t="s">
        <v>130</v>
      </c>
      <c r="B142" s="12" t="s">
        <v>1274</v>
      </c>
      <c r="C142" s="12" t="s">
        <v>20</v>
      </c>
      <c r="D142" s="12">
        <v>463</v>
      </c>
      <c r="E142" s="12">
        <v>512</v>
      </c>
      <c r="F142" s="13">
        <v>-0.33552292508323595</v>
      </c>
      <c r="G142" s="13">
        <v>-2.4601240442439425E-2</v>
      </c>
      <c r="H142" s="13">
        <v>-0.21311412933258594</v>
      </c>
      <c r="I142" s="13">
        <v>-0.25289278426186679</v>
      </c>
      <c r="J142" s="13">
        <v>-0.69511113245600731</v>
      </c>
      <c r="K142" s="13">
        <v>-0.7575144844502707</v>
      </c>
      <c r="L142" s="13">
        <v>-0.29179176906703819</v>
      </c>
      <c r="M142" s="13">
        <v>-3.3337631342102423</v>
      </c>
      <c r="O142" s="12">
        <v>90.538274759721375</v>
      </c>
      <c r="P142" s="12">
        <v>98.95366614993506</v>
      </c>
      <c r="Q142" s="12">
        <v>92.543096758800132</v>
      </c>
      <c r="R142" s="12">
        <v>94.890692772813253</v>
      </c>
      <c r="S142" s="12">
        <v>75.531003572391484</v>
      </c>
      <c r="T142" s="12">
        <v>78.715304091528623</v>
      </c>
      <c r="U142" s="12">
        <v>165.41392581512622</v>
      </c>
      <c r="V142" s="12">
        <v>78.009234696562046</v>
      </c>
      <c r="W142" s="12">
        <v>73.85239541500772</v>
      </c>
      <c r="X142" s="12">
        <v>95.829621235195162</v>
      </c>
      <c r="Y142" s="12">
        <v>97.526935048970557</v>
      </c>
      <c r="AB142" s="12">
        <v>111.92224036700128</v>
      </c>
      <c r="AC142" s="12">
        <v>68.583884893203276</v>
      </c>
      <c r="AD142" s="12">
        <v>20.604306333824052</v>
      </c>
      <c r="AE142" s="12">
        <v>2.9878641565367876</v>
      </c>
      <c r="AF142" s="12">
        <v>19.271428608000001</v>
      </c>
      <c r="AG142" s="12">
        <v>64.24920634920602</v>
      </c>
      <c r="AH142" s="12">
        <v>64</v>
      </c>
      <c r="AI142" s="12">
        <v>36.351999999999997</v>
      </c>
      <c r="AJ142" s="12">
        <v>1.0078289920000001</v>
      </c>
      <c r="AK142" s="12">
        <v>138.75200000000001</v>
      </c>
      <c r="AL142" s="12">
        <v>9.8377720318896635</v>
      </c>
      <c r="AM142" s="12">
        <v>3.0380953599999998</v>
      </c>
      <c r="AN142" s="12">
        <v>0</v>
      </c>
      <c r="AO142" s="12">
        <v>8.64</v>
      </c>
      <c r="AP142" s="12">
        <v>2.6680273919999999</v>
      </c>
      <c r="AQ142" s="12">
        <v>5.9719726080000006</v>
      </c>
      <c r="AR142" s="12">
        <v>0.24173270057667662</v>
      </c>
      <c r="AS142" s="12">
        <v>0.31609157227995782</v>
      </c>
      <c r="AT142" s="12">
        <v>0.42298445888220682</v>
      </c>
      <c r="AU142" s="12">
        <v>0.73907603116216469</v>
      </c>
      <c r="AV142" s="12" t="s">
        <v>1275</v>
      </c>
      <c r="AW142" s="12">
        <v>0.27100000000000002</v>
      </c>
      <c r="AX142" s="12">
        <v>7.0999999999999994E-2</v>
      </c>
    </row>
    <row r="143" spans="1:50" s="12" customFormat="1">
      <c r="A143" s="12" t="s">
        <v>58</v>
      </c>
      <c r="B143" s="12" t="s">
        <v>608</v>
      </c>
      <c r="C143" s="12" t="s">
        <v>609</v>
      </c>
      <c r="D143" s="12">
        <v>471</v>
      </c>
      <c r="E143" s="12">
        <v>510</v>
      </c>
      <c r="F143" s="13">
        <v>-0.44593185482419945</v>
      </c>
      <c r="G143" s="13">
        <v>-0.30362476505530084</v>
      </c>
      <c r="H143" s="13">
        <v>-0.52233149348608399</v>
      </c>
      <c r="I143" s="13">
        <v>0.34113023860794139</v>
      </c>
      <c r="J143" s="13">
        <v>-1.0346221789365238</v>
      </c>
      <c r="K143" s="13">
        <v>5.2890939277665847E-2</v>
      </c>
      <c r="L143" s="13">
        <v>-0.4954316470558589</v>
      </c>
      <c r="M143" s="13">
        <v>-3.3542235288847397</v>
      </c>
      <c r="O143" s="12">
        <v>96.200268370010818</v>
      </c>
      <c r="P143" s="12">
        <v>87.086306882016487</v>
      </c>
      <c r="Q143" s="12">
        <v>90.089289151351053</v>
      </c>
      <c r="R143" s="12">
        <v>87.477357399936523</v>
      </c>
      <c r="S143" s="12">
        <v>63.57968500536915</v>
      </c>
      <c r="T143" s="12">
        <v>101.48613337691556</v>
      </c>
      <c r="U143" s="12">
        <v>84.864450410482021</v>
      </c>
      <c r="V143" s="12">
        <v>129.66361826822691</v>
      </c>
      <c r="W143" s="12">
        <v>119.12053272057831</v>
      </c>
      <c r="X143" s="12">
        <v>100.09305031703664</v>
      </c>
      <c r="Y143" s="12">
        <v>95.800996560382316</v>
      </c>
      <c r="AB143" s="12">
        <v>118.92152339386499</v>
      </c>
      <c r="AC143" s="12">
        <v>76.723344856769643</v>
      </c>
      <c r="AD143" s="12">
        <v>23.381439345100532</v>
      </c>
      <c r="AE143" s="12">
        <v>1.8988006835948466</v>
      </c>
      <c r="AF143" s="12">
        <v>16.96023615</v>
      </c>
      <c r="AG143" s="12">
        <v>62.545619622222453</v>
      </c>
      <c r="AH143" s="12">
        <v>58.999999999999531</v>
      </c>
      <c r="AI143" s="12">
        <v>30.599999999999998</v>
      </c>
      <c r="AJ143" s="12">
        <v>1.00142427</v>
      </c>
      <c r="AK143" s="12">
        <v>112.70173800000001</v>
      </c>
      <c r="AL143" s="12">
        <v>5.0471996999999993</v>
      </c>
      <c r="AM143" s="12">
        <v>3.0094487999999999</v>
      </c>
      <c r="AN143" s="12">
        <v>0.49999992000000004</v>
      </c>
      <c r="AO143" s="12">
        <v>14.361039</v>
      </c>
      <c r="AP143" s="12">
        <v>4.7285205900000005</v>
      </c>
      <c r="AQ143" s="12">
        <v>9.6325184099999994</v>
      </c>
      <c r="AR143" s="12">
        <v>0.25248731081499998</v>
      </c>
      <c r="AS143" s="12">
        <v>0.30768750367108277</v>
      </c>
      <c r="AT143" s="12">
        <v>0.41830906623727226</v>
      </c>
      <c r="AU143" s="12">
        <v>0.72599656990835504</v>
      </c>
      <c r="AV143" s="12">
        <v>0.29609999999999997</v>
      </c>
      <c r="AW143" s="12">
        <v>0.22098380000000001</v>
      </c>
      <c r="AX143" s="12">
        <v>0.06</v>
      </c>
    </row>
    <row r="144" spans="1:50">
      <c r="A144" t="s">
        <v>440</v>
      </c>
      <c r="B144" s="8" t="s">
        <v>1152</v>
      </c>
      <c r="C144" t="s">
        <v>87</v>
      </c>
      <c r="D144">
        <v>445</v>
      </c>
      <c r="E144">
        <v>505</v>
      </c>
      <c r="F144" s="5">
        <v>-0.79405677624912463</v>
      </c>
      <c r="G144" s="5">
        <v>-0.40567126271879389</v>
      </c>
      <c r="H144" s="5">
        <v>-0.64601843914747004</v>
      </c>
      <c r="I144" s="5">
        <v>-0.90508844913024722</v>
      </c>
      <c r="J144" s="5">
        <v>-0.14021833899923805</v>
      </c>
      <c r="K144" s="5">
        <v>0.33365977859434792</v>
      </c>
      <c r="L144" s="5">
        <v>-0.33924594463202967</v>
      </c>
      <c r="M144" s="6">
        <v>-3.4084256065631919</v>
      </c>
      <c r="O144">
        <v>86.716777107255098</v>
      </c>
      <c r="P144">
        <v>82.746090581309403</v>
      </c>
      <c r="Q144">
        <v>82.352310063343822</v>
      </c>
      <c r="R144">
        <v>84.512023250786143</v>
      </c>
      <c r="S144">
        <v>95.064095687929907</v>
      </c>
      <c r="T144">
        <v>109.37519621083204</v>
      </c>
      <c r="U144">
        <v>154.77489514120057</v>
      </c>
      <c r="V144">
        <v>21.296340179219627</v>
      </c>
      <c r="W144">
        <v>16.669872948428093</v>
      </c>
      <c r="X144">
        <v>95.497425941302879</v>
      </c>
      <c r="Y144">
        <v>97.124739816579293</v>
      </c>
      <c r="AB144">
        <v>107.198154559575</v>
      </c>
      <c r="AC144">
        <v>69.140417248768287</v>
      </c>
      <c r="AD144">
        <v>22.046270769442536</v>
      </c>
      <c r="AE144">
        <v>1.0244164915189493</v>
      </c>
      <c r="AF144">
        <v>16.114970159999999</v>
      </c>
      <c r="AG144">
        <v>57.174124790571504</v>
      </c>
      <c r="AH144">
        <v>56.999999999999559</v>
      </c>
      <c r="AI144">
        <v>45.753</v>
      </c>
      <c r="AJ144">
        <v>1.0383602950000002</v>
      </c>
      <c r="AK144">
        <v>103.6765</v>
      </c>
      <c r="AL144">
        <v>9.2050299100000004</v>
      </c>
      <c r="AM144">
        <v>3.0191616900000002</v>
      </c>
      <c r="AN144">
        <v>1.0899531150000001</v>
      </c>
      <c r="AO144">
        <v>2.358699965</v>
      </c>
      <c r="AP144">
        <v>1.0107135650000001</v>
      </c>
      <c r="AQ144">
        <v>1.3479863999999999</v>
      </c>
      <c r="AR144">
        <v>0.24089472934735956</v>
      </c>
      <c r="AS144">
        <v>0.3298121958075948</v>
      </c>
      <c r="AT144">
        <v>0.40621593011732626</v>
      </c>
      <c r="AU144">
        <v>0.73602812592492106</v>
      </c>
      <c r="AV144">
        <v>0.27750000000000002</v>
      </c>
      <c r="AW144">
        <v>0.20530000000000001</v>
      </c>
      <c r="AX144">
        <v>9.06E-2</v>
      </c>
    </row>
    <row r="145" spans="1:50" s="12" customFormat="1">
      <c r="A145" s="12" t="s">
        <v>243</v>
      </c>
      <c r="B145" s="12" t="s">
        <v>1034</v>
      </c>
      <c r="C145" s="12" t="s">
        <v>20</v>
      </c>
      <c r="D145" s="12">
        <v>516</v>
      </c>
      <c r="E145" s="12">
        <v>568</v>
      </c>
      <c r="F145" s="13">
        <v>-0.32443414126566794</v>
      </c>
      <c r="G145" s="13">
        <v>-1.4817768279274228</v>
      </c>
      <c r="H145" s="13">
        <v>-0.76970538184034354</v>
      </c>
      <c r="I145" s="13">
        <v>-0.21162623696036253</v>
      </c>
      <c r="J145" s="13">
        <v>-0.33973420118864034</v>
      </c>
      <c r="K145" s="13">
        <v>1.6753323496000183</v>
      </c>
      <c r="L145" s="13">
        <v>-0.41543181243780891</v>
      </c>
      <c r="M145" s="13">
        <v>-3.4222424197056727</v>
      </c>
      <c r="O145" s="12">
        <v>112.45251771084408</v>
      </c>
      <c r="P145" s="12">
        <v>36.977435876455431</v>
      </c>
      <c r="Q145" s="12">
        <v>92.789541880157117</v>
      </c>
      <c r="R145" s="12">
        <v>81.546689172804406</v>
      </c>
      <c r="S145" s="12">
        <v>88.040826039068833</v>
      </c>
      <c r="T145" s="12">
        <v>147.07360761918494</v>
      </c>
      <c r="U145" s="12">
        <v>85.205716831184816</v>
      </c>
      <c r="V145" s="12">
        <v>81.597644540833912</v>
      </c>
      <c r="W145" s="12">
        <v>67.76566774812116</v>
      </c>
      <c r="X145" s="12">
        <v>106.79920742927418</v>
      </c>
      <c r="Y145" s="12">
        <v>96.479030720546007</v>
      </c>
      <c r="AB145" s="12">
        <v>139.01234312791198</v>
      </c>
      <c r="AC145" s="12">
        <v>95.230829415998315</v>
      </c>
      <c r="AD145" s="12">
        <v>31.777669472505849</v>
      </c>
      <c r="AE145" s="12">
        <v>6.086036828061709</v>
      </c>
      <c r="AF145" s="12">
        <v>7.201431168</v>
      </c>
      <c r="AG145" s="12">
        <v>64.42030396761713</v>
      </c>
      <c r="AH145" s="12">
        <v>55.000000047999997</v>
      </c>
      <c r="AI145" s="12">
        <v>42.372799999999998</v>
      </c>
      <c r="AJ145" s="12">
        <v>0.98107572799999998</v>
      </c>
      <c r="AK145" s="12">
        <v>60.5488</v>
      </c>
      <c r="AL145" s="12">
        <v>5.0674960640000002</v>
      </c>
      <c r="AM145" s="12">
        <v>4.8644008479999998</v>
      </c>
      <c r="AN145" s="12">
        <v>1.0191953440000001</v>
      </c>
      <c r="AO145" s="12">
        <v>9.0374383439999999</v>
      </c>
      <c r="AP145" s="12">
        <v>3.5576606159999997</v>
      </c>
      <c r="AQ145" s="12">
        <v>5.4797777280000002</v>
      </c>
      <c r="AR145" s="12">
        <v>0.26940376575176739</v>
      </c>
      <c r="AS145" s="12">
        <v>0.33220071504483567</v>
      </c>
      <c r="AT145" s="12">
        <v>0.39893411534340145</v>
      </c>
      <c r="AU145" s="12">
        <v>0.73113483038823712</v>
      </c>
      <c r="AV145" s="12">
        <v>0.29089999999999999</v>
      </c>
      <c r="AW145" s="12">
        <v>0.1066</v>
      </c>
      <c r="AX145" s="12">
        <v>7.46E-2</v>
      </c>
    </row>
    <row r="146" spans="1:50" s="12" customFormat="1">
      <c r="A146" s="12" t="s">
        <v>200</v>
      </c>
      <c r="B146" s="12" t="s">
        <v>758</v>
      </c>
      <c r="C146" s="12" t="s">
        <v>87</v>
      </c>
      <c r="D146" s="12">
        <v>486</v>
      </c>
      <c r="E146" s="12">
        <v>516</v>
      </c>
      <c r="F146" s="13">
        <v>-0.72850484157908779</v>
      </c>
      <c r="G146" s="13">
        <v>-0.17272115466698834</v>
      </c>
      <c r="H146" s="13">
        <v>-2.7583710840507314E-2</v>
      </c>
      <c r="I146" s="13">
        <v>-1.0140151223702047</v>
      </c>
      <c r="J146" s="13">
        <v>-1.5098195942712489</v>
      </c>
      <c r="K146" s="13">
        <v>0.77868765232764248</v>
      </c>
      <c r="L146" s="13">
        <v>-0.26546666996494578</v>
      </c>
      <c r="M146" s="13">
        <v>-3.5640711443376252</v>
      </c>
      <c r="O146" s="12">
        <v>105.85742462072504</v>
      </c>
      <c r="P146" s="12">
        <v>92.653866735979193</v>
      </c>
      <c r="Q146" s="12">
        <v>83.809183491550442</v>
      </c>
      <c r="R146" s="12">
        <v>99.338693996538808</v>
      </c>
      <c r="S146" s="12">
        <v>46.851994546505573</v>
      </c>
      <c r="T146" s="12">
        <v>121.8796210867218</v>
      </c>
      <c r="U146" s="12">
        <v>49.65025897717689</v>
      </c>
      <c r="V146" s="12">
        <v>11.824417468985985</v>
      </c>
      <c r="W146" s="12">
        <v>12.215589233731293</v>
      </c>
      <c r="X146" s="12">
        <v>106.74157403311166</v>
      </c>
      <c r="Y146" s="12">
        <v>97.750051965975857</v>
      </c>
      <c r="AB146" s="12">
        <v>130.85957463266521</v>
      </c>
      <c r="AC146" s="12">
        <v>87.941172924763109</v>
      </c>
      <c r="AD146" s="12">
        <v>23.943107664917232</v>
      </c>
      <c r="AE146" s="12">
        <v>1.0315250392811692</v>
      </c>
      <c r="AF146" s="12">
        <v>18.044529804</v>
      </c>
      <c r="AG146" s="12">
        <v>58.185577451999997</v>
      </c>
      <c r="AH146" s="12">
        <v>66.999999999999957</v>
      </c>
      <c r="AI146" s="12">
        <v>22.549200000000003</v>
      </c>
      <c r="AJ146" s="12">
        <v>0.97511409599999999</v>
      </c>
      <c r="AK146" s="12">
        <v>89.371200000000002</v>
      </c>
      <c r="AL146" s="12">
        <v>2.9528827559999997</v>
      </c>
      <c r="AM146" s="12">
        <v>3.9692897519999999</v>
      </c>
      <c r="AN146" s="12">
        <v>0.49999987200000001</v>
      </c>
      <c r="AO146" s="12">
        <v>1.3096265760000001</v>
      </c>
      <c r="AP146" s="12">
        <v>0.32182971600000004</v>
      </c>
      <c r="AQ146" s="12">
        <v>0.98779686</v>
      </c>
      <c r="AR146" s="12">
        <v>0.26925838401782964</v>
      </c>
      <c r="AS146" s="12">
        <v>0.30640454000910733</v>
      </c>
      <c r="AT146" s="12">
        <v>0.43436230985275942</v>
      </c>
      <c r="AU146" s="12">
        <v>0.74076684986186669</v>
      </c>
      <c r="AV146" s="12">
        <v>0.2949</v>
      </c>
      <c r="AW146" s="12" t="s">
        <v>468</v>
      </c>
      <c r="AX146" s="12">
        <v>4.3700000000000003E-2</v>
      </c>
    </row>
    <row r="147" spans="1:50" s="12" customFormat="1">
      <c r="A147" s="12" t="s">
        <v>440</v>
      </c>
      <c r="B147" s="12" t="s">
        <v>1206</v>
      </c>
      <c r="C147" s="12" t="s">
        <v>49</v>
      </c>
      <c r="D147" s="12">
        <v>445</v>
      </c>
      <c r="E147" s="12">
        <v>486</v>
      </c>
      <c r="F147" s="13">
        <v>-0.90094884905433037</v>
      </c>
      <c r="G147" s="13">
        <v>-0.32415118603631926</v>
      </c>
      <c r="H147" s="13">
        <v>-0.33680107499398454</v>
      </c>
      <c r="I147" s="13">
        <v>-4.641676738760768E-2</v>
      </c>
      <c r="J147" s="13">
        <v>-0.81554547516095255</v>
      </c>
      <c r="K147" s="13">
        <v>0.39150752252191756</v>
      </c>
      <c r="L147" s="13">
        <v>-0.83719659856285678</v>
      </c>
      <c r="M147" s="13">
        <v>-3.5677981840481294</v>
      </c>
      <c r="O147" s="12">
        <v>85.901992953544593</v>
      </c>
      <c r="P147" s="12">
        <v>86.213282241516126</v>
      </c>
      <c r="Q147" s="12">
        <v>79.976663618434031</v>
      </c>
      <c r="R147" s="12">
        <v>91.925358623662575</v>
      </c>
      <c r="S147" s="12">
        <v>71.29152679837334</v>
      </c>
      <c r="T147" s="12">
        <v>111.00060623765546</v>
      </c>
      <c r="U147" s="12">
        <v>45.429702943607111</v>
      </c>
      <c r="V147" s="12">
        <v>95.963743130337107</v>
      </c>
      <c r="W147" s="12">
        <v>104.35849285332017</v>
      </c>
      <c r="X147" s="12">
        <v>94.600139487945896</v>
      </c>
      <c r="Y147" s="12">
        <v>92.904386673939527</v>
      </c>
      <c r="AB147" s="12">
        <v>106.19092896199402</v>
      </c>
      <c r="AC147" s="12">
        <v>66.469698350761206</v>
      </c>
      <c r="AD147" s="12">
        <v>22.827022247685168</v>
      </c>
      <c r="AE147" s="12">
        <v>0.5161869507130129</v>
      </c>
      <c r="AF147" s="12">
        <v>16.790212818000001</v>
      </c>
      <c r="AG147" s="12">
        <v>55.524802431610652</v>
      </c>
      <c r="AH147" s="12">
        <v>61.999999999999822</v>
      </c>
      <c r="AI147" s="12">
        <v>34.311599999999999</v>
      </c>
      <c r="AJ147" s="12">
        <v>0.99627083999999999</v>
      </c>
      <c r="AK147" s="12">
        <v>101.81699999999999</v>
      </c>
      <c r="AL147" s="12">
        <v>2.7018708299999998</v>
      </c>
      <c r="AM147" s="12">
        <v>4.1089360860000008</v>
      </c>
      <c r="AN147" s="12">
        <v>0</v>
      </c>
      <c r="AO147" s="12">
        <v>10.628571654</v>
      </c>
      <c r="AP147" s="12">
        <v>2.1897653399999997</v>
      </c>
      <c r="AQ147" s="12">
        <v>8.4388063140000007</v>
      </c>
      <c r="AR147" s="12">
        <v>0.2386313010381888</v>
      </c>
      <c r="AS147" s="12">
        <v>0.29767891735024427</v>
      </c>
      <c r="AT147" s="12">
        <v>0.40636664038263054</v>
      </c>
      <c r="AU147" s="12">
        <v>0.7040455577328748</v>
      </c>
      <c r="AV147" s="12">
        <v>0.27050000000000002</v>
      </c>
      <c r="AW147" s="12">
        <v>0.20949999999999999</v>
      </c>
      <c r="AX147" s="12">
        <v>7.0599999999999996E-2</v>
      </c>
    </row>
    <row r="148" spans="1:50" s="12" customFormat="1">
      <c r="A148" s="12" t="s">
        <v>107</v>
      </c>
      <c r="B148" s="12" t="s">
        <v>647</v>
      </c>
      <c r="C148" s="12" t="s">
        <v>648</v>
      </c>
      <c r="D148" s="12">
        <v>433</v>
      </c>
      <c r="E148" s="12">
        <v>489</v>
      </c>
      <c r="F148" s="13">
        <v>-0.36674339194874434</v>
      </c>
      <c r="G148" s="13">
        <v>-0.8504342212784457</v>
      </c>
      <c r="H148" s="13">
        <v>-1.2026097007461904</v>
      </c>
      <c r="I148" s="13">
        <v>0.2038908541958859</v>
      </c>
      <c r="J148" s="13">
        <v>-3.5283926893351206E-2</v>
      </c>
      <c r="K148" s="13">
        <v>0.26698943709869061</v>
      </c>
      <c r="L148" s="13">
        <v>-0.43802765980046526</v>
      </c>
      <c r="M148" s="13">
        <v>-3.5820171861876196</v>
      </c>
      <c r="O148" s="12">
        <v>88.143805476251927</v>
      </c>
      <c r="P148" s="12">
        <v>63.829542861495838</v>
      </c>
      <c r="Q148" s="12">
        <v>91.849230607915118</v>
      </c>
      <c r="R148" s="12">
        <v>71.168019432825901</v>
      </c>
      <c r="S148" s="12">
        <v>98.757950720692818</v>
      </c>
      <c r="T148" s="12">
        <v>107.50188820949552</v>
      </c>
      <c r="U148" s="12">
        <v>64.951891607375941</v>
      </c>
      <c r="V148" s="12">
        <v>117.72971077536333</v>
      </c>
      <c r="W148" s="12">
        <v>99.146694076065529</v>
      </c>
      <c r="X148" s="12">
        <v>99.759082972000101</v>
      </c>
      <c r="Y148" s="12">
        <v>96.287520869771029</v>
      </c>
      <c r="AB148" s="12">
        <v>108.96222851116356</v>
      </c>
      <c r="AC148" s="12">
        <v>72.172334756242208</v>
      </c>
      <c r="AD148" s="12">
        <v>21.638351406487594</v>
      </c>
      <c r="AE148" s="12">
        <v>2.1706714054852294</v>
      </c>
      <c r="AF148" s="12">
        <v>12.430933852140054</v>
      </c>
      <c r="AG148" s="12">
        <v>63.767481065869838</v>
      </c>
      <c r="AH148" s="12">
        <v>47.999999901000002</v>
      </c>
      <c r="AI148" s="12">
        <v>47.530799999999999</v>
      </c>
      <c r="AJ148" s="12">
        <v>0.96382633500000003</v>
      </c>
      <c r="AK148" s="12">
        <v>105.81960000000001</v>
      </c>
      <c r="AL148" s="12">
        <v>3.8629268939999997</v>
      </c>
      <c r="AM148" s="12">
        <v>2.6832686729999997</v>
      </c>
      <c r="AN148" s="12">
        <v>0.500000055</v>
      </c>
      <c r="AO148" s="12">
        <v>13.039285734</v>
      </c>
      <c r="AP148" s="12">
        <v>5.0219243760000003</v>
      </c>
      <c r="AQ148" s="12">
        <v>8.0173613579999987</v>
      </c>
      <c r="AR148" s="12">
        <v>0.25164486954079346</v>
      </c>
      <c r="AS148" s="12">
        <v>0.33318287225297244</v>
      </c>
      <c r="AT148" s="12">
        <v>0.39650066326612771</v>
      </c>
      <c r="AU148" s="12">
        <v>0.72968353551910015</v>
      </c>
      <c r="AV148" s="12">
        <v>0.30409999999999998</v>
      </c>
      <c r="AW148" s="12">
        <v>0.21640000000000001</v>
      </c>
      <c r="AX148" s="12">
        <v>9.7199999999999995E-2</v>
      </c>
    </row>
    <row r="149" spans="1:50" s="12" customFormat="1">
      <c r="A149" s="12" t="s">
        <v>630</v>
      </c>
      <c r="B149" s="12" t="s">
        <v>653</v>
      </c>
      <c r="C149" s="12" t="s">
        <v>654</v>
      </c>
      <c r="D149" s="12">
        <v>491</v>
      </c>
      <c r="E149" s="12">
        <v>550</v>
      </c>
      <c r="F149" s="13">
        <v>-0.43724203856820365</v>
      </c>
      <c r="G149" s="13">
        <v>0.35665023011108477</v>
      </c>
      <c r="H149" s="13">
        <v>0.15794670765156776</v>
      </c>
      <c r="I149" s="13">
        <v>-0.91156277468267299</v>
      </c>
      <c r="J149" s="13">
        <v>-0.14954426830103251</v>
      </c>
      <c r="K149" s="13">
        <v>-1.5312961110759433</v>
      </c>
      <c r="L149" s="13">
        <v>-0.79732691018185764</v>
      </c>
      <c r="M149" s="13">
        <v>-3.6178200095689181</v>
      </c>
      <c r="O149" s="12">
        <v>86.888820228546109</v>
      </c>
      <c r="P149" s="12">
        <v>115.1689590316321</v>
      </c>
      <c r="Q149" s="12">
        <v>90.282417889092869</v>
      </c>
      <c r="R149" s="12">
        <v>103.78669522026428</v>
      </c>
      <c r="S149" s="12">
        <v>94.735808425483881</v>
      </c>
      <c r="T149" s="12">
        <v>56.973532864220857</v>
      </c>
      <c r="U149" s="12">
        <v>153.49840857973277</v>
      </c>
      <c r="V149" s="12">
        <v>20.733353085155215</v>
      </c>
      <c r="W149" s="12">
        <v>16.258633668870885</v>
      </c>
      <c r="X149" s="12">
        <v>86.722333724071973</v>
      </c>
      <c r="Y149" s="12">
        <v>93.242300005966584</v>
      </c>
      <c r="AB149" s="12">
        <v>107.41083203355738</v>
      </c>
      <c r="AC149" s="12">
        <v>62.712208715942467</v>
      </c>
      <c r="AD149" s="12">
        <v>20.100816986095349</v>
      </c>
      <c r="AE149" s="12">
        <v>2.0884204671863786</v>
      </c>
      <c r="AF149" s="12">
        <v>22.429390018484238</v>
      </c>
      <c r="AG149" s="12">
        <v>62.679701672183199</v>
      </c>
      <c r="AH149" s="12">
        <v>69.999999999999858</v>
      </c>
      <c r="AI149" s="12">
        <v>45.594999999999999</v>
      </c>
      <c r="AJ149" s="12">
        <v>1.1765577999999999</v>
      </c>
      <c r="AK149" s="12">
        <v>163.625</v>
      </c>
      <c r="AL149" s="12">
        <v>9.1291125787861453</v>
      </c>
      <c r="AM149" s="12">
        <v>3.8532345500000003</v>
      </c>
      <c r="AN149" s="12">
        <v>0</v>
      </c>
      <c r="AO149" s="12">
        <v>2.2963457000000003</v>
      </c>
      <c r="AP149" s="12">
        <v>0.98161359999999998</v>
      </c>
      <c r="AQ149" s="12">
        <v>1.3147321000000003</v>
      </c>
      <c r="AR149" s="12">
        <v>0.21875933204390505</v>
      </c>
      <c r="AS149" s="12">
        <v>0.30152146784819078</v>
      </c>
      <c r="AT149" s="12">
        <v>0.40508485573040581</v>
      </c>
      <c r="AU149" s="12">
        <v>0.70660632357859665</v>
      </c>
      <c r="AV149" s="12">
        <v>0.2752</v>
      </c>
      <c r="AW149" s="12">
        <v>0.29749999999999999</v>
      </c>
      <c r="AX149" s="12">
        <v>8.2900000000000001E-2</v>
      </c>
    </row>
    <row r="150" spans="1:50" s="12" customFormat="1">
      <c r="A150" s="12" t="s">
        <v>123</v>
      </c>
      <c r="B150" s="12" t="s">
        <v>795</v>
      </c>
      <c r="C150" s="12" t="s">
        <v>609</v>
      </c>
      <c r="D150" s="12">
        <v>430</v>
      </c>
      <c r="E150" s="12">
        <v>475</v>
      </c>
      <c r="F150" s="13">
        <v>-0.69176401611079319</v>
      </c>
      <c r="G150" s="13">
        <v>-0.26718180395382374</v>
      </c>
      <c r="H150" s="13">
        <v>-0.46048802065536776</v>
      </c>
      <c r="I150" s="13">
        <v>-0.71989720299086324</v>
      </c>
      <c r="J150" s="13">
        <v>-0.66793018028210616</v>
      </c>
      <c r="K150" s="13">
        <v>9.3775963899275033E-2</v>
      </c>
      <c r="L150" s="13">
        <v>-0.39003212844113466</v>
      </c>
      <c r="M150" s="13">
        <v>-3.7913672026569651</v>
      </c>
      <c r="O150" s="12">
        <v>83.69750982031205</v>
      </c>
      <c r="P150" s="12">
        <v>88.636289854878967</v>
      </c>
      <c r="Q150" s="12">
        <v>84.625738069604751</v>
      </c>
      <c r="R150" s="12">
        <v>88.960024474512267</v>
      </c>
      <c r="S150" s="12">
        <v>76.487815498697785</v>
      </c>
      <c r="T150" s="12">
        <v>102.63492370917282</v>
      </c>
      <c r="U150" s="12">
        <v>67.401567637993537</v>
      </c>
      <c r="V150" s="12">
        <v>37.399991542737411</v>
      </c>
      <c r="W150" s="12">
        <v>33.51351190759182</v>
      </c>
      <c r="X150" s="12">
        <v>95.387755414403415</v>
      </c>
      <c r="Y150" s="12">
        <v>96.694304333164482</v>
      </c>
      <c r="AB150" s="12">
        <v>103.46577551967971</v>
      </c>
      <c r="AC150" s="12">
        <v>61.881148928108509</v>
      </c>
      <c r="AD150" s="12">
        <v>23.938488174335738</v>
      </c>
      <c r="AE150" s="12">
        <v>1.01677414745122</v>
      </c>
      <c r="AF150" s="12">
        <v>17.2620985</v>
      </c>
      <c r="AG150" s="12">
        <v>58.752480715649554</v>
      </c>
      <c r="AH150" s="12">
        <v>59.999999999999893</v>
      </c>
      <c r="AI150" s="12">
        <v>36.8125</v>
      </c>
      <c r="AJ150" s="12">
        <v>1.8750981250000001</v>
      </c>
      <c r="AK150" s="12">
        <v>111.38749999999999</v>
      </c>
      <c r="AL150" s="12">
        <v>4.0086180999999996</v>
      </c>
      <c r="AM150" s="12">
        <v>3.0411134</v>
      </c>
      <c r="AN150" s="12">
        <v>0</v>
      </c>
      <c r="AO150" s="12">
        <v>4.1422778749999996</v>
      </c>
      <c r="AP150" s="12">
        <v>1.432253725</v>
      </c>
      <c r="AQ150" s="12">
        <v>2.7100241499999997</v>
      </c>
      <c r="AR150" s="12">
        <v>0.2406180826039063</v>
      </c>
      <c r="AS150" s="12">
        <v>0.30984332344785342</v>
      </c>
      <c r="AT150" s="12">
        <v>0.42292288771891545</v>
      </c>
      <c r="AU150" s="12">
        <v>0.73276621116676888</v>
      </c>
      <c r="AV150" s="12" t="s">
        <v>796</v>
      </c>
      <c r="AW150" s="12">
        <v>0.23449999999999999</v>
      </c>
      <c r="AX150" s="12">
        <v>7.7499999999999999E-2</v>
      </c>
    </row>
    <row r="151" spans="1:50" s="12" customFormat="1">
      <c r="A151" s="12" t="s">
        <v>33</v>
      </c>
      <c r="B151" s="12" t="s">
        <v>1114</v>
      </c>
      <c r="C151" s="12" t="s">
        <v>391</v>
      </c>
      <c r="D151" s="12">
        <v>446</v>
      </c>
      <c r="E151" s="12">
        <v>493</v>
      </c>
      <c r="F151" s="13">
        <v>-0.70613327541882975</v>
      </c>
      <c r="G151" s="13">
        <v>-0.34832229561123701</v>
      </c>
      <c r="H151" s="13">
        <v>-0.27495759158804628</v>
      </c>
      <c r="I151" s="13">
        <v>-0.86771605379475814</v>
      </c>
      <c r="J151" s="13">
        <v>-0.62923937865345925</v>
      </c>
      <c r="K151" s="13">
        <v>0.26766761984546156</v>
      </c>
      <c r="L151" s="13">
        <v>-0.63861697584663102</v>
      </c>
      <c r="M151" s="13">
        <v>-3.900587273888354</v>
      </c>
      <c r="O151" s="12">
        <v>86.262823969151142</v>
      </c>
      <c r="P151" s="12">
        <v>85.185242610708045</v>
      </c>
      <c r="Q151" s="12">
        <v>84.306385297268378</v>
      </c>
      <c r="R151" s="12">
        <v>93.408025951774107</v>
      </c>
      <c r="S151" s="12">
        <v>77.849792084352003</v>
      </c>
      <c r="T151" s="12">
        <v>107.52094383659137</v>
      </c>
      <c r="U151" s="12">
        <v>103.4520369417298</v>
      </c>
      <c r="V151" s="12">
        <v>24.546126752011006</v>
      </c>
      <c r="W151" s="12">
        <v>19.878763093017639</v>
      </c>
      <c r="X151" s="12">
        <v>94.78450814240442</v>
      </c>
      <c r="Y151" s="12">
        <v>94.587437249692087</v>
      </c>
      <c r="AB151" s="12">
        <v>106.63698358107929</v>
      </c>
      <c r="AC151" s="12">
        <v>67.135028869893532</v>
      </c>
      <c r="AD151" s="12">
        <v>20.847241047255892</v>
      </c>
      <c r="AE151" s="12">
        <v>1.8335929590426752</v>
      </c>
      <c r="AF151" s="12">
        <v>16.589999999999971</v>
      </c>
      <c r="AG151" s="12">
        <v>58.530766045548241</v>
      </c>
      <c r="AH151" s="12">
        <v>63.000000170999996</v>
      </c>
      <c r="AI151" s="12">
        <v>37.467999999999996</v>
      </c>
      <c r="AJ151" s="12">
        <v>1.9718742849999999</v>
      </c>
      <c r="AK151" s="12">
        <v>105.79780000000001</v>
      </c>
      <c r="AL151" s="12">
        <v>6.1526715520000002</v>
      </c>
      <c r="AM151" s="12">
        <v>3.0000001489999999</v>
      </c>
      <c r="AN151" s="12">
        <v>0</v>
      </c>
      <c r="AO151" s="12">
        <v>2.7186337099999998</v>
      </c>
      <c r="AP151" s="12">
        <v>1.1111648119999999</v>
      </c>
      <c r="AQ151" s="12">
        <v>1.6074688979999998</v>
      </c>
      <c r="AR151" s="12">
        <v>0.23909637574233025</v>
      </c>
      <c r="AS151" s="12">
        <v>0.31166482792683864</v>
      </c>
      <c r="AT151" s="12">
        <v>0.40513517901689067</v>
      </c>
      <c r="AU151" s="12">
        <v>0.71680000694372925</v>
      </c>
      <c r="AV151" s="12">
        <v>0.2757</v>
      </c>
      <c r="AW151" s="12">
        <v>0.21460000000000001</v>
      </c>
      <c r="AX151" s="12">
        <v>7.5999999999999998E-2</v>
      </c>
    </row>
    <row r="152" spans="1:50">
      <c r="A152" t="s">
        <v>74</v>
      </c>
      <c r="B152" s="8" t="s">
        <v>848</v>
      </c>
      <c r="C152" t="s">
        <v>34</v>
      </c>
      <c r="D152">
        <v>518</v>
      </c>
      <c r="E152">
        <v>598</v>
      </c>
      <c r="F152" s="5">
        <v>-0.32212777643556839</v>
      </c>
      <c r="G152" s="5">
        <v>-1.1171082825615519</v>
      </c>
      <c r="H152" s="5">
        <v>-0.76970539025105578</v>
      </c>
      <c r="I152" s="5">
        <v>-0.54226429964392264</v>
      </c>
      <c r="J152" s="5">
        <v>1.0595211482682818</v>
      </c>
      <c r="K152" s="5">
        <v>-7.3012637398928194E-3</v>
      </c>
      <c r="L152" s="5">
        <v>-1.188772585774152</v>
      </c>
      <c r="M152" s="6">
        <v>-4.0373109317159948</v>
      </c>
      <c r="O152">
        <v>100.59945178236242</v>
      </c>
      <c r="P152">
        <v>52.48742790157435</v>
      </c>
      <c r="Q152">
        <v>92.840800193945043</v>
      </c>
      <c r="R152">
        <v>81.546688971161686</v>
      </c>
      <c r="S152">
        <v>137.29679756437093</v>
      </c>
      <c r="T152">
        <v>99.794848571689087</v>
      </c>
      <c r="U152">
        <v>84.811408175379654</v>
      </c>
      <c r="V152">
        <v>52.84639306452209</v>
      </c>
      <c r="W152">
        <v>59.719409171033007</v>
      </c>
      <c r="X152">
        <v>95.173140945046612</v>
      </c>
      <c r="Y152">
        <v>89.92462389867066</v>
      </c>
      <c r="AB152">
        <v>124.359736841188</v>
      </c>
      <c r="AC152">
        <v>88.930300067113166</v>
      </c>
      <c r="AD152">
        <v>23.470794547950771</v>
      </c>
      <c r="AE152">
        <v>1.0648561467501068</v>
      </c>
      <c r="AF152">
        <v>10.222033796</v>
      </c>
      <c r="AG152">
        <v>64.455890695260976</v>
      </c>
      <c r="AH152">
        <v>54.999999912</v>
      </c>
      <c r="AI152">
        <v>66.078999999999397</v>
      </c>
      <c r="AJ152">
        <v>0.974119874</v>
      </c>
      <c r="AK152">
        <v>114.6365999999994</v>
      </c>
      <c r="AL152">
        <v>5.0440450840000004</v>
      </c>
      <c r="AM152">
        <v>3.0325423180000004</v>
      </c>
      <c r="AN152">
        <v>3.5134682699999997</v>
      </c>
      <c r="AO152">
        <v>5.8530613440000003</v>
      </c>
      <c r="AP152">
        <v>1.023933274</v>
      </c>
      <c r="AQ152">
        <v>4.8291280700000003</v>
      </c>
      <c r="AR152">
        <v>0.24007671204862546</v>
      </c>
      <c r="AS152">
        <v>0.33406170976337751</v>
      </c>
      <c r="AT152">
        <v>0.34740268877850394</v>
      </c>
      <c r="AU152">
        <v>0.68146439854188146</v>
      </c>
      <c r="AV152" t="s">
        <v>849</v>
      </c>
      <c r="AW152" t="s">
        <v>850</v>
      </c>
      <c r="AX152" t="s">
        <v>851</v>
      </c>
    </row>
    <row r="153" spans="1:50" s="12" customFormat="1">
      <c r="A153" s="12" t="s">
        <v>692</v>
      </c>
      <c r="B153" s="12" t="s">
        <v>1190</v>
      </c>
      <c r="C153" s="12" t="s">
        <v>34</v>
      </c>
      <c r="D153" s="12">
        <v>558</v>
      </c>
      <c r="E153" s="12">
        <v>611</v>
      </c>
      <c r="F153" s="13">
        <v>0.19174514613564786</v>
      </c>
      <c r="G153" s="13">
        <v>-0.87962902288403466</v>
      </c>
      <c r="H153" s="13">
        <v>-0.46048800810113638</v>
      </c>
      <c r="I153" s="13">
        <v>0.26399694208453189</v>
      </c>
      <c r="J153" s="13">
        <v>-0.55070679045069049</v>
      </c>
      <c r="K153" s="13">
        <v>0.16797475607009787</v>
      </c>
      <c r="L153" s="13">
        <v>-1.3092813252378654</v>
      </c>
      <c r="M153" s="13">
        <v>-4.0871978538997968</v>
      </c>
      <c r="O153" s="12">
        <v>112.61931729298215</v>
      </c>
      <c r="P153" s="12">
        <v>62.587836808610717</v>
      </c>
      <c r="Q153" s="12">
        <v>104.26148228574428</v>
      </c>
      <c r="R153" s="12">
        <v>88.960024775493835</v>
      </c>
      <c r="S153" s="12">
        <v>80.614261721595255</v>
      </c>
      <c r="T153" s="12">
        <v>104.71976665350006</v>
      </c>
      <c r="U153" s="12">
        <v>84.684172090449522</v>
      </c>
      <c r="V153" s="12">
        <v>122.95634812654355</v>
      </c>
      <c r="W153" s="12">
        <v>120.63510968769155</v>
      </c>
      <c r="X153" s="12">
        <v>98.907047855797188</v>
      </c>
      <c r="Y153" s="12">
        <v>88.903258762795389</v>
      </c>
      <c r="AB153" s="12">
        <v>139.21853860683751</v>
      </c>
      <c r="AC153" s="12">
        <v>97.438447069438325</v>
      </c>
      <c r="AD153" s="12">
        <v>26.750641899774486</v>
      </c>
      <c r="AE153" s="12">
        <v>2.1734358117715948</v>
      </c>
      <c r="AF153" s="12">
        <v>12.189109062</v>
      </c>
      <c r="AG153" s="12">
        <v>72.384842568107345</v>
      </c>
      <c r="AH153" s="12">
        <v>60.000000202999999</v>
      </c>
      <c r="AI153" s="12">
        <v>38.798499999999997</v>
      </c>
      <c r="AJ153" s="12">
        <v>0</v>
      </c>
      <c r="AK153" s="12">
        <v>109.00240000000001</v>
      </c>
      <c r="AL153" s="12">
        <v>5.0364778879999994</v>
      </c>
      <c r="AM153" s="12">
        <v>5.0330031310000001</v>
      </c>
      <c r="AN153" s="12">
        <v>2.5234507740000001</v>
      </c>
      <c r="AO153" s="12">
        <v>13.618167797</v>
      </c>
      <c r="AP153" s="12">
        <v>3.8631751990000001</v>
      </c>
      <c r="AQ153" s="12">
        <v>9.7549925979999994</v>
      </c>
      <c r="AR153" s="12">
        <v>0.24949558890114248</v>
      </c>
      <c r="AS153" s="12">
        <v>0.30416074190618175</v>
      </c>
      <c r="AT153" s="12">
        <v>0.36956357446649113</v>
      </c>
      <c r="AU153" s="12">
        <v>0.67372431637267294</v>
      </c>
      <c r="AV153" s="12">
        <v>0.28749999999999998</v>
      </c>
      <c r="AW153" s="12">
        <v>0.1784</v>
      </c>
      <c r="AX153" s="12">
        <v>6.3500000000000001E-2</v>
      </c>
    </row>
    <row r="154" spans="1:50" s="12" customFormat="1">
      <c r="A154" s="12" t="s">
        <v>107</v>
      </c>
      <c r="B154" s="12" t="s">
        <v>570</v>
      </c>
      <c r="C154" s="12" t="s">
        <v>163</v>
      </c>
      <c r="D154" s="12">
        <v>375</v>
      </c>
      <c r="E154" s="12">
        <v>408</v>
      </c>
      <c r="F154" s="13">
        <v>-0.89924810173373038</v>
      </c>
      <c r="G154" s="13">
        <v>-0.39120664759111662</v>
      </c>
      <c r="H154" s="13">
        <v>-0.95523580330093372</v>
      </c>
      <c r="I154" s="13">
        <v>-0.72657935253426631</v>
      </c>
      <c r="J154" s="13">
        <v>-1.2898929323820971</v>
      </c>
      <c r="K154" s="13">
        <v>0.71709123771264582</v>
      </c>
      <c r="L154" s="13">
        <v>0.19411063123937941</v>
      </c>
      <c r="M154" s="13">
        <v>-4.2241717873115201</v>
      </c>
      <c r="O154" s="12">
        <v>79.254871056241427</v>
      </c>
      <c r="P154" s="12">
        <v>83.361296000388265</v>
      </c>
      <c r="Q154" s="12">
        <v>80.014462252325586</v>
      </c>
      <c r="R154" s="12">
        <v>77.098687877910237</v>
      </c>
      <c r="S154" s="12">
        <v>54.593756191276974</v>
      </c>
      <c r="T154" s="12">
        <v>120.14888064407037</v>
      </c>
      <c r="U154" s="12">
        <v>86.251115637383904</v>
      </c>
      <c r="V154" s="12">
        <v>36.818932724628574</v>
      </c>
      <c r="W154" s="12">
        <v>31.000402914509522</v>
      </c>
      <c r="X154" s="12">
        <v>103.57221019472063</v>
      </c>
      <c r="Y154" s="12">
        <v>101.64517388641622</v>
      </c>
      <c r="AB154" s="12">
        <v>97.973843130470129</v>
      </c>
      <c r="AC154" s="12">
        <v>59.955390508584685</v>
      </c>
      <c r="AD154" s="12">
        <v>18.805105171263342</v>
      </c>
      <c r="AE154" s="12">
        <v>2.0321492759415394</v>
      </c>
      <c r="AF154" s="12">
        <v>16.234782671999998</v>
      </c>
      <c r="AG154" s="12">
        <v>55.551044607566212</v>
      </c>
      <c r="AH154" s="12">
        <v>51.999999999999645</v>
      </c>
      <c r="AI154" s="12">
        <v>26.275199999999998</v>
      </c>
      <c r="AJ154" s="12">
        <v>0</v>
      </c>
      <c r="AK154" s="12">
        <v>91.351199999999992</v>
      </c>
      <c r="AL154" s="12">
        <v>5.1296697600000005</v>
      </c>
      <c r="AM154" s="12">
        <v>2.173912944</v>
      </c>
      <c r="AN154" s="12">
        <v>0.49999992000000004</v>
      </c>
      <c r="AO154" s="12">
        <v>4.0779220560000002</v>
      </c>
      <c r="AP154" s="12">
        <v>1.5711170160000001</v>
      </c>
      <c r="AQ154" s="12">
        <v>2.5068050400000002</v>
      </c>
      <c r="AR154" s="12">
        <v>0.26126358168125369</v>
      </c>
      <c r="AS154" s="12">
        <v>0.32068161445785187</v>
      </c>
      <c r="AT154" s="12">
        <v>0.44960314497849596</v>
      </c>
      <c r="AU154" s="12">
        <v>0.77028475943634778</v>
      </c>
      <c r="AV154" s="12" t="s">
        <v>571</v>
      </c>
      <c r="AW154" s="12">
        <v>0.22389999999999999</v>
      </c>
      <c r="AX154" s="12">
        <v>6.4399999999999999E-2</v>
      </c>
    </row>
    <row r="155" spans="1:50" s="12" customFormat="1">
      <c r="A155" s="12" t="s">
        <v>293</v>
      </c>
      <c r="B155" s="12" t="s">
        <v>965</v>
      </c>
      <c r="C155" s="12" t="s">
        <v>966</v>
      </c>
      <c r="D155" s="12">
        <v>436</v>
      </c>
      <c r="E155" s="12">
        <v>485</v>
      </c>
      <c r="F155" s="13">
        <v>-0.49006435534219595</v>
      </c>
      <c r="G155" s="13">
        <v>-0.73389728848213154</v>
      </c>
      <c r="H155" s="13">
        <v>-0.83154886320543653</v>
      </c>
      <c r="I155" s="13">
        <v>-0.83977281463679609</v>
      </c>
      <c r="J155" s="13">
        <v>-0.31301364299292922</v>
      </c>
      <c r="K155" s="13">
        <v>0.39048091561166759</v>
      </c>
      <c r="L155" s="13">
        <v>-0.41952181556507939</v>
      </c>
      <c r="M155" s="13">
        <v>-4.2994501610267299</v>
      </c>
      <c r="O155" s="12">
        <v>89.38943085074294</v>
      </c>
      <c r="P155" s="12">
        <v>68.78606275132951</v>
      </c>
      <c r="Q155" s="12">
        <v>89.10845666107258</v>
      </c>
      <c r="R155" s="12">
        <v>80.064021893621145</v>
      </c>
      <c r="S155" s="12">
        <v>88.981431379001208</v>
      </c>
      <c r="T155" s="12">
        <v>110.97176056361127</v>
      </c>
      <c r="U155" s="12">
        <v>50.565773198373471</v>
      </c>
      <c r="V155" s="12">
        <v>26.975983404244644</v>
      </c>
      <c r="W155" s="12">
        <v>24.65230291497214</v>
      </c>
      <c r="X155" s="12">
        <v>100.47273647531917</v>
      </c>
      <c r="Y155" s="12">
        <v>96.444366125941457</v>
      </c>
      <c r="AB155" s="12">
        <v>110.50205443496216</v>
      </c>
      <c r="AC155" s="12">
        <v>72.474774174359581</v>
      </c>
      <c r="AD155" s="12">
        <v>20.917533260637473</v>
      </c>
      <c r="AE155" s="12">
        <v>2.9053772326302698</v>
      </c>
      <c r="AF155" s="12">
        <v>13.396226224999999</v>
      </c>
      <c r="AG155" s="12">
        <v>61.864664356308317</v>
      </c>
      <c r="AH155" s="12">
        <v>53.99999991</v>
      </c>
      <c r="AI155" s="12">
        <v>42.825500000000005</v>
      </c>
      <c r="AJ155" s="12">
        <v>0.97539513999999994</v>
      </c>
      <c r="AK155" s="12">
        <v>101.85</v>
      </c>
      <c r="AL155" s="12">
        <v>3.0073317399999997</v>
      </c>
      <c r="AM155" s="12">
        <v>3.0402515999999999</v>
      </c>
      <c r="AN155" s="12">
        <v>0.50000007999999996</v>
      </c>
      <c r="AO155" s="12">
        <v>2.9877552000000001</v>
      </c>
      <c r="AP155" s="12">
        <v>0.99428055500000001</v>
      </c>
      <c r="AQ155" s="12">
        <v>1.993474645</v>
      </c>
      <c r="AR155" s="12">
        <v>0.25344507897927099</v>
      </c>
      <c r="AS155" s="12">
        <v>0.32580131659672018</v>
      </c>
      <c r="AT155" s="12">
        <v>0.40507081948056267</v>
      </c>
      <c r="AU155" s="12">
        <v>0.73087213607728285</v>
      </c>
      <c r="AV155" s="12" t="s">
        <v>967</v>
      </c>
      <c r="AW155" s="12">
        <v>0.21</v>
      </c>
      <c r="AX155" s="12">
        <v>8.8300000000000003E-2</v>
      </c>
    </row>
    <row r="156" spans="1:50">
      <c r="A156" t="s">
        <v>92</v>
      </c>
      <c r="B156" s="8" t="s">
        <v>1029</v>
      </c>
      <c r="C156" t="s">
        <v>87</v>
      </c>
      <c r="D156">
        <v>392</v>
      </c>
      <c r="E156">
        <v>440</v>
      </c>
      <c r="F156" s="5">
        <v>-1.0888581957060992</v>
      </c>
      <c r="G156" s="5">
        <v>-1.1243819391514527</v>
      </c>
      <c r="H156" s="5">
        <v>-0.831548857639544</v>
      </c>
      <c r="I156" s="5">
        <v>-0.74049924656911437</v>
      </c>
      <c r="J156" s="5">
        <v>-0.50859254642011842</v>
      </c>
      <c r="K156" s="5">
        <v>1.2333562982271935</v>
      </c>
      <c r="L156" s="5">
        <v>-1.297323902004684E-3</v>
      </c>
      <c r="M156" s="6">
        <v>-4.3860128439847816</v>
      </c>
      <c r="O156">
        <v>87.267515130313654</v>
      </c>
      <c r="P156">
        <v>52.178066545525319</v>
      </c>
      <c r="Q156">
        <v>75.800430904226104</v>
      </c>
      <c r="R156">
        <v>80.064022027060702</v>
      </c>
      <c r="S156">
        <v>82.096748821311962</v>
      </c>
      <c r="T156">
        <v>134.65493306522654</v>
      </c>
      <c r="U156">
        <v>61.811376537660102</v>
      </c>
      <c r="V156">
        <v>35.60850228999783</v>
      </c>
      <c r="W156">
        <v>27.881792889760575</v>
      </c>
      <c r="X156">
        <v>109.09757341755899</v>
      </c>
      <c r="Y156">
        <v>99.989004603239991</v>
      </c>
      <c r="AB156">
        <v>107.87896975690001</v>
      </c>
      <c r="AC156">
        <v>75.756002997019309</v>
      </c>
      <c r="AD156">
        <v>20.14787313750513</v>
      </c>
      <c r="AE156">
        <v>1.0273201109313437</v>
      </c>
      <c r="AF156">
        <v>10.16178504</v>
      </c>
      <c r="AG156">
        <v>52.625400457665641</v>
      </c>
      <c r="AH156">
        <v>53.99999999999968</v>
      </c>
      <c r="AI156">
        <v>39.512</v>
      </c>
      <c r="AJ156">
        <v>2.0870044800000001</v>
      </c>
      <c r="AK156">
        <v>74.756</v>
      </c>
      <c r="AL156">
        <v>3.6761489599999999</v>
      </c>
      <c r="AM156">
        <v>3.8219680400000002</v>
      </c>
      <c r="AN156">
        <v>0</v>
      </c>
      <c r="AO156">
        <v>3.94385948</v>
      </c>
      <c r="AP156">
        <v>1.6892365599999999</v>
      </c>
      <c r="AQ156">
        <v>2.2546229200000001</v>
      </c>
      <c r="AR156">
        <v>0.27520145346147962</v>
      </c>
      <c r="AS156">
        <v>0.35012981273982557</v>
      </c>
      <c r="AT156">
        <v>0.40760420858373364</v>
      </c>
      <c r="AU156">
        <v>0.75773402132355927</v>
      </c>
      <c r="AV156">
        <v>0.31430000000000002</v>
      </c>
      <c r="AW156">
        <v>0.1699</v>
      </c>
      <c r="AX156">
        <v>8.9800000000000005E-2</v>
      </c>
    </row>
    <row r="157" spans="1:50">
      <c r="A157" t="s">
        <v>19</v>
      </c>
      <c r="B157" s="8" t="s">
        <v>904</v>
      </c>
      <c r="C157" t="s">
        <v>87</v>
      </c>
      <c r="D157">
        <v>399</v>
      </c>
      <c r="E157">
        <v>446</v>
      </c>
      <c r="F157" s="5">
        <v>-1.2342011466333942</v>
      </c>
      <c r="G157" s="5">
        <v>-0.16928728984718711</v>
      </c>
      <c r="H157" s="5">
        <v>-0.58417496631675858</v>
      </c>
      <c r="I157" s="5">
        <v>-0.69989448042851077</v>
      </c>
      <c r="J157" s="5">
        <v>-0.64527053307350557</v>
      </c>
      <c r="K157" s="5">
        <v>0.17768707962706851</v>
      </c>
      <c r="L157" s="5">
        <v>-0.85084148060182396</v>
      </c>
      <c r="M157" s="6">
        <v>-4.4937054787681108</v>
      </c>
      <c r="O157">
        <v>71.265974187919724</v>
      </c>
      <c r="P157">
        <v>92.799915021874043</v>
      </c>
      <c r="Q157">
        <v>72.57022443894077</v>
      </c>
      <c r="R157">
        <v>85.994690325361773</v>
      </c>
      <c r="S157">
        <v>77.285470435742269</v>
      </c>
      <c r="T157">
        <v>104.99266421218479</v>
      </c>
      <c r="U157">
        <v>84.241873255552463</v>
      </c>
      <c r="V157">
        <v>39.139365715007159</v>
      </c>
      <c r="W157">
        <v>40.865853706615752</v>
      </c>
      <c r="X157">
        <v>87.530191486327752</v>
      </c>
      <c r="Y157">
        <v>92.788740233193806</v>
      </c>
      <c r="AB157">
        <v>88.098072491627931</v>
      </c>
      <c r="AC157">
        <v>51.251178864909093</v>
      </c>
      <c r="AD157">
        <v>17.876125748971916</v>
      </c>
      <c r="AE157">
        <v>1.0295586604332372</v>
      </c>
      <c r="AF157">
        <v>18.072973006000002</v>
      </c>
      <c r="AG157">
        <v>50.382789079751902</v>
      </c>
      <c r="AH157">
        <v>57.999999999999844</v>
      </c>
      <c r="AI157">
        <v>37.196400000000004</v>
      </c>
      <c r="AJ157">
        <v>0.20090070000000002</v>
      </c>
      <c r="AK157">
        <v>108.6902</v>
      </c>
      <c r="AL157">
        <v>5.0101727562751721</v>
      </c>
      <c r="AM157">
        <v>4.2144145599999998</v>
      </c>
      <c r="AN157">
        <v>0.49999989599999994</v>
      </c>
      <c r="AO157">
        <v>4.3349242060000002</v>
      </c>
      <c r="AP157">
        <v>1.0303630259999998</v>
      </c>
      <c r="AQ157">
        <v>3.3045611800000003</v>
      </c>
      <c r="AR157">
        <v>0.22079717416448102</v>
      </c>
      <c r="AS157">
        <v>0.29619172942529065</v>
      </c>
      <c r="AT157">
        <v>0.40697743951917958</v>
      </c>
      <c r="AU157">
        <v>0.70316916894447024</v>
      </c>
      <c r="AV157" t="s">
        <v>905</v>
      </c>
      <c r="AW157">
        <v>0.2437</v>
      </c>
      <c r="AX157">
        <v>8.3400000000000002E-2</v>
      </c>
    </row>
    <row r="158" spans="1:50">
      <c r="A158" t="s">
        <v>376</v>
      </c>
      <c r="B158" s="8" t="s">
        <v>1126</v>
      </c>
      <c r="C158" t="s">
        <v>896</v>
      </c>
      <c r="D158">
        <v>466</v>
      </c>
      <c r="E158">
        <v>524</v>
      </c>
      <c r="F158" s="5">
        <v>-0.21362689534687951</v>
      </c>
      <c r="G158" s="5">
        <v>-1.0019201437508496</v>
      </c>
      <c r="H158" s="5">
        <v>-1.0170792850370658</v>
      </c>
      <c r="I158" s="5">
        <v>0.41226661331421649</v>
      </c>
      <c r="J158" s="5">
        <v>-0.44069033712401517</v>
      </c>
      <c r="K158" s="5">
        <v>-9.578233568331769E-2</v>
      </c>
      <c r="L158" s="5">
        <v>-0.4601722992220707</v>
      </c>
      <c r="M158" s="6">
        <v>-4.5881212348799227</v>
      </c>
      <c r="O158">
        <v>96.113734262760545</v>
      </c>
      <c r="P158">
        <v>57.386581220514501</v>
      </c>
      <c r="Q158">
        <v>95.252201953340716</v>
      </c>
      <c r="R158">
        <v>75.616020589831493</v>
      </c>
      <c r="S158">
        <v>84.487012534716428</v>
      </c>
      <c r="T158">
        <v>97.308701113613637</v>
      </c>
      <c r="U158">
        <v>196.12121915948745</v>
      </c>
      <c r="V158">
        <v>135.84941485103201</v>
      </c>
      <c r="W158">
        <v>127.69496334747282</v>
      </c>
      <c r="X158">
        <v>101.07600829146914</v>
      </c>
      <c r="Y158">
        <v>96.099835206868818</v>
      </c>
      <c r="AB158">
        <v>118.81455105341216</v>
      </c>
      <c r="AC158">
        <v>80.03474725998538</v>
      </c>
      <c r="AD158">
        <v>22.905532893507868</v>
      </c>
      <c r="AE158">
        <v>3.9941358499584378</v>
      </c>
      <c r="AF158">
        <v>11.176153912</v>
      </c>
      <c r="AG158">
        <v>66.130036630036145</v>
      </c>
      <c r="AH158">
        <v>50.999999855999995</v>
      </c>
      <c r="AI158">
        <v>40.662399999999998</v>
      </c>
      <c r="AJ158">
        <v>1.0075330520000001</v>
      </c>
      <c r="AK158">
        <v>117.48079999999948</v>
      </c>
      <c r="AL158">
        <v>11.664047239067919</v>
      </c>
      <c r="AM158">
        <v>3.8246152160000002</v>
      </c>
      <c r="AN158">
        <v>1.0435685320000001</v>
      </c>
      <c r="AO158">
        <v>15.046153816</v>
      </c>
      <c r="AP158">
        <v>4.7202758399999993</v>
      </c>
      <c r="AQ158">
        <v>10.325877976000001</v>
      </c>
      <c r="AR158">
        <v>0.25496684775410333</v>
      </c>
      <c r="AS158">
        <v>0.33655985567666707</v>
      </c>
      <c r="AT158">
        <v>0.39170136533235284</v>
      </c>
      <c r="AU158">
        <v>0.72826122100901991</v>
      </c>
      <c r="AV158">
        <v>0.3155</v>
      </c>
      <c r="AW158" t="s">
        <v>1127</v>
      </c>
      <c r="AX158">
        <v>7.7600000000000002E-2</v>
      </c>
    </row>
    <row r="159" spans="1:50" s="12" customFormat="1">
      <c r="A159" s="12" t="s">
        <v>156</v>
      </c>
      <c r="B159" s="12" t="s">
        <v>1167</v>
      </c>
      <c r="C159" s="12" t="s">
        <v>20</v>
      </c>
      <c r="D159" s="12">
        <v>493</v>
      </c>
      <c r="E159" s="12">
        <v>548</v>
      </c>
      <c r="F159" s="13">
        <v>-0.34766193663553452</v>
      </c>
      <c r="G159" s="13">
        <v>-1.6085711427845264</v>
      </c>
      <c r="H159" s="13">
        <v>-0.955235801569295</v>
      </c>
      <c r="I159" s="13">
        <v>0.70177829806904357</v>
      </c>
      <c r="J159" s="13">
        <v>-0.28871310442616499</v>
      </c>
      <c r="K159" s="13">
        <v>1.1927151083014202</v>
      </c>
      <c r="L159" s="13">
        <v>-1.4090284177045291</v>
      </c>
      <c r="M159" s="13">
        <v>-4.6755727089887484</v>
      </c>
      <c r="O159" s="12">
        <v>100.9374144824846</v>
      </c>
      <c r="P159" s="12">
        <v>31.584651559697235</v>
      </c>
      <c r="Q159" s="12">
        <v>92.273310619546479</v>
      </c>
      <c r="R159" s="12">
        <v>77.09868791942543</v>
      </c>
      <c r="S159" s="12">
        <v>89.836848252096317</v>
      </c>
      <c r="T159" s="12">
        <v>133.51299401761048</v>
      </c>
      <c r="U159" s="12">
        <v>91.5279906386222</v>
      </c>
      <c r="V159" s="12">
        <v>161.0244451731856</v>
      </c>
      <c r="W159" s="12">
        <v>166.25959034338908</v>
      </c>
      <c r="X159" s="12">
        <v>100.33531184682592</v>
      </c>
      <c r="Y159" s="12">
        <v>88.057857814252117</v>
      </c>
      <c r="AB159" s="12">
        <v>124.77752194542749</v>
      </c>
      <c r="AC159" s="12">
        <v>93.577421669185654</v>
      </c>
      <c r="AD159" s="12">
        <v>21.302476975864327</v>
      </c>
      <c r="AE159" s="12">
        <v>3.1027785015487752</v>
      </c>
      <c r="AF159" s="12">
        <v>6.1511754068715767</v>
      </c>
      <c r="AG159" s="12">
        <v>64.061903936188216</v>
      </c>
      <c r="AH159" s="12">
        <v>52.000000027999995</v>
      </c>
      <c r="AI159" s="12">
        <v>43.237200000000001</v>
      </c>
      <c r="AJ159" s="12">
        <v>0.485604172</v>
      </c>
      <c r="AK159" s="12">
        <v>76.062399999999997</v>
      </c>
      <c r="AL159" s="12">
        <v>5.4435048440000005</v>
      </c>
      <c r="AM159" s="12">
        <v>2.9782999920000002</v>
      </c>
      <c r="AN159" s="12">
        <v>1.958041812</v>
      </c>
      <c r="AO159" s="12">
        <v>17.834442444</v>
      </c>
      <c r="AP159" s="12">
        <v>4.3900888279999997</v>
      </c>
      <c r="AQ159" s="12">
        <v>13.444353616000001</v>
      </c>
      <c r="AR159" s="12">
        <v>0.25309842179599895</v>
      </c>
      <c r="AS159" s="12">
        <v>0.32229660013549061</v>
      </c>
      <c r="AT159" s="12">
        <v>0.34502112120293499</v>
      </c>
      <c r="AU159" s="12">
        <v>0.6673177213384256</v>
      </c>
      <c r="AV159" s="12" t="s">
        <v>1168</v>
      </c>
      <c r="AW159" s="12">
        <v>0.13880000000000001</v>
      </c>
      <c r="AX159" s="12">
        <v>7.8899999999999998E-2</v>
      </c>
    </row>
    <row r="160" spans="1:50" s="12" customFormat="1">
      <c r="A160" s="12" t="s">
        <v>489</v>
      </c>
      <c r="B160" s="12" t="s">
        <v>674</v>
      </c>
      <c r="C160" s="12" t="s">
        <v>648</v>
      </c>
      <c r="D160" s="12">
        <v>522</v>
      </c>
      <c r="E160" s="12">
        <v>581</v>
      </c>
      <c r="F160" s="13">
        <v>-5.6333992602836121E-2</v>
      </c>
      <c r="G160" s="13">
        <v>-2.0836986760568128</v>
      </c>
      <c r="H160" s="13">
        <v>-1.4499836009744262</v>
      </c>
      <c r="I160" s="13">
        <v>1.614332378797795</v>
      </c>
      <c r="J160" s="13">
        <v>-0.11445398368130578</v>
      </c>
      <c r="K160" s="13">
        <v>1.0809487250755097</v>
      </c>
      <c r="L160" s="13">
        <v>-1.1249340705988526</v>
      </c>
      <c r="M160" s="13">
        <v>-4.7764238634290459</v>
      </c>
      <c r="O160" s="12">
        <v>116.19215204646274</v>
      </c>
      <c r="P160" s="12">
        <v>11.376645287661731</v>
      </c>
      <c r="Q160" s="12">
        <v>98.74799275809373</v>
      </c>
      <c r="R160" s="12">
        <v>65.237350921021005</v>
      </c>
      <c r="S160" s="12">
        <v>95.971041194624149</v>
      </c>
      <c r="T160" s="12">
        <v>130.37257422553276</v>
      </c>
      <c r="U160" s="12">
        <v>49.11291951391815</v>
      </c>
      <c r="V160" s="12">
        <v>240.37729296033618</v>
      </c>
      <c r="W160" s="12">
        <v>245.58370875065191</v>
      </c>
      <c r="X160" s="12">
        <v>109.08243917593184</v>
      </c>
      <c r="Y160" s="12">
        <v>90.465683692476972</v>
      </c>
      <c r="AB160" s="12">
        <v>143.6352305653696</v>
      </c>
      <c r="AC160" s="12">
        <v>115.85598613989775</v>
      </c>
      <c r="AD160" s="12">
        <v>22.588605312025788</v>
      </c>
      <c r="AE160" s="12">
        <v>3.8464492271378905</v>
      </c>
      <c r="AF160" s="12">
        <v>2.2156249080000001</v>
      </c>
      <c r="AG160" s="12">
        <v>68.557033268733306</v>
      </c>
      <c r="AH160" s="12">
        <v>43.999999756999998</v>
      </c>
      <c r="AI160" s="12">
        <v>46.189500000000002</v>
      </c>
      <c r="AJ160" s="12">
        <v>0.99224458199999999</v>
      </c>
      <c r="AK160" s="12">
        <v>79.655100000000004</v>
      </c>
      <c r="AL160" s="12">
        <v>2.92092521</v>
      </c>
      <c r="AM160" s="12">
        <v>4.0277778519999998</v>
      </c>
      <c r="AN160" s="12">
        <v>4.5662544619999998</v>
      </c>
      <c r="AO160" s="12">
        <v>26.623255813953449</v>
      </c>
      <c r="AP160" s="12">
        <v>6.764466219</v>
      </c>
      <c r="AQ160" s="12">
        <v>19.85878959495345</v>
      </c>
      <c r="AR160" s="12">
        <v>0.27516327694515247</v>
      </c>
      <c r="AS160" s="12">
        <v>0.33798793072157457</v>
      </c>
      <c r="AT160" s="12">
        <v>0.34757671279188312</v>
      </c>
      <c r="AU160" s="12">
        <v>0.68556464351345769</v>
      </c>
      <c r="AV160" s="12">
        <v>0.31840000000000002</v>
      </c>
      <c r="AW160" s="12">
        <v>0.1371</v>
      </c>
      <c r="AX160" s="12">
        <v>7.9500000000000001E-2</v>
      </c>
    </row>
    <row r="161" spans="1:50">
      <c r="A161" t="s">
        <v>58</v>
      </c>
      <c r="B161" s="8" t="s">
        <v>1015</v>
      </c>
      <c r="C161" t="s">
        <v>391</v>
      </c>
      <c r="D161">
        <v>379</v>
      </c>
      <c r="E161">
        <v>428</v>
      </c>
      <c r="F161" s="5">
        <v>-1.3042560093911395</v>
      </c>
      <c r="G161" s="5">
        <v>-0.72566327655616314</v>
      </c>
      <c r="H161" s="5">
        <v>-0.95523580330093127</v>
      </c>
      <c r="I161" s="5">
        <v>-0.43174635076184498</v>
      </c>
      <c r="J161" s="5">
        <v>-0.45093705438218906</v>
      </c>
      <c r="K161" s="5">
        <v>0.7229148987307904</v>
      </c>
      <c r="L161" s="5">
        <v>-0.68422088050025387</v>
      </c>
      <c r="M161" s="6">
        <v>-4.7816504688216757</v>
      </c>
      <c r="O161">
        <v>71.474889558010759</v>
      </c>
      <c r="P161">
        <v>69.136269702078096</v>
      </c>
      <c r="Q161">
        <v>71.013274692420595</v>
      </c>
      <c r="R161">
        <v>77.098687877910294</v>
      </c>
      <c r="S161">
        <v>84.126312099522579</v>
      </c>
      <c r="T161">
        <v>120.31251428592104</v>
      </c>
      <c r="U161">
        <v>92.920742320466886</v>
      </c>
      <c r="V161">
        <v>62.456688126031295</v>
      </c>
      <c r="W161">
        <v>58.812270638899676</v>
      </c>
      <c r="X161">
        <v>92.419333251947108</v>
      </c>
      <c r="Y161">
        <v>94.200923885762862</v>
      </c>
      <c r="AB161">
        <v>88.356330961095608</v>
      </c>
      <c r="AC161">
        <v>55.535225210215472</v>
      </c>
      <c r="AD161">
        <v>18.461813802593735</v>
      </c>
      <c r="AE161">
        <v>1.2047728339048027</v>
      </c>
      <c r="AF161">
        <v>13.464429744</v>
      </c>
      <c r="AG161">
        <v>49.3018571783672</v>
      </c>
      <c r="AH161">
        <v>51.999999999999687</v>
      </c>
      <c r="AI161">
        <v>40.488800000000005</v>
      </c>
      <c r="AJ161">
        <v>0</v>
      </c>
      <c r="AK161">
        <v>91.164000000000001</v>
      </c>
      <c r="AL161">
        <v>5.5263368877683856</v>
      </c>
      <c r="AM161">
        <v>2.6979865960000002</v>
      </c>
      <c r="AN161">
        <v>0</v>
      </c>
      <c r="AO161">
        <v>6.9174603174602396</v>
      </c>
      <c r="AP161">
        <v>2.1616867600000003</v>
      </c>
      <c r="AQ161">
        <v>4.7557735574602393</v>
      </c>
      <c r="AR161">
        <v>0.23313016084721797</v>
      </c>
      <c r="AS161">
        <v>0.31827492502139121</v>
      </c>
      <c r="AT161">
        <v>0.3955960166045312</v>
      </c>
      <c r="AU161">
        <v>0.71387094162592235</v>
      </c>
      <c r="AV161" t="s">
        <v>1016</v>
      </c>
      <c r="AW161">
        <v>0.21299999999999999</v>
      </c>
      <c r="AX161">
        <v>9.4600000000000004E-2</v>
      </c>
    </row>
    <row r="162" spans="1:50" s="12" customFormat="1">
      <c r="A162" s="12" t="s">
        <v>248</v>
      </c>
      <c r="B162" s="12" t="s">
        <v>1266</v>
      </c>
      <c r="C162" s="12" t="s">
        <v>20</v>
      </c>
      <c r="D162" s="12">
        <v>495</v>
      </c>
      <c r="E162" s="12">
        <v>542</v>
      </c>
      <c r="F162" s="13">
        <v>-0.37692565829808017</v>
      </c>
      <c r="G162" s="13">
        <v>-1.3443117742602877</v>
      </c>
      <c r="H162" s="13">
        <v>-0.52233149348607566</v>
      </c>
      <c r="I162" s="13">
        <v>0.32260686490495394</v>
      </c>
      <c r="J162" s="13">
        <v>-0.81892169766767786</v>
      </c>
      <c r="K162" s="13">
        <v>0.53237043432833575</v>
      </c>
      <c r="L162" s="13">
        <v>-0.44623906925204682</v>
      </c>
      <c r="M162" s="13">
        <v>-4.8134956867909811</v>
      </c>
      <c r="O162" s="12">
        <v>105.6199039487629</v>
      </c>
      <c r="P162" s="12">
        <v>42.82406540676137</v>
      </c>
      <c r="Q162" s="12">
        <v>91.62293258394466</v>
      </c>
      <c r="R162" s="12">
        <v>87.477357399936722</v>
      </c>
      <c r="S162" s="12">
        <v>71.172678498297955</v>
      </c>
      <c r="T162" s="12">
        <v>114.95858236105229</v>
      </c>
      <c r="U162" s="12">
        <v>92.279536228152963</v>
      </c>
      <c r="V162" s="12">
        <v>128.05288364438539</v>
      </c>
      <c r="W162" s="12">
        <v>114.7281623795708</v>
      </c>
      <c r="X162" s="12">
        <v>104.56566826112348</v>
      </c>
      <c r="Y162" s="12">
        <v>96.217925524507564</v>
      </c>
      <c r="AB162" s="12">
        <v>130.56595466022782</v>
      </c>
      <c r="AC162" s="12">
        <v>88.27093463626214</v>
      </c>
      <c r="AD162" s="12">
        <v>29.11808017763223</v>
      </c>
      <c r="AE162" s="12">
        <v>7.6173776815931467</v>
      </c>
      <c r="AF162" s="12">
        <v>8.3400742115027313</v>
      </c>
      <c r="AG162" s="12">
        <v>63.610370822667257</v>
      </c>
      <c r="AH162" s="12">
        <v>58.999999999999666</v>
      </c>
      <c r="AI162" s="12">
        <v>34.254400000000004</v>
      </c>
      <c r="AJ162" s="12">
        <v>0.20111343600000001</v>
      </c>
      <c r="AK162" s="12">
        <v>97.289000000000001</v>
      </c>
      <c r="AL162" s="12">
        <v>5.4882020129048668</v>
      </c>
      <c r="AM162" s="12">
        <v>4.0178107699999996</v>
      </c>
      <c r="AN162" s="12">
        <v>0.97964603000000006</v>
      </c>
      <c r="AO162" s="12">
        <v>14.182640286000002</v>
      </c>
      <c r="AP162" s="12">
        <v>4.9053048759999998</v>
      </c>
      <c r="AQ162" s="12">
        <v>9.2773354100000027</v>
      </c>
      <c r="AR162" s="12">
        <v>0.26376960537419764</v>
      </c>
      <c r="AS162" s="12">
        <v>0.31962173621879286</v>
      </c>
      <c r="AT162" s="12">
        <v>0.4095343937016504</v>
      </c>
      <c r="AU162" s="12">
        <v>0.72915612992044321</v>
      </c>
      <c r="AV162" s="12">
        <v>0.31069999999999998</v>
      </c>
      <c r="AW162" s="12">
        <v>0.17949999999999999</v>
      </c>
      <c r="AX162" s="12">
        <v>6.3200000000000006E-2</v>
      </c>
    </row>
    <row r="163" spans="1:50">
      <c r="A163" t="s">
        <v>40</v>
      </c>
      <c r="B163" s="8" t="s">
        <v>1001</v>
      </c>
      <c r="C163" t="s">
        <v>87</v>
      </c>
      <c r="D163">
        <v>389</v>
      </c>
      <c r="E163">
        <v>438</v>
      </c>
      <c r="F163" s="5">
        <v>-1.1463921842346505</v>
      </c>
      <c r="G163" s="5">
        <v>-0.25837923716715172</v>
      </c>
      <c r="H163" s="5">
        <v>-0.58417496631677401</v>
      </c>
      <c r="I163" s="5">
        <v>-1.0469090360972149</v>
      </c>
      <c r="J163" s="5">
        <v>-0.57865506592157434</v>
      </c>
      <c r="K163" s="5">
        <v>5.1663304068808445E-2</v>
      </c>
      <c r="L163" s="5">
        <v>-0.60747788964118421</v>
      </c>
      <c r="M163" s="6">
        <v>-4.8213898119868519</v>
      </c>
      <c r="O163">
        <v>71.676831278745709</v>
      </c>
      <c r="P163">
        <v>89.010678439792102</v>
      </c>
      <c r="Q163">
        <v>74.521754088234218</v>
      </c>
      <c r="R163">
        <v>85.994690325361404</v>
      </c>
      <c r="S163">
        <v>79.630438817999107</v>
      </c>
      <c r="T163">
        <v>101.45163919542671</v>
      </c>
      <c r="U163">
        <v>100.95487783618023</v>
      </c>
      <c r="V163">
        <v>8.9640656452139496</v>
      </c>
      <c r="W163">
        <v>12.27777110885458</v>
      </c>
      <c r="X163">
        <v>90.297919539579183</v>
      </c>
      <c r="Y163">
        <v>94.85135484732686</v>
      </c>
      <c r="AB163">
        <v>88.605968695724471</v>
      </c>
      <c r="AC163">
        <v>55.794977964620145</v>
      </c>
      <c r="AD163">
        <v>15.272347983016459</v>
      </c>
      <c r="AE163">
        <v>1.0497433724672314</v>
      </c>
      <c r="AF163">
        <v>17.335011441647573</v>
      </c>
      <c r="AG163">
        <v>51.737663030651163</v>
      </c>
      <c r="AH163">
        <v>57.999999999999595</v>
      </c>
      <c r="AI163">
        <v>38.324999999999996</v>
      </c>
      <c r="AJ163">
        <v>0.98944813200000004</v>
      </c>
      <c r="AK163">
        <v>112.74120000000001</v>
      </c>
      <c r="AL163">
        <v>6.0041563536169411</v>
      </c>
      <c r="AM163">
        <v>3.0054920519999997</v>
      </c>
      <c r="AN163">
        <v>0.50000021400000005</v>
      </c>
      <c r="AO163">
        <v>0.99282511200000001</v>
      </c>
      <c r="AP163">
        <v>0</v>
      </c>
      <c r="AQ163">
        <v>0.99282511200000001</v>
      </c>
      <c r="AR163">
        <v>0.22777883983476727</v>
      </c>
      <c r="AS163">
        <v>0.31049937808163819</v>
      </c>
      <c r="AT163">
        <v>0.40830064219703099</v>
      </c>
      <c r="AU163">
        <v>0.71880002027866918</v>
      </c>
      <c r="AV163">
        <v>0.27210000000000001</v>
      </c>
      <c r="AW163">
        <v>0.25740000000000002</v>
      </c>
      <c r="AX163">
        <v>8.7499999999999994E-2</v>
      </c>
    </row>
    <row r="164" spans="1:50" s="12" customFormat="1">
      <c r="A164" s="12" t="s">
        <v>123</v>
      </c>
      <c r="B164" s="12" t="s">
        <v>747</v>
      </c>
      <c r="C164" s="12" t="s">
        <v>748</v>
      </c>
      <c r="D164" s="12">
        <v>514</v>
      </c>
      <c r="E164" s="12">
        <v>551</v>
      </c>
      <c r="F164" s="13">
        <v>-0.34891053994366428</v>
      </c>
      <c r="G164" s="13">
        <v>-1.1155867213419806</v>
      </c>
      <c r="H164" s="13">
        <v>-0.70786190616484979</v>
      </c>
      <c r="I164" s="13">
        <v>-0.3051405963967399</v>
      </c>
      <c r="J164" s="13">
        <v>-1.4553160302378505</v>
      </c>
      <c r="K164" s="13">
        <v>1.8636960520506993</v>
      </c>
      <c r="L164" s="13">
        <v>-1.3683724925469833</v>
      </c>
      <c r="M164" s="13">
        <v>-4.9066823056879159</v>
      </c>
      <c r="O164" s="12">
        <v>107.4773363447307</v>
      </c>
      <c r="P164" s="12">
        <v>52.552142565564921</v>
      </c>
      <c r="Q164" s="12">
        <v>92.245560759971141</v>
      </c>
      <c r="R164" s="12">
        <v>83.029356315582305</v>
      </c>
      <c r="S164" s="12">
        <v>48.770605041079349</v>
      </c>
      <c r="T164" s="12">
        <v>152.36626433949314</v>
      </c>
      <c r="U164" s="12">
        <v>56.768154490791879</v>
      </c>
      <c r="V164" s="12">
        <v>73.465928419043365</v>
      </c>
      <c r="W164" s="12">
        <v>68.559552252459525</v>
      </c>
      <c r="X164" s="12">
        <v>102.47131833856507</v>
      </c>
      <c r="Y164" s="12">
        <v>88.402434852460829</v>
      </c>
      <c r="AB164" s="12">
        <v>132.86208848472</v>
      </c>
      <c r="AC164" s="12">
        <v>94.10241960955247</v>
      </c>
      <c r="AD164" s="12">
        <v>25.554303149249968</v>
      </c>
      <c r="AE164" s="12">
        <v>2.0655828943595695</v>
      </c>
      <c r="AF164" s="12">
        <v>10.234637108999999</v>
      </c>
      <c r="AG164" s="12">
        <v>64.042638247914738</v>
      </c>
      <c r="AH164" s="12">
        <v>56.000000094000001</v>
      </c>
      <c r="AI164" s="12">
        <v>23.4726</v>
      </c>
      <c r="AJ164" s="12">
        <v>0.96229229699999996</v>
      </c>
      <c r="AK164" s="12">
        <v>54.493900000000004</v>
      </c>
      <c r="AL164" s="12">
        <v>3.3762100729999998</v>
      </c>
      <c r="AM164" s="12">
        <v>4.9042829450000003</v>
      </c>
      <c r="AN164" s="12">
        <v>4.7440240439999997</v>
      </c>
      <c r="AO164" s="12">
        <v>8.1368010339999994</v>
      </c>
      <c r="AP164" s="12">
        <v>2.5928269250000002</v>
      </c>
      <c r="AQ164" s="12">
        <v>5.5439741089999988</v>
      </c>
      <c r="AR164" s="12">
        <v>0.25848655347221788</v>
      </c>
      <c r="AS164" s="12">
        <v>0.29571434966594695</v>
      </c>
      <c r="AT164" s="12">
        <v>0.3742146362395547</v>
      </c>
      <c r="AU164" s="12">
        <v>0.66992898590550165</v>
      </c>
      <c r="AV164" s="12">
        <v>0.27</v>
      </c>
      <c r="AW164" s="12">
        <v>9.8900000000000002E-2</v>
      </c>
      <c r="AX164" s="12">
        <v>4.2599999999999999E-2</v>
      </c>
    </row>
    <row r="165" spans="1:50">
      <c r="A165" t="s">
        <v>116</v>
      </c>
      <c r="B165" s="8" t="s">
        <v>817</v>
      </c>
      <c r="C165" t="s">
        <v>87</v>
      </c>
      <c r="D165">
        <v>432</v>
      </c>
      <c r="E165">
        <v>474</v>
      </c>
      <c r="F165" s="5">
        <v>-0.95669537614377376</v>
      </c>
      <c r="G165" s="5">
        <v>-0.5208062229394409</v>
      </c>
      <c r="H165" s="5">
        <v>-0.83154885763953568</v>
      </c>
      <c r="I165" s="5">
        <v>-0.43829398667219027</v>
      </c>
      <c r="J165" s="5">
        <v>-1.0026425049130288</v>
      </c>
      <c r="K165" s="5">
        <v>-1.5420791120979157E-2</v>
      </c>
      <c r="L165" s="5">
        <v>-0.15517483005685348</v>
      </c>
      <c r="M165" s="6">
        <v>-5.2108235519119672</v>
      </c>
      <c r="O165">
        <v>89.717997184601899</v>
      </c>
      <c r="P165">
        <v>77.849199040957359</v>
      </c>
      <c r="Q165">
        <v>78.737712633383495</v>
      </c>
      <c r="R165">
        <v>80.064022027060901</v>
      </c>
      <c r="S165">
        <v>64.70541942811127</v>
      </c>
      <c r="T165">
        <v>99.566705513339059</v>
      </c>
      <c r="U165">
        <v>121.87518160822698</v>
      </c>
      <c r="V165">
        <v>61.887326192605514</v>
      </c>
      <c r="W165">
        <v>63.608881198497969</v>
      </c>
      <c r="X165">
        <v>101.77576402417235</v>
      </c>
      <c r="Y165">
        <v>98.684824336469219</v>
      </c>
      <c r="AB165">
        <v>110.90822387316121</v>
      </c>
      <c r="AC165">
        <v>72.167286759341096</v>
      </c>
      <c r="AD165">
        <v>22.204402006429259</v>
      </c>
      <c r="AE165">
        <v>2.3783789781235929</v>
      </c>
      <c r="AF165">
        <v>15.161290529999999</v>
      </c>
      <c r="AG165">
        <v>54.664645161290061</v>
      </c>
      <c r="AH165">
        <v>53.999999999999815</v>
      </c>
      <c r="AI165">
        <v>31.141799999999996</v>
      </c>
      <c r="AJ165">
        <v>0.96689553600000011</v>
      </c>
      <c r="AK165">
        <v>114.8976</v>
      </c>
      <c r="AL165">
        <v>7.2483634439999998</v>
      </c>
      <c r="AM165">
        <v>3.861935382</v>
      </c>
      <c r="AN165">
        <v>0</v>
      </c>
      <c r="AO165">
        <v>6.8543999999999592</v>
      </c>
      <c r="AP165">
        <v>1.710755112</v>
      </c>
      <c r="AQ165">
        <v>5.143644887999959</v>
      </c>
      <c r="AR165">
        <v>0.25673199970639166</v>
      </c>
      <c r="AS165">
        <v>0.32109981465800874</v>
      </c>
      <c r="AT165">
        <v>0.42675090237632035</v>
      </c>
      <c r="AU165">
        <v>0.74785071703432915</v>
      </c>
      <c r="AV165">
        <v>0.31309999999999999</v>
      </c>
      <c r="AW165">
        <v>0.2424</v>
      </c>
      <c r="AX165">
        <v>6.5699999999999995E-2</v>
      </c>
    </row>
    <row r="166" spans="1:50" s="12" customFormat="1">
      <c r="A166" s="12" t="s">
        <v>243</v>
      </c>
      <c r="B166" s="12" t="s">
        <v>883</v>
      </c>
      <c r="C166" s="12" t="s">
        <v>884</v>
      </c>
      <c r="D166" s="12">
        <v>560</v>
      </c>
      <c r="E166" s="12">
        <v>605</v>
      </c>
      <c r="F166" s="13">
        <v>-5.8476604416015009E-2</v>
      </c>
      <c r="G166" s="13">
        <v>-2.3028937775451612</v>
      </c>
      <c r="H166" s="13">
        <v>-0.83154887062665361</v>
      </c>
      <c r="I166" s="13">
        <v>-0.31886147517818292</v>
      </c>
      <c r="J166" s="13">
        <v>-0.93386672755574407</v>
      </c>
      <c r="K166" s="13">
        <v>2.7741221693606724</v>
      </c>
      <c r="L166" s="13">
        <v>-1.0383858741910861</v>
      </c>
      <c r="M166" s="13">
        <v>-5.2441241055674492</v>
      </c>
      <c r="O166" s="12">
        <v>133.17534095451938</v>
      </c>
      <c r="P166" s="12">
        <v>2.05389365681161</v>
      </c>
      <c r="Q166" s="12">
        <v>98.700373809342722</v>
      </c>
      <c r="R166" s="12">
        <v>80.064021715701088</v>
      </c>
      <c r="S166" s="12">
        <v>67.126434100276526</v>
      </c>
      <c r="T166" s="12">
        <v>177.94748219321616</v>
      </c>
      <c r="U166" s="12">
        <v>66.743768148006239</v>
      </c>
      <c r="V166" s="12">
        <v>72.272803728197317</v>
      </c>
      <c r="W166" s="12">
        <v>62.181610789356014</v>
      </c>
      <c r="X166" s="12">
        <v>116.54250222260612</v>
      </c>
      <c r="Y166" s="12">
        <v>91.199218129706694</v>
      </c>
      <c r="AB166" s="12">
        <v>164.62962830721096</v>
      </c>
      <c r="AC166" s="12">
        <v>134.89117611039106</v>
      </c>
      <c r="AD166" s="12">
        <v>25.881661262081781</v>
      </c>
      <c r="AE166" s="12">
        <v>3.0102367900950102</v>
      </c>
      <c r="AF166" s="12">
        <v>0.399999985</v>
      </c>
      <c r="AG166" s="12">
        <v>68.523973215940714</v>
      </c>
      <c r="AH166" s="12">
        <v>53.999999789999997</v>
      </c>
      <c r="AI166" s="12">
        <v>32.307000000000002</v>
      </c>
      <c r="AJ166" s="12">
        <v>2.1303024050000001</v>
      </c>
      <c r="AK166" s="12">
        <v>25.2285</v>
      </c>
      <c r="AL166" s="12">
        <v>3.969496355</v>
      </c>
      <c r="AM166" s="12">
        <v>4.7933992699999992</v>
      </c>
      <c r="AN166" s="12">
        <v>6.2677469135801571</v>
      </c>
      <c r="AO166" s="12">
        <v>8.0046551749999999</v>
      </c>
      <c r="AP166" s="12">
        <v>2.9764245499999999</v>
      </c>
      <c r="AQ166" s="12">
        <v>5.028230625</v>
      </c>
      <c r="AR166" s="12">
        <v>0.2939814791200196</v>
      </c>
      <c r="AS166" s="12">
        <v>0.33882847874728927</v>
      </c>
      <c r="AT166" s="12">
        <v>0.35229501597292795</v>
      </c>
      <c r="AU166" s="12">
        <v>0.69112349472021717</v>
      </c>
      <c r="AV166" s="12">
        <v>0.30459999999999998</v>
      </c>
      <c r="AW166" s="12">
        <v>4.1700000000000001E-2</v>
      </c>
      <c r="AX166" s="12">
        <v>5.3400000000000003E-2</v>
      </c>
    </row>
    <row r="167" spans="1:50">
      <c r="A167" t="s">
        <v>40</v>
      </c>
      <c r="B167" s="8" t="s">
        <v>1173</v>
      </c>
      <c r="C167" t="s">
        <v>49</v>
      </c>
      <c r="D167">
        <v>411</v>
      </c>
      <c r="E167">
        <v>450</v>
      </c>
      <c r="F167" s="5">
        <v>-1.1575363044845561</v>
      </c>
      <c r="G167" s="5">
        <v>-0.17897655653962408</v>
      </c>
      <c r="H167" s="5">
        <v>-0.4604880206553707</v>
      </c>
      <c r="I167" s="5">
        <v>-1.0453164466213773</v>
      </c>
      <c r="J167" s="5">
        <v>-1.000092630572285</v>
      </c>
      <c r="K167" s="5">
        <v>-8.0824984093994884E-2</v>
      </c>
      <c r="L167" s="5">
        <v>-0.67367770192518506</v>
      </c>
      <c r="M167" s="6">
        <v>-5.405836287034969</v>
      </c>
      <c r="O167">
        <v>78.470576142849282</v>
      </c>
      <c r="P167">
        <v>92.387813536734512</v>
      </c>
      <c r="Q167">
        <v>74.27407913013343</v>
      </c>
      <c r="R167">
        <v>88.960024474512196</v>
      </c>
      <c r="S167">
        <v>64.795178983412967</v>
      </c>
      <c r="T167">
        <v>97.728973843323701</v>
      </c>
      <c r="U167">
        <v>68.878219587688406</v>
      </c>
      <c r="V167">
        <v>9.1025522433590567</v>
      </c>
      <c r="W167">
        <v>12.467451419214342</v>
      </c>
      <c r="X167">
        <v>93.565031348030303</v>
      </c>
      <c r="Y167">
        <v>94.290282010873156</v>
      </c>
      <c r="AB167">
        <v>97.00430793612</v>
      </c>
      <c r="AC167">
        <v>60.474257364184119</v>
      </c>
      <c r="AD167">
        <v>18.096693598176671</v>
      </c>
      <c r="AE167">
        <v>0.99918881641739721</v>
      </c>
      <c r="AF167">
        <v>17.992715400000002</v>
      </c>
      <c r="AG167">
        <v>51.565711582646102</v>
      </c>
      <c r="AH167">
        <v>59.999999999999851</v>
      </c>
      <c r="AI167">
        <v>31.184999999999999</v>
      </c>
      <c r="AJ167">
        <v>0.19867545</v>
      </c>
      <c r="AK167">
        <v>117</v>
      </c>
      <c r="AL167">
        <v>4.0964400000000003</v>
      </c>
      <c r="AM167">
        <v>3.7788079500000005</v>
      </c>
      <c r="AN167">
        <v>0</v>
      </c>
      <c r="AO167">
        <v>1.00816335</v>
      </c>
      <c r="AP167">
        <v>0</v>
      </c>
      <c r="AQ167">
        <v>1.00816335</v>
      </c>
      <c r="AR167">
        <v>0.23602021395649636</v>
      </c>
      <c r="AS167">
        <v>0.2969420969161658</v>
      </c>
      <c r="AT167">
        <v>0.41760601608221332</v>
      </c>
      <c r="AU167">
        <v>0.71454811299837906</v>
      </c>
      <c r="AV167">
        <v>0.28239999999999998</v>
      </c>
      <c r="AW167">
        <v>0.26</v>
      </c>
      <c r="AX167">
        <v>6.93E-2</v>
      </c>
    </row>
    <row r="168" spans="1:50" s="12" customFormat="1">
      <c r="A168" s="12" t="s">
        <v>630</v>
      </c>
      <c r="B168" s="12" t="s">
        <v>1008</v>
      </c>
      <c r="C168" s="12" t="s">
        <v>87</v>
      </c>
      <c r="D168" s="12">
        <v>409</v>
      </c>
      <c r="E168" s="12">
        <v>467</v>
      </c>
      <c r="F168" s="13">
        <v>-0.85172816924137307</v>
      </c>
      <c r="G168" s="13">
        <v>-0.89038691356456101</v>
      </c>
      <c r="H168" s="13">
        <v>-1.1407662217930099</v>
      </c>
      <c r="I168" s="13">
        <v>-0.46309749847963216</v>
      </c>
      <c r="J168" s="13">
        <v>3.1449589996550259E-2</v>
      </c>
      <c r="K168" s="13">
        <v>-0.1006509411819437</v>
      </c>
      <c r="L168" s="13">
        <v>-0.68877213404086957</v>
      </c>
      <c r="M168" s="13">
        <v>-5.4741333342443772</v>
      </c>
      <c r="O168" s="12">
        <v>81.279328629886777</v>
      </c>
      <c r="P168" s="12">
        <v>62.13028487334671</v>
      </c>
      <c r="Q168" s="12">
        <v>81.070579471546765</v>
      </c>
      <c r="R168" s="12">
        <v>72.650686654184739</v>
      </c>
      <c r="S168" s="12">
        <v>101.10707463791637</v>
      </c>
      <c r="T168" s="12">
        <v>97.171902689736939</v>
      </c>
      <c r="U168" s="12">
        <v>76.826780487404875</v>
      </c>
      <c r="V168" s="12">
        <v>59.730490407628331</v>
      </c>
      <c r="W168" s="12">
        <v>55.966288723284322</v>
      </c>
      <c r="X168" s="12">
        <v>97.387977713901876</v>
      </c>
      <c r="Y168" s="12">
        <v>94.162349988868741</v>
      </c>
      <c r="AB168" s="12">
        <v>100.47645131216628</v>
      </c>
      <c r="AC168" s="12">
        <v>67.688327576088852</v>
      </c>
      <c r="AD168" s="12">
        <v>18.077001427670329</v>
      </c>
      <c r="AE168" s="12">
        <v>1.0473183056933446</v>
      </c>
      <c r="AF168" s="12">
        <v>12.099999887999999</v>
      </c>
      <c r="AG168" s="12">
        <v>56.284267241379133</v>
      </c>
      <c r="AH168" s="12">
        <v>48.99999999999973</v>
      </c>
      <c r="AI168" s="12">
        <v>48.661399999999531</v>
      </c>
      <c r="AJ168" s="12">
        <v>0</v>
      </c>
      <c r="AK168" s="12">
        <v>117.63730000000001</v>
      </c>
      <c r="AL168" s="12">
        <v>4.5691700300000004</v>
      </c>
      <c r="AM168" s="12">
        <v>3.0000000610000002</v>
      </c>
      <c r="AN168" s="12">
        <v>0.96146240199999988</v>
      </c>
      <c r="AO168" s="12">
        <v>6.615517241379278</v>
      </c>
      <c r="AP168" s="12">
        <v>2.0898801059999998</v>
      </c>
      <c r="AQ168" s="12">
        <v>4.5256371353792781</v>
      </c>
      <c r="AR168" s="12">
        <v>0.24566369513977085</v>
      </c>
      <c r="AS168" s="12">
        <v>0.33366594492573587</v>
      </c>
      <c r="AT168" s="12">
        <v>0.37991267701836068</v>
      </c>
      <c r="AU168" s="12">
        <v>0.71357862194409649</v>
      </c>
      <c r="AV168" s="12" t="s">
        <v>1009</v>
      </c>
      <c r="AW168" s="12">
        <v>0.25190000000000001</v>
      </c>
      <c r="AX168" s="12" t="s">
        <v>1010</v>
      </c>
    </row>
    <row r="169" spans="1:50" s="12" customFormat="1">
      <c r="A169" s="12" t="s">
        <v>293</v>
      </c>
      <c r="B169" s="12" t="s">
        <v>1232</v>
      </c>
      <c r="C169" s="12" t="s">
        <v>34</v>
      </c>
      <c r="D169" s="12">
        <v>294</v>
      </c>
      <c r="E169" s="12">
        <v>333</v>
      </c>
      <c r="F169" s="13">
        <v>-1.7626220384778388</v>
      </c>
      <c r="G169" s="13">
        <v>-1.225404556457053</v>
      </c>
      <c r="H169" s="13">
        <v>-1.6973574772692399</v>
      </c>
      <c r="I169" s="13">
        <v>-0.44717602562500031</v>
      </c>
      <c r="J169" s="13">
        <v>-1.0619802057174206</v>
      </c>
      <c r="K169" s="13">
        <v>2.1304023054735768</v>
      </c>
      <c r="L169" s="13">
        <v>-0.2643326136420982</v>
      </c>
      <c r="M169" s="13">
        <v>-5.632366396522575</v>
      </c>
      <c r="O169" s="12">
        <v>60.771132196865949</v>
      </c>
      <c r="P169" s="12">
        <v>47.881397669972934</v>
      </c>
      <c r="Q169" s="12">
        <v>60.826217795772941</v>
      </c>
      <c r="R169" s="12">
        <v>59.306682983008216</v>
      </c>
      <c r="S169" s="12">
        <v>62.616639776611358</v>
      </c>
      <c r="T169" s="12">
        <v>159.86019563390698</v>
      </c>
      <c r="U169" s="12">
        <v>33.63254684123379</v>
      </c>
      <c r="V169" s="12">
        <v>61.114971874164439</v>
      </c>
      <c r="W169" s="12">
        <v>52.318727257783245</v>
      </c>
      <c r="X169" s="12">
        <v>101.29745754175818</v>
      </c>
      <c r="Y169" s="12">
        <v>97.75966359742624</v>
      </c>
      <c r="AB169" s="12">
        <v>75.12448501104366</v>
      </c>
      <c r="AC169" s="12">
        <v>47.521147299802777</v>
      </c>
      <c r="AD169" s="12">
        <v>15.564108954535302</v>
      </c>
      <c r="AE169" s="12">
        <v>1.7855341014653467</v>
      </c>
      <c r="AF169" s="12">
        <v>9.3249999999999655</v>
      </c>
      <c r="AG169" s="12">
        <v>42.229365079364918</v>
      </c>
      <c r="AH169" s="12">
        <v>39.999999999999957</v>
      </c>
      <c r="AI169" s="12">
        <v>30.136499999999998</v>
      </c>
      <c r="AJ169" s="12">
        <v>0.20555557199999999</v>
      </c>
      <c r="AK169" s="12">
        <v>45.920699999999997</v>
      </c>
      <c r="AL169" s="12">
        <v>2.0002507469999999</v>
      </c>
      <c r="AM169" s="12">
        <v>3.0666665969999998</v>
      </c>
      <c r="AN169" s="12">
        <v>0.91729312200000002</v>
      </c>
      <c r="AO169" s="12">
        <v>6.7688570339999998</v>
      </c>
      <c r="AP169" s="12">
        <v>2.5381749510000002</v>
      </c>
      <c r="AQ169" s="12">
        <v>4.2306820829999996</v>
      </c>
      <c r="AR169" s="12">
        <v>0.25552545922123693</v>
      </c>
      <c r="AS169" s="12">
        <v>0.32823435679447799</v>
      </c>
      <c r="AT169" s="12">
        <v>0.41260533167778668</v>
      </c>
      <c r="AU169" s="12">
        <v>0.74083968847226467</v>
      </c>
      <c r="AV169" s="12">
        <v>0.27210000000000001</v>
      </c>
      <c r="AW169" s="12">
        <v>0.13789999999999999</v>
      </c>
      <c r="AX169" s="12">
        <v>9.0499999999999997E-2</v>
      </c>
    </row>
    <row r="170" spans="1:50" s="12" customFormat="1">
      <c r="A170" s="12" t="s">
        <v>692</v>
      </c>
      <c r="B170" s="12" t="s">
        <v>878</v>
      </c>
      <c r="C170" s="12" t="s">
        <v>879</v>
      </c>
      <c r="D170" s="12">
        <v>431</v>
      </c>
      <c r="E170" s="12">
        <v>487</v>
      </c>
      <c r="F170" s="13">
        <v>-0.91495970124951942</v>
      </c>
      <c r="G170" s="13">
        <v>-1.3392628940499898</v>
      </c>
      <c r="H170" s="13">
        <v>-1.202609704766016</v>
      </c>
      <c r="I170" s="13">
        <v>-1.4400515292144691E-2</v>
      </c>
      <c r="J170" s="13">
        <v>-0.3888251847348585</v>
      </c>
      <c r="K170" s="13">
        <v>1.0106945921840713</v>
      </c>
      <c r="L170" s="13">
        <v>-1.1601704122436964</v>
      </c>
      <c r="M170" s="13">
        <v>-5.7074934575025313</v>
      </c>
      <c r="O170" s="12">
        <v>85.534175768664483</v>
      </c>
      <c r="P170" s="12">
        <v>43.038803126240119</v>
      </c>
      <c r="Q170" s="12">
        <v>79.665276344016462</v>
      </c>
      <c r="R170" s="12">
        <v>71.168019336452545</v>
      </c>
      <c r="S170" s="12">
        <v>86.312746822762762</v>
      </c>
      <c r="T170" s="12">
        <v>128.39856859844198</v>
      </c>
      <c r="U170" s="12">
        <v>113.02672963809398</v>
      </c>
      <c r="V170" s="12">
        <v>98.747776244536155</v>
      </c>
      <c r="W170" s="12">
        <v>100.9686986309013</v>
      </c>
      <c r="X170" s="12">
        <v>97.254779295183042</v>
      </c>
      <c r="Y170" s="12">
        <v>90.167040033668556</v>
      </c>
      <c r="AB170" s="12">
        <v>105.73623813111041</v>
      </c>
      <c r="AC170" s="12">
        <v>73.835674381027815</v>
      </c>
      <c r="AD170" s="12">
        <v>21.613440978221959</v>
      </c>
      <c r="AE170" s="12">
        <v>1.2609358884111328</v>
      </c>
      <c r="AF170" s="12">
        <v>8.3818948210000013</v>
      </c>
      <c r="AG170" s="12">
        <v>55.308617908407214</v>
      </c>
      <c r="AH170" s="12">
        <v>47.999999836000001</v>
      </c>
      <c r="AI170" s="12">
        <v>41.5411</v>
      </c>
      <c r="AJ170" s="12">
        <v>0.93616496999999999</v>
      </c>
      <c r="AK170" s="12">
        <v>81.913399999999996</v>
      </c>
      <c r="AL170" s="12">
        <v>6.7221135959999998</v>
      </c>
      <c r="AM170" s="12">
        <v>3.0606313679999997</v>
      </c>
      <c r="AN170" s="12">
        <v>0.49999997800000007</v>
      </c>
      <c r="AO170" s="12">
        <v>10.936920354</v>
      </c>
      <c r="AP170" s="12">
        <v>2.7722250979999998</v>
      </c>
      <c r="AQ170" s="12">
        <v>8.1646952559999999</v>
      </c>
      <c r="AR170" s="12">
        <v>0.24532769868007057</v>
      </c>
      <c r="AS170" s="12">
        <v>0.32512758772749789</v>
      </c>
      <c r="AT170" s="12">
        <v>0.35817388233574277</v>
      </c>
      <c r="AU170" s="12">
        <v>0.68330147006324071</v>
      </c>
      <c r="AV170" s="12">
        <v>0.28320000000000001</v>
      </c>
      <c r="AW170" s="12">
        <v>0.16819999999999999</v>
      </c>
      <c r="AX170" s="12">
        <v>8.5300000000000001E-2</v>
      </c>
    </row>
    <row r="171" spans="1:50">
      <c r="A171" t="s">
        <v>19</v>
      </c>
      <c r="B171" s="8" t="s">
        <v>889</v>
      </c>
      <c r="C171" t="s">
        <v>34</v>
      </c>
      <c r="D171">
        <v>410</v>
      </c>
      <c r="E171">
        <v>452</v>
      </c>
      <c r="F171" s="5">
        <v>-1.0640563190046439</v>
      </c>
      <c r="G171" s="5">
        <v>-0.75704814811777221</v>
      </c>
      <c r="H171" s="5">
        <v>-1.140766221793013</v>
      </c>
      <c r="I171" s="5">
        <v>0.60597545191970581</v>
      </c>
      <c r="J171" s="5">
        <v>-0.94122122623298254</v>
      </c>
      <c r="K171" s="5">
        <v>0.20813064091102668</v>
      </c>
      <c r="L171" s="5">
        <v>-1.1326405050825634</v>
      </c>
      <c r="M171" s="6">
        <v>-5.7237438422378792</v>
      </c>
      <c r="O171">
        <v>76.482171199384524</v>
      </c>
      <c r="P171">
        <v>67.801416137612989</v>
      </c>
      <c r="Q171">
        <v>76.351645682521934</v>
      </c>
      <c r="R171">
        <v>72.650686654184668</v>
      </c>
      <c r="S171">
        <v>66.867544271790592</v>
      </c>
      <c r="T171">
        <v>105.84806956429526</v>
      </c>
      <c r="U171">
        <v>67.080223447500913</v>
      </c>
      <c r="V171">
        <v>152.69372940673679</v>
      </c>
      <c r="W171">
        <v>154.32583028958626</v>
      </c>
      <c r="X171">
        <v>91.416565232273882</v>
      </c>
      <c r="Y171">
        <v>90.400368234539258</v>
      </c>
      <c r="AB171">
        <v>94.546267548007791</v>
      </c>
      <c r="AC171">
        <v>60.396288922252964</v>
      </c>
      <c r="AD171">
        <v>20.640482577806988</v>
      </c>
      <c r="AE171">
        <v>2.0731595971895183</v>
      </c>
      <c r="AF171">
        <v>13.204464285714243</v>
      </c>
      <c r="AG171">
        <v>53.008088235293876</v>
      </c>
      <c r="AH171">
        <v>48.99999999999968</v>
      </c>
      <c r="AI171">
        <v>32.182400000000001</v>
      </c>
      <c r="AJ171">
        <v>0</v>
      </c>
      <c r="AK171">
        <v>107.7116</v>
      </c>
      <c r="AL171">
        <v>3.9895065839999995</v>
      </c>
      <c r="AM171">
        <v>3.8285715319999998</v>
      </c>
      <c r="AN171">
        <v>1.736156408</v>
      </c>
      <c r="AO171">
        <v>16.911764705882288</v>
      </c>
      <c r="AP171">
        <v>4.4324182199999997</v>
      </c>
      <c r="AQ171">
        <v>12.479346485882289</v>
      </c>
      <c r="AR171">
        <v>0.23060065255611656</v>
      </c>
      <c r="AS171">
        <v>0.29308286673532902</v>
      </c>
      <c r="AT171">
        <v>0.3919868049080304</v>
      </c>
      <c r="AU171">
        <v>0.68506967164335941</v>
      </c>
      <c r="AV171">
        <v>0.2777</v>
      </c>
      <c r="AW171">
        <v>0.23830000000000001</v>
      </c>
      <c r="AX171">
        <v>7.1199999999999999E-2</v>
      </c>
    </row>
    <row r="172" spans="1:50">
      <c r="A172" t="s">
        <v>123</v>
      </c>
      <c r="B172" s="8" t="s">
        <v>804</v>
      </c>
      <c r="C172" t="s">
        <v>648</v>
      </c>
      <c r="D172">
        <v>505</v>
      </c>
      <c r="E172">
        <v>558</v>
      </c>
      <c r="F172" s="5">
        <v>-0.36645725469757345</v>
      </c>
      <c r="G172" s="5">
        <v>-1.3365063987462613</v>
      </c>
      <c r="H172" s="5">
        <v>-0.76970539321954234</v>
      </c>
      <c r="I172" s="5">
        <v>0.96261424465524192</v>
      </c>
      <c r="J172" s="5">
        <v>-1.0424842914871535</v>
      </c>
      <c r="K172" s="5">
        <v>0.56800924876416481</v>
      </c>
      <c r="L172" s="5">
        <v>-1.5191917472256837</v>
      </c>
      <c r="M172" s="6">
        <v>-5.7457187114376946</v>
      </c>
      <c r="O172">
        <v>99.67558813408624</v>
      </c>
      <c r="P172">
        <v>43.156041700066694</v>
      </c>
      <c r="Q172">
        <v>91.855589928355457</v>
      </c>
      <c r="R172">
        <v>81.546688899993669</v>
      </c>
      <c r="S172">
        <v>63.302926376522137</v>
      </c>
      <c r="T172">
        <v>115.95996430605305</v>
      </c>
      <c r="U172">
        <v>244.58578901224078</v>
      </c>
      <c r="V172">
        <v>183.7059230208796</v>
      </c>
      <c r="W172">
        <v>202.75488853539147</v>
      </c>
      <c r="X172">
        <v>96.726612134229441</v>
      </c>
      <c r="Y172">
        <v>87.12417462641389</v>
      </c>
      <c r="AB172">
        <v>123.21766858792033</v>
      </c>
      <c r="AC172">
        <v>89.749765404031876</v>
      </c>
      <c r="AD172">
        <v>22.583115665646556</v>
      </c>
      <c r="AE172">
        <v>2.0671595906352884</v>
      </c>
      <c r="AF172">
        <v>8.4047272727272482</v>
      </c>
      <c r="AG172">
        <v>63.7718961038956</v>
      </c>
      <c r="AH172">
        <v>54.999999864000003</v>
      </c>
      <c r="AI172">
        <v>30.466799999999942</v>
      </c>
      <c r="AJ172">
        <v>1.987479378</v>
      </c>
      <c r="AK172">
        <v>96.1434</v>
      </c>
      <c r="AL172">
        <v>14.546412719999999</v>
      </c>
      <c r="AM172">
        <v>4.2465457259999999</v>
      </c>
      <c r="AN172">
        <v>3.1096151459999999</v>
      </c>
      <c r="AO172">
        <v>20.346554879999999</v>
      </c>
      <c r="AP172">
        <v>3.9510590579999998</v>
      </c>
      <c r="AQ172">
        <v>16.395495822000001</v>
      </c>
      <c r="AR172">
        <v>0.24399538334241649</v>
      </c>
      <c r="AS172">
        <v>0.31422946541246344</v>
      </c>
      <c r="AT172">
        <v>0.34601264276859378</v>
      </c>
      <c r="AU172">
        <v>0.66024210818105722</v>
      </c>
      <c r="AV172" t="s">
        <v>805</v>
      </c>
      <c r="AW172">
        <v>0.17230000000000001</v>
      </c>
      <c r="AX172" t="s">
        <v>806</v>
      </c>
    </row>
    <row r="173" spans="1:50">
      <c r="A173" t="s">
        <v>335</v>
      </c>
      <c r="B173" s="8" t="s">
        <v>1095</v>
      </c>
      <c r="C173" t="s">
        <v>1096</v>
      </c>
      <c r="D173">
        <v>445</v>
      </c>
      <c r="E173">
        <v>508</v>
      </c>
      <c r="F173" s="5">
        <v>-0.70877506476728758</v>
      </c>
      <c r="G173" s="5">
        <v>-1.2289095423260388</v>
      </c>
      <c r="H173" s="5">
        <v>-1.4499835931203047</v>
      </c>
      <c r="I173" s="5">
        <v>-0.18674147534163441</v>
      </c>
      <c r="J173" s="5">
        <v>-9.4190746154052735E-2</v>
      </c>
      <c r="K173" s="5">
        <v>0.58790053538276543</v>
      </c>
      <c r="L173" s="5">
        <v>-1.17037593110125</v>
      </c>
      <c r="M173" s="6">
        <v>-5.8475852363025043</v>
      </c>
      <c r="O173">
        <v>84.93563118258767</v>
      </c>
      <c r="P173">
        <v>47.732324481273359</v>
      </c>
      <c r="Q173">
        <v>84.247672267301212</v>
      </c>
      <c r="R173">
        <v>65.237351109319732</v>
      </c>
      <c r="S173">
        <v>96.684338771824898</v>
      </c>
      <c r="T173">
        <v>116.51887109344261</v>
      </c>
      <c r="U173">
        <v>178.0431140295226</v>
      </c>
      <c r="V173">
        <v>83.761545555197372</v>
      </c>
      <c r="W173">
        <v>76.860381958547336</v>
      </c>
      <c r="X173">
        <v>93.535927178252663</v>
      </c>
      <c r="Y173">
        <v>90.080543724761753</v>
      </c>
      <c r="AB173">
        <v>104.9963250809552</v>
      </c>
      <c r="AC173">
        <v>73.00367988723319</v>
      </c>
      <c r="AD173">
        <v>20.98590498388176</v>
      </c>
      <c r="AE173">
        <v>1.7196099591109879</v>
      </c>
      <c r="AF173">
        <v>9.2959676919999996</v>
      </c>
      <c r="AG173">
        <v>58.490003787639587</v>
      </c>
      <c r="AH173">
        <v>43.999999884000005</v>
      </c>
      <c r="AI173">
        <v>46.532800000000002</v>
      </c>
      <c r="AJ173">
        <v>0.98783190800000009</v>
      </c>
      <c r="AK173">
        <v>95.504000000000005</v>
      </c>
      <c r="AL173">
        <v>10.588876112086142</v>
      </c>
      <c r="AM173">
        <v>3.0580644960000001</v>
      </c>
      <c r="AN173">
        <v>2.9296436200000002</v>
      </c>
      <c r="AO173">
        <v>9.2771036200000001</v>
      </c>
      <c r="AP173">
        <v>3.0618943080000003</v>
      </c>
      <c r="AQ173">
        <v>6.2152093119999998</v>
      </c>
      <c r="AR173">
        <v>0.23594679793473078</v>
      </c>
      <c r="AS173">
        <v>0.3291219624341481</v>
      </c>
      <c r="AT173">
        <v>0.35352402359624646</v>
      </c>
      <c r="AU173">
        <v>0.68264598603039461</v>
      </c>
      <c r="AV173">
        <v>0.27879999999999999</v>
      </c>
      <c r="AW173">
        <v>0.188</v>
      </c>
      <c r="AX173">
        <v>9.1600000000000001E-2</v>
      </c>
    </row>
    <row r="174" spans="1:50">
      <c r="A174" t="s">
        <v>440</v>
      </c>
      <c r="B174" s="8" t="s">
        <v>1038</v>
      </c>
      <c r="C174" t="s">
        <v>879</v>
      </c>
      <c r="D174">
        <v>505</v>
      </c>
      <c r="E174">
        <v>549</v>
      </c>
      <c r="F174" s="5">
        <v>-0.84673139886388671</v>
      </c>
      <c r="G174" s="5">
        <v>-0.85412396680622393</v>
      </c>
      <c r="H174" s="5">
        <v>-0.33680107499398809</v>
      </c>
      <c r="I174" s="5">
        <v>-0.74751379349306279</v>
      </c>
      <c r="J174" s="5">
        <v>-0.81225188747082511</v>
      </c>
      <c r="K174" s="5">
        <v>0.66919535895443782</v>
      </c>
      <c r="L174" s="5">
        <v>-1.5675682005876079</v>
      </c>
      <c r="M174" s="6">
        <v>-5.8485091777286868</v>
      </c>
      <c r="O174">
        <v>98.015568703361254</v>
      </c>
      <c r="P174">
        <v>63.672611520863917</v>
      </c>
      <c r="Q174">
        <v>81.181631296736256</v>
      </c>
      <c r="R174">
        <v>91.92535862366249</v>
      </c>
      <c r="S174">
        <v>71.407466223971369</v>
      </c>
      <c r="T174">
        <v>118.80309883320865</v>
      </c>
      <c r="U174">
        <v>49.544600157568453</v>
      </c>
      <c r="V174">
        <v>34.998539235635732</v>
      </c>
      <c r="W174">
        <v>35.064773241758232</v>
      </c>
      <c r="X174">
        <v>95.115705606193529</v>
      </c>
      <c r="Y174">
        <v>86.71416267971982</v>
      </c>
      <c r="AB174">
        <v>121.1655741092861</v>
      </c>
      <c r="AC174">
        <v>84.185149331038929</v>
      </c>
      <c r="AD174">
        <v>22.815567878116294</v>
      </c>
      <c r="AE174">
        <v>1.5967670437684314</v>
      </c>
      <c r="AF174">
        <v>12.400371153</v>
      </c>
      <c r="AG174">
        <v>56.361366364727594</v>
      </c>
      <c r="AH174">
        <v>61.999999999999766</v>
      </c>
      <c r="AI174">
        <v>34.367400000000004</v>
      </c>
      <c r="AJ174">
        <v>0.98486098200000005</v>
      </c>
      <c r="AK174">
        <v>92.890799999999999</v>
      </c>
      <c r="AL174">
        <v>2.946598839</v>
      </c>
      <c r="AM174">
        <v>5.0742115559999998</v>
      </c>
      <c r="AN174">
        <v>0.50000010300000008</v>
      </c>
      <c r="AO174">
        <v>3.8763023400000001</v>
      </c>
      <c r="AP174">
        <v>1.040837571</v>
      </c>
      <c r="AQ174">
        <v>2.8354647690000001</v>
      </c>
      <c r="AR174">
        <v>0.23993182991937842</v>
      </c>
      <c r="AS174">
        <v>0.29236650943666131</v>
      </c>
      <c r="AT174">
        <v>0.36476845709025113</v>
      </c>
      <c r="AU174">
        <v>0.65713496652691239</v>
      </c>
      <c r="AV174" t="s">
        <v>1039</v>
      </c>
      <c r="AW174">
        <v>0.16919999999999999</v>
      </c>
      <c r="AX174">
        <v>6.2600000000000003E-2</v>
      </c>
    </row>
    <row r="175" spans="1:50">
      <c r="A175" t="s">
        <v>40</v>
      </c>
      <c r="B175" s="8" t="s">
        <v>824</v>
      </c>
      <c r="C175" t="s">
        <v>163</v>
      </c>
      <c r="D175">
        <v>404</v>
      </c>
      <c r="E175">
        <v>447</v>
      </c>
      <c r="F175" s="5">
        <v>-1.1067116913451434</v>
      </c>
      <c r="G175" s="5">
        <v>-0.54623458279135129</v>
      </c>
      <c r="H175" s="5">
        <v>-0.9552358087431374</v>
      </c>
      <c r="I175" s="5">
        <v>-0.69115981559983086</v>
      </c>
      <c r="J175" s="5">
        <v>-0.74324591312444577</v>
      </c>
      <c r="K175" s="5">
        <v>0.15619988590253395</v>
      </c>
      <c r="L175" s="5">
        <v>-0.86502208672180403</v>
      </c>
      <c r="M175" s="6">
        <v>-5.8642849002211621</v>
      </c>
      <c r="O175">
        <v>77.91665818349783</v>
      </c>
      <c r="P175">
        <v>76.767686353540654</v>
      </c>
      <c r="Q175">
        <v>75.403641953174514</v>
      </c>
      <c r="R175">
        <v>77.09868774743606</v>
      </c>
      <c r="S175">
        <v>73.836584189323574</v>
      </c>
      <c r="T175">
        <v>104.38891551332654</v>
      </c>
      <c r="U175">
        <v>51.446411191919097</v>
      </c>
      <c r="V175">
        <v>39.898904840697661</v>
      </c>
      <c r="W175">
        <v>41.413311176137348</v>
      </c>
      <c r="X175">
        <v>94.514295275239263</v>
      </c>
      <c r="Y175">
        <v>92.668553292719764</v>
      </c>
      <c r="AB175">
        <v>96.319561742814884</v>
      </c>
      <c r="AC175">
        <v>64.333127228357853</v>
      </c>
      <c r="AD175">
        <v>16.717253573488417</v>
      </c>
      <c r="AE175">
        <v>0.8551322755299704</v>
      </c>
      <c r="AF175">
        <v>14.950663725</v>
      </c>
      <c r="AG175">
        <v>52.349924748660101</v>
      </c>
      <c r="AH175">
        <v>51.999999912</v>
      </c>
      <c r="AI175">
        <v>35.536500000000004</v>
      </c>
      <c r="AJ175">
        <v>0.197787666</v>
      </c>
      <c r="AK175">
        <v>109.3809</v>
      </c>
      <c r="AL175">
        <v>3.059706507</v>
      </c>
      <c r="AM175">
        <v>1.982301066</v>
      </c>
      <c r="AN175">
        <v>0.49999989599999994</v>
      </c>
      <c r="AO175">
        <v>4.4190478110000004</v>
      </c>
      <c r="AP175">
        <v>1.070217234</v>
      </c>
      <c r="AQ175">
        <v>3.3488305770000002</v>
      </c>
      <c r="AR175">
        <v>0.23841475678914575</v>
      </c>
      <c r="AS175">
        <v>0.30588291081318547</v>
      </c>
      <c r="AT175">
        <v>0.39637546064832818</v>
      </c>
      <c r="AU175">
        <v>0.7022583714615136</v>
      </c>
      <c r="AV175">
        <v>0.28889999999999999</v>
      </c>
      <c r="AW175">
        <v>0.2447</v>
      </c>
      <c r="AX175">
        <v>7.9500000000000001E-2</v>
      </c>
    </row>
    <row r="176" spans="1:50" s="12" customFormat="1">
      <c r="A176" s="12" t="s">
        <v>27</v>
      </c>
      <c r="B176" s="12" t="s">
        <v>762</v>
      </c>
      <c r="C176" s="12" t="s">
        <v>49</v>
      </c>
      <c r="D176" s="12">
        <v>379</v>
      </c>
      <c r="E176" s="12">
        <v>457</v>
      </c>
      <c r="F176" s="13">
        <v>-0.91356133209063073</v>
      </c>
      <c r="G176" s="13">
        <v>-0.26719031997966669</v>
      </c>
      <c r="H176" s="13">
        <v>-0.62666920887558175</v>
      </c>
      <c r="I176" s="13">
        <v>-0.77573014712491617</v>
      </c>
      <c r="J176" s="13">
        <v>-1.2412033179450701</v>
      </c>
      <c r="K176" s="13">
        <v>-0.4075659652562777</v>
      </c>
      <c r="L176" s="13">
        <v>-0.45620986333110808</v>
      </c>
      <c r="M176" s="13">
        <v>-5.913300276173425</v>
      </c>
      <c r="O176" s="12">
        <v>72.336793214769159</v>
      </c>
      <c r="P176" s="12">
        <v>88.635927653382325</v>
      </c>
      <c r="Q176" s="12">
        <v>79.696354707769771</v>
      </c>
      <c r="R176" s="12">
        <v>84.975911601963347</v>
      </c>
      <c r="S176" s="12">
        <v>56.307706588692959</v>
      </c>
      <c r="T176" s="12">
        <v>88.54818249525897</v>
      </c>
      <c r="U176" s="12">
        <v>97.603776057328147</v>
      </c>
      <c r="V176" s="12">
        <v>32.544933403235305</v>
      </c>
      <c r="W176" s="12">
        <v>25.051586695778767</v>
      </c>
      <c r="X176" s="12">
        <v>93.533802428151645</v>
      </c>
      <c r="Y176" s="12">
        <v>96.133418612439073</v>
      </c>
      <c r="AB176" s="12">
        <v>89.42180507688721</v>
      </c>
      <c r="AC176" s="12">
        <v>52.387149135695111</v>
      </c>
      <c r="AD176" s="12">
        <v>18.273820804193662</v>
      </c>
      <c r="AE176" s="12">
        <v>1.275677990787486</v>
      </c>
      <c r="AF176" s="12">
        <v>17.262027960518687</v>
      </c>
      <c r="AG176" s="12">
        <v>55.330194452479283</v>
      </c>
      <c r="AH176" s="12">
        <v>57.312874251496723</v>
      </c>
      <c r="AI176" s="12">
        <v>27.100099999999998</v>
      </c>
      <c r="AJ176" s="12">
        <v>1.6932224740000001</v>
      </c>
      <c r="AK176" s="12">
        <v>127.50300000000001</v>
      </c>
      <c r="AL176" s="12">
        <v>5.8048540567060236</v>
      </c>
      <c r="AM176" s="12">
        <v>3.4454532449999999</v>
      </c>
      <c r="AN176" s="12">
        <v>0.89134468199999994</v>
      </c>
      <c r="AO176" s="12">
        <v>3.6045504829999997</v>
      </c>
      <c r="AP176" s="12">
        <v>1.5787883030000001</v>
      </c>
      <c r="AQ176" s="12">
        <v>2.0257621799999996</v>
      </c>
      <c r="AR176" s="12">
        <v>0.23594143819759159</v>
      </c>
      <c r="AS176" s="12">
        <v>0.30157657528952536</v>
      </c>
      <c r="AT176" s="12">
        <v>0.42693914659240012</v>
      </c>
      <c r="AU176" s="12">
        <v>0.72851572188192548</v>
      </c>
      <c r="AV176" s="12">
        <v>0.30359999999999998</v>
      </c>
      <c r="AW176" s="12">
        <v>0.27900000000000003</v>
      </c>
      <c r="AX176" s="12" t="s">
        <v>763</v>
      </c>
    </row>
    <row r="177" spans="1:50" s="12" customFormat="1">
      <c r="A177" s="12" t="s">
        <v>27</v>
      </c>
      <c r="B177" s="12" t="s">
        <v>895</v>
      </c>
      <c r="C177" s="12" t="s">
        <v>896</v>
      </c>
      <c r="D177" s="12">
        <v>403</v>
      </c>
      <c r="E177" s="12">
        <v>441</v>
      </c>
      <c r="F177" s="13">
        <v>-0.92929028461644669</v>
      </c>
      <c r="G177" s="13">
        <v>-1.008397624059205</v>
      </c>
      <c r="H177" s="13">
        <v>-1.0789227489623057</v>
      </c>
      <c r="I177" s="13">
        <v>-0.19864091990198973</v>
      </c>
      <c r="J177" s="13">
        <v>-1.1748652676774323</v>
      </c>
      <c r="K177" s="13">
        <v>1.1443836993388643</v>
      </c>
      <c r="L177" s="13">
        <v>-1.2335861636135836</v>
      </c>
      <c r="M177" s="13">
        <v>-6.0071565297501897</v>
      </c>
      <c r="O177" s="12">
        <v>78.721727601214639</v>
      </c>
      <c r="P177" s="12">
        <v>57.111082636383372</v>
      </c>
      <c r="Q177" s="12">
        <v>79.346783133662456</v>
      </c>
      <c r="R177" s="12">
        <v>74.133353728760198</v>
      </c>
      <c r="S177" s="12">
        <v>58.642909463775787</v>
      </c>
      <c r="T177" s="12">
        <v>132.15497464806336</v>
      </c>
      <c r="U177" s="12">
        <v>72.831258282080768</v>
      </c>
      <c r="V177" s="12">
        <v>82.726807085565582</v>
      </c>
      <c r="W177" s="12">
        <v>93.201010464752827</v>
      </c>
      <c r="X177" s="12">
        <v>95.727808851555537</v>
      </c>
      <c r="Y177" s="12">
        <v>89.544808905810243</v>
      </c>
      <c r="AB177" s="12">
        <v>97.31477810982598</v>
      </c>
      <c r="AC177" s="12">
        <v>65.338861665772654</v>
      </c>
      <c r="AD177" s="12">
        <v>18.889264690815462</v>
      </c>
      <c r="AE177" s="12">
        <v>1.7526156249308393</v>
      </c>
      <c r="AF177" s="12">
        <v>11.122499999999979</v>
      </c>
      <c r="AG177" s="12">
        <v>55.08749999999975</v>
      </c>
      <c r="AH177" s="12">
        <v>49.999999999999901</v>
      </c>
      <c r="AI177" s="12">
        <v>28.224</v>
      </c>
      <c r="AJ177" s="12">
        <v>0.20045434500000001</v>
      </c>
      <c r="AK177" s="12">
        <v>77.616</v>
      </c>
      <c r="AL177" s="12">
        <v>4.3315416899999999</v>
      </c>
      <c r="AM177" s="12">
        <v>3.2054543639999999</v>
      </c>
      <c r="AN177" s="12">
        <v>1.032608556</v>
      </c>
      <c r="AO177" s="12">
        <v>9.162500004</v>
      </c>
      <c r="AP177" s="12">
        <v>1.6259281919999999</v>
      </c>
      <c r="AQ177" s="12">
        <v>7.536571812</v>
      </c>
      <c r="AR177" s="12">
        <v>0.24147587620304214</v>
      </c>
      <c r="AS177" s="12">
        <v>0.29926788639829416</v>
      </c>
      <c r="AT177" s="12">
        <v>0.37931820824366252</v>
      </c>
      <c r="AU177" s="12">
        <v>0.67858609464195663</v>
      </c>
      <c r="AV177" s="12">
        <v>0.27150000000000002</v>
      </c>
      <c r="AW177" s="12" t="s">
        <v>897</v>
      </c>
      <c r="AX177" s="12">
        <v>6.4000000000000001E-2</v>
      </c>
    </row>
    <row r="178" spans="1:50">
      <c r="A178" t="s">
        <v>58</v>
      </c>
      <c r="B178" s="8" t="s">
        <v>946</v>
      </c>
      <c r="C178" t="s">
        <v>87</v>
      </c>
      <c r="D178">
        <v>376</v>
      </c>
      <c r="E178">
        <v>425</v>
      </c>
      <c r="F178" s="5">
        <v>-1.4326584121514367</v>
      </c>
      <c r="G178" s="5">
        <v>-0.53294849957062074</v>
      </c>
      <c r="H178" s="5">
        <v>-0.95523580330092717</v>
      </c>
      <c r="I178" s="5">
        <v>-1.0484714027681732</v>
      </c>
      <c r="J178" s="5">
        <v>-0.46768831220402007</v>
      </c>
      <c r="K178" s="5">
        <v>-0.13511071313600001</v>
      </c>
      <c r="L178" s="5">
        <v>-0.36404142530279837</v>
      </c>
      <c r="M178" s="6">
        <v>-6.036976830459917</v>
      </c>
      <c r="O178">
        <v>72.487787944900106</v>
      </c>
      <c r="P178">
        <v>77.332766746180084</v>
      </c>
      <c r="Q178">
        <v>68.159567175762547</v>
      </c>
      <c r="R178">
        <v>77.098687877910393</v>
      </c>
      <c r="S178">
        <v>83.536641687610029</v>
      </c>
      <c r="T178">
        <v>96.203649564320287</v>
      </c>
      <c r="U178">
        <v>84.554298838194498</v>
      </c>
      <c r="V178">
        <v>8.8282071276242249</v>
      </c>
      <c r="W178">
        <v>3.7786565316206264</v>
      </c>
      <c r="X178">
        <v>94.476881588150931</v>
      </c>
      <c r="Y178">
        <v>96.914587095730212</v>
      </c>
      <c r="AB178">
        <v>89.608462802856877</v>
      </c>
      <c r="AC178">
        <v>56.882314923326895</v>
      </c>
      <c r="AD178">
        <v>17.221551109494353</v>
      </c>
      <c r="AE178">
        <v>1.017955768012458</v>
      </c>
      <c r="AF178">
        <v>15.060714285714257</v>
      </c>
      <c r="AG178">
        <v>47.320634920634525</v>
      </c>
      <c r="AH178">
        <v>51.999999999999751</v>
      </c>
      <c r="AI178">
        <v>40.204999999999998</v>
      </c>
      <c r="AJ178">
        <v>0.97042672500000005</v>
      </c>
      <c r="AK178">
        <v>118.74499999999999</v>
      </c>
      <c r="AL178">
        <v>5.0287538500000002</v>
      </c>
      <c r="AM178">
        <v>3.0285712500000002</v>
      </c>
      <c r="AN178">
        <v>0</v>
      </c>
      <c r="AO178">
        <v>0.97777795000000001</v>
      </c>
      <c r="AP178">
        <v>0.67222207499999997</v>
      </c>
      <c r="AQ178">
        <v>0.30555587500000003</v>
      </c>
      <c r="AR178">
        <v>0.23832037979483212</v>
      </c>
      <c r="AS178">
        <v>0.32320645218120231</v>
      </c>
      <c r="AT178">
        <v>0.41122909997130319</v>
      </c>
      <c r="AU178">
        <v>0.73443555215250544</v>
      </c>
      <c r="AV178" t="s">
        <v>947</v>
      </c>
      <c r="AW178">
        <v>0.27939999999999998</v>
      </c>
      <c r="AX178">
        <v>9.4600000000000004E-2</v>
      </c>
    </row>
    <row r="179" spans="1:50">
      <c r="A179" t="s">
        <v>214</v>
      </c>
      <c r="B179" s="8" t="s">
        <v>918</v>
      </c>
      <c r="C179" t="s">
        <v>87</v>
      </c>
      <c r="D179">
        <v>413</v>
      </c>
      <c r="E179">
        <v>451</v>
      </c>
      <c r="F179" s="5">
        <v>-1.3911307961539148</v>
      </c>
      <c r="G179" s="5">
        <v>-4.8174322011234234E-2</v>
      </c>
      <c r="H179" s="5">
        <v>-0.89339233047023647</v>
      </c>
      <c r="I179" s="5">
        <v>-0.9096433734320718</v>
      </c>
      <c r="J179" s="5">
        <v>-1.0013262503343576</v>
      </c>
      <c r="K179" s="5">
        <v>-0.36671323208839074</v>
      </c>
      <c r="L179" s="5">
        <v>-0.69579274447798811</v>
      </c>
      <c r="M179" s="6">
        <v>-6.0624542731964191</v>
      </c>
      <c r="O179">
        <v>77.804905810742184</v>
      </c>
      <c r="P179">
        <v>97.951061697794387</v>
      </c>
      <c r="Q179">
        <v>69.082506835561972</v>
      </c>
      <c r="R179">
        <v>78.581354952485526</v>
      </c>
      <c r="S179">
        <v>64.751753643000811</v>
      </c>
      <c r="T179">
        <v>89.696065499950848</v>
      </c>
      <c r="U179">
        <v>84.447335945548303</v>
      </c>
      <c r="V179">
        <v>20.900258212750273</v>
      </c>
      <c r="W179">
        <v>9.2050793183644544</v>
      </c>
      <c r="X179">
        <v>92.322058141987455</v>
      </c>
      <c r="Y179">
        <v>94.102847194590538</v>
      </c>
      <c r="AB179">
        <v>96.181414909794995</v>
      </c>
      <c r="AC179">
        <v>59.054501762526328</v>
      </c>
      <c r="AD179">
        <v>16.799474468316252</v>
      </c>
      <c r="AE179">
        <v>1.0856864244124111</v>
      </c>
      <c r="AF179">
        <v>19.076169343</v>
      </c>
      <c r="AG179">
        <v>47.961397362428222</v>
      </c>
      <c r="AH179">
        <v>52.999999999999702</v>
      </c>
      <c r="AI179">
        <v>31.164099999999998</v>
      </c>
      <c r="AJ179">
        <v>0</v>
      </c>
      <c r="AK179">
        <v>126.18979999999999</v>
      </c>
      <c r="AL179">
        <v>5.0223923749999999</v>
      </c>
      <c r="AM179">
        <v>2.8106906299999999</v>
      </c>
      <c r="AN179">
        <v>1.009029516</v>
      </c>
      <c r="AO179">
        <v>2.3148314640000001</v>
      </c>
      <c r="AP179">
        <v>1.5704753570000001</v>
      </c>
      <c r="AQ179">
        <v>0.74435610699999999</v>
      </c>
      <c r="AR179">
        <v>0.2328847818639104</v>
      </c>
      <c r="AS179">
        <v>0.29614177367413869</v>
      </c>
      <c r="AT179">
        <v>0.41698592577335608</v>
      </c>
      <c r="AU179">
        <v>0.71312769944749477</v>
      </c>
      <c r="AV179">
        <v>0.28499999999999998</v>
      </c>
      <c r="AW179" t="s">
        <v>919</v>
      </c>
      <c r="AX179">
        <v>6.9099999999999995E-2</v>
      </c>
    </row>
    <row r="180" spans="1:50">
      <c r="A180" t="s">
        <v>19</v>
      </c>
      <c r="B180" s="8" t="s">
        <v>790</v>
      </c>
      <c r="C180" t="s">
        <v>49</v>
      </c>
      <c r="D180">
        <v>415</v>
      </c>
      <c r="E180">
        <v>474</v>
      </c>
      <c r="F180" s="5">
        <v>-1.1164481077133346</v>
      </c>
      <c r="G180" s="5">
        <v>-0.33398597884525638</v>
      </c>
      <c r="H180" s="5">
        <v>-1.0170792761316279</v>
      </c>
      <c r="I180" s="5">
        <v>-0.84256991074496634</v>
      </c>
      <c r="J180" s="5">
        <v>0.32070686301160212</v>
      </c>
      <c r="K180" s="5">
        <v>-1.1361022255102067</v>
      </c>
      <c r="L180" s="5">
        <v>-1.030956639029609</v>
      </c>
      <c r="M180" s="6">
        <v>-6.0651119244805844</v>
      </c>
      <c r="O180">
        <v>71.596093341314969</v>
      </c>
      <c r="P180">
        <v>85.794991275723419</v>
      </c>
      <c r="Q180">
        <v>75.187252820433059</v>
      </c>
      <c r="R180">
        <v>75.616020803335019</v>
      </c>
      <c r="S180">
        <v>111.28938196920205</v>
      </c>
      <c r="T180">
        <v>68.077718793098811</v>
      </c>
      <c r="U180">
        <v>50.603058610081128</v>
      </c>
      <c r="V180">
        <v>26.732756677845686</v>
      </c>
      <c r="W180">
        <v>15.437392452216102</v>
      </c>
      <c r="X180">
        <v>84.5453598355423</v>
      </c>
      <c r="Y180">
        <v>91.262184200166971</v>
      </c>
      <c r="AB180">
        <v>88.506161505187194</v>
      </c>
      <c r="AC180">
        <v>54.742831328693143</v>
      </c>
      <c r="AD180">
        <v>16.81471665319593</v>
      </c>
      <c r="AE180">
        <v>1.0376599186159989</v>
      </c>
      <c r="AF180">
        <v>16.708749797999999</v>
      </c>
      <c r="AG180">
        <v>52.199693877550743</v>
      </c>
      <c r="AH180">
        <v>50.999999999999638</v>
      </c>
      <c r="AI180">
        <v>53.562000000000005</v>
      </c>
      <c r="AJ180">
        <v>1.662920454</v>
      </c>
      <c r="AK180">
        <v>150.92160000000001</v>
      </c>
      <c r="AL180">
        <v>3.0095492400000001</v>
      </c>
      <c r="AM180">
        <v>2.9700001020000002</v>
      </c>
      <c r="AN180">
        <v>0</v>
      </c>
      <c r="AO180">
        <v>2.9608163520000002</v>
      </c>
      <c r="AP180">
        <v>1.712492796</v>
      </c>
      <c r="AQ180">
        <v>1.2483235560000001</v>
      </c>
      <c r="AR180">
        <v>0.21326785904864384</v>
      </c>
      <c r="AS180">
        <v>0.31010609967403746</v>
      </c>
      <c r="AT180">
        <v>0.38149456285044103</v>
      </c>
      <c r="AU180">
        <v>0.69160066252447849</v>
      </c>
      <c r="AV180">
        <v>0.2868</v>
      </c>
      <c r="AW180">
        <v>0.31840000000000002</v>
      </c>
      <c r="AX180">
        <v>0.113</v>
      </c>
    </row>
    <row r="181" spans="1:50" s="12" customFormat="1">
      <c r="A181" s="12" t="s">
        <v>48</v>
      </c>
      <c r="B181" s="12" t="s">
        <v>929</v>
      </c>
      <c r="C181" s="12" t="s">
        <v>20</v>
      </c>
      <c r="D181" s="12">
        <v>414</v>
      </c>
      <c r="E181" s="12">
        <v>462</v>
      </c>
      <c r="F181" s="13">
        <v>-1.0982808797210259</v>
      </c>
      <c r="G181" s="13">
        <v>-0.98467154702879012</v>
      </c>
      <c r="H181" s="13">
        <v>-1.0170792761316167</v>
      </c>
      <c r="I181" s="13">
        <v>-0.84216607004523236</v>
      </c>
      <c r="J181" s="13">
        <v>-0.69194739947767669</v>
      </c>
      <c r="K181" s="13">
        <v>0.95322949265032209</v>
      </c>
      <c r="L181" s="13">
        <v>-1.0633770471168627</v>
      </c>
      <c r="M181" s="13">
        <v>-6.0906590008277446</v>
      </c>
      <c r="O181" s="12">
        <v>80.982920209257884</v>
      </c>
      <c r="P181" s="12">
        <v>58.12019425350924</v>
      </c>
      <c r="Q181" s="12">
        <v>75.591014385356999</v>
      </c>
      <c r="R181" s="12">
        <v>75.616020803335289</v>
      </c>
      <c r="S181" s="12">
        <v>75.642371909525082</v>
      </c>
      <c r="T181" s="12">
        <v>126.78391014103504</v>
      </c>
      <c r="U181" s="12">
        <v>41.023586117298919</v>
      </c>
      <c r="V181" s="12">
        <v>26.767873401613613</v>
      </c>
      <c r="W181" s="12">
        <v>18.386517995636694</v>
      </c>
      <c r="X181" s="12">
        <v>95.860930461500658</v>
      </c>
      <c r="Y181" s="12">
        <v>90.987406830006691</v>
      </c>
      <c r="AB181" s="12">
        <v>100.1100350689976</v>
      </c>
      <c r="AC181" s="12">
        <v>67.05596036462255</v>
      </c>
      <c r="AD181" s="12">
        <v>21.5871204364602</v>
      </c>
      <c r="AE181" s="12">
        <v>1.0056397714855296</v>
      </c>
      <c r="AF181" s="12">
        <v>11.31902654867255</v>
      </c>
      <c r="AG181" s="12">
        <v>52.480010411244109</v>
      </c>
      <c r="AH181" s="12">
        <v>50.999999999999815</v>
      </c>
      <c r="AI181" s="12">
        <v>36.4056</v>
      </c>
      <c r="AJ181" s="12">
        <v>0.204424836</v>
      </c>
      <c r="AK181" s="12">
        <v>83.760599999999997</v>
      </c>
      <c r="AL181" s="12">
        <v>2.439822924</v>
      </c>
      <c r="AM181" s="12">
        <v>3.253097232</v>
      </c>
      <c r="AN181" s="12">
        <v>0</v>
      </c>
      <c r="AO181" s="12">
        <v>2.9647057440000002</v>
      </c>
      <c r="AP181" s="12">
        <v>1.477905198</v>
      </c>
      <c r="AQ181" s="12">
        <v>1.4868005460000002</v>
      </c>
      <c r="AR181" s="12">
        <v>0.24181167891062222</v>
      </c>
      <c r="AS181" s="12">
        <v>0.306612007150799</v>
      </c>
      <c r="AT181" s="12">
        <v>0.38290634479876751</v>
      </c>
      <c r="AU181" s="12">
        <v>0.68951835194956645</v>
      </c>
      <c r="AV181" s="12">
        <v>0.27560000000000001</v>
      </c>
      <c r="AW181" s="12">
        <v>0.18129999999999999</v>
      </c>
      <c r="AX181" s="12">
        <v>7.8799999999999995E-2</v>
      </c>
    </row>
    <row r="182" spans="1:50">
      <c r="A182" t="s">
        <v>107</v>
      </c>
      <c r="B182" s="8" t="s">
        <v>971</v>
      </c>
      <c r="C182" t="s">
        <v>87</v>
      </c>
      <c r="D182">
        <v>384</v>
      </c>
      <c r="E182">
        <v>424</v>
      </c>
      <c r="F182" s="5">
        <v>-1.2526894902161725</v>
      </c>
      <c r="G182" s="5">
        <v>-0.52048141710410289</v>
      </c>
      <c r="H182" s="5">
        <v>-0.76970538480884265</v>
      </c>
      <c r="I182" s="5">
        <v>-0.88268899737886497</v>
      </c>
      <c r="J182" s="5">
        <v>-0.97630560836580937</v>
      </c>
      <c r="K182" s="5">
        <v>0.29171510898555969</v>
      </c>
      <c r="L182" s="5">
        <v>-0.90728514717832565</v>
      </c>
      <c r="M182" s="6">
        <v>-6.1404583114128375</v>
      </c>
      <c r="O182">
        <v>72.767592753472897</v>
      </c>
      <c r="P182">
        <v>77.863013602097396</v>
      </c>
      <c r="Q182">
        <v>72.159326169760988</v>
      </c>
      <c r="R182">
        <v>81.54668910163609</v>
      </c>
      <c r="S182">
        <v>65.632519279398707</v>
      </c>
      <c r="T182">
        <v>108.19663189829319</v>
      </c>
      <c r="U182">
        <v>57.816364474113321</v>
      </c>
      <c r="V182">
        <v>23.244126423212535</v>
      </c>
      <c r="W182">
        <v>18.552555043206382</v>
      </c>
      <c r="X182">
        <v>92.865698953654885</v>
      </c>
      <c r="Y182">
        <v>92.310355068443442</v>
      </c>
      <c r="AB182">
        <v>89.954353876262417</v>
      </c>
      <c r="AC182">
        <v>56.092779699196811</v>
      </c>
      <c r="AD182">
        <v>17.713509378693661</v>
      </c>
      <c r="AE182">
        <v>0.19681677481071022</v>
      </c>
      <c r="AF182">
        <v>15.163980943999999</v>
      </c>
      <c r="AG182">
        <v>50.097517799562624</v>
      </c>
      <c r="AH182">
        <v>54.999999999999801</v>
      </c>
      <c r="AI182">
        <v>31.587999999999997</v>
      </c>
      <c r="AJ182">
        <v>1.8859566640000001</v>
      </c>
      <c r="AK182">
        <v>105.0248</v>
      </c>
      <c r="AL182">
        <v>3.4385509600000002</v>
      </c>
      <c r="AM182">
        <v>3.0113743519999998</v>
      </c>
      <c r="AN182">
        <v>0.49999988000000001</v>
      </c>
      <c r="AO182">
        <v>2.5744292079999997</v>
      </c>
      <c r="AP182">
        <v>1.0742023039999999</v>
      </c>
      <c r="AQ182">
        <v>1.5002269039999998</v>
      </c>
      <c r="AR182">
        <v>0.23425612988610003</v>
      </c>
      <c r="AS182">
        <v>0.30171530881640901</v>
      </c>
      <c r="AT182">
        <v>0.39782857436722985</v>
      </c>
      <c r="AU182">
        <v>0.69954388318363891</v>
      </c>
      <c r="AV182">
        <v>0.28029999999999999</v>
      </c>
      <c r="AW182">
        <v>0.2477</v>
      </c>
      <c r="AX182">
        <v>7.4499999999999997E-2</v>
      </c>
    </row>
    <row r="183" spans="1:50" s="12" customFormat="1">
      <c r="A183" s="12" t="s">
        <v>101</v>
      </c>
      <c r="B183" s="12" t="s">
        <v>784</v>
      </c>
      <c r="C183" s="12" t="s">
        <v>20</v>
      </c>
      <c r="D183" s="12">
        <v>421</v>
      </c>
      <c r="E183" s="12">
        <v>453</v>
      </c>
      <c r="F183" s="13">
        <v>-0.89742848724370083</v>
      </c>
      <c r="G183" s="13">
        <v>-2.3391118762443779</v>
      </c>
      <c r="H183" s="13">
        <v>-2.1302617904236416</v>
      </c>
      <c r="I183" s="13">
        <v>3.3169648486008922</v>
      </c>
      <c r="J183" s="13">
        <v>-1.4450457030320796</v>
      </c>
      <c r="K183" s="13">
        <v>2.0722030264524967</v>
      </c>
      <c r="L183" s="13">
        <v>-1.5439415912585117</v>
      </c>
      <c r="M183" s="13">
        <v>-6.161710725805281</v>
      </c>
      <c r="O183" s="12">
        <v>96.832033462023091</v>
      </c>
      <c r="P183" s="12">
        <v>0.51347447580923244</v>
      </c>
      <c r="Q183" s="12">
        <v>80.054902675837837</v>
      </c>
      <c r="R183" s="12">
        <v>48.928013380917804</v>
      </c>
      <c r="S183" s="12">
        <v>49.13213658326665</v>
      </c>
      <c r="T183" s="12">
        <v>158.22490814900175</v>
      </c>
      <c r="U183" s="12">
        <v>15.132749085081883</v>
      </c>
      <c r="V183" s="12">
        <v>388.43288557337854</v>
      </c>
      <c r="W183" s="12">
        <v>410.11528509172194</v>
      </c>
      <c r="X183" s="12">
        <v>112.71598336303354</v>
      </c>
      <c r="Y183" s="12">
        <v>86.914408696357896</v>
      </c>
      <c r="AB183" s="12">
        <v>119.702503202364</v>
      </c>
      <c r="AC183" s="12">
        <v>100.63361302786817</v>
      </c>
      <c r="AD183" s="12">
        <v>15.289521654435443</v>
      </c>
      <c r="AE183" s="12">
        <v>3.2966899039736295</v>
      </c>
      <c r="AF183" s="12">
        <v>0.100000203</v>
      </c>
      <c r="AG183" s="12">
        <v>55.579120879120644</v>
      </c>
      <c r="AH183" s="12">
        <v>32.999999945999996</v>
      </c>
      <c r="AI183" s="12">
        <v>23.646599999999953</v>
      </c>
      <c r="AJ183" s="12">
        <v>0.19999995300000001</v>
      </c>
      <c r="AK183" s="12">
        <v>47.791499999999999</v>
      </c>
      <c r="AL183" s="12">
        <v>0.90000001500000004</v>
      </c>
      <c r="AM183" s="12">
        <v>3.0000002009999998</v>
      </c>
      <c r="AN183" s="12">
        <v>4.8413976359999999</v>
      </c>
      <c r="AO183" s="12">
        <v>43.021318493999999</v>
      </c>
      <c r="AP183" s="12">
        <v>9.8579087639999994</v>
      </c>
      <c r="AQ183" s="12">
        <v>33.163409729999998</v>
      </c>
      <c r="AR183" s="12">
        <v>0.28432898622889313</v>
      </c>
      <c r="AS183" s="12">
        <v>0.32254147540852734</v>
      </c>
      <c r="AT183" s="12">
        <v>0.33611099016783835</v>
      </c>
      <c r="AU183" s="12">
        <v>0.6586524655763657</v>
      </c>
      <c r="AV183" s="12">
        <v>0.318</v>
      </c>
      <c r="AW183" s="12" t="s">
        <v>785</v>
      </c>
      <c r="AX183" s="12" t="s">
        <v>786</v>
      </c>
    </row>
    <row r="184" spans="1:50" s="12" customFormat="1">
      <c r="A184" s="12" t="s">
        <v>404</v>
      </c>
      <c r="B184" s="12" t="s">
        <v>1157</v>
      </c>
      <c r="C184" s="12" t="s">
        <v>1158</v>
      </c>
      <c r="D184" s="12">
        <v>348</v>
      </c>
      <c r="E184" s="12">
        <v>383</v>
      </c>
      <c r="F184" s="13">
        <v>-1.1352626092562914</v>
      </c>
      <c r="G184" s="13">
        <v>-1.0615073671212394</v>
      </c>
      <c r="H184" s="13">
        <v>-1.4499835859464651</v>
      </c>
      <c r="I184" s="13">
        <v>0.85321848868710037</v>
      </c>
      <c r="J184" s="13">
        <v>-1.4934342906372104</v>
      </c>
      <c r="K184" s="13">
        <v>0.59573696813100674</v>
      </c>
      <c r="L184" s="13">
        <v>-0.48288918326967761</v>
      </c>
      <c r="M184" s="13">
        <v>-6.2152312913477372</v>
      </c>
      <c r="O184" s="12">
        <v>72.799997898512601</v>
      </c>
      <c r="P184" s="12">
        <v>54.852232231499066</v>
      </c>
      <c r="Q184" s="12">
        <v>74.769105781739853</v>
      </c>
      <c r="R184" s="12">
        <v>65.237351281309031</v>
      </c>
      <c r="S184" s="12">
        <v>47.428782800018318</v>
      </c>
      <c r="T184" s="12">
        <v>116.7390597386466</v>
      </c>
      <c r="U184" s="12">
        <v>126.17915564186137</v>
      </c>
      <c r="V184" s="12">
        <v>174.19321034420426</v>
      </c>
      <c r="W184" s="12">
        <v>177.55928643163224</v>
      </c>
      <c r="X184" s="12">
        <v>102.518128843981</v>
      </c>
      <c r="Y184" s="12">
        <v>95.90729951638528</v>
      </c>
      <c r="AB184" s="12">
        <v>89.99441269604759</v>
      </c>
      <c r="AC184" s="12">
        <v>62.179605207630168</v>
      </c>
      <c r="AD184" s="12">
        <v>16.072651922124098</v>
      </c>
      <c r="AE184" s="12">
        <v>1.0265448127851324</v>
      </c>
      <c r="AF184" s="12">
        <v>10.682584269662904</v>
      </c>
      <c r="AG184" s="12">
        <v>51.909390048154052</v>
      </c>
      <c r="AH184" s="12">
        <v>43.999999999999943</v>
      </c>
      <c r="AI184" s="12">
        <v>22.826799999999999</v>
      </c>
      <c r="AJ184" s="12">
        <v>0.81790033000000006</v>
      </c>
      <c r="AK184" s="12">
        <v>95.252099999999999</v>
      </c>
      <c r="AL184" s="12">
        <v>7.5043365439999992</v>
      </c>
      <c r="AM184" s="12">
        <v>2.1213481440000002</v>
      </c>
      <c r="AN184" s="12">
        <v>1.14805399</v>
      </c>
      <c r="AO184" s="12">
        <v>19.292963752665212</v>
      </c>
      <c r="AP184" s="12">
        <v>4.9348757189999999</v>
      </c>
      <c r="AQ184" s="12">
        <v>14.358088033665211</v>
      </c>
      <c r="AR184" s="12">
        <v>0.25860463418404478</v>
      </c>
      <c r="AS184" s="12">
        <v>0.32411571373228831</v>
      </c>
      <c r="AT184" s="12">
        <v>0.40268643841633728</v>
      </c>
      <c r="AU184" s="12">
        <v>0.72680215214862565</v>
      </c>
      <c r="AV184" s="12">
        <v>0.32479999999999998</v>
      </c>
      <c r="AW184" s="12">
        <v>0.2487</v>
      </c>
      <c r="AX184" s="12">
        <v>5.96E-2</v>
      </c>
    </row>
    <row r="185" spans="1:50">
      <c r="A185" t="s">
        <v>335</v>
      </c>
      <c r="B185" s="8" t="s">
        <v>924</v>
      </c>
      <c r="C185" t="s">
        <v>49</v>
      </c>
      <c r="D185">
        <v>486</v>
      </c>
      <c r="E185">
        <v>521</v>
      </c>
      <c r="F185" s="5">
        <v>-0.83199432394678852</v>
      </c>
      <c r="G185" s="5">
        <v>-0.35947345995717478</v>
      </c>
      <c r="H185" s="5">
        <v>-0.33680107499399109</v>
      </c>
      <c r="I185" s="5">
        <v>-0.71952574219165166</v>
      </c>
      <c r="J185" s="5">
        <v>-1.1063728096913419</v>
      </c>
      <c r="K185" s="5">
        <v>-0.54326784414116602</v>
      </c>
      <c r="L185" s="5">
        <v>-1.0311461854269479</v>
      </c>
      <c r="M185" s="6">
        <v>-6.2926119572010784</v>
      </c>
      <c r="O185">
        <v>96.282558049196268</v>
      </c>
      <c r="P185">
        <v>84.710964057555728</v>
      </c>
      <c r="Q185">
        <v>81.509158668190395</v>
      </c>
      <c r="R185">
        <v>91.925358623662419</v>
      </c>
      <c r="S185">
        <v>61.053950852018609</v>
      </c>
      <c r="T185">
        <v>84.735221442284313</v>
      </c>
      <c r="U185">
        <v>61.931793099771163</v>
      </c>
      <c r="V185">
        <v>37.432292611661666</v>
      </c>
      <c r="W185">
        <v>38.751640915883748</v>
      </c>
      <c r="X185">
        <v>97.08673562509405</v>
      </c>
      <c r="Y185">
        <v>91.260577710191768</v>
      </c>
      <c r="AB185">
        <v>119.02324882742289</v>
      </c>
      <c r="AC185">
        <v>78.692456861820133</v>
      </c>
      <c r="AD185">
        <v>22.816649931838615</v>
      </c>
      <c r="AE185">
        <v>1.0564522396396236</v>
      </c>
      <c r="AF185">
        <v>16.497633283000003</v>
      </c>
      <c r="AG185">
        <v>56.588756352858383</v>
      </c>
      <c r="AH185">
        <v>61.999999999999716</v>
      </c>
      <c r="AI185">
        <v>29.384399999999999</v>
      </c>
      <c r="AJ185">
        <v>0</v>
      </c>
      <c r="AK185">
        <v>131.86509999999998</v>
      </c>
      <c r="AL185">
        <v>3.6833105739999996</v>
      </c>
      <c r="AM185">
        <v>2.8662721220000003</v>
      </c>
      <c r="AN185">
        <v>0</v>
      </c>
      <c r="AO185">
        <v>4.1458554159999998</v>
      </c>
      <c r="AP185">
        <v>1.0122571519999999</v>
      </c>
      <c r="AQ185">
        <v>3.1335982639999997</v>
      </c>
      <c r="AR185">
        <v>0.24490380417165203</v>
      </c>
      <c r="AS185">
        <v>0.29346987391001306</v>
      </c>
      <c r="AT185">
        <v>0.39811861435476598</v>
      </c>
      <c r="AU185">
        <v>0.69158848826477903</v>
      </c>
      <c r="AV185">
        <v>0.30109999999999998</v>
      </c>
      <c r="AW185">
        <v>0.25309999999999999</v>
      </c>
      <c r="AX185">
        <v>5.6399999999999999E-2</v>
      </c>
    </row>
    <row r="186" spans="1:50">
      <c r="A186" t="s">
        <v>228</v>
      </c>
      <c r="B186" s="8" t="s">
        <v>811</v>
      </c>
      <c r="C186" t="s">
        <v>87</v>
      </c>
      <c r="D186">
        <v>326</v>
      </c>
      <c r="E186">
        <v>368</v>
      </c>
      <c r="F186" s="5">
        <v>-1.8281359790120357</v>
      </c>
      <c r="G186" s="5">
        <v>-0.79380522560267097</v>
      </c>
      <c r="H186" s="5">
        <v>-1.5118270587771676</v>
      </c>
      <c r="I186" s="5">
        <v>-0.94344619994088774</v>
      </c>
      <c r="J186" s="5">
        <v>-0.83592085993930343</v>
      </c>
      <c r="K186" s="5">
        <v>1.2246705815804724</v>
      </c>
      <c r="L186" s="5">
        <v>-0.61701015603504239</v>
      </c>
      <c r="M186" s="6">
        <v>-6.3018078753100575</v>
      </c>
      <c r="O186">
        <v>61.858591278069198</v>
      </c>
      <c r="P186">
        <v>66.238073244725214</v>
      </c>
      <c r="Q186">
        <v>59.37018877661712</v>
      </c>
      <c r="R186">
        <v>63.754684206733621</v>
      </c>
      <c r="S186">
        <v>70.574281462953294</v>
      </c>
      <c r="T186">
        <v>134.41088118058599</v>
      </c>
      <c r="U186">
        <v>67.425271494270021</v>
      </c>
      <c r="V186">
        <v>17.960870177153026</v>
      </c>
      <c r="W186">
        <v>24.600383540104502</v>
      </c>
      <c r="X186">
        <v>92.98887069402079</v>
      </c>
      <c r="Y186">
        <v>94.770564652326158</v>
      </c>
      <c r="AB186">
        <v>76.468787815561598</v>
      </c>
      <c r="AC186">
        <v>50.492410628261645</v>
      </c>
      <c r="AD186">
        <v>13.055881234391876</v>
      </c>
      <c r="AE186">
        <v>1.0451756955666749</v>
      </c>
      <c r="AF186">
        <v>12.900000064</v>
      </c>
      <c r="AG186">
        <v>41.218498659517358</v>
      </c>
      <c r="AH186">
        <v>42.999999999999808</v>
      </c>
      <c r="AI186">
        <v>33.9664</v>
      </c>
      <c r="AJ186">
        <v>0</v>
      </c>
      <c r="AK186">
        <v>75.035200000000003</v>
      </c>
      <c r="AL186">
        <v>4.0100278551531741</v>
      </c>
      <c r="AM186">
        <v>3.000000032</v>
      </c>
      <c r="AN186">
        <v>0.50000012799999993</v>
      </c>
      <c r="AO186">
        <v>1.9892762560000001</v>
      </c>
      <c r="AP186">
        <v>0</v>
      </c>
      <c r="AQ186">
        <v>1.9892762560000001</v>
      </c>
      <c r="AR186">
        <v>0.23456683379006624</v>
      </c>
      <c r="AS186">
        <v>0.31530526148047033</v>
      </c>
      <c r="AT186">
        <v>0.40288251668633557</v>
      </c>
      <c r="AU186">
        <v>0.7181877781668059</v>
      </c>
      <c r="AV186">
        <v>0.26369999999999999</v>
      </c>
      <c r="AW186">
        <v>0.2039</v>
      </c>
      <c r="AX186">
        <v>9.2299999999999993E-2</v>
      </c>
    </row>
    <row r="187" spans="1:50">
      <c r="A187" t="s">
        <v>243</v>
      </c>
      <c r="B187" s="8" t="s">
        <v>982</v>
      </c>
      <c r="C187" t="s">
        <v>124</v>
      </c>
      <c r="D187">
        <v>361</v>
      </c>
      <c r="E187">
        <v>405</v>
      </c>
      <c r="F187" s="5">
        <v>-1.7554258347472376</v>
      </c>
      <c r="G187" s="5">
        <v>-0.32296968053507846</v>
      </c>
      <c r="H187" s="5">
        <v>-1.0170792742763015</v>
      </c>
      <c r="I187" s="5">
        <v>-0.98785165231331495</v>
      </c>
      <c r="J187" s="5">
        <v>-0.81623155072575915</v>
      </c>
      <c r="K187" s="5">
        <v>-0.20065800889044458</v>
      </c>
      <c r="L187" s="5">
        <v>-0.23949018422231419</v>
      </c>
      <c r="M187" s="6">
        <v>-6.33260548632117</v>
      </c>
      <c r="O187">
        <v>69.204733268547614</v>
      </c>
      <c r="P187">
        <v>86.263533740129731</v>
      </c>
      <c r="Q187">
        <v>60.98615141255857</v>
      </c>
      <c r="R187">
        <v>75.616020847815562</v>
      </c>
      <c r="S187">
        <v>71.26737586802497</v>
      </c>
      <c r="T187">
        <v>94.361896982165433</v>
      </c>
      <c r="U187">
        <v>49.978784295929003</v>
      </c>
      <c r="V187">
        <v>14.099510968485845</v>
      </c>
      <c r="W187">
        <v>11.248543143679839</v>
      </c>
      <c r="X187">
        <v>93.945751590151318</v>
      </c>
      <c r="Y187">
        <v>97.970214229793029</v>
      </c>
      <c r="AB187">
        <v>85.549993215272011</v>
      </c>
      <c r="AC187">
        <v>51.020181660240375</v>
      </c>
      <c r="AD187">
        <v>17.456517179617162</v>
      </c>
      <c r="AE187">
        <v>0.57142849859447054</v>
      </c>
      <c r="AF187">
        <v>16.799999400000001</v>
      </c>
      <c r="AG187">
        <v>42.340401</v>
      </c>
      <c r="AH187">
        <v>51.000000029999995</v>
      </c>
      <c r="AI187">
        <v>34.2999765</v>
      </c>
      <c r="AJ187">
        <v>3.15801423</v>
      </c>
      <c r="AK187">
        <v>120.852</v>
      </c>
      <c r="AL187">
        <v>2.9724213599999998</v>
      </c>
      <c r="AM187">
        <v>3.4000001100000001</v>
      </c>
      <c r="AN187">
        <v>0</v>
      </c>
      <c r="AO187">
        <v>1.5616071</v>
      </c>
      <c r="AP187">
        <v>0.65200909499999993</v>
      </c>
      <c r="AQ187">
        <v>0.9095980050000001</v>
      </c>
      <c r="AR187">
        <v>0.23698059062402219</v>
      </c>
      <c r="AS187">
        <v>0.3134948369246966</v>
      </c>
      <c r="AT187">
        <v>0.42894044076248788</v>
      </c>
      <c r="AU187">
        <v>0.74243527768718454</v>
      </c>
      <c r="AV187">
        <v>0.30320000000000003</v>
      </c>
      <c r="AW187">
        <v>0.2984</v>
      </c>
      <c r="AX187">
        <v>8.4691299999999997E-2</v>
      </c>
    </row>
    <row r="188" spans="1:50">
      <c r="A188" t="s">
        <v>19</v>
      </c>
      <c r="B188" s="8" t="s">
        <v>940</v>
      </c>
      <c r="C188" t="s">
        <v>352</v>
      </c>
      <c r="D188">
        <v>303</v>
      </c>
      <c r="E188">
        <v>352</v>
      </c>
      <c r="F188" s="5">
        <v>-1.624050160118796</v>
      </c>
      <c r="G188" s="5">
        <v>-1.4240815556640598</v>
      </c>
      <c r="H188" s="5">
        <v>-2.3157921996392021</v>
      </c>
      <c r="I188" s="5">
        <v>2.6634158118528273</v>
      </c>
      <c r="J188" s="5">
        <v>-0.91685576031031923</v>
      </c>
      <c r="K188" s="5">
        <v>0.79287349326927825</v>
      </c>
      <c r="L188" s="5">
        <v>-1.5283365635343689</v>
      </c>
      <c r="M188" s="6">
        <v>-6.5509404011612506</v>
      </c>
      <c r="O188">
        <v>53.865615752327145</v>
      </c>
      <c r="P188">
        <v>39.431316870754031</v>
      </c>
      <c r="Q188">
        <v>63.905939065544217</v>
      </c>
      <c r="R188">
        <v>44.480012379592246</v>
      </c>
      <c r="S188">
        <v>67.725246689117938</v>
      </c>
      <c r="T188">
        <v>122.27821585533243</v>
      </c>
      <c r="U188">
        <v>102.0485069594297</v>
      </c>
      <c r="V188">
        <v>331.60230607162157</v>
      </c>
      <c r="W188">
        <v>344.52809864579535</v>
      </c>
      <c r="X188">
        <v>87.119936114444883</v>
      </c>
      <c r="Y188">
        <v>87.046668243115548</v>
      </c>
      <c r="AB188">
        <v>66.587975193343993</v>
      </c>
      <c r="AC188">
        <v>45.847395430050732</v>
      </c>
      <c r="AD188">
        <v>12.925063605280224</v>
      </c>
      <c r="AE188">
        <v>0.99548306542925868</v>
      </c>
      <c r="AF188">
        <v>7.6793295039999991</v>
      </c>
      <c r="AG188">
        <v>44.367500221689916</v>
      </c>
      <c r="AH188">
        <v>30.000000096000001</v>
      </c>
      <c r="AI188">
        <v>32.595199999999998</v>
      </c>
      <c r="AJ188">
        <v>0</v>
      </c>
      <c r="AK188">
        <v>88.915199999999999</v>
      </c>
      <c r="AL188">
        <v>6.0691984832257155</v>
      </c>
      <c r="AM188">
        <v>1.9731842240000002</v>
      </c>
      <c r="AN188">
        <v>2.3678754879999997</v>
      </c>
      <c r="AO188">
        <v>36.726984126984092</v>
      </c>
      <c r="AP188">
        <v>8.8671922240000001</v>
      </c>
      <c r="AQ188">
        <v>27.859791902984092</v>
      </c>
      <c r="AR188">
        <v>0.21976229436747194</v>
      </c>
      <c r="AS188">
        <v>0.31179570894508735</v>
      </c>
      <c r="AT188">
        <v>0.34785904241880844</v>
      </c>
      <c r="AU188">
        <v>0.65965475136389573</v>
      </c>
      <c r="AV188">
        <v>0.28270000000000001</v>
      </c>
      <c r="AW188">
        <v>0.25259999999999999</v>
      </c>
      <c r="AX188">
        <v>9.2600000000000002E-2</v>
      </c>
    </row>
    <row r="189" spans="1:50">
      <c r="A189" t="s">
        <v>66</v>
      </c>
      <c r="B189" s="8" t="s">
        <v>1067</v>
      </c>
      <c r="C189" t="s">
        <v>648</v>
      </c>
      <c r="D189">
        <v>315</v>
      </c>
      <c r="E189">
        <v>360</v>
      </c>
      <c r="F189" s="5">
        <v>-1.7030207503924766</v>
      </c>
      <c r="G189" s="5">
        <v>-1.3449384070484882</v>
      </c>
      <c r="H189" s="5">
        <v>-2.0065748463701838</v>
      </c>
      <c r="I189" s="5">
        <v>0.2300812354615811</v>
      </c>
      <c r="J189" s="5">
        <v>-0.77113516372633117</v>
      </c>
      <c r="K189" s="5">
        <v>1.5565197098537567</v>
      </c>
      <c r="L189" s="5">
        <v>-1.0534195829808175</v>
      </c>
      <c r="M189" s="6">
        <v>-6.7172031427119796</v>
      </c>
      <c r="O189">
        <v>61.400618050076822</v>
      </c>
      <c r="P189">
        <v>42.797413616605141</v>
      </c>
      <c r="Q189">
        <v>62.150839766665619</v>
      </c>
      <c r="R189">
        <v>51.893347491518881</v>
      </c>
      <c r="S189">
        <v>72.854839053211251</v>
      </c>
      <c r="T189">
        <v>143.73520160980394</v>
      </c>
      <c r="U189">
        <v>56.82102641521324</v>
      </c>
      <c r="V189">
        <v>120.00714438938483</v>
      </c>
      <c r="W189">
        <v>118.11871921141497</v>
      </c>
      <c r="X189">
        <v>95.523612228072324</v>
      </c>
      <c r="Y189">
        <v>91.071800764882653</v>
      </c>
      <c r="AB189">
        <v>75.902647254113461</v>
      </c>
      <c r="AC189">
        <v>52.25867944266686</v>
      </c>
      <c r="AD189">
        <v>13.002785041125222</v>
      </c>
      <c r="AE189">
        <v>1.0276745476583073</v>
      </c>
      <c r="AF189">
        <v>8.3348837209301756</v>
      </c>
      <c r="AG189">
        <v>43.1490005067852</v>
      </c>
      <c r="AH189">
        <v>34.99999992</v>
      </c>
      <c r="AI189">
        <v>35.064</v>
      </c>
      <c r="AJ189">
        <v>0.91993608000000004</v>
      </c>
      <c r="AK189">
        <v>64.367999999999995</v>
      </c>
      <c r="AL189">
        <v>3.3793545599999999</v>
      </c>
      <c r="AM189">
        <v>2.51362116</v>
      </c>
      <c r="AN189">
        <v>1.8163263599999999</v>
      </c>
      <c r="AO189">
        <v>13.291525439999999</v>
      </c>
      <c r="AP189">
        <v>3.740017304635344</v>
      </c>
      <c r="AQ189">
        <v>9.5515081353646547</v>
      </c>
      <c r="AR189">
        <v>0.24096078493369352</v>
      </c>
      <c r="AS189">
        <v>0.32607279890156632</v>
      </c>
      <c r="AT189">
        <v>0.36408510492575535</v>
      </c>
      <c r="AU189">
        <v>0.69015790382732167</v>
      </c>
      <c r="AV189">
        <v>0.27600000000000002</v>
      </c>
      <c r="AW189">
        <v>0.17879999999999999</v>
      </c>
      <c r="AX189">
        <v>9.74E-2</v>
      </c>
    </row>
    <row r="190" spans="1:50">
      <c r="A190" t="s">
        <v>692</v>
      </c>
      <c r="B190" s="8" t="s">
        <v>1057</v>
      </c>
      <c r="C190" t="s">
        <v>20</v>
      </c>
      <c r="D190">
        <v>451</v>
      </c>
      <c r="E190">
        <v>507</v>
      </c>
      <c r="F190" s="5">
        <v>-0.81895198216605836</v>
      </c>
      <c r="G190" s="5">
        <v>-1.4844964038354347</v>
      </c>
      <c r="H190" s="5">
        <v>-1.7592009476880357</v>
      </c>
      <c r="I190" s="5">
        <v>2.2751514273878595</v>
      </c>
      <c r="J190" s="5">
        <v>-0.65022862206939613</v>
      </c>
      <c r="K190" s="5">
        <v>0.18682077019826235</v>
      </c>
      <c r="L190" s="5">
        <v>-2.1942957388986706</v>
      </c>
      <c r="M190" s="6">
        <v>-6.9036500287601923</v>
      </c>
      <c r="O190">
        <v>82.269091089496172</v>
      </c>
      <c r="P190">
        <v>36.861767549200472</v>
      </c>
      <c r="Q190">
        <v>81.799021069316751</v>
      </c>
      <c r="R190">
        <v>57.824015966257086</v>
      </c>
      <c r="S190">
        <v>77.110937967100085</v>
      </c>
      <c r="T190">
        <v>105.24930330004463</v>
      </c>
      <c r="U190">
        <v>127.90557102166129</v>
      </c>
      <c r="V190">
        <v>297.84004994646568</v>
      </c>
      <c r="W190">
        <v>332.77816476397379</v>
      </c>
      <c r="X190">
        <v>89.394068925929943</v>
      </c>
      <c r="Y190">
        <v>81.402368197655719</v>
      </c>
      <c r="AB190">
        <v>101.6999828208528</v>
      </c>
      <c r="AC190">
        <v>74.447906283235696</v>
      </c>
      <c r="AD190">
        <v>16.575435469272673</v>
      </c>
      <c r="AE190">
        <v>2.5347876362010382</v>
      </c>
      <c r="AF190">
        <v>7.1789045250000001</v>
      </c>
      <c r="AG190">
        <v>56.789996962640252</v>
      </c>
      <c r="AH190">
        <v>39.000000039</v>
      </c>
      <c r="AI190">
        <v>37.112400000000001</v>
      </c>
      <c r="AJ190">
        <v>0.20567975999999999</v>
      </c>
      <c r="AK190">
        <v>108.39659999999999</v>
      </c>
      <c r="AL190">
        <v>7.6070127899999997</v>
      </c>
      <c r="AM190">
        <v>4.090871967</v>
      </c>
      <c r="AN190">
        <v>6.9455252918287513</v>
      </c>
      <c r="AO190">
        <v>32.987607705000002</v>
      </c>
      <c r="AP190">
        <v>6.0779580810000002</v>
      </c>
      <c r="AQ190">
        <v>26.909649624000004</v>
      </c>
      <c r="AR190">
        <v>0.22549885326131441</v>
      </c>
      <c r="AS190">
        <v>0.29777093786902614</v>
      </c>
      <c r="AT190">
        <v>0.31911032867047484</v>
      </c>
      <c r="AU190">
        <v>0.61688126653950093</v>
      </c>
      <c r="AV190">
        <v>0.27839999999999998</v>
      </c>
      <c r="AW190">
        <v>0.21379999999999999</v>
      </c>
      <c r="AX190">
        <v>7.3200000000000001E-2</v>
      </c>
    </row>
    <row r="191" spans="1:50" s="12" customFormat="1">
      <c r="A191" s="12" t="s">
        <v>33</v>
      </c>
      <c r="B191" s="12" t="s">
        <v>1049</v>
      </c>
      <c r="C191" s="12" t="s">
        <v>87</v>
      </c>
      <c r="D191" s="12">
        <v>349</v>
      </c>
      <c r="E191" s="12">
        <v>391</v>
      </c>
      <c r="F191" s="13">
        <v>-1.5508108205085451</v>
      </c>
      <c r="G191" s="13">
        <v>-1.001872760815034</v>
      </c>
      <c r="H191" s="13">
        <v>-1.2644531674543966</v>
      </c>
      <c r="I191" s="13">
        <v>-0.76918558747283727</v>
      </c>
      <c r="J191" s="13">
        <v>-0.65753590085143543</v>
      </c>
      <c r="K191" s="13">
        <v>0.39274256174424871</v>
      </c>
      <c r="L191" s="13">
        <v>-0.7012800442085585</v>
      </c>
      <c r="M191" s="13">
        <v>-7.1876015303427021</v>
      </c>
      <c r="O191" s="12">
        <v>66.999765026162066</v>
      </c>
      <c r="P191" s="12">
        <v>57.388596499775538</v>
      </c>
      <c r="Q191" s="12">
        <v>65.53366292014384</v>
      </c>
      <c r="R191" s="12">
        <v>69.685352505034345</v>
      </c>
      <c r="S191" s="12">
        <v>76.853710352601226</v>
      </c>
      <c r="T191" s="12">
        <v>111.03530845764196</v>
      </c>
      <c r="U191" s="12">
        <v>32.669144498302288</v>
      </c>
      <c r="V191" s="12">
        <v>33.114027834866818</v>
      </c>
      <c r="W191" s="12">
        <v>32.14307604978481</v>
      </c>
      <c r="X191" s="12">
        <v>94.079803289106067</v>
      </c>
      <c r="Y191" s="12">
        <v>94.056339890142382</v>
      </c>
      <c r="AB191" s="12">
        <v>82.824240087317889</v>
      </c>
      <c r="AC191" s="12">
        <v>51.521307125371315</v>
      </c>
      <c r="AD191" s="12">
        <v>17.083602082457844</v>
      </c>
      <c r="AE191" s="12">
        <v>2.860969645477728</v>
      </c>
      <c r="AF191" s="12">
        <v>11.176546391752549</v>
      </c>
      <c r="AG191" s="12">
        <v>45.497567935830375</v>
      </c>
      <c r="AH191" s="12">
        <v>46.999999999999737</v>
      </c>
      <c r="AI191" s="12">
        <v>36.988599999999998</v>
      </c>
      <c r="AJ191" s="12">
        <v>0.88959029699999992</v>
      </c>
      <c r="AK191" s="12">
        <v>101.7773</v>
      </c>
      <c r="AL191" s="12">
        <v>1.9429536810000001</v>
      </c>
      <c r="AM191" s="12">
        <v>3.018556754</v>
      </c>
      <c r="AN191" s="12">
        <v>0.83418794299999999</v>
      </c>
      <c r="AO191" s="12">
        <v>3.6675811729999999</v>
      </c>
      <c r="AP191" s="12">
        <v>1.0683754379999999</v>
      </c>
      <c r="AQ191" s="12">
        <v>2.599205735</v>
      </c>
      <c r="AR191" s="12">
        <v>0.23731873950520885</v>
      </c>
      <c r="AS191" s="12">
        <v>0.31455862351494662</v>
      </c>
      <c r="AT191" s="12">
        <v>0.39821663551212144</v>
      </c>
      <c r="AU191" s="12">
        <v>0.71277525902706806</v>
      </c>
      <c r="AV191" s="12" t="s">
        <v>1050</v>
      </c>
      <c r="AW191" s="12" t="s">
        <v>1051</v>
      </c>
      <c r="AX191" s="12">
        <v>9.4600000000000004E-2</v>
      </c>
    </row>
    <row r="192" spans="1:50">
      <c r="A192" t="s">
        <v>293</v>
      </c>
      <c r="B192" s="8" t="s">
        <v>867</v>
      </c>
      <c r="C192" t="s">
        <v>868</v>
      </c>
      <c r="D192">
        <v>391</v>
      </c>
      <c r="E192">
        <v>436</v>
      </c>
      <c r="F192" s="5">
        <v>-1.2120825956753134</v>
      </c>
      <c r="G192" s="5">
        <v>-1.3486942566654396</v>
      </c>
      <c r="H192" s="5">
        <v>-1.7592009577685217</v>
      </c>
      <c r="I192" s="5">
        <v>0.39259709407110405</v>
      </c>
      <c r="J192" s="5">
        <v>-0.67905636808836078</v>
      </c>
      <c r="K192" s="5">
        <v>0.6332827826758759</v>
      </c>
      <c r="L192" s="5">
        <v>-1.2260840956775407</v>
      </c>
      <c r="M192" s="6">
        <v>-7.2451665748325986</v>
      </c>
      <c r="O192">
        <v>74.113952137389717</v>
      </c>
      <c r="P192">
        <v>42.637670753266001</v>
      </c>
      <c r="Q192">
        <v>73.061803052500608</v>
      </c>
      <c r="R192">
        <v>57.824015724582353</v>
      </c>
      <c r="S192">
        <v>76.096156327994777</v>
      </c>
      <c r="T192">
        <v>117.79402470846279</v>
      </c>
      <c r="U192">
        <v>69.80055471046559</v>
      </c>
      <c r="V192">
        <v>134.1390149969229</v>
      </c>
      <c r="W192">
        <v>138.26811249078838</v>
      </c>
      <c r="X192">
        <v>92.89059898411108</v>
      </c>
      <c r="Y192">
        <v>89.608392266410817</v>
      </c>
      <c r="AB192">
        <v>91.618705875314916</v>
      </c>
      <c r="AC192">
        <v>60.741377396840107</v>
      </c>
      <c r="AD192">
        <v>17.421877388582359</v>
      </c>
      <c r="AE192">
        <v>5.3066594715682269</v>
      </c>
      <c r="AF192">
        <v>8.3037734720000014</v>
      </c>
      <c r="AG192">
        <v>50.724073701572806</v>
      </c>
      <c r="AH192">
        <v>38.999999875999997</v>
      </c>
      <c r="AI192">
        <v>36.624000000000002</v>
      </c>
      <c r="AJ192">
        <v>0.96050146000000003</v>
      </c>
      <c r="AK192">
        <v>94.045199999999994</v>
      </c>
      <c r="AL192">
        <v>4.1512946480000004</v>
      </c>
      <c r="AM192">
        <v>3.0679244639999999</v>
      </c>
      <c r="AN192">
        <v>0.98337009600000003</v>
      </c>
      <c r="AO192">
        <v>14.856716568000001</v>
      </c>
      <c r="AP192">
        <v>3.6758553959999998</v>
      </c>
      <c r="AQ192">
        <v>11.180861172000002</v>
      </c>
      <c r="AR192">
        <v>0.2343189408575829</v>
      </c>
      <c r="AS192">
        <v>0.30893954018179043</v>
      </c>
      <c r="AT192">
        <v>0.37012840019618803</v>
      </c>
      <c r="AU192">
        <v>0.67906794037797846</v>
      </c>
      <c r="AV192" t="s">
        <v>117</v>
      </c>
      <c r="AW192" t="s">
        <v>869</v>
      </c>
      <c r="AX192">
        <v>8.4000000000000005E-2</v>
      </c>
    </row>
    <row r="193" spans="1:50">
      <c r="A193" t="s">
        <v>257</v>
      </c>
      <c r="B193" s="8" t="s">
        <v>935</v>
      </c>
      <c r="C193" t="s">
        <v>163</v>
      </c>
      <c r="D193">
        <v>379</v>
      </c>
      <c r="E193">
        <v>414</v>
      </c>
      <c r="F193" s="5">
        <v>-1.3417743426523459</v>
      </c>
      <c r="G193" s="5">
        <v>-1.1021835468202037</v>
      </c>
      <c r="H193" s="5">
        <v>-1.326296640285078</v>
      </c>
      <c r="I193" s="5">
        <v>-0.63733462475813196</v>
      </c>
      <c r="J193" s="5">
        <v>-1.0642644681476701</v>
      </c>
      <c r="K193" s="5">
        <v>0.57870462621095065</v>
      </c>
      <c r="L193" s="5">
        <v>-0.78832986211547185</v>
      </c>
      <c r="M193" s="6">
        <v>-7.5775340997666163</v>
      </c>
      <c r="O193">
        <v>75.731574219341297</v>
      </c>
      <c r="P193">
        <v>53.122203056346947</v>
      </c>
      <c r="Q193">
        <v>70.17944022095935</v>
      </c>
      <c r="R193">
        <v>68.202685430459439</v>
      </c>
      <c r="S193">
        <v>62.536230174986926</v>
      </c>
      <c r="T193">
        <v>116.26048378291344</v>
      </c>
      <c r="U193">
        <v>34.760179812556302</v>
      </c>
      <c r="V193">
        <v>44.579375035477533</v>
      </c>
      <c r="W193">
        <v>38.499064466130847</v>
      </c>
      <c r="X193">
        <v>97.923363558208237</v>
      </c>
      <c r="Y193">
        <v>93.318553987725039</v>
      </c>
      <c r="AB193">
        <v>93.618389301574524</v>
      </c>
      <c r="AC193">
        <v>61.05638940209311</v>
      </c>
      <c r="AD193">
        <v>22.086550008419149</v>
      </c>
      <c r="AE193">
        <v>1.6457782877123195</v>
      </c>
      <c r="AF193">
        <v>10.345657553999999</v>
      </c>
      <c r="AG193">
        <v>48.722957131855622</v>
      </c>
      <c r="AH193">
        <v>45.99999999999995</v>
      </c>
      <c r="AI193">
        <v>30.097799999999999</v>
      </c>
      <c r="AJ193">
        <v>1.2726115740000001</v>
      </c>
      <c r="AK193">
        <v>95.799599999999998</v>
      </c>
      <c r="AL193">
        <v>2.0673152099999998</v>
      </c>
      <c r="AM193">
        <v>3.0655085399999997</v>
      </c>
      <c r="AN193">
        <v>0.49999980600000005</v>
      </c>
      <c r="AO193">
        <v>4.9374385199999997</v>
      </c>
      <c r="AP193">
        <v>1.8242645039999998</v>
      </c>
      <c r="AQ193">
        <v>3.1131740159999999</v>
      </c>
      <c r="AR193">
        <v>0.24701421979307261</v>
      </c>
      <c r="AS193">
        <v>0.30731755492009577</v>
      </c>
      <c r="AT193">
        <v>0.39986663455954713</v>
      </c>
      <c r="AU193">
        <v>0.7071841894796429</v>
      </c>
      <c r="AV193" t="s">
        <v>936</v>
      </c>
      <c r="AW193">
        <v>0.23139999999999999</v>
      </c>
      <c r="AX193">
        <v>7.2700000000000001E-2</v>
      </c>
    </row>
    <row r="194" spans="1:50">
      <c r="A194" t="s">
        <v>293</v>
      </c>
      <c r="B194" s="8" t="s">
        <v>828</v>
      </c>
      <c r="C194" t="s">
        <v>87</v>
      </c>
      <c r="D194">
        <v>381</v>
      </c>
      <c r="E194">
        <v>416</v>
      </c>
      <c r="F194" s="5">
        <v>-1.5873823070802326</v>
      </c>
      <c r="G194" s="5">
        <v>-0.9995101181385978</v>
      </c>
      <c r="H194" s="5">
        <v>-1.1407662217930077</v>
      </c>
      <c r="I194" s="5">
        <v>-1.0479781190710225</v>
      </c>
      <c r="J194" s="5">
        <v>-1.3797996128409151</v>
      </c>
      <c r="K194" s="5">
        <v>0.32877250751555243</v>
      </c>
      <c r="L194" s="5">
        <v>-0.9645005036257378</v>
      </c>
      <c r="M194" s="6">
        <v>-8.8159431049045391</v>
      </c>
      <c r="O194">
        <v>74.440473487605558</v>
      </c>
      <c r="P194">
        <v>57.489083831450841</v>
      </c>
      <c r="Q194">
        <v>64.720871851741393</v>
      </c>
      <c r="R194">
        <v>72.650686654184796</v>
      </c>
      <c r="S194">
        <v>51.428900759898603</v>
      </c>
      <c r="T194">
        <v>109.23787332015502</v>
      </c>
      <c r="U194">
        <v>104.33730732190564</v>
      </c>
      <c r="V194">
        <v>8.8711015346106308</v>
      </c>
      <c r="W194">
        <v>3.7639623231895314</v>
      </c>
      <c r="X194">
        <v>95.748658779368895</v>
      </c>
      <c r="Y194">
        <v>91.825429489003128</v>
      </c>
      <c r="AB194">
        <v>92.022347331271547</v>
      </c>
      <c r="AC194">
        <v>60.417607542746886</v>
      </c>
      <c r="AD194">
        <v>19.903459341005163</v>
      </c>
      <c r="AE194">
        <v>1.6024614181481638</v>
      </c>
      <c r="AF194">
        <v>11.19611650485432</v>
      </c>
      <c r="AG194">
        <v>44.933277535989021</v>
      </c>
      <c r="AH194">
        <v>48.999999999999773</v>
      </c>
      <c r="AI194">
        <v>24.751999999999999</v>
      </c>
      <c r="AJ194">
        <v>0.96899171200000001</v>
      </c>
      <c r="AK194">
        <v>103.83359999999999</v>
      </c>
      <c r="AL194">
        <v>6.2053218240000003</v>
      </c>
      <c r="AM194">
        <v>2.8233008960000001</v>
      </c>
      <c r="AN194">
        <v>0.49999996799999996</v>
      </c>
      <c r="AO194">
        <v>0.98252876800000011</v>
      </c>
      <c r="AP194">
        <v>0.67816112000000006</v>
      </c>
      <c r="AQ194">
        <v>0.30436764800000005</v>
      </c>
      <c r="AR194">
        <v>0.24152847068575209</v>
      </c>
      <c r="AS194">
        <v>0.30265019707138352</v>
      </c>
      <c r="AT194">
        <v>0.39321883595438051</v>
      </c>
      <c r="AU194">
        <v>0.69586903302576397</v>
      </c>
      <c r="AV194" t="s">
        <v>829</v>
      </c>
      <c r="AW194">
        <v>0.24959999999999999</v>
      </c>
      <c r="AX194">
        <v>5.9499999999999997E-2</v>
      </c>
    </row>
    <row r="195" spans="1:50">
      <c r="A195" t="s">
        <v>19</v>
      </c>
      <c r="B195" s="8" t="s">
        <v>1260</v>
      </c>
      <c r="C195" t="s">
        <v>20</v>
      </c>
      <c r="D195">
        <v>214</v>
      </c>
      <c r="E195">
        <v>240</v>
      </c>
      <c r="F195" s="5">
        <v>-2.4458553325553329</v>
      </c>
      <c r="G195" s="5">
        <v>-1.384369461365162</v>
      </c>
      <c r="H195" s="5">
        <v>-2.5631660968989549</v>
      </c>
      <c r="I195" s="5">
        <v>-1.9717305320294122E-2</v>
      </c>
      <c r="J195" s="5">
        <v>-1.5233480942457509</v>
      </c>
      <c r="K195" s="5">
        <v>1.6901652639881217</v>
      </c>
      <c r="L195" s="5">
        <v>-0.63442537254522058</v>
      </c>
      <c r="M195" s="6">
        <v>-8.8738620061191504</v>
      </c>
      <c r="O195">
        <v>42.038836159786932</v>
      </c>
      <c r="P195">
        <v>41.120341805050757</v>
      </c>
      <c r="Q195">
        <v>45.641548778482111</v>
      </c>
      <c r="R195">
        <v>38.549343938955275</v>
      </c>
      <c r="S195">
        <v>46.375770239210446</v>
      </c>
      <c r="T195">
        <v>147.49038390355696</v>
      </c>
      <c r="U195">
        <v>24.962607182530334</v>
      </c>
      <c r="V195">
        <v>98.285444818125725</v>
      </c>
      <c r="W195">
        <v>108.87609880751192</v>
      </c>
      <c r="X195">
        <v>96.268777941620058</v>
      </c>
      <c r="Y195">
        <v>94.622962950936099</v>
      </c>
      <c r="AB195">
        <v>51.967863734000069</v>
      </c>
      <c r="AC195">
        <v>33.213914842577807</v>
      </c>
      <c r="AD195">
        <v>9.6894269954358201</v>
      </c>
      <c r="AE195">
        <v>0.17942692616557343</v>
      </c>
      <c r="AF195">
        <v>8.0082705599999997</v>
      </c>
      <c r="AG195">
        <v>31.687218045112559</v>
      </c>
      <c r="AH195">
        <v>25.999999999999922</v>
      </c>
      <c r="AI195">
        <v>22.32</v>
      </c>
      <c r="AJ195">
        <v>0.33331727999999999</v>
      </c>
      <c r="AK195">
        <v>60.071999999999768</v>
      </c>
      <c r="AL195">
        <v>1.4846176799999999</v>
      </c>
      <c r="AM195">
        <v>1.8436089600000001</v>
      </c>
      <c r="AN195">
        <v>0</v>
      </c>
      <c r="AO195">
        <v>10.88571432</v>
      </c>
      <c r="AP195">
        <v>2.0815980000000001</v>
      </c>
      <c r="AQ195">
        <v>8.8041163200000003</v>
      </c>
      <c r="AR195">
        <v>0.24284048473831807</v>
      </c>
      <c r="AS195">
        <v>0.31910599391714856</v>
      </c>
      <c r="AT195">
        <v>0.39796323295301944</v>
      </c>
      <c r="AU195">
        <v>0.71706922687016794</v>
      </c>
      <c r="AV195">
        <v>0.29749999999999999</v>
      </c>
      <c r="AW195" t="s">
        <v>1261</v>
      </c>
      <c r="AX195">
        <v>9.2999999999999999E-2</v>
      </c>
    </row>
    <row r="196" spans="1:50">
      <c r="A196" t="s">
        <v>228</v>
      </c>
      <c r="B196" s="8" t="s">
        <v>914</v>
      </c>
      <c r="C196" t="s">
        <v>49</v>
      </c>
      <c r="D196">
        <v>263</v>
      </c>
      <c r="E196">
        <v>295</v>
      </c>
      <c r="F196" s="5">
        <v>-2.1051886435965588</v>
      </c>
      <c r="G196" s="5">
        <v>-1.5726233392124505</v>
      </c>
      <c r="H196" s="5">
        <v>-2.2539487327454975</v>
      </c>
      <c r="I196" s="5">
        <v>9.3307437145507578E-3</v>
      </c>
      <c r="J196" s="5">
        <v>-1.4530199628338012</v>
      </c>
      <c r="K196" s="5">
        <v>1.7583879595692711</v>
      </c>
      <c r="L196" s="5">
        <v>-1.2746699938621429</v>
      </c>
      <c r="M196" s="6">
        <v>-9.0979829794175693</v>
      </c>
      <c r="O196">
        <v>50.621359957792784</v>
      </c>
      <c r="P196">
        <v>33.113574615465737</v>
      </c>
      <c r="Q196">
        <v>53.212770734285428</v>
      </c>
      <c r="R196">
        <v>45.962679311831032</v>
      </c>
      <c r="S196">
        <v>48.851430196200553</v>
      </c>
      <c r="T196">
        <v>149.40731006049344</v>
      </c>
      <c r="U196">
        <v>52.408762935355782</v>
      </c>
      <c r="V196">
        <v>100.81137228067672</v>
      </c>
      <c r="W196">
        <v>98.993560233924597</v>
      </c>
      <c r="X196">
        <v>94.324955279918953</v>
      </c>
      <c r="Y196">
        <v>89.196605181741489</v>
      </c>
      <c r="AB196">
        <v>62.577468279979996</v>
      </c>
      <c r="AC196">
        <v>42.657684308584798</v>
      </c>
      <c r="AD196">
        <v>11.531862026004955</v>
      </c>
      <c r="AE196">
        <v>1.6532885294159758</v>
      </c>
      <c r="AF196">
        <v>6.4489362949999993</v>
      </c>
      <c r="AG196">
        <v>36.943633907463621</v>
      </c>
      <c r="AH196">
        <v>30.999999999999744</v>
      </c>
      <c r="AI196">
        <v>23.511499999999998</v>
      </c>
      <c r="AJ196">
        <v>0</v>
      </c>
      <c r="AK196">
        <v>57.879000000000005</v>
      </c>
      <c r="AL196">
        <v>3.1169410900000001</v>
      </c>
      <c r="AM196">
        <v>2.073758845</v>
      </c>
      <c r="AN196">
        <v>0.77830174499999993</v>
      </c>
      <c r="AO196">
        <v>11.165476239999998</v>
      </c>
      <c r="AP196">
        <v>3.1604978399999997</v>
      </c>
      <c r="AQ196">
        <v>8.0049783999999988</v>
      </c>
      <c r="AR196">
        <v>0.23793714174897337</v>
      </c>
      <c r="AS196">
        <v>0.30911457406732185</v>
      </c>
      <c r="AT196">
        <v>0.36683277235301381</v>
      </c>
      <c r="AU196">
        <v>0.6759473464203356</v>
      </c>
      <c r="AV196">
        <v>0.27960000000000002</v>
      </c>
      <c r="AW196">
        <v>0.19620000000000001</v>
      </c>
      <c r="AX196">
        <v>7.9699999999999993E-2</v>
      </c>
    </row>
    <row r="197" spans="1:50">
      <c r="A197" t="s">
        <v>130</v>
      </c>
      <c r="B197" s="8" t="s">
        <v>1101</v>
      </c>
      <c r="C197" t="s">
        <v>20</v>
      </c>
      <c r="D197">
        <v>318</v>
      </c>
      <c r="E197">
        <v>344</v>
      </c>
      <c r="F197" s="5">
        <v>-1.9977688448165536</v>
      </c>
      <c r="G197" s="5">
        <v>-1.1318410716570191</v>
      </c>
      <c r="H197" s="5">
        <v>-1.5736705370500752</v>
      </c>
      <c r="I197" s="5">
        <v>-0.84534745749247941</v>
      </c>
      <c r="J197" s="5">
        <v>-1.6602857879617376</v>
      </c>
      <c r="K197" s="5">
        <v>1.006882809188042</v>
      </c>
      <c r="L197" s="5">
        <v>-0.97104228059948028</v>
      </c>
      <c r="M197" s="6">
        <v>-9.1975362672616807</v>
      </c>
      <c r="O197">
        <v>63.766953597851774</v>
      </c>
      <c r="P197">
        <v>51.860816573884449</v>
      </c>
      <c r="Q197">
        <v>55.600145741501272</v>
      </c>
      <c r="R197">
        <v>62.272017001683992</v>
      </c>
      <c r="S197">
        <v>41.555349759822569</v>
      </c>
      <c r="T197">
        <v>128.29146484847416</v>
      </c>
      <c r="U197">
        <v>49.537119619466218</v>
      </c>
      <c r="V197">
        <v>26.491229902686143</v>
      </c>
      <c r="W197">
        <v>24.554950802243908</v>
      </c>
      <c r="X197">
        <v>98.26912692079587</v>
      </c>
      <c r="Y197">
        <v>91.769985021179579</v>
      </c>
      <c r="AB197">
        <v>78.82788055096961</v>
      </c>
      <c r="AC197">
        <v>52.140782002022881</v>
      </c>
      <c r="AD197">
        <v>14.857350685465205</v>
      </c>
      <c r="AE197">
        <v>1.1862179271400779</v>
      </c>
      <c r="AF197">
        <v>10.09999996</v>
      </c>
      <c r="AG197">
        <v>38.601098967999995</v>
      </c>
      <c r="AH197">
        <v>41.999999912</v>
      </c>
      <c r="AI197">
        <v>20.00000004</v>
      </c>
      <c r="AJ197">
        <v>0.657142856</v>
      </c>
      <c r="AK197">
        <v>82.035928728000002</v>
      </c>
      <c r="AL197">
        <v>2.9461539439999997</v>
      </c>
      <c r="AM197">
        <v>2.99999992</v>
      </c>
      <c r="AN197">
        <v>0</v>
      </c>
      <c r="AO197">
        <v>2.934065784</v>
      </c>
      <c r="AP197">
        <v>0.94846338400000008</v>
      </c>
      <c r="AQ197">
        <v>1.9856023999999999</v>
      </c>
      <c r="AR197">
        <v>0.24788641682694845</v>
      </c>
      <c r="AS197">
        <v>0.29980692499712813</v>
      </c>
      <c r="AT197">
        <v>0.395641940233879</v>
      </c>
      <c r="AU197">
        <v>0.69544886523100713</v>
      </c>
      <c r="AV197">
        <v>0.30030000000000001</v>
      </c>
      <c r="AW197">
        <v>0.23847653699999999</v>
      </c>
      <c r="AX197">
        <v>5.8139534999999999E-2</v>
      </c>
    </row>
    <row r="198" spans="1:50">
      <c r="A198" t="s">
        <v>293</v>
      </c>
      <c r="B198" s="8" t="s">
        <v>841</v>
      </c>
      <c r="C198" t="s">
        <v>352</v>
      </c>
      <c r="D198">
        <v>311</v>
      </c>
      <c r="E198">
        <v>330</v>
      </c>
      <c r="F198" s="5">
        <v>-2.2428834109160558</v>
      </c>
      <c r="G198" s="5">
        <v>-1.3381571077303633</v>
      </c>
      <c r="H198" s="5">
        <v>-1.821044422930628</v>
      </c>
      <c r="I198" s="5">
        <v>-0.62490556559594079</v>
      </c>
      <c r="J198" s="5">
        <v>-2.0928200303451985</v>
      </c>
      <c r="K198" s="5">
        <v>1.1248781680441258</v>
      </c>
      <c r="L198" s="5">
        <v>-1.7295327010761476</v>
      </c>
      <c r="M198" s="6">
        <v>-11.215671663296291</v>
      </c>
      <c r="O198">
        <v>58.803777643078995</v>
      </c>
      <c r="P198">
        <v>43.085834155422212</v>
      </c>
      <c r="Q198">
        <v>50.15254301224136</v>
      </c>
      <c r="R198">
        <v>56.341348833857793</v>
      </c>
      <c r="S198">
        <v>26.329469555164636</v>
      </c>
      <c r="T198">
        <v>131.60690684122403</v>
      </c>
      <c r="U198">
        <v>69.328308396399791</v>
      </c>
      <c r="V198">
        <v>45.660167133900032</v>
      </c>
      <c r="W198">
        <v>50.038962905279426</v>
      </c>
      <c r="X198">
        <v>92.660232526125526</v>
      </c>
      <c r="Y198">
        <v>85.341441541115103</v>
      </c>
      <c r="AB198">
        <v>72.692466841485867</v>
      </c>
      <c r="AC198">
        <v>49.08091405891642</v>
      </c>
      <c r="AD198">
        <v>14.900353827476186</v>
      </c>
      <c r="AE198">
        <v>1.1023274116237918</v>
      </c>
      <c r="AF198">
        <v>8.3910542100000001</v>
      </c>
      <c r="AG198">
        <v>34.81903240529406</v>
      </c>
      <c r="AH198">
        <v>37.99999999999995</v>
      </c>
      <c r="AI198">
        <v>12.671999999999999</v>
      </c>
      <c r="AJ198">
        <v>0</v>
      </c>
      <c r="AK198">
        <v>78.242999999999668</v>
      </c>
      <c r="AL198">
        <v>4.12320843</v>
      </c>
      <c r="AM198">
        <v>2.2869009899999999</v>
      </c>
      <c r="AN198">
        <v>0</v>
      </c>
      <c r="AO198">
        <v>5.0571428571428161</v>
      </c>
      <c r="AP198">
        <v>1.0108107900000001</v>
      </c>
      <c r="AQ198">
        <v>4.0463320671428162</v>
      </c>
      <c r="AR198">
        <v>0.23373783550316998</v>
      </c>
      <c r="AS198">
        <v>0.2745366823844802</v>
      </c>
      <c r="AT198">
        <v>0.37219556523710662</v>
      </c>
      <c r="AU198">
        <v>0.64673224762158688</v>
      </c>
      <c r="AV198" t="s">
        <v>805</v>
      </c>
      <c r="AW198" t="s">
        <v>842</v>
      </c>
      <c r="AX198">
        <v>3.8399999999999997E-2</v>
      </c>
    </row>
    <row r="199" spans="1:50">
      <c r="A199" t="s">
        <v>123</v>
      </c>
      <c r="B199" s="8" t="s">
        <v>1238</v>
      </c>
      <c r="C199" t="s">
        <v>20</v>
      </c>
      <c r="D199">
        <v>110</v>
      </c>
      <c r="E199">
        <v>123</v>
      </c>
      <c r="F199" s="5">
        <v>-3.5256662220755834</v>
      </c>
      <c r="G199" s="5">
        <v>-1.6790597915025014</v>
      </c>
      <c r="H199" s="5">
        <v>-3.1816008252058894</v>
      </c>
      <c r="I199" s="5">
        <v>-1.1499953765698627</v>
      </c>
      <c r="J199" s="5">
        <v>-2.1779397939282226</v>
      </c>
      <c r="K199" s="5">
        <v>2.6888298006990872</v>
      </c>
      <c r="L199" s="5">
        <v>-0.54276238148337508</v>
      </c>
      <c r="M199" s="6">
        <v>-11.831339273934665</v>
      </c>
      <c r="O199">
        <v>19.676713755752644</v>
      </c>
      <c r="P199">
        <v>28.586645854597776</v>
      </c>
      <c r="Q199">
        <v>21.64305353423299</v>
      </c>
      <c r="R199">
        <v>23.722673193203292</v>
      </c>
      <c r="S199">
        <v>23.333121066725326</v>
      </c>
      <c r="T199">
        <v>175.55093114694472</v>
      </c>
      <c r="U199">
        <v>28.439974260198795</v>
      </c>
      <c r="V199">
        <v>0</v>
      </c>
      <c r="W199">
        <v>0</v>
      </c>
      <c r="X199">
        <v>87.661405734950648</v>
      </c>
      <c r="Y199">
        <v>95.399847546503594</v>
      </c>
      <c r="AB199">
        <v>24.3240982054119</v>
      </c>
      <c r="AC199">
        <v>14.018232924970986</v>
      </c>
      <c r="AD199">
        <v>4.763237595984851</v>
      </c>
      <c r="AE199">
        <v>0</v>
      </c>
      <c r="AF199">
        <v>5.5673076720000001</v>
      </c>
      <c r="AG199">
        <v>15.025961538461463</v>
      </c>
      <c r="AH199">
        <v>15.999999999999984</v>
      </c>
      <c r="AI199">
        <v>11.229900000000001</v>
      </c>
      <c r="AJ199">
        <v>0.14527554600000001</v>
      </c>
      <c r="AK199">
        <v>27.970199999999998</v>
      </c>
      <c r="AL199">
        <v>1.6914294367050247</v>
      </c>
      <c r="AM199">
        <v>0.63076921500000005</v>
      </c>
      <c r="AN199">
        <v>0</v>
      </c>
      <c r="AO199">
        <v>0</v>
      </c>
      <c r="AP199">
        <v>0</v>
      </c>
      <c r="AQ199">
        <v>0</v>
      </c>
      <c r="AR199">
        <v>0.22112816550374453</v>
      </c>
      <c r="AS199">
        <v>0.30646624032429204</v>
      </c>
      <c r="AT199">
        <v>0.4164903527721881</v>
      </c>
      <c r="AU199">
        <v>0.72295659309648008</v>
      </c>
      <c r="AV199">
        <v>0.24329999999999999</v>
      </c>
      <c r="AW199">
        <v>0.22739999999999999</v>
      </c>
      <c r="AX199">
        <v>9.1300000000000006E-2</v>
      </c>
    </row>
    <row r="200" spans="1:50" s="7" customFormat="1">
      <c r="A200" s="7" t="s">
        <v>1308</v>
      </c>
      <c r="B200" s="9"/>
      <c r="I200" s="5"/>
      <c r="K200" s="5"/>
      <c r="L200" s="5"/>
      <c r="O200" s="7">
        <v>100</v>
      </c>
      <c r="P200" s="7">
        <v>100.00000000000004</v>
      </c>
      <c r="Q200" s="7">
        <v>100.00000000000011</v>
      </c>
      <c r="R200" s="7">
        <v>99.999999999999943</v>
      </c>
      <c r="S200" s="7">
        <v>100.00000000000004</v>
      </c>
      <c r="T200" s="7">
        <v>99.999999999999986</v>
      </c>
      <c r="U200" s="7">
        <v>100.00000000000004</v>
      </c>
      <c r="V200" s="7">
        <v>100.00000000000009</v>
      </c>
      <c r="W200" s="7">
        <v>100.00000000000001</v>
      </c>
      <c r="X200" s="7">
        <v>100.00000000000001</v>
      </c>
      <c r="Y200" s="7">
        <v>99.999999999999943</v>
      </c>
    </row>
    <row r="201" spans="1:50" s="7" customFormat="1">
      <c r="A201" s="7" t="s">
        <v>1309</v>
      </c>
      <c r="B201" s="9"/>
      <c r="I201" s="5"/>
      <c r="K201" s="5"/>
      <c r="L201" s="5"/>
      <c r="O201" s="7">
        <v>19.049643031734181</v>
      </c>
      <c r="P201" s="7">
        <v>42.531751702241792</v>
      </c>
      <c r="Q201" s="7">
        <v>22.224720529454391</v>
      </c>
      <c r="R201" s="7">
        <v>23.974511888008628</v>
      </c>
      <c r="S201" s="7">
        <v>35.201560275913394</v>
      </c>
      <c r="T201" s="7">
        <v>28.098071185949266</v>
      </c>
      <c r="U201" s="7">
        <v>49.456373450304056</v>
      </c>
      <c r="V201" s="7">
        <v>86.956871338277978</v>
      </c>
      <c r="W201" s="7">
        <v>91.933153863221321</v>
      </c>
      <c r="X201" s="7">
        <v>6.6703686192639715</v>
      </c>
      <c r="Y201" s="7">
        <v>8.4754445231154119</v>
      </c>
    </row>
    <row r="203" spans="1:50" s="12" customFormat="1">
      <c r="A203" s="12" t="s">
        <v>19</v>
      </c>
      <c r="B203" s="12" t="s">
        <v>802</v>
      </c>
      <c r="C203" s="12" t="s">
        <v>124</v>
      </c>
      <c r="D203" s="12">
        <v>328</v>
      </c>
      <c r="E203" s="12">
        <v>362</v>
      </c>
      <c r="F203" s="13"/>
      <c r="G203" s="13"/>
      <c r="H203" s="13"/>
      <c r="J203" s="13"/>
      <c r="K203" s="13"/>
      <c r="L203" s="13"/>
      <c r="M203" s="13"/>
      <c r="O203" s="12">
        <v>0</v>
      </c>
      <c r="P203" s="12">
        <v>0</v>
      </c>
      <c r="Q203" s="12">
        <v>0</v>
      </c>
      <c r="R203" s="12">
        <v>57.824015908432933</v>
      </c>
      <c r="S203" s="12">
        <v>0</v>
      </c>
      <c r="U203" s="12">
        <v>0</v>
      </c>
      <c r="W203" s="12">
        <v>39.712631267231721</v>
      </c>
      <c r="X203" s="12">
        <v>0</v>
      </c>
      <c r="Y203" s="12">
        <v>0</v>
      </c>
      <c r="AB203" s="12">
        <v>0</v>
      </c>
      <c r="AC203" s="12">
        <v>0</v>
      </c>
      <c r="AD203" s="12">
        <v>0</v>
      </c>
      <c r="AE203" s="12">
        <v>0</v>
      </c>
      <c r="AF203" s="12">
        <v>0</v>
      </c>
      <c r="AG203" s="12">
        <v>0</v>
      </c>
      <c r="AH203" s="12">
        <v>38.999999999999908</v>
      </c>
      <c r="AI203" s="12">
        <v>0</v>
      </c>
      <c r="AJ203" s="12">
        <v>0</v>
      </c>
      <c r="AK203" s="12">
        <v>81.811999999999998</v>
      </c>
      <c r="AL203" s="12">
        <v>0</v>
      </c>
      <c r="AM203" s="12">
        <v>0</v>
      </c>
      <c r="AN203" s="12">
        <v>0</v>
      </c>
      <c r="AO203" s="12">
        <v>4.1864934380000003</v>
      </c>
      <c r="AP203" s="12">
        <v>0.97518600799999999</v>
      </c>
      <c r="AQ203" s="12">
        <v>3.2113074300000002</v>
      </c>
      <c r="AR203" s="12">
        <v>0</v>
      </c>
      <c r="AS203" s="12">
        <v>0</v>
      </c>
      <c r="AT203" s="12">
        <v>0</v>
      </c>
      <c r="AU203" s="12">
        <v>0</v>
      </c>
      <c r="AV203" s="12">
        <v>0</v>
      </c>
      <c r="AW203" s="12">
        <v>0.22600000000000001</v>
      </c>
      <c r="AX203" s="12">
        <v>0</v>
      </c>
    </row>
    <row r="204" spans="1:50" s="12" customFormat="1">
      <c r="A204" s="12" t="s">
        <v>404</v>
      </c>
      <c r="B204" s="12" t="s">
        <v>1165</v>
      </c>
      <c r="C204" s="12" t="s">
        <v>28</v>
      </c>
      <c r="D204" s="12">
        <v>446</v>
      </c>
      <c r="E204" s="12">
        <v>518</v>
      </c>
      <c r="F204" s="13"/>
      <c r="G204" s="13"/>
      <c r="H204" s="13"/>
      <c r="J204" s="13"/>
      <c r="K204" s="13"/>
      <c r="L204" s="13"/>
      <c r="M204" s="13"/>
      <c r="O204" s="12">
        <v>0</v>
      </c>
      <c r="P204" s="12">
        <v>0</v>
      </c>
      <c r="Q204" s="12">
        <v>0</v>
      </c>
      <c r="R204" s="12">
        <v>100.82136107111387</v>
      </c>
      <c r="S204" s="12">
        <v>0</v>
      </c>
      <c r="U204" s="12">
        <v>0</v>
      </c>
      <c r="W204" s="12">
        <v>3.6604865549433612</v>
      </c>
      <c r="X204" s="12">
        <v>0</v>
      </c>
      <c r="Y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67.999999999999858</v>
      </c>
      <c r="AI204" s="12">
        <v>0</v>
      </c>
      <c r="AJ204" s="12">
        <v>0</v>
      </c>
      <c r="AK204" s="12">
        <v>126.4956</v>
      </c>
      <c r="AL204" s="12">
        <v>0</v>
      </c>
      <c r="AM204" s="12">
        <v>0</v>
      </c>
      <c r="AN204" s="12">
        <v>0</v>
      </c>
      <c r="AO204" s="12">
        <v>0.29600022200000004</v>
      </c>
      <c r="AP204" s="12">
        <v>0</v>
      </c>
      <c r="AQ204" s="12">
        <v>0.29600022200000004</v>
      </c>
      <c r="AR204" s="12">
        <v>0</v>
      </c>
      <c r="AS204" s="12">
        <v>0</v>
      </c>
      <c r="AT204" s="12">
        <v>0</v>
      </c>
      <c r="AU204" s="12">
        <v>0</v>
      </c>
      <c r="AV204" s="12">
        <v>0</v>
      </c>
      <c r="AW204" s="12">
        <v>0.2442</v>
      </c>
      <c r="AX204" s="12">
        <v>0</v>
      </c>
    </row>
  </sheetData>
  <sortState xmlns:xlrd2="http://schemas.microsoft.com/office/spreadsheetml/2017/richdata2" ref="A2:BA199">
    <sortCondition descending="1" ref="M2:M199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2026_Fantasy_Hitters</vt:lpstr>
      <vt:lpstr>CKBT_Rank</vt:lpstr>
      <vt:lpstr>P14_Hitters</vt:lpstr>
      <vt:lpstr>P14_Rank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張書綸</dc:creator>
  <cp:lastModifiedBy>張書綸</cp:lastModifiedBy>
  <dcterms:created xsi:type="dcterms:W3CDTF">2026-02-25T18:28:53Z</dcterms:created>
  <dcterms:modified xsi:type="dcterms:W3CDTF">2026-03-15T14:18:31Z</dcterms:modified>
</cp:coreProperties>
</file>