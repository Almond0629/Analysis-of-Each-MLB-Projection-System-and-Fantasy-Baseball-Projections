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lmon\Desktop\Baseball\Projection_model\Hitters\Fantasy\"/>
    </mc:Choice>
  </mc:AlternateContent>
  <xr:revisionPtr revIDLastSave="0" documentId="13_ncr:1_{216DAA16-B978-4E01-AFAC-A0DC33B6334F}" xr6:coauthVersionLast="47" xr6:coauthVersionMax="47" xr10:uidLastSave="{00000000-0000-0000-0000-000000000000}"/>
  <bookViews>
    <workbookView xWindow="-103" yWindow="-103" windowWidth="33120" windowHeight="18000" xr2:uid="{4451A25B-2BF5-41E4-A49F-96E9386B6A12}"/>
  </bookViews>
  <sheets>
    <sheet name="2025_Fantasy_Hitters_modified" sheetId="1" r:id="rId1"/>
    <sheet name="Fantasy Ran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2" l="1"/>
  <c r="W1" i="2"/>
  <c r="X1" i="2"/>
  <c r="Y1" i="2"/>
  <c r="Z1" i="2"/>
  <c r="AR73" i="2"/>
  <c r="AR188" i="2"/>
  <c r="AR119" i="2"/>
  <c r="AR218" i="2"/>
  <c r="AR66" i="2"/>
  <c r="AR29" i="2"/>
  <c r="AR141" i="2"/>
  <c r="AR216" i="2"/>
  <c r="AR20" i="2"/>
  <c r="AR196" i="2"/>
  <c r="AR112" i="2"/>
  <c r="AR67" i="2"/>
  <c r="AR138" i="2"/>
  <c r="AR158" i="2"/>
  <c r="AR94" i="2"/>
  <c r="AR19" i="2"/>
  <c r="AR229" i="2"/>
  <c r="AR79" i="2"/>
  <c r="AR42" i="2"/>
  <c r="AR23" i="2"/>
  <c r="AR54" i="2"/>
  <c r="AR61" i="2"/>
  <c r="AR22" i="2"/>
  <c r="AR173" i="2"/>
  <c r="AR91" i="2"/>
  <c r="AR106" i="2"/>
  <c r="AR227" i="2"/>
  <c r="AR78" i="2"/>
  <c r="AR11" i="2"/>
  <c r="AR198" i="2"/>
  <c r="AR185" i="2"/>
  <c r="AR87" i="2"/>
  <c r="AR162" i="2"/>
  <c r="AR197" i="2"/>
  <c r="AR111" i="2"/>
  <c r="AR56" i="2"/>
  <c r="AR186" i="2"/>
  <c r="AR205" i="2"/>
  <c r="AR27" i="2"/>
  <c r="AR214" i="2"/>
  <c r="AR179" i="2"/>
  <c r="AR25" i="2"/>
  <c r="AR213" i="2"/>
  <c r="AR168" i="2"/>
  <c r="AR85" i="2"/>
  <c r="AR165" i="2"/>
  <c r="AR77" i="2"/>
  <c r="AR41" i="2"/>
  <c r="AR16" i="2"/>
  <c r="AR163" i="2"/>
  <c r="AR104" i="2"/>
  <c r="AR126" i="2"/>
  <c r="AR59" i="2"/>
  <c r="AR82" i="2"/>
  <c r="AR212" i="2"/>
  <c r="AR47" i="2"/>
  <c r="AR191" i="2"/>
  <c r="AR5" i="2"/>
  <c r="AR202" i="2"/>
  <c r="AR164" i="2"/>
  <c r="AR69" i="2"/>
  <c r="AR225" i="2"/>
  <c r="AR52" i="2"/>
  <c r="AR121" i="2"/>
  <c r="AR169" i="2"/>
  <c r="AR203" i="2"/>
  <c r="AR224" i="2"/>
  <c r="AR12" i="2"/>
  <c r="AR190" i="2"/>
  <c r="AR92" i="2"/>
  <c r="AR105" i="2"/>
  <c r="AR51" i="2"/>
  <c r="AR90" i="2"/>
  <c r="AR128" i="2"/>
  <c r="AR154" i="2"/>
  <c r="AR109" i="2"/>
  <c r="AR176" i="2"/>
  <c r="AR117" i="2"/>
  <c r="AR217" i="2"/>
  <c r="AR142" i="2"/>
  <c r="AR136" i="2"/>
  <c r="AR68" i="2"/>
  <c r="AR220" i="2"/>
  <c r="AR215" i="2"/>
  <c r="AR36" i="2"/>
  <c r="AR65" i="2"/>
  <c r="AR76" i="2"/>
  <c r="AR55" i="2"/>
  <c r="AR151" i="2"/>
  <c r="AR8" i="2"/>
  <c r="AR6" i="2"/>
  <c r="AR49" i="2"/>
  <c r="AR155" i="2"/>
  <c r="AR181" i="2"/>
  <c r="AR89" i="2"/>
  <c r="AR84" i="2"/>
  <c r="AR153" i="2"/>
  <c r="AR80" i="2"/>
  <c r="AR146" i="2"/>
  <c r="AR130" i="2"/>
  <c r="AR71" i="2"/>
  <c r="AR140" i="2"/>
  <c r="AR43" i="2"/>
  <c r="AR63" i="2"/>
  <c r="AR209" i="2"/>
  <c r="AR24" i="2"/>
  <c r="AR199" i="2"/>
  <c r="AR98" i="2"/>
  <c r="AR166" i="2"/>
  <c r="AR14" i="2"/>
  <c r="AR2" i="2"/>
  <c r="AR37" i="2"/>
  <c r="AR122" i="2"/>
  <c r="AR97" i="2"/>
  <c r="AR145" i="2"/>
  <c r="AR208" i="2"/>
  <c r="AR131" i="2"/>
  <c r="AR116" i="2"/>
  <c r="AR114" i="2"/>
  <c r="AR93" i="2"/>
  <c r="AR172" i="2"/>
  <c r="AR31" i="2"/>
  <c r="AR159" i="2"/>
  <c r="AR107" i="2"/>
  <c r="AR50" i="2"/>
  <c r="AR210" i="2"/>
  <c r="AR139" i="2"/>
  <c r="AR147" i="2"/>
  <c r="AR211" i="2"/>
  <c r="AR75" i="2"/>
  <c r="AR144" i="2"/>
  <c r="AR182" i="2"/>
  <c r="AR157" i="2"/>
  <c r="AR108" i="2"/>
  <c r="AR58" i="2"/>
  <c r="AR171" i="2"/>
  <c r="AR10" i="2"/>
  <c r="AR183" i="2"/>
  <c r="AR193" i="2"/>
  <c r="AR4" i="2"/>
  <c r="AR83" i="2"/>
  <c r="AR9" i="2"/>
  <c r="AR3" i="2"/>
  <c r="AR81" i="2"/>
  <c r="AR177" i="2"/>
  <c r="AR102" i="2"/>
  <c r="AR152" i="2"/>
  <c r="AR113" i="2"/>
  <c r="AR21" i="2"/>
  <c r="AR95" i="2"/>
  <c r="AR123" i="2"/>
  <c r="AR148" i="2"/>
  <c r="AR28" i="2"/>
  <c r="AR88" i="2"/>
  <c r="AR170" i="2"/>
  <c r="AR18" i="2"/>
  <c r="AR189" i="2"/>
  <c r="AR100" i="2"/>
  <c r="AR34" i="2"/>
  <c r="AR39" i="2"/>
  <c r="AR223" i="2"/>
  <c r="AR206" i="2"/>
  <c r="AR184" i="2"/>
  <c r="AR33" i="2"/>
  <c r="AR195" i="2"/>
  <c r="AR13" i="2"/>
  <c r="AR53" i="2"/>
  <c r="AR101" i="2"/>
  <c r="AR156" i="2"/>
  <c r="AR221" i="2"/>
  <c r="AR46" i="2"/>
  <c r="AR96" i="2"/>
  <c r="AR86" i="2"/>
  <c r="AR228" i="2"/>
  <c r="AR160" i="2"/>
  <c r="AR187" i="2"/>
  <c r="AR15" i="2"/>
  <c r="AR103" i="2"/>
  <c r="AR26" i="2"/>
  <c r="AR62" i="2"/>
  <c r="AR118" i="2"/>
  <c r="AR174" i="2"/>
  <c r="AR35" i="2"/>
  <c r="AR115" i="2"/>
  <c r="AR48" i="2"/>
  <c r="AR180" i="2"/>
  <c r="AR110" i="2"/>
  <c r="AR207" i="2"/>
  <c r="AR167" i="2"/>
  <c r="AR150" i="2"/>
  <c r="AR143" i="2"/>
  <c r="AR134" i="2"/>
  <c r="AR204" i="2"/>
  <c r="AR40" i="2"/>
  <c r="AR125" i="2"/>
  <c r="AR124" i="2"/>
  <c r="AR175" i="2"/>
  <c r="AR192" i="2"/>
  <c r="AR200" i="2"/>
  <c r="AR120" i="2"/>
  <c r="AR129" i="2"/>
  <c r="AR99" i="2"/>
  <c r="AR60" i="2"/>
  <c r="AR44" i="2"/>
  <c r="AR178" i="2"/>
  <c r="AR64" i="2"/>
  <c r="AR133" i="2"/>
  <c r="AR161" i="2"/>
  <c r="AR70" i="2"/>
  <c r="AR38" i="2"/>
  <c r="AR201" i="2"/>
  <c r="AR45" i="2"/>
  <c r="AR32" i="2"/>
  <c r="AR132" i="2"/>
  <c r="AR127" i="2"/>
  <c r="AR222" i="2"/>
  <c r="AR72" i="2"/>
  <c r="AR226" i="2"/>
  <c r="AR17" i="2"/>
  <c r="AR30" i="2"/>
  <c r="AR74" i="2"/>
  <c r="AR57" i="2"/>
  <c r="AR149" i="2"/>
  <c r="AR194" i="2"/>
  <c r="AR135" i="2"/>
  <c r="AR137" i="2"/>
  <c r="AQ73" i="2"/>
  <c r="AQ188" i="2"/>
  <c r="AQ119" i="2"/>
  <c r="AQ218" i="2"/>
  <c r="AQ66" i="2"/>
  <c r="AQ29" i="2"/>
  <c r="AQ141" i="2"/>
  <c r="AQ216" i="2"/>
  <c r="AQ20" i="2"/>
  <c r="AQ196" i="2"/>
  <c r="AQ112" i="2"/>
  <c r="AQ67" i="2"/>
  <c r="AQ138" i="2"/>
  <c r="AQ158" i="2"/>
  <c r="AQ94" i="2"/>
  <c r="AQ19" i="2"/>
  <c r="AQ229" i="2"/>
  <c r="AQ79" i="2"/>
  <c r="AQ42" i="2"/>
  <c r="AQ23" i="2"/>
  <c r="AQ54" i="2"/>
  <c r="AQ61" i="2"/>
  <c r="AQ22" i="2"/>
  <c r="AQ173" i="2"/>
  <c r="AQ91" i="2"/>
  <c r="AQ106" i="2"/>
  <c r="AQ227" i="2"/>
  <c r="AQ78" i="2"/>
  <c r="AQ11" i="2"/>
  <c r="AQ198" i="2"/>
  <c r="AQ185" i="2"/>
  <c r="AQ87" i="2"/>
  <c r="AQ162" i="2"/>
  <c r="AQ197" i="2"/>
  <c r="AQ111" i="2"/>
  <c r="AQ56" i="2"/>
  <c r="AQ186" i="2"/>
  <c r="AQ205" i="2"/>
  <c r="AQ27" i="2"/>
  <c r="AQ214" i="2"/>
  <c r="AQ179" i="2"/>
  <c r="AQ25" i="2"/>
  <c r="AQ213" i="2"/>
  <c r="AQ168" i="2"/>
  <c r="AQ85" i="2"/>
  <c r="AQ165" i="2"/>
  <c r="AQ77" i="2"/>
  <c r="AQ41" i="2"/>
  <c r="AQ16" i="2"/>
  <c r="AQ163" i="2"/>
  <c r="AQ104" i="2"/>
  <c r="AQ126" i="2"/>
  <c r="AQ59" i="2"/>
  <c r="AQ82" i="2"/>
  <c r="AQ212" i="2"/>
  <c r="AQ47" i="2"/>
  <c r="AQ191" i="2"/>
  <c r="AQ5" i="2"/>
  <c r="AQ202" i="2"/>
  <c r="AQ164" i="2"/>
  <c r="AQ69" i="2"/>
  <c r="AQ225" i="2"/>
  <c r="AQ52" i="2"/>
  <c r="AQ121" i="2"/>
  <c r="AQ169" i="2"/>
  <c r="AQ203" i="2"/>
  <c r="AQ224" i="2"/>
  <c r="AQ12" i="2"/>
  <c r="AQ190" i="2"/>
  <c r="AQ92" i="2"/>
  <c r="AQ105" i="2"/>
  <c r="AQ51" i="2"/>
  <c r="AQ90" i="2"/>
  <c r="AQ128" i="2"/>
  <c r="AQ154" i="2"/>
  <c r="AQ109" i="2"/>
  <c r="AQ176" i="2"/>
  <c r="AQ117" i="2"/>
  <c r="AQ217" i="2"/>
  <c r="AQ142" i="2"/>
  <c r="AQ136" i="2"/>
  <c r="AQ68" i="2"/>
  <c r="AQ220" i="2"/>
  <c r="AQ215" i="2"/>
  <c r="AQ36" i="2"/>
  <c r="AQ65" i="2"/>
  <c r="AQ76" i="2"/>
  <c r="AQ55" i="2"/>
  <c r="AQ151" i="2"/>
  <c r="AQ8" i="2"/>
  <c r="AQ6" i="2"/>
  <c r="AQ49" i="2"/>
  <c r="AQ155" i="2"/>
  <c r="AQ181" i="2"/>
  <c r="AQ89" i="2"/>
  <c r="AQ84" i="2"/>
  <c r="AQ153" i="2"/>
  <c r="AQ80" i="2"/>
  <c r="AQ146" i="2"/>
  <c r="AQ130" i="2"/>
  <c r="AQ71" i="2"/>
  <c r="AQ140" i="2"/>
  <c r="AQ43" i="2"/>
  <c r="AQ63" i="2"/>
  <c r="AQ209" i="2"/>
  <c r="AQ24" i="2"/>
  <c r="AQ199" i="2"/>
  <c r="AQ98" i="2"/>
  <c r="AQ166" i="2"/>
  <c r="AQ14" i="2"/>
  <c r="AQ2" i="2"/>
  <c r="AQ37" i="2"/>
  <c r="AQ122" i="2"/>
  <c r="AQ97" i="2"/>
  <c r="AQ145" i="2"/>
  <c r="AQ208" i="2"/>
  <c r="AQ131" i="2"/>
  <c r="AQ116" i="2"/>
  <c r="AQ114" i="2"/>
  <c r="AQ93" i="2"/>
  <c r="AQ172" i="2"/>
  <c r="AQ31" i="2"/>
  <c r="AQ159" i="2"/>
  <c r="AQ107" i="2"/>
  <c r="AQ50" i="2"/>
  <c r="AQ210" i="2"/>
  <c r="AQ139" i="2"/>
  <c r="AQ147" i="2"/>
  <c r="AQ211" i="2"/>
  <c r="AQ75" i="2"/>
  <c r="AQ144" i="2"/>
  <c r="AQ182" i="2"/>
  <c r="AQ157" i="2"/>
  <c r="AQ108" i="2"/>
  <c r="AQ58" i="2"/>
  <c r="AQ171" i="2"/>
  <c r="AQ10" i="2"/>
  <c r="AQ183" i="2"/>
  <c r="AQ193" i="2"/>
  <c r="AQ4" i="2"/>
  <c r="AQ83" i="2"/>
  <c r="AQ9" i="2"/>
  <c r="AQ3" i="2"/>
  <c r="AQ81" i="2"/>
  <c r="AQ177" i="2"/>
  <c r="AQ102" i="2"/>
  <c r="AQ152" i="2"/>
  <c r="AQ113" i="2"/>
  <c r="AQ21" i="2"/>
  <c r="AQ95" i="2"/>
  <c r="AQ123" i="2"/>
  <c r="AQ148" i="2"/>
  <c r="AQ28" i="2"/>
  <c r="AQ88" i="2"/>
  <c r="AQ170" i="2"/>
  <c r="AQ18" i="2"/>
  <c r="AQ189" i="2"/>
  <c r="AQ100" i="2"/>
  <c r="AQ34" i="2"/>
  <c r="AQ39" i="2"/>
  <c r="AQ223" i="2"/>
  <c r="AQ206" i="2"/>
  <c r="AQ184" i="2"/>
  <c r="AQ33" i="2"/>
  <c r="AQ195" i="2"/>
  <c r="AQ13" i="2"/>
  <c r="AQ53" i="2"/>
  <c r="AQ101" i="2"/>
  <c r="AQ156" i="2"/>
  <c r="AQ221" i="2"/>
  <c r="AQ46" i="2"/>
  <c r="AQ96" i="2"/>
  <c r="AQ86" i="2"/>
  <c r="AQ228" i="2"/>
  <c r="AQ160" i="2"/>
  <c r="AQ187" i="2"/>
  <c r="AQ15" i="2"/>
  <c r="AQ103" i="2"/>
  <c r="AQ26" i="2"/>
  <c r="AQ62" i="2"/>
  <c r="AQ118" i="2"/>
  <c r="AQ174" i="2"/>
  <c r="AQ35" i="2"/>
  <c r="AQ115" i="2"/>
  <c r="AQ48" i="2"/>
  <c r="AQ180" i="2"/>
  <c r="AQ110" i="2"/>
  <c r="AQ207" i="2"/>
  <c r="AQ167" i="2"/>
  <c r="AQ150" i="2"/>
  <c r="AQ143" i="2"/>
  <c r="AQ134" i="2"/>
  <c r="AQ204" i="2"/>
  <c r="AQ40" i="2"/>
  <c r="AQ125" i="2"/>
  <c r="AQ124" i="2"/>
  <c r="AQ175" i="2"/>
  <c r="AQ192" i="2"/>
  <c r="AQ200" i="2"/>
  <c r="AQ120" i="2"/>
  <c r="AQ129" i="2"/>
  <c r="AQ99" i="2"/>
  <c r="AQ60" i="2"/>
  <c r="AQ44" i="2"/>
  <c r="AQ178" i="2"/>
  <c r="AQ64" i="2"/>
  <c r="AQ133" i="2"/>
  <c r="AQ161" i="2"/>
  <c r="AQ70" i="2"/>
  <c r="AQ38" i="2"/>
  <c r="AQ201" i="2"/>
  <c r="AQ45" i="2"/>
  <c r="AQ32" i="2"/>
  <c r="AQ132" i="2"/>
  <c r="AQ127" i="2"/>
  <c r="AQ222" i="2"/>
  <c r="AQ72" i="2"/>
  <c r="AQ226" i="2"/>
  <c r="AQ17" i="2"/>
  <c r="AQ30" i="2"/>
  <c r="AQ74" i="2"/>
  <c r="AQ57" i="2"/>
  <c r="AQ149" i="2"/>
  <c r="AQ194" i="2"/>
  <c r="AQ135" i="2"/>
  <c r="AQ137" i="2"/>
  <c r="AP73" i="2"/>
  <c r="AP188" i="2"/>
  <c r="AP119" i="2"/>
  <c r="AP218" i="2"/>
  <c r="AP66" i="2"/>
  <c r="AP29" i="2"/>
  <c r="AP141" i="2"/>
  <c r="AP216" i="2"/>
  <c r="AP20" i="2"/>
  <c r="AP196" i="2"/>
  <c r="AP112" i="2"/>
  <c r="AP67" i="2"/>
  <c r="AP138" i="2"/>
  <c r="AP158" i="2"/>
  <c r="AP94" i="2"/>
  <c r="AP19" i="2"/>
  <c r="AP229" i="2"/>
  <c r="AP79" i="2"/>
  <c r="AP42" i="2"/>
  <c r="AP23" i="2"/>
  <c r="AP54" i="2"/>
  <c r="AP61" i="2"/>
  <c r="AP22" i="2"/>
  <c r="AP173" i="2"/>
  <c r="AP91" i="2"/>
  <c r="AP106" i="2"/>
  <c r="AP227" i="2"/>
  <c r="AP78" i="2"/>
  <c r="AP11" i="2"/>
  <c r="AP198" i="2"/>
  <c r="AP185" i="2"/>
  <c r="AP87" i="2"/>
  <c r="AP162" i="2"/>
  <c r="AP197" i="2"/>
  <c r="AP111" i="2"/>
  <c r="AP56" i="2"/>
  <c r="AP186" i="2"/>
  <c r="AP205" i="2"/>
  <c r="AP27" i="2"/>
  <c r="AP214" i="2"/>
  <c r="AP179" i="2"/>
  <c r="AP25" i="2"/>
  <c r="AP213" i="2"/>
  <c r="AP168" i="2"/>
  <c r="AP85" i="2"/>
  <c r="AP165" i="2"/>
  <c r="AP77" i="2"/>
  <c r="AP41" i="2"/>
  <c r="AP16" i="2"/>
  <c r="AP163" i="2"/>
  <c r="AP104" i="2"/>
  <c r="AP126" i="2"/>
  <c r="AP59" i="2"/>
  <c r="AP82" i="2"/>
  <c r="AP212" i="2"/>
  <c r="AP47" i="2"/>
  <c r="AP191" i="2"/>
  <c r="AP5" i="2"/>
  <c r="AP202" i="2"/>
  <c r="AP164" i="2"/>
  <c r="AP69" i="2"/>
  <c r="AP225" i="2"/>
  <c r="AP52" i="2"/>
  <c r="AP121" i="2"/>
  <c r="AP169" i="2"/>
  <c r="AP203" i="2"/>
  <c r="AP224" i="2"/>
  <c r="AP12" i="2"/>
  <c r="AP190" i="2"/>
  <c r="AP92" i="2"/>
  <c r="AP105" i="2"/>
  <c r="AP51" i="2"/>
  <c r="AP90" i="2"/>
  <c r="AP128" i="2"/>
  <c r="AP154" i="2"/>
  <c r="AP109" i="2"/>
  <c r="AP176" i="2"/>
  <c r="AP117" i="2"/>
  <c r="AP217" i="2"/>
  <c r="AP142" i="2"/>
  <c r="AP136" i="2"/>
  <c r="AP68" i="2"/>
  <c r="AP220" i="2"/>
  <c r="AP215" i="2"/>
  <c r="AP36" i="2"/>
  <c r="AP65" i="2"/>
  <c r="AP76" i="2"/>
  <c r="AP55" i="2"/>
  <c r="AP151" i="2"/>
  <c r="AP8" i="2"/>
  <c r="AP6" i="2"/>
  <c r="AP49" i="2"/>
  <c r="AP155" i="2"/>
  <c r="AP181" i="2"/>
  <c r="AP89" i="2"/>
  <c r="AP84" i="2"/>
  <c r="AP153" i="2"/>
  <c r="AP80" i="2"/>
  <c r="AP146" i="2"/>
  <c r="AP130" i="2"/>
  <c r="AP71" i="2"/>
  <c r="AP140" i="2"/>
  <c r="AP43" i="2"/>
  <c r="AP63" i="2"/>
  <c r="AP209" i="2"/>
  <c r="AP24" i="2"/>
  <c r="AP199" i="2"/>
  <c r="AP98" i="2"/>
  <c r="AP166" i="2"/>
  <c r="AP14" i="2"/>
  <c r="AP2" i="2"/>
  <c r="AP37" i="2"/>
  <c r="AP122" i="2"/>
  <c r="AP97" i="2"/>
  <c r="AP145" i="2"/>
  <c r="AP208" i="2"/>
  <c r="AP131" i="2"/>
  <c r="AP116" i="2"/>
  <c r="AP114" i="2"/>
  <c r="AP93" i="2"/>
  <c r="AP172" i="2"/>
  <c r="AP31" i="2"/>
  <c r="AP159" i="2"/>
  <c r="AP107" i="2"/>
  <c r="AP50" i="2"/>
  <c r="AP210" i="2"/>
  <c r="AP139" i="2"/>
  <c r="AP147" i="2"/>
  <c r="AP211" i="2"/>
  <c r="AP75" i="2"/>
  <c r="AP144" i="2"/>
  <c r="AP182" i="2"/>
  <c r="AP157" i="2"/>
  <c r="AP108" i="2"/>
  <c r="AP58" i="2"/>
  <c r="AP171" i="2"/>
  <c r="AP10" i="2"/>
  <c r="AP183" i="2"/>
  <c r="AP193" i="2"/>
  <c r="AP4" i="2"/>
  <c r="AP83" i="2"/>
  <c r="AP9" i="2"/>
  <c r="AP3" i="2"/>
  <c r="AP81" i="2"/>
  <c r="AP177" i="2"/>
  <c r="AP102" i="2"/>
  <c r="AP152" i="2"/>
  <c r="AP113" i="2"/>
  <c r="AP21" i="2"/>
  <c r="AP95" i="2"/>
  <c r="AP123" i="2"/>
  <c r="AP148" i="2"/>
  <c r="AP28" i="2"/>
  <c r="AP88" i="2"/>
  <c r="AP170" i="2"/>
  <c r="AP18" i="2"/>
  <c r="AP189" i="2"/>
  <c r="AP100" i="2"/>
  <c r="AP34" i="2"/>
  <c r="AP39" i="2"/>
  <c r="AP223" i="2"/>
  <c r="AP206" i="2"/>
  <c r="AP184" i="2"/>
  <c r="AP33" i="2"/>
  <c r="AP195" i="2"/>
  <c r="AP13" i="2"/>
  <c r="AP53" i="2"/>
  <c r="AP101" i="2"/>
  <c r="AP156" i="2"/>
  <c r="AP221" i="2"/>
  <c r="AP46" i="2"/>
  <c r="AP96" i="2"/>
  <c r="AP86" i="2"/>
  <c r="AP228" i="2"/>
  <c r="AP160" i="2"/>
  <c r="AP187" i="2"/>
  <c r="AP15" i="2"/>
  <c r="AP103" i="2"/>
  <c r="AP26" i="2"/>
  <c r="AP62" i="2"/>
  <c r="AP118" i="2"/>
  <c r="AP174" i="2"/>
  <c r="AP35" i="2"/>
  <c r="AP115" i="2"/>
  <c r="AP48" i="2"/>
  <c r="AP180" i="2"/>
  <c r="AP110" i="2"/>
  <c r="AP207" i="2"/>
  <c r="AP167" i="2"/>
  <c r="AP150" i="2"/>
  <c r="AP143" i="2"/>
  <c r="AP134" i="2"/>
  <c r="AP204" i="2"/>
  <c r="AP40" i="2"/>
  <c r="AP125" i="2"/>
  <c r="AP124" i="2"/>
  <c r="AP175" i="2"/>
  <c r="AP192" i="2"/>
  <c r="AP200" i="2"/>
  <c r="AP120" i="2"/>
  <c r="AP129" i="2"/>
  <c r="AP99" i="2"/>
  <c r="AP60" i="2"/>
  <c r="AP44" i="2"/>
  <c r="AP178" i="2"/>
  <c r="AP64" i="2"/>
  <c r="AP133" i="2"/>
  <c r="AP161" i="2"/>
  <c r="AP70" i="2"/>
  <c r="AP38" i="2"/>
  <c r="AP201" i="2"/>
  <c r="AP45" i="2"/>
  <c r="AP32" i="2"/>
  <c r="AP132" i="2"/>
  <c r="AP127" i="2"/>
  <c r="AP222" i="2"/>
  <c r="AP72" i="2"/>
  <c r="AP226" i="2"/>
  <c r="AP17" i="2"/>
  <c r="AP30" i="2"/>
  <c r="AP74" i="2"/>
  <c r="AP57" i="2"/>
  <c r="AP149" i="2"/>
  <c r="AP194" i="2"/>
  <c r="AP135" i="2"/>
  <c r="AP137" i="2"/>
  <c r="D73" i="2"/>
  <c r="D188" i="2"/>
  <c r="D119" i="2"/>
  <c r="D218" i="2"/>
  <c r="D66" i="2"/>
  <c r="D29" i="2"/>
  <c r="D141" i="2"/>
  <c r="D216" i="2"/>
  <c r="D20" i="2"/>
  <c r="D196" i="2"/>
  <c r="D112" i="2"/>
  <c r="D67" i="2"/>
  <c r="D138" i="2"/>
  <c r="D158" i="2"/>
  <c r="D94" i="2"/>
  <c r="D19" i="2"/>
  <c r="D229" i="2"/>
  <c r="D79" i="2"/>
  <c r="D42" i="2"/>
  <c r="D23" i="2"/>
  <c r="D54" i="2"/>
  <c r="D61" i="2"/>
  <c r="D22" i="2"/>
  <c r="D173" i="2"/>
  <c r="D91" i="2"/>
  <c r="D106" i="2"/>
  <c r="D227" i="2"/>
  <c r="D78" i="2"/>
  <c r="D11" i="2"/>
  <c r="D198" i="2"/>
  <c r="D185" i="2"/>
  <c r="D87" i="2"/>
  <c r="D162" i="2"/>
  <c r="D197" i="2"/>
  <c r="D111" i="2"/>
  <c r="D56" i="2"/>
  <c r="D186" i="2"/>
  <c r="D205" i="2"/>
  <c r="D27" i="2"/>
  <c r="D214" i="2"/>
  <c r="D179" i="2"/>
  <c r="D25" i="2"/>
  <c r="D213" i="2"/>
  <c r="D168" i="2"/>
  <c r="D85" i="2"/>
  <c r="D165" i="2"/>
  <c r="D77" i="2"/>
  <c r="D41" i="2"/>
  <c r="D16" i="2"/>
  <c r="D163" i="2"/>
  <c r="D104" i="2"/>
  <c r="D126" i="2"/>
  <c r="D59" i="2"/>
  <c r="D82" i="2"/>
  <c r="D212" i="2"/>
  <c r="D47" i="2"/>
  <c r="D191" i="2"/>
  <c r="D5" i="2"/>
  <c r="D202" i="2"/>
  <c r="D164" i="2"/>
  <c r="D69" i="2"/>
  <c r="D225" i="2"/>
  <c r="D52" i="2"/>
  <c r="D121" i="2"/>
  <c r="D169" i="2"/>
  <c r="D203" i="2"/>
  <c r="D224" i="2"/>
  <c r="D12" i="2"/>
  <c r="D190" i="2"/>
  <c r="D92" i="2"/>
  <c r="D105" i="2"/>
  <c r="D51" i="2"/>
  <c r="D90" i="2"/>
  <c r="D128" i="2"/>
  <c r="D154" i="2"/>
  <c r="D109" i="2"/>
  <c r="D176" i="2"/>
  <c r="D117" i="2"/>
  <c r="D217" i="2"/>
  <c r="D142" i="2"/>
  <c r="D136" i="2"/>
  <c r="D68" i="2"/>
  <c r="D220" i="2"/>
  <c r="D215" i="2"/>
  <c r="D36" i="2"/>
  <c r="D65" i="2"/>
  <c r="D76" i="2"/>
  <c r="D55" i="2"/>
  <c r="D151" i="2"/>
  <c r="D8" i="2"/>
  <c r="D6" i="2"/>
  <c r="D49" i="2"/>
  <c r="D155" i="2"/>
  <c r="D181" i="2"/>
  <c r="D89" i="2"/>
  <c r="D84" i="2"/>
  <c r="D153" i="2"/>
  <c r="D80" i="2"/>
  <c r="D146" i="2"/>
  <c r="D130" i="2"/>
  <c r="D71" i="2"/>
  <c r="D140" i="2"/>
  <c r="D43" i="2"/>
  <c r="D63" i="2"/>
  <c r="D209" i="2"/>
  <c r="D24" i="2"/>
  <c r="D199" i="2"/>
  <c r="D98" i="2"/>
  <c r="D166" i="2"/>
  <c r="D14" i="2"/>
  <c r="D2" i="2"/>
  <c r="D37" i="2"/>
  <c r="D122" i="2"/>
  <c r="D97" i="2"/>
  <c r="D145" i="2"/>
  <c r="D208" i="2"/>
  <c r="D131" i="2"/>
  <c r="D116" i="2"/>
  <c r="D114" i="2"/>
  <c r="D93" i="2"/>
  <c r="D172" i="2"/>
  <c r="D31" i="2"/>
  <c r="D159" i="2"/>
  <c r="D107" i="2"/>
  <c r="D50" i="2"/>
  <c r="D210" i="2"/>
  <c r="D139" i="2"/>
  <c r="D147" i="2"/>
  <c r="D211" i="2"/>
  <c r="D75" i="2"/>
  <c r="D144" i="2"/>
  <c r="D182" i="2"/>
  <c r="D157" i="2"/>
  <c r="D108" i="2"/>
  <c r="D58" i="2"/>
  <c r="D171" i="2"/>
  <c r="D10" i="2"/>
  <c r="D183" i="2"/>
  <c r="D193" i="2"/>
  <c r="D4" i="2"/>
  <c r="D83" i="2"/>
  <c r="D9" i="2"/>
  <c r="D3" i="2"/>
  <c r="D81" i="2"/>
  <c r="D177" i="2"/>
  <c r="D102" i="2"/>
  <c r="D152" i="2"/>
  <c r="D113" i="2"/>
  <c r="D21" i="2"/>
  <c r="D95" i="2"/>
  <c r="D123" i="2"/>
  <c r="D148" i="2"/>
  <c r="D28" i="2"/>
  <c r="D88" i="2"/>
  <c r="D170" i="2"/>
  <c r="D18" i="2"/>
  <c r="D189" i="2"/>
  <c r="D100" i="2"/>
  <c r="D34" i="2"/>
  <c r="D39" i="2"/>
  <c r="D223" i="2"/>
  <c r="D206" i="2"/>
  <c r="D184" i="2"/>
  <c r="D33" i="2"/>
  <c r="D195" i="2"/>
  <c r="D13" i="2"/>
  <c r="D53" i="2"/>
  <c r="D101" i="2"/>
  <c r="D156" i="2"/>
  <c r="D221" i="2"/>
  <c r="D46" i="2"/>
  <c r="D96" i="2"/>
  <c r="D86" i="2"/>
  <c r="D228" i="2"/>
  <c r="D160" i="2"/>
  <c r="D187" i="2"/>
  <c r="D15" i="2"/>
  <c r="D103" i="2"/>
  <c r="D26" i="2"/>
  <c r="D62" i="2"/>
  <c r="D118" i="2"/>
  <c r="D174" i="2"/>
  <c r="D35" i="2"/>
  <c r="D115" i="2"/>
  <c r="D48" i="2"/>
  <c r="D180" i="2"/>
  <c r="D110" i="2"/>
  <c r="D207" i="2"/>
  <c r="D167" i="2"/>
  <c r="D150" i="2"/>
  <c r="D143" i="2"/>
  <c r="D134" i="2"/>
  <c r="D204" i="2"/>
  <c r="D40" i="2"/>
  <c r="D125" i="2"/>
  <c r="D124" i="2"/>
  <c r="D175" i="2"/>
  <c r="D192" i="2"/>
  <c r="D200" i="2"/>
  <c r="D120" i="2"/>
  <c r="D129" i="2"/>
  <c r="D99" i="2"/>
  <c r="D60" i="2"/>
  <c r="D44" i="2"/>
  <c r="D178" i="2"/>
  <c r="D64" i="2"/>
  <c r="D133" i="2"/>
  <c r="D161" i="2"/>
  <c r="D70" i="2"/>
  <c r="D38" i="2"/>
  <c r="D201" i="2"/>
  <c r="D45" i="2"/>
  <c r="D32" i="2"/>
  <c r="D132" i="2"/>
  <c r="D127" i="2"/>
  <c r="D222" i="2"/>
  <c r="D72" i="2"/>
  <c r="D226" i="2"/>
  <c r="D17" i="2"/>
  <c r="D30" i="2"/>
  <c r="D74" i="2"/>
  <c r="D57" i="2"/>
  <c r="D149" i="2"/>
  <c r="D194" i="2"/>
  <c r="D135" i="2"/>
  <c r="D137" i="2"/>
  <c r="C73" i="2"/>
  <c r="C188" i="2"/>
  <c r="C119" i="2"/>
  <c r="C218" i="2"/>
  <c r="C66" i="2"/>
  <c r="C29" i="2"/>
  <c r="C141" i="2"/>
  <c r="C216" i="2"/>
  <c r="C20" i="2"/>
  <c r="C196" i="2"/>
  <c r="C112" i="2"/>
  <c r="C67" i="2"/>
  <c r="C138" i="2"/>
  <c r="C158" i="2"/>
  <c r="C94" i="2"/>
  <c r="C19" i="2"/>
  <c r="C229" i="2"/>
  <c r="C79" i="2"/>
  <c r="C42" i="2"/>
  <c r="C23" i="2"/>
  <c r="C54" i="2"/>
  <c r="C61" i="2"/>
  <c r="C22" i="2"/>
  <c r="C173" i="2"/>
  <c r="C91" i="2"/>
  <c r="C106" i="2"/>
  <c r="C227" i="2"/>
  <c r="C78" i="2"/>
  <c r="C11" i="2"/>
  <c r="C198" i="2"/>
  <c r="C185" i="2"/>
  <c r="C87" i="2"/>
  <c r="C162" i="2"/>
  <c r="C197" i="2"/>
  <c r="C111" i="2"/>
  <c r="C56" i="2"/>
  <c r="C186" i="2"/>
  <c r="C205" i="2"/>
  <c r="C27" i="2"/>
  <c r="C214" i="2"/>
  <c r="C179" i="2"/>
  <c r="C25" i="2"/>
  <c r="C213" i="2"/>
  <c r="C168" i="2"/>
  <c r="C85" i="2"/>
  <c r="C165" i="2"/>
  <c r="C77" i="2"/>
  <c r="C41" i="2"/>
  <c r="C16" i="2"/>
  <c r="C163" i="2"/>
  <c r="C104" i="2"/>
  <c r="C126" i="2"/>
  <c r="C59" i="2"/>
  <c r="C82" i="2"/>
  <c r="C212" i="2"/>
  <c r="C47" i="2"/>
  <c r="C191" i="2"/>
  <c r="C5" i="2"/>
  <c r="C202" i="2"/>
  <c r="C164" i="2"/>
  <c r="C69" i="2"/>
  <c r="C225" i="2"/>
  <c r="C52" i="2"/>
  <c r="C121" i="2"/>
  <c r="C169" i="2"/>
  <c r="C203" i="2"/>
  <c r="C224" i="2"/>
  <c r="C12" i="2"/>
  <c r="C190" i="2"/>
  <c r="C92" i="2"/>
  <c r="C105" i="2"/>
  <c r="C51" i="2"/>
  <c r="C90" i="2"/>
  <c r="C128" i="2"/>
  <c r="C154" i="2"/>
  <c r="C109" i="2"/>
  <c r="C176" i="2"/>
  <c r="C117" i="2"/>
  <c r="C217" i="2"/>
  <c r="C142" i="2"/>
  <c r="C136" i="2"/>
  <c r="C68" i="2"/>
  <c r="C220" i="2"/>
  <c r="C215" i="2"/>
  <c r="C36" i="2"/>
  <c r="C65" i="2"/>
  <c r="C76" i="2"/>
  <c r="C55" i="2"/>
  <c r="C151" i="2"/>
  <c r="C8" i="2"/>
  <c r="C6" i="2"/>
  <c r="C49" i="2"/>
  <c r="C155" i="2"/>
  <c r="C181" i="2"/>
  <c r="C89" i="2"/>
  <c r="C84" i="2"/>
  <c r="C153" i="2"/>
  <c r="C80" i="2"/>
  <c r="C146" i="2"/>
  <c r="C130" i="2"/>
  <c r="C71" i="2"/>
  <c r="C140" i="2"/>
  <c r="C43" i="2"/>
  <c r="C63" i="2"/>
  <c r="C209" i="2"/>
  <c r="C24" i="2"/>
  <c r="C199" i="2"/>
  <c r="C98" i="2"/>
  <c r="C166" i="2"/>
  <c r="C14" i="2"/>
  <c r="C2" i="2"/>
  <c r="C37" i="2"/>
  <c r="C122" i="2"/>
  <c r="C97" i="2"/>
  <c r="C145" i="2"/>
  <c r="C208" i="2"/>
  <c r="C131" i="2"/>
  <c r="C116" i="2"/>
  <c r="C114" i="2"/>
  <c r="C93" i="2"/>
  <c r="C172" i="2"/>
  <c r="C31" i="2"/>
  <c r="C159" i="2"/>
  <c r="C107" i="2"/>
  <c r="C50" i="2"/>
  <c r="C210" i="2"/>
  <c r="C139" i="2"/>
  <c r="C147" i="2"/>
  <c r="C211" i="2"/>
  <c r="C75" i="2"/>
  <c r="C144" i="2"/>
  <c r="C182" i="2"/>
  <c r="C157" i="2"/>
  <c r="C108" i="2"/>
  <c r="C58" i="2"/>
  <c r="C171" i="2"/>
  <c r="C10" i="2"/>
  <c r="C183" i="2"/>
  <c r="C193" i="2"/>
  <c r="C4" i="2"/>
  <c r="C83" i="2"/>
  <c r="C9" i="2"/>
  <c r="C3" i="2"/>
  <c r="C81" i="2"/>
  <c r="C177" i="2"/>
  <c r="C102" i="2"/>
  <c r="C152" i="2"/>
  <c r="C113" i="2"/>
  <c r="C21" i="2"/>
  <c r="C95" i="2"/>
  <c r="C123" i="2"/>
  <c r="C148" i="2"/>
  <c r="C28" i="2"/>
  <c r="C88" i="2"/>
  <c r="C170" i="2"/>
  <c r="C18" i="2"/>
  <c r="C189" i="2"/>
  <c r="C100" i="2"/>
  <c r="C34" i="2"/>
  <c r="C39" i="2"/>
  <c r="C223" i="2"/>
  <c r="C206" i="2"/>
  <c r="C184" i="2"/>
  <c r="C33" i="2"/>
  <c r="C195" i="2"/>
  <c r="C13" i="2"/>
  <c r="C53" i="2"/>
  <c r="C101" i="2"/>
  <c r="C156" i="2"/>
  <c r="C221" i="2"/>
  <c r="C46" i="2"/>
  <c r="C96" i="2"/>
  <c r="C86" i="2"/>
  <c r="C228" i="2"/>
  <c r="C160" i="2"/>
  <c r="C187" i="2"/>
  <c r="C15" i="2"/>
  <c r="C103" i="2"/>
  <c r="C26" i="2"/>
  <c r="C62" i="2"/>
  <c r="C118" i="2"/>
  <c r="C174" i="2"/>
  <c r="C35" i="2"/>
  <c r="C115" i="2"/>
  <c r="C48" i="2"/>
  <c r="C180" i="2"/>
  <c r="C110" i="2"/>
  <c r="C207" i="2"/>
  <c r="C167" i="2"/>
  <c r="C150" i="2"/>
  <c r="C143" i="2"/>
  <c r="C134" i="2"/>
  <c r="C204" i="2"/>
  <c r="C40" i="2"/>
  <c r="C125" i="2"/>
  <c r="C124" i="2"/>
  <c r="C175" i="2"/>
  <c r="C192" i="2"/>
  <c r="C200" i="2"/>
  <c r="C120" i="2"/>
  <c r="C129" i="2"/>
  <c r="C99" i="2"/>
  <c r="C60" i="2"/>
  <c r="C44" i="2"/>
  <c r="C178" i="2"/>
  <c r="C64" i="2"/>
  <c r="C133" i="2"/>
  <c r="C161" i="2"/>
  <c r="C70" i="2"/>
  <c r="C38" i="2"/>
  <c r="C201" i="2"/>
  <c r="C45" i="2"/>
  <c r="C32" i="2"/>
  <c r="C132" i="2"/>
  <c r="C127" i="2"/>
  <c r="C222" i="2"/>
  <c r="C72" i="2"/>
  <c r="C226" i="2"/>
  <c r="C17" i="2"/>
  <c r="C30" i="2"/>
  <c r="C74" i="2"/>
  <c r="C57" i="2"/>
  <c r="C149" i="2"/>
  <c r="C194" i="2"/>
  <c r="C135" i="2"/>
  <c r="C137" i="2"/>
  <c r="B73" i="2"/>
  <c r="B188" i="2"/>
  <c r="B119" i="2"/>
  <c r="B218" i="2"/>
  <c r="B66" i="2"/>
  <c r="B29" i="2"/>
  <c r="B141" i="2"/>
  <c r="B216" i="2"/>
  <c r="B20" i="2"/>
  <c r="B196" i="2"/>
  <c r="B112" i="2"/>
  <c r="B67" i="2"/>
  <c r="B138" i="2"/>
  <c r="B158" i="2"/>
  <c r="B94" i="2"/>
  <c r="B19" i="2"/>
  <c r="B229" i="2"/>
  <c r="B79" i="2"/>
  <c r="B42" i="2"/>
  <c r="B23" i="2"/>
  <c r="B54" i="2"/>
  <c r="B61" i="2"/>
  <c r="B22" i="2"/>
  <c r="B173" i="2"/>
  <c r="B91" i="2"/>
  <c r="B106" i="2"/>
  <c r="B227" i="2"/>
  <c r="B78" i="2"/>
  <c r="B11" i="2"/>
  <c r="B198" i="2"/>
  <c r="B185" i="2"/>
  <c r="B87" i="2"/>
  <c r="B162" i="2"/>
  <c r="B197" i="2"/>
  <c r="B111" i="2"/>
  <c r="B56" i="2"/>
  <c r="B186" i="2"/>
  <c r="B205" i="2"/>
  <c r="B27" i="2"/>
  <c r="B214" i="2"/>
  <c r="B179" i="2"/>
  <c r="B25" i="2"/>
  <c r="B213" i="2"/>
  <c r="B168" i="2"/>
  <c r="B85" i="2"/>
  <c r="B165" i="2"/>
  <c r="B77" i="2"/>
  <c r="B41" i="2"/>
  <c r="B16" i="2"/>
  <c r="B163" i="2"/>
  <c r="B104" i="2"/>
  <c r="B126" i="2"/>
  <c r="B59" i="2"/>
  <c r="B82" i="2"/>
  <c r="B212" i="2"/>
  <c r="B47" i="2"/>
  <c r="B191" i="2"/>
  <c r="B5" i="2"/>
  <c r="B202" i="2"/>
  <c r="B164" i="2"/>
  <c r="B69" i="2"/>
  <c r="B225" i="2"/>
  <c r="B52" i="2"/>
  <c r="B121" i="2"/>
  <c r="B169" i="2"/>
  <c r="B203" i="2"/>
  <c r="B224" i="2"/>
  <c r="B12" i="2"/>
  <c r="B190" i="2"/>
  <c r="B92" i="2"/>
  <c r="B105" i="2"/>
  <c r="B51" i="2"/>
  <c r="B90" i="2"/>
  <c r="B128" i="2"/>
  <c r="B154" i="2"/>
  <c r="B109" i="2"/>
  <c r="B176" i="2"/>
  <c r="B117" i="2"/>
  <c r="B217" i="2"/>
  <c r="B142" i="2"/>
  <c r="B136" i="2"/>
  <c r="B68" i="2"/>
  <c r="B220" i="2"/>
  <c r="B215" i="2"/>
  <c r="B36" i="2"/>
  <c r="B65" i="2"/>
  <c r="B76" i="2"/>
  <c r="B55" i="2"/>
  <c r="B151" i="2"/>
  <c r="B8" i="2"/>
  <c r="B6" i="2"/>
  <c r="B49" i="2"/>
  <c r="B155" i="2"/>
  <c r="B181" i="2"/>
  <c r="B89" i="2"/>
  <c r="B84" i="2"/>
  <c r="B153" i="2"/>
  <c r="B80" i="2"/>
  <c r="B146" i="2"/>
  <c r="B130" i="2"/>
  <c r="B71" i="2"/>
  <c r="B140" i="2"/>
  <c r="B43" i="2"/>
  <c r="B63" i="2"/>
  <c r="B209" i="2"/>
  <c r="B24" i="2"/>
  <c r="B199" i="2"/>
  <c r="B98" i="2"/>
  <c r="B166" i="2"/>
  <c r="B14" i="2"/>
  <c r="B2" i="2"/>
  <c r="B37" i="2"/>
  <c r="B122" i="2"/>
  <c r="B97" i="2"/>
  <c r="B145" i="2"/>
  <c r="B208" i="2"/>
  <c r="B131" i="2"/>
  <c r="B116" i="2"/>
  <c r="B114" i="2"/>
  <c r="B93" i="2"/>
  <c r="B172" i="2"/>
  <c r="B31" i="2"/>
  <c r="B159" i="2"/>
  <c r="B107" i="2"/>
  <c r="B50" i="2"/>
  <c r="B210" i="2"/>
  <c r="B139" i="2"/>
  <c r="B147" i="2"/>
  <c r="B211" i="2"/>
  <c r="B75" i="2"/>
  <c r="B144" i="2"/>
  <c r="B182" i="2"/>
  <c r="B157" i="2"/>
  <c r="B108" i="2"/>
  <c r="B58" i="2"/>
  <c r="B171" i="2"/>
  <c r="B10" i="2"/>
  <c r="B183" i="2"/>
  <c r="B193" i="2"/>
  <c r="B4" i="2"/>
  <c r="B83" i="2"/>
  <c r="B9" i="2"/>
  <c r="B3" i="2"/>
  <c r="B81" i="2"/>
  <c r="B177" i="2"/>
  <c r="B102" i="2"/>
  <c r="B152" i="2"/>
  <c r="B113" i="2"/>
  <c r="B21" i="2"/>
  <c r="B95" i="2"/>
  <c r="B123" i="2"/>
  <c r="B148" i="2"/>
  <c r="B28" i="2"/>
  <c r="B88" i="2"/>
  <c r="B170" i="2"/>
  <c r="B18" i="2"/>
  <c r="B189" i="2"/>
  <c r="B100" i="2"/>
  <c r="B34" i="2"/>
  <c r="B39" i="2"/>
  <c r="B223" i="2"/>
  <c r="B206" i="2"/>
  <c r="B184" i="2"/>
  <c r="B33" i="2"/>
  <c r="B195" i="2"/>
  <c r="B13" i="2"/>
  <c r="B53" i="2"/>
  <c r="B101" i="2"/>
  <c r="B156" i="2"/>
  <c r="B221" i="2"/>
  <c r="B46" i="2"/>
  <c r="B96" i="2"/>
  <c r="B86" i="2"/>
  <c r="B228" i="2"/>
  <c r="B160" i="2"/>
  <c r="B187" i="2"/>
  <c r="B15" i="2"/>
  <c r="B103" i="2"/>
  <c r="B26" i="2"/>
  <c r="B62" i="2"/>
  <c r="B118" i="2"/>
  <c r="B174" i="2"/>
  <c r="B35" i="2"/>
  <c r="B115" i="2"/>
  <c r="B48" i="2"/>
  <c r="B180" i="2"/>
  <c r="B110" i="2"/>
  <c r="B207" i="2"/>
  <c r="B167" i="2"/>
  <c r="B150" i="2"/>
  <c r="B143" i="2"/>
  <c r="B134" i="2"/>
  <c r="B204" i="2"/>
  <c r="B40" i="2"/>
  <c r="B125" i="2"/>
  <c r="B124" i="2"/>
  <c r="B175" i="2"/>
  <c r="B192" i="2"/>
  <c r="B200" i="2"/>
  <c r="B120" i="2"/>
  <c r="B129" i="2"/>
  <c r="B99" i="2"/>
  <c r="B60" i="2"/>
  <c r="B44" i="2"/>
  <c r="B178" i="2"/>
  <c r="B64" i="2"/>
  <c r="B133" i="2"/>
  <c r="B161" i="2"/>
  <c r="B70" i="2"/>
  <c r="B38" i="2"/>
  <c r="B201" i="2"/>
  <c r="B45" i="2"/>
  <c r="B32" i="2"/>
  <c r="B132" i="2"/>
  <c r="B127" i="2"/>
  <c r="B222" i="2"/>
  <c r="B72" i="2"/>
  <c r="B226" i="2"/>
  <c r="B17" i="2"/>
  <c r="B30" i="2"/>
  <c r="B74" i="2"/>
  <c r="B57" i="2"/>
  <c r="B149" i="2"/>
  <c r="B194" i="2"/>
  <c r="B135" i="2"/>
  <c r="B137" i="2"/>
  <c r="B7" i="2"/>
  <c r="C7" i="2"/>
  <c r="D7" i="2"/>
  <c r="AP7" i="2"/>
  <c r="AQ7" i="2"/>
  <c r="AR7" i="2"/>
  <c r="B219" i="2"/>
  <c r="C219" i="2"/>
  <c r="D219" i="2"/>
  <c r="AP219" i="2"/>
  <c r="AQ219" i="2"/>
  <c r="AR219" i="2"/>
  <c r="A219" i="2"/>
  <c r="A7" i="2"/>
  <c r="A73" i="2"/>
  <c r="A188" i="2"/>
  <c r="A119" i="2"/>
  <c r="A218" i="2"/>
  <c r="A66" i="2"/>
  <c r="A29" i="2"/>
  <c r="A141" i="2"/>
  <c r="A216" i="2"/>
  <c r="A20" i="2"/>
  <c r="A196" i="2"/>
  <c r="A112" i="2"/>
  <c r="A67" i="2"/>
  <c r="A138" i="2"/>
  <c r="A158" i="2"/>
  <c r="A94" i="2"/>
  <c r="A19" i="2"/>
  <c r="A229" i="2"/>
  <c r="A79" i="2"/>
  <c r="A42" i="2"/>
  <c r="A23" i="2"/>
  <c r="A54" i="2"/>
  <c r="A61" i="2"/>
  <c r="A22" i="2"/>
  <c r="A173" i="2"/>
  <c r="A91" i="2"/>
  <c r="A106" i="2"/>
  <c r="A227" i="2"/>
  <c r="A78" i="2"/>
  <c r="A11" i="2"/>
  <c r="A198" i="2"/>
  <c r="A185" i="2"/>
  <c r="A87" i="2"/>
  <c r="A162" i="2"/>
  <c r="A197" i="2"/>
  <c r="A111" i="2"/>
  <c r="A56" i="2"/>
  <c r="A186" i="2"/>
  <c r="A205" i="2"/>
  <c r="A27" i="2"/>
  <c r="A214" i="2"/>
  <c r="A179" i="2"/>
  <c r="A25" i="2"/>
  <c r="A213" i="2"/>
  <c r="A168" i="2"/>
  <c r="A85" i="2"/>
  <c r="A165" i="2"/>
  <c r="A77" i="2"/>
  <c r="A41" i="2"/>
  <c r="A16" i="2"/>
  <c r="A163" i="2"/>
  <c r="A104" i="2"/>
  <c r="A126" i="2"/>
  <c r="A59" i="2"/>
  <c r="A82" i="2"/>
  <c r="A212" i="2"/>
  <c r="A47" i="2"/>
  <c r="A191" i="2"/>
  <c r="A5" i="2"/>
  <c r="A202" i="2"/>
  <c r="A164" i="2"/>
  <c r="A69" i="2"/>
  <c r="A225" i="2"/>
  <c r="A52" i="2"/>
  <c r="A121" i="2"/>
  <c r="A169" i="2"/>
  <c r="A203" i="2"/>
  <c r="A224" i="2"/>
  <c r="A12" i="2"/>
  <c r="A190" i="2"/>
  <c r="A92" i="2"/>
  <c r="A105" i="2"/>
  <c r="A51" i="2"/>
  <c r="A90" i="2"/>
  <c r="A128" i="2"/>
  <c r="A154" i="2"/>
  <c r="A109" i="2"/>
  <c r="A176" i="2"/>
  <c r="A117" i="2"/>
  <c r="A217" i="2"/>
  <c r="A142" i="2"/>
  <c r="A136" i="2"/>
  <c r="A68" i="2"/>
  <c r="A220" i="2"/>
  <c r="A215" i="2"/>
  <c r="A36" i="2"/>
  <c r="A65" i="2"/>
  <c r="A76" i="2"/>
  <c r="A55" i="2"/>
  <c r="A151" i="2"/>
  <c r="A8" i="2"/>
  <c r="A6" i="2"/>
  <c r="A49" i="2"/>
  <c r="A155" i="2"/>
  <c r="A181" i="2"/>
  <c r="A89" i="2"/>
  <c r="A84" i="2"/>
  <c r="A153" i="2"/>
  <c r="A80" i="2"/>
  <c r="A146" i="2"/>
  <c r="A130" i="2"/>
  <c r="A71" i="2"/>
  <c r="A140" i="2"/>
  <c r="A43" i="2"/>
  <c r="A63" i="2"/>
  <c r="A209" i="2"/>
  <c r="A24" i="2"/>
  <c r="A199" i="2"/>
  <c r="A98" i="2"/>
  <c r="A166" i="2"/>
  <c r="A14" i="2"/>
  <c r="A2" i="2"/>
  <c r="A37" i="2"/>
  <c r="A122" i="2"/>
  <c r="A97" i="2"/>
  <c r="A145" i="2"/>
  <c r="A208" i="2"/>
  <c r="A131" i="2"/>
  <c r="A116" i="2"/>
  <c r="A114" i="2"/>
  <c r="A93" i="2"/>
  <c r="A172" i="2"/>
  <c r="A31" i="2"/>
  <c r="A159" i="2"/>
  <c r="A107" i="2"/>
  <c r="A50" i="2"/>
  <c r="A210" i="2"/>
  <c r="A139" i="2"/>
  <c r="A147" i="2"/>
  <c r="A211" i="2"/>
  <c r="A75" i="2"/>
  <c r="A144" i="2"/>
  <c r="A182" i="2"/>
  <c r="A157" i="2"/>
  <c r="A108" i="2"/>
  <c r="A58" i="2"/>
  <c r="A171" i="2"/>
  <c r="A10" i="2"/>
  <c r="A183" i="2"/>
  <c r="A193" i="2"/>
  <c r="A4" i="2"/>
  <c r="A83" i="2"/>
  <c r="A9" i="2"/>
  <c r="A3" i="2"/>
  <c r="A81" i="2"/>
  <c r="A177" i="2"/>
  <c r="A102" i="2"/>
  <c r="A152" i="2"/>
  <c r="A113" i="2"/>
  <c r="A21" i="2"/>
  <c r="A95" i="2"/>
  <c r="A123" i="2"/>
  <c r="A148" i="2"/>
  <c r="A28" i="2"/>
  <c r="A88" i="2"/>
  <c r="A170" i="2"/>
  <c r="A18" i="2"/>
  <c r="A189" i="2"/>
  <c r="A100" i="2"/>
  <c r="A34" i="2"/>
  <c r="A39" i="2"/>
  <c r="A223" i="2"/>
  <c r="A206" i="2"/>
  <c r="A184" i="2"/>
  <c r="A33" i="2"/>
  <c r="A195" i="2"/>
  <c r="A13" i="2"/>
  <c r="A53" i="2"/>
  <c r="A101" i="2"/>
  <c r="A156" i="2"/>
  <c r="A221" i="2"/>
  <c r="A46" i="2"/>
  <c r="A96" i="2"/>
  <c r="A86" i="2"/>
  <c r="A228" i="2"/>
  <c r="A160" i="2"/>
  <c r="A187" i="2"/>
  <c r="A15" i="2"/>
  <c r="A103" i="2"/>
  <c r="A26" i="2"/>
  <c r="A62" i="2"/>
  <c r="A118" i="2"/>
  <c r="A174" i="2"/>
  <c r="A35" i="2"/>
  <c r="A115" i="2"/>
  <c r="A48" i="2"/>
  <c r="A180" i="2"/>
  <c r="A110" i="2"/>
  <c r="A207" i="2"/>
  <c r="A167" i="2"/>
  <c r="A150" i="2"/>
  <c r="A143" i="2"/>
  <c r="A134" i="2"/>
  <c r="A204" i="2"/>
  <c r="A40" i="2"/>
  <c r="A125" i="2"/>
  <c r="A124" i="2"/>
  <c r="A175" i="2"/>
  <c r="A192" i="2"/>
  <c r="A200" i="2"/>
  <c r="A120" i="2"/>
  <c r="A129" i="2"/>
  <c r="A99" i="2"/>
  <c r="A60" i="2"/>
  <c r="A44" i="2"/>
  <c r="A178" i="2"/>
  <c r="A64" i="2"/>
  <c r="A133" i="2"/>
  <c r="A161" i="2"/>
  <c r="A70" i="2"/>
  <c r="A38" i="2"/>
  <c r="A201" i="2"/>
  <c r="A45" i="2"/>
  <c r="A32" i="2"/>
  <c r="A132" i="2"/>
  <c r="A127" i="2"/>
  <c r="A222" i="2"/>
  <c r="A72" i="2"/>
  <c r="A226" i="2"/>
  <c r="A17" i="2"/>
  <c r="A30" i="2"/>
  <c r="A74" i="2"/>
  <c r="A57" i="2"/>
  <c r="A149" i="2"/>
  <c r="A194" i="2"/>
  <c r="A135" i="2"/>
  <c r="A137" i="2"/>
  <c r="AO1" i="2"/>
  <c r="AP1" i="2"/>
  <c r="AQ1" i="2"/>
  <c r="AR1" i="2"/>
  <c r="B1" i="2"/>
  <c r="C1" i="2"/>
  <c r="D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1" i="2"/>
  <c r="J2" i="1"/>
  <c r="K64" i="1"/>
  <c r="L3" i="1" l="1"/>
  <c r="AB7" i="2" s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AB67" i="2" s="1"/>
  <c r="L18" i="1"/>
  <c r="AB94" i="2" s="1"/>
  <c r="L19" i="1"/>
  <c r="L20" i="1"/>
  <c r="L21" i="1"/>
  <c r="L22" i="1"/>
  <c r="L23" i="1"/>
  <c r="L24" i="1"/>
  <c r="L25" i="1"/>
  <c r="AB61" i="2" s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AB106" i="2" s="1"/>
  <c r="L40" i="1"/>
  <c r="L41" i="1"/>
  <c r="L42" i="1"/>
  <c r="AB186" i="2" s="1"/>
  <c r="L43" i="1"/>
  <c r="L44" i="1"/>
  <c r="L45" i="1"/>
  <c r="L46" i="1"/>
  <c r="AB213" i="2" s="1"/>
  <c r="L47" i="1"/>
  <c r="L48" i="1"/>
  <c r="AB205" i="2" s="1"/>
  <c r="L49" i="1"/>
  <c r="L50" i="1"/>
  <c r="L51" i="1"/>
  <c r="L52" i="1"/>
  <c r="L53" i="1"/>
  <c r="L54" i="1"/>
  <c r="L55" i="1"/>
  <c r="L56" i="1"/>
  <c r="L57" i="1"/>
  <c r="AB82" i="2" s="1"/>
  <c r="L58" i="1"/>
  <c r="L59" i="1"/>
  <c r="L60" i="1"/>
  <c r="L61" i="1"/>
  <c r="L62" i="1"/>
  <c r="L63" i="1"/>
  <c r="L64" i="1"/>
  <c r="L65" i="1"/>
  <c r="L66" i="1"/>
  <c r="L67" i="1"/>
  <c r="AB121" i="2" s="1"/>
  <c r="L68" i="1"/>
  <c r="L69" i="1"/>
  <c r="L70" i="1"/>
  <c r="L71" i="1"/>
  <c r="L72" i="1"/>
  <c r="L73" i="1"/>
  <c r="L74" i="1"/>
  <c r="L75" i="1"/>
  <c r="L76" i="1"/>
  <c r="L77" i="1"/>
  <c r="L78" i="1"/>
  <c r="AB154" i="2" s="1"/>
  <c r="L79" i="1"/>
  <c r="AB109" i="2" s="1"/>
  <c r="L80" i="1"/>
  <c r="L81" i="1"/>
  <c r="L82" i="1"/>
  <c r="L83" i="1"/>
  <c r="L84" i="1"/>
  <c r="L85" i="1"/>
  <c r="L86" i="1"/>
  <c r="AB68" i="2" s="1"/>
  <c r="L88" i="1"/>
  <c r="AB36" i="2" s="1"/>
  <c r="L89" i="1"/>
  <c r="L90" i="1"/>
  <c r="L91" i="1"/>
  <c r="AB76" i="2" s="1"/>
  <c r="L92" i="1"/>
  <c r="L93" i="1"/>
  <c r="L94" i="1"/>
  <c r="AB6" i="2" s="1"/>
  <c r="L95" i="1"/>
  <c r="L96" i="1"/>
  <c r="L97" i="1"/>
  <c r="L98" i="1"/>
  <c r="L99" i="1"/>
  <c r="L100" i="1"/>
  <c r="L101" i="1"/>
  <c r="L102" i="1"/>
  <c r="L103" i="1"/>
  <c r="L104" i="1"/>
  <c r="L105" i="1"/>
  <c r="L106" i="1"/>
  <c r="AB146" i="2" s="1"/>
  <c r="L107" i="1"/>
  <c r="L108" i="1"/>
  <c r="L109" i="1"/>
  <c r="AB199" i="2" s="1"/>
  <c r="L110" i="1"/>
  <c r="L111" i="1"/>
  <c r="AB14" i="2" s="1"/>
  <c r="L112" i="1"/>
  <c r="L113" i="1"/>
  <c r="L114" i="1"/>
  <c r="L115" i="1"/>
  <c r="L116" i="1"/>
  <c r="L117" i="1"/>
  <c r="L118" i="1"/>
  <c r="L119" i="1"/>
  <c r="L120" i="1"/>
  <c r="L121" i="1"/>
  <c r="L122" i="1"/>
  <c r="AB50" i="2" s="1"/>
  <c r="L123" i="1"/>
  <c r="L124" i="1"/>
  <c r="L125" i="1"/>
  <c r="L126" i="1"/>
  <c r="L127" i="1"/>
  <c r="L128" i="1"/>
  <c r="L129" i="1"/>
  <c r="L130" i="1"/>
  <c r="AB139" i="2" s="1"/>
  <c r="L131" i="1"/>
  <c r="L132" i="1"/>
  <c r="L133" i="1"/>
  <c r="AB147" i="2" s="1"/>
  <c r="L134" i="1"/>
  <c r="L135" i="1"/>
  <c r="AB144" i="2" s="1"/>
  <c r="L136" i="1"/>
  <c r="AB211" i="2" s="1"/>
  <c r="L137" i="1"/>
  <c r="L138" i="1"/>
  <c r="L139" i="1"/>
  <c r="L140" i="1"/>
  <c r="AB10" i="2" s="1"/>
  <c r="L141" i="1"/>
  <c r="L142" i="1"/>
  <c r="L143" i="1"/>
  <c r="AB58" i="2" s="1"/>
  <c r="L144" i="1"/>
  <c r="L146" i="1"/>
  <c r="L147" i="1"/>
  <c r="AB95" i="2" s="1"/>
  <c r="L148" i="1"/>
  <c r="L149" i="1"/>
  <c r="L150" i="1"/>
  <c r="L151" i="1"/>
  <c r="L152" i="1"/>
  <c r="L153" i="1"/>
  <c r="L154" i="1"/>
  <c r="L155" i="1"/>
  <c r="L156" i="1"/>
  <c r="L157" i="1"/>
  <c r="AB34" i="2" s="1"/>
  <c r="L158" i="1"/>
  <c r="L159" i="1"/>
  <c r="L160" i="1"/>
  <c r="AB100" i="2" s="1"/>
  <c r="L161" i="1"/>
  <c r="L162" i="1"/>
  <c r="L163" i="1"/>
  <c r="L164" i="1"/>
  <c r="L165" i="1"/>
  <c r="L166" i="1"/>
  <c r="L167" i="1"/>
  <c r="AB39" i="2" s="1"/>
  <c r="L168" i="1"/>
  <c r="L169" i="1"/>
  <c r="L170" i="1"/>
  <c r="L171" i="1"/>
  <c r="AB46" i="2" s="1"/>
  <c r="L172" i="1"/>
  <c r="L173" i="1"/>
  <c r="L174" i="1"/>
  <c r="L175" i="1"/>
  <c r="L176" i="1"/>
  <c r="L177" i="1"/>
  <c r="L178" i="1"/>
  <c r="L179" i="1"/>
  <c r="L180" i="1"/>
  <c r="AB86" i="2" s="1"/>
  <c r="L181" i="1"/>
  <c r="L182" i="1"/>
  <c r="AB228" i="2" s="1"/>
  <c r="L183" i="1"/>
  <c r="L184" i="1"/>
  <c r="AB115" i="2" s="1"/>
  <c r="L185" i="1"/>
  <c r="AB174" i="2" s="1"/>
  <c r="L186" i="1"/>
  <c r="L187" i="1"/>
  <c r="L188" i="1"/>
  <c r="AB35" i="2" s="1"/>
  <c r="L189" i="1"/>
  <c r="L190" i="1"/>
  <c r="L191" i="1"/>
  <c r="L192" i="1"/>
  <c r="L193" i="1"/>
  <c r="L194" i="1"/>
  <c r="L195" i="1"/>
  <c r="AB204" i="2" s="1"/>
  <c r="L196" i="1"/>
  <c r="L197" i="1"/>
  <c r="L198" i="1"/>
  <c r="AB125" i="2" s="1"/>
  <c r="L199" i="1"/>
  <c r="L200" i="1"/>
  <c r="L201" i="1"/>
  <c r="L202" i="1"/>
  <c r="L203" i="1"/>
  <c r="AB120" i="2" s="1"/>
  <c r="L204" i="1"/>
  <c r="L205" i="1"/>
  <c r="AB124" i="2" s="1"/>
  <c r="L206" i="1"/>
  <c r="L207" i="1"/>
  <c r="L208" i="1"/>
  <c r="AB161" i="2" s="1"/>
  <c r="L209" i="1"/>
  <c r="AB64" i="2" s="1"/>
  <c r="L210" i="1"/>
  <c r="L211" i="1"/>
  <c r="L212" i="1"/>
  <c r="AB133" i="2" s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AB30" i="2" s="1"/>
  <c r="L226" i="1"/>
  <c r="L227" i="1"/>
  <c r="L228" i="1"/>
  <c r="AB74" i="2" s="1"/>
  <c r="L229" i="1"/>
  <c r="AB149" i="2" s="1"/>
  <c r="L39" i="1"/>
  <c r="L87" i="1"/>
  <c r="L145" i="1"/>
  <c r="AB171" i="2" s="1"/>
  <c r="K3" i="1"/>
  <c r="AA7" i="2" s="1"/>
  <c r="K4" i="1"/>
  <c r="K5" i="1"/>
  <c r="K6" i="1"/>
  <c r="K7" i="1"/>
  <c r="K8" i="1"/>
  <c r="K9" i="1"/>
  <c r="K10" i="1"/>
  <c r="K11" i="1"/>
  <c r="K12" i="1"/>
  <c r="AA20" i="2" s="1"/>
  <c r="K13" i="1"/>
  <c r="K14" i="1"/>
  <c r="K15" i="1"/>
  <c r="K16" i="1"/>
  <c r="K17" i="1"/>
  <c r="K18" i="1"/>
  <c r="AA94" i="2" s="1"/>
  <c r="K19" i="1"/>
  <c r="K20" i="1"/>
  <c r="K21" i="1"/>
  <c r="K22" i="1"/>
  <c r="AA42" i="2" s="1"/>
  <c r="K23" i="1"/>
  <c r="K24" i="1"/>
  <c r="K25" i="1"/>
  <c r="K26" i="1"/>
  <c r="AA19" i="2" s="1"/>
  <c r="K27" i="1"/>
  <c r="K28" i="1"/>
  <c r="K29" i="1"/>
  <c r="K30" i="1"/>
  <c r="K31" i="1"/>
  <c r="K32" i="1"/>
  <c r="K33" i="1"/>
  <c r="K34" i="1"/>
  <c r="K35" i="1"/>
  <c r="K36" i="1"/>
  <c r="K37" i="1"/>
  <c r="K38" i="1"/>
  <c r="K40" i="1"/>
  <c r="K41" i="1"/>
  <c r="K42" i="1"/>
  <c r="K43" i="1"/>
  <c r="K44" i="1"/>
  <c r="K45" i="1"/>
  <c r="K46" i="1"/>
  <c r="AA213" i="2" s="1"/>
  <c r="K47" i="1"/>
  <c r="K48" i="1"/>
  <c r="AA205" i="2" s="1"/>
  <c r="K49" i="1"/>
  <c r="K50" i="1"/>
  <c r="K51" i="1"/>
  <c r="K52" i="1"/>
  <c r="AA77" i="2" s="1"/>
  <c r="K53" i="1"/>
  <c r="K54" i="1"/>
  <c r="K55" i="1"/>
  <c r="K56" i="1"/>
  <c r="K57" i="1"/>
  <c r="K58" i="1"/>
  <c r="K59" i="1"/>
  <c r="K60" i="1"/>
  <c r="K61" i="1"/>
  <c r="K62" i="1"/>
  <c r="K63" i="1"/>
  <c r="AA52" i="2" s="1"/>
  <c r="K65" i="1"/>
  <c r="K66" i="1"/>
  <c r="K67" i="1"/>
  <c r="K68" i="1"/>
  <c r="K69" i="1"/>
  <c r="K70" i="1"/>
  <c r="K71" i="1"/>
  <c r="AA203" i="2" s="1"/>
  <c r="K72" i="1"/>
  <c r="K73" i="1"/>
  <c r="AA92" i="2" s="1"/>
  <c r="K74" i="1"/>
  <c r="K75" i="1"/>
  <c r="K76" i="1"/>
  <c r="K77" i="1"/>
  <c r="AA51" i="2" s="1"/>
  <c r="K78" i="1"/>
  <c r="AA154" i="2" s="1"/>
  <c r="K79" i="1"/>
  <c r="K80" i="1"/>
  <c r="K81" i="1"/>
  <c r="K82" i="1"/>
  <c r="K83" i="1"/>
  <c r="K84" i="1"/>
  <c r="AA136" i="2" s="1"/>
  <c r="K85" i="1"/>
  <c r="K86" i="1"/>
  <c r="K88" i="1"/>
  <c r="AA36" i="2" s="1"/>
  <c r="K89" i="1"/>
  <c r="K90" i="1"/>
  <c r="K91" i="1"/>
  <c r="K92" i="1"/>
  <c r="K93" i="1"/>
  <c r="K94" i="1"/>
  <c r="K95" i="1"/>
  <c r="K96" i="1"/>
  <c r="K97" i="1"/>
  <c r="K98" i="1"/>
  <c r="AA181" i="2" s="1"/>
  <c r="K99" i="1"/>
  <c r="AA49" i="2" s="1"/>
  <c r="K100" i="1"/>
  <c r="K101" i="1"/>
  <c r="AA80" i="2" s="1"/>
  <c r="K102" i="1"/>
  <c r="K103" i="1"/>
  <c r="K104" i="1"/>
  <c r="K105" i="1"/>
  <c r="K106" i="1"/>
  <c r="K107" i="1"/>
  <c r="AA71" i="2" s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AA50" i="2" s="1"/>
  <c r="K123" i="1"/>
  <c r="K124" i="1"/>
  <c r="K125" i="1"/>
  <c r="AA172" i="2" s="1"/>
  <c r="K126" i="1"/>
  <c r="K127" i="1"/>
  <c r="K128" i="1"/>
  <c r="K129" i="1"/>
  <c r="K130" i="1"/>
  <c r="AA139" i="2" s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AA193" i="2" s="1"/>
  <c r="K146" i="1"/>
  <c r="K147" i="1"/>
  <c r="AA95" i="2" s="1"/>
  <c r="K148" i="1"/>
  <c r="K149" i="1"/>
  <c r="K150" i="1"/>
  <c r="AA177" i="2" s="1"/>
  <c r="K151" i="1"/>
  <c r="AA21" i="2" s="1"/>
  <c r="K152" i="1"/>
  <c r="K153" i="1"/>
  <c r="K154" i="1"/>
  <c r="K155" i="1"/>
  <c r="K156" i="1"/>
  <c r="K157" i="1"/>
  <c r="K158" i="1"/>
  <c r="K159" i="1"/>
  <c r="K160" i="1"/>
  <c r="K161" i="1"/>
  <c r="AA189" i="2" s="1"/>
  <c r="K162" i="1"/>
  <c r="K163" i="1"/>
  <c r="K164" i="1"/>
  <c r="K165" i="1"/>
  <c r="K166" i="1"/>
  <c r="K167" i="1"/>
  <c r="K168" i="1"/>
  <c r="AA206" i="2" s="1"/>
  <c r="K169" i="1"/>
  <c r="AA13" i="2" s="1"/>
  <c r="K170" i="1"/>
  <c r="K171" i="1"/>
  <c r="K172" i="1"/>
  <c r="K173" i="1"/>
  <c r="K174" i="1"/>
  <c r="AA101" i="2" s="1"/>
  <c r="K175" i="1"/>
  <c r="K176" i="1"/>
  <c r="K177" i="1"/>
  <c r="K178" i="1"/>
  <c r="K179" i="1"/>
  <c r="K180" i="1"/>
  <c r="AA86" i="2" s="1"/>
  <c r="K181" i="1"/>
  <c r="K182" i="1"/>
  <c r="AA228" i="2" s="1"/>
  <c r="K183" i="1"/>
  <c r="K184" i="1"/>
  <c r="K185" i="1"/>
  <c r="K186" i="1"/>
  <c r="K187" i="1"/>
  <c r="K188" i="1"/>
  <c r="K189" i="1"/>
  <c r="K190" i="1"/>
  <c r="K191" i="1"/>
  <c r="K192" i="1"/>
  <c r="K193" i="1"/>
  <c r="AA110" i="2" s="1"/>
  <c r="K194" i="1"/>
  <c r="K195" i="1"/>
  <c r="K196" i="1"/>
  <c r="K197" i="1"/>
  <c r="K198" i="1"/>
  <c r="AA125" i="2" s="1"/>
  <c r="K199" i="1"/>
  <c r="AA175" i="2" s="1"/>
  <c r="K200" i="1"/>
  <c r="K201" i="1"/>
  <c r="K202" i="1"/>
  <c r="K203" i="1"/>
  <c r="AA120" i="2" s="1"/>
  <c r="K204" i="1"/>
  <c r="AA192" i="2" s="1"/>
  <c r="K205" i="1"/>
  <c r="K206" i="1"/>
  <c r="AA38" i="2" s="1"/>
  <c r="K207" i="1"/>
  <c r="K208" i="1"/>
  <c r="K209" i="1"/>
  <c r="AA64" i="2" s="1"/>
  <c r="K210" i="1"/>
  <c r="K211" i="1"/>
  <c r="AA70" i="2" s="1"/>
  <c r="K212" i="1"/>
  <c r="K213" i="1"/>
  <c r="K214" i="1"/>
  <c r="K215" i="1"/>
  <c r="K216" i="1"/>
  <c r="K217" i="1"/>
  <c r="K218" i="1"/>
  <c r="K219" i="1"/>
  <c r="AA226" i="2" s="1"/>
  <c r="K220" i="1"/>
  <c r="AA132" i="2" s="1"/>
  <c r="K221" i="1"/>
  <c r="K222" i="1"/>
  <c r="AA201" i="2" s="1"/>
  <c r="K223" i="1"/>
  <c r="AA57" i="2" s="1"/>
  <c r="K224" i="1"/>
  <c r="K225" i="1"/>
  <c r="K226" i="1"/>
  <c r="K227" i="1"/>
  <c r="K228" i="1"/>
  <c r="AA74" i="2" s="1"/>
  <c r="K229" i="1"/>
  <c r="K39" i="1"/>
  <c r="AA27" i="2" s="1"/>
  <c r="K87" i="1"/>
  <c r="AA8" i="2" s="1"/>
  <c r="K145" i="1"/>
  <c r="T3" i="1"/>
  <c r="AJ7" i="2" s="1"/>
  <c r="T4" i="1"/>
  <c r="T5" i="1"/>
  <c r="AJ188" i="2" s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AJ11" i="2" s="1"/>
  <c r="T36" i="1"/>
  <c r="T37" i="1"/>
  <c r="AJ198" i="2" s="1"/>
  <c r="T38" i="1"/>
  <c r="T40" i="1"/>
  <c r="T41" i="1"/>
  <c r="AJ85" i="2" s="1"/>
  <c r="T42" i="1"/>
  <c r="AJ186" i="2" s="1"/>
  <c r="T43" i="1"/>
  <c r="T44" i="1"/>
  <c r="AJ214" i="2" s="1"/>
  <c r="T45" i="1"/>
  <c r="T46" i="1"/>
  <c r="T47" i="1"/>
  <c r="AJ168" i="2" s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AJ169" i="2" s="1"/>
  <c r="T66" i="1"/>
  <c r="AJ69" i="2" s="1"/>
  <c r="T67" i="1"/>
  <c r="T68" i="1"/>
  <c r="T69" i="1"/>
  <c r="T70" i="1"/>
  <c r="T71" i="1"/>
  <c r="T72" i="1"/>
  <c r="T73" i="1"/>
  <c r="AJ92" i="2" s="1"/>
  <c r="T74" i="1"/>
  <c r="T75" i="1"/>
  <c r="T76" i="1"/>
  <c r="AJ128" i="2" s="1"/>
  <c r="T77" i="1"/>
  <c r="T78" i="1"/>
  <c r="T79" i="1"/>
  <c r="AJ109" i="2" s="1"/>
  <c r="T80" i="1"/>
  <c r="T81" i="1"/>
  <c r="T82" i="1"/>
  <c r="T83" i="1"/>
  <c r="T84" i="1"/>
  <c r="AJ136" i="2" s="1"/>
  <c r="T85" i="1"/>
  <c r="T86" i="1"/>
  <c r="AJ68" i="2" s="1"/>
  <c r="T88" i="1"/>
  <c r="T89" i="1"/>
  <c r="T90" i="1"/>
  <c r="AJ151" i="2" s="1"/>
  <c r="T91" i="1"/>
  <c r="T92" i="1"/>
  <c r="T93" i="1"/>
  <c r="T94" i="1"/>
  <c r="AJ6" i="2" s="1"/>
  <c r="T95" i="1"/>
  <c r="T96" i="1"/>
  <c r="T97" i="1"/>
  <c r="T98" i="1"/>
  <c r="T99" i="1"/>
  <c r="T100" i="1"/>
  <c r="AJ140" i="2" s="1"/>
  <c r="T101" i="1"/>
  <c r="T102" i="1"/>
  <c r="T103" i="1"/>
  <c r="T104" i="1"/>
  <c r="T105" i="1"/>
  <c r="T106" i="1"/>
  <c r="T107" i="1"/>
  <c r="T108" i="1"/>
  <c r="T109" i="1"/>
  <c r="T110" i="1"/>
  <c r="T111" i="1"/>
  <c r="AJ14" i="2" s="1"/>
  <c r="T112" i="1"/>
  <c r="T113" i="1"/>
  <c r="T114" i="1"/>
  <c r="AJ209" i="2" s="1"/>
  <c r="T115" i="1"/>
  <c r="AJ166" i="2" s="1"/>
  <c r="T116" i="1"/>
  <c r="AJ122" i="2" s="1"/>
  <c r="T117" i="1"/>
  <c r="T118" i="1"/>
  <c r="T119" i="1"/>
  <c r="T120" i="1"/>
  <c r="T121" i="1"/>
  <c r="T122" i="1"/>
  <c r="AJ50" i="2" s="1"/>
  <c r="T123" i="1"/>
  <c r="AJ93" i="2" s="1"/>
  <c r="T124" i="1"/>
  <c r="T125" i="1"/>
  <c r="T126" i="1"/>
  <c r="T127" i="1"/>
  <c r="T128" i="1"/>
  <c r="T129" i="1"/>
  <c r="T130" i="1"/>
  <c r="AJ139" i="2" s="1"/>
  <c r="T131" i="1"/>
  <c r="T132" i="1"/>
  <c r="T133" i="1"/>
  <c r="AJ147" i="2" s="1"/>
  <c r="T134" i="1"/>
  <c r="T135" i="1"/>
  <c r="AJ144" i="2" s="1"/>
  <c r="T136" i="1"/>
  <c r="AJ211" i="2" s="1"/>
  <c r="T137" i="1"/>
  <c r="T138" i="1"/>
  <c r="AJ183" i="2" s="1"/>
  <c r="T139" i="1"/>
  <c r="AJ4" i="2" s="1"/>
  <c r="T140" i="1"/>
  <c r="AJ10" i="2" s="1"/>
  <c r="T141" i="1"/>
  <c r="T142" i="1"/>
  <c r="AJ83" i="2" s="1"/>
  <c r="T143" i="1"/>
  <c r="T144" i="1"/>
  <c r="T146" i="1"/>
  <c r="T147" i="1"/>
  <c r="AJ95" i="2" s="1"/>
  <c r="T148" i="1"/>
  <c r="T149" i="1"/>
  <c r="T150" i="1"/>
  <c r="T151" i="1"/>
  <c r="T152" i="1"/>
  <c r="T153" i="1"/>
  <c r="T154" i="1"/>
  <c r="T155" i="1"/>
  <c r="T156" i="1"/>
  <c r="T157" i="1"/>
  <c r="T158" i="1"/>
  <c r="T159" i="1"/>
  <c r="AJ148" i="2" s="1"/>
  <c r="T160" i="1"/>
  <c r="T161" i="1"/>
  <c r="AJ189" i="2" s="1"/>
  <c r="T162" i="1"/>
  <c r="T163" i="1"/>
  <c r="T164" i="1"/>
  <c r="AJ184" i="2" s="1"/>
  <c r="T165" i="1"/>
  <c r="T166" i="1"/>
  <c r="T167" i="1"/>
  <c r="T168" i="1"/>
  <c r="T169" i="1"/>
  <c r="AJ13" i="2" s="1"/>
  <c r="T170" i="1"/>
  <c r="T171" i="1"/>
  <c r="T172" i="1"/>
  <c r="T173" i="1"/>
  <c r="T174" i="1"/>
  <c r="T175" i="1"/>
  <c r="T176" i="1"/>
  <c r="AJ160" i="2" s="1"/>
  <c r="T177" i="1"/>
  <c r="T178" i="1"/>
  <c r="T179" i="1"/>
  <c r="T180" i="1"/>
  <c r="T181" i="1"/>
  <c r="AJ187" i="2" s="1"/>
  <c r="T182" i="1"/>
  <c r="AJ228" i="2" s="1"/>
  <c r="T183" i="1"/>
  <c r="T184" i="1"/>
  <c r="T185" i="1"/>
  <c r="AJ174" i="2" s="1"/>
  <c r="T186" i="1"/>
  <c r="T187" i="1"/>
  <c r="T188" i="1"/>
  <c r="AJ35" i="2" s="1"/>
  <c r="T189" i="1"/>
  <c r="T190" i="1"/>
  <c r="T191" i="1"/>
  <c r="AJ167" i="2" s="1"/>
  <c r="T192" i="1"/>
  <c r="T193" i="1"/>
  <c r="T194" i="1"/>
  <c r="T195" i="1"/>
  <c r="T196" i="1"/>
  <c r="T197" i="1"/>
  <c r="AJ180" i="2" s="1"/>
  <c r="T198" i="1"/>
  <c r="T199" i="1"/>
  <c r="T200" i="1"/>
  <c r="T201" i="1"/>
  <c r="T202" i="1"/>
  <c r="T203" i="1"/>
  <c r="T204" i="1"/>
  <c r="T205" i="1"/>
  <c r="T206" i="1"/>
  <c r="T207" i="1"/>
  <c r="T208" i="1"/>
  <c r="T209" i="1"/>
  <c r="AJ64" i="2" s="1"/>
  <c r="T210" i="1"/>
  <c r="T211" i="1"/>
  <c r="T212" i="1"/>
  <c r="AJ133" i="2" s="1"/>
  <c r="T213" i="1"/>
  <c r="T214" i="1"/>
  <c r="T215" i="1"/>
  <c r="T216" i="1"/>
  <c r="T217" i="1"/>
  <c r="T218" i="1"/>
  <c r="T219" i="1"/>
  <c r="T220" i="1"/>
  <c r="AJ132" i="2" s="1"/>
  <c r="T221" i="1"/>
  <c r="T222" i="1"/>
  <c r="T223" i="1"/>
  <c r="T224" i="1"/>
  <c r="AJ135" i="2" s="1"/>
  <c r="T225" i="1"/>
  <c r="T226" i="1"/>
  <c r="T227" i="1"/>
  <c r="T228" i="1"/>
  <c r="T229" i="1"/>
  <c r="AJ149" i="2" s="1"/>
  <c r="T39" i="1"/>
  <c r="T87" i="1"/>
  <c r="T145" i="1"/>
  <c r="T2" i="1"/>
  <c r="AJ29" i="2" s="1"/>
  <c r="S3" i="1"/>
  <c r="S4" i="1"/>
  <c r="AI218" i="2" s="1"/>
  <c r="S5" i="1"/>
  <c r="S6" i="1"/>
  <c r="S7" i="1"/>
  <c r="S8" i="1"/>
  <c r="S9" i="1"/>
  <c r="S10" i="1"/>
  <c r="AI119" i="2" s="1"/>
  <c r="S11" i="1"/>
  <c r="S12" i="1"/>
  <c r="S13" i="1"/>
  <c r="S14" i="1"/>
  <c r="S15" i="1"/>
  <c r="S16" i="1"/>
  <c r="S17" i="1"/>
  <c r="S18" i="1"/>
  <c r="S19" i="1"/>
  <c r="S20" i="1"/>
  <c r="S21" i="1"/>
  <c r="S22" i="1"/>
  <c r="AI42" i="2" s="1"/>
  <c r="S23" i="1"/>
  <c r="S24" i="1"/>
  <c r="S25" i="1"/>
  <c r="AI61" i="2" s="1"/>
  <c r="S26" i="1"/>
  <c r="AI19" i="2" s="1"/>
  <c r="S27" i="1"/>
  <c r="S28" i="1"/>
  <c r="S29" i="1"/>
  <c r="AI111" i="2" s="1"/>
  <c r="S30" i="1"/>
  <c r="S31" i="1"/>
  <c r="AI227" i="2" s="1"/>
  <c r="S32" i="1"/>
  <c r="S33" i="1"/>
  <c r="S34" i="1"/>
  <c r="S35" i="1"/>
  <c r="S36" i="1"/>
  <c r="S37" i="1"/>
  <c r="S38" i="1"/>
  <c r="S40" i="1"/>
  <c r="S41" i="1"/>
  <c r="S42" i="1"/>
  <c r="S43" i="1"/>
  <c r="S44" i="1"/>
  <c r="S45" i="1"/>
  <c r="S46" i="1"/>
  <c r="S47" i="1"/>
  <c r="AI168" i="2" s="1"/>
  <c r="S48" i="1"/>
  <c r="S49" i="1"/>
  <c r="S50" i="1"/>
  <c r="S51" i="1"/>
  <c r="AI16" i="2" s="1"/>
  <c r="S52" i="1"/>
  <c r="S53" i="1"/>
  <c r="S54" i="1"/>
  <c r="AI163" i="2" s="1"/>
  <c r="S55" i="1"/>
  <c r="S56" i="1"/>
  <c r="S57" i="1"/>
  <c r="S58" i="1"/>
  <c r="S59" i="1"/>
  <c r="S60" i="1"/>
  <c r="S61" i="1"/>
  <c r="S62" i="1"/>
  <c r="AI225" i="2" s="1"/>
  <c r="S63" i="1"/>
  <c r="S64" i="1"/>
  <c r="S65" i="1"/>
  <c r="S66" i="1"/>
  <c r="S67" i="1"/>
  <c r="S68" i="1"/>
  <c r="S69" i="1"/>
  <c r="S70" i="1"/>
  <c r="S71" i="1"/>
  <c r="AI203" i="2" s="1"/>
  <c r="S72" i="1"/>
  <c r="AI224" i="2" s="1"/>
  <c r="S73" i="1"/>
  <c r="S74" i="1"/>
  <c r="S75" i="1"/>
  <c r="AI90" i="2" s="1"/>
  <c r="S76" i="1"/>
  <c r="S77" i="1"/>
  <c r="S78" i="1"/>
  <c r="AI154" i="2" s="1"/>
  <c r="S79" i="1"/>
  <c r="S80" i="1"/>
  <c r="S81" i="1"/>
  <c r="AI142" i="2" s="1"/>
  <c r="S82" i="1"/>
  <c r="S83" i="1"/>
  <c r="S84" i="1"/>
  <c r="S85" i="1"/>
  <c r="S86" i="1"/>
  <c r="S88" i="1"/>
  <c r="AI36" i="2" s="1"/>
  <c r="S89" i="1"/>
  <c r="S90" i="1"/>
  <c r="S91" i="1"/>
  <c r="S92" i="1"/>
  <c r="S93" i="1"/>
  <c r="S94" i="1"/>
  <c r="S95" i="1"/>
  <c r="S96" i="1"/>
  <c r="S97" i="1"/>
  <c r="S98" i="1"/>
  <c r="S99" i="1"/>
  <c r="AI49" i="2" s="1"/>
  <c r="S100" i="1"/>
  <c r="S101" i="1"/>
  <c r="S102" i="1"/>
  <c r="S103" i="1"/>
  <c r="AI63" i="2" s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AI145" i="2" s="1"/>
  <c r="S121" i="1"/>
  <c r="AI131" i="2" s="1"/>
  <c r="S122" i="1"/>
  <c r="S123" i="1"/>
  <c r="AI93" i="2" s="1"/>
  <c r="S124" i="1"/>
  <c r="S125" i="1"/>
  <c r="S126" i="1"/>
  <c r="S127" i="1"/>
  <c r="AI31" i="2" s="1"/>
  <c r="S128" i="1"/>
  <c r="S129" i="1"/>
  <c r="S130" i="1"/>
  <c r="AI139" i="2" s="1"/>
  <c r="S131" i="1"/>
  <c r="S132" i="1"/>
  <c r="S133" i="1"/>
  <c r="S134" i="1"/>
  <c r="S135" i="1"/>
  <c r="S136" i="1"/>
  <c r="AI211" i="2" s="1"/>
  <c r="S137" i="1"/>
  <c r="AI182" i="2" s="1"/>
  <c r="S138" i="1"/>
  <c r="S139" i="1"/>
  <c r="S140" i="1"/>
  <c r="S141" i="1"/>
  <c r="S142" i="1"/>
  <c r="S143" i="1"/>
  <c r="S144" i="1"/>
  <c r="AI193" i="2" s="1"/>
  <c r="S146" i="1"/>
  <c r="AI3" i="2" s="1"/>
  <c r="S147" i="1"/>
  <c r="AI95" i="2" s="1"/>
  <c r="S148" i="1"/>
  <c r="S149" i="1"/>
  <c r="S150" i="1"/>
  <c r="S151" i="1"/>
  <c r="S152" i="1"/>
  <c r="AI81" i="2" s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AI206" i="2" s="1"/>
  <c r="S169" i="1"/>
  <c r="AI13" i="2" s="1"/>
  <c r="S170" i="1"/>
  <c r="AI53" i="2" s="1"/>
  <c r="S171" i="1"/>
  <c r="S172" i="1"/>
  <c r="S173" i="1"/>
  <c r="S174" i="1"/>
  <c r="S175" i="1"/>
  <c r="S176" i="1"/>
  <c r="AI160" i="2" s="1"/>
  <c r="S177" i="1"/>
  <c r="S178" i="1"/>
  <c r="S179" i="1"/>
  <c r="AI103" i="2" s="1"/>
  <c r="S180" i="1"/>
  <c r="S181" i="1"/>
  <c r="S182" i="1"/>
  <c r="AI228" i="2" s="1"/>
  <c r="S183" i="1"/>
  <c r="S184" i="1"/>
  <c r="AI115" i="2" s="1"/>
  <c r="S185" i="1"/>
  <c r="AI174" i="2" s="1"/>
  <c r="S186" i="1"/>
  <c r="S187" i="1"/>
  <c r="S188" i="1"/>
  <c r="S189" i="1"/>
  <c r="S190" i="1"/>
  <c r="S191" i="1"/>
  <c r="S192" i="1"/>
  <c r="S193" i="1"/>
  <c r="AI110" i="2" s="1"/>
  <c r="S194" i="1"/>
  <c r="S195" i="1"/>
  <c r="S196" i="1"/>
  <c r="AI134" i="2" s="1"/>
  <c r="S197" i="1"/>
  <c r="AI180" i="2" s="1"/>
  <c r="S198" i="1"/>
  <c r="AI125" i="2" s="1"/>
  <c r="S199" i="1"/>
  <c r="S200" i="1"/>
  <c r="AI129" i="2" s="1"/>
  <c r="S201" i="1"/>
  <c r="S202" i="1"/>
  <c r="S203" i="1"/>
  <c r="AI120" i="2" s="1"/>
  <c r="S204" i="1"/>
  <c r="S205" i="1"/>
  <c r="S206" i="1"/>
  <c r="AI38" i="2" s="1"/>
  <c r="S207" i="1"/>
  <c r="S208" i="1"/>
  <c r="AI161" i="2" s="1"/>
  <c r="S209" i="1"/>
  <c r="AI64" i="2" s="1"/>
  <c r="S210" i="1"/>
  <c r="S211" i="1"/>
  <c r="S212" i="1"/>
  <c r="S213" i="1"/>
  <c r="S214" i="1"/>
  <c r="S215" i="1"/>
  <c r="S216" i="1"/>
  <c r="S217" i="1"/>
  <c r="AI32" i="2" s="1"/>
  <c r="S218" i="1"/>
  <c r="S219" i="1"/>
  <c r="S220" i="1"/>
  <c r="AI132" i="2" s="1"/>
  <c r="S221" i="1"/>
  <c r="AI17" i="2" s="1"/>
  <c r="S222" i="1"/>
  <c r="S223" i="1"/>
  <c r="AI57" i="2" s="1"/>
  <c r="S224" i="1"/>
  <c r="AI135" i="2" s="1"/>
  <c r="S225" i="1"/>
  <c r="S226" i="1"/>
  <c r="S227" i="1"/>
  <c r="AI137" i="2" s="1"/>
  <c r="S228" i="1"/>
  <c r="S229" i="1"/>
  <c r="S39" i="1"/>
  <c r="S87" i="1"/>
  <c r="AI8" i="2" s="1"/>
  <c r="S145" i="1"/>
  <c r="S2" i="1"/>
  <c r="AI29" i="2" s="1"/>
  <c r="R3" i="1"/>
  <c r="R4" i="1"/>
  <c r="R5" i="1"/>
  <c r="AH188" i="2" s="1"/>
  <c r="R6" i="1"/>
  <c r="R7" i="1"/>
  <c r="R8" i="1"/>
  <c r="R9" i="1"/>
  <c r="R10" i="1"/>
  <c r="AH119" i="2" s="1"/>
  <c r="R11" i="1"/>
  <c r="R12" i="1"/>
  <c r="R13" i="1"/>
  <c r="R14" i="1"/>
  <c r="R15" i="1"/>
  <c r="R16" i="1"/>
  <c r="R17" i="1"/>
  <c r="R18" i="1"/>
  <c r="R19" i="1"/>
  <c r="R20" i="1"/>
  <c r="R21" i="1"/>
  <c r="R22" i="1"/>
  <c r="AH42" i="2" s="1"/>
  <c r="R23" i="1"/>
  <c r="R24" i="1"/>
  <c r="R25" i="1"/>
  <c r="AH61" i="2" s="1"/>
  <c r="R26" i="1"/>
  <c r="R27" i="1"/>
  <c r="R28" i="1"/>
  <c r="R29" i="1"/>
  <c r="R30" i="1"/>
  <c r="R31" i="1"/>
  <c r="R32" i="1"/>
  <c r="R33" i="1"/>
  <c r="R34" i="1"/>
  <c r="R35" i="1"/>
  <c r="AH11" i="2" s="1"/>
  <c r="R36" i="1"/>
  <c r="R37" i="1"/>
  <c r="AH198" i="2" s="1"/>
  <c r="R38" i="1"/>
  <c r="AH106" i="2" s="1"/>
  <c r="R40" i="1"/>
  <c r="R41" i="1"/>
  <c r="AH85" i="2" s="1"/>
  <c r="R42" i="1"/>
  <c r="AH186" i="2" s="1"/>
  <c r="R43" i="1"/>
  <c r="R44" i="1"/>
  <c r="AH214" i="2" s="1"/>
  <c r="R45" i="1"/>
  <c r="AH56" i="2" s="1"/>
  <c r="R46" i="1"/>
  <c r="R47" i="1"/>
  <c r="AH168" i="2" s="1"/>
  <c r="R48" i="1"/>
  <c r="R49" i="1"/>
  <c r="R50" i="1"/>
  <c r="R51" i="1"/>
  <c r="R52" i="1"/>
  <c r="R53" i="1"/>
  <c r="AH126" i="2" s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AH117" i="2" s="1"/>
  <c r="R84" i="1"/>
  <c r="AH136" i="2" s="1"/>
  <c r="R85" i="1"/>
  <c r="R86" i="1"/>
  <c r="AH68" i="2" s="1"/>
  <c r="R88" i="1"/>
  <c r="R89" i="1"/>
  <c r="R90" i="1"/>
  <c r="AH151" i="2" s="1"/>
  <c r="R91" i="1"/>
  <c r="AH76" i="2" s="1"/>
  <c r="R92" i="1"/>
  <c r="R93" i="1"/>
  <c r="R94" i="1"/>
  <c r="AH6" i="2" s="1"/>
  <c r="R95" i="1"/>
  <c r="R96" i="1"/>
  <c r="R97" i="1"/>
  <c r="R98" i="1"/>
  <c r="R99" i="1"/>
  <c r="R100" i="1"/>
  <c r="AH140" i="2" s="1"/>
  <c r="R101" i="1"/>
  <c r="R102" i="1"/>
  <c r="R103" i="1"/>
  <c r="R104" i="1"/>
  <c r="R105" i="1"/>
  <c r="R106" i="1"/>
  <c r="R107" i="1"/>
  <c r="R108" i="1"/>
  <c r="R109" i="1"/>
  <c r="AH199" i="2" s="1"/>
  <c r="R110" i="1"/>
  <c r="R111" i="1"/>
  <c r="AH14" i="2" s="1"/>
  <c r="R112" i="1"/>
  <c r="R113" i="1"/>
  <c r="R114" i="1"/>
  <c r="AH209" i="2" s="1"/>
  <c r="R115" i="1"/>
  <c r="AH166" i="2" s="1"/>
  <c r="R116" i="1"/>
  <c r="AH122" i="2" s="1"/>
  <c r="R117" i="1"/>
  <c r="R118" i="1"/>
  <c r="AH208" i="2" s="1"/>
  <c r="R119" i="1"/>
  <c r="R120" i="1"/>
  <c r="R121" i="1"/>
  <c r="R122" i="1"/>
  <c r="AH50" i="2" s="1"/>
  <c r="R123" i="1"/>
  <c r="AH93" i="2" s="1"/>
  <c r="R124" i="1"/>
  <c r="R125" i="1"/>
  <c r="R126" i="1"/>
  <c r="R127" i="1"/>
  <c r="R128" i="1"/>
  <c r="R129" i="1"/>
  <c r="R130" i="1"/>
  <c r="AH139" i="2" s="1"/>
  <c r="R131" i="1"/>
  <c r="R132" i="1"/>
  <c r="R133" i="1"/>
  <c r="AH147" i="2" s="1"/>
  <c r="R134" i="1"/>
  <c r="R135" i="1"/>
  <c r="AH144" i="2" s="1"/>
  <c r="R136" i="1"/>
  <c r="AH211" i="2" s="1"/>
  <c r="R137" i="1"/>
  <c r="R138" i="1"/>
  <c r="R139" i="1"/>
  <c r="AH4" i="2" s="1"/>
  <c r="R140" i="1"/>
  <c r="R141" i="1"/>
  <c r="R142" i="1"/>
  <c r="R143" i="1"/>
  <c r="R144" i="1"/>
  <c r="R146" i="1"/>
  <c r="AH3" i="2" s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AH189" i="2" s="1"/>
  <c r="R162" i="1"/>
  <c r="R163" i="1"/>
  <c r="R164" i="1"/>
  <c r="R165" i="1"/>
  <c r="R166" i="1"/>
  <c r="R167" i="1"/>
  <c r="R168" i="1"/>
  <c r="R169" i="1"/>
  <c r="AH13" i="2" s="1"/>
  <c r="R170" i="1"/>
  <c r="AH53" i="2" s="1"/>
  <c r="R171" i="1"/>
  <c r="R172" i="1"/>
  <c r="R173" i="1"/>
  <c r="R174" i="1"/>
  <c r="R175" i="1"/>
  <c r="R176" i="1"/>
  <c r="AH160" i="2" s="1"/>
  <c r="R177" i="1"/>
  <c r="R178" i="1"/>
  <c r="R179" i="1"/>
  <c r="R180" i="1"/>
  <c r="R181" i="1"/>
  <c r="AH187" i="2" s="1"/>
  <c r="R182" i="1"/>
  <c r="AH228" i="2" s="1"/>
  <c r="R183" i="1"/>
  <c r="AH62" i="2" s="1"/>
  <c r="R184" i="1"/>
  <c r="R185" i="1"/>
  <c r="AH174" i="2" s="1"/>
  <c r="R186" i="1"/>
  <c r="R187" i="1"/>
  <c r="R188" i="1"/>
  <c r="AH35" i="2" s="1"/>
  <c r="R189" i="1"/>
  <c r="R190" i="1"/>
  <c r="R191" i="1"/>
  <c r="AH167" i="2" s="1"/>
  <c r="R192" i="1"/>
  <c r="R193" i="1"/>
  <c r="R194" i="1"/>
  <c r="R195" i="1"/>
  <c r="R196" i="1"/>
  <c r="AH134" i="2" s="1"/>
  <c r="R197" i="1"/>
  <c r="AH180" i="2" s="1"/>
  <c r="R198" i="1"/>
  <c r="R199" i="1"/>
  <c r="R200" i="1"/>
  <c r="R201" i="1"/>
  <c r="R202" i="1"/>
  <c r="R203" i="1"/>
  <c r="AH120" i="2" s="1"/>
  <c r="R204" i="1"/>
  <c r="R205" i="1"/>
  <c r="R206" i="1"/>
  <c r="AH38" i="2" s="1"/>
  <c r="R207" i="1"/>
  <c r="R208" i="1"/>
  <c r="R209" i="1"/>
  <c r="AH64" i="2" s="1"/>
  <c r="R210" i="1"/>
  <c r="R211" i="1"/>
  <c r="R212" i="1"/>
  <c r="AH133" i="2" s="1"/>
  <c r="R213" i="1"/>
  <c r="R214" i="1"/>
  <c r="R215" i="1"/>
  <c r="R216" i="1"/>
  <c r="R217" i="1"/>
  <c r="AH32" i="2" s="1"/>
  <c r="R218" i="1"/>
  <c r="R219" i="1"/>
  <c r="R220" i="1"/>
  <c r="R221" i="1"/>
  <c r="R222" i="1"/>
  <c r="R223" i="1"/>
  <c r="R224" i="1"/>
  <c r="AH135" i="2" s="1"/>
  <c r="R225" i="1"/>
  <c r="R226" i="1"/>
  <c r="R227" i="1"/>
  <c r="R228" i="1"/>
  <c r="R229" i="1"/>
  <c r="AH149" i="2" s="1"/>
  <c r="R39" i="1"/>
  <c r="R87" i="1"/>
  <c r="R145" i="1"/>
  <c r="Q3" i="1"/>
  <c r="AG7" i="2" s="1"/>
  <c r="Q4" i="1"/>
  <c r="AG218" i="2" s="1"/>
  <c r="Q5" i="1"/>
  <c r="Q6" i="1"/>
  <c r="AG141" i="2" s="1"/>
  <c r="Q7" i="1"/>
  <c r="Q8" i="1"/>
  <c r="Q9" i="1"/>
  <c r="Q10" i="1"/>
  <c r="Q11" i="1"/>
  <c r="Q12" i="1"/>
  <c r="Q13" i="1"/>
  <c r="Q14" i="1"/>
  <c r="Q15" i="1"/>
  <c r="Q16" i="1"/>
  <c r="Q17" i="1"/>
  <c r="Q18" i="1"/>
  <c r="AG94" i="2" s="1"/>
  <c r="Q19" i="1"/>
  <c r="Q20" i="1"/>
  <c r="Q21" i="1"/>
  <c r="Q22" i="1"/>
  <c r="AG42" i="2" s="1"/>
  <c r="Q23" i="1"/>
  <c r="AG79" i="2" s="1"/>
  <c r="Q24" i="1"/>
  <c r="AG23" i="2" s="1"/>
  <c r="Q25" i="1"/>
  <c r="AG61" i="2" s="1"/>
  <c r="Q26" i="1"/>
  <c r="AG19" i="2" s="1"/>
  <c r="Q27" i="1"/>
  <c r="Q28" i="1"/>
  <c r="AG78" i="2" s="1"/>
  <c r="Q29" i="1"/>
  <c r="Q30" i="1"/>
  <c r="Q31" i="1"/>
  <c r="Q32" i="1"/>
  <c r="Q33" i="1"/>
  <c r="Q34" i="1"/>
  <c r="Q35" i="1"/>
  <c r="Q36" i="1"/>
  <c r="Q37" i="1"/>
  <c r="Q38" i="1"/>
  <c r="Q40" i="1"/>
  <c r="Q41" i="1"/>
  <c r="Q42" i="1"/>
  <c r="Q43" i="1"/>
  <c r="Q44" i="1"/>
  <c r="Q45" i="1"/>
  <c r="Q46" i="1"/>
  <c r="AG213" i="2" s="1"/>
  <c r="Q47" i="1"/>
  <c r="AG168" i="2" s="1"/>
  <c r="Q48" i="1"/>
  <c r="Q49" i="1"/>
  <c r="AG179" i="2" s="1"/>
  <c r="Q50" i="1"/>
  <c r="Q51" i="1"/>
  <c r="Q52" i="1"/>
  <c r="AG77" i="2" s="1"/>
  <c r="Q53" i="1"/>
  <c r="Q54" i="1"/>
  <c r="Q55" i="1"/>
  <c r="AG59" i="2" s="1"/>
  <c r="Q56" i="1"/>
  <c r="Q57" i="1"/>
  <c r="Q58" i="1"/>
  <c r="AG47" i="2" s="1"/>
  <c r="Q59" i="1"/>
  <c r="Q60" i="1"/>
  <c r="Q61" i="1"/>
  <c r="Q62" i="1"/>
  <c r="Q63" i="1"/>
  <c r="Q64" i="1"/>
  <c r="AG5" i="2" s="1"/>
  <c r="Q65" i="1"/>
  <c r="Q66" i="1"/>
  <c r="Q67" i="1"/>
  <c r="Q68" i="1"/>
  <c r="Q69" i="1"/>
  <c r="Q70" i="1"/>
  <c r="Q71" i="1"/>
  <c r="Q72" i="1"/>
  <c r="AG224" i="2" s="1"/>
  <c r="Q73" i="1"/>
  <c r="AG92" i="2" s="1"/>
  <c r="Q74" i="1"/>
  <c r="Q75" i="1"/>
  <c r="Q76" i="1"/>
  <c r="AG128" i="2" s="1"/>
  <c r="Q77" i="1"/>
  <c r="Q78" i="1"/>
  <c r="AG154" i="2" s="1"/>
  <c r="Q79" i="1"/>
  <c r="Q80" i="1"/>
  <c r="Q81" i="1"/>
  <c r="Q82" i="1"/>
  <c r="AG220" i="2" s="1"/>
  <c r="Q83" i="1"/>
  <c r="Q84" i="1"/>
  <c r="AG136" i="2" s="1"/>
  <c r="Q85" i="1"/>
  <c r="Q86" i="1"/>
  <c r="Q88" i="1"/>
  <c r="AG36" i="2" s="1"/>
  <c r="Q89" i="1"/>
  <c r="Q90" i="1"/>
  <c r="Q91" i="1"/>
  <c r="Q92" i="1"/>
  <c r="Q93" i="1"/>
  <c r="Q94" i="1"/>
  <c r="Q95" i="1"/>
  <c r="Q96" i="1"/>
  <c r="Q97" i="1"/>
  <c r="Q98" i="1"/>
  <c r="AG181" i="2" s="1"/>
  <c r="Q99" i="1"/>
  <c r="Q100" i="1"/>
  <c r="AG140" i="2" s="1"/>
  <c r="Q101" i="1"/>
  <c r="AG80" i="2" s="1"/>
  <c r="Q102" i="1"/>
  <c r="Q103" i="1"/>
  <c r="Q104" i="1"/>
  <c r="AG153" i="2" s="1"/>
  <c r="Q105" i="1"/>
  <c r="Q106" i="1"/>
  <c r="Q107" i="1"/>
  <c r="Q108" i="1"/>
  <c r="Q109" i="1"/>
  <c r="Q110" i="1"/>
  <c r="AG97" i="2" s="1"/>
  <c r="Q111" i="1"/>
  <c r="Q112" i="1"/>
  <c r="Q113" i="1"/>
  <c r="AG24" i="2" s="1"/>
  <c r="Q114" i="1"/>
  <c r="Q115" i="1"/>
  <c r="Q116" i="1"/>
  <c r="Q117" i="1"/>
  <c r="Q118" i="1"/>
  <c r="Q119" i="1"/>
  <c r="Q120" i="1"/>
  <c r="Q121" i="1"/>
  <c r="AG131" i="2" s="1"/>
  <c r="Q122" i="1"/>
  <c r="Q123" i="1"/>
  <c r="AG93" i="2" s="1"/>
  <c r="Q124" i="1"/>
  <c r="Q125" i="1"/>
  <c r="AG172" i="2" s="1"/>
  <c r="Q126" i="1"/>
  <c r="Q127" i="1"/>
  <c r="AG31" i="2" s="1"/>
  <c r="Q128" i="1"/>
  <c r="AG114" i="2" s="1"/>
  <c r="Q129" i="1"/>
  <c r="Q130" i="1"/>
  <c r="Q131" i="1"/>
  <c r="AG210" i="2" s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6" i="1"/>
  <c r="AG3" i="2" s="1"/>
  <c r="Q147" i="1"/>
  <c r="Q148" i="1"/>
  <c r="Q149" i="1"/>
  <c r="AG102" i="2" s="1"/>
  <c r="Q150" i="1"/>
  <c r="AG177" i="2" s="1"/>
  <c r="Q151" i="1"/>
  <c r="Q152" i="1"/>
  <c r="AG81" i="2" s="1"/>
  <c r="Q153" i="1"/>
  <c r="AG152" i="2" s="1"/>
  <c r="Q154" i="1"/>
  <c r="Q155" i="1"/>
  <c r="Q156" i="1"/>
  <c r="Q157" i="1"/>
  <c r="Q158" i="1"/>
  <c r="AG88" i="2" s="1"/>
  <c r="Q159" i="1"/>
  <c r="Q160" i="1"/>
  <c r="Q161" i="1"/>
  <c r="Q162" i="1"/>
  <c r="Q163" i="1"/>
  <c r="Q164" i="1"/>
  <c r="Q165" i="1"/>
  <c r="Q166" i="1"/>
  <c r="Q167" i="1"/>
  <c r="Q168" i="1"/>
  <c r="Q169" i="1"/>
  <c r="AG13" i="2" s="1"/>
  <c r="Q170" i="1"/>
  <c r="Q171" i="1"/>
  <c r="Q172" i="1"/>
  <c r="Q173" i="1"/>
  <c r="Q174" i="1"/>
  <c r="Q175" i="1"/>
  <c r="Q176" i="1"/>
  <c r="AG160" i="2" s="1"/>
  <c r="Q177" i="1"/>
  <c r="Q178" i="1"/>
  <c r="Q179" i="1"/>
  <c r="Q180" i="1"/>
  <c r="Q181" i="1"/>
  <c r="Q182" i="1"/>
  <c r="Q183" i="1"/>
  <c r="Q184" i="1"/>
  <c r="Q185" i="1"/>
  <c r="AG174" i="2" s="1"/>
  <c r="Q186" i="1"/>
  <c r="Q187" i="1"/>
  <c r="Q188" i="1"/>
  <c r="Q189" i="1"/>
  <c r="Q190" i="1"/>
  <c r="Q191" i="1"/>
  <c r="Q192" i="1"/>
  <c r="Q193" i="1"/>
  <c r="Q194" i="1"/>
  <c r="Q195" i="1"/>
  <c r="Q196" i="1"/>
  <c r="Q197" i="1"/>
  <c r="AG180" i="2" s="1"/>
  <c r="Q198" i="1"/>
  <c r="AG125" i="2" s="1"/>
  <c r="Q199" i="1"/>
  <c r="Q200" i="1"/>
  <c r="Q201" i="1"/>
  <c r="AG200" i="2" s="1"/>
  <c r="Q202" i="1"/>
  <c r="Q203" i="1"/>
  <c r="AG120" i="2" s="1"/>
  <c r="Q204" i="1"/>
  <c r="Q205" i="1"/>
  <c r="Q206" i="1"/>
  <c r="AG38" i="2" s="1"/>
  <c r="Q207" i="1"/>
  <c r="Q208" i="1"/>
  <c r="Q209" i="1"/>
  <c r="AG64" i="2" s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AG201" i="2" s="1"/>
  <c r="Q223" i="1"/>
  <c r="Q224" i="1"/>
  <c r="Q225" i="1"/>
  <c r="Q226" i="1"/>
  <c r="Q227" i="1"/>
  <c r="Q228" i="1"/>
  <c r="Q229" i="1"/>
  <c r="Q39" i="1"/>
  <c r="Q87" i="1"/>
  <c r="AG8" i="2" s="1"/>
  <c r="Q145" i="1"/>
  <c r="Q2" i="1"/>
  <c r="P3" i="1"/>
  <c r="AF7" i="2" s="1"/>
  <c r="P4" i="1"/>
  <c r="P5" i="1"/>
  <c r="AF188" i="2" s="1"/>
  <c r="P6" i="1"/>
  <c r="P7" i="1"/>
  <c r="P8" i="1"/>
  <c r="P9" i="1"/>
  <c r="P10" i="1"/>
  <c r="P11" i="1"/>
  <c r="P12" i="1"/>
  <c r="AF20" i="2" s="1"/>
  <c r="P13" i="1"/>
  <c r="P14" i="1"/>
  <c r="P15" i="1"/>
  <c r="P16" i="1"/>
  <c r="AF196" i="2" s="1"/>
  <c r="P17" i="1"/>
  <c r="AF67" i="2" s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AF11" i="2" s="1"/>
  <c r="P36" i="1"/>
  <c r="AF87" i="2" s="1"/>
  <c r="P37" i="1"/>
  <c r="AF198" i="2" s="1"/>
  <c r="P38" i="1"/>
  <c r="AF106" i="2" s="1"/>
  <c r="P40" i="1"/>
  <c r="P41" i="1"/>
  <c r="P42" i="1"/>
  <c r="AF186" i="2" s="1"/>
  <c r="P43" i="1"/>
  <c r="P44" i="1"/>
  <c r="P45" i="1"/>
  <c r="P46" i="1"/>
  <c r="P47" i="1"/>
  <c r="P48" i="1"/>
  <c r="P49" i="1"/>
  <c r="AF179" i="2" s="1"/>
  <c r="P50" i="1"/>
  <c r="P51" i="1"/>
  <c r="P52" i="1"/>
  <c r="P53" i="1"/>
  <c r="P54" i="1"/>
  <c r="P55" i="1"/>
  <c r="P56" i="1"/>
  <c r="P57" i="1"/>
  <c r="P58" i="1"/>
  <c r="P59" i="1"/>
  <c r="P60" i="1"/>
  <c r="P61" i="1"/>
  <c r="AF191" i="2" s="1"/>
  <c r="P62" i="1"/>
  <c r="P63" i="1"/>
  <c r="P64" i="1"/>
  <c r="AF5" i="2" s="1"/>
  <c r="P65" i="1"/>
  <c r="AF169" i="2" s="1"/>
  <c r="P66" i="1"/>
  <c r="AF69" i="2" s="1"/>
  <c r="P67" i="1"/>
  <c r="P68" i="1"/>
  <c r="P69" i="1"/>
  <c r="P70" i="1"/>
  <c r="P71" i="1"/>
  <c r="P72" i="1"/>
  <c r="P73" i="1"/>
  <c r="AF92" i="2" s="1"/>
  <c r="P74" i="1"/>
  <c r="P75" i="1"/>
  <c r="P76" i="1"/>
  <c r="P77" i="1"/>
  <c r="P78" i="1"/>
  <c r="P79" i="1"/>
  <c r="AF109" i="2" s="1"/>
  <c r="P80" i="1"/>
  <c r="P81" i="1"/>
  <c r="P82" i="1"/>
  <c r="P83" i="1"/>
  <c r="P84" i="1"/>
  <c r="AF136" i="2" s="1"/>
  <c r="P85" i="1"/>
  <c r="AF176" i="2" s="1"/>
  <c r="P86" i="1"/>
  <c r="P88" i="1"/>
  <c r="AF36" i="2" s="1"/>
  <c r="P89" i="1"/>
  <c r="P90" i="1"/>
  <c r="P91" i="1"/>
  <c r="AF76" i="2" s="1"/>
  <c r="P92" i="1"/>
  <c r="P93" i="1"/>
  <c r="P94" i="1"/>
  <c r="AF6" i="2" s="1"/>
  <c r="P95" i="1"/>
  <c r="P96" i="1"/>
  <c r="P97" i="1"/>
  <c r="P98" i="1"/>
  <c r="P99" i="1"/>
  <c r="P100" i="1"/>
  <c r="AF140" i="2" s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AF24" i="2" s="1"/>
  <c r="P114" i="1"/>
  <c r="AF209" i="2" s="1"/>
  <c r="P115" i="1"/>
  <c r="P116" i="1"/>
  <c r="AF122" i="2" s="1"/>
  <c r="P117" i="1"/>
  <c r="P118" i="1"/>
  <c r="P119" i="1"/>
  <c r="P120" i="1"/>
  <c r="P121" i="1"/>
  <c r="AF131" i="2" s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AF75" i="2" s="1"/>
  <c r="P135" i="1"/>
  <c r="P136" i="1"/>
  <c r="AF211" i="2" s="1"/>
  <c r="P137" i="1"/>
  <c r="AF182" i="2" s="1"/>
  <c r="P138" i="1"/>
  <c r="AF183" i="2" s="1"/>
  <c r="P139" i="1"/>
  <c r="P140" i="1"/>
  <c r="P141" i="1"/>
  <c r="P142" i="1"/>
  <c r="P143" i="1"/>
  <c r="AF58" i="2" s="1"/>
  <c r="P144" i="1"/>
  <c r="P146" i="1"/>
  <c r="AF3" i="2" s="1"/>
  <c r="P147" i="1"/>
  <c r="P148" i="1"/>
  <c r="P149" i="1"/>
  <c r="AF102" i="2" s="1"/>
  <c r="P150" i="1"/>
  <c r="P151" i="1"/>
  <c r="P152" i="1"/>
  <c r="P153" i="1"/>
  <c r="P154" i="1"/>
  <c r="P155" i="1"/>
  <c r="P156" i="1"/>
  <c r="P157" i="1"/>
  <c r="P158" i="1"/>
  <c r="AF88" i="2" s="1"/>
  <c r="P159" i="1"/>
  <c r="AF148" i="2" s="1"/>
  <c r="P160" i="1"/>
  <c r="P161" i="1"/>
  <c r="AF189" i="2" s="1"/>
  <c r="P162" i="1"/>
  <c r="P163" i="1"/>
  <c r="P164" i="1"/>
  <c r="AF184" i="2" s="1"/>
  <c r="P165" i="1"/>
  <c r="P166" i="1"/>
  <c r="P167" i="1"/>
  <c r="P168" i="1"/>
  <c r="P169" i="1"/>
  <c r="P170" i="1"/>
  <c r="AF53" i="2" s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AF62" i="2" s="1"/>
  <c r="P184" i="1"/>
  <c r="P185" i="1"/>
  <c r="AF174" i="2" s="1"/>
  <c r="P186" i="1"/>
  <c r="P187" i="1"/>
  <c r="P188" i="1"/>
  <c r="AF35" i="2" s="1"/>
  <c r="P189" i="1"/>
  <c r="P190" i="1"/>
  <c r="P191" i="1"/>
  <c r="P192" i="1"/>
  <c r="P193" i="1"/>
  <c r="P194" i="1"/>
  <c r="P195" i="1"/>
  <c r="P196" i="1"/>
  <c r="P197" i="1"/>
  <c r="P198" i="1"/>
  <c r="AF125" i="2" s="1"/>
  <c r="P199" i="1"/>
  <c r="P200" i="1"/>
  <c r="P201" i="1"/>
  <c r="P202" i="1"/>
  <c r="P203" i="1"/>
  <c r="P204" i="1"/>
  <c r="P205" i="1"/>
  <c r="P206" i="1"/>
  <c r="P207" i="1"/>
  <c r="AF60" i="2" s="1"/>
  <c r="P208" i="1"/>
  <c r="P209" i="1"/>
  <c r="AF64" i="2" s="1"/>
  <c r="P210" i="1"/>
  <c r="AF44" i="2" s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AF149" i="2" s="1"/>
  <c r="P39" i="1"/>
  <c r="P87" i="1"/>
  <c r="AF8" i="2" s="1"/>
  <c r="P145" i="1"/>
  <c r="P2" i="1"/>
  <c r="AF29" i="2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AE42" i="2" s="1"/>
  <c r="O23" i="1"/>
  <c r="O24" i="1"/>
  <c r="AE23" i="2" s="1"/>
  <c r="O25" i="1"/>
  <c r="AE61" i="2" s="1"/>
  <c r="O26" i="1"/>
  <c r="AE19" i="2" s="1"/>
  <c r="O27" i="1"/>
  <c r="O28" i="1"/>
  <c r="O29" i="1"/>
  <c r="O30" i="1"/>
  <c r="O31" i="1"/>
  <c r="O32" i="1"/>
  <c r="O33" i="1"/>
  <c r="O34" i="1"/>
  <c r="O35" i="1"/>
  <c r="O36" i="1"/>
  <c r="O37" i="1"/>
  <c r="O38" i="1"/>
  <c r="O40" i="1"/>
  <c r="O41" i="1"/>
  <c r="O42" i="1"/>
  <c r="O43" i="1"/>
  <c r="O44" i="1"/>
  <c r="O45" i="1"/>
  <c r="O46" i="1"/>
  <c r="AE213" i="2" s="1"/>
  <c r="O47" i="1"/>
  <c r="AE168" i="2" s="1"/>
  <c r="O48" i="1"/>
  <c r="O49" i="1"/>
  <c r="AE179" i="2" s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AE224" i="2" s="1"/>
  <c r="O73" i="1"/>
  <c r="AE92" i="2" s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8" i="1"/>
  <c r="O89" i="1"/>
  <c r="O90" i="1"/>
  <c r="O91" i="1"/>
  <c r="O92" i="1"/>
  <c r="O93" i="1"/>
  <c r="O94" i="1"/>
  <c r="O95" i="1"/>
  <c r="O96" i="1"/>
  <c r="O97" i="1"/>
  <c r="O98" i="1"/>
  <c r="AE181" i="2" s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AE131" i="2" s="1"/>
  <c r="O122" i="1"/>
  <c r="O123" i="1"/>
  <c r="AE93" i="2" s="1"/>
  <c r="O124" i="1"/>
  <c r="O125" i="1"/>
  <c r="O126" i="1"/>
  <c r="O127" i="1"/>
  <c r="AE31" i="2" s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6" i="1"/>
  <c r="AE3" i="2" s="1"/>
  <c r="O147" i="1"/>
  <c r="O148" i="1"/>
  <c r="O149" i="1"/>
  <c r="AE102" i="2" s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AE13" i="2" s="1"/>
  <c r="O170" i="1"/>
  <c r="O171" i="1"/>
  <c r="O172" i="1"/>
  <c r="O173" i="1"/>
  <c r="O174" i="1"/>
  <c r="O175" i="1"/>
  <c r="O176" i="1"/>
  <c r="AE160" i="2" s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AE180" i="2" s="1"/>
  <c r="O198" i="1"/>
  <c r="AE125" i="2" s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AE32" i="2" s="1"/>
  <c r="O218" i="1"/>
  <c r="O219" i="1"/>
  <c r="O220" i="1"/>
  <c r="AE132" i="2" s="1"/>
  <c r="O221" i="1"/>
  <c r="O222" i="1"/>
  <c r="O223" i="1"/>
  <c r="O224" i="1"/>
  <c r="O225" i="1"/>
  <c r="O226" i="1"/>
  <c r="O227" i="1"/>
  <c r="O228" i="1"/>
  <c r="O229" i="1"/>
  <c r="O39" i="1"/>
  <c r="O87" i="1"/>
  <c r="O145" i="1"/>
  <c r="O2" i="1"/>
  <c r="N3" i="1"/>
  <c r="AD7" i="2" s="1"/>
  <c r="N4" i="1"/>
  <c r="N5" i="1"/>
  <c r="AD188" i="2" s="1"/>
  <c r="N6" i="1"/>
  <c r="N7" i="1"/>
  <c r="N8" i="1"/>
  <c r="N9" i="1"/>
  <c r="N10" i="1"/>
  <c r="N11" i="1"/>
  <c r="N12" i="1"/>
  <c r="AD20" i="2" s="1"/>
  <c r="N13" i="1"/>
  <c r="N14" i="1"/>
  <c r="N15" i="1"/>
  <c r="AD112" i="2" s="1"/>
  <c r="N16" i="1"/>
  <c r="AD196" i="2" s="1"/>
  <c r="N17" i="1"/>
  <c r="AD67" i="2" s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AD11" i="2" s="1"/>
  <c r="N36" i="1"/>
  <c r="AD87" i="2" s="1"/>
  <c r="N37" i="1"/>
  <c r="AD198" i="2" s="1"/>
  <c r="N38" i="1"/>
  <c r="AD106" i="2" s="1"/>
  <c r="N40" i="1"/>
  <c r="N41" i="1"/>
  <c r="N42" i="1"/>
  <c r="AD186" i="2" s="1"/>
  <c r="N43" i="1"/>
  <c r="N44" i="1"/>
  <c r="N45" i="1"/>
  <c r="N46" i="1"/>
  <c r="N47" i="1"/>
  <c r="N48" i="1"/>
  <c r="N49" i="1"/>
  <c r="N50" i="1"/>
  <c r="N51" i="1"/>
  <c r="N52" i="1"/>
  <c r="AD77" i="2" s="1"/>
  <c r="N53" i="1"/>
  <c r="N54" i="1"/>
  <c r="N55" i="1"/>
  <c r="N56" i="1"/>
  <c r="N57" i="1"/>
  <c r="N58" i="1"/>
  <c r="N59" i="1"/>
  <c r="N60" i="1"/>
  <c r="N61" i="1"/>
  <c r="N62" i="1"/>
  <c r="N63" i="1"/>
  <c r="N64" i="1"/>
  <c r="AD5" i="2" s="1"/>
  <c r="N65" i="1"/>
  <c r="AD169" i="2" s="1"/>
  <c r="N66" i="1"/>
  <c r="AD69" i="2" s="1"/>
  <c r="N67" i="1"/>
  <c r="N68" i="1"/>
  <c r="N69" i="1"/>
  <c r="N70" i="1"/>
  <c r="N71" i="1"/>
  <c r="N72" i="1"/>
  <c r="N73" i="1"/>
  <c r="AD92" i="2" s="1"/>
  <c r="N74" i="1"/>
  <c r="N75" i="1"/>
  <c r="N76" i="1"/>
  <c r="N77" i="1"/>
  <c r="N78" i="1"/>
  <c r="N79" i="1"/>
  <c r="AD109" i="2" s="1"/>
  <c r="N80" i="1"/>
  <c r="N81" i="1"/>
  <c r="N82" i="1"/>
  <c r="N83" i="1"/>
  <c r="N84" i="1"/>
  <c r="AD136" i="2" s="1"/>
  <c r="N85" i="1"/>
  <c r="AD176" i="2" s="1"/>
  <c r="N86" i="1"/>
  <c r="N88" i="1"/>
  <c r="AD36" i="2" s="1"/>
  <c r="N89" i="1"/>
  <c r="N90" i="1"/>
  <c r="N91" i="1"/>
  <c r="AD76" i="2" s="1"/>
  <c r="N92" i="1"/>
  <c r="N93" i="1"/>
  <c r="N94" i="1"/>
  <c r="AD6" i="2" s="1"/>
  <c r="N95" i="1"/>
  <c r="N96" i="1"/>
  <c r="N97" i="1"/>
  <c r="N98" i="1"/>
  <c r="N99" i="1"/>
  <c r="N100" i="1"/>
  <c r="AD140" i="2" s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AD24" i="2" s="1"/>
  <c r="N114" i="1"/>
  <c r="AD209" i="2" s="1"/>
  <c r="N115" i="1"/>
  <c r="AD166" i="2" s="1"/>
  <c r="N116" i="1"/>
  <c r="AD122" i="2" s="1"/>
  <c r="N117" i="1"/>
  <c r="N118" i="1"/>
  <c r="N119" i="1"/>
  <c r="N120" i="1"/>
  <c r="N121" i="1"/>
  <c r="AD131" i="2" s="1"/>
  <c r="N122" i="1"/>
  <c r="N123" i="1"/>
  <c r="N124" i="1"/>
  <c r="N125" i="1"/>
  <c r="N126" i="1"/>
  <c r="N127" i="1"/>
  <c r="N128" i="1"/>
  <c r="N129" i="1"/>
  <c r="N130" i="1"/>
  <c r="N131" i="1"/>
  <c r="AD210" i="2" s="1"/>
  <c r="N132" i="1"/>
  <c r="N133" i="1"/>
  <c r="N134" i="1"/>
  <c r="AD75" i="2" s="1"/>
  <c r="N135" i="1"/>
  <c r="N136" i="1"/>
  <c r="AD211" i="2" s="1"/>
  <c r="N137" i="1"/>
  <c r="AD182" i="2" s="1"/>
  <c r="N138" i="1"/>
  <c r="AD183" i="2" s="1"/>
  <c r="N139" i="1"/>
  <c r="N140" i="1"/>
  <c r="N141" i="1"/>
  <c r="N142" i="1"/>
  <c r="N143" i="1"/>
  <c r="N144" i="1"/>
  <c r="N146" i="1"/>
  <c r="AD3" i="2" s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AD148" i="2" s="1"/>
  <c r="N160" i="1"/>
  <c r="N161" i="1"/>
  <c r="AD189" i="2" s="1"/>
  <c r="N162" i="1"/>
  <c r="N163" i="1"/>
  <c r="N164" i="1"/>
  <c r="AD184" i="2" s="1"/>
  <c r="N165" i="1"/>
  <c r="N166" i="1"/>
  <c r="N167" i="1"/>
  <c r="N168" i="1"/>
  <c r="N169" i="1"/>
  <c r="N170" i="1"/>
  <c r="AD53" i="2" s="1"/>
  <c r="N171" i="1"/>
  <c r="N172" i="1"/>
  <c r="N173" i="1"/>
  <c r="N174" i="1"/>
  <c r="AD101" i="2" s="1"/>
  <c r="N175" i="1"/>
  <c r="N176" i="1"/>
  <c r="N177" i="1"/>
  <c r="N178" i="1"/>
  <c r="N179" i="1"/>
  <c r="N180" i="1"/>
  <c r="N181" i="1"/>
  <c r="N182" i="1"/>
  <c r="N183" i="1"/>
  <c r="AD62" i="2" s="1"/>
  <c r="N184" i="1"/>
  <c r="N185" i="1"/>
  <c r="AD174" i="2" s="1"/>
  <c r="N186" i="1"/>
  <c r="N187" i="1"/>
  <c r="N188" i="1"/>
  <c r="AD35" i="2" s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AD64" i="2" s="1"/>
  <c r="N210" i="1"/>
  <c r="AD44" i="2" s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AD149" i="2" s="1"/>
  <c r="N39" i="1"/>
  <c r="N87" i="1"/>
  <c r="N145" i="1"/>
  <c r="N2" i="1"/>
  <c r="AD29" i="2" s="1"/>
  <c r="M3" i="1"/>
  <c r="M4" i="1"/>
  <c r="M5" i="1"/>
  <c r="AC188" i="2" s="1"/>
  <c r="M6" i="1"/>
  <c r="AC141" i="2" s="1"/>
  <c r="M7" i="1"/>
  <c r="M8" i="1"/>
  <c r="M9" i="1"/>
  <c r="M10" i="1"/>
  <c r="M11" i="1"/>
  <c r="M12" i="1"/>
  <c r="M13" i="1"/>
  <c r="M14" i="1"/>
  <c r="M15" i="1"/>
  <c r="M16" i="1"/>
  <c r="M17" i="1"/>
  <c r="M18" i="1"/>
  <c r="AC94" i="2" s="1"/>
  <c r="M19" i="1"/>
  <c r="M20" i="1"/>
  <c r="M21" i="1"/>
  <c r="M22" i="1"/>
  <c r="AC42" i="2" s="1"/>
  <c r="M23" i="1"/>
  <c r="M24" i="1"/>
  <c r="AC23" i="2" s="1"/>
  <c r="M25" i="1"/>
  <c r="AC61" i="2" s="1"/>
  <c r="M26" i="1"/>
  <c r="AC19" i="2" s="1"/>
  <c r="M27" i="1"/>
  <c r="AC54" i="2" s="1"/>
  <c r="M28" i="1"/>
  <c r="M29" i="1"/>
  <c r="M30" i="1"/>
  <c r="M31" i="1"/>
  <c r="M32" i="1"/>
  <c r="M33" i="1"/>
  <c r="M34" i="1"/>
  <c r="M35" i="1"/>
  <c r="M36" i="1"/>
  <c r="M37" i="1"/>
  <c r="M38" i="1"/>
  <c r="M40" i="1"/>
  <c r="AC165" i="2" s="1"/>
  <c r="M41" i="1"/>
  <c r="M42" i="1"/>
  <c r="M43" i="1"/>
  <c r="M44" i="1"/>
  <c r="M45" i="1"/>
  <c r="M46" i="1"/>
  <c r="AC213" i="2" s="1"/>
  <c r="M47" i="1"/>
  <c r="AC168" i="2" s="1"/>
  <c r="M48" i="1"/>
  <c r="M49" i="1"/>
  <c r="AC179" i="2" s="1"/>
  <c r="M50" i="1"/>
  <c r="M51" i="1"/>
  <c r="M52" i="1"/>
  <c r="M53" i="1"/>
  <c r="M54" i="1"/>
  <c r="AC163" i="2" s="1"/>
  <c r="M55" i="1"/>
  <c r="AC59" i="2" s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AC224" i="2" s="1"/>
  <c r="M73" i="1"/>
  <c r="M74" i="1"/>
  <c r="AC12" i="2" s="1"/>
  <c r="M75" i="1"/>
  <c r="M76" i="1"/>
  <c r="M77" i="1"/>
  <c r="M78" i="1"/>
  <c r="AC154" i="2" s="1"/>
  <c r="M79" i="1"/>
  <c r="M80" i="1"/>
  <c r="M81" i="1"/>
  <c r="M82" i="1"/>
  <c r="M83" i="1"/>
  <c r="M84" i="1"/>
  <c r="AC136" i="2" s="1"/>
  <c r="M85" i="1"/>
  <c r="M86" i="1"/>
  <c r="M88" i="1"/>
  <c r="AC36" i="2" s="1"/>
  <c r="M89" i="1"/>
  <c r="M90" i="1"/>
  <c r="M91" i="1"/>
  <c r="M92" i="1"/>
  <c r="M93" i="1"/>
  <c r="M94" i="1"/>
  <c r="M95" i="1"/>
  <c r="M96" i="1"/>
  <c r="M97" i="1"/>
  <c r="M98" i="1"/>
  <c r="AC181" i="2" s="1"/>
  <c r="M99" i="1"/>
  <c r="M100" i="1"/>
  <c r="M101" i="1"/>
  <c r="AC80" i="2" s="1"/>
  <c r="M102" i="1"/>
  <c r="M103" i="1"/>
  <c r="M104" i="1"/>
  <c r="M105" i="1"/>
  <c r="M106" i="1"/>
  <c r="M107" i="1"/>
  <c r="M108" i="1"/>
  <c r="M109" i="1"/>
  <c r="M110" i="1"/>
  <c r="AC97" i="2" s="1"/>
  <c r="M111" i="1"/>
  <c r="M112" i="1"/>
  <c r="M113" i="1"/>
  <c r="AC24" i="2" s="1"/>
  <c r="M114" i="1"/>
  <c r="M115" i="1"/>
  <c r="M116" i="1"/>
  <c r="M117" i="1"/>
  <c r="M118" i="1"/>
  <c r="M119" i="1"/>
  <c r="M120" i="1"/>
  <c r="M121" i="1"/>
  <c r="AC131" i="2" s="1"/>
  <c r="M122" i="1"/>
  <c r="M123" i="1"/>
  <c r="AC93" i="2" s="1"/>
  <c r="M124" i="1"/>
  <c r="M125" i="1"/>
  <c r="AC172" i="2" s="1"/>
  <c r="M126" i="1"/>
  <c r="M127" i="1"/>
  <c r="AC31" i="2" s="1"/>
  <c r="M128" i="1"/>
  <c r="M129" i="1"/>
  <c r="M130" i="1"/>
  <c r="AC139" i="2" s="1"/>
  <c r="M131" i="1"/>
  <c r="AC210" i="2" s="1"/>
  <c r="M132" i="1"/>
  <c r="M133" i="1"/>
  <c r="M134" i="1"/>
  <c r="M135" i="1"/>
  <c r="M136" i="1"/>
  <c r="M137" i="1"/>
  <c r="AC182" i="2" s="1"/>
  <c r="M138" i="1"/>
  <c r="M139" i="1"/>
  <c r="M140" i="1"/>
  <c r="M141" i="1"/>
  <c r="M142" i="1"/>
  <c r="M143" i="1"/>
  <c r="M144" i="1"/>
  <c r="M146" i="1"/>
  <c r="M147" i="1"/>
  <c r="M148" i="1"/>
  <c r="M149" i="1"/>
  <c r="AC102" i="2" s="1"/>
  <c r="M150" i="1"/>
  <c r="AC177" i="2" s="1"/>
  <c r="M151" i="1"/>
  <c r="M152" i="1"/>
  <c r="AC81" i="2" s="1"/>
  <c r="M153" i="1"/>
  <c r="AC152" i="2" s="1"/>
  <c r="M154" i="1"/>
  <c r="M155" i="1"/>
  <c r="M156" i="1"/>
  <c r="M157" i="1"/>
  <c r="M158" i="1"/>
  <c r="AC88" i="2" s="1"/>
  <c r="M159" i="1"/>
  <c r="M160" i="1"/>
  <c r="M161" i="1"/>
  <c r="AC189" i="2" s="1"/>
  <c r="M162" i="1"/>
  <c r="M163" i="1"/>
  <c r="M164" i="1"/>
  <c r="M165" i="1"/>
  <c r="M166" i="1"/>
  <c r="M167" i="1"/>
  <c r="M168" i="1"/>
  <c r="M169" i="1"/>
  <c r="AC13" i="2" s="1"/>
  <c r="M170" i="1"/>
  <c r="M171" i="1"/>
  <c r="M172" i="1"/>
  <c r="M173" i="1"/>
  <c r="M174" i="1"/>
  <c r="AC101" i="2" s="1"/>
  <c r="M175" i="1"/>
  <c r="AC156" i="2" s="1"/>
  <c r="M176" i="1"/>
  <c r="M177" i="1"/>
  <c r="M178" i="1"/>
  <c r="M179" i="1"/>
  <c r="M180" i="1"/>
  <c r="M181" i="1"/>
  <c r="M182" i="1"/>
  <c r="M183" i="1"/>
  <c r="M184" i="1"/>
  <c r="M185" i="1"/>
  <c r="AC174" i="2" s="1"/>
  <c r="M186" i="1"/>
  <c r="AC118" i="2" s="1"/>
  <c r="M187" i="1"/>
  <c r="M188" i="1"/>
  <c r="M189" i="1"/>
  <c r="M190" i="1"/>
  <c r="M191" i="1"/>
  <c r="M192" i="1"/>
  <c r="M193" i="1"/>
  <c r="AC110" i="2" s="1"/>
  <c r="M194" i="1"/>
  <c r="M195" i="1"/>
  <c r="M196" i="1"/>
  <c r="M197" i="1"/>
  <c r="AC180" i="2" s="1"/>
  <c r="M198" i="1"/>
  <c r="AC125" i="2" s="1"/>
  <c r="M199" i="1"/>
  <c r="M200" i="1"/>
  <c r="M201" i="1"/>
  <c r="M202" i="1"/>
  <c r="M203" i="1"/>
  <c r="AC120" i="2" s="1"/>
  <c r="M204" i="1"/>
  <c r="M205" i="1"/>
  <c r="M206" i="1"/>
  <c r="AC38" i="2" s="1"/>
  <c r="M207" i="1"/>
  <c r="M208" i="1"/>
  <c r="M209" i="1"/>
  <c r="AC64" i="2" s="1"/>
  <c r="M210" i="1"/>
  <c r="AC44" i="2" s="1"/>
  <c r="M211" i="1"/>
  <c r="M212" i="1"/>
  <c r="M213" i="1"/>
  <c r="M214" i="1"/>
  <c r="M215" i="1"/>
  <c r="M216" i="1"/>
  <c r="M217" i="1"/>
  <c r="AC32" i="2" s="1"/>
  <c r="M218" i="1"/>
  <c r="M219" i="1"/>
  <c r="M220" i="1"/>
  <c r="AC132" i="2" s="1"/>
  <c r="M221" i="1"/>
  <c r="M222" i="1"/>
  <c r="AC201" i="2" s="1"/>
  <c r="M223" i="1"/>
  <c r="M224" i="1"/>
  <c r="M225" i="1"/>
  <c r="M226" i="1"/>
  <c r="M227" i="1"/>
  <c r="M228" i="1"/>
  <c r="M229" i="1"/>
  <c r="M39" i="1"/>
  <c r="M87" i="1"/>
  <c r="AC8" i="2" s="1"/>
  <c r="M145" i="1"/>
  <c r="M2" i="1"/>
  <c r="K2" i="1"/>
  <c r="AA29" i="2" s="1"/>
  <c r="L2" i="1"/>
  <c r="AB29" i="2" s="1"/>
  <c r="R2" i="1"/>
  <c r="AH29" i="2" s="1"/>
  <c r="J3" i="1"/>
  <c r="Z7" i="2" s="1"/>
  <c r="J4" i="1"/>
  <c r="J5" i="1"/>
  <c r="J6" i="1"/>
  <c r="J7" i="1"/>
  <c r="J8" i="1"/>
  <c r="J9" i="1"/>
  <c r="Z219" i="2" s="1"/>
  <c r="J10" i="1"/>
  <c r="Z119" i="2" s="1"/>
  <c r="J11" i="1"/>
  <c r="Z66" i="2" s="1"/>
  <c r="J12" i="1"/>
  <c r="Z20" i="2" s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Z91" i="2" s="1"/>
  <c r="J33" i="1"/>
  <c r="J34" i="1"/>
  <c r="J35" i="1"/>
  <c r="Z11" i="2" s="1"/>
  <c r="J36" i="1"/>
  <c r="Z87" i="2" s="1"/>
  <c r="J37" i="1"/>
  <c r="Z198" i="2" s="1"/>
  <c r="J38" i="1"/>
  <c r="Z106" i="2" s="1"/>
  <c r="J40" i="1"/>
  <c r="J41" i="1"/>
  <c r="J42" i="1"/>
  <c r="J43" i="1"/>
  <c r="J44" i="1"/>
  <c r="J45" i="1"/>
  <c r="J46" i="1"/>
  <c r="J47" i="1"/>
  <c r="J48" i="1"/>
  <c r="J49" i="1"/>
  <c r="Z179" i="2" s="1"/>
  <c r="J50" i="1"/>
  <c r="J51" i="1"/>
  <c r="J52" i="1"/>
  <c r="J53" i="1"/>
  <c r="J54" i="1"/>
  <c r="J55" i="1"/>
  <c r="J56" i="1"/>
  <c r="J57" i="1"/>
  <c r="Z82" i="2" s="1"/>
  <c r="J58" i="1"/>
  <c r="J59" i="1"/>
  <c r="J60" i="1"/>
  <c r="J61" i="1"/>
  <c r="Z191" i="2" s="1"/>
  <c r="J62" i="1"/>
  <c r="J63" i="1"/>
  <c r="J64" i="1"/>
  <c r="Z5" i="2" s="1"/>
  <c r="J65" i="1"/>
  <c r="J66" i="1"/>
  <c r="J67" i="1"/>
  <c r="J68" i="1"/>
  <c r="J69" i="1"/>
  <c r="J70" i="1"/>
  <c r="J71" i="1"/>
  <c r="J72" i="1"/>
  <c r="J73" i="1"/>
  <c r="Z92" i="2" s="1"/>
  <c r="J74" i="1"/>
  <c r="J75" i="1"/>
  <c r="J76" i="1"/>
  <c r="J77" i="1"/>
  <c r="J78" i="1"/>
  <c r="J79" i="1"/>
  <c r="Z109" i="2" s="1"/>
  <c r="J80" i="1"/>
  <c r="J81" i="1"/>
  <c r="J82" i="1"/>
  <c r="J83" i="1"/>
  <c r="J84" i="1"/>
  <c r="Z136" i="2" s="1"/>
  <c r="J85" i="1"/>
  <c r="Z176" i="2" s="1"/>
  <c r="J86" i="1"/>
  <c r="J88" i="1"/>
  <c r="Z36" i="2" s="1"/>
  <c r="J89" i="1"/>
  <c r="J90" i="1"/>
  <c r="J91" i="1"/>
  <c r="Z76" i="2" s="1"/>
  <c r="J92" i="1"/>
  <c r="J93" i="1"/>
  <c r="J94" i="1"/>
  <c r="Z6" i="2" s="1"/>
  <c r="J95" i="1"/>
  <c r="J96" i="1"/>
  <c r="J97" i="1"/>
  <c r="J98" i="1"/>
  <c r="J99" i="1"/>
  <c r="J100" i="1"/>
  <c r="Z140" i="2" s="1"/>
  <c r="J101" i="1"/>
  <c r="J102" i="1"/>
  <c r="J103" i="1"/>
  <c r="J104" i="1"/>
  <c r="J105" i="1"/>
  <c r="J106" i="1"/>
  <c r="Z146" i="2" s="1"/>
  <c r="J107" i="1"/>
  <c r="Z71" i="2" s="1"/>
  <c r="J108" i="1"/>
  <c r="J109" i="1"/>
  <c r="J110" i="1"/>
  <c r="Z97" i="2" s="1"/>
  <c r="J111" i="1"/>
  <c r="J112" i="1"/>
  <c r="J113" i="1"/>
  <c r="J114" i="1"/>
  <c r="J115" i="1"/>
  <c r="J116" i="1"/>
  <c r="Z122" i="2" s="1"/>
  <c r="J117" i="1"/>
  <c r="J118" i="1"/>
  <c r="J119" i="1"/>
  <c r="J120" i="1"/>
  <c r="J121" i="1"/>
  <c r="J122" i="1"/>
  <c r="Z50" i="2" s="1"/>
  <c r="J123" i="1"/>
  <c r="J124" i="1"/>
  <c r="J125" i="1"/>
  <c r="J126" i="1"/>
  <c r="J127" i="1"/>
  <c r="J128" i="1"/>
  <c r="J129" i="1"/>
  <c r="J130" i="1"/>
  <c r="Z139" i="2" s="1"/>
  <c r="J131" i="1"/>
  <c r="Z210" i="2" s="1"/>
  <c r="J132" i="1"/>
  <c r="J133" i="1"/>
  <c r="Z147" i="2" s="1"/>
  <c r="J134" i="1"/>
  <c r="Z75" i="2" s="1"/>
  <c r="J135" i="1"/>
  <c r="Z144" i="2" s="1"/>
  <c r="J136" i="1"/>
  <c r="Z211" i="2" s="1"/>
  <c r="J137" i="1"/>
  <c r="Z182" i="2" s="1"/>
  <c r="J138" i="1"/>
  <c r="J139" i="1"/>
  <c r="J140" i="1"/>
  <c r="Z10" i="2" s="1"/>
  <c r="J141" i="1"/>
  <c r="J142" i="1"/>
  <c r="J143" i="1"/>
  <c r="J144" i="1"/>
  <c r="J146" i="1"/>
  <c r="Z3" i="2" s="1"/>
  <c r="J147" i="1"/>
  <c r="Z95" i="2" s="1"/>
  <c r="J148" i="1"/>
  <c r="J149" i="1"/>
  <c r="J150" i="1"/>
  <c r="J151" i="1"/>
  <c r="J152" i="1"/>
  <c r="J153" i="1"/>
  <c r="J154" i="1"/>
  <c r="J155" i="1"/>
  <c r="J156" i="1"/>
  <c r="Z123" i="2" s="1"/>
  <c r="J157" i="1"/>
  <c r="J158" i="1"/>
  <c r="J159" i="1"/>
  <c r="Z148" i="2" s="1"/>
  <c r="J160" i="1"/>
  <c r="J161" i="1"/>
  <c r="Z189" i="2" s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Z86" i="2" s="1"/>
  <c r="J181" i="1"/>
  <c r="J182" i="1"/>
  <c r="J183" i="1"/>
  <c r="Z62" i="2" s="1"/>
  <c r="J184" i="1"/>
  <c r="J185" i="1"/>
  <c r="Z174" i="2" s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Z120" i="2" s="1"/>
  <c r="J204" i="1"/>
  <c r="Z192" i="2" s="1"/>
  <c r="J205" i="1"/>
  <c r="J206" i="1"/>
  <c r="J207" i="1"/>
  <c r="J208" i="1"/>
  <c r="J209" i="1"/>
  <c r="Z64" i="2" s="1"/>
  <c r="J210" i="1"/>
  <c r="Z44" i="2" s="1"/>
  <c r="J211" i="1"/>
  <c r="J212" i="1"/>
  <c r="J213" i="1"/>
  <c r="J214" i="1"/>
  <c r="J215" i="1"/>
  <c r="J216" i="1"/>
  <c r="J217" i="1"/>
  <c r="J218" i="1"/>
  <c r="J219" i="1"/>
  <c r="J220" i="1"/>
  <c r="J221" i="1"/>
  <c r="J222" i="1"/>
  <c r="Z201" i="2" s="1"/>
  <c r="J223" i="1"/>
  <c r="J224" i="1"/>
  <c r="J225" i="1"/>
  <c r="Z30" i="2" s="1"/>
  <c r="J226" i="1"/>
  <c r="J227" i="1"/>
  <c r="J228" i="1"/>
  <c r="Z74" i="2" s="1"/>
  <c r="J229" i="1"/>
  <c r="J39" i="1"/>
  <c r="J87" i="1"/>
  <c r="Z8" i="2" s="1"/>
  <c r="J145" i="1"/>
  <c r="AA128" i="2" l="1"/>
  <c r="AI70" i="2"/>
  <c r="AB134" i="2"/>
  <c r="AI52" i="2"/>
  <c r="AA161" i="2"/>
  <c r="AA115" i="2"/>
  <c r="AG144" i="2"/>
  <c r="AB22" i="2"/>
  <c r="AF83" i="2"/>
  <c r="AC199" i="2"/>
  <c r="AD222" i="2"/>
  <c r="AD89" i="2"/>
  <c r="Z25" i="2"/>
  <c r="AF143" i="2"/>
  <c r="AH173" i="2"/>
  <c r="Z184" i="2"/>
  <c r="AC137" i="2"/>
  <c r="AC103" i="2"/>
  <c r="AD83" i="2"/>
  <c r="AD56" i="2"/>
  <c r="AF39" i="2"/>
  <c r="AF56" i="2"/>
  <c r="AG91" i="2"/>
  <c r="AH215" i="2"/>
  <c r="AJ215" i="2"/>
  <c r="AG156" i="2"/>
  <c r="AH44" i="2"/>
  <c r="AH5" i="2"/>
  <c r="AA134" i="2"/>
  <c r="AA113" i="2"/>
  <c r="AB27" i="2"/>
  <c r="AG189" i="2"/>
  <c r="AI89" i="2"/>
  <c r="AH221" i="2"/>
  <c r="AA45" i="2"/>
  <c r="Z167" i="2"/>
  <c r="Z208" i="2"/>
  <c r="Z150" i="2"/>
  <c r="AD143" i="2"/>
  <c r="AJ76" i="2"/>
  <c r="AF16" i="2"/>
  <c r="Z83" i="2"/>
  <c r="AF222" i="2"/>
  <c r="AG162" i="2"/>
  <c r="AC111" i="2"/>
  <c r="AG63" i="2"/>
  <c r="AG111" i="2"/>
  <c r="AI76" i="2"/>
  <c r="AB180" i="2"/>
  <c r="AC55" i="2"/>
  <c r="AD172" i="2"/>
  <c r="AF101" i="2"/>
  <c r="AF177" i="2"/>
  <c r="AF77" i="2"/>
  <c r="AG44" i="2"/>
  <c r="AG118" i="2"/>
  <c r="AG182" i="2"/>
  <c r="AG55" i="2"/>
  <c r="AH159" i="2"/>
  <c r="AB222" i="2"/>
  <c r="AB89" i="2"/>
  <c r="AC52" i="2"/>
  <c r="AI100" i="2"/>
  <c r="AI68" i="2"/>
  <c r="AJ134" i="2"/>
  <c r="AJ221" i="2"/>
  <c r="AJ113" i="2"/>
  <c r="AJ49" i="2"/>
  <c r="AA60" i="2"/>
  <c r="AB32" i="2"/>
  <c r="AC37" i="2"/>
  <c r="AA197" i="2"/>
  <c r="AB206" i="2"/>
  <c r="Z226" i="2"/>
  <c r="AG37" i="2"/>
  <c r="AG158" i="2"/>
  <c r="Z45" i="2"/>
  <c r="Z22" i="2"/>
  <c r="AI147" i="2"/>
  <c r="AI199" i="2"/>
  <c r="AA187" i="2"/>
  <c r="AA157" i="2"/>
  <c r="Z173" i="2"/>
  <c r="AC27" i="2"/>
  <c r="AG202" i="2"/>
  <c r="AB127" i="2"/>
  <c r="AB195" i="2"/>
  <c r="AB214" i="2"/>
  <c r="AC202" i="2"/>
  <c r="AF89" i="2"/>
  <c r="AG27" i="2"/>
  <c r="AG199" i="2"/>
  <c r="Z178" i="2"/>
  <c r="AC71" i="2"/>
  <c r="AD58" i="2"/>
  <c r="AJ208" i="2"/>
  <c r="AJ105" i="2"/>
  <c r="AJ56" i="2"/>
  <c r="AJ173" i="2"/>
  <c r="AA194" i="2"/>
  <c r="AA99" i="2"/>
  <c r="AA15" i="2"/>
  <c r="AA170" i="2"/>
  <c r="AA59" i="2"/>
  <c r="AA162" i="2"/>
  <c r="AA141" i="2"/>
  <c r="AB4" i="2"/>
  <c r="AB166" i="2"/>
  <c r="AG86" i="2"/>
  <c r="Z35" i="2"/>
  <c r="Z4" i="2"/>
  <c r="Z69" i="2"/>
  <c r="Z67" i="2"/>
  <c r="AF173" i="2"/>
  <c r="AG137" i="2"/>
  <c r="AG103" i="2"/>
  <c r="AG18" i="2"/>
  <c r="AH195" i="2"/>
  <c r="AH9" i="2"/>
  <c r="AH98" i="2"/>
  <c r="AH164" i="2"/>
  <c r="AH105" i="2"/>
  <c r="Z166" i="2"/>
  <c r="Z186" i="2"/>
  <c r="AC18" i="2"/>
  <c r="AC91" i="2"/>
  <c r="AD39" i="2"/>
  <c r="AD208" i="2"/>
  <c r="AD105" i="2"/>
  <c r="AD173" i="2"/>
  <c r="AF72" i="2"/>
  <c r="AF167" i="2"/>
  <c r="AF208" i="2"/>
  <c r="AF105" i="2"/>
  <c r="AH127" i="2"/>
  <c r="AH229" i="2"/>
  <c r="AI194" i="2"/>
  <c r="AI99" i="2"/>
  <c r="AI15" i="2"/>
  <c r="AI170" i="2"/>
  <c r="AI108" i="2"/>
  <c r="AI43" i="2"/>
  <c r="AI216" i="2"/>
  <c r="AJ127" i="2"/>
  <c r="AJ195" i="2"/>
  <c r="AJ9" i="2"/>
  <c r="AJ98" i="2"/>
  <c r="AA111" i="2"/>
  <c r="AB151" i="2"/>
  <c r="Z209" i="2"/>
  <c r="Z169" i="2"/>
  <c r="Z85" i="2"/>
  <c r="AC170" i="2"/>
  <c r="AD127" i="2"/>
  <c r="AD98" i="2"/>
  <c r="AF127" i="2"/>
  <c r="AA78" i="2"/>
  <c r="AB44" i="2"/>
  <c r="AB55" i="2"/>
  <c r="AB5" i="2"/>
  <c r="AB165" i="2"/>
  <c r="Z68" i="2"/>
  <c r="AC175" i="2"/>
  <c r="AC51" i="2"/>
  <c r="AD85" i="2"/>
  <c r="AF85" i="2"/>
  <c r="AB148" i="2"/>
  <c r="AB38" i="2"/>
  <c r="AB187" i="2"/>
  <c r="AB157" i="2"/>
  <c r="AB117" i="2"/>
  <c r="AB197" i="2"/>
  <c r="Z212" i="2"/>
  <c r="AC134" i="2"/>
  <c r="AC221" i="2"/>
  <c r="AD144" i="2"/>
  <c r="AD68" i="2"/>
  <c r="AE134" i="2"/>
  <c r="AF144" i="2"/>
  <c r="AG134" i="2"/>
  <c r="AH148" i="2"/>
  <c r="AJ176" i="2"/>
  <c r="AJ87" i="2"/>
  <c r="AA224" i="2"/>
  <c r="AB123" i="2"/>
  <c r="AA155" i="2"/>
  <c r="AG32" i="2"/>
  <c r="AJ123" i="2"/>
  <c r="AB43" i="2"/>
  <c r="AB194" i="2"/>
  <c r="AH43" i="2"/>
  <c r="AD228" i="2"/>
  <c r="AA184" i="2"/>
  <c r="AB128" i="2"/>
  <c r="AJ223" i="2"/>
  <c r="Z14" i="2"/>
  <c r="AD167" i="2"/>
  <c r="AG135" i="2"/>
  <c r="AH223" i="2"/>
  <c r="AD70" i="2"/>
  <c r="AH183" i="2"/>
  <c r="AH37" i="2"/>
  <c r="AH138" i="2"/>
  <c r="AE129" i="2"/>
  <c r="Z161" i="2"/>
  <c r="AC113" i="2"/>
  <c r="AI130" i="2"/>
  <c r="AC57" i="2"/>
  <c r="AC104" i="2"/>
  <c r="AE135" i="2"/>
  <c r="Z225" i="2"/>
  <c r="AD171" i="2"/>
  <c r="AC107" i="2"/>
  <c r="AD223" i="2"/>
  <c r="AD115" i="2"/>
  <c r="AG71" i="2"/>
  <c r="AH39" i="2"/>
  <c r="AI73" i="2"/>
  <c r="AJ39" i="2"/>
  <c r="AI41" i="2"/>
  <c r="AJ164" i="2"/>
  <c r="AC227" i="2"/>
  <c r="AD195" i="2"/>
  <c r="AF207" i="2"/>
  <c r="AF25" i="2"/>
  <c r="AI21" i="2"/>
  <c r="AI107" i="2"/>
  <c r="AD25" i="2"/>
  <c r="AC78" i="2"/>
  <c r="AF151" i="2"/>
  <c r="AG57" i="2"/>
  <c r="AG175" i="2"/>
  <c r="AG21" i="2"/>
  <c r="AG107" i="2"/>
  <c r="Z37" i="2"/>
  <c r="Z115" i="2"/>
  <c r="AC130" i="2"/>
  <c r="AF48" i="2"/>
  <c r="AD55" i="2"/>
  <c r="Z100" i="2"/>
  <c r="AC128" i="2"/>
  <c r="AH158" i="2"/>
  <c r="AC160" i="2"/>
  <c r="Z52" i="2"/>
  <c r="AC63" i="2"/>
  <c r="AJ70" i="2"/>
  <c r="Z171" i="2"/>
  <c r="Z158" i="2"/>
  <c r="AC218" i="2"/>
  <c r="AD48" i="2"/>
  <c r="AD151" i="2"/>
  <c r="AD4" i="2"/>
  <c r="AG129" i="2"/>
  <c r="AC21" i="2"/>
  <c r="AC126" i="2"/>
  <c r="Z223" i="2"/>
  <c r="AF4" i="2"/>
  <c r="AF70" i="2"/>
  <c r="AF55" i="2"/>
  <c r="AC135" i="2"/>
  <c r="AH169" i="2"/>
  <c r="AH8" i="2"/>
  <c r="AC129" i="2"/>
  <c r="AJ37" i="2"/>
  <c r="AC17" i="2"/>
  <c r="AD37" i="2"/>
  <c r="AD52" i="2"/>
  <c r="AD138" i="2"/>
  <c r="AE17" i="2"/>
  <c r="AE140" i="2"/>
  <c r="AE16" i="2"/>
  <c r="AF37" i="2"/>
  <c r="AF52" i="2"/>
  <c r="AF138" i="2"/>
  <c r="AG90" i="2"/>
  <c r="AH171" i="2"/>
  <c r="AH225" i="2"/>
  <c r="Z151" i="2"/>
  <c r="AC194" i="2"/>
  <c r="AC15" i="2"/>
  <c r="Z55" i="2"/>
  <c r="AC200" i="2"/>
  <c r="Z138" i="2"/>
  <c r="AH52" i="2"/>
  <c r="AI140" i="2"/>
  <c r="Z38" i="2"/>
  <c r="AC96" i="2"/>
  <c r="AC159" i="2"/>
  <c r="AC90" i="2"/>
  <c r="AC16" i="2"/>
  <c r="AE159" i="2"/>
  <c r="AE90" i="2"/>
  <c r="AG17" i="2"/>
  <c r="AG159" i="2"/>
  <c r="AG16" i="2"/>
  <c r="AH161" i="2"/>
  <c r="AH115" i="2"/>
  <c r="AH100" i="2"/>
  <c r="Z34" i="2"/>
  <c r="Z157" i="2"/>
  <c r="Z2" i="2"/>
  <c r="AD161" i="2"/>
  <c r="AI166" i="2"/>
  <c r="AI67" i="2"/>
  <c r="Z185" i="2"/>
  <c r="AC226" i="2"/>
  <c r="AC204" i="2"/>
  <c r="AC95" i="2"/>
  <c r="AC50" i="2"/>
  <c r="AD8" i="2"/>
  <c r="AE226" i="2"/>
  <c r="AG226" i="2"/>
  <c r="AG95" i="2"/>
  <c r="AI40" i="2"/>
  <c r="Z137" i="2"/>
  <c r="Z101" i="2"/>
  <c r="Z77" i="2"/>
  <c r="AD30" i="2"/>
  <c r="AD152" i="2"/>
  <c r="AD162" i="2"/>
  <c r="AF30" i="2"/>
  <c r="AF152" i="2"/>
  <c r="AF153" i="2"/>
  <c r="AF162" i="2"/>
  <c r="AC67" i="2"/>
  <c r="AG69" i="2"/>
  <c r="AG67" i="2"/>
  <c r="AI85" i="2"/>
  <c r="AI196" i="2"/>
  <c r="AJ175" i="2"/>
  <c r="AJ156" i="2"/>
  <c r="AJ21" i="2"/>
  <c r="AA118" i="2"/>
  <c r="AA182" i="2"/>
  <c r="AB226" i="2"/>
  <c r="AF171" i="2"/>
  <c r="AD201" i="2"/>
  <c r="AD128" i="2"/>
  <c r="AF201" i="2"/>
  <c r="AF172" i="2"/>
  <c r="AF128" i="2"/>
  <c r="AG165" i="2"/>
  <c r="AH17" i="2"/>
  <c r="AH16" i="2"/>
  <c r="AI189" i="2"/>
  <c r="AI106" i="2"/>
  <c r="AA87" i="2"/>
  <c r="AB110" i="2"/>
  <c r="AB203" i="2"/>
  <c r="AD14" i="2"/>
  <c r="AE104" i="2"/>
  <c r="AG104" i="2"/>
  <c r="AC106" i="2"/>
  <c r="AG106" i="2"/>
  <c r="AI14" i="2"/>
  <c r="AA176" i="2"/>
  <c r="Z193" i="2"/>
  <c r="Z203" i="2"/>
  <c r="AC161" i="2"/>
  <c r="AC14" i="2"/>
  <c r="AC225" i="2"/>
  <c r="AD221" i="2"/>
  <c r="AD49" i="2"/>
  <c r="AF221" i="2"/>
  <c r="AF49" i="2"/>
  <c r="AG161" i="2"/>
  <c r="AG115" i="2"/>
  <c r="AG14" i="2"/>
  <c r="AG225" i="2"/>
  <c r="AH226" i="2"/>
  <c r="AH179" i="2"/>
  <c r="AI75" i="2"/>
  <c r="AI176" i="2"/>
  <c r="AI87" i="2"/>
  <c r="AJ226" i="2"/>
  <c r="AJ181" i="2"/>
  <c r="AJ179" i="2"/>
  <c r="AA147" i="2"/>
  <c r="AA199" i="2"/>
  <c r="AA212" i="2"/>
  <c r="AA119" i="2"/>
  <c r="AB143" i="2"/>
  <c r="AB155" i="2"/>
  <c r="AF100" i="2"/>
  <c r="Z143" i="2"/>
  <c r="Z206" i="2"/>
  <c r="Z190" i="2"/>
  <c r="AC60" i="2"/>
  <c r="AC191" i="2"/>
  <c r="AD226" i="2"/>
  <c r="AD50" i="2"/>
  <c r="AD179" i="2"/>
  <c r="AF226" i="2"/>
  <c r="AF95" i="2"/>
  <c r="AF50" i="2"/>
  <c r="AG60" i="2"/>
  <c r="AG191" i="2"/>
  <c r="AA149" i="2"/>
  <c r="Z204" i="2"/>
  <c r="AD17" i="2"/>
  <c r="AF180" i="2"/>
  <c r="AF159" i="2"/>
  <c r="Z105" i="2"/>
  <c r="AC228" i="2"/>
  <c r="AC147" i="2"/>
  <c r="AC11" i="2"/>
  <c r="AC66" i="2"/>
  <c r="AD79" i="2"/>
  <c r="AG147" i="2"/>
  <c r="AI187" i="2"/>
  <c r="AI34" i="2"/>
  <c r="AI117" i="2"/>
  <c r="AJ110" i="2"/>
  <c r="AJ145" i="2"/>
  <c r="AJ203" i="2"/>
  <c r="AG221" i="2"/>
  <c r="Z222" i="2"/>
  <c r="Z205" i="2"/>
  <c r="AD180" i="2"/>
  <c r="AD159" i="2"/>
  <c r="AD16" i="2"/>
  <c r="AF17" i="2"/>
  <c r="Z72" i="2"/>
  <c r="Z39" i="2"/>
  <c r="Z56" i="2"/>
  <c r="AD40" i="2"/>
  <c r="AD224" i="2"/>
  <c r="AD205" i="2"/>
  <c r="AF40" i="2"/>
  <c r="AF224" i="2"/>
  <c r="AF205" i="2"/>
  <c r="AF79" i="2"/>
  <c r="AG228" i="2"/>
  <c r="AG11" i="2"/>
  <c r="AG66" i="2"/>
  <c r="AH110" i="2"/>
  <c r="AH193" i="2"/>
  <c r="AH145" i="2"/>
  <c r="AH84" i="2"/>
  <c r="AH203" i="2"/>
  <c r="AI149" i="2"/>
  <c r="AI124" i="2"/>
  <c r="AI157" i="2"/>
  <c r="AI197" i="2"/>
  <c r="AJ193" i="2"/>
  <c r="AA210" i="2"/>
  <c r="AB9" i="2"/>
  <c r="Z127" i="2"/>
  <c r="Z195" i="2"/>
  <c r="Z9" i="2"/>
  <c r="Z98" i="2"/>
  <c r="Z215" i="2"/>
  <c r="Z164" i="2"/>
  <c r="Z214" i="2"/>
  <c r="Z229" i="2"/>
  <c r="AC149" i="2"/>
  <c r="AC124" i="2"/>
  <c r="AC157" i="2"/>
  <c r="AC2" i="2"/>
  <c r="AC117" i="2"/>
  <c r="AC119" i="2"/>
  <c r="AD32" i="2"/>
  <c r="AD193" i="2"/>
  <c r="AD145" i="2"/>
  <c r="AD203" i="2"/>
  <c r="AF32" i="2"/>
  <c r="AF193" i="2"/>
  <c r="AF145" i="2"/>
  <c r="AG149" i="2"/>
  <c r="AG124" i="2"/>
  <c r="AG157" i="2"/>
  <c r="AG117" i="2"/>
  <c r="AH45" i="2"/>
  <c r="AH143" i="2"/>
  <c r="AH206" i="2"/>
  <c r="AH116" i="2"/>
  <c r="AH190" i="2"/>
  <c r="AI210" i="2"/>
  <c r="AI71" i="2"/>
  <c r="AI220" i="2"/>
  <c r="AI47" i="2"/>
  <c r="AJ45" i="2"/>
  <c r="AJ143" i="2"/>
  <c r="AJ206" i="2"/>
  <c r="AJ58" i="2"/>
  <c r="AJ116" i="2"/>
  <c r="AJ190" i="2"/>
  <c r="AJ22" i="2"/>
  <c r="AA137" i="2"/>
  <c r="AA103" i="2"/>
  <c r="AA18" i="2"/>
  <c r="AA146" i="2"/>
  <c r="AA142" i="2"/>
  <c r="AA41" i="2"/>
  <c r="AA227" i="2"/>
  <c r="AA216" i="2"/>
  <c r="AB178" i="2"/>
  <c r="AB150" i="2"/>
  <c r="AB33" i="2"/>
  <c r="AB25" i="2"/>
  <c r="AB69" i="2"/>
  <c r="AJ229" i="2"/>
  <c r="AA30" i="2"/>
  <c r="AA200" i="2"/>
  <c r="AA26" i="2"/>
  <c r="AA152" i="2"/>
  <c r="AA114" i="2"/>
  <c r="AB70" i="2"/>
  <c r="AB223" i="2"/>
  <c r="AB209" i="2"/>
  <c r="AF195" i="2"/>
  <c r="AF9" i="2"/>
  <c r="AF98" i="2"/>
  <c r="AG194" i="2"/>
  <c r="AG15" i="2"/>
  <c r="AG170" i="2"/>
  <c r="AH178" i="2"/>
  <c r="AH150" i="2"/>
  <c r="AH25" i="2"/>
  <c r="AI30" i="2"/>
  <c r="AI200" i="2"/>
  <c r="AI26" i="2"/>
  <c r="AI152" i="2"/>
  <c r="AI114" i="2"/>
  <c r="AI59" i="2"/>
  <c r="AI141" i="2"/>
  <c r="AJ178" i="2"/>
  <c r="AJ150" i="2"/>
  <c r="AJ25" i="2"/>
  <c r="AA135" i="2"/>
  <c r="AA129" i="2"/>
  <c r="AA81" i="2"/>
  <c r="AB118" i="2"/>
  <c r="AB182" i="2"/>
  <c r="AA156" i="2"/>
  <c r="AA107" i="2"/>
  <c r="AA130" i="2"/>
  <c r="AA54" i="2"/>
  <c r="AB189" i="2"/>
  <c r="AB37" i="2"/>
  <c r="AB138" i="2"/>
  <c r="AB198" i="2"/>
  <c r="AB158" i="2"/>
  <c r="AH118" i="2"/>
  <c r="AH182" i="2"/>
  <c r="AH55" i="2"/>
  <c r="AI172" i="2"/>
  <c r="AJ182" i="2"/>
  <c r="AJ5" i="2"/>
  <c r="AA17" i="2"/>
  <c r="AI221" i="2"/>
  <c r="AI113" i="2"/>
  <c r="AI104" i="2"/>
  <c r="AJ171" i="2"/>
  <c r="AJ161" i="2"/>
  <c r="AJ115" i="2"/>
  <c r="AJ100" i="2"/>
  <c r="AJ225" i="2"/>
  <c r="AJ158" i="2"/>
  <c r="AA204" i="2"/>
  <c r="AA46" i="2"/>
  <c r="AH75" i="2"/>
  <c r="AH87" i="2"/>
  <c r="AI226" i="2"/>
  <c r="AI204" i="2"/>
  <c r="AI46" i="2"/>
  <c r="AI23" i="2"/>
  <c r="AA222" i="2"/>
  <c r="AA89" i="2"/>
  <c r="AB47" i="2"/>
  <c r="AJ27" i="2"/>
  <c r="AJ38" i="2"/>
  <c r="AJ199" i="2"/>
  <c r="AA32" i="2"/>
  <c r="AA84" i="2"/>
  <c r="AA22" i="2"/>
  <c r="AB137" i="2"/>
  <c r="AB103" i="2"/>
  <c r="AB18" i="2"/>
  <c r="AB142" i="2"/>
  <c r="AD100" i="2"/>
  <c r="AJ157" i="2"/>
  <c r="AA143" i="2"/>
  <c r="AA58" i="2"/>
  <c r="AB108" i="2"/>
  <c r="AB170" i="2"/>
  <c r="AH197" i="2"/>
  <c r="AB99" i="2"/>
  <c r="Z108" i="2"/>
  <c r="AE84" i="2"/>
  <c r="AI155" i="2"/>
  <c r="AD192" i="2"/>
  <c r="AD86" i="2"/>
  <c r="AD71" i="2"/>
  <c r="AD220" i="2"/>
  <c r="AE143" i="2"/>
  <c r="AE116" i="2"/>
  <c r="AE155" i="2"/>
  <c r="AF192" i="2"/>
  <c r="AF86" i="2"/>
  <c r="AF220" i="2"/>
  <c r="AG58" i="2"/>
  <c r="AG155" i="2"/>
  <c r="AH137" i="2"/>
  <c r="AH18" i="2"/>
  <c r="AH91" i="2"/>
  <c r="AI167" i="2"/>
  <c r="AJ137" i="2"/>
  <c r="AJ18" i="2"/>
  <c r="AJ146" i="2"/>
  <c r="AJ91" i="2"/>
  <c r="AA127" i="2"/>
  <c r="AA207" i="2"/>
  <c r="AA195" i="2"/>
  <c r="AB135" i="2"/>
  <c r="AB160" i="2"/>
  <c r="AB81" i="2"/>
  <c r="AC46" i="2"/>
  <c r="AE46" i="2"/>
  <c r="AE50" i="2"/>
  <c r="AG204" i="2"/>
  <c r="AH27" i="2"/>
  <c r="Z18" i="2"/>
  <c r="AC40" i="2"/>
  <c r="AC89" i="2"/>
  <c r="AD199" i="2"/>
  <c r="AE89" i="2"/>
  <c r="AF27" i="2"/>
  <c r="AF228" i="2"/>
  <c r="AF199" i="2"/>
  <c r="AG40" i="2"/>
  <c r="AG89" i="2"/>
  <c r="AH34" i="2"/>
  <c r="AH157" i="2"/>
  <c r="AH2" i="2"/>
  <c r="AI84" i="2"/>
  <c r="AA116" i="2"/>
  <c r="AC84" i="2"/>
  <c r="AD34" i="2"/>
  <c r="AD2" i="2"/>
  <c r="AG84" i="2"/>
  <c r="AJ74" i="2"/>
  <c r="AC155" i="2"/>
  <c r="AD91" i="2"/>
  <c r="AF91" i="2"/>
  <c r="AE221" i="2"/>
  <c r="AE204" i="2"/>
  <c r="AE95" i="2"/>
  <c r="AG46" i="2"/>
  <c r="AG50" i="2"/>
  <c r="AD27" i="2"/>
  <c r="AE40" i="2"/>
  <c r="AJ34" i="2"/>
  <c r="AJ2" i="2"/>
  <c r="Z43" i="2"/>
  <c r="AF34" i="2"/>
  <c r="AF2" i="2"/>
  <c r="Z162" i="2"/>
  <c r="Z175" i="2"/>
  <c r="AD108" i="2"/>
  <c r="AF108" i="2"/>
  <c r="AI150" i="2"/>
  <c r="AJ162" i="2"/>
  <c r="AA133" i="2"/>
  <c r="AA35" i="2"/>
  <c r="AA4" i="2"/>
  <c r="AA85" i="2"/>
  <c r="AB201" i="2"/>
  <c r="AB101" i="2"/>
  <c r="AB172" i="2"/>
  <c r="AB77" i="2"/>
  <c r="AB54" i="2"/>
  <c r="Z220" i="2"/>
  <c r="Z47" i="2"/>
  <c r="AD191" i="2"/>
  <c r="Z103" i="2"/>
  <c r="AD147" i="2"/>
  <c r="Z99" i="2"/>
  <c r="Z15" i="2"/>
  <c r="Z170" i="2"/>
  <c r="Z41" i="2"/>
  <c r="Z200" i="2"/>
  <c r="Z152" i="2"/>
  <c r="Z114" i="2"/>
  <c r="Z125" i="2"/>
  <c r="Z128" i="2"/>
  <c r="AC10" i="2"/>
  <c r="AC121" i="2"/>
  <c r="AC25" i="2"/>
  <c r="AD114" i="2"/>
  <c r="AD153" i="2"/>
  <c r="AD59" i="2"/>
  <c r="AD141" i="2"/>
  <c r="AF200" i="2"/>
  <c r="AF26" i="2"/>
  <c r="AF114" i="2"/>
  <c r="AF59" i="2"/>
  <c r="AF141" i="2"/>
  <c r="AG178" i="2"/>
  <c r="AG150" i="2"/>
  <c r="AG33" i="2"/>
  <c r="AG10" i="2"/>
  <c r="AG122" i="2"/>
  <c r="AG65" i="2"/>
  <c r="AG121" i="2"/>
  <c r="AG25" i="2"/>
  <c r="AH129" i="2"/>
  <c r="AH81" i="2"/>
  <c r="AH31" i="2"/>
  <c r="AH63" i="2"/>
  <c r="AH154" i="2"/>
  <c r="AH163" i="2"/>
  <c r="AH111" i="2"/>
  <c r="AI133" i="2"/>
  <c r="AI35" i="2"/>
  <c r="AI184" i="2"/>
  <c r="AI4" i="2"/>
  <c r="AI69" i="2"/>
  <c r="AI186" i="2"/>
  <c r="AJ129" i="2"/>
  <c r="AJ81" i="2"/>
  <c r="AJ31" i="2"/>
  <c r="AJ63" i="2"/>
  <c r="Z228" i="2"/>
  <c r="Z199" i="2"/>
  <c r="AC49" i="2"/>
  <c r="AC53" i="2"/>
  <c r="AD66" i="2"/>
  <c r="Z177" i="2"/>
  <c r="Z172" i="2"/>
  <c r="AC178" i="2"/>
  <c r="AC33" i="2"/>
  <c r="AC122" i="2"/>
  <c r="AD26" i="2"/>
  <c r="Z180" i="2"/>
  <c r="Z96" i="2"/>
  <c r="Z102" i="2"/>
  <c r="Z16" i="2"/>
  <c r="Z19" i="2"/>
  <c r="AC166" i="2"/>
  <c r="AC76" i="2"/>
  <c r="AD129" i="2"/>
  <c r="AD160" i="2"/>
  <c r="AD81" i="2"/>
  <c r="AD63" i="2"/>
  <c r="AD163" i="2"/>
  <c r="AF135" i="2"/>
  <c r="AF160" i="2"/>
  <c r="AF63" i="2"/>
  <c r="AF111" i="2"/>
  <c r="AG133" i="2"/>
  <c r="AG35" i="2"/>
  <c r="AG4" i="2"/>
  <c r="AG166" i="2"/>
  <c r="AG76" i="2"/>
  <c r="AH57" i="2"/>
  <c r="AH175" i="2"/>
  <c r="AH21" i="2"/>
  <c r="AH107" i="2"/>
  <c r="AH51" i="2"/>
  <c r="AH78" i="2"/>
  <c r="AI48" i="2"/>
  <c r="AI223" i="2"/>
  <c r="AI183" i="2"/>
  <c r="AI209" i="2"/>
  <c r="AI169" i="2"/>
  <c r="AJ57" i="2"/>
  <c r="Z117" i="2"/>
  <c r="Z80" i="2"/>
  <c r="Z54" i="2"/>
  <c r="AC150" i="2"/>
  <c r="AC65" i="2"/>
  <c r="AD200" i="2"/>
  <c r="Z17" i="2"/>
  <c r="Z159" i="2"/>
  <c r="Z90" i="2"/>
  <c r="AC133" i="2"/>
  <c r="AC35" i="2"/>
  <c r="AC184" i="2"/>
  <c r="AC4" i="2"/>
  <c r="AC69" i="2"/>
  <c r="AC186" i="2"/>
  <c r="AD135" i="2"/>
  <c r="AD31" i="2"/>
  <c r="AD154" i="2"/>
  <c r="AD111" i="2"/>
  <c r="AE166" i="2"/>
  <c r="AE186" i="2"/>
  <c r="AF129" i="2"/>
  <c r="AF81" i="2"/>
  <c r="AF31" i="2"/>
  <c r="AF154" i="2"/>
  <c r="AF163" i="2"/>
  <c r="AG184" i="2"/>
  <c r="AG186" i="2"/>
  <c r="AH156" i="2"/>
  <c r="AH130" i="2"/>
  <c r="AH218" i="2"/>
  <c r="AI151" i="2"/>
  <c r="Z149" i="2"/>
  <c r="AC5" i="2"/>
  <c r="AC112" i="2"/>
  <c r="AD125" i="2"/>
  <c r="AD177" i="2"/>
  <c r="AD80" i="2"/>
  <c r="AD54" i="2"/>
  <c r="AF80" i="2"/>
  <c r="AF54" i="2"/>
  <c r="AG28" i="2"/>
  <c r="AG112" i="2"/>
  <c r="AH96" i="2"/>
  <c r="AH102" i="2"/>
  <c r="AH90" i="2"/>
  <c r="AH19" i="2"/>
  <c r="AI37" i="2"/>
  <c r="AI138" i="2"/>
  <c r="AJ17" i="2"/>
  <c r="AJ96" i="2"/>
  <c r="AJ102" i="2"/>
  <c r="Z23" i="2"/>
  <c r="AC28" i="2"/>
  <c r="Z53" i="2"/>
  <c r="Z131" i="2"/>
  <c r="Z89" i="2"/>
  <c r="Z224" i="2"/>
  <c r="Z79" i="2"/>
  <c r="AC211" i="2"/>
  <c r="AC138" i="2"/>
  <c r="AD96" i="2"/>
  <c r="AD102" i="2"/>
  <c r="AD90" i="2"/>
  <c r="AD19" i="2"/>
  <c r="AF96" i="2"/>
  <c r="AF90" i="2"/>
  <c r="AF19" i="2"/>
  <c r="AG29" i="2"/>
  <c r="AG211" i="2"/>
  <c r="AG52" i="2"/>
  <c r="AG138" i="2"/>
  <c r="AH132" i="2"/>
  <c r="AH113" i="2"/>
  <c r="AH49" i="2"/>
  <c r="AH12" i="2"/>
  <c r="AH104" i="2"/>
  <c r="AI171" i="2"/>
  <c r="AI144" i="2"/>
  <c r="AI198" i="2"/>
  <c r="AI158" i="2"/>
  <c r="AC140" i="2"/>
  <c r="Z46" i="2"/>
  <c r="Z181" i="2"/>
  <c r="Z40" i="2"/>
  <c r="AC29" i="2"/>
  <c r="Z32" i="2"/>
  <c r="Z110" i="2"/>
  <c r="Z13" i="2"/>
  <c r="Z145" i="2"/>
  <c r="Z84" i="2"/>
  <c r="Z168" i="2"/>
  <c r="Z42" i="2"/>
  <c r="AC171" i="2"/>
  <c r="AC115" i="2"/>
  <c r="AC100" i="2"/>
  <c r="AC144" i="2"/>
  <c r="AC68" i="2"/>
  <c r="AC198" i="2"/>
  <c r="AC158" i="2"/>
  <c r="AD132" i="2"/>
  <c r="AD134" i="2"/>
  <c r="AD113" i="2"/>
  <c r="AD93" i="2"/>
  <c r="AD12" i="2"/>
  <c r="AD104" i="2"/>
  <c r="AD61" i="2"/>
  <c r="AE100" i="2"/>
  <c r="AF132" i="2"/>
  <c r="AF134" i="2"/>
  <c r="AF113" i="2"/>
  <c r="AF93" i="2"/>
  <c r="AF12" i="2"/>
  <c r="AF104" i="2"/>
  <c r="AF61" i="2"/>
  <c r="AG171" i="2"/>
  <c r="AG100" i="2"/>
  <c r="AG68" i="2"/>
  <c r="AG198" i="2"/>
  <c r="AH204" i="2"/>
  <c r="AH46" i="2"/>
  <c r="AH95" i="2"/>
  <c r="AH181" i="2"/>
  <c r="AH92" i="2"/>
  <c r="AH23" i="2"/>
  <c r="AI60" i="2"/>
  <c r="AI62" i="2"/>
  <c r="AI148" i="2"/>
  <c r="AI97" i="2"/>
  <c r="AI191" i="2"/>
  <c r="AI20" i="2"/>
  <c r="AJ204" i="2"/>
  <c r="AJ46" i="2"/>
  <c r="Z27" i="2"/>
  <c r="Z29" i="2"/>
  <c r="Z58" i="2"/>
  <c r="Z116" i="2"/>
  <c r="Z155" i="2"/>
  <c r="Z213" i="2"/>
  <c r="AC62" i="2"/>
  <c r="AC148" i="2"/>
  <c r="AC75" i="2"/>
  <c r="AC176" i="2"/>
  <c r="AC87" i="2"/>
  <c r="AC20" i="2"/>
  <c r="AD204" i="2"/>
  <c r="AD46" i="2"/>
  <c r="AD95" i="2"/>
  <c r="AD181" i="2"/>
  <c r="AD23" i="2"/>
  <c r="AF204" i="2"/>
  <c r="AF46" i="2"/>
  <c r="AF181" i="2"/>
  <c r="AF23" i="2"/>
  <c r="AG62" i="2"/>
  <c r="AG148" i="2"/>
  <c r="AG75" i="2"/>
  <c r="AG176" i="2"/>
  <c r="AG87" i="2"/>
  <c r="AG20" i="2"/>
  <c r="AH222" i="2"/>
  <c r="AH40" i="2"/>
  <c r="AH131" i="2"/>
  <c r="AH89" i="2"/>
  <c r="AH224" i="2"/>
  <c r="AH205" i="2"/>
  <c r="AH79" i="2"/>
  <c r="AI27" i="2"/>
  <c r="AI88" i="2"/>
  <c r="AI136" i="2"/>
  <c r="AI202" i="2"/>
  <c r="AI11" i="2"/>
  <c r="AI66" i="2"/>
  <c r="AJ222" i="2"/>
  <c r="AJ40" i="2"/>
  <c r="AI2" i="2"/>
  <c r="AI212" i="2"/>
  <c r="AJ32" i="2"/>
  <c r="AJ84" i="2"/>
  <c r="AJ42" i="2"/>
  <c r="Z207" i="2"/>
  <c r="AC187" i="2"/>
  <c r="AC212" i="2"/>
  <c r="AC197" i="2"/>
  <c r="AD110" i="2"/>
  <c r="AD13" i="2"/>
  <c r="AD84" i="2"/>
  <c r="AD168" i="2"/>
  <c r="AD42" i="2"/>
  <c r="AF110" i="2"/>
  <c r="AF13" i="2"/>
  <c r="AF84" i="2"/>
  <c r="AF203" i="2"/>
  <c r="AF168" i="2"/>
  <c r="AF42" i="2"/>
  <c r="AG187" i="2"/>
  <c r="AG34" i="2"/>
  <c r="AG2" i="2"/>
  <c r="AG212" i="2"/>
  <c r="AG197" i="2"/>
  <c r="AG119" i="2"/>
  <c r="AH58" i="2"/>
  <c r="AH155" i="2"/>
  <c r="AH213" i="2"/>
  <c r="AH22" i="2"/>
  <c r="AI74" i="2"/>
  <c r="AI192" i="2"/>
  <c r="AI86" i="2"/>
  <c r="AI123" i="2"/>
  <c r="AI185" i="2"/>
  <c r="AI219" i="2"/>
  <c r="AJ155" i="2"/>
  <c r="AJ213" i="2"/>
  <c r="AC34" i="2"/>
  <c r="Z33" i="2"/>
  <c r="Z65" i="2"/>
  <c r="Z121" i="2"/>
  <c r="Z94" i="2"/>
  <c r="AC74" i="2"/>
  <c r="AC192" i="2"/>
  <c r="AC86" i="2"/>
  <c r="AC123" i="2"/>
  <c r="AC220" i="2"/>
  <c r="AC47" i="2"/>
  <c r="AC185" i="2"/>
  <c r="AC219" i="2"/>
  <c r="AD45" i="2"/>
  <c r="AD206" i="2"/>
  <c r="AD116" i="2"/>
  <c r="AD155" i="2"/>
  <c r="AD190" i="2"/>
  <c r="AD213" i="2"/>
  <c r="AD22" i="2"/>
  <c r="AF45" i="2"/>
  <c r="AF206" i="2"/>
  <c r="AF116" i="2"/>
  <c r="AF155" i="2"/>
  <c r="AF190" i="2"/>
  <c r="AF213" i="2"/>
  <c r="AF22" i="2"/>
  <c r="AG74" i="2"/>
  <c r="AG192" i="2"/>
  <c r="AG123" i="2"/>
  <c r="AG185" i="2"/>
  <c r="AG219" i="2"/>
  <c r="AH72" i="2"/>
  <c r="AH83" i="2"/>
  <c r="AI18" i="2"/>
  <c r="AI146" i="2"/>
  <c r="AI82" i="2"/>
  <c r="AI91" i="2"/>
  <c r="AJ72" i="2"/>
  <c r="AA108" i="2"/>
  <c r="AA43" i="2"/>
  <c r="AA217" i="2"/>
  <c r="AC146" i="2"/>
  <c r="AC142" i="2"/>
  <c r="AC82" i="2"/>
  <c r="AC73" i="2"/>
  <c r="AD72" i="2"/>
  <c r="AG139" i="2"/>
  <c r="AG146" i="2"/>
  <c r="AG142" i="2"/>
  <c r="AG82" i="2"/>
  <c r="AG73" i="2"/>
  <c r="AH207" i="2"/>
  <c r="AI217" i="2"/>
  <c r="AJ207" i="2"/>
  <c r="Z133" i="2"/>
  <c r="Z70" i="2"/>
  <c r="Z48" i="2"/>
  <c r="Z183" i="2"/>
  <c r="Z196" i="2"/>
  <c r="AC99" i="2"/>
  <c r="AC108" i="2"/>
  <c r="AC43" i="2"/>
  <c r="AC217" i="2"/>
  <c r="AC41" i="2"/>
  <c r="AC216" i="2"/>
  <c r="AD207" i="2"/>
  <c r="AD9" i="2"/>
  <c r="AD215" i="2"/>
  <c r="AD164" i="2"/>
  <c r="AD214" i="2"/>
  <c r="AD229" i="2"/>
  <c r="AF215" i="2"/>
  <c r="AF164" i="2"/>
  <c r="AF214" i="2"/>
  <c r="AF229" i="2"/>
  <c r="AG99" i="2"/>
  <c r="AG108" i="2"/>
  <c r="AG43" i="2"/>
  <c r="AG217" i="2"/>
  <c r="AG41" i="2"/>
  <c r="AG227" i="2"/>
  <c r="AG216" i="2"/>
  <c r="AH33" i="2"/>
  <c r="AH10" i="2"/>
  <c r="AH65" i="2"/>
  <c r="AH121" i="2"/>
  <c r="AH94" i="2"/>
  <c r="AI153" i="2"/>
  <c r="AI109" i="2"/>
  <c r="AI162" i="2"/>
  <c r="AJ33" i="2"/>
  <c r="AJ65" i="2"/>
  <c r="AJ121" i="2"/>
  <c r="Z118" i="2"/>
  <c r="Z28" i="2"/>
  <c r="Z24" i="2"/>
  <c r="Z165" i="2"/>
  <c r="Z112" i="2"/>
  <c r="AC30" i="2"/>
  <c r="AC26" i="2"/>
  <c r="AC114" i="2"/>
  <c r="AC153" i="2"/>
  <c r="AC109" i="2"/>
  <c r="AC162" i="2"/>
  <c r="AD178" i="2"/>
  <c r="AD150" i="2"/>
  <c r="AD33" i="2"/>
  <c r="AD10" i="2"/>
  <c r="AD65" i="2"/>
  <c r="AD121" i="2"/>
  <c r="AD94" i="2"/>
  <c r="AF178" i="2"/>
  <c r="AF150" i="2"/>
  <c r="AF33" i="2"/>
  <c r="AF10" i="2"/>
  <c r="AF65" i="2"/>
  <c r="AF121" i="2"/>
  <c r="AF94" i="2"/>
  <c r="AG30" i="2"/>
  <c r="AG26" i="2"/>
  <c r="AG109" i="2"/>
  <c r="AH184" i="2"/>
  <c r="AH69" i="2"/>
  <c r="AH67" i="2"/>
  <c r="AI188" i="2"/>
  <c r="AJ67" i="2"/>
  <c r="AD133" i="2"/>
  <c r="AF133" i="2"/>
  <c r="AF166" i="2"/>
  <c r="AG163" i="2"/>
  <c r="AG188" i="2"/>
  <c r="AH70" i="2"/>
  <c r="AH48" i="2"/>
  <c r="AH196" i="2"/>
  <c r="AI175" i="2"/>
  <c r="AI156" i="2"/>
  <c r="AI51" i="2"/>
  <c r="AI126" i="2"/>
  <c r="AI78" i="2"/>
  <c r="AJ48" i="2"/>
  <c r="AJ196" i="2"/>
  <c r="AF223" i="2"/>
  <c r="AG130" i="2"/>
  <c r="AG51" i="2"/>
  <c r="AG126" i="2"/>
  <c r="AH28" i="2"/>
  <c r="AH24" i="2"/>
  <c r="AH165" i="2"/>
  <c r="AH112" i="2"/>
  <c r="AI201" i="2"/>
  <c r="AI101" i="2"/>
  <c r="AI177" i="2"/>
  <c r="AI80" i="2"/>
  <c r="AI128" i="2"/>
  <c r="AC77" i="2"/>
  <c r="AC7" i="2"/>
  <c r="AD118" i="2"/>
  <c r="AD28" i="2"/>
  <c r="AD165" i="2"/>
  <c r="AE7" i="2"/>
  <c r="AF118" i="2"/>
  <c r="AF28" i="2"/>
  <c r="AF165" i="2"/>
  <c r="AF112" i="2"/>
  <c r="AG101" i="2"/>
  <c r="AG54" i="2"/>
  <c r="AH36" i="2"/>
  <c r="AI96" i="2"/>
  <c r="AI102" i="2"/>
  <c r="AI159" i="2"/>
  <c r="AJ36" i="2"/>
  <c r="AJ52" i="2"/>
  <c r="AJ106" i="2"/>
  <c r="AJ138" i="2"/>
  <c r="AA221" i="2"/>
  <c r="AA93" i="2"/>
  <c r="AA12" i="2"/>
  <c r="AG96" i="2"/>
  <c r="AI12" i="2"/>
  <c r="AA79" i="2"/>
  <c r="AD225" i="2"/>
  <c r="AD158" i="2"/>
  <c r="AE113" i="2"/>
  <c r="AE49" i="2"/>
  <c r="AE12" i="2"/>
  <c r="AF161" i="2"/>
  <c r="AF115" i="2"/>
  <c r="AF14" i="2"/>
  <c r="AF68" i="2"/>
  <c r="AF225" i="2"/>
  <c r="AF158" i="2"/>
  <c r="AG132" i="2"/>
  <c r="AG113" i="2"/>
  <c r="AG49" i="2"/>
  <c r="AG12" i="2"/>
  <c r="AH60" i="2"/>
  <c r="AH97" i="2"/>
  <c r="AH176" i="2"/>
  <c r="AH191" i="2"/>
  <c r="AH20" i="2"/>
  <c r="AI50" i="2"/>
  <c r="AI181" i="2"/>
  <c r="AI92" i="2"/>
  <c r="AI179" i="2"/>
  <c r="AJ8" i="2"/>
  <c r="AJ60" i="2"/>
  <c r="AJ62" i="2"/>
  <c r="AJ75" i="2"/>
  <c r="AJ97" i="2"/>
  <c r="AJ191" i="2"/>
  <c r="AJ20" i="2"/>
  <c r="Z60" i="2"/>
  <c r="AD60" i="2"/>
  <c r="AF97" i="2"/>
  <c r="AH88" i="2"/>
  <c r="AH202" i="2"/>
  <c r="AH66" i="2"/>
  <c r="AI222" i="2"/>
  <c r="AI205" i="2"/>
  <c r="AI79" i="2"/>
  <c r="AJ88" i="2"/>
  <c r="AJ202" i="2"/>
  <c r="AJ66" i="2"/>
  <c r="AA145" i="2"/>
  <c r="AD97" i="2"/>
  <c r="Z73" i="2"/>
  <c r="AE222" i="2"/>
  <c r="AE53" i="2"/>
  <c r="AE205" i="2"/>
  <c r="AE79" i="2"/>
  <c r="AF38" i="2"/>
  <c r="AF147" i="2"/>
  <c r="AF202" i="2"/>
  <c r="AF66" i="2"/>
  <c r="AG222" i="2"/>
  <c r="AG53" i="2"/>
  <c r="AG205" i="2"/>
  <c r="AH124" i="2"/>
  <c r="AH212" i="2"/>
  <c r="AJ124" i="2"/>
  <c r="AJ117" i="2"/>
  <c r="AJ212" i="2"/>
  <c r="AJ197" i="2"/>
  <c r="AJ119" i="2"/>
  <c r="AC222" i="2"/>
  <c r="AD38" i="2"/>
  <c r="AD202" i="2"/>
  <c r="Z194" i="2"/>
  <c r="Z227" i="2"/>
  <c r="Z216" i="2"/>
  <c r="AC193" i="2"/>
  <c r="AC145" i="2"/>
  <c r="AC203" i="2"/>
  <c r="AD124" i="2"/>
  <c r="AD187" i="2"/>
  <c r="AD157" i="2"/>
  <c r="AD117" i="2"/>
  <c r="AD212" i="2"/>
  <c r="AD197" i="2"/>
  <c r="AD119" i="2"/>
  <c r="AE110" i="2"/>
  <c r="AE193" i="2"/>
  <c r="AE145" i="2"/>
  <c r="AE203" i="2"/>
  <c r="AF124" i="2"/>
  <c r="AF187" i="2"/>
  <c r="AF157" i="2"/>
  <c r="AF117" i="2"/>
  <c r="AF212" i="2"/>
  <c r="AF197" i="2"/>
  <c r="AF119" i="2"/>
  <c r="AG110" i="2"/>
  <c r="AG193" i="2"/>
  <c r="AG145" i="2"/>
  <c r="AG203" i="2"/>
  <c r="AH74" i="2"/>
  <c r="AH192" i="2"/>
  <c r="AH86" i="2"/>
  <c r="AH123" i="2"/>
  <c r="AH210" i="2"/>
  <c r="AH71" i="2"/>
  <c r="AH220" i="2"/>
  <c r="AH47" i="2"/>
  <c r="AH185" i="2"/>
  <c r="AH219" i="2"/>
  <c r="AI45" i="2"/>
  <c r="AI143" i="2"/>
  <c r="AI58" i="2"/>
  <c r="AI116" i="2"/>
  <c r="AI190" i="2"/>
  <c r="AI213" i="2"/>
  <c r="AI22" i="2"/>
  <c r="Z124" i="2"/>
  <c r="Z142" i="2"/>
  <c r="AC205" i="2"/>
  <c r="AC79" i="2"/>
  <c r="AD88" i="2"/>
  <c r="Z59" i="2"/>
  <c r="Z141" i="2"/>
  <c r="AC22" i="2"/>
  <c r="AD74" i="2"/>
  <c r="AD47" i="2"/>
  <c r="AE206" i="2"/>
  <c r="AE22" i="2"/>
  <c r="AF74" i="2"/>
  <c r="AF123" i="2"/>
  <c r="AF210" i="2"/>
  <c r="AF71" i="2"/>
  <c r="AF47" i="2"/>
  <c r="AF185" i="2"/>
  <c r="AF219" i="2"/>
  <c r="AG45" i="2"/>
  <c r="AG143" i="2"/>
  <c r="AG206" i="2"/>
  <c r="AG116" i="2"/>
  <c r="AG190" i="2"/>
  <c r="AG22" i="2"/>
  <c r="AH103" i="2"/>
  <c r="AH146" i="2"/>
  <c r="AH142" i="2"/>
  <c r="AH82" i="2"/>
  <c r="AH73" i="2"/>
  <c r="AI72" i="2"/>
  <c r="AI39" i="2"/>
  <c r="AI83" i="2"/>
  <c r="AI208" i="2"/>
  <c r="AI6" i="2"/>
  <c r="AI105" i="2"/>
  <c r="AI56" i="2"/>
  <c r="AI173" i="2"/>
  <c r="AJ120" i="2"/>
  <c r="AJ103" i="2"/>
  <c r="AJ142" i="2"/>
  <c r="AJ82" i="2"/>
  <c r="AJ73" i="2"/>
  <c r="AA9" i="2"/>
  <c r="Z187" i="2"/>
  <c r="AC92" i="2"/>
  <c r="AC3" i="2"/>
  <c r="Z217" i="2"/>
  <c r="Z26" i="2"/>
  <c r="Z153" i="2"/>
  <c r="AC206" i="2"/>
  <c r="AC116" i="2"/>
  <c r="AC190" i="2"/>
  <c r="AD123" i="2"/>
  <c r="AD219" i="2"/>
  <c r="AE45" i="2"/>
  <c r="Z129" i="2"/>
  <c r="Z31" i="2"/>
  <c r="Z63" i="2"/>
  <c r="Z154" i="2"/>
  <c r="Z111" i="2"/>
  <c r="AC72" i="2"/>
  <c r="AC39" i="2"/>
  <c r="AC83" i="2"/>
  <c r="AC6" i="2"/>
  <c r="AC56" i="2"/>
  <c r="AD103" i="2"/>
  <c r="AD18" i="2"/>
  <c r="AD139" i="2"/>
  <c r="AD146" i="2"/>
  <c r="AD82" i="2"/>
  <c r="AD73" i="2"/>
  <c r="AE105" i="2"/>
  <c r="AE173" i="2"/>
  <c r="AF137" i="2"/>
  <c r="AF120" i="2"/>
  <c r="AF103" i="2"/>
  <c r="AF18" i="2"/>
  <c r="AF139" i="2"/>
  <c r="AF146" i="2"/>
  <c r="AF142" i="2"/>
  <c r="AG72" i="2"/>
  <c r="AG83" i="2"/>
  <c r="AG6" i="2"/>
  <c r="AG173" i="2"/>
  <c r="AH99" i="2"/>
  <c r="AH15" i="2"/>
  <c r="AH108" i="2"/>
  <c r="AH41" i="2"/>
  <c r="Z88" i="2"/>
  <c r="Z202" i="2"/>
  <c r="AE96" i="2"/>
  <c r="Z197" i="2"/>
  <c r="AC45" i="2"/>
  <c r="AC143" i="2"/>
  <c r="AC58" i="2"/>
  <c r="AD185" i="2"/>
  <c r="AE58" i="2"/>
  <c r="AE190" i="2"/>
  <c r="Z135" i="2"/>
  <c r="Z160" i="2"/>
  <c r="Z81" i="2"/>
  <c r="Z163" i="2"/>
  <c r="Z188" i="2"/>
  <c r="AC167" i="2"/>
  <c r="AC208" i="2"/>
  <c r="AC105" i="2"/>
  <c r="AC173" i="2"/>
  <c r="AD137" i="2"/>
  <c r="AD120" i="2"/>
  <c r="AD142" i="2"/>
  <c r="AE72" i="2"/>
  <c r="AE167" i="2"/>
  <c r="AE39" i="2"/>
  <c r="AE83" i="2"/>
  <c r="AE208" i="2"/>
  <c r="AE6" i="2"/>
  <c r="AE56" i="2"/>
  <c r="AF82" i="2"/>
  <c r="AF73" i="2"/>
  <c r="AG167" i="2"/>
  <c r="AG39" i="2"/>
  <c r="AG208" i="2"/>
  <c r="AG105" i="2"/>
  <c r="AG56" i="2"/>
  <c r="AH194" i="2"/>
  <c r="AH170" i="2"/>
  <c r="AH217" i="2"/>
  <c r="AH227" i="2"/>
  <c r="AH216" i="2"/>
  <c r="AI127" i="2"/>
  <c r="AI207" i="2"/>
  <c r="AI195" i="2"/>
  <c r="Z57" i="2"/>
  <c r="Z132" i="2"/>
  <c r="Z134" i="2"/>
  <c r="Z221" i="2"/>
  <c r="Z113" i="2"/>
  <c r="Z93" i="2"/>
  <c r="Z49" i="2"/>
  <c r="Z12" i="2"/>
  <c r="Z104" i="2"/>
  <c r="Z61" i="2"/>
  <c r="AC70" i="2"/>
  <c r="AC48" i="2"/>
  <c r="AC223" i="2"/>
  <c r="AC183" i="2"/>
  <c r="AC209" i="2"/>
  <c r="AC151" i="2"/>
  <c r="AC169" i="2"/>
  <c r="AC85" i="2"/>
  <c r="AC196" i="2"/>
  <c r="AD57" i="2"/>
  <c r="AD175" i="2"/>
  <c r="AD156" i="2"/>
  <c r="AD21" i="2"/>
  <c r="AD107" i="2"/>
  <c r="AD130" i="2"/>
  <c r="AD51" i="2"/>
  <c r="AD126" i="2"/>
  <c r="AD78" i="2"/>
  <c r="AD218" i="2"/>
  <c r="AF57" i="2"/>
  <c r="AF175" i="2"/>
  <c r="AF156" i="2"/>
  <c r="AF21" i="2"/>
  <c r="AF107" i="2"/>
  <c r="AF130" i="2"/>
  <c r="AF51" i="2"/>
  <c r="AF126" i="2"/>
  <c r="AF78" i="2"/>
  <c r="AF218" i="2"/>
  <c r="AG70" i="2"/>
  <c r="AG48" i="2"/>
  <c r="AG223" i="2"/>
  <c r="AG183" i="2"/>
  <c r="AG209" i="2"/>
  <c r="AG151" i="2"/>
  <c r="AG169" i="2"/>
  <c r="AG85" i="2"/>
  <c r="AG196" i="2"/>
  <c r="AH201" i="2"/>
  <c r="AH125" i="2"/>
  <c r="AH101" i="2"/>
  <c r="AH177" i="2"/>
  <c r="AH172" i="2"/>
  <c r="AH80" i="2"/>
  <c r="AH128" i="2"/>
  <c r="AH77" i="2"/>
  <c r="AH54" i="2"/>
  <c r="AH7" i="2"/>
  <c r="AI44" i="2"/>
  <c r="AI118" i="2"/>
  <c r="AI28" i="2"/>
  <c r="AI24" i="2"/>
  <c r="AI55" i="2"/>
  <c r="AI5" i="2"/>
  <c r="AI165" i="2"/>
  <c r="AI112" i="2"/>
  <c r="AJ201" i="2"/>
  <c r="AJ125" i="2"/>
  <c r="AJ101" i="2"/>
  <c r="AJ177" i="2"/>
  <c r="AJ172" i="2"/>
  <c r="AJ80" i="2"/>
  <c r="AJ77" i="2"/>
  <c r="AJ54" i="2"/>
  <c r="AA174" i="2"/>
  <c r="AA211" i="2"/>
  <c r="AA37" i="2"/>
  <c r="AA225" i="2"/>
  <c r="AA198" i="2"/>
  <c r="AA158" i="2"/>
  <c r="AB181" i="2"/>
  <c r="AB92" i="2"/>
  <c r="AB179" i="2"/>
  <c r="AB23" i="2"/>
  <c r="AJ159" i="2"/>
  <c r="AJ90" i="2"/>
  <c r="AJ16" i="2"/>
  <c r="AJ19" i="2"/>
  <c r="AA171" i="2"/>
  <c r="AA100" i="2"/>
  <c r="AA144" i="2"/>
  <c r="AA14" i="2"/>
  <c r="AA68" i="2"/>
  <c r="AA191" i="2"/>
  <c r="AB40" i="2"/>
  <c r="AB53" i="2"/>
  <c r="AB3" i="2"/>
  <c r="AB131" i="2"/>
  <c r="AB224" i="2"/>
  <c r="AB79" i="2"/>
  <c r="AJ12" i="2"/>
  <c r="AJ104" i="2"/>
  <c r="AJ61" i="2"/>
  <c r="AA62" i="2"/>
  <c r="AA148" i="2"/>
  <c r="AA75" i="2"/>
  <c r="AA97" i="2"/>
  <c r="AA202" i="2"/>
  <c r="AA11" i="2"/>
  <c r="AA66" i="2"/>
  <c r="AB13" i="2"/>
  <c r="AB193" i="2"/>
  <c r="AB145" i="2"/>
  <c r="AB84" i="2"/>
  <c r="AB168" i="2"/>
  <c r="AB42" i="2"/>
  <c r="AJ23" i="2"/>
  <c r="AA88" i="2"/>
  <c r="AB45" i="2"/>
  <c r="AB116" i="2"/>
  <c r="AB190" i="2"/>
  <c r="AJ53" i="2"/>
  <c r="AJ3" i="2"/>
  <c r="AJ131" i="2"/>
  <c r="AJ89" i="2"/>
  <c r="AJ224" i="2"/>
  <c r="AJ205" i="2"/>
  <c r="AJ79" i="2"/>
  <c r="AA124" i="2"/>
  <c r="AA34" i="2"/>
  <c r="AA2" i="2"/>
  <c r="AA117" i="2"/>
  <c r="AA47" i="2"/>
  <c r="AA185" i="2"/>
  <c r="AA219" i="2"/>
  <c r="AB72" i="2"/>
  <c r="AB167" i="2"/>
  <c r="AB83" i="2"/>
  <c r="AB208" i="2"/>
  <c r="AB105" i="2"/>
  <c r="AB56" i="2"/>
  <c r="AB173" i="2"/>
  <c r="AA123" i="2"/>
  <c r="AA220" i="2"/>
  <c r="AA82" i="2"/>
  <c r="AA91" i="2"/>
  <c r="AA73" i="2"/>
  <c r="AB207" i="2"/>
  <c r="AB98" i="2"/>
  <c r="AB215" i="2"/>
  <c r="AB164" i="2"/>
  <c r="AB229" i="2"/>
  <c r="AB122" i="2"/>
  <c r="AB65" i="2"/>
  <c r="AB184" i="2"/>
  <c r="AA153" i="2"/>
  <c r="AA109" i="2"/>
  <c r="AA163" i="2"/>
  <c r="AA188" i="2"/>
  <c r="AB48" i="2"/>
  <c r="AB183" i="2"/>
  <c r="AB169" i="2"/>
  <c r="AB85" i="2"/>
  <c r="AB196" i="2"/>
  <c r="AJ94" i="2"/>
  <c r="AA160" i="2"/>
  <c r="AA31" i="2"/>
  <c r="AA63" i="2"/>
  <c r="AA126" i="2"/>
  <c r="AA218" i="2"/>
  <c r="AB28" i="2"/>
  <c r="AB24" i="2"/>
  <c r="AB112" i="2"/>
  <c r="AB52" i="2"/>
  <c r="AA16" i="2"/>
  <c r="AB225" i="2"/>
  <c r="AI77" i="2"/>
  <c r="AI54" i="2"/>
  <c r="AI7" i="2"/>
  <c r="AJ44" i="2"/>
  <c r="AJ118" i="2"/>
  <c r="AJ28" i="2"/>
  <c r="AJ24" i="2"/>
  <c r="AJ55" i="2"/>
  <c r="AJ165" i="2"/>
  <c r="AJ112" i="2"/>
  <c r="AA180" i="2"/>
  <c r="AA96" i="2"/>
  <c r="AA102" i="2"/>
  <c r="AA159" i="2"/>
  <c r="AA140" i="2"/>
  <c r="AA90" i="2"/>
  <c r="AA104" i="2"/>
  <c r="AA61" i="2"/>
  <c r="AB8" i="2"/>
  <c r="AB60" i="2"/>
  <c r="AB62" i="2"/>
  <c r="AB75" i="2"/>
  <c r="AB97" i="2"/>
  <c r="AB176" i="2"/>
  <c r="AB191" i="2"/>
  <c r="AB87" i="2"/>
  <c r="AB20" i="2"/>
  <c r="AA179" i="2"/>
  <c r="AA23" i="2"/>
  <c r="AB88" i="2"/>
  <c r="AB136" i="2"/>
  <c r="AB202" i="2"/>
  <c r="AB11" i="2"/>
  <c r="AB66" i="2"/>
  <c r="AB2" i="2"/>
  <c r="AB212" i="2"/>
  <c r="AB119" i="2"/>
  <c r="AA40" i="2"/>
  <c r="AA53" i="2"/>
  <c r="AA3" i="2"/>
  <c r="AA131" i="2"/>
  <c r="AA168" i="2"/>
  <c r="AB192" i="2"/>
  <c r="AB210" i="2"/>
  <c r="AB71" i="2"/>
  <c r="AB220" i="2"/>
  <c r="AB185" i="2"/>
  <c r="AB219" i="2"/>
  <c r="AB91" i="2"/>
  <c r="AB73" i="2"/>
  <c r="AA190" i="2"/>
  <c r="AA56" i="2"/>
  <c r="AA173" i="2"/>
  <c r="AB15" i="2"/>
  <c r="AB217" i="2"/>
  <c r="AB41" i="2"/>
  <c r="AB227" i="2"/>
  <c r="AB216" i="2"/>
  <c r="AJ192" i="2"/>
  <c r="AJ86" i="2"/>
  <c r="AJ210" i="2"/>
  <c r="AJ71" i="2"/>
  <c r="AJ220" i="2"/>
  <c r="AJ47" i="2"/>
  <c r="AJ185" i="2"/>
  <c r="AJ219" i="2"/>
  <c r="AA72" i="2"/>
  <c r="AA167" i="2"/>
  <c r="AA39" i="2"/>
  <c r="AA83" i="2"/>
  <c r="AA208" i="2"/>
  <c r="AA6" i="2"/>
  <c r="AA105" i="2"/>
  <c r="AA214" i="2"/>
  <c r="AA229" i="2"/>
  <c r="AB200" i="2"/>
  <c r="AB26" i="2"/>
  <c r="AB152" i="2"/>
  <c r="AB114" i="2"/>
  <c r="AB153" i="2"/>
  <c r="AB59" i="2"/>
  <c r="AB162" i="2"/>
  <c r="AB141" i="2"/>
  <c r="AA98" i="2"/>
  <c r="AA215" i="2"/>
  <c r="AA164" i="2"/>
  <c r="AA25" i="2"/>
  <c r="AB129" i="2"/>
  <c r="AB31" i="2"/>
  <c r="AB63" i="2"/>
  <c r="AB163" i="2"/>
  <c r="AB111" i="2"/>
  <c r="AB188" i="2"/>
  <c r="AI9" i="2"/>
  <c r="AI98" i="2"/>
  <c r="AI215" i="2"/>
  <c r="AI164" i="2"/>
  <c r="AI214" i="2"/>
  <c r="AI229" i="2"/>
  <c r="AJ194" i="2"/>
  <c r="AJ99" i="2"/>
  <c r="AJ15" i="2"/>
  <c r="AJ170" i="2"/>
  <c r="AJ108" i="2"/>
  <c r="AJ43" i="2"/>
  <c r="AJ217" i="2"/>
  <c r="AJ41" i="2"/>
  <c r="AJ227" i="2"/>
  <c r="AJ216" i="2"/>
  <c r="AA178" i="2"/>
  <c r="AA150" i="2"/>
  <c r="AA33" i="2"/>
  <c r="AA10" i="2"/>
  <c r="AA122" i="2"/>
  <c r="AA65" i="2"/>
  <c r="AA121" i="2"/>
  <c r="AA186" i="2"/>
  <c r="AA67" i="2"/>
  <c r="AB57" i="2"/>
  <c r="AB175" i="2"/>
  <c r="AB156" i="2"/>
  <c r="AB21" i="2"/>
  <c r="AB107" i="2"/>
  <c r="AB130" i="2"/>
  <c r="AB51" i="2"/>
  <c r="AB126" i="2"/>
  <c r="AB78" i="2"/>
  <c r="AB218" i="2"/>
  <c r="Z156" i="2"/>
  <c r="Z21" i="2"/>
  <c r="Z107" i="2"/>
  <c r="Z130" i="2"/>
  <c r="Z51" i="2"/>
  <c r="Z126" i="2"/>
  <c r="Z78" i="2"/>
  <c r="Z218" i="2"/>
  <c r="AC127" i="2"/>
  <c r="AC207" i="2"/>
  <c r="AC195" i="2"/>
  <c r="AC9" i="2"/>
  <c r="AC98" i="2"/>
  <c r="AC215" i="2"/>
  <c r="AC164" i="2"/>
  <c r="AC214" i="2"/>
  <c r="AC229" i="2"/>
  <c r="AD194" i="2"/>
  <c r="AD99" i="2"/>
  <c r="AD15" i="2"/>
  <c r="AD170" i="2"/>
  <c r="AD43" i="2"/>
  <c r="AD217" i="2"/>
  <c r="AD41" i="2"/>
  <c r="AD227" i="2"/>
  <c r="AD216" i="2"/>
  <c r="AE127" i="2"/>
  <c r="AE207" i="2"/>
  <c r="AE195" i="2"/>
  <c r="AE9" i="2"/>
  <c r="AE98" i="2"/>
  <c r="AE215" i="2"/>
  <c r="AE164" i="2"/>
  <c r="AE214" i="2"/>
  <c r="AE229" i="2"/>
  <c r="AF194" i="2"/>
  <c r="AF99" i="2"/>
  <c r="AF15" i="2"/>
  <c r="AF170" i="2"/>
  <c r="AF43" i="2"/>
  <c r="AF217" i="2"/>
  <c r="AF41" i="2"/>
  <c r="AF227" i="2"/>
  <c r="AF216" i="2"/>
  <c r="AG127" i="2"/>
  <c r="AG207" i="2"/>
  <c r="AG195" i="2"/>
  <c r="AG9" i="2"/>
  <c r="AG98" i="2"/>
  <c r="AG215" i="2"/>
  <c r="AG164" i="2"/>
  <c r="AG214" i="2"/>
  <c r="AG229" i="2"/>
  <c r="AH30" i="2"/>
  <c r="AH200" i="2"/>
  <c r="AH26" i="2"/>
  <c r="AH152" i="2"/>
  <c r="AH114" i="2"/>
  <c r="AH153" i="2"/>
  <c r="AH109" i="2"/>
  <c r="AH59" i="2"/>
  <c r="AH162" i="2"/>
  <c r="AH141" i="2"/>
  <c r="AI178" i="2"/>
  <c r="AI33" i="2"/>
  <c r="AI10" i="2"/>
  <c r="AI122" i="2"/>
  <c r="AI65" i="2"/>
  <c r="AI121" i="2"/>
  <c r="AI25" i="2"/>
  <c r="AI94" i="2"/>
  <c r="AJ30" i="2"/>
  <c r="AJ200" i="2"/>
  <c r="AJ26" i="2"/>
  <c r="AJ152" i="2"/>
  <c r="AJ114" i="2"/>
  <c r="AJ153" i="2"/>
  <c r="AJ59" i="2"/>
  <c r="AJ141" i="2"/>
  <c r="AA166" i="2"/>
  <c r="AA76" i="2"/>
  <c r="AA69" i="2"/>
  <c r="AA196" i="2"/>
  <c r="AB177" i="2"/>
  <c r="AB80" i="2"/>
  <c r="AJ154" i="2"/>
  <c r="AJ163" i="2"/>
  <c r="AJ111" i="2"/>
  <c r="AA48" i="2"/>
  <c r="AA223" i="2"/>
  <c r="AA183" i="2"/>
  <c r="AA209" i="2"/>
  <c r="AA151" i="2"/>
  <c r="AA169" i="2"/>
  <c r="AA165" i="2"/>
  <c r="AA112" i="2"/>
  <c r="AB17" i="2"/>
  <c r="AB96" i="2"/>
  <c r="AB102" i="2"/>
  <c r="AB159" i="2"/>
  <c r="AB140" i="2"/>
  <c r="AB90" i="2"/>
  <c r="AB16" i="2"/>
  <c r="AB19" i="2"/>
  <c r="AJ107" i="2"/>
  <c r="AJ130" i="2"/>
  <c r="AJ51" i="2"/>
  <c r="AJ126" i="2"/>
  <c r="AJ78" i="2"/>
  <c r="AJ218" i="2"/>
  <c r="AA44" i="2"/>
  <c r="AA28" i="2"/>
  <c r="AA24" i="2"/>
  <c r="AA55" i="2"/>
  <c r="AA106" i="2"/>
  <c r="AA138" i="2"/>
  <c r="AB132" i="2"/>
  <c r="AB221" i="2"/>
  <c r="AB113" i="2"/>
  <c r="AB93" i="2"/>
  <c r="AB49" i="2"/>
  <c r="AB12" i="2"/>
  <c r="AB104" i="2"/>
  <c r="AA5" i="2"/>
  <c r="AD213" i="1"/>
  <c r="H213" i="1" s="1"/>
  <c r="AE178" i="2"/>
  <c r="AD189" i="1"/>
  <c r="G189" i="1" s="1"/>
  <c r="AE150" i="2"/>
  <c r="AD165" i="1"/>
  <c r="AE33" i="2"/>
  <c r="AD140" i="1"/>
  <c r="F140" i="1" s="1"/>
  <c r="AE10" i="2"/>
  <c r="AD212" i="1"/>
  <c r="I212" i="1" s="1"/>
  <c r="AE133" i="2"/>
  <c r="AD188" i="1"/>
  <c r="F188" i="1" s="1"/>
  <c r="AE35" i="2"/>
  <c r="AD164" i="1"/>
  <c r="F164" i="1" s="1"/>
  <c r="AE184" i="2"/>
  <c r="AD139" i="1"/>
  <c r="AE4" i="2"/>
  <c r="AD91" i="1"/>
  <c r="F91" i="1" s="1"/>
  <c r="AE76" i="2"/>
  <c r="AD66" i="1"/>
  <c r="I66" i="1" s="1"/>
  <c r="AE69" i="2"/>
  <c r="AD17" i="1"/>
  <c r="H17" i="1" s="1"/>
  <c r="AE67" i="2"/>
  <c r="AD211" i="1"/>
  <c r="G211" i="1" s="1"/>
  <c r="AE70" i="2"/>
  <c r="AD187" i="1"/>
  <c r="H187" i="1" s="1"/>
  <c r="AE48" i="2"/>
  <c r="AD163" i="1"/>
  <c r="F163" i="1" s="1"/>
  <c r="AE223" i="2"/>
  <c r="AD138" i="1"/>
  <c r="AE183" i="2"/>
  <c r="AD114" i="1"/>
  <c r="I114" i="1" s="1"/>
  <c r="AE209" i="2"/>
  <c r="AD90" i="1"/>
  <c r="G90" i="1" s="1"/>
  <c r="AE151" i="2"/>
  <c r="AD65" i="1"/>
  <c r="F65" i="1" s="1"/>
  <c r="AE169" i="2"/>
  <c r="AD41" i="1"/>
  <c r="AE85" i="2"/>
  <c r="AD16" i="1"/>
  <c r="F16" i="1" s="1"/>
  <c r="AE196" i="2"/>
  <c r="AD210" i="1"/>
  <c r="AE44" i="2"/>
  <c r="AD186" i="1"/>
  <c r="AE118" i="2"/>
  <c r="AD162" i="1"/>
  <c r="AE28" i="2"/>
  <c r="AD137" i="1"/>
  <c r="AE182" i="2"/>
  <c r="AD113" i="1"/>
  <c r="AE24" i="2"/>
  <c r="AD89" i="1"/>
  <c r="AE55" i="2"/>
  <c r="AD64" i="1"/>
  <c r="AE5" i="2"/>
  <c r="AD40" i="1"/>
  <c r="AE165" i="2"/>
  <c r="AD15" i="1"/>
  <c r="AE112" i="2"/>
  <c r="AD2" i="1"/>
  <c r="F2" i="1" s="1"/>
  <c r="AE29" i="2"/>
  <c r="AD209" i="1"/>
  <c r="F209" i="1" s="1"/>
  <c r="AE64" i="2"/>
  <c r="AD185" i="1"/>
  <c r="AE174" i="2"/>
  <c r="AD161" i="1"/>
  <c r="AE189" i="2"/>
  <c r="AD136" i="1"/>
  <c r="AE211" i="2"/>
  <c r="AD112" i="1"/>
  <c r="AE37" i="2"/>
  <c r="AD88" i="1"/>
  <c r="F88" i="1" s="1"/>
  <c r="V36" i="2" s="1"/>
  <c r="AE36" i="2"/>
  <c r="AD63" i="1"/>
  <c r="AE52" i="2"/>
  <c r="AD38" i="1"/>
  <c r="I38" i="1" s="1"/>
  <c r="AE106" i="2"/>
  <c r="AD14" i="1"/>
  <c r="G14" i="1" s="1"/>
  <c r="AE138" i="2"/>
  <c r="AD145" i="1"/>
  <c r="H145" i="1" s="1"/>
  <c r="X171" i="2" s="1"/>
  <c r="AE171" i="2"/>
  <c r="AD208" i="1"/>
  <c r="I208" i="1" s="1"/>
  <c r="AE161" i="2"/>
  <c r="AD184" i="1"/>
  <c r="AE115" i="2"/>
  <c r="AD135" i="1"/>
  <c r="G135" i="1" s="1"/>
  <c r="AE144" i="2"/>
  <c r="AD111" i="1"/>
  <c r="AE14" i="2"/>
  <c r="AD86" i="1"/>
  <c r="AE68" i="2"/>
  <c r="AD62" i="1"/>
  <c r="I62" i="1" s="1"/>
  <c r="AE225" i="2"/>
  <c r="AD37" i="1"/>
  <c r="F37" i="1" s="1"/>
  <c r="AE198" i="2"/>
  <c r="AD13" i="1"/>
  <c r="F13" i="1" s="1"/>
  <c r="AE158" i="2"/>
  <c r="AD87" i="1"/>
  <c r="AE8" i="2"/>
  <c r="AD207" i="1"/>
  <c r="AE60" i="2"/>
  <c r="AD183" i="1"/>
  <c r="AE62" i="2"/>
  <c r="AD159" i="1"/>
  <c r="AE148" i="2"/>
  <c r="AD134" i="1"/>
  <c r="AE75" i="2"/>
  <c r="AD110" i="1"/>
  <c r="AE97" i="2"/>
  <c r="AD85" i="1"/>
  <c r="AE176" i="2"/>
  <c r="AD61" i="1"/>
  <c r="AE191" i="2"/>
  <c r="AD36" i="1"/>
  <c r="AE87" i="2"/>
  <c r="AD12" i="1"/>
  <c r="AE20" i="2"/>
  <c r="AD39" i="1"/>
  <c r="AE27" i="2"/>
  <c r="AD206" i="1"/>
  <c r="AE38" i="2"/>
  <c r="AD182" i="1"/>
  <c r="AE228" i="2"/>
  <c r="AD158" i="1"/>
  <c r="G158" i="1" s="1"/>
  <c r="AE88" i="2"/>
  <c r="AD133" i="1"/>
  <c r="I133" i="1" s="1"/>
  <c r="AE147" i="2"/>
  <c r="AD109" i="1"/>
  <c r="H109" i="1" s="1"/>
  <c r="AE199" i="2"/>
  <c r="AD84" i="1"/>
  <c r="I84" i="1" s="1"/>
  <c r="AE136" i="2"/>
  <c r="AD60" i="1"/>
  <c r="F60" i="1" s="1"/>
  <c r="AE202" i="2"/>
  <c r="AD35" i="1"/>
  <c r="I35" i="1" s="1"/>
  <c r="AE11" i="2"/>
  <c r="AD11" i="1"/>
  <c r="AE66" i="2"/>
  <c r="AD229" i="1"/>
  <c r="AE149" i="2"/>
  <c r="AD205" i="1"/>
  <c r="G205" i="1" s="1"/>
  <c r="AE124" i="2"/>
  <c r="AD181" i="1"/>
  <c r="AE187" i="2"/>
  <c r="AD157" i="1"/>
  <c r="I157" i="1" s="1"/>
  <c r="AE34" i="2"/>
  <c r="AD132" i="1"/>
  <c r="F132" i="1" s="1"/>
  <c r="AE157" i="2"/>
  <c r="AD108" i="1"/>
  <c r="I108" i="1" s="1"/>
  <c r="AE2" i="2"/>
  <c r="AD83" i="1"/>
  <c r="G83" i="1" s="1"/>
  <c r="AE117" i="2"/>
  <c r="AD59" i="1"/>
  <c r="I59" i="1" s="1"/>
  <c r="AE212" i="2"/>
  <c r="AD34" i="1"/>
  <c r="F34" i="1" s="1"/>
  <c r="AE197" i="2"/>
  <c r="AD10" i="1"/>
  <c r="F10" i="1" s="1"/>
  <c r="AE119" i="2"/>
  <c r="AD228" i="1"/>
  <c r="I228" i="1" s="1"/>
  <c r="Y74" i="2" s="1"/>
  <c r="AE74" i="2"/>
  <c r="AD204" i="1"/>
  <c r="I204" i="1" s="1"/>
  <c r="AE192" i="2"/>
  <c r="AD180" i="1"/>
  <c r="AE86" i="2"/>
  <c r="AD156" i="1"/>
  <c r="G156" i="1" s="1"/>
  <c r="AE123" i="2"/>
  <c r="AD131" i="1"/>
  <c r="H131" i="1" s="1"/>
  <c r="AE210" i="2"/>
  <c r="AD107" i="1"/>
  <c r="F107" i="1" s="1"/>
  <c r="AE71" i="2"/>
  <c r="AD82" i="1"/>
  <c r="I82" i="1" s="1"/>
  <c r="AE220" i="2"/>
  <c r="AD58" i="1"/>
  <c r="F58" i="1" s="1"/>
  <c r="AE47" i="2"/>
  <c r="AD33" i="1"/>
  <c r="I33" i="1" s="1"/>
  <c r="AE185" i="2"/>
  <c r="AD9" i="1"/>
  <c r="I9" i="1" s="1"/>
  <c r="AE219" i="2"/>
  <c r="AD227" i="1"/>
  <c r="I227" i="1" s="1"/>
  <c r="AE137" i="2"/>
  <c r="AD203" i="1"/>
  <c r="G203" i="1" s="1"/>
  <c r="AE120" i="2"/>
  <c r="AD179" i="1"/>
  <c r="I179" i="1" s="1"/>
  <c r="AE103" i="2"/>
  <c r="AD155" i="1"/>
  <c r="AE18" i="2"/>
  <c r="AD130" i="1"/>
  <c r="AE139" i="2"/>
  <c r="AD106" i="1"/>
  <c r="I106" i="1" s="1"/>
  <c r="AE146" i="2"/>
  <c r="AD81" i="1"/>
  <c r="AE142" i="2"/>
  <c r="AD57" i="1"/>
  <c r="H57" i="1" s="1"/>
  <c r="AE82" i="2"/>
  <c r="AD32" i="1"/>
  <c r="G32" i="1" s="1"/>
  <c r="AE91" i="2"/>
  <c r="AD8" i="1"/>
  <c r="F8" i="1" s="1"/>
  <c r="AE73" i="2"/>
  <c r="AD226" i="1"/>
  <c r="G226" i="1" s="1"/>
  <c r="AE194" i="2"/>
  <c r="AD202" i="1"/>
  <c r="I202" i="1" s="1"/>
  <c r="AE99" i="2"/>
  <c r="AD178" i="1"/>
  <c r="I178" i="1" s="1"/>
  <c r="AE15" i="2"/>
  <c r="AD154" i="1"/>
  <c r="H154" i="1" s="1"/>
  <c r="AE170" i="2"/>
  <c r="AD129" i="1"/>
  <c r="I129" i="1" s="1"/>
  <c r="AE108" i="2"/>
  <c r="AD105" i="1"/>
  <c r="AE43" i="2"/>
  <c r="AD80" i="1"/>
  <c r="F80" i="1" s="1"/>
  <c r="AE217" i="2"/>
  <c r="AD56" i="1"/>
  <c r="I56" i="1" s="1"/>
  <c r="AE41" i="2"/>
  <c r="AD31" i="1"/>
  <c r="H31" i="1" s="1"/>
  <c r="AE227" i="2"/>
  <c r="AD7" i="1"/>
  <c r="H7" i="1" s="1"/>
  <c r="AE216" i="2"/>
  <c r="AD225" i="1"/>
  <c r="G225" i="1" s="1"/>
  <c r="AE30" i="2"/>
  <c r="AD201" i="1"/>
  <c r="I201" i="1" s="1"/>
  <c r="AE200" i="2"/>
  <c r="AD177" i="1"/>
  <c r="I177" i="1" s="1"/>
  <c r="AE26" i="2"/>
  <c r="AD153" i="1"/>
  <c r="I153" i="1" s="1"/>
  <c r="AE152" i="2"/>
  <c r="AD128" i="1"/>
  <c r="H128" i="1" s="1"/>
  <c r="AE114" i="2"/>
  <c r="AD104" i="1"/>
  <c r="F104" i="1" s="1"/>
  <c r="AE153" i="2"/>
  <c r="AD79" i="1"/>
  <c r="F79" i="1" s="1"/>
  <c r="AE109" i="2"/>
  <c r="AD55" i="1"/>
  <c r="G55" i="1" s="1"/>
  <c r="AE59" i="2"/>
  <c r="AD30" i="1"/>
  <c r="G30" i="1" s="1"/>
  <c r="AE162" i="2"/>
  <c r="AD6" i="1"/>
  <c r="I6" i="1" s="1"/>
  <c r="AE141" i="2"/>
  <c r="AD152" i="1"/>
  <c r="AE81" i="2"/>
  <c r="AD103" i="1"/>
  <c r="G103" i="1" s="1"/>
  <c r="AE63" i="2"/>
  <c r="AD78" i="1"/>
  <c r="F78" i="1" s="1"/>
  <c r="AE154" i="2"/>
  <c r="AD54" i="1"/>
  <c r="G54" i="1" s="1"/>
  <c r="AE163" i="2"/>
  <c r="AD29" i="1"/>
  <c r="I29" i="1" s="1"/>
  <c r="AE111" i="2"/>
  <c r="AD5" i="1"/>
  <c r="I5" i="1" s="1"/>
  <c r="AE188" i="2"/>
  <c r="AD223" i="1"/>
  <c r="H223" i="1" s="1"/>
  <c r="AE57" i="2"/>
  <c r="AD199" i="1"/>
  <c r="G199" i="1" s="1"/>
  <c r="AE175" i="2"/>
  <c r="AD175" i="1"/>
  <c r="G175" i="1" s="1"/>
  <c r="AE156" i="2"/>
  <c r="AD151" i="1"/>
  <c r="H151" i="1" s="1"/>
  <c r="AE21" i="2"/>
  <c r="AD126" i="1"/>
  <c r="I126" i="1" s="1"/>
  <c r="AE107" i="2"/>
  <c r="AD102" i="1"/>
  <c r="I102" i="1" s="1"/>
  <c r="AE130" i="2"/>
  <c r="AD77" i="1"/>
  <c r="H77" i="1" s="1"/>
  <c r="AE51" i="2"/>
  <c r="AD53" i="1"/>
  <c r="H53" i="1" s="1"/>
  <c r="AE126" i="2"/>
  <c r="AD28" i="1"/>
  <c r="G28" i="1" s="1"/>
  <c r="AE78" i="2"/>
  <c r="AD4" i="1"/>
  <c r="H4" i="1" s="1"/>
  <c r="AE218" i="2"/>
  <c r="AD222" i="1"/>
  <c r="I222" i="1" s="1"/>
  <c r="AE201" i="2"/>
  <c r="AD174" i="1"/>
  <c r="F174" i="1" s="1"/>
  <c r="AE101" i="2"/>
  <c r="AD150" i="1"/>
  <c r="I150" i="1" s="1"/>
  <c r="AE177" i="2"/>
  <c r="AD125" i="1"/>
  <c r="I125" i="1" s="1"/>
  <c r="AE172" i="2"/>
  <c r="AD101" i="1"/>
  <c r="I101" i="1" s="1"/>
  <c r="AE80" i="2"/>
  <c r="AD76" i="1"/>
  <c r="G76" i="1" s="1"/>
  <c r="AE128" i="2"/>
  <c r="AD52" i="1"/>
  <c r="F52" i="1" s="1"/>
  <c r="AE77" i="2"/>
  <c r="AD27" i="1"/>
  <c r="I27" i="1" s="1"/>
  <c r="AE54" i="2"/>
  <c r="AD116" i="1"/>
  <c r="H116" i="1" s="1"/>
  <c r="AE122" i="2"/>
  <c r="AD92" i="1"/>
  <c r="F92" i="1" s="1"/>
  <c r="AE65" i="2"/>
  <c r="AD67" i="1"/>
  <c r="H67" i="1" s="1"/>
  <c r="AE121" i="2"/>
  <c r="AD43" i="1"/>
  <c r="G43" i="1" s="1"/>
  <c r="AE25" i="2"/>
  <c r="AD18" i="1"/>
  <c r="G18" i="1" s="1"/>
  <c r="AE94" i="2"/>
  <c r="AD160" i="1"/>
  <c r="H160" i="1" s="1"/>
  <c r="AD149" i="1"/>
  <c r="F149" i="1" s="1"/>
  <c r="AD75" i="1"/>
  <c r="F75" i="1" s="1"/>
  <c r="AD26" i="1"/>
  <c r="I26" i="1" s="1"/>
  <c r="AD196" i="1"/>
  <c r="H196" i="1" s="1"/>
  <c r="AD123" i="1"/>
  <c r="G123" i="1" s="1"/>
  <c r="AD50" i="1"/>
  <c r="H50" i="1" s="1"/>
  <c r="AD219" i="1"/>
  <c r="G219" i="1" s="1"/>
  <c r="AD195" i="1"/>
  <c r="H195" i="1" s="1"/>
  <c r="AD147" i="1"/>
  <c r="I147" i="1" s="1"/>
  <c r="AD122" i="1"/>
  <c r="I122" i="1" s="1"/>
  <c r="AD98" i="1"/>
  <c r="G98" i="1" s="1"/>
  <c r="AD73" i="1"/>
  <c r="H73" i="1" s="1"/>
  <c r="AD24" i="1"/>
  <c r="I24" i="1" s="1"/>
  <c r="AD218" i="1"/>
  <c r="G218" i="1" s="1"/>
  <c r="AD194" i="1"/>
  <c r="I194" i="1" s="1"/>
  <c r="AD170" i="1"/>
  <c r="I170" i="1" s="1"/>
  <c r="AD146" i="1"/>
  <c r="F146" i="1" s="1"/>
  <c r="AD121" i="1"/>
  <c r="I121" i="1" s="1"/>
  <c r="AD97" i="1"/>
  <c r="I97" i="1" s="1"/>
  <c r="AD72" i="1"/>
  <c r="G72" i="1" s="1"/>
  <c r="AD48" i="1"/>
  <c r="H48" i="1" s="1"/>
  <c r="AD23" i="1"/>
  <c r="I23" i="1" s="1"/>
  <c r="AD42" i="1"/>
  <c r="G42" i="1" s="1"/>
  <c r="AD198" i="1"/>
  <c r="F198" i="1" s="1"/>
  <c r="AD221" i="1"/>
  <c r="F221" i="1" s="1"/>
  <c r="AD173" i="1"/>
  <c r="I173" i="1" s="1"/>
  <c r="AD124" i="1"/>
  <c r="H124" i="1" s="1"/>
  <c r="AD51" i="1"/>
  <c r="G51" i="1" s="1"/>
  <c r="AD148" i="1"/>
  <c r="F148" i="1" s="1"/>
  <c r="AD25" i="1"/>
  <c r="F25" i="1" s="1"/>
  <c r="AD49" i="1"/>
  <c r="G49" i="1" s="1"/>
  <c r="AD217" i="1"/>
  <c r="I217" i="1" s="1"/>
  <c r="AD169" i="1"/>
  <c r="F169" i="1" s="1"/>
  <c r="AD144" i="1"/>
  <c r="F144" i="1" s="1"/>
  <c r="AD120" i="1"/>
  <c r="F120" i="1" s="1"/>
  <c r="AD96" i="1"/>
  <c r="H96" i="1" s="1"/>
  <c r="AD71" i="1"/>
  <c r="G71" i="1" s="1"/>
  <c r="AD47" i="1"/>
  <c r="I47" i="1" s="1"/>
  <c r="AD22" i="1"/>
  <c r="I22" i="1" s="1"/>
  <c r="AD115" i="1"/>
  <c r="H115" i="1" s="1"/>
  <c r="AD197" i="1"/>
  <c r="H197" i="1" s="1"/>
  <c r="AD100" i="1"/>
  <c r="F100" i="1" s="1"/>
  <c r="AD172" i="1"/>
  <c r="H172" i="1" s="1"/>
  <c r="AD74" i="1"/>
  <c r="G74" i="1" s="1"/>
  <c r="AD171" i="1"/>
  <c r="G171" i="1" s="1"/>
  <c r="AD193" i="1"/>
  <c r="F193" i="1" s="1"/>
  <c r="AD216" i="1"/>
  <c r="H216" i="1" s="1"/>
  <c r="AD192" i="1"/>
  <c r="H192" i="1" s="1"/>
  <c r="AD168" i="1"/>
  <c r="H168" i="1" s="1"/>
  <c r="AD143" i="1"/>
  <c r="H143" i="1" s="1"/>
  <c r="AD119" i="1"/>
  <c r="H119" i="1" s="1"/>
  <c r="AD95" i="1"/>
  <c r="H95" i="1" s="1"/>
  <c r="AD70" i="1"/>
  <c r="H70" i="1" s="1"/>
  <c r="AD46" i="1"/>
  <c r="H46" i="1" s="1"/>
  <c r="X213" i="2" s="1"/>
  <c r="AD21" i="1"/>
  <c r="F21" i="1" s="1"/>
  <c r="AD224" i="1"/>
  <c r="I224" i="1" s="1"/>
  <c r="AD200" i="1"/>
  <c r="G200" i="1" s="1"/>
  <c r="AD176" i="1"/>
  <c r="G176" i="1" s="1"/>
  <c r="AD127" i="1"/>
  <c r="I127" i="1" s="1"/>
  <c r="AD3" i="1"/>
  <c r="I3" i="1" s="1"/>
  <c r="AD220" i="1"/>
  <c r="G220" i="1" s="1"/>
  <c r="AD99" i="1"/>
  <c r="I99" i="1" s="1"/>
  <c r="AD215" i="1"/>
  <c r="H215" i="1" s="1"/>
  <c r="AD191" i="1"/>
  <c r="H191" i="1" s="1"/>
  <c r="AD167" i="1"/>
  <c r="H167" i="1" s="1"/>
  <c r="AD142" i="1"/>
  <c r="H142" i="1" s="1"/>
  <c r="AD118" i="1"/>
  <c r="H118" i="1" s="1"/>
  <c r="AD94" i="1"/>
  <c r="H94" i="1" s="1"/>
  <c r="AD69" i="1"/>
  <c r="H69" i="1" s="1"/>
  <c r="AD45" i="1"/>
  <c r="H45" i="1" s="1"/>
  <c r="AD20" i="1"/>
  <c r="H20" i="1" s="1"/>
  <c r="AD214" i="1"/>
  <c r="I214" i="1" s="1"/>
  <c r="AD190" i="1"/>
  <c r="F190" i="1" s="1"/>
  <c r="AD166" i="1"/>
  <c r="H166" i="1" s="1"/>
  <c r="AD141" i="1"/>
  <c r="H141" i="1" s="1"/>
  <c r="AD117" i="1"/>
  <c r="H117" i="1" s="1"/>
  <c r="AD93" i="1"/>
  <c r="H93" i="1" s="1"/>
  <c r="AD68" i="1"/>
  <c r="H68" i="1" s="1"/>
  <c r="AD44" i="1"/>
  <c r="H44" i="1" s="1"/>
  <c r="AD19" i="1"/>
  <c r="F19" i="1" s="1"/>
  <c r="U195" i="1"/>
  <c r="U147" i="1"/>
  <c r="U194" i="1"/>
  <c r="U146" i="1"/>
  <c r="U72" i="1"/>
  <c r="U48" i="1"/>
  <c r="U219" i="1"/>
  <c r="U171" i="1"/>
  <c r="U122" i="1"/>
  <c r="U218" i="1"/>
  <c r="U170" i="1"/>
  <c r="U121" i="1"/>
  <c r="U97" i="1"/>
  <c r="U23" i="1"/>
  <c r="U91" i="1"/>
  <c r="U148" i="1"/>
  <c r="U98" i="1"/>
  <c r="U73" i="1"/>
  <c r="U49" i="1"/>
  <c r="U24" i="1"/>
  <c r="U165" i="1"/>
  <c r="U92" i="1"/>
  <c r="U18" i="1"/>
  <c r="U189" i="1"/>
  <c r="U140" i="1"/>
  <c r="AK10" i="2" s="1"/>
  <c r="U67" i="1"/>
  <c r="U213" i="1"/>
  <c r="U116" i="1"/>
  <c r="AK122" i="2" s="1"/>
  <c r="U43" i="1"/>
  <c r="U221" i="1"/>
  <c r="U197" i="1"/>
  <c r="AK180" i="2" s="1"/>
  <c r="U173" i="1"/>
  <c r="U149" i="1"/>
  <c r="AK102" i="2" s="1"/>
  <c r="U124" i="1"/>
  <c r="U100" i="1"/>
  <c r="U75" i="1"/>
  <c r="U51" i="1"/>
  <c r="U26" i="1"/>
  <c r="AK19" i="2" s="1"/>
  <c r="U2" i="1"/>
  <c r="U209" i="1"/>
  <c r="U185" i="1"/>
  <c r="U161" i="1"/>
  <c r="U136" i="1"/>
  <c r="U112" i="1"/>
  <c r="U88" i="1"/>
  <c r="AK36" i="2" s="1"/>
  <c r="U63" i="1"/>
  <c r="U38" i="1"/>
  <c r="U220" i="1"/>
  <c r="U196" i="1"/>
  <c r="U172" i="1"/>
  <c r="U123" i="1"/>
  <c r="U99" i="1"/>
  <c r="U74" i="1"/>
  <c r="U50" i="1"/>
  <c r="U25" i="1"/>
  <c r="AK61" i="2" s="1"/>
  <c r="U145" i="1"/>
  <c r="U208" i="1"/>
  <c r="U184" i="1"/>
  <c r="U160" i="1"/>
  <c r="U135" i="1"/>
  <c r="U111" i="1"/>
  <c r="U86" i="1"/>
  <c r="U62" i="1"/>
  <c r="U37" i="1"/>
  <c r="U13" i="1"/>
  <c r="U14" i="1"/>
  <c r="U61" i="1"/>
  <c r="U158" i="1"/>
  <c r="U11" i="1"/>
  <c r="U59" i="1"/>
  <c r="U217" i="1"/>
  <c r="U96" i="1"/>
  <c r="U156" i="1"/>
  <c r="U107" i="1"/>
  <c r="U9" i="1"/>
  <c r="U192" i="1"/>
  <c r="AK143" i="2" s="1"/>
  <c r="U143" i="1"/>
  <c r="U70" i="1"/>
  <c r="U130" i="1"/>
  <c r="U106" i="1"/>
  <c r="U215" i="1"/>
  <c r="U142" i="1"/>
  <c r="U20" i="1"/>
  <c r="U226" i="1"/>
  <c r="U202" i="1"/>
  <c r="U178" i="1"/>
  <c r="U154" i="1"/>
  <c r="U129" i="1"/>
  <c r="U105" i="1"/>
  <c r="U80" i="1"/>
  <c r="AK217" i="2" s="1"/>
  <c r="U56" i="1"/>
  <c r="U31" i="1"/>
  <c r="U7" i="1"/>
  <c r="U214" i="1"/>
  <c r="U190" i="1"/>
  <c r="U166" i="1"/>
  <c r="U141" i="1"/>
  <c r="U117" i="1"/>
  <c r="U93" i="1"/>
  <c r="U68" i="1"/>
  <c r="U44" i="1"/>
  <c r="AK214" i="2" s="1"/>
  <c r="U19" i="1"/>
  <c r="U134" i="1"/>
  <c r="U182" i="1"/>
  <c r="U133" i="1"/>
  <c r="U35" i="1"/>
  <c r="U157" i="1"/>
  <c r="AK34" i="2" s="1"/>
  <c r="U83" i="1"/>
  <c r="U169" i="1"/>
  <c r="U71" i="1"/>
  <c r="U82" i="1"/>
  <c r="U95" i="1"/>
  <c r="U155" i="1"/>
  <c r="U57" i="1"/>
  <c r="AK82" i="2" s="1"/>
  <c r="U167" i="1"/>
  <c r="U94" i="1"/>
  <c r="AK6" i="2" s="1"/>
  <c r="G105" i="1"/>
  <c r="U225" i="1"/>
  <c r="U201" i="1"/>
  <c r="U177" i="1"/>
  <c r="U153" i="1"/>
  <c r="U128" i="1"/>
  <c r="U104" i="1"/>
  <c r="U79" i="1"/>
  <c r="U55" i="1"/>
  <c r="U30" i="1"/>
  <c r="U6" i="1"/>
  <c r="U207" i="1"/>
  <c r="U159" i="1"/>
  <c r="U110" i="1"/>
  <c r="U36" i="1"/>
  <c r="U206" i="1"/>
  <c r="U84" i="1"/>
  <c r="AK136" i="2" s="1"/>
  <c r="U229" i="1"/>
  <c r="U132" i="1"/>
  <c r="U10" i="1"/>
  <c r="U120" i="1"/>
  <c r="U204" i="1"/>
  <c r="U58" i="1"/>
  <c r="AK47" i="2" s="1"/>
  <c r="U168" i="1"/>
  <c r="U21" i="1"/>
  <c r="U203" i="1"/>
  <c r="AK120" i="2" s="1"/>
  <c r="U81" i="1"/>
  <c r="U191" i="1"/>
  <c r="U118" i="1"/>
  <c r="U224" i="1"/>
  <c r="U200" i="1"/>
  <c r="U176" i="1"/>
  <c r="U152" i="1"/>
  <c r="U127" i="1"/>
  <c r="U103" i="1"/>
  <c r="AK63" i="2" s="1"/>
  <c r="U78" i="1"/>
  <c r="AK154" i="2" s="1"/>
  <c r="U54" i="1"/>
  <c r="U29" i="1"/>
  <c r="U5" i="1"/>
  <c r="AK188" i="2" s="1"/>
  <c r="U212" i="1"/>
  <c r="U188" i="1"/>
  <c r="U164" i="1"/>
  <c r="U139" i="1"/>
  <c r="AK4" i="2" s="1"/>
  <c r="U115" i="1"/>
  <c r="U66" i="1"/>
  <c r="U42" i="1"/>
  <c r="U17" i="1"/>
  <c r="U87" i="1"/>
  <c r="U85" i="1"/>
  <c r="U39" i="1"/>
  <c r="U60" i="1"/>
  <c r="U205" i="1"/>
  <c r="U34" i="1"/>
  <c r="U144" i="1"/>
  <c r="U22" i="1"/>
  <c r="AK42" i="2" s="1"/>
  <c r="U180" i="1"/>
  <c r="U33" i="1"/>
  <c r="U119" i="1"/>
  <c r="U179" i="1"/>
  <c r="U32" i="1"/>
  <c r="U69" i="1"/>
  <c r="AK105" i="2" s="1"/>
  <c r="I152" i="1"/>
  <c r="Y81" i="2" s="1"/>
  <c r="U223" i="1"/>
  <c r="U199" i="1"/>
  <c r="U175" i="1"/>
  <c r="U151" i="1"/>
  <c r="U126" i="1"/>
  <c r="U102" i="1"/>
  <c r="U77" i="1"/>
  <c r="U53" i="1"/>
  <c r="U28" i="1"/>
  <c r="U4" i="1"/>
  <c r="U211" i="1"/>
  <c r="U187" i="1"/>
  <c r="U163" i="1"/>
  <c r="U138" i="1"/>
  <c r="U114" i="1"/>
  <c r="U90" i="1"/>
  <c r="U65" i="1"/>
  <c r="U41" i="1"/>
  <c r="U16" i="1"/>
  <c r="U183" i="1"/>
  <c r="AK62" i="2" s="1"/>
  <c r="U12" i="1"/>
  <c r="U109" i="1"/>
  <c r="U181" i="1"/>
  <c r="AK187" i="2" s="1"/>
  <c r="U108" i="1"/>
  <c r="AK2" i="2" s="1"/>
  <c r="U193" i="1"/>
  <c r="U47" i="1"/>
  <c r="AK168" i="2" s="1"/>
  <c r="U228" i="1"/>
  <c r="U131" i="1"/>
  <c r="U216" i="1"/>
  <c r="U46" i="1"/>
  <c r="U227" i="1"/>
  <c r="U8" i="1"/>
  <c r="U45" i="1"/>
  <c r="AK56" i="2" s="1"/>
  <c r="U222" i="1"/>
  <c r="U198" i="1"/>
  <c r="U174" i="1"/>
  <c r="U150" i="1"/>
  <c r="U125" i="1"/>
  <c r="U101" i="1"/>
  <c r="AK80" i="2" s="1"/>
  <c r="U76" i="1"/>
  <c r="U52" i="1"/>
  <c r="U27" i="1"/>
  <c r="U3" i="1"/>
  <c r="U210" i="1"/>
  <c r="U186" i="1"/>
  <c r="U162" i="1"/>
  <c r="U137" i="1"/>
  <c r="U113" i="1"/>
  <c r="U89" i="1"/>
  <c r="U64" i="1"/>
  <c r="U40" i="1"/>
  <c r="U15" i="1"/>
  <c r="G111" i="1"/>
  <c r="H182" i="1"/>
  <c r="H139" i="1"/>
  <c r="G161" i="1"/>
  <c r="H39" i="1"/>
  <c r="F11" i="1"/>
  <c r="H138" i="1"/>
  <c r="F41" i="1"/>
  <c r="H155" i="1"/>
  <c r="I130" i="1"/>
  <c r="I81" i="1"/>
  <c r="G136" i="1"/>
  <c r="G63" i="1"/>
  <c r="F184" i="1"/>
  <c r="F206" i="1"/>
  <c r="H229" i="1"/>
  <c r="I185" i="1"/>
  <c r="H112" i="1"/>
  <c r="G86" i="1"/>
  <c r="I181" i="1"/>
  <c r="G180" i="1"/>
  <c r="F165" i="1"/>
  <c r="AK66" i="2" l="1"/>
  <c r="AK110" i="2"/>
  <c r="AK35" i="2"/>
  <c r="AK149" i="2"/>
  <c r="AK79" i="2"/>
  <c r="V71" i="2"/>
  <c r="V66" i="2"/>
  <c r="AK128" i="2"/>
  <c r="AK91" i="2"/>
  <c r="AK159" i="2"/>
  <c r="AK101" i="2"/>
  <c r="AK27" i="2"/>
  <c r="J110" i="2"/>
  <c r="N171" i="2"/>
  <c r="AK57" i="2"/>
  <c r="AK133" i="2"/>
  <c r="AK196" i="2"/>
  <c r="AK203" i="2"/>
  <c r="AK85" i="2"/>
  <c r="X155" i="2"/>
  <c r="AK15" i="2"/>
  <c r="AK185" i="2"/>
  <c r="AK140" i="2"/>
  <c r="AK124" i="2"/>
  <c r="AK190" i="2"/>
  <c r="AK104" i="2"/>
  <c r="AK17" i="2"/>
  <c r="AK75" i="2"/>
  <c r="AK126" i="2"/>
  <c r="AK167" i="2"/>
  <c r="AK142" i="2"/>
  <c r="AK98" i="2"/>
  <c r="AK114" i="2"/>
  <c r="AK123" i="2"/>
  <c r="AK9" i="2"/>
  <c r="AK55" i="2"/>
  <c r="AK69" i="2"/>
  <c r="M105" i="2"/>
  <c r="M186" i="2"/>
  <c r="I97" i="2"/>
  <c r="N31" i="2"/>
  <c r="K136" i="2"/>
  <c r="K20" i="2"/>
  <c r="L60" i="2"/>
  <c r="L104" i="2"/>
  <c r="J207" i="2"/>
  <c r="G213" i="2"/>
  <c r="H213" i="2" s="1"/>
  <c r="N166" i="2"/>
  <c r="J19" i="2"/>
  <c r="I60" i="2"/>
  <c r="M82" i="2"/>
  <c r="G171" i="2"/>
  <c r="H171" i="2" s="1"/>
  <c r="I48" i="2"/>
  <c r="J6" i="2"/>
  <c r="N99" i="2"/>
  <c r="K128" i="2"/>
  <c r="M102" i="2"/>
  <c r="I176" i="2"/>
  <c r="I40" i="2"/>
  <c r="I202" i="2"/>
  <c r="G65" i="2"/>
  <c r="H65" i="2" s="1"/>
  <c r="L142" i="2"/>
  <c r="M18" i="2"/>
  <c r="N3" i="2"/>
  <c r="N187" i="2"/>
  <c r="N96" i="2"/>
  <c r="N50" i="2"/>
  <c r="J220" i="2"/>
  <c r="L32" i="2"/>
  <c r="L103" i="2"/>
  <c r="I32" i="2"/>
  <c r="I116" i="2"/>
  <c r="K92" i="2"/>
  <c r="K87" i="2"/>
  <c r="M37" i="2"/>
  <c r="G148" i="2"/>
  <c r="H148" i="2" s="1"/>
  <c r="J109" i="2"/>
  <c r="L146" i="2"/>
  <c r="L62" i="2"/>
  <c r="I84" i="2"/>
  <c r="M208" i="2"/>
  <c r="I155" i="2"/>
  <c r="G144" i="2"/>
  <c r="H144" i="2" s="1"/>
  <c r="J176" i="2"/>
  <c r="I182" i="2"/>
  <c r="M58" i="2"/>
  <c r="K45" i="2"/>
  <c r="L19" i="2"/>
  <c r="J175" i="2"/>
  <c r="L215" i="2"/>
  <c r="J141" i="2"/>
  <c r="M159" i="2"/>
  <c r="M187" i="2"/>
  <c r="J225" i="2"/>
  <c r="N205" i="2"/>
  <c r="M9" i="2"/>
  <c r="M190" i="2"/>
  <c r="G203" i="2"/>
  <c r="H203" i="2" s="1"/>
  <c r="M169" i="2"/>
  <c r="I198" i="2"/>
  <c r="M131" i="2"/>
  <c r="N102" i="2"/>
  <c r="M86" i="2"/>
  <c r="J32" i="2"/>
  <c r="M166" i="2"/>
  <c r="N208" i="2"/>
  <c r="N22" i="2"/>
  <c r="L82" i="2"/>
  <c r="K131" i="2"/>
  <c r="G214" i="2"/>
  <c r="H214" i="2" s="1"/>
  <c r="K36" i="2"/>
  <c r="J130" i="2"/>
  <c r="J23" i="2"/>
  <c r="K114" i="2"/>
  <c r="M217" i="2"/>
  <c r="M207" i="2"/>
  <c r="L192" i="2"/>
  <c r="M221" i="2"/>
  <c r="I30" i="2"/>
  <c r="M71" i="2"/>
  <c r="K161" i="2"/>
  <c r="N226" i="2"/>
  <c r="J216" i="2"/>
  <c r="N108" i="2"/>
  <c r="M100" i="2"/>
  <c r="N91" i="2"/>
  <c r="L120" i="2"/>
  <c r="L11" i="2"/>
  <c r="J167" i="2"/>
  <c r="M178" i="2"/>
  <c r="L43" i="2"/>
  <c r="K214" i="2"/>
  <c r="M215" i="2"/>
  <c r="I6" i="2"/>
  <c r="J46" i="2"/>
  <c r="J148" i="2"/>
  <c r="J18" i="2"/>
  <c r="J126" i="2"/>
  <c r="J194" i="2"/>
  <c r="J139" i="2"/>
  <c r="J154" i="2"/>
  <c r="J70" i="2"/>
  <c r="J206" i="2"/>
  <c r="J150" i="2"/>
  <c r="J120" i="2"/>
  <c r="J84" i="2"/>
  <c r="J128" i="2"/>
  <c r="J86" i="2"/>
  <c r="J82" i="2"/>
  <c r="J111" i="2"/>
  <c r="J79" i="2"/>
  <c r="J132" i="2"/>
  <c r="J133" i="2"/>
  <c r="J161" i="2"/>
  <c r="J210" i="2"/>
  <c r="J73" i="2"/>
  <c r="J36" i="2"/>
  <c r="J87" i="2"/>
  <c r="J218" i="2"/>
  <c r="J24" i="2"/>
  <c r="J197" i="2"/>
  <c r="J228" i="2"/>
  <c r="J127" i="2"/>
  <c r="J16" i="2"/>
  <c r="J162" i="2"/>
  <c r="J34" i="2"/>
  <c r="J152" i="2"/>
  <c r="J54" i="2"/>
  <c r="J180" i="2"/>
  <c r="J55" i="2"/>
  <c r="J93" i="2"/>
  <c r="J115" i="2"/>
  <c r="J108" i="2"/>
  <c r="J67" i="2"/>
  <c r="J221" i="2"/>
  <c r="J135" i="2"/>
  <c r="J68" i="2"/>
  <c r="J144" i="2"/>
  <c r="J123" i="2"/>
  <c r="J214" i="2"/>
  <c r="J43" i="2"/>
  <c r="J30" i="2"/>
  <c r="J134" i="2"/>
  <c r="J124" i="2"/>
  <c r="J217" i="2"/>
  <c r="J174" i="2"/>
  <c r="J20" i="2"/>
  <c r="J10" i="2"/>
  <c r="J163" i="2"/>
  <c r="J121" i="2"/>
  <c r="J106" i="2"/>
  <c r="J14" i="2"/>
  <c r="J15" i="2"/>
  <c r="J100" i="2"/>
  <c r="J4" i="2"/>
  <c r="J142" i="2"/>
  <c r="J179" i="2"/>
  <c r="J26" i="2"/>
  <c r="J182" i="2"/>
  <c r="J92" i="2"/>
  <c r="J28" i="2"/>
  <c r="J50" i="2"/>
  <c r="J65" i="2"/>
  <c r="J125" i="2"/>
  <c r="J166" i="2"/>
  <c r="I62" i="2"/>
  <c r="I158" i="2"/>
  <c r="I224" i="2"/>
  <c r="I12" i="2"/>
  <c r="I3" i="2"/>
  <c r="I197" i="2"/>
  <c r="I115" i="2"/>
  <c r="I159" i="2"/>
  <c r="I57" i="2"/>
  <c r="I167" i="2"/>
  <c r="I52" i="2"/>
  <c r="I103" i="2"/>
  <c r="I156" i="2"/>
  <c r="I112" i="2"/>
  <c r="L156" i="2"/>
  <c r="G12" i="2"/>
  <c r="H12" i="2" s="1"/>
  <c r="G66" i="2"/>
  <c r="H66" i="2" s="1"/>
  <c r="G27" i="2"/>
  <c r="H27" i="2" s="1"/>
  <c r="G160" i="2"/>
  <c r="H160" i="2" s="1"/>
  <c r="G153" i="2"/>
  <c r="H153" i="2" s="1"/>
  <c r="G155" i="2"/>
  <c r="H155" i="2" s="1"/>
  <c r="G182" i="2"/>
  <c r="H182" i="2" s="1"/>
  <c r="G124" i="2"/>
  <c r="H124" i="2" s="1"/>
  <c r="G107" i="2"/>
  <c r="H107" i="2" s="1"/>
  <c r="L124" i="2"/>
  <c r="G165" i="2"/>
  <c r="H165" i="2" s="1"/>
  <c r="G33" i="2"/>
  <c r="H33" i="2" s="1"/>
  <c r="K115" i="2"/>
  <c r="L81" i="2"/>
  <c r="M69" i="2"/>
  <c r="L200" i="2"/>
  <c r="I17" i="2"/>
  <c r="M141" i="2"/>
  <c r="M210" i="2"/>
  <c r="K11" i="2"/>
  <c r="K42" i="2"/>
  <c r="K59" i="2"/>
  <c r="K123" i="2"/>
  <c r="K185" i="2"/>
  <c r="K170" i="2"/>
  <c r="K38" i="2"/>
  <c r="K216" i="2"/>
  <c r="K3" i="2"/>
  <c r="K173" i="2"/>
  <c r="K135" i="2"/>
  <c r="K57" i="2"/>
  <c r="K61" i="2"/>
  <c r="K110" i="2"/>
  <c r="L48" i="2"/>
  <c r="J138" i="2"/>
  <c r="I39" i="2"/>
  <c r="G118" i="2"/>
  <c r="H118" i="2" s="1"/>
  <c r="M98" i="2"/>
  <c r="K50" i="2"/>
  <c r="N116" i="2"/>
  <c r="M193" i="2"/>
  <c r="K229" i="2"/>
  <c r="M77" i="2"/>
  <c r="G112" i="2"/>
  <c r="H112" i="2" s="1"/>
  <c r="M216" i="2"/>
  <c r="M19" i="2"/>
  <c r="M145" i="2"/>
  <c r="M32" i="2"/>
  <c r="M214" i="2"/>
  <c r="M158" i="2"/>
  <c r="M87" i="2"/>
  <c r="M46" i="2"/>
  <c r="L26" i="2"/>
  <c r="K96" i="2"/>
  <c r="M161" i="2"/>
  <c r="L147" i="2"/>
  <c r="L131" i="2"/>
  <c r="I44" i="2"/>
  <c r="I208" i="2"/>
  <c r="J185" i="2"/>
  <c r="J164" i="2"/>
  <c r="L175" i="2"/>
  <c r="I9" i="2"/>
  <c r="M96" i="2"/>
  <c r="L110" i="2"/>
  <c r="K75" i="2"/>
  <c r="K171" i="2"/>
  <c r="L129" i="2"/>
  <c r="M209" i="2"/>
  <c r="M4" i="2"/>
  <c r="J69" i="2"/>
  <c r="K147" i="2"/>
  <c r="I118" i="2"/>
  <c r="K107" i="2"/>
  <c r="J117" i="2"/>
  <c r="N13" i="2"/>
  <c r="J33" i="2"/>
  <c r="M206" i="2"/>
  <c r="G154" i="2"/>
  <c r="H154" i="2" s="1"/>
  <c r="J52" i="2"/>
  <c r="J215" i="2"/>
  <c r="G202" i="2"/>
  <c r="H202" i="2" s="1"/>
  <c r="N151" i="2"/>
  <c r="N228" i="2"/>
  <c r="N92" i="2"/>
  <c r="N88" i="2"/>
  <c r="N90" i="2"/>
  <c r="N66" i="2"/>
  <c r="N107" i="2"/>
  <c r="N143" i="2"/>
  <c r="N121" i="2"/>
  <c r="N2" i="2"/>
  <c r="N173" i="2"/>
  <c r="N150" i="2"/>
  <c r="N165" i="2"/>
  <c r="N202" i="2"/>
  <c r="N67" i="2"/>
  <c r="N16" i="2"/>
  <c r="N120" i="2"/>
  <c r="N167" i="2"/>
  <c r="N53" i="2"/>
  <c r="N114" i="2"/>
  <c r="N142" i="2"/>
  <c r="N39" i="2"/>
  <c r="N176" i="2"/>
  <c r="N169" i="2"/>
  <c r="N207" i="2"/>
  <c r="N21" i="2"/>
  <c r="N42" i="2"/>
  <c r="N129" i="2"/>
  <c r="N138" i="2"/>
  <c r="N139" i="2"/>
  <c r="N182" i="2"/>
  <c r="N180" i="2"/>
  <c r="N84" i="2"/>
  <c r="N200" i="2"/>
  <c r="N104" i="2"/>
  <c r="N43" i="2"/>
  <c r="N25" i="2"/>
  <c r="N153" i="2"/>
  <c r="N183" i="2"/>
  <c r="N115" i="2"/>
  <c r="N127" i="2"/>
  <c r="N103" i="2"/>
  <c r="N133" i="2"/>
  <c r="N172" i="2"/>
  <c r="N7" i="2"/>
  <c r="N109" i="2"/>
  <c r="N188" i="2"/>
  <c r="N168" i="2"/>
  <c r="N75" i="2"/>
  <c r="N83" i="2"/>
  <c r="N136" i="2"/>
  <c r="N26" i="2"/>
  <c r="N100" i="2"/>
  <c r="N80" i="2"/>
  <c r="N112" i="2"/>
  <c r="N56" i="2"/>
  <c r="N97" i="2"/>
  <c r="N189" i="2"/>
  <c r="N33" i="2"/>
  <c r="N140" i="2"/>
  <c r="N217" i="2"/>
  <c r="N85" i="2"/>
  <c r="N204" i="2"/>
  <c r="N124" i="2"/>
  <c r="N73" i="2"/>
  <c r="N105" i="2"/>
  <c r="N203" i="2"/>
  <c r="N6" i="2"/>
  <c r="N118" i="2"/>
  <c r="N212" i="2"/>
  <c r="N29" i="2"/>
  <c r="N94" i="2"/>
  <c r="N55" i="2"/>
  <c r="N62" i="2"/>
  <c r="N125" i="2"/>
  <c r="N19" i="2"/>
  <c r="N210" i="2"/>
  <c r="N68" i="2"/>
  <c r="N222" i="2"/>
  <c r="N119" i="2"/>
  <c r="N98" i="2"/>
  <c r="N130" i="2"/>
  <c r="N70" i="2"/>
  <c r="N219" i="2"/>
  <c r="N81" i="2"/>
  <c r="N135" i="2"/>
  <c r="N174" i="2"/>
  <c r="N40" i="2"/>
  <c r="N158" i="2"/>
  <c r="N9" i="2"/>
  <c r="N49" i="2"/>
  <c r="N195" i="2"/>
  <c r="N20" i="2"/>
  <c r="N76" i="2"/>
  <c r="N45" i="2"/>
  <c r="N186" i="2"/>
  <c r="N12" i="2"/>
  <c r="N178" i="2"/>
  <c r="N24" i="2"/>
  <c r="N15" i="2"/>
  <c r="N159" i="2"/>
  <c r="N61" i="2"/>
  <c r="N44" i="2"/>
  <c r="N131" i="2"/>
  <c r="N225" i="2"/>
  <c r="N215" i="2"/>
  <c r="N218" i="2"/>
  <c r="N145" i="2"/>
  <c r="N52" i="2"/>
  <c r="N177" i="2"/>
  <c r="N41" i="2"/>
  <c r="N5" i="2"/>
  <c r="N117" i="2"/>
  <c r="N191" i="2"/>
  <c r="N35" i="2"/>
  <c r="N194" i="2"/>
  <c r="N160" i="2"/>
  <c r="N86" i="2"/>
  <c r="N51" i="2"/>
  <c r="N17" i="2"/>
  <c r="N95" i="2"/>
  <c r="N78" i="2"/>
  <c r="N28" i="2"/>
  <c r="L221" i="2"/>
  <c r="L68" i="2"/>
  <c r="L177" i="2"/>
  <c r="L49" i="2"/>
  <c r="L196" i="2"/>
  <c r="L44" i="2"/>
  <c r="L219" i="2"/>
  <c r="L178" i="2"/>
  <c r="L41" i="2"/>
  <c r="L100" i="2"/>
  <c r="L24" i="2"/>
  <c r="L38" i="2"/>
  <c r="L5" i="2"/>
  <c r="L115" i="2"/>
  <c r="L27" i="2"/>
  <c r="L227" i="2"/>
  <c r="L165" i="2"/>
  <c r="L3" i="2"/>
  <c r="L65" i="2"/>
  <c r="L112" i="2"/>
  <c r="L198" i="2"/>
  <c r="L228" i="2"/>
  <c r="L197" i="2"/>
  <c r="L172" i="2"/>
  <c r="L206" i="2"/>
  <c r="L75" i="2"/>
  <c r="L180" i="2"/>
  <c r="L16" i="2"/>
  <c r="L207" i="2"/>
  <c r="L98" i="2"/>
  <c r="L35" i="2"/>
  <c r="L29" i="2"/>
  <c r="L153" i="2"/>
  <c r="L9" i="2"/>
  <c r="L95" i="2"/>
  <c r="L168" i="2"/>
  <c r="L83" i="2"/>
  <c r="L71" i="2"/>
  <c r="L73" i="2"/>
  <c r="L166" i="2"/>
  <c r="L92" i="2"/>
  <c r="L183" i="2"/>
  <c r="L181" i="2"/>
  <c r="L6" i="2"/>
  <c r="L47" i="2"/>
  <c r="L186" i="2"/>
  <c r="L56" i="2"/>
  <c r="L67" i="2"/>
  <c r="L158" i="2"/>
  <c r="G28" i="2"/>
  <c r="H28" i="2" s="1"/>
  <c r="L155" i="2"/>
  <c r="K148" i="2"/>
  <c r="G42" i="2"/>
  <c r="H42" i="2" s="1"/>
  <c r="I212" i="2"/>
  <c r="AK23" i="2"/>
  <c r="J2" i="2"/>
  <c r="J40" i="2"/>
  <c r="N181" i="2"/>
  <c r="N198" i="2"/>
  <c r="G129" i="2"/>
  <c r="H129" i="2" s="1"/>
  <c r="G96" i="2"/>
  <c r="H96" i="2" s="1"/>
  <c r="J80" i="2"/>
  <c r="L99" i="2"/>
  <c r="I186" i="2"/>
  <c r="J71" i="2"/>
  <c r="J112" i="2"/>
  <c r="J98" i="2"/>
  <c r="G88" i="2"/>
  <c r="H88" i="2" s="1"/>
  <c r="L185" i="2"/>
  <c r="J187" i="2"/>
  <c r="J37" i="2"/>
  <c r="I137" i="2"/>
  <c r="I191" i="2"/>
  <c r="N190" i="2"/>
  <c r="J227" i="2"/>
  <c r="G135" i="2"/>
  <c r="H135" i="2" s="1"/>
  <c r="K179" i="2"/>
  <c r="AK138" i="2"/>
  <c r="AK189" i="2"/>
  <c r="I92" i="2"/>
  <c r="I7" i="2"/>
  <c r="M185" i="2"/>
  <c r="J204" i="2"/>
  <c r="N64" i="2"/>
  <c r="I45" i="2"/>
  <c r="G26" i="2"/>
  <c r="H26" i="2" s="1"/>
  <c r="G36" i="2"/>
  <c r="H36" i="2" s="1"/>
  <c r="G195" i="2"/>
  <c r="H195" i="2" s="1"/>
  <c r="L217" i="2"/>
  <c r="G163" i="2"/>
  <c r="H163" i="2" s="1"/>
  <c r="J57" i="2"/>
  <c r="I16" i="2"/>
  <c r="L190" i="2"/>
  <c r="M59" i="2"/>
  <c r="K130" i="2"/>
  <c r="N216" i="2"/>
  <c r="L15" i="2"/>
  <c r="AK119" i="2"/>
  <c r="AK88" i="2"/>
  <c r="I216" i="2"/>
  <c r="L8" i="2"/>
  <c r="J22" i="2"/>
  <c r="I226" i="2"/>
  <c r="M188" i="2"/>
  <c r="M47" i="2"/>
  <c r="N156" i="2"/>
  <c r="M13" i="2"/>
  <c r="K190" i="2"/>
  <c r="K181" i="2"/>
  <c r="G37" i="2"/>
  <c r="H37" i="2" s="1"/>
  <c r="I91" i="2"/>
  <c r="K164" i="2"/>
  <c r="M140" i="2"/>
  <c r="I67" i="2"/>
  <c r="M49" i="2"/>
  <c r="M63" i="2"/>
  <c r="M197" i="2"/>
  <c r="I36" i="2"/>
  <c r="M25" i="2"/>
  <c r="N149" i="2"/>
  <c r="J201" i="2"/>
  <c r="K155" i="2"/>
  <c r="G185" i="2"/>
  <c r="H185" i="2" s="1"/>
  <c r="G211" i="2"/>
  <c r="H211" i="2" s="1"/>
  <c r="I10" i="2"/>
  <c r="I82" i="2"/>
  <c r="L33" i="2"/>
  <c r="J158" i="2"/>
  <c r="I227" i="2"/>
  <c r="K194" i="2"/>
  <c r="M155" i="2"/>
  <c r="J97" i="2"/>
  <c r="J160" i="2"/>
  <c r="N161" i="2"/>
  <c r="M129" i="2"/>
  <c r="M117" i="2"/>
  <c r="M5" i="2"/>
  <c r="M121" i="2"/>
  <c r="N197" i="2"/>
  <c r="I4" i="2"/>
  <c r="K206" i="2"/>
  <c r="G47" i="2"/>
  <c r="H47" i="2" s="1"/>
  <c r="G174" i="2"/>
  <c r="H174" i="2" s="1"/>
  <c r="I166" i="2"/>
  <c r="I33" i="2"/>
  <c r="I220" i="2"/>
  <c r="J53" i="2"/>
  <c r="M56" i="2"/>
  <c r="L118" i="2"/>
  <c r="L150" i="2"/>
  <c r="M192" i="2"/>
  <c r="G29" i="2"/>
  <c r="H29" i="2" s="1"/>
  <c r="M150" i="2"/>
  <c r="K84" i="2"/>
  <c r="I195" i="2"/>
  <c r="I149" i="2"/>
  <c r="K21" i="2"/>
  <c r="N38" i="2"/>
  <c r="M109" i="2"/>
  <c r="I131" i="2"/>
  <c r="N60" i="2"/>
  <c r="N57" i="2"/>
  <c r="N132" i="2"/>
  <c r="K195" i="2"/>
  <c r="M226" i="2"/>
  <c r="M163" i="2"/>
  <c r="I129" i="2"/>
  <c r="I215" i="2"/>
  <c r="K208" i="2"/>
  <c r="G31" i="2"/>
  <c r="H31" i="2" s="1"/>
  <c r="G175" i="2"/>
  <c r="H175" i="2" s="1"/>
  <c r="M44" i="2"/>
  <c r="J200" i="2"/>
  <c r="M114" i="2"/>
  <c r="G74" i="2"/>
  <c r="H74" i="2" s="1"/>
  <c r="I14" i="2"/>
  <c r="M91" i="2"/>
  <c r="G46" i="2"/>
  <c r="H46" i="2" s="1"/>
  <c r="I105" i="2"/>
  <c r="J122" i="2"/>
  <c r="G142" i="2"/>
  <c r="H142" i="2" s="1"/>
  <c r="M34" i="2"/>
  <c r="K66" i="2"/>
  <c r="M2" i="2"/>
  <c r="I133" i="2"/>
  <c r="G55" i="2"/>
  <c r="H55" i="2" s="1"/>
  <c r="K49" i="2"/>
  <c r="J94" i="2"/>
  <c r="M153" i="2"/>
  <c r="K127" i="2"/>
  <c r="I125" i="2"/>
  <c r="M154" i="2"/>
  <c r="L132" i="2"/>
  <c r="J191" i="2"/>
  <c r="L22" i="2"/>
  <c r="J212" i="2"/>
  <c r="J219" i="2"/>
  <c r="J12" i="2"/>
  <c r="M22" i="2"/>
  <c r="N37" i="2"/>
  <c r="N137" i="2"/>
  <c r="I73" i="2"/>
  <c r="J189" i="2"/>
  <c r="J58" i="2"/>
  <c r="I178" i="2"/>
  <c r="M6" i="2"/>
  <c r="I108" i="2"/>
  <c r="G40" i="2"/>
  <c r="H40" i="2" s="1"/>
  <c r="N221" i="2"/>
  <c r="N93" i="2"/>
  <c r="N201" i="2"/>
  <c r="L36" i="2"/>
  <c r="K43" i="2"/>
  <c r="N126" i="2"/>
  <c r="J56" i="2"/>
  <c r="N111" i="2"/>
  <c r="L37" i="2"/>
  <c r="G116" i="2"/>
  <c r="H116" i="2" s="1"/>
  <c r="G123" i="2"/>
  <c r="H123" i="2" s="1"/>
  <c r="I134" i="2"/>
  <c r="K140" i="2"/>
  <c r="G41" i="2"/>
  <c r="H41" i="2" s="1"/>
  <c r="I122" i="2"/>
  <c r="G130" i="2"/>
  <c r="H130" i="2" s="1"/>
  <c r="L211" i="2"/>
  <c r="M51" i="2"/>
  <c r="G58" i="2"/>
  <c r="H58" i="2" s="1"/>
  <c r="AK146" i="2"/>
  <c r="I22" i="2"/>
  <c r="N196" i="2"/>
  <c r="N106" i="2"/>
  <c r="L174" i="2"/>
  <c r="G87" i="2"/>
  <c r="H87" i="2" s="1"/>
  <c r="I171" i="2"/>
  <c r="G59" i="2"/>
  <c r="H59" i="2" s="1"/>
  <c r="M181" i="2"/>
  <c r="G183" i="2"/>
  <c r="H183" i="2" s="1"/>
  <c r="N74" i="2"/>
  <c r="I223" i="2"/>
  <c r="N71" i="2"/>
  <c r="G43" i="2"/>
  <c r="H43" i="2" s="1"/>
  <c r="L184" i="2"/>
  <c r="G83" i="2"/>
  <c r="H83" i="2" s="1"/>
  <c r="AK78" i="2"/>
  <c r="AK229" i="2"/>
  <c r="I145" i="2"/>
  <c r="M177" i="2"/>
  <c r="J169" i="2"/>
  <c r="J213" i="2"/>
  <c r="N152" i="2"/>
  <c r="N23" i="2"/>
  <c r="G200" i="2"/>
  <c r="H200" i="2" s="1"/>
  <c r="G108" i="2"/>
  <c r="H108" i="2" s="1"/>
  <c r="G191" i="2"/>
  <c r="H191" i="2" s="1"/>
  <c r="M120" i="2"/>
  <c r="G122" i="2"/>
  <c r="H122" i="2" s="1"/>
  <c r="K2" i="2"/>
  <c r="M164" i="2"/>
  <c r="M222" i="2"/>
  <c r="J155" i="2"/>
  <c r="N34" i="2"/>
  <c r="L170" i="2"/>
  <c r="J202" i="2"/>
  <c r="N123" i="2"/>
  <c r="M162" i="2"/>
  <c r="K98" i="2"/>
  <c r="J44" i="2"/>
  <c r="AK183" i="2"/>
  <c r="N157" i="2"/>
  <c r="L94" i="2"/>
  <c r="I46" i="2"/>
  <c r="J137" i="2"/>
  <c r="J5" i="2"/>
  <c r="N122" i="2"/>
  <c r="J60" i="2"/>
  <c r="I96" i="2"/>
  <c r="M48" i="2"/>
  <c r="G57" i="2"/>
  <c r="H57" i="2" s="1"/>
  <c r="M21" i="2"/>
  <c r="L127" i="2"/>
  <c r="K86" i="2"/>
  <c r="G156" i="2"/>
  <c r="H156" i="2" s="1"/>
  <c r="G10" i="2"/>
  <c r="H10" i="2" s="1"/>
  <c r="M148" i="2"/>
  <c r="I180" i="2"/>
  <c r="M195" i="2"/>
  <c r="L64" i="2"/>
  <c r="AK165" i="2"/>
  <c r="I193" i="2"/>
  <c r="M101" i="2"/>
  <c r="J209" i="2"/>
  <c r="N87" i="2"/>
  <c r="M67" i="2"/>
  <c r="N147" i="2"/>
  <c r="N101" i="2"/>
  <c r="G30" i="2"/>
  <c r="H30" i="2" s="1"/>
  <c r="G170" i="2"/>
  <c r="H170" i="2" s="1"/>
  <c r="J47" i="2"/>
  <c r="L143" i="2"/>
  <c r="L203" i="2"/>
  <c r="K124" i="2"/>
  <c r="I124" i="2"/>
  <c r="L187" i="2"/>
  <c r="L214" i="2"/>
  <c r="I135" i="2"/>
  <c r="J38" i="2"/>
  <c r="N224" i="2"/>
  <c r="K217" i="2"/>
  <c r="K120" i="2"/>
  <c r="J146" i="2"/>
  <c r="M152" i="2"/>
  <c r="G51" i="2"/>
  <c r="H51" i="2" s="1"/>
  <c r="M78" i="2"/>
  <c r="M30" i="2"/>
  <c r="G67" i="2"/>
  <c r="H67" i="2" s="1"/>
  <c r="M39" i="2"/>
  <c r="K145" i="2"/>
  <c r="K121" i="2"/>
  <c r="I130" i="2"/>
  <c r="I187" i="2"/>
  <c r="G69" i="2"/>
  <c r="H69" i="2" s="1"/>
  <c r="AK46" i="2"/>
  <c r="N185" i="2"/>
  <c r="M45" i="2"/>
  <c r="I61" i="2"/>
  <c r="G166" i="2"/>
  <c r="H166" i="2" s="1"/>
  <c r="L51" i="2"/>
  <c r="G216" i="2"/>
  <c r="H216" i="2" s="1"/>
  <c r="M128" i="2"/>
  <c r="K47" i="2"/>
  <c r="AK153" i="2"/>
  <c r="N47" i="2"/>
  <c r="AK26" i="2"/>
  <c r="M89" i="2"/>
  <c r="J41" i="2"/>
  <c r="I152" i="2"/>
  <c r="J168" i="2"/>
  <c r="N211" i="2"/>
  <c r="N10" i="2"/>
  <c r="G119" i="2"/>
  <c r="H119" i="2" s="1"/>
  <c r="K224" i="2"/>
  <c r="M90" i="2"/>
  <c r="L145" i="2"/>
  <c r="K149" i="2"/>
  <c r="G205" i="2"/>
  <c r="H205" i="2" s="1"/>
  <c r="I95" i="2"/>
  <c r="G5" i="2"/>
  <c r="H5" i="2" s="1"/>
  <c r="K139" i="2"/>
  <c r="G222" i="2"/>
  <c r="H222" i="2" s="1"/>
  <c r="K144" i="2"/>
  <c r="M65" i="2"/>
  <c r="I153" i="2"/>
  <c r="M118" i="2"/>
  <c r="K48" i="2"/>
  <c r="K222" i="2"/>
  <c r="K74" i="2"/>
  <c r="L42" i="2"/>
  <c r="AK192" i="2"/>
  <c r="AK150" i="2"/>
  <c r="M17" i="2"/>
  <c r="I141" i="2"/>
  <c r="I165" i="2"/>
  <c r="I69" i="2"/>
  <c r="G20" i="2"/>
  <c r="H20" i="2" s="1"/>
  <c r="G225" i="2"/>
  <c r="H225" i="2" s="1"/>
  <c r="G138" i="2"/>
  <c r="H138" i="2" s="1"/>
  <c r="K18" i="2"/>
  <c r="G226" i="2"/>
  <c r="H226" i="2" s="1"/>
  <c r="M229" i="2"/>
  <c r="I190" i="2"/>
  <c r="J184" i="2"/>
  <c r="I2" i="2"/>
  <c r="L117" i="2"/>
  <c r="M79" i="2"/>
  <c r="L220" i="2"/>
  <c r="I26" i="2"/>
  <c r="AK204" i="2"/>
  <c r="I209" i="2"/>
  <c r="L72" i="2"/>
  <c r="L216" i="2"/>
  <c r="L212" i="2"/>
  <c r="M202" i="2"/>
  <c r="G206" i="2"/>
  <c r="H206" i="2" s="1"/>
  <c r="K16" i="2"/>
  <c r="M73" i="2"/>
  <c r="M53" i="2"/>
  <c r="M29" i="2"/>
  <c r="M160" i="2"/>
  <c r="M57" i="2"/>
  <c r="M132" i="2"/>
  <c r="M211" i="2"/>
  <c r="M205" i="2"/>
  <c r="M64" i="2"/>
  <c r="M81" i="2"/>
  <c r="M156" i="2"/>
  <c r="M134" i="2"/>
  <c r="M36" i="2"/>
  <c r="M176" i="2"/>
  <c r="M74" i="2"/>
  <c r="M111" i="2"/>
  <c r="M113" i="2"/>
  <c r="M138" i="2"/>
  <c r="M220" i="2"/>
  <c r="M12" i="2"/>
  <c r="M228" i="2"/>
  <c r="M213" i="2"/>
  <c r="M99" i="2"/>
  <c r="M180" i="2"/>
  <c r="M61" i="2"/>
  <c r="M119" i="2"/>
  <c r="M182" i="2"/>
  <c r="M103" i="2"/>
  <c r="M42" i="2"/>
  <c r="M142" i="2"/>
  <c r="M54" i="2"/>
  <c r="M50" i="2"/>
  <c r="M124" i="2"/>
  <c r="AK54" i="2"/>
  <c r="AK207" i="2"/>
  <c r="I78" i="2"/>
  <c r="I86" i="2"/>
  <c r="I169" i="2"/>
  <c r="M93" i="2"/>
  <c r="I128" i="2"/>
  <c r="G52" i="2"/>
  <c r="H52" i="2" s="1"/>
  <c r="K103" i="2"/>
  <c r="K117" i="2"/>
  <c r="K125" i="2"/>
  <c r="J211" i="2"/>
  <c r="K14" i="2"/>
  <c r="I37" i="2"/>
  <c r="G113" i="2"/>
  <c r="H113" i="2" s="1"/>
  <c r="K56" i="2"/>
  <c r="L97" i="2"/>
  <c r="L225" i="2"/>
  <c r="L223" i="2"/>
  <c r="L135" i="2"/>
  <c r="K62" i="2"/>
  <c r="G77" i="2"/>
  <c r="H77" i="2" s="1"/>
  <c r="M35" i="2"/>
  <c r="I85" i="2"/>
  <c r="M14" i="2"/>
  <c r="L61" i="2"/>
  <c r="K41" i="2"/>
  <c r="V197" i="2"/>
  <c r="G56" i="2"/>
  <c r="H56" i="2" s="1"/>
  <c r="M198" i="2"/>
  <c r="I196" i="2"/>
  <c r="I65" i="2"/>
  <c r="I72" i="2"/>
  <c r="J192" i="2"/>
  <c r="I8" i="2"/>
  <c r="I111" i="2"/>
  <c r="I173" i="2"/>
  <c r="I194" i="2"/>
  <c r="I205" i="2"/>
  <c r="I99" i="2"/>
  <c r="I184" i="2"/>
  <c r="I11" i="2"/>
  <c r="I172" i="2"/>
  <c r="I15" i="2"/>
  <c r="I192" i="2"/>
  <c r="I162" i="2"/>
  <c r="I203" i="2"/>
  <c r="I100" i="2"/>
  <c r="I123" i="2"/>
  <c r="I55" i="2"/>
  <c r="I34" i="2"/>
  <c r="I201" i="2"/>
  <c r="I175" i="2"/>
  <c r="I113" i="2"/>
  <c r="I51" i="2"/>
  <c r="I207" i="2"/>
  <c r="I213" i="2"/>
  <c r="J224" i="2"/>
  <c r="G134" i="2"/>
  <c r="H134" i="2" s="1"/>
  <c r="K83" i="2"/>
  <c r="G60" i="2"/>
  <c r="H60" i="2" s="1"/>
  <c r="L14" i="2"/>
  <c r="L87" i="2"/>
  <c r="I89" i="2"/>
  <c r="M200" i="2"/>
  <c r="K104" i="2"/>
  <c r="I13" i="2"/>
  <c r="I50" i="2"/>
  <c r="M225" i="2"/>
  <c r="I58" i="2"/>
  <c r="G228" i="2"/>
  <c r="H228" i="2" s="1"/>
  <c r="K53" i="2"/>
  <c r="K95" i="2"/>
  <c r="K19" i="2"/>
  <c r="I110" i="2"/>
  <c r="I204" i="2"/>
  <c r="M80" i="2"/>
  <c r="M144" i="2"/>
  <c r="I206" i="2"/>
  <c r="K39" i="2"/>
  <c r="K77" i="2"/>
  <c r="G91" i="2"/>
  <c r="H91" i="2" s="1"/>
  <c r="K226" i="2"/>
  <c r="G48" i="2"/>
  <c r="H48" i="2" s="1"/>
  <c r="M139" i="2"/>
  <c r="G105" i="2"/>
  <c r="H105" i="2" s="1"/>
  <c r="M115" i="2"/>
  <c r="K52" i="2"/>
  <c r="M28" i="2"/>
  <c r="I28" i="2"/>
  <c r="K207" i="2"/>
  <c r="J63" i="2"/>
  <c r="N89" i="2"/>
  <c r="I168" i="2"/>
  <c r="I144" i="2"/>
  <c r="I218" i="2"/>
  <c r="J131" i="2"/>
  <c r="G132" i="2"/>
  <c r="H132" i="2" s="1"/>
  <c r="L126" i="2"/>
  <c r="M123" i="2"/>
  <c r="G13" i="2"/>
  <c r="H13" i="2" s="1"/>
  <c r="M85" i="2"/>
  <c r="K15" i="2"/>
  <c r="G223" i="2"/>
  <c r="H223" i="2" s="1"/>
  <c r="I76" i="2"/>
  <c r="J31" i="2"/>
  <c r="K72" i="2"/>
  <c r="M173" i="2"/>
  <c r="L123" i="2"/>
  <c r="L28" i="2"/>
  <c r="M126" i="2"/>
  <c r="K146" i="2"/>
  <c r="J9" i="2"/>
  <c r="G72" i="2"/>
  <c r="H72" i="2" s="1"/>
  <c r="K126" i="2"/>
  <c r="G198" i="2"/>
  <c r="H198" i="2" s="1"/>
  <c r="J129" i="2"/>
  <c r="G111" i="2"/>
  <c r="H111" i="2" s="1"/>
  <c r="L74" i="2"/>
  <c r="I217" i="2"/>
  <c r="I41" i="2"/>
  <c r="L17" i="2"/>
  <c r="G151" i="2"/>
  <c r="H151" i="2" s="1"/>
  <c r="AK193" i="2"/>
  <c r="I21" i="2"/>
  <c r="M110" i="2"/>
  <c r="M84" i="2"/>
  <c r="G220" i="2"/>
  <c r="H220" i="2" s="1"/>
  <c r="G143" i="2"/>
  <c r="H143" i="2" s="1"/>
  <c r="M183" i="2"/>
  <c r="I150" i="2"/>
  <c r="I25" i="2"/>
  <c r="L134" i="2"/>
  <c r="G70" i="2"/>
  <c r="H70" i="2" s="1"/>
  <c r="M127" i="2"/>
  <c r="G63" i="2"/>
  <c r="H63" i="2" s="1"/>
  <c r="I68" i="2"/>
  <c r="G181" i="2"/>
  <c r="H181" i="2" s="1"/>
  <c r="K184" i="2"/>
  <c r="I18" i="2"/>
  <c r="M157" i="2"/>
  <c r="I87" i="2"/>
  <c r="G34" i="2"/>
  <c r="H34" i="2" s="1"/>
  <c r="J159" i="2"/>
  <c r="J42" i="2"/>
  <c r="K167" i="2"/>
  <c r="M83" i="2"/>
  <c r="K203" i="2"/>
  <c r="M20" i="2"/>
  <c r="K35" i="2"/>
  <c r="G162" i="2"/>
  <c r="H162" i="2" s="1"/>
  <c r="J170" i="2"/>
  <c r="L152" i="2"/>
  <c r="J208" i="2"/>
  <c r="G103" i="2"/>
  <c r="H103" i="2" s="1"/>
  <c r="G188" i="2"/>
  <c r="H188" i="2" s="1"/>
  <c r="I79" i="2"/>
  <c r="K54" i="2"/>
  <c r="K101" i="2"/>
  <c r="K51" i="2"/>
  <c r="K180" i="2"/>
  <c r="K165" i="2"/>
  <c r="K78" i="2"/>
  <c r="K102" i="2"/>
  <c r="K201" i="2"/>
  <c r="K122" i="2"/>
  <c r="K29" i="2"/>
  <c r="K137" i="2"/>
  <c r="K30" i="2"/>
  <c r="K227" i="2"/>
  <c r="K46" i="2"/>
  <c r="K40" i="2"/>
  <c r="K111" i="2"/>
  <c r="K156" i="2"/>
  <c r="K23" i="2"/>
  <c r="K9" i="2"/>
  <c r="K5" i="2"/>
  <c r="M189" i="2"/>
  <c r="L30" i="2"/>
  <c r="J104" i="2"/>
  <c r="J102" i="2"/>
  <c r="J85" i="2"/>
  <c r="K196" i="2"/>
  <c r="K22" i="2"/>
  <c r="M179" i="2"/>
  <c r="K7" i="2"/>
  <c r="AK226" i="2"/>
  <c r="I23" i="2"/>
  <c r="M135" i="2"/>
  <c r="M72" i="2"/>
  <c r="G14" i="2"/>
  <c r="H14" i="2" s="1"/>
  <c r="K93" i="2"/>
  <c r="I140" i="2"/>
  <c r="K162" i="2"/>
  <c r="I163" i="2"/>
  <c r="I185" i="2"/>
  <c r="J96" i="2"/>
  <c r="M212" i="2"/>
  <c r="M97" i="2"/>
  <c r="J183" i="2"/>
  <c r="M165" i="2"/>
  <c r="K169" i="2"/>
  <c r="L18" i="2"/>
  <c r="G18" i="2"/>
  <c r="H18" i="2" s="1"/>
  <c r="G22" i="2"/>
  <c r="H22" i="2" s="1"/>
  <c r="G100" i="2"/>
  <c r="H100" i="2" s="1"/>
  <c r="G169" i="2"/>
  <c r="H169" i="2" s="1"/>
  <c r="G4" i="2"/>
  <c r="H4" i="2" s="1"/>
  <c r="G149" i="2"/>
  <c r="H149" i="2" s="1"/>
  <c r="G173" i="2"/>
  <c r="H173" i="2" s="1"/>
  <c r="G82" i="2"/>
  <c r="H82" i="2" s="1"/>
  <c r="G208" i="2"/>
  <c r="H208" i="2" s="1"/>
  <c r="G150" i="2"/>
  <c r="H150" i="2" s="1"/>
  <c r="G85" i="2"/>
  <c r="H85" i="2" s="1"/>
  <c r="G189" i="2"/>
  <c r="H189" i="2" s="1"/>
  <c r="G73" i="2"/>
  <c r="H73" i="2" s="1"/>
  <c r="G99" i="2"/>
  <c r="H99" i="2" s="1"/>
  <c r="G2" i="2"/>
  <c r="H2" i="2" s="1"/>
  <c r="G106" i="2"/>
  <c r="H106" i="2" s="1"/>
  <c r="G227" i="2"/>
  <c r="H227" i="2" s="1"/>
  <c r="G21" i="2"/>
  <c r="H21" i="2" s="1"/>
  <c r="G16" i="2"/>
  <c r="H16" i="2" s="1"/>
  <c r="L46" i="2"/>
  <c r="G159" i="2"/>
  <c r="H159" i="2" s="1"/>
  <c r="M167" i="2"/>
  <c r="L195" i="2"/>
  <c r="I114" i="2"/>
  <c r="AK25" i="2"/>
  <c r="I42" i="2"/>
  <c r="I49" i="2"/>
  <c r="M170" i="2"/>
  <c r="I136" i="2"/>
  <c r="K168" i="2"/>
  <c r="K109" i="2"/>
  <c r="M227" i="2"/>
  <c r="G178" i="2"/>
  <c r="H178" i="2" s="1"/>
  <c r="I157" i="2"/>
  <c r="I143" i="2"/>
  <c r="AK58" i="2"/>
  <c r="I221" i="2"/>
  <c r="M106" i="2"/>
  <c r="M94" i="2"/>
  <c r="J114" i="2"/>
  <c r="I188" i="2"/>
  <c r="J13" i="2"/>
  <c r="K116" i="2"/>
  <c r="M171" i="2"/>
  <c r="AK22" i="2"/>
  <c r="I132" i="2"/>
  <c r="I106" i="2"/>
  <c r="I38" i="2"/>
  <c r="M174" i="2"/>
  <c r="I127" i="2"/>
  <c r="G157" i="2"/>
  <c r="H157" i="2" s="1"/>
  <c r="M125" i="2"/>
  <c r="K154" i="2"/>
  <c r="M108" i="2"/>
  <c r="M11" i="2"/>
  <c r="AK205" i="2"/>
  <c r="I117" i="2"/>
  <c r="J11" i="2"/>
  <c r="AK12" i="2"/>
  <c r="AK224" i="2"/>
  <c r="AK30" i="2"/>
  <c r="AK49" i="2"/>
  <c r="M92" i="2"/>
  <c r="I199" i="2"/>
  <c r="K89" i="2"/>
  <c r="G212" i="2"/>
  <c r="H212" i="2" s="1"/>
  <c r="M172" i="2"/>
  <c r="K218" i="2"/>
  <c r="K163" i="2"/>
  <c r="G98" i="2"/>
  <c r="H98" i="2" s="1"/>
  <c r="L133" i="2"/>
  <c r="AK118" i="2"/>
  <c r="AK166" i="2"/>
  <c r="AK71" i="2"/>
  <c r="AK221" i="2"/>
  <c r="AK95" i="2"/>
  <c r="M95" i="2"/>
  <c r="M16" i="2"/>
  <c r="M107" i="2"/>
  <c r="I27" i="2"/>
  <c r="K193" i="2"/>
  <c r="G210" i="2"/>
  <c r="H210" i="2" s="1"/>
  <c r="K31" i="2"/>
  <c r="M15" i="2"/>
  <c r="K73" i="2"/>
  <c r="W124" i="2"/>
  <c r="M88" i="2"/>
  <c r="L226" i="2"/>
  <c r="K68" i="2"/>
  <c r="G80" i="2"/>
  <c r="H80" i="2" s="1"/>
  <c r="AK44" i="2"/>
  <c r="AK161" i="2"/>
  <c r="AK50" i="2"/>
  <c r="L76" i="2"/>
  <c r="L171" i="2"/>
  <c r="L79" i="2"/>
  <c r="L229" i="2"/>
  <c r="G121" i="2"/>
  <c r="H121" i="2" s="1"/>
  <c r="K166" i="2"/>
  <c r="M184" i="2"/>
  <c r="L57" i="2"/>
  <c r="G19" i="2"/>
  <c r="H19" i="2" s="1"/>
  <c r="AK199" i="2"/>
  <c r="AK184" i="2"/>
  <c r="AK206" i="2"/>
  <c r="L88" i="2"/>
  <c r="L121" i="2"/>
  <c r="L105" i="2"/>
  <c r="J177" i="2"/>
  <c r="L194" i="2"/>
  <c r="I121" i="2"/>
  <c r="J76" i="2"/>
  <c r="J181" i="2"/>
  <c r="I211" i="2"/>
  <c r="G221" i="2"/>
  <c r="H221" i="2" s="1"/>
  <c r="K6" i="2"/>
  <c r="K183" i="2"/>
  <c r="M204" i="2"/>
  <c r="AK169" i="2"/>
  <c r="AK103" i="2"/>
  <c r="AK157" i="2"/>
  <c r="AK127" i="2"/>
  <c r="AK212" i="2"/>
  <c r="AK52" i="2"/>
  <c r="AK65" i="2"/>
  <c r="L148" i="2"/>
  <c r="L189" i="2"/>
  <c r="K138" i="2"/>
  <c r="K33" i="2"/>
  <c r="AK112" i="2"/>
  <c r="AK48" i="2"/>
  <c r="AK160" i="2"/>
  <c r="L108" i="2"/>
  <c r="L119" i="2"/>
  <c r="L209" i="2"/>
  <c r="J83" i="2"/>
  <c r="G89" i="2"/>
  <c r="H89" i="2" s="1"/>
  <c r="G90" i="2"/>
  <c r="H90" i="2" s="1"/>
  <c r="G131" i="2"/>
  <c r="H131" i="2" s="1"/>
  <c r="M151" i="2"/>
  <c r="AK5" i="2"/>
  <c r="AK197" i="2"/>
  <c r="AK60" i="2"/>
  <c r="K151" i="2"/>
  <c r="L204" i="2"/>
  <c r="J113" i="2"/>
  <c r="J78" i="2"/>
  <c r="J136" i="2"/>
  <c r="I219" i="2"/>
  <c r="M55" i="2"/>
  <c r="L218" i="2"/>
  <c r="K209" i="2"/>
  <c r="G194" i="2"/>
  <c r="H194" i="2" s="1"/>
  <c r="I93" i="2"/>
  <c r="M60" i="2"/>
  <c r="L63" i="2"/>
  <c r="G199" i="2"/>
  <c r="H199" i="2" s="1"/>
  <c r="AK99" i="2"/>
  <c r="AK14" i="2"/>
  <c r="L114" i="2"/>
  <c r="L70" i="2"/>
  <c r="V153" i="2"/>
  <c r="M219" i="2"/>
  <c r="K158" i="2"/>
  <c r="K118" i="2"/>
  <c r="I66" i="2"/>
  <c r="M24" i="2"/>
  <c r="L78" i="2"/>
  <c r="L137" i="2"/>
  <c r="K205" i="2"/>
  <c r="G133" i="2"/>
  <c r="H133" i="2" s="1"/>
  <c r="AK73" i="2"/>
  <c r="AK137" i="2"/>
  <c r="AK59" i="2"/>
  <c r="AK194" i="2"/>
  <c r="L149" i="2"/>
  <c r="L144" i="2"/>
  <c r="K223" i="2"/>
  <c r="AK83" i="2"/>
  <c r="AK115" i="2"/>
  <c r="AK208" i="2"/>
  <c r="AK152" i="2"/>
  <c r="AK147" i="2"/>
  <c r="AK72" i="2"/>
  <c r="V3" i="2"/>
  <c r="X121" i="2"/>
  <c r="AK175" i="2"/>
  <c r="AK186" i="2"/>
  <c r="AK228" i="2"/>
  <c r="AK171" i="2"/>
  <c r="AK96" i="2"/>
  <c r="AK200" i="2"/>
  <c r="AK139" i="2"/>
  <c r="AK164" i="2"/>
  <c r="AK3" i="2"/>
  <c r="AK177" i="2"/>
  <c r="AK20" i="2"/>
  <c r="AK125" i="2"/>
  <c r="AK134" i="2"/>
  <c r="V13" i="2"/>
  <c r="AK201" i="2"/>
  <c r="AK111" i="2"/>
  <c r="AK195" i="2"/>
  <c r="AK84" i="2"/>
  <c r="AK132" i="2"/>
  <c r="AK121" i="2"/>
  <c r="Y201" i="2"/>
  <c r="AK163" i="2"/>
  <c r="AK151" i="2"/>
  <c r="AK38" i="2"/>
  <c r="AK227" i="2"/>
  <c r="AK216" i="2"/>
  <c r="AK33" i="2"/>
  <c r="AK31" i="2"/>
  <c r="AK37" i="2"/>
  <c r="AK223" i="2"/>
  <c r="AK86" i="2"/>
  <c r="AK81" i="2"/>
  <c r="AK87" i="2"/>
  <c r="AK172" i="2"/>
  <c r="W12" i="2"/>
  <c r="AK92" i="2"/>
  <c r="AK148" i="2"/>
  <c r="W175" i="2"/>
  <c r="AK218" i="2"/>
  <c r="AK135" i="2"/>
  <c r="Y136" i="2"/>
  <c r="Y2" i="2"/>
  <c r="AK24" i="2"/>
  <c r="AK182" i="2"/>
  <c r="AK89" i="2"/>
  <c r="AK28" i="2"/>
  <c r="AK213" i="2"/>
  <c r="AK130" i="2"/>
  <c r="AK109" i="2"/>
  <c r="AK117" i="2"/>
  <c r="AK144" i="2"/>
  <c r="AK90" i="2"/>
  <c r="AK131" i="2"/>
  <c r="X6" i="2"/>
  <c r="Y192" i="2"/>
  <c r="AK68" i="2"/>
  <c r="X56" i="2"/>
  <c r="AK13" i="2"/>
  <c r="AK16" i="2"/>
  <c r="AK173" i="2"/>
  <c r="AK100" i="2"/>
  <c r="AK53" i="2"/>
  <c r="AK11" i="2"/>
  <c r="AK222" i="2"/>
  <c r="G120" i="2"/>
  <c r="H120" i="2" s="1"/>
  <c r="M27" i="2"/>
  <c r="K228" i="2"/>
  <c r="I74" i="2"/>
  <c r="I47" i="2"/>
  <c r="G204" i="2"/>
  <c r="H204" i="2" s="1"/>
  <c r="K100" i="2"/>
  <c r="M68" i="2"/>
  <c r="I161" i="2"/>
  <c r="G50" i="2"/>
  <c r="H50" i="2" s="1"/>
  <c r="J45" i="2"/>
  <c r="K134" i="2"/>
  <c r="K94" i="2"/>
  <c r="G137" i="2"/>
  <c r="H137" i="2" s="1"/>
  <c r="N154" i="2"/>
  <c r="M52" i="2"/>
  <c r="G95" i="2"/>
  <c r="H95" i="2" s="1"/>
  <c r="K70" i="2"/>
  <c r="J116" i="2"/>
  <c r="G197" i="2"/>
  <c r="H197" i="2" s="1"/>
  <c r="G140" i="2"/>
  <c r="H140" i="2" s="1"/>
  <c r="K25" i="2"/>
  <c r="G71" i="2"/>
  <c r="H71" i="2" s="1"/>
  <c r="G68" i="2"/>
  <c r="H68" i="2" s="1"/>
  <c r="J66" i="2"/>
  <c r="J149" i="2"/>
  <c r="G187" i="2"/>
  <c r="H187" i="2" s="1"/>
  <c r="G102" i="2"/>
  <c r="H102" i="2" s="1"/>
  <c r="K65" i="2"/>
  <c r="K132" i="2"/>
  <c r="K108" i="2"/>
  <c r="I200" i="2"/>
  <c r="G186" i="2"/>
  <c r="H186" i="2" s="1"/>
  <c r="L213" i="2"/>
  <c r="G9" i="2"/>
  <c r="H9" i="2" s="1"/>
  <c r="L84" i="2"/>
  <c r="G39" i="2"/>
  <c r="H39" i="2" s="1"/>
  <c r="M149" i="2"/>
  <c r="M66" i="2"/>
  <c r="G168" i="2"/>
  <c r="H168" i="2" s="1"/>
  <c r="L90" i="2"/>
  <c r="L7" i="2"/>
  <c r="J91" i="2"/>
  <c r="J190" i="2"/>
  <c r="G62" i="2"/>
  <c r="H62" i="2" s="1"/>
  <c r="G180" i="2"/>
  <c r="H180" i="2" s="1"/>
  <c r="K10" i="2"/>
  <c r="G11" i="2"/>
  <c r="H11" i="2" s="1"/>
  <c r="L140" i="2"/>
  <c r="L54" i="2"/>
  <c r="I189" i="2"/>
  <c r="J59" i="2"/>
  <c r="J17" i="2"/>
  <c r="I24" i="2"/>
  <c r="K12" i="2"/>
  <c r="L210" i="2"/>
  <c r="I229" i="2"/>
  <c r="K13" i="2"/>
  <c r="J99" i="2"/>
  <c r="G86" i="2"/>
  <c r="H86" i="2" s="1"/>
  <c r="K204" i="2"/>
  <c r="L161" i="2"/>
  <c r="K90" i="2"/>
  <c r="L55" i="2"/>
  <c r="J8" i="2"/>
  <c r="K175" i="2"/>
  <c r="G64" i="2"/>
  <c r="H64" i="2" s="1"/>
  <c r="M31" i="2"/>
  <c r="K60" i="2"/>
  <c r="K99" i="2"/>
  <c r="M41" i="2"/>
  <c r="G76" i="2"/>
  <c r="H76" i="2" s="1"/>
  <c r="G207" i="2"/>
  <c r="H207" i="2" s="1"/>
  <c r="L193" i="2"/>
  <c r="K119" i="2"/>
  <c r="K191" i="2"/>
  <c r="L205" i="2"/>
  <c r="M136" i="2"/>
  <c r="I119" i="2"/>
  <c r="G84" i="2"/>
  <c r="H84" i="2" s="1"/>
  <c r="L159" i="2"/>
  <c r="L77" i="2"/>
  <c r="I64" i="2"/>
  <c r="J140" i="2"/>
  <c r="J81" i="2"/>
  <c r="G38" i="2"/>
  <c r="H38" i="2" s="1"/>
  <c r="K150" i="2"/>
  <c r="L116" i="2"/>
  <c r="K202" i="2"/>
  <c r="L13" i="2"/>
  <c r="K197" i="2"/>
  <c r="K176" i="2"/>
  <c r="L224" i="2"/>
  <c r="M199" i="2"/>
  <c r="I147" i="2"/>
  <c r="G193" i="2"/>
  <c r="H193" i="2" s="1"/>
  <c r="L102" i="2"/>
  <c r="L128" i="2"/>
  <c r="J90" i="2"/>
  <c r="J25" i="2"/>
  <c r="M196" i="2"/>
  <c r="K177" i="2"/>
  <c r="K178" i="2"/>
  <c r="K172" i="2"/>
  <c r="AK209" i="2"/>
  <c r="AK116" i="2"/>
  <c r="AK145" i="2"/>
  <c r="AK215" i="2"/>
  <c r="AK219" i="2"/>
  <c r="AK93" i="2"/>
  <c r="AK178" i="2"/>
  <c r="AK40" i="2"/>
  <c r="I138" i="2"/>
  <c r="I151" i="2"/>
  <c r="N141" i="2"/>
  <c r="N148" i="2"/>
  <c r="N4" i="2"/>
  <c r="N54" i="2"/>
  <c r="N30" i="2"/>
  <c r="N163" i="2"/>
  <c r="I214" i="2"/>
  <c r="M203" i="2"/>
  <c r="G114" i="2"/>
  <c r="H114" i="2" s="1"/>
  <c r="L91" i="2"/>
  <c r="G81" i="2"/>
  <c r="H81" i="2" s="1"/>
  <c r="L86" i="2"/>
  <c r="I83" i="2"/>
  <c r="K32" i="2"/>
  <c r="I56" i="2"/>
  <c r="G136" i="2"/>
  <c r="H136" i="2" s="1"/>
  <c r="G219" i="2"/>
  <c r="H219" i="2" s="1"/>
  <c r="K221" i="2"/>
  <c r="K159" i="2"/>
  <c r="L182" i="2"/>
  <c r="I90" i="2"/>
  <c r="G158" i="2"/>
  <c r="H158" i="2" s="1"/>
  <c r="G24" i="2"/>
  <c r="H24" i="2" s="1"/>
  <c r="L25" i="2"/>
  <c r="G53" i="2"/>
  <c r="H53" i="2" s="1"/>
  <c r="G209" i="2"/>
  <c r="H209" i="2" s="1"/>
  <c r="M43" i="2"/>
  <c r="L58" i="2"/>
  <c r="K219" i="2"/>
  <c r="K199" i="2"/>
  <c r="K212" i="2"/>
  <c r="K8" i="2"/>
  <c r="L89" i="2"/>
  <c r="M147" i="2"/>
  <c r="I88" i="2"/>
  <c r="G110" i="2"/>
  <c r="H110" i="2" s="1"/>
  <c r="L96" i="2"/>
  <c r="K106" i="2"/>
  <c r="L80" i="2"/>
  <c r="K112" i="2"/>
  <c r="J153" i="2"/>
  <c r="G97" i="2"/>
  <c r="H97" i="2" s="1"/>
  <c r="G7" i="2"/>
  <c r="H7" i="2" s="1"/>
  <c r="G115" i="2"/>
  <c r="H115" i="2" s="1"/>
  <c r="I183" i="2"/>
  <c r="G54" i="2"/>
  <c r="H54" i="2" s="1"/>
  <c r="J95" i="2"/>
  <c r="J29" i="2"/>
  <c r="M223" i="2"/>
  <c r="I70" i="2"/>
  <c r="G44" i="2"/>
  <c r="H44" i="2" s="1"/>
  <c r="L122" i="2"/>
  <c r="I63" i="2"/>
  <c r="G184" i="2"/>
  <c r="H184" i="2" s="1"/>
  <c r="M194" i="2"/>
  <c r="G3" i="2"/>
  <c r="H3" i="2" s="1"/>
  <c r="L45" i="2"/>
  <c r="K220" i="2"/>
  <c r="K174" i="2"/>
  <c r="K157" i="2"/>
  <c r="G145" i="2"/>
  <c r="H145" i="2" s="1"/>
  <c r="L53" i="2"/>
  <c r="K88" i="2"/>
  <c r="M38" i="2"/>
  <c r="M75" i="2"/>
  <c r="J203" i="2"/>
  <c r="K37" i="2"/>
  <c r="L101" i="2"/>
  <c r="K55" i="2"/>
  <c r="J157" i="2"/>
  <c r="G61" i="2"/>
  <c r="H61" i="2" s="1"/>
  <c r="M70" i="2"/>
  <c r="M76" i="2"/>
  <c r="G128" i="2"/>
  <c r="H128" i="2" s="1"/>
  <c r="AK70" i="2"/>
  <c r="AK129" i="2"/>
  <c r="AK32" i="2"/>
  <c r="AK106" i="2"/>
  <c r="AK94" i="2"/>
  <c r="N199" i="2"/>
  <c r="I98" i="2"/>
  <c r="N193" i="2"/>
  <c r="N110" i="2"/>
  <c r="N32" i="2"/>
  <c r="N175" i="2"/>
  <c r="N134" i="2"/>
  <c r="K215" i="2"/>
  <c r="K113" i="2"/>
  <c r="L139" i="2"/>
  <c r="G141" i="2"/>
  <c r="H141" i="2" s="1"/>
  <c r="K213" i="2"/>
  <c r="M143" i="2"/>
  <c r="G217" i="2"/>
  <c r="H217" i="2" s="1"/>
  <c r="M168" i="2"/>
  <c r="J103" i="2"/>
  <c r="G117" i="2"/>
  <c r="H117" i="2" s="1"/>
  <c r="I181" i="2"/>
  <c r="K17" i="2"/>
  <c r="M7" i="2"/>
  <c r="M218" i="2"/>
  <c r="K188" i="2"/>
  <c r="G196" i="2"/>
  <c r="H196" i="2" s="1"/>
  <c r="L10" i="2"/>
  <c r="K141" i="2"/>
  <c r="I31" i="2"/>
  <c r="G167" i="2"/>
  <c r="H167" i="2" s="1"/>
  <c r="L173" i="2"/>
  <c r="J186" i="2"/>
  <c r="K71" i="2"/>
  <c r="K64" i="2"/>
  <c r="K34" i="2"/>
  <c r="G32" i="2"/>
  <c r="H32" i="2" s="1"/>
  <c r="L40" i="2"/>
  <c r="K27" i="2"/>
  <c r="L23" i="2"/>
  <c r="J145" i="2"/>
  <c r="K211" i="2"/>
  <c r="L125" i="2"/>
  <c r="K24" i="2"/>
  <c r="J49" i="2"/>
  <c r="G104" i="2"/>
  <c r="H104" i="2" s="1"/>
  <c r="L188" i="2"/>
  <c r="K67" i="2"/>
  <c r="K210" i="2"/>
  <c r="G176" i="2"/>
  <c r="H176" i="2" s="1"/>
  <c r="K187" i="2"/>
  <c r="G75" i="2"/>
  <c r="H75" i="2" s="1"/>
  <c r="L222" i="2"/>
  <c r="G6" i="2"/>
  <c r="H6" i="2" s="1"/>
  <c r="L179" i="2"/>
  <c r="M8" i="2"/>
  <c r="J193" i="2"/>
  <c r="K189" i="2"/>
  <c r="L201" i="2"/>
  <c r="K182" i="2"/>
  <c r="J74" i="2"/>
  <c r="L111" i="2"/>
  <c r="K186" i="2"/>
  <c r="L141" i="2"/>
  <c r="G172" i="2"/>
  <c r="H172" i="2" s="1"/>
  <c r="K80" i="2"/>
  <c r="K28" i="2"/>
  <c r="J61" i="2"/>
  <c r="G49" i="2"/>
  <c r="H49" i="2" s="1"/>
  <c r="L163" i="2"/>
  <c r="K69" i="2"/>
  <c r="L162" i="2"/>
  <c r="G177" i="2"/>
  <c r="H177" i="2" s="1"/>
  <c r="G147" i="2"/>
  <c r="H147" i="2" s="1"/>
  <c r="J143" i="2"/>
  <c r="G93" i="2"/>
  <c r="H93" i="2" s="1"/>
  <c r="L154" i="2"/>
  <c r="K76" i="2"/>
  <c r="G101" i="2"/>
  <c r="H101" i="2" s="1"/>
  <c r="AK51" i="2"/>
  <c r="AK202" i="2"/>
  <c r="AK97" i="2"/>
  <c r="AK39" i="2"/>
  <c r="AK41" i="2"/>
  <c r="AK191" i="2"/>
  <c r="AK211" i="2"/>
  <c r="AK179" i="2"/>
  <c r="X9" i="2"/>
  <c r="M3" i="2"/>
  <c r="J77" i="2"/>
  <c r="N162" i="2"/>
  <c r="J75" i="2"/>
  <c r="J171" i="2"/>
  <c r="J64" i="2"/>
  <c r="J118" i="2"/>
  <c r="J151" i="2"/>
  <c r="M146" i="2"/>
  <c r="N65" i="2"/>
  <c r="J173" i="2"/>
  <c r="M191" i="2"/>
  <c r="N27" i="2"/>
  <c r="I225" i="2"/>
  <c r="N170" i="2"/>
  <c r="J107" i="2"/>
  <c r="N18" i="2"/>
  <c r="N48" i="2"/>
  <c r="N206" i="2"/>
  <c r="N229" i="2"/>
  <c r="N209" i="2"/>
  <c r="N223" i="2"/>
  <c r="M116" i="2"/>
  <c r="I35" i="2"/>
  <c r="G8" i="2"/>
  <c r="H8" i="2" s="1"/>
  <c r="K58" i="2"/>
  <c r="G15" i="2"/>
  <c r="H15" i="2" s="1"/>
  <c r="L66" i="2"/>
  <c r="M224" i="2"/>
  <c r="I53" i="2"/>
  <c r="M104" i="2"/>
  <c r="M201" i="2"/>
  <c r="M130" i="2"/>
  <c r="K63" i="2"/>
  <c r="G35" i="2"/>
  <c r="H35" i="2" s="1"/>
  <c r="K153" i="2"/>
  <c r="M26" i="2"/>
  <c r="G45" i="2"/>
  <c r="H45" i="2" s="1"/>
  <c r="L208" i="2"/>
  <c r="J35" i="2"/>
  <c r="K192" i="2"/>
  <c r="J178" i="2"/>
  <c r="G229" i="2"/>
  <c r="H229" i="2" s="1"/>
  <c r="J195" i="2"/>
  <c r="L50" i="2"/>
  <c r="L12" i="2"/>
  <c r="K44" i="2"/>
  <c r="L130" i="2"/>
  <c r="J226" i="2"/>
  <c r="G125" i="2"/>
  <c r="H125" i="2" s="1"/>
  <c r="I29" i="2"/>
  <c r="L107" i="2"/>
  <c r="K85" i="2"/>
  <c r="L31" i="2"/>
  <c r="K4" i="2"/>
  <c r="G201" i="2"/>
  <c r="H201" i="2" s="1"/>
  <c r="AK45" i="2"/>
  <c r="AK107" i="2"/>
  <c r="AK18" i="2"/>
  <c r="AK43" i="2"/>
  <c r="AK158" i="2"/>
  <c r="AK174" i="2"/>
  <c r="AK181" i="2"/>
  <c r="V102" i="2"/>
  <c r="J7" i="2"/>
  <c r="L20" i="2"/>
  <c r="N82" i="2"/>
  <c r="J199" i="2"/>
  <c r="J62" i="2"/>
  <c r="I80" i="2"/>
  <c r="I54" i="2"/>
  <c r="I126" i="2"/>
  <c r="J223" i="2"/>
  <c r="M137" i="2"/>
  <c r="N63" i="2"/>
  <c r="J105" i="2"/>
  <c r="M62" i="2"/>
  <c r="N213" i="2"/>
  <c r="M133" i="2"/>
  <c r="N8" i="2"/>
  <c r="N192" i="2"/>
  <c r="N144" i="2"/>
  <c r="N72" i="2"/>
  <c r="N164" i="2"/>
  <c r="N128" i="2"/>
  <c r="N146" i="2"/>
  <c r="M122" i="2"/>
  <c r="G218" i="2"/>
  <c r="H218" i="2" s="1"/>
  <c r="J51" i="2"/>
  <c r="I94" i="2"/>
  <c r="K143" i="2"/>
  <c r="L2" i="2"/>
  <c r="L202" i="2"/>
  <c r="M40" i="2"/>
  <c r="I222" i="2"/>
  <c r="L138" i="2"/>
  <c r="J27" i="2"/>
  <c r="L85" i="2"/>
  <c r="M175" i="2"/>
  <c r="K81" i="2"/>
  <c r="K97" i="2"/>
  <c r="K152" i="2"/>
  <c r="G161" i="2"/>
  <c r="H161" i="2" s="1"/>
  <c r="L39" i="2"/>
  <c r="K91" i="2"/>
  <c r="I59" i="2"/>
  <c r="G94" i="2"/>
  <c r="H94" i="2" s="1"/>
  <c r="I142" i="2"/>
  <c r="G164" i="2"/>
  <c r="H164" i="2" s="1"/>
  <c r="G79" i="2"/>
  <c r="H79" i="2" s="1"/>
  <c r="L93" i="2"/>
  <c r="K198" i="2"/>
  <c r="I75" i="2"/>
  <c r="J222" i="2"/>
  <c r="I146" i="2"/>
  <c r="L21" i="2"/>
  <c r="J165" i="2"/>
  <c r="G146" i="2"/>
  <c r="H146" i="2" s="1"/>
  <c r="AK7" i="2"/>
  <c r="AK176" i="2"/>
  <c r="AK210" i="2"/>
  <c r="AK21" i="2"/>
  <c r="AK8" i="2"/>
  <c r="AK141" i="2"/>
  <c r="AK155" i="2"/>
  <c r="AK108" i="2"/>
  <c r="AK198" i="2"/>
  <c r="AK64" i="2"/>
  <c r="AK113" i="2"/>
  <c r="J198" i="2"/>
  <c r="N113" i="2"/>
  <c r="J147" i="2"/>
  <c r="I104" i="2"/>
  <c r="I177" i="2"/>
  <c r="I77" i="2"/>
  <c r="I81" i="2"/>
  <c r="J48" i="2"/>
  <c r="N69" i="2"/>
  <c r="J229" i="2"/>
  <c r="J72" i="2"/>
  <c r="I19" i="2"/>
  <c r="J89" i="2"/>
  <c r="I174" i="2"/>
  <c r="N155" i="2"/>
  <c r="L59" i="2"/>
  <c r="J172" i="2"/>
  <c r="N36" i="2"/>
  <c r="N184" i="2"/>
  <c r="N214" i="2"/>
  <c r="N46" i="2"/>
  <c r="N59" i="2"/>
  <c r="N77" i="2"/>
  <c r="N227" i="2"/>
  <c r="M10" i="2"/>
  <c r="G78" i="2"/>
  <c r="H78" i="2" s="1"/>
  <c r="J21" i="2"/>
  <c r="K105" i="2"/>
  <c r="I164" i="2"/>
  <c r="G109" i="2"/>
  <c r="H109" i="2" s="1"/>
  <c r="L157" i="2"/>
  <c r="K79" i="2"/>
  <c r="L136" i="2"/>
  <c r="L191" i="2"/>
  <c r="M23" i="2"/>
  <c r="L106" i="2"/>
  <c r="I179" i="2"/>
  <c r="L169" i="2"/>
  <c r="L69" i="2"/>
  <c r="K160" i="2"/>
  <c r="K26" i="2"/>
  <c r="J196" i="2"/>
  <c r="L167" i="2"/>
  <c r="K82" i="2"/>
  <c r="I43" i="2"/>
  <c r="G25" i="2"/>
  <c r="H25" i="2" s="1"/>
  <c r="I139" i="2"/>
  <c r="G215" i="2"/>
  <c r="H215" i="2" s="1"/>
  <c r="I71" i="2"/>
  <c r="G224" i="2"/>
  <c r="H224" i="2" s="1"/>
  <c r="L113" i="2"/>
  <c r="K225" i="2"/>
  <c r="I148" i="2"/>
  <c r="I20" i="2"/>
  <c r="G23" i="2"/>
  <c r="H23" i="2" s="1"/>
  <c r="J205" i="2"/>
  <c r="L160" i="2"/>
  <c r="G139" i="2"/>
  <c r="H139" i="2" s="1"/>
  <c r="AK77" i="2"/>
  <c r="AK74" i="2"/>
  <c r="AK156" i="2"/>
  <c r="AK67" i="2"/>
  <c r="AK162" i="2"/>
  <c r="AK220" i="2"/>
  <c r="AK170" i="2"/>
  <c r="AK225" i="2"/>
  <c r="AK29" i="2"/>
  <c r="AK76" i="2"/>
  <c r="W186" i="2"/>
  <c r="J188" i="2"/>
  <c r="L176" i="2"/>
  <c r="J119" i="2"/>
  <c r="J88" i="2"/>
  <c r="I102" i="2"/>
  <c r="I101" i="2"/>
  <c r="I107" i="2"/>
  <c r="I160" i="2"/>
  <c r="I109" i="2"/>
  <c r="I5" i="2"/>
  <c r="N11" i="2"/>
  <c r="J3" i="2"/>
  <c r="M112" i="2"/>
  <c r="I228" i="2"/>
  <c r="L109" i="2"/>
  <c r="J101" i="2"/>
  <c r="N14" i="2"/>
  <c r="N58" i="2"/>
  <c r="N179" i="2"/>
  <c r="N79" i="2"/>
  <c r="N220" i="2"/>
  <c r="I154" i="2"/>
  <c r="M33" i="2"/>
  <c r="G126" i="2"/>
  <c r="H126" i="2" s="1"/>
  <c r="J156" i="2"/>
  <c r="G152" i="2"/>
  <c r="H152" i="2" s="1"/>
  <c r="L34" i="2"/>
  <c r="L199" i="2"/>
  <c r="L52" i="2"/>
  <c r="L151" i="2"/>
  <c r="L4" i="2"/>
  <c r="K129" i="2"/>
  <c r="G190" i="2"/>
  <c r="H190" i="2" s="1"/>
  <c r="K200" i="2"/>
  <c r="L164" i="2"/>
  <c r="K142" i="2"/>
  <c r="I170" i="2"/>
  <c r="I120" i="2"/>
  <c r="G127" i="2"/>
  <c r="H127" i="2" s="1"/>
  <c r="I210" i="2"/>
  <c r="J39" i="2"/>
  <c r="G179" i="2"/>
  <c r="H179" i="2" s="1"/>
  <c r="G17" i="2"/>
  <c r="H17" i="2" s="1"/>
  <c r="K133" i="2"/>
  <c r="G92" i="2"/>
  <c r="H92" i="2" s="1"/>
  <c r="G192" i="2"/>
  <c r="H192" i="2" s="1"/>
  <c r="I2" i="1"/>
  <c r="G2" i="1"/>
  <c r="W29" i="2" s="1"/>
  <c r="I146" i="1"/>
  <c r="I226" i="1"/>
  <c r="Y194" i="2" s="1"/>
  <c r="F197" i="1"/>
  <c r="G197" i="1"/>
  <c r="F178" i="1"/>
  <c r="I48" i="1"/>
  <c r="F38" i="1"/>
  <c r="F153" i="1"/>
  <c r="H153" i="1"/>
  <c r="I98" i="1"/>
  <c r="Y181" i="2" s="1"/>
  <c r="G78" i="1"/>
  <c r="I78" i="1"/>
  <c r="H78" i="1"/>
  <c r="G184" i="1"/>
  <c r="H163" i="1"/>
  <c r="I163" i="1"/>
  <c r="H170" i="1"/>
  <c r="X53" i="2" s="1"/>
  <c r="H91" i="1"/>
  <c r="F44" i="1"/>
  <c r="I197" i="1"/>
  <c r="H21" i="1"/>
  <c r="G117" i="1"/>
  <c r="F217" i="1"/>
  <c r="F172" i="1"/>
  <c r="G21" i="1"/>
  <c r="W22" i="2" s="1"/>
  <c r="I45" i="1"/>
  <c r="Y103" i="2" s="1"/>
  <c r="G172" i="1"/>
  <c r="I28" i="1"/>
  <c r="G45" i="1"/>
  <c r="I172" i="1"/>
  <c r="G77" i="1"/>
  <c r="I193" i="1"/>
  <c r="F152" i="1"/>
  <c r="G96" i="1"/>
  <c r="I77" i="1"/>
  <c r="H152" i="1"/>
  <c r="G154" i="1"/>
  <c r="W170" i="2" s="1"/>
  <c r="G93" i="1"/>
  <c r="F93" i="1"/>
  <c r="H202" i="1"/>
  <c r="I57" i="1"/>
  <c r="Y82" i="2" s="1"/>
  <c r="G152" i="1"/>
  <c r="I93" i="1"/>
  <c r="I225" i="1"/>
  <c r="I103" i="1"/>
  <c r="I21" i="1"/>
  <c r="G169" i="1"/>
  <c r="I154" i="1"/>
  <c r="I72" i="1"/>
  <c r="I169" i="1"/>
  <c r="I37" i="1"/>
  <c r="F168" i="1"/>
  <c r="G129" i="1"/>
  <c r="I74" i="1"/>
  <c r="I19" i="1"/>
  <c r="F119" i="1"/>
  <c r="F129" i="1"/>
  <c r="H129" i="1"/>
  <c r="H74" i="1"/>
  <c r="I14" i="1"/>
  <c r="F74" i="1"/>
  <c r="I105" i="1"/>
  <c r="Y43" i="2" s="1"/>
  <c r="G223" i="1"/>
  <c r="W30" i="2" s="1"/>
  <c r="I117" i="1"/>
  <c r="G168" i="1"/>
  <c r="F45" i="1"/>
  <c r="W146" i="1"/>
  <c r="F154" i="1"/>
  <c r="I223" i="1"/>
  <c r="I71" i="1"/>
  <c r="H179" i="1"/>
  <c r="F14" i="1"/>
  <c r="G19" i="1"/>
  <c r="F216" i="1"/>
  <c r="V196" i="2" s="1"/>
  <c r="F194" i="1"/>
  <c r="G31" i="1"/>
  <c r="W227" i="2" s="1"/>
  <c r="G153" i="1"/>
  <c r="H19" i="1"/>
  <c r="X229" i="2" s="1"/>
  <c r="G148" i="1"/>
  <c r="F117" i="1"/>
  <c r="F47" i="1"/>
  <c r="H122" i="1"/>
  <c r="X50" i="2" s="1"/>
  <c r="I148" i="1"/>
  <c r="Y177" i="2" s="1"/>
  <c r="F127" i="1"/>
  <c r="F177" i="1"/>
  <c r="H171" i="1"/>
  <c r="H148" i="1"/>
  <c r="F185" i="1"/>
  <c r="H127" i="1"/>
  <c r="I63" i="1"/>
  <c r="H177" i="1"/>
  <c r="X26" i="2" s="1"/>
  <c r="G217" i="1"/>
  <c r="H219" i="1"/>
  <c r="H185" i="1"/>
  <c r="X174" i="2" s="1"/>
  <c r="G127" i="1"/>
  <c r="F63" i="1"/>
  <c r="H158" i="1"/>
  <c r="X88" i="2" s="1"/>
  <c r="G177" i="1"/>
  <c r="G128" i="1"/>
  <c r="F218" i="1"/>
  <c r="G52" i="1"/>
  <c r="F54" i="1"/>
  <c r="F22" i="1"/>
  <c r="I54" i="1"/>
  <c r="G22" i="1"/>
  <c r="G185" i="1"/>
  <c r="F27" i="1"/>
  <c r="I17" i="1"/>
  <c r="F170" i="1"/>
  <c r="F76" i="1"/>
  <c r="V90" i="2" s="1"/>
  <c r="F17" i="1"/>
  <c r="G27" i="1"/>
  <c r="I42" i="1"/>
  <c r="F29" i="1"/>
  <c r="F42" i="1"/>
  <c r="F98" i="1"/>
  <c r="I52" i="1"/>
  <c r="H144" i="1"/>
  <c r="F122" i="1"/>
  <c r="H104" i="1"/>
  <c r="I195" i="1"/>
  <c r="G66" i="1"/>
  <c r="G138" i="1"/>
  <c r="F201" i="1"/>
  <c r="H54" i="1"/>
  <c r="X104" i="2" s="1"/>
  <c r="F48" i="1"/>
  <c r="F215" i="1"/>
  <c r="H26" i="1"/>
  <c r="H76" i="1"/>
  <c r="I219" i="1"/>
  <c r="F114" i="1"/>
  <c r="H125" i="1"/>
  <c r="X172" i="2" s="1"/>
  <c r="G125" i="1"/>
  <c r="H47" i="1"/>
  <c r="I90" i="1"/>
  <c r="G174" i="1"/>
  <c r="W101" i="2" s="1"/>
  <c r="G195" i="1"/>
  <c r="H42" i="1"/>
  <c r="H101" i="1"/>
  <c r="X166" i="2" s="1"/>
  <c r="G68" i="1"/>
  <c r="W164" i="2" s="1"/>
  <c r="F171" i="1"/>
  <c r="G104" i="1"/>
  <c r="I68" i="1"/>
  <c r="F4" i="1"/>
  <c r="V73" i="2" s="1"/>
  <c r="G187" i="1"/>
  <c r="F68" i="1"/>
  <c r="G4" i="1"/>
  <c r="I138" i="1"/>
  <c r="G53" i="1"/>
  <c r="W163" i="2" s="1"/>
  <c r="H66" i="1"/>
  <c r="I198" i="1"/>
  <c r="Y125" i="2" s="1"/>
  <c r="H201" i="1"/>
  <c r="H218" i="1"/>
  <c r="G47" i="1"/>
  <c r="H63" i="1"/>
  <c r="H27" i="1"/>
  <c r="I218" i="1"/>
  <c r="I76" i="1"/>
  <c r="Y128" i="2" s="1"/>
  <c r="H114" i="1"/>
  <c r="F101" i="1"/>
  <c r="H165" i="1"/>
  <c r="F90" i="1"/>
  <c r="H198" i="1"/>
  <c r="G198" i="1"/>
  <c r="I46" i="1"/>
  <c r="Y174" i="2" s="1"/>
  <c r="I187" i="1"/>
  <c r="F225" i="1"/>
  <c r="H108" i="1"/>
  <c r="I4" i="1"/>
  <c r="F138" i="1"/>
  <c r="I53" i="1"/>
  <c r="Y126" i="2" s="1"/>
  <c r="G91" i="1"/>
  <c r="W76" i="2" s="1"/>
  <c r="F28" i="1"/>
  <c r="G201" i="1"/>
  <c r="G215" i="1"/>
  <c r="H221" i="1"/>
  <c r="G17" i="1"/>
  <c r="G170" i="1"/>
  <c r="W53" i="2" s="1"/>
  <c r="F125" i="1"/>
  <c r="H52" i="1"/>
  <c r="X77" i="2" s="1"/>
  <c r="F73" i="1"/>
  <c r="H29" i="1"/>
  <c r="I174" i="1"/>
  <c r="G101" i="1"/>
  <c r="W80" i="2" s="1"/>
  <c r="H169" i="1"/>
  <c r="F66" i="1"/>
  <c r="V125" i="2" s="1"/>
  <c r="H217" i="1"/>
  <c r="X32" i="2" s="1"/>
  <c r="F187" i="1"/>
  <c r="V64" i="2" s="1"/>
  <c r="G206" i="1"/>
  <c r="F77" i="1"/>
  <c r="F5" i="1"/>
  <c r="I91" i="1"/>
  <c r="H28" i="1"/>
  <c r="H98" i="1"/>
  <c r="G48" i="1"/>
  <c r="I171" i="1"/>
  <c r="I128" i="1"/>
  <c r="Y114" i="2" s="1"/>
  <c r="F173" i="1"/>
  <c r="V10" i="2" s="1"/>
  <c r="H173" i="1"/>
  <c r="I31" i="1"/>
  <c r="H22" i="1"/>
  <c r="X42" i="2" s="1"/>
  <c r="H174" i="1"/>
  <c r="F53" i="1"/>
  <c r="H90" i="1"/>
  <c r="F219" i="1"/>
  <c r="I104" i="1"/>
  <c r="F46" i="1"/>
  <c r="I168" i="1"/>
  <c r="H225" i="1"/>
  <c r="F95" i="1"/>
  <c r="I216" i="1"/>
  <c r="H206" i="1"/>
  <c r="G163" i="1"/>
  <c r="F103" i="1"/>
  <c r="W206" i="1"/>
  <c r="V206" i="1"/>
  <c r="V104" i="1"/>
  <c r="W104" i="1"/>
  <c r="W78" i="1"/>
  <c r="V78" i="1"/>
  <c r="V91" i="1"/>
  <c r="W91" i="1"/>
  <c r="G67" i="1"/>
  <c r="W121" i="2" s="1"/>
  <c r="V188" i="1"/>
  <c r="W188" i="1"/>
  <c r="W34" i="1"/>
  <c r="V34" i="1"/>
  <c r="V8" i="1"/>
  <c r="W8" i="1"/>
  <c r="V19" i="1"/>
  <c r="W19" i="1"/>
  <c r="V169" i="1"/>
  <c r="AL13" i="2" s="1"/>
  <c r="W169" i="1"/>
  <c r="F136" i="1"/>
  <c r="V211" i="2" s="1"/>
  <c r="I211" i="1"/>
  <c r="H136" i="1"/>
  <c r="F211" i="1"/>
  <c r="W13" i="1"/>
  <c r="V13" i="1"/>
  <c r="V37" i="1"/>
  <c r="W37" i="1"/>
  <c r="W80" i="1"/>
  <c r="V80" i="1"/>
  <c r="I139" i="1"/>
  <c r="V10" i="1"/>
  <c r="W10" i="1"/>
  <c r="V149" i="1"/>
  <c r="W149" i="1"/>
  <c r="W92" i="1"/>
  <c r="V92" i="1"/>
  <c r="W11" i="1"/>
  <c r="V11" i="1"/>
  <c r="W148" i="1"/>
  <c r="V148" i="1"/>
  <c r="F7" i="1"/>
  <c r="V216" i="2" s="1"/>
  <c r="H72" i="1"/>
  <c r="I136" i="1"/>
  <c r="H211" i="1"/>
  <c r="H121" i="1"/>
  <c r="G192" i="1"/>
  <c r="I206" i="1"/>
  <c r="F31" i="1"/>
  <c r="I175" i="1"/>
  <c r="V120" i="1"/>
  <c r="W120" i="1"/>
  <c r="H194" i="1"/>
  <c r="X40" i="2" s="1"/>
  <c r="I120" i="1"/>
  <c r="F202" i="1"/>
  <c r="F199" i="1"/>
  <c r="H9" i="1"/>
  <c r="V25" i="1"/>
  <c r="W25" i="1"/>
  <c r="V193" i="1"/>
  <c r="W193" i="1"/>
  <c r="V21" i="1"/>
  <c r="W21" i="1"/>
  <c r="V132" i="1"/>
  <c r="W132" i="1"/>
  <c r="F9" i="1"/>
  <c r="V219" i="2" s="1"/>
  <c r="G202" i="1"/>
  <c r="V164" i="1"/>
  <c r="W164" i="1"/>
  <c r="G139" i="1"/>
  <c r="I67" i="1"/>
  <c r="G214" i="1"/>
  <c r="I199" i="1"/>
  <c r="V16" i="1"/>
  <c r="W16" i="1"/>
  <c r="H106" i="1"/>
  <c r="F214" i="1"/>
  <c r="V165" i="1"/>
  <c r="W165" i="1"/>
  <c r="W52" i="1"/>
  <c r="V52" i="1"/>
  <c r="W75" i="1"/>
  <c r="V75" i="1"/>
  <c r="F118" i="1"/>
  <c r="V208" i="2" s="1"/>
  <c r="G122" i="1"/>
  <c r="G44" i="1"/>
  <c r="I176" i="1"/>
  <c r="Y160" i="2" s="1"/>
  <c r="G50" i="1"/>
  <c r="G130" i="1"/>
  <c r="W139" i="2" s="1"/>
  <c r="H214" i="1"/>
  <c r="H5" i="1"/>
  <c r="X188" i="2" s="1"/>
  <c r="V65" i="1"/>
  <c r="W65" i="1"/>
  <c r="W198" i="1"/>
  <c r="V198" i="1"/>
  <c r="W221" i="1"/>
  <c r="V221" i="1"/>
  <c r="I44" i="1"/>
  <c r="Y152" i="2" s="1"/>
  <c r="F30" i="1"/>
  <c r="V162" i="2" s="1"/>
  <c r="F50" i="1"/>
  <c r="H227" i="1"/>
  <c r="X137" i="2" s="1"/>
  <c r="G5" i="1"/>
  <c r="W188" i="2" s="1"/>
  <c r="V100" i="1"/>
  <c r="W100" i="1"/>
  <c r="W184" i="1"/>
  <c r="V184" i="1"/>
  <c r="W144" i="1"/>
  <c r="V144" i="1"/>
  <c r="H199" i="1"/>
  <c r="G9" i="1"/>
  <c r="V88" i="1"/>
  <c r="AL36" i="2" s="1"/>
  <c r="W88" i="1"/>
  <c r="AM36" i="2" s="1"/>
  <c r="W79" i="1"/>
  <c r="V79" i="1"/>
  <c r="F130" i="1"/>
  <c r="V139" i="2" s="1"/>
  <c r="V41" i="1"/>
  <c r="W41" i="1"/>
  <c r="H30" i="1"/>
  <c r="G151" i="1"/>
  <c r="F72" i="1"/>
  <c r="I151" i="1"/>
  <c r="H79" i="1"/>
  <c r="X109" i="2" s="1"/>
  <c r="I30" i="1"/>
  <c r="F223" i="1"/>
  <c r="F195" i="1"/>
  <c r="G160" i="1"/>
  <c r="H103" i="1"/>
  <c r="G173" i="1"/>
  <c r="G79" i="1"/>
  <c r="W109" i="2" s="1"/>
  <c r="V163" i="1"/>
  <c r="W163" i="1"/>
  <c r="W140" i="1"/>
  <c r="V140" i="1"/>
  <c r="W58" i="1"/>
  <c r="V58" i="1"/>
  <c r="F139" i="1"/>
  <c r="V190" i="1"/>
  <c r="W190" i="1"/>
  <c r="W107" i="1"/>
  <c r="V107" i="1"/>
  <c r="V60" i="1"/>
  <c r="W60" i="1"/>
  <c r="G121" i="1"/>
  <c r="W209" i="1"/>
  <c r="V209" i="1"/>
  <c r="F227" i="1"/>
  <c r="G216" i="1"/>
  <c r="F112" i="1"/>
  <c r="F97" i="1"/>
  <c r="F121" i="1"/>
  <c r="I215" i="1"/>
  <c r="H37" i="1"/>
  <c r="I160" i="1"/>
  <c r="I79" i="1"/>
  <c r="Y109" i="2" s="1"/>
  <c r="W174" i="1"/>
  <c r="V174" i="1"/>
  <c r="F179" i="1"/>
  <c r="I49" i="1"/>
  <c r="F143" i="1"/>
  <c r="H178" i="1"/>
  <c r="G178" i="1"/>
  <c r="G97" i="1"/>
  <c r="W89" i="2" s="1"/>
  <c r="F192" i="1"/>
  <c r="F49" i="1"/>
  <c r="F57" i="1"/>
  <c r="G33" i="1"/>
  <c r="I18" i="1"/>
  <c r="F99" i="1"/>
  <c r="G94" i="1"/>
  <c r="W6" i="2" s="1"/>
  <c r="G57" i="1"/>
  <c r="W82" i="2" s="1"/>
  <c r="F200" i="1"/>
  <c r="I94" i="1"/>
  <c r="Y6" i="2" s="1"/>
  <c r="F142" i="1"/>
  <c r="F203" i="1"/>
  <c r="F224" i="1"/>
  <c r="G142" i="1"/>
  <c r="G7" i="1"/>
  <c r="H224" i="1"/>
  <c r="I200" i="1"/>
  <c r="I7" i="1"/>
  <c r="G224" i="1"/>
  <c r="F55" i="1"/>
  <c r="I144" i="1"/>
  <c r="I143" i="1"/>
  <c r="H56" i="1"/>
  <c r="F6" i="1"/>
  <c r="V141" i="2" s="1"/>
  <c r="F133" i="1"/>
  <c r="H102" i="1"/>
  <c r="G193" i="1"/>
  <c r="F96" i="1"/>
  <c r="G29" i="1"/>
  <c r="G56" i="1"/>
  <c r="W41" i="2" s="1"/>
  <c r="I50" i="1"/>
  <c r="H6" i="1"/>
  <c r="G16" i="1"/>
  <c r="H133" i="1"/>
  <c r="I55" i="1"/>
  <c r="F158" i="1"/>
  <c r="G102" i="1"/>
  <c r="W130" i="2" s="1"/>
  <c r="G80" i="1"/>
  <c r="G124" i="1"/>
  <c r="F94" i="1"/>
  <c r="V6" i="2" s="1"/>
  <c r="H203" i="1"/>
  <c r="X120" i="2" s="1"/>
  <c r="H200" i="1"/>
  <c r="G227" i="1"/>
  <c r="F71" i="1"/>
  <c r="I95" i="1"/>
  <c r="Y155" i="2" s="1"/>
  <c r="F56" i="1"/>
  <c r="H55" i="1"/>
  <c r="F102" i="1"/>
  <c r="G20" i="1"/>
  <c r="I158" i="1"/>
  <c r="H80" i="1"/>
  <c r="H49" i="1"/>
  <c r="G69" i="1"/>
  <c r="W105" i="2" s="1"/>
  <c r="G6" i="1"/>
  <c r="I16" i="1"/>
  <c r="G133" i="1"/>
  <c r="F126" i="1"/>
  <c r="I80" i="1"/>
  <c r="Y217" i="2" s="1"/>
  <c r="G144" i="1"/>
  <c r="I69" i="1"/>
  <c r="H97" i="1"/>
  <c r="F167" i="1"/>
  <c r="V39" i="2" s="1"/>
  <c r="F84" i="1"/>
  <c r="G46" i="1"/>
  <c r="W213" i="2" s="1"/>
  <c r="F105" i="1"/>
  <c r="F226" i="1"/>
  <c r="G95" i="1"/>
  <c r="G167" i="1"/>
  <c r="G37" i="1"/>
  <c r="H176" i="1"/>
  <c r="H105" i="1"/>
  <c r="G114" i="1"/>
  <c r="F151" i="1"/>
  <c r="F128" i="1"/>
  <c r="H16" i="1"/>
  <c r="G39" i="1"/>
  <c r="W27" i="2" s="1"/>
  <c r="G126" i="1"/>
  <c r="G115" i="1"/>
  <c r="H175" i="1"/>
  <c r="X156" i="2" s="1"/>
  <c r="H226" i="1"/>
  <c r="F69" i="1"/>
  <c r="I142" i="1"/>
  <c r="I167" i="1"/>
  <c r="I191" i="1"/>
  <c r="I96" i="1"/>
  <c r="Y84" i="2" s="1"/>
  <c r="G118" i="1"/>
  <c r="F176" i="1"/>
  <c r="V160" i="2" s="1"/>
  <c r="H126" i="1"/>
  <c r="F175" i="1"/>
  <c r="G143" i="1"/>
  <c r="G41" i="1"/>
  <c r="I39" i="1"/>
  <c r="F115" i="1"/>
  <c r="F220" i="1"/>
  <c r="G150" i="1"/>
  <c r="G191" i="1"/>
  <c r="W167" i="2" s="1"/>
  <c r="H189" i="1"/>
  <c r="I156" i="1"/>
  <c r="I13" i="1"/>
  <c r="F18" i="1"/>
  <c r="H13" i="1"/>
  <c r="X158" i="2" s="1"/>
  <c r="H146" i="1"/>
  <c r="I70" i="1"/>
  <c r="I34" i="1"/>
  <c r="H14" i="1"/>
  <c r="G13" i="1"/>
  <c r="G92" i="1"/>
  <c r="W151" i="2" s="1"/>
  <c r="G131" i="1"/>
  <c r="G147" i="1"/>
  <c r="F147" i="1"/>
  <c r="G119" i="1"/>
  <c r="G141" i="1"/>
  <c r="I88" i="1"/>
  <c r="Y36" i="2" s="1"/>
  <c r="I109" i="1"/>
  <c r="I131" i="1"/>
  <c r="G145" i="1"/>
  <c r="H38" i="1"/>
  <c r="H71" i="1"/>
  <c r="X203" i="2" s="1"/>
  <c r="I141" i="1"/>
  <c r="H88" i="1"/>
  <c r="X36" i="2" s="1"/>
  <c r="H65" i="1"/>
  <c r="X169" i="2" s="1"/>
  <c r="H204" i="1"/>
  <c r="H99" i="1"/>
  <c r="X84" i="2" s="1"/>
  <c r="G38" i="1"/>
  <c r="I124" i="1"/>
  <c r="Y159" i="2" s="1"/>
  <c r="G3" i="1"/>
  <c r="W7" i="2" s="1"/>
  <c r="H18" i="1"/>
  <c r="X94" i="2" s="1"/>
  <c r="I119" i="1"/>
  <c r="Y116" i="2" s="1"/>
  <c r="I73" i="1"/>
  <c r="Y92" i="2" s="1"/>
  <c r="F35" i="1"/>
  <c r="F67" i="1"/>
  <c r="I229" i="1"/>
  <c r="Y149" i="2" s="1"/>
  <c r="I115" i="1"/>
  <c r="H107" i="1"/>
  <c r="I209" i="1"/>
  <c r="Y64" i="2" s="1"/>
  <c r="F191" i="1"/>
  <c r="I116" i="1"/>
  <c r="Y122" i="2" s="1"/>
  <c r="H23" i="1"/>
  <c r="I213" i="1"/>
  <c r="Y178" i="2" s="1"/>
  <c r="F156" i="1"/>
  <c r="F131" i="1"/>
  <c r="G70" i="1"/>
  <c r="G120" i="1"/>
  <c r="F204" i="1"/>
  <c r="H24" i="1"/>
  <c r="F196" i="1"/>
  <c r="I112" i="1"/>
  <c r="H51" i="1"/>
  <c r="H193" i="1"/>
  <c r="F51" i="1"/>
  <c r="V109" i="2" s="1"/>
  <c r="G229" i="1"/>
  <c r="W149" i="2" s="1"/>
  <c r="H209" i="1"/>
  <c r="X64" i="2" s="1"/>
  <c r="H147" i="1"/>
  <c r="G73" i="1"/>
  <c r="W92" i="2" s="1"/>
  <c r="H35" i="1"/>
  <c r="H100" i="1"/>
  <c r="F86" i="1"/>
  <c r="F229" i="1"/>
  <c r="H81" i="1"/>
  <c r="H228" i="1"/>
  <c r="X74" i="2" s="1"/>
  <c r="G209" i="1"/>
  <c r="W64" i="2" s="1"/>
  <c r="G24" i="1"/>
  <c r="I118" i="1"/>
  <c r="G35" i="1"/>
  <c r="W11" i="2" s="1"/>
  <c r="G221" i="1"/>
  <c r="W226" i="2" s="1"/>
  <c r="G165" i="1"/>
  <c r="W33" i="2" s="1"/>
  <c r="H184" i="1"/>
  <c r="X115" i="2" s="1"/>
  <c r="G60" i="1"/>
  <c r="F26" i="1"/>
  <c r="F81" i="1"/>
  <c r="F228" i="1"/>
  <c r="G75" i="1"/>
  <c r="G116" i="1"/>
  <c r="W122" i="2" s="1"/>
  <c r="H150" i="1"/>
  <c r="H156" i="1"/>
  <c r="F39" i="1"/>
  <c r="I189" i="1"/>
  <c r="F24" i="1"/>
  <c r="F109" i="1"/>
  <c r="H120" i="1"/>
  <c r="X145" i="2" s="1"/>
  <c r="F141" i="1"/>
  <c r="G88" i="1"/>
  <c r="W36" i="2" s="1"/>
  <c r="I51" i="1"/>
  <c r="G204" i="1"/>
  <c r="W93" i="2" s="1"/>
  <c r="G146" i="1"/>
  <c r="W3" i="2" s="1"/>
  <c r="I20" i="1"/>
  <c r="Y173" i="2" s="1"/>
  <c r="G23" i="1"/>
  <c r="H82" i="1"/>
  <c r="G194" i="1"/>
  <c r="W40" i="2" s="1"/>
  <c r="I132" i="1"/>
  <c r="F20" i="1"/>
  <c r="V173" i="2" s="1"/>
  <c r="F70" i="1"/>
  <c r="V190" i="2" s="1"/>
  <c r="I192" i="1"/>
  <c r="Y143" i="2" s="1"/>
  <c r="I221" i="1"/>
  <c r="I165" i="1"/>
  <c r="I184" i="1"/>
  <c r="I60" i="1"/>
  <c r="Y202" i="2" s="1"/>
  <c r="G26" i="1"/>
  <c r="G81" i="1"/>
  <c r="W142" i="2" s="1"/>
  <c r="G228" i="1"/>
  <c r="I75" i="1"/>
  <c r="F23" i="1"/>
  <c r="V79" i="2" s="1"/>
  <c r="F182" i="1"/>
  <c r="I32" i="1"/>
  <c r="Y11" i="2" s="1"/>
  <c r="H60" i="1"/>
  <c r="H75" i="1"/>
  <c r="I155" i="1"/>
  <c r="G106" i="1"/>
  <c r="H132" i="1"/>
  <c r="H208" i="1"/>
  <c r="H33" i="1"/>
  <c r="F157" i="1"/>
  <c r="F160" i="1"/>
  <c r="H188" i="1"/>
  <c r="H190" i="1"/>
  <c r="X207" i="2" s="1"/>
  <c r="I220" i="1"/>
  <c r="Y132" i="2" s="1"/>
  <c r="F155" i="1"/>
  <c r="F189" i="1"/>
  <c r="G132" i="1"/>
  <c r="W211" i="2" s="1"/>
  <c r="F33" i="1"/>
  <c r="G109" i="1"/>
  <c r="H130" i="1"/>
  <c r="X139" i="2" s="1"/>
  <c r="H220" i="1"/>
  <c r="G155" i="1"/>
  <c r="G212" i="1"/>
  <c r="F145" i="1"/>
  <c r="F212" i="1"/>
  <c r="I145" i="1"/>
  <c r="G182" i="1"/>
  <c r="H212" i="1"/>
  <c r="G58" i="1"/>
  <c r="F124" i="1"/>
  <c r="F116" i="1"/>
  <c r="V122" i="2" s="1"/>
  <c r="G107" i="1"/>
  <c r="I182" i="1"/>
  <c r="Y228" i="2" s="1"/>
  <c r="H34" i="1"/>
  <c r="I58" i="1"/>
  <c r="Y47" i="2" s="1"/>
  <c r="G99" i="1"/>
  <c r="F3" i="1"/>
  <c r="V7" i="2" s="1"/>
  <c r="I107" i="1"/>
  <c r="G112" i="1"/>
  <c r="H58" i="1"/>
  <c r="F150" i="1"/>
  <c r="F106" i="1"/>
  <c r="G34" i="1"/>
  <c r="I86" i="1"/>
  <c r="H3" i="1"/>
  <c r="X7" i="2" s="1"/>
  <c r="G213" i="1"/>
  <c r="H135" i="1"/>
  <c r="H149" i="1"/>
  <c r="X102" i="2" s="1"/>
  <c r="H86" i="1"/>
  <c r="F135" i="1"/>
  <c r="G82" i="1"/>
  <c r="W220" i="2" s="1"/>
  <c r="H59" i="1"/>
  <c r="G149" i="1"/>
  <c r="I92" i="1"/>
  <c r="I135" i="1"/>
  <c r="F108" i="1"/>
  <c r="I149" i="1"/>
  <c r="G25" i="1"/>
  <c r="W61" i="2" s="1"/>
  <c r="I203" i="1"/>
  <c r="Y120" i="2" s="1"/>
  <c r="F222" i="1"/>
  <c r="F59" i="1"/>
  <c r="V212" i="2" s="1"/>
  <c r="H111" i="1"/>
  <c r="H25" i="1"/>
  <c r="I180" i="1"/>
  <c r="I140" i="1"/>
  <c r="Y10" i="2" s="1"/>
  <c r="G222" i="1"/>
  <c r="I164" i="1"/>
  <c r="F111" i="1"/>
  <c r="I83" i="1"/>
  <c r="Y107" i="2" s="1"/>
  <c r="I43" i="1"/>
  <c r="G10" i="1"/>
  <c r="W119" i="2" s="1"/>
  <c r="I111" i="1"/>
  <c r="G166" i="1"/>
  <c r="G11" i="1"/>
  <c r="H41" i="1"/>
  <c r="X85" i="2" s="1"/>
  <c r="H140" i="1"/>
  <c r="X10" i="2" s="1"/>
  <c r="F83" i="1"/>
  <c r="F62" i="1"/>
  <c r="V225" i="2" s="1"/>
  <c r="F161" i="1"/>
  <c r="H164" i="1"/>
  <c r="X184" i="2" s="1"/>
  <c r="F181" i="1"/>
  <c r="I123" i="1"/>
  <c r="Y93" i="2" s="1"/>
  <c r="H8" i="1"/>
  <c r="X73" i="2" s="1"/>
  <c r="F82" i="1"/>
  <c r="V217" i="2" s="1"/>
  <c r="G108" i="1"/>
  <c r="I196" i="1"/>
  <c r="Y134" i="2" s="1"/>
  <c r="G179" i="1"/>
  <c r="G59" i="1"/>
  <c r="F205" i="1"/>
  <c r="H92" i="1"/>
  <c r="H205" i="1"/>
  <c r="H222" i="1"/>
  <c r="G164" i="1"/>
  <c r="I41" i="1"/>
  <c r="G181" i="1"/>
  <c r="H2" i="1"/>
  <c r="I205" i="1"/>
  <c r="F43" i="1"/>
  <c r="I10" i="1"/>
  <c r="Y119" i="2" s="1"/>
  <c r="G208" i="1"/>
  <c r="W161" i="2" s="1"/>
  <c r="G100" i="1"/>
  <c r="W140" i="2" s="1"/>
  <c r="I166" i="1"/>
  <c r="I11" i="1"/>
  <c r="F32" i="1"/>
  <c r="G65" i="1"/>
  <c r="H157" i="1"/>
  <c r="H62" i="1"/>
  <c r="H161" i="1"/>
  <c r="X189" i="2" s="1"/>
  <c r="G188" i="1"/>
  <c r="G190" i="1"/>
  <c r="H84" i="1"/>
  <c r="H123" i="1"/>
  <c r="X93" i="2" s="1"/>
  <c r="G8" i="1"/>
  <c r="F213" i="1"/>
  <c r="G196" i="1"/>
  <c r="H180" i="1"/>
  <c r="F180" i="1"/>
  <c r="G140" i="1"/>
  <c r="W10" i="2" s="1"/>
  <c r="H181" i="1"/>
  <c r="H10" i="1"/>
  <c r="H43" i="1"/>
  <c r="X25" i="2" s="1"/>
  <c r="F208" i="1"/>
  <c r="V161" i="2" s="1"/>
  <c r="I100" i="1"/>
  <c r="F166" i="1"/>
  <c r="H11" i="1"/>
  <c r="X216" i="2" s="1"/>
  <c r="H32" i="1"/>
  <c r="I65" i="1"/>
  <c r="G157" i="1"/>
  <c r="G62" i="1"/>
  <c r="W225" i="2" s="1"/>
  <c r="I161" i="1"/>
  <c r="I188" i="1"/>
  <c r="I190" i="1"/>
  <c r="G84" i="1"/>
  <c r="W136" i="2" s="1"/>
  <c r="F123" i="1"/>
  <c r="V93" i="2" s="1"/>
  <c r="I8" i="1"/>
  <c r="I25" i="1"/>
  <c r="H83" i="1"/>
  <c r="I183" i="1"/>
  <c r="Y62" i="2" s="1"/>
  <c r="G183" i="1"/>
  <c r="F183" i="1"/>
  <c r="H183" i="1"/>
  <c r="X62" i="2" s="1"/>
  <c r="F89" i="1"/>
  <c r="V55" i="2" s="1"/>
  <c r="I89" i="1"/>
  <c r="Y55" i="2" s="1"/>
  <c r="G89" i="1"/>
  <c r="H89" i="1"/>
  <c r="F113" i="1"/>
  <c r="V24" i="2" s="1"/>
  <c r="I113" i="1"/>
  <c r="G113" i="1"/>
  <c r="H113" i="1"/>
  <c r="X24" i="2" s="1"/>
  <c r="H134" i="1"/>
  <c r="F134" i="1"/>
  <c r="I134" i="1"/>
  <c r="Y75" i="2" s="1"/>
  <c r="G134" i="1"/>
  <c r="F15" i="1"/>
  <c r="I15" i="1"/>
  <c r="Y112" i="2" s="1"/>
  <c r="G15" i="1"/>
  <c r="W112" i="2" s="1"/>
  <c r="H15" i="1"/>
  <c r="F210" i="1"/>
  <c r="I210" i="1"/>
  <c r="G210" i="1"/>
  <c r="H210" i="1"/>
  <c r="X44" i="2" s="1"/>
  <c r="F137" i="1"/>
  <c r="I137" i="1"/>
  <c r="Y108" i="2" s="1"/>
  <c r="G137" i="1"/>
  <c r="H137" i="1"/>
  <c r="F186" i="1"/>
  <c r="I186" i="1"/>
  <c r="G186" i="1"/>
  <c r="H186" i="1"/>
  <c r="F110" i="1"/>
  <c r="H110" i="1"/>
  <c r="X97" i="2" s="1"/>
  <c r="I110" i="1"/>
  <c r="G110" i="1"/>
  <c r="I87" i="1"/>
  <c r="G87" i="1"/>
  <c r="H87" i="1"/>
  <c r="X8" i="2" s="1"/>
  <c r="F87" i="1"/>
  <c r="F36" i="1"/>
  <c r="H36" i="1"/>
  <c r="I36" i="1"/>
  <c r="Y87" i="2" s="1"/>
  <c r="G36" i="1"/>
  <c r="W87" i="2" s="1"/>
  <c r="H85" i="1"/>
  <c r="F85" i="1"/>
  <c r="V176" i="2" s="1"/>
  <c r="I85" i="1"/>
  <c r="G85" i="1"/>
  <c r="F40" i="1"/>
  <c r="I40" i="1"/>
  <c r="G40" i="1"/>
  <c r="H40" i="1"/>
  <c r="F162" i="1"/>
  <c r="I162" i="1"/>
  <c r="G162" i="1"/>
  <c r="W28" i="2" s="1"/>
  <c r="H162" i="1"/>
  <c r="I12" i="1"/>
  <c r="Y20" i="2" s="1"/>
  <c r="G12" i="1"/>
  <c r="H12" i="1"/>
  <c r="X20" i="2" s="1"/>
  <c r="F12" i="1"/>
  <c r="H61" i="1"/>
  <c r="I61" i="1"/>
  <c r="G61" i="1"/>
  <c r="F61" i="1"/>
  <c r="V191" i="2" s="1"/>
  <c r="H207" i="1"/>
  <c r="I207" i="1"/>
  <c r="G207" i="1"/>
  <c r="F207" i="1"/>
  <c r="V60" i="2" s="1"/>
  <c r="F159" i="1"/>
  <c r="V148" i="2" s="1"/>
  <c r="H159" i="1"/>
  <c r="X148" i="2" s="1"/>
  <c r="I159" i="1"/>
  <c r="G159" i="1"/>
  <c r="F64" i="1"/>
  <c r="I64" i="1"/>
  <c r="Y95" i="2" s="1"/>
  <c r="G64" i="1"/>
  <c r="H64" i="1"/>
  <c r="W69" i="2" l="1"/>
  <c r="X187" i="2"/>
  <c r="V17" i="2"/>
  <c r="X57" i="2"/>
  <c r="V146" i="2"/>
  <c r="X27" i="2"/>
  <c r="X196" i="2"/>
  <c r="W2" i="2"/>
  <c r="X15" i="2"/>
  <c r="Y60" i="2"/>
  <c r="W191" i="2"/>
  <c r="V91" i="2"/>
  <c r="X161" i="2"/>
  <c r="W67" i="2"/>
  <c r="X152" i="2"/>
  <c r="X87" i="2"/>
  <c r="W79" i="2"/>
  <c r="W137" i="2"/>
  <c r="W34" i="2"/>
  <c r="V2" i="2"/>
  <c r="W71" i="2"/>
  <c r="X79" i="2"/>
  <c r="Y199" i="2"/>
  <c r="V194" i="2"/>
  <c r="X222" i="2"/>
  <c r="Y169" i="2"/>
  <c r="V189" i="2"/>
  <c r="V156" i="2"/>
  <c r="Y227" i="2"/>
  <c r="X17" i="2"/>
  <c r="V58" i="2"/>
  <c r="Y138" i="2"/>
  <c r="Y208" i="2"/>
  <c r="X75" i="2"/>
  <c r="X91" i="2"/>
  <c r="Y65" i="2"/>
  <c r="V159" i="2"/>
  <c r="W146" i="2"/>
  <c r="W9" i="2"/>
  <c r="X160" i="2"/>
  <c r="Y35" i="2"/>
  <c r="V166" i="2"/>
  <c r="X81" i="2"/>
  <c r="X185" i="2"/>
  <c r="W85" i="2"/>
  <c r="Y100" i="2"/>
  <c r="X69" i="2"/>
  <c r="W35" i="2"/>
  <c r="X59" i="2"/>
  <c r="V201" i="2"/>
  <c r="Y193" i="2"/>
  <c r="AM197" i="2"/>
  <c r="W97" i="2"/>
  <c r="Y16" i="2"/>
  <c r="X71" i="2"/>
  <c r="W60" i="2"/>
  <c r="V41" i="2"/>
  <c r="W75" i="2"/>
  <c r="X108" i="2"/>
  <c r="V9" i="2"/>
  <c r="V187" i="2"/>
  <c r="Y216" i="2"/>
  <c r="X19" i="2"/>
  <c r="X28" i="2"/>
  <c r="Y124" i="2"/>
  <c r="X119" i="2"/>
  <c r="V57" i="2"/>
  <c r="Y224" i="2"/>
  <c r="Y219" i="2"/>
  <c r="X149" i="2"/>
  <c r="W107" i="2"/>
  <c r="Y144" i="2"/>
  <c r="W4" i="2"/>
  <c r="W73" i="2"/>
  <c r="X16" i="2"/>
  <c r="W128" i="2"/>
  <c r="W148" i="2"/>
  <c r="Y37" i="2"/>
  <c r="Y158" i="2"/>
  <c r="Y147" i="2"/>
  <c r="Y96" i="2"/>
  <c r="V134" i="2"/>
  <c r="Y123" i="2"/>
  <c r="Y142" i="2"/>
  <c r="X31" i="2"/>
  <c r="Y215" i="2"/>
  <c r="V65" i="2"/>
  <c r="X117" i="2"/>
  <c r="W144" i="2"/>
  <c r="X70" i="2"/>
  <c r="Y44" i="2"/>
  <c r="Y73" i="2"/>
  <c r="W103" i="2"/>
  <c r="W37" i="2"/>
  <c r="V18" i="2"/>
  <c r="V35" i="2"/>
  <c r="X100" i="2"/>
  <c r="W59" i="2"/>
  <c r="Y40" i="2"/>
  <c r="Y98" i="2"/>
  <c r="Y45" i="2"/>
  <c r="X14" i="2"/>
  <c r="W202" i="2"/>
  <c r="V192" i="2"/>
  <c r="X209" i="2"/>
  <c r="X131" i="2"/>
  <c r="W145" i="2"/>
  <c r="Y9" i="2"/>
  <c r="X43" i="2"/>
  <c r="X46" i="2"/>
  <c r="X112" i="2"/>
  <c r="Y207" i="2"/>
  <c r="V220" i="2"/>
  <c r="W49" i="2"/>
  <c r="X35" i="2"/>
  <c r="V132" i="2"/>
  <c r="Y222" i="2"/>
  <c r="W172" i="2"/>
  <c r="V34" i="2"/>
  <c r="W39" i="2"/>
  <c r="Y179" i="2"/>
  <c r="Y113" i="2"/>
  <c r="O162" i="2"/>
  <c r="O155" i="2"/>
  <c r="O7" i="2"/>
  <c r="O174" i="2"/>
  <c r="O195" i="2"/>
  <c r="O71" i="2"/>
  <c r="O13" i="2"/>
  <c r="O124" i="2"/>
  <c r="O181" i="2"/>
  <c r="X215" i="2"/>
  <c r="Y50" i="2"/>
  <c r="O200" i="2"/>
  <c r="V179" i="2"/>
  <c r="W150" i="2"/>
  <c r="Y223" i="2"/>
  <c r="O113" i="2"/>
  <c r="O89" i="2"/>
  <c r="X228" i="2"/>
  <c r="X176" i="2"/>
  <c r="V44" i="2"/>
  <c r="Y71" i="2"/>
  <c r="W209" i="2"/>
  <c r="X127" i="2"/>
  <c r="Y151" i="2"/>
  <c r="O64" i="2"/>
  <c r="V22" i="2"/>
  <c r="X126" i="2"/>
  <c r="O186" i="2"/>
  <c r="V229" i="2"/>
  <c r="O214" i="2"/>
  <c r="O190" i="2"/>
  <c r="O198" i="2"/>
  <c r="V100" i="2"/>
  <c r="W17" i="2"/>
  <c r="X151" i="2"/>
  <c r="Y67" i="2"/>
  <c r="O158" i="2"/>
  <c r="X225" i="2"/>
  <c r="V210" i="2"/>
  <c r="X106" i="2"/>
  <c r="W198" i="2"/>
  <c r="O225" i="2"/>
  <c r="X60" i="2"/>
  <c r="V87" i="2"/>
  <c r="V112" i="2"/>
  <c r="Y189" i="2"/>
  <c r="X34" i="2"/>
  <c r="X197" i="2"/>
  <c r="V123" i="2"/>
  <c r="W171" i="2"/>
  <c r="Y27" i="2"/>
  <c r="AL197" i="2"/>
  <c r="Y34" i="2"/>
  <c r="X41" i="2"/>
  <c r="O183" i="2"/>
  <c r="O108" i="2"/>
  <c r="V8" i="2"/>
  <c r="W169" i="2"/>
  <c r="V103" i="2"/>
  <c r="X175" i="2"/>
  <c r="X101" i="2"/>
  <c r="X205" i="2"/>
  <c r="X157" i="2"/>
  <c r="V43" i="2"/>
  <c r="X200" i="2"/>
  <c r="O210" i="2"/>
  <c r="W8" i="2"/>
  <c r="Y66" i="2"/>
  <c r="X178" i="2"/>
  <c r="V167" i="2"/>
  <c r="X107" i="2"/>
  <c r="X135" i="2"/>
  <c r="W116" i="2"/>
  <c r="O111" i="2"/>
  <c r="O201" i="2"/>
  <c r="Y195" i="2"/>
  <c r="V68" i="2"/>
  <c r="Y18" i="2"/>
  <c r="Y97" i="2"/>
  <c r="X63" i="2"/>
  <c r="X129" i="2"/>
  <c r="O132" i="2"/>
  <c r="V75" i="2"/>
  <c r="Y8" i="2"/>
  <c r="X142" i="2"/>
  <c r="W208" i="2"/>
  <c r="X202" i="2"/>
  <c r="W95" i="2"/>
  <c r="Y183" i="2"/>
  <c r="O68" i="2"/>
  <c r="W210" i="2"/>
  <c r="V145" i="2"/>
  <c r="W205" i="2"/>
  <c r="V113" i="2"/>
  <c r="W195" i="2"/>
  <c r="X68" i="2"/>
  <c r="V133" i="2"/>
  <c r="V228" i="2"/>
  <c r="V199" i="2"/>
  <c r="X11" i="2"/>
  <c r="Y39" i="2"/>
  <c r="W193" i="2"/>
  <c r="V89" i="2"/>
  <c r="V204" i="2"/>
  <c r="V127" i="2"/>
  <c r="AM153" i="2"/>
  <c r="X181" i="2"/>
  <c r="Y69" i="2"/>
  <c r="O211" i="2"/>
  <c r="O154" i="2"/>
  <c r="W88" i="2"/>
  <c r="W118" i="2"/>
  <c r="W158" i="2"/>
  <c r="W51" i="2"/>
  <c r="O74" i="2"/>
  <c r="X18" i="2"/>
  <c r="Y140" i="2"/>
  <c r="W66" i="2"/>
  <c r="X140" i="2"/>
  <c r="W218" i="2"/>
  <c r="W181" i="2"/>
  <c r="X55" i="2"/>
  <c r="Y14" i="2"/>
  <c r="Y204" i="2"/>
  <c r="O41" i="2"/>
  <c r="O86" i="2"/>
  <c r="Y49" i="2"/>
  <c r="Y191" i="2"/>
  <c r="V95" i="2"/>
  <c r="Y24" i="2"/>
  <c r="Y4" i="2"/>
  <c r="Y78" i="2"/>
  <c r="V157" i="2"/>
  <c r="V144" i="2"/>
  <c r="Y171" i="2"/>
  <c r="V104" i="2"/>
  <c r="Y28" i="2"/>
  <c r="Y90" i="2"/>
  <c r="X95" i="2"/>
  <c r="W45" i="2"/>
  <c r="X39" i="2"/>
  <c r="Y85" i="2"/>
  <c r="Y25" i="2"/>
  <c r="W178" i="2"/>
  <c r="W18" i="2"/>
  <c r="W74" i="2"/>
  <c r="V27" i="2"/>
  <c r="Y197" i="2"/>
  <c r="X194" i="2"/>
  <c r="W147" i="2"/>
  <c r="X141" i="2"/>
  <c r="V137" i="2"/>
  <c r="Y156" i="2"/>
  <c r="V169" i="2"/>
  <c r="Y164" i="2"/>
  <c r="X103" i="2"/>
  <c r="V158" i="2"/>
  <c r="O39" i="2"/>
  <c r="O223" i="2"/>
  <c r="O148" i="2"/>
  <c r="W24" i="2"/>
  <c r="V135" i="2"/>
  <c r="V97" i="2"/>
  <c r="V25" i="2"/>
  <c r="Y91" i="2"/>
  <c r="Y167" i="2"/>
  <c r="W162" i="2"/>
  <c r="X21" i="2"/>
  <c r="W55" i="2"/>
  <c r="X29" i="2"/>
  <c r="V171" i="2"/>
  <c r="V23" i="2"/>
  <c r="V11" i="2"/>
  <c r="W48" i="2"/>
  <c r="X144" i="2"/>
  <c r="Y150" i="2"/>
  <c r="X138" i="2"/>
  <c r="V140" i="2"/>
  <c r="Y76" i="2"/>
  <c r="V28" i="2"/>
  <c r="X5" i="2"/>
  <c r="V86" i="2"/>
  <c r="X227" i="2"/>
  <c r="Y190" i="2"/>
  <c r="Y196" i="2"/>
  <c r="Y175" i="2"/>
  <c r="V193" i="2"/>
  <c r="Y203" i="2"/>
  <c r="Y172" i="2"/>
  <c r="O34" i="2"/>
  <c r="O97" i="2"/>
  <c r="V149" i="2"/>
  <c r="W56" i="2"/>
  <c r="Y166" i="2"/>
  <c r="W221" i="2"/>
  <c r="Y83" i="2"/>
  <c r="Y218" i="2"/>
  <c r="W229" i="2"/>
  <c r="Y118" i="2"/>
  <c r="W133" i="2"/>
  <c r="W196" i="2"/>
  <c r="Y162" i="2"/>
  <c r="X2" i="2"/>
  <c r="W184" i="2"/>
  <c r="X132" i="2"/>
  <c r="W5" i="2"/>
  <c r="V38" i="2"/>
  <c r="X116" i="2"/>
  <c r="X201" i="2"/>
  <c r="V14" i="2"/>
  <c r="Y68" i="2"/>
  <c r="X190" i="2"/>
  <c r="W166" i="2"/>
  <c r="V49" i="2"/>
  <c r="Y38" i="2"/>
  <c r="W38" i="2"/>
  <c r="V76" i="2"/>
  <c r="X226" i="2"/>
  <c r="V207" i="2"/>
  <c r="O202" i="2"/>
  <c r="V119" i="2"/>
  <c r="Y133" i="2"/>
  <c r="W207" i="2"/>
  <c r="V130" i="2"/>
  <c r="Y101" i="2"/>
  <c r="X113" i="2"/>
  <c r="W57" i="2"/>
  <c r="X223" i="2"/>
  <c r="O133" i="2"/>
  <c r="O153" i="2"/>
  <c r="O20" i="2"/>
  <c r="O101" i="2"/>
  <c r="O81" i="2"/>
  <c r="O77" i="2"/>
  <c r="O95" i="2"/>
  <c r="O3" i="2"/>
  <c r="O25" i="2"/>
  <c r="O139" i="2"/>
  <c r="Y209" i="2"/>
  <c r="V184" i="2"/>
  <c r="Y23" i="2"/>
  <c r="X143" i="2"/>
  <c r="Y41" i="2"/>
  <c r="W177" i="2"/>
  <c r="W15" i="2"/>
  <c r="Y153" i="2"/>
  <c r="X111" i="2"/>
  <c r="X168" i="2"/>
  <c r="W215" i="2"/>
  <c r="W115" i="2"/>
  <c r="O85" i="2"/>
  <c r="O166" i="2"/>
  <c r="O194" i="2"/>
  <c r="O105" i="2"/>
  <c r="O37" i="2"/>
  <c r="O150" i="2"/>
  <c r="O121" i="2"/>
  <c r="O12" i="2"/>
  <c r="O75" i="2"/>
  <c r="X45" i="2"/>
  <c r="X206" i="2"/>
  <c r="X183" i="2"/>
  <c r="W189" i="2"/>
  <c r="V154" i="2"/>
  <c r="Y157" i="2"/>
  <c r="W190" i="2"/>
  <c r="Y58" i="2"/>
  <c r="V4" i="2"/>
  <c r="W104" i="2"/>
  <c r="X154" i="2"/>
  <c r="O140" i="2"/>
  <c r="O14" i="2"/>
  <c r="O16" i="2"/>
  <c r="O170" i="2"/>
  <c r="O54" i="2"/>
  <c r="O84" i="2"/>
  <c r="O221" i="2"/>
  <c r="O58" i="2"/>
  <c r="X173" i="2"/>
  <c r="W68" i="2"/>
  <c r="X210" i="2"/>
  <c r="X54" i="2"/>
  <c r="Y154" i="2"/>
  <c r="W46" i="2"/>
  <c r="X170" i="2"/>
  <c r="X83" i="2"/>
  <c r="V203" i="2"/>
  <c r="V59" i="2"/>
  <c r="W219" i="2"/>
  <c r="W214" i="2"/>
  <c r="X52" i="2"/>
  <c r="X12" i="2"/>
  <c r="Y51" i="2"/>
  <c r="W154" i="2"/>
  <c r="O4" i="2"/>
  <c r="O69" i="2"/>
  <c r="O52" i="2"/>
  <c r="O57" i="2"/>
  <c r="O8" i="2"/>
  <c r="O28" i="2"/>
  <c r="O87" i="2"/>
  <c r="O98" i="2"/>
  <c r="O47" i="2"/>
  <c r="W156" i="2"/>
  <c r="X199" i="2"/>
  <c r="Y102" i="2"/>
  <c r="Y210" i="2"/>
  <c r="W155" i="2"/>
  <c r="W135" i="2"/>
  <c r="W50" i="2"/>
  <c r="W168" i="2"/>
  <c r="Y226" i="2"/>
  <c r="W174" i="2"/>
  <c r="W84" i="2"/>
  <c r="O144" i="2"/>
  <c r="O227" i="2"/>
  <c r="O207" i="2"/>
  <c r="O177" i="2"/>
  <c r="O168" i="2"/>
  <c r="O179" i="2"/>
  <c r="O216" i="2"/>
  <c r="O119" i="2"/>
  <c r="O163" i="2"/>
  <c r="W117" i="2"/>
  <c r="W224" i="2"/>
  <c r="X92" i="2"/>
  <c r="W23" i="2"/>
  <c r="W58" i="2"/>
  <c r="X128" i="2"/>
  <c r="W42" i="2"/>
  <c r="O117" i="2"/>
  <c r="O212" i="2"/>
  <c r="O90" i="2"/>
  <c r="O141" i="2"/>
  <c r="O138" i="2"/>
  <c r="O38" i="2"/>
  <c r="O31" i="2"/>
  <c r="O103" i="2"/>
  <c r="W120" i="2"/>
  <c r="Y161" i="2"/>
  <c r="Y7" i="2"/>
  <c r="X180" i="2"/>
  <c r="Y129" i="2"/>
  <c r="AM223" i="2"/>
  <c r="AM102" i="2"/>
  <c r="Y163" i="2"/>
  <c r="Y110" i="2"/>
  <c r="O199" i="2"/>
  <c r="O106" i="2"/>
  <c r="O99" i="2"/>
  <c r="O36" i="2"/>
  <c r="O160" i="2"/>
  <c r="O82" i="2"/>
  <c r="O197" i="2"/>
  <c r="O185" i="2"/>
  <c r="O209" i="2"/>
  <c r="W70" i="2"/>
  <c r="Y131" i="2"/>
  <c r="W123" i="2"/>
  <c r="Y106" i="2"/>
  <c r="X220" i="2"/>
  <c r="AL102" i="2"/>
  <c r="X96" i="2"/>
  <c r="W72" i="2"/>
  <c r="W113" i="2"/>
  <c r="Y229" i="2"/>
  <c r="O193" i="2"/>
  <c r="O130" i="2"/>
  <c r="O5" i="2"/>
  <c r="O149" i="2"/>
  <c r="O48" i="2"/>
  <c r="O165" i="2"/>
  <c r="Y225" i="2"/>
  <c r="Y212" i="2"/>
  <c r="V77" i="2"/>
  <c r="W86" i="2"/>
  <c r="W192" i="2"/>
  <c r="V20" i="2"/>
  <c r="X66" i="2"/>
  <c r="V117" i="2"/>
  <c r="W102" i="2"/>
  <c r="W47" i="2"/>
  <c r="V136" i="2"/>
  <c r="W159" i="2"/>
  <c r="W216" i="2"/>
  <c r="X219" i="2"/>
  <c r="W200" i="2"/>
  <c r="Y12" i="2"/>
  <c r="Y221" i="2"/>
  <c r="Y205" i="2"/>
  <c r="O76" i="2"/>
  <c r="O118" i="2"/>
  <c r="O136" i="2"/>
  <c r="O205" i="2"/>
  <c r="O92" i="2"/>
  <c r="O27" i="2"/>
  <c r="O70" i="2"/>
  <c r="O24" i="2"/>
  <c r="O46" i="2"/>
  <c r="W63" i="2"/>
  <c r="Y31" i="2"/>
  <c r="X67" i="2"/>
  <c r="Y80" i="2"/>
  <c r="X51" i="2"/>
  <c r="V195" i="2"/>
  <c r="X212" i="2"/>
  <c r="X133" i="2"/>
  <c r="X90" i="2"/>
  <c r="W217" i="2"/>
  <c r="W83" i="2"/>
  <c r="X198" i="2"/>
  <c r="W96" i="2"/>
  <c r="V175" i="2"/>
  <c r="W126" i="2"/>
  <c r="X163" i="2"/>
  <c r="W77" i="2"/>
  <c r="W152" i="2"/>
  <c r="W108" i="2"/>
  <c r="O125" i="2"/>
  <c r="O42" i="2"/>
  <c r="O129" i="2"/>
  <c r="O21" i="2"/>
  <c r="O182" i="2"/>
  <c r="O169" i="2"/>
  <c r="O17" i="2"/>
  <c r="X48" i="2"/>
  <c r="V85" i="2"/>
  <c r="X164" i="2"/>
  <c r="W94" i="2"/>
  <c r="W228" i="2"/>
  <c r="X89" i="2"/>
  <c r="Y72" i="2"/>
  <c r="V99" i="2"/>
  <c r="Y46" i="2"/>
  <c r="W180" i="2"/>
  <c r="O53" i="2"/>
  <c r="O131" i="2"/>
  <c r="O164" i="2"/>
  <c r="O220" i="2"/>
  <c r="O128" i="2"/>
  <c r="O126" i="2"/>
  <c r="O224" i="2"/>
  <c r="O104" i="2"/>
  <c r="X37" i="2"/>
  <c r="V101" i="2"/>
  <c r="Y187" i="2"/>
  <c r="Y130" i="2"/>
  <c r="Y105" i="2"/>
  <c r="V88" i="2"/>
  <c r="V120" i="2"/>
  <c r="V131" i="2"/>
  <c r="W100" i="2"/>
  <c r="Y145" i="2"/>
  <c r="W183" i="2"/>
  <c r="W114" i="2"/>
  <c r="Y198" i="2"/>
  <c r="O102" i="2"/>
  <c r="O159" i="2"/>
  <c r="O109" i="2"/>
  <c r="O67" i="2"/>
  <c r="O43" i="2"/>
  <c r="O178" i="2"/>
  <c r="X122" i="2"/>
  <c r="X114" i="2"/>
  <c r="Y99" i="2"/>
  <c r="X58" i="2"/>
  <c r="V33" i="2"/>
  <c r="Y42" i="2"/>
  <c r="V121" i="2"/>
  <c r="W65" i="2"/>
  <c r="Y59" i="2"/>
  <c r="V83" i="2"/>
  <c r="W26" i="2"/>
  <c r="Y13" i="2"/>
  <c r="Y56" i="2"/>
  <c r="O161" i="2"/>
  <c r="O115" i="2"/>
  <c r="O187" i="2"/>
  <c r="O110" i="2"/>
  <c r="O18" i="2"/>
  <c r="O88" i="2"/>
  <c r="O32" i="2"/>
  <c r="O93" i="2"/>
  <c r="W14" i="2"/>
  <c r="W52" i="2"/>
  <c r="Y89" i="2"/>
  <c r="Y168" i="2"/>
  <c r="X195" i="2"/>
  <c r="Y127" i="2"/>
  <c r="V47" i="2"/>
  <c r="X82" i="2"/>
  <c r="X72" i="2"/>
  <c r="X147" i="2"/>
  <c r="V37" i="2"/>
  <c r="X146" i="2"/>
  <c r="AL153" i="2"/>
  <c r="X78" i="2"/>
  <c r="Y3" i="2"/>
  <c r="O72" i="2"/>
  <c r="O83" i="2"/>
  <c r="O66" i="2"/>
  <c r="O60" i="2"/>
  <c r="O45" i="2"/>
  <c r="O218" i="2"/>
  <c r="O219" i="2"/>
  <c r="O229" i="2"/>
  <c r="W179" i="2"/>
  <c r="X221" i="2"/>
  <c r="X105" i="2"/>
  <c r="W78" i="2"/>
  <c r="W91" i="2"/>
  <c r="X191" i="2"/>
  <c r="V105" i="2"/>
  <c r="V107" i="2"/>
  <c r="V129" i="2"/>
  <c r="X153" i="2"/>
  <c r="Y170" i="2"/>
  <c r="O147" i="2"/>
  <c r="O11" i="2"/>
  <c r="O51" i="2"/>
  <c r="O176" i="2"/>
  <c r="O127" i="2"/>
  <c r="O143" i="2"/>
  <c r="O29" i="2"/>
  <c r="O206" i="2"/>
  <c r="X208" i="2"/>
  <c r="V110" i="2"/>
  <c r="X218" i="2"/>
  <c r="O30" i="2"/>
  <c r="X118" i="2"/>
  <c r="Y214" i="2"/>
  <c r="AL196" i="2"/>
  <c r="W31" i="2"/>
  <c r="W13" i="2"/>
  <c r="Y29" i="2"/>
  <c r="O26" i="2"/>
  <c r="O152" i="2"/>
  <c r="O73" i="2"/>
  <c r="O156" i="2"/>
  <c r="O135" i="2"/>
  <c r="O56" i="2"/>
  <c r="O215" i="2"/>
  <c r="O91" i="2"/>
  <c r="X214" i="2"/>
  <c r="X134" i="2"/>
  <c r="V115" i="2"/>
  <c r="V227" i="2"/>
  <c r="Y48" i="2"/>
  <c r="W153" i="2"/>
  <c r="X193" i="2"/>
  <c r="Y22" i="2"/>
  <c r="W98" i="2"/>
  <c r="O222" i="2"/>
  <c r="O142" i="2"/>
  <c r="O167" i="2"/>
  <c r="O19" i="2"/>
  <c r="O175" i="2"/>
  <c r="O80" i="2"/>
  <c r="O94" i="2"/>
  <c r="O40" i="2"/>
  <c r="O145" i="2"/>
  <c r="O151" i="2"/>
  <c r="Y139" i="2"/>
  <c r="W129" i="2"/>
  <c r="W138" i="2"/>
  <c r="X165" i="2"/>
  <c r="W19" i="2"/>
  <c r="Y57" i="2"/>
  <c r="Y79" i="2"/>
  <c r="Y220" i="2"/>
  <c r="Y54" i="2"/>
  <c r="W222" i="2"/>
  <c r="Y53" i="2"/>
  <c r="X182" i="2"/>
  <c r="Y117" i="2"/>
  <c r="Y21" i="2"/>
  <c r="V62" i="2"/>
  <c r="V16" i="2"/>
  <c r="X3" i="2"/>
  <c r="W223" i="2"/>
  <c r="Y213" i="2"/>
  <c r="X22" i="2"/>
  <c r="O184" i="2"/>
  <c r="O189" i="2"/>
  <c r="O10" i="2"/>
  <c r="O112" i="2"/>
  <c r="Y165" i="2"/>
  <c r="W62" i="2"/>
  <c r="X124" i="2"/>
  <c r="Y184" i="2"/>
  <c r="W197" i="2"/>
  <c r="W199" i="2"/>
  <c r="X110" i="2"/>
  <c r="W111" i="2"/>
  <c r="Y94" i="2"/>
  <c r="W131" i="2"/>
  <c r="W21" i="2"/>
  <c r="Y121" i="2"/>
  <c r="W143" i="2"/>
  <c r="X211" i="2"/>
  <c r="X38" i="2"/>
  <c r="W125" i="2"/>
  <c r="W32" i="2"/>
  <c r="Y30" i="2"/>
  <c r="O171" i="2"/>
  <c r="O196" i="2"/>
  <c r="O62" i="2"/>
  <c r="O15" i="2"/>
  <c r="O6" i="2"/>
  <c r="O217" i="2"/>
  <c r="O23" i="2"/>
  <c r="O134" i="2"/>
  <c r="O116" i="2"/>
  <c r="O22" i="2"/>
  <c r="Y200" i="2"/>
  <c r="Y141" i="2"/>
  <c r="W203" i="2"/>
  <c r="Y188" i="2"/>
  <c r="V198" i="2"/>
  <c r="Y137" i="2"/>
  <c r="V118" i="2"/>
  <c r="X123" i="2"/>
  <c r="W165" i="2"/>
  <c r="X177" i="2"/>
  <c r="W141" i="2"/>
  <c r="V224" i="2"/>
  <c r="W127" i="2"/>
  <c r="V70" i="2"/>
  <c r="Y77" i="2"/>
  <c r="Y63" i="2"/>
  <c r="O96" i="2"/>
  <c r="O35" i="2"/>
  <c r="O172" i="2"/>
  <c r="O122" i="2"/>
  <c r="O63" i="2"/>
  <c r="Y5" i="2"/>
  <c r="Y182" i="2"/>
  <c r="W134" i="2"/>
  <c r="V5" i="2"/>
  <c r="V165" i="2"/>
  <c r="V182" i="2"/>
  <c r="V178" i="2"/>
  <c r="X65" i="2"/>
  <c r="W201" i="2"/>
  <c r="V185" i="2"/>
  <c r="Y115" i="2"/>
  <c r="W90" i="2"/>
  <c r="W106" i="2"/>
  <c r="V94" i="2"/>
  <c r="X179" i="2"/>
  <c r="V84" i="2"/>
  <c r="W185" i="2"/>
  <c r="X162" i="2"/>
  <c r="AM125" i="2"/>
  <c r="Y70" i="2"/>
  <c r="X125" i="2"/>
  <c r="X80" i="2"/>
  <c r="AM3" i="2"/>
  <c r="O146" i="2"/>
  <c r="O100" i="2"/>
  <c r="O203" i="2"/>
  <c r="O213" i="2"/>
  <c r="O123" i="2"/>
  <c r="O188" i="2"/>
  <c r="Y19" i="2"/>
  <c r="Y15" i="2"/>
  <c r="Y26" i="2"/>
  <c r="X98" i="2"/>
  <c r="Y185" i="2"/>
  <c r="X167" i="2"/>
  <c r="W194" i="2"/>
  <c r="W187" i="2"/>
  <c r="X86" i="2"/>
  <c r="W110" i="2"/>
  <c r="V82" i="2"/>
  <c r="W81" i="2"/>
  <c r="O228" i="2"/>
  <c r="O33" i="2"/>
  <c r="O65" i="2"/>
  <c r="O9" i="2"/>
  <c r="O55" i="2"/>
  <c r="O50" i="2"/>
  <c r="X159" i="2"/>
  <c r="V29" i="2"/>
  <c r="V223" i="2"/>
  <c r="Y146" i="2"/>
  <c r="X204" i="2"/>
  <c r="W160" i="2"/>
  <c r="Y104" i="2"/>
  <c r="W182" i="2"/>
  <c r="W176" i="2"/>
  <c r="V124" i="2"/>
  <c r="V177" i="2"/>
  <c r="W157" i="2"/>
  <c r="Y33" i="2"/>
  <c r="V74" i="2"/>
  <c r="X49" i="2"/>
  <c r="X217" i="2"/>
  <c r="X186" i="2"/>
  <c r="Y52" i="2"/>
  <c r="X76" i="2"/>
  <c r="O173" i="2"/>
  <c r="O59" i="2"/>
  <c r="O191" i="2"/>
  <c r="W16" i="2"/>
  <c r="Y148" i="2"/>
  <c r="Y176" i="2"/>
  <c r="W44" i="2"/>
  <c r="Y61" i="2"/>
  <c r="W212" i="2"/>
  <c r="Y86" i="2"/>
  <c r="X47" i="2"/>
  <c r="V150" i="2"/>
  <c r="Y17" i="2"/>
  <c r="V142" i="2"/>
  <c r="X192" i="2"/>
  <c r="V114" i="2"/>
  <c r="Y88" i="2"/>
  <c r="X130" i="2"/>
  <c r="AL71" i="2"/>
  <c r="Y211" i="2"/>
  <c r="AM13" i="2"/>
  <c r="X30" i="2"/>
  <c r="X13" i="2"/>
  <c r="X33" i="2"/>
  <c r="W204" i="2"/>
  <c r="Y186" i="2"/>
  <c r="W206" i="2"/>
  <c r="O208" i="2"/>
  <c r="O137" i="2"/>
  <c r="O44" i="2"/>
  <c r="O157" i="2"/>
  <c r="O49" i="2"/>
  <c r="O180" i="2"/>
  <c r="V202" i="2"/>
  <c r="W25" i="2"/>
  <c r="Y32" i="2"/>
  <c r="W43" i="2"/>
  <c r="V61" i="2"/>
  <c r="W20" i="2"/>
  <c r="X136" i="2"/>
  <c r="X61" i="2"/>
  <c r="V19" i="2"/>
  <c r="X23" i="2"/>
  <c r="X150" i="2"/>
  <c r="V21" i="2"/>
  <c r="W173" i="2"/>
  <c r="V147" i="2"/>
  <c r="V143" i="2"/>
  <c r="AM71" i="2"/>
  <c r="W99" i="2"/>
  <c r="X224" i="2"/>
  <c r="Y206" i="2"/>
  <c r="W54" i="2"/>
  <c r="X99" i="2"/>
  <c r="O120" i="2"/>
  <c r="O79" i="2"/>
  <c r="O114" i="2"/>
  <c r="O2" i="2"/>
  <c r="O204" i="2"/>
  <c r="O107" i="2"/>
  <c r="O78" i="2"/>
  <c r="O192" i="2"/>
  <c r="O226" i="2"/>
  <c r="O61" i="2"/>
  <c r="X4" i="2"/>
  <c r="Y135" i="2"/>
  <c r="Y111" i="2"/>
  <c r="W132" i="2"/>
  <c r="V46" i="1"/>
  <c r="V213" i="2"/>
  <c r="V17" i="1"/>
  <c r="V67" i="2"/>
  <c r="V93" i="1"/>
  <c r="V215" i="2"/>
  <c r="W76" i="1"/>
  <c r="AM90" i="2" s="1"/>
  <c r="V128" i="2"/>
  <c r="V219" i="1"/>
  <c r="V226" i="2"/>
  <c r="W73" i="1"/>
  <c r="V92" i="2"/>
  <c r="V170" i="1"/>
  <c r="V53" i="2"/>
  <c r="W177" i="1"/>
  <c r="V26" i="2"/>
  <c r="W74" i="1"/>
  <c r="V12" i="2"/>
  <c r="V127" i="1"/>
  <c r="V31" i="2"/>
  <c r="W53" i="1"/>
  <c r="V126" i="2"/>
  <c r="V125" i="1"/>
  <c r="V172" i="2"/>
  <c r="V114" i="1"/>
  <c r="V209" i="2"/>
  <c r="V27" i="1"/>
  <c r="V54" i="2"/>
  <c r="W47" i="1"/>
  <c r="AM168" i="2" s="1"/>
  <c r="V168" i="2"/>
  <c r="W129" i="1"/>
  <c r="V108" i="2"/>
  <c r="W152" i="1"/>
  <c r="V81" i="2"/>
  <c r="V117" i="1"/>
  <c r="V98" i="2"/>
  <c r="V119" i="1"/>
  <c r="V116" i="2"/>
  <c r="W153" i="1"/>
  <c r="V152" i="2"/>
  <c r="W215" i="1"/>
  <c r="AM72" i="2" s="1"/>
  <c r="V72" i="2"/>
  <c r="V22" i="1"/>
  <c r="AL42" i="2" s="1"/>
  <c r="V42" i="2"/>
  <c r="W38" i="1"/>
  <c r="V106" i="2"/>
  <c r="V173" i="1"/>
  <c r="V96" i="2"/>
  <c r="V48" i="1"/>
  <c r="V205" i="2"/>
  <c r="W54" i="1"/>
  <c r="V163" i="2"/>
  <c r="W28" i="1"/>
  <c r="V78" i="2"/>
  <c r="W178" i="1"/>
  <c r="V15" i="2"/>
  <c r="W201" i="1"/>
  <c r="V200" i="2"/>
  <c r="W218" i="1"/>
  <c r="V222" i="2"/>
  <c r="V168" i="1"/>
  <c r="V206" i="2"/>
  <c r="W194" i="1"/>
  <c r="V40" i="2"/>
  <c r="V197" i="1"/>
  <c r="V180" i="2"/>
  <c r="V138" i="1"/>
  <c r="V183" i="2"/>
  <c r="V68" i="1"/>
  <c r="V164" i="2"/>
  <c r="W216" i="1"/>
  <c r="AM196" i="2" s="1"/>
  <c r="V45" i="2"/>
  <c r="V4" i="1"/>
  <c r="AL73" i="2" s="1"/>
  <c r="V218" i="2"/>
  <c r="W63" i="1"/>
  <c r="V52" i="2"/>
  <c r="V14" i="1"/>
  <c r="AL138" i="2" s="1"/>
  <c r="V138" i="2"/>
  <c r="V172" i="1"/>
  <c r="AL221" i="2" s="1"/>
  <c r="V221" i="2"/>
  <c r="V5" i="1"/>
  <c r="V188" i="2"/>
  <c r="V225" i="1"/>
  <c r="V30" i="2"/>
  <c r="V122" i="1"/>
  <c r="V50" i="2"/>
  <c r="V217" i="1"/>
  <c r="V32" i="2"/>
  <c r="W103" i="1"/>
  <c r="V63" i="2"/>
  <c r="W77" i="1"/>
  <c r="V51" i="2"/>
  <c r="W171" i="1"/>
  <c r="AM101" i="2" s="1"/>
  <c r="V46" i="2"/>
  <c r="V187" i="1"/>
  <c r="AL64" i="2" s="1"/>
  <c r="V48" i="2"/>
  <c r="W98" i="1"/>
  <c r="V181" i="2"/>
  <c r="W154" i="1"/>
  <c r="V170" i="2"/>
  <c r="X197" i="1"/>
  <c r="AN180" i="2" s="1"/>
  <c r="Y180" i="2"/>
  <c r="V42" i="1"/>
  <c r="V186" i="2"/>
  <c r="W44" i="1"/>
  <c r="AM214" i="2" s="1"/>
  <c r="V214" i="2"/>
  <c r="V95" i="1"/>
  <c r="V155" i="2"/>
  <c r="W66" i="1"/>
  <c r="V69" i="2"/>
  <c r="V90" i="1"/>
  <c r="V151" i="2"/>
  <c r="V29" i="1"/>
  <c r="V111" i="2"/>
  <c r="W45" i="1"/>
  <c r="V56" i="2"/>
  <c r="W197" i="1"/>
  <c r="V101" i="1"/>
  <c r="V80" i="2"/>
  <c r="V185" i="1"/>
  <c r="AL174" i="2" s="1"/>
  <c r="V174" i="2"/>
  <c r="X226" i="1"/>
  <c r="V44" i="1"/>
  <c r="X114" i="1"/>
  <c r="X163" i="1"/>
  <c r="V153" i="1"/>
  <c r="V178" i="1"/>
  <c r="X48" i="1"/>
  <c r="V38" i="1"/>
  <c r="AL106" i="2" s="1"/>
  <c r="X98" i="1"/>
  <c r="X153" i="1"/>
  <c r="W4" i="1"/>
  <c r="AM73" i="2" s="1"/>
  <c r="X170" i="1"/>
  <c r="X47" i="1"/>
  <c r="X185" i="1"/>
  <c r="X76" i="1"/>
  <c r="V194" i="1"/>
  <c r="AL40" i="2" s="1"/>
  <c r="X29" i="1"/>
  <c r="X74" i="1"/>
  <c r="X77" i="1"/>
  <c r="X78" i="1"/>
  <c r="W217" i="1"/>
  <c r="X154" i="1"/>
  <c r="W22" i="1"/>
  <c r="AM42" i="2" s="1"/>
  <c r="X110" i="1"/>
  <c r="X100" i="1"/>
  <c r="X4" i="1"/>
  <c r="W225" i="1"/>
  <c r="X57" i="1"/>
  <c r="W5" i="1"/>
  <c r="AM188" i="2" s="1"/>
  <c r="X66" i="1"/>
  <c r="X215" i="1"/>
  <c r="W117" i="1"/>
  <c r="X45" i="1"/>
  <c r="X91" i="1"/>
  <c r="W14" i="1"/>
  <c r="AM138" i="2" s="1"/>
  <c r="X72" i="1"/>
  <c r="X191" i="1"/>
  <c r="X97" i="1"/>
  <c r="X55" i="1"/>
  <c r="X178" i="1"/>
  <c r="X42" i="1"/>
  <c r="X35" i="1"/>
  <c r="W172" i="1"/>
  <c r="X168" i="1"/>
  <c r="X117" i="1"/>
  <c r="W127" i="1"/>
  <c r="X145" i="1"/>
  <c r="X167" i="1"/>
  <c r="X44" i="1"/>
  <c r="X179" i="1"/>
  <c r="X93" i="1"/>
  <c r="X37" i="1"/>
  <c r="X136" i="1"/>
  <c r="X105" i="1"/>
  <c r="X122" i="1"/>
  <c r="X134" i="1"/>
  <c r="X61" i="1"/>
  <c r="X23" i="1"/>
  <c r="X53" i="1"/>
  <c r="X172" i="1"/>
  <c r="V216" i="1"/>
  <c r="W48" i="1"/>
  <c r="V152" i="1"/>
  <c r="W168" i="1"/>
  <c r="X96" i="1"/>
  <c r="W17" i="1"/>
  <c r="W219" i="1"/>
  <c r="X68" i="1"/>
  <c r="X219" i="1"/>
  <c r="X223" i="1"/>
  <c r="X21" i="1"/>
  <c r="V47" i="1"/>
  <c r="AL168" i="2" s="1"/>
  <c r="X169" i="1"/>
  <c r="X195" i="1"/>
  <c r="X152" i="1"/>
  <c r="X14" i="1"/>
  <c r="X177" i="1"/>
  <c r="X175" i="1"/>
  <c r="X173" i="1"/>
  <c r="X217" i="1"/>
  <c r="X225" i="1"/>
  <c r="V28" i="1"/>
  <c r="X90" i="1"/>
  <c r="X32" i="1"/>
  <c r="V201" i="1"/>
  <c r="V54" i="1"/>
  <c r="X171" i="1"/>
  <c r="X202" i="1"/>
  <c r="W68" i="1"/>
  <c r="AM164" i="2" s="1"/>
  <c r="W125" i="1"/>
  <c r="W173" i="1"/>
  <c r="AM96" i="2" s="1"/>
  <c r="V73" i="1"/>
  <c r="W138" i="1"/>
  <c r="X31" i="1"/>
  <c r="X218" i="1"/>
  <c r="X129" i="1"/>
  <c r="W27" i="1"/>
  <c r="V218" i="1"/>
  <c r="W90" i="1"/>
  <c r="AM151" i="2" s="1"/>
  <c r="X54" i="1"/>
  <c r="X51" i="1"/>
  <c r="X103" i="1"/>
  <c r="W93" i="1"/>
  <c r="AM215" i="2" s="1"/>
  <c r="V66" i="1"/>
  <c r="AL69" i="2" s="1"/>
  <c r="X28" i="1"/>
  <c r="X111" i="1"/>
  <c r="X206" i="1"/>
  <c r="X198" i="1"/>
  <c r="X133" i="1"/>
  <c r="X83" i="1"/>
  <c r="X18" i="1"/>
  <c r="X101" i="1"/>
  <c r="AN80" i="2" s="1"/>
  <c r="X174" i="1"/>
  <c r="X193" i="1"/>
  <c r="X130" i="1"/>
  <c r="AN139" i="2" s="1"/>
  <c r="X190" i="1"/>
  <c r="X112" i="1"/>
  <c r="V45" i="1"/>
  <c r="V146" i="1"/>
  <c r="AL3" i="2" s="1"/>
  <c r="W119" i="1"/>
  <c r="X220" i="1"/>
  <c r="X60" i="1"/>
  <c r="X189" i="1"/>
  <c r="X20" i="1"/>
  <c r="X50" i="1"/>
  <c r="AN104" i="2" s="1"/>
  <c r="X52" i="1"/>
  <c r="X125" i="1"/>
  <c r="X63" i="1"/>
  <c r="W114" i="1"/>
  <c r="X146" i="1"/>
  <c r="X208" i="1"/>
  <c r="V74" i="1"/>
  <c r="V53" i="1"/>
  <c r="V129" i="1"/>
  <c r="X216" i="1"/>
  <c r="W29" i="1"/>
  <c r="X70" i="1"/>
  <c r="AN190" i="2" s="1"/>
  <c r="X71" i="1"/>
  <c r="X106" i="1"/>
  <c r="X9" i="1"/>
  <c r="AN219" i="2" s="1"/>
  <c r="X119" i="1"/>
  <c r="X165" i="1"/>
  <c r="W101" i="1"/>
  <c r="AM80" i="2" s="1"/>
  <c r="X142" i="1"/>
  <c r="X199" i="1"/>
  <c r="V215" i="1"/>
  <c r="V154" i="1"/>
  <c r="X19" i="1"/>
  <c r="X43" i="1"/>
  <c r="AN25" i="2" s="1"/>
  <c r="X205" i="1"/>
  <c r="AN124" i="2" s="1"/>
  <c r="X147" i="1"/>
  <c r="AN95" i="2" s="1"/>
  <c r="V76" i="1"/>
  <c r="AL90" i="2" s="1"/>
  <c r="X2" i="1"/>
  <c r="X86" i="1"/>
  <c r="W170" i="1"/>
  <c r="X150" i="1"/>
  <c r="X104" i="1"/>
  <c r="X127" i="1"/>
  <c r="X188" i="1"/>
  <c r="X36" i="1"/>
  <c r="X108" i="1"/>
  <c r="AN2" i="2" s="1"/>
  <c r="X207" i="1"/>
  <c r="X161" i="1"/>
  <c r="X184" i="1"/>
  <c r="X67" i="1"/>
  <c r="X49" i="1"/>
  <c r="X30" i="1"/>
  <c r="W46" i="1"/>
  <c r="AM213" i="2" s="1"/>
  <c r="X27" i="1"/>
  <c r="V98" i="1"/>
  <c r="V171" i="1"/>
  <c r="X200" i="1"/>
  <c r="W42" i="1"/>
  <c r="X176" i="1"/>
  <c r="AN160" i="2" s="1"/>
  <c r="X158" i="1"/>
  <c r="X123" i="1"/>
  <c r="X124" i="1"/>
  <c r="W185" i="1"/>
  <c r="X17" i="1"/>
  <c r="X22" i="1"/>
  <c r="V177" i="1"/>
  <c r="X201" i="1"/>
  <c r="X148" i="1"/>
  <c r="W95" i="1"/>
  <c r="X135" i="1"/>
  <c r="X211" i="1"/>
  <c r="X7" i="1"/>
  <c r="AN216" i="2" s="1"/>
  <c r="W187" i="1"/>
  <c r="AM48" i="2" s="1"/>
  <c r="V103" i="1"/>
  <c r="AL63" i="2" s="1"/>
  <c r="W122" i="1"/>
  <c r="V77" i="1"/>
  <c r="X203" i="1"/>
  <c r="AN120" i="2" s="1"/>
  <c r="X46" i="1"/>
  <c r="X26" i="1"/>
  <c r="X94" i="1"/>
  <c r="AN6" i="2" s="1"/>
  <c r="V63" i="1"/>
  <c r="X138" i="1"/>
  <c r="X128" i="1"/>
  <c r="X180" i="1"/>
  <c r="X156" i="1"/>
  <c r="X187" i="1"/>
  <c r="V196" i="1"/>
  <c r="W196" i="1"/>
  <c r="W202" i="1"/>
  <c r="V202" i="1"/>
  <c r="W123" i="1"/>
  <c r="V123" i="1"/>
  <c r="W128" i="1"/>
  <c r="V128" i="1"/>
  <c r="AL114" i="2" s="1"/>
  <c r="W207" i="1"/>
  <c r="V207" i="1"/>
  <c r="AL60" i="2" s="1"/>
  <c r="W151" i="1"/>
  <c r="V151" i="1"/>
  <c r="V192" i="1"/>
  <c r="W192" i="1"/>
  <c r="W20" i="1"/>
  <c r="V20" i="1"/>
  <c r="AL173" i="2" s="1"/>
  <c r="X99" i="1"/>
  <c r="W87" i="1"/>
  <c r="V87" i="1"/>
  <c r="AL8" i="2" s="1"/>
  <c r="X65" i="1"/>
  <c r="V143" i="1"/>
  <c r="AL58" i="2" s="1"/>
  <c r="W143" i="1"/>
  <c r="AM58" i="2" s="1"/>
  <c r="X214" i="1"/>
  <c r="X157" i="1"/>
  <c r="V32" i="1"/>
  <c r="W32" i="1"/>
  <c r="V71" i="1"/>
  <c r="W71" i="1"/>
  <c r="W55" i="1"/>
  <c r="V55" i="1"/>
  <c r="X87" i="1"/>
  <c r="AN8" i="2" s="1"/>
  <c r="W134" i="1"/>
  <c r="V134" i="1"/>
  <c r="V161" i="1"/>
  <c r="W161" i="1"/>
  <c r="W108" i="1"/>
  <c r="V108" i="1"/>
  <c r="X107" i="1"/>
  <c r="X24" i="1"/>
  <c r="X41" i="1"/>
  <c r="X95" i="1"/>
  <c r="X227" i="1"/>
  <c r="X224" i="1"/>
  <c r="W179" i="1"/>
  <c r="V179" i="1"/>
  <c r="X151" i="1"/>
  <c r="V62" i="1"/>
  <c r="AL225" i="2" s="1"/>
  <c r="W62" i="1"/>
  <c r="W116" i="1"/>
  <c r="V116" i="1"/>
  <c r="X209" i="1"/>
  <c r="X143" i="1"/>
  <c r="W226" i="1"/>
  <c r="V226" i="1"/>
  <c r="V118" i="1"/>
  <c r="AL208" i="2" s="1"/>
  <c r="W118" i="1"/>
  <c r="W81" i="1"/>
  <c r="V81" i="1"/>
  <c r="AL142" i="2" s="1"/>
  <c r="V195" i="1"/>
  <c r="W195" i="1"/>
  <c r="V211" i="1"/>
  <c r="W211" i="1"/>
  <c r="W204" i="1"/>
  <c r="V204" i="1"/>
  <c r="W222" i="1"/>
  <c r="V222" i="1"/>
  <c r="V15" i="1"/>
  <c r="W15" i="1"/>
  <c r="W131" i="1"/>
  <c r="V131" i="1"/>
  <c r="V72" i="1"/>
  <c r="W72" i="1"/>
  <c r="W61" i="1"/>
  <c r="AM191" i="2" s="1"/>
  <c r="V61" i="1"/>
  <c r="AL191" i="2" s="1"/>
  <c r="X25" i="1"/>
  <c r="V115" i="1"/>
  <c r="W115" i="1"/>
  <c r="V83" i="1"/>
  <c r="W83" i="1"/>
  <c r="W191" i="1"/>
  <c r="AM207" i="2" s="1"/>
  <c r="V191" i="1"/>
  <c r="X141" i="1"/>
  <c r="AN9" i="2" s="1"/>
  <c r="X12" i="1"/>
  <c r="AN20" i="2" s="1"/>
  <c r="X11" i="1"/>
  <c r="V141" i="1"/>
  <c r="W141" i="1"/>
  <c r="X118" i="1"/>
  <c r="AN208" i="2" s="1"/>
  <c r="W30" i="1"/>
  <c r="V30" i="1"/>
  <c r="X166" i="1"/>
  <c r="W224" i="1"/>
  <c r="AM135" i="2" s="1"/>
  <c r="V224" i="1"/>
  <c r="AL135" i="2" s="1"/>
  <c r="X121" i="1"/>
  <c r="AN131" i="2" s="1"/>
  <c r="V136" i="1"/>
  <c r="AL211" i="2" s="1"/>
  <c r="W136" i="1"/>
  <c r="AM211" i="2" s="1"/>
  <c r="X162" i="1"/>
  <c r="X89" i="1"/>
  <c r="V212" i="1"/>
  <c r="W212" i="1"/>
  <c r="W109" i="1"/>
  <c r="V109" i="1"/>
  <c r="W67" i="1"/>
  <c r="AM121" i="2" s="1"/>
  <c r="V67" i="1"/>
  <c r="AL121" i="2" s="1"/>
  <c r="W203" i="1"/>
  <c r="AM120" i="2" s="1"/>
  <c r="V203" i="1"/>
  <c r="AL120" i="2" s="1"/>
  <c r="X181" i="1"/>
  <c r="AN187" i="2" s="1"/>
  <c r="W145" i="1"/>
  <c r="V145" i="1"/>
  <c r="V23" i="1"/>
  <c r="W23" i="1"/>
  <c r="V24" i="1"/>
  <c r="AL23" i="2" s="1"/>
  <c r="W24" i="1"/>
  <c r="X73" i="1"/>
  <c r="V2" i="1"/>
  <c r="W2" i="1"/>
  <c r="X92" i="1"/>
  <c r="X144" i="1"/>
  <c r="W142" i="1"/>
  <c r="AM193" i="2" s="1"/>
  <c r="V142" i="1"/>
  <c r="AL83" i="2" s="1"/>
  <c r="W121" i="1"/>
  <c r="V121" i="1"/>
  <c r="W159" i="1"/>
  <c r="V159" i="1"/>
  <c r="W223" i="1"/>
  <c r="V223" i="1"/>
  <c r="W9" i="1"/>
  <c r="V9" i="1"/>
  <c r="V70" i="1"/>
  <c r="W70" i="1"/>
  <c r="X15" i="1"/>
  <c r="AN112" i="2" s="1"/>
  <c r="W82" i="1"/>
  <c r="V82" i="1"/>
  <c r="W3" i="1"/>
  <c r="AM7" i="2" s="1"/>
  <c r="V3" i="1"/>
  <c r="AL7" i="2" s="1"/>
  <c r="W102" i="1"/>
  <c r="V102" i="1"/>
  <c r="X221" i="1"/>
  <c r="V181" i="1"/>
  <c r="W181" i="1"/>
  <c r="X113" i="1"/>
  <c r="W7" i="1"/>
  <c r="V7" i="1"/>
  <c r="W110" i="1"/>
  <c r="V110" i="1"/>
  <c r="AL154" i="2" s="1"/>
  <c r="X82" i="1"/>
  <c r="X80" i="1"/>
  <c r="V135" i="1"/>
  <c r="W135" i="1"/>
  <c r="X102" i="1"/>
  <c r="X186" i="1"/>
  <c r="W182" i="1"/>
  <c r="AM228" i="2" s="1"/>
  <c r="V182" i="1"/>
  <c r="AL228" i="2" s="1"/>
  <c r="X131" i="1"/>
  <c r="W158" i="1"/>
  <c r="V158" i="1"/>
  <c r="V162" i="1"/>
  <c r="W162" i="1"/>
  <c r="V186" i="1"/>
  <c r="AL118" i="2" s="1"/>
  <c r="W186" i="1"/>
  <c r="AM118" i="2" s="1"/>
  <c r="V89" i="1"/>
  <c r="AL65" i="2" s="1"/>
  <c r="W89" i="1"/>
  <c r="AM65" i="2" s="1"/>
  <c r="X140" i="1"/>
  <c r="X10" i="1"/>
  <c r="X212" i="1"/>
  <c r="V35" i="1"/>
  <c r="W35" i="1"/>
  <c r="AM11" i="2" s="1"/>
  <c r="X13" i="1"/>
  <c r="W97" i="1"/>
  <c r="V97" i="1"/>
  <c r="W85" i="1"/>
  <c r="V85" i="1"/>
  <c r="V210" i="1"/>
  <c r="W210" i="1"/>
  <c r="W26" i="1"/>
  <c r="AM22" i="2" s="1"/>
  <c r="V26" i="1"/>
  <c r="AL22" i="2" s="1"/>
  <c r="W49" i="1"/>
  <c r="V49" i="1"/>
  <c r="W36" i="1"/>
  <c r="V36" i="1"/>
  <c r="V189" i="1"/>
  <c r="AL150" i="2" s="1"/>
  <c r="W189" i="1"/>
  <c r="W155" i="1"/>
  <c r="V155" i="1"/>
  <c r="V160" i="1"/>
  <c r="W160" i="1"/>
  <c r="W12" i="1"/>
  <c r="AM20" i="2" s="1"/>
  <c r="V12" i="1"/>
  <c r="AL20" i="2" s="1"/>
  <c r="W124" i="1"/>
  <c r="V124" i="1"/>
  <c r="W105" i="1"/>
  <c r="AM43" i="2" s="1"/>
  <c r="V105" i="1"/>
  <c r="V166" i="1"/>
  <c r="W166" i="1"/>
  <c r="X58" i="1"/>
  <c r="X88" i="1"/>
  <c r="W84" i="1"/>
  <c r="V84" i="1"/>
  <c r="AL136" i="2" s="1"/>
  <c r="W50" i="1"/>
  <c r="V50" i="1"/>
  <c r="AL104" i="2" s="1"/>
  <c r="W43" i="1"/>
  <c r="AM25" i="2" s="1"/>
  <c r="V43" i="1"/>
  <c r="V167" i="1"/>
  <c r="AL39" i="2" s="1"/>
  <c r="W167" i="1"/>
  <c r="AM39" i="2" s="1"/>
  <c r="W180" i="1"/>
  <c r="V180" i="1"/>
  <c r="X213" i="1"/>
  <c r="W39" i="1"/>
  <c r="V39" i="1"/>
  <c r="V69" i="1"/>
  <c r="W69" i="1"/>
  <c r="X16" i="1"/>
  <c r="X40" i="1"/>
  <c r="AN165" i="2" s="1"/>
  <c r="X81" i="1"/>
  <c r="V130" i="1"/>
  <c r="AL139" i="2" s="1"/>
  <c r="W130" i="1"/>
  <c r="AM139" i="2" s="1"/>
  <c r="X183" i="1"/>
  <c r="W111" i="1"/>
  <c r="V111" i="1"/>
  <c r="W51" i="1"/>
  <c r="V51" i="1"/>
  <c r="X109" i="1"/>
  <c r="X116" i="1"/>
  <c r="AN122" i="2" s="1"/>
  <c r="X3" i="1"/>
  <c r="AN7" i="2" s="1"/>
  <c r="X115" i="1"/>
  <c r="AN166" i="2" s="1"/>
  <c r="X6" i="1"/>
  <c r="X56" i="1"/>
  <c r="W99" i="1"/>
  <c r="AM49" i="2" s="1"/>
  <c r="V99" i="1"/>
  <c r="X139" i="1"/>
  <c r="W199" i="1"/>
  <c r="V199" i="1"/>
  <c r="X84" i="1"/>
  <c r="AN136" i="2" s="1"/>
  <c r="W59" i="1"/>
  <c r="AM212" i="2" s="1"/>
  <c r="V59" i="1"/>
  <c r="AL212" i="2" s="1"/>
  <c r="V6" i="1"/>
  <c r="AL141" i="2" s="1"/>
  <c r="W6" i="1"/>
  <c r="AM141" i="2" s="1"/>
  <c r="V139" i="1"/>
  <c r="W139" i="1"/>
  <c r="AM4" i="2" s="1"/>
  <c r="X62" i="1"/>
  <c r="W156" i="1"/>
  <c r="V156" i="1"/>
  <c r="W175" i="1"/>
  <c r="V175" i="1"/>
  <c r="X5" i="1"/>
  <c r="AN188" i="2" s="1"/>
  <c r="W31" i="1"/>
  <c r="V31" i="1"/>
  <c r="X149" i="1"/>
  <c r="AN102" i="2" s="1"/>
  <c r="V229" i="1"/>
  <c r="W229" i="1"/>
  <c r="W208" i="1"/>
  <c r="AM161" i="2" s="1"/>
  <c r="V208" i="1"/>
  <c r="AL161" i="2" s="1"/>
  <c r="W86" i="1"/>
  <c r="V86" i="1"/>
  <c r="X164" i="1"/>
  <c r="X155" i="1"/>
  <c r="W126" i="1"/>
  <c r="V126" i="1"/>
  <c r="W112" i="1"/>
  <c r="V112" i="1"/>
  <c r="W183" i="1"/>
  <c r="AM62" i="2" s="1"/>
  <c r="V183" i="1"/>
  <c r="AL62" i="2" s="1"/>
  <c r="X229" i="1"/>
  <c r="AN149" i="2" s="1"/>
  <c r="X79" i="1"/>
  <c r="X196" i="1"/>
  <c r="V64" i="1"/>
  <c r="W64" i="1"/>
  <c r="V137" i="1"/>
  <c r="W137" i="1"/>
  <c r="W213" i="1"/>
  <c r="V213" i="1"/>
  <c r="X34" i="1"/>
  <c r="X159" i="1"/>
  <c r="W205" i="1"/>
  <c r="V205" i="1"/>
  <c r="AL124" i="2" s="1"/>
  <c r="X222" i="1"/>
  <c r="V106" i="1"/>
  <c r="W106" i="1"/>
  <c r="W33" i="1"/>
  <c r="AM185" i="2" s="1"/>
  <c r="V33" i="1"/>
  <c r="AL185" i="2" s="1"/>
  <c r="X75" i="1"/>
  <c r="X126" i="1"/>
  <c r="X69" i="1"/>
  <c r="W57" i="1"/>
  <c r="AM82" i="2" s="1"/>
  <c r="V57" i="1"/>
  <c r="AL82" i="2" s="1"/>
  <c r="V227" i="1"/>
  <c r="W227" i="1"/>
  <c r="V133" i="1"/>
  <c r="W133" i="1"/>
  <c r="X120" i="1"/>
  <c r="X194" i="1"/>
  <c r="W220" i="1"/>
  <c r="V220" i="1"/>
  <c r="W56" i="1"/>
  <c r="AM41" i="2" s="1"/>
  <c r="V56" i="1"/>
  <c r="W157" i="1"/>
  <c r="V157" i="1"/>
  <c r="X204" i="1"/>
  <c r="W94" i="1"/>
  <c r="AM6" i="2" s="1"/>
  <c r="V94" i="1"/>
  <c r="AL6" i="2" s="1"/>
  <c r="W176" i="1"/>
  <c r="V176" i="1"/>
  <c r="V113" i="1"/>
  <c r="W113" i="1"/>
  <c r="X182" i="1"/>
  <c r="W147" i="1"/>
  <c r="V147" i="1"/>
  <c r="X228" i="1"/>
  <c r="W200" i="1"/>
  <c r="AM129" i="2" s="1"/>
  <c r="V200" i="1"/>
  <c r="AL129" i="2" s="1"/>
  <c r="X192" i="1"/>
  <c r="X64" i="1"/>
  <c r="X137" i="1"/>
  <c r="V214" i="1"/>
  <c r="W214" i="1"/>
  <c r="V40" i="1"/>
  <c r="W40" i="1"/>
  <c r="X85" i="1"/>
  <c r="X8" i="1"/>
  <c r="X210" i="1"/>
  <c r="AN44" i="2" s="1"/>
  <c r="X59" i="1"/>
  <c r="W150" i="1"/>
  <c r="AM177" i="2" s="1"/>
  <c r="V150" i="1"/>
  <c r="AL177" i="2" s="1"/>
  <c r="X132" i="1"/>
  <c r="W228" i="1"/>
  <c r="V228" i="1"/>
  <c r="X38" i="1"/>
  <c r="W18" i="1"/>
  <c r="V18" i="1"/>
  <c r="AL94" i="2" s="1"/>
  <c r="X39" i="1"/>
  <c r="W96" i="1"/>
  <c r="V96" i="1"/>
  <c r="X33" i="1"/>
  <c r="X160" i="1"/>
  <c r="AN192" i="2" l="1"/>
  <c r="AN86" i="2"/>
  <c r="AM137" i="2"/>
  <c r="AN43" i="2"/>
  <c r="AM84" i="2"/>
  <c r="AN105" i="2"/>
  <c r="AM37" i="2"/>
  <c r="AM105" i="2"/>
  <c r="AN27" i="2"/>
  <c r="AM95" i="2"/>
  <c r="AN107" i="2"/>
  <c r="AL105" i="2"/>
  <c r="AL72" i="2"/>
  <c r="AM52" i="2"/>
  <c r="AN142" i="2"/>
  <c r="AN185" i="2"/>
  <c r="AN23" i="2"/>
  <c r="AN100" i="2"/>
  <c r="AL224" i="2"/>
  <c r="AL137" i="2"/>
  <c r="AN156" i="2"/>
  <c r="AN24" i="2"/>
  <c r="AL37" i="2"/>
  <c r="AM24" i="2"/>
  <c r="AL18" i="2"/>
  <c r="AM130" i="2"/>
  <c r="AM173" i="2"/>
  <c r="AL24" i="2"/>
  <c r="AN178" i="2"/>
  <c r="AM18" i="2"/>
  <c r="AL68" i="2"/>
  <c r="AL70" i="2"/>
  <c r="AL2" i="2"/>
  <c r="AM31" i="2"/>
  <c r="AM2" i="2"/>
  <c r="AM187" i="2"/>
  <c r="AN135" i="2"/>
  <c r="AN173" i="2"/>
  <c r="AL29" i="2"/>
  <c r="AN195" i="2"/>
  <c r="AM30" i="2"/>
  <c r="AN39" i="2"/>
  <c r="AN18" i="2"/>
  <c r="AM160" i="2"/>
  <c r="AL143" i="2"/>
  <c r="AN179" i="2"/>
  <c r="AL160" i="2"/>
  <c r="AM175" i="2"/>
  <c r="AM146" i="2"/>
  <c r="AL86" i="2"/>
  <c r="AM50" i="2"/>
  <c r="AL96" i="2"/>
  <c r="AL146" i="2"/>
  <c r="AM68" i="2"/>
  <c r="AL49" i="2"/>
  <c r="AM86" i="2"/>
  <c r="AL28" i="2"/>
  <c r="AM204" i="2"/>
  <c r="AM106" i="2"/>
  <c r="AM126" i="2"/>
  <c r="Y149" i="1"/>
  <c r="AO102" i="2" s="1"/>
  <c r="AM184" i="2"/>
  <c r="AL179" i="2"/>
  <c r="AL167" i="2"/>
  <c r="AM142" i="2"/>
  <c r="AN11" i="2"/>
  <c r="AN114" i="2"/>
  <c r="AN176" i="2"/>
  <c r="AL41" i="2"/>
  <c r="AL227" i="2"/>
  <c r="AM104" i="2"/>
  <c r="AL95" i="2"/>
  <c r="AL132" i="2"/>
  <c r="AM222" i="2"/>
  <c r="AN201" i="2"/>
  <c r="AM14" i="2"/>
  <c r="AL89" i="2"/>
  <c r="AL134" i="2"/>
  <c r="AL98" i="2"/>
  <c r="AM147" i="2"/>
  <c r="AN28" i="2"/>
  <c r="AM224" i="2"/>
  <c r="AN181" i="2"/>
  <c r="AN41" i="2"/>
  <c r="AN14" i="2"/>
  <c r="AL147" i="2"/>
  <c r="AL43" i="2"/>
  <c r="AM97" i="2"/>
  <c r="AN127" i="2"/>
  <c r="AN123" i="2"/>
  <c r="AN30" i="2"/>
  <c r="E229" i="2"/>
  <c r="F229" i="2" s="1"/>
  <c r="AM103" i="2"/>
  <c r="E105" i="2"/>
  <c r="F105" i="2" s="1"/>
  <c r="AN211" i="2"/>
  <c r="AL152" i="2"/>
  <c r="E204" i="2"/>
  <c r="F204" i="2" s="1"/>
  <c r="AM229" i="2"/>
  <c r="AN137" i="2"/>
  <c r="AM8" i="2"/>
  <c r="AL215" i="2"/>
  <c r="AN228" i="2"/>
  <c r="AL107" i="2"/>
  <c r="AL162" i="2"/>
  <c r="AN49" i="2"/>
  <c r="AL170" i="2"/>
  <c r="AN215" i="2"/>
  <c r="AL187" i="2"/>
  <c r="Y197" i="1"/>
  <c r="AM107" i="2"/>
  <c r="AL27" i="2"/>
  <c r="AL130" i="2"/>
  <c r="AM23" i="2"/>
  <c r="AM162" i="2"/>
  <c r="AN54" i="2"/>
  <c r="AL222" i="2"/>
  <c r="AN204" i="2"/>
  <c r="AN103" i="2"/>
  <c r="AL214" i="2"/>
  <c r="AL67" i="2"/>
  <c r="AL158" i="2"/>
  <c r="AL175" i="2"/>
  <c r="AM27" i="2"/>
  <c r="AM192" i="2"/>
  <c r="AN175" i="2"/>
  <c r="AN132" i="2"/>
  <c r="AM54" i="2"/>
  <c r="AN194" i="2"/>
  <c r="E86" i="2"/>
  <c r="F86" i="2" s="1"/>
  <c r="AM119" i="2"/>
  <c r="AM28" i="2"/>
  <c r="AN171" i="2"/>
  <c r="AL172" i="2"/>
  <c r="AL157" i="2"/>
  <c r="AM74" i="2"/>
  <c r="AL87" i="2"/>
  <c r="AM220" i="2"/>
  <c r="AM171" i="2"/>
  <c r="AL204" i="2"/>
  <c r="AN116" i="2"/>
  <c r="AN98" i="2"/>
  <c r="AM32" i="2"/>
  <c r="AM157" i="2"/>
  <c r="AN164" i="2"/>
  <c r="AM180" i="2"/>
  <c r="AL220" i="2"/>
  <c r="AM87" i="2"/>
  <c r="AL25" i="2"/>
  <c r="AL52" i="2"/>
  <c r="AN144" i="2"/>
  <c r="AN210" i="2"/>
  <c r="AL75" i="2"/>
  <c r="AN70" i="2"/>
  <c r="AN60" i="2"/>
  <c r="AM167" i="2"/>
  <c r="AM155" i="2"/>
  <c r="AN84" i="2"/>
  <c r="AN111" i="2"/>
  <c r="E177" i="2"/>
  <c r="F177" i="2" s="1"/>
  <c r="AN148" i="2"/>
  <c r="AM208" i="2"/>
  <c r="AM114" i="2"/>
  <c r="AL178" i="2"/>
  <c r="AL194" i="2"/>
  <c r="AL111" i="2"/>
  <c r="AL180" i="2"/>
  <c r="AN74" i="2"/>
  <c r="AM227" i="2"/>
  <c r="AL57" i="2"/>
  <c r="AL81" i="2"/>
  <c r="AN189" i="2"/>
  <c r="AN141" i="2"/>
  <c r="AL184" i="2"/>
  <c r="AM75" i="2"/>
  <c r="AM34" i="2"/>
  <c r="AM219" i="2"/>
  <c r="AL44" i="2"/>
  <c r="AM57" i="2"/>
  <c r="AN117" i="2"/>
  <c r="AN89" i="2"/>
  <c r="AM152" i="2"/>
  <c r="AL156" i="2"/>
  <c r="AL144" i="2"/>
  <c r="AL148" i="2"/>
  <c r="AL229" i="2"/>
  <c r="AL74" i="2"/>
  <c r="AL171" i="2"/>
  <c r="AL34" i="2"/>
  <c r="AM179" i="2"/>
  <c r="AN203" i="2"/>
  <c r="AM172" i="2"/>
  <c r="AM67" i="2"/>
  <c r="AL219" i="2"/>
  <c r="AM111" i="2"/>
  <c r="AN99" i="2"/>
  <c r="AM178" i="2"/>
  <c r="AN199" i="2"/>
  <c r="AM44" i="2"/>
  <c r="AM144" i="2"/>
  <c r="AM113" i="2"/>
  <c r="AM5" i="2"/>
  <c r="AM156" i="2"/>
  <c r="AL14" i="2"/>
  <c r="AM148" i="2"/>
  <c r="AL133" i="2"/>
  <c r="AM134" i="2"/>
  <c r="AM69" i="2"/>
  <c r="AL47" i="2"/>
  <c r="AL207" i="2"/>
  <c r="AN93" i="2"/>
  <c r="AL128" i="2"/>
  <c r="AM209" i="2"/>
  <c r="AN191" i="2"/>
  <c r="AL155" i="2"/>
  <c r="AM26" i="2"/>
  <c r="AM64" i="2"/>
  <c r="AL101" i="2"/>
  <c r="AL4" i="2"/>
  <c r="AL159" i="2"/>
  <c r="AL11" i="2"/>
  <c r="AL216" i="2"/>
  <c r="AM83" i="2"/>
  <c r="AL210" i="2"/>
  <c r="AN21" i="2"/>
  <c r="AN88" i="2"/>
  <c r="AN32" i="2"/>
  <c r="AN75" i="2"/>
  <c r="AM98" i="2"/>
  <c r="AL30" i="2"/>
  <c r="AM61" i="2"/>
  <c r="AM159" i="2"/>
  <c r="AN133" i="2"/>
  <c r="AM216" i="2"/>
  <c r="AM210" i="2"/>
  <c r="AL103" i="2"/>
  <c r="AN172" i="2"/>
  <c r="AN96" i="2"/>
  <c r="AN50" i="2"/>
  <c r="AN205" i="2"/>
  <c r="E58" i="2"/>
  <c r="F58" i="2" s="1"/>
  <c r="AL206" i="2"/>
  <c r="AL116" i="2"/>
  <c r="AL53" i="2"/>
  <c r="AM38" i="2"/>
  <c r="AL77" i="2"/>
  <c r="AM112" i="2"/>
  <c r="AN183" i="2"/>
  <c r="AM186" i="2"/>
  <c r="AL15" i="2"/>
  <c r="AL188" i="2"/>
  <c r="AM115" i="2"/>
  <c r="AM29" i="2"/>
  <c r="AL112" i="2"/>
  <c r="AN129" i="2"/>
  <c r="AN16" i="2"/>
  <c r="AM92" i="2"/>
  <c r="AL17" i="2"/>
  <c r="AL61" i="2"/>
  <c r="AL66" i="2"/>
  <c r="AM100" i="2"/>
  <c r="AM55" i="2"/>
  <c r="AL201" i="2"/>
  <c r="AL46" i="2"/>
  <c r="AN138" i="2"/>
  <c r="AN82" i="2"/>
  <c r="AL186" i="2"/>
  <c r="AL115" i="2"/>
  <c r="AM94" i="2"/>
  <c r="AL100" i="2"/>
  <c r="AL55" i="2"/>
  <c r="AM201" i="2"/>
  <c r="AN155" i="2"/>
  <c r="AN19" i="2"/>
  <c r="AL181" i="2"/>
  <c r="AN150" i="2"/>
  <c r="AN209" i="2"/>
  <c r="AM200" i="2"/>
  <c r="AM81" i="2"/>
  <c r="AL226" i="2"/>
  <c r="AL125" i="2"/>
  <c r="AL223" i="2"/>
  <c r="AL84" i="2"/>
  <c r="AL192" i="2"/>
  <c r="AN213" i="2"/>
  <c r="AN218" i="2"/>
  <c r="E4" i="2"/>
  <c r="F4" i="2" s="1"/>
  <c r="AM15" i="2"/>
  <c r="AM108" i="2"/>
  <c r="AM128" i="2"/>
  <c r="AN4" i="2"/>
  <c r="AM150" i="2"/>
  <c r="AM79" i="2"/>
  <c r="AM9" i="2"/>
  <c r="AM70" i="2"/>
  <c r="AM143" i="2"/>
  <c r="AL51" i="2"/>
  <c r="AN162" i="2"/>
  <c r="AN83" i="2"/>
  <c r="AM116" i="2"/>
  <c r="AN97" i="2"/>
  <c r="AM170" i="2"/>
  <c r="AM158" i="2"/>
  <c r="AL79" i="2"/>
  <c r="AM78" i="2"/>
  <c r="AL9" i="2"/>
  <c r="AL88" i="2"/>
  <c r="AL21" i="2"/>
  <c r="AN121" i="2"/>
  <c r="AL56" i="2"/>
  <c r="AN227" i="2"/>
  <c r="AN57" i="2"/>
  <c r="AM181" i="2"/>
  <c r="E192" i="2"/>
  <c r="F192" i="2" s="1"/>
  <c r="AM88" i="2"/>
  <c r="AM189" i="2"/>
  <c r="AM21" i="2"/>
  <c r="AN37" i="2"/>
  <c r="AM183" i="2"/>
  <c r="AN226" i="2"/>
  <c r="AL80" i="2"/>
  <c r="AL218" i="2"/>
  <c r="AM163" i="2"/>
  <c r="AL54" i="2"/>
  <c r="AL92" i="2"/>
  <c r="AN206" i="2"/>
  <c r="AL48" i="2"/>
  <c r="AL189" i="2"/>
  <c r="AM60" i="2"/>
  <c r="AN146" i="2"/>
  <c r="AM226" i="2"/>
  <c r="AM221" i="2"/>
  <c r="AL205" i="2"/>
  <c r="AL209" i="2"/>
  <c r="AL213" i="2"/>
  <c r="AM46" i="2"/>
  <c r="AM45" i="2"/>
  <c r="AM124" i="2"/>
  <c r="AN186" i="2"/>
  <c r="AM56" i="2"/>
  <c r="AL76" i="2"/>
  <c r="AN212" i="2"/>
  <c r="AL190" i="2"/>
  <c r="AM165" i="2"/>
  <c r="AL117" i="2"/>
  <c r="AL59" i="2"/>
  <c r="AL93" i="2"/>
  <c r="AM206" i="2"/>
  <c r="AM51" i="2"/>
  <c r="AL164" i="2"/>
  <c r="AL169" i="2"/>
  <c r="AL119" i="2"/>
  <c r="AM66" i="2"/>
  <c r="AM149" i="2"/>
  <c r="AN87" i="2"/>
  <c r="AL199" i="2"/>
  <c r="AM93" i="2"/>
  <c r="AN59" i="2"/>
  <c r="E63" i="2"/>
  <c r="F63" i="2" s="1"/>
  <c r="AL85" i="2"/>
  <c r="AM85" i="2"/>
  <c r="AM169" i="2"/>
  <c r="AM154" i="2"/>
  <c r="AM190" i="2"/>
  <c r="AL19" i="2"/>
  <c r="AN118" i="2"/>
  <c r="AN94" i="2"/>
  <c r="AM132" i="2"/>
  <c r="AL176" i="2"/>
  <c r="AM199" i="2"/>
  <c r="AL166" i="2"/>
  <c r="AN58" i="2"/>
  <c r="AM203" i="2"/>
  <c r="AL99" i="2"/>
  <c r="AL26" i="2"/>
  <c r="AL108" i="2"/>
  <c r="AL163" i="2"/>
  <c r="AN174" i="2"/>
  <c r="AM63" i="2"/>
  <c r="AL183" i="2"/>
  <c r="AL202" i="2"/>
  <c r="AM202" i="2"/>
  <c r="AL217" i="2"/>
  <c r="AM33" i="2"/>
  <c r="AM77" i="2"/>
  <c r="AM110" i="2"/>
  <c r="AM19" i="2"/>
  <c r="AN130" i="2"/>
  <c r="AL16" i="2"/>
  <c r="AM59" i="2"/>
  <c r="AM127" i="2"/>
  <c r="AM176" i="2"/>
  <c r="Y98" i="1"/>
  <c r="AM133" i="2"/>
  <c r="AL203" i="2"/>
  <c r="AM99" i="2"/>
  <c r="AN42" i="2"/>
  <c r="AN177" i="2"/>
  <c r="AL126" i="2"/>
  <c r="AN147" i="2"/>
  <c r="AL200" i="2"/>
  <c r="AL45" i="2"/>
  <c r="AN167" i="2"/>
  <c r="AL151" i="2"/>
  <c r="AL31" i="2"/>
  <c r="AL140" i="2"/>
  <c r="AM140" i="2"/>
  <c r="AM35" i="2"/>
  <c r="AM47" i="2"/>
  <c r="AM182" i="2"/>
  <c r="AN31" i="2"/>
  <c r="AL127" i="2"/>
  <c r="AN182" i="2"/>
  <c r="AL5" i="2"/>
  <c r="AL122" i="2"/>
  <c r="AM91" i="2"/>
  <c r="AN67" i="2"/>
  <c r="AL12" i="2"/>
  <c r="AN91" i="2"/>
  <c r="AN221" i="2"/>
  <c r="AN224" i="2"/>
  <c r="AN53" i="2"/>
  <c r="AL32" i="2"/>
  <c r="E130" i="2"/>
  <c r="F130" i="2" s="1"/>
  <c r="AL38" i="2"/>
  <c r="AM198" i="2"/>
  <c r="AL33" i="2"/>
  <c r="AL110" i="2"/>
  <c r="AL10" i="2"/>
  <c r="AL113" i="2"/>
  <c r="AL109" i="2"/>
  <c r="AL165" i="2"/>
  <c r="AM136" i="2"/>
  <c r="AM166" i="2"/>
  <c r="AL182" i="2"/>
  <c r="AL123" i="2"/>
  <c r="AM123" i="2"/>
  <c r="AN62" i="2"/>
  <c r="AL195" i="2"/>
  <c r="AM89" i="2"/>
  <c r="AN220" i="2"/>
  <c r="AL131" i="2"/>
  <c r="AN55" i="2"/>
  <c r="AM122" i="2"/>
  <c r="AL91" i="2"/>
  <c r="AM174" i="2"/>
  <c r="AN68" i="2"/>
  <c r="AN161" i="2"/>
  <c r="AN151" i="2"/>
  <c r="AM218" i="2"/>
  <c r="AM12" i="2"/>
  <c r="AM17" i="2"/>
  <c r="AL198" i="2"/>
  <c r="AM145" i="2"/>
  <c r="AM217" i="2"/>
  <c r="AL193" i="2"/>
  <c r="AL149" i="2"/>
  <c r="AM117" i="2"/>
  <c r="AM16" i="2"/>
  <c r="AM195" i="2"/>
  <c r="AN5" i="2"/>
  <c r="AN134" i="2"/>
  <c r="AN143" i="2"/>
  <c r="AN225" i="2"/>
  <c r="AL97" i="2"/>
  <c r="AM131" i="2"/>
  <c r="AM225" i="2"/>
  <c r="AN34" i="2"/>
  <c r="AN48" i="2"/>
  <c r="AN159" i="2"/>
  <c r="AN29" i="2"/>
  <c r="AL78" i="2"/>
  <c r="AN79" i="2"/>
  <c r="AL50" i="2"/>
  <c r="AM40" i="2"/>
  <c r="AL145" i="2"/>
  <c r="AM76" i="2"/>
  <c r="AL35" i="2"/>
  <c r="AM10" i="2"/>
  <c r="AM109" i="2"/>
  <c r="Y77" i="1"/>
  <c r="AN51" i="2"/>
  <c r="E65" i="2"/>
  <c r="F65" i="2" s="1"/>
  <c r="E198" i="2"/>
  <c r="F198" i="2" s="1"/>
  <c r="E76" i="2"/>
  <c r="F76" i="2" s="1"/>
  <c r="E45" i="2"/>
  <c r="F45" i="2" s="1"/>
  <c r="E89" i="2"/>
  <c r="F89" i="2" s="1"/>
  <c r="E15" i="2"/>
  <c r="F15" i="2" s="1"/>
  <c r="E149" i="2"/>
  <c r="F149" i="2" s="1"/>
  <c r="E126" i="2"/>
  <c r="F126" i="2" s="1"/>
  <c r="Y78" i="1"/>
  <c r="AN154" i="2"/>
  <c r="E95" i="2"/>
  <c r="F95" i="2" s="1"/>
  <c r="Y193" i="1"/>
  <c r="AN110" i="2"/>
  <c r="Y74" i="1"/>
  <c r="AN12" i="2"/>
  <c r="E216" i="2"/>
  <c r="F216" i="2" s="1"/>
  <c r="E71" i="2"/>
  <c r="F71" i="2" s="1"/>
  <c r="E119" i="2"/>
  <c r="F119" i="2" s="1"/>
  <c r="E170" i="2"/>
  <c r="F170" i="2" s="1"/>
  <c r="E70" i="2"/>
  <c r="F70" i="2" s="1"/>
  <c r="E125" i="2"/>
  <c r="F125" i="2" s="1"/>
  <c r="E83" i="2"/>
  <c r="F83" i="2" s="1"/>
  <c r="E106" i="2"/>
  <c r="F106" i="2" s="1"/>
  <c r="E43" i="2"/>
  <c r="F43" i="2" s="1"/>
  <c r="E26" i="2"/>
  <c r="F26" i="2" s="1"/>
  <c r="Y8" i="1"/>
  <c r="AN73" i="2"/>
  <c r="Y34" i="1"/>
  <c r="AN197" i="2"/>
  <c r="Y174" i="1"/>
  <c r="AN101" i="2"/>
  <c r="E219" i="2"/>
  <c r="F219" i="2" s="1"/>
  <c r="E56" i="2"/>
  <c r="F56" i="2" s="1"/>
  <c r="E35" i="2"/>
  <c r="F35" i="2" s="1"/>
  <c r="E221" i="2"/>
  <c r="F221" i="2" s="1"/>
  <c r="E164" i="2"/>
  <c r="F164" i="2" s="1"/>
  <c r="E121" i="2"/>
  <c r="F121" i="2" s="1"/>
  <c r="E78" i="2"/>
  <c r="F78" i="2" s="1"/>
  <c r="E156" i="2"/>
  <c r="F156" i="2" s="1"/>
  <c r="Y190" i="1"/>
  <c r="AN207" i="2"/>
  <c r="Y148" i="1"/>
  <c r="AN113" i="2"/>
  <c r="Y188" i="1"/>
  <c r="AN35" i="2"/>
  <c r="Y178" i="1"/>
  <c r="AN15" i="2"/>
  <c r="E214" i="2"/>
  <c r="F214" i="2" s="1"/>
  <c r="E181" i="2"/>
  <c r="F181" i="2" s="1"/>
  <c r="E224" i="2"/>
  <c r="F224" i="2" s="1"/>
  <c r="E199" i="2"/>
  <c r="F199" i="2" s="1"/>
  <c r="E42" i="2"/>
  <c r="F42" i="2" s="1"/>
  <c r="E75" i="2"/>
  <c r="F75" i="2" s="1"/>
  <c r="E53" i="2"/>
  <c r="F53" i="2" s="1"/>
  <c r="E97" i="2"/>
  <c r="F97" i="2" s="1"/>
  <c r="Y226" i="1"/>
  <c r="AM194" i="2"/>
  <c r="Y201" i="1"/>
  <c r="AN200" i="2"/>
  <c r="Y216" i="1"/>
  <c r="AN45" i="2"/>
  <c r="Y171" i="1"/>
  <c r="AN46" i="2"/>
  <c r="Y76" i="1"/>
  <c r="AN128" i="2"/>
  <c r="E111" i="2"/>
  <c r="F111" i="2" s="1"/>
  <c r="E138" i="2"/>
  <c r="F138" i="2" s="1"/>
  <c r="E183" i="2"/>
  <c r="F183" i="2" s="1"/>
  <c r="E228" i="2"/>
  <c r="F228" i="2" s="1"/>
  <c r="E6" i="2"/>
  <c r="F6" i="2" s="1"/>
  <c r="E77" i="2"/>
  <c r="F77" i="2" s="1"/>
  <c r="E41" i="2"/>
  <c r="F41" i="2" s="1"/>
  <c r="Y88" i="1"/>
  <c r="AN36" i="2"/>
  <c r="Y104" i="1"/>
  <c r="AN153" i="2"/>
  <c r="Y48" i="1"/>
  <c r="AM205" i="2"/>
  <c r="E141" i="2"/>
  <c r="F141" i="2" s="1"/>
  <c r="E48" i="2"/>
  <c r="F48" i="2" s="1"/>
  <c r="E49" i="2"/>
  <c r="F49" i="2" s="1"/>
  <c r="E133" i="2"/>
  <c r="F133" i="2" s="1"/>
  <c r="E99" i="2"/>
  <c r="F99" i="2" s="1"/>
  <c r="E72" i="2"/>
  <c r="F72" i="2" s="1"/>
  <c r="E167" i="2"/>
  <c r="F167" i="2" s="1"/>
  <c r="E92" i="2"/>
  <c r="F92" i="2" s="1"/>
  <c r="E132" i="2"/>
  <c r="F132" i="2" s="1"/>
  <c r="Y209" i="1"/>
  <c r="AN64" i="2"/>
  <c r="Y47" i="1"/>
  <c r="AN168" i="2"/>
  <c r="E151" i="2"/>
  <c r="F151" i="2" s="1"/>
  <c r="E186" i="2"/>
  <c r="F186" i="2" s="1"/>
  <c r="E16" i="2"/>
  <c r="F16" i="2" s="1"/>
  <c r="E52" i="2"/>
  <c r="F52" i="2" s="1"/>
  <c r="E3" i="2"/>
  <c r="F3" i="2" s="1"/>
  <c r="E225" i="2"/>
  <c r="F225" i="2" s="1"/>
  <c r="E103" i="2"/>
  <c r="F103" i="2" s="1"/>
  <c r="E201" i="2"/>
  <c r="F201" i="2" s="1"/>
  <c r="Y194" i="1"/>
  <c r="AN40" i="2"/>
  <c r="Y58" i="1"/>
  <c r="AN47" i="2"/>
  <c r="Y80" i="1"/>
  <c r="AN217" i="2"/>
  <c r="Y170" i="1"/>
  <c r="AM53" i="2"/>
  <c r="Y198" i="1"/>
  <c r="AO125" i="2" s="1"/>
  <c r="AN125" i="2"/>
  <c r="E14" i="2"/>
  <c r="F14" i="2" s="1"/>
  <c r="E206" i="2"/>
  <c r="F206" i="2" s="1"/>
  <c r="E122" i="2"/>
  <c r="F122" i="2" s="1"/>
  <c r="E187" i="2"/>
  <c r="F187" i="2" s="1"/>
  <c r="E226" i="2"/>
  <c r="F226" i="2" s="1"/>
  <c r="E220" i="2"/>
  <c r="F220" i="2" s="1"/>
  <c r="Y120" i="1"/>
  <c r="AN145" i="2"/>
  <c r="Y206" i="1"/>
  <c r="AN38" i="2"/>
  <c r="Y53" i="1"/>
  <c r="AN126" i="2"/>
  <c r="E190" i="2"/>
  <c r="F190" i="2" s="1"/>
  <c r="E69" i="2"/>
  <c r="F69" i="2" s="1"/>
  <c r="E211" i="2"/>
  <c r="F211" i="2" s="1"/>
  <c r="E62" i="2"/>
  <c r="F62" i="2" s="1"/>
  <c r="E218" i="2"/>
  <c r="F218" i="2" s="1"/>
  <c r="E135" i="2"/>
  <c r="F135" i="2" s="1"/>
  <c r="E189" i="2"/>
  <c r="F189" i="2" s="1"/>
  <c r="E208" i="2"/>
  <c r="F208" i="2" s="1"/>
  <c r="E112" i="2"/>
  <c r="F112" i="2" s="1"/>
  <c r="E173" i="2"/>
  <c r="F173" i="2" s="1"/>
  <c r="Y75" i="1"/>
  <c r="AN90" i="2"/>
  <c r="Y25" i="1"/>
  <c r="AO61" i="2" s="1"/>
  <c r="AN61" i="2"/>
  <c r="Y79" i="1"/>
  <c r="AO180" i="2" s="1"/>
  <c r="AN109" i="2"/>
  <c r="Y13" i="1"/>
  <c r="AN158" i="2"/>
  <c r="Y146" i="1"/>
  <c r="AO3" i="2" s="1"/>
  <c r="AN3" i="2"/>
  <c r="Y91" i="1"/>
  <c r="AN76" i="2"/>
  <c r="Y153" i="1"/>
  <c r="AN152" i="2"/>
  <c r="E93" i="2"/>
  <c r="F93" i="2" s="1"/>
  <c r="E84" i="2"/>
  <c r="F84" i="2" s="1"/>
  <c r="E38" i="2"/>
  <c r="F38" i="2" s="1"/>
  <c r="E104" i="2"/>
  <c r="F104" i="2" s="1"/>
  <c r="E222" i="2"/>
  <c r="F222" i="2" s="1"/>
  <c r="E68" i="2"/>
  <c r="F68" i="2" s="1"/>
  <c r="E60" i="2"/>
  <c r="F60" i="2" s="1"/>
  <c r="E217" i="2"/>
  <c r="F217" i="2" s="1"/>
  <c r="E7" i="2"/>
  <c r="F7" i="2" s="1"/>
  <c r="Y28" i="1"/>
  <c r="AN78" i="2"/>
  <c r="Y45" i="1"/>
  <c r="AN56" i="2"/>
  <c r="E44" i="2"/>
  <c r="F44" i="2" s="1"/>
  <c r="E155" i="2"/>
  <c r="F155" i="2" s="1"/>
  <c r="E94" i="2"/>
  <c r="F94" i="2" s="1"/>
  <c r="E32" i="2"/>
  <c r="F32" i="2" s="1"/>
  <c r="E57" i="2"/>
  <c r="F57" i="2" s="1"/>
  <c r="E9" i="2"/>
  <c r="F9" i="2" s="1"/>
  <c r="E136" i="2"/>
  <c r="F136" i="2" s="1"/>
  <c r="E28" i="2"/>
  <c r="F28" i="2" s="1"/>
  <c r="E169" i="2"/>
  <c r="F169" i="2" s="1"/>
  <c r="E212" i="2"/>
  <c r="F212" i="2" s="1"/>
  <c r="Y63" i="1"/>
  <c r="AN52" i="2"/>
  <c r="E148" i="2"/>
  <c r="F148" i="2" s="1"/>
  <c r="E185" i="2"/>
  <c r="F185" i="2" s="1"/>
  <c r="E37" i="2"/>
  <c r="F37" i="2" s="1"/>
  <c r="E200" i="2"/>
  <c r="F200" i="2" s="1"/>
  <c r="E163" i="2"/>
  <c r="F163" i="2" s="1"/>
  <c r="E160" i="2"/>
  <c r="F160" i="2" s="1"/>
  <c r="E13" i="2"/>
  <c r="F13" i="2" s="1"/>
  <c r="E31" i="2"/>
  <c r="F31" i="2" s="1"/>
  <c r="E215" i="2"/>
  <c r="F215" i="2" s="1"/>
  <c r="Y144" i="1"/>
  <c r="AN193" i="2"/>
  <c r="Y215" i="1"/>
  <c r="AN72" i="2"/>
  <c r="E19" i="2"/>
  <c r="F19" i="2" s="1"/>
  <c r="E146" i="2"/>
  <c r="F146" i="2" s="1"/>
  <c r="E50" i="2"/>
  <c r="F50" i="2" s="1"/>
  <c r="E11" i="2"/>
  <c r="F11" i="2" s="1"/>
  <c r="E117" i="2"/>
  <c r="F117" i="2" s="1"/>
  <c r="E81" i="2"/>
  <c r="F81" i="2" s="1"/>
  <c r="E194" i="2"/>
  <c r="F194" i="2" s="1"/>
  <c r="Y16" i="1"/>
  <c r="AN196" i="2"/>
  <c r="Y10" i="1"/>
  <c r="AN119" i="2"/>
  <c r="Y92" i="1"/>
  <c r="AN65" i="2"/>
  <c r="Y65" i="1"/>
  <c r="AN169" i="2"/>
  <c r="Y52" i="1"/>
  <c r="AN77" i="2"/>
  <c r="Y103" i="1"/>
  <c r="AN63" i="2"/>
  <c r="Y66" i="1"/>
  <c r="AN69" i="2"/>
  <c r="E176" i="2"/>
  <c r="F176" i="2" s="1"/>
  <c r="E82" i="2"/>
  <c r="F82" i="2" s="1"/>
  <c r="E207" i="2"/>
  <c r="F207" i="2" s="1"/>
  <c r="E137" i="2"/>
  <c r="F137" i="2" s="1"/>
  <c r="E23" i="2"/>
  <c r="F23" i="2" s="1"/>
  <c r="E205" i="2"/>
  <c r="F205" i="2" s="1"/>
  <c r="E20" i="2"/>
  <c r="F20" i="2" s="1"/>
  <c r="E2" i="2"/>
  <c r="F2" i="2" s="1"/>
  <c r="E67" i="2"/>
  <c r="F67" i="2" s="1"/>
  <c r="Y140" i="1"/>
  <c r="AN10" i="2"/>
  <c r="Y19" i="1"/>
  <c r="AN229" i="2"/>
  <c r="Y177" i="1"/>
  <c r="AN26" i="2"/>
  <c r="E124" i="2"/>
  <c r="F124" i="2" s="1"/>
  <c r="E74" i="2"/>
  <c r="F74" i="2" s="1"/>
  <c r="E17" i="2"/>
  <c r="F17" i="2" s="1"/>
  <c r="E30" i="2"/>
  <c r="F30" i="2" s="1"/>
  <c r="E27" i="2"/>
  <c r="F27" i="2" s="1"/>
  <c r="E79" i="2"/>
  <c r="F79" i="2" s="1"/>
  <c r="E159" i="2"/>
  <c r="F159" i="2" s="1"/>
  <c r="E108" i="2"/>
  <c r="F108" i="2" s="1"/>
  <c r="E91" i="2"/>
  <c r="F91" i="2" s="1"/>
  <c r="Y54" i="1"/>
  <c r="AN163" i="2"/>
  <c r="Y37" i="1"/>
  <c r="AN198" i="2"/>
  <c r="Y163" i="1"/>
  <c r="AN223" i="2"/>
  <c r="E33" i="2"/>
  <c r="F33" i="2" s="1"/>
  <c r="E55" i="2"/>
  <c r="F55" i="2" s="1"/>
  <c r="E64" i="2"/>
  <c r="F64" i="2" s="1"/>
  <c r="E113" i="2"/>
  <c r="F113" i="2" s="1"/>
  <c r="E171" i="2"/>
  <c r="F171" i="2" s="1"/>
  <c r="E96" i="2"/>
  <c r="F96" i="2" s="1"/>
  <c r="E191" i="2"/>
  <c r="F191" i="2" s="1"/>
  <c r="E8" i="2"/>
  <c r="F8" i="2" s="1"/>
  <c r="E166" i="2"/>
  <c r="F166" i="2" s="1"/>
  <c r="E213" i="2"/>
  <c r="F213" i="2" s="1"/>
  <c r="Y221" i="1"/>
  <c r="AN17" i="2"/>
  <c r="Y73" i="1"/>
  <c r="AN92" i="2"/>
  <c r="Y152" i="1"/>
  <c r="AN81" i="2"/>
  <c r="E102" i="2"/>
  <c r="F102" i="2" s="1"/>
  <c r="E46" i="2"/>
  <c r="F46" i="2" s="1"/>
  <c r="E188" i="2"/>
  <c r="F188" i="2" s="1"/>
  <c r="E85" i="2"/>
  <c r="F85" i="2" s="1"/>
  <c r="E153" i="2"/>
  <c r="F153" i="2" s="1"/>
  <c r="E223" i="2"/>
  <c r="F223" i="2" s="1"/>
  <c r="E47" i="2"/>
  <c r="F47" i="2" s="1"/>
  <c r="E101" i="2"/>
  <c r="F101" i="2" s="1"/>
  <c r="E10" i="2"/>
  <c r="F10" i="2" s="1"/>
  <c r="E154" i="2"/>
  <c r="F154" i="2" s="1"/>
  <c r="E115" i="2"/>
  <c r="F115" i="2" s="1"/>
  <c r="E110" i="2"/>
  <c r="F110" i="2" s="1"/>
  <c r="E196" i="2"/>
  <c r="F196" i="2" s="1"/>
  <c r="E73" i="2"/>
  <c r="F73" i="2" s="1"/>
  <c r="E66" i="2"/>
  <c r="F66" i="2" s="1"/>
  <c r="E184" i="2"/>
  <c r="F184" i="2" s="1"/>
  <c r="E157" i="2"/>
  <c r="F157" i="2" s="1"/>
  <c r="E180" i="2"/>
  <c r="F180" i="2" s="1"/>
  <c r="E131" i="2"/>
  <c r="F131" i="2" s="1"/>
  <c r="E152" i="2"/>
  <c r="F152" i="2" s="1"/>
  <c r="E168" i="2"/>
  <c r="F168" i="2" s="1"/>
  <c r="E87" i="2"/>
  <c r="F87" i="2" s="1"/>
  <c r="E210" i="2"/>
  <c r="F210" i="2" s="1"/>
  <c r="Y41" i="1"/>
  <c r="AN85" i="2"/>
  <c r="Y60" i="1"/>
  <c r="AN202" i="2"/>
  <c r="E139" i="2"/>
  <c r="F139" i="2" s="1"/>
  <c r="E179" i="2"/>
  <c r="F179" i="2" s="1"/>
  <c r="E36" i="2"/>
  <c r="F36" i="2" s="1"/>
  <c r="E120" i="2"/>
  <c r="F120" i="2" s="1"/>
  <c r="E202" i="2"/>
  <c r="F202" i="2" s="1"/>
  <c r="E59" i="2"/>
  <c r="F59" i="2" s="1"/>
  <c r="E100" i="2"/>
  <c r="F100" i="2" s="1"/>
  <c r="Y164" i="1"/>
  <c r="AN184" i="2"/>
  <c r="Y169" i="1"/>
  <c r="AN13" i="2"/>
  <c r="Y44" i="1"/>
  <c r="AN214" i="2"/>
  <c r="Y100" i="1"/>
  <c r="AN140" i="2"/>
  <c r="E114" i="2"/>
  <c r="F114" i="2" s="1"/>
  <c r="E90" i="2"/>
  <c r="F90" i="2" s="1"/>
  <c r="E40" i="2"/>
  <c r="F40" i="2" s="1"/>
  <c r="E88" i="2"/>
  <c r="F88" i="2" s="1"/>
  <c r="E116" i="2"/>
  <c r="F116" i="2" s="1"/>
  <c r="E54" i="2"/>
  <c r="F54" i="2" s="1"/>
  <c r="E203" i="2"/>
  <c r="F203" i="2" s="1"/>
  <c r="E182" i="2"/>
  <c r="F182" i="2" s="1"/>
  <c r="Y129" i="1"/>
  <c r="AN108" i="2"/>
  <c r="E22" i="2"/>
  <c r="F22" i="2" s="1"/>
  <c r="E143" i="2"/>
  <c r="F143" i="2" s="1"/>
  <c r="E134" i="2"/>
  <c r="F134" i="2" s="1"/>
  <c r="E61" i="2"/>
  <c r="F61" i="2" s="1"/>
  <c r="E145" i="2"/>
  <c r="F145" i="2" s="1"/>
  <c r="E144" i="2"/>
  <c r="F144" i="2" s="1"/>
  <c r="E175" i="2"/>
  <c r="F175" i="2" s="1"/>
  <c r="E123" i="2"/>
  <c r="F123" i="2" s="1"/>
  <c r="E5" i="2"/>
  <c r="F5" i="2" s="1"/>
  <c r="Y218" i="1"/>
  <c r="AN222" i="2"/>
  <c r="Y21" i="1"/>
  <c r="AN22" i="2"/>
  <c r="E174" i="2"/>
  <c r="F174" i="2" s="1"/>
  <c r="E147" i="2"/>
  <c r="F147" i="2" s="1"/>
  <c r="E142" i="2"/>
  <c r="F142" i="2" s="1"/>
  <c r="E109" i="2"/>
  <c r="F109" i="2" s="1"/>
  <c r="E140" i="2"/>
  <c r="F140" i="2" s="1"/>
  <c r="E227" i="2"/>
  <c r="F227" i="2" s="1"/>
  <c r="E162" i="2"/>
  <c r="F162" i="2" s="1"/>
  <c r="E25" i="2"/>
  <c r="F25" i="2" s="1"/>
  <c r="E98" i="2"/>
  <c r="F98" i="2" s="1"/>
  <c r="E209" i="2"/>
  <c r="F209" i="2" s="1"/>
  <c r="E34" i="2"/>
  <c r="F34" i="2" s="1"/>
  <c r="E195" i="2"/>
  <c r="F195" i="2" s="1"/>
  <c r="Y107" i="1"/>
  <c r="AN71" i="2"/>
  <c r="Y132" i="1"/>
  <c r="AN157" i="2"/>
  <c r="E178" i="2"/>
  <c r="F178" i="2" s="1"/>
  <c r="E128" i="2"/>
  <c r="F128" i="2" s="1"/>
  <c r="Y11" i="1"/>
  <c r="AO66" i="2" s="1"/>
  <c r="AN66" i="2"/>
  <c r="Y165" i="1"/>
  <c r="AN33" i="2"/>
  <c r="Y154" i="1"/>
  <c r="AN170" i="2"/>
  <c r="E21" i="2"/>
  <c r="F21" i="2" s="1"/>
  <c r="E150" i="2"/>
  <c r="F150" i="2" s="1"/>
  <c r="E158" i="2"/>
  <c r="F158" i="2" s="1"/>
  <c r="E51" i="2"/>
  <c r="F51" i="2" s="1"/>
  <c r="E129" i="2"/>
  <c r="F129" i="2" s="1"/>
  <c r="E161" i="2"/>
  <c r="F161" i="2" s="1"/>
  <c r="Y184" i="1"/>
  <c r="AN115" i="2"/>
  <c r="E80" i="2"/>
  <c r="F80" i="2" s="1"/>
  <c r="E18" i="2"/>
  <c r="F18" i="2" s="1"/>
  <c r="E118" i="2"/>
  <c r="F118" i="2" s="1"/>
  <c r="E29" i="2"/>
  <c r="F29" i="2" s="1"/>
  <c r="E107" i="2"/>
  <c r="F107" i="2" s="1"/>
  <c r="E127" i="2"/>
  <c r="F127" i="2" s="1"/>
  <c r="E24" i="2"/>
  <c r="F24" i="2" s="1"/>
  <c r="E39" i="2"/>
  <c r="F39" i="2" s="1"/>
  <c r="E172" i="2"/>
  <c r="F172" i="2" s="1"/>
  <c r="E197" i="2"/>
  <c r="F197" i="2" s="1"/>
  <c r="E165" i="2"/>
  <c r="F165" i="2" s="1"/>
  <c r="Y38" i="1"/>
  <c r="AN106" i="2"/>
  <c r="E12" i="2"/>
  <c r="F12" i="2" s="1"/>
  <c r="E193" i="2"/>
  <c r="F193" i="2" s="1"/>
  <c r="Y4" i="1"/>
  <c r="Y114" i="1"/>
  <c r="Y30" i="1"/>
  <c r="Y87" i="1"/>
  <c r="Y225" i="1"/>
  <c r="Y5" i="1"/>
  <c r="AO188" i="2" s="1"/>
  <c r="Y29" i="1"/>
  <c r="Y185" i="1"/>
  <c r="AO174" i="2" s="1"/>
  <c r="Y110" i="1"/>
  <c r="Y22" i="1"/>
  <c r="Y23" i="1"/>
  <c r="Y173" i="1"/>
  <c r="Y117" i="1"/>
  <c r="Y217" i="1"/>
  <c r="AO32" i="2" s="1"/>
  <c r="Y57" i="1"/>
  <c r="AO82" i="2" s="1"/>
  <c r="Y168" i="1"/>
  <c r="AO206" i="2" s="1"/>
  <c r="Y172" i="1"/>
  <c r="Y17" i="1"/>
  <c r="Y122" i="1"/>
  <c r="Y134" i="1"/>
  <c r="Y14" i="1"/>
  <c r="AO138" i="2" s="1"/>
  <c r="Y61" i="1"/>
  <c r="Y203" i="1"/>
  <c r="Y72" i="1"/>
  <c r="Y127" i="1"/>
  <c r="Y136" i="1"/>
  <c r="Y167" i="1"/>
  <c r="Y191" i="1"/>
  <c r="Y89" i="1"/>
  <c r="Y97" i="1"/>
  <c r="AO89" i="2" s="1"/>
  <c r="Y138" i="1"/>
  <c r="Y219" i="1"/>
  <c r="Y105" i="1"/>
  <c r="Y83" i="1"/>
  <c r="Y35" i="1"/>
  <c r="Y166" i="1"/>
  <c r="Y42" i="1"/>
  <c r="Y70" i="1"/>
  <c r="Y96" i="1"/>
  <c r="AO84" i="2" s="1"/>
  <c r="Y93" i="1"/>
  <c r="AO215" i="2" s="1"/>
  <c r="Y179" i="1"/>
  <c r="Y175" i="1"/>
  <c r="AO156" i="2" s="1"/>
  <c r="Y68" i="1"/>
  <c r="AO164" i="2" s="1"/>
  <c r="Y55" i="1"/>
  <c r="Y176" i="1"/>
  <c r="Y121" i="1"/>
  <c r="Y145" i="1"/>
  <c r="Y32" i="1"/>
  <c r="Y112" i="1"/>
  <c r="Y33" i="1"/>
  <c r="Y223" i="1"/>
  <c r="Y124" i="1"/>
  <c r="Y125" i="1"/>
  <c r="Y195" i="1"/>
  <c r="Y94" i="1"/>
  <c r="AO6" i="2" s="1"/>
  <c r="Y208" i="1"/>
  <c r="Y9" i="1"/>
  <c r="Y150" i="1"/>
  <c r="Y90" i="1"/>
  <c r="Y101" i="1"/>
  <c r="Y119" i="1"/>
  <c r="Y130" i="1"/>
  <c r="AO139" i="2" s="1"/>
  <c r="Y133" i="1"/>
  <c r="AO147" i="2" s="1"/>
  <c r="Y106" i="1"/>
  <c r="AO146" i="2" s="1"/>
  <c r="Y86" i="1"/>
  <c r="Y199" i="1"/>
  <c r="Y27" i="1"/>
  <c r="AO54" i="2" s="1"/>
  <c r="Y202" i="1"/>
  <c r="Y46" i="1"/>
  <c r="Y51" i="1"/>
  <c r="Y162" i="1"/>
  <c r="Y31" i="1"/>
  <c r="Y2" i="1"/>
  <c r="Y18" i="1"/>
  <c r="Y111" i="1"/>
  <c r="Y143" i="1"/>
  <c r="Y205" i="1"/>
  <c r="Y108" i="1"/>
  <c r="Y161" i="1"/>
  <c r="Y214" i="1"/>
  <c r="Y20" i="1"/>
  <c r="Y71" i="1"/>
  <c r="Y189" i="1"/>
  <c r="Y50" i="1"/>
  <c r="Y142" i="1"/>
  <c r="AO83" i="2" s="1"/>
  <c r="Y187" i="1"/>
  <c r="Y36" i="1"/>
  <c r="AO87" i="2" s="1"/>
  <c r="Y158" i="1"/>
  <c r="Y123" i="1"/>
  <c r="AO93" i="2" s="1"/>
  <c r="Y40" i="1"/>
  <c r="Y220" i="1"/>
  <c r="Y43" i="1"/>
  <c r="Y147" i="1"/>
  <c r="Y182" i="1"/>
  <c r="Y224" i="1"/>
  <c r="Y157" i="1"/>
  <c r="Y213" i="1"/>
  <c r="Y159" i="1"/>
  <c r="Y135" i="1"/>
  <c r="Y186" i="1"/>
  <c r="Y7" i="1"/>
  <c r="Y118" i="1"/>
  <c r="Y95" i="1"/>
  <c r="Y99" i="1"/>
  <c r="Y155" i="1"/>
  <c r="Y181" i="1"/>
  <c r="Y151" i="1"/>
  <c r="Y227" i="1"/>
  <c r="AO137" i="2" s="1"/>
  <c r="Y49" i="1"/>
  <c r="AO179" i="2" s="1"/>
  <c r="Y156" i="1"/>
  <c r="AO123" i="2" s="1"/>
  <c r="Y207" i="1"/>
  <c r="Y180" i="1"/>
  <c r="Y67" i="1"/>
  <c r="AO121" i="2" s="1"/>
  <c r="Y81" i="1"/>
  <c r="Y212" i="1"/>
  <c r="Y183" i="1"/>
  <c r="AO62" i="2" s="1"/>
  <c r="Y84" i="1"/>
  <c r="Y102" i="1"/>
  <c r="Y211" i="1"/>
  <c r="Y200" i="1"/>
  <c r="Y192" i="1"/>
  <c r="Y26" i="1"/>
  <c r="Y139" i="1"/>
  <c r="Y128" i="1"/>
  <c r="Y109" i="1"/>
  <c r="Y115" i="1"/>
  <c r="Y85" i="1"/>
  <c r="AO176" i="2" s="1"/>
  <c r="Y3" i="1"/>
  <c r="Y82" i="1"/>
  <c r="Y24" i="1"/>
  <c r="Y131" i="1"/>
  <c r="Y116" i="1"/>
  <c r="AO122" i="2" s="1"/>
  <c r="Y64" i="1"/>
  <c r="AO5" i="2" s="1"/>
  <c r="Y15" i="1"/>
  <c r="Y62" i="1"/>
  <c r="AO225" i="2" s="1"/>
  <c r="Y126" i="1"/>
  <c r="Y210" i="1"/>
  <c r="Y69" i="1"/>
  <c r="AO105" i="2" s="1"/>
  <c r="Y222" i="1"/>
  <c r="AO201" i="2" s="1"/>
  <c r="Y141" i="1"/>
  <c r="Y56" i="1"/>
  <c r="Y12" i="1"/>
  <c r="Y39" i="1"/>
  <c r="Y160" i="1"/>
  <c r="Y196" i="1"/>
  <c r="Y6" i="1"/>
  <c r="Y59" i="1"/>
  <c r="Y137" i="1"/>
  <c r="Y229" i="1"/>
  <c r="Y113" i="1"/>
  <c r="AO24" i="2" s="1"/>
  <c r="Y228" i="1"/>
  <c r="Y204" i="1"/>
  <c r="AO128" i="2" l="1"/>
  <c r="AO112" i="2"/>
  <c r="AO86" i="2"/>
  <c r="AO178" i="2"/>
  <c r="AO60" i="2"/>
  <c r="AO29" i="2"/>
  <c r="AO222" i="2"/>
  <c r="AO149" i="2"/>
  <c r="AO58" i="2"/>
  <c r="AO211" i="2"/>
  <c r="AO22" i="2"/>
  <c r="AO106" i="2"/>
  <c r="AO196" i="2"/>
  <c r="AO33" i="2"/>
  <c r="AO25" i="2"/>
  <c r="AO99" i="2"/>
  <c r="AO15" i="2"/>
  <c r="AO133" i="2"/>
  <c r="AO132" i="2"/>
  <c r="AO68" i="2"/>
  <c r="AO195" i="2"/>
  <c r="AO72" i="2"/>
  <c r="AO163" i="2"/>
  <c r="AO96" i="2"/>
  <c r="AO21" i="2"/>
  <c r="AO108" i="2"/>
  <c r="AO23" i="2"/>
  <c r="AO90" i="2"/>
  <c r="AO220" i="2"/>
  <c r="AO49" i="2"/>
  <c r="P52" i="2"/>
  <c r="P201" i="2"/>
  <c r="P218" i="2"/>
  <c r="Q39" i="2"/>
  <c r="Q138" i="2"/>
  <c r="P204" i="2"/>
  <c r="Q35" i="2"/>
  <c r="Q171" i="2"/>
  <c r="P107" i="2"/>
  <c r="P100" i="2"/>
  <c r="Q109" i="2"/>
  <c r="Q123" i="2"/>
  <c r="P55" i="2"/>
  <c r="Q220" i="2"/>
  <c r="P184" i="2"/>
  <c r="Q136" i="2"/>
  <c r="Q152" i="2"/>
  <c r="P203" i="2"/>
  <c r="P166" i="2"/>
  <c r="P93" i="2"/>
  <c r="P180" i="2"/>
  <c r="Q116" i="2"/>
  <c r="P37" i="2"/>
  <c r="P131" i="2"/>
  <c r="P12" i="2"/>
  <c r="Q88" i="2"/>
  <c r="P59" i="2"/>
  <c r="Q163" i="2"/>
  <c r="P181" i="2"/>
  <c r="P221" i="2"/>
  <c r="AO34" i="2"/>
  <c r="Q82" i="2"/>
  <c r="P97" i="2"/>
  <c r="P176" i="2"/>
  <c r="P117" i="2"/>
  <c r="Q132" i="2"/>
  <c r="AO202" i="2"/>
  <c r="P190" i="2"/>
  <c r="P72" i="2"/>
  <c r="AO76" i="2"/>
  <c r="P77" i="2"/>
  <c r="Q8" i="2"/>
  <c r="P53" i="2"/>
  <c r="P127" i="2"/>
  <c r="P182" i="2"/>
  <c r="P115" i="2"/>
  <c r="P159" i="2"/>
  <c r="AO165" i="2"/>
  <c r="AO175" i="2"/>
  <c r="AO67" i="2"/>
  <c r="Q128" i="2"/>
  <c r="AO44" i="2"/>
  <c r="AO103" i="2"/>
  <c r="AO145" i="2"/>
  <c r="P109" i="2"/>
  <c r="AO107" i="2"/>
  <c r="AO88" i="2"/>
  <c r="P63" i="2"/>
  <c r="P149" i="2"/>
  <c r="AO48" i="2"/>
  <c r="AO190" i="2"/>
  <c r="AO17" i="2"/>
  <c r="AO69" i="2"/>
  <c r="AO11" i="2"/>
  <c r="P87" i="2"/>
  <c r="Q209" i="2"/>
  <c r="AO113" i="2"/>
  <c r="AO78" i="2"/>
  <c r="P151" i="2"/>
  <c r="AO43" i="2"/>
  <c r="P161" i="2"/>
  <c r="AO74" i="2"/>
  <c r="AO155" i="2"/>
  <c r="AO189" i="2"/>
  <c r="AO111" i="2"/>
  <c r="AO157" i="2"/>
  <c r="AO184" i="2"/>
  <c r="AO26" i="2"/>
  <c r="P10" i="2"/>
  <c r="AO18" i="2"/>
  <c r="Q175" i="2"/>
  <c r="P85" i="2"/>
  <c r="Q145" i="2"/>
  <c r="P140" i="2"/>
  <c r="AO219" i="2"/>
  <c r="P169" i="2"/>
  <c r="P79" i="2"/>
  <c r="AO172" i="2"/>
  <c r="AO55" i="2"/>
  <c r="AO71" i="2"/>
  <c r="AO229" i="2"/>
  <c r="P99" i="2"/>
  <c r="P164" i="2"/>
  <c r="AO214" i="2"/>
  <c r="AO210" i="2"/>
  <c r="AO97" i="2"/>
  <c r="AO127" i="2"/>
  <c r="AO166" i="2"/>
  <c r="AO2" i="2"/>
  <c r="AO114" i="2"/>
  <c r="AO159" i="2"/>
  <c r="P71" i="2"/>
  <c r="P30" i="2"/>
  <c r="P193" i="2"/>
  <c r="P116" i="2"/>
  <c r="AO173" i="2"/>
  <c r="AO208" i="2"/>
  <c r="AO204" i="2"/>
  <c r="AO167" i="2"/>
  <c r="AO212" i="2"/>
  <c r="AO144" i="2"/>
  <c r="AO14" i="2"/>
  <c r="AO57" i="2"/>
  <c r="AO39" i="2"/>
  <c r="Q188" i="2"/>
  <c r="AO50" i="2"/>
  <c r="Q48" i="2"/>
  <c r="Q31" i="2"/>
  <c r="P21" i="2"/>
  <c r="Q130" i="2"/>
  <c r="P214" i="2"/>
  <c r="AO92" i="2"/>
  <c r="P202" i="2"/>
  <c r="Q115" i="2"/>
  <c r="P147" i="2"/>
  <c r="Q52" i="2"/>
  <c r="Q178" i="2"/>
  <c r="P199" i="2"/>
  <c r="Q21" i="2"/>
  <c r="P56" i="2"/>
  <c r="Q2" i="2"/>
  <c r="Q77" i="2"/>
  <c r="P54" i="2"/>
  <c r="P118" i="2"/>
  <c r="P222" i="2"/>
  <c r="P50" i="2"/>
  <c r="Q13" i="2"/>
  <c r="P106" i="2"/>
  <c r="AO56" i="2"/>
  <c r="P91" i="2"/>
  <c r="P183" i="2"/>
  <c r="P24" i="2"/>
  <c r="P57" i="2"/>
  <c r="AO142" i="2"/>
  <c r="AO221" i="2"/>
  <c r="Q212" i="2"/>
  <c r="Q189" i="2"/>
  <c r="Q204" i="2"/>
  <c r="Q102" i="2"/>
  <c r="Q18" i="2"/>
  <c r="P46" i="2"/>
  <c r="P141" i="2"/>
  <c r="P69" i="2"/>
  <c r="Q89" i="2"/>
  <c r="P186" i="2"/>
  <c r="P138" i="2"/>
  <c r="P44" i="2"/>
  <c r="R79" i="2"/>
  <c r="P16" i="2"/>
  <c r="P40" i="2"/>
  <c r="Q170" i="2"/>
  <c r="P119" i="2"/>
  <c r="P173" i="2"/>
  <c r="P29" i="2"/>
  <c r="P8" i="2"/>
  <c r="P95" i="2"/>
  <c r="Q215" i="2"/>
  <c r="Q58" i="2"/>
  <c r="P128" i="2"/>
  <c r="AO126" i="2"/>
  <c r="Q3" i="2"/>
  <c r="Q182" i="2"/>
  <c r="AO181" i="2"/>
  <c r="AO116" i="2"/>
  <c r="AO186" i="2"/>
  <c r="AO98" i="2"/>
  <c r="P177" i="2"/>
  <c r="Q40" i="2"/>
  <c r="Q185" i="2"/>
  <c r="P187" i="2"/>
  <c r="P112" i="2"/>
  <c r="P15" i="2"/>
  <c r="Q84" i="2"/>
  <c r="P58" i="2"/>
  <c r="P210" i="2"/>
  <c r="P225" i="2"/>
  <c r="Q176" i="2"/>
  <c r="P48" i="2"/>
  <c r="P111" i="2"/>
  <c r="P42" i="2"/>
  <c r="P132" i="2"/>
  <c r="Q87" i="2"/>
  <c r="P171" i="2"/>
  <c r="P2" i="2"/>
  <c r="Q196" i="2"/>
  <c r="P160" i="2"/>
  <c r="AO85" i="2"/>
  <c r="P22" i="2"/>
  <c r="Q55" i="2"/>
  <c r="Q29" i="2"/>
  <c r="Q159" i="2"/>
  <c r="P103" i="2"/>
  <c r="P211" i="2"/>
  <c r="P224" i="2"/>
  <c r="Q69" i="2"/>
  <c r="Q156" i="2"/>
  <c r="AO38" i="2"/>
  <c r="Q53" i="2"/>
  <c r="P76" i="2"/>
  <c r="P165" i="2"/>
  <c r="AO12" i="2"/>
  <c r="AO51" i="2"/>
  <c r="AO79" i="2"/>
  <c r="Q193" i="2"/>
  <c r="P39" i="2"/>
  <c r="P220" i="2"/>
  <c r="P9" i="2"/>
  <c r="Q158" i="2"/>
  <c r="P145" i="2"/>
  <c r="P18" i="2"/>
  <c r="Q162" i="2"/>
  <c r="P67" i="2"/>
  <c r="Q187" i="2"/>
  <c r="Q141" i="2"/>
  <c r="Q83" i="2"/>
  <c r="P83" i="2"/>
  <c r="P175" i="2"/>
  <c r="P134" i="2"/>
  <c r="AO53" i="2"/>
  <c r="Q60" i="2"/>
  <c r="Q219" i="2"/>
  <c r="AO35" i="2"/>
  <c r="Q172" i="2"/>
  <c r="Q226" i="2"/>
  <c r="AO52" i="2"/>
  <c r="AO104" i="2"/>
  <c r="AO80" i="2"/>
  <c r="AO150" i="2"/>
  <c r="AO151" i="2"/>
  <c r="AO187" i="2"/>
  <c r="AO203" i="2"/>
  <c r="AO177" i="2"/>
  <c r="AO117" i="2"/>
  <c r="AO42" i="2"/>
  <c r="P35" i="2"/>
  <c r="Q161" i="2"/>
  <c r="P88" i="2"/>
  <c r="Q7" i="2"/>
  <c r="Q38" i="2"/>
  <c r="P27" i="2"/>
  <c r="Q27" i="2"/>
  <c r="Q108" i="2"/>
  <c r="Q66" i="2"/>
  <c r="Q62" i="2"/>
  <c r="AO193" i="2"/>
  <c r="P11" i="2"/>
  <c r="Q97" i="2"/>
  <c r="Q191" i="2"/>
  <c r="P122" i="2"/>
  <c r="AO205" i="2"/>
  <c r="P219" i="2"/>
  <c r="AO101" i="2"/>
  <c r="P75" i="2"/>
  <c r="AO10" i="2"/>
  <c r="AO63" i="2"/>
  <c r="P84" i="2"/>
  <c r="P82" i="2"/>
  <c r="P139" i="2"/>
  <c r="AO152" i="2"/>
  <c r="P191" i="2"/>
  <c r="AO168" i="2"/>
  <c r="P163" i="2"/>
  <c r="P227" i="2"/>
  <c r="P208" i="2"/>
  <c r="AO110" i="2"/>
  <c r="P167" i="2"/>
  <c r="AO192" i="2"/>
  <c r="AO7" i="2"/>
  <c r="AO161" i="2"/>
  <c r="AO226" i="2"/>
  <c r="P90" i="2"/>
  <c r="Q6" i="2"/>
  <c r="Q68" i="2"/>
  <c r="P213" i="2"/>
  <c r="Q20" i="2"/>
  <c r="P216" i="2"/>
  <c r="P66" i="2"/>
  <c r="Q4" i="2"/>
  <c r="Q24" i="2"/>
  <c r="P195" i="2"/>
  <c r="P133" i="2"/>
  <c r="P45" i="2"/>
  <c r="P108" i="2"/>
  <c r="Q214" i="2"/>
  <c r="P228" i="2"/>
  <c r="P121" i="2"/>
  <c r="P114" i="2"/>
  <c r="P120" i="2"/>
  <c r="Q140" i="2"/>
  <c r="P143" i="2"/>
  <c r="P33" i="2"/>
  <c r="Q105" i="2"/>
  <c r="AO77" i="2"/>
  <c r="Q22" i="2"/>
  <c r="P129" i="2"/>
  <c r="P105" i="2"/>
  <c r="Q195" i="2"/>
  <c r="P200" i="2"/>
  <c r="P178" i="2"/>
  <c r="P102" i="2"/>
  <c r="P124" i="2"/>
  <c r="Q86" i="2"/>
  <c r="P125" i="2"/>
  <c r="AO183" i="2"/>
  <c r="P150" i="2"/>
  <c r="Q168" i="2"/>
  <c r="Q47" i="2"/>
  <c r="P205" i="2"/>
  <c r="P212" i="2"/>
  <c r="Q186" i="2"/>
  <c r="P215" i="2"/>
  <c r="Q10" i="2"/>
  <c r="Q147" i="2"/>
  <c r="P78" i="2"/>
  <c r="AO217" i="2"/>
  <c r="P126" i="2"/>
  <c r="AO153" i="2"/>
  <c r="P80" i="2"/>
  <c r="P194" i="2"/>
  <c r="P19" i="2"/>
  <c r="P92" i="2"/>
  <c r="P179" i="2"/>
  <c r="AO197" i="2"/>
  <c r="P104" i="2"/>
  <c r="P3" i="2"/>
  <c r="Q76" i="2"/>
  <c r="P13" i="2"/>
  <c r="P137" i="2"/>
  <c r="AO169" i="2"/>
  <c r="P31" i="2"/>
  <c r="P123" i="2"/>
  <c r="P148" i="2"/>
  <c r="P5" i="2"/>
  <c r="P81" i="2"/>
  <c r="P4" i="2"/>
  <c r="P136" i="2"/>
  <c r="P62" i="2"/>
  <c r="AO30" i="2"/>
  <c r="P168" i="2"/>
  <c r="AO162" i="2"/>
  <c r="Q30" i="2"/>
  <c r="Q103" i="2"/>
  <c r="Q5" i="2"/>
  <c r="Q225" i="2"/>
  <c r="P14" i="2"/>
  <c r="AO64" i="2"/>
  <c r="Q41" i="2"/>
  <c r="AO73" i="2"/>
  <c r="P64" i="2"/>
  <c r="P217" i="2"/>
  <c r="Q37" i="2"/>
  <c r="P36" i="2"/>
  <c r="P101" i="2"/>
  <c r="P26" i="2"/>
  <c r="AO118" i="2"/>
  <c r="P6" i="2"/>
  <c r="AO19" i="2"/>
  <c r="Q79" i="2"/>
  <c r="R13" i="2"/>
  <c r="P96" i="2"/>
  <c r="P47" i="2"/>
  <c r="Q112" i="2"/>
  <c r="Q222" i="2"/>
  <c r="P25" i="2"/>
  <c r="Q224" i="2"/>
  <c r="AO47" i="2"/>
  <c r="P192" i="2"/>
  <c r="P144" i="2"/>
  <c r="AO46" i="2"/>
  <c r="Q104" i="2"/>
  <c r="Q190" i="2"/>
  <c r="AO154" i="2"/>
  <c r="AO199" i="2"/>
  <c r="P49" i="2"/>
  <c r="AO182" i="2"/>
  <c r="P17" i="2"/>
  <c r="AO185" i="2"/>
  <c r="AO209" i="2"/>
  <c r="AO143" i="2"/>
  <c r="AO37" i="2"/>
  <c r="AO31" i="2"/>
  <c r="AO218" i="2"/>
  <c r="Q23" i="2"/>
  <c r="P68" i="2"/>
  <c r="P70" i="2"/>
  <c r="P51" i="2"/>
  <c r="AO13" i="2"/>
  <c r="P198" i="2"/>
  <c r="AO81" i="2"/>
  <c r="P73" i="2"/>
  <c r="P135" i="2"/>
  <c r="P185" i="2"/>
  <c r="P223" i="2"/>
  <c r="P41" i="2"/>
  <c r="P34" i="2"/>
  <c r="P189" i="2"/>
  <c r="AO216" i="2"/>
  <c r="Q217" i="2"/>
  <c r="Q14" i="2"/>
  <c r="P226" i="2"/>
  <c r="P89" i="2"/>
  <c r="AO4" i="2"/>
  <c r="AO94" i="2"/>
  <c r="Q150" i="2"/>
  <c r="Q50" i="2"/>
  <c r="AO134" i="2"/>
  <c r="AO100" i="2"/>
  <c r="AO129" i="2"/>
  <c r="AO91" i="2"/>
  <c r="AO224" i="2"/>
  <c r="P207" i="2"/>
  <c r="Q146" i="2"/>
  <c r="Q9" i="2"/>
  <c r="Q54" i="2"/>
  <c r="P188" i="2"/>
  <c r="Q151" i="2"/>
  <c r="P38" i="2"/>
  <c r="R129" i="2"/>
  <c r="AO40" i="2"/>
  <c r="AO45" i="2"/>
  <c r="P157" i="2"/>
  <c r="P74" i="2"/>
  <c r="Q49" i="2"/>
  <c r="Q42" i="2"/>
  <c r="P94" i="2"/>
  <c r="AO124" i="2"/>
  <c r="AO140" i="2"/>
  <c r="AO227" i="2"/>
  <c r="AO27" i="2"/>
  <c r="AO70" i="2"/>
  <c r="AO135" i="2"/>
  <c r="AO28" i="2"/>
  <c r="AO171" i="2"/>
  <c r="AO120" i="2"/>
  <c r="P229" i="2"/>
  <c r="Q32" i="2"/>
  <c r="P28" i="2"/>
  <c r="P86" i="2"/>
  <c r="Q213" i="2"/>
  <c r="Q46" i="2"/>
  <c r="P153" i="2"/>
  <c r="P170" i="2"/>
  <c r="AO65" i="2"/>
  <c r="P158" i="2"/>
  <c r="Q73" i="2"/>
  <c r="AO158" i="2"/>
  <c r="P206" i="2"/>
  <c r="P110" i="2"/>
  <c r="AO36" i="2"/>
  <c r="Q78" i="2"/>
  <c r="AO207" i="2"/>
  <c r="Q12" i="2"/>
  <c r="P65" i="2"/>
  <c r="AO148" i="2"/>
  <c r="AO20" i="2"/>
  <c r="AO130" i="2"/>
  <c r="AO228" i="2"/>
  <c r="AO16" i="2"/>
  <c r="AO131" i="2"/>
  <c r="AO191" i="2"/>
  <c r="Q183" i="2"/>
  <c r="P174" i="2"/>
  <c r="P146" i="2"/>
  <c r="Q160" i="2"/>
  <c r="Q173" i="2"/>
  <c r="AO223" i="2"/>
  <c r="P196" i="2"/>
  <c r="P32" i="2"/>
  <c r="P43" i="2"/>
  <c r="P60" i="2"/>
  <c r="P156" i="2"/>
  <c r="AO200" i="2"/>
  <c r="P197" i="2"/>
  <c r="P172" i="2"/>
  <c r="P209" i="2"/>
  <c r="P7" i="2"/>
  <c r="Q95" i="2"/>
  <c r="Q192" i="2"/>
  <c r="P162" i="2"/>
  <c r="P152" i="2"/>
  <c r="P154" i="2"/>
  <c r="AO119" i="2"/>
  <c r="Q149" i="2"/>
  <c r="P61" i="2"/>
  <c r="AO8" i="2"/>
  <c r="Q51" i="2"/>
  <c r="Q28" i="2"/>
  <c r="Q70" i="2"/>
  <c r="Q80" i="2"/>
  <c r="AO141" i="2"/>
  <c r="AO41" i="2"/>
  <c r="AO136" i="2"/>
  <c r="AO95" i="2"/>
  <c r="AO213" i="2"/>
  <c r="AO160" i="2"/>
  <c r="AO9" i="2"/>
  <c r="AO59" i="2"/>
  <c r="AO75" i="2"/>
  <c r="P142" i="2"/>
  <c r="AO115" i="2"/>
  <c r="AO170" i="2"/>
  <c r="P98" i="2"/>
  <c r="P113" i="2"/>
  <c r="P23" i="2"/>
  <c r="AO198" i="2"/>
  <c r="P20" i="2"/>
  <c r="P155" i="2"/>
  <c r="AO109" i="2"/>
  <c r="P130" i="2"/>
  <c r="AO194" i="2"/>
  <c r="R82" i="2"/>
  <c r="R196" i="2"/>
  <c r="R95" i="2"/>
  <c r="R100" i="2"/>
  <c r="R225" i="2"/>
  <c r="R85" i="2"/>
  <c r="R92" i="2"/>
  <c r="R198" i="2"/>
  <c r="R142" i="2"/>
  <c r="R88" i="2"/>
  <c r="R56" i="2"/>
  <c r="R220" i="2"/>
  <c r="R109" i="2"/>
  <c r="R47" i="2"/>
  <c r="R73" i="2"/>
  <c r="R11" i="2"/>
  <c r="R154" i="2"/>
  <c r="Q96" i="2"/>
  <c r="R74" i="2"/>
  <c r="R181" i="2"/>
  <c r="R168" i="2"/>
  <c r="R36" i="2"/>
  <c r="R98" i="2"/>
  <c r="R201" i="2"/>
  <c r="R10" i="2"/>
  <c r="R69" i="2"/>
  <c r="R86" i="2"/>
  <c r="R134" i="2"/>
  <c r="R152" i="2"/>
  <c r="R55" i="2"/>
  <c r="Q125" i="2"/>
  <c r="R167" i="2"/>
  <c r="Q16" i="2"/>
  <c r="Q207" i="2"/>
  <c r="R188" i="2"/>
  <c r="Q17" i="2"/>
  <c r="Q67" i="2"/>
  <c r="R139" i="2"/>
  <c r="R128" i="2"/>
  <c r="R146" i="2"/>
  <c r="R166" i="2"/>
  <c r="R110" i="2"/>
  <c r="R210" i="2"/>
  <c r="R60" i="2"/>
  <c r="R156" i="2"/>
  <c r="R62" i="2"/>
  <c r="R53" i="2"/>
  <c r="R147" i="2"/>
  <c r="R59" i="2"/>
  <c r="R70" i="2"/>
  <c r="R116" i="2"/>
  <c r="R157" i="2"/>
  <c r="R120" i="2"/>
  <c r="R173" i="2"/>
  <c r="R63" i="2"/>
  <c r="R72" i="2"/>
  <c r="R182" i="2"/>
  <c r="Q122" i="2"/>
  <c r="R5" i="2"/>
  <c r="R224" i="2"/>
  <c r="R174" i="2"/>
  <c r="Q127" i="2"/>
  <c r="Q121" i="2"/>
  <c r="R122" i="2"/>
  <c r="R203" i="2"/>
  <c r="Q113" i="2"/>
  <c r="R221" i="2"/>
  <c r="R46" i="2"/>
  <c r="R111" i="2"/>
  <c r="R164" i="2"/>
  <c r="R2" i="2"/>
  <c r="R191" i="2"/>
  <c r="R43" i="2"/>
  <c r="R71" i="2"/>
  <c r="R22" i="2"/>
  <c r="R23" i="2"/>
  <c r="R105" i="2"/>
  <c r="R77" i="2"/>
  <c r="R165" i="2"/>
  <c r="R50" i="2"/>
  <c r="R9" i="2"/>
  <c r="R14" i="2"/>
  <c r="R145" i="2"/>
  <c r="R91" i="2"/>
  <c r="R42" i="2"/>
  <c r="Q205" i="2"/>
  <c r="R130" i="2"/>
  <c r="R176" i="2"/>
  <c r="R186" i="2"/>
  <c r="R144" i="2"/>
  <c r="Q142" i="2"/>
  <c r="R141" i="2"/>
  <c r="R171" i="2"/>
  <c r="R6" i="2"/>
  <c r="R96" i="2"/>
  <c r="R93" i="2"/>
  <c r="R3" i="2"/>
  <c r="R61" i="2"/>
  <c r="R125" i="2"/>
  <c r="Q99" i="2"/>
  <c r="R206" i="2"/>
  <c r="R94" i="2"/>
  <c r="Q44" i="2"/>
  <c r="Q34" i="2"/>
  <c r="R84" i="2"/>
  <c r="Q101" i="2"/>
  <c r="R4" i="2"/>
  <c r="R222" i="2"/>
  <c r="R208" i="2"/>
  <c r="R25" i="2"/>
  <c r="R123" i="2"/>
  <c r="Q202" i="2"/>
  <c r="R216" i="2"/>
  <c r="R45" i="2"/>
  <c r="R199" i="2"/>
  <c r="Q56" i="2"/>
  <c r="Q164" i="2"/>
  <c r="Q126" i="2"/>
  <c r="Q75" i="2"/>
  <c r="R78" i="2"/>
  <c r="R170" i="2"/>
  <c r="R209" i="2"/>
  <c r="R137" i="2"/>
  <c r="R211" i="2"/>
  <c r="R172" i="2"/>
  <c r="R127" i="2"/>
  <c r="R29" i="2"/>
  <c r="Q92" i="2"/>
  <c r="R64" i="2"/>
  <c r="R117" i="2"/>
  <c r="Q227" i="2"/>
  <c r="R207" i="2"/>
  <c r="R101" i="2"/>
  <c r="Q208" i="2"/>
  <c r="Q25" i="2"/>
  <c r="R26" i="2"/>
  <c r="R183" i="2"/>
  <c r="R124" i="2"/>
  <c r="R159" i="2"/>
  <c r="R31" i="2"/>
  <c r="Q165" i="2"/>
  <c r="Q90" i="2"/>
  <c r="Q167" i="2"/>
  <c r="R37" i="2"/>
  <c r="R20" i="2"/>
  <c r="R215" i="2"/>
  <c r="R195" i="2"/>
  <c r="R169" i="2"/>
  <c r="R160" i="2"/>
  <c r="R48" i="2"/>
  <c r="R187" i="2"/>
  <c r="R219" i="2"/>
  <c r="Q65" i="2"/>
  <c r="Q133" i="2"/>
  <c r="R153" i="2"/>
  <c r="R200" i="2"/>
  <c r="R15" i="2"/>
  <c r="R189" i="2"/>
  <c r="R190" i="2"/>
  <c r="Q120" i="2"/>
  <c r="R226" i="2"/>
  <c r="R132" i="2"/>
  <c r="R40" i="2"/>
  <c r="R163" i="2"/>
  <c r="R76" i="2"/>
  <c r="R205" i="2"/>
  <c r="R89" i="2"/>
  <c r="R227" i="2"/>
  <c r="R179" i="2"/>
  <c r="R97" i="2"/>
  <c r="R81" i="2"/>
  <c r="R16" i="2"/>
  <c r="Q81" i="2"/>
  <c r="R114" i="2"/>
  <c r="Q85" i="2"/>
  <c r="Q211" i="2"/>
  <c r="R34" i="2"/>
  <c r="Q124" i="2"/>
  <c r="Q218" i="2"/>
  <c r="R18" i="2"/>
  <c r="R67" i="2"/>
  <c r="Q110" i="2"/>
  <c r="Q19" i="2"/>
  <c r="R112" i="2"/>
  <c r="R87" i="2"/>
  <c r="Q15" i="2"/>
  <c r="R104" i="2"/>
  <c r="R212" i="2"/>
  <c r="Q134" i="2"/>
  <c r="Q72" i="2"/>
  <c r="Q93" i="2"/>
  <c r="Q206" i="2"/>
  <c r="Q107" i="2"/>
  <c r="Q155" i="2"/>
  <c r="Q228" i="2"/>
  <c r="Q118" i="2"/>
  <c r="R138" i="2"/>
  <c r="R177" i="2"/>
  <c r="R218" i="2"/>
  <c r="R126" i="2"/>
  <c r="Q91" i="2"/>
  <c r="Q33" i="2"/>
  <c r="Q59" i="2"/>
  <c r="R99" i="2"/>
  <c r="Q129" i="2"/>
  <c r="Q114" i="2"/>
  <c r="Q45" i="2"/>
  <c r="Q63" i="2"/>
  <c r="R136" i="2"/>
  <c r="R21" i="2"/>
  <c r="R143" i="2"/>
  <c r="R106" i="2"/>
  <c r="R115" i="2"/>
  <c r="R39" i="2"/>
  <c r="R178" i="2"/>
  <c r="R103" i="2"/>
  <c r="R229" i="2"/>
  <c r="R57" i="2"/>
  <c r="R108" i="2"/>
  <c r="R184" i="2"/>
  <c r="R204" i="2"/>
  <c r="R150" i="2"/>
  <c r="R107" i="2"/>
  <c r="Q210" i="2"/>
  <c r="Q11" i="2"/>
  <c r="R28" i="2"/>
  <c r="R90" i="2"/>
  <c r="Q203" i="2"/>
  <c r="Q194" i="2"/>
  <c r="R80" i="2"/>
  <c r="Q26" i="2"/>
  <c r="R8" i="2"/>
  <c r="R180" i="2"/>
  <c r="Q100" i="2"/>
  <c r="R33" i="2"/>
  <c r="R121" i="2"/>
  <c r="Q61" i="2"/>
  <c r="Q71" i="2"/>
  <c r="R228" i="2"/>
  <c r="R65" i="2"/>
  <c r="R131" i="2"/>
  <c r="Q98" i="2"/>
  <c r="Q43" i="2"/>
  <c r="Q131" i="2"/>
  <c r="R151" i="2"/>
  <c r="Q153" i="2"/>
  <c r="Q197" i="2"/>
  <c r="R58" i="2"/>
  <c r="Q111" i="2"/>
  <c r="R7" i="2"/>
  <c r="R193" i="2"/>
  <c r="R75" i="2"/>
  <c r="R38" i="2"/>
  <c r="Q166" i="2"/>
  <c r="R35" i="2"/>
  <c r="Q117" i="2"/>
  <c r="R102" i="2"/>
  <c r="R24" i="2"/>
  <c r="R32" i="2"/>
  <c r="R158" i="2"/>
  <c r="Q94" i="2"/>
  <c r="Q119" i="2"/>
  <c r="Q148" i="2"/>
  <c r="Q199" i="2"/>
  <c r="Q179" i="2"/>
  <c r="Q180" i="2"/>
  <c r="R17" i="2"/>
  <c r="R194" i="2"/>
  <c r="R202" i="2"/>
  <c r="R83" i="2"/>
  <c r="R140" i="2"/>
  <c r="R19" i="2"/>
  <c r="Q74" i="2"/>
  <c r="R162" i="2"/>
  <c r="R49" i="2"/>
  <c r="R135" i="2"/>
  <c r="R119" i="2"/>
  <c r="Q200" i="2"/>
  <c r="Q216" i="2"/>
  <c r="Q169" i="2"/>
  <c r="R149" i="2"/>
  <c r="R161" i="2"/>
  <c r="R217" i="2"/>
  <c r="Q57" i="2"/>
  <c r="R113" i="2"/>
  <c r="Q106" i="2"/>
  <c r="R118" i="2"/>
  <c r="R148" i="2"/>
  <c r="R51" i="2"/>
  <c r="Q223" i="2"/>
  <c r="R30" i="2"/>
  <c r="R192" i="2"/>
  <c r="Q154" i="2"/>
  <c r="Q157" i="2"/>
  <c r="R214" i="2"/>
  <c r="R54" i="2"/>
  <c r="R155" i="2"/>
  <c r="R223" i="2"/>
  <c r="R133" i="2"/>
  <c r="R52" i="2"/>
  <c r="Q137" i="2"/>
  <c r="R27" i="2"/>
  <c r="R68" i="2"/>
  <c r="Q64" i="2"/>
  <c r="Q144" i="2"/>
  <c r="R185" i="2"/>
  <c r="R44" i="2"/>
  <c r="R175" i="2"/>
  <c r="R41" i="2"/>
  <c r="R66" i="2"/>
  <c r="Q177" i="2"/>
  <c r="Q143" i="2"/>
  <c r="Q229" i="2"/>
  <c r="R213" i="2"/>
  <c r="Q201" i="2"/>
  <c r="Q135" i="2"/>
  <c r="Q184" i="2"/>
  <c r="Q139" i="2"/>
  <c r="Q174" i="2"/>
  <c r="Q198" i="2"/>
  <c r="Q181" i="2"/>
  <c r="R197" i="2"/>
  <c r="R12" i="2"/>
  <c r="Q221" i="2"/>
  <c r="Q36" i="2"/>
  <c r="S31" i="2" l="1"/>
  <c r="T31" i="2" s="1"/>
  <c r="S57" i="2"/>
  <c r="T57" i="2" s="1"/>
  <c r="S8" i="2"/>
  <c r="T8" i="2" s="1"/>
  <c r="S81" i="2"/>
  <c r="T81" i="2" s="1"/>
  <c r="S38" i="2"/>
  <c r="T38" i="2" s="1"/>
  <c r="S65" i="2"/>
  <c r="T65" i="2" s="1"/>
  <c r="S185" i="2"/>
  <c r="T185" i="2" s="1"/>
  <c r="S189" i="2"/>
  <c r="T189" i="2" s="1"/>
  <c r="S223" i="2"/>
  <c r="T223" i="2" s="1"/>
  <c r="S212" i="2"/>
  <c r="T212" i="2" s="1"/>
  <c r="S127" i="2"/>
  <c r="T127" i="2" s="1"/>
  <c r="S137" i="2"/>
  <c r="T137" i="2" s="1"/>
  <c r="S109" i="2"/>
  <c r="T109" i="2" s="1"/>
  <c r="S110" i="2"/>
  <c r="T110" i="2" s="1"/>
  <c r="S162" i="2"/>
  <c r="T162" i="2" s="1"/>
  <c r="S68" i="2"/>
  <c r="T68" i="2" s="1"/>
  <c r="S131" i="2"/>
  <c r="T131" i="2" s="1"/>
  <c r="S16" i="2"/>
  <c r="T16" i="2" s="1"/>
  <c r="S198" i="2"/>
  <c r="T198" i="2" s="1"/>
  <c r="S186" i="2"/>
  <c r="T186" i="2" s="1"/>
  <c r="S153" i="2"/>
  <c r="T153" i="2" s="1"/>
  <c r="S73" i="2"/>
  <c r="T73" i="2" s="1"/>
  <c r="S85" i="2"/>
  <c r="T85" i="2" s="1"/>
  <c r="S97" i="2"/>
  <c r="T97" i="2" s="1"/>
  <c r="S48" i="2"/>
  <c r="T48" i="2" s="1"/>
  <c r="S77" i="2"/>
  <c r="T77" i="2" s="1"/>
  <c r="S9" i="2"/>
  <c r="T9" i="2" s="1"/>
  <c r="S27" i="2"/>
  <c r="T27" i="2" s="1"/>
  <c r="S222" i="2"/>
  <c r="T222" i="2" s="1"/>
  <c r="S150" i="2"/>
  <c r="T150" i="2" s="1"/>
  <c r="S130" i="2"/>
  <c r="T130" i="2" s="1"/>
  <c r="S52" i="2"/>
  <c r="T52" i="2" s="1"/>
  <c r="S46" i="2"/>
  <c r="T46" i="2" s="1"/>
  <c r="S12" i="2"/>
  <c r="T12" i="2" s="1"/>
  <c r="S161" i="2"/>
  <c r="T161" i="2" s="1"/>
  <c r="S25" i="2"/>
  <c r="T25" i="2" s="1"/>
  <c r="S66" i="2"/>
  <c r="T66" i="2" s="1"/>
  <c r="S49" i="2"/>
  <c r="T49" i="2" s="1"/>
  <c r="S36" i="2"/>
  <c r="T36" i="2" s="1"/>
  <c r="S201" i="2"/>
  <c r="T201" i="2" s="1"/>
  <c r="S104" i="2"/>
  <c r="T104" i="2" s="1"/>
  <c r="S71" i="2"/>
  <c r="T71" i="2" s="1"/>
  <c r="S47" i="2"/>
  <c r="T47" i="2" s="1"/>
  <c r="S226" i="2"/>
  <c r="T226" i="2" s="1"/>
  <c r="S35" i="2"/>
  <c r="T35" i="2" s="1"/>
  <c r="S171" i="2"/>
  <c r="T171" i="2" s="1"/>
  <c r="S93" i="2"/>
  <c r="T93" i="2" s="1"/>
  <c r="S168" i="2"/>
  <c r="T168" i="2" s="1"/>
  <c r="S14" i="2"/>
  <c r="T14" i="2" s="1"/>
  <c r="S113" i="2"/>
  <c r="T113" i="2" s="1"/>
  <c r="S209" i="2"/>
  <c r="T209" i="2" s="1"/>
  <c r="S58" i="2"/>
  <c r="T58" i="2" s="1"/>
  <c r="S155" i="2"/>
  <c r="T155" i="2" s="1"/>
  <c r="S43" i="2"/>
  <c r="T43" i="2" s="1"/>
  <c r="S122" i="2"/>
  <c r="T122" i="2" s="1"/>
  <c r="S121" i="2"/>
  <c r="T121" i="2" s="1"/>
  <c r="S154" i="2"/>
  <c r="T154" i="2" s="1"/>
  <c r="S135" i="2"/>
  <c r="T135" i="2" s="1"/>
  <c r="S218" i="2"/>
  <c r="T218" i="2" s="1"/>
  <c r="S211" i="2"/>
  <c r="T211" i="2" s="1"/>
  <c r="S184" i="2"/>
  <c r="T184" i="2" s="1"/>
  <c r="S176" i="2"/>
  <c r="T176" i="2" s="1"/>
  <c r="S15" i="2"/>
  <c r="T15" i="2" s="1"/>
  <c r="S219" i="2"/>
  <c r="T219" i="2" s="1"/>
  <c r="S179" i="2"/>
  <c r="T179" i="2" s="1"/>
  <c r="S98" i="2"/>
  <c r="T98" i="2" s="1"/>
  <c r="S22" i="2"/>
  <c r="T22" i="2" s="1"/>
  <c r="S44" i="2"/>
  <c r="T44" i="2" s="1"/>
  <c r="S33" i="2"/>
  <c r="T33" i="2" s="1"/>
  <c r="S190" i="2"/>
  <c r="T190" i="2" s="1"/>
  <c r="S156" i="2"/>
  <c r="T156" i="2" s="1"/>
  <c r="S167" i="2"/>
  <c r="T167" i="2" s="1"/>
  <c r="S2" i="2"/>
  <c r="T2" i="2" s="1"/>
  <c r="S220" i="2"/>
  <c r="T220" i="2" s="1"/>
  <c r="S60" i="2"/>
  <c r="T60" i="2" s="1"/>
  <c r="S62" i="2"/>
  <c r="T62" i="2" s="1"/>
  <c r="S32" i="2"/>
  <c r="T32" i="2" s="1"/>
  <c r="S213" i="2"/>
  <c r="T213" i="2" s="1"/>
  <c r="S200" i="2"/>
  <c r="T200" i="2" s="1"/>
  <c r="S142" i="2"/>
  <c r="T142" i="2" s="1"/>
  <c r="S95" i="2"/>
  <c r="T95" i="2" s="1"/>
  <c r="S178" i="2"/>
  <c r="T178" i="2" s="1"/>
  <c r="S89" i="2"/>
  <c r="T89" i="2" s="1"/>
  <c r="S82" i="2"/>
  <c r="T82" i="2" s="1"/>
  <c r="S160" i="2"/>
  <c r="T160" i="2" s="1"/>
  <c r="S55" i="2"/>
  <c r="T55" i="2" s="1"/>
  <c r="S117" i="2"/>
  <c r="T117" i="2" s="1"/>
  <c r="S53" i="2"/>
  <c r="T53" i="2" s="1"/>
  <c r="S164" i="2"/>
  <c r="T164" i="2" s="1"/>
  <c r="S70" i="2"/>
  <c r="T70" i="2" s="1"/>
  <c r="S165" i="2"/>
  <c r="T165" i="2" s="1"/>
  <c r="S136" i="2"/>
  <c r="T136" i="2" s="1"/>
  <c r="S196" i="2"/>
  <c r="T196" i="2" s="1"/>
  <c r="S151" i="2"/>
  <c r="T151" i="2" s="1"/>
  <c r="S107" i="2"/>
  <c r="T107" i="2" s="1"/>
  <c r="S170" i="2"/>
  <c r="T170" i="2" s="1"/>
  <c r="S203" i="2"/>
  <c r="T203" i="2" s="1"/>
  <c r="S59" i="2"/>
  <c r="T59" i="2" s="1"/>
  <c r="S41" i="2"/>
  <c r="T41" i="2" s="1"/>
  <c r="S124" i="2"/>
  <c r="T124" i="2" s="1"/>
  <c r="S80" i="2"/>
  <c r="T80" i="2" s="1"/>
  <c r="S54" i="2"/>
  <c r="T54" i="2" s="1"/>
  <c r="S37" i="2"/>
  <c r="T37" i="2" s="1"/>
  <c r="S173" i="2"/>
  <c r="T173" i="2" s="1"/>
  <c r="S147" i="2"/>
  <c r="T147" i="2" s="1"/>
  <c r="S214" i="2"/>
  <c r="T214" i="2" s="1"/>
  <c r="S83" i="2"/>
  <c r="T83" i="2" s="1"/>
  <c r="S45" i="2"/>
  <c r="T45" i="2" s="1"/>
  <c r="S133" i="2"/>
  <c r="T133" i="2" s="1"/>
  <c r="S115" i="2"/>
  <c r="T115" i="2" s="1"/>
  <c r="S78" i="2"/>
  <c r="T78" i="2" s="1"/>
  <c r="S228" i="2"/>
  <c r="T228" i="2" s="1"/>
  <c r="S181" i="2"/>
  <c r="T181" i="2" s="1"/>
  <c r="S118" i="2"/>
  <c r="T118" i="2" s="1"/>
  <c r="S182" i="2"/>
  <c r="T182" i="2" s="1"/>
  <c r="S74" i="2"/>
  <c r="T74" i="2" s="1"/>
  <c r="S75" i="2"/>
  <c r="T75" i="2" s="1"/>
  <c r="S63" i="2"/>
  <c r="T63" i="2" s="1"/>
  <c r="S20" i="2"/>
  <c r="T20" i="2" s="1"/>
  <c r="S13" i="2"/>
  <c r="T13" i="2" s="1"/>
  <c r="S193" i="2"/>
  <c r="T193" i="2" s="1"/>
  <c r="S30" i="2"/>
  <c r="T30" i="2" s="1"/>
  <c r="S146" i="2"/>
  <c r="T146" i="2" s="1"/>
  <c r="S132" i="2"/>
  <c r="T132" i="2" s="1"/>
  <c r="S99" i="2"/>
  <c r="T99" i="2" s="1"/>
  <c r="S18" i="2"/>
  <c r="T18" i="2" s="1"/>
  <c r="S17" i="2"/>
  <c r="T17" i="2" s="1"/>
  <c r="S159" i="2"/>
  <c r="T159" i="2" s="1"/>
  <c r="S4" i="2"/>
  <c r="T4" i="2" s="1"/>
  <c r="S144" i="2"/>
  <c r="T144" i="2" s="1"/>
  <c r="S172" i="2"/>
  <c r="T172" i="2" s="1"/>
  <c r="S224" i="2"/>
  <c r="T224" i="2" s="1"/>
  <c r="S188" i="2"/>
  <c r="T188" i="2" s="1"/>
  <c r="S88" i="2"/>
  <c r="T88" i="2" s="1"/>
  <c r="S207" i="2"/>
  <c r="T207" i="2" s="1"/>
  <c r="S205" i="2"/>
  <c r="T205" i="2" s="1"/>
  <c r="S175" i="2"/>
  <c r="T175" i="2" s="1"/>
  <c r="S69" i="2"/>
  <c r="T69" i="2" s="1"/>
  <c r="S108" i="2"/>
  <c r="T108" i="2" s="1"/>
  <c r="S112" i="2"/>
  <c r="T112" i="2" s="1"/>
  <c r="S138" i="2"/>
  <c r="T138" i="2" s="1"/>
  <c r="S216" i="2"/>
  <c r="T216" i="2" s="1"/>
  <c r="S180" i="2"/>
  <c r="T180" i="2" s="1"/>
  <c r="S204" i="2"/>
  <c r="T204" i="2" s="1"/>
  <c r="S191" i="2"/>
  <c r="T191" i="2" s="1"/>
  <c r="S91" i="2"/>
  <c r="T91" i="2" s="1"/>
  <c r="S23" i="2"/>
  <c r="T23" i="2" s="1"/>
  <c r="S126" i="2"/>
  <c r="T126" i="2" s="1"/>
  <c r="S56" i="2"/>
  <c r="T56" i="2" s="1"/>
  <c r="S5" i="2"/>
  <c r="T5" i="2" s="1"/>
  <c r="S123" i="2"/>
  <c r="T123" i="2" s="1"/>
  <c r="S7" i="2"/>
  <c r="T7" i="2" s="1"/>
  <c r="S194" i="2"/>
  <c r="T194" i="2" s="1"/>
  <c r="S129" i="2"/>
  <c r="T129" i="2" s="1"/>
  <c r="S100" i="2"/>
  <c r="T100" i="2" s="1"/>
  <c r="S28" i="2"/>
  <c r="T28" i="2" s="1"/>
  <c r="S199" i="2"/>
  <c r="T199" i="2" s="1"/>
  <c r="S227" i="2"/>
  <c r="T227" i="2" s="1"/>
  <c r="S208" i="2"/>
  <c r="T208" i="2" s="1"/>
  <c r="S163" i="2"/>
  <c r="T163" i="2" s="1"/>
  <c r="S195" i="2"/>
  <c r="T195" i="2" s="1"/>
  <c r="S111" i="2"/>
  <c r="T111" i="2" s="1"/>
  <c r="S64" i="2"/>
  <c r="T64" i="2" s="1"/>
  <c r="S61" i="2"/>
  <c r="T61" i="2" s="1"/>
  <c r="S19" i="2"/>
  <c r="T19" i="2" s="1"/>
  <c r="S166" i="2"/>
  <c r="T166" i="2" s="1"/>
  <c r="S39" i="2"/>
  <c r="T39" i="2" s="1"/>
  <c r="S96" i="2"/>
  <c r="T96" i="2" s="1"/>
  <c r="S76" i="2"/>
  <c r="T76" i="2" s="1"/>
  <c r="S105" i="2"/>
  <c r="T105" i="2" s="1"/>
  <c r="S11" i="2"/>
  <c r="T11" i="2" s="1"/>
  <c r="S3" i="2"/>
  <c r="T3" i="2" s="1"/>
  <c r="S128" i="2"/>
  <c r="T128" i="2" s="1"/>
  <c r="S215" i="2"/>
  <c r="T215" i="2" s="1"/>
  <c r="S134" i="2"/>
  <c r="T134" i="2" s="1"/>
  <c r="S42" i="2"/>
  <c r="T42" i="2" s="1"/>
  <c r="S158" i="2"/>
  <c r="T158" i="2" s="1"/>
  <c r="S79" i="2"/>
  <c r="T79" i="2" s="1"/>
  <c r="S210" i="2"/>
  <c r="T210" i="2" s="1"/>
  <c r="S119" i="2"/>
  <c r="T119" i="2" s="1"/>
  <c r="S157" i="2"/>
  <c r="T157" i="2" s="1"/>
  <c r="S90" i="2"/>
  <c r="T90" i="2" s="1"/>
  <c r="S125" i="2"/>
  <c r="T125" i="2" s="1"/>
  <c r="S187" i="2"/>
  <c r="T187" i="2" s="1"/>
  <c r="S29" i="2"/>
  <c r="T29" i="2" s="1"/>
  <c r="S152" i="2"/>
  <c r="T152" i="2" s="1"/>
  <c r="S116" i="2"/>
  <c r="T116" i="2" s="1"/>
  <c r="S143" i="2"/>
  <c r="T143" i="2" s="1"/>
  <c r="S140" i="2"/>
  <c r="T140" i="2" s="1"/>
  <c r="S84" i="2"/>
  <c r="T84" i="2" s="1"/>
  <c r="S174" i="2"/>
  <c r="T174" i="2" s="1"/>
  <c r="S106" i="2"/>
  <c r="T106" i="2" s="1"/>
  <c r="S40" i="2"/>
  <c r="T40" i="2" s="1"/>
  <c r="S197" i="2"/>
  <c r="T197" i="2" s="1"/>
  <c r="S217" i="2"/>
  <c r="T217" i="2" s="1"/>
  <c r="S202" i="2"/>
  <c r="T202" i="2" s="1"/>
  <c r="S148" i="2"/>
  <c r="T148" i="2" s="1"/>
  <c r="S50" i="2"/>
  <c r="T50" i="2" s="1"/>
  <c r="S120" i="2"/>
  <c r="T120" i="2" s="1"/>
  <c r="S21" i="2"/>
  <c r="T21" i="2" s="1"/>
  <c r="S139" i="2"/>
  <c r="T139" i="2" s="1"/>
  <c r="S149" i="2"/>
  <c r="T149" i="2" s="1"/>
  <c r="S87" i="2"/>
  <c r="T87" i="2" s="1"/>
  <c r="S24" i="2"/>
  <c r="T24" i="2" s="1"/>
  <c r="S229" i="2"/>
  <c r="T229" i="2" s="1"/>
  <c r="S225" i="2"/>
  <c r="T225" i="2" s="1"/>
  <c r="S10" i="2"/>
  <c r="T10" i="2" s="1"/>
  <c r="S221" i="2"/>
  <c r="T221" i="2" s="1"/>
  <c r="S92" i="2"/>
  <c r="T92" i="2" s="1"/>
  <c r="S192" i="2"/>
  <c r="T192" i="2" s="1"/>
  <c r="S101" i="2"/>
  <c r="T101" i="2" s="1"/>
  <c r="S34" i="2"/>
  <c r="T34" i="2" s="1"/>
  <c r="S169" i="2"/>
  <c r="T169" i="2" s="1"/>
  <c r="S145" i="2"/>
  <c r="T145" i="2" s="1"/>
  <c r="S141" i="2"/>
  <c r="T141" i="2" s="1"/>
  <c r="S51" i="2"/>
  <c r="T51" i="2" s="1"/>
  <c r="S72" i="2"/>
  <c r="T72" i="2" s="1"/>
  <c r="S102" i="2"/>
  <c r="T102" i="2" s="1"/>
  <c r="S103" i="2"/>
  <c r="T103" i="2" s="1"/>
  <c r="S114" i="2"/>
  <c r="T114" i="2" s="1"/>
  <c r="S67" i="2"/>
  <c r="T67" i="2" s="1"/>
  <c r="S26" i="2"/>
  <c r="T26" i="2" s="1"/>
  <c r="S94" i="2"/>
  <c r="T94" i="2" s="1"/>
  <c r="S183" i="2"/>
  <c r="T183" i="2" s="1"/>
  <c r="S6" i="2"/>
  <c r="T6" i="2" s="1"/>
  <c r="S86" i="2"/>
  <c r="T86" i="2" s="1"/>
  <c r="S206" i="2"/>
  <c r="T206" i="2" s="1"/>
  <c r="S177" i="2"/>
  <c r="T177" i="2" s="1"/>
</calcChain>
</file>

<file path=xl/sharedStrings.xml><?xml version="1.0" encoding="utf-8"?>
<sst xmlns="http://schemas.openxmlformats.org/spreadsheetml/2006/main" count="518" uniqueCount="305">
  <si>
    <t>Team</t>
  </si>
  <si>
    <t>Name</t>
  </si>
  <si>
    <t>AB</t>
  </si>
  <si>
    <t>PA</t>
  </si>
  <si>
    <t>BABIP</t>
  </si>
  <si>
    <t>K%</t>
  </si>
  <si>
    <t>BB%</t>
  </si>
  <si>
    <t>H%</t>
  </si>
  <si>
    <t>1B%</t>
  </si>
  <si>
    <t>2B%</t>
  </si>
  <si>
    <t>3B%</t>
  </si>
  <si>
    <t>HR%</t>
  </si>
  <si>
    <t>R%</t>
  </si>
  <si>
    <t>RBI%</t>
  </si>
  <si>
    <t>IBB%</t>
  </si>
  <si>
    <t>HBP%</t>
  </si>
  <si>
    <t>SF%</t>
  </si>
  <si>
    <t>SB%</t>
  </si>
  <si>
    <t>CS%</t>
  </si>
  <si>
    <t>SH%</t>
  </si>
  <si>
    <t>ARI</t>
  </si>
  <si>
    <t>Alek Thomas</t>
  </si>
  <si>
    <t>Corbin Carroll</t>
  </si>
  <si>
    <t>Eugenio Suarez</t>
  </si>
  <si>
    <t>Gabriel Moreno</t>
  </si>
  <si>
    <t>Jake McCarthy</t>
  </si>
  <si>
    <t>Jordan Lawlar</t>
  </si>
  <si>
    <t>Josh Naylor</t>
  </si>
  <si>
    <t>Ketel Marte</t>
  </si>
  <si>
    <t>Lourdes Gurriel Jr.</t>
  </si>
  <si>
    <t>Pavin Smith</t>
  </si>
  <si>
    <t>ATH</t>
  </si>
  <si>
    <t>Brent Rooker</t>
  </si>
  <si>
    <t>Jacob Wilson</t>
  </si>
  <si>
    <t>JJ Bleday</t>
  </si>
  <si>
    <t>Lawrence Butler</t>
  </si>
  <si>
    <t>Shea Langeliers</t>
  </si>
  <si>
    <t>Tyler Soderstrom</t>
  </si>
  <si>
    <t>Zack Gelof</t>
  </si>
  <si>
    <t>ATL</t>
  </si>
  <si>
    <t>Austin Riley</t>
  </si>
  <si>
    <t>Drake Baldwin</t>
  </si>
  <si>
    <t>Jurickson Profar</t>
  </si>
  <si>
    <t>Marcell Ozuna</t>
  </si>
  <si>
    <t>Matt Olson</t>
  </si>
  <si>
    <t>Michael Harris II</t>
  </si>
  <si>
    <t>Ozzie Albies</t>
  </si>
  <si>
    <t>Ronald Acuna Jr.</t>
  </si>
  <si>
    <t>Sean Murphy</t>
  </si>
  <si>
    <t>BAL</t>
  </si>
  <si>
    <t>Adley Rutschman</t>
  </si>
  <si>
    <t>Cedric Mullins</t>
  </si>
  <si>
    <t>Coby Mayo</t>
  </si>
  <si>
    <t>Colton Cowser</t>
  </si>
  <si>
    <t>Gunnar Henderson</t>
  </si>
  <si>
    <t>Heston Kjerstad</t>
  </si>
  <si>
    <t>Jackson Holliday</t>
  </si>
  <si>
    <t>Jordan Westburg</t>
  </si>
  <si>
    <t>Ryan Mountcastle</t>
  </si>
  <si>
    <t>Ryan O'Hearn</t>
  </si>
  <si>
    <t>Tyler O'Neill</t>
  </si>
  <si>
    <t>BOS</t>
  </si>
  <si>
    <t>Ceddanne Rafaela</t>
  </si>
  <si>
    <t>Connor Wong</t>
  </si>
  <si>
    <t>Jarren Duran</t>
  </si>
  <si>
    <t>Kristian Campbell</t>
  </si>
  <si>
    <t>Masataka Yoshida</t>
  </si>
  <si>
    <t>Rafael Devers</t>
  </si>
  <si>
    <t>Roman Anthony</t>
  </si>
  <si>
    <t>Trevor Story</t>
  </si>
  <si>
    <t>Triston Casas</t>
  </si>
  <si>
    <t>Wilyer Abreu</t>
  </si>
  <si>
    <t>CHC</t>
  </si>
  <si>
    <t>Dansby Swanson</t>
  </si>
  <si>
    <t>Ian Happ</t>
  </si>
  <si>
    <t>Kyle Tucker</t>
  </si>
  <si>
    <t>Matt Shaw</t>
  </si>
  <si>
    <t>Michael Busch</t>
  </si>
  <si>
    <t>Nico Hoerner</t>
  </si>
  <si>
    <t>Seiya Suzuki</t>
  </si>
  <si>
    <t>CHW</t>
  </si>
  <si>
    <t>Andrew Vaughn</t>
  </si>
  <si>
    <t>Lenyn Sosa</t>
  </si>
  <si>
    <t>Luis Robert Jr.</t>
  </si>
  <si>
    <t>CIN</t>
  </si>
  <si>
    <t>Christian Encarnacion-Strand</t>
  </si>
  <si>
    <t>Elly De La Cruz</t>
  </si>
  <si>
    <t>Gavin Lux</t>
  </si>
  <si>
    <t>Jeimer Candelario</t>
  </si>
  <si>
    <t>Matt McLain</t>
  </si>
  <si>
    <t>Noelvi Marte</t>
  </si>
  <si>
    <t>Spencer Steer</t>
  </si>
  <si>
    <t>TJ Friedl</t>
  </si>
  <si>
    <t>Tyler Stephenson</t>
  </si>
  <si>
    <t>CLE</t>
  </si>
  <si>
    <t>Bo Naylor</t>
  </si>
  <si>
    <t>David Fry</t>
  </si>
  <si>
    <t>Jose Ramirez</t>
  </si>
  <si>
    <t>Kyle Manzardo</t>
  </si>
  <si>
    <t>Lane Thomas</t>
  </si>
  <si>
    <t>Steven Kwan</t>
  </si>
  <si>
    <t>COL</t>
  </si>
  <si>
    <t>Brenton Doyle</t>
  </si>
  <si>
    <t>Ezequiel Tovar</t>
  </si>
  <si>
    <t>Michael Toglia</t>
  </si>
  <si>
    <t>Nolan Jones</t>
  </si>
  <si>
    <t>Ryan McMahon</t>
  </si>
  <si>
    <t>DET</t>
  </si>
  <si>
    <t>Colt Keith</t>
  </si>
  <si>
    <t>Gleyber Torres</t>
  </si>
  <si>
    <t>Jace Jung</t>
  </si>
  <si>
    <t>Kerry Carpenter</t>
  </si>
  <si>
    <t>Parker Meadows</t>
  </si>
  <si>
    <t>Riley Greene</t>
  </si>
  <si>
    <t>Spencer Torkelson</t>
  </si>
  <si>
    <t>HOU</t>
  </si>
  <si>
    <t>Christian Walker</t>
  </si>
  <si>
    <t>Isaac Paredes</t>
  </si>
  <si>
    <t>Jeremy Pena</t>
  </si>
  <si>
    <t>Jose Altuve</t>
  </si>
  <si>
    <t>Yainer Diaz</t>
  </si>
  <si>
    <t>Yordan Alvarez</t>
  </si>
  <si>
    <t>KCR</t>
  </si>
  <si>
    <t>Bobby Witt Jr.</t>
  </si>
  <si>
    <t>Jonathan India</t>
  </si>
  <si>
    <t>Maikel Garcia</t>
  </si>
  <si>
    <t>MJ Melendez</t>
  </si>
  <si>
    <t>Salvador Perez</t>
  </si>
  <si>
    <t>Vinnie Pasquantino</t>
  </si>
  <si>
    <t>LAA</t>
  </si>
  <si>
    <t>Jo Adell</t>
  </si>
  <si>
    <t>Jorge Soler</t>
  </si>
  <si>
    <t>Logan O'Hoppe</t>
  </si>
  <si>
    <t>Luis Rengifo</t>
  </si>
  <si>
    <t>Mike Trout</t>
  </si>
  <si>
    <t>Nolan Schanuel</t>
  </si>
  <si>
    <t>Taylor Ward</t>
  </si>
  <si>
    <t>Zach Neto</t>
  </si>
  <si>
    <t>LAD</t>
  </si>
  <si>
    <t>Andy Pages</t>
  </si>
  <si>
    <t>Freddie Freeman</t>
  </si>
  <si>
    <t>Hyeseong Kim</t>
  </si>
  <si>
    <t>Max Muncy</t>
  </si>
  <si>
    <t>Michael Conforto</t>
  </si>
  <si>
    <t>Mookie Betts</t>
  </si>
  <si>
    <t>Shohei Ohtani</t>
  </si>
  <si>
    <t>Teoscar Hernandez</t>
  </si>
  <si>
    <t>Tommy Edman</t>
  </si>
  <si>
    <t>Will Smith</t>
  </si>
  <si>
    <t>MIA</t>
  </si>
  <si>
    <t>Connor Norby</t>
  </si>
  <si>
    <t>Deyvison De Los Santos</t>
  </si>
  <si>
    <t>Jesus Sanchez</t>
  </si>
  <si>
    <t>Xavier Edwards</t>
  </si>
  <si>
    <t>MIL</t>
  </si>
  <si>
    <t>Brice Turang</t>
  </si>
  <si>
    <t>Christian Yelich</t>
  </si>
  <si>
    <t>Garrett Mitchell</t>
  </si>
  <si>
    <t>Jackson Chourio</t>
  </si>
  <si>
    <t>Joey Ortiz</t>
  </si>
  <si>
    <t>Rhys Hoskins</t>
  </si>
  <si>
    <t>William Contreras</t>
  </si>
  <si>
    <t>MIN</t>
  </si>
  <si>
    <t>Brooks Lee</t>
  </si>
  <si>
    <t>Byron Buxton</t>
  </si>
  <si>
    <t>Carlos Correa</t>
  </si>
  <si>
    <t>Edouard Julien</t>
  </si>
  <si>
    <t>Matt Wallner</t>
  </si>
  <si>
    <t>Royce Lewis</t>
  </si>
  <si>
    <t>Ryan Jeffers</t>
  </si>
  <si>
    <t>Trevor Larnach</t>
  </si>
  <si>
    <t>Willi Castro</t>
  </si>
  <si>
    <t>NYM</t>
  </si>
  <si>
    <t>Brandon Nimmo</t>
  </si>
  <si>
    <t>Francisco Alvarez</t>
  </si>
  <si>
    <t>Francisco Lindor</t>
  </si>
  <si>
    <t>Jeff McNeil</t>
  </si>
  <si>
    <t>Jesse Winker</t>
  </si>
  <si>
    <t>Juan Soto</t>
  </si>
  <si>
    <t>Mark Vientos</t>
  </si>
  <si>
    <t>NYY</t>
  </si>
  <si>
    <t>Aaron Judge</t>
  </si>
  <si>
    <t>Anthony Volpe</t>
  </si>
  <si>
    <t>Austin Wells</t>
  </si>
  <si>
    <t>Cody Bellinger</t>
  </si>
  <si>
    <t>Giancarlo Stanton</t>
  </si>
  <si>
    <t>Jasson Dominguez</t>
  </si>
  <si>
    <t>Jazz Chisholm Jr.</t>
  </si>
  <si>
    <t>Paul Goldschmidt</t>
  </si>
  <si>
    <t>PHI</t>
  </si>
  <si>
    <t>Alec Bohm</t>
  </si>
  <si>
    <t>Brandon Marsh</t>
  </si>
  <si>
    <t>Bryce Harper</t>
  </si>
  <si>
    <t>Bryson Stott</t>
  </si>
  <si>
    <t>J.T. Realmuto</t>
  </si>
  <si>
    <t>Kyle Schwarber</t>
  </si>
  <si>
    <t>Max Kepler</t>
  </si>
  <si>
    <t>Nick Castellanos</t>
  </si>
  <si>
    <t>Trea Turner</t>
  </si>
  <si>
    <t>PIT</t>
  </si>
  <si>
    <t>Bryan Reynolds</t>
  </si>
  <si>
    <t>Endy Rodriguez</t>
  </si>
  <si>
    <t>Joey Bart</t>
  </si>
  <si>
    <t>Ke'Bryan Hayes</t>
  </si>
  <si>
    <t>Oneil Cruz</t>
  </si>
  <si>
    <t>Spencer Horwitz</t>
  </si>
  <si>
    <t>SDP</t>
  </si>
  <si>
    <t>Fernando Tatis Jr.</t>
  </si>
  <si>
    <t>Jackson Merrill</t>
  </si>
  <si>
    <t>Jake Cronenworth</t>
  </si>
  <si>
    <t>Luis Arraez</t>
  </si>
  <si>
    <t>Luis Campusano</t>
  </si>
  <si>
    <t>Manny Machado</t>
  </si>
  <si>
    <t>Xander Bogaerts</t>
  </si>
  <si>
    <t>SEA</t>
  </si>
  <si>
    <t>Cal Raleigh</t>
  </si>
  <si>
    <t>Dominic Canzone</t>
  </si>
  <si>
    <t>J.P. Crawford</t>
  </si>
  <si>
    <t>Jorge Polanco</t>
  </si>
  <si>
    <t>Julio Rodriguez</t>
  </si>
  <si>
    <t>Luke Raley</t>
  </si>
  <si>
    <t>Randy Arozarena</t>
  </si>
  <si>
    <t>Victor Robles</t>
  </si>
  <si>
    <t>SFG</t>
  </si>
  <si>
    <t>Heliot Ramos</t>
  </si>
  <si>
    <t>Jung Hoo Lee</t>
  </si>
  <si>
    <t>Matt Chapman</t>
  </si>
  <si>
    <t>Tyler Fitzgerald</t>
  </si>
  <si>
    <t>Willy Adames</t>
  </si>
  <si>
    <t>STL</t>
  </si>
  <si>
    <t>Alec Burleson</t>
  </si>
  <si>
    <t>Brendan Donovan</t>
  </si>
  <si>
    <t>Ivan Herrera</t>
  </si>
  <si>
    <t>Jordan Walker</t>
  </si>
  <si>
    <t>Lars Nootbaar</t>
  </si>
  <si>
    <t>Masyn Winn</t>
  </si>
  <si>
    <t>Nolan Arenado</t>
  </si>
  <si>
    <t>Nolan Gorman</t>
  </si>
  <si>
    <t>Willson Contreras</t>
  </si>
  <si>
    <t>TBR</t>
  </si>
  <si>
    <t>Brandon Lowe</t>
  </si>
  <si>
    <t>Christopher Morel</t>
  </si>
  <si>
    <t>Ha-Seong Kim</t>
  </si>
  <si>
    <t>Jonathan Aranda</t>
  </si>
  <si>
    <t>Jose Caballero</t>
  </si>
  <si>
    <t>Josh Lowe</t>
  </si>
  <si>
    <t>Junior Caminero</t>
  </si>
  <si>
    <t>Yandy Diaz</t>
  </si>
  <si>
    <t>TEX</t>
  </si>
  <si>
    <t>Adolis Garcia</t>
  </si>
  <si>
    <t>Corey Seager</t>
  </si>
  <si>
    <t>Evan Carter</t>
  </si>
  <si>
    <t>Jake Burger</t>
  </si>
  <si>
    <t>Joc Pederson</t>
  </si>
  <si>
    <t>Josh Jung</t>
  </si>
  <si>
    <t>Marcus Semien</t>
  </si>
  <si>
    <t>Wyatt Langford</t>
  </si>
  <si>
    <t>TOR</t>
  </si>
  <si>
    <t>Alejandro Kirk</t>
  </si>
  <si>
    <t>Andres Gimenez</t>
  </si>
  <si>
    <t>Anthony Santander</t>
  </si>
  <si>
    <t>Bo Bichette</t>
  </si>
  <si>
    <t>Daulton Varsho</t>
  </si>
  <si>
    <t>Davis Schneider</t>
  </si>
  <si>
    <t>George Springer</t>
  </si>
  <si>
    <t>Orelvis Martinez</t>
  </si>
  <si>
    <t>Vladimir Guerrero Jr.</t>
  </si>
  <si>
    <t>WSN</t>
  </si>
  <si>
    <t>CJ Abrams</t>
  </si>
  <si>
    <t>Dylan Crews</t>
  </si>
  <si>
    <t>James Wood</t>
  </si>
  <si>
    <t>Josh Bell</t>
  </si>
  <si>
    <t>Keibert Ruiz</t>
  </si>
  <si>
    <t>Luis Garcia Jr.</t>
  </si>
  <si>
    <t>Nathaniel Lowe</t>
  </si>
  <si>
    <t>Alex Bregman</t>
  </si>
  <si>
    <t>Brendan Rodgers</t>
  </si>
  <si>
    <t>Pete Alonso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</si>
  <si>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</si>
  <si>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</si>
  <si>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</si>
  <si>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</si>
  <si>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</si>
  <si>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</si>
  <si>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</si>
  <si>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</si>
  <si>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</si>
  <si>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</si>
  <si>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</si>
  <si>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</si>
  <si>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</si>
  <si>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SB</t>
  </si>
  <si>
    <t>CS</t>
  </si>
  <si>
    <t>HIP</t>
  </si>
  <si>
    <t>NSB</t>
  </si>
  <si>
    <t>AVG</t>
  </si>
  <si>
    <t>OBP</t>
  </si>
  <si>
    <t>SLG</t>
  </si>
  <si>
    <t>OPS</t>
  </si>
  <si>
    <t>HR+</t>
  </si>
  <si>
    <t>H+</t>
  </si>
  <si>
    <t>Total</t>
  </si>
  <si>
    <t>Position</t>
  </si>
  <si>
    <t>OF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</si>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</sst>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8" fillId="0" borderId="0" xfId="0" applyFont="1"/>
    <xf numFmtId="0" fontId="16" fillId="0" borderId="0" xfId="0" applyFont="1"/>
    <xf numFmtId="0" fontId="0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EC46-3D9C-41D1-A99B-A9DC51B770AC}">
  <dimension ref="A1:AQ229"/>
  <sheetViews>
    <sheetView tabSelected="1" zoomScaleNormal="100" workbookViewId="0">
      <pane ySplit="1" topLeftCell="A2" activePane="bottomLeft" state="frozen"/>
      <selection pane="bottomLeft" activeCell="Q14" sqref="Q14"/>
    </sheetView>
  </sheetViews>
  <sheetFormatPr defaultColWidth="8.84375" defaultRowHeight="14.6" x14ac:dyDescent="0.4"/>
  <sheetData>
    <row r="1" spans="1:43" x14ac:dyDescent="0.4">
      <c r="A1" t="s">
        <v>0</v>
      </c>
      <c r="B1" t="s">
        <v>1</v>
      </c>
      <c r="C1" t="s">
        <v>302</v>
      </c>
      <c r="D1" t="s">
        <v>2</v>
      </c>
      <c r="E1" t="s">
        <v>3</v>
      </c>
      <c r="F1" t="s">
        <v>278</v>
      </c>
      <c r="G1" t="s">
        <v>279</v>
      </c>
      <c r="H1" t="s">
        <v>280</v>
      </c>
      <c r="I1" t="s">
        <v>281</v>
      </c>
      <c r="J1" t="s">
        <v>282</v>
      </c>
      <c r="K1" t="s">
        <v>283</v>
      </c>
      <c r="L1" t="s">
        <v>284</v>
      </c>
      <c r="M1" t="s">
        <v>285</v>
      </c>
      <c r="N1" t="s">
        <v>286</v>
      </c>
      <c r="O1" t="s">
        <v>287</v>
      </c>
      <c r="P1" t="s">
        <v>288</v>
      </c>
      <c r="Q1" t="s">
        <v>289</v>
      </c>
      <c r="R1" t="s">
        <v>290</v>
      </c>
      <c r="S1" t="s">
        <v>291</v>
      </c>
      <c r="T1" t="s">
        <v>292</v>
      </c>
      <c r="U1" t="s">
        <v>294</v>
      </c>
      <c r="V1" t="s">
        <v>295</v>
      </c>
      <c r="W1" t="s">
        <v>296</v>
      </c>
      <c r="X1" t="s">
        <v>297</v>
      </c>
      <c r="Y1" t="s">
        <v>298</v>
      </c>
      <c r="Z1" t="s">
        <v>4</v>
      </c>
      <c r="AA1" t="s">
        <v>5</v>
      </c>
      <c r="AB1" t="s">
        <v>6</v>
      </c>
      <c r="AD1" t="s">
        <v>293</v>
      </c>
      <c r="AE1" t="s">
        <v>7</v>
      </c>
      <c r="AF1" t="s">
        <v>8</v>
      </c>
      <c r="AG1" t="s">
        <v>9</v>
      </c>
      <c r="AH1" t="s">
        <v>10</v>
      </c>
      <c r="AI1" t="s">
        <v>11</v>
      </c>
      <c r="AJ1" t="s">
        <v>12</v>
      </c>
      <c r="AK1" t="s">
        <v>13</v>
      </c>
      <c r="AL1" t="s">
        <v>14</v>
      </c>
      <c r="AM1" t="s">
        <v>15</v>
      </c>
      <c r="AN1" t="s">
        <v>16</v>
      </c>
      <c r="AO1" t="s">
        <v>17</v>
      </c>
      <c r="AP1" t="s">
        <v>18</v>
      </c>
      <c r="AQ1" t="s">
        <v>19</v>
      </c>
    </row>
    <row r="2" spans="1:43" x14ac:dyDescent="0.4">
      <c r="A2" t="s">
        <v>20</v>
      </c>
      <c r="B2" s="3" t="s">
        <v>21</v>
      </c>
      <c r="C2" t="s">
        <v>303</v>
      </c>
      <c r="D2">
        <v>278</v>
      </c>
      <c r="E2">
        <v>303</v>
      </c>
      <c r="F2" s="2">
        <f>AD2+J2</f>
        <v>71.072894785463419</v>
      </c>
      <c r="G2" s="2">
        <f>$AD2*AF2</f>
        <v>47.126306460624512</v>
      </c>
      <c r="H2" s="2">
        <f>$AD2*AG2</f>
        <v>15.110834715342992</v>
      </c>
      <c r="I2" s="2">
        <f>$AD2*AH2</f>
        <v>2.0665659055657941</v>
      </c>
      <c r="J2" s="2">
        <f>$E2*AI2</f>
        <v>6.5999999999999757</v>
      </c>
      <c r="K2" s="2">
        <f>$E2*AJ2</f>
        <v>36.641758241757962</v>
      </c>
      <c r="L2" s="2">
        <f>$E2*AK2</f>
        <v>33.999999999999936</v>
      </c>
      <c r="M2" s="2">
        <f>$E2*(AB2/100)</f>
        <v>19.99780219766097</v>
      </c>
      <c r="N2" s="2">
        <f>$E2*AL2</f>
        <v>0.89999999999999991</v>
      </c>
      <c r="O2" s="2">
        <f>$E2*(AA2/100)</f>
        <v>56.604395600400004</v>
      </c>
      <c r="P2" s="2">
        <f>$E2*AM2</f>
        <v>2.0029017857142835</v>
      </c>
      <c r="Q2" s="2">
        <f>$E2*AN2</f>
        <v>1.9999999999999998</v>
      </c>
      <c r="R2" s="2">
        <f>$E2*AQ2</f>
        <v>1.2116071428571402</v>
      </c>
      <c r="S2" s="2">
        <f>$E2*AO2</f>
        <v>6.9659340659340385</v>
      </c>
      <c r="T2" s="2">
        <f>$E2*AP2</f>
        <v>2.021978021978021</v>
      </c>
      <c r="U2" s="2">
        <f>S2-T2</f>
        <v>4.9439560439560175</v>
      </c>
      <c r="V2" s="1">
        <f>F2/D2</f>
        <v>0.2556578949117389</v>
      </c>
      <c r="W2" s="1">
        <f>(F2+M2+N2+P2)/(D2+M2+N2+Q2)</f>
        <v>0.3123106851644834</v>
      </c>
      <c r="X2" s="1">
        <f>(G2+H2*2+I2*3+J2*4)/D2</f>
        <v>0.39549522880578342</v>
      </c>
      <c r="Y2" s="1">
        <f>W2+X2</f>
        <v>0.70780591397026682</v>
      </c>
      <c r="Z2">
        <v>0.29739023060000003</v>
      </c>
      <c r="AA2">
        <v>18.68131868</v>
      </c>
      <c r="AB2">
        <v>6.5999347186999904</v>
      </c>
      <c r="AD2" s="2">
        <f>(D2-O2-J2+Q2)*Z2</f>
        <v>64.472894785463438</v>
      </c>
      <c r="AE2">
        <v>0.22915804000000001</v>
      </c>
      <c r="AF2">
        <v>0.73094758064516097</v>
      </c>
      <c r="AG2">
        <v>0.234375</v>
      </c>
      <c r="AH2">
        <v>3.2053251408089997E-2</v>
      </c>
      <c r="AI2">
        <v>2.1782178217821701E-2</v>
      </c>
      <c r="AJ2">
        <v>0.12092989518732</v>
      </c>
      <c r="AK2">
        <v>0.112211221122112</v>
      </c>
      <c r="AL2">
        <v>2.9702970297029699E-3</v>
      </c>
      <c r="AM2">
        <v>6.6102369165487902E-3</v>
      </c>
      <c r="AN2">
        <v>6.6006600660065999E-3</v>
      </c>
      <c r="AO2">
        <v>2.29898814057229E-2</v>
      </c>
      <c r="AP2">
        <v>6.6731947920066698E-3</v>
      </c>
      <c r="AQ2">
        <v>3.9987034417727401E-3</v>
      </c>
    </row>
    <row r="3" spans="1:43" x14ac:dyDescent="0.4">
      <c r="A3" t="s">
        <v>20</v>
      </c>
      <c r="B3" t="s">
        <v>22</v>
      </c>
      <c r="C3" t="s">
        <v>303</v>
      </c>
      <c r="D3">
        <v>567</v>
      </c>
      <c r="E3">
        <v>653</v>
      </c>
      <c r="F3" s="2">
        <f>AD3+J3</f>
        <v>146.76343928758067</v>
      </c>
      <c r="G3" s="2">
        <f>$AD3*AF3</f>
        <v>87.13385673017477</v>
      </c>
      <c r="H3" s="2">
        <f>$AD3*AG3</f>
        <v>30.990932943320018</v>
      </c>
      <c r="I3" s="2">
        <f>$AD3*AH3</f>
        <v>9.6947245777057685</v>
      </c>
      <c r="J3" s="2">
        <f>$E3*AI3</f>
        <v>21.799999999999937</v>
      </c>
      <c r="K3" s="2">
        <f>$E3*AJ3</f>
        <v>102.16785714285689</v>
      </c>
      <c r="L3" s="2">
        <f>$E3*AK3</f>
        <v>74.999999999999972</v>
      </c>
      <c r="M3" s="2">
        <f>$E3*(AB3/100)</f>
        <v>67.102083355579339</v>
      </c>
      <c r="N3" s="2">
        <f>$E3*AL3</f>
        <v>1.3971726190476048</v>
      </c>
      <c r="O3" s="2">
        <f>$E3*(AA3/100)</f>
        <v>126.324404793</v>
      </c>
      <c r="P3" s="2">
        <f>$E3*AM3</f>
        <v>9.2908814589665383</v>
      </c>
      <c r="Q3" s="2">
        <f>$E3*AN3</f>
        <v>4.3999999999999604</v>
      </c>
      <c r="R3" s="2">
        <f>$E3*AQ3</f>
        <v>2.9863221884498272</v>
      </c>
      <c r="S3" s="2">
        <f>$E3*AO3</f>
        <v>38.792559523809466</v>
      </c>
      <c r="T3" s="2">
        <f>$E3*AP3</f>
        <v>6.9802083333332332</v>
      </c>
      <c r="U3" s="2">
        <f>S3-T3</f>
        <v>31.812351190476232</v>
      </c>
      <c r="V3" s="1">
        <f>F3/D3</f>
        <v>0.25884204459890769</v>
      </c>
      <c r="W3" s="1">
        <f>(F3+M3+N3+P3)/(D3+M3+N3+Q3)</f>
        <v>0.35092020286718079</v>
      </c>
      <c r="X3" s="1">
        <f>(G3+H3*2+I3*3+J3*4)/D3</f>
        <v>0.46807741860658175</v>
      </c>
      <c r="Y3" s="1">
        <f>W3+X3</f>
        <v>0.81899762147376254</v>
      </c>
      <c r="Z3">
        <v>0.29522949279999999</v>
      </c>
      <c r="AA3">
        <v>19.3452381</v>
      </c>
      <c r="AB3">
        <v>10.275969885999899</v>
      </c>
      <c r="AD3" s="2">
        <f>(D3-O3-J3+Q3)*Z3</f>
        <v>124.96343928758073</v>
      </c>
      <c r="AE3">
        <v>0.22435440500000001</v>
      </c>
      <c r="AF3">
        <v>0.697274796747967</v>
      </c>
      <c r="AG3">
        <v>0.248</v>
      </c>
      <c r="AH3">
        <v>7.7580487804878001E-2</v>
      </c>
      <c r="AI3">
        <v>3.3384379785604802E-2</v>
      </c>
      <c r="AJ3">
        <v>0.15645919929993399</v>
      </c>
      <c r="AK3">
        <v>0.114854517611026</v>
      </c>
      <c r="AL3">
        <v>2.1396211624006198E-3</v>
      </c>
      <c r="AM3">
        <v>1.42279961086777E-2</v>
      </c>
      <c r="AN3">
        <v>6.7381316998467999E-3</v>
      </c>
      <c r="AO3">
        <v>5.9406676146722001E-2</v>
      </c>
      <c r="AP3">
        <v>1.0689446145992701E-2</v>
      </c>
      <c r="AQ3">
        <v>4.5732345918067796E-3</v>
      </c>
    </row>
    <row r="4" spans="1:43" x14ac:dyDescent="0.4">
      <c r="A4" t="s">
        <v>20</v>
      </c>
      <c r="B4" t="s">
        <v>23</v>
      </c>
      <c r="D4">
        <v>533</v>
      </c>
      <c r="E4">
        <v>603</v>
      </c>
      <c r="F4" s="2">
        <f>AD4+J4</f>
        <v>123.918390325871</v>
      </c>
      <c r="G4" s="2">
        <f>$AD4*AF4</f>
        <v>73.897903368760382</v>
      </c>
      <c r="H4" s="2">
        <f>$AD4*AG4</f>
        <v>25.824536123491509</v>
      </c>
      <c r="I4" s="2">
        <f>$AD4*AH4</f>
        <v>0.99722439492251902</v>
      </c>
      <c r="J4" s="2">
        <f>$E4*AI4</f>
        <v>23.599999999999962</v>
      </c>
      <c r="K4" s="2">
        <f>$E4*AJ4</f>
        <v>69.186206896551553</v>
      </c>
      <c r="L4" s="2">
        <f>$E4*AK4</f>
        <v>82.999999999999687</v>
      </c>
      <c r="M4" s="2">
        <f>$E4*(AB4/100)</f>
        <v>54.144827588483999</v>
      </c>
      <c r="N4" s="2">
        <f>$E4*AL4</f>
        <v>0.3999999999999877</v>
      </c>
      <c r="O4" s="2">
        <f>$E4*(AA4/100)</f>
        <v>173.27586204539998</v>
      </c>
      <c r="P4" s="2">
        <f>$E4*AM4</f>
        <v>9.1016611295680256</v>
      </c>
      <c r="Q4" s="2">
        <f>$E4*AN4</f>
        <v>5.3999999999999728</v>
      </c>
      <c r="R4" s="2">
        <f>$E4*AQ4</f>
        <v>0</v>
      </c>
      <c r="S4" s="2">
        <f>$E4*AO4</f>
        <v>1.99802955665024</v>
      </c>
      <c r="T4" s="2">
        <f>$E4*AP4</f>
        <v>0.99901477832509278</v>
      </c>
      <c r="U4" s="2">
        <f>S4-T4</f>
        <v>0.99901477832514718</v>
      </c>
      <c r="V4" s="1">
        <f>F4/D4</f>
        <v>0.23249228954197185</v>
      </c>
      <c r="W4" s="1">
        <f>(F4+M4+N4+P4)/(D4+M4+N4+Q4)</f>
        <v>0.31632770928579029</v>
      </c>
      <c r="X4" s="1">
        <f>(G4+H4*2+I4*3+J4*4)/D4</f>
        <v>0.41827138611728104</v>
      </c>
      <c r="Y4" s="1">
        <f>W4+X4</f>
        <v>0.73459909540307133</v>
      </c>
      <c r="Z4">
        <v>0.29373733559999998</v>
      </c>
      <c r="AA4">
        <v>28.73563218</v>
      </c>
      <c r="AB4">
        <v>8.9792417227999994</v>
      </c>
      <c r="AD4" s="2">
        <f>(D4-O4-J4+Q4)*Z4</f>
        <v>100.31839032587104</v>
      </c>
      <c r="AE4">
        <v>0.20871015300000001</v>
      </c>
      <c r="AF4">
        <v>0.73663366336633596</v>
      </c>
      <c r="AG4">
        <v>0.25742574257425699</v>
      </c>
      <c r="AH4">
        <v>9.9405940594059303E-3</v>
      </c>
      <c r="AI4">
        <v>3.91376451077943E-2</v>
      </c>
      <c r="AJ4">
        <v>0.114736661519986</v>
      </c>
      <c r="AK4">
        <v>0.13764510779436101</v>
      </c>
      <c r="AL4">
        <v>6.6334991708123998E-4</v>
      </c>
      <c r="AM4">
        <v>1.50939653890017E-2</v>
      </c>
      <c r="AN4">
        <v>8.9552238805969703E-3</v>
      </c>
      <c r="AO4">
        <v>3.31348185182461E-3</v>
      </c>
      <c r="AP4">
        <v>1.6567409259122599E-3</v>
      </c>
      <c r="AQ4">
        <v>0</v>
      </c>
    </row>
    <row r="5" spans="1:43" x14ac:dyDescent="0.4">
      <c r="A5" t="s">
        <v>20</v>
      </c>
      <c r="B5" t="s">
        <v>24</v>
      </c>
      <c r="C5" t="s">
        <v>304</v>
      </c>
      <c r="D5">
        <v>400</v>
      </c>
      <c r="E5">
        <v>450</v>
      </c>
      <c r="F5" s="2">
        <f>AD5+J5</f>
        <v>111.25304243762317</v>
      </c>
      <c r="G5" s="2">
        <f>$AD5*AF5</f>
        <v>78.73464802050222</v>
      </c>
      <c r="H5" s="2">
        <f>$AD5*AG5</f>
        <v>21.840455666288367</v>
      </c>
      <c r="I5" s="2">
        <f>$AD5*AH5</f>
        <v>1.4034731314967854</v>
      </c>
      <c r="J5" s="2">
        <f>$E5*AI5</f>
        <v>9</v>
      </c>
      <c r="K5" s="2">
        <f>$E5*AJ5</f>
        <v>52.487573964496654</v>
      </c>
      <c r="L5" s="2">
        <f>$E5*AK5</f>
        <v>52.999999999999645</v>
      </c>
      <c r="M5" s="2">
        <f>$E5*(AB5/100)</f>
        <v>38.549112424199997</v>
      </c>
      <c r="N5" s="2">
        <f>$E5*AL5</f>
        <v>0.98875739644969496</v>
      </c>
      <c r="O5" s="2">
        <f>$E5*(AA5/100)</f>
        <v>73.66863905999999</v>
      </c>
      <c r="P5" s="2">
        <f>$E5*AM5</f>
        <v>4.8629032258064404</v>
      </c>
      <c r="Q5" s="2">
        <f>$E5*AN5</f>
        <v>3.3999999999999662</v>
      </c>
      <c r="R5" s="2">
        <f>$E5*AQ5</f>
        <v>0</v>
      </c>
      <c r="S5" s="2">
        <f>$E5*AO5</f>
        <v>5.0325443786982147</v>
      </c>
      <c r="T5" s="2">
        <f>$E5*AP5</f>
        <v>1.0775147928993989</v>
      </c>
      <c r="U5" s="2">
        <f>S5-T5</f>
        <v>3.9550295857988158</v>
      </c>
      <c r="V5" s="1">
        <f>F5/D5</f>
        <v>0.27813260609405793</v>
      </c>
      <c r="W5" s="1">
        <f>(F5+M5+N5+P5)/(D5+M5+N5+Q5)</f>
        <v>0.35141229975911792</v>
      </c>
      <c r="X5" s="1">
        <f>(G5+H5*2+I5*3+J5*4)/D5</f>
        <v>0.4065649468689233</v>
      </c>
      <c r="Y5" s="1">
        <f>W5+X5</f>
        <v>0.75797724662804122</v>
      </c>
      <c r="Z5">
        <v>0.3188121116</v>
      </c>
      <c r="AA5">
        <v>16.37080868</v>
      </c>
      <c r="AB5">
        <v>8.5664694275999995</v>
      </c>
      <c r="AD5" s="2">
        <f>(D5-O5-J5+Q5)*Z5</f>
        <v>102.25304243762317</v>
      </c>
      <c r="AE5">
        <v>0.24761383300000001</v>
      </c>
      <c r="AF5">
        <v>0.76999809632590899</v>
      </c>
      <c r="AG5">
        <v>0.213592233009708</v>
      </c>
      <c r="AH5">
        <v>1.37254901960784E-2</v>
      </c>
      <c r="AI5">
        <v>0.02</v>
      </c>
      <c r="AJ5">
        <v>0.11663905325443701</v>
      </c>
      <c r="AK5">
        <v>0.117777777777777</v>
      </c>
      <c r="AL5">
        <v>2.1972386587770999E-3</v>
      </c>
      <c r="AM5">
        <v>1.08064516129032E-2</v>
      </c>
      <c r="AN5">
        <v>7.5555555555554803E-3</v>
      </c>
      <c r="AO5">
        <v>1.1183431952662699E-2</v>
      </c>
      <c r="AP5">
        <v>2.3944773175542198E-3</v>
      </c>
      <c r="AQ5">
        <v>0</v>
      </c>
    </row>
    <row r="6" spans="1:43" x14ac:dyDescent="0.4">
      <c r="A6" t="s">
        <v>20</v>
      </c>
      <c r="B6" t="s">
        <v>25</v>
      </c>
      <c r="C6" t="s">
        <v>303</v>
      </c>
      <c r="D6">
        <v>465</v>
      </c>
      <c r="E6">
        <v>517</v>
      </c>
      <c r="F6" s="2">
        <f>AD6+J6</f>
        <v>121.18632947967104</v>
      </c>
      <c r="G6" s="2">
        <f>$AD6*AF6</f>
        <v>88.125083224573075</v>
      </c>
      <c r="H6" s="2">
        <f>$AD6*AG6</f>
        <v>20.814894948461575</v>
      </c>
      <c r="I6" s="2">
        <f>$AD6*AH6</f>
        <v>5.6170254582902617</v>
      </c>
      <c r="J6" s="2">
        <f>$E6*AI6</f>
        <v>7.1999999999999424</v>
      </c>
      <c r="K6" s="2">
        <f>$E6*AJ6</f>
        <v>65.432967032966815</v>
      </c>
      <c r="L6" s="2">
        <f>$E6*AK6</f>
        <v>50.999999999999957</v>
      </c>
      <c r="M6" s="2">
        <f>$E6*(AB6/100)</f>
        <v>35.192857144037994</v>
      </c>
      <c r="N6" s="2">
        <f>$E6*AL6</f>
        <v>0.89999999999996827</v>
      </c>
      <c r="O6" s="2">
        <f>$E6*(AA6/100)</f>
        <v>92.794871801499994</v>
      </c>
      <c r="P6" s="2">
        <f>$E6*AM6</f>
        <v>8.2237623762375769</v>
      </c>
      <c r="Q6" s="2">
        <f>$E6*AN6</f>
        <v>2.9999999999999973</v>
      </c>
      <c r="R6" s="2">
        <f>$E6*AQ6</f>
        <v>4.0570297029702749</v>
      </c>
      <c r="S6" s="2">
        <f>$E6*AO6</f>
        <v>27.851282051282016</v>
      </c>
      <c r="T6" s="2">
        <f>$E6*AP6</f>
        <v>6.0628205128204655</v>
      </c>
      <c r="U6" s="2">
        <f>S6-T6</f>
        <v>21.788461538461551</v>
      </c>
      <c r="V6" s="1">
        <f>F6/D6</f>
        <v>0.26061576232187322</v>
      </c>
      <c r="W6" s="1">
        <f>(F6+M6+N6+P6)/(D6+M6+N6+Q6)</f>
        <v>0.32831837756561644</v>
      </c>
      <c r="X6" s="1">
        <f>(G6+H6*2+I6*3+J6*4)/D6</f>
        <v>0.37721709569111134</v>
      </c>
      <c r="Y6" s="1">
        <f>W6+X6</f>
        <v>0.70553547325672783</v>
      </c>
      <c r="Z6">
        <v>0.30974114419999998</v>
      </c>
      <c r="AA6">
        <v>17.948717949999999</v>
      </c>
      <c r="AB6">
        <v>6.8071290413999996</v>
      </c>
      <c r="AD6" s="2">
        <f>(D6-O6-J6+Q6)*Z6</f>
        <v>113.9863294796711</v>
      </c>
      <c r="AE6">
        <v>0.23652640799999999</v>
      </c>
      <c r="AF6">
        <v>0.77311975591151705</v>
      </c>
      <c r="AG6">
        <v>0.182608695652173</v>
      </c>
      <c r="AH6">
        <v>4.9278062412668799E-2</v>
      </c>
      <c r="AI6">
        <v>1.39264990328819E-2</v>
      </c>
      <c r="AJ6">
        <v>0.126562798903224</v>
      </c>
      <c r="AK6">
        <v>9.8646034816247494E-2</v>
      </c>
      <c r="AL6">
        <v>1.7408123791101901E-3</v>
      </c>
      <c r="AM6">
        <v>1.59066970526839E-2</v>
      </c>
      <c r="AN6">
        <v>5.8027079303674999E-3</v>
      </c>
      <c r="AO6">
        <v>5.3870951743292102E-2</v>
      </c>
      <c r="AP6">
        <v>1.1726925556712699E-2</v>
      </c>
      <c r="AQ6">
        <v>7.8472528103873795E-3</v>
      </c>
    </row>
    <row r="7" spans="1:43" x14ac:dyDescent="0.4">
      <c r="A7" t="s">
        <v>20</v>
      </c>
      <c r="B7" s="3" t="s">
        <v>26</v>
      </c>
      <c r="D7">
        <v>235</v>
      </c>
      <c r="E7">
        <v>262</v>
      </c>
      <c r="F7" s="2">
        <f>AD7+J7</f>
        <v>58.76978756870939</v>
      </c>
      <c r="G7" s="2">
        <f>$AD7*AF7</f>
        <v>40.324082953447729</v>
      </c>
      <c r="H7" s="2">
        <f>$AD7*AG7</f>
        <v>10.952220061430213</v>
      </c>
      <c r="I7" s="2">
        <f>$AD7*AH7</f>
        <v>1.4054072596310823</v>
      </c>
      <c r="J7" s="2">
        <f>$E7*AI7</f>
        <v>5.9999999999999938</v>
      </c>
      <c r="K7" s="2">
        <f>$E7*AJ7</f>
        <v>32.015444015443812</v>
      </c>
      <c r="L7" s="2">
        <f>$E7*AK7</f>
        <v>26.999999999999787</v>
      </c>
      <c r="M7" s="2">
        <f>$E7*(AB7/100)</f>
        <v>19.224324324422003</v>
      </c>
      <c r="N7" s="2">
        <f>$E7*AL7</f>
        <v>0</v>
      </c>
      <c r="O7" s="2">
        <f>$E7*(AA7/100)</f>
        <v>63.729729718399994</v>
      </c>
      <c r="P7" s="2">
        <f>$E7*AM7</f>
        <v>3.2213930348258546</v>
      </c>
      <c r="Q7" s="2">
        <f>$E7*AN7</f>
        <v>1.9999999999999891</v>
      </c>
      <c r="R7" s="2">
        <f>$E7*AQ7</f>
        <v>0.79104477611939139</v>
      </c>
      <c r="S7" s="2">
        <f>$E7*AO7</f>
        <v>10.709266409266377</v>
      </c>
      <c r="T7" s="2">
        <f>$E7*AP7</f>
        <v>2.0023166023165917</v>
      </c>
      <c r="U7" s="2">
        <f>S7-T7</f>
        <v>8.706949806949785</v>
      </c>
      <c r="V7" s="1">
        <f>F7/D7</f>
        <v>0.25008420242003998</v>
      </c>
      <c r="W7" s="1">
        <f>(F7+M7+N7+P7)/(D7+M7+N7+Q7)</f>
        <v>0.31697031553149924</v>
      </c>
      <c r="X7" s="1">
        <f>(G7+H7*2+I7*3+J7*4)/D7</f>
        <v>0.3848712547029845</v>
      </c>
      <c r="Y7" s="1">
        <f>W7+X7</f>
        <v>0.70184157023448379</v>
      </c>
      <c r="Z7">
        <v>0.31547618999999999</v>
      </c>
      <c r="AA7">
        <v>24.324324319999999</v>
      </c>
      <c r="AB7">
        <v>7.3375283681000001</v>
      </c>
      <c r="AD7" s="2">
        <f>(D7-O7-J7+Q7)*Z7</f>
        <v>52.769787568709397</v>
      </c>
      <c r="AE7">
        <v>0.22429779799999999</v>
      </c>
      <c r="AF7">
        <v>0.76415094339622602</v>
      </c>
      <c r="AG7">
        <v>0.20754716981131999</v>
      </c>
      <c r="AH7">
        <v>2.6632801161103E-2</v>
      </c>
      <c r="AI7">
        <v>2.2900763358778602E-2</v>
      </c>
      <c r="AJ7">
        <v>0.122196351203984</v>
      </c>
      <c r="AK7">
        <v>0.103053435114503</v>
      </c>
      <c r="AL7">
        <v>0</v>
      </c>
      <c r="AM7">
        <v>1.2295393262694101E-2</v>
      </c>
      <c r="AN7">
        <v>7.6335877862595001E-3</v>
      </c>
      <c r="AO7">
        <v>4.0875062630787697E-2</v>
      </c>
      <c r="AP7">
        <v>7.6424297798343196E-3</v>
      </c>
      <c r="AQ7">
        <v>3.0192548706847E-3</v>
      </c>
    </row>
    <row r="8" spans="1:43" x14ac:dyDescent="0.4">
      <c r="A8" t="s">
        <v>20</v>
      </c>
      <c r="B8" t="s">
        <v>27</v>
      </c>
      <c r="D8">
        <v>535</v>
      </c>
      <c r="E8">
        <v>596</v>
      </c>
      <c r="F8" s="2">
        <f>AD8+J8</f>
        <v>140.3007201065839</v>
      </c>
      <c r="G8" s="2">
        <f>$AD8*AF8</f>
        <v>89.528253882141868</v>
      </c>
      <c r="H8" s="2">
        <f>$AD8*AG8</f>
        <v>28.261187821901245</v>
      </c>
      <c r="I8" s="2">
        <f>$AD8*AH8</f>
        <v>0.39700240035527834</v>
      </c>
      <c r="J8" s="2">
        <f>$E8*AI8</f>
        <v>21.199999999999928</v>
      </c>
      <c r="K8" s="2">
        <f>$E8*AJ8</f>
        <v>70.677832512315035</v>
      </c>
      <c r="L8" s="2">
        <f>$E8*AK8</f>
        <v>90.999999999999858</v>
      </c>
      <c r="M8" s="2">
        <f>$E8*(AB8/100)</f>
        <v>49.893267652083999</v>
      </c>
      <c r="N8" s="2">
        <f>$E8*AL8</f>
        <v>5.6850574712643471</v>
      </c>
      <c r="O8" s="2">
        <f>$E8*(AA8/100)</f>
        <v>92.972085412400006</v>
      </c>
      <c r="P8" s="2">
        <f>$E8*AM8</f>
        <v>6.9144329896906838</v>
      </c>
      <c r="Q8" s="2">
        <f>$E8*AN8</f>
        <v>4.9999999999999742</v>
      </c>
      <c r="R8" s="2">
        <f>$E8*AQ8</f>
        <v>0</v>
      </c>
      <c r="S8" s="2">
        <f>$E8*AO8</f>
        <v>6.9850574712643443</v>
      </c>
      <c r="T8" s="2">
        <f>$E8*AP8</f>
        <v>1.995730706075487</v>
      </c>
      <c r="U8" s="2">
        <f>S8-T8</f>
        <v>4.9893267651888573</v>
      </c>
      <c r="V8" s="1">
        <f>F8/D8</f>
        <v>0.26224433664782038</v>
      </c>
      <c r="W8" s="1">
        <f>(F8+M8+N8+P8)/(D8+M8+N8+Q8)</f>
        <v>0.34049841920896468</v>
      </c>
      <c r="X8" s="1">
        <f>(G8+H8*2+I8*3+J8*4)/D8</f>
        <v>0.43372268547104659</v>
      </c>
      <c r="Y8" s="1">
        <f>W8+X8</f>
        <v>0.77422110468001126</v>
      </c>
      <c r="Z8">
        <v>0.27969213859999997</v>
      </c>
      <c r="AA8">
        <v>15.599343190000001</v>
      </c>
      <c r="AB8">
        <v>8.3713536329</v>
      </c>
      <c r="AD8" s="2">
        <f>(D8-O8-J8+Q8)*Z8</f>
        <v>119.10072010658398</v>
      </c>
      <c r="AE8">
        <v>0.23522510099999999</v>
      </c>
      <c r="AF8">
        <v>0.75170203674690195</v>
      </c>
      <c r="AG8">
        <v>0.23728813559322001</v>
      </c>
      <c r="AH8">
        <v>3.3333333333333201E-3</v>
      </c>
      <c r="AI8">
        <v>3.5570469798657599E-2</v>
      </c>
      <c r="AJ8">
        <v>0.11858696730254201</v>
      </c>
      <c r="AK8">
        <v>0.15268456375838901</v>
      </c>
      <c r="AL8">
        <v>9.5386870323227301E-3</v>
      </c>
      <c r="AM8">
        <v>1.1601397633709201E-2</v>
      </c>
      <c r="AN8">
        <v>8.3892617449663996E-3</v>
      </c>
      <c r="AO8">
        <v>1.1719895086014001E-2</v>
      </c>
      <c r="AP8">
        <v>3.3485414531467901E-3</v>
      </c>
      <c r="AQ8">
        <v>0</v>
      </c>
    </row>
    <row r="9" spans="1:43" x14ac:dyDescent="0.4">
      <c r="A9" t="s">
        <v>20</v>
      </c>
      <c r="B9" t="s">
        <v>28</v>
      </c>
      <c r="D9">
        <v>537</v>
      </c>
      <c r="E9">
        <v>614</v>
      </c>
      <c r="F9" s="2">
        <f>AD9+J9</f>
        <v>147.50058575225529</v>
      </c>
      <c r="G9" s="2">
        <f>$AD9*AF9</f>
        <v>86.550683716622615</v>
      </c>
      <c r="H9" s="2">
        <f>$AD9*AG9</f>
        <v>31.554252000591564</v>
      </c>
      <c r="I9" s="2">
        <f>$AD9*AH9</f>
        <v>3.017623936726733</v>
      </c>
      <c r="J9" s="2">
        <f>$E9*AI9</f>
        <v>27.199999999999889</v>
      </c>
      <c r="K9" s="2">
        <f>$E9*AJ9</f>
        <v>86.806907378335424</v>
      </c>
      <c r="L9" s="2">
        <f>$E9*AK9</f>
        <v>88.999999999999645</v>
      </c>
      <c r="M9" s="2">
        <f>$E9*(AB9/100)</f>
        <v>64.95808478504</v>
      </c>
      <c r="N9" s="2">
        <f>$E9*AL9</f>
        <v>4.0819466248037486</v>
      </c>
      <c r="O9" s="2">
        <f>$E9*(AA9/100)</f>
        <v>110.84772372800001</v>
      </c>
      <c r="P9" s="2">
        <f>$E9*AM9</f>
        <v>5.9348432055748903</v>
      </c>
      <c r="Q9" s="2">
        <f>$E9*AN9</f>
        <v>4.3999999999999826</v>
      </c>
      <c r="R9" s="2">
        <f>$E9*AQ9</f>
        <v>0</v>
      </c>
      <c r="S9" s="2">
        <f>$E9*AO9</f>
        <v>6.9747252747251887</v>
      </c>
      <c r="T9" s="2">
        <f>$E9*AP9</f>
        <v>1.992778649921499</v>
      </c>
      <c r="U9" s="2">
        <f>S9-T9</f>
        <v>4.9819466248036894</v>
      </c>
      <c r="V9" s="1">
        <f>F9/D9</f>
        <v>0.27467520624256109</v>
      </c>
      <c r="W9" s="1">
        <f>(F9+M9+N9+P9)/(D9+M9+N9+Q9)</f>
        <v>0.36445096802359928</v>
      </c>
      <c r="X9" s="1">
        <f>(G9+H9*2+I9*3+J9*4)/D9</f>
        <v>0.49816025982865075</v>
      </c>
      <c r="Y9" s="1">
        <f>W9+X9</f>
        <v>0.86261122785224997</v>
      </c>
      <c r="Z9">
        <v>0.29825190739999902</v>
      </c>
      <c r="AA9">
        <v>18.053375200000001</v>
      </c>
      <c r="AB9">
        <v>10.579492635999999</v>
      </c>
      <c r="AD9" s="2">
        <f>(D9-O9-J9+Q9)*Z9</f>
        <v>120.30058575225539</v>
      </c>
      <c r="AE9">
        <v>0.242085253</v>
      </c>
      <c r="AF9">
        <v>0.71945355191256799</v>
      </c>
      <c r="AG9">
        <v>0.26229508196721302</v>
      </c>
      <c r="AH9">
        <v>2.50840336134453E-2</v>
      </c>
      <c r="AI9">
        <v>4.4299674267100797E-2</v>
      </c>
      <c r="AJ9">
        <v>0.141379327977745</v>
      </c>
      <c r="AK9">
        <v>0.14495114006514601</v>
      </c>
      <c r="AL9">
        <v>6.6481215387683198E-3</v>
      </c>
      <c r="AM9">
        <v>9.6658684129884206E-3</v>
      </c>
      <c r="AN9">
        <v>7.1661237785015999E-3</v>
      </c>
      <c r="AO9">
        <v>1.13594874181192E-2</v>
      </c>
      <c r="AP9">
        <v>3.2455678337483698E-3</v>
      </c>
      <c r="AQ9">
        <v>0</v>
      </c>
    </row>
    <row r="10" spans="1:43" x14ac:dyDescent="0.4">
      <c r="A10" t="s">
        <v>20</v>
      </c>
      <c r="B10" t="s">
        <v>29</v>
      </c>
      <c r="D10">
        <v>518</v>
      </c>
      <c r="E10">
        <v>560</v>
      </c>
      <c r="F10" s="2">
        <f>AD10+J10</f>
        <v>140.23439807854453</v>
      </c>
      <c r="G10" s="2">
        <f>$AD10*AF10</f>
        <v>94.919312073205106</v>
      </c>
      <c r="H10" s="2">
        <f>$AD10*AG10</f>
        <v>26.920393130005564</v>
      </c>
      <c r="I10" s="2">
        <f>$AD10*AH10</f>
        <v>1.9941031948152337</v>
      </c>
      <c r="J10" s="2">
        <f>$E10*AI10</f>
        <v>16.59999999999992</v>
      </c>
      <c r="K10" s="2">
        <f>$E10*AJ10</f>
        <v>64.799999999999599</v>
      </c>
      <c r="L10" s="2">
        <f>$E10*AK10</f>
        <v>72.999999999999517</v>
      </c>
      <c r="M10" s="2">
        <f>$E10*(AB10/100)</f>
        <v>31.999999998399996</v>
      </c>
      <c r="N10" s="2">
        <f>$E10*AL10</f>
        <v>0.59999999999997122</v>
      </c>
      <c r="O10" s="2">
        <f>$E10*(AA10/100)</f>
        <v>101.999999976</v>
      </c>
      <c r="P10" s="2">
        <f>$E10*AM10</f>
        <v>5.0343511450381522</v>
      </c>
      <c r="Q10" s="2">
        <f>$E10*AN10</f>
        <v>4.5999999999999801</v>
      </c>
      <c r="R10" s="2">
        <f>$E10*AQ10</f>
        <v>0</v>
      </c>
      <c r="S10" s="2">
        <f>$E10*AO10</f>
        <v>5.8999999999999524</v>
      </c>
      <c r="T10" s="2">
        <f>$E10*AP10</f>
        <v>1.8999999999999591</v>
      </c>
      <c r="U10" s="2">
        <f>S10-T10</f>
        <v>3.9999999999999933</v>
      </c>
      <c r="V10" s="1">
        <f>F10/D10</f>
        <v>0.2707227762134064</v>
      </c>
      <c r="W10" s="1">
        <f>(F10+M10+N10+P10)/(D10+M10+N10+Q10)</f>
        <v>0.32036878462264995</v>
      </c>
      <c r="X10" s="1">
        <f>(G10+H10*2+I10*3+J10*4)/D10</f>
        <v>0.42691584540089117</v>
      </c>
      <c r="Y10" s="1">
        <f>W10+X10</f>
        <v>0.74728463002354117</v>
      </c>
      <c r="Z10">
        <v>0.30602573779999998</v>
      </c>
      <c r="AA10">
        <v>18.214285709999999</v>
      </c>
      <c r="AB10">
        <v>5.7142857139999998</v>
      </c>
      <c r="AD10" s="2">
        <f>(D10-O10-J10+Q10)*Z10</f>
        <v>123.63439807854462</v>
      </c>
      <c r="AE10">
        <v>0.252300105</v>
      </c>
      <c r="AF10">
        <v>0.76774193548387004</v>
      </c>
      <c r="AG10">
        <v>0.21774193548387</v>
      </c>
      <c r="AH10">
        <v>1.6129032258064498E-2</v>
      </c>
      <c r="AI10">
        <v>2.9642857142856999E-2</v>
      </c>
      <c r="AJ10">
        <v>0.11571428571428501</v>
      </c>
      <c r="AK10">
        <v>0.13035714285714201</v>
      </c>
      <c r="AL10">
        <v>1.0714285714285201E-3</v>
      </c>
      <c r="AM10">
        <v>8.9899127589966998E-3</v>
      </c>
      <c r="AN10">
        <v>8.2142857142856792E-3</v>
      </c>
      <c r="AO10">
        <v>1.05357142857142E-2</v>
      </c>
      <c r="AP10">
        <v>3.3928571428570699E-3</v>
      </c>
      <c r="AQ10">
        <v>0</v>
      </c>
    </row>
    <row r="11" spans="1:43" x14ac:dyDescent="0.4">
      <c r="A11" t="s">
        <v>20</v>
      </c>
      <c r="B11" t="s">
        <v>30</v>
      </c>
      <c r="D11">
        <v>263</v>
      </c>
      <c r="E11">
        <v>300</v>
      </c>
      <c r="F11" s="2">
        <f>AD11+J11</f>
        <v>62.888149808252052</v>
      </c>
      <c r="G11" s="2">
        <f>$AD11*AF11</f>
        <v>39.072922415991627</v>
      </c>
      <c r="H11" s="2">
        <f>$AD11*AG11</f>
        <v>12.732332361245829</v>
      </c>
      <c r="I11" s="2">
        <f>$AD11*AH11</f>
        <v>0.99049784406788588</v>
      </c>
      <c r="J11" s="2">
        <f>$E11*AI11</f>
        <v>9.9999999999999893</v>
      </c>
      <c r="K11" s="2">
        <f>$E11*AJ11</f>
        <v>35.085714285713998</v>
      </c>
      <c r="L11" s="2">
        <f>$E11*AK11</f>
        <v>39</v>
      </c>
      <c r="M11" s="2">
        <f>$E11*(AB11/100)</f>
        <v>30.342857141999996</v>
      </c>
      <c r="N11" s="2">
        <f>$E11*AL11</f>
        <v>0.985714285714275</v>
      </c>
      <c r="O11" s="2">
        <f>$E11*(AA11/100)</f>
        <v>63.428571420000004</v>
      </c>
      <c r="P11" s="2">
        <f>$E11*AM11</f>
        <v>1.9348314606741388</v>
      </c>
      <c r="Q11" s="2">
        <f>$E11*AN11</f>
        <v>1.99999999999998</v>
      </c>
      <c r="R11" s="2">
        <f>$E11*AQ11</f>
        <v>0</v>
      </c>
      <c r="S11" s="2">
        <f>$E11*AO11</f>
        <v>1.9714285714285531</v>
      </c>
      <c r="T11" s="2">
        <f>$E11*AP11</f>
        <v>8.5714285714283994E-2</v>
      </c>
      <c r="U11" s="2">
        <f>S11-T11</f>
        <v>1.885714285714269</v>
      </c>
      <c r="V11" s="1">
        <f>F11/D11</f>
        <v>0.23911844033555912</v>
      </c>
      <c r="W11" s="1">
        <f>(F11+M11+N11+P11)/(D11+M11+N11+Q11)</f>
        <v>0.32447614562909421</v>
      </c>
      <c r="X11" s="1">
        <f>(G11+H11*2+I11*3+J11*4)/D11</f>
        <v>0.40877977441325819</v>
      </c>
      <c r="Y11" s="1">
        <f>W11+X11</f>
        <v>0.7332559200423524</v>
      </c>
      <c r="Z11">
        <v>0.27607535319999998</v>
      </c>
      <c r="AA11">
        <v>21.14285714</v>
      </c>
      <c r="AB11">
        <v>10.114285713999999</v>
      </c>
      <c r="AD11" s="2">
        <f>(D11-O11-J11+Q11)*Z11</f>
        <v>52.888149808252066</v>
      </c>
      <c r="AE11">
        <v>0.21231818299999999</v>
      </c>
      <c r="AF11">
        <v>0.73878406708595301</v>
      </c>
      <c r="AG11">
        <v>0.24074074074074001</v>
      </c>
      <c r="AH11">
        <v>1.8728162124388398E-2</v>
      </c>
      <c r="AI11">
        <v>3.3333333333333298E-2</v>
      </c>
      <c r="AJ11">
        <v>0.11695238095238</v>
      </c>
      <c r="AK11">
        <v>0.13</v>
      </c>
      <c r="AL11">
        <v>3.2857142857142499E-3</v>
      </c>
      <c r="AM11">
        <v>6.4494382022471297E-3</v>
      </c>
      <c r="AN11">
        <v>6.6666666666666003E-3</v>
      </c>
      <c r="AO11">
        <v>6.5714285714285102E-3</v>
      </c>
      <c r="AP11">
        <v>2.8571428571427999E-4</v>
      </c>
      <c r="AQ11">
        <v>0</v>
      </c>
    </row>
    <row r="12" spans="1:43" x14ac:dyDescent="0.4">
      <c r="A12" t="s">
        <v>31</v>
      </c>
      <c r="B12" t="s">
        <v>32</v>
      </c>
      <c r="D12">
        <v>533</v>
      </c>
      <c r="E12">
        <v>603</v>
      </c>
      <c r="F12" s="2">
        <f>AD12+J12</f>
        <v>133.27805590720266</v>
      </c>
      <c r="G12" s="2">
        <f>$AD12*AF12</f>
        <v>71.811173749009882</v>
      </c>
      <c r="H12" s="2">
        <f>$AD12*AG12</f>
        <v>25.070932629388395</v>
      </c>
      <c r="I12" s="2">
        <f>$AD12*AH12</f>
        <v>1.5846070045243734</v>
      </c>
      <c r="J12" s="2">
        <f>$E12*AI12</f>
        <v>34.99999999999995</v>
      </c>
      <c r="K12" s="2">
        <f>$E12*AJ12</f>
        <v>81.514906832298095</v>
      </c>
      <c r="L12" s="2">
        <f>$E12*AK12</f>
        <v>91.99999999999946</v>
      </c>
      <c r="M12" s="2">
        <f>$E12*(AB12/100)</f>
        <v>55.398913044407998</v>
      </c>
      <c r="N12" s="2">
        <f>$E12*AL12</f>
        <v>3.3809006211179895</v>
      </c>
      <c r="O12" s="2">
        <f>$E12*(AA12/100)</f>
        <v>177.9037267077</v>
      </c>
      <c r="P12" s="2">
        <f>$E12*AM12</f>
        <v>9.7154237288135246</v>
      </c>
      <c r="Q12" s="2">
        <f>$E12*AN12</f>
        <v>3.9999999999999982</v>
      </c>
      <c r="R12" s="2">
        <f>$E12*AQ12</f>
        <v>0</v>
      </c>
      <c r="S12" s="2">
        <f>$E12*AO12</f>
        <v>7.9490683229813621</v>
      </c>
      <c r="T12" s="2">
        <f>$E12*AP12</f>
        <v>1.9872670807453405</v>
      </c>
      <c r="U12" s="2">
        <f>S12-T12</f>
        <v>5.9618012422360218</v>
      </c>
      <c r="V12" s="1">
        <f>F12/D12</f>
        <v>0.25005263772458286</v>
      </c>
      <c r="W12" s="1">
        <f>(F12+M12+N12+P12)/(D12+M12+N12+Q12)</f>
        <v>0.33867091276580041</v>
      </c>
      <c r="X12" s="1">
        <f>(G12+H12*2+I12*3+J12*4)/D12</f>
        <v>0.50038810510574039</v>
      </c>
      <c r="Y12" s="1">
        <f>W12+X12</f>
        <v>0.8390590178715408</v>
      </c>
      <c r="Z12">
        <v>0.30323722919999901</v>
      </c>
      <c r="AA12">
        <v>29.503105590000001</v>
      </c>
      <c r="AB12">
        <v>9.1872160936</v>
      </c>
      <c r="AD12" s="2">
        <f>(D12-O12-J12+Q12)*Z12</f>
        <v>98.278055907202713</v>
      </c>
      <c r="AE12">
        <v>0.22140690499999999</v>
      </c>
      <c r="AF12">
        <v>0.73069387755102</v>
      </c>
      <c r="AG12">
        <v>0.25510204081632598</v>
      </c>
      <c r="AH12">
        <v>1.6123711340206098E-2</v>
      </c>
      <c r="AI12">
        <v>5.8043117744610198E-2</v>
      </c>
      <c r="AJ12">
        <v>0.13518226672022901</v>
      </c>
      <c r="AK12">
        <v>0.152570480928689</v>
      </c>
      <c r="AL12">
        <v>5.6068003666964999E-3</v>
      </c>
      <c r="AM12">
        <v>1.6111813812294401E-2</v>
      </c>
      <c r="AN12">
        <v>6.6334991708126003E-3</v>
      </c>
      <c r="AO12">
        <v>1.3182534532307401E-2</v>
      </c>
      <c r="AP12">
        <v>3.2956336330768501E-3</v>
      </c>
      <c r="AQ12">
        <v>0</v>
      </c>
    </row>
    <row r="13" spans="1:43" x14ac:dyDescent="0.4">
      <c r="A13" t="s">
        <v>31</v>
      </c>
      <c r="B13" s="3" t="s">
        <v>33</v>
      </c>
      <c r="D13">
        <v>450</v>
      </c>
      <c r="E13">
        <v>489</v>
      </c>
      <c r="F13" s="2">
        <f>AD13+J13</f>
        <v>123.3515276040692</v>
      </c>
      <c r="G13" s="2">
        <f>$AD13*AF13</f>
        <v>90.640509237380286</v>
      </c>
      <c r="H13" s="2">
        <f>$AD13*AG13</f>
        <v>23.267975300806771</v>
      </c>
      <c r="I13" s="2">
        <f>$AD13*AH13</f>
        <v>2.0097638183629645</v>
      </c>
      <c r="J13" s="2">
        <f>$E13*AI13</f>
        <v>5.999999999999976</v>
      </c>
      <c r="K13" s="2">
        <f>$E13*AJ13</f>
        <v>58.015384615384193</v>
      </c>
      <c r="L13" s="2">
        <f>$E13*AK13</f>
        <v>44.999999999999993</v>
      </c>
      <c r="M13" s="2">
        <f>$E13*(AB13/100)</f>
        <v>24.465934065489002</v>
      </c>
      <c r="N13" s="2">
        <f>$E13*AL13</f>
        <v>0.89999999999998903</v>
      </c>
      <c r="O13" s="2">
        <f>$E13*(AA13/100)</f>
        <v>48.362637362099996</v>
      </c>
      <c r="P13" s="2">
        <f>$E13*AM13</f>
        <v>5.2640624999999694</v>
      </c>
      <c r="Q13" s="2">
        <f>$E13*AN13</f>
        <v>3.3999999999999786</v>
      </c>
      <c r="R13" s="2">
        <f>$E13*AQ13</f>
        <v>3.0337499999999853</v>
      </c>
      <c r="S13" s="2">
        <f>$E13*AO13</f>
        <v>3.9582417582417575</v>
      </c>
      <c r="T13" s="2">
        <f>$E13*AP13</f>
        <v>1.0791208791208653</v>
      </c>
      <c r="U13" s="2">
        <f>S13-T13</f>
        <v>2.879120879120892</v>
      </c>
      <c r="V13" s="1">
        <f>F13/D13</f>
        <v>0.27411450578682045</v>
      </c>
      <c r="W13" s="1">
        <f>(F13+M13+N13+P13)/(D13+M13+N13+Q13)</f>
        <v>0.32162172204277067</v>
      </c>
      <c r="X13" s="1">
        <f>(G13+H13*2+I13*3+J13*4)/D13</f>
        <v>0.37156833620907254</v>
      </c>
      <c r="Y13" s="1">
        <f>W13+X13</f>
        <v>0.69319005825184321</v>
      </c>
      <c r="Z13">
        <v>0.29408656579999998</v>
      </c>
      <c r="AA13">
        <v>9.8901098899999997</v>
      </c>
      <c r="AB13">
        <v>5.0032585001000003</v>
      </c>
      <c r="AD13" s="2">
        <f>(D13-O13-J13+Q13)*Z13</f>
        <v>117.35152760406923</v>
      </c>
      <c r="AE13">
        <v>0.25453689200000001</v>
      </c>
      <c r="AF13">
        <v>0.77238457042665098</v>
      </c>
      <c r="AG13">
        <v>0.198275862068965</v>
      </c>
      <c r="AH13">
        <v>1.7126013264553999E-2</v>
      </c>
      <c r="AI13">
        <v>1.22699386503067E-2</v>
      </c>
      <c r="AJ13">
        <v>0.11864086833411901</v>
      </c>
      <c r="AK13">
        <v>9.2024539877300596E-2</v>
      </c>
      <c r="AL13">
        <v>1.8404907975459899E-3</v>
      </c>
      <c r="AM13">
        <v>1.0764953987729999E-2</v>
      </c>
      <c r="AN13">
        <v>6.9529652351737799E-3</v>
      </c>
      <c r="AO13">
        <v>8.0945639227847799E-3</v>
      </c>
      <c r="AP13">
        <v>2.2067911638463502E-3</v>
      </c>
      <c r="AQ13">
        <v>6.2039877300613198E-3</v>
      </c>
    </row>
    <row r="14" spans="1:43" x14ac:dyDescent="0.4">
      <c r="A14" t="s">
        <v>31</v>
      </c>
      <c r="B14" t="s">
        <v>34</v>
      </c>
      <c r="D14">
        <v>522</v>
      </c>
      <c r="E14">
        <v>597</v>
      </c>
      <c r="F14" s="2">
        <f>AD14+J14</f>
        <v>117.8465995457088</v>
      </c>
      <c r="G14" s="2">
        <f>$AD14*AF14</f>
        <v>66.182050267855388</v>
      </c>
      <c r="H14" s="2">
        <f>$AD14*AG14</f>
        <v>27.556171298773886</v>
      </c>
      <c r="I14" s="2">
        <f>$AD14*AH14</f>
        <v>2.5314746643646808</v>
      </c>
      <c r="J14" s="2">
        <f>$E14*AI14</f>
        <v>21.399999999999949</v>
      </c>
      <c r="K14" s="2">
        <f>$E14*AJ14</f>
        <v>71.005775075987259</v>
      </c>
      <c r="L14" s="2">
        <f>$E14*AK14</f>
        <v>65.999999999999716</v>
      </c>
      <c r="M14" s="2">
        <f>$E14*(AB14/100)</f>
        <v>65.486170189890004</v>
      </c>
      <c r="N14" s="2">
        <f>$E14*AL14</f>
        <v>0.99072948328266364</v>
      </c>
      <c r="O14" s="2">
        <f>$E14*(AA14/100)</f>
        <v>127.9285714371</v>
      </c>
      <c r="P14" s="2">
        <f>$E14*AM14</f>
        <v>3.903559322033892</v>
      </c>
      <c r="Q14" s="2">
        <f>$E14*AN14</f>
        <v>4.1999999999999966</v>
      </c>
      <c r="R14" s="2">
        <f>$E14*AQ14</f>
        <v>1.0071186440677646</v>
      </c>
      <c r="S14" s="2">
        <f>$E14*AO14</f>
        <v>4.0536474164133605</v>
      </c>
      <c r="T14" s="2">
        <f>$E14*AP14</f>
        <v>1.9814589665653395</v>
      </c>
      <c r="U14" s="2">
        <f>S14-T14</f>
        <v>2.0721884498480208</v>
      </c>
      <c r="V14" s="1">
        <f>F14/D14</f>
        <v>0.22575976924465288</v>
      </c>
      <c r="W14" s="1">
        <f>(F14+M14+N14+P14)/(D14+M14+N14+Q14)</f>
        <v>0.31758797861821808</v>
      </c>
      <c r="X14" s="1">
        <f>(G14+H14*2+I14*3+J14*4)/D14</f>
        <v>0.41089811658715897</v>
      </c>
      <c r="Y14" s="1">
        <f>W14+X14</f>
        <v>0.7284860952053771</v>
      </c>
      <c r="Z14">
        <v>0.2559138004</v>
      </c>
      <c r="AA14">
        <v>21.428571430000002</v>
      </c>
      <c r="AB14">
        <v>10.969207737</v>
      </c>
      <c r="AD14" s="2">
        <f>(D14-O14-J14+Q14)*Z14</f>
        <v>96.44659954570885</v>
      </c>
      <c r="AE14">
        <v>0.20187876499999999</v>
      </c>
      <c r="AF14">
        <v>0.68620408163265301</v>
      </c>
      <c r="AG14">
        <v>0.28571428571428498</v>
      </c>
      <c r="AH14">
        <v>2.6247422680412299E-2</v>
      </c>
      <c r="AI14">
        <v>3.5845896147403598E-2</v>
      </c>
      <c r="AJ14">
        <v>0.118937646693446</v>
      </c>
      <c r="AK14">
        <v>0.110552763819095</v>
      </c>
      <c r="AL14">
        <v>1.6595133723327699E-3</v>
      </c>
      <c r="AM14">
        <v>6.5386253300400198E-3</v>
      </c>
      <c r="AN14">
        <v>7.03517587939698E-3</v>
      </c>
      <c r="AO14">
        <v>6.7900291732217099E-3</v>
      </c>
      <c r="AP14">
        <v>3.3190267446655602E-3</v>
      </c>
      <c r="AQ14">
        <v>1.6869659029610799E-3</v>
      </c>
    </row>
    <row r="15" spans="1:43" x14ac:dyDescent="0.4">
      <c r="A15" t="s">
        <v>31</v>
      </c>
      <c r="B15" s="3" t="s">
        <v>35</v>
      </c>
      <c r="D15">
        <v>534</v>
      </c>
      <c r="E15">
        <v>585</v>
      </c>
      <c r="F15" s="2">
        <f>AD15+J15</f>
        <v>132.40161945943362</v>
      </c>
      <c r="G15" s="2">
        <f>$AD15*AF15</f>
        <v>79.22761001813133</v>
      </c>
      <c r="H15" s="2">
        <f>$AD15*AG15</f>
        <v>26.743258151859703</v>
      </c>
      <c r="I15" s="2">
        <f>$AD15*AH15</f>
        <v>2.5986195438568882</v>
      </c>
      <c r="J15" s="2">
        <f>$E15*AI15</f>
        <v>24.399999999999935</v>
      </c>
      <c r="K15" s="2">
        <f>$E15*AJ15</f>
        <v>77.417701863353855</v>
      </c>
      <c r="L15" s="2">
        <f>$E15*AK15</f>
        <v>68.999999999999446</v>
      </c>
      <c r="M15" s="2">
        <f>$E15*(AB15/100)</f>
        <v>46.032763973625009</v>
      </c>
      <c r="N15" s="2">
        <f>$E15*AL15</f>
        <v>1.390838509316763</v>
      </c>
      <c r="O15" s="2">
        <f>$E15*(AA15/100)</f>
        <v>139.89130435799999</v>
      </c>
      <c r="P15" s="2">
        <f>$E15*AM15</f>
        <v>1.9073394495412743</v>
      </c>
      <c r="Q15" s="2">
        <f>$E15*AN15</f>
        <v>3.9999999999999782</v>
      </c>
      <c r="R15" s="2">
        <f>$E15*AQ15</f>
        <v>0.3999999999999978</v>
      </c>
      <c r="S15" s="2">
        <f>$E15*AO15</f>
        <v>18.916770186335327</v>
      </c>
      <c r="T15" s="2">
        <f>$E15*AP15</f>
        <v>2.9725155279502955</v>
      </c>
      <c r="U15" s="2">
        <f>S15-T15</f>
        <v>15.944254658385031</v>
      </c>
      <c r="V15" s="1">
        <f>F15/D15</f>
        <v>0.24794310760193561</v>
      </c>
      <c r="W15" s="1">
        <f>(F15+M15+N15+P15)/(D15+M15+N15+Q15)</f>
        <v>0.31042916722376601</v>
      </c>
      <c r="X15" s="1">
        <f>(G15+H15*2+I15*3+J15*4)/D15</f>
        <v>0.44589884822738041</v>
      </c>
      <c r="Y15" s="1">
        <f>W15+X15</f>
        <v>0.75632801545114647</v>
      </c>
      <c r="Z15">
        <v>0.28899948199999997</v>
      </c>
      <c r="AA15">
        <v>23.913043479999999</v>
      </c>
      <c r="AB15">
        <v>7.8688485425000003</v>
      </c>
      <c r="AD15" s="2">
        <f>(D15-O15-J15+Q15)*Z15</f>
        <v>108.00161945943368</v>
      </c>
      <c r="AE15">
        <v>0.22826485099999999</v>
      </c>
      <c r="AF15">
        <v>0.733577981651376</v>
      </c>
      <c r="AG15">
        <v>0.24761904761904699</v>
      </c>
      <c r="AH15">
        <v>2.40609312792106E-2</v>
      </c>
      <c r="AI15">
        <v>4.17094017094016E-2</v>
      </c>
      <c r="AJ15">
        <v>0.13233795190316899</v>
      </c>
      <c r="AK15">
        <v>0.117948717948717</v>
      </c>
      <c r="AL15">
        <v>2.3775017253278002E-3</v>
      </c>
      <c r="AM15">
        <v>3.2604093154551699E-3</v>
      </c>
      <c r="AN15">
        <v>6.8376068376068003E-3</v>
      </c>
      <c r="AO15">
        <v>3.2336359292880902E-2</v>
      </c>
      <c r="AP15">
        <v>5.0812231247013596E-3</v>
      </c>
      <c r="AQ15">
        <v>6.8376068376067997E-4</v>
      </c>
    </row>
    <row r="16" spans="1:43" x14ac:dyDescent="0.4">
      <c r="A16" t="s">
        <v>31</v>
      </c>
      <c r="B16" t="s">
        <v>36</v>
      </c>
      <c r="D16">
        <v>454</v>
      </c>
      <c r="E16">
        <v>500</v>
      </c>
      <c r="F16" s="2">
        <f>AD16+J16</f>
        <v>104.27055173577118</v>
      </c>
      <c r="G16" s="2">
        <f>$AD16*AF16</f>
        <v>56.486160413507541</v>
      </c>
      <c r="H16" s="2">
        <f>$AD16*AG16</f>
        <v>21.072840851938377</v>
      </c>
      <c r="I16" s="2">
        <f>$AD16*AH16</f>
        <v>2.0225756958694006</v>
      </c>
      <c r="J16" s="2">
        <f>$E16*AI16</f>
        <v>26</v>
      </c>
      <c r="K16" s="2">
        <f>$E16*AJ16</f>
        <v>60.566007905137994</v>
      </c>
      <c r="L16" s="2">
        <f>$E16*AK16</f>
        <v>70</v>
      </c>
      <c r="M16" s="2">
        <f>$E16*(AB16/100)</f>
        <v>37.153754940500001</v>
      </c>
      <c r="N16" s="2">
        <f>$E16*AL16</f>
        <v>1.09762845849802</v>
      </c>
      <c r="O16" s="2">
        <f>$E16*(AA16/100)</f>
        <v>135.37549404999999</v>
      </c>
      <c r="P16" s="2">
        <f>$E16*AM16</f>
        <v>4.9835589941972902</v>
      </c>
      <c r="Q16" s="2">
        <f>$E16*AN16</f>
        <v>4</v>
      </c>
      <c r="R16" s="2">
        <f>$E16*AQ16</f>
        <v>0</v>
      </c>
      <c r="S16" s="2">
        <f>$E16*AO16</f>
        <v>3.0952569169960449</v>
      </c>
      <c r="T16" s="2">
        <f>$E16*AP16</f>
        <v>1.09762845849802</v>
      </c>
      <c r="U16" s="2">
        <f>S16-T16</f>
        <v>1.9976284584980248</v>
      </c>
      <c r="V16" s="1">
        <f>F16/D16</f>
        <v>0.22967081880125811</v>
      </c>
      <c r="W16" s="1">
        <f>(F16+M16+N16+P16)/(D16+M16+N16+Q16)</f>
        <v>0.29723946182003591</v>
      </c>
      <c r="X16" s="1">
        <f>(G16+H16*2+I16*3+J16*4)/D16</f>
        <v>0.45969068106826538</v>
      </c>
      <c r="Y16" s="1">
        <f>W16+X16</f>
        <v>0.75693014288830129</v>
      </c>
      <c r="Z16">
        <v>0.26387082039999998</v>
      </c>
      <c r="AA16">
        <v>27.07509881</v>
      </c>
      <c r="AB16">
        <v>7.4307509880999998</v>
      </c>
      <c r="AD16" s="2">
        <f>(D16-O16-J16+Q16)*Z16</f>
        <v>78.270551735771178</v>
      </c>
      <c r="AE16">
        <v>0.20737773500000001</v>
      </c>
      <c r="AF16">
        <v>0.72167832167832102</v>
      </c>
      <c r="AG16">
        <v>0.269230769230769</v>
      </c>
      <c r="AH16">
        <v>2.5840825840825699E-2</v>
      </c>
      <c r="AI16">
        <v>5.1999999999999998E-2</v>
      </c>
      <c r="AJ16">
        <v>0.12113201581027599</v>
      </c>
      <c r="AK16">
        <v>0.14000000000000001</v>
      </c>
      <c r="AL16">
        <v>2.1952569169960399E-3</v>
      </c>
      <c r="AM16">
        <v>9.9671179883945808E-3</v>
      </c>
      <c r="AN16">
        <v>8.0000000000000002E-3</v>
      </c>
      <c r="AO16">
        <v>6.1905138339920897E-3</v>
      </c>
      <c r="AP16">
        <v>2.1952569169960399E-3</v>
      </c>
      <c r="AQ16">
        <v>0</v>
      </c>
    </row>
    <row r="17" spans="1:43" x14ac:dyDescent="0.4">
      <c r="A17" t="s">
        <v>31</v>
      </c>
      <c r="B17" s="3" t="s">
        <v>37</v>
      </c>
      <c r="D17">
        <v>463</v>
      </c>
      <c r="E17">
        <v>511</v>
      </c>
      <c r="F17" s="2">
        <f>AD17+J17</f>
        <v>107.64870200121095</v>
      </c>
      <c r="G17" s="2">
        <f>$AD17*AF17</f>
        <v>63.983622113539127</v>
      </c>
      <c r="H17" s="2">
        <f>$AD17*AG17</f>
        <v>20.963055139830516</v>
      </c>
      <c r="I17" s="2">
        <f>$AD17*AH17</f>
        <v>1.6451799447999544</v>
      </c>
      <c r="J17" s="2">
        <f>$E17*AI17</f>
        <v>21.799999999999951</v>
      </c>
      <c r="K17" s="2">
        <f>$E17*AJ17</f>
        <v>56.226315789473546</v>
      </c>
      <c r="L17" s="2">
        <f>$E17*AK17</f>
        <v>64.999999999999517</v>
      </c>
      <c r="M17" s="2">
        <f>$E17*(AB17/100)</f>
        <v>39.938157895936996</v>
      </c>
      <c r="N17" s="2">
        <f>$E17*AL17</f>
        <v>1.9921052631578815</v>
      </c>
      <c r="O17" s="2">
        <f>$E17*(AA17/100)</f>
        <v>136.3947368252</v>
      </c>
      <c r="P17" s="2">
        <f>$E17*AM17</f>
        <v>5.0603070175438241</v>
      </c>
      <c r="Q17" s="2">
        <f>$E17*AN17</f>
        <v>3.9999999999999707</v>
      </c>
      <c r="R17" s="2">
        <f>$E17*AQ17</f>
        <v>0</v>
      </c>
      <c r="S17" s="2">
        <f>$E17*AO17</f>
        <v>0.99605263157894075</v>
      </c>
      <c r="T17" s="2">
        <f>$E17*AP17</f>
        <v>0.99605263157894075</v>
      </c>
      <c r="U17" s="2">
        <f>S17-T17</f>
        <v>0</v>
      </c>
      <c r="V17" s="1">
        <f>F17/D17</f>
        <v>0.23250259611492646</v>
      </c>
      <c r="W17" s="1">
        <f>(F17+M17+N17+P17)/(D17+M17+N17+Q17)</f>
        <v>0.30385159494731878</v>
      </c>
      <c r="X17" s="1">
        <f>(G17+H17*2+I17*3+J17*4)/D17</f>
        <v>0.42774356852613349</v>
      </c>
      <c r="Y17" s="1">
        <f>W17+X17</f>
        <v>0.73159516347345233</v>
      </c>
      <c r="Z17">
        <v>0.27800271639999902</v>
      </c>
      <c r="AA17">
        <v>26.69172932</v>
      </c>
      <c r="AB17">
        <v>7.8156864766999998</v>
      </c>
      <c r="AD17" s="2">
        <f>(D17-O17-J17+Q17)*Z17</f>
        <v>85.848702001210995</v>
      </c>
      <c r="AE17">
        <v>0.208210534</v>
      </c>
      <c r="AF17">
        <v>0.74530680862986798</v>
      </c>
      <c r="AG17">
        <v>0.24418604651162701</v>
      </c>
      <c r="AH17">
        <v>1.9163713678242301E-2</v>
      </c>
      <c r="AI17">
        <v>4.2661448140900102E-2</v>
      </c>
      <c r="AJ17">
        <v>0.110031929137913</v>
      </c>
      <c r="AK17">
        <v>0.12720156555772899</v>
      </c>
      <c r="AL17">
        <v>3.8984447419919402E-3</v>
      </c>
      <c r="AM17">
        <v>9.9027534589898707E-3</v>
      </c>
      <c r="AN17">
        <v>7.8277886497064002E-3</v>
      </c>
      <c r="AO17">
        <v>1.9492223709959701E-3</v>
      </c>
      <c r="AP17">
        <v>1.9492223709959701E-3</v>
      </c>
      <c r="AQ17">
        <v>0</v>
      </c>
    </row>
    <row r="18" spans="1:43" x14ac:dyDescent="0.4">
      <c r="A18" t="s">
        <v>31</v>
      </c>
      <c r="B18" s="3" t="s">
        <v>38</v>
      </c>
      <c r="D18">
        <v>528</v>
      </c>
      <c r="E18">
        <v>582</v>
      </c>
      <c r="F18" s="2">
        <f>AD18+J18</f>
        <v>118.78379856673166</v>
      </c>
      <c r="G18" s="2">
        <f>$AD18*AF18</f>
        <v>72.428094834630002</v>
      </c>
      <c r="H18" s="2">
        <f>$AD18*AG18</f>
        <v>24.044557228298554</v>
      </c>
      <c r="I18" s="2">
        <f>$AD18*AH18</f>
        <v>2.0325062024825682</v>
      </c>
      <c r="J18" s="2">
        <f>$E18*AI18</f>
        <v>19.599999999999952</v>
      </c>
      <c r="K18" s="2">
        <f>$E18*AJ18</f>
        <v>69.262857142856703</v>
      </c>
      <c r="L18" s="2">
        <f>$E18*AK18</f>
        <v>59.999999999999623</v>
      </c>
      <c r="M18" s="2">
        <f>$E18*(AB18/100)</f>
        <v>42.419047617444001</v>
      </c>
      <c r="N18" s="2">
        <f>$E18*AL18</f>
        <v>0</v>
      </c>
      <c r="O18" s="2">
        <f>$E18*(AA18/100)</f>
        <v>181.99047619139998</v>
      </c>
      <c r="P18" s="2">
        <f>$E18*AM18</f>
        <v>4.8180327868852331</v>
      </c>
      <c r="Q18" s="2">
        <f>$E18*AN18</f>
        <v>3.399999999999971</v>
      </c>
      <c r="R18" s="2">
        <f>$E18*AQ18</f>
        <v>2.0721311475409538</v>
      </c>
      <c r="S18" s="2">
        <f>$E18*AO18</f>
        <v>23.009523809523799</v>
      </c>
      <c r="T18" s="2">
        <f>$E18*AP18</f>
        <v>4.9619047619047496</v>
      </c>
      <c r="U18" s="2">
        <f>S18-T18</f>
        <v>18.047619047619051</v>
      </c>
      <c r="V18" s="1">
        <f>F18/D18</f>
        <v>0.22496931546729482</v>
      </c>
      <c r="W18" s="1">
        <f>(F18+M18+N18+P18)/(D18+M18+N18+Q18)</f>
        <v>0.28932619030406315</v>
      </c>
      <c r="X18" s="1">
        <f>(G18+H18*2+I18*3+J18*4)/D18</f>
        <v>0.38828546950506559</v>
      </c>
      <c r="Y18" s="1">
        <f>W18+X18</f>
        <v>0.67761165980912874</v>
      </c>
      <c r="Z18">
        <v>0.30073054719999998</v>
      </c>
      <c r="AA18">
        <v>31.269841270000001</v>
      </c>
      <c r="AB18">
        <v>7.2884961541999997</v>
      </c>
      <c r="AD18" s="2">
        <f>(D18-O18-J18+Q18)*Z18</f>
        <v>99.18379856673171</v>
      </c>
      <c r="AE18">
        <v>0.20247869499999999</v>
      </c>
      <c r="AF18">
        <v>0.73024118738404398</v>
      </c>
      <c r="AG18">
        <v>0.24242424242424199</v>
      </c>
      <c r="AH18">
        <v>2.0492320639595999E-2</v>
      </c>
      <c r="AI18">
        <v>3.3676975945017097E-2</v>
      </c>
      <c r="AJ18">
        <v>0.119008345606283</v>
      </c>
      <c r="AK18">
        <v>0.103092783505154</v>
      </c>
      <c r="AL18">
        <v>0</v>
      </c>
      <c r="AM18">
        <v>8.2784068503182692E-3</v>
      </c>
      <c r="AN18">
        <v>5.8419243986253802E-3</v>
      </c>
      <c r="AO18">
        <v>3.9535264277532303E-2</v>
      </c>
      <c r="AP18">
        <v>8.52560955653737E-3</v>
      </c>
      <c r="AQ18">
        <v>3.5603627964621199E-3</v>
      </c>
    </row>
    <row r="19" spans="1:43" x14ac:dyDescent="0.4">
      <c r="A19" t="s">
        <v>39</v>
      </c>
      <c r="B19" t="s">
        <v>40</v>
      </c>
      <c r="D19">
        <v>579</v>
      </c>
      <c r="E19">
        <v>648</v>
      </c>
      <c r="F19" s="2">
        <f>AD19+J19</f>
        <v>155.69329934063336</v>
      </c>
      <c r="G19" s="2">
        <f>$AD19*AF19</f>
        <v>90.179040789691143</v>
      </c>
      <c r="H19" s="2">
        <f>$AD19*AG19</f>
        <v>30.823324835158353</v>
      </c>
      <c r="I19" s="2">
        <f>$AD19*AH19</f>
        <v>1.9983020978890997</v>
      </c>
      <c r="J19" s="2">
        <f>$E19*AI19</f>
        <v>32.399999999999935</v>
      </c>
      <c r="K19" s="2">
        <f>$E19*AJ19</f>
        <v>90.625036818851072</v>
      </c>
      <c r="L19" s="2">
        <f>$E19*AK19</f>
        <v>92.999999999999659</v>
      </c>
      <c r="M19" s="2">
        <f>$E19*(AB19/100)</f>
        <v>54.844329896712004</v>
      </c>
      <c r="N19" s="2">
        <f>$E19*AL19</f>
        <v>2.2954344624447551</v>
      </c>
      <c r="O19" s="2">
        <f>$E19*(AA19/100)</f>
        <v>157.46686305840001</v>
      </c>
      <c r="P19" s="2">
        <f>$E19*AM19</f>
        <v>9.9655629139071866</v>
      </c>
      <c r="Q19" s="2">
        <f>$E19*AN19</f>
        <v>5.3999999999999648</v>
      </c>
      <c r="R19" s="2">
        <f>$E19*AQ19</f>
        <v>0</v>
      </c>
      <c r="S19" s="2">
        <f>$E19*AO19</f>
        <v>1.990868924889527</v>
      </c>
      <c r="T19" s="2">
        <f>$E19*AP19</f>
        <v>0</v>
      </c>
      <c r="U19" s="2">
        <f>S19-T19</f>
        <v>1.990868924889527</v>
      </c>
      <c r="V19" s="1">
        <f>F19/D19</f>
        <v>0.26890034428434084</v>
      </c>
      <c r="W19" s="1">
        <f>(F19+M19+N19+P19)/(D19+M19+N19+Q19)</f>
        <v>0.34728732183304961</v>
      </c>
      <c r="X19" s="1">
        <f>(G19+H19*2+I19*3+J19*4)/D19</f>
        <v>0.49640862997180463</v>
      </c>
      <c r="Y19" s="1">
        <f>W19+X19</f>
        <v>0.84369595180485424</v>
      </c>
      <c r="Z19">
        <v>0.3125042938</v>
      </c>
      <c r="AA19">
        <v>24.30044183</v>
      </c>
      <c r="AB19">
        <v>8.4636311569</v>
      </c>
      <c r="AD19" s="2">
        <f>(D19-O19-J19+Q19)*Z19</f>
        <v>123.29329934063341</v>
      </c>
      <c r="AE19">
        <v>0.23979536500000001</v>
      </c>
      <c r="AF19">
        <v>0.73141883031733501</v>
      </c>
      <c r="AG19">
        <v>0.25</v>
      </c>
      <c r="AH19">
        <v>1.62077104642014E-2</v>
      </c>
      <c r="AI19">
        <v>4.9999999999999899E-2</v>
      </c>
      <c r="AJ19">
        <v>0.139853451880943</v>
      </c>
      <c r="AK19">
        <v>0.14351851851851799</v>
      </c>
      <c r="AL19">
        <v>3.5423371334023998E-3</v>
      </c>
      <c r="AM19">
        <v>1.53789551140543E-2</v>
      </c>
      <c r="AN19">
        <v>8.3333333333332794E-3</v>
      </c>
      <c r="AO19">
        <v>3.0723285877924801E-3</v>
      </c>
      <c r="AP19">
        <v>0</v>
      </c>
      <c r="AQ19">
        <v>0</v>
      </c>
    </row>
    <row r="20" spans="1:43" x14ac:dyDescent="0.4">
      <c r="A20" t="s">
        <v>39</v>
      </c>
      <c r="B20" s="3" t="s">
        <v>41</v>
      </c>
      <c r="D20">
        <v>113</v>
      </c>
      <c r="E20">
        <v>127</v>
      </c>
      <c r="F20" s="2">
        <f>AD20+J20</f>
        <v>25.77787531676617</v>
      </c>
      <c r="G20" s="2">
        <f>$AD20*AF20</f>
        <v>17.949956092016812</v>
      </c>
      <c r="H20" s="2">
        <f>$AD20*AG20</f>
        <v>4.7453906909929469</v>
      </c>
      <c r="I20" s="2">
        <f>$AD20*AH20</f>
        <v>0</v>
      </c>
      <c r="J20" s="2">
        <f>$E20*AI20</f>
        <v>2.9999999999999889</v>
      </c>
      <c r="K20" s="2">
        <f>$E20*AJ20</f>
        <v>13.729850746268607</v>
      </c>
      <c r="L20" s="2">
        <f>$E20*AK20</f>
        <v>13.999999999999879</v>
      </c>
      <c r="M20" s="2">
        <f>$E20*(AB20/100)</f>
        <v>10.232089552163</v>
      </c>
      <c r="N20" s="2">
        <f>$E20*AL20</f>
        <v>0</v>
      </c>
      <c r="O20" s="2">
        <f>$E20*(AA20/100)</f>
        <v>30.328358202699999</v>
      </c>
      <c r="P20" s="2">
        <f>$E20*AM20</f>
        <v>1.0928416485900099</v>
      </c>
      <c r="Q20" s="2">
        <f>$E20*AN20</f>
        <v>0.9999999999999879</v>
      </c>
      <c r="R20" s="2">
        <f>$E20*AQ20</f>
        <v>0</v>
      </c>
      <c r="S20" s="2">
        <f>$E20*AO20</f>
        <v>0</v>
      </c>
      <c r="T20" s="2">
        <f>$E20*AP20</f>
        <v>0</v>
      </c>
      <c r="U20" s="2">
        <f>S20-T20</f>
        <v>0</v>
      </c>
      <c r="V20" s="1">
        <f>F20/D20</f>
        <v>0.22812279041385991</v>
      </c>
      <c r="W20" s="1">
        <f>(F20+M20+N20+P20)/(D20+M20+N20+Q20)</f>
        <v>0.29865718793967749</v>
      </c>
      <c r="X20" s="1">
        <f>(G20+H20*2+I20*3+J20*4)/D20</f>
        <v>0.34903307499117397</v>
      </c>
      <c r="Y20" s="1">
        <f>W20+X20</f>
        <v>0.64769026293085141</v>
      </c>
      <c r="Z20">
        <v>0.28235294100000002</v>
      </c>
      <c r="AA20">
        <v>23.880597009999999</v>
      </c>
      <c r="AB20">
        <v>8.0567634268999999</v>
      </c>
      <c r="AD20" s="2">
        <f>(D20-O20-J20+Q20)*Z20</f>
        <v>22.777875316766181</v>
      </c>
      <c r="AE20">
        <v>0.21018123699999999</v>
      </c>
      <c r="AF20">
        <v>0.78804347826086896</v>
      </c>
      <c r="AG20">
        <v>0.20833333333333301</v>
      </c>
      <c r="AH20">
        <v>0</v>
      </c>
      <c r="AI20">
        <v>2.3622047244094401E-2</v>
      </c>
      <c r="AJ20">
        <v>0.108109060994241</v>
      </c>
      <c r="AK20">
        <v>0.11023622047244</v>
      </c>
      <c r="AL20">
        <v>0</v>
      </c>
      <c r="AM20">
        <v>8.6050523511024407E-3</v>
      </c>
      <c r="AN20">
        <v>7.8740157480314005E-3</v>
      </c>
      <c r="AO20">
        <v>0</v>
      </c>
      <c r="AP20">
        <v>0</v>
      </c>
      <c r="AQ20">
        <v>0</v>
      </c>
    </row>
    <row r="21" spans="1:43" x14ac:dyDescent="0.4">
      <c r="A21" t="s">
        <v>39</v>
      </c>
      <c r="B21" t="s">
        <v>42</v>
      </c>
      <c r="D21">
        <v>522</v>
      </c>
      <c r="E21">
        <v>604</v>
      </c>
      <c r="F21" s="2">
        <f>AD21+J21</f>
        <v>130.30577026924848</v>
      </c>
      <c r="G21" s="2">
        <f>$AD21*AF21</f>
        <v>87.721837192684603</v>
      </c>
      <c r="H21" s="2">
        <f>$AD21*AG21</f>
        <v>25.067054883607121</v>
      </c>
      <c r="I21" s="2">
        <f>$AD21*AH21</f>
        <v>0.9837687251712306</v>
      </c>
      <c r="J21" s="2">
        <f>$E21*AI21</f>
        <v>15.999999999999963</v>
      </c>
      <c r="K21" s="2">
        <f>$E21*AJ21</f>
        <v>76.251177394034301</v>
      </c>
      <c r="L21" s="2">
        <f>$E21*AK21</f>
        <v>64.999999999999943</v>
      </c>
      <c r="M21" s="2">
        <f>$E21*(AB21/100)</f>
        <v>63.432182124320001</v>
      </c>
      <c r="N21" s="2">
        <f>$E21*AL21</f>
        <v>1.9896389324960169</v>
      </c>
      <c r="O21" s="2">
        <f>$E21*(AA21/100)</f>
        <v>97.664050229599994</v>
      </c>
      <c r="P21" s="2">
        <f>$E21*AM21</f>
        <v>9.1151260504201499</v>
      </c>
      <c r="Q21" s="2">
        <f>$E21*AN21</f>
        <v>3.9999999999999449</v>
      </c>
      <c r="R21" s="2">
        <f>$E21*AQ21</f>
        <v>3.0272268907562601</v>
      </c>
      <c r="S21" s="2">
        <f>$E21*AO21</f>
        <v>6.9637362637362399</v>
      </c>
      <c r="T21" s="2">
        <f>$E21*AP21</f>
        <v>1.9896389324960229</v>
      </c>
      <c r="U21" s="2">
        <f>S21-T21</f>
        <v>4.974097331240217</v>
      </c>
      <c r="V21" s="1">
        <f>F21/D21</f>
        <v>0.24962791239319632</v>
      </c>
      <c r="W21" s="1">
        <f>(F21+M21+N21+P21)/(D21+M21+N21+Q21)</f>
        <v>0.34635637388294138</v>
      </c>
      <c r="X21" s="1">
        <f>(G21+H21*2+I21*3+J21*4)/D21</f>
        <v>0.39235105964638389</v>
      </c>
      <c r="Y21" s="1">
        <f>W21+X21</f>
        <v>0.73870743352932533</v>
      </c>
      <c r="Z21">
        <v>0.27721514539999997</v>
      </c>
      <c r="AA21">
        <v>16.169544739999999</v>
      </c>
      <c r="AB21">
        <v>10.502016908</v>
      </c>
      <c r="AD21" s="2">
        <f>(D21-O21-J21+Q21)*Z21</f>
        <v>114.30577026924853</v>
      </c>
      <c r="AE21">
        <v>0.22090238800000001</v>
      </c>
      <c r="AF21">
        <v>0.76743139901034596</v>
      </c>
      <c r="AG21">
        <v>0.21929824561403499</v>
      </c>
      <c r="AH21">
        <v>8.6064659977702993E-3</v>
      </c>
      <c r="AI21">
        <v>2.64900662251655E-2</v>
      </c>
      <c r="AJ21">
        <v>0.126243671182176</v>
      </c>
      <c r="AK21">
        <v>0.107615894039735</v>
      </c>
      <c r="AL21">
        <v>3.2941041928742001E-3</v>
      </c>
      <c r="AM21">
        <v>1.50912682953976E-2</v>
      </c>
      <c r="AN21">
        <v>6.6225165562912996E-3</v>
      </c>
      <c r="AO21">
        <v>1.1529364675059999E-2</v>
      </c>
      <c r="AP21">
        <v>3.29410419287421E-3</v>
      </c>
      <c r="AQ21">
        <v>5.0119650509209603E-3</v>
      </c>
    </row>
    <row r="22" spans="1:43" x14ac:dyDescent="0.4">
      <c r="A22" t="s">
        <v>39</v>
      </c>
      <c r="B22" t="s">
        <v>43</v>
      </c>
      <c r="D22">
        <v>557</v>
      </c>
      <c r="E22">
        <v>625</v>
      </c>
      <c r="F22" s="2">
        <f>AD22+J22</f>
        <v>142.16519444340557</v>
      </c>
      <c r="G22" s="2">
        <f>$AD22*AF22</f>
        <v>84.107689416616637</v>
      </c>
      <c r="H22" s="2">
        <f>$AD22*AG22</f>
        <v>27.741298610851391</v>
      </c>
      <c r="I22" s="2">
        <f>$AD22*AH22</f>
        <v>0.39987457457083048</v>
      </c>
      <c r="J22" s="2">
        <f>$E22*AI22</f>
        <v>31.2</v>
      </c>
      <c r="K22" s="2">
        <f>$E22*AJ22</f>
        <v>80.7323308270675</v>
      </c>
      <c r="L22" s="2">
        <f>$E22*AK22</f>
        <v>92</v>
      </c>
      <c r="M22" s="2">
        <f>$E22*(AB22/100)</f>
        <v>61.815037593749999</v>
      </c>
      <c r="N22" s="2">
        <f>$E22*AL22</f>
        <v>1.3939849624060126</v>
      </c>
      <c r="O22" s="2">
        <f>$E22*(AA22/100)</f>
        <v>155.075188</v>
      </c>
      <c r="P22" s="2">
        <f>$E22*AM22</f>
        <v>3.9188775510204064</v>
      </c>
      <c r="Q22" s="2">
        <f>$E22*AN22</f>
        <v>4</v>
      </c>
      <c r="R22" s="2">
        <f>$E22*AQ22</f>
        <v>0</v>
      </c>
      <c r="S22" s="2">
        <f>$E22*AO22</f>
        <v>0.99398496240601253</v>
      </c>
      <c r="T22" s="2">
        <f>$E22*AP22</f>
        <v>0</v>
      </c>
      <c r="U22" s="2">
        <f>S22-T22</f>
        <v>0.99398496240601253</v>
      </c>
      <c r="V22" s="1">
        <f>F22/D22</f>
        <v>0.25523374226823264</v>
      </c>
      <c r="W22" s="1">
        <f>(F22+M22+N22+P22)/(D22+M22+N22+Q22)</f>
        <v>0.3352932863634685</v>
      </c>
      <c r="X22" s="1">
        <f>(G22+H22*2+I22*3+J22*4)/D22</f>
        <v>0.47682210118856716</v>
      </c>
      <c r="Y22" s="1">
        <f>W22+X22</f>
        <v>0.81211538755203572</v>
      </c>
      <c r="Z22">
        <v>0.29612449159999998</v>
      </c>
      <c r="AA22">
        <v>24.81203008</v>
      </c>
      <c r="AB22">
        <v>9.8904060149999999</v>
      </c>
      <c r="AD22" s="2">
        <f>(D22-O22-J22+Q22)*Z22</f>
        <v>110.96519444340557</v>
      </c>
      <c r="AE22">
        <v>0.232773279</v>
      </c>
      <c r="AF22">
        <v>0.75796460176991098</v>
      </c>
      <c r="AG22">
        <v>0.25</v>
      </c>
      <c r="AH22">
        <v>3.6036036036036002E-3</v>
      </c>
      <c r="AI22">
        <v>4.9919999999999999E-2</v>
      </c>
      <c r="AJ22">
        <v>0.129171729323308</v>
      </c>
      <c r="AK22">
        <v>0.1472</v>
      </c>
      <c r="AL22">
        <v>2.2303759398496202E-3</v>
      </c>
      <c r="AM22">
        <v>6.27020408163265E-3</v>
      </c>
      <c r="AN22">
        <v>6.4000000000000003E-3</v>
      </c>
      <c r="AO22">
        <v>1.59037593984962E-3</v>
      </c>
      <c r="AP22">
        <v>0</v>
      </c>
      <c r="AQ22">
        <v>0</v>
      </c>
    </row>
    <row r="23" spans="1:43" x14ac:dyDescent="0.4">
      <c r="A23" t="s">
        <v>39</v>
      </c>
      <c r="B23" t="s">
        <v>44</v>
      </c>
      <c r="D23">
        <v>575</v>
      </c>
      <c r="E23">
        <v>664</v>
      </c>
      <c r="F23" s="2">
        <f>AD23+J23</f>
        <v>142.63472902095941</v>
      </c>
      <c r="G23" s="2">
        <f>$AD23*AF23</f>
        <v>80.332954597940173</v>
      </c>
      <c r="H23" s="2">
        <f>$AD23*AG23</f>
        <v>28.423818635063537</v>
      </c>
      <c r="I23" s="2">
        <f>$AD23*AH23</f>
        <v>0.98770026145008427</v>
      </c>
      <c r="J23" s="2">
        <f>$E23*AI23</f>
        <v>32.999999999999943</v>
      </c>
      <c r="K23" s="2">
        <f>$E23*AJ23</f>
        <v>88.629737609329396</v>
      </c>
      <c r="L23" s="2">
        <f>$E23*AK23</f>
        <v>100.9999999999995</v>
      </c>
      <c r="M23" s="2">
        <f>$E23*(AB23/100)</f>
        <v>78.940233224240004</v>
      </c>
      <c r="N23" s="2">
        <f>$E23*AL23</f>
        <v>5.9807580174926738</v>
      </c>
      <c r="O23" s="2">
        <f>$E23*(AA23/100)</f>
        <v>157.7725947216</v>
      </c>
      <c r="P23" s="2">
        <f>$E23*AM23</f>
        <v>6.0082442748091252</v>
      </c>
      <c r="Q23" s="2">
        <f>$E23*AN23</f>
        <v>4.9999999999999929</v>
      </c>
      <c r="R23" s="2">
        <f>$E23*AQ23</f>
        <v>0</v>
      </c>
      <c r="S23" s="2">
        <f>$E23*AO23</f>
        <v>0.99679300291542228</v>
      </c>
      <c r="T23" s="2">
        <f>$E23*AP23</f>
        <v>0</v>
      </c>
      <c r="U23" s="2">
        <f>S23-T23</f>
        <v>0.99679300291542228</v>
      </c>
      <c r="V23" s="1">
        <f>F23/D23</f>
        <v>0.24806039829732071</v>
      </c>
      <c r="W23" s="1">
        <f>(F23+M23+N23+P23)/(D23+M23+N23+Q23)</f>
        <v>0.35126574076315897</v>
      </c>
      <c r="X23" s="1">
        <f>(G23+H23*2+I23*3+J23*4)/D23</f>
        <v>0.47329337852594305</v>
      </c>
      <c r="Y23" s="1">
        <f>W23+X23</f>
        <v>0.82455911928910197</v>
      </c>
      <c r="Z23">
        <v>0.28167268680000002</v>
      </c>
      <c r="AA23">
        <v>23.76093294</v>
      </c>
      <c r="AB23">
        <v>11.888589340999999</v>
      </c>
      <c r="AD23" s="2">
        <f>(D23-O23-J23+Q23)*Z23</f>
        <v>109.63472902095945</v>
      </c>
      <c r="AE23">
        <v>0.216139423</v>
      </c>
      <c r="AF23">
        <v>0.73273273273273198</v>
      </c>
      <c r="AG23">
        <v>0.25925925925925902</v>
      </c>
      <c r="AH23">
        <v>9.0090090090090003E-3</v>
      </c>
      <c r="AI23">
        <v>4.9698795180722802E-2</v>
      </c>
      <c r="AJ23">
        <v>0.133478520495978</v>
      </c>
      <c r="AK23">
        <v>0.15210843373493901</v>
      </c>
      <c r="AL23">
        <v>9.0071656889949905E-3</v>
      </c>
      <c r="AM23">
        <v>9.04856065483302E-3</v>
      </c>
      <c r="AN23">
        <v>7.5301204819277004E-3</v>
      </c>
      <c r="AO23">
        <v>1.50119428149913E-3</v>
      </c>
      <c r="AP23">
        <v>0</v>
      </c>
      <c r="AQ23">
        <v>0</v>
      </c>
    </row>
    <row r="24" spans="1:43" x14ac:dyDescent="0.4">
      <c r="A24" t="s">
        <v>39</v>
      </c>
      <c r="B24" t="s">
        <v>45</v>
      </c>
      <c r="D24">
        <v>548</v>
      </c>
      <c r="E24">
        <v>591</v>
      </c>
      <c r="F24" s="2">
        <f>AD24+J24</f>
        <v>152.63525496258077</v>
      </c>
      <c r="G24" s="2">
        <f>$AD24*AF24</f>
        <v>97.95173565828668</v>
      </c>
      <c r="H24" s="2">
        <f>$AD24*AG24</f>
        <v>30.705873247111722</v>
      </c>
      <c r="I24" s="2">
        <f>$AD24*AH24</f>
        <v>3.6194279682049975</v>
      </c>
      <c r="J24" s="2">
        <f>$E24*AI24</f>
        <v>20.599999999999977</v>
      </c>
      <c r="K24" s="2">
        <f>$E24*AJ24</f>
        <v>83.857142857142449</v>
      </c>
      <c r="L24" s="2">
        <f>$E24*AK24</f>
        <v>70.999999999999929</v>
      </c>
      <c r="M24" s="2">
        <f>$E24*(AB24/100)</f>
        <v>38.383333335864002</v>
      </c>
      <c r="N24" s="2">
        <f>$E24*AL24</f>
        <v>2.3876190476190118</v>
      </c>
      <c r="O24" s="2">
        <f>$E24*(AA24/100)</f>
        <v>113.50952383109998</v>
      </c>
      <c r="P24" s="2">
        <f>$E24*AM24</f>
        <v>6.0332142857142124</v>
      </c>
      <c r="Q24" s="2">
        <f>$E24*AN24</f>
        <v>2.9999999999999432</v>
      </c>
      <c r="R24" s="2">
        <f>$E24*AQ24</f>
        <v>0.39999999999998465</v>
      </c>
      <c r="S24" s="2">
        <f>$E24*AO24</f>
        <v>17.982380952380911</v>
      </c>
      <c r="T24" s="2">
        <f>$E24*AP24</f>
        <v>4.9690476190476032</v>
      </c>
      <c r="U24" s="2">
        <f>S24-T24</f>
        <v>13.013333333333307</v>
      </c>
      <c r="V24" s="1">
        <f>F24/D24</f>
        <v>0.27853148715799414</v>
      </c>
      <c r="W24" s="1">
        <f>(F24+M24+N24+P24)/(D24+M24+N24+Q24)</f>
        <v>0.33702131006683145</v>
      </c>
      <c r="X24" s="1">
        <f>(G24+H24*2+I24*3+J24*4)/D24</f>
        <v>0.46098862419183406</v>
      </c>
      <c r="Y24" s="1">
        <f>W24+X24</f>
        <v>0.79800993425866551</v>
      </c>
      <c r="Z24">
        <v>0.31671449099999999</v>
      </c>
      <c r="AA24">
        <v>19.206349209999999</v>
      </c>
      <c r="AB24">
        <v>6.4946418503999999</v>
      </c>
      <c r="AD24" s="2">
        <f>(D24-O24-J24+Q24)*Z24</f>
        <v>132.03525496258081</v>
      </c>
      <c r="AE24">
        <v>0.258743638</v>
      </c>
      <c r="AF24">
        <v>0.74186046511627901</v>
      </c>
      <c r="AG24">
        <v>0.232558139534883</v>
      </c>
      <c r="AH24">
        <v>2.74125874125873E-2</v>
      </c>
      <c r="AI24">
        <v>3.48561759729272E-2</v>
      </c>
      <c r="AJ24">
        <v>0.14189025864152699</v>
      </c>
      <c r="AK24">
        <v>0.12013536379018599</v>
      </c>
      <c r="AL24">
        <v>4.0399645475787003E-3</v>
      </c>
      <c r="AM24">
        <v>1.02084844089919E-2</v>
      </c>
      <c r="AN24">
        <v>5.0761421319795996E-3</v>
      </c>
      <c r="AO24">
        <v>3.04270405285633E-2</v>
      </c>
      <c r="AP24">
        <v>8.40786399162031E-3</v>
      </c>
      <c r="AQ24">
        <v>6.7681895093060003E-4</v>
      </c>
    </row>
    <row r="25" spans="1:43" x14ac:dyDescent="0.4">
      <c r="A25" t="s">
        <v>39</v>
      </c>
      <c r="B25" t="s">
        <v>46</v>
      </c>
      <c r="D25">
        <v>571</v>
      </c>
      <c r="E25">
        <v>626</v>
      </c>
      <c r="F25" s="2">
        <f>AD25+J25</f>
        <v>148.51067696740716</v>
      </c>
      <c r="G25" s="2">
        <f>$AD25*AF25</f>
        <v>91.765839017266785</v>
      </c>
      <c r="H25" s="2">
        <f>$AD25*AG25</f>
        <v>33.23663259783018</v>
      </c>
      <c r="I25" s="2">
        <f>$AD25*AH25</f>
        <v>3.3976273569467548</v>
      </c>
      <c r="J25" s="2">
        <f>$E25*AI25</f>
        <v>20.599999999999937</v>
      </c>
      <c r="K25" s="2">
        <f>$E25*AJ25</f>
        <v>81.090577507598269</v>
      </c>
      <c r="L25" s="2">
        <f>$E25*AK25</f>
        <v>80.999999999999744</v>
      </c>
      <c r="M25" s="2">
        <f>$E25*(AB25/100)</f>
        <v>43.786018239162004</v>
      </c>
      <c r="N25" s="2">
        <f>$E25*AL25</f>
        <v>0.99513677811545798</v>
      </c>
      <c r="O25" s="2">
        <f>$E25*(AA25/100)</f>
        <v>99.893617030599998</v>
      </c>
      <c r="P25" s="2">
        <f>$E25*AM25</f>
        <v>6.0065891472868103</v>
      </c>
      <c r="Q25" s="2">
        <f>$E25*AN25</f>
        <v>5.9999999999999911</v>
      </c>
      <c r="R25" s="2">
        <f>$E25*AQ25</f>
        <v>0</v>
      </c>
      <c r="S25" s="2">
        <f>$E25*AO25</f>
        <v>11.941641337385946</v>
      </c>
      <c r="T25" s="2">
        <f>$E25*AP25</f>
        <v>2.9854103343464988</v>
      </c>
      <c r="U25" s="2">
        <f>S25-T25</f>
        <v>8.9562310030394467</v>
      </c>
      <c r="V25" s="1">
        <f>F25/D25</f>
        <v>0.26008875125640485</v>
      </c>
      <c r="W25" s="1">
        <f>(F25+M25+N25+P25)/(D25+M25+N25+Q25)</f>
        <v>0.32052824297390214</v>
      </c>
      <c r="X25" s="1">
        <f>(G25+H25*2+I25*3+J25*4)/D25</f>
        <v>0.43928544007664999</v>
      </c>
      <c r="Y25" s="1">
        <f>W25+X25</f>
        <v>0.75981368305055219</v>
      </c>
      <c r="Z25">
        <v>0.28019471740000002</v>
      </c>
      <c r="AA25">
        <v>15.95744681</v>
      </c>
      <c r="AB25">
        <v>6.9945716036999999</v>
      </c>
      <c r="AD25" s="2">
        <f>(D25-O25-J25+Q25)*Z25</f>
        <v>127.91067696740724</v>
      </c>
      <c r="AE25">
        <v>0.23837981999999999</v>
      </c>
      <c r="AF25">
        <v>0.71742125984251903</v>
      </c>
      <c r="AG25">
        <v>0.25984251968503902</v>
      </c>
      <c r="AH25">
        <v>2.6562499999999999E-2</v>
      </c>
      <c r="AI25">
        <v>3.2907348242811399E-2</v>
      </c>
      <c r="AJ25">
        <v>0.12953766375015699</v>
      </c>
      <c r="AK25">
        <v>0.12939297124600599</v>
      </c>
      <c r="AL25">
        <v>1.5896753644016901E-3</v>
      </c>
      <c r="AM25">
        <v>9.5951903311290894E-3</v>
      </c>
      <c r="AN25">
        <v>9.5846645367411998E-3</v>
      </c>
      <c r="AO25">
        <v>1.9076104372821E-2</v>
      </c>
      <c r="AP25">
        <v>4.7690260932052699E-3</v>
      </c>
      <c r="AQ25">
        <v>0</v>
      </c>
    </row>
    <row r="26" spans="1:43" x14ac:dyDescent="0.4">
      <c r="A26" t="s">
        <v>39</v>
      </c>
      <c r="B26" t="s">
        <v>47</v>
      </c>
      <c r="D26">
        <v>452</v>
      </c>
      <c r="E26">
        <v>525</v>
      </c>
      <c r="F26" s="2">
        <f>AD26+J26</f>
        <v>131.335172545788</v>
      </c>
      <c r="G26" s="2">
        <f>$AD26*AF26</f>
        <v>82.152794849674891</v>
      </c>
      <c r="H26" s="2">
        <f>$AD26*AG26</f>
        <v>26.689542352147921</v>
      </c>
      <c r="I26" s="2">
        <f>$AD26*AH26</f>
        <v>2.0102611338966296</v>
      </c>
      <c r="J26" s="2">
        <f>$E26*AI26</f>
        <v>22.599999999999977</v>
      </c>
      <c r="K26" s="2">
        <f>$E26*AJ26</f>
        <v>94.731645569619985</v>
      </c>
      <c r="L26" s="2">
        <f>$E26*AK26</f>
        <v>63</v>
      </c>
      <c r="M26" s="2">
        <f>$E26*(AB26/100)</f>
        <v>59.365822792499998</v>
      </c>
      <c r="N26" s="2">
        <f>$E26*AL26</f>
        <v>2.3898734177215117</v>
      </c>
      <c r="O26" s="2">
        <f>$E26*(AA26/100)</f>
        <v>94.93670886000001</v>
      </c>
      <c r="P26" s="2">
        <f>$E26*AM26</f>
        <v>8.0638025594149276</v>
      </c>
      <c r="Q26" s="2">
        <f>$E26*AN26</f>
        <v>2.9999999999999929</v>
      </c>
      <c r="R26" s="2">
        <f>$E26*AQ26</f>
        <v>0.39999999999999897</v>
      </c>
      <c r="S26" s="2">
        <f>$E26*AO26</f>
        <v>31.602531645569588</v>
      </c>
      <c r="T26" s="2">
        <f>$E26*AP26</f>
        <v>9.8544303797468036</v>
      </c>
      <c r="U26" s="2">
        <f>S26-T26</f>
        <v>21.748101265822783</v>
      </c>
      <c r="V26" s="1">
        <f>F26/D26</f>
        <v>0.29056454103050444</v>
      </c>
      <c r="W26" s="1">
        <f>(F26+M26+N26+P26)/(D26+M26+N26+Q26)</f>
        <v>0.38926454568503227</v>
      </c>
      <c r="X26" s="1">
        <f>(G26+H26*2+I26*3+J26*4)/D26</f>
        <v>0.51319173220278869</v>
      </c>
      <c r="Y26" s="1">
        <f>W26+X26</f>
        <v>0.9024562778878209</v>
      </c>
      <c r="Z26">
        <v>0.32221333520000001</v>
      </c>
      <c r="AA26">
        <v>18.08318264</v>
      </c>
      <c r="AB26">
        <v>11.307775769999999</v>
      </c>
      <c r="AD26" s="2">
        <f>(D26-O26-J26+Q26)*Z26</f>
        <v>108.73517254578802</v>
      </c>
      <c r="AE26">
        <v>0.249292927</v>
      </c>
      <c r="AF26">
        <v>0.75553101104502896</v>
      </c>
      <c r="AG26">
        <v>0.24545454545454501</v>
      </c>
      <c r="AH26">
        <v>1.84876805437552E-2</v>
      </c>
      <c r="AI26">
        <v>4.3047619047619001E-2</v>
      </c>
      <c r="AJ26">
        <v>0.18044122965641901</v>
      </c>
      <c r="AK26">
        <v>0.12</v>
      </c>
      <c r="AL26">
        <v>4.55213984327907E-3</v>
      </c>
      <c r="AM26">
        <v>1.53596239226951E-2</v>
      </c>
      <c r="AN26">
        <v>5.7142857142857004E-3</v>
      </c>
      <c r="AO26">
        <v>6.01952983725135E-2</v>
      </c>
      <c r="AP26">
        <v>1.8770343580470101E-2</v>
      </c>
      <c r="AQ26">
        <v>7.6190476190475997E-4</v>
      </c>
    </row>
    <row r="27" spans="1:43" x14ac:dyDescent="0.4">
      <c r="A27" t="s">
        <v>39</v>
      </c>
      <c r="B27" t="s">
        <v>48</v>
      </c>
      <c r="D27">
        <v>374</v>
      </c>
      <c r="E27">
        <v>428</v>
      </c>
      <c r="F27" s="2">
        <f>AD27+J27</f>
        <v>88.85449720917687</v>
      </c>
      <c r="G27" s="2">
        <f>$AD27*AF27</f>
        <v>53.086786866684662</v>
      </c>
      <c r="H27" s="2">
        <f>$AD27*AG27</f>
        <v>18.961603430199389</v>
      </c>
      <c r="I27" s="2">
        <f>$AD27*AH27</f>
        <v>1.0207097591484624</v>
      </c>
      <c r="J27" s="2">
        <f>$E27*AI27</f>
        <v>17</v>
      </c>
      <c r="K27" s="2">
        <f>$E27*AJ27</f>
        <v>50.531468531468377</v>
      </c>
      <c r="L27" s="2">
        <f>$E27*AK27</f>
        <v>52.999999999999751</v>
      </c>
      <c r="M27" s="2">
        <f>$E27*(AB27/100)</f>
        <v>40.990442889100002</v>
      </c>
      <c r="N27" s="2">
        <f>$E27*AL27</f>
        <v>0.99976689976688249</v>
      </c>
      <c r="O27" s="2">
        <f>$E27*(AA27/100)</f>
        <v>100.7645687512</v>
      </c>
      <c r="P27" s="2">
        <f>$E27*AM27</f>
        <v>9.1263788968824517</v>
      </c>
      <c r="Q27" s="2">
        <f>$E27*AN27</f>
        <v>2.9999999999999898</v>
      </c>
      <c r="R27" s="2">
        <f>$E27*AQ27</f>
        <v>0</v>
      </c>
      <c r="S27" s="2">
        <f>$E27*AO27</f>
        <v>9.976689976689844E-2</v>
      </c>
      <c r="T27" s="2">
        <f>$E27*AP27</f>
        <v>0</v>
      </c>
      <c r="U27" s="2">
        <f>S27-T27</f>
        <v>9.976689976689844E-2</v>
      </c>
      <c r="V27" s="1">
        <f>F27/D27</f>
        <v>0.23757886954325366</v>
      </c>
      <c r="W27" s="1">
        <f>(F27+M27+N27+P27)/(D27+M27+N27+Q27)</f>
        <v>0.33406767658236919</v>
      </c>
      <c r="X27" s="1">
        <f>(G27+H27*2+I27*3+J27*4)/D27</f>
        <v>0.43334792247200221</v>
      </c>
      <c r="Y27" s="1">
        <f>W27+X27</f>
        <v>0.7674155990543714</v>
      </c>
      <c r="Z27">
        <v>0.2771785356</v>
      </c>
      <c r="AA27">
        <v>23.54312354</v>
      </c>
      <c r="AB27">
        <v>9.5772062825000006</v>
      </c>
      <c r="AD27" s="2">
        <f>(D27-O27-J27+Q27)*Z27</f>
        <v>71.85449720917687</v>
      </c>
      <c r="AE27">
        <v>0.204233209</v>
      </c>
      <c r="AF27">
        <v>0.73880952380952303</v>
      </c>
      <c r="AG27">
        <v>0.26388888888888801</v>
      </c>
      <c r="AH27">
        <v>1.42052313883299E-2</v>
      </c>
      <c r="AI27">
        <v>3.9719626168224297E-2</v>
      </c>
      <c r="AJ27">
        <v>0.118064178811842</v>
      </c>
      <c r="AK27">
        <v>0.123831775700934</v>
      </c>
      <c r="AL27">
        <v>2.3359039714179498E-3</v>
      </c>
      <c r="AM27">
        <v>2.1323315179631899E-2</v>
      </c>
      <c r="AN27">
        <v>7.0093457943924999E-3</v>
      </c>
      <c r="AO27">
        <v>2.3310023310023001E-4</v>
      </c>
      <c r="AP27">
        <v>0</v>
      </c>
      <c r="AQ27">
        <v>0</v>
      </c>
    </row>
    <row r="28" spans="1:43" x14ac:dyDescent="0.4">
      <c r="A28" t="s">
        <v>49</v>
      </c>
      <c r="B28" t="s">
        <v>50</v>
      </c>
      <c r="D28">
        <v>536</v>
      </c>
      <c r="E28">
        <v>613</v>
      </c>
      <c r="F28" s="2">
        <f>AD28+J28</f>
        <v>138.84601328519045</v>
      </c>
      <c r="G28" s="2">
        <f>$AD28*AF28</f>
        <v>90.992999934140784</v>
      </c>
      <c r="H28" s="2">
        <f>$AD28*AG28</f>
        <v>26.141145759789499</v>
      </c>
      <c r="I28" s="2">
        <f>$AD28*AH28</f>
        <v>1.4060096476451609</v>
      </c>
      <c r="J28" s="2">
        <f>$E28*AI28</f>
        <v>19.19999999999996</v>
      </c>
      <c r="K28" s="2">
        <f>$E28*AJ28</f>
        <v>75.245733788395427</v>
      </c>
      <c r="L28" s="2">
        <f>$E28*AK28</f>
        <v>72.999999999999744</v>
      </c>
      <c r="M28" s="2">
        <f>$E28*(AB28/100)</f>
        <v>66.304095537870012</v>
      </c>
      <c r="N28" s="2">
        <f>$E28*AL28</f>
        <v>3.0138225255972357</v>
      </c>
      <c r="O28" s="2">
        <f>$E28*(AA28/100)</f>
        <v>96.238907830999992</v>
      </c>
      <c r="P28" s="2">
        <f>$E28*AM28</f>
        <v>4.8176165803108466</v>
      </c>
      <c r="Q28" s="2">
        <f>$E28*AN28</f>
        <v>4.9999999999999662</v>
      </c>
      <c r="R28" s="2">
        <f>$E28*AQ28</f>
        <v>0.39999999999998753</v>
      </c>
      <c r="S28" s="2">
        <f>$E28*AO28</f>
        <v>2.0092150170648422</v>
      </c>
      <c r="T28" s="2">
        <f>$E28*AP28</f>
        <v>0</v>
      </c>
      <c r="U28" s="2">
        <f>S28-T28</f>
        <v>2.0092150170648422</v>
      </c>
      <c r="V28" s="1">
        <f>F28/D28</f>
        <v>0.25904106956192247</v>
      </c>
      <c r="W28" s="1">
        <f>(F28+M28+N28+P28)/(D28+M28+N28+Q28)</f>
        <v>0.34896820431678777</v>
      </c>
      <c r="X28" s="1">
        <f>(G28+H28*2+I28*3+J28*4)/D28</f>
        <v>0.41845768730719235</v>
      </c>
      <c r="Y28" s="1">
        <f>W28+X28</f>
        <v>0.76742589162398012</v>
      </c>
      <c r="Z28">
        <v>0.28114885379999999</v>
      </c>
      <c r="AA28">
        <v>15.699658700000001</v>
      </c>
      <c r="AB28">
        <v>10.816328799000001</v>
      </c>
      <c r="AD28" s="2">
        <f>(D28-O28-J28+Q28)*Z28</f>
        <v>119.64601328519051</v>
      </c>
      <c r="AE28">
        <v>0.22466023900000001</v>
      </c>
      <c r="AF28">
        <v>0.76051844466600105</v>
      </c>
      <c r="AG28">
        <v>0.218487394957983</v>
      </c>
      <c r="AH28">
        <v>1.17514124293784E-2</v>
      </c>
      <c r="AI28">
        <v>3.1321370309950997E-2</v>
      </c>
      <c r="AJ28">
        <v>0.122749973553663</v>
      </c>
      <c r="AK28">
        <v>0.119086460032626</v>
      </c>
      <c r="AL28">
        <v>4.9165130923282804E-3</v>
      </c>
      <c r="AM28">
        <v>7.8590808814206301E-3</v>
      </c>
      <c r="AN28">
        <v>8.1566068515497008E-3</v>
      </c>
      <c r="AO28">
        <v>3.2776753948855499E-3</v>
      </c>
      <c r="AP28">
        <v>0</v>
      </c>
      <c r="AQ28">
        <v>6.5252854812396005E-4</v>
      </c>
    </row>
    <row r="29" spans="1:43" x14ac:dyDescent="0.4">
      <c r="A29" t="s">
        <v>49</v>
      </c>
      <c r="B29" t="s">
        <v>51</v>
      </c>
      <c r="D29">
        <v>466</v>
      </c>
      <c r="E29">
        <v>519</v>
      </c>
      <c r="F29" s="2">
        <f>AD29+J29</f>
        <v>107.07171634407996</v>
      </c>
      <c r="G29" s="2">
        <f>$AD29*AF29</f>
        <v>67.141701260997664</v>
      </c>
      <c r="H29" s="2">
        <f>$AD29*AG29</f>
        <v>20.561753714563608</v>
      </c>
      <c r="I29" s="2">
        <f>$AD29*AH29</f>
        <v>2.9072345633759782</v>
      </c>
      <c r="J29" s="2">
        <f>$E29*AI29</f>
        <v>16.599999999999962</v>
      </c>
      <c r="K29" s="2">
        <f>$E29*AJ29</f>
        <v>65.2567857142854</v>
      </c>
      <c r="L29" s="2">
        <f>$E29*AK29</f>
        <v>58.999999999999538</v>
      </c>
      <c r="M29" s="2">
        <f>$E29*(AB29/100)</f>
        <v>41.97053571381295</v>
      </c>
      <c r="N29" s="2">
        <f>$E29*AL29</f>
        <v>0.99267857142852833</v>
      </c>
      <c r="O29" s="2">
        <f>$E29*(AA29/100)</f>
        <v>103.80000000000001</v>
      </c>
      <c r="P29" s="2">
        <f>$E29*AM29</f>
        <v>4.9877819548872111</v>
      </c>
      <c r="Q29" s="2">
        <f>$E29*AN29</f>
        <v>3.5999999999999801</v>
      </c>
      <c r="R29" s="2">
        <f>$E29*AQ29</f>
        <v>1.970676691729309</v>
      </c>
      <c r="S29" s="2">
        <f>$E29*AO29</f>
        <v>26.894999999999939</v>
      </c>
      <c r="T29" s="2">
        <f>$E29*AP29</f>
        <v>6.0487499999999228</v>
      </c>
      <c r="U29" s="2">
        <f>S29-T29</f>
        <v>20.846250000000015</v>
      </c>
      <c r="V29" s="1">
        <f>F29/D29</f>
        <v>0.22976763163965658</v>
      </c>
      <c r="W29" s="1">
        <f>(F29+M29+N29+P29)/(D29+M29+N29+Q29)</f>
        <v>0.30244603643744611</v>
      </c>
      <c r="X29" s="1">
        <f>(G29+H29*2+I29*3+J29*4)/D29</f>
        <v>0.39353414673873965</v>
      </c>
      <c r="Y29" s="1">
        <f>W29+X29</f>
        <v>0.69598018317618582</v>
      </c>
      <c r="Z29">
        <v>0.2590828074</v>
      </c>
      <c r="AA29">
        <v>20</v>
      </c>
      <c r="AB29">
        <v>8.0868084226999901</v>
      </c>
      <c r="AD29" s="2">
        <f>(D29-O29-J29+Q29)*Z29</f>
        <v>90.471716344079994</v>
      </c>
      <c r="AE29">
        <v>0.21218110500000001</v>
      </c>
      <c r="AF29">
        <v>0.74212918660286997</v>
      </c>
      <c r="AG29">
        <v>0.22727272727272699</v>
      </c>
      <c r="AH29">
        <v>3.21341816078657E-2</v>
      </c>
      <c r="AI29">
        <v>3.1984585741811102E-2</v>
      </c>
      <c r="AJ29">
        <v>0.12573561794659999</v>
      </c>
      <c r="AK29">
        <v>0.11368015414258099</v>
      </c>
      <c r="AL29">
        <v>1.9126754748141201E-3</v>
      </c>
      <c r="AM29">
        <v>9.6103698552740102E-3</v>
      </c>
      <c r="AN29">
        <v>6.9364161849710601E-3</v>
      </c>
      <c r="AO29">
        <v>5.1820809248554797E-2</v>
      </c>
      <c r="AP29">
        <v>1.1654624277456499E-2</v>
      </c>
      <c r="AQ29">
        <v>3.7970649166267998E-3</v>
      </c>
    </row>
    <row r="30" spans="1:43" x14ac:dyDescent="0.4">
      <c r="A30" t="s">
        <v>49</v>
      </c>
      <c r="B30" s="3" t="s">
        <v>52</v>
      </c>
      <c r="D30">
        <v>151</v>
      </c>
      <c r="E30">
        <v>169</v>
      </c>
      <c r="F30" s="2">
        <f>AD30+J30</f>
        <v>35.141254127251138</v>
      </c>
      <c r="G30" s="2">
        <f>$AD30*AF30</f>
        <v>21.554928873539115</v>
      </c>
      <c r="H30" s="2">
        <f>$AD30*AG30</f>
        <v>7.8776677672669555</v>
      </c>
      <c r="I30" s="2">
        <f>$AD30*AH30</f>
        <v>0.39388338836334774</v>
      </c>
      <c r="J30" s="2">
        <f>$E30*AI30</f>
        <v>5.5999999999999819</v>
      </c>
      <c r="K30" s="2">
        <f>$E30*AJ30</f>
        <v>19.671428571428425</v>
      </c>
      <c r="L30" s="2">
        <f>$E30*AK30</f>
        <v>19.999999999999968</v>
      </c>
      <c r="M30" s="2">
        <f>$E30*(AB30/100)</f>
        <v>13.175396824902</v>
      </c>
      <c r="N30" s="2">
        <f>$E30*AL30</f>
        <v>0.39999999999999936</v>
      </c>
      <c r="O30" s="2">
        <f>$E30*(AA30/100)</f>
        <v>46.944444448200002</v>
      </c>
      <c r="P30" s="2">
        <f>$E30*AM30</f>
        <v>2.0279383429672353</v>
      </c>
      <c r="Q30" s="2">
        <f>$E30*AN30</f>
        <v>0.99999999999999833</v>
      </c>
      <c r="R30" s="2">
        <f>$E30*AQ30</f>
        <v>0</v>
      </c>
      <c r="S30" s="2">
        <f>$E30*AO30</f>
        <v>1.034126984126982</v>
      </c>
      <c r="T30" s="2">
        <f>$E30*AP30</f>
        <v>1.034126984126982</v>
      </c>
      <c r="U30" s="2">
        <f>S30-T30</f>
        <v>0</v>
      </c>
      <c r="V30" s="1">
        <f>F30/D30</f>
        <v>0.23272353726656383</v>
      </c>
      <c r="W30" s="1">
        <f>(F30+M30+N30+P30)/(D30+M30+N30+Q30)</f>
        <v>0.30647421216078008</v>
      </c>
      <c r="X30" s="1">
        <f>(G30+H30*2+I30*3+J30*4)/D30</f>
        <v>0.40325771240505293</v>
      </c>
      <c r="Y30" s="1">
        <f>W30+X30</f>
        <v>0.70973192456583301</v>
      </c>
      <c r="Z30">
        <v>0.29702970299999998</v>
      </c>
      <c r="AA30">
        <v>27.777777780000001</v>
      </c>
      <c r="AB30">
        <v>7.7960927957999999</v>
      </c>
      <c r="AD30" s="2">
        <f>(D30-O30-J30+Q30)*Z30</f>
        <v>29.541254127251158</v>
      </c>
      <c r="AE30">
        <v>0.20570228099999999</v>
      </c>
      <c r="AF30">
        <v>0.72965517241379296</v>
      </c>
      <c r="AG30">
        <v>0.266666666666666</v>
      </c>
      <c r="AH30">
        <v>1.3333333333333299E-2</v>
      </c>
      <c r="AI30">
        <v>3.3136094674556103E-2</v>
      </c>
      <c r="AJ30">
        <v>0.116398985629754</v>
      </c>
      <c r="AK30">
        <v>0.118343195266272</v>
      </c>
      <c r="AL30">
        <v>2.3668639053254399E-3</v>
      </c>
      <c r="AM30">
        <v>1.19996351654866E-2</v>
      </c>
      <c r="AN30">
        <v>5.9171597633135998E-3</v>
      </c>
      <c r="AO30">
        <v>6.1190945806330298E-3</v>
      </c>
      <c r="AP30">
        <v>6.1190945806330298E-3</v>
      </c>
      <c r="AQ30">
        <v>0</v>
      </c>
    </row>
    <row r="31" spans="1:43" x14ac:dyDescent="0.4">
      <c r="A31" t="s">
        <v>49</v>
      </c>
      <c r="B31" s="3" t="s">
        <v>53</v>
      </c>
      <c r="D31">
        <v>484</v>
      </c>
      <c r="E31">
        <v>555</v>
      </c>
      <c r="F31" s="2">
        <f>AD31+J31</f>
        <v>117.43942435602469</v>
      </c>
      <c r="G31" s="2">
        <f>$AD31*AF31</f>
        <v>71.166373455706818</v>
      </c>
      <c r="H31" s="2">
        <f>$AD31*AG31</f>
        <v>24.363644047837781</v>
      </c>
      <c r="I31" s="2">
        <f>$AD31*AH31</f>
        <v>2.0091546740838453</v>
      </c>
      <c r="J31" s="2">
        <f>$E31*AI31</f>
        <v>20.999999999999979</v>
      </c>
      <c r="K31" s="2">
        <f>$E31*AJ31</f>
        <v>72.998214285714269</v>
      </c>
      <c r="L31" s="2">
        <f>$E31*AK31</f>
        <v>67.999999999999716</v>
      </c>
      <c r="M31" s="2">
        <f>$E31*(AB31/100)</f>
        <v>56.247321430500001</v>
      </c>
      <c r="N31" s="2">
        <f>$E31*AL31</f>
        <v>2.3982142857142796</v>
      </c>
      <c r="O31" s="2">
        <f>$E31*(AA31/100)</f>
        <v>161.54464287300002</v>
      </c>
      <c r="P31" s="2">
        <f>$E31*AM31</f>
        <v>8.0935599284436339</v>
      </c>
      <c r="Q31" s="2">
        <f>$E31*AN31</f>
        <v>3.3999999999999964</v>
      </c>
      <c r="R31" s="2">
        <f>$E31*AQ31</f>
        <v>0.39999999999999958</v>
      </c>
      <c r="S31" s="2">
        <f>$E31*AO31</f>
        <v>8.8928571428571299</v>
      </c>
      <c r="T31" s="2">
        <f>$E31*AP31</f>
        <v>2.9973214285714169</v>
      </c>
      <c r="U31" s="2">
        <f>S31-T31</f>
        <v>5.895535714285713</v>
      </c>
      <c r="V31" s="1">
        <f>F31/D31</f>
        <v>0.24264343875211714</v>
      </c>
      <c r="W31" s="1">
        <f>(F31+M31+N31+P31)/(D31+M31+N31+Q31)</f>
        <v>0.33729516671005644</v>
      </c>
      <c r="X31" s="1">
        <f>(G31+H31*2+I31*3+J31*4)/D31</f>
        <v>0.43372133382982198</v>
      </c>
      <c r="Y31" s="1">
        <f>W31+X31</f>
        <v>0.77101650053987836</v>
      </c>
      <c r="Z31">
        <v>0.31634485699999998</v>
      </c>
      <c r="AA31">
        <v>29.10714286</v>
      </c>
      <c r="AB31">
        <v>10.13465251</v>
      </c>
      <c r="AD31" s="2">
        <f>(D31-O31-J31+Q31)*Z31</f>
        <v>96.439424356024716</v>
      </c>
      <c r="AE31">
        <v>0.21010197</v>
      </c>
      <c r="AF31">
        <v>0.73793859649122795</v>
      </c>
      <c r="AG31">
        <v>0.25263157894736799</v>
      </c>
      <c r="AH31">
        <v>2.0833333333333301E-2</v>
      </c>
      <c r="AI31">
        <v>3.7837837837837798E-2</v>
      </c>
      <c r="AJ31">
        <v>0.131528314028314</v>
      </c>
      <c r="AK31">
        <v>0.12252252252252201</v>
      </c>
      <c r="AL31">
        <v>4.3211068211068101E-3</v>
      </c>
      <c r="AM31">
        <v>1.4582990862060601E-2</v>
      </c>
      <c r="AN31">
        <v>6.1261261261261199E-3</v>
      </c>
      <c r="AO31">
        <v>1.6023166023165999E-2</v>
      </c>
      <c r="AP31">
        <v>5.4005791505791299E-3</v>
      </c>
      <c r="AQ31">
        <v>7.2072072072071997E-4</v>
      </c>
    </row>
    <row r="32" spans="1:43" x14ac:dyDescent="0.4">
      <c r="A32" t="s">
        <v>49</v>
      </c>
      <c r="B32" s="3" t="s">
        <v>54</v>
      </c>
      <c r="D32">
        <v>584</v>
      </c>
      <c r="E32">
        <v>665</v>
      </c>
      <c r="F32" s="2">
        <f>AD32+J32</f>
        <v>158.18480674279968</v>
      </c>
      <c r="G32" s="2">
        <f>$AD32*AF32</f>
        <v>89.954518544785472</v>
      </c>
      <c r="H32" s="2">
        <f>$AD32*AG32</f>
        <v>32.300903299758531</v>
      </c>
      <c r="I32" s="2">
        <f>$AD32*AH32</f>
        <v>6.0668800371596987</v>
      </c>
      <c r="J32" s="2">
        <f>$E32*AI32</f>
        <v>30.999999999999964</v>
      </c>
      <c r="K32" s="2">
        <f>$E32*AJ32</f>
        <v>103.06391752577264</v>
      </c>
      <c r="L32" s="2">
        <f>$E32*AK32</f>
        <v>88.99999999999973</v>
      </c>
      <c r="M32" s="2">
        <f>$E32*(AB32/100)</f>
        <v>71.245360831749323</v>
      </c>
      <c r="N32" s="2">
        <f>$E32*AL32</f>
        <v>2.2979381443298617</v>
      </c>
      <c r="O32" s="2">
        <f>$E32*(AA32/100)</f>
        <v>146.90721648749999</v>
      </c>
      <c r="P32" s="2">
        <f>$E32*AM32</f>
        <v>6.0045454545454229</v>
      </c>
      <c r="Q32" s="2">
        <f>$E32*AN32</f>
        <v>3.9999999999999587</v>
      </c>
      <c r="R32" s="2">
        <f>$E32*AQ32</f>
        <v>0.39999999999998914</v>
      </c>
      <c r="S32" s="2">
        <f>$E32*AO32</f>
        <v>16.064948453608149</v>
      </c>
      <c r="T32" s="2">
        <f>$E32*AP32</f>
        <v>3.9917525773195468</v>
      </c>
      <c r="U32" s="2">
        <f>S32-T32</f>
        <v>12.073195876288603</v>
      </c>
      <c r="V32" s="1">
        <f>F32/D32</f>
        <v>0.27086439510753368</v>
      </c>
      <c r="W32" s="1">
        <f>(F32+M32+N32+P32)/(D32+M32+N32+Q32)</f>
        <v>0.35936068212221511</v>
      </c>
      <c r="X32" s="1">
        <f>(G32+H32*2+I32*3+J32*4)/D32</f>
        <v>0.50814548845168062</v>
      </c>
      <c r="Y32" s="1">
        <f>W32+X32</f>
        <v>0.86750617057389579</v>
      </c>
      <c r="Z32">
        <v>0.31013666140000001</v>
      </c>
      <c r="AA32">
        <v>22.091310750000002</v>
      </c>
      <c r="AB32">
        <v>10.713588094999899</v>
      </c>
      <c r="AD32" s="2">
        <f>(D32-O32-J32+Q32)*Z32</f>
        <v>127.18480674279971</v>
      </c>
      <c r="AE32">
        <v>0.23709169799999999</v>
      </c>
      <c r="AF32">
        <v>0.70727409073865699</v>
      </c>
      <c r="AG32">
        <v>0.25396825396825301</v>
      </c>
      <c r="AH32">
        <v>4.7701295402590702E-2</v>
      </c>
      <c r="AI32">
        <v>4.6616541353383403E-2</v>
      </c>
      <c r="AJ32">
        <v>0.15498333462522201</v>
      </c>
      <c r="AK32">
        <v>0.133834586466165</v>
      </c>
      <c r="AL32">
        <v>3.4555460816990402E-3</v>
      </c>
      <c r="AM32">
        <v>9.0293916609705607E-3</v>
      </c>
      <c r="AN32">
        <v>6.0150375939849003E-3</v>
      </c>
      <c r="AO32">
        <v>2.41578172234709E-2</v>
      </c>
      <c r="AP32">
        <v>6.0026354546158598E-3</v>
      </c>
      <c r="AQ32">
        <v>6.0150375939847995E-4</v>
      </c>
    </row>
    <row r="33" spans="1:43" x14ac:dyDescent="0.4">
      <c r="A33" t="s">
        <v>49</v>
      </c>
      <c r="B33" s="3" t="s">
        <v>55</v>
      </c>
      <c r="D33">
        <v>333</v>
      </c>
      <c r="E33">
        <v>371</v>
      </c>
      <c r="F33" s="2">
        <f>AD33+J33</f>
        <v>82.949103648235493</v>
      </c>
      <c r="G33" s="2">
        <f>$AD33*AF33</f>
        <v>52.962181111319943</v>
      </c>
      <c r="H33" s="2">
        <f>$AD33*AG33</f>
        <v>15.722023032941216</v>
      </c>
      <c r="I33" s="2">
        <f>$AD33*AH33</f>
        <v>1.9818606499270894</v>
      </c>
      <c r="J33" s="2">
        <f>$E33*AI33</f>
        <v>12.199999999999951</v>
      </c>
      <c r="K33" s="2">
        <f>$E33*AJ33</f>
        <v>45.094736842105071</v>
      </c>
      <c r="L33" s="2">
        <f>$E33*AK33</f>
        <v>44.999999999999794</v>
      </c>
      <c r="M33" s="2">
        <f>$E33*(AB33/100)</f>
        <v>25.289473682717997</v>
      </c>
      <c r="N33" s="2">
        <f>$E33*AL33</f>
        <v>1.5859649122806951</v>
      </c>
      <c r="O33" s="2">
        <f>$E33*(AA33/100)</f>
        <v>94.842105246700001</v>
      </c>
      <c r="P33" s="2">
        <f>$E33*AM33</f>
        <v>7.2806167400880692</v>
      </c>
      <c r="Q33" s="2">
        <f>$E33*AN33</f>
        <v>2.5999999999999881</v>
      </c>
      <c r="R33" s="2">
        <f>$E33*AQ33</f>
        <v>0</v>
      </c>
      <c r="S33" s="2">
        <f>$E33*AO33</f>
        <v>2.8859649122806856</v>
      </c>
      <c r="T33" s="2">
        <f>$E33*AP33</f>
        <v>0.99298245614034308</v>
      </c>
      <c r="U33" s="2">
        <f>S33-T33</f>
        <v>1.8929824561403426</v>
      </c>
      <c r="V33" s="1">
        <f>F33/D33</f>
        <v>0.24909640735205854</v>
      </c>
      <c r="W33" s="1">
        <f>(F33+M33+N33+P33)/(D33+M33+N33+Q33)</f>
        <v>0.32307060427938755</v>
      </c>
      <c r="X33" s="1">
        <f>(G33+H33*2+I33*3+J33*4)/D33</f>
        <v>0.41787330068163192</v>
      </c>
      <c r="Y33" s="1">
        <f>W33+X33</f>
        <v>0.74094390496101947</v>
      </c>
      <c r="Z33">
        <v>0.30954565680000001</v>
      </c>
      <c r="AA33">
        <v>25.563909769999999</v>
      </c>
      <c r="AB33">
        <v>6.8165697258</v>
      </c>
      <c r="AD33" s="2">
        <f>(D33-O33-J33+Q33)*Z33</f>
        <v>70.749103648235547</v>
      </c>
      <c r="AE33">
        <v>0.224840023</v>
      </c>
      <c r="AF33">
        <v>0.74859154929577398</v>
      </c>
      <c r="AG33">
        <v>0.22222222222222199</v>
      </c>
      <c r="AH33">
        <v>2.8012519561815202E-2</v>
      </c>
      <c r="AI33">
        <v>3.2884097035040298E-2</v>
      </c>
      <c r="AJ33">
        <v>0.121549155908639</v>
      </c>
      <c r="AK33">
        <v>0.12129380053908299</v>
      </c>
      <c r="AL33">
        <v>4.2748380384924397E-3</v>
      </c>
      <c r="AM33">
        <v>1.9624303881639001E-2</v>
      </c>
      <c r="AN33">
        <v>7.0080862533692398E-3</v>
      </c>
      <c r="AO33">
        <v>7.7788811651770496E-3</v>
      </c>
      <c r="AP33">
        <v>2.6765025771976901E-3</v>
      </c>
      <c r="AQ33">
        <v>0</v>
      </c>
    </row>
    <row r="34" spans="1:43" x14ac:dyDescent="0.4">
      <c r="A34" t="s">
        <v>49</v>
      </c>
      <c r="B34" s="3" t="s">
        <v>56</v>
      </c>
      <c r="D34">
        <v>407</v>
      </c>
      <c r="E34">
        <v>467</v>
      </c>
      <c r="F34" s="2">
        <f>AD34+J34</f>
        <v>97.008875673661549</v>
      </c>
      <c r="G34" s="2">
        <f>$AD34*AF34</f>
        <v>61.816279057864712</v>
      </c>
      <c r="H34" s="2">
        <f>$AD34*AG34</f>
        <v>19.456562653104879</v>
      </c>
      <c r="I34" s="2">
        <f>$AD34*AH34</f>
        <v>2.390377697381449</v>
      </c>
      <c r="J34" s="2">
        <f>$E34*AI34</f>
        <v>11.399999999999972</v>
      </c>
      <c r="K34" s="2">
        <f>$E34*AJ34</f>
        <v>63.826012793176545</v>
      </c>
      <c r="L34" s="2">
        <f>$E34*AK34</f>
        <v>46.999999999999574</v>
      </c>
      <c r="M34" s="2">
        <f>$E34*(AB34/100)</f>
        <v>49.174413640760001</v>
      </c>
      <c r="N34" s="2">
        <f>$E34*AL34</f>
        <v>1.3995735607675623</v>
      </c>
      <c r="O34" s="2">
        <f>$E34*(AA34/100)</f>
        <v>123.47121535469998</v>
      </c>
      <c r="P34" s="2">
        <f>$E34*AM34</f>
        <v>3.0160744500845933</v>
      </c>
      <c r="Q34" s="2">
        <f>$E34*AN34</f>
        <v>2.3999999999999755</v>
      </c>
      <c r="R34" s="2">
        <f>$E34*AQ34</f>
        <v>0.39999999999999286</v>
      </c>
      <c r="S34" s="2">
        <f>$E34*AO34</f>
        <v>8.8965884861406934</v>
      </c>
      <c r="T34" s="2">
        <f>$E34*AP34</f>
        <v>1.8995735607675532</v>
      </c>
      <c r="U34" s="2">
        <f>S34-T34</f>
        <v>6.99701492537314</v>
      </c>
      <c r="V34" s="1">
        <f>F34/D34</f>
        <v>0.23835104588123232</v>
      </c>
      <c r="W34" s="1">
        <f>(F34+M34+N34+P34)/(D34+M34+N34+Q34)</f>
        <v>0.32740750893656967</v>
      </c>
      <c r="X34" s="1">
        <f>(G34+H34*2+I34*3+J34*4)/D34</f>
        <v>0.37715119768112704</v>
      </c>
      <c r="Y34" s="1">
        <f>W34+X34</f>
        <v>0.70455870661769671</v>
      </c>
      <c r="Z34">
        <v>0.3118393424</v>
      </c>
      <c r="AA34">
        <v>26.439232409999999</v>
      </c>
      <c r="AB34">
        <v>10.529853028</v>
      </c>
      <c r="AD34" s="2">
        <f>(D34-O34-J34+Q34)*Z34</f>
        <v>85.608875673661572</v>
      </c>
      <c r="AE34">
        <v>0.205274711</v>
      </c>
      <c r="AF34">
        <v>0.72207792207792199</v>
      </c>
      <c r="AG34">
        <v>0.22727272727272699</v>
      </c>
      <c r="AH34">
        <v>2.79220779220778E-2</v>
      </c>
      <c r="AI34">
        <v>2.4411134903640198E-2</v>
      </c>
      <c r="AJ34">
        <v>0.136672404268044</v>
      </c>
      <c r="AK34">
        <v>0.100642398286937</v>
      </c>
      <c r="AL34">
        <v>2.9969455262688701E-3</v>
      </c>
      <c r="AM34">
        <v>6.4584035333717198E-3</v>
      </c>
      <c r="AN34">
        <v>5.1391862955031597E-3</v>
      </c>
      <c r="AO34">
        <v>1.90505106769608E-2</v>
      </c>
      <c r="AP34">
        <v>4.06760933783202E-3</v>
      </c>
      <c r="AQ34">
        <v>8.5653104925052001E-4</v>
      </c>
    </row>
    <row r="35" spans="1:43" x14ac:dyDescent="0.4">
      <c r="A35" t="s">
        <v>49</v>
      </c>
      <c r="B35" s="3" t="s">
        <v>57</v>
      </c>
      <c r="D35">
        <v>517</v>
      </c>
      <c r="E35">
        <v>568</v>
      </c>
      <c r="F35" s="2">
        <f>AD35+J35</f>
        <v>133.62556475507373</v>
      </c>
      <c r="G35" s="2">
        <f>$AD35*AF35</f>
        <v>81.61118238630651</v>
      </c>
      <c r="H35" s="2">
        <f>$AD35*AG35</f>
        <v>27.760665027561949</v>
      </c>
      <c r="I35" s="2">
        <f>$AD35*AH35</f>
        <v>3.5697825886928447</v>
      </c>
      <c r="J35" s="2">
        <f>$E35*AI35</f>
        <v>20.599999999999934</v>
      </c>
      <c r="K35" s="2">
        <f>$E35*AJ35</f>
        <v>72.206540447503869</v>
      </c>
      <c r="L35" s="2">
        <f>$E35*AK35</f>
        <v>72.999999999999773</v>
      </c>
      <c r="M35" s="2">
        <f>$E35*(AB35/100)</f>
        <v>38.110499138783993</v>
      </c>
      <c r="N35" s="2">
        <f>$E35*AL35</f>
        <v>0.89999999999995395</v>
      </c>
      <c r="O35" s="2">
        <f>$E35*(AA35/100)</f>
        <v>128.06884683920001</v>
      </c>
      <c r="P35" s="2">
        <f>$E35*AM35</f>
        <v>7.1704980842911432</v>
      </c>
      <c r="Q35" s="2">
        <f>$E35*AN35</f>
        <v>3.5999999999999632</v>
      </c>
      <c r="R35" s="2">
        <f>$E35*AQ35</f>
        <v>1.0528735632183579</v>
      </c>
      <c r="S35" s="2">
        <f>$E35*AO35</f>
        <v>9.7820998278829254</v>
      </c>
      <c r="T35" s="2">
        <f>$E35*AP35</f>
        <v>1.9955249569706943</v>
      </c>
      <c r="U35" s="2">
        <f>S35-T35</f>
        <v>7.7865748709122311</v>
      </c>
      <c r="V35" s="1">
        <f>F35/D35</f>
        <v>0.25846337476803427</v>
      </c>
      <c r="W35" s="1">
        <f>(F35+M35+N35+P35)/(D35+M35+N35+Q35)</f>
        <v>0.32130662711808167</v>
      </c>
      <c r="X35" s="1">
        <f>(G35+H35*2+I35*3+J35*4)/D35</f>
        <v>0.44534208937622571</v>
      </c>
      <c r="Y35" s="1">
        <f>W35+X35</f>
        <v>0.76664871649430744</v>
      </c>
      <c r="Z35">
        <v>0.30388840459999999</v>
      </c>
      <c r="AA35">
        <v>22.547332189999999</v>
      </c>
      <c r="AB35">
        <v>6.7095949187999997</v>
      </c>
      <c r="AD35" s="2">
        <f>(D35-O35-J35+Q35)*Z35</f>
        <v>113.02556475507379</v>
      </c>
      <c r="AE35">
        <v>0.23912999300000001</v>
      </c>
      <c r="AF35">
        <v>0.72205949656750501</v>
      </c>
      <c r="AG35">
        <v>0.24561403508771901</v>
      </c>
      <c r="AH35">
        <v>3.1583850931676899E-2</v>
      </c>
      <c r="AI35">
        <v>3.6267605633802699E-2</v>
      </c>
      <c r="AJ35">
        <v>0.127124190928704</v>
      </c>
      <c r="AK35">
        <v>0.12852112676056299</v>
      </c>
      <c r="AL35">
        <v>1.5845070422534401E-3</v>
      </c>
      <c r="AM35">
        <v>1.2624116345582999E-2</v>
      </c>
      <c r="AN35">
        <v>6.3380281690140197E-3</v>
      </c>
      <c r="AO35">
        <v>1.7222006739230501E-2</v>
      </c>
      <c r="AP35">
        <v>3.5132481636807999E-3</v>
      </c>
      <c r="AQ35">
        <v>1.8536506394689399E-3</v>
      </c>
    </row>
    <row r="36" spans="1:43" x14ac:dyDescent="0.4">
      <c r="A36" t="s">
        <v>49</v>
      </c>
      <c r="B36" t="s">
        <v>58</v>
      </c>
      <c r="D36">
        <v>476</v>
      </c>
      <c r="E36">
        <v>519</v>
      </c>
      <c r="F36" s="2">
        <f>AD36+J36</f>
        <v>123.47692463403115</v>
      </c>
      <c r="G36" s="2">
        <f>$AD36*AF36</f>
        <v>80.739786604889687</v>
      </c>
      <c r="H36" s="2">
        <f>$AD36*AG36</f>
        <v>22.672609968062741</v>
      </c>
      <c r="I36" s="2">
        <f>$AD36*AH36</f>
        <v>0.99134545635581595</v>
      </c>
      <c r="J36" s="2">
        <f>$E36*AI36</f>
        <v>17.99999999999995</v>
      </c>
      <c r="K36" s="2">
        <f>$E36*AJ36</f>
        <v>60.105639097744245</v>
      </c>
      <c r="L36" s="2">
        <f>$E36*AK36</f>
        <v>66.999999999999716</v>
      </c>
      <c r="M36" s="2">
        <f>$E36*(AB36/100)</f>
        <v>35.012030076884948</v>
      </c>
      <c r="N36" s="2">
        <f>$E36*AL36</f>
        <v>0.99755639097740489</v>
      </c>
      <c r="O36" s="2">
        <f>$E36*(AA36/100)</f>
        <v>123.8966165355</v>
      </c>
      <c r="P36" s="2">
        <f>$E36*AM36</f>
        <v>3.7973384030418056</v>
      </c>
      <c r="Q36" s="2">
        <f>$E36*AN36</f>
        <v>4.999999999999992</v>
      </c>
      <c r="R36" s="2">
        <f>$E36*AQ36</f>
        <v>0</v>
      </c>
      <c r="S36" s="2">
        <f>$E36*AO36</f>
        <v>2.9926691729323078</v>
      </c>
      <c r="T36" s="2">
        <f>$E36*AP36</f>
        <v>0.99755639097740489</v>
      </c>
      <c r="U36" s="2">
        <f>S36-T36</f>
        <v>1.9951127819549028</v>
      </c>
      <c r="V36" s="1">
        <f>F36/D36</f>
        <v>0.25940530385300664</v>
      </c>
      <c r="W36" s="1">
        <f>(F36+M36+N36+P36)/(D36+M36+N36+Q36)</f>
        <v>0.31582363998406265</v>
      </c>
      <c r="X36" s="1">
        <f>(G36+H36*2+I36*3+J36*4)/D36</f>
        <v>0.42239294729008908</v>
      </c>
      <c r="Y36" s="1">
        <f>W36+X36</f>
        <v>0.73821658727415174</v>
      </c>
      <c r="Z36">
        <v>0.311046512</v>
      </c>
      <c r="AA36">
        <v>23.872180449999998</v>
      </c>
      <c r="AB36">
        <v>6.7460558914999904</v>
      </c>
      <c r="AD36" s="2">
        <f>(D36-O36-J36+Q36)*Z36</f>
        <v>105.47692463403121</v>
      </c>
      <c r="AE36">
        <v>0.24037872499999999</v>
      </c>
      <c r="AF36">
        <v>0.76547346147063999</v>
      </c>
      <c r="AG36">
        <v>0.21495327102803699</v>
      </c>
      <c r="AH36">
        <v>9.39869511549986E-3</v>
      </c>
      <c r="AI36">
        <v>3.4682080924855398E-2</v>
      </c>
      <c r="AJ36">
        <v>0.115810479957118</v>
      </c>
      <c r="AK36">
        <v>0.12909441233140601</v>
      </c>
      <c r="AL36">
        <v>1.92207397105473E-3</v>
      </c>
      <c r="AM36">
        <v>7.3166443218531897E-3</v>
      </c>
      <c r="AN36">
        <v>9.6339113680153996E-3</v>
      </c>
      <c r="AO36">
        <v>5.7662219131643698E-3</v>
      </c>
      <c r="AP36">
        <v>1.92207397105473E-3</v>
      </c>
      <c r="AQ36">
        <v>0</v>
      </c>
    </row>
    <row r="37" spans="1:43" x14ac:dyDescent="0.4">
      <c r="A37" t="s">
        <v>49</v>
      </c>
      <c r="B37" t="s">
        <v>59</v>
      </c>
      <c r="D37">
        <v>364</v>
      </c>
      <c r="E37">
        <v>401</v>
      </c>
      <c r="F37" s="2">
        <f>AD37+J37</f>
        <v>93.518053881720448</v>
      </c>
      <c r="G37" s="2">
        <f>$AD37*AF37</f>
        <v>60.232247000141037</v>
      </c>
      <c r="H37" s="2">
        <f>$AD37*AG37</f>
        <v>18.886950910526952</v>
      </c>
      <c r="I37" s="2">
        <f>$AD37*AH37</f>
        <v>1.9593564800013965</v>
      </c>
      <c r="J37" s="2">
        <f>$E37*AI37</f>
        <v>12.999999999999975</v>
      </c>
      <c r="K37" s="2">
        <f>$E37*AJ37</f>
        <v>49.230541871920842</v>
      </c>
      <c r="L37" s="2">
        <f>$E37*AK37</f>
        <v>51.999999999999808</v>
      </c>
      <c r="M37" s="2">
        <f>$E37*(AB37/100)</f>
        <v>31.861822658855001</v>
      </c>
      <c r="N37" s="2">
        <f>$E37*AL37</f>
        <v>1.597536945812799</v>
      </c>
      <c r="O37" s="2">
        <f>$E37*(AA37/100)</f>
        <v>74.076354663999993</v>
      </c>
      <c r="P37" s="2">
        <f>$E37*AM37</f>
        <v>2.9778290993071455</v>
      </c>
      <c r="Q37" s="2">
        <f>$E37*AN37</f>
        <v>2.9999999999999845</v>
      </c>
      <c r="R37" s="2">
        <f>$E37*AQ37</f>
        <v>0</v>
      </c>
      <c r="S37" s="2">
        <f>$E37*AO37</f>
        <v>2.9963054187191918</v>
      </c>
      <c r="T37" s="2">
        <f>$E37*AP37</f>
        <v>0.99876847290639859</v>
      </c>
      <c r="U37" s="2">
        <f>S37-T37</f>
        <v>1.9975369458127932</v>
      </c>
      <c r="V37" s="1">
        <f>F37/D37</f>
        <v>0.25691773044428695</v>
      </c>
      <c r="W37" s="1">
        <f>(F37+M37+N37+P37)/(D37+M37+N37+Q37)</f>
        <v>0.32451543326140964</v>
      </c>
      <c r="X37" s="1">
        <f>(G37+H37*2+I37*3+J37*4)/D37</f>
        <v>0.42825334687142586</v>
      </c>
      <c r="Y37" s="1">
        <f>W37+X37</f>
        <v>0.75276878013283555</v>
      </c>
      <c r="Z37">
        <v>0.287642917</v>
      </c>
      <c r="AA37">
        <v>18.472906399999999</v>
      </c>
      <c r="AB37">
        <v>7.9455916855000002</v>
      </c>
      <c r="AD37" s="2">
        <f>(D37-O37-J37+Q37)*Z37</f>
        <v>80.518053881720476</v>
      </c>
      <c r="AE37">
        <v>0.23905279199999999</v>
      </c>
      <c r="AF37">
        <v>0.74805890227576899</v>
      </c>
      <c r="AG37">
        <v>0.234567901234567</v>
      </c>
      <c r="AH37">
        <v>2.4334374535177599E-2</v>
      </c>
      <c r="AI37">
        <v>3.2418952618453803E-2</v>
      </c>
      <c r="AJ37">
        <v>0.12276943110204699</v>
      </c>
      <c r="AK37">
        <v>0.12967581047381499</v>
      </c>
      <c r="AL37">
        <v>3.9838826578872796E-3</v>
      </c>
      <c r="AM37">
        <v>7.4260077289455004E-3</v>
      </c>
      <c r="AN37">
        <v>7.4812967581046998E-3</v>
      </c>
      <c r="AO37">
        <v>7.4720833384518499E-3</v>
      </c>
      <c r="AP37">
        <v>2.4906944461506198E-3</v>
      </c>
      <c r="AQ37">
        <v>0</v>
      </c>
    </row>
    <row r="38" spans="1:43" x14ac:dyDescent="0.4">
      <c r="A38" t="s">
        <v>49</v>
      </c>
      <c r="B38" t="s">
        <v>60</v>
      </c>
      <c r="D38">
        <v>424</v>
      </c>
      <c r="E38">
        <v>482</v>
      </c>
      <c r="F38" s="2">
        <f>AD38+J38</f>
        <v>98.621319472722348</v>
      </c>
      <c r="G38" s="2">
        <f>$AD38*AF38</f>
        <v>55.661977641326999</v>
      </c>
      <c r="H38" s="2">
        <f>$AD38*AG38</f>
        <v>18.053834466337868</v>
      </c>
      <c r="I38" s="2">
        <f>$AD38*AH38</f>
        <v>0.99496687725594668</v>
      </c>
      <c r="J38" s="2">
        <f>$E38*AI38</f>
        <v>24.399999999999928</v>
      </c>
      <c r="K38" s="2">
        <f>$E38*AJ38</f>
        <v>65.091596638655247</v>
      </c>
      <c r="L38" s="2">
        <f>$E38*AK38</f>
        <v>63.999999999999588</v>
      </c>
      <c r="M38" s="2">
        <f>$E38*(AB38/100)</f>
        <v>48.960504183819999</v>
      </c>
      <c r="N38" s="2">
        <f>$E38*AL38</f>
        <v>2.0025210084033147</v>
      </c>
      <c r="O38" s="2">
        <f>$E38*(AA38/100)</f>
        <v>147.8403361462</v>
      </c>
      <c r="P38" s="2">
        <f>$E38*AM38</f>
        <v>6.9469798657717314</v>
      </c>
      <c r="Q38" s="2">
        <f>$E38*AN38</f>
        <v>2.9999999999999547</v>
      </c>
      <c r="R38" s="2">
        <f>$E38*AQ38</f>
        <v>0</v>
      </c>
      <c r="S38" s="2">
        <f>$E38*AO38</f>
        <v>6.0075630252100067</v>
      </c>
      <c r="T38" s="2">
        <f>$E38*AP38</f>
        <v>1.9012605042016364</v>
      </c>
      <c r="U38" s="2">
        <f>S38-T38</f>
        <v>4.1063025210083701</v>
      </c>
      <c r="V38" s="1">
        <f>F38/D38</f>
        <v>0.2325974515866093</v>
      </c>
      <c r="W38" s="1">
        <f>(F38+M38+N38+P38)/(D38+M38+N38+Q38)</f>
        <v>0.32749672313619849</v>
      </c>
      <c r="X38" s="1">
        <f>(G38+H38*2+I38*3+J38*4)/D38</f>
        <v>0.45366638491926958</v>
      </c>
      <c r="Y38" s="1">
        <f>W38+X38</f>
        <v>0.78116310805546807</v>
      </c>
      <c r="Z38">
        <v>0.29133858299999998</v>
      </c>
      <c r="AA38">
        <v>30.67226891</v>
      </c>
      <c r="AB38">
        <v>10.157780950999999</v>
      </c>
      <c r="AD38" s="2">
        <f>(D38-O38-J38+Q38)*Z38</f>
        <v>74.221319472722413</v>
      </c>
      <c r="AE38">
        <v>0.20470239800000001</v>
      </c>
      <c r="AF38">
        <v>0.74994594594594499</v>
      </c>
      <c r="AG38">
        <v>0.24324324324324301</v>
      </c>
      <c r="AH38">
        <v>1.34054054054053E-2</v>
      </c>
      <c r="AI38">
        <v>5.0622406639003997E-2</v>
      </c>
      <c r="AJ38">
        <v>0.13504480630426399</v>
      </c>
      <c r="AK38">
        <v>0.13278008298755101</v>
      </c>
      <c r="AL38">
        <v>4.1546079012516899E-3</v>
      </c>
      <c r="AM38">
        <v>1.44128212982816E-2</v>
      </c>
      <c r="AN38">
        <v>6.2240663900413997E-3</v>
      </c>
      <c r="AO38">
        <v>1.2463823703755201E-2</v>
      </c>
      <c r="AP38">
        <v>3.9445238676382496E-3</v>
      </c>
      <c r="AQ38">
        <v>0</v>
      </c>
    </row>
    <row r="39" spans="1:43" x14ac:dyDescent="0.4">
      <c r="A39" t="s">
        <v>61</v>
      </c>
      <c r="B39" t="s">
        <v>275</v>
      </c>
      <c r="D39">
        <v>555</v>
      </c>
      <c r="E39">
        <v>629</v>
      </c>
      <c r="F39" s="2">
        <f>AD39+J39</f>
        <v>143.80819200725148</v>
      </c>
      <c r="G39" s="2">
        <f>$AD39*AF39</f>
        <v>90.303613889691235</v>
      </c>
      <c r="H39" s="2">
        <f>$AD39*AG39</f>
        <v>29.097831142233808</v>
      </c>
      <c r="I39" s="2">
        <f>$AD39*AH39</f>
        <v>2.0134361319108822</v>
      </c>
      <c r="J39" s="2">
        <f>$E39*AI39</f>
        <v>22.399999999999935</v>
      </c>
      <c r="K39" s="2">
        <f>$E39*AJ39</f>
        <v>79.711929307805548</v>
      </c>
      <c r="L39" s="2">
        <f>$E39*AK39</f>
        <v>79.999999999999559</v>
      </c>
      <c r="M39" s="2">
        <f>$E39*(AB39/100)</f>
        <v>61.199263620707001</v>
      </c>
      <c r="N39" s="2">
        <f>$E39*AL39</f>
        <v>0.59263622974960306</v>
      </c>
      <c r="O39" s="2">
        <f>$E39*(AA39/100)</f>
        <v>80.593519909600005</v>
      </c>
      <c r="P39" s="2">
        <f>$E39*AM39</f>
        <v>7.0044799999998943</v>
      </c>
      <c r="Q39" s="2">
        <f>$E39*AN39</f>
        <v>6.199999999999962</v>
      </c>
      <c r="R39" s="2">
        <f>$E39*AQ39</f>
        <v>0</v>
      </c>
      <c r="S39" s="2">
        <f>$E39*AO39</f>
        <v>2.9779086892488649</v>
      </c>
      <c r="T39" s="2">
        <f>$E39*AP39</f>
        <v>0.99263622974958199</v>
      </c>
      <c r="U39" s="2">
        <f>S39-T39</f>
        <v>1.9852724594992828</v>
      </c>
      <c r="V39" s="1">
        <f>F39/D39</f>
        <v>0.25911385947252519</v>
      </c>
      <c r="W39" s="1">
        <f>(F39+M39+N39+P39)/(D39+M39+N39+Q39)</f>
        <v>0.34126378193479201</v>
      </c>
      <c r="X39" s="1">
        <f>(G39+H39*2+I39*3+J39*4)/D39</f>
        <v>0.4398911433691734</v>
      </c>
      <c r="Y39" s="1">
        <f>W39+X39</f>
        <v>0.78115492530396535</v>
      </c>
      <c r="Z39">
        <v>0.26496393499999998</v>
      </c>
      <c r="AA39">
        <v>12.812960240000001</v>
      </c>
      <c r="AB39">
        <v>9.7296126583000007</v>
      </c>
      <c r="AD39" s="2">
        <f>(D39-O39-J39+Q39)*Z39</f>
        <v>121.40819200725156</v>
      </c>
      <c r="AE39">
        <v>0.22881850100000001</v>
      </c>
      <c r="AF39">
        <v>0.74380165289256195</v>
      </c>
      <c r="AG39">
        <v>0.23966942148760301</v>
      </c>
      <c r="AH39">
        <v>1.65840220385674E-2</v>
      </c>
      <c r="AI39">
        <v>3.5612082670906098E-2</v>
      </c>
      <c r="AJ39">
        <v>0.12672802751638401</v>
      </c>
      <c r="AK39">
        <v>0.12718600953895001</v>
      </c>
      <c r="AL39">
        <v>9.4218796462575995E-4</v>
      </c>
      <c r="AM39">
        <v>1.1135898251192201E-2</v>
      </c>
      <c r="AN39">
        <v>9.8569157392686194E-3</v>
      </c>
      <c r="AO39">
        <v>4.7343540369616296E-3</v>
      </c>
      <c r="AP39">
        <v>1.57811801232048E-3</v>
      </c>
      <c r="AQ39">
        <v>0</v>
      </c>
    </row>
    <row r="40" spans="1:43" x14ac:dyDescent="0.4">
      <c r="A40" t="s">
        <v>61</v>
      </c>
      <c r="B40" s="3" t="s">
        <v>62</v>
      </c>
      <c r="D40">
        <v>433</v>
      </c>
      <c r="E40">
        <v>461</v>
      </c>
      <c r="F40" s="2">
        <f>AD40+J40</f>
        <v>105.24645882510919</v>
      </c>
      <c r="G40" s="2">
        <f>$AD40*AF40</f>
        <v>69.637100764629039</v>
      </c>
      <c r="H40" s="2">
        <f>$AD40*AG40</f>
        <v>20.357925831545479</v>
      </c>
      <c r="I40" s="2">
        <f>$AD40*AH40</f>
        <v>3.6124489667040214</v>
      </c>
      <c r="J40" s="2">
        <f>$E40*AI40</f>
        <v>11.599999999999939</v>
      </c>
      <c r="K40" s="2">
        <f>$E40*AJ40</f>
        <v>56.015668202764601</v>
      </c>
      <c r="L40" s="2">
        <f>$E40*AK40</f>
        <v>52.999999999999744</v>
      </c>
      <c r="M40" s="2">
        <f>$E40*(AB40/100)</f>
        <v>16.999539171320002</v>
      </c>
      <c r="N40" s="2">
        <f>$E40*AL40</f>
        <v>0.60622119815666797</v>
      </c>
      <c r="O40" s="2">
        <f>$E40*(AA40/100)</f>
        <v>110.4700460804</v>
      </c>
      <c r="P40" s="2">
        <f>$E40*AM40</f>
        <v>5.1550621669626686</v>
      </c>
      <c r="Q40" s="2">
        <f>$E40*AN40</f>
        <v>3.5999999999999606</v>
      </c>
      <c r="R40" s="2">
        <f>$E40*AQ40</f>
        <v>1.7825932504440192</v>
      </c>
      <c r="S40" s="2">
        <f>$E40*AO40</f>
        <v>16.999539170506885</v>
      </c>
      <c r="T40" s="2">
        <f>$E40*AP40</f>
        <v>5.1373271889400787</v>
      </c>
      <c r="U40" s="2">
        <f>S40-T40</f>
        <v>11.862211981566807</v>
      </c>
      <c r="V40" s="1">
        <f>F40/D40</f>
        <v>0.24306341530048312</v>
      </c>
      <c r="W40" s="1">
        <f>(F40+M40+N40+P40)/(D40+M40+N40+Q40)</f>
        <v>0.28182663570233052</v>
      </c>
      <c r="X40" s="1">
        <f>(G40+H40*2+I40*3+J40*4)/D40</f>
        <v>0.38704457119591645</v>
      </c>
      <c r="Y40" s="1">
        <f>W40+X40</f>
        <v>0.66887120689824697</v>
      </c>
      <c r="Z40">
        <v>0.297734628</v>
      </c>
      <c r="AA40">
        <v>23.963133639999999</v>
      </c>
      <c r="AB40">
        <v>3.687535612</v>
      </c>
      <c r="AD40" s="2">
        <f>(D40-O40-J40+Q40)*Z40</f>
        <v>93.646458825109249</v>
      </c>
      <c r="AE40">
        <v>0.231285408</v>
      </c>
      <c r="AF40">
        <v>0.74361702127659501</v>
      </c>
      <c r="AG40">
        <v>0.217391304347826</v>
      </c>
      <c r="AH40">
        <v>3.8575393154486499E-2</v>
      </c>
      <c r="AI40">
        <v>2.5162689804772102E-2</v>
      </c>
      <c r="AJ40">
        <v>0.12150904165458699</v>
      </c>
      <c r="AK40">
        <v>0.114967462039045</v>
      </c>
      <c r="AL40">
        <v>1.3150134450253101E-3</v>
      </c>
      <c r="AM40">
        <v>1.11823474337585E-2</v>
      </c>
      <c r="AN40">
        <v>7.8091106290671597E-3</v>
      </c>
      <c r="AO40">
        <v>3.6875356118236197E-2</v>
      </c>
      <c r="AP40">
        <v>1.1143876765596699E-2</v>
      </c>
      <c r="AQ40">
        <v>3.8667966387072E-3</v>
      </c>
    </row>
    <row r="41" spans="1:43" x14ac:dyDescent="0.4">
      <c r="A41" t="s">
        <v>61</v>
      </c>
      <c r="B41" s="3" t="s">
        <v>63</v>
      </c>
      <c r="D41">
        <v>368</v>
      </c>
      <c r="E41">
        <v>401</v>
      </c>
      <c r="F41" s="2">
        <f>AD41+J41</f>
        <v>88.253232094046325</v>
      </c>
      <c r="G41" s="2">
        <f>$AD41*AF41</f>
        <v>57.842135169149813</v>
      </c>
      <c r="H41" s="2">
        <f>$AD41*AG41</f>
        <v>17.280328231562937</v>
      </c>
      <c r="I41" s="2">
        <f>$AD41*AH41</f>
        <v>0.98804889970684417</v>
      </c>
      <c r="J41" s="2">
        <f>$E41*AI41</f>
        <v>10.999999999999984</v>
      </c>
      <c r="K41" s="2">
        <f>$E41*AJ41</f>
        <v>45.637735849056533</v>
      </c>
      <c r="L41" s="2">
        <f>$E41*AK41</f>
        <v>42.999999999999901</v>
      </c>
      <c r="M41" s="2">
        <f>$E41*(AB41/100)</f>
        <v>23.077897574369</v>
      </c>
      <c r="N41" s="2">
        <f>$E41*AL41</f>
        <v>0</v>
      </c>
      <c r="O41" s="2">
        <f>$E41*(AA41/100)</f>
        <v>104.84366576559998</v>
      </c>
      <c r="P41" s="2">
        <f>$E41*AM41</f>
        <v>5.059534883720886</v>
      </c>
      <c r="Q41" s="2">
        <f>$E41*AN41</f>
        <v>2.5999999999999868</v>
      </c>
      <c r="R41" s="2">
        <f>$E41*AQ41</f>
        <v>1.3595348837209131</v>
      </c>
      <c r="S41" s="2">
        <f>$E41*AO41</f>
        <v>6.948517520215594</v>
      </c>
      <c r="T41" s="2">
        <f>$E41*AP41</f>
        <v>3.0242587601077973</v>
      </c>
      <c r="U41" s="2">
        <f>S41-T41</f>
        <v>3.9242587601077967</v>
      </c>
      <c r="V41" s="1">
        <f>F41/D41</f>
        <v>0.23981856547295197</v>
      </c>
      <c r="W41" s="1">
        <f>(F41+M41+N41+P41)/(D41+M41+N41+Q41)</f>
        <v>0.29564947707065287</v>
      </c>
      <c r="X41" s="1">
        <f>(G41+H41*2+I41*3+J41*4)/D41</f>
        <v>0.37871450633531567</v>
      </c>
      <c r="Y41" s="1">
        <f>W41+X41</f>
        <v>0.67436398340596848</v>
      </c>
      <c r="Z41">
        <v>0.30324361639999903</v>
      </c>
      <c r="AA41">
        <v>26.145552559999999</v>
      </c>
      <c r="AB41">
        <v>5.7550866769000004</v>
      </c>
      <c r="AD41" s="2">
        <f>(D41-O41-J41+Q41)*Z41</f>
        <v>77.253232094046339</v>
      </c>
      <c r="AE41">
        <v>0.22371830000000001</v>
      </c>
      <c r="AF41">
        <v>0.74873417721518898</v>
      </c>
      <c r="AG41">
        <v>0.22368421052631501</v>
      </c>
      <c r="AH41">
        <v>1.27897419036658E-2</v>
      </c>
      <c r="AI41">
        <v>2.7431421446384E-2</v>
      </c>
      <c r="AJ41">
        <v>0.113809815084929</v>
      </c>
      <c r="AK41">
        <v>0.10723192019950099</v>
      </c>
      <c r="AL41">
        <v>0</v>
      </c>
      <c r="AM41">
        <v>1.2617293974366299E-2</v>
      </c>
      <c r="AN41">
        <v>6.4837905236907398E-3</v>
      </c>
      <c r="AO41">
        <v>1.7327973865874299E-2</v>
      </c>
      <c r="AP41">
        <v>7.54179241922144E-3</v>
      </c>
      <c r="AQ41">
        <v>3.3903613060371901E-3</v>
      </c>
    </row>
    <row r="42" spans="1:43" x14ac:dyDescent="0.4">
      <c r="A42" t="s">
        <v>61</v>
      </c>
      <c r="B42" t="s">
        <v>64</v>
      </c>
      <c r="D42">
        <v>587</v>
      </c>
      <c r="E42">
        <v>646</v>
      </c>
      <c r="F42" s="2">
        <f>AD42+J42</f>
        <v>157.90457072200371</v>
      </c>
      <c r="G42" s="2">
        <f>$AD42*AF42</f>
        <v>95.689324970857271</v>
      </c>
      <c r="H42" s="2">
        <f>$AD42*AG42</f>
        <v>36.288148884000954</v>
      </c>
      <c r="I42" s="2">
        <f>$AD42*AH42</f>
        <v>7.6057175358793367</v>
      </c>
      <c r="J42" s="2">
        <f>$E42*AI42</f>
        <v>18.799999999999912</v>
      </c>
      <c r="K42" s="2">
        <f>$E42*AJ42</f>
        <v>92.38237082066847</v>
      </c>
      <c r="L42" s="2">
        <f>$E42*AK42</f>
        <v>68.999999999999403</v>
      </c>
      <c r="M42" s="2">
        <f>$E42*(AB42/100)</f>
        <v>49.908814587089935</v>
      </c>
      <c r="N42" s="2">
        <f>$E42*AL42</f>
        <v>1.3981762917932743</v>
      </c>
      <c r="O42" s="2">
        <f>$E42*(AA42/100)</f>
        <v>147.26443766680001</v>
      </c>
      <c r="P42" s="2">
        <f>$E42*AM42</f>
        <v>6.9084772370485616</v>
      </c>
      <c r="Q42" s="2">
        <f>$E42*AN42</f>
        <v>2.9999999999999911</v>
      </c>
      <c r="R42" s="2">
        <f>$E42*AQ42</f>
        <v>1.0084772370486257</v>
      </c>
      <c r="S42" s="2">
        <f>$E42*AO42</f>
        <v>29.748936170212705</v>
      </c>
      <c r="T42" s="2">
        <f>$E42*AP42</f>
        <v>5.9890577507598586</v>
      </c>
      <c r="U42" s="2">
        <f>S42-T42</f>
        <v>23.759878419452846</v>
      </c>
      <c r="V42" s="1">
        <f>F42/D42</f>
        <v>0.26900267584668436</v>
      </c>
      <c r="W42" s="1">
        <f>(F42+M42+N42+P42)/(D42+M42+N42+Q42)</f>
        <v>0.33699934962778499</v>
      </c>
      <c r="X42" s="1">
        <f>(G42+H42*2+I42*3+J42*4)/D42</f>
        <v>0.45363334812009676</v>
      </c>
      <c r="Y42" s="1">
        <f>W42+X42</f>
        <v>0.7906326977478817</v>
      </c>
      <c r="Z42">
        <v>0.32812668499999997</v>
      </c>
      <c r="AA42">
        <v>22.796352580000001</v>
      </c>
      <c r="AB42">
        <v>7.7258226914999897</v>
      </c>
      <c r="AD42" s="2">
        <f>(D42-O42-J42+Q42)*Z42</f>
        <v>139.10457072200381</v>
      </c>
      <c r="AE42">
        <v>0.243832046</v>
      </c>
      <c r="AF42">
        <v>0.687894901470128</v>
      </c>
      <c r="AG42">
        <v>0.26086956521739102</v>
      </c>
      <c r="AH42">
        <v>5.4676258992805697E-2</v>
      </c>
      <c r="AI42">
        <v>2.9102167182662401E-2</v>
      </c>
      <c r="AJ42">
        <v>0.14300676597626699</v>
      </c>
      <c r="AK42">
        <v>0.106811145510835</v>
      </c>
      <c r="AL42">
        <v>2.16435958481931E-3</v>
      </c>
      <c r="AM42">
        <v>1.0694237209053501E-2</v>
      </c>
      <c r="AN42">
        <v>4.6439628482971996E-3</v>
      </c>
      <c r="AO42">
        <v>4.6050984783610999E-2</v>
      </c>
      <c r="AP42">
        <v>9.2709872302784192E-3</v>
      </c>
      <c r="AQ42">
        <v>1.56111027406908E-3</v>
      </c>
    </row>
    <row r="43" spans="1:43" x14ac:dyDescent="0.4">
      <c r="A43" t="s">
        <v>61</v>
      </c>
      <c r="B43" s="3" t="s">
        <v>65</v>
      </c>
      <c r="D43">
        <v>252</v>
      </c>
      <c r="E43">
        <v>285</v>
      </c>
      <c r="F43" s="2">
        <f>AD43+J43</f>
        <v>65.167831274942799</v>
      </c>
      <c r="G43" s="2">
        <f>$AD43*AF43</f>
        <v>43.970936862075384</v>
      </c>
      <c r="H43" s="2">
        <f>$AD43*AG43</f>
        <v>12.816640789394151</v>
      </c>
      <c r="I43" s="2">
        <f>$AD43*AH43</f>
        <v>1.5774327125408154</v>
      </c>
      <c r="J43" s="2">
        <f>$E43*AI43</f>
        <v>6.9999999999999911</v>
      </c>
      <c r="K43" s="2">
        <f>$E43*AJ43</f>
        <v>36.392857142857018</v>
      </c>
      <c r="L43" s="2">
        <f>$E43*AK43</f>
        <v>31.999999999999723</v>
      </c>
      <c r="M43" s="2">
        <f>$E43*(AB43/100)</f>
        <v>24.314285715420002</v>
      </c>
      <c r="N43" s="2">
        <f>$E43*AL43</f>
        <v>0.89999999999998148</v>
      </c>
      <c r="O43" s="2">
        <f>$E43*(AA43/100)</f>
        <v>65.595238107</v>
      </c>
      <c r="P43" s="2">
        <f>$E43*AM43</f>
        <v>4.2159135559921195</v>
      </c>
      <c r="Q43" s="2">
        <f>$E43*AN43</f>
        <v>1.9999999999999907</v>
      </c>
      <c r="R43" s="2">
        <f>$E43*AQ43</f>
        <v>0</v>
      </c>
      <c r="S43" s="2">
        <f>$E43*AO43</f>
        <v>7.8785714285713935</v>
      </c>
      <c r="T43" s="2">
        <f>$E43*AP43</f>
        <v>2.0261904761904694</v>
      </c>
      <c r="U43" s="2">
        <f>S43-T43</f>
        <v>5.8523809523809245</v>
      </c>
      <c r="V43" s="1">
        <f>F43/D43</f>
        <v>0.25860250505929683</v>
      </c>
      <c r="W43" s="1">
        <f>(F43+M43+N43+P43)/(D43+M43+N43+Q43)</f>
        <v>0.33880082569546904</v>
      </c>
      <c r="X43" s="1">
        <f>(G43+H43*2+I43*3+J43*4)/D43</f>
        <v>0.4060972880098655</v>
      </c>
      <c r="Y43" s="1">
        <f>W43+X43</f>
        <v>0.74489811370533454</v>
      </c>
      <c r="Z43">
        <v>0.32065217400000001</v>
      </c>
      <c r="AA43">
        <v>23.015873020000001</v>
      </c>
      <c r="AB43">
        <v>8.5313283212000002</v>
      </c>
      <c r="AD43" s="2">
        <f>(D43-O43-J43+Q43)*Z43</f>
        <v>58.167831274942806</v>
      </c>
      <c r="AE43">
        <v>0.23136955200000001</v>
      </c>
      <c r="AF43">
        <v>0.75593220338983003</v>
      </c>
      <c r="AG43">
        <v>0.22033898305084701</v>
      </c>
      <c r="AH43">
        <v>2.7118644067796498E-2</v>
      </c>
      <c r="AI43">
        <v>2.4561403508771899E-2</v>
      </c>
      <c r="AJ43">
        <v>0.127694235588972</v>
      </c>
      <c r="AK43">
        <v>0.112280701754385</v>
      </c>
      <c r="AL43">
        <v>3.1578947368420401E-3</v>
      </c>
      <c r="AM43">
        <v>1.4792679143832E-2</v>
      </c>
      <c r="AN43">
        <v>7.01754385964909E-3</v>
      </c>
      <c r="AO43">
        <v>2.76441102756891E-2</v>
      </c>
      <c r="AP43">
        <v>7.1094402673349804E-3</v>
      </c>
      <c r="AQ43">
        <v>0</v>
      </c>
    </row>
    <row r="44" spans="1:43" x14ac:dyDescent="0.4">
      <c r="A44" t="s">
        <v>61</v>
      </c>
      <c r="B44" t="s">
        <v>66</v>
      </c>
      <c r="D44">
        <v>403</v>
      </c>
      <c r="E44">
        <v>447</v>
      </c>
      <c r="F44" s="2">
        <f>AD44+J44</f>
        <v>109.4737468109067</v>
      </c>
      <c r="G44" s="2">
        <f>$AD44*AF44</f>
        <v>75.010600044992472</v>
      </c>
      <c r="H44" s="2">
        <f>$AD44*AG44</f>
        <v>22.33425185402006</v>
      </c>
      <c r="I44" s="2">
        <f>$AD44*AH44</f>
        <v>0.98871620535394833</v>
      </c>
      <c r="J44" s="2">
        <f>$E44*AI44</f>
        <v>10.999999999999984</v>
      </c>
      <c r="K44" s="2">
        <f>$E44*AJ44</f>
        <v>51.720300751879584</v>
      </c>
      <c r="L44" s="2">
        <f>$E44*AK44</f>
        <v>54.999999999999922</v>
      </c>
      <c r="M44" s="2">
        <f>$E44*(AB44/100)</f>
        <v>33.960902255010005</v>
      </c>
      <c r="N44" s="2">
        <f>$E44*AL44</f>
        <v>1.4120300751879384</v>
      </c>
      <c r="O44" s="2">
        <f>$E44*(AA44/100)</f>
        <v>58.2556390815</v>
      </c>
      <c r="P44" s="2">
        <f>$E44*AM44</f>
        <v>7.9403726708073945</v>
      </c>
      <c r="Q44" s="2">
        <f>$E44*AN44</f>
        <v>2.9999999999999756</v>
      </c>
      <c r="R44" s="2">
        <f>$E44*AQ44</f>
        <v>0</v>
      </c>
      <c r="S44" s="2">
        <f>$E44*AO44</f>
        <v>3.0360902255638877</v>
      </c>
      <c r="T44" s="2">
        <f>$E44*AP44</f>
        <v>0.89999999999996594</v>
      </c>
      <c r="U44" s="2">
        <f>S44-T44</f>
        <v>2.1360902255639216</v>
      </c>
      <c r="V44" s="1">
        <f>F44/D44</f>
        <v>0.27164701441912331</v>
      </c>
      <c r="W44" s="1">
        <f>(F44+M44+N44+P44)/(D44+M44+N44+Q44)</f>
        <v>0.34616316638467914</v>
      </c>
      <c r="X44" s="1">
        <f>(G44+H44*2+I44*3+J44*4)/D44</f>
        <v>0.41351179247914238</v>
      </c>
      <c r="Y44" s="1">
        <f>W44+X44</f>
        <v>0.75967495886382153</v>
      </c>
      <c r="Z44">
        <v>0.29242879240000003</v>
      </c>
      <c r="AA44">
        <v>13.03258145</v>
      </c>
      <c r="AB44">
        <v>7.5975172830000002</v>
      </c>
      <c r="AD44" s="2">
        <f>(D44-O44-J44+Q44)*Z44</f>
        <v>98.473746810906718</v>
      </c>
      <c r="AE44">
        <v>0.24838686900000001</v>
      </c>
      <c r="AF44">
        <v>0.76173195876288602</v>
      </c>
      <c r="AG44">
        <v>0.22680412371134001</v>
      </c>
      <c r="AH44">
        <v>1.0040404040404001E-2</v>
      </c>
      <c r="AI44">
        <v>2.4608501118568198E-2</v>
      </c>
      <c r="AJ44">
        <v>0.11570537080957401</v>
      </c>
      <c r="AK44">
        <v>0.12304250559284099</v>
      </c>
      <c r="AL44">
        <v>3.1589039713376698E-3</v>
      </c>
      <c r="AM44">
        <v>1.7763697250128399E-2</v>
      </c>
      <c r="AN44">
        <v>6.7114093959730996E-3</v>
      </c>
      <c r="AO44">
        <v>6.79214815562391E-3</v>
      </c>
      <c r="AP44">
        <v>2.0134228187918702E-3</v>
      </c>
      <c r="AQ44">
        <v>0</v>
      </c>
    </row>
    <row r="45" spans="1:43" x14ac:dyDescent="0.4">
      <c r="A45" t="s">
        <v>61</v>
      </c>
      <c r="B45" t="s">
        <v>67</v>
      </c>
      <c r="D45">
        <v>561</v>
      </c>
      <c r="E45">
        <v>638</v>
      </c>
      <c r="F45" s="2">
        <f>AD45+J45</f>
        <v>149.01527028070456</v>
      </c>
      <c r="G45" s="2">
        <f>$AD45*AF45</f>
        <v>84.583912986442456</v>
      </c>
      <c r="H45" s="2">
        <f>$AD45*AG45</f>
        <v>30.055197507872929</v>
      </c>
      <c r="I45" s="2">
        <f>$AD45*AH45</f>
        <v>2.5610059052926921</v>
      </c>
      <c r="J45" s="2">
        <f>$E45*AI45</f>
        <v>31.799999999999951</v>
      </c>
      <c r="K45" s="2">
        <f>$E45*AJ45</f>
        <v>88.685714285713999</v>
      </c>
      <c r="L45" s="2">
        <f>$E45*AK45</f>
        <v>93.999999999999886</v>
      </c>
      <c r="M45" s="2">
        <f>$E45*(AB45/100)</f>
        <v>64.083357868419995</v>
      </c>
      <c r="N45" s="2">
        <f>$E45*AL45</f>
        <v>9.8215022091309852</v>
      </c>
      <c r="O45" s="2">
        <f>$E45*(AA45/100)</f>
        <v>138.12371136519999</v>
      </c>
      <c r="P45" s="2">
        <f>$E45*AM45</f>
        <v>6.9124799999999871</v>
      </c>
      <c r="Q45" s="2">
        <f>$E45*AN45</f>
        <v>3.9999999999999822</v>
      </c>
      <c r="R45" s="2">
        <f>$E45*AQ45</f>
        <v>0</v>
      </c>
      <c r="S45" s="2">
        <f>$E45*AO45</f>
        <v>3.9758468335787729</v>
      </c>
      <c r="T45" s="2">
        <f>$E45*AP45</f>
        <v>0.99396170839466291</v>
      </c>
      <c r="U45" s="2">
        <f>S45-T45</f>
        <v>2.9818851251841099</v>
      </c>
      <c r="V45" s="1">
        <f>F45/D45</f>
        <v>0.26562436770179065</v>
      </c>
      <c r="W45" s="1">
        <f>(F45+M45+N45+P45)/(D45+M45+N45+Q45)</f>
        <v>0.35972900617841314</v>
      </c>
      <c r="X45" s="1">
        <f>(G45+H45*2+I45*3+J45*4)/D45</f>
        <v>0.49835530431027836</v>
      </c>
      <c r="Y45" s="1">
        <f>W45+X45</f>
        <v>0.85808431048869149</v>
      </c>
      <c r="Z45">
        <v>0.29669021819999902</v>
      </c>
      <c r="AA45">
        <v>21.64948454</v>
      </c>
      <c r="AB45">
        <v>10.044413458999999</v>
      </c>
      <c r="AD45" s="2">
        <f>(D45-O45-J45+Q45)*Z45</f>
        <v>117.21527028070462</v>
      </c>
      <c r="AE45">
        <v>0.23594651</v>
      </c>
      <c r="AF45">
        <v>0.72161172161172105</v>
      </c>
      <c r="AG45">
        <v>0.256410256410256</v>
      </c>
      <c r="AH45">
        <v>2.18487394957982E-2</v>
      </c>
      <c r="AI45">
        <v>4.9843260188087699E-2</v>
      </c>
      <c r="AJ45">
        <v>0.13900582176444201</v>
      </c>
      <c r="AK45">
        <v>0.14733542319749199</v>
      </c>
      <c r="AL45">
        <v>1.5394204089547E-2</v>
      </c>
      <c r="AM45">
        <v>1.08346081504702E-2</v>
      </c>
      <c r="AN45">
        <v>6.2695924764890002E-3</v>
      </c>
      <c r="AO45">
        <v>6.2317348488695502E-3</v>
      </c>
      <c r="AP45">
        <v>1.5579337122173401E-3</v>
      </c>
      <c r="AQ45">
        <v>0</v>
      </c>
    </row>
    <row r="46" spans="1:43" x14ac:dyDescent="0.4">
      <c r="A46" t="s">
        <v>61</v>
      </c>
      <c r="B46" s="3" t="s">
        <v>68</v>
      </c>
      <c r="D46">
        <v>311</v>
      </c>
      <c r="E46">
        <v>353</v>
      </c>
      <c r="F46" s="2">
        <f>AD46+J46</f>
        <v>73.155297597401457</v>
      </c>
      <c r="G46" s="2">
        <f>$AD46*AF46</f>
        <v>47.141774144002234</v>
      </c>
      <c r="H46" s="2">
        <f>$AD46*AG46</f>
        <v>16.288824399350364</v>
      </c>
      <c r="I46" s="2">
        <f>$AD46*AH46</f>
        <v>1.9163322822765101</v>
      </c>
      <c r="J46" s="2">
        <f>$E46*AI46</f>
        <v>8</v>
      </c>
      <c r="K46" s="2">
        <f>$E46*AJ46</f>
        <v>43.060916442048466</v>
      </c>
      <c r="L46" s="2">
        <f>$E46*AK46</f>
        <v>36.999999999999687</v>
      </c>
      <c r="M46" s="2">
        <f>$E46*(AB46/100)</f>
        <v>33.601078166721997</v>
      </c>
      <c r="N46" s="2">
        <f>$E46*AL46</f>
        <v>0.99514824797843626</v>
      </c>
      <c r="O46" s="2">
        <f>$E46*(AA46/100)</f>
        <v>93.245283020200006</v>
      </c>
      <c r="P46" s="2">
        <f>$E46*AM46</f>
        <v>1.991155234657038</v>
      </c>
      <c r="Q46" s="2">
        <f>$E46*AN46</f>
        <v>2</v>
      </c>
      <c r="R46" s="2">
        <f>$E46*AQ46</f>
        <v>0.4</v>
      </c>
      <c r="S46" s="2">
        <f>$E46*AO46</f>
        <v>7.866037735849047</v>
      </c>
      <c r="T46" s="2">
        <f>$E46*AP46</f>
        <v>2.0854447439353052</v>
      </c>
      <c r="U46" s="2">
        <f>S46-T46</f>
        <v>5.7805929919137418</v>
      </c>
      <c r="V46" s="1">
        <f>F46/D46</f>
        <v>0.23522603729067992</v>
      </c>
      <c r="W46" s="1">
        <f>(F46+M46+N46+P46)/(D46+M46+N46+Q46)</f>
        <v>0.31571884533588174</v>
      </c>
      <c r="X46" s="1">
        <f>(G46+H46*2+I46*3+J46*4)/D46</f>
        <v>0.37771196073804658</v>
      </c>
      <c r="Y46" s="1">
        <f>W46+X46</f>
        <v>0.69343080607392826</v>
      </c>
      <c r="Z46">
        <v>0.30769230800000003</v>
      </c>
      <c r="AA46">
        <v>26.41509434</v>
      </c>
      <c r="AB46">
        <v>9.5187190273999995</v>
      </c>
      <c r="AD46" s="2">
        <f>(D46-O46-J46+Q46)*Z46</f>
        <v>65.155297597401457</v>
      </c>
      <c r="AE46">
        <v>0.21394354099999999</v>
      </c>
      <c r="AF46">
        <v>0.72352941176470598</v>
      </c>
      <c r="AG46">
        <v>0.25</v>
      </c>
      <c r="AH46">
        <v>2.94117647058823E-2</v>
      </c>
      <c r="AI46">
        <v>2.2662889518413599E-2</v>
      </c>
      <c r="AJ46">
        <v>0.121985598985973</v>
      </c>
      <c r="AK46">
        <v>0.10481586402266201</v>
      </c>
      <c r="AL46">
        <v>2.8191168497972699E-3</v>
      </c>
      <c r="AM46">
        <v>5.6406663871304196E-3</v>
      </c>
      <c r="AN46">
        <v>5.6657223796033997E-3</v>
      </c>
      <c r="AO46">
        <v>2.2283393019402398E-2</v>
      </c>
      <c r="AP46">
        <v>5.9077754785702699E-3</v>
      </c>
      <c r="AQ46">
        <v>1.13314447592068E-3</v>
      </c>
    </row>
    <row r="47" spans="1:43" x14ac:dyDescent="0.4">
      <c r="A47" t="s">
        <v>61</v>
      </c>
      <c r="B47" t="s">
        <v>69</v>
      </c>
      <c r="D47">
        <v>423</v>
      </c>
      <c r="E47">
        <v>470</v>
      </c>
      <c r="F47" s="2">
        <f>AD47+J47</f>
        <v>97.277364612669203</v>
      </c>
      <c r="G47" s="2">
        <f>$AD47*AF47</f>
        <v>61.510067382624065</v>
      </c>
      <c r="H47" s="2">
        <f>$AD47*AG47</f>
        <v>19.970801098254569</v>
      </c>
      <c r="I47" s="2">
        <f>$AD47*AH47</f>
        <v>1.0082819091069954</v>
      </c>
      <c r="J47" s="2">
        <f>$E47*AI47</f>
        <v>13.399999999999981</v>
      </c>
      <c r="K47" s="2">
        <f>$E47*AJ47</f>
        <v>55.087684729063838</v>
      </c>
      <c r="L47" s="2">
        <f>$E47*AK47</f>
        <v>52.999999999999758</v>
      </c>
      <c r="M47" s="2">
        <f>$E47*(AB47/100)</f>
        <v>36.258784892920005</v>
      </c>
      <c r="N47" s="2">
        <f>$E47*AL47</f>
        <v>2.6087027914613818</v>
      </c>
      <c r="O47" s="2">
        <f>$E47*(AA47/100)</f>
        <v>135.82922826000001</v>
      </c>
      <c r="P47" s="2">
        <f>$E47*AM47</f>
        <v>5.0911949685534079</v>
      </c>
      <c r="Q47" s="2">
        <f>$E47*AN47</f>
        <v>3.5999999999999783</v>
      </c>
      <c r="R47" s="2">
        <f>$E47*AQ47</f>
        <v>0</v>
      </c>
      <c r="S47" s="2">
        <f>$E47*AO47</f>
        <v>18.875041050903089</v>
      </c>
      <c r="T47" s="2">
        <f>$E47*AP47</f>
        <v>4.9630541871921041</v>
      </c>
      <c r="U47" s="2">
        <f>S47-T47</f>
        <v>13.911986863710986</v>
      </c>
      <c r="V47" s="1">
        <f>F47/D47</f>
        <v>0.22997012910796502</v>
      </c>
      <c r="W47" s="1">
        <f>(F47+M47+N47+P47)/(D47+M47+N47+Q47)</f>
        <v>0.3034283832974638</v>
      </c>
      <c r="X47" s="1">
        <f>(G47+H47*2+I47*3+J47*4)/D47</f>
        <v>0.37370334587814208</v>
      </c>
      <c r="Y47" s="1">
        <f>W47+X47</f>
        <v>0.67713172917560582</v>
      </c>
      <c r="Z47">
        <v>0.30240159799999999</v>
      </c>
      <c r="AA47">
        <v>28.899835800000002</v>
      </c>
      <c r="AB47">
        <v>7.7146350836000002</v>
      </c>
      <c r="AD47" s="2">
        <f>(D47-O47-J47+Q47)*Z47</f>
        <v>83.877364612669226</v>
      </c>
      <c r="AE47">
        <v>0.20632213399999999</v>
      </c>
      <c r="AF47">
        <v>0.73333333333333295</v>
      </c>
      <c r="AG47">
        <v>0.238095238095238</v>
      </c>
      <c r="AH47">
        <v>1.2020905923344901E-2</v>
      </c>
      <c r="AI47">
        <v>2.8510638297872301E-2</v>
      </c>
      <c r="AJ47">
        <v>0.117207839849072</v>
      </c>
      <c r="AK47">
        <v>0.11276595744680799</v>
      </c>
      <c r="AL47">
        <v>5.5504314711944296E-3</v>
      </c>
      <c r="AM47">
        <v>1.0832329720326399E-2</v>
      </c>
      <c r="AN47">
        <v>7.65957446808506E-3</v>
      </c>
      <c r="AO47">
        <v>4.0159661810432103E-2</v>
      </c>
      <c r="AP47">
        <v>1.05596897599832E-2</v>
      </c>
      <c r="AQ47">
        <v>0</v>
      </c>
    </row>
    <row r="48" spans="1:43" x14ac:dyDescent="0.4">
      <c r="A48" t="s">
        <v>61</v>
      </c>
      <c r="B48" t="s">
        <v>70</v>
      </c>
      <c r="D48">
        <v>497</v>
      </c>
      <c r="E48">
        <v>578</v>
      </c>
      <c r="F48" s="2">
        <f>AD48+J48</f>
        <v>118.1178658537637</v>
      </c>
      <c r="G48" s="2">
        <f>$AD48*AF48</f>
        <v>68.387061359252144</v>
      </c>
      <c r="H48" s="2">
        <f>$AD48*AG48</f>
        <v>23.329466463440937</v>
      </c>
      <c r="I48" s="2">
        <f>$AD48*AH48</f>
        <v>1.9771265643372959</v>
      </c>
      <c r="J48" s="2">
        <f>$E48*AI48</f>
        <v>24.799999999999958</v>
      </c>
      <c r="K48" s="2">
        <f>$E48*AJ48</f>
        <v>70.982059800664103</v>
      </c>
      <c r="L48" s="2">
        <f>$E48*AK48</f>
        <v>77.999999999999915</v>
      </c>
      <c r="M48" s="2">
        <f>$E48*(AB48/100)</f>
        <v>70.681063101399999</v>
      </c>
      <c r="N48" s="2">
        <f>$E48*AL48</f>
        <v>4.5800664451826787</v>
      </c>
      <c r="O48" s="2">
        <f>$E48*(AA48/100)</f>
        <v>151.7009967004</v>
      </c>
      <c r="P48" s="2">
        <f>$E48*AM48</f>
        <v>3.8778846153845659</v>
      </c>
      <c r="Q48" s="2">
        <f>$E48*AN48</f>
        <v>2.999999999999988</v>
      </c>
      <c r="R48" s="2">
        <f>$E48*AQ48</f>
        <v>0</v>
      </c>
      <c r="S48" s="2">
        <f>$E48*AO48</f>
        <v>0.99601328903650577</v>
      </c>
      <c r="T48" s="2">
        <f>$E48*AP48</f>
        <v>0</v>
      </c>
      <c r="U48" s="2">
        <f>S48-T48</f>
        <v>0.99601328903650577</v>
      </c>
      <c r="V48" s="1">
        <f>F48/D48</f>
        <v>0.23766170191904165</v>
      </c>
      <c r="W48" s="1">
        <f>(F48+M48+N48+P48)/(D48+M48+N48+Q48)</f>
        <v>0.34289971959552984</v>
      </c>
      <c r="X48" s="1">
        <f>(G48+H48*2+I48*3+J48*4)/D48</f>
        <v>0.44301282490773786</v>
      </c>
      <c r="Y48" s="1">
        <f>W48+X48</f>
        <v>0.78591254450326775</v>
      </c>
      <c r="Z48">
        <v>0.28846415260000002</v>
      </c>
      <c r="AA48">
        <v>26.245847179999998</v>
      </c>
      <c r="AB48">
        <v>12.228557629999999</v>
      </c>
      <c r="AD48" s="2">
        <f>(D48-O48-J48+Q48)*Z48</f>
        <v>93.317865853763749</v>
      </c>
      <c r="AE48">
        <v>0.206142884</v>
      </c>
      <c r="AF48">
        <v>0.73283996299722398</v>
      </c>
      <c r="AG48">
        <v>0.25</v>
      </c>
      <c r="AH48">
        <v>2.11870100783874E-2</v>
      </c>
      <c r="AI48">
        <v>4.2906574394463597E-2</v>
      </c>
      <c r="AJ48">
        <v>0.122806331835059</v>
      </c>
      <c r="AK48">
        <v>0.134948096885813</v>
      </c>
      <c r="AL48">
        <v>7.9239903895894099E-3</v>
      </c>
      <c r="AM48">
        <v>6.7091429331912903E-3</v>
      </c>
      <c r="AN48">
        <v>5.1903114186851E-3</v>
      </c>
      <c r="AO48">
        <v>1.7232063824161E-3</v>
      </c>
      <c r="AP48">
        <v>0</v>
      </c>
      <c r="AQ48">
        <v>0</v>
      </c>
    </row>
    <row r="49" spans="1:43" x14ac:dyDescent="0.4">
      <c r="A49" t="s">
        <v>61</v>
      </c>
      <c r="B49" s="3" t="s">
        <v>71</v>
      </c>
      <c r="D49">
        <v>411</v>
      </c>
      <c r="E49">
        <v>466</v>
      </c>
      <c r="F49" s="2">
        <f>AD49+J49</f>
        <v>97.548410419990461</v>
      </c>
      <c r="G49" s="2">
        <f>$AD49*AF49</f>
        <v>56.484972397405372</v>
      </c>
      <c r="H49" s="2">
        <f>$AD49*AG49</f>
        <v>23.215167995747276</v>
      </c>
      <c r="I49" s="2">
        <f>$AD49*AH49</f>
        <v>1.3715128187703269</v>
      </c>
      <c r="J49" s="2">
        <f>$E49*AI49</f>
        <v>16.79999999999993</v>
      </c>
      <c r="K49" s="2">
        <f>$E49*AJ49</f>
        <v>59.243697478991542</v>
      </c>
      <c r="L49" s="2">
        <f>$E49*AK49</f>
        <v>57.999999999999666</v>
      </c>
      <c r="M49" s="2">
        <f>$E49*(AB49/100)</f>
        <v>47.292857141399999</v>
      </c>
      <c r="N49" s="2">
        <f>$E49*AL49</f>
        <v>0.89999999999999336</v>
      </c>
      <c r="O49" s="2">
        <f>$E49*(AA49/100)</f>
        <v>125.31092435800001</v>
      </c>
      <c r="P49" s="2">
        <f>$E49*AM49</f>
        <v>3.8888429752065838</v>
      </c>
      <c r="Q49" s="2">
        <f>$E49*AN49</f>
        <v>2.9999999999999778</v>
      </c>
      <c r="R49" s="2">
        <f>$E49*AQ49</f>
        <v>0</v>
      </c>
      <c r="S49" s="2">
        <f>$E49*AO49</f>
        <v>8.9810924369747678</v>
      </c>
      <c r="T49" s="2">
        <f>$E49*AP49</f>
        <v>2.993697478991574</v>
      </c>
      <c r="U49" s="2">
        <f>S49-T49</f>
        <v>5.9873949579831933</v>
      </c>
      <c r="V49" s="1">
        <f>F49/D49</f>
        <v>0.23734406428221524</v>
      </c>
      <c r="W49" s="1">
        <f>(F49+M49+N49+P49)/(D49+M49+N49+Q49)</f>
        <v>0.32373955638786578</v>
      </c>
      <c r="X49" s="1">
        <f>(G49+H49*2+I49*3+J49*4)/D49</f>
        <v>0.42391690229978246</v>
      </c>
      <c r="Y49" s="1">
        <f>W49+X49</f>
        <v>0.74765645868764818</v>
      </c>
      <c r="Z49">
        <v>0.29699027160000002</v>
      </c>
      <c r="AA49">
        <v>26.8907563</v>
      </c>
      <c r="AB49">
        <v>10.148681789999999</v>
      </c>
      <c r="AD49" s="2">
        <f>(D49-O49-J49+Q49)*Z49</f>
        <v>80.748410419990535</v>
      </c>
      <c r="AE49">
        <v>0.212991718</v>
      </c>
      <c r="AF49">
        <v>0.69951807228915597</v>
      </c>
      <c r="AG49">
        <v>0.28749999999999998</v>
      </c>
      <c r="AH49">
        <v>1.69850132236261E-2</v>
      </c>
      <c r="AI49">
        <v>3.60515021459226E-2</v>
      </c>
      <c r="AJ49">
        <v>0.127132398023587</v>
      </c>
      <c r="AK49">
        <v>0.124463519313304</v>
      </c>
      <c r="AL49">
        <v>1.9313304721029899E-3</v>
      </c>
      <c r="AM49">
        <v>8.3451565991557591E-3</v>
      </c>
      <c r="AN49">
        <v>6.4377682403432999E-3</v>
      </c>
      <c r="AO49">
        <v>1.9272730551448E-2</v>
      </c>
      <c r="AP49">
        <v>6.4242435171493004E-3</v>
      </c>
      <c r="AQ49">
        <v>0</v>
      </c>
    </row>
    <row r="50" spans="1:43" x14ac:dyDescent="0.4">
      <c r="A50" t="s">
        <v>72</v>
      </c>
      <c r="B50" t="s">
        <v>73</v>
      </c>
      <c r="D50">
        <v>560</v>
      </c>
      <c r="E50">
        <v>623</v>
      </c>
      <c r="F50" s="2">
        <f>AD50+J50</f>
        <v>137.20646676363529</v>
      </c>
      <c r="G50" s="2">
        <f>$AD50*AF50</f>
        <v>89.259106935205594</v>
      </c>
      <c r="H50" s="2">
        <f>$AD50*AG50</f>
        <v>27.327367263949583</v>
      </c>
      <c r="I50" s="2">
        <f>$AD50*AH50</f>
        <v>1.6023343879605771</v>
      </c>
      <c r="J50" s="2">
        <f>$E50*AI50</f>
        <v>19.799999999999944</v>
      </c>
      <c r="K50" s="2">
        <f>$E50*AJ50</f>
        <v>76.092783505154443</v>
      </c>
      <c r="L50" s="2">
        <f>$E50*AK50</f>
        <v>73.999999999999886</v>
      </c>
      <c r="M50" s="2">
        <f>$E50*(AB50/100)</f>
        <v>53.205154639097998</v>
      </c>
      <c r="N50" s="2">
        <f>$E50*AL50</f>
        <v>0.59175257731958131</v>
      </c>
      <c r="O50" s="2">
        <f>$E50*(AA50/100)</f>
        <v>152.3092783429</v>
      </c>
      <c r="P50" s="2">
        <f>$E50*AM50</f>
        <v>3.9099502487561852</v>
      </c>
      <c r="Q50" s="2">
        <f>$E50*AN50</f>
        <v>3.9999999999999729</v>
      </c>
      <c r="R50" s="2">
        <f>$E50*AQ50</f>
        <v>0</v>
      </c>
      <c r="S50" s="2">
        <f>$E50*AO50</f>
        <v>14.876288659793721</v>
      </c>
      <c r="T50" s="2">
        <f>$E50*AP50</f>
        <v>3.9670103092783231</v>
      </c>
      <c r="U50" s="2">
        <f>S50-T50</f>
        <v>10.909278350515397</v>
      </c>
      <c r="V50" s="1">
        <f>F50/D50</f>
        <v>0.24501154779220588</v>
      </c>
      <c r="W50" s="1">
        <f>(F50+M50+N50+P50)/(D50+M50+N50+Q50)</f>
        <v>0.3154974101554216</v>
      </c>
      <c r="X50" s="1">
        <f>(G50+H50*2+I50*3+J50*4)/D50</f>
        <v>0.40700150826247544</v>
      </c>
      <c r="Y50" s="1">
        <f>W50+X50</f>
        <v>0.72249891841789704</v>
      </c>
      <c r="Z50">
        <v>0.2995898098</v>
      </c>
      <c r="AA50">
        <v>24.447717229999999</v>
      </c>
      <c r="AB50">
        <v>8.5401532325999998</v>
      </c>
      <c r="AD50" s="2">
        <f>(D50-O50-J50+Q50)*Z50</f>
        <v>117.40646676363534</v>
      </c>
      <c r="AE50">
        <v>0.219857358</v>
      </c>
      <c r="AF50">
        <v>0.76025715955581497</v>
      </c>
      <c r="AG50">
        <v>0.232758620689655</v>
      </c>
      <c r="AH50">
        <v>1.3647752394988799E-2</v>
      </c>
      <c r="AI50">
        <v>3.1781701444622702E-2</v>
      </c>
      <c r="AJ50">
        <v>0.12213929936621901</v>
      </c>
      <c r="AK50">
        <v>0.11878009630818601</v>
      </c>
      <c r="AL50">
        <v>9.4984362330590897E-4</v>
      </c>
      <c r="AM50">
        <v>6.2760036095604902E-3</v>
      </c>
      <c r="AN50">
        <v>6.4205457463883996E-3</v>
      </c>
      <c r="AO50">
        <v>2.38784729691713E-2</v>
      </c>
      <c r="AP50">
        <v>6.3675927917790096E-3</v>
      </c>
      <c r="AQ50">
        <v>0</v>
      </c>
    </row>
    <row r="51" spans="1:43" x14ac:dyDescent="0.4">
      <c r="A51" t="s">
        <v>72</v>
      </c>
      <c r="B51" t="s">
        <v>74</v>
      </c>
      <c r="D51">
        <v>559</v>
      </c>
      <c r="E51">
        <v>647</v>
      </c>
      <c r="F51" s="2">
        <f>AD51+J51</f>
        <v>134.41763208873653</v>
      </c>
      <c r="G51" s="2">
        <f>$AD51*AF51</f>
        <v>81.268630548877411</v>
      </c>
      <c r="H51" s="2">
        <f>$AD51*AG51</f>
        <v>28.953197615693362</v>
      </c>
      <c r="I51" s="2">
        <f>$AD51*AH51</f>
        <v>2.0039035788201507</v>
      </c>
      <c r="J51" s="2">
        <f>$E51*AI51</f>
        <v>21.599999999999898</v>
      </c>
      <c r="K51" s="2">
        <f>$E51*AJ51</f>
        <v>82.835714285713621</v>
      </c>
      <c r="L51" s="2">
        <f>$E51*AK51</f>
        <v>76.999999999999574</v>
      </c>
      <c r="M51" s="2">
        <f>$E51*(AB51/100)</f>
        <v>76.006101183289999</v>
      </c>
      <c r="N51" s="2">
        <f>$E51*AL51</f>
        <v>1.9925595238094878</v>
      </c>
      <c r="O51" s="2">
        <f>$E51*(AA51/100)</f>
        <v>155.97321430419998</v>
      </c>
      <c r="P51" s="2">
        <f>$E51*AM51</f>
        <v>6.0123028391166811</v>
      </c>
      <c r="Q51" s="2">
        <f>$E51*AN51</f>
        <v>3.9999999999999947</v>
      </c>
      <c r="R51" s="2">
        <f>$E51*AQ51</f>
        <v>0</v>
      </c>
      <c r="S51" s="2">
        <f>$E51*AO51</f>
        <v>11.955357142857068</v>
      </c>
      <c r="T51" s="2">
        <f>$E51*AP51</f>
        <v>2.9888392857142376</v>
      </c>
      <c r="U51" s="2">
        <f>S51-T51</f>
        <v>8.9665178571428292</v>
      </c>
      <c r="V51" s="1">
        <f>F51/D51</f>
        <v>0.24046088030185425</v>
      </c>
      <c r="W51" s="1">
        <f>(F51+M51+N51+P51)/(D51+M51+N51+Q51)</f>
        <v>0.34076295166357978</v>
      </c>
      <c r="X51" s="1">
        <f>(G51+H51*2+I51*3+J51*4)/D51</f>
        <v>0.41428754296372849</v>
      </c>
      <c r="Y51" s="1">
        <f>W51+X51</f>
        <v>0.75505049462730822</v>
      </c>
      <c r="Z51">
        <v>0.29270833340000002</v>
      </c>
      <c r="AA51">
        <v>24.10714286</v>
      </c>
      <c r="AB51">
        <v>11.747465407</v>
      </c>
      <c r="AD51" s="2">
        <f>(D51-O51-J51+Q51)*Z51</f>
        <v>112.81763208873662</v>
      </c>
      <c r="AE51">
        <v>0.209556878</v>
      </c>
      <c r="AF51">
        <v>0.72035398230088399</v>
      </c>
      <c r="AG51">
        <v>0.25663716814159199</v>
      </c>
      <c r="AH51">
        <v>1.77623261694057E-2</v>
      </c>
      <c r="AI51">
        <v>3.3384853168469703E-2</v>
      </c>
      <c r="AJ51">
        <v>0.12803047030249401</v>
      </c>
      <c r="AK51">
        <v>0.11901081916537801</v>
      </c>
      <c r="AL51">
        <v>3.0796901449914801E-3</v>
      </c>
      <c r="AM51">
        <v>9.2925855318650406E-3</v>
      </c>
      <c r="AN51">
        <v>6.1823802163832996E-3</v>
      </c>
      <c r="AO51">
        <v>1.8478140869949099E-2</v>
      </c>
      <c r="AP51">
        <v>4.6195352174872297E-3</v>
      </c>
      <c r="AQ51">
        <v>0</v>
      </c>
    </row>
    <row r="52" spans="1:43" x14ac:dyDescent="0.4">
      <c r="A52" t="s">
        <v>72</v>
      </c>
      <c r="B52" t="s">
        <v>75</v>
      </c>
      <c r="D52">
        <v>551</v>
      </c>
      <c r="E52">
        <v>642</v>
      </c>
      <c r="F52" s="2">
        <f>AD52+J52</f>
        <v>150.06888921975531</v>
      </c>
      <c r="G52" s="2">
        <f>$AD52*AF52</f>
        <v>88.188163021139076</v>
      </c>
      <c r="H52" s="2">
        <f>$AD52*AG52</f>
        <v>28.450388515226845</v>
      </c>
      <c r="I52" s="2">
        <f>$AD52*AH52</f>
        <v>2.3935959992771032</v>
      </c>
      <c r="J52" s="2">
        <f>$E52*AI52</f>
        <v>29.399999999999942</v>
      </c>
      <c r="K52" s="2">
        <f>$E52*AJ52</f>
        <v>91.607819548871774</v>
      </c>
      <c r="L52" s="2">
        <f>$E52*AK52</f>
        <v>93.999999999999972</v>
      </c>
      <c r="M52" s="2">
        <f>$E52*(AB52/100)</f>
        <v>79.016390978039354</v>
      </c>
      <c r="N52" s="2">
        <f>$E52*AL52</f>
        <v>5.9792481203007055</v>
      </c>
      <c r="O52" s="2">
        <f>$E52*(AA52/100)</f>
        <v>98.472180421199994</v>
      </c>
      <c r="P52" s="2">
        <f>$E52*AM52</f>
        <v>2.822519083969413</v>
      </c>
      <c r="Q52" s="2">
        <f>$E52*AN52</f>
        <v>5.5999999999999508</v>
      </c>
      <c r="R52" s="2">
        <f>$E52*AQ52</f>
        <v>0</v>
      </c>
      <c r="S52" s="2">
        <f>$E52*AO52</f>
        <v>20.927368421052567</v>
      </c>
      <c r="T52" s="2">
        <f>$E52*AP52</f>
        <v>4.7896240601503335</v>
      </c>
      <c r="U52" s="2">
        <f>S52-T52</f>
        <v>16.137744360902232</v>
      </c>
      <c r="V52" s="1">
        <f>F52/D52</f>
        <v>0.2723573307073599</v>
      </c>
      <c r="W52" s="1">
        <f>(F52+M52+N52+P52)/(D52+M52+N52+Q52)</f>
        <v>0.37077410272983924</v>
      </c>
      <c r="X52" s="1">
        <f>(G52+H52*2+I52*3+J52*4)/D52</f>
        <v>0.48978172059786551</v>
      </c>
      <c r="Y52" s="1">
        <f>W52+X52</f>
        <v>0.86055582332770475</v>
      </c>
      <c r="Z52">
        <v>0.28145803399999902</v>
      </c>
      <c r="AA52">
        <v>15.33834586</v>
      </c>
      <c r="AB52">
        <v>12.307849061999899</v>
      </c>
      <c r="AD52" s="2">
        <f>(D52-O52-J52+Q52)*Z52</f>
        <v>120.66888921975536</v>
      </c>
      <c r="AE52">
        <v>0.23746765</v>
      </c>
      <c r="AF52">
        <v>0.73082766893242701</v>
      </c>
      <c r="AG52">
        <v>0.23577235772357699</v>
      </c>
      <c r="AH52">
        <v>1.9836065573770399E-2</v>
      </c>
      <c r="AI52">
        <v>4.5794392523364397E-2</v>
      </c>
      <c r="AJ52">
        <v>0.14269130770852301</v>
      </c>
      <c r="AK52">
        <v>0.146417445482866</v>
      </c>
      <c r="AL52">
        <v>9.3134705923687E-3</v>
      </c>
      <c r="AM52">
        <v>4.3964471712919203E-3</v>
      </c>
      <c r="AN52">
        <v>8.7227414330217305E-3</v>
      </c>
      <c r="AO52">
        <v>3.2597147073290603E-2</v>
      </c>
      <c r="AP52">
        <v>7.4604736139413297E-3</v>
      </c>
      <c r="AQ52">
        <v>0</v>
      </c>
    </row>
    <row r="53" spans="1:43" x14ac:dyDescent="0.4">
      <c r="A53" t="s">
        <v>72</v>
      </c>
      <c r="B53" s="3" t="s">
        <v>76</v>
      </c>
      <c r="D53">
        <v>425</v>
      </c>
      <c r="E53">
        <v>473</v>
      </c>
      <c r="F53" s="2">
        <f>AD53+J53</f>
        <v>104.0355315700435</v>
      </c>
      <c r="G53" s="2">
        <f>$AD53*AF53</f>
        <v>70.689216267840962</v>
      </c>
      <c r="H53" s="2">
        <f>$AD53*AG53</f>
        <v>17.693908350660646</v>
      </c>
      <c r="I53" s="2">
        <f>$AD53*AH53</f>
        <v>1.9789523869603292</v>
      </c>
      <c r="J53" s="2">
        <f>$E53*AI53</f>
        <v>13.599999999999962</v>
      </c>
      <c r="K53" s="2">
        <f>$E53*AJ53</f>
        <v>56.055999999999649</v>
      </c>
      <c r="L53" s="2">
        <f>$E53*AK53</f>
        <v>53.999999999999872</v>
      </c>
      <c r="M53" s="2">
        <f>$E53*(AB53/100)</f>
        <v>33.574095237672005</v>
      </c>
      <c r="N53" s="2">
        <f>$E53*AL53</f>
        <v>0.89999999999996627</v>
      </c>
      <c r="O53" s="2">
        <f>$E53*(AA53/100)</f>
        <v>101.8076190296</v>
      </c>
      <c r="P53" s="2">
        <f>$E53*AM53</f>
        <v>5.2463510848125425</v>
      </c>
      <c r="Q53" s="2">
        <f>$E53*AN53</f>
        <v>2.9999999999999822</v>
      </c>
      <c r="R53" s="2">
        <f>$E53*AQ53</f>
        <v>0.39999999999998498</v>
      </c>
      <c r="S53" s="2">
        <f>$E53*AO53</f>
        <v>16.831619047619</v>
      </c>
      <c r="T53" s="2">
        <f>$E53*AP53</f>
        <v>4.1405714285714206</v>
      </c>
      <c r="U53" s="2">
        <f>S53-T53</f>
        <v>12.69104761904758</v>
      </c>
      <c r="V53" s="1">
        <f>F53/D53</f>
        <v>0.24478948604716119</v>
      </c>
      <c r="W53" s="1">
        <f>(F53+M53+N53+P53)/(D53+M53+N53+Q53)</f>
        <v>0.31084114628874465</v>
      </c>
      <c r="X53" s="1">
        <f>(G53+H53*2+I53*3+J53*4)/D53</f>
        <v>0.39156209442363077</v>
      </c>
      <c r="Y53" s="1">
        <f>W53+X53</f>
        <v>0.70240324071237548</v>
      </c>
      <c r="Z53">
        <v>0.28930817599999997</v>
      </c>
      <c r="AA53">
        <v>21.52380952</v>
      </c>
      <c r="AB53">
        <v>7.0981173864000002</v>
      </c>
      <c r="AD53" s="2">
        <f>(D53-O53-J53+Q53)*Z53</f>
        <v>90.435531570043537</v>
      </c>
      <c r="AE53">
        <v>0.22435988700000001</v>
      </c>
      <c r="AF53">
        <v>0.78165312947921595</v>
      </c>
      <c r="AG53">
        <v>0.19565217391304299</v>
      </c>
      <c r="AH53">
        <v>2.1882465360726099E-2</v>
      </c>
      <c r="AI53">
        <v>2.8752642706130999E-2</v>
      </c>
      <c r="AJ53">
        <v>0.118511627906976</v>
      </c>
      <c r="AK53">
        <v>0.11416490486257901</v>
      </c>
      <c r="AL53">
        <v>1.90274841437625E-3</v>
      </c>
      <c r="AM53">
        <v>1.1091651342098399E-2</v>
      </c>
      <c r="AN53">
        <v>6.3424947145877004E-3</v>
      </c>
      <c r="AO53">
        <v>3.5584818282492603E-2</v>
      </c>
      <c r="AP53">
        <v>8.7538508003624105E-3</v>
      </c>
      <c r="AQ53">
        <v>8.45665961945E-4</v>
      </c>
    </row>
    <row r="54" spans="1:43" x14ac:dyDescent="0.4">
      <c r="A54" t="s">
        <v>72</v>
      </c>
      <c r="B54" s="3" t="s">
        <v>77</v>
      </c>
      <c r="D54">
        <v>507</v>
      </c>
      <c r="E54">
        <v>578</v>
      </c>
      <c r="F54" s="2">
        <f>AD54+J54</f>
        <v>118.10626023305991</v>
      </c>
      <c r="G54" s="2">
        <f>$AD54*AF54</f>
        <v>70.69103344979078</v>
      </c>
      <c r="H54" s="2">
        <f>$AD54*AG54</f>
        <v>24.125260263849878</v>
      </c>
      <c r="I54" s="2">
        <f>$AD54*AH54</f>
        <v>1.9580044984173985</v>
      </c>
      <c r="J54" s="2">
        <f>$E54*AI54</f>
        <v>20.599999999999941</v>
      </c>
      <c r="K54" s="2">
        <f>$E54*AJ54</f>
        <v>69.969285714285547</v>
      </c>
      <c r="L54" s="2">
        <f>$E54*AK54</f>
        <v>71.999999999999474</v>
      </c>
      <c r="M54" s="2">
        <f>$E54*(AB54/100)</f>
        <v>57.286428575671941</v>
      </c>
      <c r="N54" s="2">
        <f>$E54*AL54</f>
        <v>1.0032142857142425</v>
      </c>
      <c r="O54" s="2">
        <f>$E54*(AA54/100)</f>
        <v>158.95000000000002</v>
      </c>
      <c r="P54" s="2">
        <f>$E54*AM54</f>
        <v>7.1013864818023702</v>
      </c>
      <c r="Q54" s="2">
        <f>$E54*AN54</f>
        <v>3.9999999999999449</v>
      </c>
      <c r="R54" s="2">
        <f>$E54*AQ54</f>
        <v>0</v>
      </c>
      <c r="S54" s="2">
        <f>$E54*AO54</f>
        <v>2.906428571428556</v>
      </c>
      <c r="T54" s="2">
        <f>$E54*AP54</f>
        <v>1.0032142857142425</v>
      </c>
      <c r="U54" s="2">
        <f>S54-T54</f>
        <v>1.9032142857143135</v>
      </c>
      <c r="V54" s="1">
        <f>F54/D54</f>
        <v>0.23295120361550278</v>
      </c>
      <c r="W54" s="1">
        <f>(F54+M54+N54+P54)/(D54+M54+N54+Q54)</f>
        <v>0.32232676613252109</v>
      </c>
      <c r="X54" s="1">
        <f>(G54+H54*2+I54*3+J54*4)/D54</f>
        <v>0.40870920606063615</v>
      </c>
      <c r="Y54" s="1">
        <f>W54+X54</f>
        <v>0.73103597219315719</v>
      </c>
      <c r="Z54">
        <v>0.29418090279999998</v>
      </c>
      <c r="AA54">
        <v>27.5</v>
      </c>
      <c r="AB54">
        <v>9.9111468123999895</v>
      </c>
      <c r="AD54" s="2">
        <f>(D54-O54-J54+Q54)*Z54</f>
        <v>97.506260233059976</v>
      </c>
      <c r="AE54">
        <v>0.20770799300000001</v>
      </c>
      <c r="AF54">
        <v>0.72498969072164898</v>
      </c>
      <c r="AG54">
        <v>0.247422680412371</v>
      </c>
      <c r="AH54">
        <v>2.0080808080808001E-2</v>
      </c>
      <c r="AI54">
        <v>3.5640138408304399E-2</v>
      </c>
      <c r="AJ54">
        <v>0.121054127533366</v>
      </c>
      <c r="AK54">
        <v>0.124567474048442</v>
      </c>
      <c r="AL54">
        <v>1.7356648541768901E-3</v>
      </c>
      <c r="AM54">
        <v>1.2286135781665E-2</v>
      </c>
      <c r="AN54">
        <v>6.9204152249133996E-3</v>
      </c>
      <c r="AO54">
        <v>5.0284231339594396E-3</v>
      </c>
      <c r="AP54">
        <v>1.7356648541768901E-3</v>
      </c>
      <c r="AQ54">
        <v>0</v>
      </c>
    </row>
    <row r="55" spans="1:43" x14ac:dyDescent="0.4">
      <c r="A55" t="s">
        <v>72</v>
      </c>
      <c r="B55" t="s">
        <v>78</v>
      </c>
      <c r="D55">
        <v>491</v>
      </c>
      <c r="E55">
        <v>540</v>
      </c>
      <c r="F55" s="2">
        <f>AD55+J55</f>
        <v>133.72110720027581</v>
      </c>
      <c r="G55" s="2">
        <f>$AD55*AF55</f>
        <v>102.73282398952279</v>
      </c>
      <c r="H55" s="2">
        <f>$AD55*AG55</f>
        <v>21.918328359736869</v>
      </c>
      <c r="I55" s="2">
        <f>$AD55*AH55</f>
        <v>2.0081423000043097</v>
      </c>
      <c r="J55" s="2">
        <f>$E55*AI55</f>
        <v>5.1999999999999948</v>
      </c>
      <c r="K55" s="2">
        <f>$E55*AJ55</f>
        <v>64.057142857142523</v>
      </c>
      <c r="L55" s="2">
        <f>$E55*AK55</f>
        <v>48.999999999999979</v>
      </c>
      <c r="M55" s="2">
        <f>$E55*(AB55/100)</f>
        <v>33.41428571358</v>
      </c>
      <c r="N55" s="2">
        <f>$E55*AL55</f>
        <v>0.59523809523807603</v>
      </c>
      <c r="O55" s="2">
        <f>$E55*(AA55/100)</f>
        <v>59.999999994</v>
      </c>
      <c r="P55" s="2">
        <f>$E55*AM55</f>
        <v>9.0611650485436321</v>
      </c>
      <c r="Q55" s="2">
        <f>$E55*AN55</f>
        <v>3.5999999999999859</v>
      </c>
      <c r="R55" s="2">
        <f>$E55*AQ55</f>
        <v>0.39999999999998881</v>
      </c>
      <c r="S55" s="2">
        <f>$E55*AO55</f>
        <v>25.87619047619043</v>
      </c>
      <c r="T55" s="2">
        <f>$E55*AP55</f>
        <v>5.87619047619045</v>
      </c>
      <c r="U55" s="2">
        <f>S55-T55</f>
        <v>19.999999999999979</v>
      </c>
      <c r="V55" s="1">
        <f>F55/D55</f>
        <v>0.27234441384984892</v>
      </c>
      <c r="W55" s="1">
        <f>(F55+M55+N55+P55)/(D55+M55+N55+Q55)</f>
        <v>0.33444686123660855</v>
      </c>
      <c r="X55" s="1">
        <f>(G55+H55*2+I55*3+J55*4)/D55</f>
        <v>0.35314441468230034</v>
      </c>
      <c r="Y55" s="1">
        <f>W55+X55</f>
        <v>0.6875912759189089</v>
      </c>
      <c r="Z55">
        <v>0.29930392919999999</v>
      </c>
      <c r="AA55">
        <v>11.11111111</v>
      </c>
      <c r="AB55">
        <v>6.1878306877</v>
      </c>
      <c r="AD55" s="2">
        <f>(D55-O55-J55+Q55)*Z55</f>
        <v>128.52110720027582</v>
      </c>
      <c r="AE55">
        <v>0.248285702</v>
      </c>
      <c r="AF55">
        <v>0.79934593023255796</v>
      </c>
      <c r="AG55">
        <v>0.170542635658914</v>
      </c>
      <c r="AH55">
        <v>1.5625E-2</v>
      </c>
      <c r="AI55">
        <v>9.6296296296296199E-3</v>
      </c>
      <c r="AJ55">
        <v>0.11862433862433799</v>
      </c>
      <c r="AK55">
        <v>9.0740740740740705E-2</v>
      </c>
      <c r="AL55">
        <v>1.1022927689594E-3</v>
      </c>
      <c r="AM55">
        <v>1.6779935275080801E-2</v>
      </c>
      <c r="AN55">
        <v>6.6666666666666402E-3</v>
      </c>
      <c r="AO55">
        <v>4.7918871252204502E-2</v>
      </c>
      <c r="AP55">
        <v>1.08818342151675E-2</v>
      </c>
      <c r="AQ55">
        <v>7.4074074074072E-4</v>
      </c>
    </row>
    <row r="56" spans="1:43" x14ac:dyDescent="0.4">
      <c r="A56" t="s">
        <v>72</v>
      </c>
      <c r="B56" t="s">
        <v>79</v>
      </c>
      <c r="D56">
        <v>511</v>
      </c>
      <c r="E56">
        <v>582</v>
      </c>
      <c r="F56" s="2">
        <f>AD56+J56</f>
        <v>132.49651534599994</v>
      </c>
      <c r="G56" s="2">
        <f>$AD56*AF56</f>
        <v>81.676266173292163</v>
      </c>
      <c r="H56" s="2">
        <f>$AD56*AG56</f>
        <v>28.024346213405384</v>
      </c>
      <c r="I56" s="2">
        <f>$AD56*AH56</f>
        <v>2.5703746116087891</v>
      </c>
      <c r="J56" s="2">
        <f>$E56*AI56</f>
        <v>21.399999999999928</v>
      </c>
      <c r="K56" s="2">
        <f>$E56*AJ56</f>
        <v>75.07357142857127</v>
      </c>
      <c r="L56" s="2">
        <f>$E56*AK56</f>
        <v>73.999999999999957</v>
      </c>
      <c r="M56" s="2">
        <f>$E56*(AB56/100)</f>
        <v>61.135714302300002</v>
      </c>
      <c r="N56" s="2">
        <f>$E56*AL56</f>
        <v>2.6117857142856811</v>
      </c>
      <c r="O56" s="2">
        <f>$E56*(AA56/100)</f>
        <v>145.5</v>
      </c>
      <c r="P56" s="2">
        <f>$E56*AM56</f>
        <v>5.8149732620320522</v>
      </c>
      <c r="Q56" s="2">
        <f>$E56*AN56</f>
        <v>4.3999999999999684</v>
      </c>
      <c r="R56" s="2">
        <f>$E56*AQ56</f>
        <v>0</v>
      </c>
      <c r="S56" s="2">
        <f>$E56*AO56</f>
        <v>12.843214285714247</v>
      </c>
      <c r="T56" s="2">
        <f>$E56*AP56</f>
        <v>5.0196428571428457</v>
      </c>
      <c r="U56" s="2">
        <f>S56-T56</f>
        <v>7.8235714285714009</v>
      </c>
      <c r="V56" s="1">
        <f>F56/D56</f>
        <v>0.25928867973776898</v>
      </c>
      <c r="W56" s="1">
        <f>(F56+M56+N56+P56)/(D56+M56+N56+Q56)</f>
        <v>0.34889037528234357</v>
      </c>
      <c r="X56" s="1">
        <f>(G56+H56*2+I56*3+J56*4)/D56</f>
        <v>0.4521254059391957</v>
      </c>
      <c r="Y56" s="1">
        <f>W56+X56</f>
        <v>0.80101578122153927</v>
      </c>
      <c r="Z56">
        <v>0.31878483600000002</v>
      </c>
      <c r="AA56">
        <v>25</v>
      </c>
      <c r="AB56">
        <v>10.504418265</v>
      </c>
      <c r="AD56" s="2">
        <f>(D56-O56-J56+Q56)*Z56</f>
        <v>111.09651534600002</v>
      </c>
      <c r="AE56">
        <v>0.22978407100000001</v>
      </c>
      <c r="AF56">
        <v>0.73518297058119997</v>
      </c>
      <c r="AG56">
        <v>0.25225225225225201</v>
      </c>
      <c r="AH56">
        <v>2.3136410747030101E-2</v>
      </c>
      <c r="AI56">
        <v>3.6769759450171698E-2</v>
      </c>
      <c r="AJ56">
        <v>0.12899239077074101</v>
      </c>
      <c r="AK56">
        <v>0.12714776632302399</v>
      </c>
      <c r="AL56">
        <v>4.4876043200784898E-3</v>
      </c>
      <c r="AM56">
        <v>9.9913629931822207E-3</v>
      </c>
      <c r="AN56">
        <v>7.5601374570446198E-3</v>
      </c>
      <c r="AO56">
        <v>2.20673784977908E-2</v>
      </c>
      <c r="AP56">
        <v>8.6248159057437206E-3</v>
      </c>
      <c r="AQ56">
        <v>0</v>
      </c>
    </row>
    <row r="57" spans="1:43" x14ac:dyDescent="0.4">
      <c r="A57" t="s">
        <v>80</v>
      </c>
      <c r="B57" t="s">
        <v>81</v>
      </c>
      <c r="D57">
        <v>547</v>
      </c>
      <c r="E57">
        <v>601</v>
      </c>
      <c r="F57" s="2">
        <f>AD57+J57</f>
        <v>140.1388106917081</v>
      </c>
      <c r="G57" s="2">
        <f>$AD57*AF57</f>
        <v>87.148341857022942</v>
      </c>
      <c r="H57" s="2">
        <f>$AD57*AG57</f>
        <v>28.472058255372406</v>
      </c>
      <c r="I57" s="2">
        <f>$AD57*AH57</f>
        <v>0.99792754994807209</v>
      </c>
      <c r="J57" s="2">
        <f>$E57*AI57</f>
        <v>23.199999999999914</v>
      </c>
      <c r="K57" s="2">
        <f>$E57*AJ57</f>
        <v>65.650324675324185</v>
      </c>
      <c r="L57" s="2">
        <f>$E57*AK57</f>
        <v>76.999999999999588</v>
      </c>
      <c r="M57" s="2">
        <f>$E57*(AB57/100)</f>
        <v>40.097727271205002</v>
      </c>
      <c r="N57" s="2">
        <f>$E57*AL57</f>
        <v>0</v>
      </c>
      <c r="O57" s="2">
        <f>$E57*(AA57/100)</f>
        <v>120.98051948129999</v>
      </c>
      <c r="P57" s="2">
        <f>$E57*AM57</f>
        <v>8.9053601340032813</v>
      </c>
      <c r="Q57" s="2">
        <f>$E57*AN57</f>
        <v>4.5999999999999783</v>
      </c>
      <c r="R57" s="2">
        <f>$E57*AQ57</f>
        <v>0</v>
      </c>
      <c r="S57" s="2">
        <f>$E57*AO57</f>
        <v>0.99756493506492949</v>
      </c>
      <c r="T57" s="2">
        <f>$E57*AP57</f>
        <v>0</v>
      </c>
      <c r="U57" s="2">
        <f>S57-T57</f>
        <v>0.99756493506492949</v>
      </c>
      <c r="V57" s="1">
        <f>F57/D57</f>
        <v>0.25619526634681555</v>
      </c>
      <c r="W57" s="1">
        <f>(F57+M57+N57+P57)/(D57+M57+N57+Q57)</f>
        <v>0.31965966637932186</v>
      </c>
      <c r="X57" s="1">
        <f>(G57+H57*2+I57*3+J57*4)/D57</f>
        <v>0.43854888668667569</v>
      </c>
      <c r="Y57" s="1">
        <f>W57+X57</f>
        <v>0.75820855306599755</v>
      </c>
      <c r="Z57">
        <v>0.28702312060000001</v>
      </c>
      <c r="AA57">
        <v>20.12987013</v>
      </c>
      <c r="AB57">
        <v>6.6718348205</v>
      </c>
      <c r="AD57" s="2">
        <f>(D57-O57-J57+Q57)*Z57</f>
        <v>116.9388106917082</v>
      </c>
      <c r="AE57">
        <v>0.23116129199999999</v>
      </c>
      <c r="AF57">
        <v>0.74524737631184401</v>
      </c>
      <c r="AG57">
        <v>0.24347826086956501</v>
      </c>
      <c r="AH57">
        <v>8.5337583309185502E-3</v>
      </c>
      <c r="AI57">
        <v>3.8602329450914998E-2</v>
      </c>
      <c r="AJ57">
        <v>0.10923514921018999</v>
      </c>
      <c r="AK57">
        <v>0.12811980033277801</v>
      </c>
      <c r="AL57">
        <v>0</v>
      </c>
      <c r="AM57">
        <v>1.48175709384414E-2</v>
      </c>
      <c r="AN57">
        <v>7.6539101497503804E-3</v>
      </c>
      <c r="AO57">
        <v>1.65984182207143E-3</v>
      </c>
      <c r="AP57">
        <v>0</v>
      </c>
      <c r="AQ57">
        <v>0</v>
      </c>
    </row>
    <row r="58" spans="1:43" x14ac:dyDescent="0.4">
      <c r="A58" t="s">
        <v>80</v>
      </c>
      <c r="B58" s="3" t="s">
        <v>82</v>
      </c>
      <c r="D58">
        <v>383</v>
      </c>
      <c r="E58">
        <v>407</v>
      </c>
      <c r="F58" s="2">
        <f>AD58+J58</f>
        <v>93.905612826559647</v>
      </c>
      <c r="G58" s="2">
        <f>$AD58*AF58</f>
        <v>64.526537211997024</v>
      </c>
      <c r="H58" s="2">
        <f>$AD58*AG58</f>
        <v>17.979530492506907</v>
      </c>
      <c r="I58" s="2">
        <f>$AD58*AH58</f>
        <v>1.0037353066277483</v>
      </c>
      <c r="J58" s="2">
        <f>$E58*AI58</f>
        <v>10.999999999999989</v>
      </c>
      <c r="K58" s="2">
        <f>$E58*AJ58</f>
        <v>40.918367346938503</v>
      </c>
      <c r="L58" s="2">
        <f>$E58*AK58</f>
        <v>42.999999999999737</v>
      </c>
      <c r="M58" s="2">
        <f>$E58*(AB58/100)</f>
        <v>17.079883382452</v>
      </c>
      <c r="N58" s="2">
        <f>$E58*AL58</f>
        <v>0.61865889212826697</v>
      </c>
      <c r="O58" s="2">
        <f>$E58*(AA58/100)</f>
        <v>85.434402314799996</v>
      </c>
      <c r="P58" s="2">
        <f>$E58*AM58</f>
        <v>2.9422619047618723</v>
      </c>
      <c r="Q58" s="2">
        <f>$E58*AN58</f>
        <v>2.5999999999999766</v>
      </c>
      <c r="R58" s="2">
        <f>$E58*AQ58</f>
        <v>2.2535714285714135</v>
      </c>
      <c r="S58" s="2">
        <f>$E58*AO58</f>
        <v>2.937317784256531</v>
      </c>
      <c r="T58" s="2">
        <f>$E58*AP58</f>
        <v>1.0186588921282578</v>
      </c>
      <c r="U58" s="2">
        <f>S58-T58</f>
        <v>1.9186588921282732</v>
      </c>
      <c r="V58" s="1">
        <f>F58/D58</f>
        <v>0.24518436769336721</v>
      </c>
      <c r="W58" s="1">
        <f>(F58+M58+N58+P58)/(D58+M58+N58+Q58)</f>
        <v>0.28402388057211087</v>
      </c>
      <c r="X58" s="1">
        <f>(G58+H58*2+I58*3+J58*4)/D58</f>
        <v>0.38510914913027161</v>
      </c>
      <c r="Y58" s="1">
        <f>W58+X58</f>
        <v>0.66913302970238253</v>
      </c>
      <c r="Z58">
        <v>0.28670634919999999</v>
      </c>
      <c r="AA58">
        <v>20.99125364</v>
      </c>
      <c r="AB58">
        <v>4.1965315435999999</v>
      </c>
      <c r="AD58" s="2">
        <f>(D58-O58-J58+Q58)*Z58</f>
        <v>82.905612826559661</v>
      </c>
      <c r="AE58">
        <v>0.23272635799999999</v>
      </c>
      <c r="AF58">
        <v>0.77831325301204801</v>
      </c>
      <c r="AG58">
        <v>0.21686746987951799</v>
      </c>
      <c r="AH58">
        <v>1.21069644431383E-2</v>
      </c>
      <c r="AI58">
        <v>2.7027027027027001E-2</v>
      </c>
      <c r="AJ58">
        <v>0.100536529107957</v>
      </c>
      <c r="AK58">
        <v>0.105651105651105</v>
      </c>
      <c r="AL58">
        <v>1.52004641800557E-3</v>
      </c>
      <c r="AM58">
        <v>7.2291447291446499E-3</v>
      </c>
      <c r="AN58">
        <v>6.3882063882063304E-3</v>
      </c>
      <c r="AO58">
        <v>7.2169970129153096E-3</v>
      </c>
      <c r="AP58">
        <v>2.5028474008065302E-3</v>
      </c>
      <c r="AQ58">
        <v>5.5370305370305E-3</v>
      </c>
    </row>
    <row r="59" spans="1:43" x14ac:dyDescent="0.4">
      <c r="A59" t="s">
        <v>80</v>
      </c>
      <c r="B59" t="s">
        <v>83</v>
      </c>
      <c r="D59">
        <v>529</v>
      </c>
      <c r="E59">
        <v>574</v>
      </c>
      <c r="F59" s="2">
        <f>AD59+J59</f>
        <v>132.30225684787459</v>
      </c>
      <c r="G59" s="2">
        <f>$AD59*AF59</f>
        <v>79.665232830429247</v>
      </c>
      <c r="H59" s="2">
        <f>$AD59*AG59</f>
        <v>27.790197498986899</v>
      </c>
      <c r="I59" s="2">
        <f>$AD59*AH59</f>
        <v>1.4257248099617366</v>
      </c>
      <c r="J59" s="2">
        <f>$E59*AI59</f>
        <v>23.19999999999991</v>
      </c>
      <c r="K59" s="2">
        <f>$E59*AJ59</f>
        <v>73.780645161290309</v>
      </c>
      <c r="L59" s="2">
        <f>$E59*AK59</f>
        <v>67.999999999999517</v>
      </c>
      <c r="M59" s="2">
        <f>$E59*(AB59/100)</f>
        <v>35.838709674838</v>
      </c>
      <c r="N59" s="2">
        <f>$E59*AL59</f>
        <v>2.1526881720429629</v>
      </c>
      <c r="O59" s="2">
        <f>$E59*(AA59/100)</f>
        <v>163.99999999179997</v>
      </c>
      <c r="P59" s="2">
        <f>$E59*AM59</f>
        <v>8.0216768916154688</v>
      </c>
      <c r="Q59" s="2">
        <f>$E59*AN59</f>
        <v>2.9999999999999809</v>
      </c>
      <c r="R59" s="2">
        <f>$E59*AQ59</f>
        <v>0</v>
      </c>
      <c r="S59" s="2">
        <f>$E59*AO59</f>
        <v>22.992473118279527</v>
      </c>
      <c r="T59" s="2">
        <f>$E59*AP59</f>
        <v>5.9290322580644608</v>
      </c>
      <c r="U59" s="2">
        <f>S59-T59</f>
        <v>17.063440860215067</v>
      </c>
      <c r="V59" s="1">
        <f>F59/D59</f>
        <v>0.25009878421148313</v>
      </c>
      <c r="W59" s="1">
        <f>(F59+M59+N59+P59)/(D59+M59+N59+Q59)</f>
        <v>0.31283863626705566</v>
      </c>
      <c r="X59" s="1">
        <f>(G59+H59*2+I59*3+J59*4)/D59</f>
        <v>0.4391735392406198</v>
      </c>
      <c r="Y59" s="1">
        <f>W59+X59</f>
        <v>0.75201217550767541</v>
      </c>
      <c r="Z59">
        <v>0.31642185859999999</v>
      </c>
      <c r="AA59">
        <v>28.571428569999998</v>
      </c>
      <c r="AB59">
        <v>6.2436776436999999</v>
      </c>
      <c r="AD59" s="2">
        <f>(D59-O59-J59+Q59)*Z59</f>
        <v>109.10225684787468</v>
      </c>
      <c r="AE59">
        <v>0.224914376</v>
      </c>
      <c r="AF59">
        <v>0.73018867924528297</v>
      </c>
      <c r="AG59">
        <v>0.25471698113207503</v>
      </c>
      <c r="AH59">
        <v>1.30677847658979E-2</v>
      </c>
      <c r="AI59">
        <v>4.04181184668988E-2</v>
      </c>
      <c r="AJ59">
        <v>0.12853770934022701</v>
      </c>
      <c r="AK59">
        <v>0.118466898954703</v>
      </c>
      <c r="AL59">
        <v>3.75032782585882E-3</v>
      </c>
      <c r="AM59">
        <v>1.39750468495043E-2</v>
      </c>
      <c r="AN59">
        <v>5.2264808362369004E-3</v>
      </c>
      <c r="AO59">
        <v>4.0056573376793601E-2</v>
      </c>
      <c r="AP59">
        <v>1.03293244914015E-2</v>
      </c>
      <c r="AQ59">
        <v>0</v>
      </c>
    </row>
    <row r="60" spans="1:43" x14ac:dyDescent="0.4">
      <c r="A60" t="s">
        <v>84</v>
      </c>
      <c r="B60" t="s">
        <v>85</v>
      </c>
      <c r="D60">
        <v>362</v>
      </c>
      <c r="E60">
        <v>393</v>
      </c>
      <c r="F60" s="2">
        <f>AD60+J60</f>
        <v>93.729430501288718</v>
      </c>
      <c r="G60" s="2">
        <f>$AD60*AF60</f>
        <v>57.696545792527431</v>
      </c>
      <c r="H60" s="2">
        <f>$AD60*AG60</f>
        <v>17.93674998731419</v>
      </c>
      <c r="I60" s="2">
        <f>$AD60*AH60</f>
        <v>0.9992429208332404</v>
      </c>
      <c r="J60" s="2">
        <f>$E60*AI60</f>
        <v>16.999999999999986</v>
      </c>
      <c r="K60" s="2">
        <f>$E60*AJ60</f>
        <v>48.443428571428221</v>
      </c>
      <c r="L60" s="2">
        <f>$E60*AK60</f>
        <v>56.999999999999886</v>
      </c>
      <c r="M60" s="2">
        <f>$E60*(AB60/100)</f>
        <v>23.058000000711001</v>
      </c>
      <c r="N60" s="2">
        <f>$E60*AL60</f>
        <v>1.0122857142857071</v>
      </c>
      <c r="O60" s="2">
        <f>$E60*(AA60/100)</f>
        <v>105.5485714398</v>
      </c>
      <c r="P60" s="2">
        <f>$E60*AM60</f>
        <v>5.0840764331209547</v>
      </c>
      <c r="Q60" s="2">
        <f>$E60*AN60</f>
        <v>2.9999999999999836</v>
      </c>
      <c r="R60" s="2">
        <f>$E60*AQ60</f>
        <v>0</v>
      </c>
      <c r="S60" s="2">
        <f>$E60*AO60</f>
        <v>2.0245714285714183</v>
      </c>
      <c r="T60" s="2">
        <f>$E60*AP60</f>
        <v>1.0122857142857071</v>
      </c>
      <c r="U60" s="2">
        <f>S60-T60</f>
        <v>1.0122857142857111</v>
      </c>
      <c r="V60" s="1">
        <f>F60/D60</f>
        <v>0.25892107873284176</v>
      </c>
      <c r="W60" s="1">
        <f>(F60+M60+N60+P60)/(D60+M60+N60+Q60)</f>
        <v>0.31583957233737892</v>
      </c>
      <c r="X60" s="1">
        <f>(G60+H60*2+I60*3+J60*4)/D60</f>
        <v>0.45460711196037423</v>
      </c>
      <c r="Y60" s="1">
        <f>W60+X60</f>
        <v>0.77044668429775309</v>
      </c>
      <c r="Z60">
        <v>0.3164734106</v>
      </c>
      <c r="AA60">
        <v>26.85714286</v>
      </c>
      <c r="AB60">
        <v>5.8671755726999999</v>
      </c>
      <c r="AD60" s="2">
        <f>(D60-O60-J60+Q60)*Z60</f>
        <v>76.729430501288732</v>
      </c>
      <c r="AE60">
        <v>0.236426475</v>
      </c>
      <c r="AF60">
        <v>0.75194805194805103</v>
      </c>
      <c r="AG60">
        <v>0.23376623376623301</v>
      </c>
      <c r="AH60">
        <v>1.3022941970310301E-2</v>
      </c>
      <c r="AI60">
        <v>4.3256997455470701E-2</v>
      </c>
      <c r="AJ60">
        <v>0.123265721555797</v>
      </c>
      <c r="AK60">
        <v>0.14503816793893101</v>
      </c>
      <c r="AL60">
        <v>2.5757906215921299E-3</v>
      </c>
      <c r="AM60">
        <v>1.2936581254760699E-2</v>
      </c>
      <c r="AN60">
        <v>7.6335877862595001E-3</v>
      </c>
      <c r="AO60">
        <v>5.1515812431842702E-3</v>
      </c>
      <c r="AP60">
        <v>2.5757906215921299E-3</v>
      </c>
      <c r="AQ60">
        <v>0</v>
      </c>
    </row>
    <row r="61" spans="1:43" x14ac:dyDescent="0.4">
      <c r="A61" t="s">
        <v>84</v>
      </c>
      <c r="B61" s="3" t="s">
        <v>86</v>
      </c>
      <c r="D61">
        <v>580</v>
      </c>
      <c r="E61">
        <v>648</v>
      </c>
      <c r="F61" s="2">
        <f>AD61+J61</f>
        <v>150.28942924490906</v>
      </c>
      <c r="G61" s="2">
        <f>$AD61*AF61</f>
        <v>88.043741306109013</v>
      </c>
      <c r="H61" s="2">
        <f>$AD61*AG61</f>
        <v>33.020178162599109</v>
      </c>
      <c r="I61" s="2">
        <f>$AD61*AH61</f>
        <v>6.7751767998259638</v>
      </c>
      <c r="J61" s="2">
        <f>$E61*AI61</f>
        <v>24.39999999999992</v>
      </c>
      <c r="K61" s="2">
        <f>$E61*AJ61</f>
        <v>99.050827067668806</v>
      </c>
      <c r="L61" s="2">
        <f>$E61*AK61</f>
        <v>76.999999999999886</v>
      </c>
      <c r="M61" s="2">
        <f>$E61*(AB61/100)</f>
        <v>59.141503761911991</v>
      </c>
      <c r="N61" s="2">
        <f>$E61*AL61</f>
        <v>2.3948872180450933</v>
      </c>
      <c r="O61" s="2">
        <f>$E61*(AA61/100)</f>
        <v>190.01503758959998</v>
      </c>
      <c r="P61" s="2">
        <f>$E61*AM61</f>
        <v>4.8903614457830997</v>
      </c>
      <c r="Q61" s="2">
        <f>$E61*AN61</f>
        <v>2.9999999999999809</v>
      </c>
      <c r="R61" s="2">
        <f>$E61*AQ61</f>
        <v>0.98554216867467981</v>
      </c>
      <c r="S61" s="2">
        <f>$E61*AO61</f>
        <v>53.861954887217976</v>
      </c>
      <c r="T61" s="2">
        <f>$E61*AP61</f>
        <v>12.164210526315722</v>
      </c>
      <c r="U61" s="2">
        <f>S61-T61</f>
        <v>41.697744360902256</v>
      </c>
      <c r="V61" s="1">
        <f>F61/D61</f>
        <v>0.25911970559467079</v>
      </c>
      <c r="W61" s="1">
        <f>(F61+M61+N61+P61)/(D61+M61+N61+Q61)</f>
        <v>0.33623575752045998</v>
      </c>
      <c r="X61" s="1">
        <f>(G61+H61*2+I61*3+J61*4)/D61</f>
        <v>0.4689821172944566</v>
      </c>
      <c r="Y61" s="1">
        <f>W61+X61</f>
        <v>0.80521787481491658</v>
      </c>
      <c r="Z61">
        <v>0.34154792540000001</v>
      </c>
      <c r="AA61">
        <v>29.323308269999998</v>
      </c>
      <c r="AB61">
        <v>9.1267752718999997</v>
      </c>
      <c r="AD61" s="2">
        <f>(D61-O61-J61+Q61)*Z61</f>
        <v>125.88942924490915</v>
      </c>
      <c r="AE61">
        <v>0.22563182100000001</v>
      </c>
      <c r="AF61">
        <v>0.699373583899773</v>
      </c>
      <c r="AG61">
        <v>0.26229508196721302</v>
      </c>
      <c r="AH61">
        <v>5.3818472610955501E-2</v>
      </c>
      <c r="AI61">
        <v>3.76543209876542E-2</v>
      </c>
      <c r="AJ61">
        <v>0.15285621461060001</v>
      </c>
      <c r="AK61">
        <v>0.11882716049382699</v>
      </c>
      <c r="AL61">
        <v>3.6958136080942798E-3</v>
      </c>
      <c r="AM61">
        <v>7.5468540829986101E-3</v>
      </c>
      <c r="AN61">
        <v>4.6296296296295999E-3</v>
      </c>
      <c r="AO61">
        <v>8.3120300751879594E-2</v>
      </c>
      <c r="AP61">
        <v>1.8771929824561301E-2</v>
      </c>
      <c r="AQ61">
        <v>1.52089840844858E-3</v>
      </c>
    </row>
    <row r="62" spans="1:43" x14ac:dyDescent="0.4">
      <c r="A62" t="s">
        <v>84</v>
      </c>
      <c r="B62" t="s">
        <v>87</v>
      </c>
      <c r="D62">
        <v>371</v>
      </c>
      <c r="E62">
        <v>415</v>
      </c>
      <c r="F62" s="2">
        <f>AD62+J62</f>
        <v>94.787866050709368</v>
      </c>
      <c r="G62" s="2">
        <f>$AD62*AF62</f>
        <v>63.590899538032048</v>
      </c>
      <c r="H62" s="2">
        <f>$AD62*AG62</f>
        <v>19.178207797184253</v>
      </c>
      <c r="I62" s="2">
        <f>$AD62*AH62</f>
        <v>3.0281380732396199</v>
      </c>
      <c r="J62" s="2">
        <f>$E62*AI62</f>
        <v>9.999999999999968</v>
      </c>
      <c r="K62" s="2">
        <f>$E62*AJ62</f>
        <v>50.197959183673355</v>
      </c>
      <c r="L62" s="2">
        <f>$E62*AK62</f>
        <v>43.999999999999929</v>
      </c>
      <c r="M62" s="2">
        <f>$E62*(AB62/100)</f>
        <v>38.349999999909997</v>
      </c>
      <c r="N62" s="2">
        <f>$E62*AL62</f>
        <v>0.98469387755099458</v>
      </c>
      <c r="O62" s="2">
        <f>$E62*(AA62/100)</f>
        <v>87.234693863999993</v>
      </c>
      <c r="P62" s="2">
        <f>$E62*AM62</f>
        <v>1.9808278867102251</v>
      </c>
      <c r="Q62" s="2">
        <f>$E62*AN62</f>
        <v>2.3999999999999866</v>
      </c>
      <c r="R62" s="2">
        <f>$E62*AQ62</f>
        <v>0.94248366013068685</v>
      </c>
      <c r="S62" s="2">
        <f>$E62*AO62</f>
        <v>5.0081632653060932</v>
      </c>
      <c r="T62" s="2">
        <f>$E62*AP62</f>
        <v>1.9693877551020267</v>
      </c>
      <c r="U62" s="2">
        <f>S62-T62</f>
        <v>3.0387755102040668</v>
      </c>
      <c r="V62" s="1">
        <f>F62/D62</f>
        <v>0.25549290040622469</v>
      </c>
      <c r="W62" s="1">
        <f>(F62+M62+N62+P62)/(D62+M62+N62+Q62)</f>
        <v>0.32975998827781866</v>
      </c>
      <c r="X62" s="1">
        <f>(G62+H62*2+I62*3+J62*4)/D62</f>
        <v>0.40709361011352901</v>
      </c>
      <c r="Y62" s="1">
        <f>W62+X62</f>
        <v>0.73685359839134768</v>
      </c>
      <c r="Z62">
        <v>0.30701852899999998</v>
      </c>
      <c r="AA62">
        <v>21.020408159999999</v>
      </c>
      <c r="AB62">
        <v>9.2409638554000004</v>
      </c>
      <c r="AD62" s="2">
        <f>(D62-O62-J62+Q62)*Z62</f>
        <v>84.787866050709397</v>
      </c>
      <c r="AE62">
        <v>0.22622449</v>
      </c>
      <c r="AF62">
        <v>0.75</v>
      </c>
      <c r="AG62">
        <v>0.226190476190476</v>
      </c>
      <c r="AH62">
        <v>3.5714285714285698E-2</v>
      </c>
      <c r="AI62">
        <v>2.40963855421686E-2</v>
      </c>
      <c r="AJ62">
        <v>0.12095893779198399</v>
      </c>
      <c r="AK62">
        <v>0.106024096385542</v>
      </c>
      <c r="AL62">
        <v>2.3727563314481798E-3</v>
      </c>
      <c r="AM62">
        <v>4.7730792450848799E-3</v>
      </c>
      <c r="AN62">
        <v>5.78313253012045E-3</v>
      </c>
      <c r="AO62">
        <v>1.2067863289894201E-2</v>
      </c>
      <c r="AP62">
        <v>4.7455126628964499E-3</v>
      </c>
      <c r="AQ62">
        <v>2.2710449641703298E-3</v>
      </c>
    </row>
    <row r="63" spans="1:43" x14ac:dyDescent="0.4">
      <c r="A63" t="s">
        <v>84</v>
      </c>
      <c r="B63" t="s">
        <v>88</v>
      </c>
      <c r="D63">
        <v>449</v>
      </c>
      <c r="E63">
        <v>496</v>
      </c>
      <c r="F63" s="2">
        <f>AD63+J63</f>
        <v>107.85789049450628</v>
      </c>
      <c r="G63" s="2">
        <f>$AD63*AF63</f>
        <v>64.713099953925123</v>
      </c>
      <c r="H63" s="2">
        <f>$AD63*AG63</f>
        <v>22.913532762347689</v>
      </c>
      <c r="I63" s="2">
        <f>$AD63*AH63</f>
        <v>2.019346023608946</v>
      </c>
      <c r="J63" s="2">
        <f>$E63*AI63</f>
        <v>17.199999999999942</v>
      </c>
      <c r="K63" s="2">
        <f>$E63*AJ63</f>
        <v>57.082706766916878</v>
      </c>
      <c r="L63" s="2">
        <f>$E63*AK63</f>
        <v>62</v>
      </c>
      <c r="M63" s="2">
        <f>$E63*(AB63/100)</f>
        <v>37.122556389248004</v>
      </c>
      <c r="N63" s="2">
        <f>$E63*AL63</f>
        <v>0.99323308270673794</v>
      </c>
      <c r="O63" s="2">
        <f>$E63*(AA63/100)</f>
        <v>118.406015032</v>
      </c>
      <c r="P63" s="2">
        <f>$E63*AM63</f>
        <v>6.1203319502074205</v>
      </c>
      <c r="Q63" s="2">
        <f>$E63*AN63</f>
        <v>2.9999999999999534</v>
      </c>
      <c r="R63" s="2">
        <f>$E63*AQ63</f>
        <v>0</v>
      </c>
      <c r="S63" s="2">
        <f>$E63*AO63</f>
        <v>4.9661654135338145</v>
      </c>
      <c r="T63" s="2">
        <f>$E63*AP63</f>
        <v>1.9864661654135207</v>
      </c>
      <c r="U63" s="2">
        <f>S63-T63</f>
        <v>2.9796992481202937</v>
      </c>
      <c r="V63" s="1">
        <f>F63/D63</f>
        <v>0.24021801891872221</v>
      </c>
      <c r="W63" s="1">
        <f>(F63+M63+N63+P63)/(D63+M63+N63+Q63)</f>
        <v>0.31032261188837201</v>
      </c>
      <c r="X63" s="1">
        <f>(G63+H63*2+I63*3+J63*4)/D63</f>
        <v>0.4129135936513299</v>
      </c>
      <c r="Y63" s="1">
        <f>W63+X63</f>
        <v>0.72323620553970192</v>
      </c>
      <c r="Z63">
        <v>0.28653481040000001</v>
      </c>
      <c r="AA63">
        <v>23.872180449999998</v>
      </c>
      <c r="AB63">
        <v>7.4843863688000001</v>
      </c>
      <c r="AD63" s="2">
        <f>(D63-O63-J63+Q63)*Z63</f>
        <v>90.657890494506333</v>
      </c>
      <c r="AE63">
        <v>0.21437583700000001</v>
      </c>
      <c r="AF63">
        <v>0.71381652055809297</v>
      </c>
      <c r="AG63">
        <v>0.25274725274725202</v>
      </c>
      <c r="AH63">
        <v>2.22743548586244E-2</v>
      </c>
      <c r="AI63">
        <v>3.4677419354838597E-2</v>
      </c>
      <c r="AJ63">
        <v>0.115086102352655</v>
      </c>
      <c r="AK63">
        <v>0.125</v>
      </c>
      <c r="AL63">
        <v>2.0024860538442298E-3</v>
      </c>
      <c r="AM63">
        <v>1.23393789318698E-2</v>
      </c>
      <c r="AN63">
        <v>6.0483870967740997E-3</v>
      </c>
      <c r="AO63">
        <v>1.00124302692214E-2</v>
      </c>
      <c r="AP63">
        <v>4.0049721076885498E-3</v>
      </c>
      <c r="AQ63">
        <v>0</v>
      </c>
    </row>
    <row r="64" spans="1:43" x14ac:dyDescent="0.4">
      <c r="A64" t="s">
        <v>84</v>
      </c>
      <c r="B64" s="3" t="s">
        <v>89</v>
      </c>
      <c r="D64">
        <v>480</v>
      </c>
      <c r="E64">
        <v>540</v>
      </c>
      <c r="F64" s="2">
        <f>AD64+J64</f>
        <v>122.95614988522031</v>
      </c>
      <c r="G64" s="2">
        <f>$AD64*AF64</f>
        <v>74.263092519178983</v>
      </c>
      <c r="H64" s="2">
        <f>$AD64*AG64</f>
        <v>25.28337006990693</v>
      </c>
      <c r="I64" s="2">
        <f>$AD64*AH64</f>
        <v>2.9989966652151026</v>
      </c>
      <c r="J64" s="2">
        <f>$E64*AI64</f>
        <v>19.799999999999912</v>
      </c>
      <c r="K64" s="2">
        <f>$E64*AJ64</f>
        <v>71.582099827882857</v>
      </c>
      <c r="L64" s="2">
        <f>$E64*AK64</f>
        <v>67.999999999999503</v>
      </c>
      <c r="M64" s="2">
        <f>$E64*(AB64/100)</f>
        <v>46.697762480580003</v>
      </c>
      <c r="N64" s="2">
        <f>$E64*AL64</f>
        <v>0.99294320137690617</v>
      </c>
      <c r="O64" s="2">
        <f>$E64*(AA64/100)</f>
        <v>142.20309812400001</v>
      </c>
      <c r="P64" s="2">
        <f>$E64*AM64</f>
        <v>8.1067164179104072</v>
      </c>
      <c r="Q64" s="2">
        <f>$E64*AN64</f>
        <v>2.9999999999999702</v>
      </c>
      <c r="R64" s="2">
        <f>$E64*AQ64</f>
        <v>0</v>
      </c>
      <c r="S64" s="2">
        <f>$E64*AO64</f>
        <v>16.972977624784811</v>
      </c>
      <c r="T64" s="2">
        <f>$E64*AP64</f>
        <v>5.0576592082615814</v>
      </c>
      <c r="U64" s="2">
        <f>S64-T64</f>
        <v>11.915318416523229</v>
      </c>
      <c r="V64" s="1">
        <f>F64/D64</f>
        <v>0.25615864559420898</v>
      </c>
      <c r="W64" s="1">
        <f>(F64+M64+N64+P64)/(D64+M64+N64+Q64)</f>
        <v>0.33683192502002235</v>
      </c>
      <c r="X64" s="1">
        <f>(G64+H64*2+I64*3+J64*4)/D64</f>
        <v>0.44380588053049536</v>
      </c>
      <c r="Y64" s="1">
        <f>W64+X64</f>
        <v>0.78063780555051765</v>
      </c>
      <c r="Z64">
        <v>0.32136182400000002</v>
      </c>
      <c r="AA64">
        <v>26.333907060000001</v>
      </c>
      <c r="AB64">
        <v>8.6477337927000004</v>
      </c>
      <c r="AD64" s="2">
        <f>(D64-O64-J64+Q64)*Z64</f>
        <v>103.1561498852204</v>
      </c>
      <c r="AE64">
        <v>0.228264736</v>
      </c>
      <c r="AF64">
        <v>0.71990950226244299</v>
      </c>
      <c r="AG64">
        <v>0.24509803921568599</v>
      </c>
      <c r="AH64">
        <v>2.90723981900451E-2</v>
      </c>
      <c r="AI64">
        <v>3.66666666666665E-2</v>
      </c>
      <c r="AJ64">
        <v>0.132559444125709</v>
      </c>
      <c r="AK64">
        <v>0.125925925925925</v>
      </c>
      <c r="AL64">
        <v>1.8387837062535299E-3</v>
      </c>
      <c r="AM64">
        <v>1.50124378109452E-2</v>
      </c>
      <c r="AN64">
        <v>5.5555555555555003E-3</v>
      </c>
      <c r="AO64">
        <v>3.1431440045897797E-2</v>
      </c>
      <c r="AP64">
        <v>9.3660355708547801E-3</v>
      </c>
      <c r="AQ64">
        <v>0</v>
      </c>
    </row>
    <row r="65" spans="1:43" x14ac:dyDescent="0.4">
      <c r="A65" t="s">
        <v>84</v>
      </c>
      <c r="B65" s="3" t="s">
        <v>90</v>
      </c>
      <c r="D65">
        <v>191</v>
      </c>
      <c r="E65">
        <v>207</v>
      </c>
      <c r="F65" s="2">
        <f>AD65+J65</f>
        <v>46.092193766481365</v>
      </c>
      <c r="G65" s="2">
        <f>$AD65*AF65</f>
        <v>31.164265469939398</v>
      </c>
      <c r="H65" s="2">
        <f>$AD65*AG65</f>
        <v>8.9324327780081028</v>
      </c>
      <c r="I65" s="2">
        <f>$AD65*AH65</f>
        <v>0</v>
      </c>
      <c r="J65" s="2">
        <f>$E65*AI65</f>
        <v>5.3999999999999728</v>
      </c>
      <c r="K65" s="2">
        <f>$E65*AJ65</f>
        <v>23.310389610389585</v>
      </c>
      <c r="L65" s="2">
        <f>$E65*AK65</f>
        <v>21.999999999999797</v>
      </c>
      <c r="M65" s="2">
        <f>$E65*(AB65/100)</f>
        <v>12.009740259194999</v>
      </c>
      <c r="N65" s="2">
        <f>$E65*AL65</f>
        <v>0</v>
      </c>
      <c r="O65" s="2">
        <f>$E65*(AA65/100)</f>
        <v>52.422077912399999</v>
      </c>
      <c r="P65" s="2">
        <f>$E65*AM65</f>
        <v>1.9873303167420682</v>
      </c>
      <c r="Q65" s="2">
        <f>$E65*AN65</f>
        <v>0.99999999999999278</v>
      </c>
      <c r="R65" s="2">
        <f>$E65*AQ65</f>
        <v>0</v>
      </c>
      <c r="S65" s="2">
        <f>$E65*AO65</f>
        <v>6.9720779220779017</v>
      </c>
      <c r="T65" s="2">
        <f>$E65*AP65</f>
        <v>2.0688311688311538</v>
      </c>
      <c r="U65" s="2">
        <f>S65-T65</f>
        <v>4.9032467532467479</v>
      </c>
      <c r="V65" s="1">
        <f>F65/D65</f>
        <v>0.24132038621194432</v>
      </c>
      <c r="W65" s="1">
        <f>(F65+M65+N65+P65)/(D65+M65+N65+Q65)</f>
        <v>0.29454115409428411</v>
      </c>
      <c r="X65" s="1">
        <f>(G65+H65*2+I65*3+J65*4)/D65</f>
        <v>0.36978602631390317</v>
      </c>
      <c r="Y65" s="1">
        <f>W65+X65</f>
        <v>0.66432718040818728</v>
      </c>
      <c r="Z65">
        <v>0.30327041239999902</v>
      </c>
      <c r="AA65">
        <v>25.324675320000001</v>
      </c>
      <c r="AB65">
        <v>5.8018068884999998</v>
      </c>
      <c r="AD65" s="2">
        <f>(D65-O65-J65+Q65)*Z65</f>
        <v>40.692193766481395</v>
      </c>
      <c r="AE65">
        <v>0.22444478600000001</v>
      </c>
      <c r="AF65">
        <v>0.76585365853658505</v>
      </c>
      <c r="AG65">
        <v>0.219512195121951</v>
      </c>
      <c r="AH65">
        <v>0</v>
      </c>
      <c r="AI65">
        <v>2.6086956521739001E-2</v>
      </c>
      <c r="AJ65">
        <v>0.112610577827969</v>
      </c>
      <c r="AK65">
        <v>0.106280193236714</v>
      </c>
      <c r="AL65">
        <v>0</v>
      </c>
      <c r="AM65">
        <v>9.6006295494785905E-3</v>
      </c>
      <c r="AN65">
        <v>4.8309178743961003E-3</v>
      </c>
      <c r="AO65">
        <v>3.3681535855448801E-2</v>
      </c>
      <c r="AP65">
        <v>9.9943534726142699E-3</v>
      </c>
      <c r="AQ65">
        <v>0</v>
      </c>
    </row>
    <row r="66" spans="1:43" x14ac:dyDescent="0.4">
      <c r="A66" t="s">
        <v>84</v>
      </c>
      <c r="B66" t="s">
        <v>91</v>
      </c>
      <c r="D66">
        <v>520</v>
      </c>
      <c r="E66">
        <v>591</v>
      </c>
      <c r="F66" s="2">
        <f>AD66+J66</f>
        <v>126.09138617404759</v>
      </c>
      <c r="G66" s="2">
        <f>$AD66*AF66</f>
        <v>76.406485692487678</v>
      </c>
      <c r="H66" s="2">
        <f>$AD66*AG66</f>
        <v>27.509713879571844</v>
      </c>
      <c r="I66" s="2">
        <f>$AD66*AH66</f>
        <v>2.6022205986217015</v>
      </c>
      <c r="J66" s="2">
        <f>$E66*AI66</f>
        <v>18.999999999999979</v>
      </c>
      <c r="K66" s="2">
        <f>$E66*AJ66</f>
        <v>71.20836236933738</v>
      </c>
      <c r="L66" s="2">
        <f>$E66*AK66</f>
        <v>73.999999999999517</v>
      </c>
      <c r="M66" s="2">
        <f>$E66*(AB66/100)</f>
        <v>56.577700346816997</v>
      </c>
      <c r="N66" s="2">
        <f>$E66*AL66</f>
        <v>0.60296167247384569</v>
      </c>
      <c r="O66" s="2">
        <f>$E66*(AA66/100)</f>
        <v>122.52439026120001</v>
      </c>
      <c r="P66" s="2">
        <f>$E66*AM66</f>
        <v>9.0191290824260815</v>
      </c>
      <c r="Q66" s="2">
        <f>$E66*AN66</f>
        <v>4.1999999999999682</v>
      </c>
      <c r="R66" s="2">
        <f>$E66*AQ66</f>
        <v>0</v>
      </c>
      <c r="S66" s="2">
        <f>$E66*AO66</f>
        <v>16.844425087108004</v>
      </c>
      <c r="T66" s="2">
        <f>$E66*AP66</f>
        <v>3.9088850174215684</v>
      </c>
      <c r="U66" s="2">
        <f>S66-T66</f>
        <v>12.935540069686436</v>
      </c>
      <c r="V66" s="1">
        <f>F66/D66</f>
        <v>0.2424834349500915</v>
      </c>
      <c r="W66" s="1">
        <f>(F66+M66+N66+P66)/(D66+M66+N66+Q66)</f>
        <v>0.3307491800774483</v>
      </c>
      <c r="X66" s="1">
        <f>(G66+H66*2+I66*3+J66*4)/D66</f>
        <v>0.41390879855287765</v>
      </c>
      <c r="Y66" s="1">
        <f>W66+X66</f>
        <v>0.74465797863032601</v>
      </c>
      <c r="Z66">
        <v>0.27984899860000001</v>
      </c>
      <c r="AA66">
        <v>20.731707320000002</v>
      </c>
      <c r="AB66">
        <v>9.5732149487000004</v>
      </c>
      <c r="AD66" s="2">
        <f>(D66-O66-J66+Q66)*Z66</f>
        <v>107.0913861740476</v>
      </c>
      <c r="AE66">
        <v>0.213729272</v>
      </c>
      <c r="AF66">
        <v>0.713469947697847</v>
      </c>
      <c r="AG66">
        <v>0.25688073394495398</v>
      </c>
      <c r="AH66">
        <v>2.4299065420560598E-2</v>
      </c>
      <c r="AI66">
        <v>3.21489001692047E-2</v>
      </c>
      <c r="AJ66">
        <v>0.120487922790757</v>
      </c>
      <c r="AK66">
        <v>0.12521150592216501</v>
      </c>
      <c r="AL66">
        <v>1.02023971653781E-3</v>
      </c>
      <c r="AM66">
        <v>1.5260793709688801E-2</v>
      </c>
      <c r="AN66">
        <v>7.10659898477152E-3</v>
      </c>
      <c r="AO66">
        <v>2.8501565291214899E-2</v>
      </c>
      <c r="AP66">
        <v>6.6140186419992699E-3</v>
      </c>
      <c r="AQ66">
        <v>0</v>
      </c>
    </row>
    <row r="67" spans="1:43" x14ac:dyDescent="0.4">
      <c r="A67" t="s">
        <v>84</v>
      </c>
      <c r="B67" t="s">
        <v>92</v>
      </c>
      <c r="D67">
        <v>444</v>
      </c>
      <c r="E67">
        <v>504</v>
      </c>
      <c r="F67" s="2">
        <f>AD67+J67</f>
        <v>105.74023631107768</v>
      </c>
      <c r="G67" s="2">
        <f>$AD67*AF67</f>
        <v>71.643752166107689</v>
      </c>
      <c r="H67" s="2">
        <f>$AD67*AG67</f>
        <v>16.98895670965565</v>
      </c>
      <c r="I67" s="2">
        <f>$AD67*AH67</f>
        <v>3.57187173326346</v>
      </c>
      <c r="J67" s="2">
        <f>$E67*AI67</f>
        <v>13.79999999999996</v>
      </c>
      <c r="K67" s="2">
        <f>$E67*AJ67</f>
        <v>61.066666666666585</v>
      </c>
      <c r="L67" s="2">
        <f>$E67*AK67</f>
        <v>57.999999999999964</v>
      </c>
      <c r="M67" s="2">
        <f>$E67*(AB67/100)</f>
        <v>40.266666669095997</v>
      </c>
      <c r="N67" s="2">
        <f>$E67*AL67</f>
        <v>0.39999999999998304</v>
      </c>
      <c r="O67" s="2">
        <f>$E67*(AA67/100)</f>
        <v>84.444444453599999</v>
      </c>
      <c r="P67" s="2">
        <f>$E67*AM67</f>
        <v>10.231999999999948</v>
      </c>
      <c r="Q67" s="2">
        <f>$E67*AN67</f>
        <v>3.9999999999999813</v>
      </c>
      <c r="R67" s="2">
        <f>$E67*AQ67</f>
        <v>4.2879999999999656</v>
      </c>
      <c r="S67" s="2">
        <f>$E67*AO67</f>
        <v>15.822222222222159</v>
      </c>
      <c r="T67" s="2">
        <f>$E67*AP67</f>
        <v>3.9555555555555348</v>
      </c>
      <c r="U67" s="2">
        <f>S67-T67</f>
        <v>11.866666666666625</v>
      </c>
      <c r="V67" s="1">
        <f>F67/D67</f>
        <v>0.23815368538531009</v>
      </c>
      <c r="W67" s="1">
        <f>(F67+M67+N67+P67)/(D67+M67+N67+Q67)</f>
        <v>0.3205434576658831</v>
      </c>
      <c r="X67" s="1">
        <f>(G67+H67*2+I67*3+J67*4)/D67</f>
        <v>0.38634522699371437</v>
      </c>
      <c r="Y67" s="1">
        <f>W67+X67</f>
        <v>0.70688868465959742</v>
      </c>
      <c r="Z67">
        <v>0.26286998119999999</v>
      </c>
      <c r="AA67">
        <v>16.754850090000001</v>
      </c>
      <c r="AB67">
        <v>7.9894179898999997</v>
      </c>
      <c r="AD67" s="2">
        <f>(D67-O67-J67+Q67)*Z67</f>
        <v>91.940236311077726</v>
      </c>
      <c r="AE67">
        <v>0.21429237600000001</v>
      </c>
      <c r="AF67">
        <v>0.77924263674614302</v>
      </c>
      <c r="AG67">
        <v>0.184782608695652</v>
      </c>
      <c r="AH67">
        <v>3.8849929873772698E-2</v>
      </c>
      <c r="AI67">
        <v>2.7380952380952301E-2</v>
      </c>
      <c r="AJ67">
        <v>0.121164021164021</v>
      </c>
      <c r="AK67">
        <v>0.115079365079365</v>
      </c>
      <c r="AL67">
        <v>7.9365079365076004E-4</v>
      </c>
      <c r="AM67">
        <v>2.0301587301587199E-2</v>
      </c>
      <c r="AN67">
        <v>7.9365079365078996E-3</v>
      </c>
      <c r="AO67">
        <v>3.1393298059964603E-2</v>
      </c>
      <c r="AP67">
        <v>7.8483245149911403E-3</v>
      </c>
      <c r="AQ67">
        <v>8.5079365079364401E-3</v>
      </c>
    </row>
    <row r="68" spans="1:43" x14ac:dyDescent="0.4">
      <c r="A68" t="s">
        <v>84</v>
      </c>
      <c r="B68" t="s">
        <v>93</v>
      </c>
      <c r="D68">
        <v>418</v>
      </c>
      <c r="E68">
        <v>469</v>
      </c>
      <c r="F68" s="2">
        <f>AD68+J68</f>
        <v>107.7566595839028</v>
      </c>
      <c r="G68" s="2">
        <f>$AD68*AF68</f>
        <v>70.735891987617549</v>
      </c>
      <c r="H68" s="2">
        <f>$AD68*AG68</f>
        <v>20.210254853604948</v>
      </c>
      <c r="I68" s="2">
        <f>$AD68*AH68</f>
        <v>1.0105127426802427</v>
      </c>
      <c r="J68" s="2">
        <f>$E68*AI68</f>
        <v>15.799999999999976</v>
      </c>
      <c r="K68" s="2">
        <f>$E68*AJ68</f>
        <v>55.882857142856835</v>
      </c>
      <c r="L68" s="2">
        <f>$E68*AK68</f>
        <v>58.999999999999716</v>
      </c>
      <c r="M68" s="2">
        <f>$E68*(AB68/100)</f>
        <v>40.307142856169001</v>
      </c>
      <c r="N68" s="2">
        <f>$E68*AL68</f>
        <v>1.0914285714285668</v>
      </c>
      <c r="O68" s="2">
        <f>$E68*(AA68/100)</f>
        <v>109.1142857028</v>
      </c>
      <c r="P68" s="2">
        <f>$E68*AM68</f>
        <v>6.8924210526315486</v>
      </c>
      <c r="Q68" s="2">
        <f>$E68*AN68</f>
        <v>3.5999999999999859</v>
      </c>
      <c r="R68" s="2">
        <f>$E68*AQ68</f>
        <v>0</v>
      </c>
      <c r="S68" s="2">
        <f>$E68*AO68</f>
        <v>0.99571428571428156</v>
      </c>
      <c r="T68" s="2">
        <f>$E68*AP68</f>
        <v>0</v>
      </c>
      <c r="U68" s="2">
        <f>S68-T68</f>
        <v>0.99571428571428156</v>
      </c>
      <c r="V68" s="1">
        <f>F68/D68</f>
        <v>0.25779105163613109</v>
      </c>
      <c r="W68" s="1">
        <f>(F68+M68+N68+P68)/(D68+M68+N68+Q68)</f>
        <v>0.33703700549869675</v>
      </c>
      <c r="X68" s="1">
        <f>(G68+H68*2+I68*3+J68*4)/D68</f>
        <v>0.42437306201643088</v>
      </c>
      <c r="Y68" s="1">
        <f>W68+X68</f>
        <v>0.76141006751512763</v>
      </c>
      <c r="Z68">
        <v>0.30994636800000003</v>
      </c>
      <c r="AA68">
        <v>23.265306120000002</v>
      </c>
      <c r="AB68">
        <v>8.5942735301000006</v>
      </c>
      <c r="AD68" s="2">
        <f>(D68-O68-J68+Q68)*Z68</f>
        <v>91.956659583902834</v>
      </c>
      <c r="AE68">
        <v>0.22626253900000001</v>
      </c>
      <c r="AF68">
        <v>0.76923076923076905</v>
      </c>
      <c r="AG68">
        <v>0.219780219780219</v>
      </c>
      <c r="AH68">
        <v>1.09890109890109E-2</v>
      </c>
      <c r="AI68">
        <v>3.36886993603411E-2</v>
      </c>
      <c r="AJ68">
        <v>0.119153213524215</v>
      </c>
      <c r="AK68">
        <v>0.12579957356076699</v>
      </c>
      <c r="AL68">
        <v>2.3271398111483301E-3</v>
      </c>
      <c r="AM68">
        <v>1.4695993715632299E-2</v>
      </c>
      <c r="AN68">
        <v>7.6759061833688398E-3</v>
      </c>
      <c r="AO68">
        <v>2.1230581784952699E-3</v>
      </c>
      <c r="AP68">
        <v>0</v>
      </c>
      <c r="AQ68">
        <v>0</v>
      </c>
    </row>
    <row r="69" spans="1:43" x14ac:dyDescent="0.4">
      <c r="A69" t="s">
        <v>94</v>
      </c>
      <c r="B69" s="3" t="s">
        <v>95</v>
      </c>
      <c r="D69">
        <v>350</v>
      </c>
      <c r="E69">
        <v>395</v>
      </c>
      <c r="F69" s="2">
        <f>AD69+J69</f>
        <v>75.973391348170622</v>
      </c>
      <c r="G69" s="2">
        <f>$AD69*AF69</f>
        <v>45.904089326620884</v>
      </c>
      <c r="H69" s="2">
        <f>$AD69*AG69</f>
        <v>15.337719183976381</v>
      </c>
      <c r="I69" s="2">
        <f>$AD69*AH69</f>
        <v>1.0327397583877362</v>
      </c>
      <c r="J69" s="2">
        <f>$E69*AI69</f>
        <v>13.599999999999943</v>
      </c>
      <c r="K69" s="2">
        <f>$E69*AJ69</f>
        <v>45.131034482758331</v>
      </c>
      <c r="L69" s="2">
        <f>$E69*AK69</f>
        <v>43.999999999999943</v>
      </c>
      <c r="M69" s="2">
        <f>$E69*(AB69/100)</f>
        <v>36.667816092804998</v>
      </c>
      <c r="N69" s="2">
        <f>$E69*AL69</f>
        <v>1.0816091954022726</v>
      </c>
      <c r="O69" s="2">
        <f>$E69*(AA69/100)</f>
        <v>102.6091953855</v>
      </c>
      <c r="P69" s="2">
        <f>$E69*AM69</f>
        <v>2.8751662971174934</v>
      </c>
      <c r="Q69" s="2">
        <f>$E69*AN69</f>
        <v>1.9999999999999976</v>
      </c>
      <c r="R69" s="2">
        <f>$E69*AQ69</f>
        <v>0.92549889135253049</v>
      </c>
      <c r="S69" s="2">
        <f>$E69*AO69</f>
        <v>6.0356321839079996</v>
      </c>
      <c r="T69" s="2">
        <f>$E69*AP69</f>
        <v>1.981609195402293</v>
      </c>
      <c r="U69" s="2">
        <f>S69-T69</f>
        <v>4.0540229885057064</v>
      </c>
      <c r="V69" s="1">
        <f>F69/D69</f>
        <v>0.21706683242334462</v>
      </c>
      <c r="W69" s="1">
        <f>(F69+M69+N69+P69)/(D69+M69+N69+Q69)</f>
        <v>0.29916139798609043</v>
      </c>
      <c r="X69" s="1">
        <f>(G69+H69*2+I69*3+J69*4)/D69</f>
        <v>0.38307927705639033</v>
      </c>
      <c r="Y69" s="1">
        <f>W69+X69</f>
        <v>0.68224067504248076</v>
      </c>
      <c r="Z69">
        <v>0.2645285148</v>
      </c>
      <c r="AA69">
        <v>25.977011489999999</v>
      </c>
      <c r="AB69">
        <v>9.2829914158999998</v>
      </c>
      <c r="AD69" s="2">
        <f>(D69-O69-J69+Q69)*Z69</f>
        <v>62.373391348170685</v>
      </c>
      <c r="AE69">
        <v>0.189183763</v>
      </c>
      <c r="AF69">
        <v>0.73595628415300496</v>
      </c>
      <c r="AG69">
        <v>0.24590163934426201</v>
      </c>
      <c r="AH69">
        <v>1.65573770491802E-2</v>
      </c>
      <c r="AI69">
        <v>3.4430379746835299E-2</v>
      </c>
      <c r="AJ69">
        <v>0.114255783500654</v>
      </c>
      <c r="AK69">
        <v>0.111392405063291</v>
      </c>
      <c r="AL69">
        <v>2.7382511276006901E-3</v>
      </c>
      <c r="AM69">
        <v>7.2789020180189703E-3</v>
      </c>
      <c r="AN69">
        <v>5.0632911392405004E-3</v>
      </c>
      <c r="AO69">
        <v>1.52800814782481E-2</v>
      </c>
      <c r="AP69">
        <v>5.0167321402589697E-3</v>
      </c>
      <c r="AQ69">
        <v>2.3430351679810898E-3</v>
      </c>
    </row>
    <row r="70" spans="1:43" x14ac:dyDescent="0.4">
      <c r="A70" t="s">
        <v>94</v>
      </c>
      <c r="B70" s="3" t="s">
        <v>96</v>
      </c>
      <c r="D70">
        <v>175</v>
      </c>
      <c r="E70">
        <v>197</v>
      </c>
      <c r="F70" s="2">
        <f>AD70+J70</f>
        <v>41.057184904155747</v>
      </c>
      <c r="G70" s="2">
        <f>$AD70*AF70</f>
        <v>25.903364401403948</v>
      </c>
      <c r="H70" s="2">
        <f>$AD70*AG70</f>
        <v>8.7642962260389403</v>
      </c>
      <c r="I70" s="2">
        <f>$AD70*AH70</f>
        <v>0.58428641506926038</v>
      </c>
      <c r="J70" s="2">
        <f>$E70*AI70</f>
        <v>5.9999999999999858</v>
      </c>
      <c r="K70" s="2">
        <f>$E70*AJ70</f>
        <v>21.908571428571229</v>
      </c>
      <c r="L70" s="2">
        <f>$E70*AK70</f>
        <v>23.999999999999865</v>
      </c>
      <c r="M70" s="2">
        <f>$E70*(AB70/100)</f>
        <v>16.201142856873979</v>
      </c>
      <c r="N70" s="2">
        <f>$E70*AL70</f>
        <v>0.61257142857141689</v>
      </c>
      <c r="O70" s="2">
        <f>$E70*(AA70/100)</f>
        <v>46.154285717100002</v>
      </c>
      <c r="P70" s="2">
        <f>$E70*AM70</f>
        <v>3.1082901554403937</v>
      </c>
      <c r="Q70" s="2">
        <f>$E70*AN70</f>
        <v>1.5999999999999817</v>
      </c>
      <c r="R70" s="2">
        <f>$E70*AQ70</f>
        <v>0.30621761658030688</v>
      </c>
      <c r="S70" s="2">
        <f>$E70*AO70</f>
        <v>2.0251428571428387</v>
      </c>
      <c r="T70" s="2">
        <f>$E70*AP70</f>
        <v>0</v>
      </c>
      <c r="U70" s="2">
        <f>S70-T70</f>
        <v>2.0251428571428387</v>
      </c>
      <c r="V70" s="1">
        <f>F70/D70</f>
        <v>0.23461248516660427</v>
      </c>
      <c r="W70" s="1">
        <f>(F70+M70+N70+P70)/(D70+M70+N70+Q70)</f>
        <v>0.31527851874581514</v>
      </c>
      <c r="X70" s="1">
        <f>(G70+H70*2+I70*3+J70*4)/D70</f>
        <v>0.39534180627822602</v>
      </c>
      <c r="Y70" s="1">
        <f>W70+X70</f>
        <v>0.71062032502404116</v>
      </c>
      <c r="Z70">
        <v>0.28170664699999998</v>
      </c>
      <c r="AA70">
        <v>23.428571430000002</v>
      </c>
      <c r="AB70">
        <v>8.2239303841999902</v>
      </c>
      <c r="AD70" s="2">
        <f>(D70-O70-J70+Q70)*Z70</f>
        <v>35.057184904155761</v>
      </c>
      <c r="AE70">
        <v>0.21492857100000001</v>
      </c>
      <c r="AF70">
        <v>0.73888888888888804</v>
      </c>
      <c r="AG70">
        <v>0.25</v>
      </c>
      <c r="AH70">
        <v>1.6666666666666601E-2</v>
      </c>
      <c r="AI70">
        <v>3.0456852791878101E-2</v>
      </c>
      <c r="AJ70">
        <v>0.111211022480057</v>
      </c>
      <c r="AK70">
        <v>0.121827411167512</v>
      </c>
      <c r="AL70">
        <v>3.1094996374183598E-3</v>
      </c>
      <c r="AM70">
        <v>1.57781226164487E-2</v>
      </c>
      <c r="AN70">
        <v>8.1218274111674194E-3</v>
      </c>
      <c r="AO70">
        <v>1.02799129804205E-2</v>
      </c>
      <c r="AP70">
        <v>0</v>
      </c>
      <c r="AQ70">
        <v>1.5544041450777E-3</v>
      </c>
    </row>
    <row r="71" spans="1:43" x14ac:dyDescent="0.4">
      <c r="A71" t="s">
        <v>94</v>
      </c>
      <c r="B71" t="s">
        <v>97</v>
      </c>
      <c r="D71">
        <v>590</v>
      </c>
      <c r="E71">
        <v>662</v>
      </c>
      <c r="F71" s="2">
        <f>AD71+J71</f>
        <v>160.01497229879402</v>
      </c>
      <c r="G71" s="2">
        <f>$AD71*AF71</f>
        <v>93.185162175508523</v>
      </c>
      <c r="H71" s="2">
        <f>$AD71*AG71</f>
        <v>33.849311046659011</v>
      </c>
      <c r="I71" s="2">
        <f>$AD71*AH71</f>
        <v>3.3849311046659007</v>
      </c>
      <c r="J71" s="2">
        <f>$E71*AI71</f>
        <v>28.599999999999934</v>
      </c>
      <c r="K71" s="2">
        <f>$E71*AJ71</f>
        <v>94.342857142856673</v>
      </c>
      <c r="L71" s="2">
        <f>$E71*AK71</f>
        <v>97.999999999999972</v>
      </c>
      <c r="M71" s="2">
        <f>$E71*(AB71/100)</f>
        <v>59.404761905194</v>
      </c>
      <c r="N71" s="2">
        <f>$E71*AL71</f>
        <v>10.576190476190426</v>
      </c>
      <c r="O71" s="2">
        <f>$E71*(AA71/100)</f>
        <v>79.7946428666</v>
      </c>
      <c r="P71" s="2">
        <f>$E71*AM71</f>
        <v>3.9055384615384292</v>
      </c>
      <c r="Q71" s="2">
        <f>$E71*AN71</f>
        <v>5.9999999999999813</v>
      </c>
      <c r="R71" s="2">
        <f>$E71*AQ71</f>
        <v>0</v>
      </c>
      <c r="S71" s="2">
        <f>$E71*AO71</f>
        <v>29.856845238095193</v>
      </c>
      <c r="T71" s="2">
        <f>$E71*AP71</f>
        <v>7.7910714285714038</v>
      </c>
      <c r="U71" s="2">
        <f>S71-T71</f>
        <v>22.06577380952379</v>
      </c>
      <c r="V71" s="1">
        <f>F71/D71</f>
        <v>0.27121181745558309</v>
      </c>
      <c r="W71" s="1">
        <f>(F71+M71+N71+P71)/(D71+M71+N71+Q71)</f>
        <v>0.35121344282496764</v>
      </c>
      <c r="X71" s="1">
        <f>(G71+H71*2+I71*3+J71*4)/D71</f>
        <v>0.483794199292922</v>
      </c>
      <c r="Y71" s="1">
        <f>W71+X71</f>
        <v>0.83500764211788958</v>
      </c>
      <c r="Z71">
        <v>0.26951092799999998</v>
      </c>
      <c r="AA71">
        <v>12.05357143</v>
      </c>
      <c r="AB71">
        <v>8.9735289887</v>
      </c>
      <c r="AD71" s="2">
        <f>(D71-O71-J71+Q71)*Z71</f>
        <v>131.41497229879408</v>
      </c>
      <c r="AE71">
        <v>0.245543807</v>
      </c>
      <c r="AF71">
        <v>0.70909090909090899</v>
      </c>
      <c r="AG71">
        <v>0.25757575757575701</v>
      </c>
      <c r="AH71">
        <v>2.5757575757575701E-2</v>
      </c>
      <c r="AI71">
        <v>4.3202416918428903E-2</v>
      </c>
      <c r="AJ71">
        <v>0.14251186879585601</v>
      </c>
      <c r="AK71">
        <v>0.14803625377643501</v>
      </c>
      <c r="AL71">
        <v>1.5976118544094298E-2</v>
      </c>
      <c r="AM71">
        <v>5.8996049267952102E-3</v>
      </c>
      <c r="AN71">
        <v>9.0634441087613007E-3</v>
      </c>
      <c r="AO71">
        <v>4.5100974679902102E-2</v>
      </c>
      <c r="AP71">
        <v>1.17689900733707E-2</v>
      </c>
      <c r="AQ71">
        <v>0</v>
      </c>
    </row>
    <row r="72" spans="1:43" x14ac:dyDescent="0.4">
      <c r="A72" t="s">
        <v>94</v>
      </c>
      <c r="B72" s="3" t="s">
        <v>98</v>
      </c>
      <c r="D72">
        <v>391</v>
      </c>
      <c r="E72">
        <v>445</v>
      </c>
      <c r="F72" s="2">
        <f>AD72+J72</f>
        <v>91.415509843955007</v>
      </c>
      <c r="G72" s="2">
        <f>$AD72*AF72</f>
        <v>52.81262466318038</v>
      </c>
      <c r="H72" s="2">
        <f>$AD72*AG72</f>
        <v>20.404229957442226</v>
      </c>
      <c r="I72" s="2">
        <f>$AD72*AH72</f>
        <v>0.98717607794100981</v>
      </c>
      <c r="J72" s="2">
        <f>$E72*AI72</f>
        <v>16.599999999999977</v>
      </c>
      <c r="K72" s="2">
        <f>$E72*AJ72</f>
        <v>54.266820276497384</v>
      </c>
      <c r="L72" s="2">
        <f>$E72*AK72</f>
        <v>53.999999999999744</v>
      </c>
      <c r="M72" s="2">
        <f>$E72*(AB72/100)</f>
        <v>39.919124425769994</v>
      </c>
      <c r="N72" s="2">
        <f>$E72*AL72</f>
        <v>1.4025345622119636</v>
      </c>
      <c r="O72" s="2">
        <f>$E72*(AA72/100)</f>
        <v>97.407834093999995</v>
      </c>
      <c r="P72" s="2">
        <f>$E72*AM72</f>
        <v>4.053156822810581</v>
      </c>
      <c r="Q72" s="2">
        <f>$E72*AN72</f>
        <v>3.9999999999999911</v>
      </c>
      <c r="R72" s="2">
        <f>$E72*AQ72</f>
        <v>0</v>
      </c>
      <c r="S72" s="2">
        <f>$E72*AO72</f>
        <v>1.0025345622119557</v>
      </c>
      <c r="T72" s="2">
        <f>$E72*AP72</f>
        <v>1.0025345622119557</v>
      </c>
      <c r="U72" s="2">
        <f>S72-T72</f>
        <v>0</v>
      </c>
      <c r="V72" s="1">
        <f>F72/D72</f>
        <v>0.23379925791292841</v>
      </c>
      <c r="W72" s="1">
        <f>(F72+M72+N72+P72)/(D72+M72+N72+Q72)</f>
        <v>0.31350798851476525</v>
      </c>
      <c r="X72" s="1">
        <f>(G72+H72*2+I72*3+J72*4)/D72</f>
        <v>0.41683532688462338</v>
      </c>
      <c r="Y72" s="1">
        <f>W72+X72</f>
        <v>0.73034331539938857</v>
      </c>
      <c r="Z72">
        <v>0.26625478899999999</v>
      </c>
      <c r="AA72">
        <v>21.88940092</v>
      </c>
      <c r="AB72">
        <v>8.9705897585999992</v>
      </c>
      <c r="AD72" s="2">
        <f>(D72-O72-J72+Q72)*Z72</f>
        <v>74.815509843955027</v>
      </c>
      <c r="AE72">
        <v>0.20957822000000001</v>
      </c>
      <c r="AF72">
        <v>0.70590476190476104</v>
      </c>
      <c r="AG72">
        <v>0.27272727272727199</v>
      </c>
      <c r="AH72">
        <v>1.31948051948051E-2</v>
      </c>
      <c r="AI72">
        <v>3.7303370786516798E-2</v>
      </c>
      <c r="AJ72">
        <v>0.12194791073370199</v>
      </c>
      <c r="AK72">
        <v>0.121348314606741</v>
      </c>
      <c r="AL72">
        <v>3.1517630611504802E-3</v>
      </c>
      <c r="AM72">
        <v>9.1082175793496204E-3</v>
      </c>
      <c r="AN72">
        <v>8.9887640449438002E-3</v>
      </c>
      <c r="AO72">
        <v>2.2528866566560802E-3</v>
      </c>
      <c r="AP72">
        <v>2.2528866566560802E-3</v>
      </c>
      <c r="AQ72">
        <v>0</v>
      </c>
    </row>
    <row r="73" spans="1:43" x14ac:dyDescent="0.4">
      <c r="A73" t="s">
        <v>94</v>
      </c>
      <c r="B73" t="s">
        <v>99</v>
      </c>
      <c r="D73">
        <v>510</v>
      </c>
      <c r="E73">
        <v>567</v>
      </c>
      <c r="F73" s="2">
        <f>AD73+J73</f>
        <v>121.84949535951661</v>
      </c>
      <c r="G73" s="2">
        <f>$AD73*AF73</f>
        <v>75.90423107703451</v>
      </c>
      <c r="H73" s="2">
        <f>$AD73*AG73</f>
        <v>26.312373839879168</v>
      </c>
      <c r="I73" s="2">
        <f>$AD73*AH73</f>
        <v>2.5574643732218849</v>
      </c>
      <c r="J73" s="2">
        <f>$E73*AI73</f>
        <v>16.599999999999937</v>
      </c>
      <c r="K73" s="2">
        <f>$E73*AJ73</f>
        <v>71.583720930232047</v>
      </c>
      <c r="L73" s="2">
        <f>$E73*AK73</f>
        <v>63.999999999999879</v>
      </c>
      <c r="M73" s="2">
        <f>$E73*(AB73/100)</f>
        <v>44.309302323425946</v>
      </c>
      <c r="N73" s="2">
        <f>$E73*AL73</f>
        <v>9.4186046511627208E-2</v>
      </c>
      <c r="O73" s="2">
        <f>$E73*(AA73/100)</f>
        <v>145.98837211770001</v>
      </c>
      <c r="P73" s="2">
        <f>$E73*AM73</f>
        <v>6.9064171122993789</v>
      </c>
      <c r="Q73" s="2">
        <f>$E73*AN73</f>
        <v>4.3999999999999506</v>
      </c>
      <c r="R73" s="2">
        <f>$E73*AQ73</f>
        <v>0</v>
      </c>
      <c r="S73" s="2">
        <f>$E73*AO73</f>
        <v>23.860465116279041</v>
      </c>
      <c r="T73" s="2">
        <f>$E73*AP73</f>
        <v>8.0476744186046059</v>
      </c>
      <c r="U73" s="2">
        <f>S73-T73</f>
        <v>15.812790697674435</v>
      </c>
      <c r="V73" s="1">
        <f>F73/D73</f>
        <v>0.23892057913630707</v>
      </c>
      <c r="W73" s="1">
        <f>(F73+M73+N73+P73)/(D73+M73+N73+Q73)</f>
        <v>0.30987530401227387</v>
      </c>
      <c r="X73" s="1">
        <f>(G73+H73*2+I73*3+J73*4)/D73</f>
        <v>0.39725759191462401</v>
      </c>
      <c r="Y73" s="1">
        <f>W73+X73</f>
        <v>0.70713289592689788</v>
      </c>
      <c r="Z73">
        <v>0.29916434539999998</v>
      </c>
      <c r="AA73">
        <v>25.747508310000001</v>
      </c>
      <c r="AB73">
        <v>7.8146917677999896</v>
      </c>
      <c r="AD73" s="2">
        <f>(D73-O73-J73+Q73)*Z73</f>
        <v>105.24949535951667</v>
      </c>
      <c r="AE73">
        <v>0.21893394199999999</v>
      </c>
      <c r="AF73">
        <v>0.72118380062305198</v>
      </c>
      <c r="AG73">
        <v>0.25</v>
      </c>
      <c r="AH73">
        <v>2.4299065420560598E-2</v>
      </c>
      <c r="AI73">
        <v>2.92768959435625E-2</v>
      </c>
      <c r="AJ73">
        <v>0.126249948730568</v>
      </c>
      <c r="AK73">
        <v>0.11287477954144599</v>
      </c>
      <c r="AL73">
        <v>1.6611295681062999E-4</v>
      </c>
      <c r="AM73">
        <v>1.2180629827688499E-2</v>
      </c>
      <c r="AN73">
        <v>7.7601410934743402E-3</v>
      </c>
      <c r="AO73">
        <v>4.2081949058693197E-2</v>
      </c>
      <c r="AP73">
        <v>1.4193429309708299E-2</v>
      </c>
      <c r="AQ73">
        <v>0</v>
      </c>
    </row>
    <row r="74" spans="1:43" x14ac:dyDescent="0.4">
      <c r="A74" t="s">
        <v>94</v>
      </c>
      <c r="B74" t="s">
        <v>100</v>
      </c>
      <c r="D74">
        <v>567</v>
      </c>
      <c r="E74">
        <v>640</v>
      </c>
      <c r="F74" s="2">
        <f>AD74+J74</f>
        <v>154.12717417796429</v>
      </c>
      <c r="G74" s="2">
        <f>$AD74*AF74</f>
        <v>117.50291883672544</v>
      </c>
      <c r="H74" s="2">
        <f>$AD74*AG74</f>
        <v>25.846665733966599</v>
      </c>
      <c r="I74" s="2">
        <f>$AD74*AH74</f>
        <v>4.5621967033779978</v>
      </c>
      <c r="J74" s="2">
        <f>$E74*AI74</f>
        <v>7</v>
      </c>
      <c r="K74" s="2">
        <f>$E74*AJ74</f>
        <v>81.542857142856946</v>
      </c>
      <c r="L74" s="2">
        <f>$E74*AK74</f>
        <v>55</v>
      </c>
      <c r="M74" s="2">
        <f>$E74*(AB74/100)</f>
        <v>59.576190476800008</v>
      </c>
      <c r="N74" s="2">
        <f>$E74*AL74</f>
        <v>1.3952380952380927</v>
      </c>
      <c r="O74" s="2">
        <f>$E74*(AA74/100)</f>
        <v>62.857142854400003</v>
      </c>
      <c r="P74" s="2">
        <f>$E74*AM74</f>
        <v>5.0152979066022532</v>
      </c>
      <c r="Q74" s="2">
        <f>$E74*AN74</f>
        <v>4.6000000000000005</v>
      </c>
      <c r="R74" s="2">
        <f>$E74*AQ74</f>
        <v>2.036714975845376</v>
      </c>
      <c r="S74" s="2">
        <f>$E74*AO74</f>
        <v>17.014285714285695</v>
      </c>
      <c r="T74" s="2">
        <f>$E74*AP74</f>
        <v>3.9809523809523779</v>
      </c>
      <c r="U74" s="2">
        <f>S74-T74</f>
        <v>13.033333333333317</v>
      </c>
      <c r="V74" s="1">
        <f>F74/D74</f>
        <v>0.27182923135443438</v>
      </c>
      <c r="W74" s="1">
        <f>(F74+M74+N74+P74)/(D74+M74+N74+Q74)</f>
        <v>0.34796687095635676</v>
      </c>
      <c r="X74" s="1">
        <f>(G74+H74*2+I74*3+J74*4)/D74</f>
        <v>0.37192740813896408</v>
      </c>
      <c r="Y74" s="1">
        <f>W74+X74</f>
        <v>0.71989427909532089</v>
      </c>
      <c r="Z74">
        <v>0.29323222459999998</v>
      </c>
      <c r="AA74">
        <v>9.8214285710000002</v>
      </c>
      <c r="AB74">
        <v>9.3087797620000003</v>
      </c>
      <c r="AD74" s="2">
        <f>(D74-O74-J74+Q74)*Z74</f>
        <v>147.12717417796429</v>
      </c>
      <c r="AE74">
        <v>0.24425465800000001</v>
      </c>
      <c r="AF74">
        <v>0.79864864864864804</v>
      </c>
      <c r="AG74">
        <v>0.17567567567567499</v>
      </c>
      <c r="AH74">
        <v>3.1008525303827202E-2</v>
      </c>
      <c r="AI74">
        <v>1.0937499999999999E-2</v>
      </c>
      <c r="AJ74">
        <v>0.12741071428571399</v>
      </c>
      <c r="AK74">
        <v>8.59375E-2</v>
      </c>
      <c r="AL74">
        <v>2.1800595238095199E-3</v>
      </c>
      <c r="AM74">
        <v>7.8364029790660202E-3</v>
      </c>
      <c r="AN74">
        <v>7.1875000000000003E-3</v>
      </c>
      <c r="AO74">
        <v>2.6584821428571399E-2</v>
      </c>
      <c r="AP74">
        <v>6.2202380952380903E-3</v>
      </c>
      <c r="AQ74">
        <v>3.1823671497583999E-3</v>
      </c>
    </row>
    <row r="75" spans="1:43" x14ac:dyDescent="0.4">
      <c r="A75" t="s">
        <v>101</v>
      </c>
      <c r="B75" s="3" t="s">
        <v>102</v>
      </c>
      <c r="D75">
        <v>544</v>
      </c>
      <c r="E75">
        <v>596</v>
      </c>
      <c r="F75" s="2">
        <f>AD75+J75</f>
        <v>138.07437640320202</v>
      </c>
      <c r="G75" s="2">
        <f>$AD75*AF75</f>
        <v>87.459101882146925</v>
      </c>
      <c r="H75" s="2">
        <f>$AD75*AG75</f>
        <v>26.016528089600428</v>
      </c>
      <c r="I75" s="2">
        <f>$AD75*AH75</f>
        <v>4.1153963171206254</v>
      </c>
      <c r="J75" s="2">
        <f>$E75*AI75</f>
        <v>20.999999999999964</v>
      </c>
      <c r="K75" s="2">
        <f>$E75*AJ75</f>
        <v>77.708270676691427</v>
      </c>
      <c r="L75" s="2">
        <f>$E75*AK75</f>
        <v>67.999999999999631</v>
      </c>
      <c r="M75" s="2">
        <f>$E75*(AB75/100)</f>
        <v>39.853834586887999</v>
      </c>
      <c r="N75" s="2">
        <f>$E75*AL75</f>
        <v>0.989624060150326</v>
      </c>
      <c r="O75" s="2">
        <f>$E75*(AA75/100)</f>
        <v>168.49323307239999</v>
      </c>
      <c r="P75" s="2">
        <f>$E75*AM75</f>
        <v>4.9334545454545182</v>
      </c>
      <c r="Q75" s="2">
        <f>$E75*AN75</f>
        <v>4.3999999999999639</v>
      </c>
      <c r="R75" s="2">
        <f>$E75*AQ75</f>
        <v>3.1505454545454197</v>
      </c>
      <c r="S75" s="2">
        <f>$E75*AO75</f>
        <v>26.809473684210477</v>
      </c>
      <c r="T75" s="2">
        <f>$E75*AP75</f>
        <v>5.9377443609022365</v>
      </c>
      <c r="U75" s="2">
        <f>S75-T75</f>
        <v>20.871729323308241</v>
      </c>
      <c r="V75" s="1">
        <f>F75/D75</f>
        <v>0.25381319191765078</v>
      </c>
      <c r="W75" s="1">
        <f>(F75+M75+N75+P75)/(D75+M75+N75+Q75)</f>
        <v>0.31201244052472937</v>
      </c>
      <c r="X75" s="1">
        <f>(G75+H75*2+I75*3+J75*4)/D75</f>
        <v>0.43352637318512777</v>
      </c>
      <c r="Y75" s="1">
        <f>W75+X75</f>
        <v>0.74553881370985708</v>
      </c>
      <c r="Z75">
        <v>0.32619718320000002</v>
      </c>
      <c r="AA75">
        <v>28.270676689999998</v>
      </c>
      <c r="AB75">
        <v>6.6868849978</v>
      </c>
      <c r="AD75" s="2">
        <f>(D75-O75-J75+Q75)*Z75</f>
        <v>117.07437640320205</v>
      </c>
      <c r="AE75">
        <v>0.226258611</v>
      </c>
      <c r="AF75">
        <v>0.74703880190605798</v>
      </c>
      <c r="AG75">
        <v>0.22222222222222199</v>
      </c>
      <c r="AH75">
        <v>3.5151981531358102E-2</v>
      </c>
      <c r="AI75">
        <v>3.5234899328859003E-2</v>
      </c>
      <c r="AJ75">
        <v>0.130383004491093</v>
      </c>
      <c r="AK75">
        <v>0.114093959731543</v>
      </c>
      <c r="AL75">
        <v>1.6604430539435E-3</v>
      </c>
      <c r="AM75">
        <v>8.2776082977424805E-3</v>
      </c>
      <c r="AN75">
        <v>7.3825503355704099E-3</v>
      </c>
      <c r="AO75">
        <v>4.4982338396326302E-2</v>
      </c>
      <c r="AP75">
        <v>9.9626583236614701E-3</v>
      </c>
      <c r="AQ75">
        <v>5.2861500915191602E-3</v>
      </c>
    </row>
    <row r="76" spans="1:43" x14ac:dyDescent="0.4">
      <c r="A76" t="s">
        <v>101</v>
      </c>
      <c r="B76" s="3" t="s">
        <v>103</v>
      </c>
      <c r="D76">
        <v>604</v>
      </c>
      <c r="E76">
        <v>643</v>
      </c>
      <c r="F76" s="2">
        <f>AD76+J76</f>
        <v>160.22520848853432</v>
      </c>
      <c r="G76" s="2">
        <f>$AD76*AF76</f>
        <v>99.689285167760232</v>
      </c>
      <c r="H76" s="2">
        <f>$AD76*AG76</f>
        <v>32.523578467890317</v>
      </c>
      <c r="I76" s="2">
        <f>$AD76*AH76</f>
        <v>3.676971232342046</v>
      </c>
      <c r="J76" s="2">
        <f>$E76*AI76</f>
        <v>21.999999999999979</v>
      </c>
      <c r="K76" s="2">
        <f>$E76*AJ76</f>
        <v>78.603206997084442</v>
      </c>
      <c r="L76" s="2">
        <f>$E76*AK76</f>
        <v>75.999999999999801</v>
      </c>
      <c r="M76" s="2">
        <f>$E76*(AB76/100)</f>
        <v>29.718221574284001</v>
      </c>
      <c r="N76" s="2">
        <f>$E76*AL76</f>
        <v>0.99373177842565097</v>
      </c>
      <c r="O76" s="2">
        <f>$E76*(AA76/100)</f>
        <v>166.84256562410002</v>
      </c>
      <c r="P76" s="2">
        <f>$E76*AM76</f>
        <v>4.8950844854070601</v>
      </c>
      <c r="Q76" s="2">
        <f>$E76*AN76</f>
        <v>4.5999999999999961</v>
      </c>
      <c r="R76" s="2">
        <f>$E76*AQ76</f>
        <v>2.977880184331767</v>
      </c>
      <c r="S76" s="2">
        <f>$E76*AO76</f>
        <v>8.9435860058308645</v>
      </c>
      <c r="T76" s="2">
        <f>$E76*AP76</f>
        <v>3.0749271137026173</v>
      </c>
      <c r="U76" s="2">
        <f>S76-T76</f>
        <v>5.8686588921282468</v>
      </c>
      <c r="V76" s="1">
        <f>F76/D76</f>
        <v>0.26527352398763959</v>
      </c>
      <c r="W76" s="1">
        <f>(F76+M76+N76+P76)/(D76+M76+N76+Q76)</f>
        <v>0.30631719819981218</v>
      </c>
      <c r="X76" s="1">
        <f>(G76+H76*2+I76*3+J76*4)/D76</f>
        <v>0.4367009201996141</v>
      </c>
      <c r="Y76" s="1">
        <f>W76+X76</f>
        <v>0.74301811839942622</v>
      </c>
      <c r="Z76">
        <v>0.32929782099999999</v>
      </c>
      <c r="AA76">
        <v>25.947521869999999</v>
      </c>
      <c r="AB76">
        <v>4.6218073987999997</v>
      </c>
      <c r="AD76" s="2">
        <f>(D76-O76-J76+Q76)*Z76</f>
        <v>138.22520848853435</v>
      </c>
      <c r="AE76">
        <v>0.244375079</v>
      </c>
      <c r="AF76">
        <v>0.721209150326797</v>
      </c>
      <c r="AG76">
        <v>0.23529411764705799</v>
      </c>
      <c r="AH76">
        <v>2.66013071895424E-2</v>
      </c>
      <c r="AI76">
        <v>3.42146189735614E-2</v>
      </c>
      <c r="AJ76">
        <v>0.122244489886601</v>
      </c>
      <c r="AK76">
        <v>0.118195956454121</v>
      </c>
      <c r="AL76">
        <v>1.5454615527615101E-3</v>
      </c>
      <c r="AM76">
        <v>7.61288411416339E-3</v>
      </c>
      <c r="AN76">
        <v>7.1539657853810197E-3</v>
      </c>
      <c r="AO76">
        <v>1.3909153974853599E-2</v>
      </c>
      <c r="AP76">
        <v>4.78215725303673E-3</v>
      </c>
      <c r="AQ76">
        <v>4.6312289025377401E-3</v>
      </c>
    </row>
    <row r="77" spans="1:43" x14ac:dyDescent="0.4">
      <c r="A77" t="s">
        <v>101</v>
      </c>
      <c r="B77" s="3" t="s">
        <v>104</v>
      </c>
      <c r="D77">
        <v>471</v>
      </c>
      <c r="E77">
        <v>531</v>
      </c>
      <c r="F77" s="2">
        <f>AD77+J77</f>
        <v>107.00378583848939</v>
      </c>
      <c r="G77" s="2">
        <f>$AD77*AF77</f>
        <v>60.199440823837442</v>
      </c>
      <c r="H77" s="2">
        <f>$AD77*AG77</f>
        <v>22.784553815120628</v>
      </c>
      <c r="I77" s="2">
        <f>$AD77*AH77</f>
        <v>2.6377089539767722</v>
      </c>
      <c r="J77" s="2">
        <f>$E77*AI77</f>
        <v>22.79999999999993</v>
      </c>
      <c r="K77" s="2">
        <f>$E77*AJ77</f>
        <v>63.571428571428477</v>
      </c>
      <c r="L77" s="2">
        <f>$E77*AK77</f>
        <v>66.999999999999872</v>
      </c>
      <c r="M77" s="2">
        <f>$E77*(AB77/100)</f>
        <v>52.231746033188998</v>
      </c>
      <c r="N77" s="2">
        <f>$E77*AL77</f>
        <v>1.8936507936507747</v>
      </c>
      <c r="O77" s="2">
        <f>$E77*(AA77/100)</f>
        <v>159.20634922919999</v>
      </c>
      <c r="P77" s="2">
        <f>$E77*AM77</f>
        <v>2.9829484902308603</v>
      </c>
      <c r="Q77" s="2">
        <f>$E77*AN77</f>
        <v>2.9999999999999503</v>
      </c>
      <c r="R77" s="2">
        <f>$E77*AQ77</f>
        <v>0</v>
      </c>
      <c r="S77" s="2">
        <f>$E77*AO77</f>
        <v>8.8492063492062574</v>
      </c>
      <c r="T77" s="2">
        <f>$E77*AP77</f>
        <v>1.9873015873015683</v>
      </c>
      <c r="U77" s="2">
        <f>S77-T77</f>
        <v>6.8619047619046896</v>
      </c>
      <c r="V77" s="1">
        <f>F77/D77</f>
        <v>0.22718425868044456</v>
      </c>
      <c r="W77" s="1">
        <f>(F77+M77+N77+P77)/(D77+M77+N77+Q77)</f>
        <v>0.31074463023668725</v>
      </c>
      <c r="X77" s="1">
        <f>(G77+H77*2+I77*3+J77*4)/D77</f>
        <v>0.43499294122294851</v>
      </c>
      <c r="Y77" s="1">
        <f>W77+X77</f>
        <v>0.74573757145963571</v>
      </c>
      <c r="Z77">
        <v>0.288375399999999</v>
      </c>
      <c r="AA77">
        <v>29.982363320000001</v>
      </c>
      <c r="AB77">
        <v>9.8364870118999992</v>
      </c>
      <c r="AD77" s="2">
        <f>(D77-O77-J77+Q77)*Z77</f>
        <v>84.203785838489466</v>
      </c>
      <c r="AE77">
        <v>0.200944491</v>
      </c>
      <c r="AF77">
        <v>0.71492558469170797</v>
      </c>
      <c r="AG77">
        <v>0.27058823529411702</v>
      </c>
      <c r="AH77">
        <v>3.1325301204819203E-2</v>
      </c>
      <c r="AI77">
        <v>4.2937853107344499E-2</v>
      </c>
      <c r="AJ77">
        <v>0.119720204465967</v>
      </c>
      <c r="AK77">
        <v>0.12617702448210899</v>
      </c>
      <c r="AL77">
        <v>3.5661973515080502E-3</v>
      </c>
      <c r="AM77">
        <v>5.6176054429959701E-3</v>
      </c>
      <c r="AN77">
        <v>5.6497175141242001E-3</v>
      </c>
      <c r="AO77">
        <v>1.6665172032403499E-2</v>
      </c>
      <c r="AP77">
        <v>3.7425641945415598E-3</v>
      </c>
      <c r="AQ77">
        <v>0</v>
      </c>
    </row>
    <row r="78" spans="1:43" x14ac:dyDescent="0.4">
      <c r="A78" t="s">
        <v>101</v>
      </c>
      <c r="B78" s="3" t="s">
        <v>105</v>
      </c>
      <c r="D78">
        <v>427</v>
      </c>
      <c r="E78">
        <v>491</v>
      </c>
      <c r="F78" s="2">
        <f>AD78+J78</f>
        <v>104.57243383184148</v>
      </c>
      <c r="G78" s="2">
        <f>$AD78*AF78</f>
        <v>66.683788484596121</v>
      </c>
      <c r="H78" s="2">
        <f>$AD78*AG78</f>
        <v>21.371023713131109</v>
      </c>
      <c r="I78" s="2">
        <f>$AD78*AH78</f>
        <v>1.9776207482633277</v>
      </c>
      <c r="J78" s="2">
        <f>$E78*AI78</f>
        <v>13.999999999999998</v>
      </c>
      <c r="K78" s="2">
        <f>$E78*AJ78</f>
        <v>59.829729729729365</v>
      </c>
      <c r="L78" s="2">
        <f>$E78*AK78</f>
        <v>54.999999999999801</v>
      </c>
      <c r="M78" s="2">
        <f>$E78*(AB78/100)</f>
        <v>54.382046333439511</v>
      </c>
      <c r="N78" s="2">
        <f>$E78*AL78</f>
        <v>2.9843629343629203</v>
      </c>
      <c r="O78" s="2">
        <f>$E78*(AA78/100)</f>
        <v>144.07722005939999</v>
      </c>
      <c r="P78" s="2">
        <f>$E78*AM78</f>
        <v>4.0269565217391152</v>
      </c>
      <c r="Q78" s="2">
        <f>$E78*AN78</f>
        <v>2.3999999999999915</v>
      </c>
      <c r="R78" s="2">
        <f>$E78*AQ78</f>
        <v>1.0404347826086764</v>
      </c>
      <c r="S78" s="2">
        <f>$E78*AO78</f>
        <v>10.942664092664018</v>
      </c>
      <c r="T78" s="2">
        <f>$E78*AP78</f>
        <v>2.9843629343629203</v>
      </c>
      <c r="U78" s="2">
        <f>S78-T78</f>
        <v>7.9583011583010972</v>
      </c>
      <c r="V78" s="1">
        <f>F78/D78</f>
        <v>0.24490031342351634</v>
      </c>
      <c r="W78" s="1">
        <f>(F78+M78+N78+P78)/(D78+M78+N78+Q78)</f>
        <v>0.34095573659454032</v>
      </c>
      <c r="X78" s="1">
        <f>(G78+H78*2+I78*3+J78*4)/D78</f>
        <v>0.40130842659402416</v>
      </c>
      <c r="Y78" s="1">
        <f>W78+X78</f>
        <v>0.74226416318856447</v>
      </c>
      <c r="Z78">
        <v>0.33381802240000003</v>
      </c>
      <c r="AA78">
        <v>29.34362934</v>
      </c>
      <c r="AB78">
        <v>11.0757731839999</v>
      </c>
      <c r="AD78" s="2">
        <f>(D78-O78-J78+Q78)*Z78</f>
        <v>90.572433831841479</v>
      </c>
      <c r="AE78">
        <v>0.215511642</v>
      </c>
      <c r="AF78">
        <v>0.73624816805080595</v>
      </c>
      <c r="AG78">
        <v>0.235955056179775</v>
      </c>
      <c r="AH78">
        <v>2.1834687052078298E-2</v>
      </c>
      <c r="AI78">
        <v>2.8513238289205701E-2</v>
      </c>
      <c r="AJ78">
        <v>0.121852810040182</v>
      </c>
      <c r="AK78">
        <v>0.112016293279022</v>
      </c>
      <c r="AL78">
        <v>6.0781322492116504E-3</v>
      </c>
      <c r="AM78">
        <v>8.2015407774727392E-3</v>
      </c>
      <c r="AN78">
        <v>4.8879837067209598E-3</v>
      </c>
      <c r="AO78">
        <v>2.2286484913776002E-2</v>
      </c>
      <c r="AP78">
        <v>6.0781322492116504E-3</v>
      </c>
      <c r="AQ78">
        <v>2.11901177720708E-3</v>
      </c>
    </row>
    <row r="79" spans="1:43" x14ac:dyDescent="0.4">
      <c r="A79" t="s">
        <v>101</v>
      </c>
      <c r="B79" t="s">
        <v>106</v>
      </c>
      <c r="D79">
        <v>548</v>
      </c>
      <c r="E79">
        <v>620</v>
      </c>
      <c r="F79" s="2">
        <f>AD79+J79</f>
        <v>131.38982786586627</v>
      </c>
      <c r="G79" s="2">
        <f>$AD79*AF79</f>
        <v>83.590592007809846</v>
      </c>
      <c r="H79" s="2">
        <f>$AD79*AG79</f>
        <v>27.192120291697179</v>
      </c>
      <c r="I79" s="2">
        <f>$AD79*AH79</f>
        <v>1.4172862697490578</v>
      </c>
      <c r="J79" s="2">
        <f>$E79*AI79</f>
        <v>19.599999999999966</v>
      </c>
      <c r="K79" s="2">
        <f>$E79*AJ79</f>
        <v>71.215070643641681</v>
      </c>
      <c r="L79" s="2">
        <f>$E79*AK79</f>
        <v>69.999999999999616</v>
      </c>
      <c r="M79" s="2">
        <f>$E79*(AB79/100)</f>
        <v>65.921193093800014</v>
      </c>
      <c r="N79" s="2">
        <f>$E79*AL79</f>
        <v>2.9919937205651141</v>
      </c>
      <c r="O79" s="2">
        <f>$E79*(AA79/100)</f>
        <v>176.16954473999999</v>
      </c>
      <c r="P79" s="2">
        <f>$E79*AM79</f>
        <v>3.9094841930116422</v>
      </c>
      <c r="Q79" s="2">
        <f>$E79*AN79</f>
        <v>3.9999999999999964</v>
      </c>
      <c r="R79" s="2">
        <f>$E79*AQ79</f>
        <v>0</v>
      </c>
      <c r="S79" s="2">
        <f>$E79*AO79</f>
        <v>5.0839874411302635</v>
      </c>
      <c r="T79" s="2">
        <f>$E79*AP79</f>
        <v>3.0893249607535003</v>
      </c>
      <c r="U79" s="2">
        <f>S79-T79</f>
        <v>1.9946624803767632</v>
      </c>
      <c r="V79" s="1">
        <f>F79/D79</f>
        <v>0.239762459609245</v>
      </c>
      <c r="W79" s="1">
        <f>(F79+M79+N79+P79)/(D79+M79+N79+Q79)</f>
        <v>0.32889058117926012</v>
      </c>
      <c r="X79" s="1">
        <f>(G79+H79*2+I79*3+J79*4)/D79</f>
        <v>0.40260345146067744</v>
      </c>
      <c r="Y79" s="1">
        <f>W79+X79</f>
        <v>0.73149403263993751</v>
      </c>
      <c r="Z79">
        <v>0.313813224599999</v>
      </c>
      <c r="AA79">
        <v>28.414442699999999</v>
      </c>
      <c r="AB79">
        <v>10.632450499000001</v>
      </c>
      <c r="AD79" s="2">
        <f>(D79-O79-J79+Q79)*Z79</f>
        <v>111.78982786586629</v>
      </c>
      <c r="AE79">
        <v>0.21040404300000001</v>
      </c>
      <c r="AF79">
        <v>0.74774774774774699</v>
      </c>
      <c r="AG79">
        <v>0.24324324324324301</v>
      </c>
      <c r="AH79">
        <v>1.26781326781326E-2</v>
      </c>
      <c r="AI79">
        <v>3.1612903225806399E-2</v>
      </c>
      <c r="AJ79">
        <v>0.114863017167164</v>
      </c>
      <c r="AK79">
        <v>0.112903225806451</v>
      </c>
      <c r="AL79">
        <v>4.8257963234921196E-3</v>
      </c>
      <c r="AM79">
        <v>6.3056196661478098E-3</v>
      </c>
      <c r="AN79">
        <v>6.4516129032258004E-3</v>
      </c>
      <c r="AO79">
        <v>8.1999797437584902E-3</v>
      </c>
      <c r="AP79">
        <v>4.9827821947637102E-3</v>
      </c>
      <c r="AQ79">
        <v>0</v>
      </c>
    </row>
    <row r="80" spans="1:43" x14ac:dyDescent="0.4">
      <c r="A80" t="s">
        <v>107</v>
      </c>
      <c r="B80" s="3" t="s">
        <v>108</v>
      </c>
      <c r="D80">
        <v>476</v>
      </c>
      <c r="E80">
        <v>523</v>
      </c>
      <c r="F80" s="2">
        <f>AD80+J80</f>
        <v>120.91805763542791</v>
      </c>
      <c r="G80" s="2">
        <f>$AD80*AF80</f>
        <v>79.986844947771331</v>
      </c>
      <c r="H80" s="2">
        <f>$AD80*AG80</f>
        <v>22.939395566493822</v>
      </c>
      <c r="I80" s="2">
        <f>$AD80*AH80</f>
        <v>3.3145792046232949</v>
      </c>
      <c r="J80" s="2">
        <f>$E80*AI80</f>
        <v>14.199999999999946</v>
      </c>
      <c r="K80" s="2">
        <f>$E80*AJ80</f>
        <v>61.131868131867833</v>
      </c>
      <c r="L80" s="2">
        <f>$E80*AK80</f>
        <v>60.999999999999659</v>
      </c>
      <c r="M80" s="2">
        <f>$E80*(AB80/100)</f>
        <v>38.510439562518997</v>
      </c>
      <c r="N80" s="2">
        <f>$E80*AL80</f>
        <v>1.895787545787508</v>
      </c>
      <c r="O80" s="2">
        <f>$E80*(AA80/100)</f>
        <v>111.11355313749999</v>
      </c>
      <c r="P80" s="2">
        <f>$E80*AM80</f>
        <v>2.9752631578947275</v>
      </c>
      <c r="Q80" s="2">
        <f>$E80*AN80</f>
        <v>3.9999999999999716</v>
      </c>
      <c r="R80" s="2">
        <f>$E80*AQ80</f>
        <v>0</v>
      </c>
      <c r="S80" s="2">
        <f>$E80*AO80</f>
        <v>4.8831501831501383</v>
      </c>
      <c r="T80" s="2">
        <f>$E80*AP80</f>
        <v>0.99578754578752082</v>
      </c>
      <c r="U80" s="2">
        <f>S80-T80</f>
        <v>3.8873626373626173</v>
      </c>
      <c r="V80" s="1">
        <f>F80/D80</f>
        <v>0.25402953284753765</v>
      </c>
      <c r="W80" s="1">
        <f>(F80+M80+N80+P80)/(D80+M80+N80+Q80)</f>
        <v>0.31571403135311688</v>
      </c>
      <c r="X80" s="1">
        <f>(G80+H80*2+I80*3+J80*4)/D80</f>
        <v>0.40464154137527025</v>
      </c>
      <c r="Y80" s="1">
        <f>W80+X80</f>
        <v>0.72035557272838713</v>
      </c>
      <c r="Z80">
        <v>0.30087999859999998</v>
      </c>
      <c r="AA80">
        <v>21.24542125</v>
      </c>
      <c r="AB80">
        <v>7.3633727653000003</v>
      </c>
      <c r="AD80" s="2">
        <f>(D80-O80-J80+Q80)*Z80</f>
        <v>106.71805763542797</v>
      </c>
      <c r="AE80">
        <v>0.23604661699999999</v>
      </c>
      <c r="AF80">
        <v>0.749515562033782</v>
      </c>
      <c r="AG80">
        <v>0.21495327102803699</v>
      </c>
      <c r="AH80">
        <v>3.1059216013344399E-2</v>
      </c>
      <c r="AI80">
        <v>2.7151051625238901E-2</v>
      </c>
      <c r="AJ80">
        <v>0.11688693715462301</v>
      </c>
      <c r="AK80">
        <v>0.116634799235181</v>
      </c>
      <c r="AL80">
        <v>3.6248327835325198E-3</v>
      </c>
      <c r="AM80">
        <v>5.68883969004728E-3</v>
      </c>
      <c r="AN80">
        <v>7.6481835564052997E-3</v>
      </c>
      <c r="AO80">
        <v>9.3368072335566696E-3</v>
      </c>
      <c r="AP80">
        <v>1.9039914833413401E-3</v>
      </c>
      <c r="AQ80">
        <v>0</v>
      </c>
    </row>
    <row r="81" spans="1:43" x14ac:dyDescent="0.4">
      <c r="A81" t="s">
        <v>107</v>
      </c>
      <c r="B81" t="s">
        <v>109</v>
      </c>
      <c r="D81">
        <v>556</v>
      </c>
      <c r="E81">
        <v>626</v>
      </c>
      <c r="F81" s="2">
        <f>AD81+J81</f>
        <v>140.71411821163065</v>
      </c>
      <c r="G81" s="2">
        <f>$AD81*AF81</f>
        <v>96.890895386625928</v>
      </c>
      <c r="H81" s="2">
        <f>$AD81*AG81</f>
        <v>26.277781085385321</v>
      </c>
      <c r="I81" s="2">
        <f>$AD81*AH81</f>
        <v>0.99298527603759745</v>
      </c>
      <c r="J81" s="2">
        <f>$E81*AI81</f>
        <v>16.399999999999967</v>
      </c>
      <c r="K81" s="2">
        <f>$E81*AJ81</f>
        <v>73.494832826747199</v>
      </c>
      <c r="L81" s="2">
        <f>$E81*AK81</f>
        <v>64.999999999999702</v>
      </c>
      <c r="M81" s="2">
        <f>$E81*(AB81/100)</f>
        <v>57.388753799933994</v>
      </c>
      <c r="N81" s="2">
        <f>$E81*AL81</f>
        <v>0</v>
      </c>
      <c r="O81" s="2">
        <f>$E81*(AA81/100)</f>
        <v>111.3100304252</v>
      </c>
      <c r="P81" s="2">
        <f>$E81*AM81</f>
        <v>3.8938967136149758</v>
      </c>
      <c r="Q81" s="2">
        <f>$E81*AN81</f>
        <v>5.5999999999999828</v>
      </c>
      <c r="R81" s="2">
        <f>$E81*AQ81</f>
        <v>0.98779342723000796</v>
      </c>
      <c r="S81" s="2">
        <f>$E81*AO81</f>
        <v>7.0610942249239521</v>
      </c>
      <c r="T81" s="2">
        <f>$E81*AP81</f>
        <v>2.9854103343464988</v>
      </c>
      <c r="U81" s="2">
        <f>S81-T81</f>
        <v>4.0756838905774533</v>
      </c>
      <c r="V81" s="1">
        <f>F81/D81</f>
        <v>0.25308294642379614</v>
      </c>
      <c r="W81" s="1">
        <f>(F81+M81+N81+P81)/(D81+M81+N81+Q81)</f>
        <v>0.32633350361397334</v>
      </c>
      <c r="X81" s="1">
        <f>(G81+H81*2+I81*3+J81*4)/D81</f>
        <v>0.39213203846314609</v>
      </c>
      <c r="Y81" s="1">
        <f>W81+X81</f>
        <v>0.71846554207711943</v>
      </c>
      <c r="Z81">
        <v>0.28651069839999999</v>
      </c>
      <c r="AA81">
        <v>17.78115502</v>
      </c>
      <c r="AB81">
        <v>9.1675325558999994</v>
      </c>
      <c r="AD81" s="2">
        <f>(D81-O81-J81+Q81)*Z81</f>
        <v>124.31411821163069</v>
      </c>
      <c r="AE81">
        <v>0.226948328</v>
      </c>
      <c r="AF81">
        <v>0.77940379403794002</v>
      </c>
      <c r="AG81">
        <v>0.211382113821138</v>
      </c>
      <c r="AH81">
        <v>7.98771121351762E-3</v>
      </c>
      <c r="AI81">
        <v>2.6198083067092599E-2</v>
      </c>
      <c r="AJ81">
        <v>0.11740388630470799</v>
      </c>
      <c r="AK81">
        <v>0.103833865814696</v>
      </c>
      <c r="AL81">
        <v>0</v>
      </c>
      <c r="AM81">
        <v>6.2202822901197699E-3</v>
      </c>
      <c r="AN81">
        <v>8.9456869009584394E-3</v>
      </c>
      <c r="AO81">
        <v>1.1279703234702799E-2</v>
      </c>
      <c r="AP81">
        <v>4.7690260932052699E-3</v>
      </c>
      <c r="AQ81">
        <v>1.5779447719329201E-3</v>
      </c>
    </row>
    <row r="82" spans="1:43" x14ac:dyDescent="0.4">
      <c r="A82" t="s">
        <v>107</v>
      </c>
      <c r="B82" s="3" t="s">
        <v>110</v>
      </c>
      <c r="D82">
        <v>309</v>
      </c>
      <c r="E82">
        <v>354</v>
      </c>
      <c r="F82" s="2">
        <f>AD82+J82</f>
        <v>67.273531040101147</v>
      </c>
      <c r="G82" s="2">
        <f>$AD82*AF82</f>
        <v>43.909295988576616</v>
      </c>
      <c r="H82" s="2">
        <f>$AD82*AG82</f>
        <v>14.064905670532461</v>
      </c>
      <c r="I82" s="2">
        <f>$AD82*AH82</f>
        <v>0.99458975813050199</v>
      </c>
      <c r="J82" s="2">
        <f>$E82*AI82</f>
        <v>7.9999999999999734</v>
      </c>
      <c r="K82" s="2">
        <f>$E82*AJ82</f>
        <v>36.853714285714162</v>
      </c>
      <c r="L82" s="2">
        <f>$E82*AK82</f>
        <v>35.999999999999901</v>
      </c>
      <c r="M82" s="2">
        <f>$E82*(AB82/100)</f>
        <v>37.547999996400002</v>
      </c>
      <c r="N82" s="2">
        <f>$E82*AL82</f>
        <v>1.0011428571428402</v>
      </c>
      <c r="O82" s="2">
        <f>$E82*(AA82/100)</f>
        <v>90.017142862200004</v>
      </c>
      <c r="P82" s="2">
        <f>$E82*AM82</f>
        <v>2.9676748582230474</v>
      </c>
      <c r="Q82" s="2">
        <f>$E82*AN82</f>
        <v>1.9999999999999669</v>
      </c>
      <c r="R82" s="2">
        <f>$E82*AQ82</f>
        <v>0</v>
      </c>
      <c r="S82" s="2">
        <f>$E82*AO82</f>
        <v>2.002285714285684</v>
      </c>
      <c r="T82" s="2">
        <f>$E82*AP82</f>
        <v>1.0011428571428402</v>
      </c>
      <c r="U82" s="2">
        <f>S82-T82</f>
        <v>1.0011428571428438</v>
      </c>
      <c r="V82" s="1">
        <f>F82/D82</f>
        <v>0.21771369268641147</v>
      </c>
      <c r="W82" s="1">
        <f>(F82+M82+N82+P82)/(D82+M82+N82+Q82)</f>
        <v>0.31123048354162031</v>
      </c>
      <c r="X82" s="1">
        <f>(G82+H82*2+I82*3+J82*4)/D82</f>
        <v>0.34635235146936227</v>
      </c>
      <c r="Y82" s="1">
        <f>W82+X82</f>
        <v>0.65758283501098258</v>
      </c>
      <c r="Z82">
        <v>0.27830188700000003</v>
      </c>
      <c r="AA82">
        <v>25.428571430000002</v>
      </c>
      <c r="AB82">
        <v>10.606779660000001</v>
      </c>
      <c r="AD82" s="2">
        <f>(D82-O82-J82+Q82)*Z82</f>
        <v>59.273531040101169</v>
      </c>
      <c r="AE82">
        <v>0.194327731</v>
      </c>
      <c r="AF82">
        <v>0.74079096045197701</v>
      </c>
      <c r="AG82">
        <v>0.23728813559322001</v>
      </c>
      <c r="AH82">
        <v>1.6779661016948999E-2</v>
      </c>
      <c r="AI82">
        <v>2.2598870056497099E-2</v>
      </c>
      <c r="AJ82">
        <v>0.104106537530266</v>
      </c>
      <c r="AK82">
        <v>0.101694915254237</v>
      </c>
      <c r="AL82">
        <v>2.8280871670701702E-3</v>
      </c>
      <c r="AM82">
        <v>8.3832623113645408E-3</v>
      </c>
      <c r="AN82">
        <v>5.6497175141242001E-3</v>
      </c>
      <c r="AO82">
        <v>5.6561743341403499E-3</v>
      </c>
      <c r="AP82">
        <v>2.8280871670701702E-3</v>
      </c>
      <c r="AQ82">
        <v>0</v>
      </c>
    </row>
    <row r="83" spans="1:43" x14ac:dyDescent="0.4">
      <c r="A83" t="s">
        <v>107</v>
      </c>
      <c r="B83" s="3" t="s">
        <v>111</v>
      </c>
      <c r="D83">
        <v>433</v>
      </c>
      <c r="E83">
        <v>478</v>
      </c>
      <c r="F83" s="2">
        <f>AD83+J83</f>
        <v>108.41831182915621</v>
      </c>
      <c r="G83" s="2">
        <f>$AD83*AF83</f>
        <v>63.374359552266334</v>
      </c>
      <c r="H83" s="2">
        <f>$AD83*AG83</f>
        <v>22.05520529013139</v>
      </c>
      <c r="I83" s="2">
        <f>$AD83*AH83</f>
        <v>2.966977054862419</v>
      </c>
      <c r="J83" s="2">
        <f>$E83*AI83</f>
        <v>21.199999999999978</v>
      </c>
      <c r="K83" s="2">
        <f>$E83*AJ83</f>
        <v>58.223742454728018</v>
      </c>
      <c r="L83" s="2">
        <f>$E83*AK83</f>
        <v>69.999999999999787</v>
      </c>
      <c r="M83" s="2">
        <f>$E83*(AB83/100)</f>
        <v>36.666197182786007</v>
      </c>
      <c r="N83" s="2">
        <f>$E83*AL83</f>
        <v>1.9923541247484686</v>
      </c>
      <c r="O83" s="2">
        <f>$E83*(AA83/100)</f>
        <v>119.2595573482</v>
      </c>
      <c r="P83" s="2">
        <f>$E83*AM83</f>
        <v>7.074537037036988</v>
      </c>
      <c r="Q83" s="2">
        <f>$E83*AN83</f>
        <v>3.5999999999999637</v>
      </c>
      <c r="R83" s="2">
        <f>$E83*AQ83</f>
        <v>0</v>
      </c>
      <c r="S83" s="2">
        <f>$E83*AO83</f>
        <v>2.9885311871227076</v>
      </c>
      <c r="T83" s="2">
        <f>$E83*AP83</f>
        <v>1.9923541247484686</v>
      </c>
      <c r="U83" s="2">
        <f>S83-T83</f>
        <v>0.99617706237423898</v>
      </c>
      <c r="V83" s="1">
        <f>F83/D83</f>
        <v>0.25038871092183884</v>
      </c>
      <c r="W83" s="1">
        <f>(F83+M83+N83+P83)/(D83+M83+N83+Q83)</f>
        <v>0.3243527123281113</v>
      </c>
      <c r="X83" s="1">
        <f>(G83+H83*2+I83*3+J83*4)/D83</f>
        <v>0.46463210461227777</v>
      </c>
      <c r="Y83" s="1">
        <f>W83+X83</f>
        <v>0.78898481694038902</v>
      </c>
      <c r="Z83">
        <v>0.29451672000000001</v>
      </c>
      <c r="AA83">
        <v>24.949698189999999</v>
      </c>
      <c r="AB83">
        <v>7.6707525487000003</v>
      </c>
      <c r="AD83" s="2">
        <f>(D83-O83-J83+Q83)*Z83</f>
        <v>87.218311829156235</v>
      </c>
      <c r="AE83">
        <v>0.231314934</v>
      </c>
      <c r="AF83">
        <v>0.72661759008136295</v>
      </c>
      <c r="AG83">
        <v>0.25287356321839</v>
      </c>
      <c r="AH83">
        <v>3.4017822549399397E-2</v>
      </c>
      <c r="AI83">
        <v>4.4351464435146398E-2</v>
      </c>
      <c r="AJ83">
        <v>0.12180699258311301</v>
      </c>
      <c r="AK83">
        <v>0.14644351464435101</v>
      </c>
      <c r="AL83">
        <v>4.1681048634905201E-3</v>
      </c>
      <c r="AM83">
        <v>1.48002866883619E-2</v>
      </c>
      <c r="AN83">
        <v>7.5313807531379997E-3</v>
      </c>
      <c r="AO83">
        <v>6.2521572952357902E-3</v>
      </c>
      <c r="AP83">
        <v>4.1681048634905201E-3</v>
      </c>
      <c r="AQ83">
        <v>0</v>
      </c>
    </row>
    <row r="84" spans="1:43" x14ac:dyDescent="0.4">
      <c r="A84" t="s">
        <v>107</v>
      </c>
      <c r="B84" s="3" t="s">
        <v>112</v>
      </c>
      <c r="D84">
        <v>485</v>
      </c>
      <c r="E84">
        <v>541</v>
      </c>
      <c r="F84" s="2">
        <f>AD84+J84</f>
        <v>111.96821757590827</v>
      </c>
      <c r="G84" s="2">
        <f>$AD84*AF84</f>
        <v>69.73761621532914</v>
      </c>
      <c r="H84" s="2">
        <f>$AD84*AG84</f>
        <v>22.130216527812252</v>
      </c>
      <c r="I84" s="2">
        <f>$AD84*AH84</f>
        <v>5.5234094143795938</v>
      </c>
      <c r="J84" s="2">
        <f>$E84*AI84</f>
        <v>15.399999999999979</v>
      </c>
      <c r="K84" s="2">
        <f>$E84*AJ84</f>
        <v>67.116376306619969</v>
      </c>
      <c r="L84" s="2">
        <f>$E84*AK84</f>
        <v>52.999999999999957</v>
      </c>
      <c r="M84" s="2">
        <f>$E84*(AB84/100)</f>
        <v>44.406794424546</v>
      </c>
      <c r="N84" s="2">
        <f>$E84*AL84</f>
        <v>0.99425087108011512</v>
      </c>
      <c r="O84" s="2">
        <f>$E84*(AA84/100)</f>
        <v>125.35365855109998</v>
      </c>
      <c r="P84" s="2">
        <f>$E84*AM84</f>
        <v>3.9809859154929375</v>
      </c>
      <c r="Q84" s="2">
        <f>$E84*AN84</f>
        <v>3.9999999999999813</v>
      </c>
      <c r="R84" s="2">
        <f>$E84*AQ84</f>
        <v>1.9429577464788326</v>
      </c>
      <c r="S84" s="2">
        <f>$E84*AO84</f>
        <v>19.885017421602736</v>
      </c>
      <c r="T84" s="2">
        <f>$E84*AP84</f>
        <v>5.0655052264807994</v>
      </c>
      <c r="U84" s="2">
        <f>S84-T84</f>
        <v>14.819512195121938</v>
      </c>
      <c r="V84" s="1">
        <f>F84/D84</f>
        <v>0.23086230428022322</v>
      </c>
      <c r="W84" s="1">
        <f>(F84+M84+N84+P84)/(D84+M84+N84+Q84)</f>
        <v>0.30192727017921484</v>
      </c>
      <c r="X84" s="1">
        <f>(G84+H84*2+I84*3+J84*4)/D84</f>
        <v>0.39622325260637592</v>
      </c>
      <c r="Y84" s="1">
        <f>W84+X84</f>
        <v>0.69815052278559075</v>
      </c>
      <c r="Z84">
        <v>0.27729858460000001</v>
      </c>
      <c r="AA84">
        <v>23.170731709999998</v>
      </c>
      <c r="AB84">
        <v>8.2082799305999998</v>
      </c>
      <c r="AD84" s="2">
        <f>(D84-O84-J84+Q84)*Z84</f>
        <v>96.568217575908292</v>
      </c>
      <c r="AE84">
        <v>0.21131954999999999</v>
      </c>
      <c r="AF84">
        <v>0.72215909090909003</v>
      </c>
      <c r="AG84">
        <v>0.22916666666666599</v>
      </c>
      <c r="AH84">
        <v>5.71969696969696E-2</v>
      </c>
      <c r="AI84">
        <v>2.84658040665434E-2</v>
      </c>
      <c r="AJ84">
        <v>0.124059845298743</v>
      </c>
      <c r="AK84">
        <v>9.7966728280961105E-2</v>
      </c>
      <c r="AL84">
        <v>1.8378019798153699E-3</v>
      </c>
      <c r="AM84">
        <v>7.3585691598760401E-3</v>
      </c>
      <c r="AN84">
        <v>7.3937153419592998E-3</v>
      </c>
      <c r="AO84">
        <v>3.6756039596308202E-2</v>
      </c>
      <c r="AP84">
        <v>9.3632259269515704E-3</v>
      </c>
      <c r="AQ84">
        <v>3.59141912472982E-3</v>
      </c>
    </row>
    <row r="85" spans="1:43" x14ac:dyDescent="0.4">
      <c r="A85" t="s">
        <v>107</v>
      </c>
      <c r="B85" t="s">
        <v>113</v>
      </c>
      <c r="D85">
        <v>533</v>
      </c>
      <c r="E85">
        <v>603</v>
      </c>
      <c r="F85" s="2">
        <f>AD85+J85</f>
        <v>142.05745718358551</v>
      </c>
      <c r="G85" s="2">
        <f>$AD85*AF85</f>
        <v>87.984435394168997</v>
      </c>
      <c r="H85" s="2">
        <f>$AD85*AG85</f>
        <v>28.678040687630439</v>
      </c>
      <c r="I85" s="2">
        <f>$AD85*AH85</f>
        <v>5.0780444194783767</v>
      </c>
      <c r="J85" s="2">
        <f>$E85*AI85</f>
        <v>21.199999999999939</v>
      </c>
      <c r="K85" s="2">
        <f>$E85*AJ85</f>
        <v>78.509890109890009</v>
      </c>
      <c r="L85" s="2">
        <f>$E85*AK85</f>
        <v>71.999999999999474</v>
      </c>
      <c r="M85" s="2">
        <f>$E85*(AB85/100)</f>
        <v>63.042386166269992</v>
      </c>
      <c r="N85" s="2">
        <f>$E85*AL85</f>
        <v>2.3893249607535183</v>
      </c>
      <c r="O85" s="2">
        <f>$E85*(AA85/100)</f>
        <v>149.56671898979999</v>
      </c>
      <c r="P85" s="2">
        <f>$E85*AM85</f>
        <v>4.9269026548672263</v>
      </c>
      <c r="Q85" s="2">
        <f>$E85*AN85</f>
        <v>3.5999999999999859</v>
      </c>
      <c r="R85" s="2">
        <f>$E85*AQ85</f>
        <v>0</v>
      </c>
      <c r="S85" s="2">
        <f>$E85*AO85</f>
        <v>5.9679748822605916</v>
      </c>
      <c r="T85" s="2">
        <f>$E85*AP85</f>
        <v>1.9893249607535304</v>
      </c>
      <c r="U85" s="2">
        <f>S85-T85</f>
        <v>3.9786499215070612</v>
      </c>
      <c r="V85" s="1">
        <f>F85/D85</f>
        <v>0.26652430991291842</v>
      </c>
      <c r="W85" s="1">
        <f>(F85+M85+N85+P85)/(D85+M85+N85+Q85)</f>
        <v>0.35283203033911004</v>
      </c>
      <c r="X85" s="1">
        <f>(G85+H85*2+I85*3+J85*4)/D85</f>
        <v>0.46036519705040291</v>
      </c>
      <c r="Y85" s="1">
        <f>W85+X85</f>
        <v>0.81319722738951294</v>
      </c>
      <c r="Z85">
        <v>0.33036211700000001</v>
      </c>
      <c r="AA85">
        <v>24.803767659999998</v>
      </c>
      <c r="AB85">
        <v>10.454790408999999</v>
      </c>
      <c r="AD85" s="2">
        <f>(D85-O85-J85+Q85)*Z85</f>
        <v>120.85745718358558</v>
      </c>
      <c r="AE85">
        <v>0.23283477999999999</v>
      </c>
      <c r="AF85">
        <v>0.72800170915823903</v>
      </c>
      <c r="AG85">
        <v>0.23728813559322001</v>
      </c>
      <c r="AH85">
        <v>4.2016806722689003E-2</v>
      </c>
      <c r="AI85">
        <v>3.5157545605306699E-2</v>
      </c>
      <c r="AJ85">
        <v>0.13019882273613601</v>
      </c>
      <c r="AK85">
        <v>0.119402985074626</v>
      </c>
      <c r="AL85">
        <v>3.9623962864900799E-3</v>
      </c>
      <c r="AM85">
        <v>8.1706511689340396E-3</v>
      </c>
      <c r="AN85">
        <v>5.9701492537313199E-3</v>
      </c>
      <c r="AO85">
        <v>9.8971391082265207E-3</v>
      </c>
      <c r="AP85">
        <v>3.2990463694088398E-3</v>
      </c>
      <c r="AQ85">
        <v>0</v>
      </c>
    </row>
    <row r="86" spans="1:43" x14ac:dyDescent="0.4">
      <c r="A86" t="s">
        <v>107</v>
      </c>
      <c r="B86" t="s">
        <v>114</v>
      </c>
      <c r="D86">
        <v>247</v>
      </c>
      <c r="E86">
        <v>279</v>
      </c>
      <c r="F86" s="2">
        <f>AD86+J86</f>
        <v>54.728652773912799</v>
      </c>
      <c r="G86" s="2">
        <f>$AD86*AF86</f>
        <v>31.807041972560214</v>
      </c>
      <c r="H86" s="2">
        <f>$AD86*AG86</f>
        <v>11.927640739710052</v>
      </c>
      <c r="I86" s="2">
        <f>$AD86*AH86</f>
        <v>0.39758802465700233</v>
      </c>
      <c r="J86" s="2">
        <f>$E86*AI86</f>
        <v>9.9999999999999893</v>
      </c>
      <c r="K86" s="2">
        <f>$E86*AJ86</f>
        <v>32.328571428571188</v>
      </c>
      <c r="L86" s="2">
        <f>$E86*AK86</f>
        <v>32.999999999999964</v>
      </c>
      <c r="M86" s="2">
        <f>$E86*(AB86/100)</f>
        <v>26.190000000575999</v>
      </c>
      <c r="N86" s="2">
        <f>$E86*AL86</f>
        <v>0</v>
      </c>
      <c r="O86" s="2">
        <f>$E86*(AA86/100)</f>
        <v>74.400000009300001</v>
      </c>
      <c r="P86" s="2">
        <f>$E86*AM86</f>
        <v>2.9981679389312852</v>
      </c>
      <c r="Q86" s="2">
        <f>$E86*AN86</f>
        <v>1.999999999999998</v>
      </c>
      <c r="R86" s="2">
        <f>$E86*AQ86</f>
        <v>0</v>
      </c>
      <c r="S86" s="2">
        <f>$E86*AO86</f>
        <v>1.0328571428571403</v>
      </c>
      <c r="T86" s="2">
        <f>$E86*AP86</f>
        <v>0</v>
      </c>
      <c r="U86" s="2">
        <f>S86-T86</f>
        <v>1.0328571428571403</v>
      </c>
      <c r="V86" s="1">
        <f>F86/D86</f>
        <v>0.22157349301179272</v>
      </c>
      <c r="W86" s="1">
        <f>(F86+M86+N86+P86)/(D86+M86+N86+Q86)</f>
        <v>0.30494138854334985</v>
      </c>
      <c r="X86" s="1">
        <f>(G86+H86*2+I86*3+J86*4)/D86</f>
        <v>0.39212586042895253</v>
      </c>
      <c r="Y86" s="1">
        <f>W86+X86</f>
        <v>0.69706724897230243</v>
      </c>
      <c r="Z86">
        <v>0.27174151140000002</v>
      </c>
      <c r="AA86">
        <v>26.666666670000001</v>
      </c>
      <c r="AB86">
        <v>9.3870967743999998</v>
      </c>
      <c r="AD86" s="2">
        <f>(D86-O86-J86+Q86)*Z86</f>
        <v>44.728652773912806</v>
      </c>
      <c r="AE86">
        <v>0.19635164399999999</v>
      </c>
      <c r="AF86">
        <v>0.71111111111111103</v>
      </c>
      <c r="AG86">
        <v>0.266666666666666</v>
      </c>
      <c r="AH86">
        <v>8.8888888888888802E-3</v>
      </c>
      <c r="AI86">
        <v>3.5842293906809999E-2</v>
      </c>
      <c r="AJ86">
        <v>0.115873015873015</v>
      </c>
      <c r="AK86">
        <v>0.118279569892473</v>
      </c>
      <c r="AL86">
        <v>0</v>
      </c>
      <c r="AM86">
        <v>1.0746121644915001E-2</v>
      </c>
      <c r="AN86">
        <v>7.1684587813620002E-3</v>
      </c>
      <c r="AO86">
        <v>3.7019969278033701E-3</v>
      </c>
      <c r="AP86">
        <v>0</v>
      </c>
      <c r="AQ86">
        <v>0</v>
      </c>
    </row>
    <row r="87" spans="1:43" x14ac:dyDescent="0.4">
      <c r="A87" t="s">
        <v>115</v>
      </c>
      <c r="B87" t="s">
        <v>276</v>
      </c>
      <c r="D87">
        <v>326</v>
      </c>
      <c r="E87">
        <v>353</v>
      </c>
      <c r="F87" s="2">
        <f>AD87+J87</f>
        <v>80.180925652939706</v>
      </c>
      <c r="G87" s="2">
        <f>$AD87*AF87</f>
        <v>55.229269074690933</v>
      </c>
      <c r="H87" s="2">
        <f>$AD87*AG87</f>
        <v>15.038223729494252</v>
      </c>
      <c r="I87" s="2">
        <f>$AD87*AH87</f>
        <v>1.0058174277045764</v>
      </c>
      <c r="J87" s="2">
        <f>$E87*AI87</f>
        <v>8.9999999999999662</v>
      </c>
      <c r="K87" s="2">
        <f>$E87*AJ87</f>
        <v>38.438392857142553</v>
      </c>
      <c r="L87" s="2">
        <f>$E87*AK87</f>
        <v>37.999999999999794</v>
      </c>
      <c r="M87" s="2">
        <f>$E87*(AB87/100)</f>
        <v>22.006250001386</v>
      </c>
      <c r="N87" s="2">
        <f>$E87*AL87</f>
        <v>0</v>
      </c>
      <c r="O87" s="2">
        <f>$E87*(AA87/100)</f>
        <v>80.370535704199995</v>
      </c>
      <c r="P87" s="2">
        <f>$E87*AM87</f>
        <v>3.9522954091816063</v>
      </c>
      <c r="Q87" s="2">
        <f>$E87*AN87</f>
        <v>2</v>
      </c>
      <c r="R87" s="2">
        <f>$E87*AQ87</f>
        <v>0.8227544910179565</v>
      </c>
      <c r="S87" s="2">
        <f>$E87*AO87</f>
        <v>1.0575892857142852</v>
      </c>
      <c r="T87" s="2">
        <f>$E87*AP87</f>
        <v>0</v>
      </c>
      <c r="U87" s="2">
        <f>S87-T87</f>
        <v>1.0575892857142852</v>
      </c>
      <c r="V87" s="1">
        <f>F87/D87</f>
        <v>0.24595375967159419</v>
      </c>
      <c r="W87" s="1">
        <f>(F87+M87+N87+P87)/(D87+M87+N87+Q87)</f>
        <v>0.30325021642638383</v>
      </c>
      <c r="X87" s="1">
        <f>(G87+H87*2+I87*3+J87*4)/D87</f>
        <v>0.38135941354844483</v>
      </c>
      <c r="Y87" s="1">
        <f>W87+X87</f>
        <v>0.68460962997482866</v>
      </c>
      <c r="Z87">
        <v>0.29829059819999998</v>
      </c>
      <c r="AA87">
        <v>22.76785714</v>
      </c>
      <c r="AB87">
        <v>6.2340651561999998</v>
      </c>
      <c r="AD87" s="2">
        <f>(D87-O87-J87+Q87)*Z87</f>
        <v>71.180925652939735</v>
      </c>
      <c r="AE87">
        <v>0.229383324</v>
      </c>
      <c r="AF87">
        <v>0.77589984350547703</v>
      </c>
      <c r="AG87">
        <v>0.21126760563380201</v>
      </c>
      <c r="AH87">
        <v>1.41304347826086E-2</v>
      </c>
      <c r="AI87">
        <v>2.5495750708215199E-2</v>
      </c>
      <c r="AJ87">
        <v>0.10889063132335</v>
      </c>
      <c r="AK87">
        <v>0.10764872521246401</v>
      </c>
      <c r="AL87">
        <v>0</v>
      </c>
      <c r="AM87">
        <v>1.1196304275302001E-2</v>
      </c>
      <c r="AN87">
        <v>5.6657223796033997E-3</v>
      </c>
      <c r="AO87">
        <v>2.9960036422501E-3</v>
      </c>
      <c r="AP87">
        <v>0</v>
      </c>
      <c r="AQ87">
        <v>2.33074926633982E-3</v>
      </c>
    </row>
    <row r="88" spans="1:43" x14ac:dyDescent="0.4">
      <c r="A88" t="s">
        <v>115</v>
      </c>
      <c r="B88" t="s">
        <v>116</v>
      </c>
      <c r="D88">
        <v>547</v>
      </c>
      <c r="E88">
        <v>622</v>
      </c>
      <c r="F88" s="2">
        <f>AD88+J88</f>
        <v>126.97413814758011</v>
      </c>
      <c r="G88" s="2">
        <f>$AD88*AF88</f>
        <v>73.225351886980292</v>
      </c>
      <c r="H88" s="2">
        <f>$AD88*AG88</f>
        <v>23.369793155419242</v>
      </c>
      <c r="I88" s="2">
        <f>$AD88*AH88</f>
        <v>0.9776756900878214</v>
      </c>
      <c r="J88" s="2">
        <f>$E88*AI88</f>
        <v>29.599999999999916</v>
      </c>
      <c r="K88" s="2">
        <f>$E88*AJ88</f>
        <v>78.381566820276262</v>
      </c>
      <c r="L88" s="2">
        <f>$E88*AK88</f>
        <v>89.999999999999446</v>
      </c>
      <c r="M88" s="2">
        <f>$E88*(AB88/100)</f>
        <v>59.310445470679994</v>
      </c>
      <c r="N88" s="2">
        <f>$E88*AL88</f>
        <v>2.6821812596005814</v>
      </c>
      <c r="O88" s="2">
        <f>$E88*(AA88/100)</f>
        <v>144.27342552779999</v>
      </c>
      <c r="P88" s="2">
        <f>$E88*AM88</f>
        <v>8.101449275362274</v>
      </c>
      <c r="Q88" s="2">
        <f>$E88*AN88</f>
        <v>5.3999999999999737</v>
      </c>
      <c r="R88" s="2">
        <f>$E88*AQ88</f>
        <v>0</v>
      </c>
      <c r="S88" s="2">
        <f>$E88*AO88</f>
        <v>4.977726574500748</v>
      </c>
      <c r="T88" s="2">
        <f>$E88*AP88</f>
        <v>0.99554531490011955</v>
      </c>
      <c r="U88" s="2">
        <f>S88-T88</f>
        <v>3.9821812596006283</v>
      </c>
      <c r="V88" s="1">
        <f>F88/D88</f>
        <v>0.232128223304534</v>
      </c>
      <c r="W88" s="1">
        <f>(F88+M88+N88+P88)/(D88+M88+N88+Q88)</f>
        <v>0.32075289575331489</v>
      </c>
      <c r="X88" s="1">
        <f>(G88+H88*2+I88*3+J88*4)/D88</f>
        <v>0.44112973540782796</v>
      </c>
      <c r="Y88" s="1">
        <f>W88+X88</f>
        <v>0.76188263116114285</v>
      </c>
      <c r="Z88">
        <v>0.25724518359999998</v>
      </c>
      <c r="AA88">
        <v>23.195084489999999</v>
      </c>
      <c r="AB88">
        <v>9.5354413939999993</v>
      </c>
      <c r="AD88" s="2">
        <f>(D88-O88-J88+Q88)*Z88</f>
        <v>97.374138147580183</v>
      </c>
      <c r="AE88">
        <v>0.21125561300000001</v>
      </c>
      <c r="AF88">
        <v>0.752</v>
      </c>
      <c r="AG88">
        <v>0.24</v>
      </c>
      <c r="AH88">
        <v>1.0040404040404001E-2</v>
      </c>
      <c r="AI88">
        <v>4.7588424437298903E-2</v>
      </c>
      <c r="AJ88">
        <v>0.12601538073999399</v>
      </c>
      <c r="AK88">
        <v>0.14469453376205699</v>
      </c>
      <c r="AL88">
        <v>4.3121885202581697E-3</v>
      </c>
      <c r="AM88">
        <v>1.30248380632834E-2</v>
      </c>
      <c r="AN88">
        <v>8.68167202572343E-3</v>
      </c>
      <c r="AO88">
        <v>8.0027758432487904E-3</v>
      </c>
      <c r="AP88">
        <v>1.6005551686497099E-3</v>
      </c>
      <c r="AQ88">
        <v>0</v>
      </c>
    </row>
    <row r="89" spans="1:43" x14ac:dyDescent="0.4">
      <c r="A89" t="s">
        <v>115</v>
      </c>
      <c r="B89" t="s">
        <v>117</v>
      </c>
      <c r="D89">
        <v>510</v>
      </c>
      <c r="E89">
        <v>593</v>
      </c>
      <c r="F89" s="2">
        <f>AD89+J89</f>
        <v>118.69532110821049</v>
      </c>
      <c r="G89" s="2">
        <f>$AD89*AF89</f>
        <v>74.647932727296507</v>
      </c>
      <c r="H89" s="2">
        <f>$AD89*AG89</f>
        <v>21.665626912935654</v>
      </c>
      <c r="I89" s="2">
        <f>$AD89*AH89</f>
        <v>0.98480122331525799</v>
      </c>
      <c r="J89" s="2">
        <f>$E89*AI89</f>
        <v>21.199999999999939</v>
      </c>
      <c r="K89" s="2">
        <f>$E89*AJ89</f>
        <v>71.017733990147548</v>
      </c>
      <c r="L89" s="2">
        <f>$E89*AK89</f>
        <v>75.999999999999588</v>
      </c>
      <c r="M89" s="2">
        <f>$E89*(AB89/100)</f>
        <v>61.716091957579998</v>
      </c>
      <c r="N89" s="2">
        <f>$E89*AL89</f>
        <v>0.59737274220031289</v>
      </c>
      <c r="O89" s="2">
        <f>$E89*(AA89/100)</f>
        <v>99.320197027100022</v>
      </c>
      <c r="P89" s="2">
        <f>$E89*AM89</f>
        <v>12.188294314381205</v>
      </c>
      <c r="Q89" s="2">
        <f>$E89*AN89</f>
        <v>4.5999999999999766</v>
      </c>
      <c r="R89" s="2">
        <f>$E89*AQ89</f>
        <v>0</v>
      </c>
      <c r="S89" s="2">
        <f>$E89*AO89</f>
        <v>1.0947454844006281</v>
      </c>
      <c r="T89" s="2">
        <f>$E89*AP89</f>
        <v>0.99737274220030248</v>
      </c>
      <c r="U89" s="2">
        <f>S89-T89</f>
        <v>9.7372742200325657E-2</v>
      </c>
      <c r="V89" s="1">
        <f>F89/D89</f>
        <v>0.23273592374158919</v>
      </c>
      <c r="W89" s="1">
        <f>(F89+M89+N89+P89)/(D89+M89+N89+Q89)</f>
        <v>0.33488051838573357</v>
      </c>
      <c r="X89" s="1">
        <f>(G89+H89*2+I89*3+J89*4)/D89</f>
        <v>0.4033991965159085</v>
      </c>
      <c r="Y89" s="1">
        <f>W89+X89</f>
        <v>0.73827971490164201</v>
      </c>
      <c r="Z89">
        <v>0.24739994379999999</v>
      </c>
      <c r="AA89">
        <v>16.748768470000002</v>
      </c>
      <c r="AB89">
        <v>10.407435405999999</v>
      </c>
      <c r="AD89" s="2">
        <f>(D89-O89-J89+Q89)*Z89</f>
        <v>97.495321108210547</v>
      </c>
      <c r="AE89">
        <v>0.20427094400000001</v>
      </c>
      <c r="AF89">
        <v>0.76565656565656504</v>
      </c>
      <c r="AG89">
        <v>0.22222222222222199</v>
      </c>
      <c r="AH89">
        <v>1.01010101010101E-2</v>
      </c>
      <c r="AI89">
        <v>3.5750421585160098E-2</v>
      </c>
      <c r="AJ89">
        <v>0.11976009104578</v>
      </c>
      <c r="AK89">
        <v>0.12816188870151701</v>
      </c>
      <c r="AL89">
        <v>1.0073739328841701E-3</v>
      </c>
      <c r="AM89">
        <v>2.0553616044487698E-2</v>
      </c>
      <c r="AN89">
        <v>7.7571669477234E-3</v>
      </c>
      <c r="AO89">
        <v>1.8461138016874E-3</v>
      </c>
      <c r="AP89">
        <v>1.6819101892079299E-3</v>
      </c>
      <c r="AQ89">
        <v>0</v>
      </c>
    </row>
    <row r="90" spans="1:43" x14ac:dyDescent="0.4">
      <c r="A90" t="s">
        <v>115</v>
      </c>
      <c r="B90" t="s">
        <v>118</v>
      </c>
      <c r="D90">
        <v>586</v>
      </c>
      <c r="E90">
        <v>634</v>
      </c>
      <c r="F90" s="2">
        <f>AD90+J90</f>
        <v>154.14707598215475</v>
      </c>
      <c r="G90" s="2">
        <f>$AD90*AF90</f>
        <v>108.72114191472117</v>
      </c>
      <c r="H90" s="2">
        <f>$AD90*AG90</f>
        <v>28.783441159450248</v>
      </c>
      <c r="I90" s="2">
        <f>$AD90*AH90</f>
        <v>2.0223818925165831</v>
      </c>
      <c r="J90" s="2">
        <f>$E90*AI90</f>
        <v>14.199999999999932</v>
      </c>
      <c r="K90" s="2">
        <f>$E90*AJ90</f>
        <v>75.058615611192309</v>
      </c>
      <c r="L90" s="2">
        <f>$E90*AK90</f>
        <v>66.999999999999488</v>
      </c>
      <c r="M90" s="2">
        <f>$E90*(AB90/100)</f>
        <v>31.261413841649997</v>
      </c>
      <c r="N90" s="2">
        <f>$E90*AL90</f>
        <v>0.5933726067746482</v>
      </c>
      <c r="O90" s="2">
        <f>$E90*(AA90/100)</f>
        <v>119.5169366656</v>
      </c>
      <c r="P90" s="2">
        <f>$E90*AM90</f>
        <v>10.020933977455616</v>
      </c>
      <c r="Q90" s="2">
        <f>$E90*AN90</f>
        <v>4.5999999999999615</v>
      </c>
      <c r="R90" s="2">
        <f>$E90*AQ90</f>
        <v>2.0251207729468161</v>
      </c>
      <c r="S90" s="2">
        <f>$E90*AO90</f>
        <v>16.887334315169269</v>
      </c>
      <c r="T90" s="2">
        <f>$E90*AP90</f>
        <v>5.0602356406479618</v>
      </c>
      <c r="U90" s="2">
        <f>S90-T90</f>
        <v>11.827098674521308</v>
      </c>
      <c r="V90" s="1">
        <f>F90/D90</f>
        <v>0.26304961771698759</v>
      </c>
      <c r="W90" s="1">
        <f>(F90+M90+N90+P90)/(D90+M90+N90+Q90)</f>
        <v>0.31491893174521696</v>
      </c>
      <c r="X90" s="1">
        <f>(G90+H90*2+I90*3+J90*4)/D90</f>
        <v>0.39104977800541152</v>
      </c>
      <c r="Y90" s="1">
        <f>W90+X90</f>
        <v>0.70596870975062842</v>
      </c>
      <c r="Z90">
        <v>0.30630830339999998</v>
      </c>
      <c r="AA90">
        <v>18.85125184</v>
      </c>
      <c r="AB90">
        <v>4.9308223724999998</v>
      </c>
      <c r="AD90" s="2">
        <f>(D90-O90-J90+Q90)*Z90</f>
        <v>139.94707598215481</v>
      </c>
      <c r="AE90">
        <v>0.241983262</v>
      </c>
      <c r="AF90">
        <v>0.77687326549491198</v>
      </c>
      <c r="AG90">
        <v>0.205673758865248</v>
      </c>
      <c r="AH90">
        <v>1.44510478573662E-2</v>
      </c>
      <c r="AI90">
        <v>2.23974763406939E-2</v>
      </c>
      <c r="AJ90">
        <v>0.118388983613868</v>
      </c>
      <c r="AK90">
        <v>0.10567823343848499</v>
      </c>
      <c r="AL90">
        <v>9.3591893813035996E-4</v>
      </c>
      <c r="AM90">
        <v>1.5805889554346399E-2</v>
      </c>
      <c r="AN90">
        <v>7.2555205047318003E-3</v>
      </c>
      <c r="AO90">
        <v>2.6636173998689699E-2</v>
      </c>
      <c r="AP90">
        <v>7.9814442281513596E-3</v>
      </c>
      <c r="AQ90">
        <v>3.1941968027552302E-3</v>
      </c>
    </row>
    <row r="91" spans="1:43" x14ac:dyDescent="0.4">
      <c r="A91" t="s">
        <v>115</v>
      </c>
      <c r="B91" t="s">
        <v>119</v>
      </c>
      <c r="D91">
        <v>570</v>
      </c>
      <c r="E91">
        <v>632</v>
      </c>
      <c r="F91" s="2">
        <f>AD91+J91</f>
        <v>149.47157887550074</v>
      </c>
      <c r="G91" s="2">
        <f>$AD91*AF91</f>
        <v>101.64384531847176</v>
      </c>
      <c r="H91" s="2">
        <f>$AD91*AG91</f>
        <v>28.273878527030888</v>
      </c>
      <c r="I91" s="2">
        <f>$AD91*AH91</f>
        <v>0.98425848792147885</v>
      </c>
      <c r="J91" s="2">
        <f>$E91*AI91</f>
        <v>18.19999999999995</v>
      </c>
      <c r="K91" s="2">
        <f>$E91*AJ91</f>
        <v>85.771428571428132</v>
      </c>
      <c r="L91" s="2">
        <f>$E91*AK91</f>
        <v>65.999999999999716</v>
      </c>
      <c r="M91" s="2">
        <f>$E91*(AB91/100)</f>
        <v>50.186626139399998</v>
      </c>
      <c r="N91" s="2">
        <f>$E91*AL91</f>
        <v>0.6920972644376685</v>
      </c>
      <c r="O91" s="2">
        <f>$E91*(AA91/100)</f>
        <v>108.5349544096</v>
      </c>
      <c r="P91" s="2">
        <f>$E91*AM91</f>
        <v>6.9493150684931386</v>
      </c>
      <c r="Q91" s="2">
        <f>$E91*AN91</f>
        <v>2.5999999999999672</v>
      </c>
      <c r="R91" s="2">
        <f>$E91*AQ91</f>
        <v>0.39999999999998526</v>
      </c>
      <c r="S91" s="2">
        <f>$E91*AO91</f>
        <v>16.932826747720309</v>
      </c>
      <c r="T91" s="2">
        <f>$E91*AP91</f>
        <v>4.980243161094168</v>
      </c>
      <c r="U91" s="2">
        <f>S91-T91</f>
        <v>11.95258358662614</v>
      </c>
      <c r="V91" s="1">
        <f>F91/D91</f>
        <v>0.26223084013245745</v>
      </c>
      <c r="W91" s="1">
        <f>(F91+M91+N91+P91)/(D91+M91+N91+Q91)</f>
        <v>0.33248867935074689</v>
      </c>
      <c r="X91" s="1">
        <f>(G91+H91*2+I91*3+J91*4)/D91</f>
        <v>0.41042873304613642</v>
      </c>
      <c r="Y91" s="1">
        <f>W91+X91</f>
        <v>0.74291741239688336</v>
      </c>
      <c r="Z91">
        <v>0.2944199824</v>
      </c>
      <c r="AA91">
        <v>17.17325228</v>
      </c>
      <c r="AB91">
        <v>7.9409218575000002</v>
      </c>
      <c r="AD91" s="2">
        <f>(D91-O91-J91+Q91)*Z91</f>
        <v>131.27157887550078</v>
      </c>
      <c r="AE91">
        <v>0.24091579199999999</v>
      </c>
      <c r="AF91">
        <v>0.77430199430199398</v>
      </c>
      <c r="AG91">
        <v>0.21538461538461501</v>
      </c>
      <c r="AH91">
        <v>7.49787955894824E-3</v>
      </c>
      <c r="AI91">
        <v>2.8797468354430301E-2</v>
      </c>
      <c r="AJ91">
        <v>0.13571428571428501</v>
      </c>
      <c r="AK91">
        <v>0.104430379746835</v>
      </c>
      <c r="AL91">
        <v>1.0950906082874501E-3</v>
      </c>
      <c r="AM91">
        <v>1.0995751690653701E-2</v>
      </c>
      <c r="AN91">
        <v>4.1139240506328596E-3</v>
      </c>
      <c r="AO91">
        <v>2.6792447385633401E-2</v>
      </c>
      <c r="AP91">
        <v>7.8801315840097592E-3</v>
      </c>
      <c r="AQ91">
        <v>6.3291139240503999E-4</v>
      </c>
    </row>
    <row r="92" spans="1:43" x14ac:dyDescent="0.4">
      <c r="A92" t="s">
        <v>115</v>
      </c>
      <c r="B92" s="3" t="s">
        <v>120</v>
      </c>
      <c r="D92">
        <v>509</v>
      </c>
      <c r="E92">
        <v>541</v>
      </c>
      <c r="F92" s="2">
        <f>AD92+J92</f>
        <v>140.73908168050431</v>
      </c>
      <c r="G92" s="2">
        <f>$AD92*AF92</f>
        <v>94.089580098775301</v>
      </c>
      <c r="H92" s="2">
        <f>$AD92*AG92</f>
        <v>25.775740843033415</v>
      </c>
      <c r="I92" s="2">
        <f>$AD92*AH92</f>
        <v>1.5992010712197224</v>
      </c>
      <c r="J92" s="2">
        <f>$E92*AI92</f>
        <v>18.799999999999962</v>
      </c>
      <c r="K92" s="2">
        <f>$E92*AJ92</f>
        <v>63.187478260869405</v>
      </c>
      <c r="L92" s="2">
        <f>$E92*AK92</f>
        <v>73.999999999999631</v>
      </c>
      <c r="M92" s="2">
        <f>$E92*(AB92/100)</f>
        <v>24.852173914407999</v>
      </c>
      <c r="N92" s="2">
        <f>$E92*AL92</f>
        <v>0.9940869565217223</v>
      </c>
      <c r="O92" s="2">
        <f>$E92*(AA92/100)</f>
        <v>96.909565226799998</v>
      </c>
      <c r="P92" s="2">
        <f>$E92*AM92</f>
        <v>3.894021739130415</v>
      </c>
      <c r="Q92" s="2">
        <f>$E92*AN92</f>
        <v>4.3999999999999684</v>
      </c>
      <c r="R92" s="2">
        <f>$E92*AQ92</f>
        <v>0</v>
      </c>
      <c r="S92" s="2">
        <f>$E92*AO92</f>
        <v>0.9940869565217223</v>
      </c>
      <c r="T92" s="2">
        <f>$E92*AP92</f>
        <v>0</v>
      </c>
      <c r="U92" s="2">
        <f>S92-T92</f>
        <v>0.9940869565217223</v>
      </c>
      <c r="V92" s="1">
        <f>F92/D92</f>
        <v>0.2765011427907747</v>
      </c>
      <c r="W92" s="1">
        <f>(F92+M92+N92+P92)/(D92+M92+N92+Q92)</f>
        <v>0.31614380415957893</v>
      </c>
      <c r="X92" s="1">
        <f>(G92+H92*2+I92*3+J92*4)/D92</f>
        <v>0.44329796659823406</v>
      </c>
      <c r="Y92" s="1">
        <f>W92+X92</f>
        <v>0.75944177075781294</v>
      </c>
      <c r="Z92">
        <v>0.30661809039999999</v>
      </c>
      <c r="AA92">
        <v>17.913043479999999</v>
      </c>
      <c r="AB92">
        <v>4.5937474888000001</v>
      </c>
      <c r="AD92" s="2">
        <f>(D92-O92-J92+Q92)*Z92</f>
        <v>121.93908168050434</v>
      </c>
      <c r="AE92">
        <v>0.26290265000000002</v>
      </c>
      <c r="AF92">
        <v>0.77161135545781601</v>
      </c>
      <c r="AG92">
        <v>0.211382113821138</v>
      </c>
      <c r="AH92">
        <v>1.31147540983606E-2</v>
      </c>
      <c r="AI92">
        <v>3.47504621072088E-2</v>
      </c>
      <c r="AJ92">
        <v>0.11679755685927801</v>
      </c>
      <c r="AK92">
        <v>0.13678373382624701</v>
      </c>
      <c r="AL92">
        <v>1.83749899541908E-3</v>
      </c>
      <c r="AM92">
        <v>7.1978220686329296E-3</v>
      </c>
      <c r="AN92">
        <v>8.1330868761552103E-3</v>
      </c>
      <c r="AO92">
        <v>1.83749899541908E-3</v>
      </c>
      <c r="AP92">
        <v>0</v>
      </c>
      <c r="AQ92">
        <v>0</v>
      </c>
    </row>
    <row r="93" spans="1:43" x14ac:dyDescent="0.4">
      <c r="A93" t="s">
        <v>115</v>
      </c>
      <c r="B93" t="s">
        <v>121</v>
      </c>
      <c r="D93">
        <v>503</v>
      </c>
      <c r="E93">
        <v>591</v>
      </c>
      <c r="F93" s="2">
        <f>AD93+J93</f>
        <v>149.29159170863505</v>
      </c>
      <c r="G93" s="2">
        <f>$AD93*AF93</f>
        <v>81.011014455701698</v>
      </c>
      <c r="H93" s="2">
        <f>$AD93*AG93</f>
        <v>29.389695131084814</v>
      </c>
      <c r="I93" s="2">
        <f>$AD93*AH93</f>
        <v>1.5687086563057411</v>
      </c>
      <c r="J93" s="2">
        <f>$E93*AI93</f>
        <v>36.79999999999994</v>
      </c>
      <c r="K93" s="2">
        <f>$E93*AJ93</f>
        <v>90.319104991394056</v>
      </c>
      <c r="L93" s="2">
        <f>$E93*AK93</f>
        <v>96.999999999999517</v>
      </c>
      <c r="M93" s="2">
        <f>$E93*(AB93/100)</f>
        <v>70.018760749590001</v>
      </c>
      <c r="N93" s="2">
        <f>$E93*AL93</f>
        <v>9.71893287435452</v>
      </c>
      <c r="O93" s="2">
        <f>$E93*(AA93/100)</f>
        <v>100.70395869720001</v>
      </c>
      <c r="P93" s="2">
        <f>$E93*AM93</f>
        <v>9.064110929853106</v>
      </c>
      <c r="Q93" s="2">
        <f>$E93*AN93</f>
        <v>4.9999999999999849</v>
      </c>
      <c r="R93" s="2">
        <f>$E93*AQ93</f>
        <v>0</v>
      </c>
      <c r="S93" s="2">
        <f>$E93*AO93</f>
        <v>3.0051635111875523</v>
      </c>
      <c r="T93" s="2">
        <f>$E93*AP93</f>
        <v>0.89999999999996538</v>
      </c>
      <c r="U93" s="2">
        <f>S93-T93</f>
        <v>2.105163511187587</v>
      </c>
      <c r="V93" s="1">
        <f>F93/D93</f>
        <v>0.29680236920205777</v>
      </c>
      <c r="W93" s="1">
        <f>(F93+M93+N93+P93)/(D93+M93+N93+Q93)</f>
        <v>0.40510145741098802</v>
      </c>
      <c r="X93" s="1">
        <f>(G93+H93*2+I93*3+J93*4)/D93</f>
        <v>0.57991357989421133</v>
      </c>
      <c r="Y93" s="1">
        <f>W93+X93</f>
        <v>0.98501503730519935</v>
      </c>
      <c r="Z93">
        <v>0.3036242744</v>
      </c>
      <c r="AA93">
        <v>17.039586920000001</v>
      </c>
      <c r="AB93">
        <v>11.847506049</v>
      </c>
      <c r="AD93" s="2">
        <f>(D93-O93-J93+Q93)*Z93</f>
        <v>112.4915917086351</v>
      </c>
      <c r="AE93">
        <v>0.25398422300000001</v>
      </c>
      <c r="AF93">
        <v>0.72015173067804605</v>
      </c>
      <c r="AG93">
        <v>0.26126126126126098</v>
      </c>
      <c r="AH93">
        <v>1.3945119208277E-2</v>
      </c>
      <c r="AI93">
        <v>6.22673434856175E-2</v>
      </c>
      <c r="AJ93">
        <v>0.15282420472317099</v>
      </c>
      <c r="AK93">
        <v>0.164128595600676</v>
      </c>
      <c r="AL93">
        <v>1.6444894880464501E-2</v>
      </c>
      <c r="AM93">
        <v>1.5336905126655E-2</v>
      </c>
      <c r="AN93">
        <v>8.4602368866327996E-3</v>
      </c>
      <c r="AO93">
        <v>5.0848790375423898E-3</v>
      </c>
      <c r="AP93">
        <v>1.5228426395938501E-3</v>
      </c>
      <c r="AQ93">
        <v>0</v>
      </c>
    </row>
    <row r="94" spans="1:43" x14ac:dyDescent="0.4">
      <c r="A94" t="s">
        <v>122</v>
      </c>
      <c r="B94" t="s">
        <v>123</v>
      </c>
      <c r="D94">
        <v>606</v>
      </c>
      <c r="E94">
        <v>668</v>
      </c>
      <c r="F94" s="2">
        <f>AD94+J94</f>
        <v>179.02578816150015</v>
      </c>
      <c r="G94" s="2">
        <f>$AD94*AF94</f>
        <v>105.16018754701022</v>
      </c>
      <c r="H94" s="2">
        <f>$AD94*AG94</f>
        <v>37.056447040375055</v>
      </c>
      <c r="I94" s="2">
        <f>$AD94*AH94</f>
        <v>8.0122047654864907</v>
      </c>
      <c r="J94" s="2">
        <f>$E94*AI94</f>
        <v>30.799999999999915</v>
      </c>
      <c r="K94" s="2">
        <f>$E94*AJ94</f>
        <v>106.69970845481035</v>
      </c>
      <c r="L94" s="2">
        <f>$E94*AK94</f>
        <v>95.99999999999973</v>
      </c>
      <c r="M94" s="2">
        <f>$E94*(AB94/100)</f>
        <v>48.068804667900004</v>
      </c>
      <c r="N94" s="2">
        <f>$E94*AL94</f>
        <v>4.9868804664722646</v>
      </c>
      <c r="O94" s="2">
        <f>$E94*(AA94/100)</f>
        <v>108.08746357359999</v>
      </c>
      <c r="P94" s="2">
        <f>$E94*AM94</f>
        <v>5.999999999999992</v>
      </c>
      <c r="Q94" s="2">
        <f>$E94*AN94</f>
        <v>5.999999999999992</v>
      </c>
      <c r="R94" s="2">
        <f>$E94*AQ94</f>
        <v>0.39999999999998609</v>
      </c>
      <c r="S94" s="2">
        <f>$E94*AO94</f>
        <v>32.816034985422704</v>
      </c>
      <c r="T94" s="2">
        <f>$E94*AP94</f>
        <v>10.071137026239054</v>
      </c>
      <c r="U94" s="2">
        <f>S94-T94</f>
        <v>22.74489795918365</v>
      </c>
      <c r="V94" s="1">
        <f>F94/D94</f>
        <v>0.29542209267574282</v>
      </c>
      <c r="W94" s="1">
        <f>(F94+M94+N94+P94)/(D94+M94+N94+Q94)</f>
        <v>0.3579872762801341</v>
      </c>
      <c r="X94" s="1">
        <f>(G94+H94*2+I94*3+J94*4)/D94</f>
        <v>0.53879487776273849</v>
      </c>
      <c r="Y94" s="1">
        <f>W94+X94</f>
        <v>0.89678215404287265</v>
      </c>
      <c r="Z94">
        <v>0.31329921900000002</v>
      </c>
      <c r="AA94">
        <v>16.180758019999999</v>
      </c>
      <c r="AB94">
        <v>7.1959288424999999</v>
      </c>
      <c r="AD94" s="2">
        <f>(D94-O94-J94+Q94)*Z94</f>
        <v>148.22578816150022</v>
      </c>
      <c r="AE94">
        <v>0.26882514699999999</v>
      </c>
      <c r="AF94">
        <v>0.70945945945945899</v>
      </c>
      <c r="AG94">
        <v>0.25</v>
      </c>
      <c r="AH94">
        <v>5.4054054054054002E-2</v>
      </c>
      <c r="AI94">
        <v>4.6107784431137597E-2</v>
      </c>
      <c r="AJ94">
        <v>0.15973010247726099</v>
      </c>
      <c r="AK94">
        <v>0.14371257485029901</v>
      </c>
      <c r="AL94">
        <v>7.4653899198686598E-3</v>
      </c>
      <c r="AM94">
        <v>8.9820359281437001E-3</v>
      </c>
      <c r="AN94">
        <v>8.9820359281437001E-3</v>
      </c>
      <c r="AO94">
        <v>4.9125800876381298E-2</v>
      </c>
      <c r="AP94">
        <v>1.5076552434489601E-2</v>
      </c>
      <c r="AQ94">
        <v>5.9880239520956001E-4</v>
      </c>
    </row>
    <row r="95" spans="1:43" x14ac:dyDescent="0.4">
      <c r="A95" t="s">
        <v>122</v>
      </c>
      <c r="B95" t="s">
        <v>124</v>
      </c>
      <c r="D95">
        <v>493</v>
      </c>
      <c r="E95">
        <v>576</v>
      </c>
      <c r="F95" s="2">
        <f>AD95+J95</f>
        <v>125.65727566224713</v>
      </c>
      <c r="G95" s="2">
        <f>$AD95*AF95</f>
        <v>82.681202092173223</v>
      </c>
      <c r="H95" s="2">
        <f>$AD95*AG95</f>
        <v>27.159877863789823</v>
      </c>
      <c r="I95" s="2">
        <f>$AD95*AH95</f>
        <v>2.0413073248677627</v>
      </c>
      <c r="J95" s="2">
        <f>$E95*AI95</f>
        <v>13.999999999999968</v>
      </c>
      <c r="K95" s="2">
        <f>$E95*AJ95</f>
        <v>74.905546218486904</v>
      </c>
      <c r="L95" s="2">
        <f>$E95*AK95</f>
        <v>56.999999999999979</v>
      </c>
      <c r="M95" s="2">
        <f>$E95*(AB95/100)</f>
        <v>61.192436987520004</v>
      </c>
      <c r="N95" s="2">
        <f>$E95*AL95</f>
        <v>0</v>
      </c>
      <c r="O95" s="2">
        <f>$E95*(AA95/100)</f>
        <v>109.3915966464</v>
      </c>
      <c r="P95" s="2">
        <f>$E95*AM95</f>
        <v>15.173846153846092</v>
      </c>
      <c r="Q95" s="2">
        <f>$E95*AN95</f>
        <v>3.9999999999999742</v>
      </c>
      <c r="R95" s="2">
        <f>$E95*AQ95</f>
        <v>0.99076923076922496</v>
      </c>
      <c r="S95" s="2">
        <f>$E95*AO95</f>
        <v>11.961680672268864</v>
      </c>
      <c r="T95" s="2">
        <f>$E95*AP95</f>
        <v>2.8936134453781328</v>
      </c>
      <c r="U95" s="2">
        <f>S95-T95</f>
        <v>9.0680672268907312</v>
      </c>
      <c r="V95" s="1">
        <f>F95/D95</f>
        <v>0.25488291209380759</v>
      </c>
      <c r="W95" s="1">
        <f>(F95+M95+N95+P95)/(D95+M95+N95+Q95)</f>
        <v>0.36192457191627991</v>
      </c>
      <c r="X95" s="1">
        <f>(G95+H95*2+I95*3+J95*4)/D95</f>
        <v>0.40390442148956601</v>
      </c>
      <c r="Y95" s="1">
        <f>W95+X95</f>
        <v>0.76582899340584598</v>
      </c>
      <c r="Z95">
        <v>0.29886178860000001</v>
      </c>
      <c r="AA95">
        <v>18.991596640000001</v>
      </c>
      <c r="AB95">
        <v>10.623686977</v>
      </c>
      <c r="AD95" s="2">
        <f>(D95-O95-J95+Q95)*Z95</f>
        <v>111.65727566224716</v>
      </c>
      <c r="AE95">
        <v>0.21595619199999999</v>
      </c>
      <c r="AF95">
        <v>0.74049094966526097</v>
      </c>
      <c r="AG95">
        <v>0.24324324324324301</v>
      </c>
      <c r="AH95">
        <v>1.8281901584653801E-2</v>
      </c>
      <c r="AI95">
        <v>2.43055555555555E-2</v>
      </c>
      <c r="AJ95">
        <v>0.130044351073762</v>
      </c>
      <c r="AK95">
        <v>9.8958333333333301E-2</v>
      </c>
      <c r="AL95">
        <v>0</v>
      </c>
      <c r="AM95">
        <v>2.6343482905982801E-2</v>
      </c>
      <c r="AN95">
        <v>6.9444444444443998E-3</v>
      </c>
      <c r="AO95">
        <v>2.0766806722689001E-2</v>
      </c>
      <c r="AP95">
        <v>5.0236344537814802E-3</v>
      </c>
      <c r="AQ95">
        <v>1.72008547008546E-3</v>
      </c>
    </row>
    <row r="96" spans="1:43" x14ac:dyDescent="0.4">
      <c r="A96" t="s">
        <v>122</v>
      </c>
      <c r="B96" t="s">
        <v>125</v>
      </c>
      <c r="D96">
        <v>488</v>
      </c>
      <c r="E96">
        <v>535</v>
      </c>
      <c r="F96" s="2">
        <f>AD96+J96</f>
        <v>126.62678229350861</v>
      </c>
      <c r="G96" s="2">
        <f>$AD96*AF96</f>
        <v>91.663037470507149</v>
      </c>
      <c r="H96" s="2">
        <f>$AD96*AG96</f>
        <v>24.716277333369444</v>
      </c>
      <c r="I96" s="2">
        <f>$AD96*AH96</f>
        <v>3.0413588718688604</v>
      </c>
      <c r="J96" s="2">
        <f>$E96*AI96</f>
        <v>6.9999999999999947</v>
      </c>
      <c r="K96" s="2">
        <f>$E96*AJ96</f>
        <v>65.383193277310525</v>
      </c>
      <c r="L96" s="2">
        <f>$E96*AK96</f>
        <v>48.999999999999964</v>
      </c>
      <c r="M96" s="2">
        <f>$E96*(AB96/100)</f>
        <v>38.246218485820002</v>
      </c>
      <c r="N96" s="2">
        <f>$E96*AL96</f>
        <v>0</v>
      </c>
      <c r="O96" s="2">
        <f>$E96*(AA96/100)</f>
        <v>94.411764687000016</v>
      </c>
      <c r="P96" s="2">
        <f>$E96*AM96</f>
        <v>1.8890183028285965</v>
      </c>
      <c r="Q96" s="2">
        <f>$E96*AN96</f>
        <v>4.3999999999999515</v>
      </c>
      <c r="R96" s="2">
        <f>$E96*AQ96</f>
        <v>2.80232945091513</v>
      </c>
      <c r="S96" s="2">
        <f>$E96*AO96</f>
        <v>26.997478991596566</v>
      </c>
      <c r="T96" s="2">
        <f>$E96*AP96</f>
        <v>5.9394957983192889</v>
      </c>
      <c r="U96" s="2">
        <f>S96-T96</f>
        <v>21.057983193277277</v>
      </c>
      <c r="V96" s="1">
        <f>F96/D96</f>
        <v>0.25948111125718976</v>
      </c>
      <c r="W96" s="1">
        <f>(F96+M96+N96+P96)/(D96+M96+N96+Q96)</f>
        <v>0.31426214542337955</v>
      </c>
      <c r="X96" s="1">
        <f>(G96+H96*2+I96*3+J96*4)/D96</f>
        <v>0.36520423924764872</v>
      </c>
      <c r="Y96" s="1">
        <f>W96+X96</f>
        <v>0.67946638467102827</v>
      </c>
      <c r="Z96">
        <v>0.30596005579999902</v>
      </c>
      <c r="AA96">
        <v>17.647058820000002</v>
      </c>
      <c r="AB96">
        <v>7.1488258852</v>
      </c>
      <c r="AD96" s="2">
        <f>(D96-O96-J96+Q96)*Z96</f>
        <v>119.62678229350861</v>
      </c>
      <c r="AE96">
        <v>0.23525074500000001</v>
      </c>
      <c r="AF96">
        <v>0.76624177055609999</v>
      </c>
      <c r="AG96">
        <v>0.206611570247933</v>
      </c>
      <c r="AH96">
        <v>2.5423728813559299E-2</v>
      </c>
      <c r="AI96">
        <v>1.3084112149532701E-2</v>
      </c>
      <c r="AJ96">
        <v>0.12221157621927201</v>
      </c>
      <c r="AK96">
        <v>9.1588785046728904E-2</v>
      </c>
      <c r="AL96">
        <v>0</v>
      </c>
      <c r="AM96">
        <v>3.5308753323899001E-3</v>
      </c>
      <c r="AN96">
        <v>8.2242990654204703E-3</v>
      </c>
      <c r="AO96">
        <v>5.0462577554386101E-2</v>
      </c>
      <c r="AP96">
        <v>1.1101861305269699E-2</v>
      </c>
      <c r="AQ96">
        <v>5.2379989736731402E-3</v>
      </c>
    </row>
    <row r="97" spans="1:43" x14ac:dyDescent="0.4">
      <c r="A97" t="s">
        <v>122</v>
      </c>
      <c r="B97" t="s">
        <v>126</v>
      </c>
      <c r="D97">
        <v>426</v>
      </c>
      <c r="E97">
        <v>478</v>
      </c>
      <c r="F97" s="2">
        <f>AD97+J97</f>
        <v>97.417470765932194</v>
      </c>
      <c r="G97" s="2">
        <f>$AD97*AF97</f>
        <v>55.096146901342806</v>
      </c>
      <c r="H97" s="2">
        <f>$AD97*AG97</f>
        <v>23.412681362233421</v>
      </c>
      <c r="I97" s="2">
        <f>$AD97*AH97</f>
        <v>3.046584950170887</v>
      </c>
      <c r="J97" s="2">
        <f>$E97*AI97</f>
        <v>16.999999999999975</v>
      </c>
      <c r="K97" s="2">
        <f>$E97*AJ97</f>
        <v>56.373809523809186</v>
      </c>
      <c r="L97" s="2">
        <f>$E97*AK97</f>
        <v>54.999999999999929</v>
      </c>
      <c r="M97" s="2">
        <f>$E97*(AB97/100)</f>
        <v>47.752380934472001</v>
      </c>
      <c r="N97" s="2">
        <f>$E97*AL97</f>
        <v>1.3948412698412529</v>
      </c>
      <c r="O97" s="2">
        <f>$E97*(AA97/100)</f>
        <v>117.603174588</v>
      </c>
      <c r="P97" s="2">
        <f>$E97*AM97</f>
        <v>2.8863547758284307</v>
      </c>
      <c r="Q97" s="2">
        <f>$E97*AN97</f>
        <v>3.5999999999999637</v>
      </c>
      <c r="R97" s="2">
        <f>$E97*AQ97</f>
        <v>0</v>
      </c>
      <c r="S97" s="2">
        <f>$E97*AO97</f>
        <v>4.974206349206308</v>
      </c>
      <c r="T97" s="2">
        <f>$E97*AP97</f>
        <v>2.9845238095237803</v>
      </c>
      <c r="U97" s="2">
        <f>S97-T97</f>
        <v>1.9896825396825277</v>
      </c>
      <c r="V97" s="1">
        <f>F97/D97</f>
        <v>0.22867950884021643</v>
      </c>
      <c r="W97" s="1">
        <f>(F97+M97+N97+P97)/(D97+M97+N97+Q97)</f>
        <v>0.31217110160545897</v>
      </c>
      <c r="X97" s="1">
        <f>(G97+H97*2+I97*3+J97*4)/D97</f>
        <v>0.42033160675193004</v>
      </c>
      <c r="Y97" s="1">
        <f>W97+X97</f>
        <v>0.73250270835738895</v>
      </c>
      <c r="Z97">
        <v>0.27260452940000002</v>
      </c>
      <c r="AA97">
        <v>24.603174599999999</v>
      </c>
      <c r="AB97">
        <v>9.9900378524000004</v>
      </c>
      <c r="AD97" s="2">
        <f>(D97-O97-J97+Q97)*Z97</f>
        <v>80.417470765932222</v>
      </c>
      <c r="AE97">
        <v>0.20378070200000001</v>
      </c>
      <c r="AF97">
        <v>0.685126582278481</v>
      </c>
      <c r="AG97">
        <v>0.291139240506329</v>
      </c>
      <c r="AH97">
        <v>3.7884615384615301E-2</v>
      </c>
      <c r="AI97">
        <v>3.5564853556485303E-2</v>
      </c>
      <c r="AJ97">
        <v>0.117936840007969</v>
      </c>
      <c r="AK97">
        <v>0.11506276150627601</v>
      </c>
      <c r="AL97">
        <v>2.91807797037919E-3</v>
      </c>
      <c r="AM97">
        <v>6.03839911261178E-3</v>
      </c>
      <c r="AN97">
        <v>7.5313807531379997E-3</v>
      </c>
      <c r="AO97">
        <v>1.0406289433486E-2</v>
      </c>
      <c r="AP97">
        <v>6.2437736600915901E-3</v>
      </c>
      <c r="AQ97">
        <v>0</v>
      </c>
    </row>
    <row r="98" spans="1:43" x14ac:dyDescent="0.4">
      <c r="A98" t="s">
        <v>122</v>
      </c>
      <c r="B98" t="s">
        <v>127</v>
      </c>
      <c r="D98">
        <v>539</v>
      </c>
      <c r="E98">
        <v>585</v>
      </c>
      <c r="F98" s="2">
        <f>AD98+J98</f>
        <v>135.81681411240316</v>
      </c>
      <c r="G98" s="2">
        <f>$AD98*AF98</f>
        <v>84.997336180598353</v>
      </c>
      <c r="H98" s="2">
        <f>$AD98*AG98</f>
        <v>26.671900613967718</v>
      </c>
      <c r="I98" s="2">
        <f>$AD98*AH98</f>
        <v>0.99511614473238763</v>
      </c>
      <c r="J98" s="2">
        <f>$E98*AI98</f>
        <v>23.999999999999982</v>
      </c>
      <c r="K98" s="2">
        <f>$E98*AJ98</f>
        <v>63.052941176470441</v>
      </c>
      <c r="L98" s="2">
        <f>$E98*AK98</f>
        <v>86</v>
      </c>
      <c r="M98" s="2">
        <f>$E98*(AB98/100)</f>
        <v>31.054411764090002</v>
      </c>
      <c r="N98" s="2">
        <f>$E98*AL98</f>
        <v>4.3691176470588013</v>
      </c>
      <c r="O98" s="2">
        <f>$E98*(AA98/100)</f>
        <v>129.0441176505</v>
      </c>
      <c r="P98" s="2">
        <f>$E98*AM98</f>
        <v>10.155296229802424</v>
      </c>
      <c r="Q98" s="2">
        <f>$E98*AN98</f>
        <v>5.5999999999999632</v>
      </c>
      <c r="R98" s="2">
        <f>$E98*AQ98</f>
        <v>0</v>
      </c>
      <c r="S98" s="2">
        <f>$E98*AO98</f>
        <v>0</v>
      </c>
      <c r="T98" s="2">
        <f>$E98*AP98</f>
        <v>0</v>
      </c>
      <c r="U98" s="2">
        <f>S98-T98</f>
        <v>0</v>
      </c>
      <c r="V98" s="1">
        <f>F98/D98</f>
        <v>0.25197924696178697</v>
      </c>
      <c r="W98" s="1">
        <f>(F98+M98+N98+P98)/(D98+M98+N98+Q98)</f>
        <v>0.31273841586652662</v>
      </c>
      <c r="X98" s="1">
        <f>(G98+H98*2+I98*3+J98*4)/D98</f>
        <v>0.4403088791145286</v>
      </c>
      <c r="Y98" s="1">
        <f>W98+X98</f>
        <v>0.75304729498105516</v>
      </c>
      <c r="Z98">
        <v>0.28557051280000001</v>
      </c>
      <c r="AA98">
        <v>22.058823530000002</v>
      </c>
      <c r="AB98">
        <v>5.3084464554000004</v>
      </c>
      <c r="AD98" s="2">
        <f>(D98-O98-J98+Q98)*Z98</f>
        <v>111.81681411240318</v>
      </c>
      <c r="AE98">
        <v>0.23419637700000001</v>
      </c>
      <c r="AF98">
        <v>0.76014807661355199</v>
      </c>
      <c r="AG98">
        <v>0.23853211009174299</v>
      </c>
      <c r="AH98">
        <v>8.8995215311004402E-3</v>
      </c>
      <c r="AI98">
        <v>4.1025641025640998E-2</v>
      </c>
      <c r="AJ98">
        <v>0.107782805429864</v>
      </c>
      <c r="AK98">
        <v>0.14700854700854701</v>
      </c>
      <c r="AL98">
        <v>7.4685771744594899E-3</v>
      </c>
      <c r="AM98">
        <v>1.7359480734704998E-2</v>
      </c>
      <c r="AN98">
        <v>9.5726495726495102E-3</v>
      </c>
      <c r="AO98">
        <v>0</v>
      </c>
      <c r="AP98">
        <v>0</v>
      </c>
      <c r="AQ98">
        <v>0</v>
      </c>
    </row>
    <row r="99" spans="1:43" x14ac:dyDescent="0.4">
      <c r="A99" t="s">
        <v>122</v>
      </c>
      <c r="B99" t="s">
        <v>128</v>
      </c>
      <c r="D99">
        <v>530</v>
      </c>
      <c r="E99">
        <v>596</v>
      </c>
      <c r="F99" s="2">
        <f>AD99+J99</f>
        <v>139.07630341957884</v>
      </c>
      <c r="G99" s="2">
        <f>$AD99*AF99</f>
        <v>84.483073871127743</v>
      </c>
      <c r="H99" s="2">
        <f>$AD99*AG99</f>
        <v>31.805392516189276</v>
      </c>
      <c r="I99" s="2">
        <f>$AD99*AH99</f>
        <v>1.9878370322618264</v>
      </c>
      <c r="J99" s="2">
        <f>$E99*AI99</f>
        <v>20.79999999999994</v>
      </c>
      <c r="K99" s="2">
        <f>$E99*AJ99</f>
        <v>70.17142857142845</v>
      </c>
      <c r="L99" s="2">
        <f>$E99*AK99</f>
        <v>83.999999999999858</v>
      </c>
      <c r="M99" s="2">
        <f>$E99*(AB99/100)</f>
        <v>53.186984128576007</v>
      </c>
      <c r="N99" s="2">
        <f>$E99*AL99</f>
        <v>2.3892063492063063</v>
      </c>
      <c r="O99" s="2">
        <f>$E99*(AA99/100)</f>
        <v>79.466666646799993</v>
      </c>
      <c r="P99" s="2">
        <f>$E99*AM99</f>
        <v>5.9570093457943711</v>
      </c>
      <c r="Q99" s="2">
        <f>$E99*AN99</f>
        <v>5.9999999999999813</v>
      </c>
      <c r="R99" s="2">
        <f>$E99*AQ99</f>
        <v>1.0684112149532179</v>
      </c>
      <c r="S99" s="2">
        <f>$E99*AO99</f>
        <v>1.9892063492063035</v>
      </c>
      <c r="T99" s="2">
        <f>$E99*AP99</f>
        <v>0</v>
      </c>
      <c r="U99" s="2">
        <f>S99-T99</f>
        <v>1.9892063492063035</v>
      </c>
      <c r="V99" s="1">
        <f>F99/D99</f>
        <v>0.26240811965958272</v>
      </c>
      <c r="W99" s="1">
        <f>(F99+M99+N99+P99)/(D99+M99+N99+Q99)</f>
        <v>0.33911017122094567</v>
      </c>
      <c r="X99" s="1">
        <f>(G99+H99*2+I99*3+J99*4)/D99</f>
        <v>0.44765541509488965</v>
      </c>
      <c r="Y99" s="1">
        <f>W99+X99</f>
        <v>0.78676558631583537</v>
      </c>
      <c r="Z99">
        <v>0.271441944799999</v>
      </c>
      <c r="AA99">
        <v>13.33333333</v>
      </c>
      <c r="AB99">
        <v>8.9239906256000001</v>
      </c>
      <c r="AD99" s="2">
        <f>(D99-O99-J99+Q99)*Z99</f>
        <v>118.27630341957889</v>
      </c>
      <c r="AE99">
        <v>0.23655214699999999</v>
      </c>
      <c r="AF99">
        <v>0.71428571428571397</v>
      </c>
      <c r="AG99">
        <v>0.26890756302521002</v>
      </c>
      <c r="AH99">
        <v>1.6806722689075598E-2</v>
      </c>
      <c r="AI99">
        <v>3.4899328859060302E-2</v>
      </c>
      <c r="AJ99">
        <v>0.117737296260786</v>
      </c>
      <c r="AK99">
        <v>0.14093959731543601</v>
      </c>
      <c r="AL99">
        <v>4.0087354852454803E-3</v>
      </c>
      <c r="AM99">
        <v>9.9949821238160593E-3</v>
      </c>
      <c r="AN99">
        <v>1.00671140939597E-2</v>
      </c>
      <c r="AO99">
        <v>3.3375945456481601E-3</v>
      </c>
      <c r="AP99">
        <v>0</v>
      </c>
      <c r="AQ99">
        <v>1.7926362667000299E-3</v>
      </c>
    </row>
    <row r="100" spans="1:43" x14ac:dyDescent="0.4">
      <c r="A100" t="s">
        <v>129</v>
      </c>
      <c r="B100" s="3" t="s">
        <v>130</v>
      </c>
      <c r="D100">
        <v>401</v>
      </c>
      <c r="E100">
        <v>444</v>
      </c>
      <c r="F100" s="2">
        <f>AD100+J100</f>
        <v>89.800741389861571</v>
      </c>
      <c r="G100" s="2">
        <f>$AD100*AF100</f>
        <v>50.454195303594183</v>
      </c>
      <c r="H100" s="2">
        <f>$AD100*AG100</f>
        <v>17.845904928821543</v>
      </c>
      <c r="I100" s="2">
        <f>$AD100*AH100</f>
        <v>2.0001207456456926</v>
      </c>
      <c r="J100" s="2">
        <f>$E100*AI100</f>
        <v>20.399999999999981</v>
      </c>
      <c r="K100" s="2">
        <f>$E100*AJ100</f>
        <v>55.893167701863099</v>
      </c>
      <c r="L100" s="2">
        <f>$E100*AK100</f>
        <v>56.999999999999837</v>
      </c>
      <c r="M100" s="2">
        <f>$E100*(AB100/100)</f>
        <v>32.109316769327997</v>
      </c>
      <c r="N100" s="2">
        <f>$E100*AL100</f>
        <v>0.99192546583848851</v>
      </c>
      <c r="O100" s="2">
        <f>$E100*(AA100/100)</f>
        <v>132.37267082400001</v>
      </c>
      <c r="P100" s="2">
        <f>$E100*AM100</f>
        <v>6.0876106194690074</v>
      </c>
      <c r="Q100" s="2">
        <f>$E100*AN100</f>
        <v>2.3999999999999884</v>
      </c>
      <c r="R100" s="2">
        <f>$E100*AQ100</f>
        <v>0</v>
      </c>
      <c r="S100" s="2">
        <f>$E100*AO100</f>
        <v>12.895031055900571</v>
      </c>
      <c r="T100" s="2">
        <f>$E100*AP100</f>
        <v>4.1515527950310522</v>
      </c>
      <c r="U100" s="2">
        <f>S100-T100</f>
        <v>8.7434782608695194</v>
      </c>
      <c r="V100" s="1">
        <f>F100/D100</f>
        <v>0.22394199847845778</v>
      </c>
      <c r="W100" s="1">
        <f>(F100+M100+N100+P100)/(D100+M100+N100+Q100)</f>
        <v>0.29550796598879664</v>
      </c>
      <c r="X100" s="1">
        <f>(G100+H100*2+I100*3+J100*4)/D100</f>
        <v>0.4332827117161453</v>
      </c>
      <c r="Y100" s="1">
        <f>W100+X100</f>
        <v>0.72879067770494199</v>
      </c>
      <c r="Z100">
        <v>0.27690811539999999</v>
      </c>
      <c r="AA100">
        <v>29.813664599999999</v>
      </c>
      <c r="AB100">
        <v>7.2318281011999996</v>
      </c>
      <c r="AD100" s="2">
        <f>(D100-O100-J100+Q100)*Z100</f>
        <v>69.400741389861594</v>
      </c>
      <c r="AE100">
        <v>0.20279554599999999</v>
      </c>
      <c r="AF100">
        <v>0.72699792960662502</v>
      </c>
      <c r="AG100">
        <v>0.25714285714285701</v>
      </c>
      <c r="AH100">
        <v>2.88198757763974E-2</v>
      </c>
      <c r="AI100">
        <v>4.59459459459459E-2</v>
      </c>
      <c r="AJ100">
        <v>0.125885512842034</v>
      </c>
      <c r="AK100">
        <v>0.12837837837837801</v>
      </c>
      <c r="AL100">
        <v>2.2340663645011001E-3</v>
      </c>
      <c r="AM100">
        <v>1.3710834728533801E-2</v>
      </c>
      <c r="AN100">
        <v>5.4054054054053797E-3</v>
      </c>
      <c r="AO100">
        <v>2.9042862738514801E-2</v>
      </c>
      <c r="AP100">
        <v>9.3503441329528206E-3</v>
      </c>
      <c r="AQ100">
        <v>0</v>
      </c>
    </row>
    <row r="101" spans="1:43" x14ac:dyDescent="0.4">
      <c r="A101" t="s">
        <v>129</v>
      </c>
      <c r="B101" t="s">
        <v>131</v>
      </c>
      <c r="D101">
        <v>475</v>
      </c>
      <c r="E101">
        <v>545</v>
      </c>
      <c r="F101" s="2">
        <f>AD101+J101</f>
        <v>110.01371775757045</v>
      </c>
      <c r="G101" s="2">
        <f>$AD101*AF101</f>
        <v>59.540089458050005</v>
      </c>
      <c r="H101" s="2">
        <f>$AD101*AG101</f>
        <v>22.782114559326704</v>
      </c>
      <c r="I101" s="2">
        <f>$AD101*AH101</f>
        <v>0.9882833667721852</v>
      </c>
      <c r="J101" s="2">
        <f>$E101*AI101</f>
        <v>27.799999999999944</v>
      </c>
      <c r="K101" s="2">
        <f>$E101*AJ101</f>
        <v>70.626785714285418</v>
      </c>
      <c r="L101" s="2">
        <f>$E101*AK101</f>
        <v>70.999999999999915</v>
      </c>
      <c r="M101" s="2">
        <f>$E101*(AB101/100)</f>
        <v>61.03124999775001</v>
      </c>
      <c r="N101" s="2">
        <f>$E101*AL101</f>
        <v>0.99732142857142347</v>
      </c>
      <c r="O101" s="2">
        <f>$E101*(AA101/100)</f>
        <v>141.11607141300001</v>
      </c>
      <c r="P101" s="2">
        <f>$E101*AM101</f>
        <v>5.9291262135922267</v>
      </c>
      <c r="Q101" s="2">
        <f>$E101*AN101</f>
        <v>2.9999999999999982</v>
      </c>
      <c r="R101" s="2">
        <f>$E101*AQ101</f>
        <v>0</v>
      </c>
      <c r="S101" s="2">
        <f>$E101*AO101</f>
        <v>0.99732142857142347</v>
      </c>
      <c r="T101" s="2">
        <f>$E101*AP101</f>
        <v>0</v>
      </c>
      <c r="U101" s="2">
        <f>S101-T101</f>
        <v>0.99732142857142347</v>
      </c>
      <c r="V101" s="1">
        <f>F101/D101</f>
        <v>0.23160782685804304</v>
      </c>
      <c r="W101" s="1">
        <f>(F101+M101+N101+P101)/(D101+M101+N101+Q101)</f>
        <v>0.32955925818411164</v>
      </c>
      <c r="X101" s="1">
        <f>(G101+H101*2+I101*3+J101*4)/D101</f>
        <v>0.46161930247793631</v>
      </c>
      <c r="Y101" s="1">
        <f>W101+X101</f>
        <v>0.79117856066204795</v>
      </c>
      <c r="Z101">
        <v>0.26599156459999901</v>
      </c>
      <c r="AA101">
        <v>25.89285714</v>
      </c>
      <c r="AB101">
        <v>11.198394495000001</v>
      </c>
      <c r="AD101" s="2">
        <f>(D101-O101-J101+Q101)*Z101</f>
        <v>82.213717757570507</v>
      </c>
      <c r="AE101">
        <v>0.20578068699999999</v>
      </c>
      <c r="AF101">
        <v>0.72421113023522599</v>
      </c>
      <c r="AG101">
        <v>0.27710843373493899</v>
      </c>
      <c r="AH101">
        <v>1.2020905923344901E-2</v>
      </c>
      <c r="AI101">
        <v>5.1009174311926503E-2</v>
      </c>
      <c r="AJ101">
        <v>0.12959043250327601</v>
      </c>
      <c r="AK101">
        <v>0.13027522935779801</v>
      </c>
      <c r="AL101">
        <v>1.8299475753604101E-3</v>
      </c>
      <c r="AM101">
        <v>1.08791306671417E-2</v>
      </c>
      <c r="AN101">
        <v>5.5045871559632996E-3</v>
      </c>
      <c r="AO101">
        <v>1.8299475753604101E-3</v>
      </c>
      <c r="AP101">
        <v>0</v>
      </c>
      <c r="AQ101">
        <v>0</v>
      </c>
    </row>
    <row r="102" spans="1:43" x14ac:dyDescent="0.4">
      <c r="A102" t="s">
        <v>129</v>
      </c>
      <c r="B102" s="3" t="s">
        <v>132</v>
      </c>
      <c r="D102">
        <v>447</v>
      </c>
      <c r="E102">
        <v>497</v>
      </c>
      <c r="F102" s="2">
        <f>AD102+J102</f>
        <v>108.78313903745344</v>
      </c>
      <c r="G102" s="2">
        <f>$AD102*AF102</f>
        <v>64.944687529872922</v>
      </c>
      <c r="H102" s="2">
        <f>$AD102*AG102</f>
        <v>21.94516159567781</v>
      </c>
      <c r="I102" s="2">
        <f>$AD102*AH102</f>
        <v>1.0091062678773579</v>
      </c>
      <c r="J102" s="2">
        <f>$E102*AI102</f>
        <v>21.999999999999996</v>
      </c>
      <c r="K102" s="2">
        <f>$E102*AJ102</f>
        <v>58.854545454545139</v>
      </c>
      <c r="L102" s="2">
        <f>$E102*AK102</f>
        <v>62.999999999999652</v>
      </c>
      <c r="M102" s="2">
        <f>$E102*(AB102/100)</f>
        <v>38.180303032669002</v>
      </c>
      <c r="N102" s="2">
        <f>$E102*AL102</f>
        <v>0.39999999999999086</v>
      </c>
      <c r="O102" s="2">
        <f>$E102*(AA102/100)</f>
        <v>129.09090907089998</v>
      </c>
      <c r="P102" s="2">
        <f>$E102*AM102</f>
        <v>6.3184804928130633</v>
      </c>
      <c r="Q102" s="2">
        <f>$E102*AN102</f>
        <v>2.5999999999999654</v>
      </c>
      <c r="R102" s="2">
        <f>$E102*AQ102</f>
        <v>1.0123203285420628</v>
      </c>
      <c r="S102" s="2">
        <f>$E102*AO102</f>
        <v>3.0227272727272512</v>
      </c>
      <c r="T102" s="2">
        <f>$E102*AP102</f>
        <v>2.0151515151514729</v>
      </c>
      <c r="U102" s="2">
        <f>S102-T102</f>
        <v>1.0075757575757782</v>
      </c>
      <c r="V102" s="1">
        <f>F102/D102</f>
        <v>0.24336272715313967</v>
      </c>
      <c r="W102" s="1">
        <f>(F102+M102+N102+P102)/(D102+M102+N102+Q102)</f>
        <v>0.31480566013875222</v>
      </c>
      <c r="X102" s="1">
        <f>(G102+H102*2+I102*3+J102*4)/D102</f>
        <v>0.4471193054247441</v>
      </c>
      <c r="Y102" s="1">
        <f>W102+X102</f>
        <v>0.76192496556349631</v>
      </c>
      <c r="Z102">
        <v>0.29072193000000002</v>
      </c>
      <c r="AA102">
        <v>25.97402597</v>
      </c>
      <c r="AB102">
        <v>7.6821535276999997</v>
      </c>
      <c r="AD102" s="2">
        <f>(D102-O102-J102+Q102)*Z102</f>
        <v>86.783139037453438</v>
      </c>
      <c r="AE102">
        <v>0.21717755899999999</v>
      </c>
      <c r="AF102">
        <v>0.74835605453087395</v>
      </c>
      <c r="AG102">
        <v>0.25287356321839</v>
      </c>
      <c r="AH102">
        <v>1.1627906976744099E-2</v>
      </c>
      <c r="AI102">
        <v>4.4265593561368201E-2</v>
      </c>
      <c r="AJ102">
        <v>0.118419608560453</v>
      </c>
      <c r="AK102">
        <v>0.12676056338028099</v>
      </c>
      <c r="AL102">
        <v>8.0482897384304001E-4</v>
      </c>
      <c r="AM102">
        <v>1.2713240428195299E-2</v>
      </c>
      <c r="AN102">
        <v>5.23138832997981E-3</v>
      </c>
      <c r="AO102">
        <v>6.0819462227912503E-3</v>
      </c>
      <c r="AP102">
        <v>4.0546308151941102E-3</v>
      </c>
      <c r="AQ102">
        <v>2.03686182805244E-3</v>
      </c>
    </row>
    <row r="103" spans="1:43" x14ac:dyDescent="0.4">
      <c r="A103" t="s">
        <v>129</v>
      </c>
      <c r="B103" t="s">
        <v>133</v>
      </c>
      <c r="D103">
        <v>496</v>
      </c>
      <c r="E103">
        <v>541</v>
      </c>
      <c r="F103" s="2">
        <f>AD103+J103</f>
        <v>124.15744740910286</v>
      </c>
      <c r="G103" s="2">
        <f>$AD103*AF103</f>
        <v>87.458369661888739</v>
      </c>
      <c r="H103" s="2">
        <f>$AD103*AG103</f>
        <v>21.106421778101367</v>
      </c>
      <c r="I103" s="2">
        <f>$AD103*AH103</f>
        <v>2.9365456386923685</v>
      </c>
      <c r="J103" s="2">
        <f>$E103*AI103</f>
        <v>13.599999999999925</v>
      </c>
      <c r="K103" s="2">
        <f>$E103*AJ103</f>
        <v>65.279327731092224</v>
      </c>
      <c r="L103" s="2">
        <f>$E103*AK103</f>
        <v>55.999999999999631</v>
      </c>
      <c r="M103" s="2">
        <f>$E103*(AB103/100)</f>
        <v>35.855126051654004</v>
      </c>
      <c r="N103" s="2">
        <f>$E103*AL103</f>
        <v>0.39999999999999269</v>
      </c>
      <c r="O103" s="2">
        <f>$E103*(AA103/100)</f>
        <v>88.196638664099993</v>
      </c>
      <c r="P103" s="2">
        <f>$E103*AM103</f>
        <v>6.0204128440366489</v>
      </c>
      <c r="Q103" s="2">
        <f>$E103*AN103</f>
        <v>3.5999999999999885</v>
      </c>
      <c r="R103" s="2">
        <f>$E103*AQ103</f>
        <v>1.1444954128440046</v>
      </c>
      <c r="S103" s="2">
        <f>$E103*AO103</f>
        <v>20.900336134453731</v>
      </c>
      <c r="T103" s="2">
        <f>$E103*AP103</f>
        <v>6.0364705882352423</v>
      </c>
      <c r="U103" s="2">
        <f>S103-T103</f>
        <v>14.863865546218488</v>
      </c>
      <c r="V103" s="1">
        <f>F103/D103</f>
        <v>0.2503174342925461</v>
      </c>
      <c r="W103" s="1">
        <f>(F103+M103+N103+P103)/(D103+M103+N103+Q103)</f>
        <v>0.31059325219322459</v>
      </c>
      <c r="X103" s="1">
        <f>(G103+H103*2+I103*3+J103*4)/D103</f>
        <v>0.38887268172211342</v>
      </c>
      <c r="Y103" s="1">
        <f>W103+X103</f>
        <v>0.69946593391533796</v>
      </c>
      <c r="Z103">
        <v>0.27791984219999999</v>
      </c>
      <c r="AA103">
        <v>16.30252101</v>
      </c>
      <c r="AB103">
        <v>6.6275648894000003</v>
      </c>
      <c r="AD103" s="2">
        <f>(D103-O103-J103+Q103)*Z103</f>
        <v>110.55744740910293</v>
      </c>
      <c r="AE103">
        <v>0.237762741</v>
      </c>
      <c r="AF103">
        <v>0.79106719367588896</v>
      </c>
      <c r="AG103">
        <v>0.19090909090909</v>
      </c>
      <c r="AH103">
        <v>2.6561264822134299E-2</v>
      </c>
      <c r="AI103">
        <v>2.51386321626616E-2</v>
      </c>
      <c r="AJ103">
        <v>0.120664191739542</v>
      </c>
      <c r="AK103">
        <v>0.10351201478743</v>
      </c>
      <c r="AL103">
        <v>7.3937153419591998E-4</v>
      </c>
      <c r="AM103">
        <v>1.11283047024707E-2</v>
      </c>
      <c r="AN103">
        <v>6.6543438077633797E-3</v>
      </c>
      <c r="AO103">
        <v>3.8632783982354403E-2</v>
      </c>
      <c r="AP103">
        <v>1.1157986299880299E-2</v>
      </c>
      <c r="AQ103">
        <v>2.1155183231866999E-3</v>
      </c>
    </row>
    <row r="104" spans="1:43" x14ac:dyDescent="0.4">
      <c r="A104" t="s">
        <v>129</v>
      </c>
      <c r="B104" t="s">
        <v>134</v>
      </c>
      <c r="D104">
        <v>399</v>
      </c>
      <c r="E104">
        <v>464</v>
      </c>
      <c r="F104" s="2">
        <f>AD104+J104</f>
        <v>101.63696440924259</v>
      </c>
      <c r="G104" s="2">
        <f>$AD104*AF104</f>
        <v>52.600046366433695</v>
      </c>
      <c r="H104" s="2">
        <f>$AD104*AG104</f>
        <v>19.378148528748042</v>
      </c>
      <c r="I104" s="2">
        <f>$AD104*AH104</f>
        <v>2.563362436732552</v>
      </c>
      <c r="J104" s="2">
        <f>$E104*AI104</f>
        <v>28</v>
      </c>
      <c r="K104" s="2">
        <f>$E104*AJ104</f>
        <v>66.448120300751441</v>
      </c>
      <c r="L104" s="2">
        <f>$E104*AK104</f>
        <v>66.999999999999574</v>
      </c>
      <c r="M104" s="2">
        <f>$E104*(AB104/100)</f>
        <v>54.994736857919996</v>
      </c>
      <c r="N104" s="2">
        <f>$E104*AL104</f>
        <v>4.0360902255639042</v>
      </c>
      <c r="O104" s="2">
        <f>$E104*(AA104/100)</f>
        <v>124.72180452000001</v>
      </c>
      <c r="P104" s="2">
        <f>$E104*AM104</f>
        <v>7.0138461538461119</v>
      </c>
      <c r="Q104" s="2">
        <f>$E104*AN104</f>
        <v>2.5999999999999912</v>
      </c>
      <c r="R104" s="2">
        <f>$E104*AQ104</f>
        <v>0</v>
      </c>
      <c r="S104" s="2">
        <f>$E104*AO104</f>
        <v>6.997744360902213</v>
      </c>
      <c r="T104" s="2">
        <f>$E104*AP104</f>
        <v>1.9744360902255609</v>
      </c>
      <c r="U104" s="2">
        <f>S104-T104</f>
        <v>5.0233082706766519</v>
      </c>
      <c r="V104" s="1">
        <f>F104/D104</f>
        <v>0.25472923410837744</v>
      </c>
      <c r="W104" s="1">
        <f>(F104+M104+N104+P104)/(D104+M104+N104+Q104)</f>
        <v>0.36402608724270707</v>
      </c>
      <c r="X104" s="1">
        <f>(G104+H104*2+I104*3+J104*4)/D104</f>
        <v>0.52893842289255</v>
      </c>
      <c r="Y104" s="1">
        <f>W104+X104</f>
        <v>0.89296451013525702</v>
      </c>
      <c r="Z104">
        <v>0.29587551560000003</v>
      </c>
      <c r="AA104">
        <v>26.879699250000002</v>
      </c>
      <c r="AB104">
        <v>11.852313978</v>
      </c>
      <c r="AD104" s="2">
        <f>(D104-O104-J104+Q104)*Z104</f>
        <v>73.636964409242594</v>
      </c>
      <c r="AE104">
        <v>0.221158099</v>
      </c>
      <c r="AF104">
        <v>0.71431578947368402</v>
      </c>
      <c r="AG104">
        <v>0.26315789473684198</v>
      </c>
      <c r="AH104">
        <v>3.4810810810810798E-2</v>
      </c>
      <c r="AI104">
        <v>6.0344827586206899E-2</v>
      </c>
      <c r="AJ104">
        <v>0.14320715582058499</v>
      </c>
      <c r="AK104">
        <v>0.14439655172413701</v>
      </c>
      <c r="AL104">
        <v>8.6984703137153105E-3</v>
      </c>
      <c r="AM104">
        <v>1.5116047745358E-2</v>
      </c>
      <c r="AN104">
        <v>5.6034482758620498E-3</v>
      </c>
      <c r="AO104">
        <v>1.5081345605392701E-2</v>
      </c>
      <c r="AP104">
        <v>4.25525019445164E-3</v>
      </c>
      <c r="AQ104">
        <v>0</v>
      </c>
    </row>
    <row r="105" spans="1:43" x14ac:dyDescent="0.4">
      <c r="A105" t="s">
        <v>129</v>
      </c>
      <c r="B105" s="3" t="s">
        <v>135</v>
      </c>
      <c r="D105">
        <v>483</v>
      </c>
      <c r="E105">
        <v>563</v>
      </c>
      <c r="F105" s="2">
        <f>AD105+J105</f>
        <v>121.22701196269924</v>
      </c>
      <c r="G105" s="2">
        <f>$AD105*AF105</f>
        <v>90.739450355047225</v>
      </c>
      <c r="H105" s="2">
        <f>$AD105*AG105</f>
        <v>19.688949467140215</v>
      </c>
      <c r="I105" s="2">
        <f>$AD105*AH105</f>
        <v>1.4011600154156529</v>
      </c>
      <c r="J105" s="2">
        <f>$E105*AI105</f>
        <v>8.999999999999968</v>
      </c>
      <c r="K105" s="2">
        <f>$E105*AJ105</f>
        <v>65.116094032549313</v>
      </c>
      <c r="L105" s="2">
        <f>$E105*AK105</f>
        <v>51.999999999999972</v>
      </c>
      <c r="M105" s="2">
        <f>$E105*(AB105/100)</f>
        <v>63.317540709789995</v>
      </c>
      <c r="N105" s="2">
        <f>$E105*AL105</f>
        <v>1.299999999999971</v>
      </c>
      <c r="O105" s="2">
        <f>$E105*(AA105/100)</f>
        <v>93.663652808899997</v>
      </c>
      <c r="P105" s="2">
        <f>$E105*AM105</f>
        <v>8.064675767918029</v>
      </c>
      <c r="Q105" s="2">
        <f>$E105*AN105</f>
        <v>4.5999999999999481</v>
      </c>
      <c r="R105" s="2">
        <f>$E105*AQ105</f>
        <v>1.9529010238907503</v>
      </c>
      <c r="S105" s="2">
        <f>$E105*AO105</f>
        <v>7.9126582278480839</v>
      </c>
      <c r="T105" s="2">
        <f>$E105*AP105</f>
        <v>1.9018083182639709</v>
      </c>
      <c r="U105" s="2">
        <f>S105-T105</f>
        <v>6.0108499095841132</v>
      </c>
      <c r="V105" s="1">
        <f>F105/D105</f>
        <v>0.25098760240724477</v>
      </c>
      <c r="W105" s="1">
        <f>(F105+M105+N105+P105)/(D105+M105+N105+Q105)</f>
        <v>0.35114644889977065</v>
      </c>
      <c r="X105" s="1">
        <f>(G105+H105*2+I105*3+J105*4)/D105</f>
        <v>0.35263111663680019</v>
      </c>
      <c r="Y105" s="1">
        <f>W105+X105</f>
        <v>0.70377756553657078</v>
      </c>
      <c r="Z105">
        <v>0.29154693440000001</v>
      </c>
      <c r="AA105">
        <v>16.636528030000001</v>
      </c>
      <c r="AB105">
        <v>11.246454833</v>
      </c>
      <c r="AD105" s="2">
        <f>(D105-O105-J105+Q105)*Z105</f>
        <v>112.22701196269927</v>
      </c>
      <c r="AE105">
        <v>0.217523722</v>
      </c>
      <c r="AF105">
        <v>0.80853485064011299</v>
      </c>
      <c r="AG105">
        <v>0.175438596491228</v>
      </c>
      <c r="AH105">
        <v>1.2485051423104399E-2</v>
      </c>
      <c r="AI105">
        <v>1.5985790408525699E-2</v>
      </c>
      <c r="AJ105">
        <v>0.115659136825132</v>
      </c>
      <c r="AK105">
        <v>9.2362344582593195E-2</v>
      </c>
      <c r="AL105">
        <v>2.3090586145647798E-3</v>
      </c>
      <c r="AM105">
        <v>1.4324468504294899E-2</v>
      </c>
      <c r="AN105">
        <v>8.1705150976908499E-3</v>
      </c>
      <c r="AO105">
        <v>1.40544551116307E-2</v>
      </c>
      <c r="AP105">
        <v>3.3779899081065202E-3</v>
      </c>
      <c r="AQ105">
        <v>3.46874071739032E-3</v>
      </c>
    </row>
    <row r="106" spans="1:43" x14ac:dyDescent="0.4">
      <c r="A106" t="s">
        <v>129</v>
      </c>
      <c r="B106" t="s">
        <v>136</v>
      </c>
      <c r="D106">
        <v>562</v>
      </c>
      <c r="E106">
        <v>639</v>
      </c>
      <c r="F106" s="2">
        <f>AD106+J106</f>
        <v>141.3594205000866</v>
      </c>
      <c r="G106" s="2">
        <f>$AD106*AF106</f>
        <v>87.533075469573191</v>
      </c>
      <c r="H106" s="2">
        <f>$AD106*AG106</f>
        <v>27.383864783353516</v>
      </c>
      <c r="I106" s="2">
        <f>$AD106*AH106</f>
        <v>1.3975002701878978</v>
      </c>
      <c r="J106" s="2">
        <f>$E106*AI106</f>
        <v>23.999999999999943</v>
      </c>
      <c r="K106" s="2">
        <f>$E106*AJ106</f>
        <v>80.222670807453028</v>
      </c>
      <c r="L106" s="2">
        <f>$E106*AK106</f>
        <v>73.999999999999815</v>
      </c>
      <c r="M106" s="2">
        <f>$E106*(AB106/100)</f>
        <v>62.051086957400997</v>
      </c>
      <c r="N106" s="2">
        <f>$E106*AL106</f>
        <v>0.3999999999999852</v>
      </c>
      <c r="O106" s="2">
        <f>$E106*(AA106/100)</f>
        <v>149.82763975830002</v>
      </c>
      <c r="P106" s="2">
        <f>$E106*AM106</f>
        <v>7.9847368421051907</v>
      </c>
      <c r="Q106" s="2">
        <f>$E106*AN106</f>
        <v>5.3999999999999471</v>
      </c>
      <c r="R106" s="2">
        <f>$E106*AQ106</f>
        <v>0.3999999999999852</v>
      </c>
      <c r="S106" s="2">
        <f>$E106*AO106</f>
        <v>6.9945652173912434</v>
      </c>
      <c r="T106" s="2">
        <f>$E106*AP106</f>
        <v>2.0976708074534067</v>
      </c>
      <c r="U106" s="2">
        <f>S106-T106</f>
        <v>4.8968944099378362</v>
      </c>
      <c r="V106" s="1">
        <f>F106/D106</f>
        <v>0.25152921797168432</v>
      </c>
      <c r="W106" s="1">
        <f>(F106+M106+N106+P106)/(D106+M106+N106+Q106)</f>
        <v>0.33626240977483174</v>
      </c>
      <c r="X106" s="1">
        <f>(G106+H106*2+I106*3+J106*4)/D106</f>
        <v>0.43148275061715963</v>
      </c>
      <c r="Y106" s="1">
        <f>W106+X106</f>
        <v>0.76774516039199137</v>
      </c>
      <c r="Z106">
        <v>0.29819019920000001</v>
      </c>
      <c r="AA106">
        <v>23.447204970000001</v>
      </c>
      <c r="AB106">
        <v>9.7106552358999991</v>
      </c>
      <c r="AD106" s="2">
        <f>(D106-O106-J106+Q106)*Z106</f>
        <v>117.35942050008666</v>
      </c>
      <c r="AE106">
        <v>0.22243378699999999</v>
      </c>
      <c r="AF106">
        <v>0.74585470085470096</v>
      </c>
      <c r="AG106">
        <v>0.233333333333333</v>
      </c>
      <c r="AH106">
        <v>1.1907866145154201E-2</v>
      </c>
      <c r="AI106">
        <v>3.75586854460093E-2</v>
      </c>
      <c r="AJ106">
        <v>0.12554408577066201</v>
      </c>
      <c r="AK106">
        <v>0.115805946791862</v>
      </c>
      <c r="AL106">
        <v>6.2597809076680002E-4</v>
      </c>
      <c r="AM106">
        <v>1.24956758092413E-2</v>
      </c>
      <c r="AN106">
        <v>8.4507042253520303E-3</v>
      </c>
      <c r="AO106">
        <v>1.0946111451316499E-2</v>
      </c>
      <c r="AP106">
        <v>3.2827399177674599E-3</v>
      </c>
      <c r="AQ106">
        <v>6.2597809076680002E-4</v>
      </c>
    </row>
    <row r="107" spans="1:43" x14ac:dyDescent="0.4">
      <c r="A107" t="s">
        <v>129</v>
      </c>
      <c r="B107" s="3" t="s">
        <v>137</v>
      </c>
      <c r="D107">
        <v>456</v>
      </c>
      <c r="E107">
        <v>510</v>
      </c>
      <c r="F107" s="2">
        <f>AD107+J107</f>
        <v>112.59642856348253</v>
      </c>
      <c r="G107" s="2">
        <f>$AD107*AF107</f>
        <v>69.152007512951158</v>
      </c>
      <c r="H107" s="2">
        <f>$AD107*AG107</f>
        <v>23.246428569463401</v>
      </c>
      <c r="I107" s="2">
        <f>$AD107*AH107</f>
        <v>0.99794736833667985</v>
      </c>
      <c r="J107" s="2">
        <f>$E107*AI107</f>
        <v>18.599999999999991</v>
      </c>
      <c r="K107" s="2">
        <f>$E107*AJ107</f>
        <v>65.742857142857105</v>
      </c>
      <c r="L107" s="2">
        <f>$E107*AK107</f>
        <v>60.999999999999545</v>
      </c>
      <c r="M107" s="2">
        <f>$E107*(AB107/100)</f>
        <v>33.251785712790003</v>
      </c>
      <c r="N107" s="2">
        <f>$E107*AL107</f>
        <v>0.59107142857140127</v>
      </c>
      <c r="O107" s="2">
        <f>$E107*(AA107/100)</f>
        <v>112.928571414</v>
      </c>
      <c r="P107" s="2">
        <f>$E107*AM107</f>
        <v>13.449097472924148</v>
      </c>
      <c r="Q107" s="2">
        <f>$E107*AN107</f>
        <v>2.999999999999964</v>
      </c>
      <c r="R107" s="2">
        <f>$E107*AQ107</f>
        <v>2.4570397111913</v>
      </c>
      <c r="S107" s="2">
        <f>$E107*AO107</f>
        <v>20.994642857142797</v>
      </c>
      <c r="T107" s="2">
        <f>$E107*AP107</f>
        <v>6.0374999999999766</v>
      </c>
      <c r="U107" s="2">
        <f>S107-T107</f>
        <v>14.95714285714282</v>
      </c>
      <c r="V107" s="1">
        <f>F107/D107</f>
        <v>0.2469219924637775</v>
      </c>
      <c r="W107" s="1">
        <f>(F107+M107+N107+P107)/(D107+M107+N107+Q107)</f>
        <v>0.32442061574183984</v>
      </c>
      <c r="X107" s="1">
        <f>(G107+H107*2+I107*3+J107*4)/D107</f>
        <v>0.42333049727387712</v>
      </c>
      <c r="Y107" s="1">
        <f>W107+X107</f>
        <v>0.74775111301571695</v>
      </c>
      <c r="Z107">
        <v>0.28703703699999999</v>
      </c>
      <c r="AA107">
        <v>22.14285714</v>
      </c>
      <c r="AB107">
        <v>6.5199579829000003</v>
      </c>
      <c r="AD107" s="2">
        <f>(D107-O107-J107+Q107)*Z107</f>
        <v>93.996428563482539</v>
      </c>
      <c r="AE107">
        <v>0.223376623</v>
      </c>
      <c r="AF107">
        <v>0.73568760611205397</v>
      </c>
      <c r="AG107">
        <v>0.247311827956989</v>
      </c>
      <c r="AH107">
        <v>1.06168647425013E-2</v>
      </c>
      <c r="AI107">
        <v>3.6470588235294102E-2</v>
      </c>
      <c r="AJ107">
        <v>0.12890756302521</v>
      </c>
      <c r="AK107">
        <v>0.11960784313725401</v>
      </c>
      <c r="AL107">
        <v>1.1589635854341201E-3</v>
      </c>
      <c r="AM107">
        <v>2.6370779358674799E-2</v>
      </c>
      <c r="AN107">
        <v>5.8823529411764003E-3</v>
      </c>
      <c r="AO107">
        <v>4.1165966386554502E-2</v>
      </c>
      <c r="AP107">
        <v>1.1838235294117601E-2</v>
      </c>
      <c r="AQ107">
        <v>4.81772492390451E-3</v>
      </c>
    </row>
    <row r="108" spans="1:43" x14ac:dyDescent="0.4">
      <c r="A108" t="s">
        <v>138</v>
      </c>
      <c r="B108" s="3" t="s">
        <v>139</v>
      </c>
      <c r="D108">
        <v>286</v>
      </c>
      <c r="E108">
        <v>320</v>
      </c>
      <c r="F108" s="2">
        <f>AD108+J108</f>
        <v>69.425066091110793</v>
      </c>
      <c r="G108" s="2">
        <f>$AD108*AF108</f>
        <v>40.31082258164723</v>
      </c>
      <c r="H108" s="2">
        <f>$AD108*AG108</f>
        <v>15.73105271478917</v>
      </c>
      <c r="I108" s="2">
        <f>$AD108*AH108</f>
        <v>0.99009037919835308</v>
      </c>
      <c r="J108" s="2">
        <f>$E108*AI108</f>
        <v>12.4</v>
      </c>
      <c r="K108" s="2">
        <f>$E108*AJ108</f>
        <v>41.085714285714239</v>
      </c>
      <c r="L108" s="2">
        <f>$E108*AK108</f>
        <v>39</v>
      </c>
      <c r="M108" s="2">
        <f>$E108*(AB108/100)</f>
        <v>24.114285714240001</v>
      </c>
      <c r="N108" s="2">
        <f>$E108*AL108</f>
        <v>0.89999999999999991</v>
      </c>
      <c r="O108" s="2">
        <f>$E108*(AA108/100)</f>
        <v>77.714285728000007</v>
      </c>
      <c r="P108" s="2">
        <f>$E108*AM108</f>
        <v>5.2032967032966715</v>
      </c>
      <c r="Q108" s="2">
        <f>$E108*AN108</f>
        <v>2</v>
      </c>
      <c r="R108" s="2">
        <f>$E108*AQ108</f>
        <v>0</v>
      </c>
      <c r="S108" s="2">
        <f>$E108*AO108</f>
        <v>2.0285714285714271</v>
      </c>
      <c r="T108" s="2">
        <f>$E108*AP108</f>
        <v>1.1285714285714272</v>
      </c>
      <c r="U108" s="2">
        <f>S108-T108</f>
        <v>0.89999999999999991</v>
      </c>
      <c r="V108" s="1">
        <f>F108/D108</f>
        <v>0.24274498633255523</v>
      </c>
      <c r="W108" s="1">
        <f>(F108+M108+N108+P108)/(D108+M108+N108+Q108)</f>
        <v>0.3183325907355366</v>
      </c>
      <c r="X108" s="1">
        <f>(G108+H108*2+I108*3+J108*4)/D108</f>
        <v>0.43476643059028197</v>
      </c>
      <c r="Y108" s="1">
        <f>W108+X108</f>
        <v>0.75309902132581863</v>
      </c>
      <c r="Z108">
        <v>0.28817171720000001</v>
      </c>
      <c r="AA108">
        <v>24.285714290000001</v>
      </c>
      <c r="AB108">
        <v>7.5357142857000001</v>
      </c>
      <c r="AD108" s="2">
        <f>(D108-O108-J108+Q108)*Z108</f>
        <v>57.025066091110787</v>
      </c>
      <c r="AE108">
        <v>0.221803949</v>
      </c>
      <c r="AF108">
        <v>0.70689655172413701</v>
      </c>
      <c r="AG108">
        <v>0.27586206896551702</v>
      </c>
      <c r="AH108">
        <v>1.7362371445855999E-2</v>
      </c>
      <c r="AI108">
        <v>3.875E-2</v>
      </c>
      <c r="AJ108">
        <v>0.128392857142857</v>
      </c>
      <c r="AK108">
        <v>0.121875</v>
      </c>
      <c r="AL108">
        <v>2.8124999999999999E-3</v>
      </c>
      <c r="AM108">
        <v>1.6260302197802098E-2</v>
      </c>
      <c r="AN108">
        <v>6.2500000000000003E-3</v>
      </c>
      <c r="AO108">
        <v>6.3392857142857096E-3</v>
      </c>
      <c r="AP108">
        <v>3.5267857142857102E-3</v>
      </c>
      <c r="AQ108">
        <v>0</v>
      </c>
    </row>
    <row r="109" spans="1:43" x14ac:dyDescent="0.4">
      <c r="A109" t="s">
        <v>138</v>
      </c>
      <c r="B109" t="s">
        <v>140</v>
      </c>
      <c r="D109">
        <v>562</v>
      </c>
      <c r="E109">
        <v>651</v>
      </c>
      <c r="F109" s="2">
        <f>AD109+J109</f>
        <v>158.08528772314267</v>
      </c>
      <c r="G109" s="2">
        <f>$AD109*AF109</f>
        <v>101.82112491254614</v>
      </c>
      <c r="H109" s="2">
        <f>$AD109*AG109</f>
        <v>31.509631935801142</v>
      </c>
      <c r="I109" s="2">
        <f>$AD109*AH109</f>
        <v>1.9412183960448843</v>
      </c>
      <c r="J109" s="2">
        <f>$E109*AI109</f>
        <v>22.19999999999996</v>
      </c>
      <c r="K109" s="2">
        <f>$E109*AJ109</f>
        <v>92.574736842105025</v>
      </c>
      <c r="L109" s="2">
        <f>$E109*AK109</f>
        <v>88.999999999999716</v>
      </c>
      <c r="M109" s="2">
        <f>$E109*(AB109/100)</f>
        <v>70.244210515079999</v>
      </c>
      <c r="N109" s="2">
        <f>$E109*AL109</f>
        <v>8.9810526315789012</v>
      </c>
      <c r="O109" s="2">
        <f>$E109*(AA109/100)</f>
        <v>106.70526313440001</v>
      </c>
      <c r="P109" s="2">
        <f>$E109*AM109</f>
        <v>8.1374399999999465</v>
      </c>
      <c r="Q109" s="2">
        <f>$E109*AN109</f>
        <v>5.5999999999999552</v>
      </c>
      <c r="R109" s="2">
        <f>$E109*AQ109</f>
        <v>0</v>
      </c>
      <c r="S109" s="2">
        <f>$E109*AO109</f>
        <v>10.976842105263115</v>
      </c>
      <c r="T109" s="2">
        <f>$E109*AP109</f>
        <v>2.8957894736841538</v>
      </c>
      <c r="U109" s="2">
        <f>S109-T109</f>
        <v>8.0810526315789613</v>
      </c>
      <c r="V109" s="1">
        <f>F109/D109</f>
        <v>0.28129054755007593</v>
      </c>
      <c r="W109" s="1">
        <f>(F109+M109+N109+P109)/(D109+M109+N109+Q109)</f>
        <v>0.37946568394028468</v>
      </c>
      <c r="X109" s="1">
        <f>(G109+H109*2+I109*3+J109*4)/D109</f>
        <v>0.46167979354498739</v>
      </c>
      <c r="Y109" s="1">
        <f>W109+X109</f>
        <v>0.84114547748527202</v>
      </c>
      <c r="Z109">
        <v>0.30974907219999998</v>
      </c>
      <c r="AA109">
        <v>16.39097744</v>
      </c>
      <c r="AB109">
        <v>10.790201308</v>
      </c>
      <c r="AD109" s="2">
        <f>(D109-O109-J109+Q109)*Z109</f>
        <v>135.88528772314271</v>
      </c>
      <c r="AE109">
        <v>0.24856978499999999</v>
      </c>
      <c r="AF109">
        <v>0.74931677018633502</v>
      </c>
      <c r="AG109">
        <v>0.231884057971014</v>
      </c>
      <c r="AH109">
        <v>1.42857142857142E-2</v>
      </c>
      <c r="AI109">
        <v>3.4101382488479201E-2</v>
      </c>
      <c r="AJ109">
        <v>0.142203896838871</v>
      </c>
      <c r="AK109">
        <v>0.13671274961597499</v>
      </c>
      <c r="AL109">
        <v>1.3795779772010601E-2</v>
      </c>
      <c r="AM109">
        <v>1.24999078341013E-2</v>
      </c>
      <c r="AN109">
        <v>8.6021505376343392E-3</v>
      </c>
      <c r="AO109">
        <v>1.68615086102352E-2</v>
      </c>
      <c r="AP109">
        <v>4.4482173174871797E-3</v>
      </c>
      <c r="AQ109">
        <v>0</v>
      </c>
    </row>
    <row r="110" spans="1:43" x14ac:dyDescent="0.4">
      <c r="A110" t="s">
        <v>138</v>
      </c>
      <c r="B110" s="3" t="s">
        <v>141</v>
      </c>
      <c r="D110">
        <v>401</v>
      </c>
      <c r="E110">
        <v>438</v>
      </c>
      <c r="F110" s="2">
        <f>AD110+J110</f>
        <v>102.4332709728279</v>
      </c>
      <c r="G110" s="2">
        <f>$AD110*AF110</f>
        <v>75.721518641614438</v>
      </c>
      <c r="H110" s="2">
        <f>$AD110*AG110</f>
        <v>19.613107962592871</v>
      </c>
      <c r="I110" s="2">
        <f>$AD110*AH110</f>
        <v>2.3785539690264761</v>
      </c>
      <c r="J110" s="2">
        <f>$E110*AI110</f>
        <v>5.3999999999999684</v>
      </c>
      <c r="K110" s="2">
        <f>$E110*AJ110</f>
        <v>50.557377049179948</v>
      </c>
      <c r="L110" s="2">
        <f>$E110*AK110</f>
        <v>42</v>
      </c>
      <c r="M110" s="2">
        <f>$E110*(AB110/100)</f>
        <v>26.864402811809999</v>
      </c>
      <c r="N110" s="2">
        <f>$E110*AL110</f>
        <v>1.0025761124121555</v>
      </c>
      <c r="O110" s="2">
        <f>$E110*(AA110/100)</f>
        <v>70.777517584199998</v>
      </c>
      <c r="P110" s="2">
        <f>$E110*AM110</f>
        <v>2.3128805620608901</v>
      </c>
      <c r="Q110" s="2">
        <f>$E110*AN110</f>
        <v>2.9999999999999778</v>
      </c>
      <c r="R110" s="2">
        <f>$E110*AQ110</f>
        <v>1.6309133489461216</v>
      </c>
      <c r="S110" s="2">
        <f>$E110*AO110</f>
        <v>17.043793911006976</v>
      </c>
      <c r="T110" s="2">
        <f>$E110*AP110</f>
        <v>3.11030444964869</v>
      </c>
      <c r="U110" s="2">
        <f>S110-T110</f>
        <v>13.933489461358285</v>
      </c>
      <c r="V110" s="1">
        <f>F110/D110</f>
        <v>0.2554445660170272</v>
      </c>
      <c r="W110" s="1">
        <f>(F110+M110+N110+P110)/(D110+M110+N110+Q110)</f>
        <v>0.30706939157388091</v>
      </c>
      <c r="X110" s="1">
        <f>(G110+H110*2+I110*3+J110*4)/D110</f>
        <v>0.35831270941117077</v>
      </c>
      <c r="Y110" s="1">
        <f>W110+X110</f>
        <v>0.66538210098505168</v>
      </c>
      <c r="Z110">
        <v>0.29599333839999997</v>
      </c>
      <c r="AA110">
        <v>16.159250589999999</v>
      </c>
      <c r="AB110">
        <v>6.1334252994999998</v>
      </c>
      <c r="AD110" s="2">
        <f>(D110-O110-J110+Q110)*Z110</f>
        <v>97.033270972827935</v>
      </c>
      <c r="AE110">
        <v>0.24381383300000001</v>
      </c>
      <c r="AF110">
        <v>0.78036654729302701</v>
      </c>
      <c r="AG110">
        <v>0.20212765957446799</v>
      </c>
      <c r="AH110">
        <v>2.4512767066180201E-2</v>
      </c>
      <c r="AI110">
        <v>1.23287671232876E-2</v>
      </c>
      <c r="AJ110">
        <v>0.115427801482146</v>
      </c>
      <c r="AK110">
        <v>9.5890410958904104E-2</v>
      </c>
      <c r="AL110">
        <v>2.2889865580186198E-3</v>
      </c>
      <c r="AM110">
        <v>5.2805492284495204E-3</v>
      </c>
      <c r="AN110">
        <v>6.8493150684931E-3</v>
      </c>
      <c r="AO110">
        <v>3.8912771486317298E-2</v>
      </c>
      <c r="AP110">
        <v>7.10115171152669E-3</v>
      </c>
      <c r="AQ110">
        <v>3.7235464587810998E-3</v>
      </c>
    </row>
    <row r="111" spans="1:43" x14ac:dyDescent="0.4">
      <c r="A111" t="s">
        <v>138</v>
      </c>
      <c r="B111" t="s">
        <v>142</v>
      </c>
      <c r="D111">
        <v>436</v>
      </c>
      <c r="E111">
        <v>523</v>
      </c>
      <c r="F111" s="2">
        <f>AD111+J111</f>
        <v>92.661211156376069</v>
      </c>
      <c r="G111" s="2">
        <f>$AD111*AF111</f>
        <v>48.375901450749815</v>
      </c>
      <c r="H111" s="2">
        <f>$AD111*AG111</f>
        <v>18.213563548889326</v>
      </c>
      <c r="I111" s="2">
        <f>$AD111*AH111</f>
        <v>0.99509784427267289</v>
      </c>
      <c r="J111" s="2">
        <f>$E111*AI111</f>
        <v>24.599999999999937</v>
      </c>
      <c r="K111" s="2">
        <f>$E111*AJ111</f>
        <v>69.729670329669943</v>
      </c>
      <c r="L111" s="2">
        <f>$E111*AK111</f>
        <v>74.999999999999801</v>
      </c>
      <c r="M111" s="2">
        <f>$E111*(AB111/100)</f>
        <v>72.463003654749997</v>
      </c>
      <c r="N111" s="2">
        <f>$E111*AL111</f>
        <v>2.9873626373626254</v>
      </c>
      <c r="O111" s="2">
        <f>$E111*(AA111/100)</f>
        <v>139.84981685020003</v>
      </c>
      <c r="P111" s="2">
        <f>$E111*AM111</f>
        <v>6.2117516629711549</v>
      </c>
      <c r="Q111" s="2">
        <f>$E111*AN111</f>
        <v>4.3999999999999639</v>
      </c>
      <c r="R111" s="2">
        <f>$E111*AQ111</f>
        <v>0</v>
      </c>
      <c r="S111" s="2">
        <f>$E111*AO111</f>
        <v>2.0873626373625962</v>
      </c>
      <c r="T111" s="2">
        <f>$E111*AP111</f>
        <v>0.99578754578752082</v>
      </c>
      <c r="U111" s="2">
        <f>S111-T111</f>
        <v>1.0915750915750753</v>
      </c>
      <c r="V111" s="1">
        <f>F111/D111</f>
        <v>0.21252571366141301</v>
      </c>
      <c r="W111" s="1">
        <f>(F111+M111+N111+P111)/(D111+M111+N111+Q111)</f>
        <v>0.33793390584265887</v>
      </c>
      <c r="X111" s="1">
        <f>(G111+H111*2+I111*3+J111*4)/D111</f>
        <v>0.42703743596639043</v>
      </c>
      <c r="Y111" s="1">
        <f>W111+X111</f>
        <v>0.76497134180904935</v>
      </c>
      <c r="Z111">
        <v>0.24664310919999999</v>
      </c>
      <c r="AA111">
        <v>26.739926740000001</v>
      </c>
      <c r="AB111">
        <v>13.855258825</v>
      </c>
      <c r="AD111" s="2">
        <f>(D111-O111-J111+Q111)*Z111</f>
        <v>68.061211156376132</v>
      </c>
      <c r="AE111">
        <v>0.17871794899999999</v>
      </c>
      <c r="AF111">
        <v>0.71077050538525199</v>
      </c>
      <c r="AG111">
        <v>0.26760563380281599</v>
      </c>
      <c r="AH111">
        <v>1.462063086104E-2</v>
      </c>
      <c r="AI111">
        <v>4.7036328871892803E-2</v>
      </c>
      <c r="AJ111">
        <v>0.133326329502237</v>
      </c>
      <c r="AK111">
        <v>0.1434034416826</v>
      </c>
      <c r="AL111">
        <v>5.7119744500241402E-3</v>
      </c>
      <c r="AM111">
        <v>1.18771542313024E-2</v>
      </c>
      <c r="AN111">
        <v>8.4130019120458206E-3</v>
      </c>
      <c r="AO111">
        <v>3.9911331498328796E-3</v>
      </c>
      <c r="AP111">
        <v>1.9039914833413401E-3</v>
      </c>
      <c r="AQ111">
        <v>0</v>
      </c>
    </row>
    <row r="112" spans="1:43" x14ac:dyDescent="0.4">
      <c r="A112" t="s">
        <v>138</v>
      </c>
      <c r="B112" t="s">
        <v>143</v>
      </c>
      <c r="D112">
        <v>409</v>
      </c>
      <c r="E112">
        <v>464</v>
      </c>
      <c r="F112" s="2">
        <f>AD112+J112</f>
        <v>94.678294101135918</v>
      </c>
      <c r="G112" s="2">
        <f>$AD112*AF112</f>
        <v>58.007608092276477</v>
      </c>
      <c r="H112" s="2">
        <f>$AD112*AG112</f>
        <v>17.78729863872363</v>
      </c>
      <c r="I112" s="2">
        <f>$AD112*AH112</f>
        <v>0.97567460887513391</v>
      </c>
      <c r="J112" s="2">
        <f>$E112*AI112</f>
        <v>17.599999999999945</v>
      </c>
      <c r="K112" s="2">
        <f>$E112*AJ112</f>
        <v>55.449496981891265</v>
      </c>
      <c r="L112" s="2">
        <f>$E112*AK112</f>
        <v>60.999999999999858</v>
      </c>
      <c r="M112" s="2">
        <f>$E112*(AB112/100)</f>
        <v>45.881287724432006</v>
      </c>
      <c r="N112" s="2">
        <f>$E112*AL112</f>
        <v>1.9867203219315823</v>
      </c>
      <c r="O112" s="2">
        <f>$E112*(AA112/100)</f>
        <v>112.9657947744</v>
      </c>
      <c r="P112" s="2">
        <f>$E112*AM112</f>
        <v>7.0365079365079186</v>
      </c>
      <c r="Q112" s="2">
        <f>$E112*AN112</f>
        <v>3.5999999999999943</v>
      </c>
      <c r="R112" s="2">
        <f>$E112*AQ112</f>
        <v>0</v>
      </c>
      <c r="S112" s="2">
        <f>$E112*AO112</f>
        <v>1.9867203219315823</v>
      </c>
      <c r="T112" s="2">
        <f>$E112*AP112</f>
        <v>0.99336016096579116</v>
      </c>
      <c r="U112" s="2">
        <f>S112-T112</f>
        <v>0.99336016096579116</v>
      </c>
      <c r="V112" s="1">
        <f>F112/D112</f>
        <v>0.23148727164091912</v>
      </c>
      <c r="W112" s="1">
        <f>(F112+M112+N112+P112)/(D112+M112+N112+Q112)</f>
        <v>0.324849517165471</v>
      </c>
      <c r="X112" s="1">
        <f>(G112+H112*2+I112*3+J112*4)/D112</f>
        <v>0.40809102492994848</v>
      </c>
      <c r="Y112" s="1">
        <f>W112+X112</f>
        <v>0.73294054209541948</v>
      </c>
      <c r="Z112">
        <v>0.27329413479999998</v>
      </c>
      <c r="AA112">
        <v>24.346076459999999</v>
      </c>
      <c r="AB112">
        <v>9.8882085613000008</v>
      </c>
      <c r="AD112" s="2">
        <f>(D112-O112-J112+Q112)*Z112</f>
        <v>77.078294101135981</v>
      </c>
      <c r="AE112">
        <v>0.20896875600000001</v>
      </c>
      <c r="AF112">
        <v>0.75258033106134303</v>
      </c>
      <c r="AG112">
        <v>0.23076923076923</v>
      </c>
      <c r="AH112">
        <v>1.26582278481012E-2</v>
      </c>
      <c r="AI112">
        <v>3.7931034482758502E-2</v>
      </c>
      <c r="AJ112">
        <v>0.119503226254076</v>
      </c>
      <c r="AK112">
        <v>0.131465517241379</v>
      </c>
      <c r="AL112">
        <v>4.2817248317490999E-3</v>
      </c>
      <c r="AM112">
        <v>1.51648877941981E-2</v>
      </c>
      <c r="AN112">
        <v>7.7586206896551602E-3</v>
      </c>
      <c r="AO112">
        <v>4.2817248317490999E-3</v>
      </c>
      <c r="AP112">
        <v>2.14086241587455E-3</v>
      </c>
      <c r="AQ112">
        <v>0</v>
      </c>
    </row>
    <row r="113" spans="1:43" x14ac:dyDescent="0.4">
      <c r="A113" t="s">
        <v>138</v>
      </c>
      <c r="B113" t="s">
        <v>144</v>
      </c>
      <c r="D113">
        <v>565</v>
      </c>
      <c r="E113">
        <v>653</v>
      </c>
      <c r="F113" s="2">
        <f>AD113+J113</f>
        <v>153.90224438533343</v>
      </c>
      <c r="G113" s="2">
        <f>$AD113*AF113</f>
        <v>92.034193583111133</v>
      </c>
      <c r="H113" s="2">
        <f>$AD113*AG113</f>
        <v>31.330789304888803</v>
      </c>
      <c r="I113" s="2">
        <f>$AD113*AH113</f>
        <v>2.965235416355553</v>
      </c>
      <c r="J113" s="2">
        <f>$E113*AI113</f>
        <v>27.599999999999945</v>
      </c>
      <c r="K113" s="2">
        <f>$E113*AJ113</f>
        <v>100.8957290132545</v>
      </c>
      <c r="L113" s="2">
        <f>$E113*AK113</f>
        <v>90.999999999999844</v>
      </c>
      <c r="M113" s="2">
        <f>$E113*(AB113/100)</f>
        <v>74.678350489860009</v>
      </c>
      <c r="N113" s="2">
        <f>$E113*AL113</f>
        <v>2.4885125184094052</v>
      </c>
      <c r="O113" s="2">
        <f>$E113*(AA113/100)</f>
        <v>90.400589097099996</v>
      </c>
      <c r="P113" s="2">
        <f>$E113*AM113</f>
        <v>6.9686006825937765</v>
      </c>
      <c r="Q113" s="2">
        <f>$E113*AN113</f>
        <v>4.9999999999999547</v>
      </c>
      <c r="R113" s="2">
        <f>$E113*AQ113</f>
        <v>0.39999999999999636</v>
      </c>
      <c r="S113" s="2">
        <f>$E113*AO113</f>
        <v>14.9425625920471</v>
      </c>
      <c r="T113" s="2">
        <f>$E113*AP113</f>
        <v>2.9885125184094004</v>
      </c>
      <c r="U113" s="2">
        <f>S113-T113</f>
        <v>11.954050073637699</v>
      </c>
      <c r="V113" s="1">
        <f>F113/D113</f>
        <v>0.27239335289439548</v>
      </c>
      <c r="W113" s="1">
        <f>(F113+M113+N113+P113)/(D113+M113+N113+Q113)</f>
        <v>0.36781504381993524</v>
      </c>
      <c r="X113" s="1">
        <f>(G113+H113*2+I113*3+J113*4)/D113</f>
        <v>0.48494066980877021</v>
      </c>
      <c r="Y113" s="1">
        <f>W113+X113</f>
        <v>0.85275571362870539</v>
      </c>
      <c r="Z113">
        <v>0.27943010839999999</v>
      </c>
      <c r="AA113">
        <v>13.84388807</v>
      </c>
      <c r="AB113">
        <v>11.436194562000001</v>
      </c>
      <c r="AD113" s="2">
        <f>(D113-O113-J113+Q113)*Z113</f>
        <v>126.30224438533348</v>
      </c>
      <c r="AE113">
        <v>0.24197824100000001</v>
      </c>
      <c r="AF113">
        <v>0.72868217054263495</v>
      </c>
      <c r="AG113">
        <v>0.24806201550387499</v>
      </c>
      <c r="AH113">
        <v>2.3477297895902499E-2</v>
      </c>
      <c r="AI113">
        <v>4.2266462480857497E-2</v>
      </c>
      <c r="AJ113">
        <v>0.15451107046440199</v>
      </c>
      <c r="AK113">
        <v>0.13935681470137801</v>
      </c>
      <c r="AL113">
        <v>3.8108920649454901E-3</v>
      </c>
      <c r="AM113">
        <v>1.0671670264308999E-2</v>
      </c>
      <c r="AN113">
        <v>7.6569678407349996E-3</v>
      </c>
      <c r="AO113">
        <v>2.2882944245095099E-2</v>
      </c>
      <c r="AP113">
        <v>4.57658884901899E-3</v>
      </c>
      <c r="AQ113">
        <v>6.1255742725879996E-4</v>
      </c>
    </row>
    <row r="114" spans="1:43" x14ac:dyDescent="0.4">
      <c r="A114" t="s">
        <v>138</v>
      </c>
      <c r="B114" t="s">
        <v>145</v>
      </c>
      <c r="D114">
        <v>555</v>
      </c>
      <c r="E114">
        <v>645</v>
      </c>
      <c r="F114" s="2">
        <f>AD114+J114</f>
        <v>158.97428904352699</v>
      </c>
      <c r="G114" s="2">
        <f>$AD114*AF114</f>
        <v>82.70055924248085</v>
      </c>
      <c r="H114" s="2">
        <f>$AD114*AG114</f>
        <v>30.888160680926529</v>
      </c>
      <c r="I114" s="2">
        <f>$AD114*AH114</f>
        <v>5.3604230056734012</v>
      </c>
      <c r="J114" s="2">
        <f>$E114*AI114</f>
        <v>41.399999999999935</v>
      </c>
      <c r="K114" s="2">
        <f>$E114*AJ114</f>
        <v>117.1419354838705</v>
      </c>
      <c r="L114" s="2">
        <f>$E114*AK114</f>
        <v>104.99999999999962</v>
      </c>
      <c r="M114" s="2">
        <f>$E114*(AB114/100)</f>
        <v>80.727188910899358</v>
      </c>
      <c r="N114" s="2">
        <f>$E114*AL114</f>
        <v>10.390783410138202</v>
      </c>
      <c r="O114" s="2">
        <f>$E114*(AA114/100)</f>
        <v>148.6175114925</v>
      </c>
      <c r="P114" s="2">
        <f>$E114*AM114</f>
        <v>4.9742647058823337</v>
      </c>
      <c r="Q114" s="2">
        <f>$E114*AN114</f>
        <v>3.9999999999999361</v>
      </c>
      <c r="R114" s="2">
        <f>$E114*AQ114</f>
        <v>0.39999999999999358</v>
      </c>
      <c r="S114" s="2">
        <f>$E114*AO114</f>
        <v>34.166820276497653</v>
      </c>
      <c r="T114" s="2">
        <f>$E114*AP114</f>
        <v>7.7944700460828624</v>
      </c>
      <c r="U114" s="2">
        <f>S114-T114</f>
        <v>26.372350230414789</v>
      </c>
      <c r="V114" s="1">
        <f>F114/D114</f>
        <v>0.28644016043878739</v>
      </c>
      <c r="W114" s="1">
        <f>(F114+M114+N114+P114)/(D114+M114+N114+Q114)</f>
        <v>0.39233883222734761</v>
      </c>
      <c r="X114" s="1">
        <f>(G114+H114*2+I114*3+J114*4)/D114</f>
        <v>0.58767234166009708</v>
      </c>
      <c r="Y114" s="1">
        <f>W114+X114</f>
        <v>0.98001117388744463</v>
      </c>
      <c r="Z114">
        <v>0.31864463139999999</v>
      </c>
      <c r="AA114">
        <v>23.041474650000001</v>
      </c>
      <c r="AB114">
        <v>12.5158432419999</v>
      </c>
      <c r="AD114" s="2">
        <f>(D114-O114-J114+Q114)*Z114</f>
        <v>117.57428904352707</v>
      </c>
      <c r="AE114">
        <v>0.24578588200000001</v>
      </c>
      <c r="AF114">
        <v>0.70338983050847403</v>
      </c>
      <c r="AG114">
        <v>0.26271186440677902</v>
      </c>
      <c r="AH114">
        <v>4.5591796040450001E-2</v>
      </c>
      <c r="AI114">
        <v>6.4186046511627806E-2</v>
      </c>
      <c r="AJ114">
        <v>0.181615403850962</v>
      </c>
      <c r="AK114">
        <v>0.16279069767441801</v>
      </c>
      <c r="AL114">
        <v>1.6109741721144499E-2</v>
      </c>
      <c r="AM114">
        <v>7.71203830369354E-3</v>
      </c>
      <c r="AN114">
        <v>6.2015503875968003E-3</v>
      </c>
      <c r="AO114">
        <v>5.2971814382166901E-2</v>
      </c>
      <c r="AP114">
        <v>1.20844496838494E-2</v>
      </c>
      <c r="AQ114">
        <v>6.2015503875967998E-4</v>
      </c>
    </row>
    <row r="115" spans="1:43" x14ac:dyDescent="0.4">
      <c r="A115" t="s">
        <v>138</v>
      </c>
      <c r="B115" t="s">
        <v>146</v>
      </c>
      <c r="D115">
        <v>566</v>
      </c>
      <c r="E115">
        <v>621</v>
      </c>
      <c r="F115" s="2">
        <f>AD115+J115</f>
        <v>147.22824454278461</v>
      </c>
      <c r="G115" s="2">
        <f>$AD115*AF115</f>
        <v>89.418636157881565</v>
      </c>
      <c r="H115" s="2">
        <f>$AD115*AG115</f>
        <v>27.281039005552312</v>
      </c>
      <c r="I115" s="2">
        <f>$AD115*AH115</f>
        <v>1.4026852299151085</v>
      </c>
      <c r="J115" s="2">
        <f>$E115*AI115</f>
        <v>27.999999999999961</v>
      </c>
      <c r="K115" s="2">
        <f>$E115*AJ115</f>
        <v>81.905069124423392</v>
      </c>
      <c r="L115" s="2">
        <f>$E115*AK115</f>
        <v>90.999999999999943</v>
      </c>
      <c r="M115" s="2">
        <f>$E115*(AB115/100)</f>
        <v>45.788018430689995</v>
      </c>
      <c r="N115" s="2">
        <f>$E115*AL115</f>
        <v>1.9907834101381974</v>
      </c>
      <c r="O115" s="2">
        <f>$E115*(AA115/100)</f>
        <v>176.47465437540001</v>
      </c>
      <c r="P115" s="2">
        <f>$E115*AM115</f>
        <v>7.0102941176470051</v>
      </c>
      <c r="Q115" s="2">
        <f>$E115*AN115</f>
        <v>3.5999999999999615</v>
      </c>
      <c r="R115" s="2">
        <f>$E115*AQ115</f>
        <v>0</v>
      </c>
      <c r="S115" s="2">
        <f>$E115*AO115</f>
        <v>8.9585253456220961</v>
      </c>
      <c r="T115" s="2">
        <f>$E115*AP115</f>
        <v>2.9861751152073488</v>
      </c>
      <c r="U115" s="2">
        <f>S115-T115</f>
        <v>5.9723502304147473</v>
      </c>
      <c r="V115" s="1">
        <f>F115/D115</f>
        <v>0.26012057339714595</v>
      </c>
      <c r="W115" s="1">
        <f>(F115+M115+N115+P115)/(D115+M115+N115+Q115)</f>
        <v>0.32721781165616315</v>
      </c>
      <c r="X115" s="1">
        <f>(G115+H115*2+I115*3+J115*4)/D115</f>
        <v>0.45969747324864196</v>
      </c>
      <c r="Y115" s="1">
        <f>W115+X115</f>
        <v>0.78691528490480511</v>
      </c>
      <c r="Z115">
        <v>0.32654058660000002</v>
      </c>
      <c r="AA115">
        <v>28.417818740000001</v>
      </c>
      <c r="AB115">
        <v>7.3732718889999997</v>
      </c>
      <c r="AD115" s="2">
        <f>(D115-O115-J115+Q115)*Z115</f>
        <v>119.22824454278464</v>
      </c>
      <c r="AE115">
        <v>0.23502869400000001</v>
      </c>
      <c r="AF115">
        <v>0.74997863552200505</v>
      </c>
      <c r="AG115">
        <v>0.22881355932203301</v>
      </c>
      <c r="AH115">
        <v>1.1764705882352899E-2</v>
      </c>
      <c r="AI115">
        <v>4.5088566827697199E-2</v>
      </c>
      <c r="AJ115">
        <v>0.131892220812276</v>
      </c>
      <c r="AK115">
        <v>0.146537842190016</v>
      </c>
      <c r="AL115">
        <v>3.2057703866959701E-3</v>
      </c>
      <c r="AM115">
        <v>1.1288718385905E-2</v>
      </c>
      <c r="AN115">
        <v>5.7971014492752999E-3</v>
      </c>
      <c r="AO115">
        <v>1.44259667401322E-2</v>
      </c>
      <c r="AP115">
        <v>4.8086555800440399E-3</v>
      </c>
      <c r="AQ115">
        <v>0</v>
      </c>
    </row>
    <row r="116" spans="1:43" x14ac:dyDescent="0.4">
      <c r="A116" t="s">
        <v>138</v>
      </c>
      <c r="B116" t="s">
        <v>147</v>
      </c>
      <c r="D116">
        <v>490</v>
      </c>
      <c r="E116">
        <v>537</v>
      </c>
      <c r="F116" s="2">
        <f>AD116+J116</f>
        <v>120.50223350878713</v>
      </c>
      <c r="G116" s="2">
        <f>$AD116*AF116</f>
        <v>80.928032055289833</v>
      </c>
      <c r="H116" s="2">
        <f>$AD116*AG116</f>
        <v>22.893994173167531</v>
      </c>
      <c r="I116" s="2">
        <f>$AD116*AH116</f>
        <v>2.9808987667617002</v>
      </c>
      <c r="J116" s="2">
        <f>$E116*AI116</f>
        <v>12.999999999999973</v>
      </c>
      <c r="K116" s="2">
        <f>$E116*AJ116</f>
        <v>69.266995073891479</v>
      </c>
      <c r="L116" s="2">
        <f>$E116*AK116</f>
        <v>55.999999999999787</v>
      </c>
      <c r="M116" s="2">
        <f>$E116*(AB116/100)</f>
        <v>37.003448276669999</v>
      </c>
      <c r="N116" s="2">
        <f>$E116*AL116</f>
        <v>0.98817733990145129</v>
      </c>
      <c r="O116" s="2">
        <f>$E116*(AA116/100)</f>
        <v>95.231527105500007</v>
      </c>
      <c r="P116" s="2">
        <f>$E116*AM116</f>
        <v>4.9599571734475107</v>
      </c>
      <c r="Q116" s="2">
        <f>$E116*AN116</f>
        <v>4</v>
      </c>
      <c r="R116" s="2">
        <f>$E116*AQ116</f>
        <v>2.1798715203425822</v>
      </c>
      <c r="S116" s="2">
        <f>$E116*AO116</f>
        <v>22.904433497536886</v>
      </c>
      <c r="T116" s="2">
        <f>$E116*AP116</f>
        <v>3.9527093596059015</v>
      </c>
      <c r="U116" s="2">
        <f>S116-T116</f>
        <v>18.951724137930984</v>
      </c>
      <c r="V116" s="1">
        <f>F116/D116</f>
        <v>0.24592292552813699</v>
      </c>
      <c r="W116" s="1">
        <f>(F116+M116+N116+P116)/(D116+M116+N116+Q116)</f>
        <v>0.30724885210244657</v>
      </c>
      <c r="X116" s="1">
        <f>(G116+H116*2+I116*3+J116*4)/D116</f>
        <v>0.38297697286104054</v>
      </c>
      <c r="Y116" s="1">
        <f>W116+X116</f>
        <v>0.69022582496348717</v>
      </c>
      <c r="Z116">
        <v>0.2786703452</v>
      </c>
      <c r="AA116">
        <v>17.73399015</v>
      </c>
      <c r="AB116">
        <v>6.8907724909999999</v>
      </c>
      <c r="AD116" s="2">
        <f>(D116-O116-J116+Q116)*Z116</f>
        <v>107.50223350878716</v>
      </c>
      <c r="AE116">
        <v>0.227523964</v>
      </c>
      <c r="AF116">
        <v>0.75280326197757397</v>
      </c>
      <c r="AG116">
        <v>0.21296296296296199</v>
      </c>
      <c r="AH116">
        <v>2.7728714738917901E-2</v>
      </c>
      <c r="AI116">
        <v>2.4208566108007399E-2</v>
      </c>
      <c r="AJ116">
        <v>0.128988817642256</v>
      </c>
      <c r="AK116">
        <v>0.10428305400372399</v>
      </c>
      <c r="AL116">
        <v>1.8401812661107101E-3</v>
      </c>
      <c r="AM116">
        <v>9.2364193174069107E-3</v>
      </c>
      <c r="AN116">
        <v>7.4487895716945996E-3</v>
      </c>
      <c r="AO116">
        <v>4.2652576345506302E-2</v>
      </c>
      <c r="AP116">
        <v>7.3607250644430198E-3</v>
      </c>
      <c r="AQ116">
        <v>4.05935106209047E-3</v>
      </c>
    </row>
    <row r="117" spans="1:43" x14ac:dyDescent="0.4">
      <c r="A117" t="s">
        <v>138</v>
      </c>
      <c r="B117" t="s">
        <v>148</v>
      </c>
      <c r="D117">
        <v>442</v>
      </c>
      <c r="E117">
        <v>511</v>
      </c>
      <c r="F117" s="2">
        <f>AD117+J117</f>
        <v>113.39092238528914</v>
      </c>
      <c r="G117" s="2">
        <f>$AD117*AF117</f>
        <v>69.295158072904727</v>
      </c>
      <c r="H117" s="2">
        <f>$AD117*AG117</f>
        <v>22.802034200655793</v>
      </c>
      <c r="I117" s="2">
        <f>$AD117*AH117</f>
        <v>2.0128193614774896</v>
      </c>
      <c r="J117" s="2">
        <f>$E117*AI117</f>
        <v>20.199999999999942</v>
      </c>
      <c r="K117" s="2">
        <f>$E117*AJ117</f>
        <v>66.578443113772067</v>
      </c>
      <c r="L117" s="2">
        <f>$E117*AK117</f>
        <v>68.999999999999801</v>
      </c>
      <c r="M117" s="2">
        <f>$E117*(AB117/100)</f>
        <v>50.201796407308002</v>
      </c>
      <c r="N117" s="2">
        <f>$E117*AL117</f>
        <v>2.7079840319361086</v>
      </c>
      <c r="O117" s="2">
        <f>$E117*(AA117/100)</f>
        <v>91.796407204600001</v>
      </c>
      <c r="P117" s="2">
        <f>$E117*AM117</f>
        <v>10.1128856624319</v>
      </c>
      <c r="Q117" s="2">
        <f>$E117*AN117</f>
        <v>5.9999999999999556</v>
      </c>
      <c r="R117" s="2">
        <f>$E117*AQ117</f>
        <v>0</v>
      </c>
      <c r="S117" s="2">
        <f>$E117*AO117</f>
        <v>2.0039920159680467</v>
      </c>
      <c r="T117" s="2">
        <f>$E117*AP117</f>
        <v>0</v>
      </c>
      <c r="U117" s="2">
        <f>S117-T117</f>
        <v>2.0039920159680467</v>
      </c>
      <c r="V117" s="1">
        <f>F117/D117</f>
        <v>0.25654054838300711</v>
      </c>
      <c r="W117" s="1">
        <f>(F117+M117+N117+P117)/(D117+M117+N117+Q117)</f>
        <v>0.35218635246504748</v>
      </c>
      <c r="X117" s="1">
        <f>(G117+H117*2+I117*3+J117*4)/D117</f>
        <v>0.45642010081142204</v>
      </c>
      <c r="Y117" s="1">
        <f>W117+X117</f>
        <v>0.80860645327646952</v>
      </c>
      <c r="Z117">
        <v>0.27735096999999997</v>
      </c>
      <c r="AA117">
        <v>17.964071860000001</v>
      </c>
      <c r="AB117">
        <v>9.8242263027999996</v>
      </c>
      <c r="AD117" s="2">
        <f>(D117-O117-J117+Q117)*Z117</f>
        <v>93.190922385289198</v>
      </c>
      <c r="AE117">
        <v>0.22166627</v>
      </c>
      <c r="AF117">
        <v>0.74358270418668404</v>
      </c>
      <c r="AG117">
        <v>0.244680851063829</v>
      </c>
      <c r="AH117">
        <v>2.1598877980364601E-2</v>
      </c>
      <c r="AI117">
        <v>3.9530332681017501E-2</v>
      </c>
      <c r="AJ117">
        <v>0.13029049533027801</v>
      </c>
      <c r="AK117">
        <v>0.135029354207436</v>
      </c>
      <c r="AL117">
        <v>5.29938166719395E-3</v>
      </c>
      <c r="AM117">
        <v>1.97903829010409E-2</v>
      </c>
      <c r="AN117">
        <v>1.17416829745596E-2</v>
      </c>
      <c r="AO117">
        <v>3.9217064891742598E-3</v>
      </c>
      <c r="AP117">
        <v>0</v>
      </c>
      <c r="AQ117">
        <v>0</v>
      </c>
    </row>
    <row r="118" spans="1:43" x14ac:dyDescent="0.4">
      <c r="A118" t="s">
        <v>149</v>
      </c>
      <c r="B118" s="3" t="s">
        <v>150</v>
      </c>
      <c r="D118">
        <v>496</v>
      </c>
      <c r="E118">
        <v>547</v>
      </c>
      <c r="F118" s="2">
        <f>AD118+J118</f>
        <v>123.03318714522369</v>
      </c>
      <c r="G118" s="2">
        <f>$AD118*AF118</f>
        <v>77.388761629517532</v>
      </c>
      <c r="H118" s="2">
        <f>$AD118*AG118</f>
        <v>26.106253450715201</v>
      </c>
      <c r="I118" s="2">
        <f>$AD118*AH118</f>
        <v>2.0587151210315766</v>
      </c>
      <c r="J118" s="2">
        <f>$E118*AI118</f>
        <v>16.599999999999948</v>
      </c>
      <c r="K118" s="2">
        <f>$E118*AJ118</f>
        <v>68.336734693877403</v>
      </c>
      <c r="L118" s="2">
        <f>$E118*AK118</f>
        <v>59.99999999999995</v>
      </c>
      <c r="M118" s="2">
        <f>$E118*(AB118/100)</f>
        <v>40.372278913593</v>
      </c>
      <c r="N118" s="2">
        <f>$E118*AL118</f>
        <v>0</v>
      </c>
      <c r="O118" s="2">
        <f>$E118*(AA118/100)</f>
        <v>150.7040816427</v>
      </c>
      <c r="P118" s="2">
        <f>$E118*AM118</f>
        <v>4.9468954248365691</v>
      </c>
      <c r="Q118" s="2">
        <f>$E118*AN118</f>
        <v>3.3999999999999804</v>
      </c>
      <c r="R118" s="2">
        <f>$E118*AQ118</f>
        <v>0.3999999999999887</v>
      </c>
      <c r="S118" s="2">
        <f>$E118*AO118</f>
        <v>8.9372448979591201</v>
      </c>
      <c r="T118" s="2">
        <f>$E118*AP118</f>
        <v>3.0721088435373782</v>
      </c>
      <c r="U118" s="2">
        <f>S118-T118</f>
        <v>5.8651360544217415</v>
      </c>
      <c r="V118" s="1">
        <f>F118/D118</f>
        <v>0.24805078053472518</v>
      </c>
      <c r="W118" s="1">
        <f>(F118+M118+N118+P118)/(D118+M118+N118+Q118)</f>
        <v>0.31189516034891301</v>
      </c>
      <c r="X118" s="1">
        <f>(G118+H118*2+I118*3+J118*4)/D118</f>
        <v>0.40761575381863396</v>
      </c>
      <c r="Y118" s="1">
        <f>W118+X118</f>
        <v>0.71951091416754698</v>
      </c>
      <c r="Z118">
        <v>0.3204892962</v>
      </c>
      <c r="AA118">
        <v>27.55102041</v>
      </c>
      <c r="AB118">
        <v>7.3806725619</v>
      </c>
      <c r="AD118" s="2">
        <f>(D118-O118-J118+Q118)*Z118</f>
        <v>106.43318714522374</v>
      </c>
      <c r="AE118">
        <v>0.21979738099999999</v>
      </c>
      <c r="AF118">
        <v>0.72711119252610301</v>
      </c>
      <c r="AG118">
        <v>0.245283018867924</v>
      </c>
      <c r="AH118">
        <v>1.93427931292008E-2</v>
      </c>
      <c r="AI118">
        <v>3.0347349177330799E-2</v>
      </c>
      <c r="AJ118">
        <v>0.1249300451442</v>
      </c>
      <c r="AK118">
        <v>0.10968921389396701</v>
      </c>
      <c r="AL118">
        <v>0</v>
      </c>
      <c r="AM118">
        <v>9.0436845060997608E-3</v>
      </c>
      <c r="AN118">
        <v>6.2157221206580997E-3</v>
      </c>
      <c r="AO118">
        <v>1.6338656120583401E-2</v>
      </c>
      <c r="AP118">
        <v>5.6162867340719897E-3</v>
      </c>
      <c r="AQ118">
        <v>7.3126142595975995E-4</v>
      </c>
    </row>
    <row r="119" spans="1:43" x14ac:dyDescent="0.4">
      <c r="A119" t="s">
        <v>149</v>
      </c>
      <c r="B119" s="3" t="s">
        <v>151</v>
      </c>
      <c r="D119">
        <v>373</v>
      </c>
      <c r="E119">
        <v>398</v>
      </c>
      <c r="F119" s="2">
        <f>AD119+J119</f>
        <v>92.828161607254813</v>
      </c>
      <c r="G119" s="2">
        <f>$AD119*AF119</f>
        <v>61.517226298074853</v>
      </c>
      <c r="H119" s="2">
        <f>$AD119*AG119</f>
        <v>16.210904945077903</v>
      </c>
      <c r="I119" s="2">
        <f>$AD119*AH119</f>
        <v>1.0210764803068462</v>
      </c>
      <c r="J119" s="2">
        <f>$E119*AI119</f>
        <v>13.799999999999978</v>
      </c>
      <c r="K119" s="2">
        <f>$E119*AJ119</f>
        <v>42.891428571428548</v>
      </c>
      <c r="L119" s="2">
        <f>$E119*AK119</f>
        <v>49.999999999999766</v>
      </c>
      <c r="M119" s="2">
        <f>$E119*(AB119/100)</f>
        <v>18.919428572211999</v>
      </c>
      <c r="N119" s="2">
        <f>$E119*AL119</f>
        <v>1.9137142857142821</v>
      </c>
      <c r="O119" s="2">
        <f>$E119*(AA119/100)</f>
        <v>106.8914285828</v>
      </c>
      <c r="P119" s="2">
        <f>$E119*AM119</f>
        <v>3.044887348353531</v>
      </c>
      <c r="Q119" s="2">
        <f>$E119*AN119</f>
        <v>1.9999999999999987</v>
      </c>
      <c r="R119" s="2">
        <f>$E119*AQ119</f>
        <v>0.39999999999999175</v>
      </c>
      <c r="S119" s="2">
        <f>$E119*AO119</f>
        <v>1.0137142857142649</v>
      </c>
      <c r="T119" s="2">
        <f>$E119*AP119</f>
        <v>1.0137142857142649</v>
      </c>
      <c r="U119" s="2">
        <f>S119-T119</f>
        <v>0</v>
      </c>
      <c r="V119" s="1">
        <f>F119/D119</f>
        <v>0.24886906597119252</v>
      </c>
      <c r="W119" s="1">
        <f>(F119+M119+N119+P119)/(D119+M119+N119+Q119)</f>
        <v>0.29483683698366608</v>
      </c>
      <c r="X119" s="1">
        <f>(G119+H119*2+I119*3+J119*4)/D119</f>
        <v>0.40804896951515041</v>
      </c>
      <c r="Y119" s="1">
        <f>W119+X119</f>
        <v>0.70288580649881649</v>
      </c>
      <c r="Z119">
        <v>0.31075697200000002</v>
      </c>
      <c r="AA119">
        <v>26.85714286</v>
      </c>
      <c r="AB119">
        <v>4.7536252693999996</v>
      </c>
      <c r="AD119" s="2">
        <f>(D119-O119-J119+Q119)*Z119</f>
        <v>79.02816160725483</v>
      </c>
      <c r="AE119">
        <v>0.23099118900000001</v>
      </c>
      <c r="AF119">
        <v>0.778421578421578</v>
      </c>
      <c r="AG119">
        <v>0.20512820512820501</v>
      </c>
      <c r="AH119">
        <v>1.2920412920412801E-2</v>
      </c>
      <c r="AI119">
        <v>3.4673366834170799E-2</v>
      </c>
      <c r="AJ119">
        <v>0.107767408470926</v>
      </c>
      <c r="AK119">
        <v>0.12562814070351699</v>
      </c>
      <c r="AL119">
        <v>4.8083273510409101E-3</v>
      </c>
      <c r="AM119">
        <v>7.6504707245063598E-3</v>
      </c>
      <c r="AN119">
        <v>5.0251256281407001E-3</v>
      </c>
      <c r="AO119">
        <v>2.5470208183775499E-3</v>
      </c>
      <c r="AP119">
        <v>2.5470208183775499E-3</v>
      </c>
      <c r="AQ119">
        <v>1.00502512562812E-3</v>
      </c>
    </row>
    <row r="120" spans="1:43" x14ac:dyDescent="0.4">
      <c r="A120" t="s">
        <v>149</v>
      </c>
      <c r="B120" t="s">
        <v>152</v>
      </c>
      <c r="D120">
        <v>465</v>
      </c>
      <c r="E120">
        <v>515</v>
      </c>
      <c r="F120" s="2">
        <f>AD120+J120</f>
        <v>115.17783499580942</v>
      </c>
      <c r="G120" s="2">
        <f>$AD120*AF120</f>
        <v>72.134681911818461</v>
      </c>
      <c r="H120" s="2">
        <f>$AD120*AG120</f>
        <v>23.138439634412649</v>
      </c>
      <c r="I120" s="2">
        <f>$AD120*AH120</f>
        <v>1.9995926317860802</v>
      </c>
      <c r="J120" s="2">
        <f>$E120*AI120</f>
        <v>18.599999999999984</v>
      </c>
      <c r="K120" s="2">
        <f>$E120*AJ120</f>
        <v>60.516883116883037</v>
      </c>
      <c r="L120" s="2">
        <f>$E120*AK120</f>
        <v>63.999999999999915</v>
      </c>
      <c r="M120" s="2">
        <f>$E120*(AB120/100)</f>
        <v>44.799628943975002</v>
      </c>
      <c r="N120" s="2">
        <f>$E120*AL120</f>
        <v>2.3910946196660268</v>
      </c>
      <c r="O120" s="2">
        <f>$E120*(AA120/100)</f>
        <v>130.89981445500001</v>
      </c>
      <c r="P120" s="2">
        <f>$E120*AM120</f>
        <v>4.911177644710544</v>
      </c>
      <c r="Q120" s="2">
        <f>$E120*AN120</f>
        <v>2.5999999999999854</v>
      </c>
      <c r="R120" s="2">
        <f>$E120*AQ120</f>
        <v>1.0167664670658503</v>
      </c>
      <c r="S120" s="2">
        <f>$E120*AO120</f>
        <v>9.9554730983301951</v>
      </c>
      <c r="T120" s="2">
        <f>$E120*AP120</f>
        <v>1.9910946196660133</v>
      </c>
      <c r="U120" s="2">
        <f>S120-T120</f>
        <v>7.964378478664182</v>
      </c>
      <c r="V120" s="1">
        <f>F120/D120</f>
        <v>0.24769426880819231</v>
      </c>
      <c r="W120" s="1">
        <f>(F120+M120+N120+P120)/(D120+M120+N120+Q120)</f>
        <v>0.32494706790007072</v>
      </c>
      <c r="X120" s="1">
        <f>(G120+H120*2+I120*3+J120*4)/D120</f>
        <v>0.42754911629247727</v>
      </c>
      <c r="Y120" s="1">
        <f>W120+X120</f>
        <v>0.75249618419254793</v>
      </c>
      <c r="Z120">
        <v>0.30360823219999999</v>
      </c>
      <c r="AA120">
        <v>25.417439699999999</v>
      </c>
      <c r="AB120">
        <v>8.6989570764999993</v>
      </c>
      <c r="AD120" s="2">
        <f>(D120-O120-J120+Q120)*Z120</f>
        <v>96.57783499580944</v>
      </c>
      <c r="AE120">
        <v>0.22456422300000001</v>
      </c>
      <c r="AF120">
        <v>0.74690721649484504</v>
      </c>
      <c r="AG120">
        <v>0.23958333333333301</v>
      </c>
      <c r="AH120">
        <v>2.0704467353951799E-2</v>
      </c>
      <c r="AI120">
        <v>3.6116504854368903E-2</v>
      </c>
      <c r="AJ120">
        <v>0.117508510906569</v>
      </c>
      <c r="AK120">
        <v>0.124271844660194</v>
      </c>
      <c r="AL120">
        <v>4.6429021741087899E-3</v>
      </c>
      <c r="AM120">
        <v>9.5362672712826103E-3</v>
      </c>
      <c r="AN120">
        <v>5.0485436893203603E-3</v>
      </c>
      <c r="AO120">
        <v>1.9331015724913001E-2</v>
      </c>
      <c r="AP120">
        <v>3.8662031449825502E-3</v>
      </c>
      <c r="AQ120">
        <v>1.9743038195453402E-3</v>
      </c>
    </row>
    <row r="121" spans="1:43" x14ac:dyDescent="0.4">
      <c r="A121" t="s">
        <v>149</v>
      </c>
      <c r="B121" s="3" t="s">
        <v>153</v>
      </c>
      <c r="D121">
        <v>514</v>
      </c>
      <c r="E121">
        <v>577</v>
      </c>
      <c r="F121" s="2">
        <f>AD121+J121</f>
        <v>143.77244386625821</v>
      </c>
      <c r="G121" s="2">
        <f>$AD121*AF121</f>
        <v>113.0561357052034</v>
      </c>
      <c r="H121" s="2">
        <f>$AD121*AG121</f>
        <v>23.927224487873627</v>
      </c>
      <c r="I121" s="2">
        <f>$AD121*AH121</f>
        <v>3.9992646644017387</v>
      </c>
      <c r="J121" s="2">
        <f>$E121*AI121</f>
        <v>3.1999999999999811</v>
      </c>
      <c r="K121" s="2">
        <f>$E121*AJ121</f>
        <v>69.591836734693473</v>
      </c>
      <c r="L121" s="2">
        <f>$E121*AK121</f>
        <v>42.999999999999972</v>
      </c>
      <c r="M121" s="2">
        <f>$E121*(AB121/100)</f>
        <v>46.698979591864997</v>
      </c>
      <c r="N121" s="2">
        <f>$E121*AL121</f>
        <v>1.3981292517006561</v>
      </c>
      <c r="O121" s="2">
        <f>$E121*(AA121/100)</f>
        <v>80.465986387100003</v>
      </c>
      <c r="P121" s="2">
        <f>$E121*AM121</f>
        <v>1.9251626898047409</v>
      </c>
      <c r="Q121" s="2">
        <f>$E121*AN121</f>
        <v>3.9999999999999907</v>
      </c>
      <c r="R121" s="2">
        <f>$E121*AQ121</f>
        <v>6.9058568329717573</v>
      </c>
      <c r="S121" s="2">
        <f>$E121*AO121</f>
        <v>35.540136054421708</v>
      </c>
      <c r="T121" s="2">
        <f>$E121*AP121</f>
        <v>6.0869047619046999</v>
      </c>
      <c r="U121" s="2">
        <f>S121-T121</f>
        <v>29.45323129251701</v>
      </c>
      <c r="V121" s="1">
        <f>F121/D121</f>
        <v>0.27971292580984086</v>
      </c>
      <c r="W121" s="1">
        <f>(F121+M121+N121+P121)/(D121+M121+N121+Q121)</f>
        <v>0.34233475559611365</v>
      </c>
      <c r="X121" s="1">
        <f>(G121+H121*2+I121*3+J121*4)/D121</f>
        <v>0.36130034761508911</v>
      </c>
      <c r="Y121" s="1">
        <f>W121+X121</f>
        <v>0.70363510321120271</v>
      </c>
      <c r="Z121">
        <v>0.32365055339999999</v>
      </c>
      <c r="AA121">
        <v>13.945578230000001</v>
      </c>
      <c r="AB121">
        <v>8.0934106744999994</v>
      </c>
      <c r="AD121" s="2">
        <f>(D121-O121-J121+Q121)*Z121</f>
        <v>140.57244386625823</v>
      </c>
      <c r="AE121">
        <v>0.251896552</v>
      </c>
      <c r="AF121">
        <v>0.804255319148936</v>
      </c>
      <c r="AG121">
        <v>0.170212765957446</v>
      </c>
      <c r="AH121">
        <v>2.8449848024316E-2</v>
      </c>
      <c r="AI121">
        <v>5.5459272097053399E-3</v>
      </c>
      <c r="AJ121">
        <v>0.120609769037597</v>
      </c>
      <c r="AK121">
        <v>7.4523396880415899E-2</v>
      </c>
      <c r="AL121">
        <v>2.4231009561536498E-3</v>
      </c>
      <c r="AM121">
        <v>3.3365037951555302E-3</v>
      </c>
      <c r="AN121">
        <v>6.9324090121316998E-3</v>
      </c>
      <c r="AO121">
        <v>6.1594689869015097E-2</v>
      </c>
      <c r="AP121">
        <v>1.05492283568539E-2</v>
      </c>
      <c r="AQ121">
        <v>1.19685560363462E-2</v>
      </c>
    </row>
    <row r="122" spans="1:43" x14ac:dyDescent="0.4">
      <c r="A122" t="s">
        <v>154</v>
      </c>
      <c r="B122" s="3" t="s">
        <v>155</v>
      </c>
      <c r="D122">
        <v>515</v>
      </c>
      <c r="E122">
        <v>571</v>
      </c>
      <c r="F122" s="2">
        <f>AD122+J122</f>
        <v>126.92262017035176</v>
      </c>
      <c r="G122" s="2">
        <f>$AD122*AF122</f>
        <v>93.096913087928542</v>
      </c>
      <c r="H122" s="2">
        <f>$AD122*AG122</f>
        <v>21.949147031231128</v>
      </c>
      <c r="I122" s="2">
        <f>$AD122*AH122</f>
        <v>3.0284485603552778</v>
      </c>
      <c r="J122" s="2">
        <f>$E122*AI122</f>
        <v>7.1999999999999345</v>
      </c>
      <c r="K122" s="2">
        <f>$E122*AJ122</f>
        <v>65.268106312292332</v>
      </c>
      <c r="L122" s="2">
        <f>$E122*AK122</f>
        <v>50.999999999999993</v>
      </c>
      <c r="M122" s="2">
        <f>$E122*(AB122/100)</f>
        <v>45.432225913471001</v>
      </c>
      <c r="N122" s="2">
        <f>$E122*AL122</f>
        <v>0.99485049833885153</v>
      </c>
      <c r="O122" s="2">
        <f>$E122*(AA122/100)</f>
        <v>102.43853823139999</v>
      </c>
      <c r="P122" s="2">
        <f>$E122*AM122</f>
        <v>1.8976068376068007</v>
      </c>
      <c r="Q122" s="2">
        <f>$E122*AN122</f>
        <v>3.9999999999999765</v>
      </c>
      <c r="R122" s="2">
        <f>$E122*AQ122</f>
        <v>3.5425641025640884</v>
      </c>
      <c r="S122" s="2">
        <f>$E122*AO122</f>
        <v>36.809468438538168</v>
      </c>
      <c r="T122" s="2">
        <f>$E122*AP122</f>
        <v>6.0639534883720767</v>
      </c>
      <c r="U122" s="2">
        <f>S122-T122</f>
        <v>30.74551495016609</v>
      </c>
      <c r="V122" s="1">
        <f>F122/D122</f>
        <v>0.24645168965116848</v>
      </c>
      <c r="W122" s="1">
        <f>(F122+M122+N122+P122)/(D122+M122+N122+Q122)</f>
        <v>0.3099379402413564</v>
      </c>
      <c r="X122" s="1">
        <f>(G122+H122*2+I122*3+J122*4)/D122</f>
        <v>0.33957388899311913</v>
      </c>
      <c r="Y122" s="1">
        <f>W122+X122</f>
        <v>0.64951182923447548</v>
      </c>
      <c r="Z122">
        <v>0.29246187379999999</v>
      </c>
      <c r="AA122">
        <v>17.940199339999999</v>
      </c>
      <c r="AB122">
        <v>7.9566069901000001</v>
      </c>
      <c r="AD122" s="2">
        <f>(D122-O122-J122+Q122)*Z122</f>
        <v>119.72262017035183</v>
      </c>
      <c r="AE122">
        <v>0.22293169099999999</v>
      </c>
      <c r="AF122">
        <v>0.77760504201680603</v>
      </c>
      <c r="AG122">
        <v>0.18333333333333299</v>
      </c>
      <c r="AH122">
        <v>2.52955419455917E-2</v>
      </c>
      <c r="AI122">
        <v>1.26094570928195E-2</v>
      </c>
      <c r="AJ122">
        <v>0.11430491473256101</v>
      </c>
      <c r="AK122">
        <v>8.9316987740805598E-2</v>
      </c>
      <c r="AL122">
        <v>1.7422950934130499E-3</v>
      </c>
      <c r="AM122">
        <v>3.3233044441450098E-3</v>
      </c>
      <c r="AN122">
        <v>7.0052539404552999E-3</v>
      </c>
      <c r="AO122">
        <v>6.4464918456284007E-2</v>
      </c>
      <c r="AP122">
        <v>1.0619883517289101E-2</v>
      </c>
      <c r="AQ122">
        <v>6.20414028470068E-3</v>
      </c>
    </row>
    <row r="123" spans="1:43" x14ac:dyDescent="0.4">
      <c r="A123" t="s">
        <v>154</v>
      </c>
      <c r="B123" t="s">
        <v>156</v>
      </c>
      <c r="D123">
        <v>452</v>
      </c>
      <c r="E123">
        <v>525</v>
      </c>
      <c r="F123" s="2">
        <f>AD123+J123</f>
        <v>117.8446163904979</v>
      </c>
      <c r="G123" s="2">
        <f>$AD123*AF123</f>
        <v>78.308935956262673</v>
      </c>
      <c r="H123" s="2">
        <f>$AD123*AG123</f>
        <v>22.744482470975502</v>
      </c>
      <c r="I123" s="2">
        <f>$AD123*AH123</f>
        <v>2.5375304479513199</v>
      </c>
      <c r="J123" s="2">
        <f>$E123*AI123</f>
        <v>14.999999999999909</v>
      </c>
      <c r="K123" s="2">
        <f>$E123*AJ123</f>
        <v>72.051219512194649</v>
      </c>
      <c r="L123" s="2">
        <f>$E123*AK123</f>
        <v>58.999999999999801</v>
      </c>
      <c r="M123" s="2">
        <f>$E123*(AB123/100)</f>
        <v>64.185365852999993</v>
      </c>
      <c r="N123" s="2">
        <f>$E123*AL123</f>
        <v>4.5573170731707195</v>
      </c>
      <c r="O123" s="2">
        <f>$E123*(AA123/100)</f>
        <v>115.2439024275</v>
      </c>
      <c r="P123" s="2">
        <f>$E123*AM123</f>
        <v>3.01947261663285</v>
      </c>
      <c r="Q123" s="2">
        <f>$E123*AN123</f>
        <v>2.5999999999999934</v>
      </c>
      <c r="R123" s="2">
        <f>$E123*AQ123</f>
        <v>1.0389452332657125</v>
      </c>
      <c r="S123" s="2">
        <f>$E123*AO123</f>
        <v>21.003658536585323</v>
      </c>
      <c r="T123" s="2">
        <f>$E123*AP123</f>
        <v>3.9658536585365725</v>
      </c>
      <c r="U123" s="2">
        <f>S123-T123</f>
        <v>17.03780487804875</v>
      </c>
      <c r="V123" s="1">
        <f>F123/D123</f>
        <v>0.26071817785508383</v>
      </c>
      <c r="W123" s="1">
        <f>(F123+M123+N123+P123)/(D123+M123+N123+Q123)</f>
        <v>0.36229946098252752</v>
      </c>
      <c r="X123" s="1">
        <f>(G123+H123*2+I123*3+J123*4)/D123</f>
        <v>0.42347454035855586</v>
      </c>
      <c r="Y123" s="1">
        <f>W123+X123</f>
        <v>0.78577400134108344</v>
      </c>
      <c r="Z123">
        <v>0.31707317099999999</v>
      </c>
      <c r="AA123">
        <v>21.951219510000001</v>
      </c>
      <c r="AB123">
        <v>12.225783972</v>
      </c>
      <c r="AD123" s="2">
        <f>(D123-O123-J123+Q123)*Z123</f>
        <v>102.84461639049799</v>
      </c>
      <c r="AE123">
        <v>0.230307913</v>
      </c>
      <c r="AF123">
        <v>0.76142960812772098</v>
      </c>
      <c r="AG123">
        <v>0.22115384615384601</v>
      </c>
      <c r="AH123">
        <v>2.46734397677793E-2</v>
      </c>
      <c r="AI123">
        <v>2.8571428571428401E-2</v>
      </c>
      <c r="AJ123">
        <v>0.13724041811846599</v>
      </c>
      <c r="AK123">
        <v>0.112380952380952</v>
      </c>
      <c r="AL123">
        <v>8.6806039488966091E-3</v>
      </c>
      <c r="AM123">
        <v>5.7513764126339998E-3</v>
      </c>
      <c r="AN123">
        <v>4.9523809523809399E-3</v>
      </c>
      <c r="AO123">
        <v>4.0006968641114901E-2</v>
      </c>
      <c r="AP123">
        <v>7.5540069686410903E-3</v>
      </c>
      <c r="AQ123">
        <v>1.9789433014585E-3</v>
      </c>
    </row>
    <row r="124" spans="1:43" x14ac:dyDescent="0.4">
      <c r="A124" t="s">
        <v>154</v>
      </c>
      <c r="B124" s="3" t="s">
        <v>157</v>
      </c>
      <c r="D124">
        <v>399</v>
      </c>
      <c r="E124">
        <v>452</v>
      </c>
      <c r="F124" s="2">
        <f>AD124+J124</f>
        <v>92.194698747965475</v>
      </c>
      <c r="G124" s="2">
        <f>$AD124*AF124</f>
        <v>59.899644905856057</v>
      </c>
      <c r="H124" s="2">
        <f>$AD124*AG124</f>
        <v>16.998873483942671</v>
      </c>
      <c r="I124" s="2">
        <f>$AD124*AH124</f>
        <v>2.9499341401949133</v>
      </c>
      <c r="J124" s="2">
        <f>$E124*AI124</f>
        <v>12.199999999999966</v>
      </c>
      <c r="K124" s="2">
        <f>$E124*AJ124</f>
        <v>55.915102040815967</v>
      </c>
      <c r="L124" s="2">
        <f>$E124*AK124</f>
        <v>48.99999999999968</v>
      </c>
      <c r="M124" s="2">
        <f>$E124*(AB124/100)</f>
        <v>43.035510203068</v>
      </c>
      <c r="N124" s="2">
        <f>$E124*AL124</f>
        <v>0.3999999999999867</v>
      </c>
      <c r="O124" s="2">
        <f>$E124*(AA124/100)</f>
        <v>136.52244896760001</v>
      </c>
      <c r="P124" s="2">
        <f>$E124*AM124</f>
        <v>4.1870129870129444</v>
      </c>
      <c r="Q124" s="2">
        <f>$E124*AN124</f>
        <v>1.9999999999999789</v>
      </c>
      <c r="R124" s="2">
        <f>$E124*AQ124</f>
        <v>1.6805194805194594</v>
      </c>
      <c r="S124" s="2">
        <f>$E124*AO124</f>
        <v>19.93714285714281</v>
      </c>
      <c r="T124" s="2">
        <f>$E124*AP124</f>
        <v>5.053469387755035</v>
      </c>
      <c r="U124" s="2">
        <f>S124-T124</f>
        <v>14.883673469387775</v>
      </c>
      <c r="V124" s="1">
        <f>F124/D124</f>
        <v>0.23106440788963778</v>
      </c>
      <c r="W124" s="1">
        <f>(F124+M124+N124+P124)/(D124+M124+N124+Q124)</f>
        <v>0.31459507336432729</v>
      </c>
      <c r="X124" s="1">
        <f>(G124+H124*2+I124*3+J124*4)/D124</f>
        <v>0.37981752955971432</v>
      </c>
      <c r="Y124" s="1">
        <f>W124+X124</f>
        <v>0.69441260292404161</v>
      </c>
      <c r="Z124">
        <v>0.31709003999999902</v>
      </c>
      <c r="AA124">
        <v>30.204081630000001</v>
      </c>
      <c r="AB124">
        <v>9.5211305758999991</v>
      </c>
      <c r="AD124" s="2">
        <f>(D124-O124-J124+Q124)*Z124</f>
        <v>79.994698747965515</v>
      </c>
      <c r="AE124">
        <v>0.209337298</v>
      </c>
      <c r="AF124">
        <v>0.74879518072289097</v>
      </c>
      <c r="AG124">
        <v>0.21249999999999999</v>
      </c>
      <c r="AH124">
        <v>3.6876620405673299E-2</v>
      </c>
      <c r="AI124">
        <v>2.6991150442477799E-2</v>
      </c>
      <c r="AJ124">
        <v>0.123705977966407</v>
      </c>
      <c r="AK124">
        <v>0.10840707964601699</v>
      </c>
      <c r="AL124">
        <v>8.8495575221235999E-4</v>
      </c>
      <c r="AM124">
        <v>9.2633030686127098E-3</v>
      </c>
      <c r="AN124">
        <v>4.4247787610619E-3</v>
      </c>
      <c r="AO124">
        <v>4.4108723135271699E-2</v>
      </c>
      <c r="AP124">
        <v>1.1180242008307599E-2</v>
      </c>
      <c r="AQ124">
        <v>3.7179634524766802E-3</v>
      </c>
    </row>
    <row r="125" spans="1:43" x14ac:dyDescent="0.4">
      <c r="A125" t="s">
        <v>154</v>
      </c>
      <c r="B125" s="3" t="s">
        <v>158</v>
      </c>
      <c r="D125">
        <v>582</v>
      </c>
      <c r="E125">
        <v>633</v>
      </c>
      <c r="F125" s="2">
        <f>AD125+J125</f>
        <v>157.91649550986864</v>
      </c>
      <c r="G125" s="2">
        <f>$AD125*AF125</f>
        <v>101.43711470592716</v>
      </c>
      <c r="H125" s="2">
        <f>$AD125*AG125</f>
        <v>29.806531863474898</v>
      </c>
      <c r="I125" s="2">
        <f>$AD125*AH125</f>
        <v>3.453702124877251</v>
      </c>
      <c r="J125" s="2">
        <f>$E125*AI125</f>
        <v>21.799999999999937</v>
      </c>
      <c r="K125" s="2">
        <f>$E125*AJ125</f>
        <v>84.34832826747683</v>
      </c>
      <c r="L125" s="2">
        <f>$E125*AK125</f>
        <v>83.999999999999446</v>
      </c>
      <c r="M125" s="2">
        <f>$E125*(AB125/100)</f>
        <v>41.229027355854001</v>
      </c>
      <c r="N125" s="2">
        <f>$E125*AL125</f>
        <v>2.5886018237081672</v>
      </c>
      <c r="O125" s="2">
        <f>$E125*(AA125/100)</f>
        <v>129.87082069889999</v>
      </c>
      <c r="P125" s="2">
        <f>$E125*AM125</f>
        <v>4.8138842975206453</v>
      </c>
      <c r="Q125" s="2">
        <f>$E125*AN125</f>
        <v>3.9999999999999623</v>
      </c>
      <c r="R125" s="2">
        <f>$E125*AQ125</f>
        <v>1.0277685950412787</v>
      </c>
      <c r="S125" s="2">
        <f>$E125*AO125</f>
        <v>26.993617021276513</v>
      </c>
      <c r="T125" s="2">
        <f>$E125*AP125</f>
        <v>7.0696048632218149</v>
      </c>
      <c r="U125" s="2">
        <f>S125-T125</f>
        <v>19.924012158054698</v>
      </c>
      <c r="V125" s="1">
        <f>F125/D125</f>
        <v>0.27133418472486021</v>
      </c>
      <c r="W125" s="1">
        <f>(F125+M125+N125+P125)/(D125+M125+N125+Q125)</f>
        <v>0.32794891634902812</v>
      </c>
      <c r="X125" s="1">
        <f>(G125+H125*2+I125*3+J125*4)/D125</f>
        <v>0.44434928661083928</v>
      </c>
      <c r="Y125" s="1">
        <f>W125+X125</f>
        <v>0.7722982029598674</v>
      </c>
      <c r="Z125">
        <v>0.31339477519999998</v>
      </c>
      <c r="AA125">
        <v>20.516717329999999</v>
      </c>
      <c r="AB125">
        <v>6.5132744638000002</v>
      </c>
      <c r="AD125" s="2">
        <f>(D125-O125-J125+Q125)*Z125</f>
        <v>136.11649550986871</v>
      </c>
      <c r="AE125">
        <v>0.247769667</v>
      </c>
      <c r="AF125">
        <v>0.74522279115372003</v>
      </c>
      <c r="AG125">
        <v>0.218978102189781</v>
      </c>
      <c r="AH125">
        <v>2.53731343283581E-2</v>
      </c>
      <c r="AI125">
        <v>3.4439178515007801E-2</v>
      </c>
      <c r="AJ125">
        <v>0.133251703424134</v>
      </c>
      <c r="AK125">
        <v>0.13270142180094699</v>
      </c>
      <c r="AL125">
        <v>4.0894183628880998E-3</v>
      </c>
      <c r="AM125">
        <v>7.6048725079315097E-3</v>
      </c>
      <c r="AN125">
        <v>6.3191153238546004E-3</v>
      </c>
      <c r="AO125">
        <v>4.26439447413531E-2</v>
      </c>
      <c r="AP125">
        <v>1.11684121061956E-2</v>
      </c>
      <c r="AQ125">
        <v>1.6236470695754799E-3</v>
      </c>
    </row>
    <row r="126" spans="1:43" x14ac:dyDescent="0.4">
      <c r="A126" t="s">
        <v>154</v>
      </c>
      <c r="B126" s="3" t="s">
        <v>159</v>
      </c>
      <c r="D126">
        <v>493</v>
      </c>
      <c r="E126">
        <v>552</v>
      </c>
      <c r="F126" s="2">
        <f>AD126+J126</f>
        <v>121.27558238861599</v>
      </c>
      <c r="G126" s="2">
        <f>$AD126*AF126</f>
        <v>81.261296721716178</v>
      </c>
      <c r="H126" s="2">
        <f>$AD126*AG126</f>
        <v>21.8551164777232</v>
      </c>
      <c r="I126" s="2">
        <f>$AD126*AH126</f>
        <v>3.9736575414042106</v>
      </c>
      <c r="J126" s="2">
        <f>$E126*AI126</f>
        <v>11.999999999999996</v>
      </c>
      <c r="K126" s="2">
        <f>$E126*AJ126</f>
        <v>64.228571428571158</v>
      </c>
      <c r="L126" s="2">
        <f>$E126*AK126</f>
        <v>60.999999999999673</v>
      </c>
      <c r="M126" s="2">
        <f>$E126*(AB126/100)</f>
        <v>43.519047616656003</v>
      </c>
      <c r="N126" s="2">
        <f>$E126*AL126</f>
        <v>0</v>
      </c>
      <c r="O126" s="2">
        <f>$E126*(AA126/100)</f>
        <v>111.27619048320001</v>
      </c>
      <c r="P126" s="2">
        <f>$E126*AM126</f>
        <v>5.0328185328185029</v>
      </c>
      <c r="Q126" s="2">
        <f>$E126*AN126</f>
        <v>3.7999999999999705</v>
      </c>
      <c r="R126" s="2">
        <f>$E126*AQ126</f>
        <v>2.0787644787644579</v>
      </c>
      <c r="S126" s="2">
        <f>$E126*AO126</f>
        <v>10.95142857142854</v>
      </c>
      <c r="T126" s="2">
        <f>$E126*AP126</f>
        <v>3.9504761904761865</v>
      </c>
      <c r="U126" s="2">
        <f>S126-T126</f>
        <v>7.0009523809523539</v>
      </c>
      <c r="V126" s="1">
        <f>F126/D126</f>
        <v>0.24599509612295331</v>
      </c>
      <c r="W126" s="1">
        <f>(F126+M126+N126+P126)/(D126+M126+N126+Q126)</f>
        <v>0.31430957188571884</v>
      </c>
      <c r="X126" s="1">
        <f>(G126+H126*2+I126*3+J126*4)/D126</f>
        <v>0.37503550162550753</v>
      </c>
      <c r="Y126" s="1">
        <f>W126+X126</f>
        <v>0.68934507351122631</v>
      </c>
      <c r="Z126">
        <v>0.29255319099999999</v>
      </c>
      <c r="AA126">
        <v>20.158730160000001</v>
      </c>
      <c r="AB126">
        <v>7.8838854378000001</v>
      </c>
      <c r="AD126" s="2">
        <f>(D126-O126-J126+Q126)*Z126</f>
        <v>109.27558238861599</v>
      </c>
      <c r="AE126">
        <v>0.22344221</v>
      </c>
      <c r="AF126">
        <v>0.74363636363636298</v>
      </c>
      <c r="AG126">
        <v>0.2</v>
      </c>
      <c r="AH126">
        <v>3.6363636363636299E-2</v>
      </c>
      <c r="AI126">
        <v>2.1739130434782601E-2</v>
      </c>
      <c r="AJ126">
        <v>0.116356107660455</v>
      </c>
      <c r="AK126">
        <v>0.110507246376811</v>
      </c>
      <c r="AL126">
        <v>0</v>
      </c>
      <c r="AM126">
        <v>9.1174248782943893E-3</v>
      </c>
      <c r="AN126">
        <v>6.8840579710144397E-3</v>
      </c>
      <c r="AO126">
        <v>1.9839544513457499E-2</v>
      </c>
      <c r="AP126">
        <v>7.1566597653554102E-3</v>
      </c>
      <c r="AQ126">
        <v>3.7658776789211198E-3</v>
      </c>
    </row>
    <row r="127" spans="1:43" x14ac:dyDescent="0.4">
      <c r="A127" t="s">
        <v>154</v>
      </c>
      <c r="B127" t="s">
        <v>160</v>
      </c>
      <c r="D127">
        <v>469</v>
      </c>
      <c r="E127">
        <v>537</v>
      </c>
      <c r="F127" s="2">
        <f>AD127+J127</f>
        <v>100.56706671395987</v>
      </c>
      <c r="G127" s="2">
        <f>$AD127*AF127</f>
        <v>55.219263623940257</v>
      </c>
      <c r="H127" s="2">
        <f>$AD127*AG127</f>
        <v>20.560364115296888</v>
      </c>
      <c r="I127" s="2">
        <f>$AD127*AH127</f>
        <v>0.98937090479623946</v>
      </c>
      <c r="J127" s="2">
        <f>$E127*AI127</f>
        <v>24.199999999999928</v>
      </c>
      <c r="K127" s="2">
        <f>$E127*AJ127</f>
        <v>61.770034843205345</v>
      </c>
      <c r="L127" s="2">
        <f>$E127*AK127</f>
        <v>75.999999999999787</v>
      </c>
      <c r="M127" s="2">
        <f>$E127*(AB127/100)</f>
        <v>58.71324042525</v>
      </c>
      <c r="N127" s="2">
        <f>$E127*AL127</f>
        <v>0.59355400696862537</v>
      </c>
      <c r="O127" s="2">
        <f>$E127*(AA127/100)</f>
        <v>149.6864111502</v>
      </c>
      <c r="P127" s="2">
        <f>$E127*AM127</f>
        <v>6.9317647058823058</v>
      </c>
      <c r="Q127" s="2">
        <f>$E127*AN127</f>
        <v>4</v>
      </c>
      <c r="R127" s="2">
        <f>$E127*AQ127</f>
        <v>0</v>
      </c>
      <c r="S127" s="2">
        <f>$E127*AO127</f>
        <v>2.9806620209058972</v>
      </c>
      <c r="T127" s="2">
        <f>$E127*AP127</f>
        <v>0.99355400696861451</v>
      </c>
      <c r="U127" s="2">
        <f>S127-T127</f>
        <v>1.9871080139372825</v>
      </c>
      <c r="V127" s="1">
        <f>F127/D127</f>
        <v>0.21442871367582064</v>
      </c>
      <c r="W127" s="1">
        <f>(F127+M127+N127+P127)/(D127+M127+N127+Q127)</f>
        <v>0.31336369852273421</v>
      </c>
      <c r="X127" s="1">
        <f>(G127+H127*2+I127*3+J127*4)/D127</f>
        <v>0.41814094790815026</v>
      </c>
      <c r="Y127" s="1">
        <f>W127+X127</f>
        <v>0.73150464643088453</v>
      </c>
      <c r="Z127">
        <v>0.2553112582</v>
      </c>
      <c r="AA127">
        <v>27.874564459999998</v>
      </c>
      <c r="AB127">
        <v>10.933564325000001</v>
      </c>
      <c r="AD127" s="2">
        <f>(D127-O127-J127+Q127)*Z127</f>
        <v>76.367066713959943</v>
      </c>
      <c r="AE127">
        <v>0.19290738499999999</v>
      </c>
      <c r="AF127">
        <v>0.72307692307692295</v>
      </c>
      <c r="AG127">
        <v>0.269230769230769</v>
      </c>
      <c r="AH127">
        <v>1.2955465587044499E-2</v>
      </c>
      <c r="AI127">
        <v>4.5065176908752197E-2</v>
      </c>
      <c r="AJ127">
        <v>0.11502799784582</v>
      </c>
      <c r="AK127">
        <v>0.14152700186219699</v>
      </c>
      <c r="AL127">
        <v>1.10531472433636E-3</v>
      </c>
      <c r="AM127">
        <v>1.29083141636542E-2</v>
      </c>
      <c r="AN127">
        <v>7.4487895716945996E-3</v>
      </c>
      <c r="AO127">
        <v>5.5505810445174997E-3</v>
      </c>
      <c r="AP127">
        <v>1.8501936815057999E-3</v>
      </c>
      <c r="AQ127">
        <v>0</v>
      </c>
    </row>
    <row r="128" spans="1:43" x14ac:dyDescent="0.4">
      <c r="A128" t="s">
        <v>154</v>
      </c>
      <c r="B128" t="s">
        <v>161</v>
      </c>
      <c r="D128">
        <v>546</v>
      </c>
      <c r="E128">
        <v>620</v>
      </c>
      <c r="F128" s="2">
        <f>AD128+J128</f>
        <v>145.83655303000069</v>
      </c>
      <c r="G128" s="2">
        <f>$AD128*AF128</f>
        <v>93.446736925477865</v>
      </c>
      <c r="H128" s="2">
        <f>$AD128*AG128</f>
        <v>28.568529040333466</v>
      </c>
      <c r="I128" s="2">
        <f>$AD128*AH128</f>
        <v>1.3887702382762925</v>
      </c>
      <c r="J128" s="2">
        <f>$E128*AI128</f>
        <v>23.399999999999956</v>
      </c>
      <c r="K128" s="2">
        <f>$E128*AJ128</f>
        <v>79.32268370606991</v>
      </c>
      <c r="L128" s="2">
        <f>$E128*AK128</f>
        <v>82.999999999999702</v>
      </c>
      <c r="M128" s="2">
        <f>$E128*(AB128/100)</f>
        <v>63.434824267800003</v>
      </c>
      <c r="N128" s="2">
        <f>$E128*AL128</f>
        <v>2.597124600638959</v>
      </c>
      <c r="O128" s="2">
        <f>$E128*(AA128/100)</f>
        <v>130.73482427599998</v>
      </c>
      <c r="P128" s="2">
        <f>$E128*AM128</f>
        <v>4.8280423280422902</v>
      </c>
      <c r="Q128" s="2">
        <f>$E128*AN128</f>
        <v>2.9999999999999662</v>
      </c>
      <c r="R128" s="2">
        <f>$E128*AQ128</f>
        <v>0</v>
      </c>
      <c r="S128" s="2">
        <f>$E128*AO128</f>
        <v>6.9932907348241864</v>
      </c>
      <c r="T128" s="2">
        <f>$E128*AP128</f>
        <v>1.9980830670926475</v>
      </c>
      <c r="U128" s="2">
        <f>S128-T128</f>
        <v>4.9952076677315391</v>
      </c>
      <c r="V128" s="1">
        <f>F128/D128</f>
        <v>0.26709991397436023</v>
      </c>
      <c r="W128" s="1">
        <f>(F128+M128+N128+P128)/(D128+M128+N128+Q128)</f>
        <v>0.35233380091094318</v>
      </c>
      <c r="X128" s="1">
        <f>(G128+H128*2+I128*3+J128*4)/D128</f>
        <v>0.45485367348163641</v>
      </c>
      <c r="Y128" s="1">
        <f>W128+X128</f>
        <v>0.80718747439257954</v>
      </c>
      <c r="Z128">
        <v>0.31007179299999998</v>
      </c>
      <c r="AA128">
        <v>21.08626198</v>
      </c>
      <c r="AB128">
        <v>10.231423269</v>
      </c>
      <c r="AD128" s="2">
        <f>(D128-O128-J128+Q128)*Z128</f>
        <v>122.43655303000074</v>
      </c>
      <c r="AE128">
        <v>0.23845312900000001</v>
      </c>
      <c r="AF128">
        <v>0.76322580645161198</v>
      </c>
      <c r="AG128">
        <v>0.233333333333333</v>
      </c>
      <c r="AH128">
        <v>1.1342774718069701E-2</v>
      </c>
      <c r="AI128">
        <v>3.7741935483870899E-2</v>
      </c>
      <c r="AJ128">
        <v>0.12793981242914501</v>
      </c>
      <c r="AK128">
        <v>0.13387096774193499</v>
      </c>
      <c r="AL128">
        <v>4.1889106461918697E-3</v>
      </c>
      <c r="AM128">
        <v>7.7871650452295002E-3</v>
      </c>
      <c r="AN128">
        <v>4.8387096774193004E-3</v>
      </c>
      <c r="AO128">
        <v>1.12795011852003E-2</v>
      </c>
      <c r="AP128">
        <v>3.2227146243429799E-3</v>
      </c>
      <c r="AQ128">
        <v>0</v>
      </c>
    </row>
    <row r="129" spans="1:43" x14ac:dyDescent="0.4">
      <c r="A129" t="s">
        <v>162</v>
      </c>
      <c r="B129" s="3" t="s">
        <v>163</v>
      </c>
      <c r="D129">
        <v>393</v>
      </c>
      <c r="E129">
        <v>427</v>
      </c>
      <c r="F129" s="2">
        <f>AD129+J129</f>
        <v>96.733783243539847</v>
      </c>
      <c r="G129" s="2">
        <f>$AD129*AF129</f>
        <v>67.200858550481769</v>
      </c>
      <c r="H129" s="2">
        <f>$AD129*AG129</f>
        <v>19.02888501849149</v>
      </c>
      <c r="I129" s="2">
        <f>$AD129*AH129</f>
        <v>1.0084273004354813</v>
      </c>
      <c r="J129" s="2">
        <f>$E129*AI129</f>
        <v>8.5999999999999428</v>
      </c>
      <c r="K129" s="2">
        <f>$E129*AJ129</f>
        <v>44.758333333333141</v>
      </c>
      <c r="L129" s="2">
        <f>$E129*AK129</f>
        <v>47.999999999999801</v>
      </c>
      <c r="M129" s="2">
        <f>$E129*(AB129/100)</f>
        <v>26.449999999142999</v>
      </c>
      <c r="N129" s="2">
        <f>$E129*AL129</f>
        <v>1.9694444444444339</v>
      </c>
      <c r="O129" s="2">
        <f>$E129*(AA129/100)</f>
        <v>70.319444451899997</v>
      </c>
      <c r="P129" s="2">
        <f>$E129*AM129</f>
        <v>1.8997663551401773</v>
      </c>
      <c r="Q129" s="2">
        <f>$E129*AN129</f>
        <v>2.9999999999999658</v>
      </c>
      <c r="R129" s="2">
        <f>$E129*AQ129</f>
        <v>0.39999999999998975</v>
      </c>
      <c r="S129" s="2">
        <f>$E129*AO129</f>
        <v>5.008333333333308</v>
      </c>
      <c r="T129" s="2">
        <f>$E129*AP129</f>
        <v>0.98472222222219563</v>
      </c>
      <c r="U129" s="2">
        <f>S129-T129</f>
        <v>4.0236111111111121</v>
      </c>
      <c r="V129" s="1">
        <f>F129/D129</f>
        <v>0.24614194209552123</v>
      </c>
      <c r="W129" s="1">
        <f>(F129+M129+N129+P129)/(D129+M129+N129+Q129)</f>
        <v>0.29935714705256622</v>
      </c>
      <c r="X129" s="1">
        <f>(G129+H129*2+I129*3+J129*4)/D129</f>
        <v>0.36306338546761063</v>
      </c>
      <c r="Y129" s="1">
        <f>W129+X129</f>
        <v>0.66242053252017685</v>
      </c>
      <c r="Z129">
        <v>0.27795391959999999</v>
      </c>
      <c r="AA129">
        <v>16.468253969999999</v>
      </c>
      <c r="AB129">
        <v>6.1943793909</v>
      </c>
      <c r="AD129" s="2">
        <f>(D129-O129-J129+Q129)*Z129</f>
        <v>88.133783243539909</v>
      </c>
      <c r="AE129">
        <v>0.225805387</v>
      </c>
      <c r="AF129">
        <v>0.76248693834900705</v>
      </c>
      <c r="AG129">
        <v>0.21590909090909</v>
      </c>
      <c r="AH129">
        <v>1.14420062695924E-2</v>
      </c>
      <c r="AI129">
        <v>2.0140515222482301E-2</v>
      </c>
      <c r="AJ129">
        <v>0.104820452771272</v>
      </c>
      <c r="AK129">
        <v>0.11241217798594801</v>
      </c>
      <c r="AL129">
        <v>4.6122820712984399E-3</v>
      </c>
      <c r="AM129">
        <v>4.4491015342861297E-3</v>
      </c>
      <c r="AN129">
        <v>7.0257611241217001E-3</v>
      </c>
      <c r="AO129">
        <v>1.17291178766588E-2</v>
      </c>
      <c r="AP129">
        <v>2.3061410356491701E-3</v>
      </c>
      <c r="AQ129">
        <v>9.3676814988288002E-4</v>
      </c>
    </row>
    <row r="130" spans="1:43" x14ac:dyDescent="0.4">
      <c r="A130" t="s">
        <v>162</v>
      </c>
      <c r="B130" t="s">
        <v>164</v>
      </c>
      <c r="D130">
        <v>393</v>
      </c>
      <c r="E130">
        <v>436</v>
      </c>
      <c r="F130" s="2">
        <f>AD130+J130</f>
        <v>94.041118751693574</v>
      </c>
      <c r="G130" s="2">
        <f>$AD130*AF130</f>
        <v>47.833667269028332</v>
      </c>
      <c r="H130" s="2">
        <f>$AD130*AG130</f>
        <v>23.494416892441151</v>
      </c>
      <c r="I130" s="2">
        <f>$AD130*AH130</f>
        <v>1.9846881849779074</v>
      </c>
      <c r="J130" s="2">
        <f>$E130*AI130</f>
        <v>21.599999999999948</v>
      </c>
      <c r="K130" s="2">
        <f>$E130*AJ130</f>
        <v>59.947553816046863</v>
      </c>
      <c r="L130" s="2">
        <f>$E130*AK130</f>
        <v>60.999999999999588</v>
      </c>
      <c r="M130" s="2">
        <f>$E130*(AB130/100)</f>
        <v>31.956947161319999</v>
      </c>
      <c r="N130" s="2">
        <f>$E130*AL130</f>
        <v>0.98532289628176994</v>
      </c>
      <c r="O130" s="2">
        <f>$E130*(AA130/100)</f>
        <v>123.71819962960001</v>
      </c>
      <c r="P130" s="2">
        <f>$E130*AM130</f>
        <v>8.1251989389920105</v>
      </c>
      <c r="Q130" s="2">
        <f>$E130*AN130</f>
        <v>2.9999999999999876</v>
      </c>
      <c r="R130" s="2">
        <f>$E130*AQ130</f>
        <v>0</v>
      </c>
      <c r="S130" s="2">
        <f>$E130*AO130</f>
        <v>7.8825831702543594</v>
      </c>
      <c r="T130" s="2">
        <f>$E130*AP130</f>
        <v>1.9706457925635745</v>
      </c>
      <c r="U130" s="2">
        <f>S130-T130</f>
        <v>5.9119373776907853</v>
      </c>
      <c r="V130" s="1">
        <f>F130/D130</f>
        <v>0.23929037850303708</v>
      </c>
      <c r="W130" s="1">
        <f>(F130+M130+N130+P130)/(D130+M130+N130+Q130)</f>
        <v>0.31498081951714368</v>
      </c>
      <c r="X130" s="1">
        <f>(G130+H130*2+I130*3+J130*4)/D130</f>
        <v>0.4762762483685602</v>
      </c>
      <c r="Y130" s="1">
        <f>W130+X130</f>
        <v>0.79125706788570382</v>
      </c>
      <c r="Z130">
        <v>0.28897637819999999</v>
      </c>
      <c r="AA130">
        <v>28.37573386</v>
      </c>
      <c r="AB130">
        <v>7.3295750369999997</v>
      </c>
      <c r="AD130" s="2">
        <f>(D130-O130-J130+Q130)*Z130</f>
        <v>72.441118751693622</v>
      </c>
      <c r="AE130">
        <v>0.217118166</v>
      </c>
      <c r="AF130">
        <v>0.66031099592743403</v>
      </c>
      <c r="AG130">
        <v>0.32432432432432401</v>
      </c>
      <c r="AH130">
        <v>2.7397260273972601E-2</v>
      </c>
      <c r="AI130">
        <v>4.9541284403669603E-2</v>
      </c>
      <c r="AJ130">
        <v>0.13749438948634601</v>
      </c>
      <c r="AK130">
        <v>0.139908256880733</v>
      </c>
      <c r="AL130">
        <v>2.2599148997288301E-3</v>
      </c>
      <c r="AM130">
        <v>1.86357773830092E-2</v>
      </c>
      <c r="AN130">
        <v>6.8807339449541002E-3</v>
      </c>
      <c r="AO130">
        <v>1.8079319197831099E-2</v>
      </c>
      <c r="AP130">
        <v>4.51982979945774E-3</v>
      </c>
      <c r="AQ130">
        <v>0</v>
      </c>
    </row>
    <row r="131" spans="1:43" x14ac:dyDescent="0.4">
      <c r="A131" t="s">
        <v>162</v>
      </c>
      <c r="B131" t="s">
        <v>165</v>
      </c>
      <c r="D131">
        <v>453</v>
      </c>
      <c r="E131">
        <v>516</v>
      </c>
      <c r="F131" s="2">
        <f>AD131+J131</f>
        <v>121.82474079576588</v>
      </c>
      <c r="G131" s="2">
        <f>$AD131*AF131</f>
        <v>78.826162429406651</v>
      </c>
      <c r="H131" s="2">
        <f>$AD131*AG131</f>
        <v>23.184165420413702</v>
      </c>
      <c r="I131" s="2">
        <f>$AD131*AH131</f>
        <v>1.6051314527093787</v>
      </c>
      <c r="J131" s="2">
        <f>$E131*AI131</f>
        <v>17.999999999999972</v>
      </c>
      <c r="K131" s="2">
        <f>$E131*AJ131</f>
        <v>66.111428571428121</v>
      </c>
      <c r="L131" s="2">
        <f>$E131*AK131</f>
        <v>63.999999999999488</v>
      </c>
      <c r="M131" s="2">
        <f>$E131*(AB131/100)</f>
        <v>50.528571428123996</v>
      </c>
      <c r="N131" s="2">
        <f>$E131*AL131</f>
        <v>2.6685714285713895</v>
      </c>
      <c r="O131" s="2">
        <f>$E131*(AA131/100)</f>
        <v>100.43571426359999</v>
      </c>
      <c r="P131" s="2">
        <f>$E131*AM131</f>
        <v>4.0169696969696815</v>
      </c>
      <c r="Q131" s="2">
        <f>$E131*AN131</f>
        <v>3.9999999999999876</v>
      </c>
      <c r="R131" s="2">
        <f>$E131*AQ131</f>
        <v>0</v>
      </c>
      <c r="S131" s="2">
        <f>$E131*AO131</f>
        <v>9.2142857142852724E-2</v>
      </c>
      <c r="T131" s="2">
        <f>$E131*AP131</f>
        <v>0</v>
      </c>
      <c r="U131" s="2">
        <f>S131-T131</f>
        <v>9.2142857142852724E-2</v>
      </c>
      <c r="V131" s="1">
        <f>F131/D131</f>
        <v>0.26892878762862227</v>
      </c>
      <c r="W131" s="1">
        <f>(F131+M131+N131+P131)/(D131+M131+N131+Q131)</f>
        <v>0.35092092508977363</v>
      </c>
      <c r="X131" s="1">
        <f>(G131+H131*2+I131*3+J131*4)/D131</f>
        <v>0.44593794178446378</v>
      </c>
      <c r="Y131" s="1">
        <f>W131+X131</f>
        <v>0.79685886687423735</v>
      </c>
      <c r="Z131">
        <v>0.30666182219999999</v>
      </c>
      <c r="AA131">
        <v>19.464285709999999</v>
      </c>
      <c r="AB131">
        <v>9.7923588038999991</v>
      </c>
      <c r="AD131" s="2">
        <f>(D131-O131-J131+Q131)*Z131</f>
        <v>103.8247407957659</v>
      </c>
      <c r="AE131">
        <v>0.23405409299999999</v>
      </c>
      <c r="AF131">
        <v>0.75922330097087298</v>
      </c>
      <c r="AG131">
        <v>0.223300970873786</v>
      </c>
      <c r="AH131">
        <v>1.5460009246416899E-2</v>
      </c>
      <c r="AI131">
        <v>3.4883720930232502E-2</v>
      </c>
      <c r="AJ131">
        <v>0.12812292358803901</v>
      </c>
      <c r="AK131">
        <v>0.124031007751937</v>
      </c>
      <c r="AL131">
        <v>5.17165005537091E-3</v>
      </c>
      <c r="AM131">
        <v>7.7848249941272901E-3</v>
      </c>
      <c r="AN131">
        <v>7.7519379844960996E-3</v>
      </c>
      <c r="AO131">
        <v>1.7857142857142001E-4</v>
      </c>
      <c r="AP131">
        <v>0</v>
      </c>
      <c r="AQ131">
        <v>0</v>
      </c>
    </row>
    <row r="132" spans="1:43" x14ac:dyDescent="0.4">
      <c r="A132" t="s">
        <v>162</v>
      </c>
      <c r="B132" s="3" t="s">
        <v>166</v>
      </c>
      <c r="D132">
        <v>296</v>
      </c>
      <c r="E132">
        <v>345</v>
      </c>
      <c r="F132" s="2">
        <f>AD132+J132</f>
        <v>67.051850223346264</v>
      </c>
      <c r="G132" s="2">
        <f>$AD132*AF132</f>
        <v>44.624964273961609</v>
      </c>
      <c r="H132" s="2">
        <f>$AD132*AG132</f>
        <v>12.664567548391656</v>
      </c>
      <c r="I132" s="2">
        <f>$AD132*AH132</f>
        <v>1.0009580429830749</v>
      </c>
      <c r="J132" s="2">
        <f>$E132*AI132</f>
        <v>8.5999999999999801</v>
      </c>
      <c r="K132" s="2">
        <f>$E132*AJ132</f>
        <v>41.538961038960721</v>
      </c>
      <c r="L132" s="2">
        <f>$E132*AK132</f>
        <v>30.999999999999996</v>
      </c>
      <c r="M132" s="2">
        <f>$E132*(AB132/100)</f>
        <v>43.516558453800002</v>
      </c>
      <c r="N132" s="2">
        <f>$E132*AL132</f>
        <v>1.0120129870129602</v>
      </c>
      <c r="O132" s="2">
        <f>$E132*(AA132/100)</f>
        <v>110.89285713299999</v>
      </c>
      <c r="P132" s="2">
        <f>$E132*AM132</f>
        <v>2.9560296846010985</v>
      </c>
      <c r="Q132" s="2">
        <f>$E132*AN132</f>
        <v>1.9999999999999785</v>
      </c>
      <c r="R132" s="2">
        <f>$E132*AQ132</f>
        <v>0.39999999999998875</v>
      </c>
      <c r="S132" s="2">
        <f>$E132*AO132</f>
        <v>5.0600649350649043</v>
      </c>
      <c r="T132" s="2">
        <f>$E132*AP132</f>
        <v>1.0120129870129602</v>
      </c>
      <c r="U132" s="2">
        <f>S132-T132</f>
        <v>4.0480519480519437</v>
      </c>
      <c r="V132" s="1">
        <f>F132/D132</f>
        <v>0.22652652102481846</v>
      </c>
      <c r="W132" s="1">
        <f>(F132+M132+N132+P132)/(D132+M132+N132+Q132)</f>
        <v>0.33438510214483402</v>
      </c>
      <c r="X132" s="1">
        <f>(G132+H132*2+I132*3+J132*4)/D132</f>
        <v>0.36269247803950699</v>
      </c>
      <c r="Y132" s="1">
        <f>W132+X132</f>
        <v>0.69707758018434096</v>
      </c>
      <c r="Z132">
        <v>0.32744824259999999</v>
      </c>
      <c r="AA132">
        <v>32.142857139999997</v>
      </c>
      <c r="AB132">
        <v>12.613495203999999</v>
      </c>
      <c r="AD132" s="2">
        <f>(D132-O132-J132+Q132)*Z132</f>
        <v>58.451850223346277</v>
      </c>
      <c r="AE132">
        <v>0.19416304000000001</v>
      </c>
      <c r="AF132">
        <v>0.76344827586206898</v>
      </c>
      <c r="AG132">
        <v>0.21666666666666601</v>
      </c>
      <c r="AH132">
        <v>1.7124488603156001E-2</v>
      </c>
      <c r="AI132">
        <v>2.4927536231884002E-2</v>
      </c>
      <c r="AJ132">
        <v>0.12040278562017601</v>
      </c>
      <c r="AK132">
        <v>8.9855072463768101E-2</v>
      </c>
      <c r="AL132">
        <v>2.93337097684916E-3</v>
      </c>
      <c r="AM132">
        <v>8.5682019843510097E-3</v>
      </c>
      <c r="AN132">
        <v>5.7971014492752999E-3</v>
      </c>
      <c r="AO132">
        <v>1.46668548842461E-2</v>
      </c>
      <c r="AP132">
        <v>2.93337097684916E-3</v>
      </c>
      <c r="AQ132">
        <v>1.1594202898550399E-3</v>
      </c>
    </row>
    <row r="133" spans="1:43" x14ac:dyDescent="0.4">
      <c r="A133" t="s">
        <v>162</v>
      </c>
      <c r="B133" s="3" t="s">
        <v>167</v>
      </c>
      <c r="D133">
        <v>438</v>
      </c>
      <c r="E133">
        <v>508</v>
      </c>
      <c r="F133" s="2">
        <f>AD133+J133</f>
        <v>98.352408011155163</v>
      </c>
      <c r="G133" s="2">
        <f>$AD133*AF133</f>
        <v>52.133654073197548</v>
      </c>
      <c r="H133" s="2">
        <f>$AD133*AG133</f>
        <v>20.930674243123466</v>
      </c>
      <c r="I133" s="2">
        <f>$AD133*AH133</f>
        <v>1.8924660255988641</v>
      </c>
      <c r="J133" s="2">
        <f>$E133*AI133</f>
        <v>23.599999999999937</v>
      </c>
      <c r="K133" s="2">
        <f>$E133*AJ133</f>
        <v>61.681853281853158</v>
      </c>
      <c r="L133" s="2">
        <f>$E133*AK133</f>
        <v>67.999999999999787</v>
      </c>
      <c r="M133" s="2">
        <f>$E133*(AB133/100)</f>
        <v>49.199613898772</v>
      </c>
      <c r="N133" s="2">
        <f>$E133*AL133</f>
        <v>2.2980694980694749</v>
      </c>
      <c r="O133" s="2">
        <f>$E133*(AA133/100)</f>
        <v>173.58301158360001</v>
      </c>
      <c r="P133" s="2">
        <f>$E133*AM133</f>
        <v>13.23939393939386</v>
      </c>
      <c r="Q133" s="2">
        <f>$E133*AN133</f>
        <v>2.5999999999999837</v>
      </c>
      <c r="R133" s="2">
        <f>$E133*AQ133</f>
        <v>0</v>
      </c>
      <c r="S133" s="2">
        <f>$E133*AO133</f>
        <v>3.9922779922779474</v>
      </c>
      <c r="T133" s="2">
        <f>$E133*AP133</f>
        <v>0.99806949806946266</v>
      </c>
      <c r="U133" s="2">
        <f>S133-T133</f>
        <v>2.9942084942084848</v>
      </c>
      <c r="V133" s="1">
        <f>F133/D133</f>
        <v>0.22454887673779717</v>
      </c>
      <c r="W133" s="1">
        <f>(F133+M133+N133+P133)/(D133+M133+N133+Q133)</f>
        <v>0.33141689312906308</v>
      </c>
      <c r="X133" s="1">
        <f>(G133+H133*2+I133*3+J133*4)/D133</f>
        <v>0.44308767268548138</v>
      </c>
      <c r="Y133" s="1">
        <f>W133+X133</f>
        <v>0.77450456581454441</v>
      </c>
      <c r="Z133">
        <v>0.30709610079999999</v>
      </c>
      <c r="AA133">
        <v>34.169884170000003</v>
      </c>
      <c r="AB133">
        <v>9.6849633658999998</v>
      </c>
      <c r="AD133" s="2">
        <f>(D133-O133-J133+Q133)*Z133</f>
        <v>74.752408011155225</v>
      </c>
      <c r="AE133">
        <v>0.20015564199999999</v>
      </c>
      <c r="AF133">
        <v>0.69741772151898695</v>
      </c>
      <c r="AG133">
        <v>0.28000000000000003</v>
      </c>
      <c r="AH133">
        <v>2.53164556962025E-2</v>
      </c>
      <c r="AI133">
        <v>4.6456692913385701E-2</v>
      </c>
      <c r="AJ133">
        <v>0.12142097102726999</v>
      </c>
      <c r="AK133">
        <v>0.133858267716535</v>
      </c>
      <c r="AL133">
        <v>4.52375885446747E-3</v>
      </c>
      <c r="AM133">
        <v>2.6061799093295E-2</v>
      </c>
      <c r="AN133">
        <v>5.1181102362204403E-3</v>
      </c>
      <c r="AO133">
        <v>7.8588149454290306E-3</v>
      </c>
      <c r="AP133">
        <v>1.96470373635721E-3</v>
      </c>
      <c r="AQ133">
        <v>0</v>
      </c>
    </row>
    <row r="134" spans="1:43" x14ac:dyDescent="0.4">
      <c r="A134" t="s">
        <v>162</v>
      </c>
      <c r="B134" t="s">
        <v>168</v>
      </c>
      <c r="D134">
        <v>454</v>
      </c>
      <c r="E134">
        <v>501</v>
      </c>
      <c r="F134" s="2">
        <f>AD134+J134</f>
        <v>112.62842428000127</v>
      </c>
      <c r="G134" s="2">
        <f>$AD134*AF134</f>
        <v>66.596778724124292</v>
      </c>
      <c r="H134" s="2">
        <f>$AD134*AG134</f>
        <v>22.462943639140086</v>
      </c>
      <c r="I134" s="2">
        <f>$AD134*AH134</f>
        <v>0.989528620892833</v>
      </c>
      <c r="J134" s="2">
        <f>$E134*AI134</f>
        <v>21.799999999999947</v>
      </c>
      <c r="K134" s="2">
        <f>$E134*AJ134</f>
        <v>63.677003484320437</v>
      </c>
      <c r="L134" s="2">
        <f>$E134*AK134</f>
        <v>70.999999999999758</v>
      </c>
      <c r="M134" s="2">
        <f>$E134*(AB134/100)</f>
        <v>38.302264806861004</v>
      </c>
      <c r="N134" s="2">
        <f>$E134*AL134</f>
        <v>1.0745644599302928</v>
      </c>
      <c r="O134" s="2">
        <f>$E134*(AA134/100)</f>
        <v>119.57665505819999</v>
      </c>
      <c r="P134" s="2">
        <f>$E134*AM134</f>
        <v>3.8609374999999782</v>
      </c>
      <c r="Q134" s="2">
        <f>$E134*AN134</f>
        <v>3.9999999999999778</v>
      </c>
      <c r="R134" s="2">
        <f>$E134*AQ134</f>
        <v>0</v>
      </c>
      <c r="S134" s="2">
        <f>$E134*AO134</f>
        <v>5.1109756097560153</v>
      </c>
      <c r="T134" s="2">
        <f>$E134*AP134</f>
        <v>1.9745644599302767</v>
      </c>
      <c r="U134" s="2">
        <f>S134-T134</f>
        <v>3.1364111498257383</v>
      </c>
      <c r="V134" s="1">
        <f>F134/D134</f>
        <v>0.24808022969163276</v>
      </c>
      <c r="W134" s="1">
        <f>(F134+M134+N134+P134)/(D134+M134+N134+Q134)</f>
        <v>0.31337646202088448</v>
      </c>
      <c r="X134" s="1">
        <f>(G134+H134*2+I134*3+J134*4)/D134</f>
        <v>0.44425385873366241</v>
      </c>
      <c r="Y134" s="1">
        <f>W134+X134</f>
        <v>0.75763032075454695</v>
      </c>
      <c r="Z134">
        <v>0.28686584780000002</v>
      </c>
      <c r="AA134">
        <v>23.867595819999998</v>
      </c>
      <c r="AB134">
        <v>7.6451626361000002</v>
      </c>
      <c r="AD134" s="2">
        <f>(D134-O134-J134+Q134)*Z134</f>
        <v>90.828424280001315</v>
      </c>
      <c r="AE134">
        <v>0.227793527</v>
      </c>
      <c r="AF134">
        <v>0.73321517192484897</v>
      </c>
      <c r="AG134">
        <v>0.247311827956989</v>
      </c>
      <c r="AH134">
        <v>1.08944818622237E-2</v>
      </c>
      <c r="AI134">
        <v>4.3512974051896101E-2</v>
      </c>
      <c r="AJ134">
        <v>0.127099807353933</v>
      </c>
      <c r="AK134">
        <v>0.14171656686626699</v>
      </c>
      <c r="AL134">
        <v>2.14483924137783E-3</v>
      </c>
      <c r="AM134">
        <v>7.7064620758482598E-3</v>
      </c>
      <c r="AN134">
        <v>7.9840319361277005E-3</v>
      </c>
      <c r="AO134">
        <v>1.02015481232655E-2</v>
      </c>
      <c r="AP134">
        <v>3.9412464270065402E-3</v>
      </c>
      <c r="AQ134">
        <v>0</v>
      </c>
    </row>
    <row r="135" spans="1:43" x14ac:dyDescent="0.4">
      <c r="A135" t="s">
        <v>162</v>
      </c>
      <c r="B135" t="s">
        <v>169</v>
      </c>
      <c r="D135">
        <v>362</v>
      </c>
      <c r="E135">
        <v>409</v>
      </c>
      <c r="F135" s="2">
        <f>AD135+J135</f>
        <v>85.333574582517784</v>
      </c>
      <c r="G135" s="2">
        <f>$AD135*AF135</f>
        <v>51.295286606595084</v>
      </c>
      <c r="H135" s="2">
        <f>$AD135*AG135</f>
        <v>15.938220193047576</v>
      </c>
      <c r="I135" s="2">
        <f>$AD135*AH135</f>
        <v>1.0049282217307545</v>
      </c>
      <c r="J135" s="2">
        <f>$E135*AI135</f>
        <v>16.599999999999969</v>
      </c>
      <c r="K135" s="2">
        <f>$E135*AJ135</f>
        <v>47.419851116625104</v>
      </c>
      <c r="L135" s="2">
        <f>$E135*AK135</f>
        <v>50.999999999999858</v>
      </c>
      <c r="M135" s="2">
        <f>$E135*(AB135/100)</f>
        <v>32.250620346774006</v>
      </c>
      <c r="N135" s="2">
        <f>$E135*AL135</f>
        <v>0.39999999999999597</v>
      </c>
      <c r="O135" s="2">
        <f>$E135*(AA135/100)</f>
        <v>94.384615397200008</v>
      </c>
      <c r="P135" s="2">
        <f>$E135*AM135</f>
        <v>8.197560975609715</v>
      </c>
      <c r="Q135" s="2">
        <f>$E135*AN135</f>
        <v>2.9999999999999698</v>
      </c>
      <c r="R135" s="2">
        <f>$E135*AQ135</f>
        <v>1.997073170731698</v>
      </c>
      <c r="S135" s="2">
        <f>$E135*AO135</f>
        <v>2.9029776674937673</v>
      </c>
      <c r="T135" s="2">
        <f>$E135*AP135</f>
        <v>0.89999999999999092</v>
      </c>
      <c r="U135" s="2">
        <f>S135-T135</f>
        <v>2.0029776674937763</v>
      </c>
      <c r="V135" s="1">
        <f>F135/D135</f>
        <v>0.23572810658154084</v>
      </c>
      <c r="W135" s="1">
        <f>(F135+M135+N135+P135)/(D135+M135+N135+Q135)</f>
        <v>0.31731814172668421</v>
      </c>
      <c r="X135" s="1">
        <f>(G135+H135*2+I135*3+J135*4)/D135</f>
        <v>0.42150970071238231</v>
      </c>
      <c r="Y135" s="1">
        <f>W135+X135</f>
        <v>0.73882784243906652</v>
      </c>
      <c r="Z135">
        <v>0.27058823500000001</v>
      </c>
      <c r="AA135">
        <v>23.07692308</v>
      </c>
      <c r="AB135">
        <v>7.8852372486000002</v>
      </c>
      <c r="AD135" s="2">
        <f>(D135-O135-J135+Q135)*Z135</f>
        <v>68.733574582517818</v>
      </c>
      <c r="AE135">
        <v>0.20712952500000001</v>
      </c>
      <c r="AF135">
        <v>0.74629156010230102</v>
      </c>
      <c r="AG135">
        <v>0.231884057971014</v>
      </c>
      <c r="AH135">
        <v>1.462063086104E-2</v>
      </c>
      <c r="AI135">
        <v>4.0586797066014597E-2</v>
      </c>
      <c r="AJ135">
        <v>0.115940956275367</v>
      </c>
      <c r="AK135">
        <v>0.124694376528117</v>
      </c>
      <c r="AL135">
        <v>9.7799511002444003E-4</v>
      </c>
      <c r="AM135">
        <v>2.0042936370683901E-2</v>
      </c>
      <c r="AN135">
        <v>7.3349633251833003E-3</v>
      </c>
      <c r="AO135">
        <v>7.0977449082977196E-3</v>
      </c>
      <c r="AP135">
        <v>2.20048899755499E-3</v>
      </c>
      <c r="AQ135">
        <v>4.8828194883415599E-3</v>
      </c>
    </row>
    <row r="136" spans="1:43" x14ac:dyDescent="0.4">
      <c r="A136" t="s">
        <v>162</v>
      </c>
      <c r="B136" t="s">
        <v>170</v>
      </c>
      <c r="D136">
        <v>416</v>
      </c>
      <c r="E136">
        <v>473</v>
      </c>
      <c r="F136" s="2">
        <f>AD136+J136</f>
        <v>101.41812266433867</v>
      </c>
      <c r="G136" s="2">
        <f>$AD136*AF136</f>
        <v>62.31886330595632</v>
      </c>
      <c r="H136" s="2">
        <f>$AD136*AG136</f>
        <v>21.694102336652314</v>
      </c>
      <c r="I136" s="2">
        <f>$AD136*AH136</f>
        <v>1.0003523640449714</v>
      </c>
      <c r="J136" s="2">
        <f>$E136*AI136</f>
        <v>17.599999999999955</v>
      </c>
      <c r="K136" s="2">
        <f>$E136*AJ136</f>
        <v>58.501918976545674</v>
      </c>
      <c r="L136" s="2">
        <f>$E136*AK136</f>
        <v>58.999999999999915</v>
      </c>
      <c r="M136" s="2">
        <f>$E136*(AB136/100)</f>
        <v>49.14264390684</v>
      </c>
      <c r="N136" s="2">
        <f>$E136*AL136</f>
        <v>1.9008528784647933</v>
      </c>
      <c r="O136" s="2">
        <f>$E136*(AA136/100)</f>
        <v>127.0746268572</v>
      </c>
      <c r="P136" s="2">
        <f>$E136*AM136</f>
        <v>4.9462264150942916</v>
      </c>
      <c r="Q136" s="2">
        <f>$E136*AN136</f>
        <v>3.3999999999999861</v>
      </c>
      <c r="R136" s="2">
        <f>$E136*AQ136</f>
        <v>0</v>
      </c>
      <c r="S136" s="2">
        <f>$E136*AO136</f>
        <v>4.0034115138592661</v>
      </c>
      <c r="T136" s="2">
        <f>$E136*AP136</f>
        <v>1.0008528784647845</v>
      </c>
      <c r="U136" s="2">
        <f>S136-T136</f>
        <v>3.0025586353944815</v>
      </c>
      <c r="V136" s="1">
        <f>F136/D136</f>
        <v>0.24379356409696795</v>
      </c>
      <c r="W136" s="1">
        <f>(F136+M136+N136+P136)/(D136+M136+N136+Q136)</f>
        <v>0.33459458349484555</v>
      </c>
      <c r="X136" s="1">
        <f>(G136+H136*2+I136*3+J136*4)/D136</f>
        <v>0.43054837757547043</v>
      </c>
      <c r="Y136" s="1">
        <f>W136+X136</f>
        <v>0.76514296107031599</v>
      </c>
      <c r="Z136">
        <v>0.30509785719999999</v>
      </c>
      <c r="AA136">
        <v>26.865671639999999</v>
      </c>
      <c r="AB136">
        <v>10.389565308</v>
      </c>
      <c r="AD136" s="2">
        <f>(D136-O136-J136+Q136)*Z136</f>
        <v>83.818122664338716</v>
      </c>
      <c r="AE136">
        <v>0.215118432</v>
      </c>
      <c r="AF136">
        <v>0.74350106307583197</v>
      </c>
      <c r="AG136">
        <v>0.25882352941176401</v>
      </c>
      <c r="AH136">
        <v>1.19347980155917E-2</v>
      </c>
      <c r="AI136">
        <v>3.7209302325581298E-2</v>
      </c>
      <c r="AJ136">
        <v>0.123682703967327</v>
      </c>
      <c r="AK136">
        <v>0.12473572938689199</v>
      </c>
      <c r="AL136">
        <v>4.0187164449572797E-3</v>
      </c>
      <c r="AM136">
        <v>1.04571382982966E-2</v>
      </c>
      <c r="AN136">
        <v>7.1881606765327403E-3</v>
      </c>
      <c r="AO136">
        <v>8.4638721223240301E-3</v>
      </c>
      <c r="AP136">
        <v>2.1159680305809399E-3</v>
      </c>
      <c r="AQ136">
        <v>0</v>
      </c>
    </row>
    <row r="137" spans="1:43" x14ac:dyDescent="0.4">
      <c r="A137" t="s">
        <v>162</v>
      </c>
      <c r="B137" t="s">
        <v>171</v>
      </c>
      <c r="D137">
        <v>487</v>
      </c>
      <c r="E137">
        <v>547</v>
      </c>
      <c r="F137" s="2">
        <f>AD137+J137</f>
        <v>118.43861812998138</v>
      </c>
      <c r="G137" s="2">
        <f>$AD137*AF137</f>
        <v>80.932903234036388</v>
      </c>
      <c r="H137" s="2">
        <f>$AD137*AG137</f>
        <v>22.007940176257858</v>
      </c>
      <c r="I137" s="2">
        <f>$AD137*AH137</f>
        <v>3.9643932640733812</v>
      </c>
      <c r="J137" s="2">
        <f>$E137*AI137</f>
        <v>11.399999999999975</v>
      </c>
      <c r="K137" s="2">
        <f>$E137*AJ137</f>
        <v>69.374384236453068</v>
      </c>
      <c r="L137" s="2">
        <f>$E137*AK137</f>
        <v>50.999999999999979</v>
      </c>
      <c r="M137" s="2">
        <f>$E137*(AB137/100)</f>
        <v>40.852052544670997</v>
      </c>
      <c r="N137" s="2">
        <f>$E137*AL137</f>
        <v>0.8999999999999746</v>
      </c>
      <c r="O137" s="2">
        <f>$E137*(AA137/100)</f>
        <v>128.44170769259998</v>
      </c>
      <c r="P137" s="2">
        <f>$E137*AM137</f>
        <v>12.30274725274724</v>
      </c>
      <c r="Q137" s="2">
        <f>$E137*AN137</f>
        <v>3.9999999999999964</v>
      </c>
      <c r="R137" s="2">
        <f>$E137*AQ137</f>
        <v>1.4010989010988899</v>
      </c>
      <c r="S137" s="2">
        <f>$E137*AO137</f>
        <v>17.906568144499161</v>
      </c>
      <c r="T137" s="2">
        <f>$E137*AP137</f>
        <v>5.9389162561575883</v>
      </c>
      <c r="U137" s="2">
        <f>S137-T137</f>
        <v>11.967651888341573</v>
      </c>
      <c r="V137" s="1">
        <f>F137/D137</f>
        <v>0.24320044790550591</v>
      </c>
      <c r="W137" s="1">
        <f>(F137+M137+N137+P137)/(D137+M137+N137+Q137)</f>
        <v>0.32377804478366817</v>
      </c>
      <c r="X137" s="1">
        <f>(G137+H137*2+I137*3+J137*4)/D137</f>
        <v>0.374624154781873</v>
      </c>
      <c r="Y137" s="1">
        <f>W137+X137</f>
        <v>0.69840219956554117</v>
      </c>
      <c r="Z137">
        <v>0.30481586360000001</v>
      </c>
      <c r="AA137">
        <v>23.481116579999998</v>
      </c>
      <c r="AB137">
        <v>7.4683825493000002</v>
      </c>
      <c r="AD137" s="2">
        <f>(D137-O137-J137+Q137)*Z137</f>
        <v>107.0386181299814</v>
      </c>
      <c r="AE137">
        <v>0.21833306199999999</v>
      </c>
      <c r="AF137">
        <v>0.756109380408445</v>
      </c>
      <c r="AG137">
        <v>0.20560747663551401</v>
      </c>
      <c r="AH137">
        <v>3.7037037037037E-2</v>
      </c>
      <c r="AI137">
        <v>2.0840950639853702E-2</v>
      </c>
      <c r="AJ137">
        <v>0.126827027854576</v>
      </c>
      <c r="AK137">
        <v>9.3235831809871994E-2</v>
      </c>
      <c r="AL137">
        <v>1.6453382084094599E-3</v>
      </c>
      <c r="AM137">
        <v>2.24913112481668E-2</v>
      </c>
      <c r="AN137">
        <v>7.3126142595978001E-3</v>
      </c>
      <c r="AO137">
        <v>3.2735956388481098E-2</v>
      </c>
      <c r="AP137">
        <v>1.08572509253338E-2</v>
      </c>
      <c r="AQ137">
        <v>2.5614239508206398E-3</v>
      </c>
    </row>
    <row r="138" spans="1:43" x14ac:dyDescent="0.4">
      <c r="A138" t="s">
        <v>172</v>
      </c>
      <c r="B138" t="s">
        <v>173</v>
      </c>
      <c r="D138">
        <v>521</v>
      </c>
      <c r="E138">
        <v>603</v>
      </c>
      <c r="F138" s="2">
        <f>AD138+J138</f>
        <v>127.72381905090234</v>
      </c>
      <c r="G138" s="2">
        <f>$AD138*AF138</f>
        <v>82.235620893820638</v>
      </c>
      <c r="H138" s="2">
        <f>$AD138*AG138</f>
        <v>24.335519791024367</v>
      </c>
      <c r="I138" s="2">
        <f>$AD138*AH138</f>
        <v>4.0337967653606945</v>
      </c>
      <c r="J138" s="2">
        <f>$E138*AI138</f>
        <v>17.199999999999942</v>
      </c>
      <c r="K138" s="2">
        <f>$E138*AJ138</f>
        <v>76.926678141135739</v>
      </c>
      <c r="L138" s="2">
        <f>$E138*AK138</f>
        <v>67.999999999999844</v>
      </c>
      <c r="M138" s="2">
        <f>$E138*(AB138/100)</f>
        <v>69.746127370560004</v>
      </c>
      <c r="N138" s="2">
        <f>$E138*AL138</f>
        <v>1.2999999999999843</v>
      </c>
      <c r="O138" s="2">
        <f>$E138*(AA138/100)</f>
        <v>132.84681585210001</v>
      </c>
      <c r="P138" s="2">
        <f>$E138*AM138</f>
        <v>10.066398713826327</v>
      </c>
      <c r="Q138" s="2">
        <f>$E138*AN138</f>
        <v>2.999999999999968</v>
      </c>
      <c r="R138" s="2">
        <f>$E138*AQ138</f>
        <v>0.98167202572344481</v>
      </c>
      <c r="S138" s="2">
        <f>$E138*AO138</f>
        <v>8.0302925989672733</v>
      </c>
      <c r="T138" s="2">
        <f>$E138*AP138</f>
        <v>2.0075731497418183</v>
      </c>
      <c r="U138" s="2">
        <f>S138-T138</f>
        <v>6.0227194492254554</v>
      </c>
      <c r="V138" s="1">
        <f>F138/D138</f>
        <v>0.2451512841667991</v>
      </c>
      <c r="W138" s="1">
        <f>(F138+M138+N138+P138)/(D138+M138+N138+Q138)</f>
        <v>0.35095824597348835</v>
      </c>
      <c r="X138" s="1">
        <f>(G138+H138*2+I138*3+J138*4)/D138</f>
        <v>0.40654136424558779</v>
      </c>
      <c r="Y138" s="1">
        <f>W138+X138</f>
        <v>0.75749961021907608</v>
      </c>
      <c r="Z138">
        <v>0.29555522919999999</v>
      </c>
      <c r="AA138">
        <v>22.030981069999999</v>
      </c>
      <c r="AB138">
        <v>11.566521952</v>
      </c>
      <c r="AD138" s="2">
        <f>(D138-O138-J138+Q138)*Z138</f>
        <v>110.52381905090239</v>
      </c>
      <c r="AE138">
        <v>0.212743084</v>
      </c>
      <c r="AF138">
        <v>0.74405337781484504</v>
      </c>
      <c r="AG138">
        <v>0.22018348623853201</v>
      </c>
      <c r="AH138">
        <v>3.6497080900750503E-2</v>
      </c>
      <c r="AI138">
        <v>2.8524046434494101E-2</v>
      </c>
      <c r="AJ138">
        <v>0.12757326391564799</v>
      </c>
      <c r="AK138">
        <v>0.112769485903814</v>
      </c>
      <c r="AL138">
        <v>2.1558872305140701E-3</v>
      </c>
      <c r="AM138">
        <v>1.6693861880309E-2</v>
      </c>
      <c r="AN138">
        <v>4.9751243781093997E-3</v>
      </c>
      <c r="AO138">
        <v>1.3317234824158E-2</v>
      </c>
      <c r="AP138">
        <v>3.3293087060394999E-3</v>
      </c>
      <c r="AQ138">
        <v>1.6279801421616E-3</v>
      </c>
    </row>
    <row r="139" spans="1:43" x14ac:dyDescent="0.4">
      <c r="A139" t="s">
        <v>172</v>
      </c>
      <c r="B139" s="3" t="s">
        <v>174</v>
      </c>
      <c r="D139">
        <v>414</v>
      </c>
      <c r="E139">
        <v>465</v>
      </c>
      <c r="F139" s="2">
        <f>AD139+J139</f>
        <v>94.996341110687567</v>
      </c>
      <c r="G139" s="2">
        <f>$AD139*AF139</f>
        <v>57.845774824937322</v>
      </c>
      <c r="H139" s="2">
        <f>$AD139*AG139</f>
        <v>17.044503985089143</v>
      </c>
      <c r="I139" s="2">
        <f>$AD139*AH139</f>
        <v>1.0001220332644747</v>
      </c>
      <c r="J139" s="2">
        <f>$E139*AI139</f>
        <v>19.79999999999994</v>
      </c>
      <c r="K139" s="2">
        <f>$E139*AJ139</f>
        <v>54.131557377048779</v>
      </c>
      <c r="L139" s="2">
        <f>$E139*AK139</f>
        <v>62.999999999999567</v>
      </c>
      <c r="M139" s="2">
        <f>$E139*(AB139/100)</f>
        <v>40.287909837404953</v>
      </c>
      <c r="N139" s="2">
        <f>$E139*AL139</f>
        <v>0.89999999999999913</v>
      </c>
      <c r="O139" s="2">
        <f>$E139*(AA139/100)</f>
        <v>113.39139343500001</v>
      </c>
      <c r="P139" s="2">
        <f>$E139*AM139</f>
        <v>5.9320366132722873</v>
      </c>
      <c r="Q139" s="2">
        <f>$E139*AN139</f>
        <v>2.9999999999999973</v>
      </c>
      <c r="R139" s="2">
        <f>$E139*AQ139</f>
        <v>0</v>
      </c>
      <c r="S139" s="2">
        <f>$E139*AO139</f>
        <v>1.9905737704918014</v>
      </c>
      <c r="T139" s="2">
        <f>$E139*AP139</f>
        <v>0.99528688524589826</v>
      </c>
      <c r="U139" s="2">
        <f>S139-T139</f>
        <v>0.99528688524590314</v>
      </c>
      <c r="V139" s="1">
        <f>F139/D139</f>
        <v>0.22945976113692648</v>
      </c>
      <c r="W139" s="1">
        <f>(F139+M139+N139+P139)/(D139+M139+N139+Q139)</f>
        <v>0.31017031333672018</v>
      </c>
      <c r="X139" s="1">
        <f>(G139+H139*2+I139*3+J139*4)/D139</f>
        <v>0.42061630167852371</v>
      </c>
      <c r="Y139" s="1">
        <f>W139+X139</f>
        <v>0.73078661501524389</v>
      </c>
      <c r="Z139">
        <v>0.26495440720000002</v>
      </c>
      <c r="AA139">
        <v>24.385245900000001</v>
      </c>
      <c r="AB139">
        <v>8.6640666316999901</v>
      </c>
      <c r="AD139" s="2">
        <f>(D139-O139-J139+Q139)*Z139</f>
        <v>75.196341110687626</v>
      </c>
      <c r="AE139">
        <v>0.205533674</v>
      </c>
      <c r="AF139">
        <v>0.76926315789473598</v>
      </c>
      <c r="AG139">
        <v>0.22666666666666599</v>
      </c>
      <c r="AH139">
        <v>1.33001422475106E-2</v>
      </c>
      <c r="AI139">
        <v>4.2580645161290197E-2</v>
      </c>
      <c r="AJ139">
        <v>0.116411951348492</v>
      </c>
      <c r="AK139">
        <v>0.135483870967741</v>
      </c>
      <c r="AL139">
        <v>1.93548387096774E-3</v>
      </c>
      <c r="AM139">
        <v>1.2757067985531801E-2</v>
      </c>
      <c r="AN139">
        <v>6.4516129032258004E-3</v>
      </c>
      <c r="AO139">
        <v>4.2808038075092501E-3</v>
      </c>
      <c r="AP139">
        <v>2.1404019037546199E-3</v>
      </c>
      <c r="AQ139">
        <v>0</v>
      </c>
    </row>
    <row r="140" spans="1:43" x14ac:dyDescent="0.4">
      <c r="A140" t="s">
        <v>172</v>
      </c>
      <c r="B140" t="s">
        <v>175</v>
      </c>
      <c r="D140">
        <v>596</v>
      </c>
      <c r="E140">
        <v>671</v>
      </c>
      <c r="F140" s="2">
        <f>AD140+J140</f>
        <v>152.13466231945463</v>
      </c>
      <c r="G140" s="2">
        <f>$AD140*AF140</f>
        <v>90.58675481519883</v>
      </c>
      <c r="H140" s="2">
        <f>$AD140*AG140</f>
        <v>31.440774851664628</v>
      </c>
      <c r="I140" s="2">
        <f>$AD140*AH140</f>
        <v>1.9992275931484316</v>
      </c>
      <c r="J140" s="2">
        <f>$E140*AI140</f>
        <v>28.399999999999956</v>
      </c>
      <c r="K140" s="2">
        <f>$E140*AJ140</f>
        <v>96.474927113702421</v>
      </c>
      <c r="L140" s="2">
        <f>$E140*AK140</f>
        <v>86.999999999999488</v>
      </c>
      <c r="M140" s="2">
        <f>$E140*(AB140/100)</f>
        <v>60.162244895665005</v>
      </c>
      <c r="N140" s="2">
        <f>$E140*AL140</f>
        <v>1.4956268221574307</v>
      </c>
      <c r="O140" s="2">
        <f>$E140*(AA140/100)</f>
        <v>127.15743441719999</v>
      </c>
      <c r="P140" s="2">
        <f>$E140*AM140</f>
        <v>10.0228658536585</v>
      </c>
      <c r="Q140" s="2">
        <f>$E140*AN140</f>
        <v>4.9999999999999938</v>
      </c>
      <c r="R140" s="2">
        <f>$E140*AQ140</f>
        <v>1.0137195121951057</v>
      </c>
      <c r="S140" s="2">
        <f>$E140*AO140</f>
        <v>23.849708454810422</v>
      </c>
      <c r="T140" s="2">
        <f>$E140*AP140</f>
        <v>5.8890670553935776</v>
      </c>
      <c r="U140" s="2">
        <f>S140-T140</f>
        <v>17.960641399416843</v>
      </c>
      <c r="V140" s="1">
        <f>F140/D140</f>
        <v>0.25525950053599772</v>
      </c>
      <c r="W140" s="1">
        <f>(F140+M140+N140+P140)/(D140+M140+N140+Q140)</f>
        <v>0.33775408011185926</v>
      </c>
      <c r="X140" s="1">
        <f>(G140+H140*2+I140*3+J140*4)/D140</f>
        <v>0.45816440821807586</v>
      </c>
      <c r="Y140" s="1">
        <f>W140+X140</f>
        <v>0.79591848832993506</v>
      </c>
      <c r="Z140">
        <v>0.27777916139999997</v>
      </c>
      <c r="AA140">
        <v>18.950437319999999</v>
      </c>
      <c r="AB140">
        <v>8.9660573615000008</v>
      </c>
      <c r="AD140" s="2">
        <f>(D140-O140-J140+Q140)*Z140</f>
        <v>123.73466231945469</v>
      </c>
      <c r="AE140">
        <v>0.22738820100000001</v>
      </c>
      <c r="AF140">
        <v>0.73210491803278599</v>
      </c>
      <c r="AG140">
        <v>0.25409836065573699</v>
      </c>
      <c r="AH140">
        <v>1.6157377049180299E-2</v>
      </c>
      <c r="AI140">
        <v>4.2324888226527503E-2</v>
      </c>
      <c r="AJ140">
        <v>0.14377783474471301</v>
      </c>
      <c r="AK140">
        <v>0.12965722801788299</v>
      </c>
      <c r="AL140">
        <v>2.2289520449440101E-3</v>
      </c>
      <c r="AM140">
        <v>1.49372069354076E-2</v>
      </c>
      <c r="AN140">
        <v>7.4515648286140003E-3</v>
      </c>
      <c r="AO140">
        <v>3.5543529738912699E-2</v>
      </c>
      <c r="AP140">
        <v>8.7765529886640499E-3</v>
      </c>
      <c r="AQ140">
        <v>1.51075933263056E-3</v>
      </c>
    </row>
    <row r="141" spans="1:43" x14ac:dyDescent="0.4">
      <c r="A141" t="s">
        <v>172</v>
      </c>
      <c r="B141" t="s">
        <v>176</v>
      </c>
      <c r="D141">
        <v>443</v>
      </c>
      <c r="E141">
        <v>490</v>
      </c>
      <c r="F141" s="2">
        <f>AD141+J141</f>
        <v>111.47492294900204</v>
      </c>
      <c r="G141" s="2">
        <f>$AD141*AF141</f>
        <v>79.038635440538613</v>
      </c>
      <c r="H141" s="2">
        <f>$AD141*AG141</f>
        <v>22.861093988667104</v>
      </c>
      <c r="I141" s="2">
        <f>$AD141*AH141</f>
        <v>0.9891819514327107</v>
      </c>
      <c r="J141" s="2">
        <f>$E141*AI141</f>
        <v>8.5999999999999694</v>
      </c>
      <c r="K141" s="2">
        <f>$E141*AJ141</f>
        <v>53.27272727272706</v>
      </c>
      <c r="L141" s="2">
        <f>$E141*AK141</f>
        <v>47.999999999999957</v>
      </c>
      <c r="M141" s="2">
        <f>$E141*(AB141/100)</f>
        <v>32.072727272949997</v>
      </c>
      <c r="N141" s="2">
        <f>$E141*AL141</f>
        <v>0.99090909090907664</v>
      </c>
      <c r="O141" s="2">
        <f>$E141*(AA141/100)</f>
        <v>61.818181802999995</v>
      </c>
      <c r="P141" s="2">
        <f>$E141*AM141</f>
        <v>9.1673267326732493</v>
      </c>
      <c r="Q141" s="2">
        <f>$E141*AN141</f>
        <v>2.9999999999999818</v>
      </c>
      <c r="R141" s="2">
        <f>$E141*AQ141</f>
        <v>0.98217821782175141</v>
      </c>
      <c r="S141" s="2">
        <f>$E141*AO141</f>
        <v>4.9545454545454071</v>
      </c>
      <c r="T141" s="2">
        <f>$E141*AP141</f>
        <v>0.99090909090907664</v>
      </c>
      <c r="U141" s="2">
        <f>S141-T141</f>
        <v>3.9636363636363305</v>
      </c>
      <c r="V141" s="1">
        <f>F141/D141</f>
        <v>0.25163639491874051</v>
      </c>
      <c r="W141" s="1">
        <f>(F141+M141+N141+P141)/(D141+M141+N141+Q141)</f>
        <v>0.32084648964838453</v>
      </c>
      <c r="X141" s="1">
        <f>(G141+H141*2+I141*3+J141*4)/D141</f>
        <v>0.36597826020806057</v>
      </c>
      <c r="Y141" s="1">
        <f>W141+X141</f>
        <v>0.68682474985644504</v>
      </c>
      <c r="Z141">
        <v>0.2739081552</v>
      </c>
      <c r="AA141">
        <v>12.615955469999999</v>
      </c>
      <c r="AB141">
        <v>6.5454545455000002</v>
      </c>
      <c r="AD141" s="2">
        <f>(D141-O141-J141+Q141)*Z141</f>
        <v>102.87492294900207</v>
      </c>
      <c r="AE141">
        <v>0.23244741999999999</v>
      </c>
      <c r="AF141">
        <v>0.76829836829836795</v>
      </c>
      <c r="AG141">
        <v>0.22222222222222199</v>
      </c>
      <c r="AH141">
        <v>9.6153846153846003E-3</v>
      </c>
      <c r="AI141">
        <v>1.7551020408163202E-2</v>
      </c>
      <c r="AJ141">
        <v>0.108719851576994</v>
      </c>
      <c r="AK141">
        <v>9.7959183673469299E-2</v>
      </c>
      <c r="AL141">
        <v>2.0222634508348502E-3</v>
      </c>
      <c r="AM141">
        <v>1.8708830066680102E-2</v>
      </c>
      <c r="AN141">
        <v>6.1224489795918E-3</v>
      </c>
      <c r="AO141">
        <v>1.01113172541743E-2</v>
      </c>
      <c r="AP141">
        <v>2.0222634508348502E-3</v>
      </c>
      <c r="AQ141">
        <v>2.0044453424933701E-3</v>
      </c>
    </row>
    <row r="142" spans="1:43" x14ac:dyDescent="0.4">
      <c r="A142" t="s">
        <v>172</v>
      </c>
      <c r="B142" t="s">
        <v>177</v>
      </c>
      <c r="D142">
        <v>346</v>
      </c>
      <c r="E142">
        <v>408</v>
      </c>
      <c r="F142" s="2">
        <f>AD142+J142</f>
        <v>79.63822313838557</v>
      </c>
      <c r="G142" s="2">
        <f>$AD142*AF142</f>
        <v>53.443074222764629</v>
      </c>
      <c r="H142" s="2">
        <f>$AD142*AG142</f>
        <v>14.254928293197004</v>
      </c>
      <c r="I142" s="2">
        <f>$AD142*AH142</f>
        <v>0.97518624138571131</v>
      </c>
      <c r="J142" s="2">
        <f>$E142*AI142</f>
        <v>10.39999999999997</v>
      </c>
      <c r="K142" s="2">
        <f>$E142*AJ142</f>
        <v>47.465105386416525</v>
      </c>
      <c r="L142" s="2">
        <f>$E142*AK142</f>
        <v>42.999999999999957</v>
      </c>
      <c r="M142" s="2">
        <f>$E142*(AB142/100)</f>
        <v>50.446370022240004</v>
      </c>
      <c r="N142" s="2">
        <f>$E142*AL142</f>
        <v>0.99555035128803071</v>
      </c>
      <c r="O142" s="2">
        <f>$E142*(AA142/100)</f>
        <v>85.039812626399993</v>
      </c>
      <c r="P142" s="2">
        <f>$E142*AM142</f>
        <v>6.1004291845492951</v>
      </c>
      <c r="Q142" s="2">
        <f>$E142*AN142</f>
        <v>1.9999999999999898</v>
      </c>
      <c r="R142" s="2">
        <f>$E142*AQ142</f>
        <v>0.92532188841199903</v>
      </c>
      <c r="S142" s="2">
        <f>$E142*AO142</f>
        <v>6.0688524590163366</v>
      </c>
      <c r="T142" s="2">
        <f>$E142*AP142</f>
        <v>1.9911007025761021</v>
      </c>
      <c r="U142" s="2">
        <f>S142-T142</f>
        <v>4.0777517564402341</v>
      </c>
      <c r="V142" s="1">
        <f>F142/D142</f>
        <v>0.23016827496643227</v>
      </c>
      <c r="W142" s="1">
        <f>(F142+M142+N142+P142)/(D142+M142+N142+Q142)</f>
        <v>0.34343058577372626</v>
      </c>
      <c r="X142" s="1">
        <f>(G142+H142*2+I142*3+J142*4)/D142</f>
        <v>0.36554476743732844</v>
      </c>
      <c r="Y142" s="1">
        <f>W142+X142</f>
        <v>0.70897535321105476</v>
      </c>
      <c r="Z142">
        <v>0.2741454378</v>
      </c>
      <c r="AA142">
        <v>20.84309133</v>
      </c>
      <c r="AB142">
        <v>12.364306378</v>
      </c>
      <c r="AD142" s="2">
        <f>(D142-O142-J142+Q142)*Z142</f>
        <v>69.238223138385607</v>
      </c>
      <c r="AE142">
        <v>0.19922015200000001</v>
      </c>
      <c r="AF142">
        <v>0.77187241093620496</v>
      </c>
      <c r="AG142">
        <v>0.20588235294117599</v>
      </c>
      <c r="AH142">
        <v>1.4084507042253501E-2</v>
      </c>
      <c r="AI142">
        <v>2.5490196078431299E-2</v>
      </c>
      <c r="AJ142">
        <v>0.116336042613766</v>
      </c>
      <c r="AK142">
        <v>0.105392156862745</v>
      </c>
      <c r="AL142">
        <v>2.44007439041184E-3</v>
      </c>
      <c r="AM142">
        <v>1.4952032315071801E-2</v>
      </c>
      <c r="AN142">
        <v>4.9019607843137003E-3</v>
      </c>
      <c r="AO142">
        <v>1.4874638379942001E-2</v>
      </c>
      <c r="AP142">
        <v>4.8801487808237797E-3</v>
      </c>
      <c r="AQ142">
        <v>2.2679458049313702E-3</v>
      </c>
    </row>
    <row r="143" spans="1:43" x14ac:dyDescent="0.4">
      <c r="A143" t="s">
        <v>172</v>
      </c>
      <c r="B143" t="s">
        <v>178</v>
      </c>
      <c r="D143">
        <v>537</v>
      </c>
      <c r="E143">
        <v>674</v>
      </c>
      <c r="F143" s="2">
        <f>AD143+J143</f>
        <v>146.41312460836639</v>
      </c>
      <c r="G143" s="2">
        <f>$AD143*AF143</f>
        <v>82.513769096930559</v>
      </c>
      <c r="H143" s="2">
        <f>$AD143*AG143</f>
        <v>28.103281152091604</v>
      </c>
      <c r="I143" s="2">
        <f>$AD143*AH143</f>
        <v>1.9934807303712101</v>
      </c>
      <c r="J143" s="2">
        <f>$E143*AI143</f>
        <v>33.999999999999957</v>
      </c>
      <c r="K143" s="2">
        <f>$E143*AJ143</f>
        <v>108.61399416909575</v>
      </c>
      <c r="L143" s="2">
        <f>$E143*AK143</f>
        <v>96</v>
      </c>
      <c r="M143" s="2">
        <f>$E143*(AB143/100)</f>
        <v>127.56384839347999</v>
      </c>
      <c r="N143" s="2">
        <f>$E143*AL143</f>
        <v>6.9877551020407598</v>
      </c>
      <c r="O143" s="2">
        <f>$E143*(AA143/100)</f>
        <v>110.04081631139998</v>
      </c>
      <c r="P143" s="2">
        <f>$E143*AM143</f>
        <v>4.8008928571428129</v>
      </c>
      <c r="Q143" s="2">
        <f>$E143*AN143</f>
        <v>3.9999999999999947</v>
      </c>
      <c r="R143" s="2">
        <f>$E143*AQ143</f>
        <v>0.39999999999998603</v>
      </c>
      <c r="S143" s="2">
        <f>$E143*AO143</f>
        <v>7.9860058309037454</v>
      </c>
      <c r="T143" s="2">
        <f>$E143*AP143</f>
        <v>3.0930029154518568</v>
      </c>
      <c r="U143" s="2">
        <f>S143-T143</f>
        <v>4.8930029154518886</v>
      </c>
      <c r="V143" s="1">
        <f>F143/D143</f>
        <v>0.27265013893550538</v>
      </c>
      <c r="W143" s="1">
        <f>(F143+M143+N143+P143)/(D143+M143+N143+Q143)</f>
        <v>0.42301079515226808</v>
      </c>
      <c r="X143" s="1">
        <f>(G143+H143*2+I143*3+J143*4)/D143</f>
        <v>0.52272024877509726</v>
      </c>
      <c r="Y143" s="1">
        <f>W143+X143</f>
        <v>0.9457310439273654</v>
      </c>
      <c r="Z143">
        <v>0.28318559999999998</v>
      </c>
      <c r="AA143">
        <v>16.326530609999999</v>
      </c>
      <c r="AB143">
        <v>18.926387001999998</v>
      </c>
      <c r="AD143" s="2">
        <f>(D143-O143-J143+Q143)*Z143</f>
        <v>112.41312460836642</v>
      </c>
      <c r="AE143">
        <v>0.22021017400000001</v>
      </c>
      <c r="AF143">
        <v>0.73402255639097702</v>
      </c>
      <c r="AG143">
        <v>0.25</v>
      </c>
      <c r="AH143">
        <v>1.7733522996680798E-2</v>
      </c>
      <c r="AI143">
        <v>5.0445103857566703E-2</v>
      </c>
      <c r="AJ143">
        <v>0.16114835930132901</v>
      </c>
      <c r="AK143">
        <v>0.14243323442136499</v>
      </c>
      <c r="AL143">
        <v>1.0367589172167299E-2</v>
      </c>
      <c r="AM143">
        <v>7.12298643492999E-3</v>
      </c>
      <c r="AN143">
        <v>5.9347181008902001E-3</v>
      </c>
      <c r="AO143">
        <v>1.18486733396198E-2</v>
      </c>
      <c r="AP143">
        <v>4.58902509710958E-3</v>
      </c>
      <c r="AQ143">
        <v>5.9347181008900004E-4</v>
      </c>
    </row>
    <row r="144" spans="1:43" x14ac:dyDescent="0.4">
      <c r="A144" t="s">
        <v>172</v>
      </c>
      <c r="B144" s="3" t="s">
        <v>179</v>
      </c>
      <c r="D144">
        <v>551</v>
      </c>
      <c r="E144">
        <v>606</v>
      </c>
      <c r="F144" s="2">
        <f>AD144+J144</f>
        <v>130.3440371006152</v>
      </c>
      <c r="G144" s="2">
        <f>$AD144*AF144</f>
        <v>76.759726890462318</v>
      </c>
      <c r="H144" s="2">
        <f>$AD144*AG144</f>
        <v>25.283177500152238</v>
      </c>
      <c r="I144" s="2">
        <f>$AD144*AH144</f>
        <v>0.98596839396971414</v>
      </c>
      <c r="J144" s="2">
        <f>$E144*AI144</f>
        <v>28.199999999999921</v>
      </c>
      <c r="K144" s="2">
        <f>$E144*AJ144</f>
        <v>72.03488721804456</v>
      </c>
      <c r="L144" s="2">
        <f>$E144*AK144</f>
        <v>85.999999999999446</v>
      </c>
      <c r="M144" s="2">
        <f>$E144*(AB144/100)</f>
        <v>44.338646618574003</v>
      </c>
      <c r="N144" s="2">
        <f>$E144*AL144</f>
        <v>0.99112781954884233</v>
      </c>
      <c r="O144" s="2">
        <f>$E144*(AA144/100)</f>
        <v>176.78796991980002</v>
      </c>
      <c r="P144" s="2">
        <f>$E144*AM144</f>
        <v>5.0410714285713993</v>
      </c>
      <c r="Q144" s="2">
        <f>$E144*AN144</f>
        <v>4.399999999999987</v>
      </c>
      <c r="R144" s="2">
        <f>$E144*AQ144</f>
        <v>0</v>
      </c>
      <c r="S144" s="2">
        <f>$E144*AO144</f>
        <v>0.99112781954884233</v>
      </c>
      <c r="T144" s="2">
        <f>$E144*AP144</f>
        <v>0</v>
      </c>
      <c r="U144" s="2">
        <f>S144-T144</f>
        <v>0.99112781954884233</v>
      </c>
      <c r="V144" s="1">
        <f>F144/D144</f>
        <v>0.23655905099930163</v>
      </c>
      <c r="W144" s="1">
        <f>(F144+M144+N144+P144)/(D144+M144+N144+Q144)</f>
        <v>0.30082558024751888</v>
      </c>
      <c r="X144" s="1">
        <f>(G144+H144*2+I144*3+J144*4)/D144</f>
        <v>0.44116876056746945</v>
      </c>
      <c r="Y144" s="1">
        <f>W144+X144</f>
        <v>0.74199434081498827</v>
      </c>
      <c r="Z144">
        <v>0.29149694739999998</v>
      </c>
      <c r="AA144">
        <v>29.172932329999998</v>
      </c>
      <c r="AB144">
        <v>7.3166083529000003</v>
      </c>
      <c r="AD144" s="2">
        <f>(D144-O144-J144+Q144)*Z144</f>
        <v>102.14403710061526</v>
      </c>
      <c r="AE144">
        <v>0.21994683700000001</v>
      </c>
      <c r="AF144">
        <v>0.75148514851485104</v>
      </c>
      <c r="AG144">
        <v>0.247524752475247</v>
      </c>
      <c r="AH144">
        <v>9.6527259148618001E-3</v>
      </c>
      <c r="AI144">
        <v>4.6534653465346403E-2</v>
      </c>
      <c r="AJ144">
        <v>0.118869450854859</v>
      </c>
      <c r="AK144">
        <v>0.14191419141914099</v>
      </c>
      <c r="AL144">
        <v>1.63552445470106E-3</v>
      </c>
      <c r="AM144">
        <v>8.31859971711452E-3</v>
      </c>
      <c r="AN144">
        <v>7.26072607260724E-3</v>
      </c>
      <c r="AO144">
        <v>1.63552445470106E-3</v>
      </c>
      <c r="AP144">
        <v>0</v>
      </c>
      <c r="AQ144">
        <v>0</v>
      </c>
    </row>
    <row r="145" spans="1:43" x14ac:dyDescent="0.4">
      <c r="A145" t="s">
        <v>172</v>
      </c>
      <c r="B145" t="s">
        <v>277</v>
      </c>
      <c r="D145">
        <v>574</v>
      </c>
      <c r="E145">
        <v>658</v>
      </c>
      <c r="F145" s="2">
        <f>AD145+J145</f>
        <v>138.26748060681254</v>
      </c>
      <c r="G145" s="2">
        <f>$AD145*AF145</f>
        <v>76.600348219220351</v>
      </c>
      <c r="H145" s="2">
        <f>$AD145*AG145</f>
        <v>25.065558972257946</v>
      </c>
      <c r="I145" s="2">
        <f>$AD145*AH145</f>
        <v>1.0026223588903138</v>
      </c>
      <c r="J145" s="2">
        <f>$E145*AI145</f>
        <v>36</v>
      </c>
      <c r="K145" s="2">
        <f>$E145*AJ145</f>
        <v>85.844210526315436</v>
      </c>
      <c r="L145" s="2">
        <f>$E145*AK145</f>
        <v>100.99999999999982</v>
      </c>
      <c r="M145" s="2">
        <f>$E145*(AB145/100)</f>
        <v>64.427368421318008</v>
      </c>
      <c r="N145" s="2">
        <f>$E145*AL145</f>
        <v>4.3926315789473316</v>
      </c>
      <c r="O145" s="2">
        <f>$E145*(AA145/100)</f>
        <v>152.37894738919999</v>
      </c>
      <c r="P145" s="2">
        <f>$E145*AM145</f>
        <v>14.019414483821169</v>
      </c>
      <c r="Q145" s="2">
        <f>$E145*AN145</f>
        <v>4.9999999999999503</v>
      </c>
      <c r="R145" s="2">
        <f>$E145*AQ145</f>
        <v>0</v>
      </c>
      <c r="S145" s="2">
        <f>$E145*AO145</f>
        <v>3.9957894736842063</v>
      </c>
      <c r="T145" s="2">
        <f>$E145*AP145</f>
        <v>0.99894736842100551</v>
      </c>
      <c r="U145" s="2">
        <f>S145-T145</f>
        <v>2.9968421052632008</v>
      </c>
      <c r="V145" s="1">
        <f>F145/D145</f>
        <v>0.24088411255542255</v>
      </c>
      <c r="W145" s="1">
        <f>(F145+M145+N145+P145)/(D145+M145+N145+Q145)</f>
        <v>0.3413091523738207</v>
      </c>
      <c r="X145" s="1">
        <f>(G145+H145*2+I145*3+J145*4)/D145</f>
        <v>0.47689779310175467</v>
      </c>
      <c r="Y145" s="1">
        <f>W145+X145</f>
        <v>0.81820694547557538</v>
      </c>
      <c r="Z145">
        <v>0.26180739600000003</v>
      </c>
      <c r="AA145">
        <v>23.15789474</v>
      </c>
      <c r="AB145">
        <v>9.7913933771000004</v>
      </c>
      <c r="AD145" s="2">
        <f>(D145-O145-J145+Q145)*Z145</f>
        <v>102.26748060681254</v>
      </c>
      <c r="AE145">
        <v>0.21189877700000001</v>
      </c>
      <c r="AF145">
        <v>0.74901960784313704</v>
      </c>
      <c r="AG145">
        <v>0.24509803921568599</v>
      </c>
      <c r="AH145">
        <v>9.8039215686274005E-3</v>
      </c>
      <c r="AI145">
        <v>5.4711246200607903E-2</v>
      </c>
      <c r="AJ145">
        <v>0.130462326027835</v>
      </c>
      <c r="AK145">
        <v>0.15349544072948301</v>
      </c>
      <c r="AL145">
        <v>6.6757318828986802E-3</v>
      </c>
      <c r="AM145">
        <v>2.1306101039241899E-2</v>
      </c>
      <c r="AN145">
        <v>7.5987841945288001E-3</v>
      </c>
      <c r="AO145">
        <v>6.07262837945928E-3</v>
      </c>
      <c r="AP145">
        <v>1.51815709486475E-3</v>
      </c>
      <c r="AQ145">
        <v>0</v>
      </c>
    </row>
    <row r="146" spans="1:43" x14ac:dyDescent="0.4">
      <c r="A146" t="s">
        <v>180</v>
      </c>
      <c r="B146" t="s">
        <v>181</v>
      </c>
      <c r="D146">
        <v>516</v>
      </c>
      <c r="E146">
        <v>638</v>
      </c>
      <c r="F146" s="2">
        <f>AD146+J146</f>
        <v>143.9349562942312</v>
      </c>
      <c r="G146" s="2">
        <f>$AD146*AF146</f>
        <v>71.364457685557596</v>
      </c>
      <c r="H146" s="2">
        <f>$AD146*AG146</f>
        <v>25.770498608673535</v>
      </c>
      <c r="I146" s="2">
        <f>$AD146*AH146</f>
        <v>0.97927894712958441</v>
      </c>
      <c r="J146" s="2">
        <f>$E146*AI146</f>
        <v>46.799999999999976</v>
      </c>
      <c r="K146" s="2">
        <f>$E146*AJ146</f>
        <v>105.61399416909595</v>
      </c>
      <c r="L146" s="2">
        <f>$E146*AK146</f>
        <v>114.99999999999964</v>
      </c>
      <c r="M146" s="2">
        <f>$E146*(AB146/100)</f>
        <v>106.18833817614001</v>
      </c>
      <c r="N146" s="2">
        <f>$E146*AL146</f>
        <v>10.795043731778353</v>
      </c>
      <c r="O146" s="2">
        <f>$E146*(AA146/100)</f>
        <v>165.5451895306</v>
      </c>
      <c r="P146" s="2">
        <f>$E146*AM146</f>
        <v>5.9023622047243789</v>
      </c>
      <c r="Q146" s="2">
        <f>$E146*AN146</f>
        <v>4.5999999999999543</v>
      </c>
      <c r="R146" s="2">
        <f>$E146*AQ146</f>
        <v>0</v>
      </c>
      <c r="S146" s="2">
        <f>$E146*AO146</f>
        <v>7.9440233236150686</v>
      </c>
      <c r="T146" s="2">
        <f>$E146*AP146</f>
        <v>1.9860058309037798</v>
      </c>
      <c r="U146" s="2">
        <f>S146-T146</f>
        <v>5.9580174927112886</v>
      </c>
      <c r="V146" s="1">
        <f>F146/D146</f>
        <v>0.27894371374851007</v>
      </c>
      <c r="W146" s="1">
        <f>(F146+M146+N146+P146)/(D146+M146+N146+Q146)</f>
        <v>0.41848753900773572</v>
      </c>
      <c r="X146" s="1">
        <f>(G146+H146*2+I146*3+J146*4)/D146</f>
        <v>0.60667304601607241</v>
      </c>
      <c r="Y146" s="1">
        <f>W146+X146</f>
        <v>1.0251605850238081</v>
      </c>
      <c r="Z146">
        <v>0.31511254</v>
      </c>
      <c r="AA146">
        <v>25.947521869999999</v>
      </c>
      <c r="AB146">
        <v>16.643940152999999</v>
      </c>
      <c r="AD146" s="2">
        <f>(D146-O146-J146+Q146)*Z146</f>
        <v>97.13495629423123</v>
      </c>
      <c r="AE146">
        <v>0.22731368399999999</v>
      </c>
      <c r="AF146">
        <v>0.73469387755102</v>
      </c>
      <c r="AG146">
        <v>0.265306122448979</v>
      </c>
      <c r="AH146">
        <v>1.00816326530611E-2</v>
      </c>
      <c r="AI146">
        <v>7.3354231974921594E-2</v>
      </c>
      <c r="AJ146">
        <v>0.16553917581363001</v>
      </c>
      <c r="AK146">
        <v>0.180250783699059</v>
      </c>
      <c r="AL146">
        <v>1.6920131241031901E-2</v>
      </c>
      <c r="AM146">
        <v>9.2513514180632903E-3</v>
      </c>
      <c r="AN146">
        <v>7.2100313479623104E-3</v>
      </c>
      <c r="AO146">
        <v>1.24514472156976E-2</v>
      </c>
      <c r="AP146">
        <v>3.1128618039244198E-3</v>
      </c>
      <c r="AQ146">
        <v>0</v>
      </c>
    </row>
    <row r="147" spans="1:43" x14ac:dyDescent="0.4">
      <c r="A147" t="s">
        <v>180</v>
      </c>
      <c r="B147" s="3" t="s">
        <v>182</v>
      </c>
      <c r="D147">
        <v>558</v>
      </c>
      <c r="E147">
        <v>615</v>
      </c>
      <c r="F147" s="2">
        <f>AD147+J147</f>
        <v>132.73582960078443</v>
      </c>
      <c r="G147" s="2">
        <f>$AD147*AF147</f>
        <v>87.789095755275639</v>
      </c>
      <c r="H147" s="2">
        <f>$AD147*AG147</f>
        <v>25.685384872895803</v>
      </c>
      <c r="I147" s="2">
        <f>$AD147*AH147</f>
        <v>4.080007275678426</v>
      </c>
      <c r="J147" s="2">
        <f>$E147*AI147</f>
        <v>13.199999999999976</v>
      </c>
      <c r="K147" s="2">
        <f>$E147*AJ147</f>
        <v>74.706038291605196</v>
      </c>
      <c r="L147" s="2">
        <f>$E147*AK147</f>
        <v>59</v>
      </c>
      <c r="M147" s="2">
        <f>$E147*(AB147/100)</f>
        <v>43.681590575789997</v>
      </c>
      <c r="N147" s="2">
        <f>$E147*AL147</f>
        <v>0.59057437407952595</v>
      </c>
      <c r="O147" s="2">
        <f>$E147*(AA147/100)</f>
        <v>135.8615611125</v>
      </c>
      <c r="P147" s="2">
        <f>$E147*AM147</f>
        <v>7.0627906976743757</v>
      </c>
      <c r="Q147" s="2">
        <f>$E147*AN147</f>
        <v>4.5999999999999952</v>
      </c>
      <c r="R147" s="2">
        <f>$E147*AQ147</f>
        <v>1.372093023255804</v>
      </c>
      <c r="S147" s="2">
        <f>$E147*AO147</f>
        <v>25.936082474226765</v>
      </c>
      <c r="T147" s="2">
        <f>$E147*AP147</f>
        <v>6.0340206185566858</v>
      </c>
      <c r="U147" s="2">
        <f>S147-T147</f>
        <v>19.90206185567008</v>
      </c>
      <c r="V147" s="1">
        <f>F147/D147</f>
        <v>0.23787783082577854</v>
      </c>
      <c r="W147" s="1">
        <f>(F147+M147+N147+P147)/(D147+M147+N147+Q147)</f>
        <v>0.30331064082257492</v>
      </c>
      <c r="X147" s="1">
        <f>(G147+H147*2+I147*3+J147*4)/D147</f>
        <v>0.36594961886756705</v>
      </c>
      <c r="Y147" s="1">
        <f>W147+X147</f>
        <v>0.66926025969014202</v>
      </c>
      <c r="Z147">
        <v>0.28905615139999902</v>
      </c>
      <c r="AA147">
        <v>22.091310750000002</v>
      </c>
      <c r="AB147">
        <v>7.1026976546</v>
      </c>
      <c r="AD147" s="2">
        <f>(D147-O147-J147+Q147)*Z147</f>
        <v>119.53582960078445</v>
      </c>
      <c r="AE147">
        <v>0.21578629199999999</v>
      </c>
      <c r="AF147">
        <v>0.73441658495587603</v>
      </c>
      <c r="AG147">
        <v>0.214876033057851</v>
      </c>
      <c r="AH147">
        <v>3.41320864991232E-2</v>
      </c>
      <c r="AI147">
        <v>2.1463414634146302E-2</v>
      </c>
      <c r="AJ147">
        <v>0.12147323299448</v>
      </c>
      <c r="AK147">
        <v>9.5934959349593493E-2</v>
      </c>
      <c r="AL147">
        <v>9.6028353508866005E-4</v>
      </c>
      <c r="AM147">
        <v>1.1484212516543701E-2</v>
      </c>
      <c r="AN147">
        <v>7.4796747967479597E-3</v>
      </c>
      <c r="AO147">
        <v>4.2172491828010999E-2</v>
      </c>
      <c r="AP147">
        <v>9.8114156399295698E-3</v>
      </c>
      <c r="AQ147">
        <v>2.2310455662695999E-3</v>
      </c>
    </row>
    <row r="148" spans="1:43" x14ac:dyDescent="0.4">
      <c r="A148" t="s">
        <v>180</v>
      </c>
      <c r="B148" s="3" t="s">
        <v>183</v>
      </c>
      <c r="D148">
        <v>411</v>
      </c>
      <c r="E148">
        <v>467</v>
      </c>
      <c r="F148" s="2">
        <f>AD148+J148</f>
        <v>93.561728571672774</v>
      </c>
      <c r="G148" s="2">
        <f>$AD148*AF148</f>
        <v>55.24489350667114</v>
      </c>
      <c r="H148" s="2">
        <f>$AD148*AG148</f>
        <v>18.743803154049086</v>
      </c>
      <c r="I148" s="2">
        <f>$AD148*AH148</f>
        <v>0.98145689929433211</v>
      </c>
      <c r="J148" s="2">
        <f>$E148*AI148</f>
        <v>17.59999999999993</v>
      </c>
      <c r="K148" s="2">
        <f>$E148*AJ148</f>
        <v>52.131168831168544</v>
      </c>
      <c r="L148" s="2">
        <f>$E148*AK148</f>
        <v>58.999999999999552</v>
      </c>
      <c r="M148" s="2">
        <f>$E148*(AB148/100)</f>
        <v>44.148701299606003</v>
      </c>
      <c r="N148" s="2">
        <f>$E148*AL148</f>
        <v>1.2999999999999721</v>
      </c>
      <c r="O148" s="2">
        <f>$E148*(AA148/100)</f>
        <v>110.17965366529999</v>
      </c>
      <c r="P148" s="2">
        <f>$E148*AM148</f>
        <v>5.133936651583646</v>
      </c>
      <c r="Q148" s="2">
        <f>$E148*AN148</f>
        <v>3.3999999999999861</v>
      </c>
      <c r="R148" s="2">
        <f>$E148*AQ148</f>
        <v>0.39999999999999286</v>
      </c>
      <c r="S148" s="2">
        <f>$E148*AO148</f>
        <v>3.1043290043289953</v>
      </c>
      <c r="T148" s="2">
        <f>$E148*AP148</f>
        <v>1.0010822510822273</v>
      </c>
      <c r="U148" s="2">
        <f>S148-T148</f>
        <v>2.103246753246768</v>
      </c>
      <c r="V148" s="1">
        <f>F148/D148</f>
        <v>0.2276441084468924</v>
      </c>
      <c r="W148" s="1">
        <f>(F148+M148+N148+P148)/(D148+M148+N148+Q148)</f>
        <v>0.31346041886274201</v>
      </c>
      <c r="X148" s="1">
        <f>(G148+H148*2+I148*3+J148*4)/D148</f>
        <v>0.40407997691642827</v>
      </c>
      <c r="Y148" s="1">
        <f>W148+X148</f>
        <v>0.71754039577917028</v>
      </c>
      <c r="Z148">
        <v>0.2650255976</v>
      </c>
      <c r="AA148">
        <v>23.593073589999999</v>
      </c>
      <c r="AB148">
        <v>9.4536833617999996</v>
      </c>
      <c r="AD148" s="2">
        <f>(D148-O148-J148+Q148)*Z148</f>
        <v>75.96172857167285</v>
      </c>
      <c r="AE148">
        <v>0.20432067900000001</v>
      </c>
      <c r="AF148">
        <v>0.72727272727272696</v>
      </c>
      <c r="AG148">
        <v>0.246753246753246</v>
      </c>
      <c r="AH148">
        <v>1.2920412920412801E-2</v>
      </c>
      <c r="AI148">
        <v>3.7687366167023402E-2</v>
      </c>
      <c r="AJ148">
        <v>0.111629911844044</v>
      </c>
      <c r="AK148">
        <v>0.126338329764453</v>
      </c>
      <c r="AL148">
        <v>2.7837259100641802E-3</v>
      </c>
      <c r="AM148">
        <v>1.09934403674168E-2</v>
      </c>
      <c r="AN148">
        <v>7.2805139186295203E-3</v>
      </c>
      <c r="AO148">
        <v>6.6473854482419596E-3</v>
      </c>
      <c r="AP148">
        <v>2.1436450772638698E-3</v>
      </c>
      <c r="AQ148">
        <v>8.5653104925052001E-4</v>
      </c>
    </row>
    <row r="149" spans="1:43" x14ac:dyDescent="0.4">
      <c r="A149" t="s">
        <v>180</v>
      </c>
      <c r="B149" t="s">
        <v>184</v>
      </c>
      <c r="D149">
        <v>513</v>
      </c>
      <c r="E149">
        <v>568</v>
      </c>
      <c r="F149" s="2">
        <f>AD149+J149</f>
        <v>127.39937531130703</v>
      </c>
      <c r="G149" s="2">
        <f>$AD149*AF149</f>
        <v>80.194485075796393</v>
      </c>
      <c r="H149" s="2">
        <f>$AD149*AG149</f>
        <v>25.282871535685576</v>
      </c>
      <c r="I149" s="2">
        <f>$AD149*AH149</f>
        <v>1.9816672654649483</v>
      </c>
      <c r="J149" s="2">
        <f>$E149*AI149</f>
        <v>20.199999999999921</v>
      </c>
      <c r="K149" s="2">
        <f>$E149*AJ149</f>
        <v>71.428571428570933</v>
      </c>
      <c r="L149" s="2">
        <f>$E149*AK149</f>
        <v>74.999999999999574</v>
      </c>
      <c r="M149" s="2">
        <f>$E149*(AB149/100)</f>
        <v>45.843537413623999</v>
      </c>
      <c r="N149" s="2">
        <f>$E149*AL149</f>
        <v>3.6829931972788774</v>
      </c>
      <c r="O149" s="2">
        <f>$E149*(AA149/100)</f>
        <v>97.564625859999992</v>
      </c>
      <c r="P149" s="2">
        <f>$E149*AM149</f>
        <v>4.0086330935251464</v>
      </c>
      <c r="Q149" s="2">
        <f>$E149*AN149</f>
        <v>5.7999999999999421</v>
      </c>
      <c r="R149" s="2">
        <f>$E149*AQ149</f>
        <v>0</v>
      </c>
      <c r="S149" s="2">
        <f>$E149*AO149</f>
        <v>11.959183673469292</v>
      </c>
      <c r="T149" s="2">
        <f>$E149*AP149</f>
        <v>2.9897959183673035</v>
      </c>
      <c r="U149" s="2">
        <f>S149-T149</f>
        <v>8.9693877551019892</v>
      </c>
      <c r="V149" s="1">
        <f>F149/D149</f>
        <v>0.24834186220527685</v>
      </c>
      <c r="W149" s="1">
        <f>(F149+M149+N149+P149)/(D149+M149+N149+Q149)</f>
        <v>0.3183637033823597</v>
      </c>
      <c r="X149" s="1">
        <f>(G149+H149*2+I149*3+J149*4)/D149</f>
        <v>0.42398680300889297</v>
      </c>
      <c r="Y149" s="1">
        <f>W149+X149</f>
        <v>0.74235050639125266</v>
      </c>
      <c r="Z149">
        <v>0.26730653259999998</v>
      </c>
      <c r="AA149">
        <v>17.176870749999999</v>
      </c>
      <c r="AB149">
        <v>8.0710453192999996</v>
      </c>
      <c r="AD149" s="2">
        <f>(D149-O149-J149+Q149)*Z149</f>
        <v>107.19937531130711</v>
      </c>
      <c r="AE149">
        <v>0.227544722</v>
      </c>
      <c r="AF149">
        <v>0.74808724251341496</v>
      </c>
      <c r="AG149">
        <v>0.23584905660377301</v>
      </c>
      <c r="AH149">
        <v>1.84858098259452E-2</v>
      </c>
      <c r="AI149">
        <v>3.5563380281690003E-2</v>
      </c>
      <c r="AJ149">
        <v>0.125754527162977</v>
      </c>
      <c r="AK149">
        <v>0.132042253521126</v>
      </c>
      <c r="AL149">
        <v>6.4841429529557699E-3</v>
      </c>
      <c r="AM149">
        <v>7.0574526294456801E-3</v>
      </c>
      <c r="AN149">
        <v>1.0211267605633701E-2</v>
      </c>
      <c r="AO149">
        <v>2.1054900833572698E-2</v>
      </c>
      <c r="AP149">
        <v>5.2637252083931399E-3</v>
      </c>
      <c r="AQ149">
        <v>0</v>
      </c>
    </row>
    <row r="150" spans="1:43" x14ac:dyDescent="0.4">
      <c r="A150" t="s">
        <v>180</v>
      </c>
      <c r="B150" t="s">
        <v>185</v>
      </c>
      <c r="D150">
        <v>409</v>
      </c>
      <c r="E150">
        <v>457</v>
      </c>
      <c r="F150" s="2">
        <f>AD150+J150</f>
        <v>92.553184909873053</v>
      </c>
      <c r="G150" s="2">
        <f>$AD150*AF150</f>
        <v>49.882907196621595</v>
      </c>
      <c r="H150" s="2">
        <f>$AD150*AG150</f>
        <v>15.27027771325151</v>
      </c>
      <c r="I150" s="2">
        <f>$AD150*AH150</f>
        <v>0</v>
      </c>
      <c r="J150" s="2">
        <f>$E150*AI150</f>
        <v>27.399999999999952</v>
      </c>
      <c r="K150" s="2">
        <f>$E150*AJ150</f>
        <v>54.296734693877085</v>
      </c>
      <c r="L150" s="2">
        <f>$E150*AK150</f>
        <v>69.999999999999659</v>
      </c>
      <c r="M150" s="2">
        <f>$E150*(AB150/100)</f>
        <v>42.090204080596955</v>
      </c>
      <c r="N150" s="2">
        <f>$E150*AL150</f>
        <v>1.9865306122448765</v>
      </c>
      <c r="O150" s="2">
        <f>$E150*(AA150/100)</f>
        <v>136.1673469509</v>
      </c>
      <c r="P150" s="2">
        <f>$E150*AM150</f>
        <v>2.9077272727272399</v>
      </c>
      <c r="Q150" s="2">
        <f>$E150*AN150</f>
        <v>2.5999999999999703</v>
      </c>
      <c r="R150" s="2">
        <f>$E150*AQ150</f>
        <v>0</v>
      </c>
      <c r="S150" s="2">
        <f>$E150*AO150</f>
        <v>0</v>
      </c>
      <c r="T150" s="2">
        <f>$E150*AP150</f>
        <v>0</v>
      </c>
      <c r="U150" s="2">
        <f>S150-T150</f>
        <v>0</v>
      </c>
      <c r="V150" s="1">
        <f>F150/D150</f>
        <v>0.22629140564761138</v>
      </c>
      <c r="W150" s="1">
        <f>(F150+M150+N150+P150)/(D150+M150+N150+Q150)</f>
        <v>0.30622069605879781</v>
      </c>
      <c r="X150" s="1">
        <f>(G150+H150*2+I150*3+J150*4)/D150</f>
        <v>0.46460504308832379</v>
      </c>
      <c r="Y150" s="1">
        <f>W150+X150</f>
        <v>0.7708257391471216</v>
      </c>
      <c r="Z150">
        <v>0.26267986939999999</v>
      </c>
      <c r="AA150">
        <v>29.795918369999999</v>
      </c>
      <c r="AB150">
        <v>9.2101103020999897</v>
      </c>
      <c r="AD150" s="2">
        <f>(D150-O150-J150+Q150)*Z150</f>
        <v>65.153184909873104</v>
      </c>
      <c r="AE150">
        <v>0.20046848</v>
      </c>
      <c r="AF150">
        <v>0.765625</v>
      </c>
      <c r="AG150">
        <v>0.234375</v>
      </c>
      <c r="AH150">
        <v>0</v>
      </c>
      <c r="AI150">
        <v>5.9956236323851102E-2</v>
      </c>
      <c r="AJ150">
        <v>0.118811235653998</v>
      </c>
      <c r="AK150">
        <v>0.15317286652078699</v>
      </c>
      <c r="AL150">
        <v>4.3468941186977604E-3</v>
      </c>
      <c r="AM150">
        <v>6.3626417346329097E-3</v>
      </c>
      <c r="AN150">
        <v>5.6892778993434803E-3</v>
      </c>
      <c r="AO150">
        <v>0</v>
      </c>
      <c r="AP150">
        <v>0</v>
      </c>
      <c r="AQ150">
        <v>0</v>
      </c>
    </row>
    <row r="151" spans="1:43" x14ac:dyDescent="0.4">
      <c r="A151" t="s">
        <v>180</v>
      </c>
      <c r="B151" s="3" t="s">
        <v>186</v>
      </c>
      <c r="D151">
        <v>466</v>
      </c>
      <c r="E151">
        <v>522</v>
      </c>
      <c r="F151" s="2">
        <f>AD151+J151</f>
        <v>111.89484729147711</v>
      </c>
      <c r="G151" s="2">
        <f>$AD151*AF151</f>
        <v>73.998933248920665</v>
      </c>
      <c r="H151" s="2">
        <f>$AD151*AG151</f>
        <v>20.634610133887932</v>
      </c>
      <c r="I151" s="2">
        <f>$AD151*AH151</f>
        <v>1.9854607688964332</v>
      </c>
      <c r="J151" s="2">
        <f>$E151*AI151</f>
        <v>15.599999999999966</v>
      </c>
      <c r="K151" s="2">
        <f>$E151*AJ151</f>
        <v>69.67755102040762</v>
      </c>
      <c r="L151" s="2">
        <f>$E151*AK151</f>
        <v>59.999999999999908</v>
      </c>
      <c r="M151" s="2">
        <f>$E151*(AB151/100)</f>
        <v>45.471428570717997</v>
      </c>
      <c r="N151" s="2">
        <f>$E151*AL151</f>
        <v>1.3887755102040547</v>
      </c>
      <c r="O151" s="2">
        <f>$E151*(AA151/100)</f>
        <v>128.72448981899998</v>
      </c>
      <c r="P151" s="2">
        <f>$E151*AM151</f>
        <v>3.7167785234899067</v>
      </c>
      <c r="Q151" s="2">
        <f>$E151*AN151</f>
        <v>2.9999999999999951</v>
      </c>
      <c r="R151" s="2">
        <f>$E151*AQ151</f>
        <v>0.39999999999999236</v>
      </c>
      <c r="S151" s="2">
        <f>$E151*AO151</f>
        <v>22.019387755102024</v>
      </c>
      <c r="T151" s="2">
        <f>$E151*AP151</f>
        <v>3.9551020408163011</v>
      </c>
      <c r="U151" s="2">
        <f>S151-T151</f>
        <v>18.064285714285724</v>
      </c>
      <c r="V151" s="1">
        <f>F151/D151</f>
        <v>0.24011769805038005</v>
      </c>
      <c r="W151" s="1">
        <f>(F151+M151+N151+P151)/(D151+M151+N151+Q151)</f>
        <v>0.31495321525209646</v>
      </c>
      <c r="X151" s="1">
        <f>(G151+H151*2+I151*3+J151*4)/D151</f>
        <v>0.39404406829052724</v>
      </c>
      <c r="Y151" s="1">
        <f>W151+X151</f>
        <v>0.7089972835426237</v>
      </c>
      <c r="Z151">
        <v>0.2965879602</v>
      </c>
      <c r="AA151">
        <v>24.659863949999998</v>
      </c>
      <c r="AB151">
        <v>8.7110016418999994</v>
      </c>
      <c r="AD151" s="2">
        <f>(D151-O151-J151+Q151)*Z151</f>
        <v>96.29484729147714</v>
      </c>
      <c r="AE151">
        <v>0.21728956599999999</v>
      </c>
      <c r="AF151">
        <v>0.76846202398485097</v>
      </c>
      <c r="AG151">
        <v>0.214285714285714</v>
      </c>
      <c r="AH151">
        <v>2.06185567010309E-2</v>
      </c>
      <c r="AI151">
        <v>2.9885057471264301E-2</v>
      </c>
      <c r="AJ151">
        <v>0.133481898506528</v>
      </c>
      <c r="AK151">
        <v>0.114942528735632</v>
      </c>
      <c r="AL151">
        <v>2.6604894831495302E-3</v>
      </c>
      <c r="AM151">
        <v>7.1202653706703197E-3</v>
      </c>
      <c r="AN151">
        <v>5.7471264367815996E-3</v>
      </c>
      <c r="AO151">
        <v>4.2182735163030699E-2</v>
      </c>
      <c r="AP151">
        <v>7.5768238329814198E-3</v>
      </c>
      <c r="AQ151">
        <v>7.6628352490419995E-4</v>
      </c>
    </row>
    <row r="152" spans="1:43" x14ac:dyDescent="0.4">
      <c r="A152" t="s">
        <v>180</v>
      </c>
      <c r="B152" t="s">
        <v>187</v>
      </c>
      <c r="D152">
        <v>544</v>
      </c>
      <c r="E152">
        <v>604</v>
      </c>
      <c r="F152" s="2">
        <f>AD152+J152</f>
        <v>134.38220575569949</v>
      </c>
      <c r="G152" s="2">
        <f>$AD152*AF152</f>
        <v>81.236727572136601</v>
      </c>
      <c r="H152" s="2">
        <f>$AD152*AG152</f>
        <v>24.403518284309271</v>
      </c>
      <c r="I152" s="2">
        <f>$AD152*AH152</f>
        <v>3.4248551361624013</v>
      </c>
      <c r="J152" s="2">
        <f>$E152*AI152</f>
        <v>26.599999999999909</v>
      </c>
      <c r="K152" s="2">
        <f>$E152*AJ152</f>
        <v>82.405911330048724</v>
      </c>
      <c r="L152" s="2">
        <f>$E152*AK152</f>
        <v>75.999999999999744</v>
      </c>
      <c r="M152" s="2">
        <f>$E152*(AB152/100)</f>
        <v>51.858128077571997</v>
      </c>
      <c r="N152" s="2">
        <f>$E152*AL152</f>
        <v>2.5975369458127697</v>
      </c>
      <c r="O152" s="2">
        <f>$E152*(AA152/100)</f>
        <v>151.74384236840001</v>
      </c>
      <c r="P152" s="2">
        <f>$E152*AM152</f>
        <v>4.9376811594202694</v>
      </c>
      <c r="Q152" s="2">
        <f>$E152*AN152</f>
        <v>3.9999999999999449</v>
      </c>
      <c r="R152" s="2">
        <f>$E152*AQ152</f>
        <v>1.0565217391303989</v>
      </c>
      <c r="S152" s="2">
        <f>$E152*AO152</f>
        <v>37.572085385878474</v>
      </c>
      <c r="T152" s="2">
        <f>$E152*AP152</f>
        <v>8.9926108374384004</v>
      </c>
      <c r="U152" s="2">
        <f>S152-T152</f>
        <v>28.579474548440075</v>
      </c>
      <c r="V152" s="1">
        <f>F152/D152</f>
        <v>0.24702611352150641</v>
      </c>
      <c r="W152" s="1">
        <f>(F152+M152+N152+P152)/(D152+M152+N152+Q152)</f>
        <v>0.32164284143793881</v>
      </c>
      <c r="X152" s="1">
        <f>(G152+H152*2+I152*3+J152*4)/D152</f>
        <v>0.45352634108316542</v>
      </c>
      <c r="Y152" s="1">
        <f>W152+X152</f>
        <v>0.77516918252110423</v>
      </c>
      <c r="Z152">
        <v>0.29157421979999998</v>
      </c>
      <c r="AA152">
        <v>25.123152709999999</v>
      </c>
      <c r="AB152">
        <v>8.5857827943</v>
      </c>
      <c r="AD152" s="2">
        <f>(D152-O152-J152+Q152)*Z152</f>
        <v>107.78220575569958</v>
      </c>
      <c r="AE152">
        <v>0.22117820199999999</v>
      </c>
      <c r="AF152">
        <v>0.75371186739552098</v>
      </c>
      <c r="AG152">
        <v>0.22641509433962201</v>
      </c>
      <c r="AH152">
        <v>3.17757009345793E-2</v>
      </c>
      <c r="AI152">
        <v>4.4039735099337597E-2</v>
      </c>
      <c r="AJ152">
        <v>0.13643362802988199</v>
      </c>
      <c r="AK152">
        <v>0.12582781456953601</v>
      </c>
      <c r="AL152">
        <v>4.3005578573059103E-3</v>
      </c>
      <c r="AM152">
        <v>8.1749688069872005E-3</v>
      </c>
      <c r="AN152">
        <v>6.6225165562912996E-3</v>
      </c>
      <c r="AO152">
        <v>6.2205439380593502E-2</v>
      </c>
      <c r="AP152">
        <v>1.4888428538805299E-2</v>
      </c>
      <c r="AQ152">
        <v>1.7492081773682101E-3</v>
      </c>
    </row>
    <row r="153" spans="1:43" x14ac:dyDescent="0.4">
      <c r="A153" t="s">
        <v>180</v>
      </c>
      <c r="B153" t="s">
        <v>188</v>
      </c>
      <c r="D153">
        <v>544</v>
      </c>
      <c r="E153">
        <v>609</v>
      </c>
      <c r="F153" s="2">
        <f>AD153+J153</f>
        <v>130.8570639726029</v>
      </c>
      <c r="G153" s="2">
        <f>$AD153*AF153</f>
        <v>82.066770444805101</v>
      </c>
      <c r="H153" s="2">
        <f>$AD153*AG153</f>
        <v>24.512969084682453</v>
      </c>
      <c r="I153" s="2">
        <f>$AD153*AH153</f>
        <v>0.97521866196357965</v>
      </c>
      <c r="J153" s="2">
        <f>$E153*AI153</f>
        <v>22.999999999999972</v>
      </c>
      <c r="K153" s="2">
        <f>$E153*AJ153</f>
        <v>73.542857142856704</v>
      </c>
      <c r="L153" s="2">
        <f>$E153*AK153</f>
        <v>74.999999999999446</v>
      </c>
      <c r="M153" s="2">
        <f>$E153*(AB153/100)</f>
        <v>54.431868132726009</v>
      </c>
      <c r="N153" s="2">
        <f>$E153*AL153</f>
        <v>1.5912087912087456</v>
      </c>
      <c r="O153" s="2">
        <f>$E153*(AA153/100)</f>
        <v>159.65934064499999</v>
      </c>
      <c r="P153" s="2">
        <f>$E153*AM153</f>
        <v>3.0112436115843013</v>
      </c>
      <c r="Q153" s="2">
        <f>$E153*AN153</f>
        <v>3.9999999999999503</v>
      </c>
      <c r="R153" s="2">
        <f>$E153*AQ153</f>
        <v>0</v>
      </c>
      <c r="S153" s="2">
        <f>$E153*AO153</f>
        <v>8.0604395604394767</v>
      </c>
      <c r="T153" s="2">
        <f>$E153*AP153</f>
        <v>1.8956043956043422</v>
      </c>
      <c r="U153" s="2">
        <f>S153-T153</f>
        <v>6.1648351648351341</v>
      </c>
      <c r="V153" s="1">
        <f>F153/D153</f>
        <v>0.24054607347904944</v>
      </c>
      <c r="W153" s="1">
        <f>(F153+M153+N153+P153)/(D153+M153+N153+Q153)</f>
        <v>0.31437769807598787</v>
      </c>
      <c r="X153" s="1">
        <f>(G153+H153*2+I153*3+J153*4)/D153</f>
        <v>0.41547493492658205</v>
      </c>
      <c r="Y153" s="1">
        <f>W153+X153</f>
        <v>0.72985263300256986</v>
      </c>
      <c r="Z153">
        <v>0.2952232696</v>
      </c>
      <c r="AA153">
        <v>26.2166405</v>
      </c>
      <c r="AB153">
        <v>8.9379093814000008</v>
      </c>
      <c r="AD153" s="2">
        <f>(D153-O153-J153+Q153)*Z153</f>
        <v>107.85706397260293</v>
      </c>
      <c r="AE153">
        <v>0.22130677200000001</v>
      </c>
      <c r="AF153">
        <v>0.76088452088452097</v>
      </c>
      <c r="AG153">
        <v>0.22727272727272699</v>
      </c>
      <c r="AH153">
        <v>9.0417690417689996E-3</v>
      </c>
      <c r="AI153">
        <v>3.77668308702791E-2</v>
      </c>
      <c r="AJ153">
        <v>0.12076002814919</v>
      </c>
      <c r="AK153">
        <v>0.123152709359605</v>
      </c>
      <c r="AL153">
        <v>2.6128223172557398E-3</v>
      </c>
      <c r="AM153">
        <v>4.9445707907788197E-3</v>
      </c>
      <c r="AN153">
        <v>6.5681444991789002E-3</v>
      </c>
      <c r="AO153">
        <v>1.32355329399663E-2</v>
      </c>
      <c r="AP153">
        <v>3.1126508959020398E-3</v>
      </c>
      <c r="AQ153">
        <v>0</v>
      </c>
    </row>
    <row r="154" spans="1:43" x14ac:dyDescent="0.4">
      <c r="A154" t="s">
        <v>189</v>
      </c>
      <c r="B154" t="s">
        <v>190</v>
      </c>
      <c r="D154">
        <v>558</v>
      </c>
      <c r="E154">
        <v>611</v>
      </c>
      <c r="F154" s="2">
        <f>AD154+J154</f>
        <v>151.11566084676835</v>
      </c>
      <c r="G154" s="2">
        <f>$AD154*AF154</f>
        <v>103.98607231834613</v>
      </c>
      <c r="H154" s="2">
        <f>$AD154*AG154</f>
        <v>29.024845663379761</v>
      </c>
      <c r="I154" s="2">
        <f>$AD154*AH154</f>
        <v>1.5895960099619619</v>
      </c>
      <c r="J154" s="2">
        <f>$E154*AI154</f>
        <v>15.999999999999975</v>
      </c>
      <c r="K154" s="2">
        <f>$E154*AJ154</f>
        <v>69.854220779220327</v>
      </c>
      <c r="L154" s="2">
        <f>$E154*AK154</f>
        <v>81</v>
      </c>
      <c r="M154" s="2">
        <f>$E154*(AB154/100)</f>
        <v>40.165909093452996</v>
      </c>
      <c r="N154" s="2">
        <f>$E154*AL154</f>
        <v>0.99918831168825728</v>
      </c>
      <c r="O154" s="2">
        <f>$E154*(AA154/100)</f>
        <v>94.228896091199999</v>
      </c>
      <c r="P154" s="2">
        <f>$E154*AM154</f>
        <v>5.0032948929159309</v>
      </c>
      <c r="Q154" s="2">
        <f>$E154*AN154</f>
        <v>5.999999999999952</v>
      </c>
      <c r="R154" s="2">
        <f>$E154*AQ154</f>
        <v>0</v>
      </c>
      <c r="S154" s="2">
        <f>$E154*AO154</f>
        <v>3.9967532467531943</v>
      </c>
      <c r="T154" s="2">
        <f>$E154*AP154</f>
        <v>1.9983766233765636</v>
      </c>
      <c r="U154" s="2">
        <f>S154-T154</f>
        <v>1.9983766233766307</v>
      </c>
      <c r="V154" s="1">
        <f>F154/D154</f>
        <v>0.27081659649958484</v>
      </c>
      <c r="W154" s="1">
        <f>(F154+M154+N154+P154)/(D154+M154+N154+Q154)</f>
        <v>0.32600038235970719</v>
      </c>
      <c r="X154" s="1">
        <f>(G154+H154*2+I154*3+J154*4)/D154</f>
        <v>0.41362822880822842</v>
      </c>
      <c r="Y154" s="1">
        <f>W154+X154</f>
        <v>0.73962861116793555</v>
      </c>
      <c r="Z154">
        <v>0.29776171219999997</v>
      </c>
      <c r="AA154">
        <v>15.42207792</v>
      </c>
      <c r="AB154">
        <v>6.5737985422999996</v>
      </c>
      <c r="AD154" s="2">
        <f>(D154-O154-J154+Q154)*Z154</f>
        <v>135.11566084676838</v>
      </c>
      <c r="AE154">
        <v>0.24958856700000001</v>
      </c>
      <c r="AF154">
        <v>0.76960784313725406</v>
      </c>
      <c r="AG154">
        <v>0.21481481481481399</v>
      </c>
      <c r="AH154">
        <v>1.1764705882352801E-2</v>
      </c>
      <c r="AI154">
        <v>2.6186579378068699E-2</v>
      </c>
      <c r="AJ154">
        <v>0.11432769358301199</v>
      </c>
      <c r="AK154">
        <v>0.132569558101473</v>
      </c>
      <c r="AL154">
        <v>1.63533275235394E-3</v>
      </c>
      <c r="AM154">
        <v>8.1886986790768099E-3</v>
      </c>
      <c r="AN154">
        <v>9.8199672667756994E-3</v>
      </c>
      <c r="AO154">
        <v>6.5413310094160296E-3</v>
      </c>
      <c r="AP154">
        <v>3.2706655047079602E-3</v>
      </c>
      <c r="AQ154">
        <v>0</v>
      </c>
    </row>
    <row r="155" spans="1:43" x14ac:dyDescent="0.4">
      <c r="A155" t="s">
        <v>189</v>
      </c>
      <c r="B155" t="s">
        <v>191</v>
      </c>
      <c r="D155">
        <v>433</v>
      </c>
      <c r="E155">
        <v>491</v>
      </c>
      <c r="F155" s="2">
        <f>AD155+J155</f>
        <v>104.26376438082434</v>
      </c>
      <c r="G155" s="2">
        <f>$AD155*AF155</f>
        <v>67.145220713888435</v>
      </c>
      <c r="H155" s="2">
        <f>$AD155*AG155</f>
        <v>20.373879636140259</v>
      </c>
      <c r="I155" s="2">
        <f>$AD155*AH155</f>
        <v>3.5739918712440848</v>
      </c>
      <c r="J155" s="2">
        <f>$E155*AI155</f>
        <v>13.59999999999998</v>
      </c>
      <c r="K155" s="2">
        <f>$E155*AJ155</f>
        <v>58.833766233765708</v>
      </c>
      <c r="L155" s="2">
        <f>$E155*AK155</f>
        <v>54.999999999999801</v>
      </c>
      <c r="M155" s="2">
        <f>$E155*(AB155/100)</f>
        <v>51.810204060170001</v>
      </c>
      <c r="N155" s="2">
        <f>$E155*AL155</f>
        <v>1.3910946196660394</v>
      </c>
      <c r="O155" s="2">
        <f>$E155*(AA155/100)</f>
        <v>151.2170686215</v>
      </c>
      <c r="P155" s="2">
        <f>$E155*AM155</f>
        <v>3.9094537815125885</v>
      </c>
      <c r="Q155" s="2">
        <f>$E155*AN155</f>
        <v>3.3999999999999879</v>
      </c>
      <c r="R155" s="2">
        <f>$E155*AQ155</f>
        <v>1.0189075630251927</v>
      </c>
      <c r="S155" s="2">
        <f>$E155*AO155</f>
        <v>15.857513914656762</v>
      </c>
      <c r="T155" s="2">
        <f>$E155*AP155</f>
        <v>3.0643784786641817</v>
      </c>
      <c r="U155" s="2">
        <f>S155-T155</f>
        <v>12.79313543599258</v>
      </c>
      <c r="V155" s="1">
        <f>F155/D155</f>
        <v>0.2407939131196867</v>
      </c>
      <c r="W155" s="1">
        <f>(F155+M155+N155+P155)/(D155+M155+N155+Q155)</f>
        <v>0.32960393952651723</v>
      </c>
      <c r="X155" s="1">
        <f>(G155+H155*2+I155*3+J155*4)/D155</f>
        <v>0.39957264572725432</v>
      </c>
      <c r="Y155" s="1">
        <f>W155+X155</f>
        <v>0.72917658525377149</v>
      </c>
      <c r="Z155">
        <v>0.3338345452</v>
      </c>
      <c r="AA155">
        <v>30.79777365</v>
      </c>
      <c r="AB155">
        <v>10.551976387</v>
      </c>
      <c r="AD155" s="2">
        <f>(D155-O155-J155+Q155)*Z155</f>
        <v>90.663764380824361</v>
      </c>
      <c r="AE155">
        <v>0.21459669200000001</v>
      </c>
      <c r="AF155">
        <v>0.740595994137762</v>
      </c>
      <c r="AG155">
        <v>0.224719101123595</v>
      </c>
      <c r="AH155">
        <v>3.9420289855072399E-2</v>
      </c>
      <c r="AI155">
        <v>2.7698574338085501E-2</v>
      </c>
      <c r="AJ155">
        <v>0.11982437114819899</v>
      </c>
      <c r="AK155">
        <v>0.112016293279022</v>
      </c>
      <c r="AL155">
        <v>2.83318659809784E-3</v>
      </c>
      <c r="AM155">
        <v>7.9622276609217692E-3</v>
      </c>
      <c r="AN155">
        <v>6.9246435845213604E-3</v>
      </c>
      <c r="AO155">
        <v>3.2296362351643099E-2</v>
      </c>
      <c r="AP155">
        <v>6.2410966978903902E-3</v>
      </c>
      <c r="AQ155">
        <v>2.0751681528007999E-3</v>
      </c>
    </row>
    <row r="156" spans="1:43" x14ac:dyDescent="0.4">
      <c r="A156" t="s">
        <v>189</v>
      </c>
      <c r="B156" t="s">
        <v>192</v>
      </c>
      <c r="D156">
        <v>533</v>
      </c>
      <c r="E156">
        <v>622</v>
      </c>
      <c r="F156" s="2">
        <f>AD156+J156</f>
        <v>145.57159279833868</v>
      </c>
      <c r="G156" s="2">
        <f>$AD156*AF156</f>
        <v>86.30004908064069</v>
      </c>
      <c r="H156" s="2">
        <f>$AD156*AG156</f>
        <v>29.090556228166513</v>
      </c>
      <c r="I156" s="2">
        <f>$AD156*AH156</f>
        <v>0.98654208924246256</v>
      </c>
      <c r="J156" s="2">
        <f>$E156*AI156</f>
        <v>26.199999999999907</v>
      </c>
      <c r="K156" s="2">
        <f>$E156*AJ156</f>
        <v>87.714285714285182</v>
      </c>
      <c r="L156" s="2">
        <f>$E156*AK156</f>
        <v>87.999999999999645</v>
      </c>
      <c r="M156" s="2">
        <f>$E156*(AB156/100)</f>
        <v>79.23744360968</v>
      </c>
      <c r="N156" s="2">
        <f>$E156*AL156</f>
        <v>9.2288721804511038</v>
      </c>
      <c r="O156" s="2">
        <f>$E156*(AA156/100)</f>
        <v>135.6240601616</v>
      </c>
      <c r="P156" s="2">
        <f>$E156*AM156</f>
        <v>4.8308510638297779</v>
      </c>
      <c r="Q156" s="2">
        <f>$E156*AN156</f>
        <v>4.3999999999999693</v>
      </c>
      <c r="R156" s="2">
        <f>$E156*AQ156</f>
        <v>1.0617021276595311</v>
      </c>
      <c r="S156" s="2">
        <f>$E156*AO156</f>
        <v>9.0353383458645684</v>
      </c>
      <c r="T156" s="2">
        <f>$E156*AP156</f>
        <v>3.8806015037593569</v>
      </c>
      <c r="U156" s="2">
        <f>S156-T156</f>
        <v>5.154736842105212</v>
      </c>
      <c r="V156" s="1">
        <f>F156/D156</f>
        <v>0.27311743489369361</v>
      </c>
      <c r="W156" s="1">
        <f>(F156+M156+N156+P156)/(D156+M156+N156+Q156)</f>
        <v>0.38166099313195567</v>
      </c>
      <c r="X156" s="1">
        <f>(G156+H156*2+I156*3+J156*4)/D156</f>
        <v>0.47324725666923217</v>
      </c>
      <c r="Y156" s="1">
        <f>W156+X156</f>
        <v>0.85490824980118785</v>
      </c>
      <c r="Z156">
        <v>0.31783610220000003</v>
      </c>
      <c r="AA156">
        <v>21.80451128</v>
      </c>
      <c r="AB156">
        <v>12.739138843999999</v>
      </c>
      <c r="AD156" s="2">
        <f>(D156-O156-J156+Q156)*Z156</f>
        <v>119.37159279833877</v>
      </c>
      <c r="AE156">
        <v>0.23628919600000001</v>
      </c>
      <c r="AF156">
        <v>0.72295298284603005</v>
      </c>
      <c r="AG156">
        <v>0.24369747899159599</v>
      </c>
      <c r="AH156">
        <v>8.2644628099173001E-3</v>
      </c>
      <c r="AI156">
        <v>4.2122186495176697E-2</v>
      </c>
      <c r="AJ156">
        <v>0.14101975195222699</v>
      </c>
      <c r="AK156">
        <v>0.14147909967845601</v>
      </c>
      <c r="AL156">
        <v>1.48374150811111E-2</v>
      </c>
      <c r="AM156">
        <v>7.7666415817199E-3</v>
      </c>
      <c r="AN156">
        <v>7.0739549839227804E-3</v>
      </c>
      <c r="AO156">
        <v>1.4526267437081301E-2</v>
      </c>
      <c r="AP156">
        <v>6.2389091700311202E-3</v>
      </c>
      <c r="AQ156">
        <v>1.7069166039542301E-3</v>
      </c>
    </row>
    <row r="157" spans="1:43" x14ac:dyDescent="0.4">
      <c r="A157" t="s">
        <v>189</v>
      </c>
      <c r="B157" t="s">
        <v>193</v>
      </c>
      <c r="D157">
        <v>534</v>
      </c>
      <c r="E157">
        <v>592</v>
      </c>
      <c r="F157" s="2">
        <f>AD157+J157</f>
        <v>136.24265222199372</v>
      </c>
      <c r="G157" s="2">
        <f>$AD157*AF157</f>
        <v>95.129793327136824</v>
      </c>
      <c r="H157" s="2">
        <f>$AD157*AG157</f>
        <v>24.848530444398754</v>
      </c>
      <c r="I157" s="2">
        <f>$AD157*AH157</f>
        <v>3.0058706182740336</v>
      </c>
      <c r="J157" s="2">
        <f>$E157*AI157</f>
        <v>11.999999999999957</v>
      </c>
      <c r="K157" s="2">
        <f>$E157*AJ157</f>
        <v>71.758525345621933</v>
      </c>
      <c r="L157" s="2">
        <f>$E157*AK157</f>
        <v>58.999999999999964</v>
      </c>
      <c r="M157" s="2">
        <f>$E157*(AB157/100)</f>
        <v>48.201536097968003</v>
      </c>
      <c r="N157" s="2">
        <f>$E157*AL157</f>
        <v>1.3909370199692295</v>
      </c>
      <c r="O157" s="2">
        <f>$E157*(AA157/100)</f>
        <v>100.94009214079999</v>
      </c>
      <c r="P157" s="2">
        <f>$E157*AM157</f>
        <v>3.9143362831858086</v>
      </c>
      <c r="Q157" s="2">
        <f>$E157*AN157</f>
        <v>5.3999999999999693</v>
      </c>
      <c r="R157" s="2">
        <f>$E157*AQ157</f>
        <v>0.39999999999997893</v>
      </c>
      <c r="S157" s="2">
        <f>$E157*AO157</f>
        <v>27.837173579109031</v>
      </c>
      <c r="T157" s="2">
        <f>$E157*AP157</f>
        <v>4.9546850998463601</v>
      </c>
      <c r="U157" s="2">
        <f>S157-T157</f>
        <v>22.882488479262669</v>
      </c>
      <c r="V157" s="1">
        <f>F157/D157</f>
        <v>0.25513605285017549</v>
      </c>
      <c r="W157" s="1">
        <f>(F157+M157+N157+P157)/(D157+M157+N157+Q157)</f>
        <v>0.32215939979443881</v>
      </c>
      <c r="X157" s="1">
        <f>(G157+H157*2+I157*3+J157*4)/D157</f>
        <v>0.37798589151827017</v>
      </c>
      <c r="Y157" s="1">
        <f>W157+X157</f>
        <v>0.70014529131270897</v>
      </c>
      <c r="Z157">
        <v>0.29133489439999999</v>
      </c>
      <c r="AA157">
        <v>17.050691239999999</v>
      </c>
      <c r="AB157">
        <v>8.1421513679000004</v>
      </c>
      <c r="AD157" s="2">
        <f>(D157-O157-J157+Q157)*Z157</f>
        <v>124.24265222199377</v>
      </c>
      <c r="AE157">
        <v>0.23007427899999999</v>
      </c>
      <c r="AF157">
        <v>0.76567741935483802</v>
      </c>
      <c r="AG157">
        <v>0.2</v>
      </c>
      <c r="AH157">
        <v>2.4193548387096701E-2</v>
      </c>
      <c r="AI157">
        <v>2.0270270270270199E-2</v>
      </c>
      <c r="AJ157">
        <v>0.12121372524598301</v>
      </c>
      <c r="AK157">
        <v>9.9662162162162102E-2</v>
      </c>
      <c r="AL157">
        <v>2.34955577697505E-3</v>
      </c>
      <c r="AM157">
        <v>6.6120545324084602E-3</v>
      </c>
      <c r="AN157">
        <v>9.1216216216215701E-3</v>
      </c>
      <c r="AO157">
        <v>4.7022252667413902E-2</v>
      </c>
      <c r="AP157">
        <v>8.3694005064972304E-3</v>
      </c>
      <c r="AQ157">
        <v>6.7567567567564004E-4</v>
      </c>
    </row>
    <row r="158" spans="1:43" x14ac:dyDescent="0.4">
      <c r="A158" t="s">
        <v>189</v>
      </c>
      <c r="B158" t="s">
        <v>194</v>
      </c>
      <c r="D158">
        <v>410</v>
      </c>
      <c r="E158">
        <v>452</v>
      </c>
      <c r="F158" s="2">
        <f>AD158+J158</f>
        <v>105.19213187344116</v>
      </c>
      <c r="G158" s="2">
        <f>$AD158*AF158</f>
        <v>65.407563373856846</v>
      </c>
      <c r="H158" s="2">
        <f>$AD158*AG158</f>
        <v>22.55433219788161</v>
      </c>
      <c r="I158" s="2">
        <f>$AD158*AH158</f>
        <v>2.0503938361710587</v>
      </c>
      <c r="J158" s="2">
        <f>$E158*AI158</f>
        <v>15.999999999999964</v>
      </c>
      <c r="K158" s="2">
        <f>$E158*AJ158</f>
        <v>55.137724550898149</v>
      </c>
      <c r="L158" s="2">
        <f>$E158*AK158</f>
        <v>55.999999999999766</v>
      </c>
      <c r="M158" s="2">
        <f>$E158*(AB158/100)</f>
        <v>31.057684632127998</v>
      </c>
      <c r="N158" s="2">
        <f>$E158*AL158</f>
        <v>1.080439121756454</v>
      </c>
      <c r="O158" s="2">
        <f>$E158*(AA158/100)</f>
        <v>110.97005986399999</v>
      </c>
      <c r="P158" s="2">
        <f>$E158*AM158</f>
        <v>7.1180995475112878</v>
      </c>
      <c r="Q158" s="2">
        <f>$E158*AN158</f>
        <v>2.9999999999999911</v>
      </c>
      <c r="R158" s="2">
        <f>$E158*AQ158</f>
        <v>0</v>
      </c>
      <c r="S158" s="2">
        <f>$E158*AO158</f>
        <v>7.021756487025911</v>
      </c>
      <c r="T158" s="2">
        <f>$E158*AP158</f>
        <v>2.9706586826347219</v>
      </c>
      <c r="U158" s="2">
        <f>S158-T158</f>
        <v>4.0510978043911887</v>
      </c>
      <c r="V158" s="1">
        <f>F158/D158</f>
        <v>0.256566175301076</v>
      </c>
      <c r="W158" s="1">
        <f>(F158+M158+N158+P158)/(D158+M158+N158+Q158)</f>
        <v>0.32450232291202713</v>
      </c>
      <c r="X158" s="1">
        <f>(G158+H158*2+I158*3+J158*4)/D158</f>
        <v>0.44065221775154417</v>
      </c>
      <c r="Y158" s="1">
        <f>W158+X158</f>
        <v>0.76515454066357136</v>
      </c>
      <c r="Z158">
        <v>0.31182795699999999</v>
      </c>
      <c r="AA158">
        <v>24.550898199999999</v>
      </c>
      <c r="AB158">
        <v>6.8711691663999996</v>
      </c>
      <c r="AD158" s="2">
        <f>(D158-O158-J158+Q158)*Z158</f>
        <v>89.192131873441198</v>
      </c>
      <c r="AE158">
        <v>0.22600000000000001</v>
      </c>
      <c r="AF158">
        <v>0.73333333333333295</v>
      </c>
      <c r="AG158">
        <v>0.25287356321839</v>
      </c>
      <c r="AH158">
        <v>2.2988505747126398E-2</v>
      </c>
      <c r="AI158">
        <v>3.5398230088495498E-2</v>
      </c>
      <c r="AJ158">
        <v>0.121986116263049</v>
      </c>
      <c r="AK158">
        <v>0.123893805309734</v>
      </c>
      <c r="AL158">
        <v>2.3903520392841902E-3</v>
      </c>
      <c r="AM158">
        <v>1.5748007848476301E-2</v>
      </c>
      <c r="AN158">
        <v>6.6371681415929003E-3</v>
      </c>
      <c r="AO158">
        <v>1.55348594845706E-2</v>
      </c>
      <c r="AP158">
        <v>6.5722537226431902E-3</v>
      </c>
      <c r="AQ158">
        <v>0</v>
      </c>
    </row>
    <row r="159" spans="1:43" x14ac:dyDescent="0.4">
      <c r="A159" t="s">
        <v>189</v>
      </c>
      <c r="B159" t="s">
        <v>195</v>
      </c>
      <c r="D159">
        <v>551</v>
      </c>
      <c r="E159">
        <v>660</v>
      </c>
      <c r="F159" s="2">
        <f>AD159+J159</f>
        <v>120.85845233451127</v>
      </c>
      <c r="G159" s="2">
        <f>$AD159*AF159</f>
        <v>63.443598564800197</v>
      </c>
      <c r="H159" s="2">
        <f>$AD159*AG159</f>
        <v>22.015128839520528</v>
      </c>
      <c r="I159" s="2">
        <f>$AD159*AH159</f>
        <v>1.0006876745236595</v>
      </c>
      <c r="J159" s="2">
        <f>$E159*AI159</f>
        <v>35.799999999999905</v>
      </c>
      <c r="K159" s="2">
        <f>$E159*AJ159</f>
        <v>94.380547112461514</v>
      </c>
      <c r="L159" s="2">
        <f>$E159*AK159</f>
        <v>93.99999999999973</v>
      </c>
      <c r="M159" s="2">
        <f>$E159*(AB159/100)</f>
        <v>99.829787224200004</v>
      </c>
      <c r="N159" s="2">
        <f>$E159*AL159</f>
        <v>3.6012158054710928</v>
      </c>
      <c r="O159" s="2">
        <f>$E159*(AA159/100)</f>
        <v>190.577507604</v>
      </c>
      <c r="P159" s="2">
        <f>$E159*AM159</f>
        <v>6.9120556414219196</v>
      </c>
      <c r="Q159" s="2">
        <f>$E159*AN159</f>
        <v>3.3999999999999657</v>
      </c>
      <c r="R159" s="2">
        <f>$E159*AQ159</f>
        <v>0.39999999999999597</v>
      </c>
      <c r="S159" s="2">
        <f>$E159*AO159</f>
        <v>4.101519756838865</v>
      </c>
      <c r="T159" s="2">
        <f>$E159*AP159</f>
        <v>2.000607902735541</v>
      </c>
      <c r="U159" s="2">
        <f>S159-T159</f>
        <v>2.100911854103324</v>
      </c>
      <c r="V159" s="1">
        <f>F159/D159</f>
        <v>0.21934383363795149</v>
      </c>
      <c r="W159" s="1">
        <f>(F159+M159+N159+P159)/(D159+M159+N159+Q159)</f>
        <v>0.3514603445881922</v>
      </c>
      <c r="X159" s="1">
        <f>(G159+H159*2+I159*3+J159*4)/D159</f>
        <v>0.46039186799893261</v>
      </c>
      <c r="Y159" s="1">
        <f>W159+X159</f>
        <v>0.81185221258712481</v>
      </c>
      <c r="Z159">
        <v>0.25930676800000002</v>
      </c>
      <c r="AA159">
        <v>28.875379939999998</v>
      </c>
      <c r="AB159">
        <v>15.125725337</v>
      </c>
      <c r="AD159" s="2">
        <f>(D159-O159-J159+Q159)*Z159</f>
        <v>85.058452334511358</v>
      </c>
      <c r="AE159">
        <v>0.18536303100000001</v>
      </c>
      <c r="AF159">
        <v>0.745882352941176</v>
      </c>
      <c r="AG159">
        <v>0.25882352941176401</v>
      </c>
      <c r="AH159">
        <v>1.1764705882352899E-2</v>
      </c>
      <c r="AI159">
        <v>5.4242424242424099E-2</v>
      </c>
      <c r="AJ159">
        <v>0.14300082895827501</v>
      </c>
      <c r="AK159">
        <v>0.14242424242424201</v>
      </c>
      <c r="AL159">
        <v>5.4563875840471102E-3</v>
      </c>
      <c r="AM159">
        <v>1.0472811577912E-2</v>
      </c>
      <c r="AN159">
        <v>5.1515151515150997E-3</v>
      </c>
      <c r="AO159">
        <v>6.2144238739982802E-3</v>
      </c>
      <c r="AP159">
        <v>3.0312240950538501E-3</v>
      </c>
      <c r="AQ159">
        <v>6.0606060606059999E-4</v>
      </c>
    </row>
    <row r="160" spans="1:43" x14ac:dyDescent="0.4">
      <c r="A160" t="s">
        <v>189</v>
      </c>
      <c r="B160" t="s">
        <v>196</v>
      </c>
      <c r="D160">
        <v>404</v>
      </c>
      <c r="E160">
        <v>449</v>
      </c>
      <c r="F160" s="2">
        <f>AD160+J160</f>
        <v>95.121825595710732</v>
      </c>
      <c r="G160" s="2">
        <f>$AD160*AF160</f>
        <v>59.93595550481524</v>
      </c>
      <c r="H160" s="2">
        <f>$AD160*AG160</f>
        <v>20.180456398927689</v>
      </c>
      <c r="I160" s="2">
        <f>$AD160*AH160</f>
        <v>1.9504215355577355</v>
      </c>
      <c r="J160" s="2">
        <f>$E160*AI160</f>
        <v>14.399999999999974</v>
      </c>
      <c r="K160" s="2">
        <f>$E160*AJ160</f>
        <v>51.981086519114392</v>
      </c>
      <c r="L160" s="2">
        <f>$E160*AK160</f>
        <v>51.999999999999645</v>
      </c>
      <c r="M160" s="2">
        <f>$E160*(AB160/100)</f>
        <v>38.804024146537998</v>
      </c>
      <c r="N160" s="2">
        <f>$E160*AL160</f>
        <v>0.39999999999998209</v>
      </c>
      <c r="O160" s="2">
        <f>$E160*(AA160/100)</f>
        <v>90.3420523315</v>
      </c>
      <c r="P160" s="2">
        <f>$E160*AM160</f>
        <v>5.0113895216400195</v>
      </c>
      <c r="Q160" s="2">
        <f>$E160*AN160</f>
        <v>2.9999999999999551</v>
      </c>
      <c r="R160" s="2">
        <f>$E160*AQ160</f>
        <v>0</v>
      </c>
      <c r="S160" s="2">
        <f>$E160*AO160</f>
        <v>2.071026156941608</v>
      </c>
      <c r="T160" s="2">
        <f>$E160*AP160</f>
        <v>0</v>
      </c>
      <c r="U160" s="2">
        <f>S160-T160</f>
        <v>2.071026156941608</v>
      </c>
      <c r="V160" s="1">
        <f>F160/D160</f>
        <v>0.23545006335571964</v>
      </c>
      <c r="W160" s="1">
        <f>(F160+M160+N160+P160)/(D160+M160+N160+Q160)</f>
        <v>0.31227248461149903</v>
      </c>
      <c r="X160" s="1">
        <f>(G160+H160*2+I160*3+J160*4)/D160</f>
        <v>0.40531716066669238</v>
      </c>
      <c r="Y160" s="1">
        <f>W160+X160</f>
        <v>0.71758964527819136</v>
      </c>
      <c r="Z160">
        <v>0.26706270659999998</v>
      </c>
      <c r="AA160">
        <v>20.12072435</v>
      </c>
      <c r="AB160">
        <v>8.6423216362000002</v>
      </c>
      <c r="AD160" s="2">
        <f>(D160-O160-J160+Q160)*Z160</f>
        <v>80.721825595710754</v>
      </c>
      <c r="AE160">
        <v>0.217792184</v>
      </c>
      <c r="AF160">
        <v>0.74250000000000005</v>
      </c>
      <c r="AG160">
        <v>0.25</v>
      </c>
      <c r="AH160">
        <v>2.4162257495590801E-2</v>
      </c>
      <c r="AI160">
        <v>3.2071269487750499E-2</v>
      </c>
      <c r="AJ160">
        <v>0.11577079402920799</v>
      </c>
      <c r="AK160">
        <v>0.11581291759465399</v>
      </c>
      <c r="AL160">
        <v>8.9086859688192004E-4</v>
      </c>
      <c r="AM160">
        <v>1.1161223878931001E-2</v>
      </c>
      <c r="AN160">
        <v>6.6815144766145997E-3</v>
      </c>
      <c r="AO160">
        <v>4.6125304163510197E-3</v>
      </c>
      <c r="AP160">
        <v>0</v>
      </c>
      <c r="AQ160">
        <v>0</v>
      </c>
    </row>
    <row r="161" spans="1:43" x14ac:dyDescent="0.4">
      <c r="A161" t="s">
        <v>189</v>
      </c>
      <c r="B161" t="s">
        <v>197</v>
      </c>
      <c r="D161">
        <v>574</v>
      </c>
      <c r="E161">
        <v>621</v>
      </c>
      <c r="F161" s="2">
        <f>AD161+J161</f>
        <v>144.81588879921162</v>
      </c>
      <c r="G161" s="2">
        <f>$AD161*AF161</f>
        <v>92.863798466290632</v>
      </c>
      <c r="H161" s="2">
        <f>$AD161*AG161</f>
        <v>30.052231161099499</v>
      </c>
      <c r="I161" s="2">
        <f>$AD161*AH161</f>
        <v>2.0003807523047019</v>
      </c>
      <c r="J161" s="2">
        <f>$E161*AI161</f>
        <v>20.599999999999984</v>
      </c>
      <c r="K161" s="2">
        <f>$E161*AJ161</f>
        <v>71.684772370486613</v>
      </c>
      <c r="L161" s="2">
        <f>$E161*AK161</f>
        <v>81.999999999999574</v>
      </c>
      <c r="M161" s="2">
        <f>$E161*(AB161/100)</f>
        <v>38.804552591660936</v>
      </c>
      <c r="N161" s="2">
        <f>$E161*AL161</f>
        <v>1.0949764521192833</v>
      </c>
      <c r="O161" s="2">
        <f>$E161*(AA161/100)</f>
        <v>144.28257457950002</v>
      </c>
      <c r="P161" s="2">
        <f>$E161*AM161</f>
        <v>6.0272727272726883</v>
      </c>
      <c r="Q161" s="2">
        <f>$E161*AN161</f>
        <v>4.5999999999999703</v>
      </c>
      <c r="R161" s="2">
        <f>$E161*AQ161</f>
        <v>0</v>
      </c>
      <c r="S161" s="2">
        <f>$E161*AO161</f>
        <v>5.9849293563578865</v>
      </c>
      <c r="T161" s="2">
        <f>$E161*AP161</f>
        <v>1.8974882260596007</v>
      </c>
      <c r="U161" s="2">
        <f>S161-T161</f>
        <v>4.087441130298286</v>
      </c>
      <c r="V161" s="1">
        <f>F161/D161</f>
        <v>0.25229248919723279</v>
      </c>
      <c r="W161" s="1">
        <f>(F161+M161+N161+P161)/(D161+M161+N161+Q161)</f>
        <v>0.30839585418142318</v>
      </c>
      <c r="X161" s="1">
        <f>(G161+H161*2+I161*3+J161*4)/D161</f>
        <v>0.42050418649025029</v>
      </c>
      <c r="Y161" s="1">
        <f>W161+X161</f>
        <v>0.72890004067167347</v>
      </c>
      <c r="Z161">
        <v>0.30024330900000001</v>
      </c>
      <c r="AA161">
        <v>23.23390895</v>
      </c>
      <c r="AB161">
        <v>6.2487202240999897</v>
      </c>
      <c r="AD161" s="2">
        <f>(D161-O161-J161+Q161)*Z161</f>
        <v>124.21588879921164</v>
      </c>
      <c r="AE161">
        <v>0.233639291</v>
      </c>
      <c r="AF161">
        <v>0.74760000000000004</v>
      </c>
      <c r="AG161">
        <v>0.241935483870967</v>
      </c>
      <c r="AH161">
        <v>1.61040650406504E-2</v>
      </c>
      <c r="AI161">
        <v>3.3172302737520101E-2</v>
      </c>
      <c r="AJ161">
        <v>0.11543441605553401</v>
      </c>
      <c r="AK161">
        <v>0.13204508856682701</v>
      </c>
      <c r="AL161">
        <v>1.7632471048619699E-3</v>
      </c>
      <c r="AM161">
        <v>9.7057531840139908E-3</v>
      </c>
      <c r="AN161">
        <v>7.40740740740736E-3</v>
      </c>
      <c r="AO161">
        <v>9.6375674015424899E-3</v>
      </c>
      <c r="AP161">
        <v>3.0555365959091798E-3</v>
      </c>
      <c r="AQ161">
        <v>0</v>
      </c>
    </row>
    <row r="162" spans="1:43" x14ac:dyDescent="0.4">
      <c r="A162" t="s">
        <v>189</v>
      </c>
      <c r="B162" t="s">
        <v>198</v>
      </c>
      <c r="D162">
        <v>587</v>
      </c>
      <c r="E162">
        <v>635</v>
      </c>
      <c r="F162" s="2">
        <f>AD162+J162</f>
        <v>162.00332367298091</v>
      </c>
      <c r="G162" s="2">
        <f>$AD162*AF162</f>
        <v>106.34393319797471</v>
      </c>
      <c r="H162" s="2">
        <f>$AD162*AG162</f>
        <v>32.412188268109865</v>
      </c>
      <c r="I162" s="2">
        <f>$AD162*AH162</f>
        <v>2.4314103262972786</v>
      </c>
      <c r="J162" s="2">
        <f>$E162*AI162</f>
        <v>20.19999999999991</v>
      </c>
      <c r="K162" s="2">
        <f>$E162*AJ162</f>
        <v>88.428571428570862</v>
      </c>
      <c r="L162" s="2">
        <f>$E162*AK162</f>
        <v>75.999999999999531</v>
      </c>
      <c r="M162" s="2">
        <f>$E162*(AB162/100)</f>
        <v>38.974255949604995</v>
      </c>
      <c r="N162" s="2">
        <f>$E162*AL162</f>
        <v>9.4494047619045202E-2</v>
      </c>
      <c r="O162" s="2">
        <f>$E162*(AA162/100)</f>
        <v>121.89732141949999</v>
      </c>
      <c r="P162" s="2">
        <f>$E162*AM162</f>
        <v>5.934511784511729</v>
      </c>
      <c r="Q162" s="2">
        <f>$E162*AN162</f>
        <v>3.5999999999999384</v>
      </c>
      <c r="R162" s="2">
        <f>$E162*AQ162</f>
        <v>0.39999999999997476</v>
      </c>
      <c r="S162" s="2">
        <f>$E162*AO162</f>
        <v>22.873363095238005</v>
      </c>
      <c r="T162" s="2">
        <f>$E162*AP162</f>
        <v>3.9779761904761322</v>
      </c>
      <c r="U162" s="2">
        <f>S162-T162</f>
        <v>18.895386904761875</v>
      </c>
      <c r="V162" s="1">
        <f>F162/D162</f>
        <v>0.27598521920439678</v>
      </c>
      <c r="W162" s="1">
        <f>(F162+M162+N162+P162)/(D162+M162+N162+Q162)</f>
        <v>0.32875473882994716</v>
      </c>
      <c r="X162" s="1">
        <f>(G162+H162*2+I162*3+J162*4)/D162</f>
        <v>0.44167383426420098</v>
      </c>
      <c r="Y162" s="1">
        <f>W162+X162</f>
        <v>0.77042857309414814</v>
      </c>
      <c r="Z162">
        <v>0.31617051680000002</v>
      </c>
      <c r="AA162">
        <v>19.196428569999998</v>
      </c>
      <c r="AB162">
        <v>6.1376781022999998</v>
      </c>
      <c r="AD162" s="2">
        <f>(D162-O162-J162+Q162)*Z162</f>
        <v>141.80332367298101</v>
      </c>
      <c r="AE162">
        <v>0.25395036599999998</v>
      </c>
      <c r="AF162">
        <v>0.74993963782696105</v>
      </c>
      <c r="AG162">
        <v>0.22857142857142801</v>
      </c>
      <c r="AH162">
        <v>1.7146356399265102E-2</v>
      </c>
      <c r="AI162">
        <v>3.1811023622047102E-2</v>
      </c>
      <c r="AJ162">
        <v>0.139257592800899</v>
      </c>
      <c r="AK162">
        <v>0.119685039370078</v>
      </c>
      <c r="AL162">
        <v>1.4880952380952E-4</v>
      </c>
      <c r="AM162">
        <v>9.3456878496247699E-3</v>
      </c>
      <c r="AN162">
        <v>5.6692913385825803E-3</v>
      </c>
      <c r="AO162">
        <v>3.6021044244469301E-2</v>
      </c>
      <c r="AP162">
        <v>6.2645294338206804E-3</v>
      </c>
      <c r="AQ162">
        <v>6.2992125984247997E-4</v>
      </c>
    </row>
    <row r="163" spans="1:43" x14ac:dyDescent="0.4">
      <c r="A163" t="s">
        <v>199</v>
      </c>
      <c r="B163" t="s">
        <v>200</v>
      </c>
      <c r="D163">
        <v>573</v>
      </c>
      <c r="E163">
        <v>642</v>
      </c>
      <c r="F163" s="2">
        <f>AD163+J163</f>
        <v>152.65606861324437</v>
      </c>
      <c r="G163" s="2">
        <f>$AD163*AF163</f>
        <v>99.403121493317968</v>
      </c>
      <c r="H163" s="2">
        <f>$AD163*AG163</f>
        <v>29.967288321191877</v>
      </c>
      <c r="I163" s="2">
        <f>$AD163*AH163</f>
        <v>4.0635919601028068</v>
      </c>
      <c r="J163" s="2">
        <f>$E163*AI163</f>
        <v>20.79999999999994</v>
      </c>
      <c r="K163" s="2">
        <f>$E163*AJ163</f>
        <v>79.05093167701817</v>
      </c>
      <c r="L163" s="2">
        <f>$E163*AK163</f>
        <v>78.999999999999588</v>
      </c>
      <c r="M163" s="2">
        <f>$E163*(AB163/100)</f>
        <v>57.882298137947998</v>
      </c>
      <c r="N163" s="2">
        <f>$E163*AL163</f>
        <v>2.9990683229813189</v>
      </c>
      <c r="O163" s="2">
        <f>$E163*(AA163/100)</f>
        <v>140.56211181479998</v>
      </c>
      <c r="P163" s="2">
        <f>$E163*AM163</f>
        <v>8.9972049689440663</v>
      </c>
      <c r="Q163" s="2">
        <f>$E163*AN163</f>
        <v>3.9999999999999507</v>
      </c>
      <c r="R163" s="2">
        <f>$E163*AQ163</f>
        <v>0.39999999999997587</v>
      </c>
      <c r="S163" s="2">
        <f>$E163*AO163</f>
        <v>8.8975155279502705</v>
      </c>
      <c r="T163" s="2">
        <f>$E163*AP163</f>
        <v>1.9993788819875267</v>
      </c>
      <c r="U163" s="2">
        <f>S163-T163</f>
        <v>6.8981366459627438</v>
      </c>
      <c r="V163" s="1">
        <f>F163/D163</f>
        <v>0.26641547751002509</v>
      </c>
      <c r="W163" s="1">
        <f>(F163+M163+N163+P163)/(D163+M163+N163+Q163)</f>
        <v>0.34886524633534366</v>
      </c>
      <c r="X163" s="1">
        <f>(G163+H163*2+I163*3+J163*4)/D163</f>
        <v>0.44455231067366474</v>
      </c>
      <c r="Y163" s="1">
        <f>W163+X163</f>
        <v>0.7934175570090084</v>
      </c>
      <c r="Z163">
        <v>0.31723784659999998</v>
      </c>
      <c r="AA163">
        <v>21.894409939999999</v>
      </c>
      <c r="AB163">
        <v>9.0159342894000005</v>
      </c>
      <c r="AD163" s="2">
        <f>(D163-O163-J163+Q163)*Z163</f>
        <v>131.85606861324442</v>
      </c>
      <c r="AE163">
        <v>0.235020321</v>
      </c>
      <c r="AF163">
        <v>0.75387596899224796</v>
      </c>
      <c r="AG163">
        <v>0.22727272727272699</v>
      </c>
      <c r="AH163">
        <v>3.08183916208058E-2</v>
      </c>
      <c r="AI163">
        <v>3.2398753894080902E-2</v>
      </c>
      <c r="AJ163">
        <v>0.12313229233180401</v>
      </c>
      <c r="AK163">
        <v>0.12305295950155699</v>
      </c>
      <c r="AL163">
        <v>4.6714459859522103E-3</v>
      </c>
      <c r="AM163">
        <v>1.4014337957856801E-2</v>
      </c>
      <c r="AN163">
        <v>6.2305295950154998E-3</v>
      </c>
      <c r="AO163">
        <v>1.3859058454751201E-2</v>
      </c>
      <c r="AP163">
        <v>3.11429732396811E-3</v>
      </c>
      <c r="AQ163">
        <v>6.2305295950152004E-4</v>
      </c>
    </row>
    <row r="164" spans="1:43" x14ac:dyDescent="0.4">
      <c r="A164" t="s">
        <v>199</v>
      </c>
      <c r="B164" s="3" t="s">
        <v>201</v>
      </c>
      <c r="D164">
        <v>245</v>
      </c>
      <c r="E164">
        <v>270</v>
      </c>
      <c r="F164" s="2">
        <f>AD164+J164</f>
        <v>60.650793645799993</v>
      </c>
      <c r="G164" s="2">
        <f>$AD164*AF164</f>
        <v>38.924863728099467</v>
      </c>
      <c r="H164" s="2">
        <f>$AD164*AG164</f>
        <v>13.911111109839972</v>
      </c>
      <c r="I164" s="2">
        <f>$AD164*AH164</f>
        <v>1.6348367773288981</v>
      </c>
      <c r="J164" s="2">
        <f>$E164*AI164</f>
        <v>5.9999999999999938</v>
      </c>
      <c r="K164" s="2">
        <f>$E164*AJ164</f>
        <v>29.775999999999868</v>
      </c>
      <c r="L164" s="2">
        <f>$E164*AK164</f>
        <v>27.999999999999812</v>
      </c>
      <c r="M164" s="2">
        <f>$E164*(AB164/100)</f>
        <v>20.087999998920001</v>
      </c>
      <c r="N164" s="2">
        <f>$E164*AL164</f>
        <v>0</v>
      </c>
      <c r="O164" s="2">
        <f>$E164*(AA164/100)</f>
        <v>54</v>
      </c>
      <c r="P164" s="2">
        <f>$E164*AM164</f>
        <v>2.0312633832976412</v>
      </c>
      <c r="Q164" s="2">
        <f>$E164*AN164</f>
        <v>1.999999999999998</v>
      </c>
      <c r="R164" s="2">
        <f>$E164*AQ164</f>
        <v>0</v>
      </c>
      <c r="S164" s="2">
        <f>$E164*AO164</f>
        <v>1.0439999999999983</v>
      </c>
      <c r="T164" s="2">
        <f>$E164*AP164</f>
        <v>7.1999999999998204E-2</v>
      </c>
      <c r="U164" s="2">
        <f>S164-T164</f>
        <v>0.97200000000000009</v>
      </c>
      <c r="V164" s="1">
        <f>F164/D164</f>
        <v>0.24755425977877549</v>
      </c>
      <c r="W164" s="1">
        <f>(F164+M164+N164+P164)/(D164+M164+N164+Q164)</f>
        <v>0.30989807489798238</v>
      </c>
      <c r="X164" s="1">
        <f>(G164+H164*2+I164*3+J164*4)/D164</f>
        <v>0.39041467869292279</v>
      </c>
      <c r="Y164" s="1">
        <f>W164+X164</f>
        <v>0.70031275359090517</v>
      </c>
      <c r="Z164">
        <v>0.2922502334</v>
      </c>
      <c r="AA164">
        <v>20</v>
      </c>
      <c r="AB164">
        <v>7.4399999996000004</v>
      </c>
      <c r="AD164" s="2">
        <f>(D164-O164-J164+Q164)*Z164</f>
        <v>54.6507936458</v>
      </c>
      <c r="AE164">
        <v>0.22110929700000001</v>
      </c>
      <c r="AF164">
        <v>0.71224699828473403</v>
      </c>
      <c r="AG164">
        <v>0.25454545454545402</v>
      </c>
      <c r="AH164">
        <v>2.9914236706689398E-2</v>
      </c>
      <c r="AI164">
        <v>2.2222222222222199E-2</v>
      </c>
      <c r="AJ164">
        <v>0.11028148148148099</v>
      </c>
      <c r="AK164">
        <v>0.10370370370370301</v>
      </c>
      <c r="AL164">
        <v>0</v>
      </c>
      <c r="AM164">
        <v>7.5231977159171898E-3</v>
      </c>
      <c r="AN164">
        <v>7.4074074074073999E-3</v>
      </c>
      <c r="AO164">
        <v>3.8666666666666602E-3</v>
      </c>
      <c r="AP164">
        <v>2.6666666666666001E-4</v>
      </c>
      <c r="AQ164">
        <v>0</v>
      </c>
    </row>
    <row r="165" spans="1:43" x14ac:dyDescent="0.4">
      <c r="A165" t="s">
        <v>199</v>
      </c>
      <c r="B165" s="3" t="s">
        <v>202</v>
      </c>
      <c r="D165">
        <v>328</v>
      </c>
      <c r="E165">
        <v>366</v>
      </c>
      <c r="F165" s="2">
        <f>AD165+J165</f>
        <v>77.005359439525193</v>
      </c>
      <c r="G165" s="2">
        <f>$AD165*AF165</f>
        <v>50.936901139266581</v>
      </c>
      <c r="H165" s="2">
        <f>$AD165*AG165</f>
        <v>13.873864123535649</v>
      </c>
      <c r="I165" s="2">
        <f>$AD165*AH165</f>
        <v>0.39639611781530315</v>
      </c>
      <c r="J165" s="2">
        <f>$E165*AI165</f>
        <v>11.599999999999945</v>
      </c>
      <c r="K165" s="2">
        <f>$E165*AJ165</f>
        <v>40.515039577836241</v>
      </c>
      <c r="L165" s="2">
        <f>$E165*AK165</f>
        <v>44.99999999999995</v>
      </c>
      <c r="M165" s="2">
        <f>$E165*(AB165/100)</f>
        <v>26.29709762649</v>
      </c>
      <c r="N165" s="2">
        <f>$E165*AL165</f>
        <v>0</v>
      </c>
      <c r="O165" s="2">
        <f>$E165*(AA165/100)</f>
        <v>102.3641160918</v>
      </c>
      <c r="P165" s="2">
        <f>$E165*AM165</f>
        <v>7.1082018927444279</v>
      </c>
      <c r="Q165" s="2">
        <f>$E165*AN165</f>
        <v>1.9999999999999853</v>
      </c>
      <c r="R165" s="2">
        <f>$E165*AQ165</f>
        <v>0</v>
      </c>
      <c r="S165" s="2">
        <f>$E165*AO165</f>
        <v>0.99656992084430296</v>
      </c>
      <c r="T165" s="2">
        <f>$E165*AP165</f>
        <v>0</v>
      </c>
      <c r="U165" s="2">
        <f>S165-T165</f>
        <v>0.99656992084430296</v>
      </c>
      <c r="V165" s="1">
        <f>F165/D165</f>
        <v>0.23477243731562558</v>
      </c>
      <c r="W165" s="1">
        <f>(F165+M165+N165+P165)/(D165+M165+N165+Q165)</f>
        <v>0.30988368890533119</v>
      </c>
      <c r="X165" s="1">
        <f>(G165+H165*2+I165*3+J165*4)/D165</f>
        <v>0.38498115164568159</v>
      </c>
      <c r="Y165" s="1">
        <f>W165+X165</f>
        <v>0.69486484055101272</v>
      </c>
      <c r="Z165">
        <v>0.30275229399999998</v>
      </c>
      <c r="AA165">
        <v>27.968337729999998</v>
      </c>
      <c r="AB165">
        <v>7.1849993515000001</v>
      </c>
      <c r="AD165" s="2">
        <f>(D165-O165-J165+Q165)*Z165</f>
        <v>65.405359439525242</v>
      </c>
      <c r="AE165">
        <v>0.211297287</v>
      </c>
      <c r="AF165">
        <v>0.77878787878787803</v>
      </c>
      <c r="AG165">
        <v>0.21212121212121199</v>
      </c>
      <c r="AH165">
        <v>6.0606060606060398E-3</v>
      </c>
      <c r="AI165">
        <v>3.1693989071038098E-2</v>
      </c>
      <c r="AJ165">
        <v>0.11069682944764</v>
      </c>
      <c r="AK165">
        <v>0.12295081967213101</v>
      </c>
      <c r="AL165">
        <v>0</v>
      </c>
      <c r="AM165">
        <v>1.9421316646842698E-2</v>
      </c>
      <c r="AN165">
        <v>5.4644808743169E-3</v>
      </c>
      <c r="AO165">
        <v>2.7228686361866201E-3</v>
      </c>
      <c r="AP165">
        <v>0</v>
      </c>
      <c r="AQ165">
        <v>0</v>
      </c>
    </row>
    <row r="166" spans="1:43" x14ac:dyDescent="0.4">
      <c r="A166" t="s">
        <v>199</v>
      </c>
      <c r="B166" t="s">
        <v>203</v>
      </c>
      <c r="D166">
        <v>479</v>
      </c>
      <c r="E166">
        <v>521</v>
      </c>
      <c r="F166" s="2">
        <f>AD166+J166</f>
        <v>119.14989745681999</v>
      </c>
      <c r="G166" s="2">
        <f>$AD166*AF166</f>
        <v>85.095207501241489</v>
      </c>
      <c r="H166" s="2">
        <f>$AD166*AG166</f>
        <v>21.949520587615041</v>
      </c>
      <c r="I166" s="2">
        <f>$AD166*AH166</f>
        <v>2.9659062942769019</v>
      </c>
      <c r="J166" s="2">
        <f>$E166*AI166</f>
        <v>10.399999999999949</v>
      </c>
      <c r="K166" s="2">
        <f>$E166*AJ166</f>
        <v>57.224489795917826</v>
      </c>
      <c r="L166" s="2">
        <f>$E166*AK166</f>
        <v>49.999999999999957</v>
      </c>
      <c r="M166" s="2">
        <f>$E166*(AB166/100)</f>
        <v>33.332823131316999</v>
      </c>
      <c r="N166" s="2">
        <f>$E166*AL166</f>
        <v>0.58860544217686706</v>
      </c>
      <c r="O166" s="2">
        <f>$E166*(AA166/100)</f>
        <v>101.89625850729999</v>
      </c>
      <c r="P166" s="2">
        <f>$E166*AM166</f>
        <v>3.0405228758169858</v>
      </c>
      <c r="Q166" s="2">
        <f>$E166*AN166</f>
        <v>3.9999999999999885</v>
      </c>
      <c r="R166" s="2">
        <f>$E166*AQ166</f>
        <v>0</v>
      </c>
      <c r="S166" s="2">
        <f>$E166*AO166</f>
        <v>13.929081632653013</v>
      </c>
      <c r="T166" s="2">
        <f>$E166*AP166</f>
        <v>3.9544217687074688</v>
      </c>
      <c r="U166" s="2">
        <f>S166-T166</f>
        <v>9.9746598639455435</v>
      </c>
      <c r="V166" s="1">
        <f>F166/D166</f>
        <v>0.24874717631903964</v>
      </c>
      <c r="W166" s="1">
        <f>(F166+M166+N166+P166)/(D166+M166+N166+Q166)</f>
        <v>0.30200305167642211</v>
      </c>
      <c r="X166" s="1">
        <f>(G166+H166*2+I166*3+J166*4)/D166</f>
        <v>0.37472227047870993</v>
      </c>
      <c r="Y166" s="1">
        <f>W166+X166</f>
        <v>0.67672532215513204</v>
      </c>
      <c r="Z166">
        <v>0.29336066859999999</v>
      </c>
      <c r="AA166">
        <v>19.557823129999999</v>
      </c>
      <c r="AB166">
        <v>6.3978547277000004</v>
      </c>
      <c r="AD166" s="2">
        <f>(D166-O166-J166+Q166)*Z166</f>
        <v>108.74989745682004</v>
      </c>
      <c r="AE166">
        <v>0.232167174</v>
      </c>
      <c r="AF166">
        <v>0.78248540450375303</v>
      </c>
      <c r="AG166">
        <v>0.201834862385321</v>
      </c>
      <c r="AH166">
        <v>2.7272727272727199E-2</v>
      </c>
      <c r="AI166">
        <v>1.9961612284069001E-2</v>
      </c>
      <c r="AJ166">
        <v>0.109835872928825</v>
      </c>
      <c r="AK166">
        <v>9.5969289827255194E-2</v>
      </c>
      <c r="AL166">
        <v>1.12976092548343E-3</v>
      </c>
      <c r="AM166">
        <v>5.8359364219136003E-3</v>
      </c>
      <c r="AN166">
        <v>7.6775431861804003E-3</v>
      </c>
      <c r="AO166">
        <v>2.6735281444631501E-2</v>
      </c>
      <c r="AP166">
        <v>7.5900609764058902E-3</v>
      </c>
      <c r="AQ166">
        <v>0</v>
      </c>
    </row>
    <row r="167" spans="1:43" x14ac:dyDescent="0.4">
      <c r="A167" t="s">
        <v>199</v>
      </c>
      <c r="B167" s="3" t="s">
        <v>204</v>
      </c>
      <c r="D167">
        <v>541</v>
      </c>
      <c r="E167">
        <v>602</v>
      </c>
      <c r="F167" s="2">
        <f>AD167+J167</f>
        <v>136.09856752703695</v>
      </c>
      <c r="G167" s="2">
        <f>$AD167*AF167</f>
        <v>78.298604041409945</v>
      </c>
      <c r="H167" s="2">
        <f>$AD167*AG167</f>
        <v>30.527379868621303</v>
      </c>
      <c r="I167" s="2">
        <f>$AD167*AH167</f>
        <v>2.959623584946252</v>
      </c>
      <c r="J167" s="2">
        <f>$E167*AI167</f>
        <v>26.199999999999953</v>
      </c>
      <c r="K167" s="2">
        <f>$E167*AJ167</f>
        <v>81.186666666666568</v>
      </c>
      <c r="L167" s="2">
        <f>$E167*AK167</f>
        <v>80</v>
      </c>
      <c r="M167" s="2">
        <f>$E167*(AB167/100)</f>
        <v>53.951111112401996</v>
      </c>
      <c r="N167" s="2">
        <f>$E167*AL167</f>
        <v>3.4822222222221964</v>
      </c>
      <c r="O167" s="2">
        <f>$E167*(AA167/100)</f>
        <v>172.95555555459998</v>
      </c>
      <c r="P167" s="2">
        <f>$E167*AM167</f>
        <v>3.9076660988074634</v>
      </c>
      <c r="Q167" s="2">
        <f>$E167*AN167</f>
        <v>3.9999999999999702</v>
      </c>
      <c r="R167" s="2">
        <f>$E167*AQ167</f>
        <v>0</v>
      </c>
      <c r="S167" s="2">
        <f>$E167*AO167</f>
        <v>21.711111111111016</v>
      </c>
      <c r="T167" s="2">
        <f>$E167*AP167</f>
        <v>3.9822222222221866</v>
      </c>
      <c r="U167" s="2">
        <f>S167-T167</f>
        <v>17.728888888888829</v>
      </c>
      <c r="V167" s="1">
        <f>F167/D167</f>
        <v>0.25156851668583541</v>
      </c>
      <c r="W167" s="1">
        <f>(F167+M167+N167+P167)/(D167+M167+N167+Q167)</f>
        <v>0.32773679017326213</v>
      </c>
      <c r="X167" s="1">
        <f>(G167+H167*2+I167*3+J167*4)/D167</f>
        <v>0.46771207862013142</v>
      </c>
      <c r="Y167" s="1">
        <f>W167+X167</f>
        <v>0.7954488687933936</v>
      </c>
      <c r="Z167">
        <v>0.317768781</v>
      </c>
      <c r="AA167">
        <v>28.730158729999999</v>
      </c>
      <c r="AB167">
        <v>8.9619785900999993</v>
      </c>
      <c r="AD167" s="2">
        <f>(D167-O167-J167+Q167)*Z167</f>
        <v>109.89856752703699</v>
      </c>
      <c r="AE167">
        <v>0.226333964</v>
      </c>
      <c r="AF167">
        <v>0.71246246246246203</v>
      </c>
      <c r="AG167">
        <v>0.27777777777777701</v>
      </c>
      <c r="AH167">
        <v>2.69305019305018E-2</v>
      </c>
      <c r="AI167">
        <v>4.3521594684385302E-2</v>
      </c>
      <c r="AJ167">
        <v>0.13486157253599099</v>
      </c>
      <c r="AK167">
        <v>0.13289036544850499</v>
      </c>
      <c r="AL167">
        <v>5.7844222960501601E-3</v>
      </c>
      <c r="AM167">
        <v>6.4911396990157202E-3</v>
      </c>
      <c r="AN167">
        <v>6.6445182724251999E-3</v>
      </c>
      <c r="AO167">
        <v>3.6064968623107999E-2</v>
      </c>
      <c r="AP167">
        <v>6.6149870801033E-3</v>
      </c>
      <c r="AQ167">
        <v>0</v>
      </c>
    </row>
    <row r="168" spans="1:43" x14ac:dyDescent="0.4">
      <c r="A168" t="s">
        <v>199</v>
      </c>
      <c r="B168" s="3" t="s">
        <v>205</v>
      </c>
      <c r="D168">
        <v>368</v>
      </c>
      <c r="E168">
        <v>424</v>
      </c>
      <c r="F168" s="2">
        <f>AD168+J168</f>
        <v>94.364578152605077</v>
      </c>
      <c r="G168" s="2">
        <f>$AD168*AF168</f>
        <v>63.131637386325991</v>
      </c>
      <c r="H168" s="2">
        <f>$AD168*AG168</f>
        <v>19.94460662414231</v>
      </c>
      <c r="I168" s="2">
        <f>$AD168*AH168</f>
        <v>0.97667431486615552</v>
      </c>
      <c r="J168" s="2">
        <f>$E168*AI168</f>
        <v>9.599999999999973</v>
      </c>
      <c r="K168" s="2">
        <f>$E168*AJ168</f>
        <v>49.064285714285333</v>
      </c>
      <c r="L168" s="2">
        <f>$E168*AK168</f>
        <v>45.999999999999645</v>
      </c>
      <c r="M168" s="2">
        <f>$E168*(AB168/100)</f>
        <v>44.710714284160005</v>
      </c>
      <c r="N168" s="2">
        <f>$E168*AL168</f>
        <v>1.9892857142856863</v>
      </c>
      <c r="O168" s="2">
        <f>$E168*(AA168/100)</f>
        <v>77.607142863200011</v>
      </c>
      <c r="P168" s="2">
        <f>$E168*AM168</f>
        <v>5.0768707482992834</v>
      </c>
      <c r="Q168" s="2">
        <f>$E168*AN168</f>
        <v>2.9999999999999969</v>
      </c>
      <c r="R168" s="2">
        <f>$E168*AQ168</f>
        <v>0</v>
      </c>
      <c r="S168" s="2">
        <f>$E168*AO168</f>
        <v>1.9892857142856863</v>
      </c>
      <c r="T168" s="2">
        <f>$E168*AP168</f>
        <v>0.99464285714284095</v>
      </c>
      <c r="U168" s="2">
        <f>S168-T168</f>
        <v>0.99464285714284539</v>
      </c>
      <c r="V168" s="1">
        <f>F168/D168</f>
        <v>0.25642548411033989</v>
      </c>
      <c r="W168" s="1">
        <f>(F168+M168+N168+P168)/(D168+M168+N168+Q168)</f>
        <v>0.34987179530738299</v>
      </c>
      <c r="X168" s="1">
        <f>(G168+H168*2+I168*3+J168*4)/D168</f>
        <v>0.39225780863915477</v>
      </c>
      <c r="Y168" s="1">
        <f>W168+X168</f>
        <v>0.74212960394653771</v>
      </c>
      <c r="Z168">
        <v>0.29868467799999998</v>
      </c>
      <c r="AA168">
        <v>18.303571430000002</v>
      </c>
      <c r="AB168">
        <v>10.544979784000001</v>
      </c>
      <c r="AD168" s="2">
        <f>(D168-O168-J168+Q168)*Z168</f>
        <v>84.764578152605111</v>
      </c>
      <c r="AE168">
        <v>0.226418752</v>
      </c>
      <c r="AF168">
        <v>0.74478796169630601</v>
      </c>
      <c r="AG168">
        <v>0.23529411764705799</v>
      </c>
      <c r="AH168">
        <v>1.1522198731500901E-2</v>
      </c>
      <c r="AI168">
        <v>2.26415094339622E-2</v>
      </c>
      <c r="AJ168">
        <v>0.11571765498652201</v>
      </c>
      <c r="AK168">
        <v>0.10849056603773501</v>
      </c>
      <c r="AL168">
        <v>4.6917115902964301E-3</v>
      </c>
      <c r="AM168">
        <v>1.1973751764856801E-2</v>
      </c>
      <c r="AN168">
        <v>7.0754716981131999E-3</v>
      </c>
      <c r="AO168">
        <v>4.6917115902964301E-3</v>
      </c>
      <c r="AP168">
        <v>2.3458557951482099E-3</v>
      </c>
      <c r="AQ168">
        <v>0</v>
      </c>
    </row>
    <row r="169" spans="1:43" x14ac:dyDescent="0.4">
      <c r="A169" t="s">
        <v>206</v>
      </c>
      <c r="B169" t="s">
        <v>207</v>
      </c>
      <c r="D169">
        <v>566</v>
      </c>
      <c r="E169">
        <v>629</v>
      </c>
      <c r="F169" s="2">
        <f>AD169+J169</f>
        <v>155.53965819845217</v>
      </c>
      <c r="G169" s="2">
        <f>$AD169*AF169</f>
        <v>90.41499655460855</v>
      </c>
      <c r="H169" s="2">
        <f>$AD169*AG169</f>
        <v>30.476965130766914</v>
      </c>
      <c r="I169" s="2">
        <f>$AD169*AH169</f>
        <v>2.0453429932203524</v>
      </c>
      <c r="J169" s="2">
        <f>$E169*AI169</f>
        <v>31.599999999999916</v>
      </c>
      <c r="K169" s="2">
        <f>$E169*AJ169</f>
        <v>98.449848024315813</v>
      </c>
      <c r="L169" s="2">
        <f>$E169*AK169</f>
        <v>87.999999999999503</v>
      </c>
      <c r="M169" s="2">
        <f>$E169*(AB169/100)</f>
        <v>56.748784196658008</v>
      </c>
      <c r="N169" s="2">
        <f>$E169*AL169</f>
        <v>1.3955927051671251</v>
      </c>
      <c r="O169" s="2">
        <f>$E169*(AA169/100)</f>
        <v>134.7857142947</v>
      </c>
      <c r="P169" s="2">
        <f>$E169*AM169</f>
        <v>6.9048076923076103</v>
      </c>
      <c r="Q169" s="2">
        <f>$E169*AN169</f>
        <v>3.5999999999999672</v>
      </c>
      <c r="R169" s="2">
        <f>$E169*AQ169</f>
        <v>0.39999999999997887</v>
      </c>
      <c r="S169" s="2">
        <f>$E169*AO169</f>
        <v>19.816261398176241</v>
      </c>
      <c r="T169" s="2">
        <f>$E169*AP169</f>
        <v>4.8823708206686822</v>
      </c>
      <c r="U169" s="2">
        <f>S169-T169</f>
        <v>14.933890577507558</v>
      </c>
      <c r="V169" s="1">
        <f>F169/D169</f>
        <v>0.2748050498205869</v>
      </c>
      <c r="W169" s="1">
        <f>(F169+M169+N169+P169)/(D169+M169+N169+Q169)</f>
        <v>0.35139915371489416</v>
      </c>
      <c r="X169" s="1">
        <f>(G169+H169*2+I169*3+J169*4)/D169</f>
        <v>0.50159886183004088</v>
      </c>
      <c r="Y169" s="1">
        <f>W169+X169</f>
        <v>0.85299801554493504</v>
      </c>
      <c r="Z169">
        <v>0.30737913459999999</v>
      </c>
      <c r="AA169">
        <v>21.428571430000002</v>
      </c>
      <c r="AB169">
        <v>9.0220642602000005</v>
      </c>
      <c r="AD169" s="2">
        <f>(D169-O169-J169+Q169)*Z169</f>
        <v>123.93965819845226</v>
      </c>
      <c r="AE169">
        <v>0.246363833</v>
      </c>
      <c r="AF169">
        <v>0.72950819672131095</v>
      </c>
      <c r="AG169">
        <v>0.24590163934426201</v>
      </c>
      <c r="AH169">
        <v>1.65027322404371E-2</v>
      </c>
      <c r="AI169">
        <v>5.02384737678854E-2</v>
      </c>
      <c r="AJ169">
        <v>0.15651804137411099</v>
      </c>
      <c r="AK169">
        <v>0.139904610492845</v>
      </c>
      <c r="AL169">
        <v>2.2187483388984501E-3</v>
      </c>
      <c r="AM169">
        <v>1.0977436712730699E-2</v>
      </c>
      <c r="AN169">
        <v>5.7233704292527299E-3</v>
      </c>
      <c r="AO169">
        <v>3.1504390140184801E-2</v>
      </c>
      <c r="AP169">
        <v>7.7621157721282702E-3</v>
      </c>
      <c r="AQ169">
        <v>6.3593004769471996E-4</v>
      </c>
    </row>
    <row r="170" spans="1:43" x14ac:dyDescent="0.4">
      <c r="A170" t="s">
        <v>206</v>
      </c>
      <c r="B170" s="3" t="s">
        <v>208</v>
      </c>
      <c r="D170">
        <v>582</v>
      </c>
      <c r="E170">
        <v>629</v>
      </c>
      <c r="F170" s="2">
        <f>AD170+J170</f>
        <v>160.42113103877497</v>
      </c>
      <c r="G170" s="2">
        <f>$AD170*AF170</f>
        <v>100.16259635204035</v>
      </c>
      <c r="H170" s="2">
        <f>$AD170*AG170</f>
        <v>33.0536567961733</v>
      </c>
      <c r="I170" s="2">
        <f>$AD170*AH170</f>
        <v>4.6313988581883718</v>
      </c>
      <c r="J170" s="2">
        <f>$E170*AI170</f>
        <v>24.199999999999942</v>
      </c>
      <c r="K170" s="2">
        <f>$E170*AJ170</f>
        <v>80.471578947368229</v>
      </c>
      <c r="L170" s="2">
        <f>$E170*AK170</f>
        <v>86.999999999999432</v>
      </c>
      <c r="M170" s="2">
        <f>$E170*(AB170/100)</f>
        <v>36.988872179367</v>
      </c>
      <c r="N170" s="2">
        <f>$E170*AL170</f>
        <v>2.3891729323307875</v>
      </c>
      <c r="O170" s="2">
        <f>$E170*(AA170/100)</f>
        <v>104.04511276020001</v>
      </c>
      <c r="P170" s="2">
        <f>$E170*AM170</f>
        <v>2.8048333333333</v>
      </c>
      <c r="Q170" s="2">
        <f>$E170*AN170</f>
        <v>4.9999999999999876</v>
      </c>
      <c r="R170" s="2">
        <f>$E170*AQ170</f>
        <v>3.715999999999962</v>
      </c>
      <c r="S170" s="2">
        <f>$E170*AO170</f>
        <v>15.818796992481147</v>
      </c>
      <c r="T170" s="2">
        <f>$E170*AP170</f>
        <v>3.9783458646616299</v>
      </c>
      <c r="U170" s="2">
        <f>S170-T170</f>
        <v>11.840451127819517</v>
      </c>
      <c r="V170" s="1">
        <f>F170/D170</f>
        <v>0.27563768219720786</v>
      </c>
      <c r="W170" s="1">
        <f>(F170+M170+N170+P170)/(D170+M170+N170+Q170)</f>
        <v>0.32345324211942494</v>
      </c>
      <c r="X170" s="1">
        <f>(G170+H170*2+I170*3+J170*4)/D170</f>
        <v>0.47588334453428149</v>
      </c>
      <c r="Y170" s="1">
        <f>W170+X170</f>
        <v>0.79933658665370644</v>
      </c>
      <c r="Z170">
        <v>0.29693663180000002</v>
      </c>
      <c r="AA170">
        <v>16.54135338</v>
      </c>
      <c r="AB170">
        <v>5.8805838123000003</v>
      </c>
      <c r="AD170" s="2">
        <f>(D170-O170-J170+Q170)*Z170</f>
        <v>136.22113103877504</v>
      </c>
      <c r="AE170">
        <v>0.25580918400000002</v>
      </c>
      <c r="AF170">
        <v>0.73529411764705799</v>
      </c>
      <c r="AG170">
        <v>0.24264705882352899</v>
      </c>
      <c r="AH170">
        <v>3.3999122036874399E-2</v>
      </c>
      <c r="AI170">
        <v>3.84737678855325E-2</v>
      </c>
      <c r="AJ170">
        <v>0.12793573759518001</v>
      </c>
      <c r="AK170">
        <v>0.138314785373608</v>
      </c>
      <c r="AL170">
        <v>3.7983671420203299E-3</v>
      </c>
      <c r="AM170">
        <v>4.4591944886062003E-3</v>
      </c>
      <c r="AN170">
        <v>7.9491255961844001E-3</v>
      </c>
      <c r="AO170">
        <v>2.5149120814755399E-2</v>
      </c>
      <c r="AP170">
        <v>6.3248741886512399E-3</v>
      </c>
      <c r="AQ170">
        <v>5.9077901430842003E-3</v>
      </c>
    </row>
    <row r="171" spans="1:43" x14ac:dyDescent="0.4">
      <c r="A171" t="s">
        <v>206</v>
      </c>
      <c r="B171" t="s">
        <v>209</v>
      </c>
      <c r="D171">
        <v>529</v>
      </c>
      <c r="E171">
        <v>600</v>
      </c>
      <c r="F171" s="2">
        <f>AD171+J171</f>
        <v>127.60289322803203</v>
      </c>
      <c r="G171" s="2">
        <f>$AD171*AF171</f>
        <v>81.9074028093507</v>
      </c>
      <c r="H171" s="2">
        <f>$AD171*AG171</f>
        <v>26.809540859795259</v>
      </c>
      <c r="I171" s="2">
        <f>$AD171*AH171</f>
        <v>3.6065215680438829</v>
      </c>
      <c r="J171" s="2">
        <f>$E171*AI171</f>
        <v>15.399999999999961</v>
      </c>
      <c r="K171" s="2">
        <f>$E171*AJ171</f>
        <v>69.027287319421802</v>
      </c>
      <c r="L171" s="2">
        <f>$E171*AK171</f>
        <v>66.999999999999602</v>
      </c>
      <c r="M171" s="2">
        <f>$E171*(AB171/100)</f>
        <v>54.893258428799996</v>
      </c>
      <c r="N171" s="2">
        <f>$E171*AL171</f>
        <v>1.396308186195798</v>
      </c>
      <c r="O171" s="2">
        <f>$E171*(AA171/100)</f>
        <v>111.71749596000001</v>
      </c>
      <c r="P171" s="2">
        <f>$E171*AM171</f>
        <v>10.186161449752801</v>
      </c>
      <c r="Q171" s="2">
        <f>$E171*AN171</f>
        <v>4.9999999999999805</v>
      </c>
      <c r="R171" s="2">
        <f>$E171*AQ171</f>
        <v>0.99308072487641996</v>
      </c>
      <c r="S171" s="2">
        <f>$E171*AO171</f>
        <v>4.885232744783286</v>
      </c>
      <c r="T171" s="2">
        <f>$E171*AP171</f>
        <v>1.092616372391616</v>
      </c>
      <c r="U171" s="2">
        <f>S171-T171</f>
        <v>3.7926163723916702</v>
      </c>
      <c r="V171" s="1">
        <f>F171/D171</f>
        <v>0.24121529910781103</v>
      </c>
      <c r="W171" s="1">
        <f>(F171+M171+N171+P171)/(D171+M171+N171+Q171)</f>
        <v>0.32878545085206357</v>
      </c>
      <c r="X171" s="1">
        <f>(G171+H171*2+I171*3+J171*4)/D171</f>
        <v>0.39309272066743423</v>
      </c>
      <c r="Y171" s="1">
        <f>W171+X171</f>
        <v>0.72187817151949774</v>
      </c>
      <c r="Z171">
        <v>0.27576239359999999</v>
      </c>
      <c r="AA171">
        <v>18.619582659999999</v>
      </c>
      <c r="AB171">
        <v>9.1488764047999993</v>
      </c>
      <c r="AD171" s="2">
        <f>(D171-O171-J171+Q171)*Z171</f>
        <v>112.20289322803207</v>
      </c>
      <c r="AE171">
        <v>0.21284771299999999</v>
      </c>
      <c r="AF171">
        <v>0.72999367888748401</v>
      </c>
      <c r="AG171">
        <v>0.238938053097345</v>
      </c>
      <c r="AH171">
        <v>3.2142857142857098E-2</v>
      </c>
      <c r="AI171">
        <v>2.5666666666666602E-2</v>
      </c>
      <c r="AJ171">
        <v>0.115045478865703</v>
      </c>
      <c r="AK171">
        <v>0.111666666666666</v>
      </c>
      <c r="AL171">
        <v>2.32718031032633E-3</v>
      </c>
      <c r="AM171">
        <v>1.6976935749588001E-2</v>
      </c>
      <c r="AN171">
        <v>8.3333333333333003E-3</v>
      </c>
      <c r="AO171">
        <v>8.1420545746388098E-3</v>
      </c>
      <c r="AP171">
        <v>1.8210272873193599E-3</v>
      </c>
      <c r="AQ171">
        <v>1.6551345414607E-3</v>
      </c>
    </row>
    <row r="172" spans="1:43" x14ac:dyDescent="0.4">
      <c r="A172" t="s">
        <v>206</v>
      </c>
      <c r="B172" t="s">
        <v>210</v>
      </c>
      <c r="D172">
        <v>593</v>
      </c>
      <c r="E172">
        <v>640</v>
      </c>
      <c r="F172" s="2">
        <f>AD172+J172</f>
        <v>179.42669444937485</v>
      </c>
      <c r="G172" s="2">
        <f>$AD172*AF172</f>
        <v>142.02153756710911</v>
      </c>
      <c r="H172" s="2">
        <f>$AD172*AG172</f>
        <v>30.004550190234269</v>
      </c>
      <c r="I172" s="2">
        <f>$AD172*AH172</f>
        <v>2.9869698279266843</v>
      </c>
      <c r="J172" s="2">
        <f>$E172*AI172</f>
        <v>3.3999999999999937</v>
      </c>
      <c r="K172" s="2">
        <f>$E172*AJ172</f>
        <v>74.978801843317754</v>
      </c>
      <c r="L172" s="2">
        <f>$E172*AK172</f>
        <v>58</v>
      </c>
      <c r="M172" s="2">
        <f>$E172*(AB172/100)</f>
        <v>36.937480798720003</v>
      </c>
      <c r="N172" s="2">
        <f>$E172*AL172</f>
        <v>4.8932411674347138</v>
      </c>
      <c r="O172" s="2">
        <f>$E172*(AA172/100)</f>
        <v>37.357910905600001</v>
      </c>
      <c r="P172" s="2">
        <f>$E172*AM172</f>
        <v>5.0055292259083721</v>
      </c>
      <c r="Q172" s="2">
        <f>$E172*AN172</f>
        <v>4.2</v>
      </c>
      <c r="R172" s="2">
        <f>$E172*AQ172</f>
        <v>1.4066350710900224</v>
      </c>
      <c r="S172" s="2">
        <f>$E172*AO172</f>
        <v>6.9881720430107519</v>
      </c>
      <c r="T172" s="2">
        <f>$E172*AP172</f>
        <v>2.9949308755760318</v>
      </c>
      <c r="U172" s="2">
        <f>S172-T172</f>
        <v>3.9932411674347201</v>
      </c>
      <c r="V172" s="1">
        <f>F172/D172</f>
        <v>0.302574526896079</v>
      </c>
      <c r="W172" s="1">
        <f>(F172+M172+N172+P172)/(D172+M172+N172+Q172)</f>
        <v>0.35407209366284836</v>
      </c>
      <c r="X172" s="1">
        <f>(G172+H172*2+I172*3+J172*4)/D172</f>
        <v>0.3787378540157802</v>
      </c>
      <c r="Y172" s="1">
        <f>W172+X172</f>
        <v>0.7328099476786285</v>
      </c>
      <c r="Z172">
        <v>0.31634324199999903</v>
      </c>
      <c r="AA172">
        <v>5.8371735789999999</v>
      </c>
      <c r="AB172">
        <v>5.7714813747999996</v>
      </c>
      <c r="AD172" s="2">
        <f>(D172-O172-J172+Q172)*Z172</f>
        <v>176.02669444937484</v>
      </c>
      <c r="AE172">
        <v>0.28185003199999997</v>
      </c>
      <c r="AF172">
        <v>0.80681818181818099</v>
      </c>
      <c r="AG172">
        <v>0.170454545454545</v>
      </c>
      <c r="AH172">
        <v>1.6968845760980501E-2</v>
      </c>
      <c r="AI172">
        <v>5.31249999999999E-3</v>
      </c>
      <c r="AJ172">
        <v>0.117154377880184</v>
      </c>
      <c r="AK172">
        <v>9.0624999999999997E-2</v>
      </c>
      <c r="AL172">
        <v>7.6456893241167402E-3</v>
      </c>
      <c r="AM172">
        <v>7.8211394154818308E-3</v>
      </c>
      <c r="AN172">
        <v>6.5624999999999998E-3</v>
      </c>
      <c r="AO172">
        <v>1.09190188172043E-2</v>
      </c>
      <c r="AP172">
        <v>4.6795794930875496E-3</v>
      </c>
      <c r="AQ172">
        <v>2.1978672985781601E-3</v>
      </c>
    </row>
    <row r="173" spans="1:43" x14ac:dyDescent="0.4">
      <c r="A173" t="s">
        <v>206</v>
      </c>
      <c r="B173" s="3" t="s">
        <v>211</v>
      </c>
      <c r="D173">
        <v>282</v>
      </c>
      <c r="E173">
        <v>306</v>
      </c>
      <c r="F173" s="2">
        <f>AD173+J173</f>
        <v>68.8486281643236</v>
      </c>
      <c r="G173" s="2">
        <f>$AD173*AF173</f>
        <v>47.882844154203397</v>
      </c>
      <c r="H173" s="2">
        <f>$AD173*AG173</f>
        <v>12.049725632864728</v>
      </c>
      <c r="I173" s="2">
        <f>$AD173*AH173</f>
        <v>0.59260945735400161</v>
      </c>
      <c r="J173" s="2">
        <f>$E173*AI173</f>
        <v>8.5999999999999712</v>
      </c>
      <c r="K173" s="2">
        <f>$E173*AJ173</f>
        <v>33.41107871720105</v>
      </c>
      <c r="L173" s="2">
        <f>$E173*AK173</f>
        <v>36.999999999999829</v>
      </c>
      <c r="M173" s="2">
        <f>$E173*(AB173/100)</f>
        <v>18.162682215227999</v>
      </c>
      <c r="N173" s="2">
        <f>$E173*AL173</f>
        <v>0</v>
      </c>
      <c r="O173" s="2">
        <f>$E173*(AA173/100)</f>
        <v>49.067055385200007</v>
      </c>
      <c r="P173" s="2">
        <f>$E173*AM173</f>
        <v>2.9585915492957602</v>
      </c>
      <c r="Q173" s="2">
        <f>$E173*AN173</f>
        <v>1.9999999999999998</v>
      </c>
      <c r="R173" s="2">
        <f>$E173*AQ173</f>
        <v>0</v>
      </c>
      <c r="S173" s="2">
        <f>$E173*AO173</f>
        <v>8.9212827988337212E-2</v>
      </c>
      <c r="T173" s="2">
        <f>$E173*AP173</f>
        <v>0</v>
      </c>
      <c r="U173" s="2">
        <f>S173-T173</f>
        <v>8.9212827988337212E-2</v>
      </c>
      <c r="V173" s="1">
        <f>F173/D173</f>
        <v>0.24414407150469361</v>
      </c>
      <c r="W173" s="1">
        <f>(F173+M173+N173+P173)/(D173+M173+N173+Q173)</f>
        <v>0.29775318801533057</v>
      </c>
      <c r="X173" s="1">
        <f>(G173+H173*2+I173*3+J173*4)/D173</f>
        <v>0.38354653826948493</v>
      </c>
      <c r="Y173" s="1">
        <f>W173+X173</f>
        <v>0.6812997262848155</v>
      </c>
      <c r="Z173">
        <v>0.26619469060000001</v>
      </c>
      <c r="AA173">
        <v>16.034985420000002</v>
      </c>
      <c r="AB173">
        <v>5.9355170637999999</v>
      </c>
      <c r="AD173" s="2">
        <f>(D173-O173-J173+Q173)*Z173</f>
        <v>60.248628164323634</v>
      </c>
      <c r="AE173">
        <v>0.23040115999999999</v>
      </c>
      <c r="AF173">
        <v>0.79475409836065503</v>
      </c>
      <c r="AG173">
        <v>0.2</v>
      </c>
      <c r="AH173">
        <v>9.8360655737704701E-3</v>
      </c>
      <c r="AI173">
        <v>2.81045751633986E-2</v>
      </c>
      <c r="AJ173">
        <v>0.10918653175555899</v>
      </c>
      <c r="AK173">
        <v>0.12091503267973799</v>
      </c>
      <c r="AL173">
        <v>0</v>
      </c>
      <c r="AM173">
        <v>9.6685998342998705E-3</v>
      </c>
      <c r="AN173">
        <v>6.5359477124183E-3</v>
      </c>
      <c r="AO173">
        <v>2.9154518950436997E-4</v>
      </c>
      <c r="AP173">
        <v>0</v>
      </c>
      <c r="AQ173">
        <v>0</v>
      </c>
    </row>
    <row r="174" spans="1:43" x14ac:dyDescent="0.4">
      <c r="A174" t="s">
        <v>206</v>
      </c>
      <c r="B174" t="s">
        <v>212</v>
      </c>
      <c r="D174">
        <v>575</v>
      </c>
      <c r="E174">
        <v>631</v>
      </c>
      <c r="F174" s="2">
        <f>AD174+J174</f>
        <v>150.10075182031795</v>
      </c>
      <c r="G174" s="2">
        <f>$AD174*AF174</f>
        <v>93.97427557668162</v>
      </c>
      <c r="H174" s="2">
        <f>$AD174*AG174</f>
        <v>25.57219318227077</v>
      </c>
      <c r="I174" s="2">
        <f>$AD174*AH174</f>
        <v>0.98779490504029333</v>
      </c>
      <c r="J174" s="2">
        <f>$E174*AI174</f>
        <v>29.39999999999991</v>
      </c>
      <c r="K174" s="2">
        <f>$E174*AJ174</f>
        <v>80.223157894736303</v>
      </c>
      <c r="L174" s="2">
        <f>$E174*AK174</f>
        <v>94.999999999999403</v>
      </c>
      <c r="M174" s="2">
        <f>$E174*(AB174/100)</f>
        <v>50.929022557497007</v>
      </c>
      <c r="N174" s="2">
        <f>$E174*AL174</f>
        <v>4.1693233082706724</v>
      </c>
      <c r="O174" s="2">
        <f>$E174*(AA174/100)</f>
        <v>122.40451127439999</v>
      </c>
      <c r="P174" s="2">
        <f>$E174*AM174</f>
        <v>1.9041254125412217</v>
      </c>
      <c r="Q174" s="2">
        <f>$E174*AN174</f>
        <v>4.9999999999999813</v>
      </c>
      <c r="R174" s="2">
        <f>$E174*AQ174</f>
        <v>0</v>
      </c>
      <c r="S174" s="2">
        <f>$E174*AO174</f>
        <v>7.9590977443608901</v>
      </c>
      <c r="T174" s="2">
        <f>$E174*AP174</f>
        <v>1.989774436090191</v>
      </c>
      <c r="U174" s="2">
        <f>S174-T174</f>
        <v>5.9693233082706989</v>
      </c>
      <c r="V174" s="1">
        <f>F174/D174</f>
        <v>0.26104478577446599</v>
      </c>
      <c r="W174" s="1">
        <f>(F174+M174+N174+P174)/(D174+M174+N174+Q174)</f>
        <v>0.32609630374064857</v>
      </c>
      <c r="X174" s="1">
        <f>(G174+H174*2+I174*3+J174*4)/D174</f>
        <v>0.4620557333153803</v>
      </c>
      <c r="Y174" s="1">
        <f>W174+X174</f>
        <v>0.78815203705602888</v>
      </c>
      <c r="Z174">
        <v>0.28188235280000001</v>
      </c>
      <c r="AA174">
        <v>19.39849624</v>
      </c>
      <c r="AB174">
        <v>8.0711604687000005</v>
      </c>
      <c r="AD174" s="2">
        <f>(D174-O174-J174+Q174)*Z174</f>
        <v>120.70075182031803</v>
      </c>
      <c r="AE174">
        <v>0.24059523799999999</v>
      </c>
      <c r="AF174">
        <v>0.77857241284277201</v>
      </c>
      <c r="AG174">
        <v>0.21186440677966101</v>
      </c>
      <c r="AH174">
        <v>8.1838339044547192E-3</v>
      </c>
      <c r="AI174">
        <v>4.6592709984151999E-2</v>
      </c>
      <c r="AJ174">
        <v>0.12713654183001</v>
      </c>
      <c r="AK174">
        <v>0.15055467511885801</v>
      </c>
      <c r="AL174">
        <v>6.60748543307555E-3</v>
      </c>
      <c r="AM174">
        <v>3.01763139863902E-3</v>
      </c>
      <c r="AN174">
        <v>7.9239302694136E-3</v>
      </c>
      <c r="AO174">
        <v>1.26134671067526E-2</v>
      </c>
      <c r="AP174">
        <v>3.1533667766881E-3</v>
      </c>
      <c r="AQ174">
        <v>0</v>
      </c>
    </row>
    <row r="175" spans="1:43" x14ac:dyDescent="0.4">
      <c r="A175" t="s">
        <v>206</v>
      </c>
      <c r="B175" t="s">
        <v>213</v>
      </c>
      <c r="D175">
        <v>545</v>
      </c>
      <c r="E175">
        <v>602</v>
      </c>
      <c r="F175" s="2">
        <f>AD175+J175</f>
        <v>147.47309065809822</v>
      </c>
      <c r="G175" s="2">
        <f>$AD175*AF175</f>
        <v>102.98833270424591</v>
      </c>
      <c r="H175" s="2">
        <f>$AD175*AG175</f>
        <v>26.915750843390079</v>
      </c>
      <c r="I175" s="2">
        <f>$AD175*AH175</f>
        <v>1.0239486106244802</v>
      </c>
      <c r="J175" s="2">
        <f>$E175*AI175</f>
        <v>15.999999999999941</v>
      </c>
      <c r="K175" s="2">
        <f>$E175*AJ175</f>
        <v>71.504347826086743</v>
      </c>
      <c r="L175" s="2">
        <f>$E175*AK175</f>
        <v>63.99999999999941</v>
      </c>
      <c r="M175" s="2">
        <f>$E175*(AB175/100)</f>
        <v>44.460869566722003</v>
      </c>
      <c r="N175" s="2">
        <f>$E175*AL175</f>
        <v>9.3478260869565177E-2</v>
      </c>
      <c r="O175" s="2">
        <f>$E175*(AA175/100)</f>
        <v>106.565217367</v>
      </c>
      <c r="P175" s="2">
        <f>$E175*AM175</f>
        <v>5.9543278084714109</v>
      </c>
      <c r="Q175" s="2">
        <f>$E175*AN175</f>
        <v>5.3999999999999542</v>
      </c>
      <c r="R175" s="2">
        <f>$E175*AQ175</f>
        <v>0</v>
      </c>
      <c r="S175" s="2">
        <f>$E175*AO175</f>
        <v>12.915217391304273</v>
      </c>
      <c r="T175" s="2">
        <f>$E175*AP175</f>
        <v>2.9804347826086754</v>
      </c>
      <c r="U175" s="2">
        <f>S175-T175</f>
        <v>9.9347826086955973</v>
      </c>
      <c r="V175" s="1">
        <f>F175/D175</f>
        <v>0.27059282689559305</v>
      </c>
      <c r="W175" s="1">
        <f>(F175+M175+N175+P175)/(D175+M175+N175+Q175)</f>
        <v>0.33276799643043076</v>
      </c>
      <c r="X175" s="1">
        <f>(G175+H175*2+I175*3+J175*4)/D175</f>
        <v>0.41081042242733812</v>
      </c>
      <c r="Y175" s="1">
        <f>W175+X175</f>
        <v>0.74357841885776887</v>
      </c>
      <c r="Z175">
        <v>0.30729874239999999</v>
      </c>
      <c r="AA175">
        <v>17.70186335</v>
      </c>
      <c r="AB175">
        <v>7.3855265060999997</v>
      </c>
      <c r="AD175" s="2">
        <f>(D175-O175-J175+Q175)*Z175</f>
        <v>131.47309065809827</v>
      </c>
      <c r="AE175">
        <v>0.23971788999999999</v>
      </c>
      <c r="AF175">
        <v>0.78334153543306995</v>
      </c>
      <c r="AG175">
        <v>0.20472440944881801</v>
      </c>
      <c r="AH175">
        <v>7.7882751937984399E-3</v>
      </c>
      <c r="AI175">
        <v>2.65780730897009E-2</v>
      </c>
      <c r="AJ175">
        <v>0.11877798642207101</v>
      </c>
      <c r="AK175">
        <v>0.106312292358803</v>
      </c>
      <c r="AL175">
        <v>1.5527950310558999E-4</v>
      </c>
      <c r="AM175">
        <v>9.8909099808495195E-3</v>
      </c>
      <c r="AN175">
        <v>8.9700996677740102E-3</v>
      </c>
      <c r="AO175">
        <v>2.14538494872164E-2</v>
      </c>
      <c r="AP175">
        <v>4.9508883432037801E-3</v>
      </c>
      <c r="AQ175">
        <v>0</v>
      </c>
    </row>
    <row r="176" spans="1:43" x14ac:dyDescent="0.4">
      <c r="A176" t="s">
        <v>214</v>
      </c>
      <c r="B176" t="s">
        <v>215</v>
      </c>
      <c r="D176">
        <v>507</v>
      </c>
      <c r="E176">
        <v>573</v>
      </c>
      <c r="F176" s="2">
        <f>AD176+J176</f>
        <v>110.82360684529549</v>
      </c>
      <c r="G176" s="2">
        <f>$AD176*AF176</f>
        <v>59.101069018424461</v>
      </c>
      <c r="H176" s="2">
        <f>$AD176*AG176</f>
        <v>22.72149188245627</v>
      </c>
      <c r="I176" s="2">
        <f>$AD176*AH176</f>
        <v>1.0125807884984963</v>
      </c>
      <c r="J176" s="2">
        <f>$E176*AI176</f>
        <v>28.199999999999957</v>
      </c>
      <c r="K176" s="2">
        <f>$E176*AJ176</f>
        <v>66.997602739725977</v>
      </c>
      <c r="L176" s="2">
        <f>$E176*AK176</f>
        <v>82.999999999999886</v>
      </c>
      <c r="M176" s="2">
        <f>$E176*(AB176/100)</f>
        <v>57.890753430326995</v>
      </c>
      <c r="N176" s="2">
        <f>$E176*AL176</f>
        <v>1.9962328767122943</v>
      </c>
      <c r="O176" s="2">
        <f>$E176*(AA176/100)</f>
        <v>156.00513700199997</v>
      </c>
      <c r="P176" s="2">
        <f>$E176*AM176</f>
        <v>4.9332703213610056</v>
      </c>
      <c r="Q176" s="2">
        <f>$E176*AN176</f>
        <v>3.9999999999999845</v>
      </c>
      <c r="R176" s="2">
        <f>$E176*AQ176</f>
        <v>0</v>
      </c>
      <c r="S176" s="2">
        <f>$E176*AO176</f>
        <v>2.9943493150684701</v>
      </c>
      <c r="T176" s="2">
        <f>$E176*AP176</f>
        <v>0.99811643835611852</v>
      </c>
      <c r="U176" s="2">
        <f>S176-T176</f>
        <v>1.9962328767123516</v>
      </c>
      <c r="V176" s="1">
        <f>F176/D176</f>
        <v>0.21858699575008972</v>
      </c>
      <c r="W176" s="1">
        <f>(F176+M176+N176+P176)/(D176+M176+N176+Q176)</f>
        <v>0.30766836114079771</v>
      </c>
      <c r="X176" s="1">
        <f>(G176+H176*2+I176*3+J176*4)/D176</f>
        <v>0.43467809694049769</v>
      </c>
      <c r="Y176" s="1">
        <f>W176+X176</f>
        <v>0.7423464580812954</v>
      </c>
      <c r="Z176">
        <v>0.25283018860000001</v>
      </c>
      <c r="AA176">
        <v>27.2260274</v>
      </c>
      <c r="AB176">
        <v>10.1030983299</v>
      </c>
      <c r="AD176" s="2">
        <f>(D176-O176-J176+Q176)*Z176</f>
        <v>82.623606845295527</v>
      </c>
      <c r="AE176">
        <v>0.19349033400000001</v>
      </c>
      <c r="AF176">
        <v>0.71530487804877996</v>
      </c>
      <c r="AG176">
        <v>0.27500000000000002</v>
      </c>
      <c r="AH176">
        <v>1.2255344775669899E-2</v>
      </c>
      <c r="AI176">
        <v>4.9214659685863797E-2</v>
      </c>
      <c r="AJ176">
        <v>0.11692426307107499</v>
      </c>
      <c r="AK176">
        <v>0.14485165794066299</v>
      </c>
      <c r="AL176">
        <v>3.4838270099690999E-3</v>
      </c>
      <c r="AM176">
        <v>8.6095468086579505E-3</v>
      </c>
      <c r="AN176">
        <v>6.9808027923210902E-3</v>
      </c>
      <c r="AO176">
        <v>5.2257405149536999E-3</v>
      </c>
      <c r="AP176">
        <v>1.7419135049845001E-3</v>
      </c>
      <c r="AQ176">
        <v>0</v>
      </c>
    </row>
    <row r="177" spans="1:43" x14ac:dyDescent="0.4">
      <c r="A177" t="s">
        <v>214</v>
      </c>
      <c r="B177" s="3" t="s">
        <v>216</v>
      </c>
      <c r="D177">
        <v>108</v>
      </c>
      <c r="E177">
        <v>118</v>
      </c>
      <c r="F177" s="2">
        <f>AD177+J177</f>
        <v>24.59899074488203</v>
      </c>
      <c r="G177" s="2">
        <f>$AD177*AF177</f>
        <v>15.449243058661528</v>
      </c>
      <c r="H177" s="2">
        <f>$AD177*AG177</f>
        <v>5.1497476862205094</v>
      </c>
      <c r="I177" s="2">
        <f>$AD177*AH177</f>
        <v>0</v>
      </c>
      <c r="J177" s="2">
        <f>$E177*AI177</f>
        <v>3.9999999999999925</v>
      </c>
      <c r="K177" s="2">
        <f>$E177*AJ177</f>
        <v>13.649999999999892</v>
      </c>
      <c r="L177" s="2">
        <f>$E177*AK177</f>
        <v>13.99999999999998</v>
      </c>
      <c r="M177" s="2">
        <f>$E177*(AB177/100)</f>
        <v>8.9428571428020014</v>
      </c>
      <c r="N177" s="2">
        <f>$E177*AL177</f>
        <v>0</v>
      </c>
      <c r="O177" s="2">
        <f>$E177*(AA177/100)</f>
        <v>27.3928571378</v>
      </c>
      <c r="P177" s="2">
        <f>$E177*AM177</f>
        <v>0.95870646766168666</v>
      </c>
      <c r="Q177" s="2">
        <f>$E177*AN177</f>
        <v>0.59999999999999709</v>
      </c>
      <c r="R177" s="2">
        <f>$E177*AQ177</f>
        <v>0</v>
      </c>
      <c r="S177" s="2">
        <f>$E177*AO177</f>
        <v>1.1107142857142809</v>
      </c>
      <c r="T177" s="2">
        <f>$E177*AP177</f>
        <v>0</v>
      </c>
      <c r="U177" s="2">
        <f>S177-T177</f>
        <v>1.1107142857142809</v>
      </c>
      <c r="V177" s="1">
        <f>F177/D177</f>
        <v>0.22776843282298176</v>
      </c>
      <c r="W177" s="1">
        <f>(F177+M177+N177+P177)/(D177+M177+N177+Q177)</f>
        <v>0.29351468216763893</v>
      </c>
      <c r="X177" s="1">
        <f>(G177+H177*2+I177*3+J177*4)/D177</f>
        <v>0.38656239288057886</v>
      </c>
      <c r="Y177" s="1">
        <f>W177+X177</f>
        <v>0.68007707504821779</v>
      </c>
      <c r="Z177">
        <v>0.26680161939999902</v>
      </c>
      <c r="AA177">
        <v>23.214285709999999</v>
      </c>
      <c r="AB177">
        <v>7.5786924939000002</v>
      </c>
      <c r="AD177" s="2">
        <f>(D177-O177-J177+Q177)*Z177</f>
        <v>20.598990744882038</v>
      </c>
      <c r="AE177">
        <v>0.20714285700000001</v>
      </c>
      <c r="AF177">
        <v>0.75</v>
      </c>
      <c r="AG177">
        <v>0.25</v>
      </c>
      <c r="AH177">
        <v>0</v>
      </c>
      <c r="AI177">
        <v>3.38983050847457E-2</v>
      </c>
      <c r="AJ177">
        <v>0.11567796610169399</v>
      </c>
      <c r="AK177">
        <v>0.11864406779661001</v>
      </c>
      <c r="AL177">
        <v>0</v>
      </c>
      <c r="AM177">
        <v>8.1246310818787002E-3</v>
      </c>
      <c r="AN177">
        <v>5.0847457627118398E-3</v>
      </c>
      <c r="AO177">
        <v>9.4128329297820407E-3</v>
      </c>
      <c r="AP177">
        <v>0</v>
      </c>
      <c r="AQ177">
        <v>0</v>
      </c>
    </row>
    <row r="178" spans="1:43" x14ac:dyDescent="0.4">
      <c r="A178" t="s">
        <v>214</v>
      </c>
      <c r="B178" t="s">
        <v>217</v>
      </c>
      <c r="D178">
        <v>479</v>
      </c>
      <c r="E178">
        <v>555</v>
      </c>
      <c r="F178" s="2">
        <f>AD178+J178</f>
        <v>112.58159884403463</v>
      </c>
      <c r="G178" s="2">
        <f>$AD178*AF178</f>
        <v>77.298773611005416</v>
      </c>
      <c r="H178" s="2">
        <f>$AD178*AG178</f>
        <v>21.248135757247276</v>
      </c>
      <c r="I178" s="2">
        <f>$AD178*AH178</f>
        <v>0.99197645925523659</v>
      </c>
      <c r="J178" s="2">
        <f>$E178*AI178</f>
        <v>11.399999999999977</v>
      </c>
      <c r="K178" s="2">
        <f>$E178*AJ178</f>
        <v>62.022660098521634</v>
      </c>
      <c r="L178" s="2">
        <f>$E178*AK178</f>
        <v>51</v>
      </c>
      <c r="M178" s="2">
        <f>$E178*(AB178/100)</f>
        <v>63.170443345199445</v>
      </c>
      <c r="N178" s="2">
        <f>$E178*AL178</f>
        <v>0.89999999999999913</v>
      </c>
      <c r="O178" s="2">
        <f>$E178*(AA178/100)</f>
        <v>110.27093596050001</v>
      </c>
      <c r="P178" s="2">
        <f>$E178*AM178</f>
        <v>6.0110091743118765</v>
      </c>
      <c r="Q178" s="2">
        <f>$E178*AN178</f>
        <v>2.9999999999999969</v>
      </c>
      <c r="R178" s="2">
        <f>$E178*AQ178</f>
        <v>1.4110091743119255</v>
      </c>
      <c r="S178" s="2">
        <f>$E178*AO178</f>
        <v>4.055665024630537</v>
      </c>
      <c r="T178" s="2">
        <f>$E178*AP178</f>
        <v>0.99113300492610501</v>
      </c>
      <c r="U178" s="2">
        <f>S178-T178</f>
        <v>3.0645320197044321</v>
      </c>
      <c r="V178" s="1">
        <f>F178/D178</f>
        <v>0.23503465311907021</v>
      </c>
      <c r="W178" s="1">
        <f>(F178+M178+N178+P178)/(D178+M178+N178+Q178)</f>
        <v>0.33450455630698761</v>
      </c>
      <c r="X178" s="1">
        <f>(G178+H178*2+I178*3+J178*4)/D178</f>
        <v>0.35150516597758996</v>
      </c>
      <c r="Y178" s="1">
        <f>W178+X178</f>
        <v>0.68600972228457757</v>
      </c>
      <c r="Z178">
        <v>0.2808033238</v>
      </c>
      <c r="AA178">
        <v>19.868637110000002</v>
      </c>
      <c r="AB178">
        <v>11.382061863999899</v>
      </c>
      <c r="AD178" s="2">
        <f>(D178-O178-J178+Q178)*Z178</f>
        <v>101.18159884403465</v>
      </c>
      <c r="AE178">
        <v>0.20239259700000001</v>
      </c>
      <c r="AF178">
        <v>0.76396078431372505</v>
      </c>
      <c r="AG178">
        <v>0.21</v>
      </c>
      <c r="AH178">
        <v>9.8039215686274005E-3</v>
      </c>
      <c r="AI178">
        <v>2.0540540540540501E-2</v>
      </c>
      <c r="AJ178">
        <v>0.111752540718057</v>
      </c>
      <c r="AK178">
        <v>9.1891891891891897E-2</v>
      </c>
      <c r="AL178">
        <v>1.62162162162162E-3</v>
      </c>
      <c r="AM178">
        <v>1.08306471609223E-2</v>
      </c>
      <c r="AN178">
        <v>5.4054054054053996E-3</v>
      </c>
      <c r="AO178">
        <v>7.3075045488838501E-3</v>
      </c>
      <c r="AP178">
        <v>1.7858252341010901E-3</v>
      </c>
      <c r="AQ178">
        <v>2.5423588726341002E-3</v>
      </c>
    </row>
    <row r="179" spans="1:43" x14ac:dyDescent="0.4">
      <c r="A179" t="s">
        <v>214</v>
      </c>
      <c r="B179" t="s">
        <v>218</v>
      </c>
      <c r="D179">
        <v>417</v>
      </c>
      <c r="E179">
        <v>471</v>
      </c>
      <c r="F179" s="2">
        <f>AD179+J179</f>
        <v>92.931435618913099</v>
      </c>
      <c r="G179" s="2">
        <f>$AD179*AF179</f>
        <v>58.963237479765944</v>
      </c>
      <c r="H179" s="2">
        <f>$AD179*AG179</f>
        <v>17.07317409768207</v>
      </c>
      <c r="I179" s="2">
        <f>$AD179*AH179</f>
        <v>0.40172174347487094</v>
      </c>
      <c r="J179" s="2">
        <f>$E179*AI179</f>
        <v>15.599999999999929</v>
      </c>
      <c r="K179" s="2">
        <f>$E179*AJ179</f>
        <v>50.654945054944903</v>
      </c>
      <c r="L179" s="2">
        <f>$E179*AK179</f>
        <v>53.999999999999808</v>
      </c>
      <c r="M179" s="2">
        <f>$E179*(AB179/100)</f>
        <v>46.230769230588002</v>
      </c>
      <c r="N179" s="2">
        <f>$E179*AL179</f>
        <v>1.9725274725274393</v>
      </c>
      <c r="O179" s="2">
        <f>$E179*(AA179/100)</f>
        <v>126.80769229320001</v>
      </c>
      <c r="P179" s="2">
        <f>$E179*AM179</f>
        <v>3.9038709677419172</v>
      </c>
      <c r="Q179" s="2">
        <f>$E179*AN179</f>
        <v>3.5999999999999726</v>
      </c>
      <c r="R179" s="2">
        <f>$E179*AQ179</f>
        <v>0</v>
      </c>
      <c r="S179" s="2">
        <f>$E179*AO179</f>
        <v>4.0313186813186608</v>
      </c>
      <c r="T179" s="2">
        <f>$E179*AP179</f>
        <v>1.0725274725274334</v>
      </c>
      <c r="U179" s="2">
        <f>S179-T179</f>
        <v>2.9587912087912276</v>
      </c>
      <c r="V179" s="1">
        <f>F179/D179</f>
        <v>0.22285715975758538</v>
      </c>
      <c r="W179" s="1">
        <f>(F179+M179+N179+P179)/(D179+M179+N179+Q179)</f>
        <v>0.30938051056757132</v>
      </c>
      <c r="X179" s="1">
        <f>(G179+H179*2+I179*3+J179*4)/D179</f>
        <v>0.37581475037303214</v>
      </c>
      <c r="Y179" s="1">
        <f>W179+X179</f>
        <v>0.68519526094060346</v>
      </c>
      <c r="Z179">
        <v>0.27797833900000002</v>
      </c>
      <c r="AA179">
        <v>26.92307692</v>
      </c>
      <c r="AB179">
        <v>9.8154499428000008</v>
      </c>
      <c r="AD179" s="2">
        <f>(D179-O179-J179+Q179)*Z179</f>
        <v>77.331435618913176</v>
      </c>
      <c r="AE179">
        <v>0.201808286</v>
      </c>
      <c r="AF179">
        <v>0.76247436773752497</v>
      </c>
      <c r="AG179">
        <v>0.22077922077921999</v>
      </c>
      <c r="AH179">
        <v>5.1948051948051601E-3</v>
      </c>
      <c r="AI179">
        <v>3.3121019108280102E-2</v>
      </c>
      <c r="AJ179">
        <v>0.107547654044469</v>
      </c>
      <c r="AK179">
        <v>0.11464968152866201</v>
      </c>
      <c r="AL179">
        <v>4.1879564172557096E-3</v>
      </c>
      <c r="AM179">
        <v>8.2884733922333701E-3</v>
      </c>
      <c r="AN179">
        <v>7.6433121019107699E-3</v>
      </c>
      <c r="AO179">
        <v>8.5590630176617007E-3</v>
      </c>
      <c r="AP179">
        <v>2.27712839177799E-3</v>
      </c>
      <c r="AQ179">
        <v>0</v>
      </c>
    </row>
    <row r="180" spans="1:43" x14ac:dyDescent="0.4">
      <c r="A180" t="s">
        <v>214</v>
      </c>
      <c r="B180" t="s">
        <v>219</v>
      </c>
      <c r="D180">
        <v>584</v>
      </c>
      <c r="E180">
        <v>641</v>
      </c>
      <c r="F180" s="2">
        <f>AD180+J180</f>
        <v>162.27460735766022</v>
      </c>
      <c r="G180" s="2">
        <f>$AD180*AF180</f>
        <v>104.00795768028979</v>
      </c>
      <c r="H180" s="2">
        <f>$AD180*AG180</f>
        <v>27.669806050430424</v>
      </c>
      <c r="I180" s="2">
        <f>$AD180*AH180</f>
        <v>2.4410455463036316</v>
      </c>
      <c r="J180" s="2">
        <f>$E180*AI180</f>
        <v>27</v>
      </c>
      <c r="K180" s="2">
        <f>$E180*AJ180</f>
        <v>89.810014727539908</v>
      </c>
      <c r="L180" s="2">
        <f>$E180*AK180</f>
        <v>83.999999999999758</v>
      </c>
      <c r="M180" s="2">
        <f>$E180*(AB180/100)</f>
        <v>46.831369662588003</v>
      </c>
      <c r="N180" s="2">
        <f>$E180*AL180</f>
        <v>2.9832106038291535</v>
      </c>
      <c r="O180" s="2">
        <f>$E180*(AA180/100)</f>
        <v>150.10162005399999</v>
      </c>
      <c r="P180" s="2">
        <f>$E180*AM180</f>
        <v>8.8889230769229872</v>
      </c>
      <c r="Q180" s="2">
        <f>$E180*AN180</f>
        <v>3</v>
      </c>
      <c r="R180" s="2">
        <f>$E180*AQ180</f>
        <v>0</v>
      </c>
      <c r="S180" s="2">
        <f>$E180*AO180</f>
        <v>26.943298969072156</v>
      </c>
      <c r="T180" s="2">
        <f>$E180*AP180</f>
        <v>6.9608247422679934</v>
      </c>
      <c r="U180" s="2">
        <f>S180-T180</f>
        <v>19.982474226804165</v>
      </c>
      <c r="V180" s="1">
        <f>F180/D180</f>
        <v>0.27786747835215792</v>
      </c>
      <c r="W180" s="1">
        <f>(F180+M180+N180+P180)/(D180+M180+N180+Q180)</f>
        <v>0.34700541970718091</v>
      </c>
      <c r="X180" s="1">
        <f>(G180+H180*2+I180*3+J180*4)/D180</f>
        <v>0.47032655208914637</v>
      </c>
      <c r="Y180" s="1">
        <f>W180+X180</f>
        <v>0.81733197179632722</v>
      </c>
      <c r="Z180">
        <v>0.3300198634</v>
      </c>
      <c r="AA180">
        <v>23.416789399999999</v>
      </c>
      <c r="AB180">
        <v>7.3059859068000002</v>
      </c>
      <c r="AD180" s="2">
        <f>(D180-O180-J180+Q180)*Z180</f>
        <v>135.27460735766022</v>
      </c>
      <c r="AE180">
        <v>0.24891450400000001</v>
      </c>
      <c r="AF180">
        <v>0.76886534518113403</v>
      </c>
      <c r="AG180">
        <v>0.204545454545454</v>
      </c>
      <c r="AH180">
        <v>1.8045112781954802E-2</v>
      </c>
      <c r="AI180">
        <v>4.2121684867394697E-2</v>
      </c>
      <c r="AJ180">
        <v>0.14010922734405601</v>
      </c>
      <c r="AK180">
        <v>0.131045241809672</v>
      </c>
      <c r="AL180">
        <v>4.6539947017615498E-3</v>
      </c>
      <c r="AM180">
        <v>1.38672746909875E-2</v>
      </c>
      <c r="AN180">
        <v>4.6801872074882997E-3</v>
      </c>
      <c r="AO180">
        <v>4.2033227720861398E-2</v>
      </c>
      <c r="AP180">
        <v>1.08593209707769E-2</v>
      </c>
      <c r="AQ180">
        <v>0</v>
      </c>
    </row>
    <row r="181" spans="1:43" x14ac:dyDescent="0.4">
      <c r="A181" t="s">
        <v>214</v>
      </c>
      <c r="B181" s="3" t="s">
        <v>220</v>
      </c>
      <c r="D181">
        <v>405</v>
      </c>
      <c r="E181">
        <v>454</v>
      </c>
      <c r="F181" s="2">
        <f>AD181+J181</f>
        <v>91.461142301361619</v>
      </c>
      <c r="G181" s="2">
        <f>$AD181*AF181</f>
        <v>54.295002729023807</v>
      </c>
      <c r="H181" s="2">
        <f>$AD181*AG181</f>
        <v>16.419412349602606</v>
      </c>
      <c r="I181" s="2">
        <f>$AD181*AH181</f>
        <v>1.9911002851122763</v>
      </c>
      <c r="J181" s="2">
        <f>$E181*AI181</f>
        <v>18.599999999999948</v>
      </c>
      <c r="K181" s="2">
        <f>$E181*AJ181</f>
        <v>54.874534161490352</v>
      </c>
      <c r="L181" s="2">
        <f>$E181*AK181</f>
        <v>55.999999999999829</v>
      </c>
      <c r="M181" s="2">
        <f>$E181*(AB181/100)</f>
        <v>32.801863354359952</v>
      </c>
      <c r="N181" s="2">
        <f>$E181*AL181</f>
        <v>0.39999999999998775</v>
      </c>
      <c r="O181" s="2">
        <f>$E181*(AA181/100)</f>
        <v>137.23395444580001</v>
      </c>
      <c r="P181" s="2">
        <f>$E181*AM181</f>
        <v>15.548931116389509</v>
      </c>
      <c r="Q181" s="2">
        <f>$E181*AN181</f>
        <v>2.9999999999999991</v>
      </c>
      <c r="R181" s="2">
        <f>$E181*AQ181</f>
        <v>1.0470308788598415</v>
      </c>
      <c r="S181" s="2">
        <f>$E181*AO181</f>
        <v>10.839958592132479</v>
      </c>
      <c r="T181" s="2">
        <f>$E181*AP181</f>
        <v>2.0819875776397372</v>
      </c>
      <c r="U181" s="2">
        <f>S181-T181</f>
        <v>8.7579710144927425</v>
      </c>
      <c r="V181" s="1">
        <f>F181/D181</f>
        <v>0.22582998099101634</v>
      </c>
      <c r="W181" s="1">
        <f>(F181+M181+N181+P181)/(D181+M181+N181+Q181)</f>
        <v>0.31779543201860211</v>
      </c>
      <c r="X181" s="1">
        <f>(G181+H181*2+I181*3+J181*4)/D181</f>
        <v>0.4135978476137423</v>
      </c>
      <c r="Y181" s="1">
        <f>W181+X181</f>
        <v>0.73139327963234435</v>
      </c>
      <c r="Z181">
        <v>0.28894113059999998</v>
      </c>
      <c r="AA181">
        <v>30.227743270000001</v>
      </c>
      <c r="AB181">
        <v>7.2250800339999897</v>
      </c>
      <c r="AD181" s="2">
        <f>(D181-O181-J181+Q181)*Z181</f>
        <v>72.861142301361667</v>
      </c>
      <c r="AE181">
        <v>0.20313425700000001</v>
      </c>
      <c r="AF181">
        <v>0.74518462124095897</v>
      </c>
      <c r="AG181">
        <v>0.22535211267605601</v>
      </c>
      <c r="AH181">
        <v>2.7327327327327199E-2</v>
      </c>
      <c r="AI181">
        <v>4.0969162995594603E-2</v>
      </c>
      <c r="AJ181">
        <v>0.120869017976851</v>
      </c>
      <c r="AK181">
        <v>0.123348017621145</v>
      </c>
      <c r="AL181">
        <v>8.8105726872244E-4</v>
      </c>
      <c r="AM181">
        <v>3.4248746952399801E-2</v>
      </c>
      <c r="AN181">
        <v>6.6079295154184998E-3</v>
      </c>
      <c r="AO181">
        <v>2.38765607756222E-2</v>
      </c>
      <c r="AP181">
        <v>4.5858757216734299E-3</v>
      </c>
      <c r="AQ181">
        <v>2.3062354159908401E-3</v>
      </c>
    </row>
    <row r="182" spans="1:43" x14ac:dyDescent="0.4">
      <c r="A182" t="s">
        <v>214</v>
      </c>
      <c r="B182" t="s">
        <v>221</v>
      </c>
      <c r="D182">
        <v>535</v>
      </c>
      <c r="E182">
        <v>620</v>
      </c>
      <c r="F182" s="2">
        <f>AD182+J182</f>
        <v>126.06138754257312</v>
      </c>
      <c r="G182" s="2">
        <f>$AD182*AF182</f>
        <v>77.90361770857568</v>
      </c>
      <c r="H182" s="2">
        <f>$AD182*AG182</f>
        <v>24.152627894439895</v>
      </c>
      <c r="I182" s="2">
        <f>$AD182*AH182</f>
        <v>1.3749379954014584</v>
      </c>
      <c r="J182" s="2">
        <f>$E182*AI182</f>
        <v>21.399999999999896</v>
      </c>
      <c r="K182" s="2">
        <f>$E182*AJ182</f>
        <v>79.158662613981292</v>
      </c>
      <c r="L182" s="2">
        <f>$E182*AK182</f>
        <v>69.999999999999616</v>
      </c>
      <c r="M182" s="2">
        <f>$E182*(AB182/100)</f>
        <v>64.007294857000005</v>
      </c>
      <c r="N182" s="2">
        <f>$E182*AL182</f>
        <v>9.4224924012153405E-2</v>
      </c>
      <c r="O182" s="2">
        <f>$E182*(AA182/100)</f>
        <v>158.297872318</v>
      </c>
      <c r="P182" s="2">
        <f>$E182*AM182</f>
        <v>15.178343949044493</v>
      </c>
      <c r="Q182" s="2">
        <f>$E182*AN182</f>
        <v>3.9999999999999964</v>
      </c>
      <c r="R182" s="2">
        <f>$E182*AQ182</f>
        <v>0</v>
      </c>
      <c r="S182" s="2">
        <f>$E182*AO182</f>
        <v>20.972948328267389</v>
      </c>
      <c r="T182" s="2">
        <f>$E182*AP182</f>
        <v>8.048024316109391</v>
      </c>
      <c r="U182" s="2">
        <f>S182-T182</f>
        <v>12.924924012157998</v>
      </c>
      <c r="V182" s="1">
        <f>F182/D182</f>
        <v>0.23562876176181891</v>
      </c>
      <c r="W182" s="1">
        <f>(F182+M182+N182+P182)/(D182+M182+N182+Q182)</f>
        <v>0.3404754333021574</v>
      </c>
      <c r="X182" s="1">
        <f>(G182+H182*2+I182*3+J182*4)/D182</f>
        <v>0.40361436912833537</v>
      </c>
      <c r="Y182" s="1">
        <f>W182+X182</f>
        <v>0.74408980243049272</v>
      </c>
      <c r="Z182">
        <v>0.29129075360000001</v>
      </c>
      <c r="AA182">
        <v>25.531914889999999</v>
      </c>
      <c r="AB182">
        <v>10.323757235</v>
      </c>
      <c r="AD182" s="2">
        <f>(D182-O182-J182+Q182)*Z182</f>
        <v>104.66138754257322</v>
      </c>
      <c r="AE182">
        <v>0.204726664</v>
      </c>
      <c r="AF182">
        <v>0.74433962264150899</v>
      </c>
      <c r="AG182">
        <v>0.23076923076923</v>
      </c>
      <c r="AH182">
        <v>1.31370128725092E-2</v>
      </c>
      <c r="AI182">
        <v>3.4516129032257897E-2</v>
      </c>
      <c r="AJ182">
        <v>0.12767526228061499</v>
      </c>
      <c r="AK182">
        <v>0.112903225806451</v>
      </c>
      <c r="AL182">
        <v>1.5197568389057001E-4</v>
      </c>
      <c r="AM182">
        <v>2.4481199917813699E-2</v>
      </c>
      <c r="AN182">
        <v>6.4516129032258004E-3</v>
      </c>
      <c r="AO182">
        <v>3.38273360133345E-2</v>
      </c>
      <c r="AP182">
        <v>1.2980684380821599E-2</v>
      </c>
      <c r="AQ182">
        <v>0</v>
      </c>
    </row>
    <row r="183" spans="1:43" x14ac:dyDescent="0.4">
      <c r="A183" t="s">
        <v>214</v>
      </c>
      <c r="B183" t="s">
        <v>222</v>
      </c>
      <c r="D183">
        <v>441</v>
      </c>
      <c r="E183">
        <v>504</v>
      </c>
      <c r="F183" s="2">
        <f>AD183+J183</f>
        <v>105.94104171443448</v>
      </c>
      <c r="G183" s="2">
        <f>$AD183*AF183</f>
        <v>75.027139208263762</v>
      </c>
      <c r="H183" s="2">
        <f>$AD183*AG183</f>
        <v>18.138945321456468</v>
      </c>
      <c r="I183" s="2">
        <f>$AD183*AH183</f>
        <v>1.9168028871494796</v>
      </c>
      <c r="J183" s="2">
        <f>$E183*AI183</f>
        <v>9.1999999999999726</v>
      </c>
      <c r="K183" s="2">
        <f>$E183*AJ183</f>
        <v>62.78481012658176</v>
      </c>
      <c r="L183" s="2">
        <f>$E183*AK183</f>
        <v>40.999999999999972</v>
      </c>
      <c r="M183" s="2">
        <f>$E183*(AB183/100)</f>
        <v>36.945569618999997</v>
      </c>
      <c r="N183" s="2">
        <f>$E183*AL183</f>
        <v>0</v>
      </c>
      <c r="O183" s="2">
        <f>$E183*(AA183/100)</f>
        <v>107.54430382080001</v>
      </c>
      <c r="P183" s="2">
        <f>$E183*AM183</f>
        <v>13.274999999999942</v>
      </c>
      <c r="Q183" s="2">
        <f>$E183*AN183</f>
        <v>2.9999999999999738</v>
      </c>
      <c r="R183" s="2">
        <f>$E183*AQ183</f>
        <v>9.6136363636363011</v>
      </c>
      <c r="S183" s="2">
        <f>$E183*AO183</f>
        <v>37.481012658227783</v>
      </c>
      <c r="T183" s="2">
        <f>$E183*AP183</f>
        <v>5.9468354430379273</v>
      </c>
      <c r="U183" s="2">
        <f>S183-T183</f>
        <v>31.534177215189857</v>
      </c>
      <c r="V183" s="1">
        <f>F183/D183</f>
        <v>0.24022911953386503</v>
      </c>
      <c r="W183" s="1">
        <f>(F183+M183+N183+P183)/(D183+M183+N183+Q183)</f>
        <v>0.32469705762576001</v>
      </c>
      <c r="X183" s="1">
        <f>(G183+H183*2+I183*3+J183*4)/D183</f>
        <v>0.3488785453801021</v>
      </c>
      <c r="Y183" s="1">
        <f>W183+X183</f>
        <v>0.67357560300586217</v>
      </c>
      <c r="Z183">
        <v>0.29561301099999998</v>
      </c>
      <c r="AA183">
        <v>21.338155520000001</v>
      </c>
      <c r="AB183">
        <v>7.3304701625000002</v>
      </c>
      <c r="AD183" s="2">
        <f>(D183-O183-J183+Q183)*Z183</f>
        <v>96.741041714434502</v>
      </c>
      <c r="AE183">
        <v>0.22046365900000001</v>
      </c>
      <c r="AF183">
        <v>0.77554611650485406</v>
      </c>
      <c r="AG183">
        <v>0.1875</v>
      </c>
      <c r="AH183">
        <v>1.9813750743015598E-2</v>
      </c>
      <c r="AI183">
        <v>1.82539682539682E-2</v>
      </c>
      <c r="AJ183">
        <v>0.12457303596544</v>
      </c>
      <c r="AK183">
        <v>8.1349206349206296E-2</v>
      </c>
      <c r="AL183">
        <v>0</v>
      </c>
      <c r="AM183">
        <v>2.63392857142856E-2</v>
      </c>
      <c r="AN183">
        <v>5.9523809523809E-3</v>
      </c>
      <c r="AO183">
        <v>7.4367088607594806E-2</v>
      </c>
      <c r="AP183">
        <v>1.17992766726943E-2</v>
      </c>
      <c r="AQ183">
        <v>1.9074675324675199E-2</v>
      </c>
    </row>
    <row r="184" spans="1:43" x14ac:dyDescent="0.4">
      <c r="A184" t="s">
        <v>223</v>
      </c>
      <c r="B184" s="3" t="s">
        <v>224</v>
      </c>
      <c r="D184">
        <v>516</v>
      </c>
      <c r="E184">
        <v>566</v>
      </c>
      <c r="F184" s="2">
        <f>AD184+J184</f>
        <v>131.22049333988195</v>
      </c>
      <c r="G184" s="2">
        <f>$AD184*AF184</f>
        <v>82.465888378099407</v>
      </c>
      <c r="H184" s="2">
        <f>$AD184*AG184</f>
        <v>25.050112122700412</v>
      </c>
      <c r="I184" s="2">
        <f>$AD184*AH184</f>
        <v>2.6217585238143641</v>
      </c>
      <c r="J184" s="2">
        <f>$E184*AI184</f>
        <v>20.999999999999993</v>
      </c>
      <c r="K184" s="2">
        <f>$E184*AJ184</f>
        <v>68.5497536945809</v>
      </c>
      <c r="L184" s="2">
        <f>$E184*AK184</f>
        <v>68.999999999999687</v>
      </c>
      <c r="M184" s="2">
        <f>$E184*(AB184/100)</f>
        <v>40.275205253529997</v>
      </c>
      <c r="N184" s="2">
        <f>$E184*AL184</f>
        <v>0.99293924466336991</v>
      </c>
      <c r="O184" s="2">
        <f>$E184*(AA184/100)</f>
        <v>148.70279148</v>
      </c>
      <c r="P184" s="2">
        <f>$E184*AM184</f>
        <v>4.9854202401372216</v>
      </c>
      <c r="Q184" s="2">
        <f>$E184*AN184</f>
        <v>3.5999999999999597</v>
      </c>
      <c r="R184" s="2">
        <f>$E184*AQ184</f>
        <v>0.39999999999999553</v>
      </c>
      <c r="S184" s="2">
        <f>$E184*AO184</f>
        <v>6.950574712643629</v>
      </c>
      <c r="T184" s="2">
        <f>$E184*AP184</f>
        <v>2.9788177339901156</v>
      </c>
      <c r="U184" s="2">
        <f>S184-T184</f>
        <v>3.9717569786535134</v>
      </c>
      <c r="V184" s="1">
        <f>F184/D184</f>
        <v>0.2543032816664379</v>
      </c>
      <c r="W184" s="1">
        <f>(F184+M184+N184+P184)/(D184+M184+N184+Q184)</f>
        <v>0.31642741670949764</v>
      </c>
      <c r="X184" s="1">
        <f>(G184+H184*2+I184*3+J184*4)/D184</f>
        <v>0.43494455076539401</v>
      </c>
      <c r="Y184" s="1">
        <f>W184+X184</f>
        <v>0.75137196747489166</v>
      </c>
      <c r="Z184">
        <v>0.31500821000000001</v>
      </c>
      <c r="AA184">
        <v>26.272577999999999</v>
      </c>
      <c r="AB184">
        <v>7.1157606455</v>
      </c>
      <c r="AD184" s="2">
        <f>(D184-O184-J184+Q184)*Z184</f>
        <v>110.22049333988195</v>
      </c>
      <c r="AE184">
        <v>0.22865196800000001</v>
      </c>
      <c r="AF184">
        <v>0.74819015846538695</v>
      </c>
      <c r="AG184">
        <v>0.22727272727272699</v>
      </c>
      <c r="AH184">
        <v>2.37864887406171E-2</v>
      </c>
      <c r="AI184">
        <v>3.7102473498233202E-2</v>
      </c>
      <c r="AJ184">
        <v>0.121112639036362</v>
      </c>
      <c r="AK184">
        <v>0.12190812720848</v>
      </c>
      <c r="AL184">
        <v>1.7543096195465899E-3</v>
      </c>
      <c r="AM184">
        <v>8.8081629684403206E-3</v>
      </c>
      <c r="AN184">
        <v>6.3604240282684804E-3</v>
      </c>
      <c r="AO184">
        <v>1.22801673368262E-2</v>
      </c>
      <c r="AP184">
        <v>5.26292885863978E-3</v>
      </c>
      <c r="AQ184">
        <v>7.0671378091871997E-4</v>
      </c>
    </row>
    <row r="185" spans="1:43" x14ac:dyDescent="0.4">
      <c r="A185" t="s">
        <v>223</v>
      </c>
      <c r="B185" s="3" t="s">
        <v>225</v>
      </c>
      <c r="D185">
        <v>472</v>
      </c>
      <c r="E185">
        <v>520</v>
      </c>
      <c r="F185" s="2">
        <f>AD185+J185</f>
        <v>135.98226521115095</v>
      </c>
      <c r="G185" s="2">
        <f>$AD185*AF185</f>
        <v>91.841558359006683</v>
      </c>
      <c r="H185" s="2">
        <f>$AD185*AG185</f>
        <v>31.392401772365442</v>
      </c>
      <c r="I185" s="2">
        <f>$AD185*AH185</f>
        <v>3.0624741583342887</v>
      </c>
      <c r="J185" s="2">
        <f>$E185*AI185</f>
        <v>9.3999999999999613</v>
      </c>
      <c r="K185" s="2">
        <f>$E185*AJ185</f>
        <v>60.441558441558314</v>
      </c>
      <c r="L185" s="2">
        <f>$E185*AK185</f>
        <v>52</v>
      </c>
      <c r="M185" s="2">
        <f>$E185*(AB185/100)</f>
        <v>39.798701297160001</v>
      </c>
      <c r="N185" s="2">
        <f>$E185*AL185</f>
        <v>2.0532467532467278</v>
      </c>
      <c r="O185" s="2">
        <f>$E185*(AA185/100)</f>
        <v>44.740259740799999</v>
      </c>
      <c r="P185" s="2">
        <f>$E185*AM185</f>
        <v>3.9482142857142386</v>
      </c>
      <c r="Q185" s="2">
        <f>$E185*AN185</f>
        <v>3.5999999999999512</v>
      </c>
      <c r="R185" s="2">
        <f>$E185*AQ185</f>
        <v>1.7928571428571336</v>
      </c>
      <c r="S185" s="2">
        <f>$E185*AO185</f>
        <v>7.7064935064934437</v>
      </c>
      <c r="T185" s="2">
        <f>$E185*AP185</f>
        <v>3.2064935064934721</v>
      </c>
      <c r="U185" s="2">
        <f>S185-T185</f>
        <v>4.4999999999999716</v>
      </c>
      <c r="V185" s="1">
        <f>F185/D185</f>
        <v>0.28809801951515029</v>
      </c>
      <c r="W185" s="1">
        <f>(F185+M185+N185+P185)/(D185+M185+N185+Q185)</f>
        <v>0.3513030112886229</v>
      </c>
      <c r="X185" s="1">
        <f>(G185+H185*2+I185*3+J185*4)/D185</f>
        <v>0.4267241194464837</v>
      </c>
      <c r="Y185" s="1">
        <f>W185+X185</f>
        <v>0.77802713073510654</v>
      </c>
      <c r="Z185">
        <v>0.3003424838</v>
      </c>
      <c r="AA185">
        <v>8.6038961040000004</v>
      </c>
      <c r="AB185">
        <v>7.6535964032999999</v>
      </c>
      <c r="AD185" s="2">
        <f>(D185-O185-J185+Q185)*Z185</f>
        <v>126.58226521115098</v>
      </c>
      <c r="AE185">
        <v>0.25737694100000003</v>
      </c>
      <c r="AF185">
        <v>0.72554838709677405</v>
      </c>
      <c r="AG185">
        <v>0.248</v>
      </c>
      <c r="AH185">
        <v>2.4193548387096701E-2</v>
      </c>
      <c r="AI185">
        <v>1.8076923076923001E-2</v>
      </c>
      <c r="AJ185">
        <v>0.11623376623376599</v>
      </c>
      <c r="AK185">
        <v>0.1</v>
      </c>
      <c r="AL185">
        <v>3.9485514485513998E-3</v>
      </c>
      <c r="AM185">
        <v>7.5927197802196896E-3</v>
      </c>
      <c r="AN185">
        <v>6.9230769230768296E-3</v>
      </c>
      <c r="AO185">
        <v>1.4820179820179699E-2</v>
      </c>
      <c r="AP185">
        <v>6.1663336663335998E-3</v>
      </c>
      <c r="AQ185">
        <v>3.4478021978021798E-3</v>
      </c>
    </row>
    <row r="186" spans="1:43" x14ac:dyDescent="0.4">
      <c r="A186" t="s">
        <v>223</v>
      </c>
      <c r="B186" t="s">
        <v>226</v>
      </c>
      <c r="D186">
        <v>549</v>
      </c>
      <c r="E186">
        <v>624</v>
      </c>
      <c r="F186" s="2">
        <f>AD186+J186</f>
        <v>132.14825788850078</v>
      </c>
      <c r="G186" s="2">
        <f>$AD186*AF186</f>
        <v>72.622345755350494</v>
      </c>
      <c r="H186" s="2">
        <f>$AD186*AG186</f>
        <v>30.158151313990583</v>
      </c>
      <c r="I186" s="2">
        <f>$AD186*AH186</f>
        <v>2.3560690104303137</v>
      </c>
      <c r="J186" s="2">
        <f>$E186*AI186</f>
        <v>27.59999999999992</v>
      </c>
      <c r="K186" s="2">
        <f>$E186*AJ186</f>
        <v>81.020324005890672</v>
      </c>
      <c r="L186" s="2">
        <f>$E186*AK186</f>
        <v>76.999999999999446</v>
      </c>
      <c r="M186" s="2">
        <f>$E186*(AB186/100)</f>
        <v>63.224889567839995</v>
      </c>
      <c r="N186" s="2">
        <f>$E186*AL186</f>
        <v>1.0837997054491839</v>
      </c>
      <c r="O186" s="2">
        <f>$E186*(AA186/100)</f>
        <v>161.74374078720001</v>
      </c>
      <c r="P186" s="2">
        <f>$E186*AM186</f>
        <v>7.0316582914572381</v>
      </c>
      <c r="Q186" s="2">
        <f>$E186*AN186</f>
        <v>4.5999999999999925</v>
      </c>
      <c r="R186" s="2">
        <f>$E186*AQ186</f>
        <v>0</v>
      </c>
      <c r="S186" s="2">
        <f>$E186*AO186</f>
        <v>9.0189985272459072</v>
      </c>
      <c r="T186" s="2">
        <f>$E186*AP186</f>
        <v>2.0756995581737816</v>
      </c>
      <c r="U186" s="2">
        <f>S186-T186</f>
        <v>6.9432989690721261</v>
      </c>
      <c r="V186" s="1">
        <f>F186/D186</f>
        <v>0.24070720926867173</v>
      </c>
      <c r="W186" s="1">
        <f>(F186+M186+N186+P186)/(D186+M186+N186+Q186)</f>
        <v>0.32931824553651495</v>
      </c>
      <c r="X186" s="1">
        <f>(G186+H186*2+I186*3+J186*4)/D186</f>
        <v>0.45611449073701688</v>
      </c>
      <c r="Y186" s="1">
        <f>W186+X186</f>
        <v>0.78543273627353183</v>
      </c>
      <c r="Z186">
        <v>0.28701842519999998</v>
      </c>
      <c r="AA186">
        <v>25.920471280000001</v>
      </c>
      <c r="AB186">
        <v>10.132193840999999</v>
      </c>
      <c r="AD186" s="2">
        <f>(D186-O186-J186+Q186)*Z186</f>
        <v>104.54825788850086</v>
      </c>
      <c r="AE186">
        <v>0.21256765799999999</v>
      </c>
      <c r="AF186">
        <v>0.69462989840348299</v>
      </c>
      <c r="AG186">
        <v>0.28846153846153799</v>
      </c>
      <c r="AH186">
        <v>2.2535707988009E-2</v>
      </c>
      <c r="AI186">
        <v>4.4230769230769101E-2</v>
      </c>
      <c r="AJ186">
        <v>0.12984026282995301</v>
      </c>
      <c r="AK186">
        <v>0.123397435897435</v>
      </c>
      <c r="AL186">
        <v>1.73685850232241E-3</v>
      </c>
      <c r="AM186">
        <v>1.1268683159386599E-2</v>
      </c>
      <c r="AN186">
        <v>7.3717948717948604E-3</v>
      </c>
      <c r="AO186">
        <v>1.44535232808428E-2</v>
      </c>
      <c r="AP186">
        <v>3.3264415996374702E-3</v>
      </c>
      <c r="AQ186">
        <v>0</v>
      </c>
    </row>
    <row r="187" spans="1:43" x14ac:dyDescent="0.4">
      <c r="A187" t="s">
        <v>223</v>
      </c>
      <c r="B187" s="3" t="s">
        <v>227</v>
      </c>
      <c r="D187">
        <v>490</v>
      </c>
      <c r="E187">
        <v>537</v>
      </c>
      <c r="F187" s="2">
        <f>AD187+J187</f>
        <v>114.16387307298521</v>
      </c>
      <c r="G187" s="2">
        <f>$AD187*AF187</f>
        <v>71.373678953174931</v>
      </c>
      <c r="H187" s="2">
        <f>$AD187*AG187</f>
        <v>22.991521231414872</v>
      </c>
      <c r="I187" s="2">
        <f>$AD187*AH187</f>
        <v>3.0112606471624388</v>
      </c>
      <c r="J187" s="2">
        <f>$E187*AI187</f>
        <v>16.199999999999932</v>
      </c>
      <c r="K187" s="2">
        <f>$E187*AJ187</f>
        <v>65.928399311531336</v>
      </c>
      <c r="L187" s="2">
        <f>$E187*AK187</f>
        <v>56.999999999999979</v>
      </c>
      <c r="M187" s="2">
        <f>$E187*(AB187/100)</f>
        <v>34.112220309935999</v>
      </c>
      <c r="N187" s="2">
        <f>$E187*AL187</f>
        <v>0</v>
      </c>
      <c r="O187" s="2">
        <f>$E187*(AA187/100)</f>
        <v>163.59552497369998</v>
      </c>
      <c r="P187" s="2">
        <f>$E187*AM187</f>
        <v>7.1767346938775054</v>
      </c>
      <c r="Q187" s="2">
        <f>$E187*AN187</f>
        <v>2.9999999999999729</v>
      </c>
      <c r="R187" s="2">
        <f>$E187*AQ187</f>
        <v>1.0575510204081486</v>
      </c>
      <c r="S187" s="2">
        <f>$E187*AO187</f>
        <v>19.756110154905301</v>
      </c>
      <c r="T187" s="2">
        <f>$E187*AP187</f>
        <v>4.0621342512908747</v>
      </c>
      <c r="U187" s="2">
        <f>S187-T187</f>
        <v>15.693975903614426</v>
      </c>
      <c r="V187" s="1">
        <f>F187/D187</f>
        <v>0.23298749606731675</v>
      </c>
      <c r="W187" s="1">
        <f>(F187+M187+N187+P187)/(D187+M187+N187+Q187)</f>
        <v>0.29491410384186162</v>
      </c>
      <c r="X187" s="1">
        <f>(G187+H187*2+I187*3+J187*4)/D187</f>
        <v>0.3901847007295749</v>
      </c>
      <c r="Y187" s="1">
        <f>W187+X187</f>
        <v>0.68509880457143657</v>
      </c>
      <c r="Z187">
        <v>0.31277928919999998</v>
      </c>
      <c r="AA187">
        <v>30.46471601</v>
      </c>
      <c r="AB187">
        <v>6.3523687728000002</v>
      </c>
      <c r="AD187" s="2">
        <f>(D187-O187-J187+Q187)*Z187</f>
        <v>97.96387307298528</v>
      </c>
      <c r="AE187">
        <v>0.21560639400000001</v>
      </c>
      <c r="AF187">
        <v>0.72857142857142798</v>
      </c>
      <c r="AG187">
        <v>0.23469387755102</v>
      </c>
      <c r="AH187">
        <v>3.07384809593939E-2</v>
      </c>
      <c r="AI187">
        <v>3.0167597765363E-2</v>
      </c>
      <c r="AJ187">
        <v>0.122771693317563</v>
      </c>
      <c r="AK187">
        <v>0.106145251396648</v>
      </c>
      <c r="AL187">
        <v>0</v>
      </c>
      <c r="AM187">
        <v>1.3364496636643399E-2</v>
      </c>
      <c r="AN187">
        <v>5.5865921787708996E-3</v>
      </c>
      <c r="AO187">
        <v>3.6789776824777097E-2</v>
      </c>
      <c r="AP187">
        <v>7.5644958124597298E-3</v>
      </c>
      <c r="AQ187">
        <v>1.9693687530878E-3</v>
      </c>
    </row>
    <row r="188" spans="1:43" x14ac:dyDescent="0.4">
      <c r="A188" t="s">
        <v>223</v>
      </c>
      <c r="B188" t="s">
        <v>228</v>
      </c>
      <c r="D188">
        <v>571</v>
      </c>
      <c r="E188">
        <v>642</v>
      </c>
      <c r="F188" s="2">
        <f>AD188+J188</f>
        <v>139.83192035045644</v>
      </c>
      <c r="G188" s="2">
        <f>$AD188*AF188</f>
        <v>83.048085253455056</v>
      </c>
      <c r="H188" s="2">
        <f>$AD188*AG188</f>
        <v>29.733265090743149</v>
      </c>
      <c r="I188" s="2">
        <f>$AD188*AH188</f>
        <v>1.0252850031290726</v>
      </c>
      <c r="J188" s="2">
        <f>$E188*AI188</f>
        <v>24.999999999999968</v>
      </c>
      <c r="K188" s="2">
        <f>$E188*AJ188</f>
        <v>79.576785714285421</v>
      </c>
      <c r="L188" s="2">
        <f>$E188*AK188</f>
        <v>82.999999999999872</v>
      </c>
      <c r="M188" s="2">
        <f>$E188*(AB188/100)</f>
        <v>63.100892856126002</v>
      </c>
      <c r="N188" s="2">
        <f>$E188*AL188</f>
        <v>1.9910714285713726</v>
      </c>
      <c r="O188" s="2">
        <f>$E188*(AA188/100)</f>
        <v>150.9464285592</v>
      </c>
      <c r="P188" s="2">
        <f>$E188*AM188</f>
        <v>2.8990697674418096</v>
      </c>
      <c r="Q188" s="2">
        <f>$E188*AN188</f>
        <v>4.5999999999999535</v>
      </c>
      <c r="R188" s="2">
        <f>$E188*AQ188</f>
        <v>0</v>
      </c>
      <c r="S188" s="2">
        <f>$E188*AO188</f>
        <v>13.037499999999939</v>
      </c>
      <c r="T188" s="2">
        <f>$E188*AP188</f>
        <v>3.0821428571428062</v>
      </c>
      <c r="U188" s="2">
        <f>S188-T188</f>
        <v>9.9553571428571335</v>
      </c>
      <c r="V188" s="1">
        <f>F188/D188</f>
        <v>0.24488952775911813</v>
      </c>
      <c r="W188" s="1">
        <f>(F188+M188+N188+P188)/(D188+M188+N188+Q188)</f>
        <v>0.32437265642096857</v>
      </c>
      <c r="X188" s="1">
        <f>(G188+H188*2+I188*3+J188*4)/D188</f>
        <v>0.43010590270460325</v>
      </c>
      <c r="Y188" s="1">
        <f>W188+X188</f>
        <v>0.75447855912557182</v>
      </c>
      <c r="Z188">
        <v>0.28732864800000002</v>
      </c>
      <c r="AA188">
        <v>23.51190476</v>
      </c>
      <c r="AB188">
        <v>9.8287995102999997</v>
      </c>
      <c r="AD188" s="2">
        <f>(D188-O188-J188+Q188)*Z188</f>
        <v>114.83192035045649</v>
      </c>
      <c r="AE188">
        <v>0.212739389</v>
      </c>
      <c r="AF188">
        <v>0.72321428571428503</v>
      </c>
      <c r="AG188">
        <v>0.25892857142857101</v>
      </c>
      <c r="AH188">
        <v>8.9285714285714003E-3</v>
      </c>
      <c r="AI188">
        <v>3.8940809968847301E-2</v>
      </c>
      <c r="AJ188">
        <v>0.123951379617267</v>
      </c>
      <c r="AK188">
        <v>0.129283489096573</v>
      </c>
      <c r="AL188">
        <v>3.1013573653759698E-3</v>
      </c>
      <c r="AM188">
        <v>4.5156849960152796E-3</v>
      </c>
      <c r="AN188">
        <v>7.1651090342678397E-3</v>
      </c>
      <c r="AO188">
        <v>2.03076323987538E-2</v>
      </c>
      <c r="AP188">
        <v>4.8008455718735301E-3</v>
      </c>
      <c r="AQ188">
        <v>0</v>
      </c>
    </row>
    <row r="189" spans="1:43" x14ac:dyDescent="0.4">
      <c r="A189" t="s">
        <v>229</v>
      </c>
      <c r="B189" s="3" t="s">
        <v>230</v>
      </c>
      <c r="D189">
        <v>446</v>
      </c>
      <c r="E189">
        <v>485</v>
      </c>
      <c r="F189" s="2">
        <f>AD189+J189</f>
        <v>116.76728744579103</v>
      </c>
      <c r="G189" s="2">
        <f>$AD189*AF189</f>
        <v>80.085875440300569</v>
      </c>
      <c r="H189" s="2">
        <f>$AD189*AG189</f>
        <v>20.231146028869514</v>
      </c>
      <c r="I189" s="2">
        <f>$AD189*AH189</f>
        <v>0.99580527645620942</v>
      </c>
      <c r="J189" s="2">
        <f>$E189*AI189</f>
        <v>14.599999999999973</v>
      </c>
      <c r="K189" s="2">
        <f>$E189*AJ189</f>
        <v>57.15451127819523</v>
      </c>
      <c r="L189" s="2">
        <f>$E189*AK189</f>
        <v>60.999999999999673</v>
      </c>
      <c r="M189" s="2">
        <f>$E189*(AB189/100)</f>
        <v>32.799624058854995</v>
      </c>
      <c r="N189" s="2">
        <f>$E189*AL189</f>
        <v>0.39999999999998198</v>
      </c>
      <c r="O189" s="2">
        <f>$E189*(AA189/100)</f>
        <v>66.550751873499991</v>
      </c>
      <c r="P189" s="2">
        <f>$E189*AM189</f>
        <v>3.055963302752259</v>
      </c>
      <c r="Q189" s="2">
        <f>$E189*AN189</f>
        <v>3.9999999999999658</v>
      </c>
      <c r="R189" s="2">
        <f>$E189*AQ189</f>
        <v>0.93394495412842204</v>
      </c>
      <c r="S189" s="2">
        <f>$E189*AO189</f>
        <v>6.0381578947367887</v>
      </c>
      <c r="T189" s="2">
        <f>$E189*AP189</f>
        <v>1.9823308270676319</v>
      </c>
      <c r="U189" s="2">
        <f>S189-T189</f>
        <v>4.0558270676691563</v>
      </c>
      <c r="V189" s="1">
        <f>F189/D189</f>
        <v>0.26181006153764802</v>
      </c>
      <c r="W189" s="1">
        <f>(F189+M189+N189+P189)/(D189+M189+N189+Q189)</f>
        <v>0.31668665948456881</v>
      </c>
      <c r="X189" s="1">
        <f>(G189+H189*2+I189*3+J189*4)/D189</f>
        <v>0.40792731687759665</v>
      </c>
      <c r="Y189" s="1">
        <f>W189+X189</f>
        <v>0.72461397636216551</v>
      </c>
      <c r="Z189">
        <v>0.27698927940000001</v>
      </c>
      <c r="AA189">
        <v>13.72180451</v>
      </c>
      <c r="AB189">
        <v>6.7628090842999997</v>
      </c>
      <c r="AD189" s="2">
        <f>(D189-O189-J189+Q189)*Z189</f>
        <v>102.16728744579105</v>
      </c>
      <c r="AE189">
        <v>0.24463938900000001</v>
      </c>
      <c r="AF189">
        <v>0.78387003748918505</v>
      </c>
      <c r="AG189">
        <v>0.198019801980198</v>
      </c>
      <c r="AH189">
        <v>9.74681134589752E-3</v>
      </c>
      <c r="AI189">
        <v>3.0103092783505099E-2</v>
      </c>
      <c r="AJ189">
        <v>0.117844353150918</v>
      </c>
      <c r="AK189">
        <v>0.12577319587628799</v>
      </c>
      <c r="AL189">
        <v>8.2474226804119997E-4</v>
      </c>
      <c r="AM189">
        <v>6.3009552634067196E-3</v>
      </c>
      <c r="AN189">
        <v>8.2474226804123002E-3</v>
      </c>
      <c r="AO189">
        <v>1.24498100922408E-2</v>
      </c>
      <c r="AP189">
        <v>4.0872800558095501E-3</v>
      </c>
      <c r="AQ189">
        <v>1.92565969923386E-3</v>
      </c>
    </row>
    <row r="190" spans="1:43" x14ac:dyDescent="0.4">
      <c r="A190" t="s">
        <v>229</v>
      </c>
      <c r="B190" t="s">
        <v>231</v>
      </c>
      <c r="D190">
        <v>505</v>
      </c>
      <c r="E190">
        <v>570</v>
      </c>
      <c r="F190" s="2">
        <f>AD190+J190</f>
        <v>136.36566077563035</v>
      </c>
      <c r="G190" s="2">
        <f>$AD190*AF190</f>
        <v>97.375349942270631</v>
      </c>
      <c r="H190" s="2">
        <f>$AD190*AG190</f>
        <v>24.14819240818651</v>
      </c>
      <c r="I190" s="2">
        <f>$AD190*AH190</f>
        <v>1.9931841352788719</v>
      </c>
      <c r="J190" s="2">
        <f>$E190*AI190</f>
        <v>11.599999999999911</v>
      </c>
      <c r="K190" s="2">
        <f>$E190*AJ190</f>
        <v>66.833497536945686</v>
      </c>
      <c r="L190" s="2">
        <f>$E190*AK190</f>
        <v>60.999999999999929</v>
      </c>
      <c r="M190" s="2">
        <f>$E190*(AB190/100)</f>
        <v>49.24778325066</v>
      </c>
      <c r="N190" s="2">
        <f>$E190*AL190</f>
        <v>1.3935960591132608</v>
      </c>
      <c r="O190" s="2">
        <f>$E190*(AA190/100)</f>
        <v>75.812807876999997</v>
      </c>
      <c r="P190" s="2">
        <f>$E190*AM190</f>
        <v>11.168835616438269</v>
      </c>
      <c r="Q190" s="2">
        <f>$E190*AN190</f>
        <v>3.9999999999999813</v>
      </c>
      <c r="R190" s="2">
        <f>$E190*AQ190</f>
        <v>0.98561643835611601</v>
      </c>
      <c r="S190" s="2">
        <f>$E190*AO190</f>
        <v>5.9615763546797105</v>
      </c>
      <c r="T190" s="2">
        <f>$E190*AP190</f>
        <v>2.0807881773398678</v>
      </c>
      <c r="U190" s="2">
        <f>S190-T190</f>
        <v>3.8807881773398427</v>
      </c>
      <c r="V190" s="1">
        <f>F190/D190</f>
        <v>0.27003101143689179</v>
      </c>
      <c r="W190" s="1">
        <f>(F190+M190+N190+P190)/(D190+M190+N190+Q190)</f>
        <v>0.35411226372549442</v>
      </c>
      <c r="X190" s="1">
        <f>(G190+H190*2+I190*3+J190*4)/D190</f>
        <v>0.39218076666233642</v>
      </c>
      <c r="Y190" s="1">
        <f>W190+X190</f>
        <v>0.74629303038783079</v>
      </c>
      <c r="Z190">
        <v>0.29594272100000002</v>
      </c>
      <c r="AA190">
        <v>13.300492609999999</v>
      </c>
      <c r="AB190">
        <v>8.6399619738000002</v>
      </c>
      <c r="AD190" s="2">
        <f>(D190-O190-J190+Q190)*Z190</f>
        <v>124.76566077563042</v>
      </c>
      <c r="AE190">
        <v>0.24266907099999999</v>
      </c>
      <c r="AF190">
        <v>0.78046594982078799</v>
      </c>
      <c r="AG190">
        <v>0.19354838709677399</v>
      </c>
      <c r="AH190">
        <v>1.5975422427035198E-2</v>
      </c>
      <c r="AI190">
        <v>2.03508771929823E-2</v>
      </c>
      <c r="AJ190">
        <v>0.117251750064817</v>
      </c>
      <c r="AK190">
        <v>0.107017543859649</v>
      </c>
      <c r="AL190">
        <v>2.4449053668653699E-3</v>
      </c>
      <c r="AM190">
        <v>1.9594448449891701E-2</v>
      </c>
      <c r="AN190">
        <v>7.01754385964909E-3</v>
      </c>
      <c r="AO190">
        <v>1.0458905885403E-2</v>
      </c>
      <c r="AP190">
        <v>3.65050557428047E-3</v>
      </c>
      <c r="AQ190">
        <v>1.7291516462388001E-3</v>
      </c>
    </row>
    <row r="191" spans="1:43" x14ac:dyDescent="0.4">
      <c r="A191" t="s">
        <v>229</v>
      </c>
      <c r="B191" s="3" t="s">
        <v>232</v>
      </c>
      <c r="D191">
        <v>320</v>
      </c>
      <c r="E191">
        <v>368</v>
      </c>
      <c r="F191" s="2">
        <f>AD191+J191</f>
        <v>82.007229483168132</v>
      </c>
      <c r="G191" s="2">
        <f>$AD191*AF191</f>
        <v>56.235298385683549</v>
      </c>
      <c r="H191" s="2">
        <f>$AD191*AG191</f>
        <v>15.785346915279584</v>
      </c>
      <c r="I191" s="2">
        <f>$AD191*AH191</f>
        <v>0.98658418220497401</v>
      </c>
      <c r="J191" s="2">
        <f>$E191*AI191</f>
        <v>8.9999999999999876</v>
      </c>
      <c r="K191" s="2">
        <f>$E191*AJ191</f>
        <v>43.829145728642942</v>
      </c>
      <c r="L191" s="2">
        <f>$E191*AK191</f>
        <v>38.999999999999915</v>
      </c>
      <c r="M191" s="2">
        <f>$E191*(AB191/100)</f>
        <v>34.853266330639997</v>
      </c>
      <c r="N191" s="2">
        <f>$E191*AL191</f>
        <v>0</v>
      </c>
      <c r="O191" s="2">
        <f>$E191*(AA191/100)</f>
        <v>78.592964825600006</v>
      </c>
      <c r="P191" s="2">
        <f>$E191*AM191</f>
        <v>4.0766839378238187</v>
      </c>
      <c r="Q191" s="2">
        <f>$E191*AN191</f>
        <v>2.3999999999999768</v>
      </c>
      <c r="R191" s="2">
        <f>$E191*AQ191</f>
        <v>0.39999999999999619</v>
      </c>
      <c r="S191" s="2">
        <f>$E191*AO191</f>
        <v>5.0547738693467226</v>
      </c>
      <c r="T191" s="2">
        <f>$E191*AP191</f>
        <v>0.99246231155777842</v>
      </c>
      <c r="U191" s="2">
        <f>S191-T191</f>
        <v>4.0623115577889441</v>
      </c>
      <c r="V191" s="1">
        <f>F191/D191</f>
        <v>0.25627259213490039</v>
      </c>
      <c r="W191" s="1">
        <f>(F191+M191+N191+P191)/(D191+M191+N191+Q191)</f>
        <v>0.33851945146305223</v>
      </c>
      <c r="X191" s="1">
        <f>(G191+H191*2+I191*3+J191*4)/D191</f>
        <v>0.39614295238392999</v>
      </c>
      <c r="Y191" s="1">
        <f>W191+X191</f>
        <v>0.73466240384698223</v>
      </c>
      <c r="Z191">
        <v>0.31092437000000001</v>
      </c>
      <c r="AA191">
        <v>21.356783920000002</v>
      </c>
      <c r="AB191">
        <v>9.4709962855000001</v>
      </c>
      <c r="AD191" s="2">
        <f>(D191-O191-J191+Q191)*Z191</f>
        <v>73.007229483168146</v>
      </c>
      <c r="AE191">
        <v>0.22718739399999999</v>
      </c>
      <c r="AF191">
        <v>0.77027027027026995</v>
      </c>
      <c r="AG191">
        <v>0.21621621621621601</v>
      </c>
      <c r="AH191">
        <v>1.35135135135135E-2</v>
      </c>
      <c r="AI191">
        <v>2.4456521739130401E-2</v>
      </c>
      <c r="AJ191">
        <v>0.11910093948000799</v>
      </c>
      <c r="AK191">
        <v>0.10597826086956499</v>
      </c>
      <c r="AL191">
        <v>0</v>
      </c>
      <c r="AM191">
        <v>1.1077945483216899E-2</v>
      </c>
      <c r="AN191">
        <v>6.5217391304347198E-3</v>
      </c>
      <c r="AO191">
        <v>1.3735798558007399E-2</v>
      </c>
      <c r="AP191">
        <v>2.6969084553200499E-3</v>
      </c>
      <c r="AQ191">
        <v>1.08695652173912E-3</v>
      </c>
    </row>
    <row r="192" spans="1:43" x14ac:dyDescent="0.4">
      <c r="A192" t="s">
        <v>229</v>
      </c>
      <c r="B192" s="3" t="s">
        <v>233</v>
      </c>
      <c r="D192">
        <v>470</v>
      </c>
      <c r="E192">
        <v>517</v>
      </c>
      <c r="F192" s="2">
        <f>AD192+J192</f>
        <v>117.29732086205517</v>
      </c>
      <c r="G192" s="2">
        <f>$AD192*AF192</f>
        <v>75.528256088215187</v>
      </c>
      <c r="H192" s="2">
        <f>$AD192*AG192</f>
        <v>25.072872760307614</v>
      </c>
      <c r="I192" s="2">
        <f>$AD192*AH192</f>
        <v>2.0020892557449104</v>
      </c>
      <c r="J192" s="2">
        <f>$E192*AI192</f>
        <v>14.999999999999988</v>
      </c>
      <c r="K192" s="2">
        <f>$E192*AJ192</f>
        <v>55.878306878306461</v>
      </c>
      <c r="L192" s="2">
        <f>$E192*AK192</f>
        <v>58.999999999999524</v>
      </c>
      <c r="M192" s="2">
        <f>$E192*(AB192/100)</f>
        <v>36.138447969535996</v>
      </c>
      <c r="N192" s="2">
        <f>$E192*AL192</f>
        <v>0.39999999999998587</v>
      </c>
      <c r="O192" s="2">
        <f>$E192*(AA192/100)</f>
        <v>117.6243386175</v>
      </c>
      <c r="P192" s="2">
        <f>$E192*AM192</f>
        <v>6.0144312393887569</v>
      </c>
      <c r="Q192" s="2">
        <f>$E192*AN192</f>
        <v>3.3999999999999782</v>
      </c>
      <c r="R192" s="2">
        <f>$E192*AQ192</f>
        <v>0</v>
      </c>
      <c r="S192" s="2">
        <f>$E192*AO192</f>
        <v>6.0382716049382328</v>
      </c>
      <c r="T192" s="2">
        <f>$E192*AP192</f>
        <v>2.0735449735449518</v>
      </c>
      <c r="U192" s="2">
        <f>S192-T192</f>
        <v>3.964726631393281</v>
      </c>
      <c r="V192" s="1">
        <f>F192/D192</f>
        <v>0.24956876779160675</v>
      </c>
      <c r="W192" s="1">
        <f>(F192+M192+N192+P192)/(D192+M192+N192+Q192)</f>
        <v>0.3134695975709787</v>
      </c>
      <c r="X192" s="1">
        <f>(G192+H192*2+I192*3+J192*4)/D192</f>
        <v>0.40783036037460657</v>
      </c>
      <c r="Y192" s="1">
        <f>W192+X192</f>
        <v>0.72129995794558521</v>
      </c>
      <c r="Z192">
        <v>0.30018963339999999</v>
      </c>
      <c r="AA192">
        <v>22.75132275</v>
      </c>
      <c r="AB192">
        <v>6.9900286208000004</v>
      </c>
      <c r="AD192" s="2">
        <f>(D192-O192-J192+Q192)*Z192</f>
        <v>102.29732086205519</v>
      </c>
      <c r="AE192">
        <v>0.228672968</v>
      </c>
      <c r="AF192">
        <v>0.73832095945174103</v>
      </c>
      <c r="AG192">
        <v>0.24509803921568599</v>
      </c>
      <c r="AH192">
        <v>1.9571277516101E-2</v>
      </c>
      <c r="AI192">
        <v>2.9013539651837499E-2</v>
      </c>
      <c r="AJ192">
        <v>0.10808183148608599</v>
      </c>
      <c r="AK192">
        <v>0.11411992263056001</v>
      </c>
      <c r="AL192">
        <v>7.7369439071563997E-4</v>
      </c>
      <c r="AM192">
        <v>1.16333292831504E-2</v>
      </c>
      <c r="AN192">
        <v>6.57640232108313E-3</v>
      </c>
      <c r="AO192">
        <v>1.1679442175896001E-2</v>
      </c>
      <c r="AP192">
        <v>4.0107252873209896E-3</v>
      </c>
      <c r="AQ192">
        <v>0</v>
      </c>
    </row>
    <row r="193" spans="1:43" x14ac:dyDescent="0.4">
      <c r="A193" t="s">
        <v>229</v>
      </c>
      <c r="B193" t="s">
        <v>234</v>
      </c>
      <c r="D193">
        <v>426</v>
      </c>
      <c r="E193">
        <v>497</v>
      </c>
      <c r="F193" s="2">
        <f>AD193+J193</f>
        <v>103.6073718654398</v>
      </c>
      <c r="G193" s="2">
        <f>$AD193*AF193</f>
        <v>65.150065418030806</v>
      </c>
      <c r="H193" s="2">
        <f>$AD193*AG193</f>
        <v>20.301720101935938</v>
      </c>
      <c r="I193" s="2">
        <f>$AD193*AH193</f>
        <v>1.9865319490698556</v>
      </c>
      <c r="J193" s="2">
        <f>$E193*AI193</f>
        <v>16.599999999999941</v>
      </c>
      <c r="K193" s="2">
        <f>$E193*AJ193</f>
        <v>62.515789473683803</v>
      </c>
      <c r="L193" s="2">
        <f>$E193*AK193</f>
        <v>54.999999999999737</v>
      </c>
      <c r="M193" s="2">
        <f>$E193*(AB193/100)</f>
        <v>61.439473680830005</v>
      </c>
      <c r="N193" s="2">
        <f>$E193*AL193</f>
        <v>1.9868421052631169</v>
      </c>
      <c r="O193" s="2">
        <f>$E193*(AA193/100)</f>
        <v>100.8947368436</v>
      </c>
      <c r="P193" s="2">
        <f>$E193*AM193</f>
        <v>1.9046315789473256</v>
      </c>
      <c r="Q193" s="2">
        <f>$E193*AN193</f>
        <v>3.3999999999999719</v>
      </c>
      <c r="R193" s="2">
        <f>$E193*AQ193</f>
        <v>1.0277894736841904</v>
      </c>
      <c r="S193" s="2">
        <f>$E193*AO193</f>
        <v>8.9407894736841591</v>
      </c>
      <c r="T193" s="2">
        <f>$E193*AP193</f>
        <v>1.9868421052631169</v>
      </c>
      <c r="U193" s="2">
        <f>S193-T193</f>
        <v>6.9539473684210424</v>
      </c>
      <c r="V193" s="1">
        <f>F193/D193</f>
        <v>0.24320979311136104</v>
      </c>
      <c r="W193" s="1">
        <f>(F193+M193+N193+P193)/(D193+M193+N193+Q193)</f>
        <v>0.34279484235944585</v>
      </c>
      <c r="X193" s="1">
        <f>(G193+H193*2+I193*3+J193*4)/D193</f>
        <v>0.41810587199322069</v>
      </c>
      <c r="Y193" s="1">
        <f>W193+X193</f>
        <v>0.76090071435266649</v>
      </c>
      <c r="Z193">
        <v>0.27895448439999998</v>
      </c>
      <c r="AA193">
        <v>20.30075188</v>
      </c>
      <c r="AB193">
        <v>12.362067139000001</v>
      </c>
      <c r="AD193" s="2">
        <f>(D193-O193-J193+Q193)*Z193</f>
        <v>87.007371865439865</v>
      </c>
      <c r="AE193">
        <v>0.21401455699999999</v>
      </c>
      <c r="AF193">
        <v>0.748787878787878</v>
      </c>
      <c r="AG193">
        <v>0.233333333333333</v>
      </c>
      <c r="AH193">
        <v>2.2831765935214101E-2</v>
      </c>
      <c r="AI193">
        <v>3.3400402414486802E-2</v>
      </c>
      <c r="AJ193">
        <v>0.125786296727734</v>
      </c>
      <c r="AK193">
        <v>0.11066398390342</v>
      </c>
      <c r="AL193">
        <v>3.9976702319177403E-3</v>
      </c>
      <c r="AM193">
        <v>3.8322566980831499E-3</v>
      </c>
      <c r="AN193">
        <v>6.8410462776659397E-3</v>
      </c>
      <c r="AO193">
        <v>1.79895160436301E-2</v>
      </c>
      <c r="AP193">
        <v>3.9976702319177403E-3</v>
      </c>
      <c r="AQ193">
        <v>2.0679868685798599E-3</v>
      </c>
    </row>
    <row r="194" spans="1:43" x14ac:dyDescent="0.4">
      <c r="A194" t="s">
        <v>229</v>
      </c>
      <c r="B194" s="3" t="s">
        <v>235</v>
      </c>
      <c r="D194">
        <v>561</v>
      </c>
      <c r="E194">
        <v>615</v>
      </c>
      <c r="F194" s="2">
        <f>AD194+J194</f>
        <v>142.95192017312201</v>
      </c>
      <c r="G194" s="2">
        <f>$AD194*AF194</f>
        <v>98.566871217695819</v>
      </c>
      <c r="H194" s="2">
        <f>$AD194*AG194</f>
        <v>26.070384034624411</v>
      </c>
      <c r="I194" s="2">
        <f>$AD194*AH194</f>
        <v>3.9802113029960839</v>
      </c>
      <c r="J194" s="2">
        <f>$E194*AI194</f>
        <v>12.599999999999952</v>
      </c>
      <c r="K194" s="2">
        <f>$E194*AJ194</f>
        <v>76.830075187969712</v>
      </c>
      <c r="L194" s="2">
        <f>$E194*AK194</f>
        <v>60</v>
      </c>
      <c r="M194" s="2">
        <f>$E194*(AB194/100)</f>
        <v>38.546616543509941</v>
      </c>
      <c r="N194" s="2">
        <f>$E194*AL194</f>
        <v>9.2481203007516291E-2</v>
      </c>
      <c r="O194" s="2">
        <f>$E194*(AA194/100)</f>
        <v>107.278195473</v>
      </c>
      <c r="P194" s="2">
        <f>$E194*AM194</f>
        <v>2.9887323943661896</v>
      </c>
      <c r="Q194" s="2">
        <f>$E194*AN194</f>
        <v>4.3999999999999959</v>
      </c>
      <c r="R194" s="2">
        <f>$E194*AQ194</f>
        <v>2.9323943661971548</v>
      </c>
      <c r="S194" s="2">
        <f>$E194*AO194</f>
        <v>13.894736842105191</v>
      </c>
      <c r="T194" s="2">
        <f>$E194*AP194</f>
        <v>3.9699248120300674</v>
      </c>
      <c r="U194" s="2">
        <f>S194-T194</f>
        <v>9.9248120300751239</v>
      </c>
      <c r="V194" s="1">
        <f>F194/D194</f>
        <v>0.25481625699308735</v>
      </c>
      <c r="W194" s="1">
        <f>(F194+M194+N194+P194)/(D194+M194+N194+Q194)</f>
        <v>0.30557583276085187</v>
      </c>
      <c r="X194" s="1">
        <f>(G194+H194*2+I194*3+J194*4)/D194</f>
        <v>0.37976519286262511</v>
      </c>
      <c r="Y194" s="1">
        <f>W194+X194</f>
        <v>0.68534102562347698</v>
      </c>
      <c r="Z194">
        <v>0.29258258259999997</v>
      </c>
      <c r="AA194">
        <v>17.44360902</v>
      </c>
      <c r="AB194">
        <v>6.2677425273999896</v>
      </c>
      <c r="AD194" s="2">
        <f>(D194-O194-J194+Q194)*Z194</f>
        <v>130.35192017312204</v>
      </c>
      <c r="AE194">
        <v>0.23462406</v>
      </c>
      <c r="AF194">
        <v>0.75615971814445004</v>
      </c>
      <c r="AG194">
        <v>0.2</v>
      </c>
      <c r="AH194">
        <v>3.0534351145038101E-2</v>
      </c>
      <c r="AI194">
        <v>2.0487804878048702E-2</v>
      </c>
      <c r="AJ194">
        <v>0.124926951525154</v>
      </c>
      <c r="AK194">
        <v>9.7560975609756101E-2</v>
      </c>
      <c r="AL194">
        <v>1.5037593984961999E-4</v>
      </c>
      <c r="AM194">
        <v>4.8597274705141297E-3</v>
      </c>
      <c r="AN194">
        <v>7.1544715447154402E-3</v>
      </c>
      <c r="AO194">
        <v>2.2593068035943398E-2</v>
      </c>
      <c r="AP194">
        <v>6.4551622959838498E-3</v>
      </c>
      <c r="AQ194">
        <v>4.7681209206457799E-3</v>
      </c>
    </row>
    <row r="195" spans="1:43" x14ac:dyDescent="0.4">
      <c r="A195" t="s">
        <v>229</v>
      </c>
      <c r="B195" t="s">
        <v>236</v>
      </c>
      <c r="D195">
        <v>556</v>
      </c>
      <c r="E195">
        <v>611</v>
      </c>
      <c r="F195" s="2">
        <f>AD195+J195</f>
        <v>138.15144046649084</v>
      </c>
      <c r="G195" s="2">
        <f>$AD195*AF195</f>
        <v>94.132433998146922</v>
      </c>
      <c r="H195" s="2">
        <f>$AD195*AG195</f>
        <v>25.283916064388794</v>
      </c>
      <c r="I195" s="2">
        <f>$AD195*AH195</f>
        <v>0.98648721693844865</v>
      </c>
      <c r="J195" s="2">
        <f>$E195*AI195</f>
        <v>17.799999999999955</v>
      </c>
      <c r="K195" s="2">
        <f>$E195*AJ195</f>
        <v>64.514285714285521</v>
      </c>
      <c r="L195" s="2">
        <f>$E195*AK195</f>
        <v>75.999999999999687</v>
      </c>
      <c r="M195" s="2">
        <f>$E195*(AB195/100)</f>
        <v>42.164285715786001</v>
      </c>
      <c r="N195" s="2">
        <f>$E195*AL195</f>
        <v>1.6785714285713751</v>
      </c>
      <c r="O195" s="2">
        <f>$E195*(AA195/100)</f>
        <v>91.928571458099995</v>
      </c>
      <c r="P195" s="2">
        <f>$E195*AM195</f>
        <v>5.026724137930989</v>
      </c>
      <c r="Q195" s="2">
        <f>$E195*AN195</f>
        <v>5.999999999999952</v>
      </c>
      <c r="R195" s="2">
        <f>$E195*AQ195</f>
        <v>0</v>
      </c>
      <c r="S195" s="2">
        <f>$E195*AO195</f>
        <v>2.9785714285713785</v>
      </c>
      <c r="T195" s="2">
        <f>$E195*AP195</f>
        <v>1.0857142857142297</v>
      </c>
      <c r="U195" s="2">
        <f>S195-T195</f>
        <v>1.8928571428571488</v>
      </c>
      <c r="V195" s="1">
        <f>F195/D195</f>
        <v>0.2484738137886526</v>
      </c>
      <c r="W195" s="1">
        <f>(F195+M195+N195+P195)/(D195+M195+N195+Q195)</f>
        <v>0.30869559580235628</v>
      </c>
      <c r="X195" s="1">
        <f>(G195+H195*2+I195*3+J195*4)/D195</f>
        <v>0.39363260391679794</v>
      </c>
      <c r="Y195" s="1">
        <f>W195+X195</f>
        <v>0.70232819971915417</v>
      </c>
      <c r="Z195">
        <v>0.26610445160000001</v>
      </c>
      <c r="AA195">
        <v>15.045592709999999</v>
      </c>
      <c r="AB195">
        <v>6.9008650926000001</v>
      </c>
      <c r="AD195" s="2">
        <f>(D195-O195-J195+Q195)*Z195</f>
        <v>120.35144046649089</v>
      </c>
      <c r="AE195">
        <v>0.22960327699999999</v>
      </c>
      <c r="AF195">
        <v>0.782146301143408</v>
      </c>
      <c r="AG195">
        <v>0.21008403361344499</v>
      </c>
      <c r="AH195">
        <v>8.1967213114753999E-3</v>
      </c>
      <c r="AI195">
        <v>2.9132569558101399E-2</v>
      </c>
      <c r="AJ195">
        <v>0.10558802899228401</v>
      </c>
      <c r="AK195">
        <v>0.124386252045826</v>
      </c>
      <c r="AL195">
        <v>2.7472527472526599E-3</v>
      </c>
      <c r="AM195">
        <v>8.2270444155990007E-3</v>
      </c>
      <c r="AN195">
        <v>9.8199672667756994E-3</v>
      </c>
      <c r="AO195">
        <v>4.8749123217207502E-3</v>
      </c>
      <c r="AP195">
        <v>1.7769464577974299E-3</v>
      </c>
      <c r="AQ195">
        <v>0</v>
      </c>
    </row>
    <row r="196" spans="1:43" x14ac:dyDescent="0.4">
      <c r="A196" t="s">
        <v>229</v>
      </c>
      <c r="B196" t="s">
        <v>237</v>
      </c>
      <c r="D196">
        <v>317</v>
      </c>
      <c r="E196">
        <v>353</v>
      </c>
      <c r="F196" s="2">
        <f>AD196+J196</f>
        <v>69.167000810983865</v>
      </c>
      <c r="G196" s="2">
        <f>$AD196*AF196</f>
        <v>39.114092906572701</v>
      </c>
      <c r="H196" s="2">
        <f>$AD196*AG196</f>
        <v>13.241750202745976</v>
      </c>
      <c r="I196" s="2">
        <f>$AD196*AH196</f>
        <v>0.4074384677767986</v>
      </c>
      <c r="J196" s="2">
        <f>$E196*AI196</f>
        <v>16.199999999999953</v>
      </c>
      <c r="K196" s="2">
        <f>$E196*AJ196</f>
        <v>42.605418719211464</v>
      </c>
      <c r="L196" s="2">
        <f>$E196*AK196</f>
        <v>47.999999999999787</v>
      </c>
      <c r="M196" s="2">
        <f>$E196*(AB196/100)</f>
        <v>32.016995072867999</v>
      </c>
      <c r="N196" s="2">
        <f>$E196*AL196</f>
        <v>0.9869458128078813</v>
      </c>
      <c r="O196" s="2">
        <f>$E196*(AA196/100)</f>
        <v>114.7684729031</v>
      </c>
      <c r="P196" s="2">
        <f>$E196*AM196</f>
        <v>2.8381604696673182</v>
      </c>
      <c r="Q196" s="2">
        <f>$E196*AN196</f>
        <v>2</v>
      </c>
      <c r="R196" s="2">
        <f>$E196*AQ196</f>
        <v>0</v>
      </c>
      <c r="S196" s="2">
        <f>$E196*AO196</f>
        <v>4.0347290640393814</v>
      </c>
      <c r="T196" s="2">
        <f>$E196*AP196</f>
        <v>0.98694581280787774</v>
      </c>
      <c r="U196" s="2">
        <f>S196-T196</f>
        <v>3.0477832512315035</v>
      </c>
      <c r="V196" s="1">
        <f>F196/D196</f>
        <v>0.21819243158039073</v>
      </c>
      <c r="W196" s="1">
        <f>(F196+M196+N196+P196)/(D196+M196+N196+Q196)</f>
        <v>0.29831797309460234</v>
      </c>
      <c r="X196" s="1">
        <f>(G196+H196*2+I196*3+J196*4)/D196</f>
        <v>0.41520475935455786</v>
      </c>
      <c r="Y196" s="1">
        <f>W196+X196</f>
        <v>0.7135227324491602</v>
      </c>
      <c r="Z196">
        <v>0.28169212700000001</v>
      </c>
      <c r="AA196">
        <v>32.512315270000002</v>
      </c>
      <c r="AB196">
        <v>9.0699702755999994</v>
      </c>
      <c r="AD196" s="2">
        <f>(D196-O196-J196+Q196)*Z196</f>
        <v>52.967000810983905</v>
      </c>
      <c r="AE196">
        <v>0.194509826</v>
      </c>
      <c r="AF196">
        <v>0.73846153846153795</v>
      </c>
      <c r="AG196">
        <v>0.25</v>
      </c>
      <c r="AH196">
        <v>7.6923076923076797E-3</v>
      </c>
      <c r="AI196">
        <v>4.5892351274787399E-2</v>
      </c>
      <c r="AJ196">
        <v>0.120695237164905</v>
      </c>
      <c r="AK196">
        <v>0.13597733711048099</v>
      </c>
      <c r="AL196">
        <v>2.7958804895407401E-3</v>
      </c>
      <c r="AM196">
        <v>8.0401146449499104E-3</v>
      </c>
      <c r="AN196">
        <v>5.6657223796033997E-3</v>
      </c>
      <c r="AO196">
        <v>1.14298273768821E-2</v>
      </c>
      <c r="AP196">
        <v>2.7958804895407302E-3</v>
      </c>
      <c r="AQ196">
        <v>0</v>
      </c>
    </row>
    <row r="197" spans="1:43" x14ac:dyDescent="0.4">
      <c r="A197" t="s">
        <v>229</v>
      </c>
      <c r="B197" t="s">
        <v>238</v>
      </c>
      <c r="D197">
        <v>474</v>
      </c>
      <c r="E197">
        <v>552</v>
      </c>
      <c r="F197" s="2">
        <f>AD197+J197</f>
        <v>117.38460523753611</v>
      </c>
      <c r="G197" s="2">
        <f>$AD197*AF197</f>
        <v>73.193357710886701</v>
      </c>
      <c r="H197" s="2">
        <f>$AD197*AG197</f>
        <v>22.179805366935302</v>
      </c>
      <c r="I197" s="2">
        <f>$AD197*AH197</f>
        <v>1.0124179100505353</v>
      </c>
      <c r="J197" s="2">
        <f>$E197*AI197</f>
        <v>20.599999999999973</v>
      </c>
      <c r="K197" s="2">
        <f>$E197*AJ197</f>
        <v>68.712292358803609</v>
      </c>
      <c r="L197" s="2">
        <f>$E197*AK197</f>
        <v>67.999999999999744</v>
      </c>
      <c r="M197" s="2">
        <f>$E197*(AB197/100)</f>
        <v>58.068438556319997</v>
      </c>
      <c r="N197" s="2">
        <f>$E197*AL197</f>
        <v>1.4833887043189213</v>
      </c>
      <c r="O197" s="2">
        <f>$E197*(AA197/100)</f>
        <v>136.6245846912</v>
      </c>
      <c r="P197" s="2">
        <f>$E197*AM197</f>
        <v>17.131279620853014</v>
      </c>
      <c r="Q197" s="2">
        <f>$E197*AN197</f>
        <v>2.9999999999999711</v>
      </c>
      <c r="R197" s="2">
        <f>$E197*AQ197</f>
        <v>0</v>
      </c>
      <c r="S197" s="2">
        <f>$E197*AO197</f>
        <v>5.9501661129567776</v>
      </c>
      <c r="T197" s="2">
        <f>$E197*AP197</f>
        <v>1.9833887043189347</v>
      </c>
      <c r="U197" s="2">
        <f>S197-T197</f>
        <v>3.9667774086378431</v>
      </c>
      <c r="V197" s="1">
        <f>F197/D197</f>
        <v>0.2476468464926922</v>
      </c>
      <c r="W197" s="1">
        <f>(F197+M197+N197+P197)/(D197+M197+N197+Q197)</f>
        <v>0.36169425255681109</v>
      </c>
      <c r="X197" s="1">
        <f>(G197+H197*2+I197*3+J197*4)/D197</f>
        <v>0.42824941387111565</v>
      </c>
      <c r="Y197" s="1">
        <f>W197+X197</f>
        <v>0.78994366642792668</v>
      </c>
      <c r="Z197">
        <v>0.3026643094</v>
      </c>
      <c r="AA197">
        <v>24.750830560000001</v>
      </c>
      <c r="AB197">
        <v>10.519644666</v>
      </c>
      <c r="AD197" s="2">
        <f>(D197-O197-J197+Q197)*Z197</f>
        <v>96.784605237536141</v>
      </c>
      <c r="AE197">
        <v>0.212618592</v>
      </c>
      <c r="AF197">
        <v>0.75624999999999998</v>
      </c>
      <c r="AG197">
        <v>0.22916666666666599</v>
      </c>
      <c r="AH197">
        <v>1.0460526315789399E-2</v>
      </c>
      <c r="AI197">
        <v>3.7318840579710098E-2</v>
      </c>
      <c r="AJ197">
        <v>0.124478790505079</v>
      </c>
      <c r="AK197">
        <v>0.123188405797101</v>
      </c>
      <c r="AL197">
        <v>2.6872983773893501E-3</v>
      </c>
      <c r="AM197">
        <v>3.10349268493714E-2</v>
      </c>
      <c r="AN197">
        <v>5.4347826086956E-3</v>
      </c>
      <c r="AO197">
        <v>1.0779286436515901E-2</v>
      </c>
      <c r="AP197">
        <v>3.5930954788386499E-3</v>
      </c>
      <c r="AQ197">
        <v>0</v>
      </c>
    </row>
    <row r="198" spans="1:43" x14ac:dyDescent="0.4">
      <c r="A198" t="s">
        <v>239</v>
      </c>
      <c r="B198" t="s">
        <v>240</v>
      </c>
      <c r="D198">
        <v>428</v>
      </c>
      <c r="E198">
        <v>483</v>
      </c>
      <c r="F198" s="2">
        <f>AD198+J198</f>
        <v>103.06281243272649</v>
      </c>
      <c r="G198" s="2">
        <f>$AD198*AF198</f>
        <v>57.906196066807276</v>
      </c>
      <c r="H198" s="2">
        <f>$AD198*AG198</f>
        <v>22.125702142221936</v>
      </c>
      <c r="I198" s="2">
        <f>$AD198*AH198</f>
        <v>2.0419807960945926</v>
      </c>
      <c r="J198" s="2">
        <f>$E198*AI198</f>
        <v>21.59999999999998</v>
      </c>
      <c r="K198" s="2">
        <f>$E198*AJ198</f>
        <v>63.221052631578551</v>
      </c>
      <c r="L198" s="2">
        <f>$E198*AK198</f>
        <v>65.999999999999886</v>
      </c>
      <c r="M198" s="2">
        <f>$E198*(AB198/100)</f>
        <v>46.839473683169999</v>
      </c>
      <c r="N198" s="2">
        <f>$E198*AL198</f>
        <v>0.99078947368421</v>
      </c>
      <c r="O198" s="2">
        <f>$E198*(AA198/100)</f>
        <v>124.38157895100001</v>
      </c>
      <c r="P198" s="2">
        <f>$E198*AM198</f>
        <v>6.0541760722347346</v>
      </c>
      <c r="Q198" s="2">
        <f>$E198*AN198</f>
        <v>2.9999999999999991</v>
      </c>
      <c r="R198" s="2">
        <f>$E198*AQ198</f>
        <v>0</v>
      </c>
      <c r="S198" s="2">
        <f>$E198*AO198</f>
        <v>5.9447368421052316</v>
      </c>
      <c r="T198" s="2">
        <f>$E198*AP198</f>
        <v>0.99078947368421</v>
      </c>
      <c r="U198" s="2">
        <f>S198-T198</f>
        <v>4.9539473684210211</v>
      </c>
      <c r="V198" s="1">
        <f>F198/D198</f>
        <v>0.24080096362786563</v>
      </c>
      <c r="W198" s="1">
        <f>(F198+M198+N198+P198)/(D198+M198+N198+Q198)</f>
        <v>0.32777220601531393</v>
      </c>
      <c r="X198" s="1">
        <f>(G198+H198*2+I198*3+J198*4)/D198</f>
        <v>0.45486809051293192</v>
      </c>
      <c r="Y198" s="1">
        <f>W198+X198</f>
        <v>0.78264029652824585</v>
      </c>
      <c r="Z198">
        <v>0.28581595579999902</v>
      </c>
      <c r="AA198">
        <v>25.7518797</v>
      </c>
      <c r="AB198">
        <v>9.6976135990000003</v>
      </c>
      <c r="AD198" s="2">
        <f>(D198-O198-J198+Q198)*Z198</f>
        <v>81.462812432726508</v>
      </c>
      <c r="AE198">
        <v>0.20809202800000001</v>
      </c>
      <c r="AF198">
        <v>0.71082981715893101</v>
      </c>
      <c r="AG198">
        <v>0.27160493827160398</v>
      </c>
      <c r="AH198">
        <v>2.5066416627597999E-2</v>
      </c>
      <c r="AI198">
        <v>4.4720496894409899E-2</v>
      </c>
      <c r="AJ198">
        <v>0.130892448512585</v>
      </c>
      <c r="AK198">
        <v>0.13664596273291901</v>
      </c>
      <c r="AL198">
        <v>2.0513239620791098E-3</v>
      </c>
      <c r="AM198">
        <v>1.2534526029471501E-2</v>
      </c>
      <c r="AN198">
        <v>6.2111801242236003E-3</v>
      </c>
      <c r="AO198">
        <v>1.23079437724746E-2</v>
      </c>
      <c r="AP198">
        <v>2.0513239620791098E-3</v>
      </c>
      <c r="AQ198">
        <v>0</v>
      </c>
    </row>
    <row r="199" spans="1:43" x14ac:dyDescent="0.4">
      <c r="A199" t="s">
        <v>239</v>
      </c>
      <c r="B199" t="s">
        <v>241</v>
      </c>
      <c r="D199">
        <v>463</v>
      </c>
      <c r="E199">
        <v>521</v>
      </c>
      <c r="F199" s="2">
        <f>AD199+J199</f>
        <v>106.25704303659177</v>
      </c>
      <c r="G199" s="2">
        <f>$AD199*AF199</f>
        <v>61.191983708363878</v>
      </c>
      <c r="H199" s="2">
        <f>$AD199*AG199</f>
        <v>20.963830165884666</v>
      </c>
      <c r="I199" s="2">
        <f>$AD199*AH199</f>
        <v>3.0167462921638899</v>
      </c>
      <c r="J199" s="2">
        <f>$E199*AI199</f>
        <v>23.399999999999963</v>
      </c>
      <c r="K199" s="2">
        <f>$E199*AJ199</f>
        <v>64.727984344422239</v>
      </c>
      <c r="L199" s="2">
        <f>$E199*AK199</f>
        <v>64.999999999999545</v>
      </c>
      <c r="M199" s="2">
        <f>$E199*(AB199/100)</f>
        <v>46.293933463476002</v>
      </c>
      <c r="N199" s="2">
        <f>$E199*AL199</f>
        <v>1.1039138943248492</v>
      </c>
      <c r="O199" s="2">
        <f>$E199*(AA199/100)</f>
        <v>141.72015656759999</v>
      </c>
      <c r="P199" s="2">
        <f>$E199*AM199</f>
        <v>5.0361921097769988</v>
      </c>
      <c r="Q199" s="2">
        <f>$E199*AN199</f>
        <v>3.5999999999999894</v>
      </c>
      <c r="R199" s="2">
        <f>$E199*AQ199</f>
        <v>0.93619210977699474</v>
      </c>
      <c r="S199" s="2">
        <f>$E199*AO199</f>
        <v>9.0176125244617822</v>
      </c>
      <c r="T199" s="2">
        <f>$E199*AP199</f>
        <v>4.0078277886496929</v>
      </c>
      <c r="U199" s="2">
        <f>S199-T199</f>
        <v>5.0097847358120893</v>
      </c>
      <c r="V199" s="1">
        <f>F199/D199</f>
        <v>0.22949685321078137</v>
      </c>
      <c r="W199" s="1">
        <f>(F199+M199+N199+P199)/(D199+M199+N199+Q199)</f>
        <v>0.30873880760380423</v>
      </c>
      <c r="X199" s="1">
        <f>(G199+H199*2+I199*3+J199*4)/D199</f>
        <v>0.44442739290847677</v>
      </c>
      <c r="Y199" s="1">
        <f>W199+X199</f>
        <v>0.753166200512281</v>
      </c>
      <c r="Z199">
        <v>0.27483443699999999</v>
      </c>
      <c r="AA199">
        <v>27.201565559999999</v>
      </c>
      <c r="AB199">
        <v>8.8855918355999997</v>
      </c>
      <c r="AD199" s="2">
        <f>(D199-O199-J199+Q199)*Z199</f>
        <v>82.857043036591804</v>
      </c>
      <c r="AE199">
        <v>0.202164132</v>
      </c>
      <c r="AF199">
        <v>0.73852483103144195</v>
      </c>
      <c r="AG199">
        <v>0.25301204819277101</v>
      </c>
      <c r="AH199">
        <v>3.64090508374963E-2</v>
      </c>
      <c r="AI199">
        <v>4.49136276391554E-2</v>
      </c>
      <c r="AJ199">
        <v>0.12423797378967801</v>
      </c>
      <c r="AK199">
        <v>0.12476007677543099</v>
      </c>
      <c r="AL199">
        <v>2.1188366493759101E-3</v>
      </c>
      <c r="AM199">
        <v>9.6663956041785001E-3</v>
      </c>
      <c r="AN199">
        <v>6.9097888675623597E-3</v>
      </c>
      <c r="AO199">
        <v>1.73082773981992E-2</v>
      </c>
      <c r="AP199">
        <v>7.6925677325330004E-3</v>
      </c>
      <c r="AQ199">
        <v>1.79691383834356E-3</v>
      </c>
    </row>
    <row r="200" spans="1:43" x14ac:dyDescent="0.4">
      <c r="A200" t="s">
        <v>239</v>
      </c>
      <c r="B200" t="s">
        <v>242</v>
      </c>
      <c r="D200">
        <v>397</v>
      </c>
      <c r="E200">
        <v>455</v>
      </c>
      <c r="F200" s="2">
        <f>AD200+J200</f>
        <v>94.706212901871126</v>
      </c>
      <c r="G200" s="2">
        <f>$AD200*AF200</f>
        <v>64.027907871653667</v>
      </c>
      <c r="H200" s="2">
        <f>$AD200*AG200</f>
        <v>19.069262442089897</v>
      </c>
      <c r="I200" s="2">
        <f>$AD200*AH200</f>
        <v>1.5778239180970284</v>
      </c>
      <c r="J200" s="2">
        <f>$E200*AI200</f>
        <v>10.399999999999929</v>
      </c>
      <c r="K200" s="2">
        <f>$E200*AJ200</f>
        <v>54.080645161290022</v>
      </c>
      <c r="L200" s="2">
        <f>$E200*AK200</f>
        <v>44</v>
      </c>
      <c r="M200" s="2">
        <f>$E200*(AB200/100)</f>
        <v>43.732258064495007</v>
      </c>
      <c r="N200" s="2">
        <f>$E200*AL200</f>
        <v>1.2096774193548134</v>
      </c>
      <c r="O200" s="2">
        <f>$E200*(AA200/100)</f>
        <v>79.677419367000013</v>
      </c>
      <c r="P200" s="2">
        <f>$E200*AM200</f>
        <v>3.9493282149711706</v>
      </c>
      <c r="Q200" s="2">
        <f>$E200*AN200</f>
        <v>2.9999999999999574</v>
      </c>
      <c r="R200" s="2">
        <f>$E200*AQ200</f>
        <v>3.2959692898272324</v>
      </c>
      <c r="S200" s="2">
        <f>$E200*AO200</f>
        <v>19.887096774193513</v>
      </c>
      <c r="T200" s="2">
        <f>$E200*AP200</f>
        <v>4.9193548387096291</v>
      </c>
      <c r="U200" s="2">
        <f>S200-T200</f>
        <v>14.967741935483883</v>
      </c>
      <c r="V200" s="1">
        <f>F200/D200</f>
        <v>0.23855469244803809</v>
      </c>
      <c r="W200" s="1">
        <f>(F200+M200+N200+P200)/(D200+M200+N200+Q200)</f>
        <v>0.32273306952858422</v>
      </c>
      <c r="X200" s="1">
        <f>(G200+H200*2+I200*3+J200*4)/D200</f>
        <v>0.37405517508847419</v>
      </c>
      <c r="Y200" s="1">
        <f>W200+X200</f>
        <v>0.69678824461705835</v>
      </c>
      <c r="Z200">
        <v>0.27202346059999999</v>
      </c>
      <c r="AA200">
        <v>17.511520740000002</v>
      </c>
      <c r="AB200">
        <v>9.6114852889000009</v>
      </c>
      <c r="AD200" s="2">
        <f>(D200-O200-J200+Q200)*Z200</f>
        <v>84.306212901871191</v>
      </c>
      <c r="AE200">
        <v>0.213188762</v>
      </c>
      <c r="AF200">
        <v>0.759468438538206</v>
      </c>
      <c r="AG200">
        <v>0.226190476190476</v>
      </c>
      <c r="AH200">
        <v>1.8715393133997699E-2</v>
      </c>
      <c r="AI200">
        <v>2.2857142857142701E-2</v>
      </c>
      <c r="AJ200">
        <v>0.118858560794044</v>
      </c>
      <c r="AK200">
        <v>9.6703296703296707E-2</v>
      </c>
      <c r="AL200">
        <v>2.6586316908896999E-3</v>
      </c>
      <c r="AM200">
        <v>8.6798422307058695E-3</v>
      </c>
      <c r="AN200">
        <v>6.5934065934064997E-3</v>
      </c>
      <c r="AO200">
        <v>4.3707904998227499E-2</v>
      </c>
      <c r="AP200">
        <v>1.08117688762849E-2</v>
      </c>
      <c r="AQ200">
        <v>7.2438885490708404E-3</v>
      </c>
    </row>
    <row r="201" spans="1:43" x14ac:dyDescent="0.4">
      <c r="A201" t="s">
        <v>239</v>
      </c>
      <c r="B201" s="3" t="s">
        <v>243</v>
      </c>
      <c r="D201">
        <v>352</v>
      </c>
      <c r="E201">
        <v>401</v>
      </c>
      <c r="F201" s="2">
        <f>AD201+J201</f>
        <v>85.047448684903856</v>
      </c>
      <c r="G201" s="2">
        <f>$AD201*AF201</f>
        <v>52.48355435519111</v>
      </c>
      <c r="H201" s="2">
        <f>$AD201*AG201</f>
        <v>16.771924333005096</v>
      </c>
      <c r="I201" s="2">
        <f>$AD201*AH201</f>
        <v>0.96488494763832344</v>
      </c>
      <c r="J201" s="2">
        <f>$E201*AI201</f>
        <v>14.999999999999964</v>
      </c>
      <c r="K201" s="2">
        <f>$E201*AJ201</f>
        <v>48.727731092436684</v>
      </c>
      <c r="L201" s="2">
        <f>$E201*AK201</f>
        <v>47.999999999999673</v>
      </c>
      <c r="M201" s="2">
        <f>$E201*(AB201/100)</f>
        <v>36.443697478600001</v>
      </c>
      <c r="N201" s="2">
        <f>$E201*AL201</f>
        <v>1.0123249299719812</v>
      </c>
      <c r="O201" s="2">
        <f>$E201*(AA201/100)</f>
        <v>101.09243696030001</v>
      </c>
      <c r="P201" s="2">
        <f>$E201*AM201</f>
        <v>6.2183673469387193</v>
      </c>
      <c r="Q201" s="2">
        <f>$E201*AN201</f>
        <v>2.9999999999999845</v>
      </c>
      <c r="R201" s="2">
        <f>$E201*AQ201</f>
        <v>0</v>
      </c>
      <c r="S201" s="2">
        <f>$E201*AO201</f>
        <v>1.0123249299719812</v>
      </c>
      <c r="T201" s="2">
        <f>$E201*AP201</f>
        <v>0.11232492997198591</v>
      </c>
      <c r="U201" s="2">
        <f>S201-T201</f>
        <v>0.89999999999999525</v>
      </c>
      <c r="V201" s="1">
        <f>F201/D201</f>
        <v>0.24161207012756777</v>
      </c>
      <c r="W201" s="1">
        <f>(F201+M201+N201+P201)/(D201+M201+N201+Q201)</f>
        <v>0.32799047814434312</v>
      </c>
      <c r="X201" s="1">
        <f>(G201+H201*2+I201*3+J201*4)/D201</f>
        <v>0.42307402802305721</v>
      </c>
      <c r="Y201" s="1">
        <f>W201+X201</f>
        <v>0.75106450616740039</v>
      </c>
      <c r="Z201">
        <v>0.2931989586</v>
      </c>
      <c r="AA201">
        <v>25.210084030000001</v>
      </c>
      <c r="AB201">
        <v>9.0882038600000001</v>
      </c>
      <c r="AD201" s="2">
        <f>(D201-O201-J201+Q201)*Z201</f>
        <v>70.047448684903884</v>
      </c>
      <c r="AE201">
        <v>0.21783728399999999</v>
      </c>
      <c r="AF201">
        <v>0.74925718695735999</v>
      </c>
      <c r="AG201">
        <v>0.23943661971830901</v>
      </c>
      <c r="AH201">
        <v>1.37747336377473E-2</v>
      </c>
      <c r="AI201">
        <v>3.7406483790523602E-2</v>
      </c>
      <c r="AJ201">
        <v>0.121515538883882</v>
      </c>
      <c r="AK201">
        <v>0.119700748129675</v>
      </c>
      <c r="AL201">
        <v>2.52450107224933E-3</v>
      </c>
      <c r="AM201">
        <v>1.5507150491119E-2</v>
      </c>
      <c r="AN201">
        <v>7.4812967581046998E-3</v>
      </c>
      <c r="AO201">
        <v>2.52450107224933E-3</v>
      </c>
      <c r="AP201">
        <v>2.8011204481792E-4</v>
      </c>
      <c r="AQ201">
        <v>0</v>
      </c>
    </row>
    <row r="202" spans="1:43" x14ac:dyDescent="0.4">
      <c r="A202" t="s">
        <v>239</v>
      </c>
      <c r="B202" s="3" t="s">
        <v>244</v>
      </c>
      <c r="D202">
        <v>279</v>
      </c>
      <c r="E202">
        <v>313</v>
      </c>
      <c r="F202" s="2">
        <f>AD202+J202</f>
        <v>60.615831707248461</v>
      </c>
      <c r="G202" s="2">
        <f>$AD202*AF202</f>
        <v>40.126756480468714</v>
      </c>
      <c r="H202" s="2">
        <f>$AD202*AG202</f>
        <v>11.828908736126936</v>
      </c>
      <c r="I202" s="2">
        <f>$AD202*AH202</f>
        <v>0.97518086901998446</v>
      </c>
      <c r="J202" s="2">
        <f>$E202*AI202</f>
        <v>6.3999999999999613</v>
      </c>
      <c r="K202" s="2">
        <f>$E202*AJ202</f>
        <v>37.837209302325292</v>
      </c>
      <c r="L202" s="2">
        <f>$E202*AK202</f>
        <v>27.999999999999982</v>
      </c>
      <c r="M202" s="2">
        <f>$E202*(AB202/100)</f>
        <v>20.495681063637001</v>
      </c>
      <c r="N202" s="2">
        <f>$E202*AL202</f>
        <v>0.10398671096345437</v>
      </c>
      <c r="O202" s="2">
        <f>$E202*(AA202/100)</f>
        <v>79.029900347199984</v>
      </c>
      <c r="P202" s="2">
        <f>$E202*AM202</f>
        <v>7.1964200477326559</v>
      </c>
      <c r="Q202" s="2">
        <f>$E202*AN202</f>
        <v>1.9999999999999762</v>
      </c>
      <c r="R202" s="2">
        <f>$E202*AQ202</f>
        <v>1.2964200477326788</v>
      </c>
      <c r="S202" s="2">
        <f>$E202*AO202</f>
        <v>26.103654485049805</v>
      </c>
      <c r="T202" s="2">
        <f>$E202*AP202</f>
        <v>7.1318936877075947</v>
      </c>
      <c r="U202" s="2">
        <f>S202-T202</f>
        <v>18.97176079734221</v>
      </c>
      <c r="V202" s="1">
        <f>F202/D202</f>
        <v>0.21726104554569342</v>
      </c>
      <c r="W202" s="1">
        <f>(F202+M202+N202+P202)/(D202+M202+N202+Q202)</f>
        <v>0.29314329217250978</v>
      </c>
      <c r="X202" s="1">
        <f>(G202+H202*2+I202*3+J202*4)/D202</f>
        <v>0.33086063283076123</v>
      </c>
      <c r="Y202" s="1">
        <f>W202+X202</f>
        <v>0.62400392500327095</v>
      </c>
      <c r="Z202">
        <v>0.2772194308</v>
      </c>
      <c r="AA202">
        <v>25.249169439999999</v>
      </c>
      <c r="AB202">
        <v>6.5481409149000003</v>
      </c>
      <c r="AD202" s="2">
        <f>(D202-O202-J202+Q202)*Z202</f>
        <v>54.215831707248498</v>
      </c>
      <c r="AE202">
        <v>0.19771718299999999</v>
      </c>
      <c r="AF202">
        <v>0.74012987012986997</v>
      </c>
      <c r="AG202">
        <v>0.218181818181818</v>
      </c>
      <c r="AH202">
        <v>1.7987012987012899E-2</v>
      </c>
      <c r="AI202">
        <v>2.0447284345047799E-2</v>
      </c>
      <c r="AJ202">
        <v>0.12088565272308401</v>
      </c>
      <c r="AK202">
        <v>8.9456869009584605E-2</v>
      </c>
      <c r="AL202">
        <v>3.3222591362125998E-4</v>
      </c>
      <c r="AM202">
        <v>2.2991757340998901E-2</v>
      </c>
      <c r="AN202">
        <v>6.3897763578274003E-3</v>
      </c>
      <c r="AO202">
        <v>8.3398257140734205E-2</v>
      </c>
      <c r="AP202">
        <v>2.27856028361265E-2</v>
      </c>
      <c r="AQ202">
        <v>4.1419170854079196E-3</v>
      </c>
    </row>
    <row r="203" spans="1:43" x14ac:dyDescent="0.4">
      <c r="A203" t="s">
        <v>239</v>
      </c>
      <c r="B203" t="s">
        <v>245</v>
      </c>
      <c r="D203">
        <v>458</v>
      </c>
      <c r="E203">
        <v>503</v>
      </c>
      <c r="F203" s="2">
        <f>AD203+J203</f>
        <v>110.41132938424686</v>
      </c>
      <c r="G203" s="2">
        <f>$AD203*AF203</f>
        <v>67.494003324233717</v>
      </c>
      <c r="H203" s="2">
        <f>$AD203*AG203</f>
        <v>24.524694621977424</v>
      </c>
      <c r="I203" s="2">
        <f>$AD203*AH203</f>
        <v>1.9668159700125292</v>
      </c>
      <c r="J203" s="2">
        <f>$E203*AI203</f>
        <v>16.399999999999967</v>
      </c>
      <c r="K203" s="2">
        <f>$E203*AJ203</f>
        <v>62.081318681318194</v>
      </c>
      <c r="L203" s="2">
        <f>$E203*AK203</f>
        <v>58.999999999999545</v>
      </c>
      <c r="M203" s="2">
        <f>$E203*(AB203/100)</f>
        <v>41.137728936128006</v>
      </c>
      <c r="N203" s="2">
        <f>$E203*AL203</f>
        <v>2.9763736263736118</v>
      </c>
      <c r="O203" s="2">
        <f>$E203*(AA203/100)</f>
        <v>148.3205128347</v>
      </c>
      <c r="P203" s="2">
        <f>$E203*AM203</f>
        <v>1.9047916666666231</v>
      </c>
      <c r="Q203" s="2">
        <f>$E203*AN203</f>
        <v>3.5999999999999766</v>
      </c>
      <c r="R203" s="2">
        <f>$E203*AQ203</f>
        <v>0</v>
      </c>
      <c r="S203" s="2">
        <f>$E203*AO203</f>
        <v>25.795238095238037</v>
      </c>
      <c r="T203" s="2">
        <f>$E203*AP203</f>
        <v>3.8763736263735877</v>
      </c>
      <c r="U203" s="2">
        <f>S203-T203</f>
        <v>21.918864468864449</v>
      </c>
      <c r="V203" s="1">
        <f>F203/D203</f>
        <v>0.24107277158132501</v>
      </c>
      <c r="W203" s="1">
        <f>(F203+M203+N203+P203)/(D203+M203+N203+Q203)</f>
        <v>0.30932541295717919</v>
      </c>
      <c r="X203" s="1">
        <f>(G203+H203*2+I203*3+J203*4)/D203</f>
        <v>0.41057607091315723</v>
      </c>
      <c r="Y203" s="1">
        <f>W203+X203</f>
        <v>0.71990148387033637</v>
      </c>
      <c r="Z203">
        <v>0.31666495480000001</v>
      </c>
      <c r="AA203">
        <v>29.487179489999999</v>
      </c>
      <c r="AB203">
        <v>8.1784749376000008</v>
      </c>
      <c r="AD203" s="2">
        <f>(D203-O203-J203+Q203)*Z203</f>
        <v>94.011329384246892</v>
      </c>
      <c r="AE203">
        <v>0.22174964999999999</v>
      </c>
      <c r="AF203">
        <v>0.71793478260869503</v>
      </c>
      <c r="AG203">
        <v>0.26086956521739102</v>
      </c>
      <c r="AH203">
        <v>2.0921052631578899E-2</v>
      </c>
      <c r="AI203">
        <v>3.2604373757455202E-2</v>
      </c>
      <c r="AJ203">
        <v>0.123422104734231</v>
      </c>
      <c r="AK203">
        <v>0.117296222664015</v>
      </c>
      <c r="AL203">
        <v>5.9172437900071803E-3</v>
      </c>
      <c r="AM203">
        <v>3.7868621603710201E-3</v>
      </c>
      <c r="AN203">
        <v>7.1570576540755E-3</v>
      </c>
      <c r="AO203">
        <v>5.1282779513395702E-2</v>
      </c>
      <c r="AP203">
        <v>7.7065082035260198E-3</v>
      </c>
      <c r="AQ203">
        <v>0</v>
      </c>
    </row>
    <row r="204" spans="1:43" x14ac:dyDescent="0.4">
      <c r="A204" t="s">
        <v>239</v>
      </c>
      <c r="B204" s="3" t="s">
        <v>246</v>
      </c>
      <c r="D204">
        <v>515</v>
      </c>
      <c r="E204">
        <v>558</v>
      </c>
      <c r="F204" s="2">
        <f>AD204+J204</f>
        <v>133.06953048665193</v>
      </c>
      <c r="G204" s="2">
        <f>$AD204*AF204</f>
        <v>87.75212328853101</v>
      </c>
      <c r="H204" s="2">
        <f>$AD204*AG204</f>
        <v>21.546280271737473</v>
      </c>
      <c r="I204" s="2">
        <f>$AD204*AH204</f>
        <v>1.9518799353025296</v>
      </c>
      <c r="J204" s="2">
        <f>$E204*AI204</f>
        <v>22.399999999999977</v>
      </c>
      <c r="K204" s="2">
        <f>$E204*AJ204</f>
        <v>65.857142857142591</v>
      </c>
      <c r="L204" s="2">
        <f>$E204*AK204</f>
        <v>74.999999999999645</v>
      </c>
      <c r="M204" s="2">
        <f>$E204*(AB204/100)</f>
        <v>32.342857142291997</v>
      </c>
      <c r="N204" s="2">
        <f>$E204*AL204</f>
        <v>2.0657142857142805</v>
      </c>
      <c r="O204" s="2">
        <f>$E204*(AA204/100)</f>
        <v>119.57142857940001</v>
      </c>
      <c r="P204" s="2">
        <f>$E204*AM204</f>
        <v>4.9509090909090823</v>
      </c>
      <c r="Q204" s="2">
        <f>$E204*AN204</f>
        <v>3.5999999999999965</v>
      </c>
      <c r="R204" s="2">
        <f>$E204*AQ204</f>
        <v>0</v>
      </c>
      <c r="S204" s="2">
        <f>$E204*AO204</f>
        <v>3.954285714285708</v>
      </c>
      <c r="T204" s="2">
        <f>$E204*AP204</f>
        <v>1.9771428571428511</v>
      </c>
      <c r="U204" s="2">
        <f>S204-T204</f>
        <v>1.9771428571428569</v>
      </c>
      <c r="V204" s="1">
        <f>F204/D204</f>
        <v>0.2583874378381591</v>
      </c>
      <c r="W204" s="1">
        <f>(F204+M204+N204+P204)/(D204+M204+N204+Q204)</f>
        <v>0.31180169696160853</v>
      </c>
      <c r="X204" s="1">
        <f>(G204+H204*2+I204*3+J204*4)/D204</f>
        <v>0.43941810415128829</v>
      </c>
      <c r="Y204" s="1">
        <f>W204+X204</f>
        <v>0.75121980111289677</v>
      </c>
      <c r="Z204">
        <v>0.2938426314</v>
      </c>
      <c r="AA204">
        <v>21.428571430000002</v>
      </c>
      <c r="AB204">
        <v>5.7962109573999996</v>
      </c>
      <c r="AD204" s="2">
        <f>(D204-O204-J204+Q204)*Z204</f>
        <v>110.66953048665195</v>
      </c>
      <c r="AE204">
        <v>0.242021351</v>
      </c>
      <c r="AF204">
        <v>0.79292035398229999</v>
      </c>
      <c r="AG204">
        <v>0.19469026548672499</v>
      </c>
      <c r="AH204">
        <v>1.7637012886197699E-2</v>
      </c>
      <c r="AI204">
        <v>4.0143369175627198E-2</v>
      </c>
      <c r="AJ204">
        <v>0.11802355350742399</v>
      </c>
      <c r="AK204">
        <v>0.13440860215053699</v>
      </c>
      <c r="AL204">
        <v>3.7019969278033701E-3</v>
      </c>
      <c r="AM204">
        <v>8.8725969371130503E-3</v>
      </c>
      <c r="AN204">
        <v>6.4516129032258004E-3</v>
      </c>
      <c r="AO204">
        <v>7.0865335381464301E-3</v>
      </c>
      <c r="AP204">
        <v>3.5432667690732098E-3</v>
      </c>
      <c r="AQ204">
        <v>0</v>
      </c>
    </row>
    <row r="205" spans="1:43" x14ac:dyDescent="0.4">
      <c r="A205" t="s">
        <v>239</v>
      </c>
      <c r="B205" t="s">
        <v>247</v>
      </c>
      <c r="D205">
        <v>543</v>
      </c>
      <c r="E205">
        <v>613</v>
      </c>
      <c r="F205" s="2">
        <f>AD205+J205</f>
        <v>150.8053833254869</v>
      </c>
      <c r="G205" s="2">
        <f>$AD205*AF205</f>
        <v>105.27437310644699</v>
      </c>
      <c r="H205" s="2">
        <f>$AD205*AG205</f>
        <v>25.228292296493684</v>
      </c>
      <c r="I205" s="2">
        <f>$AD205*AH205</f>
        <v>0.97093437973819907</v>
      </c>
      <c r="J205" s="2">
        <f>$E205*AI205</f>
        <v>17.599999999999977</v>
      </c>
      <c r="K205" s="2">
        <f>$E205*AJ205</f>
        <v>76.394224924012079</v>
      </c>
      <c r="L205" s="2">
        <f>$E205*AK205</f>
        <v>67.999999999999588</v>
      </c>
      <c r="M205" s="2">
        <f>$E205*(AB205/100)</f>
        <v>58.348632221935937</v>
      </c>
      <c r="N205" s="2">
        <f>$E205*AL205</f>
        <v>0.99316109422489129</v>
      </c>
      <c r="O205" s="2">
        <f>$E205*(AA205/100)</f>
        <v>91.297872332599994</v>
      </c>
      <c r="P205" s="2">
        <f>$E205*AM205</f>
        <v>5.9415194346289715</v>
      </c>
      <c r="Q205" s="2">
        <f>$E205*AN205</f>
        <v>2.9999999999999671</v>
      </c>
      <c r="R205" s="2">
        <f>$E205*AQ205</f>
        <v>0.39999999999998753</v>
      </c>
      <c r="S205" s="2">
        <f>$E205*AO205</f>
        <v>0.99316109422489129</v>
      </c>
      <c r="T205" s="2">
        <f>$E205*AP205</f>
        <v>0.99316109422489129</v>
      </c>
      <c r="U205" s="2">
        <f>S205-T205</f>
        <v>0</v>
      </c>
      <c r="V205" s="1">
        <f>F205/D205</f>
        <v>0.27772630446682672</v>
      </c>
      <c r="W205" s="1">
        <f>(F205+M205+N205+P205)/(D205+M205+N205+Q205)</f>
        <v>0.35696972927064496</v>
      </c>
      <c r="X205" s="1">
        <f>(G205+H205*2+I205*3+J205*4)/D205</f>
        <v>0.42181171425165531</v>
      </c>
      <c r="Y205" s="1">
        <f>W205+X205</f>
        <v>0.77878144352230028</v>
      </c>
      <c r="Z205">
        <v>0.30474659100000001</v>
      </c>
      <c r="AA205">
        <v>14.893617020000001</v>
      </c>
      <c r="AB205">
        <v>9.5185370671999898</v>
      </c>
      <c r="AD205" s="2">
        <f>(D205-O205-J205+Q205)*Z205</f>
        <v>133.20538332548693</v>
      </c>
      <c r="AE205">
        <v>0.25076704500000002</v>
      </c>
      <c r="AF205">
        <v>0.79031620553359605</v>
      </c>
      <c r="AG205">
        <v>0.189393939393939</v>
      </c>
      <c r="AH205">
        <v>7.2890025575447197E-3</v>
      </c>
      <c r="AI205">
        <v>2.8711256117455099E-2</v>
      </c>
      <c r="AJ205">
        <v>0.124623531686806</v>
      </c>
      <c r="AK205">
        <v>0.110929853181076</v>
      </c>
      <c r="AL205">
        <v>1.62016491716948E-3</v>
      </c>
      <c r="AM205">
        <v>9.69252762582214E-3</v>
      </c>
      <c r="AN205">
        <v>4.8939641109297998E-3</v>
      </c>
      <c r="AO205">
        <v>1.62016491716948E-3</v>
      </c>
      <c r="AP205">
        <v>1.62016491716948E-3</v>
      </c>
      <c r="AQ205">
        <v>6.5252854812396005E-4</v>
      </c>
    </row>
    <row r="206" spans="1:43" x14ac:dyDescent="0.4">
      <c r="A206" t="s">
        <v>248</v>
      </c>
      <c r="B206" t="s">
        <v>249</v>
      </c>
      <c r="D206">
        <v>549</v>
      </c>
      <c r="E206">
        <v>607</v>
      </c>
      <c r="F206" s="2">
        <f>AD206+J206</f>
        <v>123.48507381561836</v>
      </c>
      <c r="G206" s="2">
        <f>$AD206*AF206</f>
        <v>72.619087823795837</v>
      </c>
      <c r="H206" s="2">
        <f>$AD206*AG206</f>
        <v>23.162440183084712</v>
      </c>
      <c r="I206" s="2">
        <f>$AD206*AH206</f>
        <v>1.3802681745930274</v>
      </c>
      <c r="J206" s="2">
        <f>$E206*AI206</f>
        <v>25.799999999999955</v>
      </c>
      <c r="K206" s="2">
        <f>$E206*AJ206</f>
        <v>75.924999999999699</v>
      </c>
      <c r="L206" s="2">
        <f>$E206*AK206</f>
        <v>83.999999999999574</v>
      </c>
      <c r="M206" s="2">
        <f>$E206*(AB206/100)</f>
        <v>47.732792206150002</v>
      </c>
      <c r="N206" s="2">
        <f>$E206*AL206</f>
        <v>1.3985389610389474</v>
      </c>
      <c r="O206" s="2">
        <f>$E206*(AA206/100)</f>
        <v>169.48701297439999</v>
      </c>
      <c r="P206" s="2">
        <f>$E206*AM206</f>
        <v>6.9090301003344008</v>
      </c>
      <c r="Q206" s="2">
        <f>$E206*AN206</f>
        <v>4.9999999999999538</v>
      </c>
      <c r="R206" s="2">
        <f>$E206*AQ206</f>
        <v>0</v>
      </c>
      <c r="S206" s="2">
        <f>$E206*AO206</f>
        <v>11.082467532467479</v>
      </c>
      <c r="T206" s="2">
        <f>$E206*AP206</f>
        <v>3.094155844155813</v>
      </c>
      <c r="U206" s="2">
        <f>S206-T206</f>
        <v>7.9883116883116667</v>
      </c>
      <c r="V206" s="1">
        <f>F206/D206</f>
        <v>0.22492727470968737</v>
      </c>
      <c r="W206" s="1">
        <f>(F206+M206+N206+P206)/(D206+M206+N206+Q206)</f>
        <v>0.29765562789736255</v>
      </c>
      <c r="X206" s="1">
        <f>(G206+H206*2+I206*3+J206*4)/D206</f>
        <v>0.4121762708811369</v>
      </c>
      <c r="Y206" s="1">
        <f>W206+X206</f>
        <v>0.7098318987784995</v>
      </c>
      <c r="Z206">
        <v>0.27232098459999998</v>
      </c>
      <c r="AA206">
        <v>27.92207792</v>
      </c>
      <c r="AB206">
        <v>7.863721945</v>
      </c>
      <c r="AD206" s="2">
        <f>(D206-O206-J206+Q206)*Z206</f>
        <v>97.685073815618409</v>
      </c>
      <c r="AE206">
        <v>0.20888731699999999</v>
      </c>
      <c r="AF206">
        <v>0.74340004042854202</v>
      </c>
      <c r="AG206">
        <v>0.23711340206185499</v>
      </c>
      <c r="AH206">
        <v>1.41297756215888E-2</v>
      </c>
      <c r="AI206">
        <v>4.2504118616144899E-2</v>
      </c>
      <c r="AJ206">
        <v>0.12508237232289901</v>
      </c>
      <c r="AK206">
        <v>0.13838550247116899</v>
      </c>
      <c r="AL206">
        <v>2.3040180577247899E-3</v>
      </c>
      <c r="AM206">
        <v>1.1382257166942999E-2</v>
      </c>
      <c r="AN206">
        <v>8.2372322899505E-3</v>
      </c>
      <c r="AO206">
        <v>1.8257771882154002E-2</v>
      </c>
      <c r="AP206">
        <v>5.0974560859239097E-3</v>
      </c>
      <c r="AQ206">
        <v>0</v>
      </c>
    </row>
    <row r="207" spans="1:43" x14ac:dyDescent="0.4">
      <c r="A207" t="s">
        <v>248</v>
      </c>
      <c r="B207" t="s">
        <v>250</v>
      </c>
      <c r="D207">
        <v>486</v>
      </c>
      <c r="E207">
        <v>550</v>
      </c>
      <c r="F207" s="2">
        <f>AD207+J207</f>
        <v>136.99975773244765</v>
      </c>
      <c r="G207" s="2">
        <f>$AD207*AF207</f>
        <v>78.091560171859641</v>
      </c>
      <c r="H207" s="2">
        <f>$AD207*AG207</f>
        <v>27.308509131200822</v>
      </c>
      <c r="I207" s="2">
        <f>$AD207*AH207</f>
        <v>1.0000831658293643</v>
      </c>
      <c r="J207" s="2">
        <f>$E207*AI207</f>
        <v>30.799999999999944</v>
      </c>
      <c r="K207" s="2">
        <f>$E207*AJ207</f>
        <v>78.547252747252301</v>
      </c>
      <c r="L207" s="2">
        <f>$E207*AK207</f>
        <v>82.999999999999503</v>
      </c>
      <c r="M207" s="2">
        <f>$E207*(AB207/100)</f>
        <v>55.040293038500003</v>
      </c>
      <c r="N207" s="2">
        <f>$E207*AL207</f>
        <v>7.7065934065933446</v>
      </c>
      <c r="O207" s="2">
        <f>$E207*(AA207/100)</f>
        <v>93.681318664999992</v>
      </c>
      <c r="P207" s="2">
        <f>$E207*AM207</f>
        <v>4.9981884057970536</v>
      </c>
      <c r="Q207" s="2">
        <f>$E207*AN207</f>
        <v>3.99999999999996</v>
      </c>
      <c r="R207" s="2">
        <f>$E207*AQ207</f>
        <v>0</v>
      </c>
      <c r="S207" s="2">
        <f>$E207*AO207</f>
        <v>2.0014652014651801</v>
      </c>
      <c r="T207" s="2">
        <f>$E207*AP207</f>
        <v>1.0007326007325901</v>
      </c>
      <c r="U207" s="2">
        <f>S207-T207</f>
        <v>1.0007326007325901</v>
      </c>
      <c r="V207" s="1">
        <f>F207/D207</f>
        <v>0.28189250562232027</v>
      </c>
      <c r="W207" s="1">
        <f>(F207+M207+N207+P207)/(D207+M207+N207+Q207)</f>
        <v>0.37041336207268938</v>
      </c>
      <c r="X207" s="1">
        <f>(G207+H207*2+I207*3+J207*4)/D207</f>
        <v>0.53273421385133568</v>
      </c>
      <c r="Y207" s="1">
        <f>W207+X207</f>
        <v>0.90314757592402506</v>
      </c>
      <c r="Z207">
        <v>0.29054536240000001</v>
      </c>
      <c r="AA207">
        <v>17.032967029999998</v>
      </c>
      <c r="AB207">
        <v>10.007326007</v>
      </c>
      <c r="AD207" s="2">
        <f>(D207-O207-J207+Q207)*Z207</f>
        <v>106.19975773244769</v>
      </c>
      <c r="AE207">
        <v>0.24909024299999999</v>
      </c>
      <c r="AF207">
        <v>0.73532710280373803</v>
      </c>
      <c r="AG207">
        <v>0.25714285714285701</v>
      </c>
      <c r="AH207">
        <v>9.4170004450377792E-3</v>
      </c>
      <c r="AI207">
        <v>5.5999999999999897E-2</v>
      </c>
      <c r="AJ207">
        <v>0.142813186813186</v>
      </c>
      <c r="AK207">
        <v>0.15090909090908999</v>
      </c>
      <c r="AL207">
        <v>1.40119880119879E-2</v>
      </c>
      <c r="AM207">
        <v>9.0876152832673699E-3</v>
      </c>
      <c r="AN207">
        <v>7.2727272727271999E-3</v>
      </c>
      <c r="AO207">
        <v>3.6390276390275999E-3</v>
      </c>
      <c r="AP207">
        <v>1.8195138195138E-3</v>
      </c>
      <c r="AQ207">
        <v>0</v>
      </c>
    </row>
    <row r="208" spans="1:43" x14ac:dyDescent="0.4">
      <c r="A208" t="s">
        <v>248</v>
      </c>
      <c r="B208" s="3" t="s">
        <v>251</v>
      </c>
      <c r="D208">
        <v>391</v>
      </c>
      <c r="E208">
        <v>448</v>
      </c>
      <c r="F208" s="2">
        <f>AD208+J208</f>
        <v>92.962078460381107</v>
      </c>
      <c r="G208" s="2">
        <f>$AD208*AF208</f>
        <v>57.403508763295399</v>
      </c>
      <c r="H208" s="2">
        <f>$AD208*AG208</f>
        <v>19.364356255513471</v>
      </c>
      <c r="I208" s="2">
        <f>$AD208*AH208</f>
        <v>3.9012093334278428</v>
      </c>
      <c r="J208" s="2">
        <f>$E208*AI208</f>
        <v>12.599999999999955</v>
      </c>
      <c r="K208" s="2">
        <f>$E208*AJ208</f>
        <v>57.329729729729408</v>
      </c>
      <c r="L208" s="2">
        <f>$E208*AK208</f>
        <v>47.999999999999936</v>
      </c>
      <c r="M208" s="2">
        <f>$E208*(AB208/100)</f>
        <v>44.616216215871994</v>
      </c>
      <c r="N208" s="2">
        <f>$E208*AL208</f>
        <v>1.8864864864864794</v>
      </c>
      <c r="O208" s="2">
        <f>$E208*(AA208/100)</f>
        <v>112.432432448</v>
      </c>
      <c r="P208" s="2">
        <f>$E208*AM208</f>
        <v>5.122222222222157</v>
      </c>
      <c r="Q208" s="2">
        <f>$E208*AN208</f>
        <v>2.999999999999968</v>
      </c>
      <c r="R208" s="2">
        <f>$E208*AQ208</f>
        <v>0.39999999999998975</v>
      </c>
      <c r="S208" s="2">
        <f>$E208*AO208</f>
        <v>10.937837837837792</v>
      </c>
      <c r="T208" s="2">
        <f>$E208*AP208</f>
        <v>3.0459459459459159</v>
      </c>
      <c r="U208" s="2">
        <f>S208-T208</f>
        <v>7.8918918918918761</v>
      </c>
      <c r="V208" s="1">
        <f>F208/D208</f>
        <v>0.23775467636926115</v>
      </c>
      <c r="W208" s="1">
        <f>(F208+M208+N208+P208)/(D208+M208+N208+Q208)</f>
        <v>0.32823181900578979</v>
      </c>
      <c r="X208" s="1">
        <f>(G208+H208*2+I208*3+J208*4)/D208</f>
        <v>0.40469526668697109</v>
      </c>
      <c r="Y208" s="1">
        <f>W208+X208</f>
        <v>0.73292708569276088</v>
      </c>
      <c r="Z208">
        <v>0.29877980900000001</v>
      </c>
      <c r="AA208">
        <v>25.096525100000001</v>
      </c>
      <c r="AB208">
        <v>9.9589768338999995</v>
      </c>
      <c r="AD208" s="2">
        <f>(D208-O208-J208+Q208)*Z208</f>
        <v>80.362078460381156</v>
      </c>
      <c r="AE208">
        <v>0.210924792</v>
      </c>
      <c r="AF208">
        <v>0.71431090214516502</v>
      </c>
      <c r="AG208">
        <v>0.240963855421686</v>
      </c>
      <c r="AH208">
        <v>4.8545401116661703E-2</v>
      </c>
      <c r="AI208">
        <v>2.81249999999999E-2</v>
      </c>
      <c r="AJ208">
        <v>0.12796814671814599</v>
      </c>
      <c r="AK208">
        <v>0.107142857142857</v>
      </c>
      <c r="AL208">
        <v>4.21090733590732E-3</v>
      </c>
      <c r="AM208">
        <v>1.14335317460316E-2</v>
      </c>
      <c r="AN208">
        <v>6.6964285714284999E-3</v>
      </c>
      <c r="AO208">
        <v>2.4414816602316501E-2</v>
      </c>
      <c r="AP208">
        <v>6.7989864864864196E-3</v>
      </c>
      <c r="AQ208">
        <v>8.9285714285711995E-4</v>
      </c>
    </row>
    <row r="209" spans="1:43" x14ac:dyDescent="0.4">
      <c r="A209" t="s">
        <v>248</v>
      </c>
      <c r="B209" t="s">
        <v>252</v>
      </c>
      <c r="D209">
        <v>532</v>
      </c>
      <c r="E209">
        <v>582</v>
      </c>
      <c r="F209" s="2">
        <f>AD209+J209</f>
        <v>128.29362631698888</v>
      </c>
      <c r="G209" s="2">
        <f>$AD209*AF209</f>
        <v>72.331663849900877</v>
      </c>
      <c r="H209" s="2">
        <f>$AD209*AG209</f>
        <v>23.780273046542721</v>
      </c>
      <c r="I209" s="2">
        <f>$AD209*AH209</f>
        <v>1.9897779487923468</v>
      </c>
      <c r="J209" s="2">
        <f>$E209*AI209</f>
        <v>30.19999999999996</v>
      </c>
      <c r="K209" s="2">
        <f>$E209*AJ209</f>
        <v>71.716233766233202</v>
      </c>
      <c r="L209" s="2">
        <f>$E209*AK209</f>
        <v>82</v>
      </c>
      <c r="M209" s="2">
        <f>$E209*(AB209/100)</f>
        <v>36.701298700415997</v>
      </c>
      <c r="N209" s="2">
        <f>$E209*AL209</f>
        <v>0.99448051948048932</v>
      </c>
      <c r="O209" s="2">
        <f>$E209*(AA209/100)</f>
        <v>155.8928571678</v>
      </c>
      <c r="P209" s="2">
        <f>$E209*AM209</f>
        <v>9.135587188612007</v>
      </c>
      <c r="Q209" s="2">
        <f>$E209*AN209</f>
        <v>3.9999999999999498</v>
      </c>
      <c r="R209" s="2">
        <f>$E209*AQ209</f>
        <v>0.39999999999998975</v>
      </c>
      <c r="S209" s="2">
        <f>$E209*AO209</f>
        <v>1.0889610389610132</v>
      </c>
      <c r="T209" s="2">
        <f>$E209*AP209</f>
        <v>0.9944805194804951</v>
      </c>
      <c r="U209" s="2">
        <f>S209-T209</f>
        <v>9.4480519480518055E-2</v>
      </c>
      <c r="V209" s="1">
        <f>F209/D209</f>
        <v>0.24115343292667082</v>
      </c>
      <c r="W209" s="1">
        <f>(F209+M209+N209+P209)/(D209+M209+N209+Q209)</f>
        <v>0.3052575930811795</v>
      </c>
      <c r="X209" s="1">
        <f>(G209+H209*2+I209*3+J209*4)/D209</f>
        <v>0.46364951840105861</v>
      </c>
      <c r="Y209" s="1">
        <f>W209+X209</f>
        <v>0.76890711148223811</v>
      </c>
      <c r="Z209">
        <v>0.2803418802</v>
      </c>
      <c r="AA209">
        <v>26.785714290000001</v>
      </c>
      <c r="AB209">
        <v>6.3060650687999997</v>
      </c>
      <c r="AD209" s="2">
        <f>(D209-O209-J209+Q209)*Z209</f>
        <v>98.093626316988903</v>
      </c>
      <c r="AE209">
        <v>0.22258097499999999</v>
      </c>
      <c r="AF209">
        <v>0.73737373737373701</v>
      </c>
      <c r="AG209">
        <v>0.24242424242424199</v>
      </c>
      <c r="AH209">
        <v>2.02844774273345E-2</v>
      </c>
      <c r="AI209">
        <v>5.1890034364261102E-2</v>
      </c>
      <c r="AJ209">
        <v>0.123223769357789</v>
      </c>
      <c r="AK209">
        <v>0.14089347079037801</v>
      </c>
      <c r="AL209">
        <v>1.7087294149149301E-3</v>
      </c>
      <c r="AM209">
        <v>1.5696885203800699E-2</v>
      </c>
      <c r="AN209">
        <v>6.8728522336768899E-3</v>
      </c>
      <c r="AO209">
        <v>1.8710670772526001E-3</v>
      </c>
      <c r="AP209">
        <v>1.7087294149149401E-3</v>
      </c>
      <c r="AQ209">
        <v>6.8728522336767997E-4</v>
      </c>
    </row>
    <row r="210" spans="1:43" x14ac:dyDescent="0.4">
      <c r="A210" t="s">
        <v>248</v>
      </c>
      <c r="B210" t="s">
        <v>253</v>
      </c>
      <c r="D210">
        <v>366</v>
      </c>
      <c r="E210">
        <v>429</v>
      </c>
      <c r="F210" s="2">
        <f>AD210+J210</f>
        <v>86.524782792246612</v>
      </c>
      <c r="G210" s="2">
        <f>$AD210*AF210</f>
        <v>48.809676154156193</v>
      </c>
      <c r="H210" s="2">
        <f>$AD210*AG210</f>
        <v>15.647709323521534</v>
      </c>
      <c r="I210" s="2">
        <f>$AD210*AH210</f>
        <v>1.9056674569002985</v>
      </c>
      <c r="J210" s="2">
        <f>$E210*AI210</f>
        <v>20.999999999999979</v>
      </c>
      <c r="K210" s="2">
        <f>$E210*AJ210</f>
        <v>57.30857142857117</v>
      </c>
      <c r="L210" s="2">
        <f>$E210*AK210</f>
        <v>58.99999999999978</v>
      </c>
      <c r="M210" s="2">
        <f>$E210*(AB210/100)</f>
        <v>48.908571421710008</v>
      </c>
      <c r="N210" s="2">
        <f>$E210*AL210</f>
        <v>2.9828571428571031</v>
      </c>
      <c r="O210" s="2">
        <f>$E210*(AA210/100)</f>
        <v>103.7142857322</v>
      </c>
      <c r="P210" s="2">
        <f>$E210*AM210</f>
        <v>9.1999999999999389</v>
      </c>
      <c r="Q210" s="2">
        <f>$E210*AN210</f>
        <v>3.5999999999999779</v>
      </c>
      <c r="R210" s="2">
        <f>$E210*AQ210</f>
        <v>0</v>
      </c>
      <c r="S210" s="2">
        <f>$E210*AO210</f>
        <v>4.0714285714285587</v>
      </c>
      <c r="T210" s="2">
        <f>$E210*AP210</f>
        <v>1.9885714285714007</v>
      </c>
      <c r="U210" s="2">
        <f>S210-T210</f>
        <v>2.0828571428571578</v>
      </c>
      <c r="V210" s="1">
        <f>F210/D210</f>
        <v>0.23640651036132954</v>
      </c>
      <c r="W210" s="1">
        <f>(F210+M210+N210+P210)/(D210+M210+N210+Q210)</f>
        <v>0.35022351903936944</v>
      </c>
      <c r="X210" s="1">
        <f>(G210+H210*2+I210*3+J210*4)/D210</f>
        <v>0.4639948010161204</v>
      </c>
      <c r="Y210" s="1">
        <f>W210+X210</f>
        <v>0.81421832005548977</v>
      </c>
      <c r="Z210">
        <v>0.26757290839999998</v>
      </c>
      <c r="AA210">
        <v>24.175824179999999</v>
      </c>
      <c r="AB210">
        <v>11.400599399000001</v>
      </c>
      <c r="AD210" s="2">
        <f>(D210-O210-J210+Q210)*Z210</f>
        <v>65.524782792246626</v>
      </c>
      <c r="AE210">
        <v>0.211035631</v>
      </c>
      <c r="AF210">
        <v>0.74490405117270697</v>
      </c>
      <c r="AG210">
        <v>0.23880597014925301</v>
      </c>
      <c r="AH210">
        <v>2.90831556503197E-2</v>
      </c>
      <c r="AI210">
        <v>4.8951048951048903E-2</v>
      </c>
      <c r="AJ210">
        <v>0.13358641358641299</v>
      </c>
      <c r="AK210">
        <v>0.13752913752913701</v>
      </c>
      <c r="AL210">
        <v>6.9530469530468602E-3</v>
      </c>
      <c r="AM210">
        <v>2.1445221445221301E-2</v>
      </c>
      <c r="AN210">
        <v>8.3916083916083396E-3</v>
      </c>
      <c r="AO210">
        <v>9.4905094905094606E-3</v>
      </c>
      <c r="AP210">
        <v>4.6353646353645703E-3</v>
      </c>
      <c r="AQ210">
        <v>0</v>
      </c>
    </row>
    <row r="211" spans="1:43" x14ac:dyDescent="0.4">
      <c r="A211" t="s">
        <v>248</v>
      </c>
      <c r="B211" s="3" t="s">
        <v>254</v>
      </c>
      <c r="D211">
        <v>469</v>
      </c>
      <c r="E211">
        <v>504</v>
      </c>
      <c r="F211" s="2">
        <f>AD211+J211</f>
        <v>114.41967888034246</v>
      </c>
      <c r="G211" s="2">
        <f>$AD211*AF211</f>
        <v>72.71973213176959</v>
      </c>
      <c r="H211" s="2">
        <f>$AD211*AG211</f>
        <v>21.26961322618094</v>
      </c>
      <c r="I211" s="2">
        <f>$AD211*AH211</f>
        <v>2.0006175228945779</v>
      </c>
      <c r="J211" s="2">
        <f>$E211*AI211</f>
        <v>18.199999999999942</v>
      </c>
      <c r="K211" s="2">
        <f>$E211*AJ211</f>
        <v>57.657142857142588</v>
      </c>
      <c r="L211" s="2">
        <f>$E211*AK211</f>
        <v>61.999999999999993</v>
      </c>
      <c r="M211" s="2">
        <f>$E211*(AB211/100)</f>
        <v>29.742857141256</v>
      </c>
      <c r="N211" s="2">
        <f>$E211*AL211</f>
        <v>0.39999999999998304</v>
      </c>
      <c r="O211" s="2">
        <f>$E211*(AA211/100)</f>
        <v>137.9999999952</v>
      </c>
      <c r="P211" s="2">
        <f>$E211*AM211</f>
        <v>5.9631284916201093</v>
      </c>
      <c r="Q211" s="2">
        <f>$E211*AN211</f>
        <v>2.9999999999999738</v>
      </c>
      <c r="R211" s="2">
        <f>$E211*AQ211</f>
        <v>0</v>
      </c>
      <c r="S211" s="2">
        <f>$E211*AO211</f>
        <v>4.9285714285714128</v>
      </c>
      <c r="T211" s="2">
        <f>$E211*AP211</f>
        <v>1.071428571428529</v>
      </c>
      <c r="U211" s="2">
        <f>S211-T211</f>
        <v>3.8571428571428839</v>
      </c>
      <c r="V211" s="1">
        <f>F211/D211</f>
        <v>0.24396520017130588</v>
      </c>
      <c r="W211" s="1">
        <f>(F211+M211+N211+P211)/(D211+M211+N211+Q211)</f>
        <v>0.29976661496326873</v>
      </c>
      <c r="X211" s="1">
        <f>(G211+H211*2+I211*3+J211*4)/D211</f>
        <v>0.41377571674374197</v>
      </c>
      <c r="Y211" s="1">
        <f>W211+X211</f>
        <v>0.71354233170701065</v>
      </c>
      <c r="Z211">
        <v>0.30468549360000002</v>
      </c>
      <c r="AA211">
        <v>27.38095238</v>
      </c>
      <c r="AB211">
        <v>5.9013605439000001</v>
      </c>
      <c r="AD211" s="2">
        <f>(D211-O211-J211+Q211)*Z211</f>
        <v>96.219678880342514</v>
      </c>
      <c r="AE211">
        <v>0.22815690899999999</v>
      </c>
      <c r="AF211">
        <v>0.75576776994031403</v>
      </c>
      <c r="AG211">
        <v>0.221052631578947</v>
      </c>
      <c r="AH211">
        <v>2.0792186652197401E-2</v>
      </c>
      <c r="AI211">
        <v>3.6111111111110997E-2</v>
      </c>
      <c r="AJ211">
        <v>0.114399092970521</v>
      </c>
      <c r="AK211">
        <v>0.123015873015873</v>
      </c>
      <c r="AL211">
        <v>7.9365079365076004E-4</v>
      </c>
      <c r="AM211">
        <v>1.18316041500399E-2</v>
      </c>
      <c r="AN211">
        <v>5.9523809523809E-3</v>
      </c>
      <c r="AO211">
        <v>9.7789115646258196E-3</v>
      </c>
      <c r="AP211">
        <v>2.12585034013597E-3</v>
      </c>
      <c r="AQ211">
        <v>0</v>
      </c>
    </row>
    <row r="212" spans="1:43" x14ac:dyDescent="0.4">
      <c r="A212" t="s">
        <v>248</v>
      </c>
      <c r="B212" t="s">
        <v>255</v>
      </c>
      <c r="D212">
        <v>590</v>
      </c>
      <c r="E212">
        <v>656</v>
      </c>
      <c r="F212" s="2">
        <f>AD212+J212</f>
        <v>147.19850027445031</v>
      </c>
      <c r="G212" s="2">
        <f>$AD212*AF212</f>
        <v>92.807318639904793</v>
      </c>
      <c r="H212" s="2">
        <f>$AD212*AG212</f>
        <v>29.607713773863324</v>
      </c>
      <c r="I212" s="2">
        <f>$AD212*AH212</f>
        <v>3.0682495541925681</v>
      </c>
      <c r="J212" s="2">
        <f>$E212*AI212</f>
        <v>20.599999999999973</v>
      </c>
      <c r="K212" s="2">
        <f>$E212*AJ212</f>
        <v>88.436691729322675</v>
      </c>
      <c r="L212" s="2">
        <f>$E212*AK212</f>
        <v>72.999999999999972</v>
      </c>
      <c r="M212" s="2">
        <f>$E212*(AB212/100)</f>
        <v>58.118796994656002</v>
      </c>
      <c r="N212" s="2">
        <f>$E212*AL212</f>
        <v>0.59864661654133799</v>
      </c>
      <c r="O212" s="2">
        <f>$E212*(AA212/100)</f>
        <v>100.61954884159999</v>
      </c>
      <c r="P212" s="2">
        <f>$E212*AM212</f>
        <v>3.8937313432835485</v>
      </c>
      <c r="Q212" s="2">
        <f>$E212*AN212</f>
        <v>3.5999999999999734</v>
      </c>
      <c r="R212" s="2">
        <f>$E212*AQ212</f>
        <v>0.39999999999998975</v>
      </c>
      <c r="S212" s="2">
        <f>$E212*AO212</f>
        <v>9.9864661654134732</v>
      </c>
      <c r="T212" s="2">
        <f>$E212*AP212</f>
        <v>2.8972932330826913</v>
      </c>
      <c r="U212" s="2">
        <f>S212-T212</f>
        <v>7.0891729323307819</v>
      </c>
      <c r="V212" s="1">
        <f>F212/D212</f>
        <v>0.24948898351601748</v>
      </c>
      <c r="W212" s="1">
        <f>(F212+M212+N212+P212)/(D212+M212+N212+Q212)</f>
        <v>0.32163738266362329</v>
      </c>
      <c r="X212" s="1">
        <f>(G212+H212*2+I212*3+J212*4)/D212</f>
        <v>0.41292795737323568</v>
      </c>
      <c r="Y212" s="1">
        <f>W212+X212</f>
        <v>0.73456534003685903</v>
      </c>
      <c r="Z212">
        <v>0.26800114180000001</v>
      </c>
      <c r="AA212">
        <v>15.33834586</v>
      </c>
      <c r="AB212">
        <v>8.8595727126000003</v>
      </c>
      <c r="AD212" s="2">
        <f>(D212-O212-J212+Q212)*Z212</f>
        <v>126.59850027445033</v>
      </c>
      <c r="AE212">
        <v>0.22148911099999999</v>
      </c>
      <c r="AF212">
        <v>0.73308387096774197</v>
      </c>
      <c r="AG212">
        <v>0.233870967741935</v>
      </c>
      <c r="AH212">
        <v>2.42360655737704E-2</v>
      </c>
      <c r="AI212">
        <v>3.1402439024390202E-2</v>
      </c>
      <c r="AJ212">
        <v>0.13481203007518699</v>
      </c>
      <c r="AK212">
        <v>0.11128048780487799</v>
      </c>
      <c r="AL212">
        <v>9.1257106180082004E-4</v>
      </c>
      <c r="AM212">
        <v>5.9355660720785798E-3</v>
      </c>
      <c r="AN212">
        <v>5.4878048780487403E-3</v>
      </c>
      <c r="AO212">
        <v>1.5223271593618099E-2</v>
      </c>
      <c r="AP212">
        <v>4.4166055382358098E-3</v>
      </c>
      <c r="AQ212">
        <v>6.0975609756096E-4</v>
      </c>
    </row>
    <row r="213" spans="1:43" x14ac:dyDescent="0.4">
      <c r="A213" t="s">
        <v>248</v>
      </c>
      <c r="B213" s="3" t="s">
        <v>256</v>
      </c>
      <c r="D213">
        <v>536</v>
      </c>
      <c r="E213">
        <v>602</v>
      </c>
      <c r="F213" s="2">
        <f>AD213+J213</f>
        <v>139.37299227052367</v>
      </c>
      <c r="G213" s="2">
        <f>$AD213*AF213</f>
        <v>84.781501506664029</v>
      </c>
      <c r="H213" s="2">
        <f>$AD213*AG213</f>
        <v>28.283136065298766</v>
      </c>
      <c r="I213" s="2">
        <f>$AD213*AH213</f>
        <v>3.9655184915514305</v>
      </c>
      <c r="J213" s="2">
        <f>$E213*AI213</f>
        <v>22.199999999999921</v>
      </c>
      <c r="K213" s="2">
        <f>$E213*AJ213</f>
        <v>83.1011235955053</v>
      </c>
      <c r="L213" s="2">
        <f>$E213*AK213</f>
        <v>75.999999999999559</v>
      </c>
      <c r="M213" s="2">
        <f>$E213*(AB213/100)</f>
        <v>55.201123597801995</v>
      </c>
      <c r="N213" s="2">
        <f>$E213*AL213</f>
        <v>1.9932584269662716</v>
      </c>
      <c r="O213" s="2">
        <f>$E213*(AA213/100)</f>
        <v>118.8539325834</v>
      </c>
      <c r="P213" s="2">
        <f>$E213*AM213</f>
        <v>5.9075885328836009</v>
      </c>
      <c r="Q213" s="2">
        <f>$E213*AN213</f>
        <v>3.9999999999999702</v>
      </c>
      <c r="R213" s="2">
        <f>$E213*AQ213</f>
        <v>0</v>
      </c>
      <c r="S213" s="2">
        <f>$E213*AO213</f>
        <v>18.935955056179743</v>
      </c>
      <c r="T213" s="2">
        <f>$E213*AP213</f>
        <v>4.0831460674157007</v>
      </c>
      <c r="U213" s="2">
        <f>S213-T213</f>
        <v>14.852808988764043</v>
      </c>
      <c r="V213" s="1">
        <f>F213/D213</f>
        <v>0.26002423931067847</v>
      </c>
      <c r="W213" s="1">
        <f>(F213+M213+N213+P213)/(D213+M213+N213+Q213)</f>
        <v>0.33904364964333844</v>
      </c>
      <c r="X213" s="1">
        <f>(G213+H213*2+I213*3+J213*4)/D213</f>
        <v>0.45157524088043943</v>
      </c>
      <c r="Y213" s="1">
        <f>W213+X213</f>
        <v>0.79061889052377787</v>
      </c>
      <c r="Z213">
        <v>0.29370634740000001</v>
      </c>
      <c r="AA213">
        <v>19.74317817</v>
      </c>
      <c r="AB213">
        <v>9.1696218600999995</v>
      </c>
      <c r="AD213" s="2">
        <f>(D213-O213-J213+Q213)*Z213</f>
        <v>117.17299227052374</v>
      </c>
      <c r="AE213">
        <v>0.232706515</v>
      </c>
      <c r="AF213">
        <v>0.72355838887279</v>
      </c>
      <c r="AG213">
        <v>0.24137931034482701</v>
      </c>
      <c r="AH213">
        <v>3.3843280902104297E-2</v>
      </c>
      <c r="AI213">
        <v>3.6877076411960003E-2</v>
      </c>
      <c r="AJ213">
        <v>0.138041733547351</v>
      </c>
      <c r="AK213">
        <v>0.12624584717607901</v>
      </c>
      <c r="AL213">
        <v>3.3110605099107501E-3</v>
      </c>
      <c r="AM213">
        <v>9.8132699881787397E-3</v>
      </c>
      <c r="AN213">
        <v>6.6445182724251999E-3</v>
      </c>
      <c r="AO213">
        <v>3.14550748441524E-2</v>
      </c>
      <c r="AP213">
        <v>6.7826346634812301E-3</v>
      </c>
      <c r="AQ213">
        <v>0</v>
      </c>
    </row>
    <row r="214" spans="1:43" x14ac:dyDescent="0.4">
      <c r="A214" t="s">
        <v>257</v>
      </c>
      <c r="B214" t="s">
        <v>258</v>
      </c>
      <c r="D214">
        <v>366</v>
      </c>
      <c r="E214">
        <v>414</v>
      </c>
      <c r="F214" s="2">
        <f>AD214+J214</f>
        <v>93.563187322710547</v>
      </c>
      <c r="G214" s="2">
        <f>$AD214*AF214</f>
        <v>66.691124366956871</v>
      </c>
      <c r="H214" s="2">
        <f>$AD214*AG214</f>
        <v>17.238243186579208</v>
      </c>
      <c r="I214" s="2">
        <f>$AD214*AH214</f>
        <v>0</v>
      </c>
      <c r="J214" s="2">
        <f>$E214*AI214</f>
        <v>9.3999999999999844</v>
      </c>
      <c r="K214" s="2">
        <f>$E214*AJ214</f>
        <v>41.928440366972104</v>
      </c>
      <c r="L214" s="2">
        <f>$E214*AK214</f>
        <v>47.999999999999901</v>
      </c>
      <c r="M214" s="2">
        <f>$E214*(AB214/100)</f>
        <v>38.283027521579996</v>
      </c>
      <c r="N214" s="2">
        <f>$E214*AL214</f>
        <v>0.99495412844033448</v>
      </c>
      <c r="O214" s="2">
        <f>$E214*(AA214/100)</f>
        <v>50.325688061999998</v>
      </c>
      <c r="P214" s="2">
        <f>$E214*AM214</f>
        <v>4.8869158878504502</v>
      </c>
      <c r="Q214" s="2">
        <f>$E214*AN214</f>
        <v>3.3999999999999879</v>
      </c>
      <c r="R214" s="2">
        <f>$E214*AQ214</f>
        <v>0</v>
      </c>
      <c r="S214" s="2">
        <f>$E214*AO214</f>
        <v>9.4954128440363827E-2</v>
      </c>
      <c r="T214" s="2">
        <f>$E214*AP214</f>
        <v>0</v>
      </c>
      <c r="U214" s="2">
        <f>S214-T214</f>
        <v>9.4954128440363827E-2</v>
      </c>
      <c r="V214" s="1">
        <f>F214/D214</f>
        <v>0.2556371238325425</v>
      </c>
      <c r="W214" s="1">
        <f>(F214+M214+N214+P214)/(D214+M214+N214+Q214)</f>
        <v>0.33700882123502213</v>
      </c>
      <c r="X214" s="1">
        <f>(G214+H214*2+I214*3+J214*4)/D214</f>
        <v>0.37914647743200885</v>
      </c>
      <c r="Y214" s="1">
        <f>W214+X214</f>
        <v>0.71615529866703098</v>
      </c>
      <c r="Z214">
        <v>0.27177968619999998</v>
      </c>
      <c r="AA214">
        <v>12.1559633</v>
      </c>
      <c r="AB214">
        <v>9.2471080969999999</v>
      </c>
      <c r="AD214" s="2">
        <f>(D214-O214-J214+Q214)*Z214</f>
        <v>84.163187322710556</v>
      </c>
      <c r="AE214">
        <v>0.23085804200000001</v>
      </c>
      <c r="AF214">
        <v>0.792402551381998</v>
      </c>
      <c r="AG214">
        <v>0.20481927710843301</v>
      </c>
      <c r="AH214">
        <v>0</v>
      </c>
      <c r="AI214">
        <v>2.27053140096618E-2</v>
      </c>
      <c r="AJ214">
        <v>0.101276426007179</v>
      </c>
      <c r="AK214">
        <v>0.115942028985507</v>
      </c>
      <c r="AL214">
        <v>2.40327084164332E-3</v>
      </c>
      <c r="AM214">
        <v>1.18041446566436E-2</v>
      </c>
      <c r="AN214">
        <v>8.2125603864734009E-3</v>
      </c>
      <c r="AO214">
        <v>2.2935779816513001E-4</v>
      </c>
      <c r="AP214">
        <v>0</v>
      </c>
      <c r="AQ214">
        <v>0</v>
      </c>
    </row>
    <row r="215" spans="1:43" x14ac:dyDescent="0.4">
      <c r="A215" t="s">
        <v>257</v>
      </c>
      <c r="B215" t="s">
        <v>259</v>
      </c>
      <c r="D215">
        <v>539</v>
      </c>
      <c r="E215">
        <v>596</v>
      </c>
      <c r="F215" s="2">
        <f>AD215+J215</f>
        <v>138.86259261734111</v>
      </c>
      <c r="G215" s="2">
        <f>$AD215*AF215</f>
        <v>98.665622649601772</v>
      </c>
      <c r="H215" s="2">
        <f>$AD215*AG215</f>
        <v>25.16980169632695</v>
      </c>
      <c r="I215" s="2">
        <f>$AD215*AH215</f>
        <v>3.0109375279231054</v>
      </c>
      <c r="J215" s="2">
        <f>$E215*AI215</f>
        <v>10.999999999999956</v>
      </c>
      <c r="K215" s="2">
        <f>$E215*AJ215</f>
        <v>69.858084772370418</v>
      </c>
      <c r="L215" s="2">
        <f>$E215*AK215</f>
        <v>58.999999999999979</v>
      </c>
      <c r="M215" s="2">
        <f>$E215*(AB215/100)</f>
        <v>30.987598116839997</v>
      </c>
      <c r="N215" s="2">
        <f>$E215*AL215</f>
        <v>1.9871271585556878</v>
      </c>
      <c r="O215" s="2">
        <f>$E215*(AA215/100)</f>
        <v>100.11302985079999</v>
      </c>
      <c r="P215" s="2">
        <f>$E215*AM215</f>
        <v>16.354098360655726</v>
      </c>
      <c r="Q215" s="2">
        <f>$E215*AN215</f>
        <v>3.9999999999999671</v>
      </c>
      <c r="R215" s="2">
        <f>$E215*AQ215</f>
        <v>3.5449180327868595</v>
      </c>
      <c r="S215" s="2">
        <f>$E215*AO215</f>
        <v>25.926216640502314</v>
      </c>
      <c r="T215" s="2">
        <f>$E215*AP215</f>
        <v>4.9678178963892918</v>
      </c>
      <c r="U215" s="2">
        <f>S215-T215</f>
        <v>20.958398744113023</v>
      </c>
      <c r="V215" s="1">
        <f>F215/D215</f>
        <v>0.25763004196167183</v>
      </c>
      <c r="W215" s="1">
        <f>(F215+M215+N215+P215)/(D215+M215+N215+Q215)</f>
        <v>0.32673554584085429</v>
      </c>
      <c r="X215" s="1">
        <f>(G215+H215*2+I215*3+J215*4)/D215</f>
        <v>0.37483866164383089</v>
      </c>
      <c r="Y215" s="1">
        <f>W215+X215</f>
        <v>0.70157420748468513</v>
      </c>
      <c r="Z215">
        <v>0.29605568459999998</v>
      </c>
      <c r="AA215">
        <v>16.797488229999999</v>
      </c>
      <c r="AB215">
        <v>5.1992614289999999</v>
      </c>
      <c r="AD215" s="2">
        <f>(D215-O215-J215+Q215)*Z215</f>
        <v>127.86259261734116</v>
      </c>
      <c r="AE215">
        <v>0.23205903899999999</v>
      </c>
      <c r="AF215">
        <v>0.77165354330708602</v>
      </c>
      <c r="AG215">
        <v>0.196850393700787</v>
      </c>
      <c r="AH215">
        <v>2.35482283464566E-2</v>
      </c>
      <c r="AI215">
        <v>1.8456375838926099E-2</v>
      </c>
      <c r="AJ215">
        <v>0.11721155163149399</v>
      </c>
      <c r="AK215">
        <v>9.8993288590603995E-2</v>
      </c>
      <c r="AL215">
        <v>3.3341059707310198E-3</v>
      </c>
      <c r="AM215">
        <v>2.7439762350093499E-2</v>
      </c>
      <c r="AN215">
        <v>6.7114093959730996E-3</v>
      </c>
      <c r="AO215">
        <v>4.3500363490775698E-2</v>
      </c>
      <c r="AP215">
        <v>8.3352649268276704E-3</v>
      </c>
      <c r="AQ215">
        <v>5.9478490483000999E-3</v>
      </c>
    </row>
    <row r="216" spans="1:43" x14ac:dyDescent="0.4">
      <c r="A216" t="s">
        <v>257</v>
      </c>
      <c r="B216" t="s">
        <v>260</v>
      </c>
      <c r="D216">
        <v>567</v>
      </c>
      <c r="E216">
        <v>634</v>
      </c>
      <c r="F216" s="2">
        <f>AD216+J216</f>
        <v>135.61640357999036</v>
      </c>
      <c r="G216" s="2">
        <f>$AD216*AF216</f>
        <v>74.037237045081625</v>
      </c>
      <c r="H216" s="2">
        <f>$AD216*AG216</f>
        <v>26.680264930797506</v>
      </c>
      <c r="I216" s="2">
        <f>$AD216*AH216</f>
        <v>0.99244393305516743</v>
      </c>
      <c r="J216" s="2">
        <f>$E216*AI216</f>
        <v>32.99999999999995</v>
      </c>
      <c r="K216" s="2">
        <f>$E216*AJ216</f>
        <v>79.882142857142696</v>
      </c>
      <c r="L216" s="2">
        <f>$E216*AK216</f>
        <v>93.999999999999787</v>
      </c>
      <c r="M216" s="2">
        <f>$E216*(AB216/100)</f>
        <v>55.777678571464001</v>
      </c>
      <c r="N216" s="2">
        <f>$E216*AL216</f>
        <v>1.9886904761904638</v>
      </c>
      <c r="O216" s="2">
        <f>$E216*(AA216/100)</f>
        <v>131.1398809554</v>
      </c>
      <c r="P216" s="2">
        <f>$E216*AM216</f>
        <v>7.9033280507130792</v>
      </c>
      <c r="Q216" s="2">
        <f>$E216*AN216</f>
        <v>4.9999999999999467</v>
      </c>
      <c r="R216" s="2">
        <f>$E216*AQ216</f>
        <v>0</v>
      </c>
      <c r="S216" s="2">
        <f>$E216*AO216</f>
        <v>1.9886904761904638</v>
      </c>
      <c r="T216" s="2">
        <f>$E216*AP216</f>
        <v>0.99434523809520325</v>
      </c>
      <c r="U216" s="2">
        <f>S216-T216</f>
        <v>0.99434523809526054</v>
      </c>
      <c r="V216" s="1">
        <f>F216/D216</f>
        <v>0.23918236962961262</v>
      </c>
      <c r="W216" s="1">
        <f>(F216+M216+N216+P216)/(D216+M216+N216+Q216)</f>
        <v>0.31962027598067339</v>
      </c>
      <c r="X216" s="1">
        <f>(G216+H216*2+I216*3+J216*4)/D216</f>
        <v>0.46274267849354839</v>
      </c>
      <c r="Y216" s="1">
        <f>W216+X216</f>
        <v>0.78236295447422177</v>
      </c>
      <c r="Z216">
        <v>0.25159705199999999</v>
      </c>
      <c r="AA216">
        <v>20.684523810000002</v>
      </c>
      <c r="AB216">
        <v>8.7977410995999996</v>
      </c>
      <c r="AD216" s="2">
        <f>(D216-O216-J216+Q216)*Z216</f>
        <v>102.6164035799904</v>
      </c>
      <c r="AE216">
        <v>0.214289482</v>
      </c>
      <c r="AF216">
        <v>0.72149514563106798</v>
      </c>
      <c r="AG216">
        <v>0.26</v>
      </c>
      <c r="AH216">
        <v>9.6713965646003999E-3</v>
      </c>
      <c r="AI216">
        <v>5.20504731861198E-2</v>
      </c>
      <c r="AJ216">
        <v>0.12599707075259101</v>
      </c>
      <c r="AK216">
        <v>0.148264984227129</v>
      </c>
      <c r="AL216">
        <v>3.1367357668619302E-3</v>
      </c>
      <c r="AM216">
        <v>1.2465817114689399E-2</v>
      </c>
      <c r="AN216">
        <v>7.8864353312302002E-3</v>
      </c>
      <c r="AO216">
        <v>3.1367357668619302E-3</v>
      </c>
      <c r="AP216">
        <v>1.56836788343092E-3</v>
      </c>
      <c r="AQ216">
        <v>0</v>
      </c>
    </row>
    <row r="217" spans="1:43" x14ac:dyDescent="0.4">
      <c r="A217" t="s">
        <v>257</v>
      </c>
      <c r="B217" t="s">
        <v>261</v>
      </c>
      <c r="D217">
        <v>559</v>
      </c>
      <c r="E217">
        <v>600</v>
      </c>
      <c r="F217" s="2">
        <f>AD217+J217</f>
        <v>153.84864107827744</v>
      </c>
      <c r="G217" s="2">
        <f>$AD217*AF217</f>
        <v>108.21282227985012</v>
      </c>
      <c r="H217" s="2">
        <f>$AD217*AG217</f>
        <v>27.126908037054228</v>
      </c>
      <c r="I217" s="2">
        <f>$AD217*AH217</f>
        <v>1.6105796262898835</v>
      </c>
      <c r="J217" s="2">
        <f>$E217*AI217</f>
        <v>15.199999999999921</v>
      </c>
      <c r="K217" s="2">
        <f>$E217*AJ217</f>
        <v>72.231168831168603</v>
      </c>
      <c r="L217" s="2">
        <f>$E217*AK217</f>
        <v>70.999999999999801</v>
      </c>
      <c r="M217" s="2">
        <f>$E217*(AB217/100)</f>
        <v>32.306493504599999</v>
      </c>
      <c r="N217" s="2">
        <f>$E217*AL217</f>
        <v>0.5974025974025754</v>
      </c>
      <c r="O217" s="2">
        <f>$E217*(AA217/100)</f>
        <v>114.93506496000001</v>
      </c>
      <c r="P217" s="2">
        <f>$E217*AM217</f>
        <v>3.9284671532846338</v>
      </c>
      <c r="Q217" s="2">
        <f>$E217*AN217</f>
        <v>3.5999999999999761</v>
      </c>
      <c r="R217" s="2">
        <f>$E217*AQ217</f>
        <v>0</v>
      </c>
      <c r="S217" s="2">
        <f>$E217*AO217</f>
        <v>9.0740259740259592</v>
      </c>
      <c r="T217" s="2">
        <f>$E217*AP217</f>
        <v>2.9922077922077879</v>
      </c>
      <c r="U217" s="2">
        <f>S217-T217</f>
        <v>6.0818181818181714</v>
      </c>
      <c r="V217" s="1">
        <f>F217/D217</f>
        <v>0.2752211826087253</v>
      </c>
      <c r="W217" s="1">
        <f>(F217+M217+N217+P217)/(D217+M217+N217+Q217)</f>
        <v>0.32020110293435144</v>
      </c>
      <c r="X217" s="1">
        <f>(G217+H217*2+I217*3+J217*4)/D217</f>
        <v>0.40804718646301946</v>
      </c>
      <c r="Y217" s="1">
        <f>W217+X217</f>
        <v>0.72824828939737096</v>
      </c>
      <c r="Z217">
        <v>0.32060088539999998</v>
      </c>
      <c r="AA217">
        <v>19.155844160000001</v>
      </c>
      <c r="AB217">
        <v>5.3844155841000001</v>
      </c>
      <c r="AD217" s="2">
        <f>(D217-O217-J217+Q217)*Z217</f>
        <v>138.64864107827751</v>
      </c>
      <c r="AE217">
        <v>0.254929825</v>
      </c>
      <c r="AF217">
        <v>0.78048238654395397</v>
      </c>
      <c r="AG217">
        <v>0.19565217391304299</v>
      </c>
      <c r="AH217">
        <v>1.1616266944733999E-2</v>
      </c>
      <c r="AI217">
        <v>2.5333333333333201E-2</v>
      </c>
      <c r="AJ217">
        <v>0.120385281385281</v>
      </c>
      <c r="AK217">
        <v>0.118333333333333</v>
      </c>
      <c r="AL217">
        <v>9.9567099567095902E-4</v>
      </c>
      <c r="AM217">
        <v>6.5474452554743897E-3</v>
      </c>
      <c r="AN217">
        <v>5.9999999999999602E-3</v>
      </c>
      <c r="AO217">
        <v>1.5123376623376599E-2</v>
      </c>
      <c r="AP217">
        <v>4.9870129870129799E-3</v>
      </c>
      <c r="AQ217">
        <v>0</v>
      </c>
    </row>
    <row r="218" spans="1:43" x14ac:dyDescent="0.4">
      <c r="A218" t="s">
        <v>257</v>
      </c>
      <c r="B218" t="s">
        <v>262</v>
      </c>
      <c r="D218">
        <v>485</v>
      </c>
      <c r="E218">
        <v>540</v>
      </c>
      <c r="F218" s="2">
        <f>AD218+J218</f>
        <v>106.45836468057514</v>
      </c>
      <c r="G218" s="2">
        <f>$AD218*AF218</f>
        <v>61.298715573140534</v>
      </c>
      <c r="H218" s="2">
        <f>$AD218*AG218</f>
        <v>21.514591170143795</v>
      </c>
      <c r="I218" s="2">
        <f>$AD218*AH218</f>
        <v>3.6165704008033721</v>
      </c>
      <c r="J218" s="2">
        <f>$E218*AI218</f>
        <v>20.399999999999959</v>
      </c>
      <c r="K218" s="2">
        <f>$E218*AJ218</f>
        <v>67.771428571428302</v>
      </c>
      <c r="L218" s="2">
        <f>$E218*AK218</f>
        <v>62.999999999999645</v>
      </c>
      <c r="M218" s="2">
        <f>$E218*(AB218/100)</f>
        <v>47.866666667400004</v>
      </c>
      <c r="N218" s="2">
        <f>$E218*AL218</f>
        <v>0.99523809523806483</v>
      </c>
      <c r="O218" s="2">
        <f>$E218*(AA218/100)</f>
        <v>133.33333330799999</v>
      </c>
      <c r="P218" s="2">
        <f>$E218*AM218</f>
        <v>4.9090909090908763</v>
      </c>
      <c r="Q218" s="2">
        <f>$E218*AN218</f>
        <v>2.9999999999999702</v>
      </c>
      <c r="R218" s="2">
        <f>$E218*AQ218</f>
        <v>1.0136363636363219</v>
      </c>
      <c r="S218" s="2">
        <f>$E218*AO218</f>
        <v>11.942857142857079</v>
      </c>
      <c r="T218" s="2">
        <f>$E218*AP218</f>
        <v>3.0809523809523496</v>
      </c>
      <c r="U218" s="2">
        <f>S218-T218</f>
        <v>8.8619047619047286</v>
      </c>
      <c r="V218" s="1">
        <f>F218/D218</f>
        <v>0.2195017828465467</v>
      </c>
      <c r="W218" s="1">
        <f>(F218+M218+N218+P218)/(D218+M218+N218+Q218)</f>
        <v>0.29845544809730179</v>
      </c>
      <c r="X218" s="1">
        <f>(G218+H218*2+I218*3+J218*4)/D218</f>
        <v>0.40572702910482078</v>
      </c>
      <c r="Y218" s="1">
        <f>W218+X218</f>
        <v>0.70418247720212257</v>
      </c>
      <c r="Z218">
        <v>0.25745422219999903</v>
      </c>
      <c r="AA218">
        <v>24.691358019999999</v>
      </c>
      <c r="AB218">
        <v>8.8641975310000003</v>
      </c>
      <c r="AD218" s="2">
        <f>(D218-O218-J218+Q218)*Z218</f>
        <v>86.058364680575181</v>
      </c>
      <c r="AE218">
        <v>0.19675188299999999</v>
      </c>
      <c r="AF218">
        <v>0.712292358803986</v>
      </c>
      <c r="AG218">
        <v>0.25</v>
      </c>
      <c r="AH218">
        <v>4.2024623803009503E-2</v>
      </c>
      <c r="AI218">
        <v>3.7777777777777702E-2</v>
      </c>
      <c r="AJ218">
        <v>0.125502645502645</v>
      </c>
      <c r="AK218">
        <v>0.116666666666666</v>
      </c>
      <c r="AL218">
        <v>1.84303350970012E-3</v>
      </c>
      <c r="AM218">
        <v>9.0909090909090298E-3</v>
      </c>
      <c r="AN218">
        <v>5.5555555555555003E-3</v>
      </c>
      <c r="AO218">
        <v>2.2116402116401999E-2</v>
      </c>
      <c r="AP218">
        <v>5.7054673721339804E-3</v>
      </c>
      <c r="AQ218">
        <v>1.8771043771042999E-3</v>
      </c>
    </row>
    <row r="219" spans="1:43" x14ac:dyDescent="0.4">
      <c r="A219" t="s">
        <v>257</v>
      </c>
      <c r="B219" s="3" t="s">
        <v>263</v>
      </c>
      <c r="D219">
        <v>205</v>
      </c>
      <c r="E219">
        <v>235</v>
      </c>
      <c r="F219" s="2">
        <f>AD219+J219</f>
        <v>43.378945515279277</v>
      </c>
      <c r="G219" s="2">
        <f>$AD219*AF219</f>
        <v>24.31869545347989</v>
      </c>
      <c r="H219" s="2">
        <f>$AD219*AG219</f>
        <v>9.9939844329369194</v>
      </c>
      <c r="I219" s="2">
        <f>$AD219*AH219</f>
        <v>0.98274180257212951</v>
      </c>
      <c r="J219" s="2">
        <f>$E219*AI219</f>
        <v>8.3999999999999702</v>
      </c>
      <c r="K219" s="2">
        <f>$E219*AJ219</f>
        <v>28.119999999999976</v>
      </c>
      <c r="L219" s="2">
        <f>$E219*AK219</f>
        <v>26.999999999999858</v>
      </c>
      <c r="M219" s="2">
        <f>$E219*(AB219/100)</f>
        <v>24.285714291449995</v>
      </c>
      <c r="N219" s="2">
        <f>$E219*AL219</f>
        <v>0</v>
      </c>
      <c r="O219" s="2">
        <f>$E219*(AA219/100)</f>
        <v>68.485714279000007</v>
      </c>
      <c r="P219" s="2">
        <f>$E219*AM219</f>
        <v>2.9987288135593162</v>
      </c>
      <c r="Q219" s="2">
        <f>$E219*AN219</f>
        <v>1.9999999999999907</v>
      </c>
      <c r="R219" s="2">
        <f>$E219*AQ219</f>
        <v>0</v>
      </c>
      <c r="S219" s="2">
        <f>$E219*AO219</f>
        <v>2.9685714285714044</v>
      </c>
      <c r="T219" s="2">
        <f>$E219*AP219</f>
        <v>0.89999999999998515</v>
      </c>
      <c r="U219" s="2">
        <f>S219-T219</f>
        <v>2.0685714285714192</v>
      </c>
      <c r="V219" s="1">
        <f>F219/D219</f>
        <v>0.21160461226965502</v>
      </c>
      <c r="W219" s="1">
        <f>(F219+M219+N219+P219)/(D219+M219+N219+Q219)</f>
        <v>0.30552422503381921</v>
      </c>
      <c r="X219" s="1">
        <f>(G219+H219*2+I219*3+J219*4)/D219</f>
        <v>0.39441409622960977</v>
      </c>
      <c r="Y219" s="1">
        <f>W219+X219</f>
        <v>0.69993832126342892</v>
      </c>
      <c r="Z219">
        <v>0.26883247539999999</v>
      </c>
      <c r="AA219">
        <v>29.14285714</v>
      </c>
      <c r="AB219">
        <v>10.334346506999999</v>
      </c>
      <c r="AD219" s="2">
        <f>(D219-O219-J219+Q219)*Z219</f>
        <v>34.978945515279307</v>
      </c>
      <c r="AE219">
        <v>0.18651696000000001</v>
      </c>
      <c r="AF219">
        <v>0.69523809523809499</v>
      </c>
      <c r="AG219">
        <v>0.28571428571428498</v>
      </c>
      <c r="AH219">
        <v>2.8095238095238E-2</v>
      </c>
      <c r="AI219">
        <v>3.57446808510637E-2</v>
      </c>
      <c r="AJ219">
        <v>0.11965957446808501</v>
      </c>
      <c r="AK219">
        <v>0.114893617021276</v>
      </c>
      <c r="AL219">
        <v>0</v>
      </c>
      <c r="AM219">
        <v>1.2760548142805601E-2</v>
      </c>
      <c r="AN219">
        <v>8.5106382978723007E-3</v>
      </c>
      <c r="AO219">
        <v>1.2632218844984699E-2</v>
      </c>
      <c r="AP219">
        <v>3.8297872340424901E-3</v>
      </c>
      <c r="AQ219">
        <v>0</v>
      </c>
    </row>
    <row r="220" spans="1:43" x14ac:dyDescent="0.4">
      <c r="A220" t="s">
        <v>257</v>
      </c>
      <c r="B220" t="s">
        <v>264</v>
      </c>
      <c r="D220">
        <v>537</v>
      </c>
      <c r="E220">
        <v>602</v>
      </c>
      <c r="F220" s="2">
        <f>AD220+J220</f>
        <v>130.05754666940402</v>
      </c>
      <c r="G220" s="2">
        <f>$AD220*AF220</f>
        <v>86.621076690851496</v>
      </c>
      <c r="H220" s="2">
        <f>$AD220*AG220</f>
        <v>22.686049322091037</v>
      </c>
      <c r="I220" s="2">
        <f>$AD220*AH220</f>
        <v>2.0155467898938824</v>
      </c>
      <c r="J220" s="2">
        <f>$E220*AI220</f>
        <v>18.599999999999934</v>
      </c>
      <c r="K220" s="2">
        <f>$E220*AJ220</f>
        <v>76.855172413792914</v>
      </c>
      <c r="L220" s="2">
        <f>$E220*AK220</f>
        <v>63.99999999999941</v>
      </c>
      <c r="M220" s="2">
        <f>$E220*(AB220/100)</f>
        <v>54.135632185221993</v>
      </c>
      <c r="N220" s="2">
        <f>$E220*AL220</f>
        <v>0</v>
      </c>
      <c r="O220" s="2">
        <f>$E220*(AA220/100)</f>
        <v>115.65517241319999</v>
      </c>
      <c r="P220" s="2">
        <f>$E220*AM220</f>
        <v>6.8462794918329664</v>
      </c>
      <c r="Q220" s="2">
        <f>$E220*AN220</f>
        <v>3.5999999999999734</v>
      </c>
      <c r="R220" s="2">
        <f>$E220*AQ220</f>
        <v>0.39999999999999702</v>
      </c>
      <c r="S220" s="2">
        <f>$E220*AO220</f>
        <v>14.883908045976916</v>
      </c>
      <c r="T220" s="2">
        <f>$E220*AP220</f>
        <v>2.9965517241379089</v>
      </c>
      <c r="U220" s="2">
        <f>S220-T220</f>
        <v>11.887356321839007</v>
      </c>
      <c r="V220" s="1">
        <f>F220/D220</f>
        <v>0.24219282433781009</v>
      </c>
      <c r="W220" s="1">
        <f>(F220+M220+N220+P220)/(D220+M220+N220+Q220)</f>
        <v>0.3212174418481159</v>
      </c>
      <c r="X220" s="1">
        <f>(G220+H220*2+I220*3+J220*4)/D220</f>
        <v>0.39560487095850089</v>
      </c>
      <c r="Y220" s="1">
        <f>W220+X220</f>
        <v>0.71682231280661679</v>
      </c>
      <c r="Z220">
        <v>0.274293012</v>
      </c>
      <c r="AA220">
        <v>19.211822659999999</v>
      </c>
      <c r="AB220">
        <v>8.9926299310999998</v>
      </c>
      <c r="AD220" s="2">
        <f>(D220-O220-J220+Q220)*Z220</f>
        <v>111.45754666940408</v>
      </c>
      <c r="AE220">
        <v>0.21727197200000001</v>
      </c>
      <c r="AF220">
        <v>0.777166547078051</v>
      </c>
      <c r="AG220">
        <v>0.20353982300884901</v>
      </c>
      <c r="AH220">
        <v>1.8083538083537999E-2</v>
      </c>
      <c r="AI220">
        <v>3.08970099667773E-2</v>
      </c>
      <c r="AJ220">
        <v>0.12766639935846</v>
      </c>
      <c r="AK220">
        <v>0.106312292358803</v>
      </c>
      <c r="AL220">
        <v>0</v>
      </c>
      <c r="AM220">
        <v>1.1372557295403599E-2</v>
      </c>
      <c r="AN220">
        <v>5.9800664451826798E-3</v>
      </c>
      <c r="AO220">
        <v>2.4724099744147701E-2</v>
      </c>
      <c r="AP220">
        <v>4.9776606713254302E-3</v>
      </c>
      <c r="AQ220">
        <v>6.6445182724251997E-4</v>
      </c>
    </row>
    <row r="221" spans="1:43" x14ac:dyDescent="0.4">
      <c r="A221" t="s">
        <v>257</v>
      </c>
      <c r="B221" s="3" t="s">
        <v>265</v>
      </c>
      <c r="D221">
        <v>162</v>
      </c>
      <c r="E221">
        <v>178</v>
      </c>
      <c r="F221" s="2">
        <f>AD221+J221</f>
        <v>35.318787916835745</v>
      </c>
      <c r="G221" s="2">
        <f>$AD221*AF221</f>
        <v>20.089004355619085</v>
      </c>
      <c r="H221" s="2">
        <f>$AD221*AG221</f>
        <v>7.9224242529202025</v>
      </c>
      <c r="I221" s="2">
        <f>$AD221*AH221</f>
        <v>0</v>
      </c>
      <c r="J221" s="2">
        <f>$E221*AI221</f>
        <v>6.599999999999989</v>
      </c>
      <c r="K221" s="2">
        <f>$E221*AJ221</f>
        <v>19.405714285714147</v>
      </c>
      <c r="L221" s="2">
        <f>$E221*AK221</f>
        <v>21.999999999999904</v>
      </c>
      <c r="M221" s="2">
        <f>$E221*(AB221/100)</f>
        <v>12.071428571922</v>
      </c>
      <c r="N221" s="2">
        <f>$E221*AL221</f>
        <v>0.98476190476188963</v>
      </c>
      <c r="O221" s="2">
        <f>$E221*(AA221/100)</f>
        <v>47.466666672599999</v>
      </c>
      <c r="P221" s="2">
        <f>$E221*AM221</f>
        <v>2.0787472035793888</v>
      </c>
      <c r="Q221" s="2">
        <f>$E221*AN221</f>
        <v>0.99999999999998435</v>
      </c>
      <c r="R221" s="2">
        <f>$E221*AQ221</f>
        <v>0</v>
      </c>
      <c r="S221" s="2">
        <f>$E221*AO221</f>
        <v>0.98476190476188963</v>
      </c>
      <c r="T221" s="2">
        <f>$E221*AP221</f>
        <v>0</v>
      </c>
      <c r="U221" s="2">
        <f>S221-T221</f>
        <v>0.98476190476188963</v>
      </c>
      <c r="V221" s="1">
        <f>F221/D221</f>
        <v>0.21801720936318361</v>
      </c>
      <c r="W221" s="1">
        <f>(F221+M221+N221+P221)/(D221+M221+N221+Q221)</f>
        <v>0.28657740156987493</v>
      </c>
      <c r="X221" s="1">
        <f>(G221+H221*2+I221*3+J221*4)/D221</f>
        <v>0.38477686951518175</v>
      </c>
      <c r="Y221" s="1">
        <f>W221+X221</f>
        <v>0.67135427108505663</v>
      </c>
      <c r="Z221">
        <v>0.26363636400000001</v>
      </c>
      <c r="AA221">
        <v>26.666666670000001</v>
      </c>
      <c r="AB221">
        <v>6.7817014449000004</v>
      </c>
      <c r="AD221" s="2">
        <f>(D221-O221-J221+Q221)*Z221</f>
        <v>28.718787916835758</v>
      </c>
      <c r="AE221">
        <v>0.19696629199999999</v>
      </c>
      <c r="AF221">
        <v>0.69950738916256106</v>
      </c>
      <c r="AG221">
        <v>0.27586206896551702</v>
      </c>
      <c r="AH221">
        <v>0</v>
      </c>
      <c r="AI221">
        <v>3.7078651685393198E-2</v>
      </c>
      <c r="AJ221">
        <v>0.10902086677367499</v>
      </c>
      <c r="AK221">
        <v>0.123595505617977</v>
      </c>
      <c r="AL221">
        <v>5.53237025147129E-3</v>
      </c>
      <c r="AM221">
        <v>1.1678355076288701E-2</v>
      </c>
      <c r="AN221">
        <v>5.6179775280897999E-3</v>
      </c>
      <c r="AO221">
        <v>5.53237025147129E-3</v>
      </c>
      <c r="AP221">
        <v>0</v>
      </c>
      <c r="AQ221">
        <v>0</v>
      </c>
    </row>
    <row r="222" spans="1:43" x14ac:dyDescent="0.4">
      <c r="A222" t="s">
        <v>257</v>
      </c>
      <c r="B222" t="s">
        <v>266</v>
      </c>
      <c r="D222">
        <v>587</v>
      </c>
      <c r="E222">
        <v>666</v>
      </c>
      <c r="F222" s="2">
        <f>AD222+J222</f>
        <v>173.83866355073786</v>
      </c>
      <c r="G222" s="2">
        <f>$AD222*AF222</f>
        <v>108.17210226603123</v>
      </c>
      <c r="H222" s="2">
        <f>$AD222*AG222</f>
        <v>31.784875759605576</v>
      </c>
      <c r="I222" s="2">
        <f>$AD222*AH222</f>
        <v>0.99747431411085463</v>
      </c>
      <c r="J222" s="2">
        <f>$E222*AI222</f>
        <v>31.799999999999965</v>
      </c>
      <c r="K222" s="2">
        <f>$E222*AJ222</f>
        <v>96.480357142857059</v>
      </c>
      <c r="L222" s="2">
        <f>$E222*AK222</f>
        <v>98.999999999999559</v>
      </c>
      <c r="M222" s="2">
        <f>$E222*(AB222/100)</f>
        <v>67.33660714218</v>
      </c>
      <c r="N222" s="2">
        <f>$E222*AL222</f>
        <v>7.5928571428570759</v>
      </c>
      <c r="O222" s="2">
        <f>$E222*(AA222/100)</f>
        <v>95.142857171399996</v>
      </c>
      <c r="P222" s="2">
        <f>$E222*AM222</f>
        <v>6.9009022556390285</v>
      </c>
      <c r="Q222" s="2">
        <f>$E222*AN222</f>
        <v>3.999999999999996</v>
      </c>
      <c r="R222" s="2">
        <f>$E222*AQ222</f>
        <v>0</v>
      </c>
      <c r="S222" s="2">
        <f>$E222*AO222</f>
        <v>4.0955357142857043</v>
      </c>
      <c r="T222" s="2">
        <f>$E222*AP222</f>
        <v>1.9982142857142788</v>
      </c>
      <c r="U222" s="2">
        <f>S222-T222</f>
        <v>2.0973214285714255</v>
      </c>
      <c r="V222" s="1">
        <f>F222/D222</f>
        <v>0.29614763807621441</v>
      </c>
      <c r="W222" s="1">
        <f>(F222+M222+N222+P222)/(D222+M222+N222+Q222)</f>
        <v>0.38392809419524387</v>
      </c>
      <c r="X222" s="1">
        <f>(G222+H222*2+I222*3+J222*4)/D222</f>
        <v>0.51436844416963334</v>
      </c>
      <c r="Y222" s="1">
        <f>W222+X222</f>
        <v>0.89829653836487722</v>
      </c>
      <c r="Z222">
        <v>0.30608011480000002</v>
      </c>
      <c r="AA222">
        <v>14.28571429</v>
      </c>
      <c r="AB222">
        <v>10.110601673</v>
      </c>
      <c r="AD222" s="2">
        <f>(D222-O222-J222+Q222)*Z222</f>
        <v>142.03866355073791</v>
      </c>
      <c r="AE222">
        <v>0.26162725199999998</v>
      </c>
      <c r="AF222">
        <v>0.76156800945533298</v>
      </c>
      <c r="AG222">
        <v>0.223776223776223</v>
      </c>
      <c r="AH222">
        <v>7.0225549098787803E-3</v>
      </c>
      <c r="AI222">
        <v>4.7747747747747697E-2</v>
      </c>
      <c r="AJ222">
        <v>0.144865401115401</v>
      </c>
      <c r="AK222">
        <v>0.14864864864864799</v>
      </c>
      <c r="AL222">
        <v>1.14006864006863E-2</v>
      </c>
      <c r="AM222">
        <v>1.03617150985571E-2</v>
      </c>
      <c r="AN222">
        <v>6.0060060060059999E-3</v>
      </c>
      <c r="AO222">
        <v>6.14945302445301E-3</v>
      </c>
      <c r="AP222">
        <v>3.0003217503217399E-3</v>
      </c>
      <c r="AQ222">
        <v>0</v>
      </c>
    </row>
    <row r="223" spans="1:43" x14ac:dyDescent="0.4">
      <c r="A223" t="s">
        <v>267</v>
      </c>
      <c r="B223" t="s">
        <v>268</v>
      </c>
      <c r="D223">
        <v>541</v>
      </c>
      <c r="E223">
        <v>595</v>
      </c>
      <c r="F223" s="2">
        <f>AD223+J223</f>
        <v>135.34937328405115</v>
      </c>
      <c r="G223" s="2">
        <f>$AD223*AF223</f>
        <v>86.437401940711126</v>
      </c>
      <c r="H223" s="2">
        <f>$AD223*AG223</f>
        <v>27.55159198842939</v>
      </c>
      <c r="I223" s="2">
        <f>$AD223*AH223</f>
        <v>4.0465301132431373</v>
      </c>
      <c r="J223" s="2">
        <f>$E223*AI223</f>
        <v>17.999999999999979</v>
      </c>
      <c r="K223" s="2">
        <f>$E223*AJ223</f>
        <v>79.027906976743893</v>
      </c>
      <c r="L223" s="2">
        <f>$E223*AK223</f>
        <v>63.999999999999979</v>
      </c>
      <c r="M223" s="2">
        <f>$E223*(AB223/100)</f>
        <v>37.758139535585002</v>
      </c>
      <c r="N223" s="2">
        <f>$E223*AL223</f>
        <v>1.9976744186046358</v>
      </c>
      <c r="O223" s="2">
        <f>$E223*(AA223/100)</f>
        <v>114.65116279050001</v>
      </c>
      <c r="P223" s="2">
        <f>$E223*AM223</f>
        <v>11.292976588628648</v>
      </c>
      <c r="Q223" s="2">
        <f>$E223*AN223</f>
        <v>3.9999999999999689</v>
      </c>
      <c r="R223" s="2">
        <f>$E223*AQ223</f>
        <v>1.9939799331103305</v>
      </c>
      <c r="S223" s="2">
        <f>$E223*AO223</f>
        <v>33.861627906976707</v>
      </c>
      <c r="T223" s="2">
        <f>$E223*AP223</f>
        <v>8.8906976744185382</v>
      </c>
      <c r="U223" s="2">
        <f>S223-T223</f>
        <v>24.970930232558167</v>
      </c>
      <c r="V223" s="1">
        <f>F223/D223</f>
        <v>0.25018368444371747</v>
      </c>
      <c r="W223" s="1">
        <f>(F223+M223+N223+P223)/(D223+M223+N223+Q223)</f>
        <v>0.3187623951379337</v>
      </c>
      <c r="X223" s="1">
        <f>(G223+H223*2+I223*3+J223*4)/D223</f>
        <v>0.41715374539242001</v>
      </c>
      <c r="Y223" s="1">
        <f>W223+X223</f>
        <v>0.7359161405303537</v>
      </c>
      <c r="Z223">
        <v>0.28458761779999903</v>
      </c>
      <c r="AA223">
        <v>19.26910299</v>
      </c>
      <c r="AB223">
        <v>6.3459058043000001</v>
      </c>
      <c r="AD223" s="2">
        <f>(D223-O223-J223+Q223)*Z223</f>
        <v>117.34937328405118</v>
      </c>
      <c r="AE223">
        <v>0.22575636800000001</v>
      </c>
      <c r="AF223">
        <v>0.73658170914542698</v>
      </c>
      <c r="AG223">
        <v>0.23478260869565201</v>
      </c>
      <c r="AH223">
        <v>3.4482758620689599E-2</v>
      </c>
      <c r="AI223">
        <v>3.02521008403361E-2</v>
      </c>
      <c r="AJ223">
        <v>0.13282001172562</v>
      </c>
      <c r="AK223">
        <v>0.107563025210084</v>
      </c>
      <c r="AL223">
        <v>3.35743599765485E-3</v>
      </c>
      <c r="AM223">
        <v>1.8979792585930501E-2</v>
      </c>
      <c r="AN223">
        <v>6.7226890756301996E-3</v>
      </c>
      <c r="AO223">
        <v>5.6910299003322201E-2</v>
      </c>
      <c r="AP223">
        <v>1.49423490326362E-2</v>
      </c>
      <c r="AQ223">
        <v>3.3512267783366899E-3</v>
      </c>
    </row>
    <row r="224" spans="1:43" x14ac:dyDescent="0.4">
      <c r="A224" t="s">
        <v>267</v>
      </c>
      <c r="B224" t="s">
        <v>269</v>
      </c>
      <c r="D224">
        <v>521</v>
      </c>
      <c r="E224">
        <v>576</v>
      </c>
      <c r="F224" s="2">
        <f>AD224+J224</f>
        <v>126.88166546581103</v>
      </c>
      <c r="G224" s="2">
        <f>$AD224*AF224</f>
        <v>83.806097158130939</v>
      </c>
      <c r="H224" s="2">
        <f>$AD224*AG224</f>
        <v>24.535452953028731</v>
      </c>
      <c r="I224" s="2">
        <f>$AD224*AH224</f>
        <v>3.5961963899724938</v>
      </c>
      <c r="J224" s="2">
        <f>$E224*AI224</f>
        <v>14.999999999999961</v>
      </c>
      <c r="K224" s="2">
        <f>$E224*AJ224</f>
        <v>69.330612244897736</v>
      </c>
      <c r="L224" s="2">
        <f>$E224*AK224</f>
        <v>61.999999999999488</v>
      </c>
      <c r="M224" s="2">
        <f>$E224*(AB224/100)</f>
        <v>38.118367345535994</v>
      </c>
      <c r="N224" s="2">
        <f>$E224*AL224</f>
        <v>0</v>
      </c>
      <c r="O224" s="2">
        <f>$E224*(AA224/100)</f>
        <v>127.34693879039999</v>
      </c>
      <c r="P224" s="2">
        <f>$E224*AM224</f>
        <v>8.3334525939176256</v>
      </c>
      <c r="Q224" s="2">
        <f>$E224*AN224</f>
        <v>3.3999999999999724</v>
      </c>
      <c r="R224" s="2">
        <f>$E224*AQ224</f>
        <v>0.39999999999999747</v>
      </c>
      <c r="S224" s="2">
        <f>$E224*AO224</f>
        <v>27.648979591836671</v>
      </c>
      <c r="T224" s="2">
        <f>$E224*AP224</f>
        <v>6.9857142857142343</v>
      </c>
      <c r="U224" s="2">
        <f>S224-T224</f>
        <v>20.663265306122437</v>
      </c>
      <c r="V224" s="1">
        <f>F224/D224</f>
        <v>0.2435348665370653</v>
      </c>
      <c r="W224" s="1">
        <f>(F224+M224+N224+P224)/(D224+M224+N224+Q224)</f>
        <v>0.30813835683838525</v>
      </c>
      <c r="X224" s="1">
        <f>(G224+H224*2+I224*3+J224*4)/D224</f>
        <v>0.39091284497908962</v>
      </c>
      <c r="Y224" s="1">
        <f>W224+X224</f>
        <v>0.69905120181747482</v>
      </c>
      <c r="Z224">
        <v>0.29284326399999999</v>
      </c>
      <c r="AA224">
        <v>22.108843539999999</v>
      </c>
      <c r="AB224">
        <v>6.6177721085999996</v>
      </c>
      <c r="AD224" s="2">
        <f>(D224-O224-J224+Q224)*Z224</f>
        <v>111.88166546581107</v>
      </c>
      <c r="AE224">
        <v>0.222275368</v>
      </c>
      <c r="AF224">
        <v>0.74906015037593898</v>
      </c>
      <c r="AG224">
        <v>0.21929824561403499</v>
      </c>
      <c r="AH224">
        <v>3.2142857142857098E-2</v>
      </c>
      <c r="AI224">
        <v>2.6041666666666598E-2</v>
      </c>
      <c r="AJ224">
        <v>0.120365646258503</v>
      </c>
      <c r="AK224">
        <v>0.10763888888888801</v>
      </c>
      <c r="AL224">
        <v>0</v>
      </c>
      <c r="AM224">
        <v>1.44677996422181E-2</v>
      </c>
      <c r="AN224">
        <v>5.9027777777777299E-3</v>
      </c>
      <c r="AO224">
        <v>4.8001700680272E-2</v>
      </c>
      <c r="AP224">
        <v>1.2127976190476101E-2</v>
      </c>
      <c r="AQ224">
        <v>6.9444444444444003E-4</v>
      </c>
    </row>
    <row r="225" spans="1:43" x14ac:dyDescent="0.4">
      <c r="A225" t="s">
        <v>267</v>
      </c>
      <c r="B225" s="3" t="s">
        <v>270</v>
      </c>
      <c r="D225">
        <v>518</v>
      </c>
      <c r="E225">
        <v>590</v>
      </c>
      <c r="F225" s="2">
        <f>AD225+J225</f>
        <v>135.89677893444733</v>
      </c>
      <c r="G225" s="2">
        <f>$AD225*AF225</f>
        <v>85.592927209180345</v>
      </c>
      <c r="H225" s="2">
        <f>$AD225*AG225</f>
        <v>28.166750514226695</v>
      </c>
      <c r="I225" s="2">
        <f>$AD225*AH225</f>
        <v>3.6320221670010517</v>
      </c>
      <c r="J225" s="2">
        <f>$E225*AI225</f>
        <v>18.199999999999914</v>
      </c>
      <c r="K225" s="2">
        <f>$E225*AJ225</f>
        <v>76.502463054186947</v>
      </c>
      <c r="L225" s="2">
        <f>$E225*AK225</f>
        <v>72.999999999999986</v>
      </c>
      <c r="M225" s="2">
        <f>$E225*(AB225/100)</f>
        <v>60.684729087699992</v>
      </c>
      <c r="N225" s="2">
        <f>$E225*AL225</f>
        <v>1.993760262725734</v>
      </c>
      <c r="O225" s="2">
        <f>$E225*(AA225/100)</f>
        <v>157.914614097</v>
      </c>
      <c r="P225" s="2">
        <f>$E225*AM225</f>
        <v>4.7999999999999741</v>
      </c>
      <c r="Q225" s="2">
        <f>$E225*AN225</f>
        <v>3.5999999999999663</v>
      </c>
      <c r="R225" s="2">
        <f>$E225*AQ225</f>
        <v>0</v>
      </c>
      <c r="S225" s="2">
        <f>$E225*AO225</f>
        <v>19.743842364531947</v>
      </c>
      <c r="T225" s="2">
        <f>$E225*AP225</f>
        <v>5.9812807881772789</v>
      </c>
      <c r="U225" s="2">
        <f>S225-T225</f>
        <v>13.762561576354667</v>
      </c>
      <c r="V225" s="1">
        <f>F225/D225</f>
        <v>0.26234899408194462</v>
      </c>
      <c r="W225" s="1">
        <f>(F225+M225+N225+P225)/(D225+M225+N225+Q225)</f>
        <v>0.34807933543981129</v>
      </c>
      <c r="X225" s="1">
        <f>(G225+H225*2+I225*3+J225*4)/D225</f>
        <v>0.43556466165759949</v>
      </c>
      <c r="Y225" s="1">
        <f>W225+X225</f>
        <v>0.78364399709741073</v>
      </c>
      <c r="Z225">
        <v>0.34067078880000001</v>
      </c>
      <c r="AA225">
        <v>26.76518883</v>
      </c>
      <c r="AB225">
        <v>10.285547303</v>
      </c>
      <c r="AD225" s="2">
        <f>(D225-O225-J225+Q225)*Z225</f>
        <v>117.69677893444742</v>
      </c>
      <c r="AE225">
        <v>0.22786631900000001</v>
      </c>
      <c r="AF225">
        <v>0.72723253757736495</v>
      </c>
      <c r="AG225">
        <v>0.23931623931623899</v>
      </c>
      <c r="AH225">
        <v>3.0859146697837399E-2</v>
      </c>
      <c r="AI225">
        <v>3.0847457627118501E-2</v>
      </c>
      <c r="AJ225">
        <v>0.129665191617266</v>
      </c>
      <c r="AK225">
        <v>0.123728813559322</v>
      </c>
      <c r="AL225">
        <v>3.3792546825859898E-3</v>
      </c>
      <c r="AM225">
        <v>8.1355932203389398E-3</v>
      </c>
      <c r="AN225">
        <v>6.1016949152541801E-3</v>
      </c>
      <c r="AO225">
        <v>3.3464139600901603E-2</v>
      </c>
      <c r="AP225">
        <v>1.01377640477581E-2</v>
      </c>
      <c r="AQ225">
        <v>0</v>
      </c>
    </row>
    <row r="226" spans="1:43" x14ac:dyDescent="0.4">
      <c r="A226" t="s">
        <v>267</v>
      </c>
      <c r="B226" t="s">
        <v>271</v>
      </c>
      <c r="D226">
        <v>492</v>
      </c>
      <c r="E226">
        <v>555</v>
      </c>
      <c r="F226" s="2">
        <f>AD226+J226</f>
        <v>120.44965978370558</v>
      </c>
      <c r="G226" s="2">
        <f>$AD226*AF226</f>
        <v>79.594343008100211</v>
      </c>
      <c r="H226" s="2">
        <f>$AD226*AG226</f>
        <v>22.053848188642299</v>
      </c>
      <c r="I226" s="2">
        <f>$AD226*AH226</f>
        <v>1.0024476449382853</v>
      </c>
      <c r="J226" s="2">
        <f>$E226*AI226</f>
        <v>18.19999999999995</v>
      </c>
      <c r="K226" s="2">
        <f>$E226*AJ226</f>
        <v>59.481583476764186</v>
      </c>
      <c r="L226" s="2">
        <f>$E226*AK226</f>
        <v>66.999999999999602</v>
      </c>
      <c r="M226" s="2">
        <f>$E226*(AB226/100)</f>
        <v>52.340447502434948</v>
      </c>
      <c r="N226" s="2">
        <f>$E226*AL226</f>
        <v>1.5910499139414742</v>
      </c>
      <c r="O226" s="2">
        <f>$E226*(AA226/100)</f>
        <v>108.8984509305</v>
      </c>
      <c r="P226" s="2">
        <f>$E226*AM226</f>
        <v>3.9881118881118796</v>
      </c>
      <c r="Q226" s="2">
        <f>$E226*AN226</f>
        <v>4.5999999999999952</v>
      </c>
      <c r="R226" s="2">
        <f>$E226*AQ226</f>
        <v>0</v>
      </c>
      <c r="S226" s="2">
        <f>$E226*AO226</f>
        <v>0.99552495697073418</v>
      </c>
      <c r="T226" s="2">
        <f>$E226*AP226</f>
        <v>9.5524956970735056E-2</v>
      </c>
      <c r="U226" s="2">
        <f>S226-T226</f>
        <v>0.89999999999999913</v>
      </c>
      <c r="V226" s="1">
        <f>F226/D226</f>
        <v>0.24481638167419834</v>
      </c>
      <c r="W226" s="1">
        <f>(F226+M226+N226+P226)/(D226+M226+N226+Q226)</f>
        <v>0.32399466683609235</v>
      </c>
      <c r="X226" s="1">
        <f>(G226+H226*2+I226*3+J226*4)/D226</f>
        <v>0.40550687463455171</v>
      </c>
      <c r="Y226" s="1">
        <f>W226+X226</f>
        <v>0.72950154147064405</v>
      </c>
      <c r="Z226">
        <v>0.27672322360000001</v>
      </c>
      <c r="AA226">
        <v>19.621342510000002</v>
      </c>
      <c r="AB226">
        <v>9.4307112616999902</v>
      </c>
      <c r="AD226" s="2">
        <f>(D226-O226-J226+Q226)*Z226</f>
        <v>102.24965978370564</v>
      </c>
      <c r="AE226">
        <v>0.21819185899999999</v>
      </c>
      <c r="AF226">
        <v>0.77843137254901895</v>
      </c>
      <c r="AG226">
        <v>0.21568627450980299</v>
      </c>
      <c r="AH226">
        <v>9.8039215686274005E-3</v>
      </c>
      <c r="AI226">
        <v>3.2792792792792701E-2</v>
      </c>
      <c r="AJ226">
        <v>0.10717402428245799</v>
      </c>
      <c r="AK226">
        <v>0.12072072072072</v>
      </c>
      <c r="AL226">
        <v>2.8667566016963501E-3</v>
      </c>
      <c r="AM226">
        <v>7.1857871857871703E-3</v>
      </c>
      <c r="AN226">
        <v>8.28828828828828E-3</v>
      </c>
      <c r="AO226">
        <v>1.79373866120853E-3</v>
      </c>
      <c r="AP226">
        <v>1.7211703958691001E-4</v>
      </c>
      <c r="AQ226">
        <v>0</v>
      </c>
    </row>
    <row r="227" spans="1:43" x14ac:dyDescent="0.4">
      <c r="A227" t="s">
        <v>267</v>
      </c>
      <c r="B227" t="s">
        <v>272</v>
      </c>
      <c r="D227">
        <v>449</v>
      </c>
      <c r="E227">
        <v>483</v>
      </c>
      <c r="F227" s="2">
        <f>AD227+J227</f>
        <v>107.24565079088417</v>
      </c>
      <c r="G227" s="2">
        <f>$AD227*AF227</f>
        <v>72.536223227099626</v>
      </c>
      <c r="H227" s="2">
        <f>$AD227*AG227</f>
        <v>21.371598565683506</v>
      </c>
      <c r="I227" s="2">
        <f>$AD227*AH227</f>
        <v>0</v>
      </c>
      <c r="J227" s="2">
        <f>$E227*AI227</f>
        <v>12.599999999999985</v>
      </c>
      <c r="K227" s="2">
        <f>$E227*AJ227</f>
        <v>46.783749999999969</v>
      </c>
      <c r="L227" s="2">
        <f>$E227*AK227</f>
        <v>56.999999999999787</v>
      </c>
      <c r="M227" s="2">
        <f>$E227*(AB227/100)</f>
        <v>25.015625000478003</v>
      </c>
      <c r="N227" s="2">
        <f>$E227*AL227</f>
        <v>0.89999999999999969</v>
      </c>
      <c r="O227" s="2">
        <f>$E227*(AA227/100)</f>
        <v>53.3312500161</v>
      </c>
      <c r="P227" s="2">
        <f>$E227*AM227</f>
        <v>5.8958932238192912</v>
      </c>
      <c r="Q227" s="2">
        <f>$E227*AN227</f>
        <v>3.5999999999999988</v>
      </c>
      <c r="R227" s="2">
        <f>$E227*AQ227</f>
        <v>0.39999999999999986</v>
      </c>
      <c r="S227" s="2">
        <f>$E227*AO227</f>
        <v>3.0018749999999987</v>
      </c>
      <c r="T227" s="2">
        <f>$E227*AP227</f>
        <v>1.0006249999999981</v>
      </c>
      <c r="U227" s="2">
        <f>S227-T227</f>
        <v>2.0012500000000006</v>
      </c>
      <c r="V227" s="1">
        <f>F227/D227</f>
        <v>0.23885445610441908</v>
      </c>
      <c r="W227" s="1">
        <f>(F227+M227+N227+P227)/(D227+M227+N227+Q227)</f>
        <v>0.29060110422735425</v>
      </c>
      <c r="X227" s="1">
        <f>(G227+H227*2+I227*3+J227*4)/D227</f>
        <v>0.36899648186740885</v>
      </c>
      <c r="Y227" s="1">
        <f>W227+X227</f>
        <v>0.65959758609476316</v>
      </c>
      <c r="Z227">
        <v>0.24477191600000001</v>
      </c>
      <c r="AA227">
        <v>11.04166667</v>
      </c>
      <c r="AB227">
        <v>5.1792184266000003</v>
      </c>
      <c r="AD227" s="2">
        <f>(D227-O227-J227+Q227)*Z227</f>
        <v>94.64565079088419</v>
      </c>
      <c r="AE227">
        <v>0.22768374699999999</v>
      </c>
      <c r="AF227">
        <v>0.766397849462365</v>
      </c>
      <c r="AG227">
        <v>0.225806451612903</v>
      </c>
      <c r="AH227">
        <v>0</v>
      </c>
      <c r="AI227">
        <v>2.6086956521739101E-2</v>
      </c>
      <c r="AJ227">
        <v>9.6860766045548594E-2</v>
      </c>
      <c r="AK227">
        <v>0.118012422360248</v>
      </c>
      <c r="AL227">
        <v>1.8633540372670801E-3</v>
      </c>
      <c r="AM227">
        <v>1.2206818268777E-2</v>
      </c>
      <c r="AN227">
        <v>7.4534161490683202E-3</v>
      </c>
      <c r="AO227">
        <v>6.2150621118012396E-3</v>
      </c>
      <c r="AP227">
        <v>2.0716873706004102E-3</v>
      </c>
      <c r="AQ227">
        <v>8.2815734989648E-4</v>
      </c>
    </row>
    <row r="228" spans="1:43" x14ac:dyDescent="0.4">
      <c r="A228" t="s">
        <v>267</v>
      </c>
      <c r="B228" t="s">
        <v>273</v>
      </c>
      <c r="D228">
        <v>526</v>
      </c>
      <c r="E228">
        <v>562</v>
      </c>
      <c r="F228" s="2">
        <f>AD228+J228</f>
        <v>142.82200619288125</v>
      </c>
      <c r="G228" s="2">
        <f>$AD228*AF228</f>
        <v>97.570635518181533</v>
      </c>
      <c r="H228" s="2">
        <f>$AD228*AG228</f>
        <v>26.128350484245303</v>
      </c>
      <c r="I228" s="2">
        <f>$AD228*AH228</f>
        <v>2.6050234470925884</v>
      </c>
      <c r="J228" s="2">
        <f>$E228*AI228</f>
        <v>16.199999999999935</v>
      </c>
      <c r="K228" s="2">
        <f>$E228*AJ228</f>
        <v>64.507692307691869</v>
      </c>
      <c r="L228" s="2">
        <f>$E228*AK228</f>
        <v>67.999999999999559</v>
      </c>
      <c r="M228" s="2">
        <f>$E228*(AB228/100)</f>
        <v>31.090842491665942</v>
      </c>
      <c r="N228" s="2">
        <f>$E228*AL228</f>
        <v>2.0058608058607699</v>
      </c>
      <c r="O228" s="2">
        <f>$E228*(AA228/100)</f>
        <v>87.490842503400003</v>
      </c>
      <c r="P228" s="2">
        <f>$E228*AM228</f>
        <v>1.7999999999999674</v>
      </c>
      <c r="Q228" s="2">
        <f>$E228*AN228</f>
        <v>4.5999999999999899</v>
      </c>
      <c r="R228" s="2">
        <f>$E228*AQ228</f>
        <v>0.39999999999998148</v>
      </c>
      <c r="S228" s="2">
        <f>$E228*AO228</f>
        <v>16.843956043955945</v>
      </c>
      <c r="T228" s="2">
        <f>$E228*AP228</f>
        <v>5.0146520146520057</v>
      </c>
      <c r="U228" s="2">
        <f>S228-T228</f>
        <v>11.829304029303939</v>
      </c>
      <c r="V228" s="1">
        <f>F228/D228</f>
        <v>0.27152472660243582</v>
      </c>
      <c r="W228" s="1">
        <f>(F228+M228+N228+P228)/(D228+M228+N228+Q228)</f>
        <v>0.31527363642679596</v>
      </c>
      <c r="X228" s="1">
        <f>(G228+H228*2+I228*3+J228*4)/D228</f>
        <v>0.42289430955883961</v>
      </c>
      <c r="Y228" s="1">
        <f>W228+X228</f>
        <v>0.73816794598563562</v>
      </c>
      <c r="Z228">
        <v>0.29660175700000002</v>
      </c>
      <c r="AA228">
        <v>15.567765570000001</v>
      </c>
      <c r="AB228">
        <v>5.5321783792999897</v>
      </c>
      <c r="AD228" s="2">
        <f>(D228-O228-J228+Q228)*Z228</f>
        <v>126.6220061928813</v>
      </c>
      <c r="AE228">
        <v>0.25548797000000001</v>
      </c>
      <c r="AF228">
        <v>0.77056617922759596</v>
      </c>
      <c r="AG228">
        <v>0.206349206349206</v>
      </c>
      <c r="AH228">
        <v>2.0573228346456598E-2</v>
      </c>
      <c r="AI228">
        <v>2.88256227758006E-2</v>
      </c>
      <c r="AJ228">
        <v>0.11478237065425601</v>
      </c>
      <c r="AK228">
        <v>0.120996441281138</v>
      </c>
      <c r="AL228">
        <v>3.5691473413892701E-3</v>
      </c>
      <c r="AM228">
        <v>3.2028469750889099E-3</v>
      </c>
      <c r="AN228">
        <v>8.1850533807828994E-3</v>
      </c>
      <c r="AO228">
        <v>2.99714520355088E-2</v>
      </c>
      <c r="AP228">
        <v>8.9228683534733205E-3</v>
      </c>
      <c r="AQ228">
        <v>7.1174377224195997E-4</v>
      </c>
    </row>
    <row r="229" spans="1:43" x14ac:dyDescent="0.4">
      <c r="A229" t="s">
        <v>267</v>
      </c>
      <c r="B229" t="s">
        <v>274</v>
      </c>
      <c r="D229">
        <v>520</v>
      </c>
      <c r="E229">
        <v>595</v>
      </c>
      <c r="F229" s="2">
        <f>AD229+J229</f>
        <v>133.1000871742844</v>
      </c>
      <c r="G229" s="2">
        <f>$AD229*AF229</f>
        <v>95.197425494327277</v>
      </c>
      <c r="H229" s="2">
        <f>$AD229*AG229</f>
        <v>22.242389134188542</v>
      </c>
      <c r="I229" s="2">
        <f>$AD229*AH229</f>
        <v>1.995018264511137</v>
      </c>
      <c r="J229" s="2">
        <f>$E229*AI229</f>
        <v>13.799999999999958</v>
      </c>
      <c r="K229" s="2">
        <f>$E229*AJ229</f>
        <v>65.312359550561652</v>
      </c>
      <c r="L229" s="2">
        <f>$E229*AK229</f>
        <v>68.999999999999503</v>
      </c>
      <c r="M229" s="2">
        <f>$E229*(AB229/100)</f>
        <v>66.794382014150003</v>
      </c>
      <c r="N229" s="2">
        <f>$E229*AL229</f>
        <v>1.8955056179775134</v>
      </c>
      <c r="O229" s="2">
        <f>$E229*(AA229/100)</f>
        <v>127.9775280875</v>
      </c>
      <c r="P229" s="2">
        <f>$E229*AM229</f>
        <v>3.992092257001616</v>
      </c>
      <c r="Q229" s="2">
        <f>$E229*AN229</f>
        <v>3.5999999999999601</v>
      </c>
      <c r="R229" s="2">
        <f>$E229*AQ229</f>
        <v>0</v>
      </c>
      <c r="S229" s="2">
        <f>$E229*AO229</f>
        <v>1.9910112359550409</v>
      </c>
      <c r="T229" s="2">
        <f>$E229*AP229</f>
        <v>0.99550561797749371</v>
      </c>
      <c r="U229" s="2">
        <f>S229-T229</f>
        <v>0.99550561797754722</v>
      </c>
      <c r="V229" s="1">
        <f>F229/D229</f>
        <v>0.25596170610439306</v>
      </c>
      <c r="W229" s="1">
        <f>(F229+M229+N229+P229)/(D229+M229+N229+Q229)</f>
        <v>0.34743471290062822</v>
      </c>
      <c r="X229" s="1">
        <f>(G229+H229*2+I229*3+J229*4)/D229</f>
        <v>0.3862831895312262</v>
      </c>
      <c r="Y229" s="1">
        <f>W229+X229</f>
        <v>0.73371790243185442</v>
      </c>
      <c r="Z229">
        <v>0.31244909859999997</v>
      </c>
      <c r="AA229">
        <v>21.508828250000001</v>
      </c>
      <c r="AB229">
        <v>11.225946557</v>
      </c>
      <c r="AD229" s="2">
        <f>(D229-O229-J229+Q229)*Z229</f>
        <v>119.30008717428444</v>
      </c>
      <c r="AE229">
        <v>0.22415258199999999</v>
      </c>
      <c r="AF229">
        <v>0.797966101694915</v>
      </c>
      <c r="AG229">
        <v>0.186440677966101</v>
      </c>
      <c r="AH229">
        <v>1.6722689075630199E-2</v>
      </c>
      <c r="AI229">
        <v>2.3193277310924298E-2</v>
      </c>
      <c r="AJ229">
        <v>0.10976867151354899</v>
      </c>
      <c r="AK229">
        <v>0.11596638655462101</v>
      </c>
      <c r="AL229">
        <v>3.1857237276932998E-3</v>
      </c>
      <c r="AM229">
        <v>6.7093987512632201E-3</v>
      </c>
      <c r="AN229">
        <v>6.0504201680671599E-3</v>
      </c>
      <c r="AO229">
        <v>3.3462373713530101E-3</v>
      </c>
      <c r="AP229">
        <v>1.67311868567646E-3</v>
      </c>
      <c r="AQ229">
        <v>0</v>
      </c>
    </row>
  </sheetData>
  <sortState xmlns:xlrd2="http://schemas.microsoft.com/office/spreadsheetml/2017/richdata2" ref="A2:AQ229">
    <sortCondition ref="A2:A2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B6BD-0366-4B80-94C8-48A19F6ABD28}">
  <dimension ref="A1:AR229"/>
  <sheetViews>
    <sheetView workbookViewId="0">
      <selection activeCell="B59" sqref="B59"/>
    </sheetView>
  </sheetViews>
  <sheetFormatPr defaultRowHeight="14.6" x14ac:dyDescent="0.4"/>
  <cols>
    <col min="5" max="5" width="9.23046875" style="5"/>
    <col min="6" max="6" width="9.23046875" style="4"/>
    <col min="7" max="7" width="9.23046875" style="5"/>
    <col min="8" max="8" width="9.23046875" style="4"/>
    <col min="13" max="13" width="9.23046875" style="4"/>
    <col min="15" max="16" width="9.23046875" style="4"/>
    <col min="18" max="18" width="9.23046875" style="5"/>
    <col min="19" max="19" width="9.23046875" style="4"/>
    <col min="20" max="20" width="9.23046875" style="6"/>
  </cols>
  <sheetData>
    <row r="1" spans="1:44" x14ac:dyDescent="0.4">
      <c r="A1" t="str">
        <f>'2025_Fantasy_Hitters_modified'!A1</f>
        <v>Team</v>
      </c>
      <c r="B1" t="str">
        <f>'2025_Fantasy_Hitters_modified'!B1</f>
        <v>Name</v>
      </c>
      <c r="C1" t="str">
        <f>'2025_Fantasy_Hitters_modified'!D1</f>
        <v>AB</v>
      </c>
      <c r="D1" t="str">
        <f>'2025_Fantasy_Hitters_modified'!E1</f>
        <v>PA</v>
      </c>
      <c r="E1" s="5" t="s">
        <v>278</v>
      </c>
      <c r="F1" s="4" t="s">
        <v>300</v>
      </c>
      <c r="G1" s="5" t="s">
        <v>282</v>
      </c>
      <c r="H1" s="4" t="s">
        <v>299</v>
      </c>
      <c r="I1" s="4" t="s">
        <v>283</v>
      </c>
      <c r="J1" s="4" t="s">
        <v>284</v>
      </c>
      <c r="K1" s="4" t="s">
        <v>285</v>
      </c>
      <c r="L1" s="4" t="s">
        <v>288</v>
      </c>
      <c r="M1" s="4" t="s">
        <v>291</v>
      </c>
      <c r="N1" t="s">
        <v>292</v>
      </c>
      <c r="O1" s="4" t="s">
        <v>294</v>
      </c>
      <c r="P1" s="4" t="s">
        <v>295</v>
      </c>
      <c r="Q1" t="s">
        <v>296</v>
      </c>
      <c r="R1" s="5" t="s">
        <v>297</v>
      </c>
      <c r="S1" s="4" t="s">
        <v>298</v>
      </c>
      <c r="T1" s="6" t="s">
        <v>301</v>
      </c>
      <c r="V1" t="str">
        <f>'2025_Fantasy_Hitters_modified'!F1</f>
        <v>H</v>
      </c>
      <c r="W1" t="str">
        <f>'2025_Fantasy_Hitters_modified'!G1</f>
        <v>1B</v>
      </c>
      <c r="X1" t="str">
        <f>'2025_Fantasy_Hitters_modified'!H1</f>
        <v>2B</v>
      </c>
      <c r="Y1" t="str">
        <f>'2025_Fantasy_Hitters_modified'!I1</f>
        <v>3B</v>
      </c>
      <c r="Z1" t="str">
        <f>'2025_Fantasy_Hitters_modified'!J1</f>
        <v>HR</v>
      </c>
      <c r="AA1" t="str">
        <f>'2025_Fantasy_Hitters_modified'!K1</f>
        <v>R</v>
      </c>
      <c r="AB1" t="str">
        <f>'2025_Fantasy_Hitters_modified'!L1</f>
        <v>RBI</v>
      </c>
      <c r="AC1" t="str">
        <f>'2025_Fantasy_Hitters_modified'!M1</f>
        <v>BB</v>
      </c>
      <c r="AD1" t="str">
        <f>'2025_Fantasy_Hitters_modified'!N1</f>
        <v>IBB</v>
      </c>
      <c r="AE1" t="str">
        <f>'2025_Fantasy_Hitters_modified'!O1</f>
        <v>SO</v>
      </c>
      <c r="AF1" t="str">
        <f>'2025_Fantasy_Hitters_modified'!P1</f>
        <v>HBP</v>
      </c>
      <c r="AG1" t="str">
        <f>'2025_Fantasy_Hitters_modified'!Q1</f>
        <v>SF</v>
      </c>
      <c r="AH1" t="str">
        <f>'2025_Fantasy_Hitters_modified'!R1</f>
        <v>SH</v>
      </c>
      <c r="AI1" t="str">
        <f>'2025_Fantasy_Hitters_modified'!S1</f>
        <v>SB</v>
      </c>
      <c r="AJ1" t="str">
        <f>'2025_Fantasy_Hitters_modified'!T1</f>
        <v>CS</v>
      </c>
      <c r="AK1" t="str">
        <f>'2025_Fantasy_Hitters_modified'!U1</f>
        <v>NSB</v>
      </c>
      <c r="AL1" t="str">
        <f>'2025_Fantasy_Hitters_modified'!V1</f>
        <v>AVG</v>
      </c>
      <c r="AM1" t="str">
        <f>'2025_Fantasy_Hitters_modified'!W1</f>
        <v>OBP</v>
      </c>
      <c r="AN1" t="str">
        <f>'2025_Fantasy_Hitters_modified'!X1</f>
        <v>SLG</v>
      </c>
      <c r="AO1" t="str">
        <f>'2025_Fantasy_Hitters_modified'!Y1</f>
        <v>OPS</v>
      </c>
      <c r="AP1" t="str">
        <f>'2025_Fantasy_Hitters_modified'!Z1</f>
        <v>BABIP</v>
      </c>
      <c r="AQ1" t="str">
        <f>'2025_Fantasy_Hitters_modified'!AA1</f>
        <v>K%</v>
      </c>
      <c r="AR1" t="str">
        <f>'2025_Fantasy_Hitters_modified'!AB1</f>
        <v>BB%</v>
      </c>
    </row>
    <row r="2" spans="1:44" x14ac:dyDescent="0.4">
      <c r="A2" t="str">
        <f>'2025_Fantasy_Hitters_modified'!A114</f>
        <v>LAD</v>
      </c>
      <c r="B2" t="str">
        <f>'2025_Fantasy_Hitters_modified'!B114</f>
        <v>Shohei Ohtani</v>
      </c>
      <c r="C2">
        <f>'2025_Fantasy_Hitters_modified'!D114</f>
        <v>555</v>
      </c>
      <c r="D2">
        <f>'2025_Fantasy_Hitters_modified'!E114</f>
        <v>645</v>
      </c>
      <c r="E2" s="5">
        <f>(V2-AVERAGE(V$2:V$229))/AVERAGE(V$2:V$229)*100+100</f>
        <v>135.33081720199715</v>
      </c>
      <c r="F2" s="4">
        <f>E2*1.51744-31.775</f>
        <v>173.58139525499854</v>
      </c>
      <c r="G2" s="5">
        <f>(Z2-AVERAGE(Z$2:Z$229))/AVERAGE(Z$2:Z$229)*100+100</f>
        <v>226.98023373250629</v>
      </c>
      <c r="H2" s="4">
        <f>G2*0.83285-13.6979</f>
        <v>175.34258766411784</v>
      </c>
      <c r="I2" s="5">
        <f>(AA2-AVERAGE(AA$2:AA$229))/AVERAGE(AA$2:AA$229)*100+100</f>
        <v>177.643503472145</v>
      </c>
      <c r="J2" s="5">
        <f>(AB2-AVERAGE(AB$2:AB$229))/AVERAGE(AB$2:AB$229)*100+100</f>
        <v>163.71469602680679</v>
      </c>
      <c r="K2" s="5">
        <f>(AC2-AVERAGE(AC$2:AC$229))/AVERAGE(AC$2:AC$229)*100+100</f>
        <v>176.6514200806169</v>
      </c>
      <c r="L2" s="5">
        <f>(AF2-AVERAGE(AF$2:AF$229))/AVERAGE(AF$2:AF$229)*100+100</f>
        <v>84.892013506852152</v>
      </c>
      <c r="M2" s="5">
        <f>(AI2-AVERAGE(AI$2:AI$229))/AVERAGE(AI$2:AI$229)*100+100</f>
        <v>326.52127742413597</v>
      </c>
      <c r="N2" s="5">
        <f>(AVERAGE(AJ$2:AJ$229)-AJ2)/AVERAGE(AJ$2:AJ$229)*100+100</f>
        <v>-87.167378037956723</v>
      </c>
      <c r="O2" s="5">
        <f>(AK2-AVERAGE(AK$2:AK$229))/AVERAGE(AK$2:AK$229)*100+100</f>
        <v>340.30474306651138</v>
      </c>
      <c r="P2" s="5">
        <f>(AL2-AVERAGE(AL$2:AL$229))/AVERAGE(AL$2:AL$229)*100+100</f>
        <v>114.81452537542627</v>
      </c>
      <c r="Q2" s="5">
        <f>(AM2-AVERAGE(AM$2:AM$229))/AVERAGE(AM$2:AM$229)*100+100</f>
        <v>119.93376993897945</v>
      </c>
      <c r="R2" s="5">
        <f>(AN2-AVERAGE(AN$2:AN$229))/AVERAGE(AN$2:AN$229)*100+100</f>
        <v>139.03607878057124</v>
      </c>
      <c r="S2" s="5">
        <f>(AO2-AVERAGE(AO$2:AO$229))/AVERAGE(AO$2:AO$229)*100+100</f>
        <v>130.7020130525637</v>
      </c>
      <c r="T2" s="6">
        <f>(F2*1.5+H2*2.5+I2+J2+K2*1.5+L2+O2*0.75+P2+S2)/11.25</f>
        <v>168.06231119087957</v>
      </c>
      <c r="V2">
        <f>'2025_Fantasy_Hitters_modified'!F114</f>
        <v>158.97428904352699</v>
      </c>
      <c r="W2">
        <f>'2025_Fantasy_Hitters_modified'!G114</f>
        <v>82.70055924248085</v>
      </c>
      <c r="X2">
        <f>'2025_Fantasy_Hitters_modified'!H114</f>
        <v>30.888160680926529</v>
      </c>
      <c r="Y2">
        <f>'2025_Fantasy_Hitters_modified'!I114</f>
        <v>5.3604230056734012</v>
      </c>
      <c r="Z2">
        <f>'2025_Fantasy_Hitters_modified'!J114</f>
        <v>41.399999999999935</v>
      </c>
      <c r="AA2">
        <f>'2025_Fantasy_Hitters_modified'!K114</f>
        <v>117.1419354838705</v>
      </c>
      <c r="AB2">
        <f>'2025_Fantasy_Hitters_modified'!L114</f>
        <v>104.99999999999962</v>
      </c>
      <c r="AC2" s="2">
        <f>'2025_Fantasy_Hitters_modified'!M114</f>
        <v>80.727188910899358</v>
      </c>
      <c r="AD2">
        <f>'2025_Fantasy_Hitters_modified'!N114</f>
        <v>10.390783410138202</v>
      </c>
      <c r="AE2">
        <f>'2025_Fantasy_Hitters_modified'!O114</f>
        <v>148.6175114925</v>
      </c>
      <c r="AF2">
        <f>'2025_Fantasy_Hitters_modified'!P114</f>
        <v>4.9742647058823337</v>
      </c>
      <c r="AG2">
        <f>'2025_Fantasy_Hitters_modified'!Q114</f>
        <v>3.9999999999999361</v>
      </c>
      <c r="AH2">
        <f>'2025_Fantasy_Hitters_modified'!R114</f>
        <v>0.39999999999999358</v>
      </c>
      <c r="AI2">
        <f>'2025_Fantasy_Hitters_modified'!S114</f>
        <v>34.166820276497653</v>
      </c>
      <c r="AJ2">
        <f>'2025_Fantasy_Hitters_modified'!T114</f>
        <v>7.7944700460828624</v>
      </c>
      <c r="AK2">
        <f>'2025_Fantasy_Hitters_modified'!U114</f>
        <v>26.372350230414789</v>
      </c>
      <c r="AL2">
        <f>'2025_Fantasy_Hitters_modified'!V114</f>
        <v>0.28644016043878739</v>
      </c>
      <c r="AM2">
        <f>'2025_Fantasy_Hitters_modified'!W114</f>
        <v>0.39233883222734761</v>
      </c>
      <c r="AN2">
        <f>'2025_Fantasy_Hitters_modified'!X114</f>
        <v>0.58767234166009708</v>
      </c>
      <c r="AO2">
        <f>'2025_Fantasy_Hitters_modified'!Y114</f>
        <v>0.98001117388744463</v>
      </c>
      <c r="AP2">
        <f>'2025_Fantasy_Hitters_modified'!Z114</f>
        <v>0.31864463139999999</v>
      </c>
      <c r="AQ2">
        <f>'2025_Fantasy_Hitters_modified'!AA114</f>
        <v>23.041474650000001</v>
      </c>
      <c r="AR2">
        <f>'2025_Fantasy_Hitters_modified'!AB114</f>
        <v>12.5158432419999</v>
      </c>
    </row>
    <row r="3" spans="1:44" x14ac:dyDescent="0.4">
      <c r="A3" t="str">
        <f>'2025_Fantasy_Hitters_modified'!A146</f>
        <v>NYY</v>
      </c>
      <c r="B3" t="str">
        <f>'2025_Fantasy_Hitters_modified'!B146</f>
        <v>Aaron Judge</v>
      </c>
      <c r="C3">
        <f>'2025_Fantasy_Hitters_modified'!D146</f>
        <v>516</v>
      </c>
      <c r="D3">
        <f>'2025_Fantasy_Hitters_modified'!E146</f>
        <v>638</v>
      </c>
      <c r="E3" s="5">
        <f>(V3-AVERAGE(V$2:V$229))/AVERAGE(V$2:V$229)*100+100</f>
        <v>122.52821117444198</v>
      </c>
      <c r="F3" s="4">
        <f>E3*1.51744-31.775</f>
        <v>154.15420876454522</v>
      </c>
      <c r="G3" s="5">
        <f>(Z3-AVERAGE(Z$2:Z$229))/AVERAGE(Z$2:Z$229)*100+100</f>
        <v>256.58635117587698</v>
      </c>
      <c r="H3" s="4">
        <f>G3*0.83285-13.6979</f>
        <v>200.00004257682914</v>
      </c>
      <c r="I3" s="5">
        <f>(AA3-AVERAGE(AA$2:AA$229))/AVERAGE(AA$2:AA$229)*100+100</f>
        <v>160.16160107298401</v>
      </c>
      <c r="J3" s="5">
        <f>(AB3-AVERAGE(AB$2:AB$229))/AVERAGE(AB$2:AB$229)*100+100</f>
        <v>179.30657183888371</v>
      </c>
      <c r="K3" s="5">
        <f>(AC3-AVERAGE(AC$2:AC$229))/AVERAGE(AC$2:AC$229)*100+100</f>
        <v>232.36682693757552</v>
      </c>
      <c r="L3" s="5">
        <f>(AF3-AVERAGE(AF$2:AF$229))/AVERAGE(AF$2:AF$229)*100+100</f>
        <v>100.73115156361932</v>
      </c>
      <c r="M3" s="5">
        <f>(AI3-AVERAGE(AI$2:AI$229))/AVERAGE(AI$2:AI$229)*100+100</f>
        <v>75.918467756807473</v>
      </c>
      <c r="N3" s="5">
        <f>(AVERAGE(AJ$2:AJ$229)-AJ3)/AVERAGE(AJ$2:AJ$229)*100+100</f>
        <v>126.83067817864713</v>
      </c>
      <c r="O3" s="5">
        <f>(AK3-AVERAGE(AK$2:AK$229))/AVERAGE(AK$2:AK$229)*100+100</f>
        <v>76.881339521441888</v>
      </c>
      <c r="P3" s="5">
        <f>(AL3-AVERAGE(AL$2:AL$229))/AVERAGE(AL$2:AL$229)*100+100</f>
        <v>111.80970591356066</v>
      </c>
      <c r="Q3" s="5">
        <f>(AM3-AVERAGE(AM$2:AM$229))/AVERAGE(AM$2:AM$229)*100+100</f>
        <v>127.92714894099376</v>
      </c>
      <c r="R3" s="5">
        <f>(AN3-AVERAGE(AN$2:AN$229))/AVERAGE(AN$2:AN$229)*100+100</f>
        <v>143.53141272850053</v>
      </c>
      <c r="S3" s="5">
        <f>(AO3-AVERAGE(AO$2:AO$229))/AVERAGE(AO$2:AO$229)*100+100</f>
        <v>136.72349431818273</v>
      </c>
      <c r="T3" s="6">
        <f>(F3*1.5+H3*2.5+I3+J3+K3*1.5+L3+O3*0.75+P3+S3)/11.25</f>
        <v>162.32668349720586</v>
      </c>
      <c r="V3">
        <f>'2025_Fantasy_Hitters_modified'!F146</f>
        <v>143.9349562942312</v>
      </c>
      <c r="W3">
        <f>'2025_Fantasy_Hitters_modified'!G146</f>
        <v>71.364457685557596</v>
      </c>
      <c r="X3">
        <f>'2025_Fantasy_Hitters_modified'!H146</f>
        <v>25.770498608673535</v>
      </c>
      <c r="Y3">
        <f>'2025_Fantasy_Hitters_modified'!I146</f>
        <v>0.97927894712958441</v>
      </c>
      <c r="Z3">
        <f>'2025_Fantasy_Hitters_modified'!J146</f>
        <v>46.799999999999976</v>
      </c>
      <c r="AA3">
        <f>'2025_Fantasy_Hitters_modified'!K146</f>
        <v>105.61399416909595</v>
      </c>
      <c r="AB3">
        <f>'2025_Fantasy_Hitters_modified'!L146</f>
        <v>114.99999999999964</v>
      </c>
      <c r="AC3" s="2">
        <f>'2025_Fantasy_Hitters_modified'!M146</f>
        <v>106.18833817614001</v>
      </c>
      <c r="AD3">
        <f>'2025_Fantasy_Hitters_modified'!N146</f>
        <v>10.795043731778353</v>
      </c>
      <c r="AE3">
        <f>'2025_Fantasy_Hitters_modified'!O146</f>
        <v>165.5451895306</v>
      </c>
      <c r="AF3">
        <f>'2025_Fantasy_Hitters_modified'!P146</f>
        <v>5.9023622047243789</v>
      </c>
      <c r="AG3">
        <f>'2025_Fantasy_Hitters_modified'!Q146</f>
        <v>4.5999999999999543</v>
      </c>
      <c r="AH3">
        <f>'2025_Fantasy_Hitters_modified'!R146</f>
        <v>0</v>
      </c>
      <c r="AI3">
        <f>'2025_Fantasy_Hitters_modified'!S146</f>
        <v>7.9440233236150686</v>
      </c>
      <c r="AJ3">
        <f>'2025_Fantasy_Hitters_modified'!T146</f>
        <v>1.9860058309037798</v>
      </c>
      <c r="AK3">
        <f>'2025_Fantasy_Hitters_modified'!U146</f>
        <v>5.9580174927112886</v>
      </c>
      <c r="AL3">
        <f>'2025_Fantasy_Hitters_modified'!V146</f>
        <v>0.27894371374851007</v>
      </c>
      <c r="AM3">
        <f>'2025_Fantasy_Hitters_modified'!W146</f>
        <v>0.41848753900773572</v>
      </c>
      <c r="AN3">
        <f>'2025_Fantasy_Hitters_modified'!X146</f>
        <v>0.60667304601607241</v>
      </c>
      <c r="AO3">
        <f>'2025_Fantasy_Hitters_modified'!Y146</f>
        <v>1.0251605850238081</v>
      </c>
      <c r="AP3">
        <f>'2025_Fantasy_Hitters_modified'!Z146</f>
        <v>0.31511254</v>
      </c>
      <c r="AQ3">
        <f>'2025_Fantasy_Hitters_modified'!AA146</f>
        <v>25.947521869999999</v>
      </c>
      <c r="AR3">
        <f>'2025_Fantasy_Hitters_modified'!AB146</f>
        <v>16.643940152999999</v>
      </c>
    </row>
    <row r="4" spans="1:44" x14ac:dyDescent="0.4">
      <c r="A4" t="str">
        <f>'2025_Fantasy_Hitters_modified'!A143</f>
        <v>NYM</v>
      </c>
      <c r="B4" t="str">
        <f>'2025_Fantasy_Hitters_modified'!B143</f>
        <v>Juan Soto</v>
      </c>
      <c r="C4">
        <f>'2025_Fantasy_Hitters_modified'!D143</f>
        <v>537</v>
      </c>
      <c r="D4">
        <f>'2025_Fantasy_Hitters_modified'!E143</f>
        <v>674</v>
      </c>
      <c r="E4" s="5">
        <f>(V4-AVERAGE(V$2:V$229))/AVERAGE(V$2:V$229)*100+100</f>
        <v>124.63781358332072</v>
      </c>
      <c r="F4" s="4">
        <f>E4*1.51744-31.775</f>
        <v>157.35540384387417</v>
      </c>
      <c r="G4" s="5">
        <f>(Z4-AVERAGE(Z$2:Z$229))/AVERAGE(Z$2:Z$229)*100+100</f>
        <v>186.40888760640621</v>
      </c>
      <c r="H4" s="4">
        <f>G4*0.83285-13.6979</f>
        <v>141.55274204299539</v>
      </c>
      <c r="I4" s="5">
        <f>(AA4-AVERAGE(AA$2:AA$229))/AVERAGE(AA$2:AA$229)*100+100</f>
        <v>164.71104366341979</v>
      </c>
      <c r="J4" s="5">
        <f>(AB4-AVERAGE(AB$2:AB$229))/AVERAGE(AB$2:AB$229)*100+100</f>
        <v>149.68200779593818</v>
      </c>
      <c r="K4" s="5">
        <f>(AC4-AVERAGE(AC$2:AC$229))/AVERAGE(AC$2:AC$229)*100+100</f>
        <v>279.14182660972472</v>
      </c>
      <c r="L4" s="5">
        <f>(AF4-AVERAGE(AF$2:AF$229))/AVERAGE(AF$2:AF$229)*100+100</f>
        <v>81.933207292237427</v>
      </c>
      <c r="M4" s="5">
        <f>(AI4-AVERAGE(AI$2:AI$229))/AVERAGE(AI$2:AI$229)*100+100</f>
        <v>76.319681033267855</v>
      </c>
      <c r="N4" s="5">
        <f>(AVERAGE(AJ$2:AJ$229)-AJ4)/AVERAGE(AJ$2:AJ$229)*100+100</f>
        <v>86.046192718331326</v>
      </c>
      <c r="O4" s="5">
        <f>(AK4-AVERAGE(AK$2:AK$229))/AVERAGE(AK$2:AK$229)*100+100</f>
        <v>63.138555548462286</v>
      </c>
      <c r="P4" s="5">
        <f>(AL4-AVERAGE(AL$2:AL$229))/AVERAGE(AL$2:AL$229)*100+100</f>
        <v>109.28703659246074</v>
      </c>
      <c r="Q4" s="5">
        <f>(AM4-AVERAGE(AM$2:AM$229))/AVERAGE(AM$2:AM$229)*100+100</f>
        <v>129.30985979511351</v>
      </c>
      <c r="R4" s="5">
        <f>(AN4-AVERAGE(AN$2:AN$229))/AVERAGE(AN$2:AN$229)*100+100</f>
        <v>123.6692090759135</v>
      </c>
      <c r="S4" s="5">
        <f>(AO4-AVERAGE(AO$2:AO$229))/AVERAGE(AO$2:AO$229)*100+100</f>
        <v>126.1301447791511</v>
      </c>
      <c r="T4" s="6">
        <f>(F4*1.5+H4*2.5+I4+J4+K4*1.5+L4+O4*0.75+P4+S4)/11.25</f>
        <v>150.02000511755028</v>
      </c>
      <c r="V4">
        <f>'2025_Fantasy_Hitters_modified'!F143</f>
        <v>146.41312460836639</v>
      </c>
      <c r="W4">
        <f>'2025_Fantasy_Hitters_modified'!G143</f>
        <v>82.513769096930559</v>
      </c>
      <c r="X4">
        <f>'2025_Fantasy_Hitters_modified'!H143</f>
        <v>28.103281152091604</v>
      </c>
      <c r="Y4">
        <f>'2025_Fantasy_Hitters_modified'!I143</f>
        <v>1.9934807303712101</v>
      </c>
      <c r="Z4">
        <f>'2025_Fantasy_Hitters_modified'!J143</f>
        <v>33.999999999999957</v>
      </c>
      <c r="AA4">
        <f>'2025_Fantasy_Hitters_modified'!K143</f>
        <v>108.61399416909575</v>
      </c>
      <c r="AB4">
        <f>'2025_Fantasy_Hitters_modified'!L143</f>
        <v>96</v>
      </c>
      <c r="AC4" s="2">
        <f>'2025_Fantasy_Hitters_modified'!M143</f>
        <v>127.56384839347999</v>
      </c>
      <c r="AD4">
        <f>'2025_Fantasy_Hitters_modified'!N143</f>
        <v>6.9877551020407598</v>
      </c>
      <c r="AE4">
        <f>'2025_Fantasy_Hitters_modified'!O143</f>
        <v>110.04081631139998</v>
      </c>
      <c r="AF4">
        <f>'2025_Fantasy_Hitters_modified'!P143</f>
        <v>4.8008928571428129</v>
      </c>
      <c r="AG4">
        <f>'2025_Fantasy_Hitters_modified'!Q143</f>
        <v>3.9999999999999947</v>
      </c>
      <c r="AH4">
        <f>'2025_Fantasy_Hitters_modified'!R143</f>
        <v>0.39999999999998603</v>
      </c>
      <c r="AI4">
        <f>'2025_Fantasy_Hitters_modified'!S143</f>
        <v>7.9860058309037454</v>
      </c>
      <c r="AJ4">
        <f>'2025_Fantasy_Hitters_modified'!T143</f>
        <v>3.0930029154518568</v>
      </c>
      <c r="AK4">
        <f>'2025_Fantasy_Hitters_modified'!U143</f>
        <v>4.8930029154518886</v>
      </c>
      <c r="AL4">
        <f>'2025_Fantasy_Hitters_modified'!V143</f>
        <v>0.27265013893550538</v>
      </c>
      <c r="AM4">
        <f>'2025_Fantasy_Hitters_modified'!W143</f>
        <v>0.42301079515226808</v>
      </c>
      <c r="AN4">
        <f>'2025_Fantasy_Hitters_modified'!X143</f>
        <v>0.52272024877509726</v>
      </c>
      <c r="AO4">
        <f>'2025_Fantasy_Hitters_modified'!Y143</f>
        <v>0.9457310439273654</v>
      </c>
      <c r="AP4">
        <f>'2025_Fantasy_Hitters_modified'!Z143</f>
        <v>0.28318559999999998</v>
      </c>
      <c r="AQ4">
        <f>'2025_Fantasy_Hitters_modified'!AA143</f>
        <v>16.326530609999999</v>
      </c>
      <c r="AR4">
        <f>'2025_Fantasy_Hitters_modified'!AB143</f>
        <v>18.926387001999998</v>
      </c>
    </row>
    <row r="5" spans="1:44" x14ac:dyDescent="0.4">
      <c r="A5" t="str">
        <f>'2025_Fantasy_Hitters_modified'!A61</f>
        <v>CIN</v>
      </c>
      <c r="B5" t="str">
        <f>'2025_Fantasy_Hitters_modified'!B61</f>
        <v>Elly De La Cruz</v>
      </c>
      <c r="C5">
        <f>'2025_Fantasy_Hitters_modified'!D61</f>
        <v>580</v>
      </c>
      <c r="D5">
        <f>'2025_Fantasy_Hitters_modified'!E61</f>
        <v>648</v>
      </c>
      <c r="E5" s="5">
        <f>(V5-AVERAGE(V$2:V$229))/AVERAGE(V$2:V$229)*100+100</f>
        <v>127.93761430797488</v>
      </c>
      <c r="F5" s="4">
        <f>E5*1.51744-31.775</f>
        <v>162.36265345549339</v>
      </c>
      <c r="G5" s="5">
        <f>(Z5-AVERAGE(Z$2:Z$229))/AVERAGE(Z$2:Z$229)*100+100</f>
        <v>133.77578992930302</v>
      </c>
      <c r="H5" s="4">
        <f>G5*0.83285-13.6979</f>
        <v>97.717266642620004</v>
      </c>
      <c r="I5" s="5">
        <f>(AA5-AVERAGE(AA$2:AA$229))/AVERAGE(AA$2:AA$229)*100+100</f>
        <v>150.20868375985685</v>
      </c>
      <c r="J5" s="5">
        <f>(AB5-AVERAGE(AB$2:AB$229))/AVERAGE(AB$2:AB$229)*100+100</f>
        <v>120.0574437529919</v>
      </c>
      <c r="K5" s="5">
        <f>(AC5-AVERAGE(AC$2:AC$229))/AVERAGE(AC$2:AC$229)*100+100</f>
        <v>129.41650472650539</v>
      </c>
      <c r="L5" s="5">
        <f>(AF5-AVERAGE(AF$2:AF$229))/AVERAGE(AF$2:AF$229)*100+100</f>
        <v>83.460100026013436</v>
      </c>
      <c r="M5" s="5">
        <f>(AI5-AVERAGE(AI$2:AI$229))/AVERAGE(AI$2:AI$229)*100+100</f>
        <v>514.74132424413006</v>
      </c>
      <c r="N5" s="5">
        <f>(AVERAGE(AJ$2:AJ$229)-AJ5)/AVERAGE(AJ$2:AJ$229)*100+100</f>
        <v>-248.15932604671451</v>
      </c>
      <c r="O5" s="5">
        <f>(AK5-AVERAGE(AK$2:AK$229))/AVERAGE(AK$2:AK$229)*100+100</f>
        <v>538.06126709271803</v>
      </c>
      <c r="P5" s="5">
        <f>(AL5-AVERAGE(AL$2:AL$229))/AVERAGE(AL$2:AL$229)*100+100</f>
        <v>103.86359918140765</v>
      </c>
      <c r="Q5" s="5">
        <f>(AM5-AVERAGE(AM$2:AM$229))/AVERAGE(AM$2:AM$229)*100+100</f>
        <v>102.7836621697179</v>
      </c>
      <c r="R5" s="5">
        <f>(AN5-AVERAGE(AN$2:AN$229))/AVERAGE(AN$2:AN$229)*100+100</f>
        <v>110.95542530151137</v>
      </c>
      <c r="S5" s="5">
        <f>(AO5-AVERAGE(AO$2:AO$229))/AVERAGE(AO$2:AO$229)*100+100</f>
        <v>107.39020124305662</v>
      </c>
      <c r="T5" s="6">
        <f>(F5*1.5+H5*2.5+I5+J5+K5*1.5+L5+O5*0.75+P5+S5)/11.25</f>
        <v>146.71003396999231</v>
      </c>
      <c r="V5">
        <f>'2025_Fantasy_Hitters_modified'!F61</f>
        <v>150.28942924490906</v>
      </c>
      <c r="W5">
        <f>'2025_Fantasy_Hitters_modified'!G61</f>
        <v>88.043741306109013</v>
      </c>
      <c r="X5">
        <f>'2025_Fantasy_Hitters_modified'!H61</f>
        <v>33.020178162599109</v>
      </c>
      <c r="Y5">
        <f>'2025_Fantasy_Hitters_modified'!I61</f>
        <v>6.7751767998259638</v>
      </c>
      <c r="Z5">
        <f>'2025_Fantasy_Hitters_modified'!J61</f>
        <v>24.39999999999992</v>
      </c>
      <c r="AA5">
        <f>'2025_Fantasy_Hitters_modified'!K61</f>
        <v>99.050827067668806</v>
      </c>
      <c r="AB5">
        <f>'2025_Fantasy_Hitters_modified'!L61</f>
        <v>76.999999999999886</v>
      </c>
      <c r="AC5" s="2">
        <f>'2025_Fantasy_Hitters_modified'!M61</f>
        <v>59.141503761911991</v>
      </c>
      <c r="AD5">
        <f>'2025_Fantasy_Hitters_modified'!N61</f>
        <v>2.3948872180450933</v>
      </c>
      <c r="AE5">
        <f>'2025_Fantasy_Hitters_modified'!O61</f>
        <v>190.01503758959998</v>
      </c>
      <c r="AF5">
        <f>'2025_Fantasy_Hitters_modified'!P61</f>
        <v>4.8903614457830997</v>
      </c>
      <c r="AG5">
        <f>'2025_Fantasy_Hitters_modified'!Q61</f>
        <v>2.9999999999999809</v>
      </c>
      <c r="AH5">
        <f>'2025_Fantasy_Hitters_modified'!R61</f>
        <v>0.98554216867467981</v>
      </c>
      <c r="AI5">
        <f>'2025_Fantasy_Hitters_modified'!S61</f>
        <v>53.861954887217976</v>
      </c>
      <c r="AJ5">
        <f>'2025_Fantasy_Hitters_modified'!T61</f>
        <v>12.164210526315722</v>
      </c>
      <c r="AK5">
        <f>'2025_Fantasy_Hitters_modified'!U61</f>
        <v>41.697744360902256</v>
      </c>
      <c r="AL5">
        <f>'2025_Fantasy_Hitters_modified'!V61</f>
        <v>0.25911970559467079</v>
      </c>
      <c r="AM5">
        <f>'2025_Fantasy_Hitters_modified'!W61</f>
        <v>0.33623575752045998</v>
      </c>
      <c r="AN5">
        <f>'2025_Fantasy_Hitters_modified'!X61</f>
        <v>0.4689821172944566</v>
      </c>
      <c r="AO5">
        <f>'2025_Fantasy_Hitters_modified'!Y61</f>
        <v>0.80521787481491658</v>
      </c>
      <c r="AP5">
        <f>'2025_Fantasy_Hitters_modified'!Z61</f>
        <v>0.34154792540000001</v>
      </c>
      <c r="AQ5">
        <f>'2025_Fantasy_Hitters_modified'!AA61</f>
        <v>29.323308269999998</v>
      </c>
      <c r="AR5">
        <f>'2025_Fantasy_Hitters_modified'!AB61</f>
        <v>9.1267752718999997</v>
      </c>
    </row>
    <row r="6" spans="1:44" x14ac:dyDescent="0.4">
      <c r="A6" t="str">
        <f>'2025_Fantasy_Hitters_modified'!A94</f>
        <v>KCR</v>
      </c>
      <c r="B6" t="str">
        <f>'2025_Fantasy_Hitters_modified'!B94</f>
        <v>Bobby Witt Jr.</v>
      </c>
      <c r="C6">
        <f>'2025_Fantasy_Hitters_modified'!D94</f>
        <v>606</v>
      </c>
      <c r="D6">
        <f>'2025_Fantasy_Hitters_modified'!E94</f>
        <v>668</v>
      </c>
      <c r="E6" s="5">
        <f>(V6-AVERAGE(V$2:V$229))/AVERAGE(V$2:V$229)*100+100</f>
        <v>152.40015450230396</v>
      </c>
      <c r="F6" s="4">
        <f>E6*1.51744-31.775</f>
        <v>199.48309044797611</v>
      </c>
      <c r="G6" s="5">
        <f>(Z6-AVERAGE(Z$2:Z$229))/AVERAGE(Z$2:Z$229)*100+100</f>
        <v>168.86452171403829</v>
      </c>
      <c r="H6" s="4">
        <f>G6*0.83285-13.6979</f>
        <v>126.94091690953678</v>
      </c>
      <c r="I6" s="5">
        <f>(AA6-AVERAGE(AA$2:AA$229))/AVERAGE(AA$2:AA$229)*100+100</f>
        <v>161.80806601047536</v>
      </c>
      <c r="J6" s="5">
        <f>(AB6-AVERAGE(AB$2:AB$229))/AVERAGE(AB$2:AB$229)*100+100</f>
        <v>149.68200779593775</v>
      </c>
      <c r="K6" s="5">
        <f>(AC6-AVERAGE(AC$2:AC$229))/AVERAGE(AC$2:AC$229)*100+100</f>
        <v>105.1866505042622</v>
      </c>
      <c r="L6" s="5">
        <f>(AF6-AVERAGE(AF$2:AF$229))/AVERAGE(AF$2:AF$229)*100+100</f>
        <v>102.39746196835407</v>
      </c>
      <c r="M6" s="5">
        <f>(AI6-AVERAGE(AI$2:AI$229))/AVERAGE(AI$2:AI$229)*100+100</f>
        <v>313.6122582295427</v>
      </c>
      <c r="N6" s="5">
        <f>(AVERAGE(AJ$2:AJ$229)-AJ6)/AVERAGE(AJ$2:AJ$229)*100+100</f>
        <v>-171.0453689073434</v>
      </c>
      <c r="O6" s="5">
        <f>(AK6-AVERAGE(AK$2:AK$229))/AVERAGE(AK$2:AK$229)*100+100</f>
        <v>293.49665799399907</v>
      </c>
      <c r="P6" s="5">
        <f>(AL6-AVERAGE(AL$2:AL$229))/AVERAGE(AL$2:AL$229)*100+100</f>
        <v>118.414775721469</v>
      </c>
      <c r="Q6" s="5">
        <f>(AM6-AVERAGE(AM$2:AM$229))/AVERAGE(AM$2:AM$229)*100+100</f>
        <v>109.43286798994237</v>
      </c>
      <c r="R6" s="5">
        <f>(AN6-AVERAGE(AN$2:AN$229))/AVERAGE(AN$2:AN$229)*100+100</f>
        <v>127.47226942750447</v>
      </c>
      <c r="S6" s="5">
        <f>(AO6-AVERAGE(AO$2:AO$229))/AVERAGE(AO$2:AO$229)*100+100</f>
        <v>119.60193508618053</v>
      </c>
      <c r="T6" s="6">
        <f>(F6*1.5+H6*2.5+I6+J6+K6*1.5+L6+O6*0.75+P6+S6)/11.25</f>
        <v>146.34521278045469</v>
      </c>
      <c r="V6">
        <f>'2025_Fantasy_Hitters_modified'!F94</f>
        <v>179.02578816150015</v>
      </c>
      <c r="W6">
        <f>'2025_Fantasy_Hitters_modified'!G94</f>
        <v>105.16018754701022</v>
      </c>
      <c r="X6">
        <f>'2025_Fantasy_Hitters_modified'!H94</f>
        <v>37.056447040375055</v>
      </c>
      <c r="Y6">
        <f>'2025_Fantasy_Hitters_modified'!I94</f>
        <v>8.0122047654864907</v>
      </c>
      <c r="Z6">
        <f>'2025_Fantasy_Hitters_modified'!J94</f>
        <v>30.799999999999915</v>
      </c>
      <c r="AA6">
        <f>'2025_Fantasy_Hitters_modified'!K94</f>
        <v>106.69970845481035</v>
      </c>
      <c r="AB6">
        <f>'2025_Fantasy_Hitters_modified'!L94</f>
        <v>95.99999999999973</v>
      </c>
      <c r="AC6" s="2">
        <f>'2025_Fantasy_Hitters_modified'!M94</f>
        <v>48.068804667900004</v>
      </c>
      <c r="AD6">
        <f>'2025_Fantasy_Hitters_modified'!N94</f>
        <v>4.9868804664722646</v>
      </c>
      <c r="AE6">
        <f>'2025_Fantasy_Hitters_modified'!O94</f>
        <v>108.08746357359999</v>
      </c>
      <c r="AF6">
        <f>'2025_Fantasy_Hitters_modified'!P94</f>
        <v>5.999999999999992</v>
      </c>
      <c r="AG6">
        <f>'2025_Fantasy_Hitters_modified'!Q94</f>
        <v>5.999999999999992</v>
      </c>
      <c r="AH6">
        <f>'2025_Fantasy_Hitters_modified'!R94</f>
        <v>0.39999999999998609</v>
      </c>
      <c r="AI6">
        <f>'2025_Fantasy_Hitters_modified'!S94</f>
        <v>32.816034985422704</v>
      </c>
      <c r="AJ6">
        <f>'2025_Fantasy_Hitters_modified'!T94</f>
        <v>10.071137026239054</v>
      </c>
      <c r="AK6">
        <f>'2025_Fantasy_Hitters_modified'!U94</f>
        <v>22.74489795918365</v>
      </c>
      <c r="AL6">
        <f>'2025_Fantasy_Hitters_modified'!V94</f>
        <v>0.29542209267574282</v>
      </c>
      <c r="AM6">
        <f>'2025_Fantasy_Hitters_modified'!W94</f>
        <v>0.3579872762801341</v>
      </c>
      <c r="AN6">
        <f>'2025_Fantasy_Hitters_modified'!X94</f>
        <v>0.53879487776273849</v>
      </c>
      <c r="AO6">
        <f>'2025_Fantasy_Hitters_modified'!Y94</f>
        <v>0.89678215404287265</v>
      </c>
      <c r="AP6">
        <f>'2025_Fantasy_Hitters_modified'!Z94</f>
        <v>0.31329921900000002</v>
      </c>
      <c r="AQ6">
        <f>'2025_Fantasy_Hitters_modified'!AA94</f>
        <v>16.180758019999999</v>
      </c>
      <c r="AR6">
        <f>'2025_Fantasy_Hitters_modified'!AB94</f>
        <v>7.1959288424999999</v>
      </c>
    </row>
    <row r="7" spans="1:44" x14ac:dyDescent="0.4">
      <c r="A7" t="str">
        <f>'2025_Fantasy_Hitters_modified'!A3</f>
        <v>ARI</v>
      </c>
      <c r="B7" t="str">
        <f>'2025_Fantasy_Hitters_modified'!B3</f>
        <v>Corbin Carroll</v>
      </c>
      <c r="C7">
        <f>'2025_Fantasy_Hitters_modified'!D3</f>
        <v>567</v>
      </c>
      <c r="D7">
        <f>'2025_Fantasy_Hitters_modified'!E3</f>
        <v>653</v>
      </c>
      <c r="E7" s="5">
        <f>(V7-AVERAGE(V$2:V$229))/AVERAGE(V$2:V$229)*100+100</f>
        <v>124.9360276662467</v>
      </c>
      <c r="F7" s="4">
        <f>E7*1.51744-31.775</f>
        <v>157.80792582186939</v>
      </c>
      <c r="G7" s="5">
        <f>(Z7-AVERAGE(Z$2:Z$229))/AVERAGE(Z$2:Z$229)*100+100</f>
        <v>119.52099264175436</v>
      </c>
      <c r="H7" s="4">
        <f>G7*0.83285-13.6979</f>
        <v>85.84515872168511</v>
      </c>
      <c r="I7" s="5">
        <f>(AA7-AVERAGE(AA$2:AA$229))/AVERAGE(AA$2:AA$229)*100+100</f>
        <v>154.93560021976714</v>
      </c>
      <c r="J7" s="5">
        <f>(AB7-AVERAGE(AB$2:AB$229))/AVERAGE(AB$2:AB$229)*100+100</f>
        <v>116.93906859057665</v>
      </c>
      <c r="K7" s="5">
        <f>(AC7-AVERAGE(AC$2:AC$229))/AVERAGE(AC$2:AC$229)*100+100</f>
        <v>146.8362577100786</v>
      </c>
      <c r="L7" s="5">
        <f>(AF7-AVERAGE(AF$2:AF$229))/AVERAGE(AF$2:AF$229)*100+100</f>
        <v>158.56044680783555</v>
      </c>
      <c r="M7" s="5">
        <f>(AI7-AVERAGE(AI$2:AI$229))/AVERAGE(AI$2:AI$229)*100+100</f>
        <v>370.72797491135213</v>
      </c>
      <c r="N7" s="5">
        <f>(AVERAGE(AJ$2:AJ$229)-AJ7)/AVERAGE(AJ$2:AJ$229)*100+100</f>
        <v>-57.167981067470095</v>
      </c>
      <c r="O7" s="5">
        <f>(AK7-AVERAGE(AK$2:AK$229))/AVERAGE(AK$2:AK$229)*100+100</f>
        <v>410.50167708342207</v>
      </c>
      <c r="P7" s="5">
        <f>(AL7-AVERAGE(AL$2:AL$229))/AVERAGE(AL$2:AL$229)*100+100</f>
        <v>103.75230363054993</v>
      </c>
      <c r="Q7" s="5">
        <f>(AM7-AVERAGE(AM$2:AM$229))/AVERAGE(AM$2:AM$229)*100+100</f>
        <v>107.27253950030696</v>
      </c>
      <c r="R7" s="5">
        <f>(AN7-AVERAGE(AN$2:AN$229))/AVERAGE(AN$2:AN$229)*100+100</f>
        <v>110.74138467185587</v>
      </c>
      <c r="S7" s="5">
        <f>(AO7-AVERAGE(AO$2:AO$229))/AVERAGE(AO$2:AO$229)*100+100</f>
        <v>109.2279768477176</v>
      </c>
      <c r="T7" s="6">
        <f>(F7*1.5+H7*2.5+I7+J7+K7*1.5+L7+O7*0.75+P7+S7)/11.25</f>
        <v>144.25518453432429</v>
      </c>
      <c r="V7">
        <f>'2025_Fantasy_Hitters_modified'!F3</f>
        <v>146.76343928758067</v>
      </c>
      <c r="W7">
        <f>'2025_Fantasy_Hitters_modified'!G3</f>
        <v>87.13385673017477</v>
      </c>
      <c r="X7">
        <f>'2025_Fantasy_Hitters_modified'!H3</f>
        <v>30.990932943320018</v>
      </c>
      <c r="Y7">
        <f>'2025_Fantasy_Hitters_modified'!I3</f>
        <v>9.6947245777057685</v>
      </c>
      <c r="Z7">
        <f>'2025_Fantasy_Hitters_modified'!J3</f>
        <v>21.799999999999937</v>
      </c>
      <c r="AA7">
        <f>'2025_Fantasy_Hitters_modified'!K3</f>
        <v>102.16785714285689</v>
      </c>
      <c r="AB7">
        <f>'2025_Fantasy_Hitters_modified'!L3</f>
        <v>74.999999999999972</v>
      </c>
      <c r="AC7" s="2">
        <f>'2025_Fantasy_Hitters_modified'!M3</f>
        <v>67.102083355579339</v>
      </c>
      <c r="AD7">
        <f>'2025_Fantasy_Hitters_modified'!N3</f>
        <v>1.3971726190476048</v>
      </c>
      <c r="AE7">
        <f>'2025_Fantasy_Hitters_modified'!O3</f>
        <v>126.324404793</v>
      </c>
      <c r="AF7">
        <f>'2025_Fantasy_Hitters_modified'!P3</f>
        <v>9.2908814589665383</v>
      </c>
      <c r="AG7">
        <f>'2025_Fantasy_Hitters_modified'!Q3</f>
        <v>4.3999999999999604</v>
      </c>
      <c r="AH7">
        <f>'2025_Fantasy_Hitters_modified'!R3</f>
        <v>2.9863221884498272</v>
      </c>
      <c r="AI7">
        <f>'2025_Fantasy_Hitters_modified'!S3</f>
        <v>38.792559523809466</v>
      </c>
      <c r="AJ7">
        <f>'2025_Fantasy_Hitters_modified'!T3</f>
        <v>6.9802083333332332</v>
      </c>
      <c r="AK7">
        <f>'2025_Fantasy_Hitters_modified'!U3</f>
        <v>31.812351190476232</v>
      </c>
      <c r="AL7">
        <f>'2025_Fantasy_Hitters_modified'!V3</f>
        <v>0.25884204459890769</v>
      </c>
      <c r="AM7">
        <f>'2025_Fantasy_Hitters_modified'!W3</f>
        <v>0.35092020286718079</v>
      </c>
      <c r="AN7">
        <f>'2025_Fantasy_Hitters_modified'!X3</f>
        <v>0.46807741860658175</v>
      </c>
      <c r="AO7">
        <f>'2025_Fantasy_Hitters_modified'!Y3</f>
        <v>0.81899762147376254</v>
      </c>
      <c r="AP7">
        <f>'2025_Fantasy_Hitters_modified'!Z3</f>
        <v>0.29522949279999999</v>
      </c>
      <c r="AQ7">
        <f>'2025_Fantasy_Hitters_modified'!AA3</f>
        <v>19.3452381</v>
      </c>
      <c r="AR7">
        <f>'2025_Fantasy_Hitters_modified'!AB3</f>
        <v>10.275969885999899</v>
      </c>
    </row>
    <row r="8" spans="1:44" x14ac:dyDescent="0.4">
      <c r="A8" t="str">
        <f>'2025_Fantasy_Hitters_modified'!A93</f>
        <v>HOU</v>
      </c>
      <c r="B8" t="str">
        <f>'2025_Fantasy_Hitters_modified'!B93</f>
        <v>Yordan Alvarez</v>
      </c>
      <c r="C8">
        <f>'2025_Fantasy_Hitters_modified'!D93</f>
        <v>503</v>
      </c>
      <c r="D8">
        <f>'2025_Fantasy_Hitters_modified'!E93</f>
        <v>591</v>
      </c>
      <c r="E8" s="5">
        <f>(V8-AVERAGE(V$2:V$229))/AVERAGE(V$2:V$229)*100+100</f>
        <v>127.08818028923356</v>
      </c>
      <c r="F8" s="4">
        <f>E8*1.51744-31.775</f>
        <v>161.07368829809457</v>
      </c>
      <c r="G8" s="5">
        <f>(Z8-AVERAGE(Z$2:Z$229))/AVERAGE(Z$2:Z$229)*100+100</f>
        <v>201.76020776222782</v>
      </c>
      <c r="H8" s="4">
        <f>G8*0.83285-13.6979</f>
        <v>154.33808903477143</v>
      </c>
      <c r="I8" s="5">
        <f>(AA8-AVERAGE(AA$2:AA$229))/AVERAGE(AA$2:AA$229)*100+100</f>
        <v>136.96719432597178</v>
      </c>
      <c r="J8" s="5">
        <f>(AB8-AVERAGE(AB$2:AB$229))/AVERAGE(AB$2:AB$229)*100+100</f>
        <v>151.24119537714512</v>
      </c>
      <c r="K8" s="5">
        <f>(AC8-AVERAGE(AC$2:AC$229))/AVERAGE(AC$2:AC$229)*100+100</f>
        <v>153.21868239896122</v>
      </c>
      <c r="L8" s="5">
        <f>(AF8-AVERAGE(AF$2:AF$229))/AVERAGE(AF$2:AF$229)*100+100</f>
        <v>154.69032570276286</v>
      </c>
      <c r="M8" s="5">
        <f>(AI8-AVERAGE(AI$2:AI$229))/AVERAGE(AI$2:AI$229)*100+100</f>
        <v>28.719378057440551</v>
      </c>
      <c r="N8" s="5">
        <f>(AVERAGE(AJ$2:AJ$229)-AJ8)/AVERAGE(AJ$2:AJ$229)*100+100</f>
        <v>166.84179441243265</v>
      </c>
      <c r="O8" s="5">
        <f>(AK8-AVERAGE(AK$2:AK$229))/AVERAGE(AK$2:AK$229)*100+100</f>
        <v>27.164705516517756</v>
      </c>
      <c r="P8" s="5">
        <f>(AL8-AVERAGE(AL$2:AL$229))/AVERAGE(AL$2:AL$229)*100+100</f>
        <v>118.96803541107722</v>
      </c>
      <c r="Q8" s="5">
        <f>(AM8-AVERAGE(AM$2:AM$229))/AVERAGE(AM$2:AM$229)*100+100</f>
        <v>123.83516747310163</v>
      </c>
      <c r="R8" s="5">
        <f>(AN8-AVERAGE(AN$2:AN$229))/AVERAGE(AN$2:AN$229)*100+100</f>
        <v>137.20045076875422</v>
      </c>
      <c r="S8" s="5">
        <f>(AO8-AVERAGE(AO$2:AO$229))/AVERAGE(AO$2:AO$229)*100+100</f>
        <v>131.36936771051757</v>
      </c>
      <c r="T8" s="6">
        <f>(F8*1.5+H8*2.5+I8+J8+K8*1.5+L8+O8*0.75+P8+S8)/11.25</f>
        <v>139.63497122643332</v>
      </c>
      <c r="V8">
        <f>'2025_Fantasy_Hitters_modified'!F93</f>
        <v>149.29159170863505</v>
      </c>
      <c r="W8">
        <f>'2025_Fantasy_Hitters_modified'!G93</f>
        <v>81.011014455701698</v>
      </c>
      <c r="X8">
        <f>'2025_Fantasy_Hitters_modified'!H93</f>
        <v>29.389695131084814</v>
      </c>
      <c r="Y8">
        <f>'2025_Fantasy_Hitters_modified'!I93</f>
        <v>1.5687086563057411</v>
      </c>
      <c r="Z8">
        <f>'2025_Fantasy_Hitters_modified'!J93</f>
        <v>36.79999999999994</v>
      </c>
      <c r="AA8">
        <f>'2025_Fantasy_Hitters_modified'!K93</f>
        <v>90.319104991394056</v>
      </c>
      <c r="AB8">
        <f>'2025_Fantasy_Hitters_modified'!L93</f>
        <v>96.999999999999517</v>
      </c>
      <c r="AC8" s="2">
        <f>'2025_Fantasy_Hitters_modified'!M93</f>
        <v>70.018760749590001</v>
      </c>
      <c r="AD8">
        <f>'2025_Fantasy_Hitters_modified'!N93</f>
        <v>9.71893287435452</v>
      </c>
      <c r="AE8">
        <f>'2025_Fantasy_Hitters_modified'!O93</f>
        <v>100.70395869720001</v>
      </c>
      <c r="AF8">
        <f>'2025_Fantasy_Hitters_modified'!P93</f>
        <v>9.064110929853106</v>
      </c>
      <c r="AG8">
        <f>'2025_Fantasy_Hitters_modified'!Q93</f>
        <v>4.9999999999999849</v>
      </c>
      <c r="AH8">
        <f>'2025_Fantasy_Hitters_modified'!R93</f>
        <v>0</v>
      </c>
      <c r="AI8">
        <f>'2025_Fantasy_Hitters_modified'!S93</f>
        <v>3.0051635111875523</v>
      </c>
      <c r="AJ8">
        <f>'2025_Fantasy_Hitters_modified'!T93</f>
        <v>0.89999999999996538</v>
      </c>
      <c r="AK8">
        <f>'2025_Fantasy_Hitters_modified'!U93</f>
        <v>2.105163511187587</v>
      </c>
      <c r="AL8">
        <f>'2025_Fantasy_Hitters_modified'!V93</f>
        <v>0.29680236920205777</v>
      </c>
      <c r="AM8">
        <f>'2025_Fantasy_Hitters_modified'!W93</f>
        <v>0.40510145741098802</v>
      </c>
      <c r="AN8">
        <f>'2025_Fantasy_Hitters_modified'!X93</f>
        <v>0.57991357989421133</v>
      </c>
      <c r="AO8">
        <f>'2025_Fantasy_Hitters_modified'!Y93</f>
        <v>0.98501503730519935</v>
      </c>
      <c r="AP8">
        <f>'2025_Fantasy_Hitters_modified'!Z93</f>
        <v>0.3036242744</v>
      </c>
      <c r="AQ8">
        <f>'2025_Fantasy_Hitters_modified'!AA93</f>
        <v>17.039586920000001</v>
      </c>
      <c r="AR8">
        <f>'2025_Fantasy_Hitters_modified'!AB93</f>
        <v>11.847506049</v>
      </c>
    </row>
    <row r="9" spans="1:44" x14ac:dyDescent="0.4">
      <c r="A9" t="str">
        <f>'2025_Fantasy_Hitters_modified'!A145</f>
        <v>NYM</v>
      </c>
      <c r="B9" t="str">
        <f>'2025_Fantasy_Hitters_modified'!B145</f>
        <v>Pete Alonso</v>
      </c>
      <c r="C9">
        <f>'2025_Fantasy_Hitters_modified'!D145</f>
        <v>574</v>
      </c>
      <c r="D9">
        <f>'2025_Fantasy_Hitters_modified'!E145</f>
        <v>658</v>
      </c>
      <c r="E9" s="5">
        <f>(V9-AVERAGE(V$2:V$229))/AVERAGE(V$2:V$229)*100+100</f>
        <v>117.70363154672106</v>
      </c>
      <c r="F9" s="4">
        <f>E9*1.51744-31.775</f>
        <v>146.83319865425639</v>
      </c>
      <c r="G9" s="5">
        <f>(Z9-AVERAGE(Z$2:Z$229))/AVERAGE(Z$2:Z$229)*100+100</f>
        <v>197.37411628913623</v>
      </c>
      <c r="H9" s="4">
        <f>G9*0.83285-13.6979</f>
        <v>150.68513275140711</v>
      </c>
      <c r="I9" s="5">
        <f>(AA9-AVERAGE(AA$2:AA$229))/AVERAGE(AA$2:AA$229)*100+100</f>
        <v>130.18110250359334</v>
      </c>
      <c r="J9" s="5">
        <f>(AB9-AVERAGE(AB$2:AB$229))/AVERAGE(AB$2:AB$229)*100+100</f>
        <v>157.47794570197635</v>
      </c>
      <c r="K9" s="5">
        <f>(AC9-AVERAGE(AC$2:AC$229))/AVERAGE(AC$2:AC$229)*100+100</f>
        <v>140.9833078201772</v>
      </c>
      <c r="L9" s="5">
        <f>(AF9-AVERAGE(AF$2:AF$229))/AVERAGE(AF$2:AF$229)*100+100</f>
        <v>239.25874357094537</v>
      </c>
      <c r="M9" s="5">
        <f>(AI9-AVERAGE(AI$2:AI$229))/AVERAGE(AI$2:AI$229)*100+100</f>
        <v>38.186470754574572</v>
      </c>
      <c r="N9" s="5">
        <f>(AVERAGE(AJ$2:AJ$229)-AJ9)/AVERAGE(AJ$2:AJ$229)*100+100</f>
        <v>163.1963308741507</v>
      </c>
      <c r="O9" s="5">
        <f>(AK9-AVERAGE(AK$2:AK$229))/AVERAGE(AK$2:AK$229)*100+100</f>
        <v>38.670788675721923</v>
      </c>
      <c r="P9" s="5">
        <f>(AL9-AVERAGE(AL$2:AL$229))/AVERAGE(AL$2:AL$229)*100+100</f>
        <v>96.554180849378255</v>
      </c>
      <c r="Q9" s="5">
        <f>(AM9-AVERAGE(AM$2:AM$229))/AVERAGE(AM$2:AM$229)*100+100</f>
        <v>104.33454452234716</v>
      </c>
      <c r="R9" s="5">
        <f>(AN9-AVERAGE(AN$2:AN$229))/AVERAGE(AN$2:AN$229)*100+100</f>
        <v>112.82817725379145</v>
      </c>
      <c r="S9" s="5">
        <f>(AO9-AVERAGE(AO$2:AO$229))/AVERAGE(AO$2:AO$229)*100+100</f>
        <v>109.12252606573776</v>
      </c>
      <c r="T9" s="6">
        <f>(F9*1.5+H9*2.5+I9+J9+K9*1.5+L9+O9*0.75+P9+S9)/11.25</f>
        <v>139.55868282565248</v>
      </c>
      <c r="V9">
        <f>'2025_Fantasy_Hitters_modified'!F145</f>
        <v>138.26748060681254</v>
      </c>
      <c r="W9">
        <f>'2025_Fantasy_Hitters_modified'!G145</f>
        <v>76.600348219220351</v>
      </c>
      <c r="X9">
        <f>'2025_Fantasy_Hitters_modified'!H145</f>
        <v>25.065558972257946</v>
      </c>
      <c r="Y9">
        <f>'2025_Fantasy_Hitters_modified'!I145</f>
        <v>1.0026223588903138</v>
      </c>
      <c r="Z9">
        <f>'2025_Fantasy_Hitters_modified'!J145</f>
        <v>36</v>
      </c>
      <c r="AA9">
        <f>'2025_Fantasy_Hitters_modified'!K145</f>
        <v>85.844210526315436</v>
      </c>
      <c r="AB9">
        <f>'2025_Fantasy_Hitters_modified'!L145</f>
        <v>100.99999999999982</v>
      </c>
      <c r="AC9" s="2">
        <f>'2025_Fantasy_Hitters_modified'!M145</f>
        <v>64.427368421318008</v>
      </c>
      <c r="AD9">
        <f>'2025_Fantasy_Hitters_modified'!N145</f>
        <v>4.3926315789473316</v>
      </c>
      <c r="AE9">
        <f>'2025_Fantasy_Hitters_modified'!O145</f>
        <v>152.37894738919999</v>
      </c>
      <c r="AF9">
        <f>'2025_Fantasy_Hitters_modified'!P145</f>
        <v>14.019414483821169</v>
      </c>
      <c r="AG9">
        <f>'2025_Fantasy_Hitters_modified'!Q145</f>
        <v>4.9999999999999503</v>
      </c>
      <c r="AH9">
        <f>'2025_Fantasy_Hitters_modified'!R145</f>
        <v>0</v>
      </c>
      <c r="AI9">
        <f>'2025_Fantasy_Hitters_modified'!S145</f>
        <v>3.9957894736842063</v>
      </c>
      <c r="AJ9">
        <f>'2025_Fantasy_Hitters_modified'!T145</f>
        <v>0.99894736842100551</v>
      </c>
      <c r="AK9">
        <f>'2025_Fantasy_Hitters_modified'!U145</f>
        <v>2.9968421052632008</v>
      </c>
      <c r="AL9">
        <f>'2025_Fantasy_Hitters_modified'!V145</f>
        <v>0.24088411255542255</v>
      </c>
      <c r="AM9">
        <f>'2025_Fantasy_Hitters_modified'!W145</f>
        <v>0.3413091523738207</v>
      </c>
      <c r="AN9">
        <f>'2025_Fantasy_Hitters_modified'!X145</f>
        <v>0.47689779310175467</v>
      </c>
      <c r="AO9">
        <f>'2025_Fantasy_Hitters_modified'!Y145</f>
        <v>0.81820694547557538</v>
      </c>
      <c r="AP9">
        <f>'2025_Fantasy_Hitters_modified'!Z145</f>
        <v>0.26180739600000003</v>
      </c>
      <c r="AQ9">
        <f>'2025_Fantasy_Hitters_modified'!AA145</f>
        <v>23.15789474</v>
      </c>
      <c r="AR9">
        <f>'2025_Fantasy_Hitters_modified'!AB145</f>
        <v>9.7913933771000004</v>
      </c>
    </row>
    <row r="10" spans="1:44" x14ac:dyDescent="0.4">
      <c r="A10" t="str">
        <f>'2025_Fantasy_Hitters_modified'!A140</f>
        <v>NYM</v>
      </c>
      <c r="B10" t="str">
        <f>'2025_Fantasy_Hitters_modified'!B140</f>
        <v>Francisco Lindor</v>
      </c>
      <c r="C10">
        <f>'2025_Fantasy_Hitters_modified'!D140</f>
        <v>596</v>
      </c>
      <c r="D10">
        <f>'2025_Fantasy_Hitters_modified'!E140</f>
        <v>671</v>
      </c>
      <c r="E10" s="5">
        <f>(V10-AVERAGE(V$2:V$229))/AVERAGE(V$2:V$229)*100+100</f>
        <v>129.50841485320038</v>
      </c>
      <c r="F10" s="4">
        <f>E10*1.51744-31.775</f>
        <v>164.74624903484036</v>
      </c>
      <c r="G10" s="5">
        <f>(Z10-AVERAGE(Z$2:Z$229))/AVERAGE(Z$2:Z$229)*100+100</f>
        <v>155.70624729476276</v>
      </c>
      <c r="H10" s="4">
        <f>G10*0.83285-13.6979</f>
        <v>115.98204805944314</v>
      </c>
      <c r="I10" s="5">
        <f>(AA10-AVERAGE(AA$2:AA$229))/AVERAGE(AA$2:AA$229)*100+100</f>
        <v>146.3023807734312</v>
      </c>
      <c r="J10" s="5">
        <f>(AB10-AVERAGE(AB$2:AB$229))/AVERAGE(AB$2:AB$229)*100+100</f>
        <v>135.64931956506817</v>
      </c>
      <c r="K10" s="5">
        <f>(AC10-AVERAGE(AC$2:AC$229))/AVERAGE(AC$2:AC$229)*100+100</f>
        <v>131.65014339576697</v>
      </c>
      <c r="L10" s="5">
        <f>(AF10-AVERAGE(AF$2:AF$229))/AVERAGE(AF$2:AF$229)*100+100</f>
        <v>171.05267084398537</v>
      </c>
      <c r="M10" s="5">
        <f>(AI10-AVERAGE(AI$2:AI$229))/AVERAGE(AI$2:AI$229)*100+100</f>
        <v>227.92396857060368</v>
      </c>
      <c r="N10" s="5">
        <f>(AVERAGE(AJ$2:AJ$229)-AJ10)/AVERAGE(AJ$2:AJ$229)*100+100</f>
        <v>-16.96766237968626</v>
      </c>
      <c r="O10" s="5">
        <f>(AK10-AVERAGE(AK$2:AK$229))/AVERAGE(AK$2:AK$229)*100+100</f>
        <v>231.76134866013288</v>
      </c>
      <c r="P10" s="5">
        <f>(AL10-AVERAGE(AL$2:AL$229))/AVERAGE(AL$2:AL$229)*100+100</f>
        <v>102.31630354037591</v>
      </c>
      <c r="Q10" s="5">
        <f>(AM10-AVERAGE(AM$2:AM$229))/AVERAGE(AM$2:AM$229)*100+100</f>
        <v>103.24779708936438</v>
      </c>
      <c r="R10" s="5">
        <f>(AN10-AVERAGE(AN$2:AN$229))/AVERAGE(AN$2:AN$229)*100+100</f>
        <v>108.39608781913091</v>
      </c>
      <c r="S10" s="5">
        <f>(AO10-AVERAGE(AO$2:AO$229))/AVERAGE(AO$2:AO$229)*100+100</f>
        <v>106.14996177831713</v>
      </c>
      <c r="T10" s="6">
        <f>(F10*1.5+H10*2.5+I10+J10+K10*1.5+L10+O10*0.75+P10+S10)/11.25</f>
        <v>139.54145393695967</v>
      </c>
      <c r="V10">
        <f>'2025_Fantasy_Hitters_modified'!F140</f>
        <v>152.13466231945463</v>
      </c>
      <c r="W10">
        <f>'2025_Fantasy_Hitters_modified'!G140</f>
        <v>90.58675481519883</v>
      </c>
      <c r="X10">
        <f>'2025_Fantasy_Hitters_modified'!H140</f>
        <v>31.440774851664628</v>
      </c>
      <c r="Y10">
        <f>'2025_Fantasy_Hitters_modified'!I140</f>
        <v>1.9992275931484316</v>
      </c>
      <c r="Z10">
        <f>'2025_Fantasy_Hitters_modified'!J140</f>
        <v>28.399999999999956</v>
      </c>
      <c r="AA10">
        <f>'2025_Fantasy_Hitters_modified'!K140</f>
        <v>96.474927113702421</v>
      </c>
      <c r="AB10">
        <f>'2025_Fantasy_Hitters_modified'!L140</f>
        <v>86.999999999999488</v>
      </c>
      <c r="AC10" s="2">
        <f>'2025_Fantasy_Hitters_modified'!M140</f>
        <v>60.162244895665005</v>
      </c>
      <c r="AD10">
        <f>'2025_Fantasy_Hitters_modified'!N140</f>
        <v>1.4956268221574307</v>
      </c>
      <c r="AE10">
        <f>'2025_Fantasy_Hitters_modified'!O140</f>
        <v>127.15743441719999</v>
      </c>
      <c r="AF10">
        <f>'2025_Fantasy_Hitters_modified'!P140</f>
        <v>10.0228658536585</v>
      </c>
      <c r="AG10">
        <f>'2025_Fantasy_Hitters_modified'!Q140</f>
        <v>4.9999999999999938</v>
      </c>
      <c r="AH10">
        <f>'2025_Fantasy_Hitters_modified'!R140</f>
        <v>1.0137195121951057</v>
      </c>
      <c r="AI10">
        <f>'2025_Fantasy_Hitters_modified'!S140</f>
        <v>23.849708454810422</v>
      </c>
      <c r="AJ10">
        <f>'2025_Fantasy_Hitters_modified'!T140</f>
        <v>5.8890670553935776</v>
      </c>
      <c r="AK10">
        <f>'2025_Fantasy_Hitters_modified'!U140</f>
        <v>17.960641399416843</v>
      </c>
      <c r="AL10">
        <f>'2025_Fantasy_Hitters_modified'!V140</f>
        <v>0.25525950053599772</v>
      </c>
      <c r="AM10">
        <f>'2025_Fantasy_Hitters_modified'!W140</f>
        <v>0.33775408011185926</v>
      </c>
      <c r="AN10">
        <f>'2025_Fantasy_Hitters_modified'!X140</f>
        <v>0.45816440821807586</v>
      </c>
      <c r="AO10">
        <f>'2025_Fantasy_Hitters_modified'!Y140</f>
        <v>0.79591848832993506</v>
      </c>
      <c r="AP10">
        <f>'2025_Fantasy_Hitters_modified'!Z140</f>
        <v>0.27777916139999997</v>
      </c>
      <c r="AQ10">
        <f>'2025_Fantasy_Hitters_modified'!AA140</f>
        <v>18.950437319999999</v>
      </c>
      <c r="AR10">
        <f>'2025_Fantasy_Hitters_modified'!AB140</f>
        <v>8.9660573615000008</v>
      </c>
    </row>
    <row r="11" spans="1:44" x14ac:dyDescent="0.4">
      <c r="A11" t="str">
        <f>'2025_Fantasy_Hitters_modified'!A32</f>
        <v>BAL</v>
      </c>
      <c r="B11" t="str">
        <f>'2025_Fantasy_Hitters_modified'!B32</f>
        <v>Gunnar Henderson</v>
      </c>
      <c r="C11">
        <f>'2025_Fantasy_Hitters_modified'!D32</f>
        <v>584</v>
      </c>
      <c r="D11">
        <f>'2025_Fantasy_Hitters_modified'!E32</f>
        <v>665</v>
      </c>
      <c r="E11" s="5">
        <f>(V11-AVERAGE(V$2:V$229))/AVERAGE(V$2:V$229)*100+100</f>
        <v>134.65875075926135</v>
      </c>
      <c r="F11" s="4">
        <f>E11*1.51744-31.775</f>
        <v>172.56157475213354</v>
      </c>
      <c r="G11" s="5">
        <f>(Z11-AVERAGE(Z$2:Z$229))/AVERAGE(Z$2:Z$229)*100+100</f>
        <v>169.96104458231156</v>
      </c>
      <c r="H11" s="4">
        <f>G11*0.83285-13.6979</f>
        <v>127.85415598037818</v>
      </c>
      <c r="I11" s="5">
        <f>(AA11-AVERAGE(AA$2:AA$229))/AVERAGE(AA$2:AA$229)*100+100</f>
        <v>156.29445864298026</v>
      </c>
      <c r="J11" s="5">
        <f>(AB11-AVERAGE(AB$2:AB$229))/AVERAGE(AB$2:AB$229)*100+100</f>
        <v>138.76769472748393</v>
      </c>
      <c r="K11" s="5">
        <f>(AC11-AVERAGE(AC$2:AC$229))/AVERAGE(AC$2:AC$229)*100+100</f>
        <v>155.9027922918946</v>
      </c>
      <c r="L11" s="5">
        <f>(AF11-AVERAGE(AF$2:AF$229))/AVERAGE(AF$2:AF$229)*100+100</f>
        <v>102.47503580317817</v>
      </c>
      <c r="M11" s="5">
        <f>(AI11-AVERAGE(AI$2:AI$229))/AVERAGE(AI$2:AI$229)*100+100</f>
        <v>153.52752899962684</v>
      </c>
      <c r="N11" s="5">
        <f>(AVERAGE(AJ$2:AJ$229)-AJ11)/AVERAGE(AJ$2:AJ$229)*100+100</f>
        <v>52.93405265170172</v>
      </c>
      <c r="O11" s="5">
        <f>(AK11-AVERAGE(AK$2:AK$229))/AVERAGE(AK$2:AK$229)*100+100</f>
        <v>155.79065895817348</v>
      </c>
      <c r="P11" s="5">
        <f>(AL11-AVERAGE(AL$2:AL$229))/AVERAGE(AL$2:AL$229)*100+100</f>
        <v>108.57125243099193</v>
      </c>
      <c r="Q11" s="5">
        <f>(AM11-AVERAGE(AM$2:AM$229))/AVERAGE(AM$2:AM$229)*100+100</f>
        <v>109.85270341475075</v>
      </c>
      <c r="R11" s="5">
        <f>(AN11-AVERAGE(AN$2:AN$229))/AVERAGE(AN$2:AN$229)*100+100</f>
        <v>120.2209992813022</v>
      </c>
      <c r="S11" s="5">
        <f>(AO11-AVERAGE(AO$2:AO$229))/AVERAGE(AO$2:AO$229)*100+100</f>
        <v>115.69745922361417</v>
      </c>
      <c r="T11" s="6">
        <f>(F11*1.5+H11*2.5+I11+J11+K11*1.5+L11+O11*0.75+P11+S11)/11.25</f>
        <v>137.86496316123259</v>
      </c>
      <c r="V11">
        <f>'2025_Fantasy_Hitters_modified'!F32</f>
        <v>158.18480674279968</v>
      </c>
      <c r="W11">
        <f>'2025_Fantasy_Hitters_modified'!G32</f>
        <v>89.954518544785472</v>
      </c>
      <c r="X11">
        <f>'2025_Fantasy_Hitters_modified'!H32</f>
        <v>32.300903299758531</v>
      </c>
      <c r="Y11">
        <f>'2025_Fantasy_Hitters_modified'!I32</f>
        <v>6.0668800371596987</v>
      </c>
      <c r="Z11">
        <f>'2025_Fantasy_Hitters_modified'!J32</f>
        <v>30.999999999999964</v>
      </c>
      <c r="AA11">
        <f>'2025_Fantasy_Hitters_modified'!K32</f>
        <v>103.06391752577264</v>
      </c>
      <c r="AB11">
        <f>'2025_Fantasy_Hitters_modified'!L32</f>
        <v>88.99999999999973</v>
      </c>
      <c r="AC11" s="2">
        <f>'2025_Fantasy_Hitters_modified'!M32</f>
        <v>71.245360831749323</v>
      </c>
      <c r="AD11">
        <f>'2025_Fantasy_Hitters_modified'!N32</f>
        <v>2.2979381443298617</v>
      </c>
      <c r="AE11">
        <f>'2025_Fantasy_Hitters_modified'!O32</f>
        <v>146.90721648749999</v>
      </c>
      <c r="AF11">
        <f>'2025_Fantasy_Hitters_modified'!P32</f>
        <v>6.0045454545454229</v>
      </c>
      <c r="AG11">
        <f>'2025_Fantasy_Hitters_modified'!Q32</f>
        <v>3.9999999999999587</v>
      </c>
      <c r="AH11">
        <f>'2025_Fantasy_Hitters_modified'!R32</f>
        <v>0.39999999999998914</v>
      </c>
      <c r="AI11">
        <f>'2025_Fantasy_Hitters_modified'!S32</f>
        <v>16.064948453608149</v>
      </c>
      <c r="AJ11">
        <f>'2025_Fantasy_Hitters_modified'!T32</f>
        <v>3.9917525773195468</v>
      </c>
      <c r="AK11">
        <f>'2025_Fantasy_Hitters_modified'!U32</f>
        <v>12.073195876288603</v>
      </c>
      <c r="AL11">
        <f>'2025_Fantasy_Hitters_modified'!V32</f>
        <v>0.27086439510753368</v>
      </c>
      <c r="AM11">
        <f>'2025_Fantasy_Hitters_modified'!W32</f>
        <v>0.35936068212221511</v>
      </c>
      <c r="AN11">
        <f>'2025_Fantasy_Hitters_modified'!X32</f>
        <v>0.50814548845168062</v>
      </c>
      <c r="AO11">
        <f>'2025_Fantasy_Hitters_modified'!Y32</f>
        <v>0.86750617057389579</v>
      </c>
      <c r="AP11">
        <f>'2025_Fantasy_Hitters_modified'!Z32</f>
        <v>0.31013666140000001</v>
      </c>
      <c r="AQ11">
        <f>'2025_Fantasy_Hitters_modified'!AA32</f>
        <v>22.091310750000002</v>
      </c>
      <c r="AR11">
        <f>'2025_Fantasy_Hitters_modified'!AB32</f>
        <v>10.713588094999899</v>
      </c>
    </row>
    <row r="12" spans="1:44" x14ac:dyDescent="0.4">
      <c r="A12" t="str">
        <f>'2025_Fantasy_Hitters_modified'!A71</f>
        <v>CLE</v>
      </c>
      <c r="B12" t="str">
        <f>'2025_Fantasy_Hitters_modified'!B71</f>
        <v>Jose Ramirez</v>
      </c>
      <c r="C12">
        <f>'2025_Fantasy_Hitters_modified'!D71</f>
        <v>590</v>
      </c>
      <c r="D12">
        <f>'2025_Fantasy_Hitters_modified'!E71</f>
        <v>662</v>
      </c>
      <c r="E12" s="5">
        <f>(V12-AVERAGE(V$2:V$229))/AVERAGE(V$2:V$229)*100+100</f>
        <v>136.21672470459438</v>
      </c>
      <c r="F12" s="4">
        <f>E12*1.51744-31.775</f>
        <v>174.92570673573968</v>
      </c>
      <c r="G12" s="5">
        <f>(Z12-AVERAGE(Z$2:Z$229))/AVERAGE(Z$2:Z$229)*100+100</f>
        <v>156.80277016303563</v>
      </c>
      <c r="H12" s="4">
        <f>G12*0.83285-13.6979</f>
        <v>116.89528713028423</v>
      </c>
      <c r="I12" s="5">
        <f>(AA12-AVERAGE(AA$2:AA$229))/AVERAGE(AA$2:AA$229)*100+100</f>
        <v>143.06913746304605</v>
      </c>
      <c r="J12" s="5">
        <f>(AB12-AVERAGE(AB$2:AB$229))/AVERAGE(AB$2:AB$229)*100+100</f>
        <v>152.80038295835351</v>
      </c>
      <c r="K12" s="5">
        <f>(AC12-AVERAGE(AC$2:AC$229))/AVERAGE(AC$2:AC$229)*100+100</f>
        <v>129.99257984426879</v>
      </c>
      <c r="L12" s="5">
        <f>(AF12-AVERAGE(AF$2:AF$229))/AVERAGE(AF$2:AF$229)*100+100</f>
        <v>66.652871013554318</v>
      </c>
      <c r="M12" s="5">
        <f>(AI12-AVERAGE(AI$2:AI$229))/AVERAGE(AI$2:AI$229)*100+100</f>
        <v>285.3322365998323</v>
      </c>
      <c r="N12" s="5">
        <f>(AVERAGE(AJ$2:AJ$229)-AJ12)/AVERAGE(AJ$2:AJ$229)*100+100</f>
        <v>-87.042164640002881</v>
      </c>
      <c r="O12" s="5">
        <f>(AK12-AVERAGE(AK$2:AK$229))/AVERAGE(AK$2:AK$229)*100+100</f>
        <v>284.73334462825562</v>
      </c>
      <c r="P12" s="5">
        <f>(AL12-AVERAGE(AL$2:AL$229))/AVERAGE(AL$2:AL$229)*100+100</f>
        <v>108.71051059903304</v>
      </c>
      <c r="Q12" s="5">
        <f>(AM12-AVERAGE(AM$2:AM$229))/AVERAGE(AM$2:AM$229)*100+100</f>
        <v>107.36217980798303</v>
      </c>
      <c r="R12" s="5">
        <f>(AN12-AVERAGE(AN$2:AN$229))/AVERAGE(AN$2:AN$229)*100+100</f>
        <v>114.4597824979473</v>
      </c>
      <c r="S12" s="5">
        <f>(AO12-AVERAGE(AO$2:AO$229))/AVERAGE(AO$2:AO$229)*100+100</f>
        <v>111.36319936655883</v>
      </c>
      <c r="T12" s="6">
        <f>(F12*1.5+H12*2.5+I12+J12+K12*1.5+L12+O12*0.75+P12+S12)/11.25</f>
        <v>137.4010451171076</v>
      </c>
      <c r="V12">
        <f>'2025_Fantasy_Hitters_modified'!F71</f>
        <v>160.01497229879402</v>
      </c>
      <c r="W12">
        <f>'2025_Fantasy_Hitters_modified'!G71</f>
        <v>93.185162175508523</v>
      </c>
      <c r="X12">
        <f>'2025_Fantasy_Hitters_modified'!H71</f>
        <v>33.849311046659011</v>
      </c>
      <c r="Y12">
        <f>'2025_Fantasy_Hitters_modified'!I71</f>
        <v>3.3849311046659007</v>
      </c>
      <c r="Z12">
        <f>'2025_Fantasy_Hitters_modified'!J71</f>
        <v>28.599999999999934</v>
      </c>
      <c r="AA12">
        <f>'2025_Fantasy_Hitters_modified'!K71</f>
        <v>94.342857142856673</v>
      </c>
      <c r="AB12">
        <f>'2025_Fantasy_Hitters_modified'!L71</f>
        <v>97.999999999999972</v>
      </c>
      <c r="AC12" s="2">
        <f>'2025_Fantasy_Hitters_modified'!M71</f>
        <v>59.404761905194</v>
      </c>
      <c r="AD12">
        <f>'2025_Fantasy_Hitters_modified'!N71</f>
        <v>10.576190476190426</v>
      </c>
      <c r="AE12">
        <f>'2025_Fantasy_Hitters_modified'!O71</f>
        <v>79.7946428666</v>
      </c>
      <c r="AF12">
        <f>'2025_Fantasy_Hitters_modified'!P71</f>
        <v>3.9055384615384292</v>
      </c>
      <c r="AG12">
        <f>'2025_Fantasy_Hitters_modified'!Q71</f>
        <v>5.9999999999999813</v>
      </c>
      <c r="AH12">
        <f>'2025_Fantasy_Hitters_modified'!R71</f>
        <v>0</v>
      </c>
      <c r="AI12">
        <f>'2025_Fantasy_Hitters_modified'!S71</f>
        <v>29.856845238095193</v>
      </c>
      <c r="AJ12">
        <f>'2025_Fantasy_Hitters_modified'!T71</f>
        <v>7.7910714285714038</v>
      </c>
      <c r="AK12">
        <f>'2025_Fantasy_Hitters_modified'!U71</f>
        <v>22.06577380952379</v>
      </c>
      <c r="AL12">
        <f>'2025_Fantasy_Hitters_modified'!V71</f>
        <v>0.27121181745558309</v>
      </c>
      <c r="AM12">
        <f>'2025_Fantasy_Hitters_modified'!W71</f>
        <v>0.35121344282496764</v>
      </c>
      <c r="AN12">
        <f>'2025_Fantasy_Hitters_modified'!X71</f>
        <v>0.483794199292922</v>
      </c>
      <c r="AO12">
        <f>'2025_Fantasy_Hitters_modified'!Y71</f>
        <v>0.83500764211788958</v>
      </c>
      <c r="AP12">
        <f>'2025_Fantasy_Hitters_modified'!Z71</f>
        <v>0.26951092799999998</v>
      </c>
      <c r="AQ12">
        <f>'2025_Fantasy_Hitters_modified'!AA71</f>
        <v>12.05357143</v>
      </c>
      <c r="AR12">
        <f>'2025_Fantasy_Hitters_modified'!AB71</f>
        <v>8.9735289887</v>
      </c>
    </row>
    <row r="13" spans="1:44" x14ac:dyDescent="0.4">
      <c r="A13" t="str">
        <f>'2025_Fantasy_Hitters_modified'!A169</f>
        <v>SDP</v>
      </c>
      <c r="B13" t="str">
        <f>'2025_Fantasy_Hitters_modified'!B169</f>
        <v>Fernando Tatis Jr.</v>
      </c>
      <c r="C13">
        <f>'2025_Fantasy_Hitters_modified'!D169</f>
        <v>566</v>
      </c>
      <c r="D13">
        <f>'2025_Fantasy_Hitters_modified'!E169</f>
        <v>629</v>
      </c>
      <c r="E13" s="5">
        <f>(V13-AVERAGE(V$2:V$229))/AVERAGE(V$2:V$229)*100+100</f>
        <v>132.40700227665477</v>
      </c>
      <c r="F13" s="4">
        <f>E13*1.51744-31.775</f>
        <v>169.14468153468698</v>
      </c>
      <c r="G13" s="5">
        <f>(Z13-AVERAGE(Z$2:Z$229))/AVERAGE(Z$2:Z$229)*100+100</f>
        <v>173.25061318713023</v>
      </c>
      <c r="H13" s="4">
        <f>G13*0.83285-13.6979</f>
        <v>130.59387319290141</v>
      </c>
      <c r="I13" s="5">
        <f>(AA13-AVERAGE(AA$2:AA$229))/AVERAGE(AA$2:AA$229)*100+100</f>
        <v>149.29731054126032</v>
      </c>
      <c r="J13" s="5">
        <f>(AB13-AVERAGE(AB$2:AB$229))/AVERAGE(AB$2:AB$229)*100+100</f>
        <v>137.20850714627588</v>
      </c>
      <c r="K13" s="5">
        <f>(AC13-AVERAGE(AC$2:AC$229))/AVERAGE(AC$2:AC$229)*100+100</f>
        <v>124.18063172313211</v>
      </c>
      <c r="L13" s="5">
        <f>(AF13-AVERAGE(AF$2:AF$229))/AVERAGE(AF$2:AF$229)*100+100</f>
        <v>117.83913051197803</v>
      </c>
      <c r="M13" s="5">
        <f>(AI13-AVERAGE(AI$2:AI$229))/AVERAGE(AI$2:AI$229)*100+100</f>
        <v>189.37761644603259</v>
      </c>
      <c r="N13" s="5">
        <f>(AVERAGE(AJ$2:AJ$229)-AJ13)/AVERAGE(AJ$2:AJ$229)*100+100</f>
        <v>20.12149397057965</v>
      </c>
      <c r="O13" s="5">
        <f>(AK13-AVERAGE(AK$2:AK$229))/AVERAGE(AK$2:AK$229)*100+100</f>
        <v>192.70462251411462</v>
      </c>
      <c r="P13" s="5">
        <f>(AL13-AVERAGE(AL$2:AL$229))/AVERAGE(AL$2:AL$229)*100+100</f>
        <v>110.15079490804737</v>
      </c>
      <c r="Q13" s="5">
        <f>(AM13-AVERAGE(AM$2:AM$229))/AVERAGE(AM$2:AM$229)*100+100</f>
        <v>107.41894963375114</v>
      </c>
      <c r="R13" s="5">
        <f>(AN13-AVERAGE(AN$2:AN$229))/AVERAGE(AN$2:AN$229)*100+100</f>
        <v>118.67214759952654</v>
      </c>
      <c r="S13" s="5">
        <f>(AO13-AVERAGE(AO$2:AO$229))/AVERAGE(AO$2:AO$229)*100+100</f>
        <v>113.76253733854837</v>
      </c>
      <c r="T13" s="6">
        <f>(F13*1.5+H13*2.5+I13+J13+K13*1.5+L13+O13*0.75+P13+S13)/11.25</f>
        <v>136.82305779561582</v>
      </c>
      <c r="V13">
        <f>'2025_Fantasy_Hitters_modified'!F169</f>
        <v>155.53965819845217</v>
      </c>
      <c r="W13">
        <f>'2025_Fantasy_Hitters_modified'!G169</f>
        <v>90.41499655460855</v>
      </c>
      <c r="X13">
        <f>'2025_Fantasy_Hitters_modified'!H169</f>
        <v>30.476965130766914</v>
      </c>
      <c r="Y13">
        <f>'2025_Fantasy_Hitters_modified'!I169</f>
        <v>2.0453429932203524</v>
      </c>
      <c r="Z13">
        <f>'2025_Fantasy_Hitters_modified'!J169</f>
        <v>31.599999999999916</v>
      </c>
      <c r="AA13">
        <f>'2025_Fantasy_Hitters_modified'!K169</f>
        <v>98.449848024315813</v>
      </c>
      <c r="AB13">
        <f>'2025_Fantasy_Hitters_modified'!L169</f>
        <v>87.999999999999503</v>
      </c>
      <c r="AC13" s="2">
        <f>'2025_Fantasy_Hitters_modified'!M169</f>
        <v>56.748784196658008</v>
      </c>
      <c r="AD13">
        <f>'2025_Fantasy_Hitters_modified'!N169</f>
        <v>1.3955927051671251</v>
      </c>
      <c r="AE13">
        <f>'2025_Fantasy_Hitters_modified'!O169</f>
        <v>134.7857142947</v>
      </c>
      <c r="AF13">
        <f>'2025_Fantasy_Hitters_modified'!P169</f>
        <v>6.9048076923076103</v>
      </c>
      <c r="AG13">
        <f>'2025_Fantasy_Hitters_modified'!Q169</f>
        <v>3.5999999999999672</v>
      </c>
      <c r="AH13">
        <f>'2025_Fantasy_Hitters_modified'!R169</f>
        <v>0.39999999999997887</v>
      </c>
      <c r="AI13">
        <f>'2025_Fantasy_Hitters_modified'!S169</f>
        <v>19.816261398176241</v>
      </c>
      <c r="AJ13">
        <f>'2025_Fantasy_Hitters_modified'!T169</f>
        <v>4.8823708206686822</v>
      </c>
      <c r="AK13">
        <f>'2025_Fantasy_Hitters_modified'!U169</f>
        <v>14.933890577507558</v>
      </c>
      <c r="AL13">
        <f>'2025_Fantasy_Hitters_modified'!V169</f>
        <v>0.2748050498205869</v>
      </c>
      <c r="AM13">
        <f>'2025_Fantasy_Hitters_modified'!W169</f>
        <v>0.35139915371489416</v>
      </c>
      <c r="AN13">
        <f>'2025_Fantasy_Hitters_modified'!X169</f>
        <v>0.50159886183004088</v>
      </c>
      <c r="AO13">
        <f>'2025_Fantasy_Hitters_modified'!Y169</f>
        <v>0.85299801554493504</v>
      </c>
      <c r="AP13">
        <f>'2025_Fantasy_Hitters_modified'!Z169</f>
        <v>0.30737913459999999</v>
      </c>
      <c r="AQ13">
        <f>'2025_Fantasy_Hitters_modified'!AA169</f>
        <v>21.428571430000002</v>
      </c>
      <c r="AR13">
        <f>'2025_Fantasy_Hitters_modified'!AB169</f>
        <v>9.0220642602000005</v>
      </c>
    </row>
    <row r="14" spans="1:44" x14ac:dyDescent="0.4">
      <c r="A14" t="str">
        <f>'2025_Fantasy_Hitters_modified'!A113</f>
        <v>LAD</v>
      </c>
      <c r="B14" t="str">
        <f>'2025_Fantasy_Hitters_modified'!B113</f>
        <v>Mookie Betts</v>
      </c>
      <c r="C14">
        <f>'2025_Fantasy_Hitters_modified'!D113</f>
        <v>565</v>
      </c>
      <c r="D14">
        <f>'2025_Fantasy_Hitters_modified'!E113</f>
        <v>653</v>
      </c>
      <c r="E14" s="5">
        <f>(V14-AVERAGE(V$2:V$229))/AVERAGE(V$2:V$229)*100+100</f>
        <v>131.01311304613569</v>
      </c>
      <c r="F14" s="4">
        <f>E14*1.51744-31.775</f>
        <v>167.02953826072812</v>
      </c>
      <c r="G14" s="5">
        <f>(Z14-AVERAGE(Z$2:Z$229))/AVERAGE(Z$2:Z$229)*100+100</f>
        <v>151.3201558216708</v>
      </c>
      <c r="H14" s="4">
        <f>G14*0.83285-13.6979</f>
        <v>112.32909177607851</v>
      </c>
      <c r="I14" s="5">
        <f>(AA14-AVERAGE(AA$2:AA$229))/AVERAGE(AA$2:AA$229)*100+100</f>
        <v>153.00644225533216</v>
      </c>
      <c r="J14" s="5">
        <f>(AB14-AVERAGE(AB$2:AB$229))/AVERAGE(AB$2:AB$229)*100+100</f>
        <v>141.88606988989949</v>
      </c>
      <c r="K14" s="5">
        <f>(AC14-AVERAGE(AC$2:AC$229))/AVERAGE(AC$2:AC$229)*100+100</f>
        <v>163.41503824532015</v>
      </c>
      <c r="L14" s="5">
        <f>(AF14-AVERAGE(AF$2:AF$229))/AVERAGE(AF$2:AF$229)*100+100</f>
        <v>118.92783722809057</v>
      </c>
      <c r="M14" s="5">
        <f>(AI14-AVERAGE(AI$2:AI$229))/AVERAGE(AI$2:AI$229)*100+100</f>
        <v>142.80124945959611</v>
      </c>
      <c r="N14" s="5">
        <f>(AVERAGE(AJ$2:AJ$229)-AJ14)/AVERAGE(AJ$2:AJ$229)*100+100</f>
        <v>89.895875015065158</v>
      </c>
      <c r="O14" s="5">
        <f>(AK14-AVERAGE(AK$2:AK$229))/AVERAGE(AK$2:AK$229)*100+100</f>
        <v>154.25321988261442</v>
      </c>
      <c r="P14" s="5">
        <f>(AL14-AVERAGE(AL$2:AL$229))/AVERAGE(AL$2:AL$229)*100+100</f>
        <v>109.18410840184701</v>
      </c>
      <c r="Q14" s="5">
        <f>(AM14-AVERAGE(AM$2:AM$229))/AVERAGE(AM$2:AM$229)*100+100</f>
        <v>112.43711104291978</v>
      </c>
      <c r="R14" s="5">
        <f>(AN14-AVERAGE(AN$2:AN$229))/AVERAGE(AN$2:AN$229)*100+100</f>
        <v>114.73102338110812</v>
      </c>
      <c r="S14" s="5">
        <f>(AO14-AVERAGE(AO$2:AO$229))/AVERAGE(AO$2:AO$229)*100+100</f>
        <v>113.73022204555831</v>
      </c>
      <c r="T14" s="6">
        <f>(F14*1.5+H14*2.5+I14+J14+K14*1.5+L14+O14*0.75+P14+S14)/11.25</f>
        <v>135.90348346061839</v>
      </c>
      <c r="V14">
        <f>'2025_Fantasy_Hitters_modified'!F113</f>
        <v>153.90224438533343</v>
      </c>
      <c r="W14">
        <f>'2025_Fantasy_Hitters_modified'!G113</f>
        <v>92.034193583111133</v>
      </c>
      <c r="X14">
        <f>'2025_Fantasy_Hitters_modified'!H113</f>
        <v>31.330789304888803</v>
      </c>
      <c r="Y14">
        <f>'2025_Fantasy_Hitters_modified'!I113</f>
        <v>2.965235416355553</v>
      </c>
      <c r="Z14">
        <f>'2025_Fantasy_Hitters_modified'!J113</f>
        <v>27.599999999999945</v>
      </c>
      <c r="AA14">
        <f>'2025_Fantasy_Hitters_modified'!K113</f>
        <v>100.8957290132545</v>
      </c>
      <c r="AB14">
        <f>'2025_Fantasy_Hitters_modified'!L113</f>
        <v>90.999999999999844</v>
      </c>
      <c r="AC14" s="2">
        <f>'2025_Fantasy_Hitters_modified'!M113</f>
        <v>74.678350489860009</v>
      </c>
      <c r="AD14">
        <f>'2025_Fantasy_Hitters_modified'!N113</f>
        <v>2.4885125184094052</v>
      </c>
      <c r="AE14">
        <f>'2025_Fantasy_Hitters_modified'!O113</f>
        <v>90.400589097099996</v>
      </c>
      <c r="AF14">
        <f>'2025_Fantasy_Hitters_modified'!P113</f>
        <v>6.9686006825937765</v>
      </c>
      <c r="AG14">
        <f>'2025_Fantasy_Hitters_modified'!Q113</f>
        <v>4.9999999999999547</v>
      </c>
      <c r="AH14">
        <f>'2025_Fantasy_Hitters_modified'!R113</f>
        <v>0.39999999999999636</v>
      </c>
      <c r="AI14">
        <f>'2025_Fantasy_Hitters_modified'!S113</f>
        <v>14.9425625920471</v>
      </c>
      <c r="AJ14">
        <f>'2025_Fantasy_Hitters_modified'!T113</f>
        <v>2.9885125184094004</v>
      </c>
      <c r="AK14">
        <f>'2025_Fantasy_Hitters_modified'!U113</f>
        <v>11.954050073637699</v>
      </c>
      <c r="AL14">
        <f>'2025_Fantasy_Hitters_modified'!V113</f>
        <v>0.27239335289439548</v>
      </c>
      <c r="AM14">
        <f>'2025_Fantasy_Hitters_modified'!W113</f>
        <v>0.36781504381993524</v>
      </c>
      <c r="AN14">
        <f>'2025_Fantasy_Hitters_modified'!X113</f>
        <v>0.48494066980877021</v>
      </c>
      <c r="AO14">
        <f>'2025_Fantasy_Hitters_modified'!Y113</f>
        <v>0.85275571362870539</v>
      </c>
      <c r="AP14">
        <f>'2025_Fantasy_Hitters_modified'!Z113</f>
        <v>0.27943010839999999</v>
      </c>
      <c r="AQ14">
        <f>'2025_Fantasy_Hitters_modified'!AA113</f>
        <v>13.84388807</v>
      </c>
      <c r="AR14">
        <f>'2025_Fantasy_Hitters_modified'!AB113</f>
        <v>11.436194562000001</v>
      </c>
    </row>
    <row r="15" spans="1:44" x14ac:dyDescent="0.4">
      <c r="A15" t="str">
        <f>'2025_Fantasy_Hitters_modified'!A180</f>
        <v>SEA</v>
      </c>
      <c r="B15" t="str">
        <f>'2025_Fantasy_Hitters_modified'!B180</f>
        <v>Julio Rodriguez</v>
      </c>
      <c r="C15">
        <f>'2025_Fantasy_Hitters_modified'!D180</f>
        <v>584</v>
      </c>
      <c r="D15">
        <f>'2025_Fantasy_Hitters_modified'!E180</f>
        <v>641</v>
      </c>
      <c r="E15" s="5">
        <f>(V15-AVERAGE(V$2:V$229))/AVERAGE(V$2:V$229)*100+100</f>
        <v>138.14029524505403</v>
      </c>
      <c r="F15" s="4">
        <f>E15*1.51744-31.775</f>
        <v>177.84460961665476</v>
      </c>
      <c r="G15" s="5">
        <f>(Z15-AVERAGE(Z$2:Z$229))/AVERAGE(Z$2:Z$229)*100+100</f>
        <v>148.03058721685215</v>
      </c>
      <c r="H15" s="4">
        <f>G15*0.83285-13.6979</f>
        <v>109.58937456355531</v>
      </c>
      <c r="I15" s="5">
        <f>(AA15-AVERAGE(AA$2:AA$229))/AVERAGE(AA$2:AA$229)*100+100</f>
        <v>136.19516868305365</v>
      </c>
      <c r="J15" s="5">
        <f>(AB15-AVERAGE(AB$2:AB$229))/AVERAGE(AB$2:AB$229)*100+100</f>
        <v>130.97175682144552</v>
      </c>
      <c r="K15" s="5">
        <f>(AC15-AVERAGE(AC$2:AC$229))/AVERAGE(AC$2:AC$229)*100+100</f>
        <v>102.47883107074894</v>
      </c>
      <c r="L15" s="5">
        <f>(AF15-AVERAGE(AF$2:AF$229))/AVERAGE(AF$2:AF$229)*100+100</f>
        <v>151.70052711814128</v>
      </c>
      <c r="M15" s="5">
        <f>(AI15-AVERAGE(AI$2:AI$229))/AVERAGE(AI$2:AI$229)*100+100</f>
        <v>257.4884149653642</v>
      </c>
      <c r="N15" s="5">
        <f>(AVERAGE(AJ$2:AJ$229)-AJ15)/AVERAGE(AJ$2:AJ$229)*100+100</f>
        <v>-56.453842070173891</v>
      </c>
      <c r="O15" s="5">
        <f>(AK15-AVERAGE(AK$2:AK$229))/AVERAGE(AK$2:AK$229)*100+100</f>
        <v>257.85076787518551</v>
      </c>
      <c r="P15" s="5">
        <f>(AL15-AVERAGE(AL$2:AL$229))/AVERAGE(AL$2:AL$229)*100+100</f>
        <v>111.37831578993024</v>
      </c>
      <c r="Q15" s="5">
        <f>(AM15-AVERAGE(AM$2:AM$229))/AVERAGE(AM$2:AM$229)*100+100</f>
        <v>106.0758323066628</v>
      </c>
      <c r="R15" s="5">
        <f>(AN15-AVERAGE(AN$2:AN$229))/AVERAGE(AN$2:AN$229)*100+100</f>
        <v>111.27350210856645</v>
      </c>
      <c r="S15" s="5">
        <f>(AO15-AVERAGE(AO$2:AO$229))/AVERAGE(AO$2:AO$229)*100+100</f>
        <v>109.00583268071021</v>
      </c>
      <c r="T15" s="6">
        <f>(F15*1.5+H15*2.5+I15+J15+K15*1.5+L15+O15*0.75+P15+S15)/11.25</f>
        <v>135.74206883908121</v>
      </c>
      <c r="V15">
        <f>'2025_Fantasy_Hitters_modified'!F180</f>
        <v>162.27460735766022</v>
      </c>
      <c r="W15">
        <f>'2025_Fantasy_Hitters_modified'!G180</f>
        <v>104.00795768028979</v>
      </c>
      <c r="X15">
        <f>'2025_Fantasy_Hitters_modified'!H180</f>
        <v>27.669806050430424</v>
      </c>
      <c r="Y15">
        <f>'2025_Fantasy_Hitters_modified'!I180</f>
        <v>2.4410455463036316</v>
      </c>
      <c r="Z15">
        <f>'2025_Fantasy_Hitters_modified'!J180</f>
        <v>27</v>
      </c>
      <c r="AA15">
        <f>'2025_Fantasy_Hitters_modified'!K180</f>
        <v>89.810014727539908</v>
      </c>
      <c r="AB15">
        <f>'2025_Fantasy_Hitters_modified'!L180</f>
        <v>83.999999999999758</v>
      </c>
      <c r="AC15" s="2">
        <f>'2025_Fantasy_Hitters_modified'!M180</f>
        <v>46.831369662588003</v>
      </c>
      <c r="AD15">
        <f>'2025_Fantasy_Hitters_modified'!N180</f>
        <v>2.9832106038291535</v>
      </c>
      <c r="AE15">
        <f>'2025_Fantasy_Hitters_modified'!O180</f>
        <v>150.10162005399999</v>
      </c>
      <c r="AF15">
        <f>'2025_Fantasy_Hitters_modified'!P180</f>
        <v>8.8889230769229872</v>
      </c>
      <c r="AG15">
        <f>'2025_Fantasy_Hitters_modified'!Q180</f>
        <v>3</v>
      </c>
      <c r="AH15">
        <f>'2025_Fantasy_Hitters_modified'!R180</f>
        <v>0</v>
      </c>
      <c r="AI15">
        <f>'2025_Fantasy_Hitters_modified'!S180</f>
        <v>26.943298969072156</v>
      </c>
      <c r="AJ15">
        <f>'2025_Fantasy_Hitters_modified'!T180</f>
        <v>6.9608247422679934</v>
      </c>
      <c r="AK15">
        <f>'2025_Fantasy_Hitters_modified'!U180</f>
        <v>19.982474226804165</v>
      </c>
      <c r="AL15">
        <f>'2025_Fantasy_Hitters_modified'!V180</f>
        <v>0.27786747835215792</v>
      </c>
      <c r="AM15">
        <f>'2025_Fantasy_Hitters_modified'!W180</f>
        <v>0.34700541970718091</v>
      </c>
      <c r="AN15">
        <f>'2025_Fantasy_Hitters_modified'!X180</f>
        <v>0.47032655208914637</v>
      </c>
      <c r="AO15">
        <f>'2025_Fantasy_Hitters_modified'!Y180</f>
        <v>0.81733197179632722</v>
      </c>
      <c r="AP15">
        <f>'2025_Fantasy_Hitters_modified'!Z180</f>
        <v>0.3300198634</v>
      </c>
      <c r="AQ15">
        <f>'2025_Fantasy_Hitters_modified'!AA180</f>
        <v>23.416789399999999</v>
      </c>
      <c r="AR15">
        <f>'2025_Fantasy_Hitters_modified'!AB180</f>
        <v>7.3059859068000002</v>
      </c>
    </row>
    <row r="16" spans="1:44" x14ac:dyDescent="0.4">
      <c r="A16" t="str">
        <f>'2025_Fantasy_Hitters_modified'!A52</f>
        <v>CHC</v>
      </c>
      <c r="B16" t="str">
        <f>'2025_Fantasy_Hitters_modified'!B52</f>
        <v>Kyle Tucker</v>
      </c>
      <c r="C16">
        <f>'2025_Fantasy_Hitters_modified'!D52</f>
        <v>551</v>
      </c>
      <c r="D16">
        <f>'2025_Fantasy_Hitters_modified'!E52</f>
        <v>642</v>
      </c>
      <c r="E16" s="5">
        <f>(V16-AVERAGE(V$2:V$229))/AVERAGE(V$2:V$229)*100+100</f>
        <v>127.74987412678348</v>
      </c>
      <c r="F16" s="4">
        <f>E16*1.51744-31.775</f>
        <v>162.0777689949463</v>
      </c>
      <c r="G16" s="5">
        <f>(Z16-AVERAGE(Z$2:Z$229))/AVERAGE(Z$2:Z$229)*100+100</f>
        <v>161.1888616361276</v>
      </c>
      <c r="H16" s="4">
        <f>G16*0.83285-13.6979</f>
        <v>120.54824341364886</v>
      </c>
      <c r="I16" s="5">
        <f>(AA16-AVERAGE(AA$2:AA$229))/AVERAGE(AA$2:AA$229)*100+100</f>
        <v>138.92150529087314</v>
      </c>
      <c r="J16" s="5">
        <f>(AB16-AVERAGE(AB$2:AB$229))/AVERAGE(AB$2:AB$229)*100+100</f>
        <v>146.56363263352276</v>
      </c>
      <c r="K16" s="5">
        <f>(AC16-AVERAGE(AC$2:AC$229))/AVERAGE(AC$2:AC$229)*100+100</f>
        <v>172.90776334751467</v>
      </c>
      <c r="L16" s="5">
        <f>(AF16-AVERAGE(AF$2:AF$229))/AVERAGE(AF$2:AF$229)*100+100</f>
        <v>48.169798425951981</v>
      </c>
      <c r="M16" s="5">
        <f>(AI16-AVERAGE(AI$2:AI$229))/AVERAGE(AI$2:AI$229)*100+100</f>
        <v>199.99610776388187</v>
      </c>
      <c r="N16" s="5">
        <f>(AVERAGE(AJ$2:AJ$229)-AJ16)/AVERAGE(AJ$2:AJ$229)*100+100</f>
        <v>23.538511918188988</v>
      </c>
      <c r="O16" s="5">
        <f>(AK16-AVERAGE(AK$2:AK$229))/AVERAGE(AK$2:AK$229)*100+100</f>
        <v>208.23896620621753</v>
      </c>
      <c r="P16" s="5">
        <f>(AL16-AVERAGE(AL$2:AL$229))/AVERAGE(AL$2:AL$229)*100+100</f>
        <v>109.16966953859146</v>
      </c>
      <c r="Q16" s="5">
        <f>(AM16-AVERAGE(AM$2:AM$229))/AVERAGE(AM$2:AM$229)*100+100</f>
        <v>113.34166359134217</v>
      </c>
      <c r="R16" s="5">
        <f>(AN16-AVERAGE(AN$2:AN$229))/AVERAGE(AN$2:AN$229)*100+100</f>
        <v>115.87635670918688</v>
      </c>
      <c r="S16" s="5">
        <f>(AO16-AVERAGE(AO$2:AO$229))/AVERAGE(AO$2:AO$229)*100+100</f>
        <v>114.77050614318344</v>
      </c>
      <c r="T16" s="6">
        <f>(F16*1.5+H16*2.5+I16+J16+K16*1.5+L16+O16*0.75+P16+S16)/11.25</f>
        <v>134.89984388751995</v>
      </c>
      <c r="V16">
        <f>'2025_Fantasy_Hitters_modified'!F52</f>
        <v>150.06888921975531</v>
      </c>
      <c r="W16">
        <f>'2025_Fantasy_Hitters_modified'!G52</f>
        <v>88.188163021139076</v>
      </c>
      <c r="X16">
        <f>'2025_Fantasy_Hitters_modified'!H52</f>
        <v>28.450388515226845</v>
      </c>
      <c r="Y16">
        <f>'2025_Fantasy_Hitters_modified'!I52</f>
        <v>2.3935959992771032</v>
      </c>
      <c r="Z16">
        <f>'2025_Fantasy_Hitters_modified'!J52</f>
        <v>29.399999999999942</v>
      </c>
      <c r="AA16">
        <f>'2025_Fantasy_Hitters_modified'!K52</f>
        <v>91.607819548871774</v>
      </c>
      <c r="AB16">
        <f>'2025_Fantasy_Hitters_modified'!L52</f>
        <v>93.999999999999972</v>
      </c>
      <c r="AC16" s="2">
        <f>'2025_Fantasy_Hitters_modified'!M52</f>
        <v>79.016390978039354</v>
      </c>
      <c r="AD16">
        <f>'2025_Fantasy_Hitters_modified'!N52</f>
        <v>5.9792481203007055</v>
      </c>
      <c r="AE16">
        <f>'2025_Fantasy_Hitters_modified'!O52</f>
        <v>98.472180421199994</v>
      </c>
      <c r="AF16">
        <f>'2025_Fantasy_Hitters_modified'!P52</f>
        <v>2.822519083969413</v>
      </c>
      <c r="AG16">
        <f>'2025_Fantasy_Hitters_modified'!Q52</f>
        <v>5.5999999999999508</v>
      </c>
      <c r="AH16">
        <f>'2025_Fantasy_Hitters_modified'!R52</f>
        <v>0</v>
      </c>
      <c r="AI16">
        <f>'2025_Fantasy_Hitters_modified'!S52</f>
        <v>20.927368421052567</v>
      </c>
      <c r="AJ16">
        <f>'2025_Fantasy_Hitters_modified'!T52</f>
        <v>4.7896240601503335</v>
      </c>
      <c r="AK16">
        <f>'2025_Fantasy_Hitters_modified'!U52</f>
        <v>16.137744360902232</v>
      </c>
      <c r="AL16">
        <f>'2025_Fantasy_Hitters_modified'!V52</f>
        <v>0.2723573307073599</v>
      </c>
      <c r="AM16">
        <f>'2025_Fantasy_Hitters_modified'!W52</f>
        <v>0.37077410272983924</v>
      </c>
      <c r="AN16">
        <f>'2025_Fantasy_Hitters_modified'!X52</f>
        <v>0.48978172059786551</v>
      </c>
      <c r="AO16">
        <f>'2025_Fantasy_Hitters_modified'!Y52</f>
        <v>0.86055582332770475</v>
      </c>
      <c r="AP16">
        <f>'2025_Fantasy_Hitters_modified'!Z52</f>
        <v>0.28145803399999902</v>
      </c>
      <c r="AQ16">
        <f>'2025_Fantasy_Hitters_modified'!AA52</f>
        <v>15.33834586</v>
      </c>
      <c r="AR16">
        <f>'2025_Fantasy_Hitters_modified'!AB52</f>
        <v>12.307849061999899</v>
      </c>
    </row>
    <row r="17" spans="1:44" x14ac:dyDescent="0.4">
      <c r="A17" t="str">
        <f>'2025_Fantasy_Hitters_modified'!A222</f>
        <v>TOR</v>
      </c>
      <c r="B17" t="str">
        <f>'2025_Fantasy_Hitters_modified'!B222</f>
        <v>Vladimir Guerrero Jr.</v>
      </c>
      <c r="C17">
        <f>'2025_Fantasy_Hitters_modified'!D222</f>
        <v>587</v>
      </c>
      <c r="D17">
        <f>'2025_Fantasy_Hitters_modified'!E222</f>
        <v>666</v>
      </c>
      <c r="E17" s="5">
        <f>(V17-AVERAGE(V$2:V$229))/AVERAGE(V$2:V$229)*100+100</f>
        <v>147.98448567480665</v>
      </c>
      <c r="F17" s="4">
        <f>E17*1.51744-31.775</f>
        <v>192.78257794237859</v>
      </c>
      <c r="G17" s="5">
        <f>(Z17-AVERAGE(Z$2:Z$229))/AVERAGE(Z$2:Z$229)*100+100</f>
        <v>174.34713605540347</v>
      </c>
      <c r="H17" s="4">
        <f>G17*0.83285-13.6979</f>
        <v>131.50711226374278</v>
      </c>
      <c r="I17" s="5">
        <f>(AA17-AVERAGE(AA$2:AA$229))/AVERAGE(AA$2:AA$229)*100+100</f>
        <v>146.31061530873234</v>
      </c>
      <c r="J17" s="5">
        <f>(AB17-AVERAGE(AB$2:AB$229))/AVERAGE(AB$2:AB$229)*100+100</f>
        <v>154.35957053956056</v>
      </c>
      <c r="K17" s="5">
        <f>(AC17-AVERAGE(AC$2:AC$229))/AVERAGE(AC$2:AC$229)*100+100</f>
        <v>147.34945481881749</v>
      </c>
      <c r="L17" s="5">
        <f>(AF17-AVERAGE(AF$2:AF$229))/AVERAGE(AF$2:AF$229)*100+100</f>
        <v>117.77247937818787</v>
      </c>
      <c r="M17" s="5">
        <f>(AI17-AVERAGE(AI$2:AI$229))/AVERAGE(AI$2:AI$229)*100+100</f>
        <v>39.13971339277991</v>
      </c>
      <c r="N17" s="5">
        <f>(AVERAGE(AJ$2:AJ$229)-AJ17)/AVERAGE(AJ$2:AJ$229)*100+100</f>
        <v>126.38088878474372</v>
      </c>
      <c r="O17" s="5">
        <f>(AK17-AVERAGE(AK$2:AK$229))/AVERAGE(AK$2:AK$229)*100+100</f>
        <v>27.063512491001148</v>
      </c>
      <c r="P17" s="5">
        <f>(AL17-AVERAGE(AL$2:AL$229))/AVERAGE(AL$2:AL$229)*100+100</f>
        <v>118.7055978976117</v>
      </c>
      <c r="Q17" s="5">
        <f>(AM17-AVERAGE(AM$2:AM$229))/AVERAGE(AM$2:AM$229)*100+100</f>
        <v>117.36269759716541</v>
      </c>
      <c r="R17" s="5">
        <f>(AN17-AVERAGE(AN$2:AN$229))/AVERAGE(AN$2:AN$229)*100+100</f>
        <v>121.69327439128128</v>
      </c>
      <c r="S17" s="5">
        <f>(AO17-AVERAGE(AO$2:AO$229))/AVERAGE(AO$2:AO$229)*100+100</f>
        <v>119.80390531335263</v>
      </c>
      <c r="T17" s="6">
        <f>(F17*1.5+H17*2.5+I17+J17+K17*1.5+L17+O17*0.75+P17+S17)/11.25</f>
        <v>134.77472289838641</v>
      </c>
      <c r="V17">
        <f>'2025_Fantasy_Hitters_modified'!F222</f>
        <v>173.83866355073786</v>
      </c>
      <c r="W17">
        <f>'2025_Fantasy_Hitters_modified'!G222</f>
        <v>108.17210226603123</v>
      </c>
      <c r="X17">
        <f>'2025_Fantasy_Hitters_modified'!H222</f>
        <v>31.784875759605576</v>
      </c>
      <c r="Y17">
        <f>'2025_Fantasy_Hitters_modified'!I222</f>
        <v>0.99747431411085463</v>
      </c>
      <c r="Z17">
        <f>'2025_Fantasy_Hitters_modified'!J222</f>
        <v>31.799999999999965</v>
      </c>
      <c r="AA17">
        <f>'2025_Fantasy_Hitters_modified'!K222</f>
        <v>96.480357142857059</v>
      </c>
      <c r="AB17">
        <f>'2025_Fantasy_Hitters_modified'!L222</f>
        <v>98.999999999999559</v>
      </c>
      <c r="AC17" s="2">
        <f>'2025_Fantasy_Hitters_modified'!M222</f>
        <v>67.33660714218</v>
      </c>
      <c r="AD17">
        <f>'2025_Fantasy_Hitters_modified'!N222</f>
        <v>7.5928571428570759</v>
      </c>
      <c r="AE17">
        <f>'2025_Fantasy_Hitters_modified'!O222</f>
        <v>95.142857171399996</v>
      </c>
      <c r="AF17">
        <f>'2025_Fantasy_Hitters_modified'!P222</f>
        <v>6.9009022556390285</v>
      </c>
      <c r="AG17">
        <f>'2025_Fantasy_Hitters_modified'!Q222</f>
        <v>3.999999999999996</v>
      </c>
      <c r="AH17">
        <f>'2025_Fantasy_Hitters_modified'!R222</f>
        <v>0</v>
      </c>
      <c r="AI17">
        <f>'2025_Fantasy_Hitters_modified'!S222</f>
        <v>4.0955357142857043</v>
      </c>
      <c r="AJ17">
        <f>'2025_Fantasy_Hitters_modified'!T222</f>
        <v>1.9982142857142788</v>
      </c>
      <c r="AK17">
        <f>'2025_Fantasy_Hitters_modified'!U222</f>
        <v>2.0973214285714255</v>
      </c>
      <c r="AL17">
        <f>'2025_Fantasy_Hitters_modified'!V222</f>
        <v>0.29614763807621441</v>
      </c>
      <c r="AM17">
        <f>'2025_Fantasy_Hitters_modified'!W222</f>
        <v>0.38392809419524387</v>
      </c>
      <c r="AN17">
        <f>'2025_Fantasy_Hitters_modified'!X222</f>
        <v>0.51436844416963334</v>
      </c>
      <c r="AO17">
        <f>'2025_Fantasy_Hitters_modified'!Y222</f>
        <v>0.89829653836487722</v>
      </c>
      <c r="AP17">
        <f>'2025_Fantasy_Hitters_modified'!Z222</f>
        <v>0.30608011480000002</v>
      </c>
      <c r="AQ17">
        <f>'2025_Fantasy_Hitters_modified'!AA222</f>
        <v>14.28571429</v>
      </c>
      <c r="AR17">
        <f>'2025_Fantasy_Hitters_modified'!AB222</f>
        <v>10.110601673</v>
      </c>
    </row>
    <row r="18" spans="1:44" x14ac:dyDescent="0.4">
      <c r="A18" t="str">
        <f>'2025_Fantasy_Hitters_modified'!A159</f>
        <v>PHI</v>
      </c>
      <c r="B18" t="str">
        <f>'2025_Fantasy_Hitters_modified'!B159</f>
        <v>Kyle Schwarber</v>
      </c>
      <c r="C18">
        <f>'2025_Fantasy_Hitters_modified'!D159</f>
        <v>551</v>
      </c>
      <c r="D18">
        <f>'2025_Fantasy_Hitters_modified'!E159</f>
        <v>660</v>
      </c>
      <c r="E18" s="5">
        <f>(V18-AVERAGE(V$2:V$229))/AVERAGE(V$2:V$229)*100+100</f>
        <v>102.88376327142944</v>
      </c>
      <c r="F18" s="4">
        <f>E18*1.51744-31.775</f>
        <v>124.34493773859788</v>
      </c>
      <c r="G18" s="5">
        <f>(Z18-AVERAGE(Z$2:Z$229))/AVERAGE(Z$2:Z$229)*100+100</f>
        <v>196.27759342086273</v>
      </c>
      <c r="H18" s="4">
        <f>G18*0.83285-13.6979</f>
        <v>149.77189368056551</v>
      </c>
      <c r="I18" s="5">
        <f>(AA18-AVERAGE(AA$2:AA$229))/AVERAGE(AA$2:AA$229)*100+100</f>
        <v>143.12629358069688</v>
      </c>
      <c r="J18" s="5">
        <f>(AB18-AVERAGE(AB$2:AB$229))/AVERAGE(AB$2:AB$229)*100+100</f>
        <v>146.56363263352239</v>
      </c>
      <c r="K18" s="5">
        <f>(AC18-AVERAGE(AC$2:AC$229))/AVERAGE(AC$2:AC$229)*100+100</f>
        <v>218.45271608509785</v>
      </c>
      <c r="L18" s="5">
        <f>(AF18-AVERAGE(AF$2:AF$229))/AVERAGE(AF$2:AF$229)*100+100</f>
        <v>117.9628257776082</v>
      </c>
      <c r="M18" s="5">
        <f>(AI18-AVERAGE(AI$2:AI$229))/AVERAGE(AI$2:AI$229)*100+100</f>
        <v>39.196900956703217</v>
      </c>
      <c r="N18" s="5">
        <f>(AVERAGE(AJ$2:AJ$229)-AJ18)/AVERAGE(AJ$2:AJ$229)*100+100</f>
        <v>126.29270206775604</v>
      </c>
      <c r="O18" s="5">
        <f>(AK18-AVERAGE(AK$2:AK$229))/AVERAGE(AK$2:AK$229)*100+100</f>
        <v>27.109842788735591</v>
      </c>
      <c r="P18" s="5">
        <f>(AL18-AVERAGE(AL$2:AL$229))/AVERAGE(AL$2:AL$229)*100+100</f>
        <v>87.920137017761803</v>
      </c>
      <c r="Q18" s="5">
        <f>(AM18-AVERAGE(AM$2:AM$229))/AVERAGE(AM$2:AM$229)*100+100</f>
        <v>107.43765502694107</v>
      </c>
      <c r="R18" s="5">
        <f>(AN18-AVERAGE(AN$2:AN$229))/AVERAGE(AN$2:AN$229)*100+100</f>
        <v>108.92307752345647</v>
      </c>
      <c r="S18" s="5">
        <f>(AO18-AVERAGE(AO$2:AO$229))/AVERAGE(AO$2:AO$229)*100+100</f>
        <v>108.27500880974858</v>
      </c>
      <c r="T18" s="6">
        <f>(F18*1.5+H18*2.5+I18+J18+K18*1.5+L18+O18*0.75+P18+S18)/11.25</f>
        <v>134.47168843091976</v>
      </c>
      <c r="V18">
        <f>'2025_Fantasy_Hitters_modified'!F159</f>
        <v>120.85845233451127</v>
      </c>
      <c r="W18">
        <f>'2025_Fantasy_Hitters_modified'!G159</f>
        <v>63.443598564800197</v>
      </c>
      <c r="X18">
        <f>'2025_Fantasy_Hitters_modified'!H159</f>
        <v>22.015128839520528</v>
      </c>
      <c r="Y18">
        <f>'2025_Fantasy_Hitters_modified'!I159</f>
        <v>1.0006876745236595</v>
      </c>
      <c r="Z18">
        <f>'2025_Fantasy_Hitters_modified'!J159</f>
        <v>35.799999999999905</v>
      </c>
      <c r="AA18">
        <f>'2025_Fantasy_Hitters_modified'!K159</f>
        <v>94.380547112461514</v>
      </c>
      <c r="AB18">
        <f>'2025_Fantasy_Hitters_modified'!L159</f>
        <v>93.99999999999973</v>
      </c>
      <c r="AC18" s="2">
        <f>'2025_Fantasy_Hitters_modified'!M159</f>
        <v>99.829787224200004</v>
      </c>
      <c r="AD18">
        <f>'2025_Fantasy_Hitters_modified'!N159</f>
        <v>3.6012158054710928</v>
      </c>
      <c r="AE18">
        <f>'2025_Fantasy_Hitters_modified'!O159</f>
        <v>190.577507604</v>
      </c>
      <c r="AF18">
        <f>'2025_Fantasy_Hitters_modified'!P159</f>
        <v>6.9120556414219196</v>
      </c>
      <c r="AG18">
        <f>'2025_Fantasy_Hitters_modified'!Q159</f>
        <v>3.3999999999999657</v>
      </c>
      <c r="AH18">
        <f>'2025_Fantasy_Hitters_modified'!R159</f>
        <v>0.39999999999999597</v>
      </c>
      <c r="AI18">
        <f>'2025_Fantasy_Hitters_modified'!S159</f>
        <v>4.101519756838865</v>
      </c>
      <c r="AJ18">
        <f>'2025_Fantasy_Hitters_modified'!T159</f>
        <v>2.000607902735541</v>
      </c>
      <c r="AK18">
        <f>'2025_Fantasy_Hitters_modified'!U159</f>
        <v>2.100911854103324</v>
      </c>
      <c r="AL18">
        <f>'2025_Fantasy_Hitters_modified'!V159</f>
        <v>0.21934383363795149</v>
      </c>
      <c r="AM18">
        <f>'2025_Fantasy_Hitters_modified'!W159</f>
        <v>0.3514603445881922</v>
      </c>
      <c r="AN18">
        <f>'2025_Fantasy_Hitters_modified'!X159</f>
        <v>0.46039186799893261</v>
      </c>
      <c r="AO18">
        <f>'2025_Fantasy_Hitters_modified'!Y159</f>
        <v>0.81185221258712481</v>
      </c>
      <c r="AP18">
        <f>'2025_Fantasy_Hitters_modified'!Z159</f>
        <v>0.25930676800000002</v>
      </c>
      <c r="AQ18">
        <f>'2025_Fantasy_Hitters_modified'!AA159</f>
        <v>28.875379939999998</v>
      </c>
      <c r="AR18">
        <f>'2025_Fantasy_Hitters_modified'!AB159</f>
        <v>15.125725337</v>
      </c>
    </row>
    <row r="19" spans="1:44" x14ac:dyDescent="0.4">
      <c r="A19" t="str">
        <f>'2025_Fantasy_Hitters_modified'!A19</f>
        <v>ATL</v>
      </c>
      <c r="B19" t="str">
        <f>'2025_Fantasy_Hitters_modified'!B19</f>
        <v>Austin Riley</v>
      </c>
      <c r="C19">
        <f>'2025_Fantasy_Hitters_modified'!D19</f>
        <v>579</v>
      </c>
      <c r="D19">
        <f>'2025_Fantasy_Hitters_modified'!E19</f>
        <v>648</v>
      </c>
      <c r="E19" s="5">
        <f>(V19-AVERAGE(V$2:V$229))/AVERAGE(V$2:V$229)*100+100</f>
        <v>132.53779311995606</v>
      </c>
      <c r="F19" s="4">
        <f>E19*1.51744-31.775</f>
        <v>169.34314879194611</v>
      </c>
      <c r="G19" s="5">
        <f>(Z19-AVERAGE(Z$2:Z$229))/AVERAGE(Z$2:Z$229)*100+100</f>
        <v>177.63670466022225</v>
      </c>
      <c r="H19" s="4">
        <f>G19*0.83285-13.6979</f>
        <v>134.2468294762661</v>
      </c>
      <c r="I19" s="5">
        <f>(AA19-AVERAGE(AA$2:AA$229))/AVERAGE(AA$2:AA$229)*100+100</f>
        <v>137.43113408783941</v>
      </c>
      <c r="J19" s="5">
        <f>(AB19-AVERAGE(AB$2:AB$229))/AVERAGE(AB$2:AB$229)*100+100</f>
        <v>145.00444505231457</v>
      </c>
      <c r="K19" s="5">
        <f>(AC19-AVERAGE(AC$2:AC$229))/AVERAGE(AC$2:AC$229)*100+100</f>
        <v>120.01320608744673</v>
      </c>
      <c r="L19" s="5">
        <f>(AF19-AVERAGE(AF$2:AF$229))/AVERAGE(AF$2:AF$229)*100+100</f>
        <v>170.07472491167539</v>
      </c>
      <c r="M19" s="5">
        <f>(AI19-AVERAGE(AI$2:AI$229))/AVERAGE(AI$2:AI$229)*100+100</f>
        <v>19.026091959341699</v>
      </c>
      <c r="N19" s="5">
        <f>(AVERAGE(AJ$2:AJ$229)-AJ19)/AVERAGE(AJ$2:AJ$229)*100+100</f>
        <v>200</v>
      </c>
      <c r="O19" s="5">
        <f>(AK19-AVERAGE(AK$2:AK$229))/AVERAGE(AK$2:AK$229)*100+100</f>
        <v>25.689865789143056</v>
      </c>
      <c r="P19" s="5">
        <f>(AL19-AVERAGE(AL$2:AL$229))/AVERAGE(AL$2:AL$229)*100+100</f>
        <v>107.78399703100659</v>
      </c>
      <c r="Q19" s="5">
        <f>(AM19-AVERAGE(AM$2:AM$229))/AVERAGE(AM$2:AM$229)*100+100</f>
        <v>106.16200676081334</v>
      </c>
      <c r="R19" s="5">
        <f>(AN19-AVERAGE(AN$2:AN$229))/AVERAGE(AN$2:AN$229)*100+100</f>
        <v>117.44420230692921</v>
      </c>
      <c r="S19" s="5">
        <f>(AO19-AVERAGE(AO$2:AO$229))/AVERAGE(AO$2:AO$229)*100+100</f>
        <v>112.52194081397093</v>
      </c>
      <c r="T19" s="6">
        <f>(F19*1.5+H19*2.5+I19+J19+K19*1.5+L19+O19*0.75+P19+S19)/11.25</f>
        <v>129.93202197763722</v>
      </c>
      <c r="V19">
        <f>'2025_Fantasy_Hitters_modified'!F19</f>
        <v>155.69329934063336</v>
      </c>
      <c r="W19">
        <f>'2025_Fantasy_Hitters_modified'!G19</f>
        <v>90.179040789691143</v>
      </c>
      <c r="X19">
        <f>'2025_Fantasy_Hitters_modified'!H19</f>
        <v>30.823324835158353</v>
      </c>
      <c r="Y19">
        <f>'2025_Fantasy_Hitters_modified'!I19</f>
        <v>1.9983020978890997</v>
      </c>
      <c r="Z19">
        <f>'2025_Fantasy_Hitters_modified'!J19</f>
        <v>32.399999999999935</v>
      </c>
      <c r="AA19">
        <f>'2025_Fantasy_Hitters_modified'!K19</f>
        <v>90.625036818851072</v>
      </c>
      <c r="AB19">
        <f>'2025_Fantasy_Hitters_modified'!L19</f>
        <v>92.999999999999659</v>
      </c>
      <c r="AC19" s="2">
        <f>'2025_Fantasy_Hitters_modified'!M19</f>
        <v>54.844329896712004</v>
      </c>
      <c r="AD19">
        <f>'2025_Fantasy_Hitters_modified'!N19</f>
        <v>2.2954344624447551</v>
      </c>
      <c r="AE19">
        <f>'2025_Fantasy_Hitters_modified'!O19</f>
        <v>157.46686305840001</v>
      </c>
      <c r="AF19">
        <f>'2025_Fantasy_Hitters_modified'!P19</f>
        <v>9.9655629139071866</v>
      </c>
      <c r="AG19">
        <f>'2025_Fantasy_Hitters_modified'!Q19</f>
        <v>5.3999999999999648</v>
      </c>
      <c r="AH19">
        <f>'2025_Fantasy_Hitters_modified'!R19</f>
        <v>0</v>
      </c>
      <c r="AI19">
        <f>'2025_Fantasy_Hitters_modified'!S19</f>
        <v>1.990868924889527</v>
      </c>
      <c r="AJ19">
        <f>'2025_Fantasy_Hitters_modified'!T19</f>
        <v>0</v>
      </c>
      <c r="AK19">
        <f>'2025_Fantasy_Hitters_modified'!U19</f>
        <v>1.990868924889527</v>
      </c>
      <c r="AL19">
        <f>'2025_Fantasy_Hitters_modified'!V19</f>
        <v>0.26890034428434084</v>
      </c>
      <c r="AM19">
        <f>'2025_Fantasy_Hitters_modified'!W19</f>
        <v>0.34728732183304961</v>
      </c>
      <c r="AN19">
        <f>'2025_Fantasy_Hitters_modified'!X19</f>
        <v>0.49640862997180463</v>
      </c>
      <c r="AO19">
        <f>'2025_Fantasy_Hitters_modified'!Y19</f>
        <v>0.84369595180485424</v>
      </c>
      <c r="AP19">
        <f>'2025_Fantasy_Hitters_modified'!Z19</f>
        <v>0.3125042938</v>
      </c>
      <c r="AQ19">
        <f>'2025_Fantasy_Hitters_modified'!AA19</f>
        <v>24.30044183</v>
      </c>
      <c r="AR19">
        <f>'2025_Fantasy_Hitters_modified'!AB19</f>
        <v>8.4636311569</v>
      </c>
    </row>
    <row r="20" spans="1:44" x14ac:dyDescent="0.4">
      <c r="A20" t="str">
        <f>'2025_Fantasy_Hitters_modified'!A12</f>
        <v>ATH</v>
      </c>
      <c r="B20" t="str">
        <f>'2025_Fantasy_Hitters_modified'!B12</f>
        <v>Brent Rooker</v>
      </c>
      <c r="C20">
        <f>'2025_Fantasy_Hitters_modified'!D12</f>
        <v>533</v>
      </c>
      <c r="D20">
        <f>'2025_Fantasy_Hitters_modified'!E12</f>
        <v>603</v>
      </c>
      <c r="E20" s="5">
        <f>(V20-AVERAGE(V$2:V$229))/AVERAGE(V$2:V$229)*100+100</f>
        <v>113.45625968534316</v>
      </c>
      <c r="F20" s="4">
        <f>E20*1.51744-31.775</f>
        <v>140.3880666969271</v>
      </c>
      <c r="G20" s="5">
        <f>(Z20-AVERAGE(Z$2:Z$229))/AVERAGE(Z$2:Z$229)*100+100</f>
        <v>191.89150194777108</v>
      </c>
      <c r="H20" s="4">
        <f>G20*0.83285-13.6979</f>
        <v>146.11893739720114</v>
      </c>
      <c r="I20" s="5">
        <f>(AA20-AVERAGE(AA$2:AA$229))/AVERAGE(AA$2:AA$229)*100+100</f>
        <v>123.61579629942844</v>
      </c>
      <c r="J20" s="5">
        <f>(AB20-AVERAGE(AB$2:AB$229))/AVERAGE(AB$2:AB$229)*100+100</f>
        <v>143.44525747110657</v>
      </c>
      <c r="K20" s="5">
        <f>(AC20-AVERAGE(AC$2:AC$229))/AVERAGE(AC$2:AC$229)*100+100</f>
        <v>121.22677368363054</v>
      </c>
      <c r="L20" s="5">
        <f>(AF20-AVERAGE(AF$2:AF$229))/AVERAGE(AF$2:AF$229)*100+100</f>
        <v>165.80578862960482</v>
      </c>
      <c r="M20" s="5">
        <f>(AI20-AVERAGE(AI$2:AI$229))/AVERAGE(AI$2:AI$229)*100+100</f>
        <v>75.966681187977102</v>
      </c>
      <c r="N20" s="5">
        <f>(AVERAGE(AJ$2:AJ$229)-AJ20)/AVERAGE(AJ$2:AJ$229)*100+100</f>
        <v>126.78421064359851</v>
      </c>
      <c r="O20" s="5">
        <f>(AK20-AVERAGE(AK$2:AK$229))/AVERAGE(AK$2:AK$229)*100+100</f>
        <v>76.930164442186253</v>
      </c>
      <c r="P20" s="5">
        <f>(AL20-AVERAGE(AL$2:AL$229))/AVERAGE(AL$2:AL$229)*100+100</f>
        <v>100.22922370676679</v>
      </c>
      <c r="Q20" s="5">
        <f>(AM20-AVERAGE(AM$2:AM$229))/AVERAGE(AM$2:AM$229)*100+100</f>
        <v>103.52806299107509</v>
      </c>
      <c r="R20" s="5">
        <f>(AN20-AVERAGE(AN$2:AN$229))/AVERAGE(AN$2:AN$229)*100+100</f>
        <v>118.38569738676271</v>
      </c>
      <c r="S20" s="5">
        <f>(AO20-AVERAGE(AO$2:AO$229))/AVERAGE(AO$2:AO$229)*100+100</f>
        <v>111.90352276362182</v>
      </c>
      <c r="T20" s="6">
        <f>(F20*1.5+H20*2.5+I20+J20+K20*1.5+L20+O20*0.75+P20+S20)/11.25</f>
        <v>129.81482811253397</v>
      </c>
      <c r="V20">
        <f>'2025_Fantasy_Hitters_modified'!F12</f>
        <v>133.27805590720266</v>
      </c>
      <c r="W20">
        <f>'2025_Fantasy_Hitters_modified'!G12</f>
        <v>71.811173749009882</v>
      </c>
      <c r="X20">
        <f>'2025_Fantasy_Hitters_modified'!H12</f>
        <v>25.070932629388395</v>
      </c>
      <c r="Y20">
        <f>'2025_Fantasy_Hitters_modified'!I12</f>
        <v>1.5846070045243734</v>
      </c>
      <c r="Z20">
        <f>'2025_Fantasy_Hitters_modified'!J12</f>
        <v>34.99999999999995</v>
      </c>
      <c r="AA20">
        <f>'2025_Fantasy_Hitters_modified'!K12</f>
        <v>81.514906832298095</v>
      </c>
      <c r="AB20">
        <f>'2025_Fantasy_Hitters_modified'!L12</f>
        <v>91.99999999999946</v>
      </c>
      <c r="AC20" s="2">
        <f>'2025_Fantasy_Hitters_modified'!M12</f>
        <v>55.398913044407998</v>
      </c>
      <c r="AD20">
        <f>'2025_Fantasy_Hitters_modified'!N12</f>
        <v>3.3809006211179895</v>
      </c>
      <c r="AE20">
        <f>'2025_Fantasy_Hitters_modified'!O12</f>
        <v>177.9037267077</v>
      </c>
      <c r="AF20">
        <f>'2025_Fantasy_Hitters_modified'!P12</f>
        <v>9.7154237288135246</v>
      </c>
      <c r="AG20">
        <f>'2025_Fantasy_Hitters_modified'!Q12</f>
        <v>3.9999999999999982</v>
      </c>
      <c r="AH20">
        <f>'2025_Fantasy_Hitters_modified'!R12</f>
        <v>0</v>
      </c>
      <c r="AI20">
        <f>'2025_Fantasy_Hitters_modified'!S12</f>
        <v>7.9490683229813621</v>
      </c>
      <c r="AJ20">
        <f>'2025_Fantasy_Hitters_modified'!T12</f>
        <v>1.9872670807453405</v>
      </c>
      <c r="AK20">
        <f>'2025_Fantasy_Hitters_modified'!U12</f>
        <v>5.9618012422360218</v>
      </c>
      <c r="AL20">
        <f>'2025_Fantasy_Hitters_modified'!V12</f>
        <v>0.25005263772458286</v>
      </c>
      <c r="AM20">
        <f>'2025_Fantasy_Hitters_modified'!W12</f>
        <v>0.33867091276580041</v>
      </c>
      <c r="AN20">
        <f>'2025_Fantasy_Hitters_modified'!X12</f>
        <v>0.50038810510574039</v>
      </c>
      <c r="AO20">
        <f>'2025_Fantasy_Hitters_modified'!Y12</f>
        <v>0.8390590178715408</v>
      </c>
      <c r="AP20">
        <f>'2025_Fantasy_Hitters_modified'!Z12</f>
        <v>0.30323722919999901</v>
      </c>
      <c r="AQ20">
        <f>'2025_Fantasy_Hitters_modified'!AA12</f>
        <v>29.503105590000001</v>
      </c>
      <c r="AR20">
        <f>'2025_Fantasy_Hitters_modified'!AB12</f>
        <v>9.1872160936</v>
      </c>
    </row>
    <row r="21" spans="1:44" x14ac:dyDescent="0.4">
      <c r="A21" t="str">
        <f>'2025_Fantasy_Hitters_modified'!A152</f>
        <v>NYY</v>
      </c>
      <c r="B21" t="str">
        <f>'2025_Fantasy_Hitters_modified'!B152</f>
        <v>Jazz Chisholm Jr.</v>
      </c>
      <c r="C21">
        <f>'2025_Fantasy_Hitters_modified'!D152</f>
        <v>544</v>
      </c>
      <c r="D21">
        <f>'2025_Fantasy_Hitters_modified'!E152</f>
        <v>604</v>
      </c>
      <c r="E21" s="5">
        <f>(V21-AVERAGE(V$2:V$229))/AVERAGE(V$2:V$229)*100+100</f>
        <v>114.39619470382671</v>
      </c>
      <c r="F21" s="4">
        <f>E21*1.51744-31.775</f>
        <v>141.81436169137478</v>
      </c>
      <c r="G21" s="5">
        <f>(Z21-AVERAGE(Z$2:Z$229))/AVERAGE(Z$2:Z$229)*100+100</f>
        <v>145.8375414803057</v>
      </c>
      <c r="H21" s="4">
        <f>G21*0.83285-13.6979</f>
        <v>107.7628964218726</v>
      </c>
      <c r="I21" s="5">
        <f>(AA21-AVERAGE(AA$2:AA$229))/AVERAGE(AA$2:AA$229)*100+100</f>
        <v>124.96698756954071</v>
      </c>
      <c r="J21" s="5">
        <f>(AB21-AVERAGE(AB$2:AB$229))/AVERAGE(AB$2:AB$229)*100+100</f>
        <v>118.49825617178399</v>
      </c>
      <c r="K21" s="5">
        <f>(AC21-AVERAGE(AC$2:AC$229))/AVERAGE(AC$2:AC$229)*100+100</f>
        <v>113.47864444699822</v>
      </c>
      <c r="L21" s="5">
        <f>(AF21-AVERAGE(AF$2:AF$229))/AVERAGE(AF$2:AF$229)*100+100</f>
        <v>84.267669788932693</v>
      </c>
      <c r="M21" s="5">
        <f>(AI21-AVERAGE(AI$2:AI$229))/AVERAGE(AI$2:AI$229)*100+100</f>
        <v>359.06429736233326</v>
      </c>
      <c r="N21" s="5">
        <f>(AVERAGE(AJ$2:AJ$229)-AJ21)/AVERAGE(AJ$2:AJ$229)*100+100</f>
        <v>-131.30982101864461</v>
      </c>
      <c r="O21" s="5">
        <f>(AK21-AVERAGE(AK$2:AK$229))/AVERAGE(AK$2:AK$229)*100+100</f>
        <v>368.78513512103603</v>
      </c>
      <c r="P21" s="5">
        <f>(AL21-AVERAGE(AL$2:AL$229))/AVERAGE(AL$2:AL$229)*100+100</f>
        <v>99.016094446605933</v>
      </c>
      <c r="Q21" s="5">
        <f>(AM21-AVERAGE(AM$2:AM$229))/AVERAGE(AM$2:AM$229)*100+100</f>
        <v>98.322764352787672</v>
      </c>
      <c r="R21" s="5">
        <f>(AN21-AVERAGE(AN$2:AN$229))/AVERAGE(AN$2:AN$229)*100+100</f>
        <v>107.29877793768007</v>
      </c>
      <c r="S21" s="5">
        <f>(AO21-AVERAGE(AO$2:AO$229))/AVERAGE(AO$2:AO$229)*100+100</f>
        <v>103.38267084233753</v>
      </c>
      <c r="T21" s="6">
        <f>(F21*1.5+H21*2.5+I21+J21+K21*1.5+L21+O21*0.75+P21+S21)/11.25</f>
        <v>129.6948693708639</v>
      </c>
      <c r="V21">
        <f>'2025_Fantasy_Hitters_modified'!F152</f>
        <v>134.38220575569949</v>
      </c>
      <c r="W21">
        <f>'2025_Fantasy_Hitters_modified'!G152</f>
        <v>81.236727572136601</v>
      </c>
      <c r="X21">
        <f>'2025_Fantasy_Hitters_modified'!H152</f>
        <v>24.403518284309271</v>
      </c>
      <c r="Y21">
        <f>'2025_Fantasy_Hitters_modified'!I152</f>
        <v>3.4248551361624013</v>
      </c>
      <c r="Z21">
        <f>'2025_Fantasy_Hitters_modified'!J152</f>
        <v>26.599999999999909</v>
      </c>
      <c r="AA21">
        <f>'2025_Fantasy_Hitters_modified'!K152</f>
        <v>82.405911330048724</v>
      </c>
      <c r="AB21">
        <f>'2025_Fantasy_Hitters_modified'!L152</f>
        <v>75.999999999999744</v>
      </c>
      <c r="AC21" s="2">
        <f>'2025_Fantasy_Hitters_modified'!M152</f>
        <v>51.858128077571997</v>
      </c>
      <c r="AD21">
        <f>'2025_Fantasy_Hitters_modified'!N152</f>
        <v>2.5975369458127697</v>
      </c>
      <c r="AE21">
        <f>'2025_Fantasy_Hitters_modified'!O152</f>
        <v>151.74384236840001</v>
      </c>
      <c r="AF21">
        <f>'2025_Fantasy_Hitters_modified'!P152</f>
        <v>4.9376811594202694</v>
      </c>
      <c r="AG21">
        <f>'2025_Fantasy_Hitters_modified'!Q152</f>
        <v>3.9999999999999449</v>
      </c>
      <c r="AH21">
        <f>'2025_Fantasy_Hitters_modified'!R152</f>
        <v>1.0565217391303989</v>
      </c>
      <c r="AI21">
        <f>'2025_Fantasy_Hitters_modified'!S152</f>
        <v>37.572085385878474</v>
      </c>
      <c r="AJ21">
        <f>'2025_Fantasy_Hitters_modified'!T152</f>
        <v>8.9926108374384004</v>
      </c>
      <c r="AK21">
        <f>'2025_Fantasy_Hitters_modified'!U152</f>
        <v>28.579474548440075</v>
      </c>
      <c r="AL21">
        <f>'2025_Fantasy_Hitters_modified'!V152</f>
        <v>0.24702611352150641</v>
      </c>
      <c r="AM21">
        <f>'2025_Fantasy_Hitters_modified'!W152</f>
        <v>0.32164284143793881</v>
      </c>
      <c r="AN21">
        <f>'2025_Fantasy_Hitters_modified'!X152</f>
        <v>0.45352634108316542</v>
      </c>
      <c r="AO21">
        <f>'2025_Fantasy_Hitters_modified'!Y152</f>
        <v>0.77516918252110423</v>
      </c>
      <c r="AP21">
        <f>'2025_Fantasy_Hitters_modified'!Z152</f>
        <v>0.29157421979999998</v>
      </c>
      <c r="AQ21">
        <f>'2025_Fantasy_Hitters_modified'!AA152</f>
        <v>25.123152709999999</v>
      </c>
      <c r="AR21">
        <f>'2025_Fantasy_Hitters_modified'!AB152</f>
        <v>8.5857827943</v>
      </c>
    </row>
    <row r="22" spans="1:44" x14ac:dyDescent="0.4">
      <c r="A22" t="str">
        <f>'2025_Fantasy_Hitters_modified'!A26</f>
        <v>ATL</v>
      </c>
      <c r="B22" t="str">
        <f>'2025_Fantasy_Hitters_modified'!B26</f>
        <v>Ronald Acuna Jr.</v>
      </c>
      <c r="C22">
        <f>'2025_Fantasy_Hitters_modified'!D26</f>
        <v>452</v>
      </c>
      <c r="D22">
        <f>'2025_Fantasy_Hitters_modified'!E26</f>
        <v>525</v>
      </c>
      <c r="E22" s="5">
        <f>(V22-AVERAGE(V$2:V$229))/AVERAGE(V$2:V$229)*100+100</f>
        <v>111.80233190488038</v>
      </c>
      <c r="F22" s="4">
        <f>E22*1.51744-31.775</f>
        <v>137.87833052574166</v>
      </c>
      <c r="G22" s="5">
        <f>(Z22-AVERAGE(Z$2:Z$229))/AVERAGE(Z$2:Z$229)*100+100</f>
        <v>123.9070841148465</v>
      </c>
      <c r="H22" s="4">
        <f>G22*0.83285-13.6979</f>
        <v>89.498115005049897</v>
      </c>
      <c r="I22" s="5">
        <f>(AA22-AVERAGE(AA$2:AA$229))/AVERAGE(AA$2:AA$229)*100+100</f>
        <v>143.65872767217459</v>
      </c>
      <c r="J22" s="5">
        <f>(AB22-AVERAGE(AB$2:AB$229))/AVERAGE(AB$2:AB$229)*100+100</f>
        <v>98.228817616084427</v>
      </c>
      <c r="K22" s="5">
        <f>(AC22-AVERAGE(AC$2:AC$229))/AVERAGE(AC$2:AC$229)*100+100</f>
        <v>129.9073712590712</v>
      </c>
      <c r="L22" s="5">
        <f>(AF22-AVERAGE(AF$2:AF$229))/AVERAGE(AF$2:AF$229)*100+100</f>
        <v>137.61881931633457</v>
      </c>
      <c r="M22" s="5">
        <f>(AI22-AVERAGE(AI$2:AI$229))/AVERAGE(AI$2:AI$229)*100+100</f>
        <v>302.01519834861926</v>
      </c>
      <c r="N22" s="5">
        <f>(AVERAGE(AJ$2:AJ$229)-AJ22)/AVERAGE(AJ$2:AJ$229)*100+100</f>
        <v>-163.06136497780716</v>
      </c>
      <c r="O22" s="5">
        <f>(AK22-AVERAGE(AK$2:AK$229))/AVERAGE(AK$2:AK$229)*100+100</f>
        <v>280.63414708162287</v>
      </c>
      <c r="P22" s="5">
        <f>(AL22-AVERAGE(AL$2:AL$229))/AVERAGE(AL$2:AL$229)*100+100</f>
        <v>116.46771115559137</v>
      </c>
      <c r="Q22" s="5">
        <f>(AM22-AVERAGE(AM$2:AM$229))/AVERAGE(AM$2:AM$229)*100+100</f>
        <v>118.99399354009653</v>
      </c>
      <c r="R22" s="5">
        <f>(AN22-AVERAGE(AN$2:AN$229))/AVERAGE(AN$2:AN$229)*100+100</f>
        <v>121.41487875118345</v>
      </c>
      <c r="S22" s="5">
        <f>(AO22-AVERAGE(AO$2:AO$229))/AVERAGE(AO$2:AO$229)*100+100</f>
        <v>120.35868095664085</v>
      </c>
      <c r="T22" s="6">
        <f>(F22*1.5+H22*2.5+I22+J22+K22*1.5+L22+O22*0.75+P22+S22)/11.25</f>
        <v>129.08730730825661</v>
      </c>
      <c r="V22">
        <f>'2025_Fantasy_Hitters_modified'!F26</f>
        <v>131.335172545788</v>
      </c>
      <c r="W22">
        <f>'2025_Fantasy_Hitters_modified'!G26</f>
        <v>82.152794849674891</v>
      </c>
      <c r="X22">
        <f>'2025_Fantasy_Hitters_modified'!H26</f>
        <v>26.689542352147921</v>
      </c>
      <c r="Y22">
        <f>'2025_Fantasy_Hitters_modified'!I26</f>
        <v>2.0102611338966296</v>
      </c>
      <c r="Z22">
        <f>'2025_Fantasy_Hitters_modified'!J26</f>
        <v>22.599999999999977</v>
      </c>
      <c r="AA22">
        <f>'2025_Fantasy_Hitters_modified'!K26</f>
        <v>94.731645569619985</v>
      </c>
      <c r="AB22">
        <f>'2025_Fantasy_Hitters_modified'!L26</f>
        <v>63</v>
      </c>
      <c r="AC22" s="2">
        <f>'2025_Fantasy_Hitters_modified'!M26</f>
        <v>59.365822792499998</v>
      </c>
      <c r="AD22">
        <f>'2025_Fantasy_Hitters_modified'!N26</f>
        <v>2.3898734177215117</v>
      </c>
      <c r="AE22">
        <f>'2025_Fantasy_Hitters_modified'!O26</f>
        <v>94.93670886000001</v>
      </c>
      <c r="AF22">
        <f>'2025_Fantasy_Hitters_modified'!P26</f>
        <v>8.0638025594149276</v>
      </c>
      <c r="AG22">
        <f>'2025_Fantasy_Hitters_modified'!Q26</f>
        <v>2.9999999999999929</v>
      </c>
      <c r="AH22">
        <f>'2025_Fantasy_Hitters_modified'!R26</f>
        <v>0.39999999999999897</v>
      </c>
      <c r="AI22">
        <f>'2025_Fantasy_Hitters_modified'!S26</f>
        <v>31.602531645569588</v>
      </c>
      <c r="AJ22">
        <f>'2025_Fantasy_Hitters_modified'!T26</f>
        <v>9.8544303797468036</v>
      </c>
      <c r="AK22">
        <f>'2025_Fantasy_Hitters_modified'!U26</f>
        <v>21.748101265822783</v>
      </c>
      <c r="AL22">
        <f>'2025_Fantasy_Hitters_modified'!V26</f>
        <v>0.29056454103050444</v>
      </c>
      <c r="AM22">
        <f>'2025_Fantasy_Hitters_modified'!W26</f>
        <v>0.38926454568503227</v>
      </c>
      <c r="AN22">
        <f>'2025_Fantasy_Hitters_modified'!X26</f>
        <v>0.51319173220278869</v>
      </c>
      <c r="AO22">
        <f>'2025_Fantasy_Hitters_modified'!Y26</f>
        <v>0.9024562778878209</v>
      </c>
      <c r="AP22">
        <f>'2025_Fantasy_Hitters_modified'!Z26</f>
        <v>0.32221333520000001</v>
      </c>
      <c r="AQ22">
        <f>'2025_Fantasy_Hitters_modified'!AA26</f>
        <v>18.08318264</v>
      </c>
      <c r="AR22">
        <f>'2025_Fantasy_Hitters_modified'!AB26</f>
        <v>11.307775769999999</v>
      </c>
    </row>
    <row r="23" spans="1:44" x14ac:dyDescent="0.4">
      <c r="A23" t="str">
        <f>'2025_Fantasy_Hitters_modified'!A23</f>
        <v>ATL</v>
      </c>
      <c r="B23" t="str">
        <f>'2025_Fantasy_Hitters_modified'!B23</f>
        <v>Matt Olson</v>
      </c>
      <c r="C23">
        <f>'2025_Fantasy_Hitters_modified'!D23</f>
        <v>575</v>
      </c>
      <c r="D23">
        <f>'2025_Fantasy_Hitters_modified'!E23</f>
        <v>664</v>
      </c>
      <c r="E23" s="5">
        <f>(V23-AVERAGE(V$2:V$229))/AVERAGE(V$2:V$229)*100+100</f>
        <v>121.42136037171866</v>
      </c>
      <c r="F23" s="4">
        <f>E23*1.51744-31.775</f>
        <v>152.47462908246075</v>
      </c>
      <c r="G23" s="5">
        <f>(Z23-AVERAGE(Z$2:Z$229))/AVERAGE(Z$2:Z$229)*100+100</f>
        <v>180.92627326504123</v>
      </c>
      <c r="H23" s="4">
        <f>G23*0.83285-13.6979</f>
        <v>136.98654668878959</v>
      </c>
      <c r="I23" s="5">
        <f>(AA23-AVERAGE(AA$2:AA$229))/AVERAGE(AA$2:AA$229)*100+100</f>
        <v>134.40530101968562</v>
      </c>
      <c r="J23" s="5">
        <f>(AB23-AVERAGE(AB$2:AB$229))/AVERAGE(AB$2:AB$229)*100+100</f>
        <v>157.47794570197584</v>
      </c>
      <c r="K23" s="5">
        <f>(AC23-AVERAGE(AC$2:AC$229))/AVERAGE(AC$2:AC$229)*100+100</f>
        <v>172.74111100224781</v>
      </c>
      <c r="L23" s="5">
        <f>(AF23-AVERAGE(AF$2:AF$229))/AVERAGE(AF$2:AF$229)*100+100</f>
        <v>102.53816077105822</v>
      </c>
      <c r="M23" s="5">
        <f>(AI23-AVERAGE(AI$2:AI$229))/AVERAGE(AI$2:AI$229)*100+100</f>
        <v>9.5260291126145091</v>
      </c>
      <c r="N23" s="5">
        <f>(AVERAGE(AJ$2:AJ$229)-AJ23)/AVERAGE(AJ$2:AJ$229)*100+100</f>
        <v>200</v>
      </c>
      <c r="O23" s="5">
        <f>(AK23-AVERAGE(AK$2:AK$229))/AVERAGE(AK$2:AK$229)*100+100</f>
        <v>12.862463291436953</v>
      </c>
      <c r="P23" s="5">
        <f>(AL23-AVERAGE(AL$2:AL$229))/AVERAGE(AL$2:AL$229)*100+100</f>
        <v>99.430669398163843</v>
      </c>
      <c r="Q23" s="5">
        <f>(AM23-AVERAGE(AM$2:AM$229))/AVERAGE(AM$2:AM$229)*100+100</f>
        <v>107.37816672636099</v>
      </c>
      <c r="R23" s="5">
        <f>(AN23-AVERAGE(AN$2:AN$229))/AVERAGE(AN$2:AN$229)*100+100</f>
        <v>111.97541690862238</v>
      </c>
      <c r="S23" s="5">
        <f>(AO23-AVERAGE(AO$2:AO$229))/AVERAGE(AO$2:AO$229)*100+100</f>
        <v>109.96970202332848</v>
      </c>
      <c r="T23" s="6">
        <f>(F23*1.5+H23*2.5+I23+J23+K23*1.5+L23+O23*0.75+P23+S23)/11.25</f>
        <v>128.33409806505125</v>
      </c>
      <c r="V23">
        <f>'2025_Fantasy_Hitters_modified'!F23</f>
        <v>142.63472902095941</v>
      </c>
      <c r="W23">
        <f>'2025_Fantasy_Hitters_modified'!G23</f>
        <v>80.332954597940173</v>
      </c>
      <c r="X23">
        <f>'2025_Fantasy_Hitters_modified'!H23</f>
        <v>28.423818635063537</v>
      </c>
      <c r="Y23">
        <f>'2025_Fantasy_Hitters_modified'!I23</f>
        <v>0.98770026145008427</v>
      </c>
      <c r="Z23">
        <f>'2025_Fantasy_Hitters_modified'!J23</f>
        <v>32.999999999999943</v>
      </c>
      <c r="AA23">
        <f>'2025_Fantasy_Hitters_modified'!K23</f>
        <v>88.629737609329396</v>
      </c>
      <c r="AB23">
        <f>'2025_Fantasy_Hitters_modified'!L23</f>
        <v>100.9999999999995</v>
      </c>
      <c r="AC23" s="2">
        <f>'2025_Fantasy_Hitters_modified'!M23</f>
        <v>78.940233224240004</v>
      </c>
      <c r="AD23">
        <f>'2025_Fantasy_Hitters_modified'!N23</f>
        <v>5.9807580174926738</v>
      </c>
      <c r="AE23">
        <f>'2025_Fantasy_Hitters_modified'!O23</f>
        <v>157.7725947216</v>
      </c>
      <c r="AF23">
        <f>'2025_Fantasy_Hitters_modified'!P23</f>
        <v>6.0082442748091252</v>
      </c>
      <c r="AG23">
        <f>'2025_Fantasy_Hitters_modified'!Q23</f>
        <v>4.9999999999999929</v>
      </c>
      <c r="AH23">
        <f>'2025_Fantasy_Hitters_modified'!R23</f>
        <v>0</v>
      </c>
      <c r="AI23">
        <f>'2025_Fantasy_Hitters_modified'!S23</f>
        <v>0.99679300291542228</v>
      </c>
      <c r="AJ23">
        <f>'2025_Fantasy_Hitters_modified'!T23</f>
        <v>0</v>
      </c>
      <c r="AK23">
        <f>'2025_Fantasy_Hitters_modified'!U23</f>
        <v>0.99679300291542228</v>
      </c>
      <c r="AL23">
        <f>'2025_Fantasy_Hitters_modified'!V23</f>
        <v>0.24806039829732071</v>
      </c>
      <c r="AM23">
        <f>'2025_Fantasy_Hitters_modified'!W23</f>
        <v>0.35126574076315897</v>
      </c>
      <c r="AN23">
        <f>'2025_Fantasy_Hitters_modified'!X23</f>
        <v>0.47329337852594305</v>
      </c>
      <c r="AO23">
        <f>'2025_Fantasy_Hitters_modified'!Y23</f>
        <v>0.82455911928910197</v>
      </c>
      <c r="AP23">
        <f>'2025_Fantasy_Hitters_modified'!Z23</f>
        <v>0.28167268680000002</v>
      </c>
      <c r="AQ23">
        <f>'2025_Fantasy_Hitters_modified'!AA23</f>
        <v>23.76093294</v>
      </c>
      <c r="AR23">
        <f>'2025_Fantasy_Hitters_modified'!AB23</f>
        <v>11.888589340999999</v>
      </c>
    </row>
    <row r="24" spans="1:44" x14ac:dyDescent="0.4">
      <c r="A24" t="str">
        <f>'2025_Fantasy_Hitters_modified'!A109</f>
        <v>LAD</v>
      </c>
      <c r="B24" t="str">
        <f>'2025_Fantasy_Hitters_modified'!B109</f>
        <v>Freddie Freeman</v>
      </c>
      <c r="C24">
        <f>'2025_Fantasy_Hitters_modified'!D109</f>
        <v>562</v>
      </c>
      <c r="D24">
        <f>'2025_Fantasy_Hitters_modified'!E109</f>
        <v>651</v>
      </c>
      <c r="E24" s="5">
        <f>(V24-AVERAGE(V$2:V$229))/AVERAGE(V$2:V$229)*100+100</f>
        <v>134.57403271876336</v>
      </c>
      <c r="F24" s="4">
        <f>E24*1.51744-31.775</f>
        <v>172.43302020876027</v>
      </c>
      <c r="G24" s="5">
        <f>(Z24-AVERAGE(Z$2:Z$229))/AVERAGE(Z$2:Z$229)*100+100</f>
        <v>121.71403837830046</v>
      </c>
      <c r="H24" s="4">
        <f>G24*0.83285-13.6979</f>
        <v>87.671636863367524</v>
      </c>
      <c r="I24" s="5">
        <f>(AA24-AVERAGE(AA$2:AA$229))/AVERAGE(AA$2:AA$229)*100+100</f>
        <v>140.387816862628</v>
      </c>
      <c r="J24" s="5">
        <f>(AB24-AVERAGE(AB$2:AB$229))/AVERAGE(AB$2:AB$229)*100+100</f>
        <v>138.7676947274839</v>
      </c>
      <c r="K24" s="5">
        <f>(AC24-AVERAGE(AC$2:AC$229))/AVERAGE(AC$2:AC$229)*100+100</f>
        <v>153.7120232642626</v>
      </c>
      <c r="L24" s="5">
        <f>(AF24-AVERAGE(AF$2:AF$229))/AVERAGE(AF$2:AF$229)*100+100</f>
        <v>138.8755338199598</v>
      </c>
      <c r="M24" s="5">
        <f>(AI24-AVERAGE(AI$2:AI$229))/AVERAGE(AI$2:AI$229)*100+100</f>
        <v>104.9021383110386</v>
      </c>
      <c r="N24" s="5">
        <f>(AVERAGE(AJ$2:AJ$229)-AJ24)/AVERAGE(AJ$2:AJ$229)*100+100</f>
        <v>93.312019214737433</v>
      </c>
      <c r="O24" s="5">
        <f>(AK24-AVERAGE(AK$2:AK$229))/AVERAGE(AK$2:AK$229)*100+100</f>
        <v>104.27665776730365</v>
      </c>
      <c r="P24" s="5">
        <f>(AL24-AVERAGE(AL$2:AL$229))/AVERAGE(AL$2:AL$229)*100+100</f>
        <v>112.75039317141247</v>
      </c>
      <c r="Q24" s="5">
        <f>(AM24-AVERAGE(AM$2:AM$229))/AVERAGE(AM$2:AM$229)*100+100</f>
        <v>115.99858667841369</v>
      </c>
      <c r="R24" s="5">
        <f>(AN24-AVERAGE(AN$2:AN$229))/AVERAGE(AN$2:AN$229)*100+100</f>
        <v>109.22778493435645</v>
      </c>
      <c r="S24" s="5">
        <f>(AO24-AVERAGE(AO$2:AO$229))/AVERAGE(AO$2:AO$229)*100+100</f>
        <v>112.18178945989408</v>
      </c>
      <c r="T24" s="6">
        <f>(F24*1.5+H24*2.5+I24+J24+K24*1.5+L24+O24*0.75+P24+S24)/11.25</f>
        <v>127.07265588753862</v>
      </c>
      <c r="V24">
        <f>'2025_Fantasy_Hitters_modified'!F109</f>
        <v>158.08528772314267</v>
      </c>
      <c r="W24">
        <f>'2025_Fantasy_Hitters_modified'!G109</f>
        <v>101.82112491254614</v>
      </c>
      <c r="X24">
        <f>'2025_Fantasy_Hitters_modified'!H109</f>
        <v>31.509631935801142</v>
      </c>
      <c r="Y24">
        <f>'2025_Fantasy_Hitters_modified'!I109</f>
        <v>1.9412183960448843</v>
      </c>
      <c r="Z24">
        <f>'2025_Fantasy_Hitters_modified'!J109</f>
        <v>22.19999999999996</v>
      </c>
      <c r="AA24">
        <f>'2025_Fantasy_Hitters_modified'!K109</f>
        <v>92.574736842105025</v>
      </c>
      <c r="AB24">
        <f>'2025_Fantasy_Hitters_modified'!L109</f>
        <v>88.999999999999716</v>
      </c>
      <c r="AC24" s="2">
        <f>'2025_Fantasy_Hitters_modified'!M109</f>
        <v>70.244210515079999</v>
      </c>
      <c r="AD24">
        <f>'2025_Fantasy_Hitters_modified'!N109</f>
        <v>8.9810526315789012</v>
      </c>
      <c r="AE24">
        <f>'2025_Fantasy_Hitters_modified'!O109</f>
        <v>106.70526313440001</v>
      </c>
      <c r="AF24">
        <f>'2025_Fantasy_Hitters_modified'!P109</f>
        <v>8.1374399999999465</v>
      </c>
      <c r="AG24">
        <f>'2025_Fantasy_Hitters_modified'!Q109</f>
        <v>5.5999999999999552</v>
      </c>
      <c r="AH24">
        <f>'2025_Fantasy_Hitters_modified'!R109</f>
        <v>0</v>
      </c>
      <c r="AI24">
        <f>'2025_Fantasy_Hitters_modified'!S109</f>
        <v>10.976842105263115</v>
      </c>
      <c r="AJ24">
        <f>'2025_Fantasy_Hitters_modified'!T109</f>
        <v>2.8957894736841538</v>
      </c>
      <c r="AK24">
        <f>'2025_Fantasy_Hitters_modified'!U109</f>
        <v>8.0810526315789613</v>
      </c>
      <c r="AL24">
        <f>'2025_Fantasy_Hitters_modified'!V109</f>
        <v>0.28129054755007593</v>
      </c>
      <c r="AM24">
        <f>'2025_Fantasy_Hitters_modified'!W109</f>
        <v>0.37946568394028468</v>
      </c>
      <c r="AN24">
        <f>'2025_Fantasy_Hitters_modified'!X109</f>
        <v>0.46167979354498739</v>
      </c>
      <c r="AO24">
        <f>'2025_Fantasy_Hitters_modified'!Y109</f>
        <v>0.84114547748527202</v>
      </c>
      <c r="AP24">
        <f>'2025_Fantasy_Hitters_modified'!Z109</f>
        <v>0.30974907219999998</v>
      </c>
      <c r="AQ24">
        <f>'2025_Fantasy_Hitters_modified'!AA109</f>
        <v>16.39097744</v>
      </c>
      <c r="AR24">
        <f>'2025_Fantasy_Hitters_modified'!AB109</f>
        <v>10.790201308</v>
      </c>
    </row>
    <row r="25" spans="1:44" x14ac:dyDescent="0.4">
      <c r="A25" t="str">
        <f>'2025_Fantasy_Hitters_modified'!A45</f>
        <v>BOS</v>
      </c>
      <c r="B25" t="str">
        <f>'2025_Fantasy_Hitters_modified'!B45</f>
        <v>Rafael Devers</v>
      </c>
      <c r="C25">
        <f>'2025_Fantasy_Hitters_modified'!D45</f>
        <v>561</v>
      </c>
      <c r="D25">
        <f>'2025_Fantasy_Hitters_modified'!E45</f>
        <v>638</v>
      </c>
      <c r="E25" s="5">
        <f>(V25-AVERAGE(V$2:V$229))/AVERAGE(V$2:V$229)*100+100</f>
        <v>126.8529548016579</v>
      </c>
      <c r="F25" s="4">
        <f>E25*1.51744-31.775</f>
        <v>160.71674773422774</v>
      </c>
      <c r="G25" s="5">
        <f>(Z25-AVERAGE(Z$2:Z$229))/AVERAGE(Z$2:Z$229)*100+100</f>
        <v>174.34713605540338</v>
      </c>
      <c r="H25" s="4">
        <f>G25*0.83285-13.6979</f>
        <v>131.5071122637427</v>
      </c>
      <c r="I25" s="5">
        <f>(AA25-AVERAGE(AA$2:AA$229))/AVERAGE(AA$2:AA$229)*100+100</f>
        <v>134.49018857822404</v>
      </c>
      <c r="J25" s="5">
        <f>(AB25-AVERAGE(AB$2:AB$229))/AVERAGE(AB$2:AB$229)*100+100</f>
        <v>146.56363263352262</v>
      </c>
      <c r="K25" s="5">
        <f>(AC25-AVERAGE(AC$2:AC$229))/AVERAGE(AC$2:AC$229)*100+100</f>
        <v>140.23052609307871</v>
      </c>
      <c r="L25" s="5">
        <f>(AF25-AVERAGE(AF$2:AF$229))/AVERAGE(AF$2:AF$229)*100+100</f>
        <v>117.9700679845013</v>
      </c>
      <c r="M25" s="5">
        <f>(AI25-AVERAGE(AI$2:AI$229))/AVERAGE(AI$2:AI$229)*100+100</f>
        <v>37.995885377599492</v>
      </c>
      <c r="N25" s="5">
        <f>(AVERAGE(AJ$2:AJ$229)-AJ25)/AVERAGE(AJ$2:AJ$229)*100+100</f>
        <v>163.38001480764314</v>
      </c>
      <c r="O25" s="5">
        <f>(AK25-AVERAGE(AK$2:AK$229))/AVERAGE(AK$2:AK$229)*100+100</f>
        <v>38.477786109837751</v>
      </c>
      <c r="P25" s="5">
        <f>(AL25-AVERAGE(AL$2:AL$229))/AVERAGE(AL$2:AL$229)*100+100</f>
        <v>106.47087915015382</v>
      </c>
      <c r="Q25" s="5">
        <f>(AM25-AVERAGE(AM$2:AM$229))/AVERAGE(AM$2:AM$229)*100+100</f>
        <v>109.96529612541428</v>
      </c>
      <c r="R25" s="5">
        <f>(AN25-AVERAGE(AN$2:AN$229))/AVERAGE(AN$2:AN$229)*100+100</f>
        <v>117.90476161438202</v>
      </c>
      <c r="S25" s="5">
        <f>(AO25-AVERAGE(AO$2:AO$229))/AVERAGE(AO$2:AO$229)*100+100</f>
        <v>114.44088571440516</v>
      </c>
      <c r="T25" s="6">
        <f>(F25*1.5+H25*2.5+I25+J25+K25*1.5+L25+O25*0.75+P25+S25)/11.25</f>
        <v>127.02068311497791</v>
      </c>
      <c r="V25">
        <f>'2025_Fantasy_Hitters_modified'!F45</f>
        <v>149.01527028070456</v>
      </c>
      <c r="W25">
        <f>'2025_Fantasy_Hitters_modified'!G45</f>
        <v>84.583912986442456</v>
      </c>
      <c r="X25">
        <f>'2025_Fantasy_Hitters_modified'!H45</f>
        <v>30.055197507872929</v>
      </c>
      <c r="Y25">
        <f>'2025_Fantasy_Hitters_modified'!I45</f>
        <v>2.5610059052926921</v>
      </c>
      <c r="Z25">
        <f>'2025_Fantasy_Hitters_modified'!J45</f>
        <v>31.799999999999951</v>
      </c>
      <c r="AA25">
        <f>'2025_Fantasy_Hitters_modified'!K45</f>
        <v>88.685714285713999</v>
      </c>
      <c r="AB25">
        <f>'2025_Fantasy_Hitters_modified'!L45</f>
        <v>93.999999999999886</v>
      </c>
      <c r="AC25" s="2">
        <f>'2025_Fantasy_Hitters_modified'!M45</f>
        <v>64.083357868419995</v>
      </c>
      <c r="AD25">
        <f>'2025_Fantasy_Hitters_modified'!N45</f>
        <v>9.8215022091309852</v>
      </c>
      <c r="AE25">
        <f>'2025_Fantasy_Hitters_modified'!O45</f>
        <v>138.12371136519999</v>
      </c>
      <c r="AF25">
        <f>'2025_Fantasy_Hitters_modified'!P45</f>
        <v>6.9124799999999871</v>
      </c>
      <c r="AG25">
        <f>'2025_Fantasy_Hitters_modified'!Q45</f>
        <v>3.9999999999999822</v>
      </c>
      <c r="AH25">
        <f>'2025_Fantasy_Hitters_modified'!R45</f>
        <v>0</v>
      </c>
      <c r="AI25">
        <f>'2025_Fantasy_Hitters_modified'!S45</f>
        <v>3.9758468335787729</v>
      </c>
      <c r="AJ25">
        <f>'2025_Fantasy_Hitters_modified'!T45</f>
        <v>0.99396170839466291</v>
      </c>
      <c r="AK25">
        <f>'2025_Fantasy_Hitters_modified'!U45</f>
        <v>2.9818851251841099</v>
      </c>
      <c r="AL25">
        <f>'2025_Fantasy_Hitters_modified'!V45</f>
        <v>0.26562436770179065</v>
      </c>
      <c r="AM25">
        <f>'2025_Fantasy_Hitters_modified'!W45</f>
        <v>0.35972900617841314</v>
      </c>
      <c r="AN25">
        <f>'2025_Fantasy_Hitters_modified'!X45</f>
        <v>0.49835530431027836</v>
      </c>
      <c r="AO25">
        <f>'2025_Fantasy_Hitters_modified'!Y45</f>
        <v>0.85808431048869149</v>
      </c>
      <c r="AP25">
        <f>'2025_Fantasy_Hitters_modified'!Z45</f>
        <v>0.29669021819999902</v>
      </c>
      <c r="AQ25">
        <f>'2025_Fantasy_Hitters_modified'!AA45</f>
        <v>21.64948454</v>
      </c>
      <c r="AR25">
        <f>'2025_Fantasy_Hitters_modified'!AB45</f>
        <v>10.044413458999999</v>
      </c>
    </row>
    <row r="26" spans="1:44" x14ac:dyDescent="0.4">
      <c r="A26" t="str">
        <f>'2025_Fantasy_Hitters_modified'!A182</f>
        <v>SEA</v>
      </c>
      <c r="B26" t="str">
        <f>'2025_Fantasy_Hitters_modified'!B182</f>
        <v>Randy Arozarena</v>
      </c>
      <c r="C26">
        <f>'2025_Fantasy_Hitters_modified'!D182</f>
        <v>535</v>
      </c>
      <c r="D26">
        <f>'2025_Fantasy_Hitters_modified'!E182</f>
        <v>620</v>
      </c>
      <c r="E26" s="5">
        <f>(V26-AVERAGE(V$2:V$229))/AVERAGE(V$2:V$229)*100+100</f>
        <v>107.31289126308391</v>
      </c>
      <c r="F26" s="4">
        <f>E26*1.51744-31.775</f>
        <v>131.06587371825404</v>
      </c>
      <c r="G26" s="5">
        <f>(Z26-AVERAGE(Z$2:Z$229))/AVERAGE(Z$2:Z$229)*100+100</f>
        <v>117.32794690520818</v>
      </c>
      <c r="H26" s="4">
        <f>G26*0.83285-13.6979</f>
        <v>84.018680580002624</v>
      </c>
      <c r="I26" s="5">
        <f>(AA26-AVERAGE(AA$2:AA$229))/AVERAGE(AA$2:AA$229)*100+100</f>
        <v>120.04259703266871</v>
      </c>
      <c r="J26" s="5">
        <f>(AB26-AVERAGE(AB$2:AB$229))/AVERAGE(AB$2:AB$229)*100+100</f>
        <v>109.14313068453765</v>
      </c>
      <c r="K26" s="5">
        <f>(AC26-AVERAGE(AC$2:AC$229))/AVERAGE(AC$2:AC$229)*100+100</f>
        <v>140.06408106799827</v>
      </c>
      <c r="L26" s="5">
        <f>(AF26-AVERAGE(AF$2:AF$229))/AVERAGE(AF$2:AF$229)*100+100</f>
        <v>259.03731621081374</v>
      </c>
      <c r="M26" s="5">
        <f>(AI26-AVERAGE(AI$2:AI$229))/AVERAGE(AI$2:AI$229)*100+100</f>
        <v>200.43170023073176</v>
      </c>
      <c r="N26" s="5">
        <f>(AVERAGE(AJ$2:AJ$229)-AJ26)/AVERAGE(AJ$2:AJ$229)*100+100</f>
        <v>-96.508938719229519</v>
      </c>
      <c r="O26" s="5">
        <f>(AK26-AVERAGE(AK$2:AK$229))/AVERAGE(AK$2:AK$229)*100+100</f>
        <v>166.78122756154647</v>
      </c>
      <c r="P26" s="5">
        <f>(AL26-AVERAGE(AL$2:AL$229))/AVERAGE(AL$2:AL$229)*100+100</f>
        <v>94.447665456688</v>
      </c>
      <c r="Q26" s="5">
        <f>(AM26-AVERAGE(AM$2:AM$229))/AVERAGE(AM$2:AM$229)*100+100</f>
        <v>104.07968555065949</v>
      </c>
      <c r="R26" s="5">
        <f>(AN26-AVERAGE(AN$2:AN$229))/AVERAGE(AN$2:AN$229)*100+100</f>
        <v>95.490216647893902</v>
      </c>
      <c r="S26" s="5">
        <f>(AO26-AVERAGE(AO$2:AO$229))/AVERAGE(AO$2:AO$229)*100+100</f>
        <v>99.237679794781144</v>
      </c>
      <c r="T26" s="6">
        <f>(F26*1.5+H26*2.5+I26+J26+K26*1.5+L26+O26*0.75+P26+S26)/11.25</f>
        <v>126.55430608711413</v>
      </c>
      <c r="V26">
        <f>'2025_Fantasy_Hitters_modified'!F182</f>
        <v>126.06138754257312</v>
      </c>
      <c r="W26">
        <f>'2025_Fantasy_Hitters_modified'!G182</f>
        <v>77.90361770857568</v>
      </c>
      <c r="X26">
        <f>'2025_Fantasy_Hitters_modified'!H182</f>
        <v>24.152627894439895</v>
      </c>
      <c r="Y26">
        <f>'2025_Fantasy_Hitters_modified'!I182</f>
        <v>1.3749379954014584</v>
      </c>
      <c r="Z26">
        <f>'2025_Fantasy_Hitters_modified'!J182</f>
        <v>21.399999999999896</v>
      </c>
      <c r="AA26">
        <f>'2025_Fantasy_Hitters_modified'!K182</f>
        <v>79.158662613981292</v>
      </c>
      <c r="AB26">
        <f>'2025_Fantasy_Hitters_modified'!L182</f>
        <v>69.999999999999616</v>
      </c>
      <c r="AC26" s="2">
        <f>'2025_Fantasy_Hitters_modified'!M182</f>
        <v>64.007294857000005</v>
      </c>
      <c r="AD26">
        <f>'2025_Fantasy_Hitters_modified'!N182</f>
        <v>9.4224924012153405E-2</v>
      </c>
      <c r="AE26">
        <f>'2025_Fantasy_Hitters_modified'!O182</f>
        <v>158.297872318</v>
      </c>
      <c r="AF26">
        <f>'2025_Fantasy_Hitters_modified'!P182</f>
        <v>15.178343949044493</v>
      </c>
      <c r="AG26">
        <f>'2025_Fantasy_Hitters_modified'!Q182</f>
        <v>3.9999999999999964</v>
      </c>
      <c r="AH26">
        <f>'2025_Fantasy_Hitters_modified'!R182</f>
        <v>0</v>
      </c>
      <c r="AI26">
        <f>'2025_Fantasy_Hitters_modified'!S182</f>
        <v>20.972948328267389</v>
      </c>
      <c r="AJ26">
        <f>'2025_Fantasy_Hitters_modified'!T182</f>
        <v>8.048024316109391</v>
      </c>
      <c r="AK26">
        <f>'2025_Fantasy_Hitters_modified'!U182</f>
        <v>12.924924012157998</v>
      </c>
      <c r="AL26">
        <f>'2025_Fantasy_Hitters_modified'!V182</f>
        <v>0.23562876176181891</v>
      </c>
      <c r="AM26">
        <f>'2025_Fantasy_Hitters_modified'!W182</f>
        <v>0.3404754333021574</v>
      </c>
      <c r="AN26">
        <f>'2025_Fantasy_Hitters_modified'!X182</f>
        <v>0.40361436912833537</v>
      </c>
      <c r="AO26">
        <f>'2025_Fantasy_Hitters_modified'!Y182</f>
        <v>0.74408980243049272</v>
      </c>
      <c r="AP26">
        <f>'2025_Fantasy_Hitters_modified'!Z182</f>
        <v>0.29129075360000001</v>
      </c>
      <c r="AQ26">
        <f>'2025_Fantasy_Hitters_modified'!AA182</f>
        <v>25.531914889999999</v>
      </c>
      <c r="AR26">
        <f>'2025_Fantasy_Hitters_modified'!AB182</f>
        <v>10.323757235</v>
      </c>
    </row>
    <row r="27" spans="1:44" x14ac:dyDescent="0.4">
      <c r="A27" t="str">
        <f>'2025_Fantasy_Hitters_modified'!A42</f>
        <v>BOS</v>
      </c>
      <c r="B27" t="str">
        <f>'2025_Fantasy_Hitters_modified'!B42</f>
        <v>Jarren Duran</v>
      </c>
      <c r="C27">
        <f>'2025_Fantasy_Hitters_modified'!D42</f>
        <v>587</v>
      </c>
      <c r="D27">
        <f>'2025_Fantasy_Hitters_modified'!E42</f>
        <v>646</v>
      </c>
      <c r="E27" s="5">
        <f>(V27-AVERAGE(V$2:V$229))/AVERAGE(V$2:V$229)*100+100</f>
        <v>134.42019287715394</v>
      </c>
      <c r="F27" s="4">
        <f>E27*1.51744-31.775</f>
        <v>172.19957747950846</v>
      </c>
      <c r="G27" s="5">
        <f>(Z27-AVERAGE(Z$2:Z$229))/AVERAGE(Z$2:Z$229)*100+100</f>
        <v>103.07314961765954</v>
      </c>
      <c r="H27" s="4">
        <f>G27*0.83285-13.6979</f>
        <v>72.146572659067743</v>
      </c>
      <c r="I27" s="5">
        <f>(AA27-AVERAGE(AA$2:AA$229))/AVERAGE(AA$2:AA$229)*100+100</f>
        <v>140.09609747233591</v>
      </c>
      <c r="J27" s="5">
        <f>(AB27-AVERAGE(AB$2:AB$229))/AVERAGE(AB$2:AB$229)*100+100</f>
        <v>107.58394310332963</v>
      </c>
      <c r="K27" s="5">
        <f>(AC27-AVERAGE(AC$2:AC$229))/AVERAGE(AC$2:AC$229)*100+100</f>
        <v>109.2130556048545</v>
      </c>
      <c r="L27" s="5">
        <f>(AF27-AVERAGE(AF$2:AF$229))/AVERAGE(AF$2:AF$229)*100+100</f>
        <v>117.90175585665348</v>
      </c>
      <c r="M27" s="5">
        <f>(AI27-AVERAGE(AI$2:AI$229))/AVERAGE(AI$2:AI$229)*100+100</f>
        <v>284.30098445504677</v>
      </c>
      <c r="N27" s="5">
        <f>(AVERAGE(AJ$2:AJ$229)-AJ27)/AVERAGE(AJ$2:AJ$229)*100+100</f>
        <v>-20.651564639463032</v>
      </c>
      <c r="O27" s="5">
        <f>(AK27-AVERAGE(AK$2:AK$229))/AVERAGE(AK$2:AK$229)*100+100</f>
        <v>306.59380943221606</v>
      </c>
      <c r="P27" s="5">
        <f>(AL27-AVERAGE(AL$2:AL$229))/AVERAGE(AL$2:AL$229)*100+100</f>
        <v>107.82501484688618</v>
      </c>
      <c r="Q27" s="5">
        <f>(AM27-AVERAGE(AM$2:AM$229))/AVERAGE(AM$2:AM$229)*100+100</f>
        <v>103.01708408109798</v>
      </c>
      <c r="R27" s="5">
        <f>(AN27-AVERAGE(AN$2:AN$229))/AVERAGE(AN$2:AN$229)*100+100</f>
        <v>107.32409449209682</v>
      </c>
      <c r="S27" s="5">
        <f>(AO27-AVERAGE(AO$2:AO$229))/AVERAGE(AO$2:AO$229)*100+100</f>
        <v>105.44500709202698</v>
      </c>
      <c r="T27" s="6">
        <f>(F27*1.5+H27*2.5+I27+J27+K27*1.5+L27+O27*0.75+P27+S27)/11.25</f>
        <v>125.44733837507627</v>
      </c>
      <c r="V27">
        <f>'2025_Fantasy_Hitters_modified'!F42</f>
        <v>157.90457072200371</v>
      </c>
      <c r="W27">
        <f>'2025_Fantasy_Hitters_modified'!G42</f>
        <v>95.689324970857271</v>
      </c>
      <c r="X27">
        <f>'2025_Fantasy_Hitters_modified'!H42</f>
        <v>36.288148884000954</v>
      </c>
      <c r="Y27">
        <f>'2025_Fantasy_Hitters_modified'!I42</f>
        <v>7.6057175358793367</v>
      </c>
      <c r="Z27">
        <f>'2025_Fantasy_Hitters_modified'!J42</f>
        <v>18.799999999999912</v>
      </c>
      <c r="AA27">
        <f>'2025_Fantasy_Hitters_modified'!K42</f>
        <v>92.38237082066847</v>
      </c>
      <c r="AB27">
        <f>'2025_Fantasy_Hitters_modified'!L42</f>
        <v>68.999999999999403</v>
      </c>
      <c r="AC27" s="2">
        <f>'2025_Fantasy_Hitters_modified'!M42</f>
        <v>49.908814587089935</v>
      </c>
      <c r="AD27">
        <f>'2025_Fantasy_Hitters_modified'!N42</f>
        <v>1.3981762917932743</v>
      </c>
      <c r="AE27">
        <f>'2025_Fantasy_Hitters_modified'!O42</f>
        <v>147.26443766680001</v>
      </c>
      <c r="AF27">
        <f>'2025_Fantasy_Hitters_modified'!P42</f>
        <v>6.9084772370485616</v>
      </c>
      <c r="AG27">
        <f>'2025_Fantasy_Hitters_modified'!Q42</f>
        <v>2.9999999999999911</v>
      </c>
      <c r="AH27">
        <f>'2025_Fantasy_Hitters_modified'!R42</f>
        <v>1.0084772370486257</v>
      </c>
      <c r="AI27">
        <f>'2025_Fantasy_Hitters_modified'!S42</f>
        <v>29.748936170212705</v>
      </c>
      <c r="AJ27">
        <f>'2025_Fantasy_Hitters_modified'!T42</f>
        <v>5.9890577507598586</v>
      </c>
      <c r="AK27">
        <f>'2025_Fantasy_Hitters_modified'!U42</f>
        <v>23.759878419452846</v>
      </c>
      <c r="AL27">
        <f>'2025_Fantasy_Hitters_modified'!V42</f>
        <v>0.26900267584668436</v>
      </c>
      <c r="AM27">
        <f>'2025_Fantasy_Hitters_modified'!W42</f>
        <v>0.33699934962778499</v>
      </c>
      <c r="AN27">
        <f>'2025_Fantasy_Hitters_modified'!X42</f>
        <v>0.45363334812009676</v>
      </c>
      <c r="AO27">
        <f>'2025_Fantasy_Hitters_modified'!Y42</f>
        <v>0.7906326977478817</v>
      </c>
      <c r="AP27">
        <f>'2025_Fantasy_Hitters_modified'!Z42</f>
        <v>0.32812668499999997</v>
      </c>
      <c r="AQ27">
        <f>'2025_Fantasy_Hitters_modified'!AA42</f>
        <v>22.796352580000001</v>
      </c>
      <c r="AR27">
        <f>'2025_Fantasy_Hitters_modified'!AB42</f>
        <v>7.7258226914999897</v>
      </c>
    </row>
    <row r="28" spans="1:44" x14ac:dyDescent="0.4">
      <c r="A28" t="str">
        <f>'2025_Fantasy_Hitters_modified'!A156</f>
        <v>PHI</v>
      </c>
      <c r="B28" t="str">
        <f>'2025_Fantasy_Hitters_modified'!B156</f>
        <v>Bryce Harper</v>
      </c>
      <c r="C28">
        <f>'2025_Fantasy_Hitters_modified'!D156</f>
        <v>533</v>
      </c>
      <c r="D28">
        <f>'2025_Fantasy_Hitters_modified'!E156</f>
        <v>622</v>
      </c>
      <c r="E28" s="5">
        <f>(V28-AVERAGE(V$2:V$229))/AVERAGE(V$2:V$229)*100+100</f>
        <v>123.92143870133373</v>
      </c>
      <c r="F28" s="4">
        <f>E28*1.51744-31.775</f>
        <v>156.26834794295183</v>
      </c>
      <c r="G28" s="5">
        <f>(Z28-AVERAGE(Z$2:Z$229))/AVERAGE(Z$2:Z$229)*100+100</f>
        <v>143.64449574375973</v>
      </c>
      <c r="H28" s="4">
        <f>G28*0.83285-13.6979</f>
        <v>105.93641828019028</v>
      </c>
      <c r="I28" s="5">
        <f>(AA28-AVERAGE(AA$2:AA$229))/AVERAGE(AA$2:AA$229)*100+100</f>
        <v>133.01703573941577</v>
      </c>
      <c r="J28" s="5">
        <f>(AB28-AVERAGE(AB$2:AB$229))/AVERAGE(AB$2:AB$229)*100+100</f>
        <v>137.20850714627611</v>
      </c>
      <c r="K28" s="5">
        <f>(AC28-AVERAGE(AC$2:AC$229))/AVERAGE(AC$2:AC$229)*100+100</f>
        <v>173.39148217655725</v>
      </c>
      <c r="L28" s="5">
        <f>(AF28-AVERAGE(AF$2:AF$229))/AVERAGE(AF$2:AF$229)*100+100</f>
        <v>82.444481347215529</v>
      </c>
      <c r="M28" s="5">
        <f>(AI28-AVERAGE(AI$2:AI$229))/AVERAGE(AI$2:AI$229)*100+100</f>
        <v>86.347813310574736</v>
      </c>
      <c r="N28" s="5">
        <f>(AVERAGE(AJ$2:AJ$229)-AJ28)/AVERAGE(AJ$2:AJ$229)*100+100</f>
        <v>57.029130594354761</v>
      </c>
      <c r="O28" s="5">
        <f>(AK28-AVERAGE(AK$2:AK$229))/AVERAGE(AK$2:AK$229)*100+100</f>
        <v>66.515929801547486</v>
      </c>
      <c r="P28" s="5">
        <f>(AL28-AVERAGE(AL$2:AL$229))/AVERAGE(AL$2:AL$229)*100+100</f>
        <v>109.47434399924003</v>
      </c>
      <c r="Q28" s="5">
        <f>(AM28-AVERAGE(AM$2:AM$229))/AVERAGE(AM$2:AM$229)*100+100</f>
        <v>116.66966913549311</v>
      </c>
      <c r="R28" s="5">
        <f>(AN28-AVERAGE(AN$2:AN$229))/AVERAGE(AN$2:AN$229)*100+100</f>
        <v>111.96450504218156</v>
      </c>
      <c r="S28" s="5">
        <f>(AO28-AVERAGE(AO$2:AO$229))/AVERAGE(AO$2:AO$229)*100+100</f>
        <v>114.01730123241688</v>
      </c>
      <c r="T28" s="6">
        <f>(F28*1.5+H28*2.5+I28+J28+K28*1.5+L28+O28*0.75+P28+S28)/11.25</f>
        <v>123.14483623959683</v>
      </c>
      <c r="V28">
        <f>'2025_Fantasy_Hitters_modified'!F156</f>
        <v>145.57159279833868</v>
      </c>
      <c r="W28">
        <f>'2025_Fantasy_Hitters_modified'!G156</f>
        <v>86.30004908064069</v>
      </c>
      <c r="X28">
        <f>'2025_Fantasy_Hitters_modified'!H156</f>
        <v>29.090556228166513</v>
      </c>
      <c r="Y28">
        <f>'2025_Fantasy_Hitters_modified'!I156</f>
        <v>0.98654208924246256</v>
      </c>
      <c r="Z28">
        <f>'2025_Fantasy_Hitters_modified'!J156</f>
        <v>26.199999999999907</v>
      </c>
      <c r="AA28">
        <f>'2025_Fantasy_Hitters_modified'!K156</f>
        <v>87.714285714285182</v>
      </c>
      <c r="AB28">
        <f>'2025_Fantasy_Hitters_modified'!L156</f>
        <v>87.999999999999645</v>
      </c>
      <c r="AC28" s="2">
        <f>'2025_Fantasy_Hitters_modified'!M156</f>
        <v>79.23744360968</v>
      </c>
      <c r="AD28">
        <f>'2025_Fantasy_Hitters_modified'!N156</f>
        <v>9.2288721804511038</v>
      </c>
      <c r="AE28">
        <f>'2025_Fantasy_Hitters_modified'!O156</f>
        <v>135.6240601616</v>
      </c>
      <c r="AF28">
        <f>'2025_Fantasy_Hitters_modified'!P156</f>
        <v>4.8308510638297779</v>
      </c>
      <c r="AG28">
        <f>'2025_Fantasy_Hitters_modified'!Q156</f>
        <v>4.3999999999999693</v>
      </c>
      <c r="AH28">
        <f>'2025_Fantasy_Hitters_modified'!R156</f>
        <v>1.0617021276595311</v>
      </c>
      <c r="AI28">
        <f>'2025_Fantasy_Hitters_modified'!S156</f>
        <v>9.0353383458645684</v>
      </c>
      <c r="AJ28">
        <f>'2025_Fantasy_Hitters_modified'!T156</f>
        <v>3.8806015037593569</v>
      </c>
      <c r="AK28">
        <f>'2025_Fantasy_Hitters_modified'!U156</f>
        <v>5.154736842105212</v>
      </c>
      <c r="AL28">
        <f>'2025_Fantasy_Hitters_modified'!V156</f>
        <v>0.27311743489369361</v>
      </c>
      <c r="AM28">
        <f>'2025_Fantasy_Hitters_modified'!W156</f>
        <v>0.38166099313195567</v>
      </c>
      <c r="AN28">
        <f>'2025_Fantasy_Hitters_modified'!X156</f>
        <v>0.47324725666923217</v>
      </c>
      <c r="AO28">
        <f>'2025_Fantasy_Hitters_modified'!Y156</f>
        <v>0.85490824980118785</v>
      </c>
      <c r="AP28">
        <f>'2025_Fantasy_Hitters_modified'!Z156</f>
        <v>0.31783610220000003</v>
      </c>
      <c r="AQ28">
        <f>'2025_Fantasy_Hitters_modified'!AA156</f>
        <v>21.80451128</v>
      </c>
      <c r="AR28">
        <f>'2025_Fantasy_Hitters_modified'!AB156</f>
        <v>12.739138843999999</v>
      </c>
    </row>
    <row r="29" spans="1:44" x14ac:dyDescent="0.4">
      <c r="A29" t="str">
        <f>'2025_Fantasy_Hitters_modified'!A9</f>
        <v>ARI</v>
      </c>
      <c r="B29" t="str">
        <f>'2025_Fantasy_Hitters_modified'!B9</f>
        <v>Ketel Marte</v>
      </c>
      <c r="C29">
        <f>'2025_Fantasy_Hitters_modified'!D9</f>
        <v>537</v>
      </c>
      <c r="D29">
        <f>'2025_Fantasy_Hitters_modified'!E9</f>
        <v>614</v>
      </c>
      <c r="E29" s="5">
        <f>(V29-AVERAGE(V$2:V$229))/AVERAGE(V$2:V$229)*100+100</f>
        <v>125.56354192696257</v>
      </c>
      <c r="F29" s="4">
        <f>E29*1.51744-31.775</f>
        <v>158.76014106165007</v>
      </c>
      <c r="G29" s="5">
        <f>(Z29-AVERAGE(Z$2:Z$229))/AVERAGE(Z$2:Z$229)*100+100</f>
        <v>149.12711008512454</v>
      </c>
      <c r="H29" s="4">
        <f>G29*0.83285-13.6979</f>
        <v>110.50261363439597</v>
      </c>
      <c r="I29" s="5">
        <f>(AA29-AVERAGE(AA$2:AA$229))/AVERAGE(AA$2:AA$229)*100+100</f>
        <v>131.64101385701284</v>
      </c>
      <c r="J29" s="5">
        <f>(AB29-AVERAGE(AB$2:AB$229))/AVERAGE(AB$2:AB$229)*100+100</f>
        <v>138.76769472748379</v>
      </c>
      <c r="K29" s="5">
        <f>(AC29-AVERAGE(AC$2:AC$229))/AVERAGE(AC$2:AC$229)*100+100</f>
        <v>142.14464888229429</v>
      </c>
      <c r="L29" s="5">
        <f>(AF29-AVERAGE(AF$2:AF$229))/AVERAGE(AF$2:AF$229)*100+100</f>
        <v>101.28548023850003</v>
      </c>
      <c r="M29" s="5">
        <f>(AI29-AVERAGE(AI$2:AI$229))/AVERAGE(AI$2:AI$229)*100+100</f>
        <v>66.655199048540965</v>
      </c>
      <c r="N29" s="5">
        <f>(AVERAGE(AJ$2:AJ$229)-AJ29)/AVERAGE(AJ$2:AJ$229)*100+100</f>
        <v>126.5811509282061</v>
      </c>
      <c r="O29" s="5">
        <f>(AK29-AVERAGE(AK$2:AK$229))/AVERAGE(AK$2:AK$229)*100+100</f>
        <v>64.286271466607474</v>
      </c>
      <c r="P29" s="5">
        <f>(AL29-AVERAGE(AL$2:AL$229))/AVERAGE(AL$2:AL$229)*100+100</f>
        <v>110.09874938216426</v>
      </c>
      <c r="Q29" s="5">
        <f>(AM29-AVERAGE(AM$2:AM$229))/AVERAGE(AM$2:AM$229)*100+100</f>
        <v>111.40874917946485</v>
      </c>
      <c r="R29" s="5">
        <f>(AN29-AVERAGE(AN$2:AN$229))/AVERAGE(AN$2:AN$229)*100+100</f>
        <v>117.85861647874967</v>
      </c>
      <c r="S29" s="5">
        <f>(AO29-AVERAGE(AO$2:AO$229))/AVERAGE(AO$2:AO$229)*100+100</f>
        <v>115.04463108803459</v>
      </c>
      <c r="T29" s="6">
        <f>(F29*1.5+H29*2.5+I29+J29+K29*1.5+L29+O29*0.75+P29+S29)/11.25</f>
        <v>122.01475483511622</v>
      </c>
      <c r="V29">
        <f>'2025_Fantasy_Hitters_modified'!F9</f>
        <v>147.50058575225529</v>
      </c>
      <c r="W29">
        <f>'2025_Fantasy_Hitters_modified'!G9</f>
        <v>86.550683716622615</v>
      </c>
      <c r="X29">
        <f>'2025_Fantasy_Hitters_modified'!H9</f>
        <v>31.554252000591564</v>
      </c>
      <c r="Y29">
        <f>'2025_Fantasy_Hitters_modified'!I9</f>
        <v>3.017623936726733</v>
      </c>
      <c r="Z29">
        <f>'2025_Fantasy_Hitters_modified'!J9</f>
        <v>27.199999999999889</v>
      </c>
      <c r="AA29">
        <f>'2025_Fantasy_Hitters_modified'!K9</f>
        <v>86.806907378335424</v>
      </c>
      <c r="AB29">
        <f>'2025_Fantasy_Hitters_modified'!L9</f>
        <v>88.999999999999645</v>
      </c>
      <c r="AC29" s="2">
        <f>'2025_Fantasy_Hitters_modified'!M9</f>
        <v>64.95808478504</v>
      </c>
      <c r="AD29">
        <f>'2025_Fantasy_Hitters_modified'!N9</f>
        <v>4.0819466248037486</v>
      </c>
      <c r="AE29">
        <f>'2025_Fantasy_Hitters_modified'!O9</f>
        <v>110.84772372800001</v>
      </c>
      <c r="AF29">
        <f>'2025_Fantasy_Hitters_modified'!P9</f>
        <v>5.9348432055748903</v>
      </c>
      <c r="AG29">
        <f>'2025_Fantasy_Hitters_modified'!Q9</f>
        <v>4.3999999999999826</v>
      </c>
      <c r="AH29">
        <f>'2025_Fantasy_Hitters_modified'!R9</f>
        <v>0</v>
      </c>
      <c r="AI29">
        <f>'2025_Fantasy_Hitters_modified'!S9</f>
        <v>6.9747252747251887</v>
      </c>
      <c r="AJ29">
        <f>'2025_Fantasy_Hitters_modified'!T9</f>
        <v>1.992778649921499</v>
      </c>
      <c r="AK29">
        <f>'2025_Fantasy_Hitters_modified'!U9</f>
        <v>4.9819466248036894</v>
      </c>
      <c r="AL29">
        <f>'2025_Fantasy_Hitters_modified'!V9</f>
        <v>0.27467520624256109</v>
      </c>
      <c r="AM29">
        <f>'2025_Fantasy_Hitters_modified'!W9</f>
        <v>0.36445096802359928</v>
      </c>
      <c r="AN29">
        <f>'2025_Fantasy_Hitters_modified'!X9</f>
        <v>0.49816025982865075</v>
      </c>
      <c r="AO29">
        <f>'2025_Fantasy_Hitters_modified'!Y9</f>
        <v>0.86261122785224997</v>
      </c>
      <c r="AP29">
        <f>'2025_Fantasy_Hitters_modified'!Z9</f>
        <v>0.29825190739999902</v>
      </c>
      <c r="AQ29">
        <f>'2025_Fantasy_Hitters_modified'!AA9</f>
        <v>18.053375200000001</v>
      </c>
      <c r="AR29">
        <f>'2025_Fantasy_Hitters_modified'!AB9</f>
        <v>10.579492635999999</v>
      </c>
    </row>
    <row r="30" spans="1:44" x14ac:dyDescent="0.4">
      <c r="A30" t="str">
        <f>'2025_Fantasy_Hitters_modified'!A223</f>
        <v>WSN</v>
      </c>
      <c r="B30" t="str">
        <f>'2025_Fantasy_Hitters_modified'!B223</f>
        <v>CJ Abrams</v>
      </c>
      <c r="C30">
        <f>'2025_Fantasy_Hitters_modified'!D223</f>
        <v>541</v>
      </c>
      <c r="D30">
        <f>'2025_Fantasy_Hitters_modified'!E223</f>
        <v>595</v>
      </c>
      <c r="E30" s="5">
        <f>(V30-AVERAGE(V$2:V$229))/AVERAGE(V$2:V$229)*100+100</f>
        <v>115.21952011556816</v>
      </c>
      <c r="F30" s="4">
        <f>E30*1.51744-31.775</f>
        <v>143.06370860416774</v>
      </c>
      <c r="G30" s="5">
        <f>(Z30-AVERAGE(Z$2:Z$229))/AVERAGE(Z$2:Z$229)*100+100</f>
        <v>98.687058144567999</v>
      </c>
      <c r="H30" s="4">
        <f>G30*0.83285-13.6979</f>
        <v>68.493616375703454</v>
      </c>
      <c r="I30" s="5">
        <f>(AA30-AVERAGE(AA$2:AA$229))/AVERAGE(AA$2:AA$229)*100+100</f>
        <v>119.84430861100623</v>
      </c>
      <c r="J30" s="5">
        <f>(AB30-AVERAGE(AB$2:AB$229))/AVERAGE(AB$2:AB$229)*100+100</f>
        <v>99.78800519729208</v>
      </c>
      <c r="K30" s="5">
        <f>(AC30-AVERAGE(AC$2:AC$229))/AVERAGE(AC$2:AC$229)*100+100</f>
        <v>82.624318504699275</v>
      </c>
      <c r="L30" s="5">
        <f>(AF30-AVERAGE(AF$2:AF$229))/AVERAGE(AF$2:AF$229)*100+100</f>
        <v>192.72869012393608</v>
      </c>
      <c r="M30" s="5">
        <f>(AI30-AVERAGE(AI$2:AI$229))/AVERAGE(AI$2:AI$229)*100+100</f>
        <v>323.60465241924413</v>
      </c>
      <c r="N30" s="5">
        <f>(AVERAGE(AJ$2:AJ$229)-AJ30)/AVERAGE(AJ$2:AJ$229)*100+100</f>
        <v>-127.55509033920904</v>
      </c>
      <c r="O30" s="5">
        <f>(AK30-AVERAGE(AK$2:AK$229))/AVERAGE(AK$2:AK$229)*100+100</f>
        <v>322.22103539039932</v>
      </c>
      <c r="P30" s="5">
        <f>(AL30-AVERAGE(AL$2:AL$229))/AVERAGE(AL$2:AL$229)*100+100</f>
        <v>100.28175149070742</v>
      </c>
      <c r="Q30" s="5">
        <f>(AM30-AVERAGE(AM$2:AM$229))/AVERAGE(AM$2:AM$229)*100+100</f>
        <v>97.442242835442144</v>
      </c>
      <c r="R30" s="5">
        <f>(AN30-AVERAGE(AN$2:AN$229))/AVERAGE(AN$2:AN$229)*100+100</f>
        <v>98.693467254474029</v>
      </c>
      <c r="S30" s="5">
        <f>(AO30-AVERAGE(AO$2:AO$229))/AVERAGE(AO$2:AO$229)*100+100</f>
        <v>98.14757583186254</v>
      </c>
      <c r="T30" s="6">
        <f>(F30*1.5+H30*2.5+I30+J30+K30*1.5+L30+O30*0.75+P30+S30)/11.25</f>
        <v>121.08641683557003</v>
      </c>
      <c r="V30">
        <f>'2025_Fantasy_Hitters_modified'!F223</f>
        <v>135.34937328405115</v>
      </c>
      <c r="W30">
        <f>'2025_Fantasy_Hitters_modified'!G223</f>
        <v>86.437401940711126</v>
      </c>
      <c r="X30">
        <f>'2025_Fantasy_Hitters_modified'!H223</f>
        <v>27.55159198842939</v>
      </c>
      <c r="Y30">
        <f>'2025_Fantasy_Hitters_modified'!I223</f>
        <v>4.0465301132431373</v>
      </c>
      <c r="Z30">
        <f>'2025_Fantasy_Hitters_modified'!J223</f>
        <v>17.999999999999979</v>
      </c>
      <c r="AA30">
        <f>'2025_Fantasy_Hitters_modified'!K223</f>
        <v>79.027906976743893</v>
      </c>
      <c r="AB30">
        <f>'2025_Fantasy_Hitters_modified'!L223</f>
        <v>63.999999999999979</v>
      </c>
      <c r="AC30" s="2">
        <f>'2025_Fantasy_Hitters_modified'!M223</f>
        <v>37.758139535585002</v>
      </c>
      <c r="AD30">
        <f>'2025_Fantasy_Hitters_modified'!N223</f>
        <v>1.9976744186046358</v>
      </c>
      <c r="AE30">
        <f>'2025_Fantasy_Hitters_modified'!O223</f>
        <v>114.65116279050001</v>
      </c>
      <c r="AF30">
        <f>'2025_Fantasy_Hitters_modified'!P223</f>
        <v>11.292976588628648</v>
      </c>
      <c r="AG30">
        <f>'2025_Fantasy_Hitters_modified'!Q223</f>
        <v>3.9999999999999689</v>
      </c>
      <c r="AH30">
        <f>'2025_Fantasy_Hitters_modified'!R223</f>
        <v>1.9939799331103305</v>
      </c>
      <c r="AI30">
        <f>'2025_Fantasy_Hitters_modified'!S223</f>
        <v>33.861627906976707</v>
      </c>
      <c r="AJ30">
        <f>'2025_Fantasy_Hitters_modified'!T223</f>
        <v>8.8906976744185382</v>
      </c>
      <c r="AK30">
        <f>'2025_Fantasy_Hitters_modified'!U223</f>
        <v>24.970930232558167</v>
      </c>
      <c r="AL30">
        <f>'2025_Fantasy_Hitters_modified'!V223</f>
        <v>0.25018368444371747</v>
      </c>
      <c r="AM30">
        <f>'2025_Fantasy_Hitters_modified'!W223</f>
        <v>0.3187623951379337</v>
      </c>
      <c r="AN30">
        <f>'2025_Fantasy_Hitters_modified'!X223</f>
        <v>0.41715374539242001</v>
      </c>
      <c r="AO30">
        <f>'2025_Fantasy_Hitters_modified'!Y223</f>
        <v>0.7359161405303537</v>
      </c>
      <c r="AP30">
        <f>'2025_Fantasy_Hitters_modified'!Z223</f>
        <v>0.28458761779999903</v>
      </c>
      <c r="AQ30">
        <f>'2025_Fantasy_Hitters_modified'!AA223</f>
        <v>19.26910299</v>
      </c>
      <c r="AR30">
        <f>'2025_Fantasy_Hitters_modified'!AB223</f>
        <v>6.3459058043000001</v>
      </c>
    </row>
    <row r="31" spans="1:44" x14ac:dyDescent="0.4">
      <c r="A31" t="str">
        <f>'2025_Fantasy_Hitters_modified'!A125</f>
        <v>MIL</v>
      </c>
      <c r="B31" t="str">
        <f>'2025_Fantasy_Hitters_modified'!B125</f>
        <v>Jackson Chourio</v>
      </c>
      <c r="C31">
        <f>'2025_Fantasy_Hitters_modified'!D125</f>
        <v>582</v>
      </c>
      <c r="D31">
        <f>'2025_Fantasy_Hitters_modified'!E125</f>
        <v>633</v>
      </c>
      <c r="E31" s="5">
        <f>(V31-AVERAGE(V$2:V$229))/AVERAGE(V$2:V$229)*100+100</f>
        <v>134.43034414939066</v>
      </c>
      <c r="F31" s="4">
        <f>E31*1.51744-31.775</f>
        <v>172.21498142605134</v>
      </c>
      <c r="G31" s="5">
        <f>(Z31-AVERAGE(Z$2:Z$229))/AVERAGE(Z$2:Z$229)*100+100</f>
        <v>119.52099264175436</v>
      </c>
      <c r="H31" s="4">
        <f>G31*0.83285-13.6979</f>
        <v>85.84515872168511</v>
      </c>
      <c r="I31" s="5">
        <f>(AA31-AVERAGE(AA$2:AA$229))/AVERAGE(AA$2:AA$229)*100+100</f>
        <v>127.91262568404733</v>
      </c>
      <c r="J31" s="5">
        <f>(AB31-AVERAGE(AB$2:AB$229))/AVERAGE(AB$2:AB$229)*100+100</f>
        <v>130.97175682144504</v>
      </c>
      <c r="K31" s="5">
        <f>(AC31-AVERAGE(AC$2:AC$229))/AVERAGE(AC$2:AC$229)*100+100</f>
        <v>90.219495181392062</v>
      </c>
      <c r="L31" s="5">
        <f>(AF31-AVERAGE(AF$2:AF$229))/AVERAGE(AF$2:AF$229)*100+100</f>
        <v>82.154922379237973</v>
      </c>
      <c r="M31" s="5">
        <f>(AI31-AVERAGE(AI$2:AI$229))/AVERAGE(AI$2:AI$229)*100+100</f>
        <v>257.96928835511187</v>
      </c>
      <c r="N31" s="5">
        <f>(AVERAGE(AJ$2:AJ$229)-AJ31)/AVERAGE(AJ$2:AJ$229)*100+100</f>
        <v>-60.461568308426564</v>
      </c>
      <c r="O31" s="5">
        <f>(AK31-AVERAGE(AK$2:AK$229))/AVERAGE(AK$2:AK$229)*100+100</f>
        <v>257.09638234977336</v>
      </c>
      <c r="P31" s="5">
        <f>(AL31-AVERAGE(AL$2:AL$229))/AVERAGE(AL$2:AL$229)*100+100</f>
        <v>108.75955937739575</v>
      </c>
      <c r="Q31" s="5">
        <f>(AM31-AVERAGE(AM$2:AM$229))/AVERAGE(AM$2:AM$229)*100+100</f>
        <v>100.25046376839458</v>
      </c>
      <c r="R31" s="5">
        <f>(AN31-AVERAGE(AN$2:AN$229))/AVERAGE(AN$2:AN$229)*100+100</f>
        <v>105.12759924142976</v>
      </c>
      <c r="S31" s="5">
        <f>(AO31-AVERAGE(AO$2:AO$229))/AVERAGE(AO$2:AO$229)*100+100</f>
        <v>102.99977438351664</v>
      </c>
      <c r="T31" s="6">
        <f>(F31*1.5+H31*2.5+I31+J31+K31*1.5+L31+O31*0.75+P31+S31)/11.25</f>
        <v>120.34538107763117</v>
      </c>
      <c r="V31">
        <f>'2025_Fantasy_Hitters_modified'!F125</f>
        <v>157.91649550986864</v>
      </c>
      <c r="W31">
        <f>'2025_Fantasy_Hitters_modified'!G125</f>
        <v>101.43711470592716</v>
      </c>
      <c r="X31">
        <f>'2025_Fantasy_Hitters_modified'!H125</f>
        <v>29.806531863474898</v>
      </c>
      <c r="Y31">
        <f>'2025_Fantasy_Hitters_modified'!I125</f>
        <v>3.453702124877251</v>
      </c>
      <c r="Z31">
        <f>'2025_Fantasy_Hitters_modified'!J125</f>
        <v>21.799999999999937</v>
      </c>
      <c r="AA31">
        <f>'2025_Fantasy_Hitters_modified'!K125</f>
        <v>84.34832826747683</v>
      </c>
      <c r="AB31">
        <f>'2025_Fantasy_Hitters_modified'!L125</f>
        <v>83.999999999999446</v>
      </c>
      <c r="AC31" s="2">
        <f>'2025_Fantasy_Hitters_modified'!M125</f>
        <v>41.229027355854001</v>
      </c>
      <c r="AD31">
        <f>'2025_Fantasy_Hitters_modified'!N125</f>
        <v>2.5886018237081672</v>
      </c>
      <c r="AE31">
        <f>'2025_Fantasy_Hitters_modified'!O125</f>
        <v>129.87082069889999</v>
      </c>
      <c r="AF31">
        <f>'2025_Fantasy_Hitters_modified'!P125</f>
        <v>4.8138842975206453</v>
      </c>
      <c r="AG31">
        <f>'2025_Fantasy_Hitters_modified'!Q125</f>
        <v>3.9999999999999623</v>
      </c>
      <c r="AH31">
        <f>'2025_Fantasy_Hitters_modified'!R125</f>
        <v>1.0277685950412787</v>
      </c>
      <c r="AI31">
        <f>'2025_Fantasy_Hitters_modified'!S125</f>
        <v>26.993617021276513</v>
      </c>
      <c r="AJ31">
        <f>'2025_Fantasy_Hitters_modified'!T125</f>
        <v>7.0696048632218149</v>
      </c>
      <c r="AK31">
        <f>'2025_Fantasy_Hitters_modified'!U125</f>
        <v>19.924012158054698</v>
      </c>
      <c r="AL31">
        <f>'2025_Fantasy_Hitters_modified'!V125</f>
        <v>0.27133418472486021</v>
      </c>
      <c r="AM31">
        <f>'2025_Fantasy_Hitters_modified'!W125</f>
        <v>0.32794891634902812</v>
      </c>
      <c r="AN31">
        <f>'2025_Fantasy_Hitters_modified'!X125</f>
        <v>0.44434928661083928</v>
      </c>
      <c r="AO31">
        <f>'2025_Fantasy_Hitters_modified'!Y125</f>
        <v>0.7722982029598674</v>
      </c>
      <c r="AP31">
        <f>'2025_Fantasy_Hitters_modified'!Z125</f>
        <v>0.31339477519999998</v>
      </c>
      <c r="AQ31">
        <f>'2025_Fantasy_Hitters_modified'!AA125</f>
        <v>20.516717329999999</v>
      </c>
      <c r="AR31">
        <f>'2025_Fantasy_Hitters_modified'!AB125</f>
        <v>6.5132744638000002</v>
      </c>
    </row>
    <row r="32" spans="1:44" x14ac:dyDescent="0.4">
      <c r="A32" t="str">
        <f>'2025_Fantasy_Hitters_modified'!A216</f>
        <v>TOR</v>
      </c>
      <c r="B32" t="str">
        <f>'2025_Fantasy_Hitters_modified'!B216</f>
        <v>Anthony Santander</v>
      </c>
      <c r="C32">
        <f>'2025_Fantasy_Hitters_modified'!D216</f>
        <v>567</v>
      </c>
      <c r="D32">
        <f>'2025_Fantasy_Hitters_modified'!E216</f>
        <v>634</v>
      </c>
      <c r="E32" s="5">
        <f>(V32-AVERAGE(V$2:V$229))/AVERAGE(V$2:V$229)*100+100</f>
        <v>115.44683629596793</v>
      </c>
      <c r="F32" s="4">
        <f>E32*1.51744-31.775</f>
        <v>143.40864726895356</v>
      </c>
      <c r="G32" s="5">
        <f>(Z32-AVERAGE(Z$2:Z$229))/AVERAGE(Z$2:Z$229)*100+100</f>
        <v>180.92627326504129</v>
      </c>
      <c r="H32" s="4">
        <f>G32*0.83285-13.6979</f>
        <v>136.98654668878962</v>
      </c>
      <c r="I32" s="5">
        <f>(AA32-AVERAGE(AA$2:AA$229))/AVERAGE(AA$2:AA$229)*100+100</f>
        <v>121.13974097652788</v>
      </c>
      <c r="J32" s="5">
        <f>(AB32-AVERAGE(AB$2:AB$229))/AVERAGE(AB$2:AB$229)*100+100</f>
        <v>146.56363263352247</v>
      </c>
      <c r="K32" s="5">
        <f>(AC32-AVERAGE(AC$2:AC$229))/AVERAGE(AC$2:AC$229)*100+100</f>
        <v>122.05560804705519</v>
      </c>
      <c r="L32" s="5">
        <f>(AF32-AVERAGE(AF$2:AF$229))/AVERAGE(AF$2:AF$229)*100+100</f>
        <v>134.8801222493866</v>
      </c>
      <c r="M32" s="5">
        <f>(AI32-AVERAGE(AI$2:AI$229))/AVERAGE(AI$2:AI$229)*100+100</f>
        <v>19.005273228003361</v>
      </c>
      <c r="N32" s="5">
        <f>(AVERAGE(AJ$2:AJ$229)-AJ32)/AVERAGE(AJ$2:AJ$229)*100+100</f>
        <v>163.36588463357708</v>
      </c>
      <c r="O32" s="5">
        <f>(AK32-AVERAGE(AK$2:AK$229))/AVERAGE(AK$2:AK$229)*100+100</f>
        <v>12.830877711428556</v>
      </c>
      <c r="P32" s="5">
        <f>(AL32-AVERAGE(AL$2:AL$229))/AVERAGE(AL$2:AL$229)*100+100</f>
        <v>95.87206697945669</v>
      </c>
      <c r="Q32" s="5">
        <f>(AM32-AVERAGE(AM$2:AM$229))/AVERAGE(AM$2:AM$229)*100+100</f>
        <v>97.704487801213403</v>
      </c>
      <c r="R32" s="5">
        <f>(AN32-AVERAGE(AN$2:AN$229))/AVERAGE(AN$2:AN$229)*100+100</f>
        <v>109.47925049597426</v>
      </c>
      <c r="S32" s="5">
        <f>(AO32-AVERAGE(AO$2:AO$229))/AVERAGE(AO$2:AO$229)*100+100</f>
        <v>104.34208895997374</v>
      </c>
      <c r="T32" s="6">
        <f>(F32*1.5+H32*2.5+I32+J32+K32*1.5+L32+O32*0.75+P32+S32)/11.25</f>
        <v>120.27409420252677</v>
      </c>
      <c r="V32">
        <f>'2025_Fantasy_Hitters_modified'!F216</f>
        <v>135.61640357999036</v>
      </c>
      <c r="W32">
        <f>'2025_Fantasy_Hitters_modified'!G216</f>
        <v>74.037237045081625</v>
      </c>
      <c r="X32">
        <f>'2025_Fantasy_Hitters_modified'!H216</f>
        <v>26.680264930797506</v>
      </c>
      <c r="Y32">
        <f>'2025_Fantasy_Hitters_modified'!I216</f>
        <v>0.99244393305516743</v>
      </c>
      <c r="Z32">
        <f>'2025_Fantasy_Hitters_modified'!J216</f>
        <v>32.99999999999995</v>
      </c>
      <c r="AA32">
        <f>'2025_Fantasy_Hitters_modified'!K216</f>
        <v>79.882142857142696</v>
      </c>
      <c r="AB32">
        <f>'2025_Fantasy_Hitters_modified'!L216</f>
        <v>93.999999999999787</v>
      </c>
      <c r="AC32" s="2">
        <f>'2025_Fantasy_Hitters_modified'!M216</f>
        <v>55.777678571464001</v>
      </c>
      <c r="AD32">
        <f>'2025_Fantasy_Hitters_modified'!N216</f>
        <v>1.9886904761904638</v>
      </c>
      <c r="AE32">
        <f>'2025_Fantasy_Hitters_modified'!O216</f>
        <v>131.1398809554</v>
      </c>
      <c r="AF32">
        <f>'2025_Fantasy_Hitters_modified'!P216</f>
        <v>7.9033280507130792</v>
      </c>
      <c r="AG32">
        <f>'2025_Fantasy_Hitters_modified'!Q216</f>
        <v>4.9999999999999467</v>
      </c>
      <c r="AH32">
        <f>'2025_Fantasy_Hitters_modified'!R216</f>
        <v>0</v>
      </c>
      <c r="AI32">
        <f>'2025_Fantasy_Hitters_modified'!S216</f>
        <v>1.9886904761904638</v>
      </c>
      <c r="AJ32">
        <f>'2025_Fantasy_Hitters_modified'!T216</f>
        <v>0.99434523809520325</v>
      </c>
      <c r="AK32">
        <f>'2025_Fantasy_Hitters_modified'!U216</f>
        <v>0.99434523809526054</v>
      </c>
      <c r="AL32">
        <f>'2025_Fantasy_Hitters_modified'!V216</f>
        <v>0.23918236962961262</v>
      </c>
      <c r="AM32">
        <f>'2025_Fantasy_Hitters_modified'!W216</f>
        <v>0.31962027598067339</v>
      </c>
      <c r="AN32">
        <f>'2025_Fantasy_Hitters_modified'!X216</f>
        <v>0.46274267849354839</v>
      </c>
      <c r="AO32">
        <f>'2025_Fantasy_Hitters_modified'!Y216</f>
        <v>0.78236295447422177</v>
      </c>
      <c r="AP32">
        <f>'2025_Fantasy_Hitters_modified'!Z216</f>
        <v>0.25159705199999999</v>
      </c>
      <c r="AQ32">
        <f>'2025_Fantasy_Hitters_modified'!AA216</f>
        <v>20.684523810000002</v>
      </c>
      <c r="AR32">
        <f>'2025_Fantasy_Hitters_modified'!AB216</f>
        <v>8.7977410995999996</v>
      </c>
    </row>
    <row r="33" spans="1:44" x14ac:dyDescent="0.4">
      <c r="A33" t="str">
        <f>'2025_Fantasy_Hitters_modified'!A167</f>
        <v>PIT</v>
      </c>
      <c r="B33" t="str">
        <f>'2025_Fantasy_Hitters_modified'!B167</f>
        <v>Oneil Cruz</v>
      </c>
      <c r="C33">
        <f>'2025_Fantasy_Hitters_modified'!D167</f>
        <v>541</v>
      </c>
      <c r="D33">
        <f>'2025_Fantasy_Hitters_modified'!E167</f>
        <v>602</v>
      </c>
      <c r="E33" s="5">
        <f>(V33-AVERAGE(V$2:V$229))/AVERAGE(V$2:V$229)*100+100</f>
        <v>115.85729034719687</v>
      </c>
      <c r="F33" s="4">
        <f>E33*1.51744-31.775</f>
        <v>144.0314866644504</v>
      </c>
      <c r="G33" s="5">
        <f>(Z33-AVERAGE(Z$2:Z$229))/AVERAGE(Z$2:Z$229)*100+100</f>
        <v>143.64449574375999</v>
      </c>
      <c r="H33" s="4">
        <f>G33*0.83285-13.6979</f>
        <v>105.93641828019049</v>
      </c>
      <c r="I33" s="5">
        <f>(AA33-AVERAGE(AA$2:AA$229))/AVERAGE(AA$2:AA$229)*100+100</f>
        <v>123.11802636962315</v>
      </c>
      <c r="J33" s="5">
        <f>(AB33-AVERAGE(AB$2:AB$229))/AVERAGE(AB$2:AB$229)*100+100</f>
        <v>124.73500649661514</v>
      </c>
      <c r="K33" s="5">
        <f>(AC33-AVERAGE(AC$2:AC$229))/AVERAGE(AC$2:AC$229)*100+100</f>
        <v>118.05861843463995</v>
      </c>
      <c r="L33" s="5">
        <f>(AF33-AVERAGE(AF$2:AF$229))/AVERAGE(AF$2:AF$229)*100+100</f>
        <v>66.689181789610714</v>
      </c>
      <c r="M33" s="5">
        <f>(AI33-AVERAGE(AI$2:AI$229))/AVERAGE(AI$2:AI$229)*100+100</f>
        <v>207.48608377741641</v>
      </c>
      <c r="N33" s="5">
        <f>(AVERAGE(AJ$2:AJ$229)-AJ33)/AVERAGE(AJ$2:AJ$229)*100+100</f>
        <v>53.285174289080381</v>
      </c>
      <c r="O33" s="5">
        <f>(AK33-AVERAGE(AK$2:AK$229))/AVERAGE(AK$2:AK$229)*100+100</f>
        <v>228.77084998022002</v>
      </c>
      <c r="P33" s="5">
        <f>(AL33-AVERAGE(AL$2:AL$229))/AVERAGE(AL$2:AL$229)*100+100</f>
        <v>100.83683725926653</v>
      </c>
      <c r="Q33" s="5">
        <f>(AM33-AVERAGE(AM$2:AM$229))/AVERAGE(AM$2:AM$229)*100+100</f>
        <v>100.18561907326736</v>
      </c>
      <c r="R33" s="5">
        <f>(AN33-AVERAGE(AN$2:AN$229))/AVERAGE(AN$2:AN$229)*100+100</f>
        <v>110.65494970540108</v>
      </c>
      <c r="S33" s="5">
        <f>(AO33-AVERAGE(AO$2:AO$229))/AVERAGE(AO$2:AO$229)*100+100</f>
        <v>106.0873296161232</v>
      </c>
      <c r="T33" s="6">
        <f>(F33*1.5+H33*2.5+I33+J33+K33*1.5+L33+O33*0.75+P33+S33)/11.25</f>
        <v>120.09073087693473</v>
      </c>
      <c r="V33">
        <f>'2025_Fantasy_Hitters_modified'!F167</f>
        <v>136.09856752703695</v>
      </c>
      <c r="W33">
        <f>'2025_Fantasy_Hitters_modified'!G167</f>
        <v>78.298604041409945</v>
      </c>
      <c r="X33">
        <f>'2025_Fantasy_Hitters_modified'!H167</f>
        <v>30.527379868621303</v>
      </c>
      <c r="Y33">
        <f>'2025_Fantasy_Hitters_modified'!I167</f>
        <v>2.959623584946252</v>
      </c>
      <c r="Z33">
        <f>'2025_Fantasy_Hitters_modified'!J167</f>
        <v>26.199999999999953</v>
      </c>
      <c r="AA33">
        <f>'2025_Fantasy_Hitters_modified'!K167</f>
        <v>81.186666666666568</v>
      </c>
      <c r="AB33">
        <f>'2025_Fantasy_Hitters_modified'!L167</f>
        <v>80</v>
      </c>
      <c r="AC33" s="2">
        <f>'2025_Fantasy_Hitters_modified'!M167</f>
        <v>53.951111112401996</v>
      </c>
      <c r="AD33">
        <f>'2025_Fantasy_Hitters_modified'!N167</f>
        <v>3.4822222222221964</v>
      </c>
      <c r="AE33">
        <f>'2025_Fantasy_Hitters_modified'!O167</f>
        <v>172.95555555459998</v>
      </c>
      <c r="AF33">
        <f>'2025_Fantasy_Hitters_modified'!P167</f>
        <v>3.9076660988074634</v>
      </c>
      <c r="AG33">
        <f>'2025_Fantasy_Hitters_modified'!Q167</f>
        <v>3.9999999999999702</v>
      </c>
      <c r="AH33">
        <f>'2025_Fantasy_Hitters_modified'!R167</f>
        <v>0</v>
      </c>
      <c r="AI33">
        <f>'2025_Fantasy_Hitters_modified'!S167</f>
        <v>21.711111111111016</v>
      </c>
      <c r="AJ33">
        <f>'2025_Fantasy_Hitters_modified'!T167</f>
        <v>3.9822222222221866</v>
      </c>
      <c r="AK33">
        <f>'2025_Fantasy_Hitters_modified'!U167</f>
        <v>17.728888888888829</v>
      </c>
      <c r="AL33">
        <f>'2025_Fantasy_Hitters_modified'!V167</f>
        <v>0.25156851668583541</v>
      </c>
      <c r="AM33">
        <f>'2025_Fantasy_Hitters_modified'!W167</f>
        <v>0.32773679017326213</v>
      </c>
      <c r="AN33">
        <f>'2025_Fantasy_Hitters_modified'!X167</f>
        <v>0.46771207862013142</v>
      </c>
      <c r="AO33">
        <f>'2025_Fantasy_Hitters_modified'!Y167</f>
        <v>0.7954488687933936</v>
      </c>
      <c r="AP33">
        <f>'2025_Fantasy_Hitters_modified'!Z167</f>
        <v>0.317768781</v>
      </c>
      <c r="AQ33">
        <f>'2025_Fantasy_Hitters_modified'!AA167</f>
        <v>28.730158729999999</v>
      </c>
      <c r="AR33">
        <f>'2025_Fantasy_Hitters_modified'!AB167</f>
        <v>8.9619785900999993</v>
      </c>
    </row>
    <row r="34" spans="1:44" x14ac:dyDescent="0.4">
      <c r="A34" t="str">
        <f>'2025_Fantasy_Hitters_modified'!A162</f>
        <v>PHI</v>
      </c>
      <c r="B34" t="str">
        <f>'2025_Fantasy_Hitters_modified'!B162</f>
        <v>Trea Turner</v>
      </c>
      <c r="C34">
        <f>'2025_Fantasy_Hitters_modified'!D162</f>
        <v>587</v>
      </c>
      <c r="D34">
        <f>'2025_Fantasy_Hitters_modified'!E162</f>
        <v>635</v>
      </c>
      <c r="E34" s="5">
        <f>(V34-AVERAGE(V$2:V$229))/AVERAGE(V$2:V$229)*100+100</f>
        <v>137.90935826170846</v>
      </c>
      <c r="F34" s="4">
        <f>E34*1.51744-31.775</f>
        <v>177.49417660064688</v>
      </c>
      <c r="G34" s="5">
        <f>(Z34-AVERAGE(Z$2:Z$229))/AVERAGE(Z$2:Z$229)*100+100</f>
        <v>110.74880969557039</v>
      </c>
      <c r="H34" s="4">
        <f>G34*0.83285-13.6979</f>
        <v>78.539246154955791</v>
      </c>
      <c r="I34" s="5">
        <f>(AA34-AVERAGE(AA$2:AA$229))/AVERAGE(AA$2:AA$229)*100+100</f>
        <v>134.10023635618623</v>
      </c>
      <c r="J34" s="5">
        <f>(AB34-AVERAGE(AB$2:AB$229))/AVERAGE(AB$2:AB$229)*100+100</f>
        <v>118.49825617178367</v>
      </c>
      <c r="K34" s="5">
        <f>(AC34-AVERAGE(AC$2:AC$229))/AVERAGE(AC$2:AC$229)*100+100</f>
        <v>85.285487491483778</v>
      </c>
      <c r="L34" s="5">
        <f>(AF34-AVERAGE(AF$2:AF$229))/AVERAGE(AF$2:AF$229)*100+100</f>
        <v>101.2798241258816</v>
      </c>
      <c r="M34" s="5">
        <f>(AI34-AVERAGE(AI$2:AI$229))/AVERAGE(AI$2:AI$229)*100+100</f>
        <v>218.59335098796595</v>
      </c>
      <c r="N34" s="5">
        <f>(AVERAGE(AJ$2:AJ$229)-AJ34)/AVERAGE(AJ$2:AJ$229)*100+100</f>
        <v>53.44160850415485</v>
      </c>
      <c r="O34" s="5">
        <f>(AK34-AVERAGE(AK$2:AK$229))/AVERAGE(AK$2:AK$229)*100+100</f>
        <v>243.8231606052116</v>
      </c>
      <c r="P34" s="5">
        <f>(AL34-AVERAGE(AL$2:AL$229))/AVERAGE(AL$2:AL$229)*100+100</f>
        <v>110.62384515162067</v>
      </c>
      <c r="Q34" s="5">
        <f>(AM34-AVERAGE(AM$2:AM$229))/AVERAGE(AM$2:AM$229)*100+100</f>
        <v>100.49679505171298</v>
      </c>
      <c r="R34" s="5">
        <f>(AN34-AVERAGE(AN$2:AN$229))/AVERAGE(AN$2:AN$229)*100+100</f>
        <v>104.49461998263045</v>
      </c>
      <c r="S34" s="5">
        <f>(AO34-AVERAGE(AO$2:AO$229))/AVERAGE(AO$2:AO$229)*100+100</f>
        <v>102.75042581114947</v>
      </c>
      <c r="T34" s="6">
        <f>(F34*1.5+H34*2.5+I34+J34+K34*1.5+L34+O34*0.75+P34+S34)/11.25</f>
        <v>119.16778396409916</v>
      </c>
      <c r="V34">
        <f>'2025_Fantasy_Hitters_modified'!F162</f>
        <v>162.00332367298091</v>
      </c>
      <c r="W34">
        <f>'2025_Fantasy_Hitters_modified'!G162</f>
        <v>106.34393319797471</v>
      </c>
      <c r="X34">
        <f>'2025_Fantasy_Hitters_modified'!H162</f>
        <v>32.412188268109865</v>
      </c>
      <c r="Y34">
        <f>'2025_Fantasy_Hitters_modified'!I162</f>
        <v>2.4314103262972786</v>
      </c>
      <c r="Z34">
        <f>'2025_Fantasy_Hitters_modified'!J162</f>
        <v>20.19999999999991</v>
      </c>
      <c r="AA34">
        <f>'2025_Fantasy_Hitters_modified'!K162</f>
        <v>88.428571428570862</v>
      </c>
      <c r="AB34">
        <f>'2025_Fantasy_Hitters_modified'!L162</f>
        <v>75.999999999999531</v>
      </c>
      <c r="AC34" s="2">
        <f>'2025_Fantasy_Hitters_modified'!M162</f>
        <v>38.974255949604995</v>
      </c>
      <c r="AD34">
        <f>'2025_Fantasy_Hitters_modified'!N162</f>
        <v>9.4494047619045202E-2</v>
      </c>
      <c r="AE34">
        <f>'2025_Fantasy_Hitters_modified'!O162</f>
        <v>121.89732141949999</v>
      </c>
      <c r="AF34">
        <f>'2025_Fantasy_Hitters_modified'!P162</f>
        <v>5.934511784511729</v>
      </c>
      <c r="AG34">
        <f>'2025_Fantasy_Hitters_modified'!Q162</f>
        <v>3.5999999999999384</v>
      </c>
      <c r="AH34">
        <f>'2025_Fantasy_Hitters_modified'!R162</f>
        <v>0.39999999999997476</v>
      </c>
      <c r="AI34">
        <f>'2025_Fantasy_Hitters_modified'!S162</f>
        <v>22.873363095238005</v>
      </c>
      <c r="AJ34">
        <f>'2025_Fantasy_Hitters_modified'!T162</f>
        <v>3.9779761904761322</v>
      </c>
      <c r="AK34">
        <f>'2025_Fantasy_Hitters_modified'!U162</f>
        <v>18.895386904761875</v>
      </c>
      <c r="AL34">
        <f>'2025_Fantasy_Hitters_modified'!V162</f>
        <v>0.27598521920439678</v>
      </c>
      <c r="AM34">
        <f>'2025_Fantasy_Hitters_modified'!W162</f>
        <v>0.32875473882994716</v>
      </c>
      <c r="AN34">
        <f>'2025_Fantasy_Hitters_modified'!X162</f>
        <v>0.44167383426420098</v>
      </c>
      <c r="AO34">
        <f>'2025_Fantasy_Hitters_modified'!Y162</f>
        <v>0.77042857309414814</v>
      </c>
      <c r="AP34">
        <f>'2025_Fantasy_Hitters_modified'!Z162</f>
        <v>0.31617051680000002</v>
      </c>
      <c r="AQ34">
        <f>'2025_Fantasy_Hitters_modified'!AA162</f>
        <v>19.196428569999998</v>
      </c>
      <c r="AR34">
        <f>'2025_Fantasy_Hitters_modified'!AB162</f>
        <v>6.1376781022999998</v>
      </c>
    </row>
    <row r="35" spans="1:44" x14ac:dyDescent="0.4">
      <c r="A35" t="str">
        <f>'2025_Fantasy_Hitters_modified'!A186</f>
        <v>SFG</v>
      </c>
      <c r="B35" t="str">
        <f>'2025_Fantasy_Hitters_modified'!B186</f>
        <v>Matt Chapman</v>
      </c>
      <c r="C35">
        <f>'2025_Fantasy_Hitters_modified'!D186</f>
        <v>549</v>
      </c>
      <c r="D35">
        <f>'2025_Fantasy_Hitters_modified'!E186</f>
        <v>624</v>
      </c>
      <c r="E35" s="5">
        <f>(V35-AVERAGE(V$2:V$229))/AVERAGE(V$2:V$229)*100+100</f>
        <v>112.4944910241085</v>
      </c>
      <c r="F35" s="4">
        <f>E35*1.51744-31.775</f>
        <v>138.92864045962318</v>
      </c>
      <c r="G35" s="5">
        <f>(Z35-AVERAGE(Z$2:Z$229))/AVERAGE(Z$2:Z$229)*100+100</f>
        <v>151.32015582167065</v>
      </c>
      <c r="H35" s="4">
        <f>G35*0.83285-13.6979</f>
        <v>112.3290917760784</v>
      </c>
      <c r="I35" s="5">
        <f>(AA35-AVERAGE(AA$2:AA$229))/AVERAGE(AA$2:AA$229)*100+100</f>
        <v>122.86577090777638</v>
      </c>
      <c r="J35" s="5">
        <f>(AB35-AVERAGE(AB$2:AB$229))/AVERAGE(AB$2:AB$229)*100+100</f>
        <v>120.05744375299122</v>
      </c>
      <c r="K35" s="5">
        <f>(AC35-AVERAGE(AC$2:AC$229))/AVERAGE(AC$2:AC$229)*100+100</f>
        <v>138.35198125041077</v>
      </c>
      <c r="L35" s="5">
        <f>(AF35-AVERAGE(AF$2:AF$229))/AVERAGE(AF$2:AF$229)*100+100</f>
        <v>120.00399374565917</v>
      </c>
      <c r="M35" s="5">
        <f>(AI35-AVERAGE(AI$2:AI$229))/AVERAGE(AI$2:AI$229)*100+100</f>
        <v>86.191658936094825</v>
      </c>
      <c r="N35" s="5">
        <f>(AVERAGE(AJ$2:AJ$229)-AJ35)/AVERAGE(AJ$2:AJ$229)*100+100</f>
        <v>123.52614145783154</v>
      </c>
      <c r="O35" s="5">
        <f>(AK35-AVERAGE(AK$2:AK$229))/AVERAGE(AK$2:AK$229)*100+100</f>
        <v>89.595259848287725</v>
      </c>
      <c r="P35" s="5">
        <f>(AL35-AVERAGE(AL$2:AL$229))/AVERAGE(AL$2:AL$229)*100+100</f>
        <v>96.48327226283601</v>
      </c>
      <c r="Q35" s="5">
        <f>(AM35-AVERAGE(AM$2:AM$229))/AVERAGE(AM$2:AM$229)*100+100</f>
        <v>100.66905300364931</v>
      </c>
      <c r="R35" s="5">
        <f>(AN35-AVERAGE(AN$2:AN$229))/AVERAGE(AN$2:AN$229)*100+100</f>
        <v>107.91110244856701</v>
      </c>
      <c r="S35" s="5">
        <f>(AO35-AVERAGE(AO$2:AO$229))/AVERAGE(AO$2:AO$229)*100+100</f>
        <v>104.75149925190989</v>
      </c>
      <c r="T35" s="6">
        <f>(F35*1.5+H35*2.5+I35+J35+K35*1.5+L35+O35*0.75+P35+S35)/11.25</f>
        <v>118.05351882778983</v>
      </c>
      <c r="V35">
        <f>'2025_Fantasy_Hitters_modified'!F186</f>
        <v>132.14825788850078</v>
      </c>
      <c r="W35">
        <f>'2025_Fantasy_Hitters_modified'!G186</f>
        <v>72.622345755350494</v>
      </c>
      <c r="X35">
        <f>'2025_Fantasy_Hitters_modified'!H186</f>
        <v>30.158151313990583</v>
      </c>
      <c r="Y35">
        <f>'2025_Fantasy_Hitters_modified'!I186</f>
        <v>2.3560690104303137</v>
      </c>
      <c r="Z35">
        <f>'2025_Fantasy_Hitters_modified'!J186</f>
        <v>27.59999999999992</v>
      </c>
      <c r="AA35">
        <f>'2025_Fantasy_Hitters_modified'!K186</f>
        <v>81.020324005890672</v>
      </c>
      <c r="AB35">
        <f>'2025_Fantasy_Hitters_modified'!L186</f>
        <v>76.999999999999446</v>
      </c>
      <c r="AC35" s="2">
        <f>'2025_Fantasy_Hitters_modified'!M186</f>
        <v>63.224889567839995</v>
      </c>
      <c r="AD35">
        <f>'2025_Fantasy_Hitters_modified'!N186</f>
        <v>1.0837997054491839</v>
      </c>
      <c r="AE35">
        <f>'2025_Fantasy_Hitters_modified'!O186</f>
        <v>161.74374078720001</v>
      </c>
      <c r="AF35">
        <f>'2025_Fantasy_Hitters_modified'!P186</f>
        <v>7.0316582914572381</v>
      </c>
      <c r="AG35">
        <f>'2025_Fantasy_Hitters_modified'!Q186</f>
        <v>4.5999999999999925</v>
      </c>
      <c r="AH35">
        <f>'2025_Fantasy_Hitters_modified'!R186</f>
        <v>0</v>
      </c>
      <c r="AI35">
        <f>'2025_Fantasy_Hitters_modified'!S186</f>
        <v>9.0189985272459072</v>
      </c>
      <c r="AJ35">
        <f>'2025_Fantasy_Hitters_modified'!T186</f>
        <v>2.0756995581737816</v>
      </c>
      <c r="AK35">
        <f>'2025_Fantasy_Hitters_modified'!U186</f>
        <v>6.9432989690721261</v>
      </c>
      <c r="AL35">
        <f>'2025_Fantasy_Hitters_modified'!V186</f>
        <v>0.24070720926867173</v>
      </c>
      <c r="AM35">
        <f>'2025_Fantasy_Hitters_modified'!W186</f>
        <v>0.32931824553651495</v>
      </c>
      <c r="AN35">
        <f>'2025_Fantasy_Hitters_modified'!X186</f>
        <v>0.45611449073701688</v>
      </c>
      <c r="AO35">
        <f>'2025_Fantasy_Hitters_modified'!Y186</f>
        <v>0.78543273627353183</v>
      </c>
      <c r="AP35">
        <f>'2025_Fantasy_Hitters_modified'!Z186</f>
        <v>0.28701842519999998</v>
      </c>
      <c r="AQ35">
        <f>'2025_Fantasy_Hitters_modified'!AA186</f>
        <v>25.920471280000001</v>
      </c>
      <c r="AR35">
        <f>'2025_Fantasy_Hitters_modified'!AB186</f>
        <v>10.132193840999999</v>
      </c>
    </row>
    <row r="36" spans="1:44" x14ac:dyDescent="0.4">
      <c r="A36" t="str">
        <f>'2025_Fantasy_Hitters_modified'!A88</f>
        <v>HOU</v>
      </c>
      <c r="B36" t="str">
        <f>'2025_Fantasy_Hitters_modified'!B88</f>
        <v>Christian Walker</v>
      </c>
      <c r="C36">
        <f>'2025_Fantasy_Hitters_modified'!D88</f>
        <v>547</v>
      </c>
      <c r="D36">
        <f>'2025_Fantasy_Hitters_modified'!E88</f>
        <v>622</v>
      </c>
      <c r="E36" s="5">
        <f>(V36-AVERAGE(V$2:V$229))/AVERAGE(V$2:V$229)*100+100</f>
        <v>108.08989291549194</v>
      </c>
      <c r="F36" s="4">
        <f>E36*1.51744-31.775</f>
        <v>132.24492710568407</v>
      </c>
      <c r="G36" s="5">
        <f>(Z36-AVERAGE(Z$2:Z$229))/AVERAGE(Z$2:Z$229)*100+100</f>
        <v>162.28538450440044</v>
      </c>
      <c r="H36" s="4">
        <f>G36*0.83285-13.6979</f>
        <v>121.46148248448989</v>
      </c>
      <c r="I36" s="5">
        <f>(AA36-AVERAGE(AA$2:AA$229))/AVERAGE(AA$2:AA$229)*100+100</f>
        <v>118.86414613242523</v>
      </c>
      <c r="J36" s="5">
        <f>(AB36-AVERAGE(AB$2:AB$229))/AVERAGE(AB$2:AB$229)*100+100</f>
        <v>140.32688230869118</v>
      </c>
      <c r="K36" s="5">
        <f>(AC36-AVERAGE(AC$2:AC$229))/AVERAGE(AC$2:AC$229)*100+100</f>
        <v>129.78619173242421</v>
      </c>
      <c r="L36" s="5">
        <f>(AF36-AVERAGE(AF$2:AF$229))/AVERAGE(AF$2:AF$229)*100+100</f>
        <v>138.2613073437432</v>
      </c>
      <c r="M36" s="5">
        <f>(AI36-AVERAGE(AI$2:AI$229))/AVERAGE(AI$2:AI$229)*100+100</f>
        <v>47.570526804101576</v>
      </c>
      <c r="N36" s="5">
        <f>(AVERAGE(AJ$2:AJ$229)-AJ36)/AVERAGE(AJ$2:AJ$229)*100+100</f>
        <v>163.32167086311233</v>
      </c>
      <c r="O36" s="5">
        <f>(AK36-AVERAGE(AK$2:AK$229))/AVERAGE(AK$2:AK$229)*100+100</f>
        <v>51.385453270288778</v>
      </c>
      <c r="P36" s="5">
        <f>(AL36-AVERAGE(AL$2:AL$229))/AVERAGE(AL$2:AL$229)*100+100</f>
        <v>93.044535878363803</v>
      </c>
      <c r="Q36" s="5">
        <f>(AM36-AVERAGE(AM$2:AM$229))/AVERAGE(AM$2:AM$229)*100+100</f>
        <v>98.050717509012543</v>
      </c>
      <c r="R36" s="5">
        <f>(AN36-AVERAGE(AN$2:AN$229))/AVERAGE(AN$2:AN$229)*100+100</f>
        <v>104.36589285682187</v>
      </c>
      <c r="S36" s="5">
        <f>(AO36-AVERAGE(AO$2:AO$229))/AVERAGE(AO$2:AO$229)*100+100</f>
        <v>101.61067164932356</v>
      </c>
      <c r="T36" s="6">
        <f>(F36*1.5+H36*2.5+I36+J36+K36*1.5+L36+O36*0.75+P36+S36)/11.25</f>
        <v>117.98640157632454</v>
      </c>
      <c r="V36">
        <f>'2025_Fantasy_Hitters_modified'!F88</f>
        <v>126.97413814758011</v>
      </c>
      <c r="W36">
        <f>'2025_Fantasy_Hitters_modified'!G88</f>
        <v>73.225351886980292</v>
      </c>
      <c r="X36">
        <f>'2025_Fantasy_Hitters_modified'!H88</f>
        <v>23.369793155419242</v>
      </c>
      <c r="Y36">
        <f>'2025_Fantasy_Hitters_modified'!I88</f>
        <v>0.9776756900878214</v>
      </c>
      <c r="Z36">
        <f>'2025_Fantasy_Hitters_modified'!J88</f>
        <v>29.599999999999916</v>
      </c>
      <c r="AA36">
        <f>'2025_Fantasy_Hitters_modified'!K88</f>
        <v>78.381566820276262</v>
      </c>
      <c r="AB36">
        <f>'2025_Fantasy_Hitters_modified'!L88</f>
        <v>89.999999999999446</v>
      </c>
      <c r="AC36" s="2">
        <f>'2025_Fantasy_Hitters_modified'!M88</f>
        <v>59.310445470679994</v>
      </c>
      <c r="AD36">
        <f>'2025_Fantasy_Hitters_modified'!N88</f>
        <v>2.6821812596005814</v>
      </c>
      <c r="AE36">
        <f>'2025_Fantasy_Hitters_modified'!O88</f>
        <v>144.27342552779999</v>
      </c>
      <c r="AF36">
        <f>'2025_Fantasy_Hitters_modified'!P88</f>
        <v>8.101449275362274</v>
      </c>
      <c r="AG36">
        <f>'2025_Fantasy_Hitters_modified'!Q88</f>
        <v>5.3999999999999737</v>
      </c>
      <c r="AH36">
        <f>'2025_Fantasy_Hitters_modified'!R88</f>
        <v>0</v>
      </c>
      <c r="AI36">
        <f>'2025_Fantasy_Hitters_modified'!S88</f>
        <v>4.977726574500748</v>
      </c>
      <c r="AJ36">
        <f>'2025_Fantasy_Hitters_modified'!T88</f>
        <v>0.99554531490011955</v>
      </c>
      <c r="AK36">
        <f>'2025_Fantasy_Hitters_modified'!U88</f>
        <v>3.9821812596006283</v>
      </c>
      <c r="AL36">
        <f>'2025_Fantasy_Hitters_modified'!V88</f>
        <v>0.232128223304534</v>
      </c>
      <c r="AM36">
        <f>'2025_Fantasy_Hitters_modified'!W88</f>
        <v>0.32075289575331489</v>
      </c>
      <c r="AN36">
        <f>'2025_Fantasy_Hitters_modified'!X88</f>
        <v>0.44112973540782796</v>
      </c>
      <c r="AO36">
        <f>'2025_Fantasy_Hitters_modified'!Y88</f>
        <v>0.76188263116114285</v>
      </c>
      <c r="AP36">
        <f>'2025_Fantasy_Hitters_modified'!Z88</f>
        <v>0.25724518359999998</v>
      </c>
      <c r="AQ36">
        <f>'2025_Fantasy_Hitters_modified'!AA88</f>
        <v>23.195084489999999</v>
      </c>
      <c r="AR36">
        <f>'2025_Fantasy_Hitters_modified'!AB88</f>
        <v>9.5354413939999993</v>
      </c>
    </row>
    <row r="37" spans="1:44" x14ac:dyDescent="0.4">
      <c r="A37" t="str">
        <f>'2025_Fantasy_Hitters_modified'!A115</f>
        <v>LAD</v>
      </c>
      <c r="B37" t="str">
        <f>'2025_Fantasy_Hitters_modified'!B115</f>
        <v>Teoscar Hernandez</v>
      </c>
      <c r="C37">
        <f>'2025_Fantasy_Hitters_modified'!D115</f>
        <v>566</v>
      </c>
      <c r="D37">
        <f>'2025_Fantasy_Hitters_modified'!E115</f>
        <v>621</v>
      </c>
      <c r="E37" s="5">
        <f>(V37-AVERAGE(V$2:V$229))/AVERAGE(V$2:V$229)*100+100</f>
        <v>125.33170469933793</v>
      </c>
      <c r="F37" s="4">
        <f>E37*1.51744-31.775</f>
        <v>158.40834197896334</v>
      </c>
      <c r="G37" s="5">
        <f>(Z37-AVERAGE(Z$2:Z$229))/AVERAGE(Z$2:Z$229)*100+100</f>
        <v>153.51320155821685</v>
      </c>
      <c r="H37" s="4">
        <f>G37*0.83285-13.6979</f>
        <v>114.1555699177609</v>
      </c>
      <c r="I37" s="5">
        <f>(AA37-AVERAGE(AA$2:AA$229))/AVERAGE(AA$2:AA$229)*100+100</f>
        <v>124.20746994908744</v>
      </c>
      <c r="J37" s="5">
        <f>(AB37-AVERAGE(AB$2:AB$229))/AVERAGE(AB$2:AB$229)*100+100</f>
        <v>141.88606988989963</v>
      </c>
      <c r="K37" s="5">
        <f>(AC37-AVERAGE(AC$2:AC$229))/AVERAGE(AC$2:AC$229)*100+100</f>
        <v>100.19571581250463</v>
      </c>
      <c r="L37" s="5">
        <f>(AF37-AVERAGE(AF$2:AF$229))/AVERAGE(AF$2:AF$229)*100+100</f>
        <v>119.6393875497894</v>
      </c>
      <c r="M37" s="5">
        <f>(AI37-AVERAGE(AI$2:AI$229))/AVERAGE(AI$2:AI$229)*100+100</f>
        <v>85.613736251047925</v>
      </c>
      <c r="N37" s="5">
        <f>(AVERAGE(AJ$2:AJ$229)-AJ37)/AVERAGE(AJ$2:AJ$229)*100+100</f>
        <v>89.981990677192556</v>
      </c>
      <c r="O37" s="5">
        <f>(AK37-AVERAGE(AK$2:AK$229))/AVERAGE(AK$2:AK$229)*100+100</f>
        <v>77.066286959914407</v>
      </c>
      <c r="P37" s="5">
        <f>(AL37-AVERAGE(AL$2:AL$229))/AVERAGE(AL$2:AL$229)*100+100</f>
        <v>104.26477952402685</v>
      </c>
      <c r="Q37" s="5">
        <f>(AM37-AVERAGE(AM$2:AM$229))/AVERAGE(AM$2:AM$229)*100+100</f>
        <v>100.02697291091921</v>
      </c>
      <c r="R37" s="5">
        <f>(AN37-AVERAGE(AN$2:AN$229))/AVERAGE(AN$2:AN$229)*100+100</f>
        <v>108.75879222982924</v>
      </c>
      <c r="S37" s="5">
        <f>(AO37-AVERAGE(AO$2:AO$229))/AVERAGE(AO$2:AO$229)*100+100</f>
        <v>104.94922362048733</v>
      </c>
      <c r="T37" s="6">
        <f>(F37*1.5+H37*2.5+I37+J37+K37*1.5+L37+O37*0.75+P37+S37)/11.25</f>
        <v>117.87036953198495</v>
      </c>
      <c r="V37">
        <f>'2025_Fantasy_Hitters_modified'!F115</f>
        <v>147.22824454278461</v>
      </c>
      <c r="W37">
        <f>'2025_Fantasy_Hitters_modified'!G115</f>
        <v>89.418636157881565</v>
      </c>
      <c r="X37">
        <f>'2025_Fantasy_Hitters_modified'!H115</f>
        <v>27.281039005552312</v>
      </c>
      <c r="Y37">
        <f>'2025_Fantasy_Hitters_modified'!I115</f>
        <v>1.4026852299151085</v>
      </c>
      <c r="Z37">
        <f>'2025_Fantasy_Hitters_modified'!J115</f>
        <v>27.999999999999961</v>
      </c>
      <c r="AA37">
        <f>'2025_Fantasy_Hitters_modified'!K115</f>
        <v>81.905069124423392</v>
      </c>
      <c r="AB37">
        <f>'2025_Fantasy_Hitters_modified'!L115</f>
        <v>90.999999999999943</v>
      </c>
      <c r="AC37" s="2">
        <f>'2025_Fantasy_Hitters_modified'!M115</f>
        <v>45.788018430689995</v>
      </c>
      <c r="AD37">
        <f>'2025_Fantasy_Hitters_modified'!N115</f>
        <v>1.9907834101381974</v>
      </c>
      <c r="AE37">
        <f>'2025_Fantasy_Hitters_modified'!O115</f>
        <v>176.47465437540001</v>
      </c>
      <c r="AF37">
        <f>'2025_Fantasy_Hitters_modified'!P115</f>
        <v>7.0102941176470051</v>
      </c>
      <c r="AG37">
        <f>'2025_Fantasy_Hitters_modified'!Q115</f>
        <v>3.5999999999999615</v>
      </c>
      <c r="AH37">
        <f>'2025_Fantasy_Hitters_modified'!R115</f>
        <v>0</v>
      </c>
      <c r="AI37">
        <f>'2025_Fantasy_Hitters_modified'!S115</f>
        <v>8.9585253456220961</v>
      </c>
      <c r="AJ37">
        <f>'2025_Fantasy_Hitters_modified'!T115</f>
        <v>2.9861751152073488</v>
      </c>
      <c r="AK37">
        <f>'2025_Fantasy_Hitters_modified'!U115</f>
        <v>5.9723502304147473</v>
      </c>
      <c r="AL37">
        <f>'2025_Fantasy_Hitters_modified'!V115</f>
        <v>0.26012057339714595</v>
      </c>
      <c r="AM37">
        <f>'2025_Fantasy_Hitters_modified'!W115</f>
        <v>0.32721781165616315</v>
      </c>
      <c r="AN37">
        <f>'2025_Fantasy_Hitters_modified'!X115</f>
        <v>0.45969747324864196</v>
      </c>
      <c r="AO37">
        <f>'2025_Fantasy_Hitters_modified'!Y115</f>
        <v>0.78691528490480511</v>
      </c>
      <c r="AP37">
        <f>'2025_Fantasy_Hitters_modified'!Z115</f>
        <v>0.32654058660000002</v>
      </c>
      <c r="AQ37">
        <f>'2025_Fantasy_Hitters_modified'!AA115</f>
        <v>28.417818740000001</v>
      </c>
      <c r="AR37">
        <f>'2025_Fantasy_Hitters_modified'!AB115</f>
        <v>7.3732718889999997</v>
      </c>
    </row>
    <row r="38" spans="1:44" x14ac:dyDescent="0.4">
      <c r="A38" t="str">
        <f>'2025_Fantasy_Hitters_modified'!A213</f>
        <v>TEX</v>
      </c>
      <c r="B38" t="str">
        <f>'2025_Fantasy_Hitters_modified'!B213</f>
        <v>Wyatt Langford</v>
      </c>
      <c r="C38">
        <f>'2025_Fantasy_Hitters_modified'!D213</f>
        <v>536</v>
      </c>
      <c r="D38">
        <f>'2025_Fantasy_Hitters_modified'!E213</f>
        <v>602</v>
      </c>
      <c r="E38" s="5">
        <f>(V38-AVERAGE(V$2:V$229))/AVERAGE(V$2:V$229)*100+100</f>
        <v>118.64472584427381</v>
      </c>
      <c r="F38" s="4">
        <f>E38*1.51744-31.775</f>
        <v>148.26125278513481</v>
      </c>
      <c r="G38" s="5">
        <f>(Z38-AVERAGE(Z$2:Z$229))/AVERAGE(Z$2:Z$229)*100+100</f>
        <v>121.71403837830024</v>
      </c>
      <c r="H38" s="4">
        <f>G38*0.83285-13.6979</f>
        <v>87.671636863367354</v>
      </c>
      <c r="I38" s="5">
        <f>(AA38-AVERAGE(AA$2:AA$229))/AVERAGE(AA$2:AA$229)*100+100</f>
        <v>126.02126366616127</v>
      </c>
      <c r="J38" s="5">
        <f>(AB38-AVERAGE(AB$2:AB$229))/AVERAGE(AB$2:AB$229)*100+100</f>
        <v>118.49825617178371</v>
      </c>
      <c r="K38" s="5">
        <f>(AC38-AVERAGE(AC$2:AC$229))/AVERAGE(AC$2:AC$229)*100+100</f>
        <v>120.79396056216197</v>
      </c>
      <c r="L38" s="5">
        <f>(AF38-AVERAGE(AF$2:AF$229))/AVERAGE(AF$2:AF$229)*100+100</f>
        <v>100.820345353439</v>
      </c>
      <c r="M38" s="5">
        <f>(AI38-AVERAGE(AI$2:AI$229))/AVERAGE(AI$2:AI$229)*100+100</f>
        <v>180.96481276728389</v>
      </c>
      <c r="N38" s="5">
        <f>(AVERAGE(AJ$2:AJ$229)-AJ38)/AVERAGE(AJ$2:AJ$229)*100+100</f>
        <v>49.566892502842066</v>
      </c>
      <c r="O38" s="5">
        <f>(AK38-AVERAGE(AK$2:AK$229))/AVERAGE(AK$2:AK$229)*100+100</f>
        <v>191.65835818864829</v>
      </c>
      <c r="P38" s="5">
        <f>(AL38-AVERAGE(AL$2:AL$229))/AVERAGE(AL$2:AL$229)*100+100</f>
        <v>104.22616569139146</v>
      </c>
      <c r="Q38" s="5">
        <f>(AM38-AVERAGE(AM$2:AM$229))/AVERAGE(AM$2:AM$229)*100+100</f>
        <v>103.64200465385832</v>
      </c>
      <c r="R38" s="5">
        <f>(AN38-AVERAGE(AN$2:AN$229))/AVERAGE(AN$2:AN$229)*100+100</f>
        <v>106.83717152494897</v>
      </c>
      <c r="S38" s="5">
        <f>(AO38-AVERAGE(AO$2:AO$229))/AVERAGE(AO$2:AO$229)*100+100</f>
        <v>105.44316565181373</v>
      </c>
      <c r="T38" s="6">
        <f>(F38*1.5+H38*2.5+I38+J38+K38*1.5+L38+O38*0.75+P38+S38)/11.25</f>
        <v>117.46798909826127</v>
      </c>
      <c r="V38">
        <f>'2025_Fantasy_Hitters_modified'!F213</f>
        <v>139.37299227052367</v>
      </c>
      <c r="W38">
        <f>'2025_Fantasy_Hitters_modified'!G213</f>
        <v>84.781501506664029</v>
      </c>
      <c r="X38">
        <f>'2025_Fantasy_Hitters_modified'!H213</f>
        <v>28.283136065298766</v>
      </c>
      <c r="Y38">
        <f>'2025_Fantasy_Hitters_modified'!I213</f>
        <v>3.9655184915514305</v>
      </c>
      <c r="Z38">
        <f>'2025_Fantasy_Hitters_modified'!J213</f>
        <v>22.199999999999921</v>
      </c>
      <c r="AA38">
        <f>'2025_Fantasy_Hitters_modified'!K213</f>
        <v>83.1011235955053</v>
      </c>
      <c r="AB38">
        <f>'2025_Fantasy_Hitters_modified'!L213</f>
        <v>75.999999999999559</v>
      </c>
      <c r="AC38" s="2">
        <f>'2025_Fantasy_Hitters_modified'!M213</f>
        <v>55.201123597801995</v>
      </c>
      <c r="AD38">
        <f>'2025_Fantasy_Hitters_modified'!N213</f>
        <v>1.9932584269662716</v>
      </c>
      <c r="AE38">
        <f>'2025_Fantasy_Hitters_modified'!O213</f>
        <v>118.8539325834</v>
      </c>
      <c r="AF38">
        <f>'2025_Fantasy_Hitters_modified'!P213</f>
        <v>5.9075885328836009</v>
      </c>
      <c r="AG38">
        <f>'2025_Fantasy_Hitters_modified'!Q213</f>
        <v>3.9999999999999702</v>
      </c>
      <c r="AH38">
        <f>'2025_Fantasy_Hitters_modified'!R213</f>
        <v>0</v>
      </c>
      <c r="AI38">
        <f>'2025_Fantasy_Hitters_modified'!S213</f>
        <v>18.935955056179743</v>
      </c>
      <c r="AJ38">
        <f>'2025_Fantasy_Hitters_modified'!T213</f>
        <v>4.0831460674157007</v>
      </c>
      <c r="AK38">
        <f>'2025_Fantasy_Hitters_modified'!U213</f>
        <v>14.852808988764043</v>
      </c>
      <c r="AL38">
        <f>'2025_Fantasy_Hitters_modified'!V213</f>
        <v>0.26002423931067847</v>
      </c>
      <c r="AM38">
        <f>'2025_Fantasy_Hitters_modified'!W213</f>
        <v>0.33904364964333844</v>
      </c>
      <c r="AN38">
        <f>'2025_Fantasy_Hitters_modified'!X213</f>
        <v>0.45157524088043943</v>
      </c>
      <c r="AO38">
        <f>'2025_Fantasy_Hitters_modified'!Y213</f>
        <v>0.79061889052377787</v>
      </c>
      <c r="AP38">
        <f>'2025_Fantasy_Hitters_modified'!Z213</f>
        <v>0.29370634740000001</v>
      </c>
      <c r="AQ38">
        <f>'2025_Fantasy_Hitters_modified'!AA213</f>
        <v>19.74317817</v>
      </c>
      <c r="AR38">
        <f>'2025_Fantasy_Hitters_modified'!AB213</f>
        <v>9.1696218600999995</v>
      </c>
    </row>
    <row r="39" spans="1:44" x14ac:dyDescent="0.4">
      <c r="A39" t="str">
        <f>'2025_Fantasy_Hitters_modified'!A163</f>
        <v>PIT</v>
      </c>
      <c r="B39" t="str">
        <f>'2025_Fantasy_Hitters_modified'!B163</f>
        <v>Bryan Reynolds</v>
      </c>
      <c r="C39">
        <f>'2025_Fantasy_Hitters_modified'!D163</f>
        <v>573</v>
      </c>
      <c r="D39">
        <f>'2025_Fantasy_Hitters_modified'!E163</f>
        <v>642</v>
      </c>
      <c r="E39" s="5">
        <f>(V39-AVERAGE(V$2:V$229))/AVERAGE(V$2:V$229)*100+100</f>
        <v>129.95227492804247</v>
      </c>
      <c r="F39" s="4">
        <f>E39*1.51744-31.775</f>
        <v>165.41978006680876</v>
      </c>
      <c r="G39" s="5">
        <f>(Z39-AVERAGE(Z$2:Z$229))/AVERAGE(Z$2:Z$229)*100+100</f>
        <v>114.0383783003895</v>
      </c>
      <c r="H39" s="4">
        <f>G39*0.83285-13.6979</f>
        <v>81.278963367479392</v>
      </c>
      <c r="I39" s="5">
        <f>(AA39-AVERAGE(AA$2:AA$229))/AVERAGE(AA$2:AA$229)*100+100</f>
        <v>119.87922512835949</v>
      </c>
      <c r="J39" s="5">
        <f>(AB39-AVERAGE(AB$2:AB$229))/AVERAGE(AB$2:AB$229)*100+100</f>
        <v>123.17581891540682</v>
      </c>
      <c r="K39" s="5">
        <f>(AC39-AVERAGE(AC$2:AC$229))/AVERAGE(AC$2:AC$229)*100+100</f>
        <v>126.66104569655884</v>
      </c>
      <c r="L39" s="5">
        <f>(AF39-AVERAGE(AF$2:AF$229))/AVERAGE(AF$2:AF$229)*100+100</f>
        <v>153.54849227148958</v>
      </c>
      <c r="M39" s="5">
        <f>(AI39-AVERAGE(AI$2:AI$229))/AVERAGE(AI$2:AI$229)*100+100</f>
        <v>85.030685108436288</v>
      </c>
      <c r="N39" s="5">
        <f>(AVERAGE(AJ$2:AJ$229)-AJ39)/AVERAGE(AJ$2:AJ$229)*100+100</f>
        <v>126.3379822040161</v>
      </c>
      <c r="O39" s="5">
        <f>(AK39-AVERAGE(AK$2:AK$229))/AVERAGE(AK$2:AK$229)*100+100</f>
        <v>89.012492190959236</v>
      </c>
      <c r="P39" s="5">
        <f>(AL39-AVERAGE(AL$2:AL$229))/AVERAGE(AL$2:AL$229)*100+100</f>
        <v>106.78798167171763</v>
      </c>
      <c r="Q39" s="5">
        <f>(AM39-AVERAGE(AM$2:AM$229))/AVERAGE(AM$2:AM$229)*100+100</f>
        <v>106.64436134489782</v>
      </c>
      <c r="R39" s="5">
        <f>(AN39-AVERAGE(AN$2:AN$229))/AVERAGE(AN$2:AN$229)*100+100</f>
        <v>105.17563224824715</v>
      </c>
      <c r="S39" s="5">
        <f>(AO39-AVERAGE(AO$2:AO$229))/AVERAGE(AO$2:AO$229)*100+100</f>
        <v>105.81641786896078</v>
      </c>
      <c r="T39" s="6">
        <f>(F39*1.5+H39*2.5+I39+J39+K39*1.5+L39+O39*0.75+P39+S39)/11.25</f>
        <v>117.09208462781365</v>
      </c>
      <c r="V39">
        <f>'2025_Fantasy_Hitters_modified'!F163</f>
        <v>152.65606861324437</v>
      </c>
      <c r="W39">
        <f>'2025_Fantasy_Hitters_modified'!G163</f>
        <v>99.403121493317968</v>
      </c>
      <c r="X39">
        <f>'2025_Fantasy_Hitters_modified'!H163</f>
        <v>29.967288321191877</v>
      </c>
      <c r="Y39">
        <f>'2025_Fantasy_Hitters_modified'!I163</f>
        <v>4.0635919601028068</v>
      </c>
      <c r="Z39">
        <f>'2025_Fantasy_Hitters_modified'!J163</f>
        <v>20.79999999999994</v>
      </c>
      <c r="AA39">
        <f>'2025_Fantasy_Hitters_modified'!K163</f>
        <v>79.05093167701817</v>
      </c>
      <c r="AB39">
        <f>'2025_Fantasy_Hitters_modified'!L163</f>
        <v>78.999999999999588</v>
      </c>
      <c r="AC39" s="2">
        <f>'2025_Fantasy_Hitters_modified'!M163</f>
        <v>57.882298137947998</v>
      </c>
      <c r="AD39">
        <f>'2025_Fantasy_Hitters_modified'!N163</f>
        <v>2.9990683229813189</v>
      </c>
      <c r="AE39">
        <f>'2025_Fantasy_Hitters_modified'!O163</f>
        <v>140.56211181479998</v>
      </c>
      <c r="AF39">
        <f>'2025_Fantasy_Hitters_modified'!P163</f>
        <v>8.9972049689440663</v>
      </c>
      <c r="AG39">
        <f>'2025_Fantasy_Hitters_modified'!Q163</f>
        <v>3.9999999999999507</v>
      </c>
      <c r="AH39">
        <f>'2025_Fantasy_Hitters_modified'!R163</f>
        <v>0.39999999999997587</v>
      </c>
      <c r="AI39">
        <f>'2025_Fantasy_Hitters_modified'!S163</f>
        <v>8.8975155279502705</v>
      </c>
      <c r="AJ39">
        <f>'2025_Fantasy_Hitters_modified'!T163</f>
        <v>1.9993788819875267</v>
      </c>
      <c r="AK39">
        <f>'2025_Fantasy_Hitters_modified'!U163</f>
        <v>6.8981366459627438</v>
      </c>
      <c r="AL39">
        <f>'2025_Fantasy_Hitters_modified'!V163</f>
        <v>0.26641547751002509</v>
      </c>
      <c r="AM39">
        <f>'2025_Fantasy_Hitters_modified'!W163</f>
        <v>0.34886524633534366</v>
      </c>
      <c r="AN39">
        <f>'2025_Fantasy_Hitters_modified'!X163</f>
        <v>0.44455231067366474</v>
      </c>
      <c r="AO39">
        <f>'2025_Fantasy_Hitters_modified'!Y163</f>
        <v>0.7934175570090084</v>
      </c>
      <c r="AP39">
        <f>'2025_Fantasy_Hitters_modified'!Z163</f>
        <v>0.31723784659999998</v>
      </c>
      <c r="AQ39">
        <f>'2025_Fantasy_Hitters_modified'!AA163</f>
        <v>21.894409939999999</v>
      </c>
      <c r="AR39">
        <f>'2025_Fantasy_Hitters_modified'!AB163</f>
        <v>9.0159342894000005</v>
      </c>
    </row>
    <row r="40" spans="1:44" x14ac:dyDescent="0.4">
      <c r="A40" t="str">
        <f>'2025_Fantasy_Hitters_modified'!A197</f>
        <v>STL</v>
      </c>
      <c r="B40" t="str">
        <f>'2025_Fantasy_Hitters_modified'!B197</f>
        <v>Willson Contreras</v>
      </c>
      <c r="C40">
        <f>'2025_Fantasy_Hitters_modified'!D197</f>
        <v>474</v>
      </c>
      <c r="D40">
        <f>'2025_Fantasy_Hitters_modified'!E197</f>
        <v>552</v>
      </c>
      <c r="E40" s="5">
        <f>(V40-AVERAGE(V$2:V$229))/AVERAGE(V$2:V$229)*100+100</f>
        <v>99.926564536357787</v>
      </c>
      <c r="F40" s="4">
        <f>E40*1.51744-31.775</f>
        <v>119.85756609005074</v>
      </c>
      <c r="G40" s="5">
        <f>(Z40-AVERAGE(Z$2:Z$229))/AVERAGE(Z$2:Z$229)*100+100</f>
        <v>112.9418554321167</v>
      </c>
      <c r="H40" s="4">
        <f>G40*0.83285-13.6979</f>
        <v>80.36572429663839</v>
      </c>
      <c r="I40" s="5">
        <f>(AA40-AVERAGE(AA$2:AA$229))/AVERAGE(AA$2:AA$229)*100+100</f>
        <v>104.20087644787874</v>
      </c>
      <c r="J40" s="5">
        <f>(AB40-AVERAGE(AB$2:AB$229))/AVERAGE(AB$2:AB$229)*100+100</f>
        <v>106.02475552212248</v>
      </c>
      <c r="K40" s="5">
        <f>(AC40-AVERAGE(AC$2:AC$229))/AVERAGE(AC$2:AC$229)*100+100</f>
        <v>127.06836781050123</v>
      </c>
      <c r="L40" s="5">
        <f>(AF40-AVERAGE(AF$2:AF$229))/AVERAGE(AF$2:AF$229)*100+100</f>
        <v>292.36659224092296</v>
      </c>
      <c r="M40" s="5">
        <f>(AI40-AVERAGE(AI$2:AI$229))/AVERAGE(AI$2:AI$229)*100+100</f>
        <v>56.863817714547061</v>
      </c>
      <c r="N40" s="5">
        <f>(AVERAGE(AJ$2:AJ$229)-AJ40)/AVERAGE(AJ$2:AJ$229)*100+100</f>
        <v>126.92709953570156</v>
      </c>
      <c r="O40" s="5">
        <f>(AK40-AVERAGE(AK$2:AK$229))/AVERAGE(AK$2:AK$229)*100+100</f>
        <v>51.186684351389779</v>
      </c>
      <c r="P40" s="5">
        <f>(AL40-AVERAGE(AL$2:AL$229))/AVERAGE(AL$2:AL$229)*100+100</f>
        <v>99.264904394772415</v>
      </c>
      <c r="Q40" s="5">
        <f>(AM40-AVERAGE(AM$2:AM$229))/AVERAGE(AM$2:AM$229)*100+100</f>
        <v>110.56605084979908</v>
      </c>
      <c r="R40" s="5">
        <f>(AN40-AVERAGE(AN$2:AN$229))/AVERAGE(AN$2:AN$229)*100+100</f>
        <v>101.31856652725774</v>
      </c>
      <c r="S40" s="5">
        <f>(AO40-AVERAGE(AO$2:AO$229))/AVERAGE(AO$2:AO$229)*100+100</f>
        <v>105.35311244533929</v>
      </c>
      <c r="T40" s="6">
        <f>(F40*1.5+H40*2.5+I40+J40+K40*1.5+L40+O40*0.75+P40+S40)/11.25</f>
        <v>117.05808585840019</v>
      </c>
      <c r="V40">
        <f>'2025_Fantasy_Hitters_modified'!F197</f>
        <v>117.38460523753611</v>
      </c>
      <c r="W40">
        <f>'2025_Fantasy_Hitters_modified'!G197</f>
        <v>73.193357710886701</v>
      </c>
      <c r="X40">
        <f>'2025_Fantasy_Hitters_modified'!H197</f>
        <v>22.179805366935302</v>
      </c>
      <c r="Y40">
        <f>'2025_Fantasy_Hitters_modified'!I197</f>
        <v>1.0124179100505353</v>
      </c>
      <c r="Z40">
        <f>'2025_Fantasy_Hitters_modified'!J197</f>
        <v>20.599999999999973</v>
      </c>
      <c r="AA40">
        <f>'2025_Fantasy_Hitters_modified'!K197</f>
        <v>68.712292358803609</v>
      </c>
      <c r="AB40">
        <f>'2025_Fantasy_Hitters_modified'!L197</f>
        <v>67.999999999999744</v>
      </c>
      <c r="AC40" s="2">
        <f>'2025_Fantasy_Hitters_modified'!M197</f>
        <v>58.068438556319997</v>
      </c>
      <c r="AD40">
        <f>'2025_Fantasy_Hitters_modified'!N197</f>
        <v>1.4833887043189213</v>
      </c>
      <c r="AE40">
        <f>'2025_Fantasy_Hitters_modified'!O197</f>
        <v>136.6245846912</v>
      </c>
      <c r="AF40">
        <f>'2025_Fantasy_Hitters_modified'!P197</f>
        <v>17.131279620853014</v>
      </c>
      <c r="AG40">
        <f>'2025_Fantasy_Hitters_modified'!Q197</f>
        <v>2.9999999999999711</v>
      </c>
      <c r="AH40">
        <f>'2025_Fantasy_Hitters_modified'!R197</f>
        <v>0</v>
      </c>
      <c r="AI40">
        <f>'2025_Fantasy_Hitters_modified'!S197</f>
        <v>5.9501661129567776</v>
      </c>
      <c r="AJ40">
        <f>'2025_Fantasy_Hitters_modified'!T197</f>
        <v>1.9833887043189347</v>
      </c>
      <c r="AK40">
        <f>'2025_Fantasy_Hitters_modified'!U197</f>
        <v>3.9667774086378431</v>
      </c>
      <c r="AL40">
        <f>'2025_Fantasy_Hitters_modified'!V197</f>
        <v>0.2476468464926922</v>
      </c>
      <c r="AM40">
        <f>'2025_Fantasy_Hitters_modified'!W197</f>
        <v>0.36169425255681109</v>
      </c>
      <c r="AN40">
        <f>'2025_Fantasy_Hitters_modified'!X197</f>
        <v>0.42824941387111565</v>
      </c>
      <c r="AO40">
        <f>'2025_Fantasy_Hitters_modified'!Y197</f>
        <v>0.78994366642792668</v>
      </c>
      <c r="AP40">
        <f>'2025_Fantasy_Hitters_modified'!Z197</f>
        <v>0.3026643094</v>
      </c>
      <c r="AQ40">
        <f>'2025_Fantasy_Hitters_modified'!AA197</f>
        <v>24.750830560000001</v>
      </c>
      <c r="AR40">
        <f>'2025_Fantasy_Hitters_modified'!AB197</f>
        <v>10.519644666</v>
      </c>
    </row>
    <row r="41" spans="1:44" x14ac:dyDescent="0.4">
      <c r="A41" t="str">
        <f>'2025_Fantasy_Hitters_modified'!A51</f>
        <v>CHC</v>
      </c>
      <c r="B41" t="str">
        <f>'2025_Fantasy_Hitters_modified'!B51</f>
        <v>Ian Happ</v>
      </c>
      <c r="C41">
        <f>'2025_Fantasy_Hitters_modified'!D51</f>
        <v>559</v>
      </c>
      <c r="D41">
        <f>'2025_Fantasy_Hitters_modified'!E51</f>
        <v>647</v>
      </c>
      <c r="E41" s="5">
        <f>(V41-AVERAGE(V$2:V$229))/AVERAGE(V$2:V$229)*100+100</f>
        <v>114.42635225086917</v>
      </c>
      <c r="F41" s="4">
        <f>E41*1.51744-31.775</f>
        <v>141.8601239595589</v>
      </c>
      <c r="G41" s="5">
        <f>(Z41-AVERAGE(Z$2:Z$229))/AVERAGE(Z$2:Z$229)*100+100</f>
        <v>118.42446977348118</v>
      </c>
      <c r="H41" s="4">
        <f>G41*0.83285-13.6979</f>
        <v>84.931919650843795</v>
      </c>
      <c r="I41" s="5">
        <f>(AA41-AVERAGE(AA$2:AA$229))/AVERAGE(AA$2:AA$229)*100+100</f>
        <v>125.61877552687311</v>
      </c>
      <c r="J41" s="5">
        <f>(AB41-AVERAGE(AB$2:AB$229))/AVERAGE(AB$2:AB$229)*100+100</f>
        <v>120.05744375299142</v>
      </c>
      <c r="K41" s="5">
        <f>(AC41-AVERAGE(AC$2:AC$229))/AVERAGE(AC$2:AC$229)*100+100</f>
        <v>166.32049114999529</v>
      </c>
      <c r="L41" s="5">
        <f>(AF41-AVERAGE(AF$2:AF$229))/AVERAGE(AF$2:AF$229)*100+100</f>
        <v>102.60742521844639</v>
      </c>
      <c r="M41" s="5">
        <f>(AI41-AVERAGE(AI$2:AI$229))/AVERAGE(AI$2:AI$229)*100+100</f>
        <v>114.25349080647941</v>
      </c>
      <c r="N41" s="5">
        <f>(AVERAGE(AJ$2:AJ$229)-AJ41)/AVERAGE(AJ$2:AJ$229)*100+100</f>
        <v>89.88383610676172</v>
      </c>
      <c r="O41" s="5">
        <f>(AK41-AVERAGE(AK$2:AK$229))/AVERAGE(AK$2:AK$229)*100+100</f>
        <v>115.70256457678953</v>
      </c>
      <c r="P41" s="5">
        <f>(AL41-AVERAGE(AL$2:AL$229))/AVERAGE(AL$2:AL$229)*100+100</f>
        <v>96.384535607445088</v>
      </c>
      <c r="Q41" s="5">
        <f>(AM41-AVERAGE(AM$2:AM$229))/AVERAGE(AM$2:AM$229)*100+100</f>
        <v>104.16757682773827</v>
      </c>
      <c r="R41" s="5">
        <f>(AN41-AVERAGE(AN$2:AN$229))/AVERAGE(AN$2:AN$229)*100+100</f>
        <v>98.015358862387899</v>
      </c>
      <c r="S41" s="5">
        <f>(AO41-AVERAGE(AO$2:AO$229))/AVERAGE(AO$2:AO$229)*100+100</f>
        <v>100.69948408104314</v>
      </c>
      <c r="T41" s="6">
        <f>(F41*1.5+H41*2.5+I41+J41+K41*1.5+L41+O41*0.75+P41+S41)/11.25</f>
        <v>116.15513861429621</v>
      </c>
      <c r="V41">
        <f>'2025_Fantasy_Hitters_modified'!F51</f>
        <v>134.41763208873653</v>
      </c>
      <c r="W41">
        <f>'2025_Fantasy_Hitters_modified'!G51</f>
        <v>81.268630548877411</v>
      </c>
      <c r="X41">
        <f>'2025_Fantasy_Hitters_modified'!H51</f>
        <v>28.953197615693362</v>
      </c>
      <c r="Y41">
        <f>'2025_Fantasy_Hitters_modified'!I51</f>
        <v>2.0039035788201507</v>
      </c>
      <c r="Z41">
        <f>'2025_Fantasy_Hitters_modified'!J51</f>
        <v>21.599999999999898</v>
      </c>
      <c r="AA41">
        <f>'2025_Fantasy_Hitters_modified'!K51</f>
        <v>82.835714285713621</v>
      </c>
      <c r="AB41">
        <f>'2025_Fantasy_Hitters_modified'!L51</f>
        <v>76.999999999999574</v>
      </c>
      <c r="AC41" s="2">
        <f>'2025_Fantasy_Hitters_modified'!M51</f>
        <v>76.006101183289999</v>
      </c>
      <c r="AD41">
        <f>'2025_Fantasy_Hitters_modified'!N51</f>
        <v>1.9925595238094878</v>
      </c>
      <c r="AE41">
        <f>'2025_Fantasy_Hitters_modified'!O51</f>
        <v>155.97321430419998</v>
      </c>
      <c r="AF41">
        <f>'2025_Fantasy_Hitters_modified'!P51</f>
        <v>6.0123028391166811</v>
      </c>
      <c r="AG41">
        <f>'2025_Fantasy_Hitters_modified'!Q51</f>
        <v>3.9999999999999947</v>
      </c>
      <c r="AH41">
        <f>'2025_Fantasy_Hitters_modified'!R51</f>
        <v>0</v>
      </c>
      <c r="AI41">
        <f>'2025_Fantasy_Hitters_modified'!S51</f>
        <v>11.955357142857068</v>
      </c>
      <c r="AJ41">
        <f>'2025_Fantasy_Hitters_modified'!T51</f>
        <v>2.9888392857142376</v>
      </c>
      <c r="AK41">
        <f>'2025_Fantasy_Hitters_modified'!U51</f>
        <v>8.9665178571428292</v>
      </c>
      <c r="AL41">
        <f>'2025_Fantasy_Hitters_modified'!V51</f>
        <v>0.24046088030185425</v>
      </c>
      <c r="AM41">
        <f>'2025_Fantasy_Hitters_modified'!W51</f>
        <v>0.34076295166357978</v>
      </c>
      <c r="AN41">
        <f>'2025_Fantasy_Hitters_modified'!X51</f>
        <v>0.41428754296372849</v>
      </c>
      <c r="AO41">
        <f>'2025_Fantasy_Hitters_modified'!Y51</f>
        <v>0.75505049462730822</v>
      </c>
      <c r="AP41">
        <f>'2025_Fantasy_Hitters_modified'!Z51</f>
        <v>0.29270833340000002</v>
      </c>
      <c r="AQ41">
        <f>'2025_Fantasy_Hitters_modified'!AA51</f>
        <v>24.10714286</v>
      </c>
      <c r="AR41">
        <f>'2025_Fantasy_Hitters_modified'!AB51</f>
        <v>11.747465407</v>
      </c>
    </row>
    <row r="42" spans="1:44" x14ac:dyDescent="0.4">
      <c r="A42" t="str">
        <f>'2025_Fantasy_Hitters_modified'!A22</f>
        <v>ATL</v>
      </c>
      <c r="B42" t="str">
        <f>'2025_Fantasy_Hitters_modified'!B22</f>
        <v>Marcell Ozuna</v>
      </c>
      <c r="C42">
        <f>'2025_Fantasy_Hitters_modified'!D22</f>
        <v>557</v>
      </c>
      <c r="D42">
        <f>'2025_Fantasy_Hitters_modified'!E22</f>
        <v>625</v>
      </c>
      <c r="E42" s="5">
        <f>(V42-AVERAGE(V$2:V$229))/AVERAGE(V$2:V$229)*100+100</f>
        <v>121.02165738535993</v>
      </c>
      <c r="F42" s="4">
        <f>E42*1.51744-31.775</f>
        <v>151.86810378284056</v>
      </c>
      <c r="G42" s="5">
        <f>(Z42-AVERAGE(Z$2:Z$229))/AVERAGE(Z$2:Z$229)*100+100</f>
        <v>171.05756745058471</v>
      </c>
      <c r="H42" s="4">
        <f>G42*0.83285-13.6979</f>
        <v>128.76739505121947</v>
      </c>
      <c r="I42" s="5">
        <f>(AA42-AVERAGE(AA$2:AA$229))/AVERAGE(AA$2:AA$229)*100+100</f>
        <v>122.42903476327864</v>
      </c>
      <c r="J42" s="5">
        <f>(AB42-AVERAGE(AB$2:AB$229))/AVERAGE(AB$2:AB$229)*100+100</f>
        <v>143.44525747110742</v>
      </c>
      <c r="K42" s="5">
        <f>(AC42-AVERAGE(AC$2:AC$229))/AVERAGE(AC$2:AC$229)*100+100</f>
        <v>135.26687006684975</v>
      </c>
      <c r="L42" s="5">
        <f>(AF42-AVERAGE(AF$2:AF$229))/AVERAGE(AF$2:AF$229)*100+100</f>
        <v>66.880519164874855</v>
      </c>
      <c r="M42" s="5">
        <f>(AI42-AVERAGE(AI$2:AI$229))/AVERAGE(AI$2:AI$229)*100+100</f>
        <v>9.4991935754831189</v>
      </c>
      <c r="N42" s="5">
        <f>(AVERAGE(AJ$2:AJ$229)-AJ42)/AVERAGE(AJ$2:AJ$229)*100+100</f>
        <v>200</v>
      </c>
      <c r="O42" s="5">
        <f>(AK42-AVERAGE(AK$2:AK$229))/AVERAGE(AK$2:AK$229)*100+100</f>
        <v>12.826228769457458</v>
      </c>
      <c r="P42" s="5">
        <f>(AL42-AVERAGE(AL$2:AL$229))/AVERAGE(AL$2:AL$229)*100+100</f>
        <v>102.30597878953299</v>
      </c>
      <c r="Q42" s="5">
        <f>(AM42-AVERAGE(AM$2:AM$229))/AVERAGE(AM$2:AM$229)*100+100</f>
        <v>102.49555885280931</v>
      </c>
      <c r="R42" s="5">
        <f>(AN42-AVERAGE(AN$2:AN$229))/AVERAGE(AN$2:AN$229)*100+100</f>
        <v>112.8102694741344</v>
      </c>
      <c r="S42" s="5">
        <f>(AO42-AVERAGE(AO$2:AO$229))/AVERAGE(AO$2:AO$229)*100+100</f>
        <v>108.31010789699923</v>
      </c>
      <c r="T42" s="6">
        <f>(F42*1.5+H42*2.5+I42+J42+K42*1.5+L42+O42*0.75+P42+S42)/11.25</f>
        <v>116.05435716137514</v>
      </c>
      <c r="V42">
        <f>'2025_Fantasy_Hitters_modified'!F22</f>
        <v>142.16519444340557</v>
      </c>
      <c r="W42">
        <f>'2025_Fantasy_Hitters_modified'!G22</f>
        <v>84.107689416616637</v>
      </c>
      <c r="X42">
        <f>'2025_Fantasy_Hitters_modified'!H22</f>
        <v>27.741298610851391</v>
      </c>
      <c r="Y42">
        <f>'2025_Fantasy_Hitters_modified'!I22</f>
        <v>0.39987457457083048</v>
      </c>
      <c r="Z42">
        <f>'2025_Fantasy_Hitters_modified'!J22</f>
        <v>31.2</v>
      </c>
      <c r="AA42">
        <f>'2025_Fantasy_Hitters_modified'!K22</f>
        <v>80.7323308270675</v>
      </c>
      <c r="AB42">
        <f>'2025_Fantasy_Hitters_modified'!L22</f>
        <v>92</v>
      </c>
      <c r="AC42" s="2">
        <f>'2025_Fantasy_Hitters_modified'!M22</f>
        <v>61.815037593749999</v>
      </c>
      <c r="AD42">
        <f>'2025_Fantasy_Hitters_modified'!N22</f>
        <v>1.3939849624060126</v>
      </c>
      <c r="AE42">
        <f>'2025_Fantasy_Hitters_modified'!O22</f>
        <v>155.075188</v>
      </c>
      <c r="AF42">
        <f>'2025_Fantasy_Hitters_modified'!P22</f>
        <v>3.9188775510204064</v>
      </c>
      <c r="AG42">
        <f>'2025_Fantasy_Hitters_modified'!Q22</f>
        <v>4</v>
      </c>
      <c r="AH42">
        <f>'2025_Fantasy_Hitters_modified'!R22</f>
        <v>0</v>
      </c>
      <c r="AI42">
        <f>'2025_Fantasy_Hitters_modified'!S22</f>
        <v>0.99398496240601253</v>
      </c>
      <c r="AJ42">
        <f>'2025_Fantasy_Hitters_modified'!T22</f>
        <v>0</v>
      </c>
      <c r="AK42">
        <f>'2025_Fantasy_Hitters_modified'!U22</f>
        <v>0.99398496240601253</v>
      </c>
      <c r="AL42">
        <f>'2025_Fantasy_Hitters_modified'!V22</f>
        <v>0.25523374226823264</v>
      </c>
      <c r="AM42">
        <f>'2025_Fantasy_Hitters_modified'!W22</f>
        <v>0.3352932863634685</v>
      </c>
      <c r="AN42">
        <f>'2025_Fantasy_Hitters_modified'!X22</f>
        <v>0.47682210118856716</v>
      </c>
      <c r="AO42">
        <f>'2025_Fantasy_Hitters_modified'!Y22</f>
        <v>0.81211538755203572</v>
      </c>
      <c r="AP42">
        <f>'2025_Fantasy_Hitters_modified'!Z22</f>
        <v>0.29612449159999998</v>
      </c>
      <c r="AQ42">
        <f>'2025_Fantasy_Hitters_modified'!AA22</f>
        <v>24.81203008</v>
      </c>
      <c r="AR42">
        <f>'2025_Fantasy_Hitters_modified'!AB22</f>
        <v>9.8904060149999999</v>
      </c>
    </row>
    <row r="43" spans="1:44" x14ac:dyDescent="0.4">
      <c r="A43" t="str">
        <f>'2025_Fantasy_Hitters_modified'!A106</f>
        <v>LAA</v>
      </c>
      <c r="B43" t="str">
        <f>'2025_Fantasy_Hitters_modified'!B106</f>
        <v>Taylor Ward</v>
      </c>
      <c r="C43">
        <f>'2025_Fantasy_Hitters_modified'!D106</f>
        <v>562</v>
      </c>
      <c r="D43">
        <f>'2025_Fantasy_Hitters_modified'!E106</f>
        <v>639</v>
      </c>
      <c r="E43" s="5">
        <f>(V43-AVERAGE(V$2:V$229))/AVERAGE(V$2:V$229)*100+100</f>
        <v>120.33572227669858</v>
      </c>
      <c r="F43" s="4">
        <f>E43*1.51744-31.775</f>
        <v>150.82723841155348</v>
      </c>
      <c r="G43" s="5">
        <f>(Z43-AVERAGE(Z$2:Z$229))/AVERAGE(Z$2:Z$229)*100+100</f>
        <v>131.58274419275716</v>
      </c>
      <c r="H43" s="4">
        <f>G43*0.83285-13.6979</f>
        <v>95.890788500937788</v>
      </c>
      <c r="I43" s="5">
        <f>(AA43-AVERAGE(AA$2:AA$229))/AVERAGE(AA$2:AA$229)*100+100</f>
        <v>121.65614509665312</v>
      </c>
      <c r="J43" s="5">
        <f>(AB43-AVERAGE(AB$2:AB$229))/AVERAGE(AB$2:AB$229)*100+100</f>
        <v>115.37988100936873</v>
      </c>
      <c r="K43" s="5">
        <f>(AC43-AVERAGE(AC$2:AC$229))/AVERAGE(AC$2:AC$229)*100+100</f>
        <v>135.78340552238382</v>
      </c>
      <c r="L43" s="5">
        <f>(AF43-AVERAGE(AF$2:AF$229))/AVERAGE(AF$2:AF$229)*100+100</f>
        <v>136.26946451946384</v>
      </c>
      <c r="M43" s="5">
        <f>(AI43-AVERAGE(AI$2:AI$229))/AVERAGE(AI$2:AI$229)*100+100</f>
        <v>66.844802979223331</v>
      </c>
      <c r="N43" s="5">
        <f>(AVERAGE(AJ$2:AJ$229)-AJ43)/AVERAGE(AJ$2:AJ$229)*100+100</f>
        <v>122.7166667904654</v>
      </c>
      <c r="O43" s="5">
        <f>(AK43-AVERAGE(AK$2:AK$229))/AVERAGE(AK$2:AK$229)*100+100</f>
        <v>63.188770793581313</v>
      </c>
      <c r="P43" s="5">
        <f>(AL43-AVERAGE(AL$2:AL$229))/AVERAGE(AL$2:AL$229)*100+100</f>
        <v>100.82108505745862</v>
      </c>
      <c r="Q43" s="5">
        <f>(AM43-AVERAGE(AM$2:AM$229))/AVERAGE(AM$2:AM$229)*100+100</f>
        <v>102.79180947781389</v>
      </c>
      <c r="R43" s="5">
        <f>(AN43-AVERAGE(AN$2:AN$229))/AVERAGE(AN$2:AN$229)*100+100</f>
        <v>102.08353440251484</v>
      </c>
      <c r="S43" s="5">
        <f>(AO43-AVERAGE(AO$2:AO$229))/AVERAGE(AO$2:AO$229)*100+100</f>
        <v>102.39254474676174</v>
      </c>
      <c r="T43" s="6">
        <f>(F43*1.5+H43*2.5+I43+J43+K43*1.5+L43+O43*0.75+P43+S43)/11.25</f>
        <v>114.98254539361268</v>
      </c>
      <c r="V43">
        <f>'2025_Fantasy_Hitters_modified'!F106</f>
        <v>141.3594205000866</v>
      </c>
      <c r="W43">
        <f>'2025_Fantasy_Hitters_modified'!G106</f>
        <v>87.533075469573191</v>
      </c>
      <c r="X43">
        <f>'2025_Fantasy_Hitters_modified'!H106</f>
        <v>27.383864783353516</v>
      </c>
      <c r="Y43">
        <f>'2025_Fantasy_Hitters_modified'!I106</f>
        <v>1.3975002701878978</v>
      </c>
      <c r="Z43">
        <f>'2025_Fantasy_Hitters_modified'!J106</f>
        <v>23.999999999999943</v>
      </c>
      <c r="AA43">
        <f>'2025_Fantasy_Hitters_modified'!K106</f>
        <v>80.222670807453028</v>
      </c>
      <c r="AB43">
        <f>'2025_Fantasy_Hitters_modified'!L106</f>
        <v>73.999999999999815</v>
      </c>
      <c r="AC43" s="2">
        <f>'2025_Fantasy_Hitters_modified'!M106</f>
        <v>62.051086957400997</v>
      </c>
      <c r="AD43">
        <f>'2025_Fantasy_Hitters_modified'!N106</f>
        <v>0.3999999999999852</v>
      </c>
      <c r="AE43">
        <f>'2025_Fantasy_Hitters_modified'!O106</f>
        <v>149.82763975830002</v>
      </c>
      <c r="AF43">
        <f>'2025_Fantasy_Hitters_modified'!P106</f>
        <v>7.9847368421051907</v>
      </c>
      <c r="AG43">
        <f>'2025_Fantasy_Hitters_modified'!Q106</f>
        <v>5.3999999999999471</v>
      </c>
      <c r="AH43">
        <f>'2025_Fantasy_Hitters_modified'!R106</f>
        <v>0.3999999999999852</v>
      </c>
      <c r="AI43">
        <f>'2025_Fantasy_Hitters_modified'!S106</f>
        <v>6.9945652173912434</v>
      </c>
      <c r="AJ43">
        <f>'2025_Fantasy_Hitters_modified'!T106</f>
        <v>2.0976708074534067</v>
      </c>
      <c r="AK43">
        <f>'2025_Fantasy_Hitters_modified'!U106</f>
        <v>4.8968944099378362</v>
      </c>
      <c r="AL43">
        <f>'2025_Fantasy_Hitters_modified'!V106</f>
        <v>0.25152921797168432</v>
      </c>
      <c r="AM43">
        <f>'2025_Fantasy_Hitters_modified'!W106</f>
        <v>0.33626240977483174</v>
      </c>
      <c r="AN43">
        <f>'2025_Fantasy_Hitters_modified'!X106</f>
        <v>0.43148275061715963</v>
      </c>
      <c r="AO43">
        <f>'2025_Fantasy_Hitters_modified'!Y106</f>
        <v>0.76774516039199137</v>
      </c>
      <c r="AP43">
        <f>'2025_Fantasy_Hitters_modified'!Z106</f>
        <v>0.29819019920000001</v>
      </c>
      <c r="AQ43">
        <f>'2025_Fantasy_Hitters_modified'!AA106</f>
        <v>23.447204970000001</v>
      </c>
      <c r="AR43">
        <f>'2025_Fantasy_Hitters_modified'!AB106</f>
        <v>9.7106552358999991</v>
      </c>
    </row>
    <row r="44" spans="1:44" x14ac:dyDescent="0.4">
      <c r="A44" t="str">
        <f>'2025_Fantasy_Hitters_modified'!A207</f>
        <v>TEX</v>
      </c>
      <c r="B44" t="str">
        <f>'2025_Fantasy_Hitters_modified'!B207</f>
        <v>Corey Seager</v>
      </c>
      <c r="C44">
        <f>'2025_Fantasy_Hitters_modified'!D207</f>
        <v>486</v>
      </c>
      <c r="D44">
        <f>'2025_Fantasy_Hitters_modified'!E207</f>
        <v>550</v>
      </c>
      <c r="E44" s="5">
        <f>(V44-AVERAGE(V$2:V$229))/AVERAGE(V$2:V$229)*100+100</f>
        <v>116.6244509219441</v>
      </c>
      <c r="F44" s="4">
        <f>E44*1.51744-31.775</f>
        <v>145.19560680699485</v>
      </c>
      <c r="G44" s="5">
        <f>(Z44-AVERAGE(Z$2:Z$229))/AVERAGE(Z$2:Z$229)*100+100</f>
        <v>168.86452171403846</v>
      </c>
      <c r="H44" s="4">
        <f>G44*0.83285-13.6979</f>
        <v>126.94091690953692</v>
      </c>
      <c r="I44" s="5">
        <f>(AA44-AVERAGE(AA$2:AA$229))/AVERAGE(AA$2:AA$229)*100+100</f>
        <v>119.11540567003213</v>
      </c>
      <c r="J44" s="5">
        <f>(AB44-AVERAGE(AB$2:AB$229))/AVERAGE(AB$2:AB$229)*100+100</f>
        <v>129.41256924023745</v>
      </c>
      <c r="K44" s="5">
        <f>(AC44-AVERAGE(AC$2:AC$229))/AVERAGE(AC$2:AC$229)*100+100</f>
        <v>120.44202279402768</v>
      </c>
      <c r="L44" s="5">
        <f>(AF44-AVERAGE(AF$2:AF$229))/AVERAGE(AF$2:AF$229)*100+100</f>
        <v>85.300301198878799</v>
      </c>
      <c r="M44" s="5">
        <f>(AI44-AVERAGE(AI$2:AI$229))/AVERAGE(AI$2:AI$229)*100+100</f>
        <v>19.127357155676094</v>
      </c>
      <c r="N44" s="5">
        <f>(AVERAGE(AJ$2:AJ$229)-AJ44)/AVERAGE(AJ$2:AJ$229)*100+100</f>
        <v>163.13055854080727</v>
      </c>
      <c r="O44" s="5">
        <f>(AK44-AVERAGE(AK$2:AK$229))/AVERAGE(AK$2:AK$229)*100+100</f>
        <v>12.913299254528738</v>
      </c>
      <c r="P44" s="5">
        <f>(AL44-AVERAGE(AL$2:AL$229))/AVERAGE(AL$2:AL$229)*100+100</f>
        <v>112.99167752991431</v>
      </c>
      <c r="Q44" s="5">
        <f>(AM44-AVERAGE(AM$2:AM$229))/AVERAGE(AM$2:AM$229)*100+100</f>
        <v>113.23138904437309</v>
      </c>
      <c r="R44" s="5">
        <f>(AN44-AVERAGE(AN$2:AN$229))/AVERAGE(AN$2:AN$229)*100+100</f>
        <v>126.03839057135824</v>
      </c>
      <c r="S44" s="5">
        <f>(AO44-AVERAGE(AO$2:AO$229))/AVERAGE(AO$2:AO$229)*100+100</f>
        <v>120.45087791047023</v>
      </c>
      <c r="T44" s="6">
        <f>(F44*1.5+H44*2.5+I44+J44+K44*1.5+L44+O44*0.75+P44+S44)/11.25</f>
        <v>114.91240379251602</v>
      </c>
      <c r="V44">
        <f>'2025_Fantasy_Hitters_modified'!F207</f>
        <v>136.99975773244765</v>
      </c>
      <c r="W44">
        <f>'2025_Fantasy_Hitters_modified'!G207</f>
        <v>78.091560171859641</v>
      </c>
      <c r="X44">
        <f>'2025_Fantasy_Hitters_modified'!H207</f>
        <v>27.308509131200822</v>
      </c>
      <c r="Y44">
        <f>'2025_Fantasy_Hitters_modified'!I207</f>
        <v>1.0000831658293643</v>
      </c>
      <c r="Z44">
        <f>'2025_Fantasy_Hitters_modified'!J207</f>
        <v>30.799999999999944</v>
      </c>
      <c r="AA44">
        <f>'2025_Fantasy_Hitters_modified'!K207</f>
        <v>78.547252747252301</v>
      </c>
      <c r="AB44">
        <f>'2025_Fantasy_Hitters_modified'!L207</f>
        <v>82.999999999999503</v>
      </c>
      <c r="AC44" s="2">
        <f>'2025_Fantasy_Hitters_modified'!M207</f>
        <v>55.040293038500003</v>
      </c>
      <c r="AD44">
        <f>'2025_Fantasy_Hitters_modified'!N207</f>
        <v>7.7065934065933446</v>
      </c>
      <c r="AE44">
        <f>'2025_Fantasy_Hitters_modified'!O207</f>
        <v>93.681318664999992</v>
      </c>
      <c r="AF44">
        <f>'2025_Fantasy_Hitters_modified'!P207</f>
        <v>4.9981884057970536</v>
      </c>
      <c r="AG44">
        <f>'2025_Fantasy_Hitters_modified'!Q207</f>
        <v>3.99999999999996</v>
      </c>
      <c r="AH44">
        <f>'2025_Fantasy_Hitters_modified'!R207</f>
        <v>0</v>
      </c>
      <c r="AI44">
        <f>'2025_Fantasy_Hitters_modified'!S207</f>
        <v>2.0014652014651801</v>
      </c>
      <c r="AJ44">
        <f>'2025_Fantasy_Hitters_modified'!T207</f>
        <v>1.0007326007325901</v>
      </c>
      <c r="AK44">
        <f>'2025_Fantasy_Hitters_modified'!U207</f>
        <v>1.0007326007325901</v>
      </c>
      <c r="AL44">
        <f>'2025_Fantasy_Hitters_modified'!V207</f>
        <v>0.28189250562232027</v>
      </c>
      <c r="AM44">
        <f>'2025_Fantasy_Hitters_modified'!W207</f>
        <v>0.37041336207268938</v>
      </c>
      <c r="AN44">
        <f>'2025_Fantasy_Hitters_modified'!X207</f>
        <v>0.53273421385133568</v>
      </c>
      <c r="AO44">
        <f>'2025_Fantasy_Hitters_modified'!Y207</f>
        <v>0.90314757592402506</v>
      </c>
      <c r="AP44">
        <f>'2025_Fantasy_Hitters_modified'!Z207</f>
        <v>0.29054536240000001</v>
      </c>
      <c r="AQ44">
        <f>'2025_Fantasy_Hitters_modified'!AA207</f>
        <v>17.032967029999998</v>
      </c>
      <c r="AR44">
        <f>'2025_Fantasy_Hitters_modified'!AB207</f>
        <v>10.007326007</v>
      </c>
    </row>
    <row r="45" spans="1:44" x14ac:dyDescent="0.4">
      <c r="A45" t="str">
        <f>'2025_Fantasy_Hitters_modified'!A215</f>
        <v>TOR</v>
      </c>
      <c r="B45" t="str">
        <f>'2025_Fantasy_Hitters_modified'!B215</f>
        <v>Andres Gimenez</v>
      </c>
      <c r="C45">
        <f>'2025_Fantasy_Hitters_modified'!D215</f>
        <v>539</v>
      </c>
      <c r="D45">
        <f>'2025_Fantasy_Hitters_modified'!E215</f>
        <v>596</v>
      </c>
      <c r="E45" s="5">
        <f>(V45-AVERAGE(V$2:V$229))/AVERAGE(V$2:V$229)*100+100</f>
        <v>118.21023544598117</v>
      </c>
      <c r="F45" s="4">
        <f>E45*1.51744-31.775</f>
        <v>147.60193967514965</v>
      </c>
      <c r="G45" s="5">
        <f>(Z45-AVERAGE(Z$2:Z$229))/AVERAGE(Z$2:Z$229)*100+100</f>
        <v>60.308757755013602</v>
      </c>
      <c r="H45" s="4">
        <f>G45*0.83285-13.6979</f>
        <v>36.530248896263075</v>
      </c>
      <c r="I45" s="5">
        <f>(AA45-AVERAGE(AA$2:AA$229))/AVERAGE(AA$2:AA$229)*100+100</f>
        <v>105.93844871657187</v>
      </c>
      <c r="J45" s="5">
        <f>(AB45-AVERAGE(AB$2:AB$229))/AVERAGE(AB$2:AB$229)*100+100</f>
        <v>91.992067291253633</v>
      </c>
      <c r="K45" s="5">
        <f>(AC45-AVERAGE(AC$2:AC$229))/AVERAGE(AC$2:AC$229)*100+100</f>
        <v>67.808668753089279</v>
      </c>
      <c r="L45" s="5">
        <f>(AF45-AVERAGE(AF$2:AF$229))/AVERAGE(AF$2:AF$229)*100+100</f>
        <v>279.10302748532808</v>
      </c>
      <c r="M45" s="5">
        <f>(AI45-AVERAGE(AI$2:AI$229))/AVERAGE(AI$2:AI$229)*100+100</f>
        <v>247.76848731384138</v>
      </c>
      <c r="N45" s="5">
        <f>(AVERAGE(AJ$2:AJ$229)-AJ45)/AVERAGE(AJ$2:AJ$229)*100+100</f>
        <v>16.97341429991242</v>
      </c>
      <c r="O45" s="5">
        <f>(AK45-AVERAGE(AK$2:AK$229))/AVERAGE(AK$2:AK$229)*100+100</f>
        <v>270.44394744444821</v>
      </c>
      <c r="P45" s="5">
        <f>(AL45-AVERAGE(AL$2:AL$229))/AVERAGE(AL$2:AL$229)*100+100</f>
        <v>103.26649358444874</v>
      </c>
      <c r="Q45" s="5">
        <f>(AM45-AVERAGE(AM$2:AM$229))/AVERAGE(AM$2:AM$229)*100+100</f>
        <v>99.879549427461498</v>
      </c>
      <c r="R45" s="5">
        <f>(AN45-AVERAGE(AN$2:AN$229))/AVERAGE(AN$2:AN$229)*100+100</f>
        <v>88.682236674767495</v>
      </c>
      <c r="S45" s="5">
        <f>(AO45-AVERAGE(AO$2:AO$229))/AVERAGE(AO$2:AO$229)*100+100</f>
        <v>93.567465011921257</v>
      </c>
      <c r="T45" s="6">
        <f>(F45*1.5+H45*2.5+I45+J45+K45*1.5+L45+O45*0.75+P45+S45)/11.25</f>
        <v>114.76817756052229</v>
      </c>
      <c r="V45">
        <f>'2025_Fantasy_Hitters_modified'!F215</f>
        <v>138.86259261734111</v>
      </c>
      <c r="W45">
        <f>'2025_Fantasy_Hitters_modified'!G215</f>
        <v>98.665622649601772</v>
      </c>
      <c r="X45">
        <f>'2025_Fantasy_Hitters_modified'!H215</f>
        <v>25.16980169632695</v>
      </c>
      <c r="Y45">
        <f>'2025_Fantasy_Hitters_modified'!I215</f>
        <v>3.0109375279231054</v>
      </c>
      <c r="Z45">
        <f>'2025_Fantasy_Hitters_modified'!J215</f>
        <v>10.999999999999956</v>
      </c>
      <c r="AA45">
        <f>'2025_Fantasy_Hitters_modified'!K215</f>
        <v>69.858084772370418</v>
      </c>
      <c r="AB45">
        <f>'2025_Fantasy_Hitters_modified'!L215</f>
        <v>58.999999999999979</v>
      </c>
      <c r="AC45" s="2">
        <f>'2025_Fantasy_Hitters_modified'!M215</f>
        <v>30.987598116839997</v>
      </c>
      <c r="AD45">
        <f>'2025_Fantasy_Hitters_modified'!N215</f>
        <v>1.9871271585556878</v>
      </c>
      <c r="AE45">
        <f>'2025_Fantasy_Hitters_modified'!O215</f>
        <v>100.11302985079999</v>
      </c>
      <c r="AF45">
        <f>'2025_Fantasy_Hitters_modified'!P215</f>
        <v>16.354098360655726</v>
      </c>
      <c r="AG45">
        <f>'2025_Fantasy_Hitters_modified'!Q215</f>
        <v>3.9999999999999671</v>
      </c>
      <c r="AH45">
        <f>'2025_Fantasy_Hitters_modified'!R215</f>
        <v>3.5449180327868595</v>
      </c>
      <c r="AI45">
        <f>'2025_Fantasy_Hitters_modified'!S215</f>
        <v>25.926216640502314</v>
      </c>
      <c r="AJ45">
        <f>'2025_Fantasy_Hitters_modified'!T215</f>
        <v>4.9678178963892918</v>
      </c>
      <c r="AK45">
        <f>'2025_Fantasy_Hitters_modified'!U215</f>
        <v>20.958398744113023</v>
      </c>
      <c r="AL45">
        <f>'2025_Fantasy_Hitters_modified'!V215</f>
        <v>0.25763004196167183</v>
      </c>
      <c r="AM45">
        <f>'2025_Fantasy_Hitters_modified'!W215</f>
        <v>0.32673554584085429</v>
      </c>
      <c r="AN45">
        <f>'2025_Fantasy_Hitters_modified'!X215</f>
        <v>0.37483866164383089</v>
      </c>
      <c r="AO45">
        <f>'2025_Fantasy_Hitters_modified'!Y215</f>
        <v>0.70157420748468513</v>
      </c>
      <c r="AP45">
        <f>'2025_Fantasy_Hitters_modified'!Z215</f>
        <v>0.29605568459999998</v>
      </c>
      <c r="AQ45">
        <f>'2025_Fantasy_Hitters_modified'!AA215</f>
        <v>16.797488229999999</v>
      </c>
      <c r="AR45">
        <f>'2025_Fantasy_Hitters_modified'!AB215</f>
        <v>5.1992614289999999</v>
      </c>
    </row>
    <row r="46" spans="1:44" x14ac:dyDescent="0.4">
      <c r="A46" t="str">
        <f>'2025_Fantasy_Hitters_modified'!A174</f>
        <v>SDP</v>
      </c>
      <c r="B46" t="str">
        <f>'2025_Fantasy_Hitters_modified'!B174</f>
        <v>Manny Machado</v>
      </c>
      <c r="C46">
        <f>'2025_Fantasy_Hitters_modified'!D174</f>
        <v>575</v>
      </c>
      <c r="D46">
        <f>'2025_Fantasy_Hitters_modified'!E174</f>
        <v>631</v>
      </c>
      <c r="E46" s="5">
        <f>(V46-AVERAGE(V$2:V$229))/AVERAGE(V$2:V$229)*100+100</f>
        <v>127.77699795792792</v>
      </c>
      <c r="F46" s="4">
        <f>E46*1.51744-31.775</f>
        <v>162.11892778127813</v>
      </c>
      <c r="G46" s="5">
        <f>(Z46-AVERAGE(Z$2:Z$229))/AVERAGE(Z$2:Z$229)*100+100</f>
        <v>161.18886163612743</v>
      </c>
      <c r="H46" s="4">
        <f>G46*0.83285-13.6979</f>
        <v>120.54824341364872</v>
      </c>
      <c r="I46" s="5">
        <f>(AA46-AVERAGE(AA$2:AA$229))/AVERAGE(AA$2:AA$229)*100+100</f>
        <v>121.65688375519704</v>
      </c>
      <c r="J46" s="5">
        <f>(AB46-AVERAGE(AB$2:AB$229))/AVERAGE(AB$2:AB$229)*100+100</f>
        <v>148.12282021472956</v>
      </c>
      <c r="K46" s="5">
        <f>(AC46-AVERAGE(AC$2:AC$229))/AVERAGE(AC$2:AC$229)*100+100</f>
        <v>111.44552757844059</v>
      </c>
      <c r="L46" s="5">
        <f>(AF46-AVERAGE(AF$2:AF$229))/AVERAGE(AF$2:AF$229)*100+100</f>
        <v>32.496268252277744</v>
      </c>
      <c r="M46" s="5">
        <f>(AI46-AVERAGE(AI$2:AI$229))/AVERAGE(AI$2:AI$229)*100+100</f>
        <v>76.062529132098518</v>
      </c>
      <c r="N46" s="5">
        <f>(AVERAGE(AJ$2:AJ$229)-AJ46)/AVERAGE(AJ$2:AJ$229)*100+100</f>
        <v>126.69183352803668</v>
      </c>
      <c r="O46" s="5">
        <f>(AK46-AVERAGE(AK$2:AK$229))/AVERAGE(AK$2:AK$229)*100+100</f>
        <v>77.027228023053908</v>
      </c>
      <c r="P46" s="5">
        <f>(AL46-AVERAGE(AL$2:AL$229))/AVERAGE(AL$2:AL$229)*100+100</f>
        <v>104.63523388100509</v>
      </c>
      <c r="Q46" s="5">
        <f>(AM46-AVERAGE(AM$2:AM$229))/AVERAGE(AM$2:AM$229)*100+100</f>
        <v>99.684139978577392</v>
      </c>
      <c r="R46" s="5">
        <f>(AN46-AVERAGE(AN$2:AN$229))/AVERAGE(AN$2:AN$229)*100+100</f>
        <v>109.31672767987591</v>
      </c>
      <c r="S46" s="5">
        <f>(AO46-AVERAGE(AO$2:AO$229))/AVERAGE(AO$2:AO$229)*100+100</f>
        <v>105.11416663350506</v>
      </c>
      <c r="T46" s="6">
        <f>(F46*1.5+H46*2.5+I46+J46+K46*1.5+L46+O46*0.75+P46+S46)/11.25</f>
        <v>113.91227425135155</v>
      </c>
      <c r="V46">
        <f>'2025_Fantasy_Hitters_modified'!F174</f>
        <v>150.10075182031795</v>
      </c>
      <c r="W46">
        <f>'2025_Fantasy_Hitters_modified'!G174</f>
        <v>93.97427557668162</v>
      </c>
      <c r="X46">
        <f>'2025_Fantasy_Hitters_modified'!H174</f>
        <v>25.57219318227077</v>
      </c>
      <c r="Y46">
        <f>'2025_Fantasy_Hitters_modified'!I174</f>
        <v>0.98779490504029333</v>
      </c>
      <c r="Z46">
        <f>'2025_Fantasy_Hitters_modified'!J174</f>
        <v>29.39999999999991</v>
      </c>
      <c r="AA46">
        <f>'2025_Fantasy_Hitters_modified'!K174</f>
        <v>80.223157894736303</v>
      </c>
      <c r="AB46">
        <f>'2025_Fantasy_Hitters_modified'!L174</f>
        <v>94.999999999999403</v>
      </c>
      <c r="AC46" s="2">
        <f>'2025_Fantasy_Hitters_modified'!M174</f>
        <v>50.929022557497007</v>
      </c>
      <c r="AD46">
        <f>'2025_Fantasy_Hitters_modified'!N174</f>
        <v>4.1693233082706724</v>
      </c>
      <c r="AE46">
        <f>'2025_Fantasy_Hitters_modified'!O174</f>
        <v>122.40451127439999</v>
      </c>
      <c r="AF46">
        <f>'2025_Fantasy_Hitters_modified'!P174</f>
        <v>1.9041254125412217</v>
      </c>
      <c r="AG46">
        <f>'2025_Fantasy_Hitters_modified'!Q174</f>
        <v>4.9999999999999813</v>
      </c>
      <c r="AH46">
        <f>'2025_Fantasy_Hitters_modified'!R174</f>
        <v>0</v>
      </c>
      <c r="AI46">
        <f>'2025_Fantasy_Hitters_modified'!S174</f>
        <v>7.9590977443608901</v>
      </c>
      <c r="AJ46">
        <f>'2025_Fantasy_Hitters_modified'!T174</f>
        <v>1.989774436090191</v>
      </c>
      <c r="AK46">
        <f>'2025_Fantasy_Hitters_modified'!U174</f>
        <v>5.9693233082706989</v>
      </c>
      <c r="AL46">
        <f>'2025_Fantasy_Hitters_modified'!V174</f>
        <v>0.26104478577446599</v>
      </c>
      <c r="AM46">
        <f>'2025_Fantasy_Hitters_modified'!W174</f>
        <v>0.32609630374064857</v>
      </c>
      <c r="AN46">
        <f>'2025_Fantasy_Hitters_modified'!X174</f>
        <v>0.4620557333153803</v>
      </c>
      <c r="AO46">
        <f>'2025_Fantasy_Hitters_modified'!Y174</f>
        <v>0.78815203705602888</v>
      </c>
      <c r="AP46">
        <f>'2025_Fantasy_Hitters_modified'!Z174</f>
        <v>0.28188235280000001</v>
      </c>
      <c r="AQ46">
        <f>'2025_Fantasy_Hitters_modified'!AA174</f>
        <v>19.39849624</v>
      </c>
      <c r="AR46">
        <f>'2025_Fantasy_Hitters_modified'!AB174</f>
        <v>8.0711604687000005</v>
      </c>
    </row>
    <row r="47" spans="1:44" x14ac:dyDescent="0.4">
      <c r="A47" t="str">
        <f>'2025_Fantasy_Hitters_modified'!A59</f>
        <v>CHW</v>
      </c>
      <c r="B47" t="str">
        <f>'2025_Fantasy_Hitters_modified'!B59</f>
        <v>Luis Robert Jr.</v>
      </c>
      <c r="C47">
        <f>'2025_Fantasy_Hitters_modified'!D59</f>
        <v>529</v>
      </c>
      <c r="D47">
        <f>'2025_Fantasy_Hitters_modified'!E59</f>
        <v>574</v>
      </c>
      <c r="E47" s="5">
        <f>(V47-AVERAGE(V$2:V$229))/AVERAGE(V$2:V$229)*100+100</f>
        <v>112.62558646819386</v>
      </c>
      <c r="F47" s="4">
        <f>E47*1.51744-31.775</f>
        <v>139.12756993029606</v>
      </c>
      <c r="G47" s="5">
        <f>(Z47-AVERAGE(Z$2:Z$229))/AVERAGE(Z$2:Z$229)*100+100</f>
        <v>127.19665271966508</v>
      </c>
      <c r="H47" s="4">
        <f>G47*0.83285-13.6979</f>
        <v>92.237832217573057</v>
      </c>
      <c r="I47" s="5">
        <f>(AA47-AVERAGE(AA$2:AA$229))/AVERAGE(AA$2:AA$229)*100+100</f>
        <v>111.88693648220841</v>
      </c>
      <c r="J47" s="5">
        <f>(AB47-AVERAGE(AB$2:AB$229))/AVERAGE(AB$2:AB$229)*100+100</f>
        <v>106.02475552212212</v>
      </c>
      <c r="K47" s="5">
        <f>(AC47-AVERAGE(AC$2:AC$229))/AVERAGE(AC$2:AC$229)*100+100</f>
        <v>78.424122570460327</v>
      </c>
      <c r="L47" s="5">
        <f>(AF47-AVERAGE(AF$2:AF$229))/AVERAGE(AF$2:AF$229)*100+100</f>
        <v>136.89989240527012</v>
      </c>
      <c r="M47" s="5">
        <f>(AI47-AVERAGE(AI$2:AI$229))/AVERAGE(AI$2:AI$229)*100+100</f>
        <v>219.73164704720702</v>
      </c>
      <c r="N47" s="5">
        <f>(AVERAGE(AJ$2:AJ$229)-AJ47)/AVERAGE(AJ$2:AJ$229)*100+100</f>
        <v>-18.440078386919595</v>
      </c>
      <c r="O47" s="5">
        <f>(AK47-AVERAGE(AK$2:AK$229))/AVERAGE(AK$2:AK$229)*100+100</f>
        <v>220.18401117202103</v>
      </c>
      <c r="P47" s="5">
        <f>(AL47-AVERAGE(AL$2:AL$229))/AVERAGE(AL$2:AL$229)*100+100</f>
        <v>100.2477207184396</v>
      </c>
      <c r="Q47" s="5">
        <f>(AM47-AVERAGE(AM$2:AM$229))/AVERAGE(AM$2:AM$229)*100+100</f>
        <v>95.631413329832085</v>
      </c>
      <c r="R47" s="5">
        <f>(AN47-AVERAGE(AN$2:AN$229))/AVERAGE(AN$2:AN$229)*100+100</f>
        <v>103.90308080130487</v>
      </c>
      <c r="S47" s="5">
        <f>(AO47-AVERAGE(AO$2:AO$229))/AVERAGE(AO$2:AO$229)*100+100</f>
        <v>100.29426990000798</v>
      </c>
      <c r="T47" s="6">
        <f>(F47*1.5+H47*2.5+I47+J47+K47*1.5+L47+O47*0.75+P47+S47)/11.25</f>
        <v>113.54788468463387</v>
      </c>
      <c r="V47">
        <f>'2025_Fantasy_Hitters_modified'!F59</f>
        <v>132.30225684787459</v>
      </c>
      <c r="W47">
        <f>'2025_Fantasy_Hitters_modified'!G59</f>
        <v>79.665232830429247</v>
      </c>
      <c r="X47">
        <f>'2025_Fantasy_Hitters_modified'!H59</f>
        <v>27.790197498986899</v>
      </c>
      <c r="Y47">
        <f>'2025_Fantasy_Hitters_modified'!I59</f>
        <v>1.4257248099617366</v>
      </c>
      <c r="Z47">
        <f>'2025_Fantasy_Hitters_modified'!J59</f>
        <v>23.19999999999991</v>
      </c>
      <c r="AA47">
        <f>'2025_Fantasy_Hitters_modified'!K59</f>
        <v>73.780645161290309</v>
      </c>
      <c r="AB47">
        <f>'2025_Fantasy_Hitters_modified'!L59</f>
        <v>67.999999999999517</v>
      </c>
      <c r="AC47" s="2">
        <f>'2025_Fantasy_Hitters_modified'!M59</f>
        <v>35.838709674838</v>
      </c>
      <c r="AD47">
        <f>'2025_Fantasy_Hitters_modified'!N59</f>
        <v>2.1526881720429629</v>
      </c>
      <c r="AE47">
        <f>'2025_Fantasy_Hitters_modified'!O59</f>
        <v>163.99999999179997</v>
      </c>
      <c r="AF47">
        <f>'2025_Fantasy_Hitters_modified'!P59</f>
        <v>8.0216768916154688</v>
      </c>
      <c r="AG47">
        <f>'2025_Fantasy_Hitters_modified'!Q59</f>
        <v>2.9999999999999809</v>
      </c>
      <c r="AH47">
        <f>'2025_Fantasy_Hitters_modified'!R59</f>
        <v>0</v>
      </c>
      <c r="AI47">
        <f>'2025_Fantasy_Hitters_modified'!S59</f>
        <v>22.992473118279527</v>
      </c>
      <c r="AJ47">
        <f>'2025_Fantasy_Hitters_modified'!T59</f>
        <v>5.9290322580644608</v>
      </c>
      <c r="AK47">
        <f>'2025_Fantasy_Hitters_modified'!U59</f>
        <v>17.063440860215067</v>
      </c>
      <c r="AL47">
        <f>'2025_Fantasy_Hitters_modified'!V59</f>
        <v>0.25009878421148313</v>
      </c>
      <c r="AM47">
        <f>'2025_Fantasy_Hitters_modified'!W59</f>
        <v>0.31283863626705566</v>
      </c>
      <c r="AN47">
        <f>'2025_Fantasy_Hitters_modified'!X59</f>
        <v>0.4391735392406198</v>
      </c>
      <c r="AO47">
        <f>'2025_Fantasy_Hitters_modified'!Y59</f>
        <v>0.75201217550767541</v>
      </c>
      <c r="AP47">
        <f>'2025_Fantasy_Hitters_modified'!Z59</f>
        <v>0.31642185859999999</v>
      </c>
      <c r="AQ47">
        <f>'2025_Fantasy_Hitters_modified'!AA59</f>
        <v>28.571428569999998</v>
      </c>
      <c r="AR47">
        <f>'2025_Fantasy_Hitters_modified'!AB59</f>
        <v>6.2436776436999999</v>
      </c>
    </row>
    <row r="48" spans="1:44" x14ac:dyDescent="0.4">
      <c r="A48" t="str">
        <f>'2025_Fantasy_Hitters_modified'!A188</f>
        <v>SFG</v>
      </c>
      <c r="B48" t="str">
        <f>'2025_Fantasy_Hitters_modified'!B188</f>
        <v>Willy Adames</v>
      </c>
      <c r="C48">
        <f>'2025_Fantasy_Hitters_modified'!D188</f>
        <v>571</v>
      </c>
      <c r="D48">
        <f>'2025_Fantasy_Hitters_modified'!E188</f>
        <v>642</v>
      </c>
      <c r="E48" s="5">
        <f>(V48-AVERAGE(V$2:V$229))/AVERAGE(V$2:V$229)*100+100</f>
        <v>119.03539978575148</v>
      </c>
      <c r="F48" s="4">
        <f>E48*1.51744-31.775</f>
        <v>148.85407705089071</v>
      </c>
      <c r="G48" s="5">
        <f>(Z48-AVERAGE(Z$2:Z$229))/AVERAGE(Z$2:Z$229)*100+100</f>
        <v>137.0653585341222</v>
      </c>
      <c r="H48" s="4">
        <f>G48*0.83285-13.6979</f>
        <v>100.45698385514366</v>
      </c>
      <c r="I48" s="5">
        <f>(AA48-AVERAGE(AA$2:AA$229))/AVERAGE(AA$2:AA$229)*100+100</f>
        <v>120.67667271285829</v>
      </c>
      <c r="J48" s="5">
        <f>(AB48-AVERAGE(AB$2:AB$229))/AVERAGE(AB$2:AB$229)*100+100</f>
        <v>129.41256924023801</v>
      </c>
      <c r="K48" s="5">
        <f>(AC48-AVERAGE(AC$2:AC$229))/AVERAGE(AC$2:AC$229)*100+100</f>
        <v>138.0806452172215</v>
      </c>
      <c r="L48" s="5">
        <f>(AF48-AVERAGE(AF$2:AF$229))/AVERAGE(AF$2:AF$229)*100+100</f>
        <v>49.476231042538032</v>
      </c>
      <c r="M48" s="5">
        <f>(AI48-AVERAGE(AI$2:AI$229))/AVERAGE(AI$2:AI$229)*100+100</f>
        <v>124.59518093773076</v>
      </c>
      <c r="N48" s="5">
        <f>(AVERAGE(AJ$2:AJ$229)-AJ48)/AVERAGE(AJ$2:AJ$229)*100+100</f>
        <v>86.446303880669646</v>
      </c>
      <c r="O48" s="5">
        <f>(AK48-AVERAGE(AK$2:AK$229))/AVERAGE(AK$2:AK$229)*100+100</f>
        <v>128.46239432722987</v>
      </c>
      <c r="P48" s="5">
        <f>(AL48-AVERAGE(AL$2:AL$229))/AVERAGE(AL$2:AL$229)*100+100</f>
        <v>98.159681435746279</v>
      </c>
      <c r="Q48" s="5">
        <f>(AM48-AVERAGE(AM$2:AM$229))/AVERAGE(AM$2:AM$229)*100+100</f>
        <v>99.157239493298249</v>
      </c>
      <c r="R48" s="5">
        <f>(AN48-AVERAGE(AN$2:AN$229))/AVERAGE(AN$2:AN$229)*100+100</f>
        <v>101.75778904873779</v>
      </c>
      <c r="S48" s="5">
        <f>(AO48-AVERAGE(AO$2:AO$229))/AVERAGE(AO$2:AO$229)*100+100</f>
        <v>100.62320625543768</v>
      </c>
      <c r="T48" s="6">
        <f>(F48*1.5+H48*2.5+I48+J48+K48*1.5+L48+O48*0.75+P48+S48)/11.25</f>
        <v>113.4435288419794</v>
      </c>
      <c r="V48">
        <f>'2025_Fantasy_Hitters_modified'!F188</f>
        <v>139.83192035045644</v>
      </c>
      <c r="W48">
        <f>'2025_Fantasy_Hitters_modified'!G188</f>
        <v>83.048085253455056</v>
      </c>
      <c r="X48">
        <f>'2025_Fantasy_Hitters_modified'!H188</f>
        <v>29.733265090743149</v>
      </c>
      <c r="Y48">
        <f>'2025_Fantasy_Hitters_modified'!I188</f>
        <v>1.0252850031290726</v>
      </c>
      <c r="Z48">
        <f>'2025_Fantasy_Hitters_modified'!J188</f>
        <v>24.999999999999968</v>
      </c>
      <c r="AA48">
        <f>'2025_Fantasy_Hitters_modified'!K188</f>
        <v>79.576785714285421</v>
      </c>
      <c r="AB48">
        <f>'2025_Fantasy_Hitters_modified'!L188</f>
        <v>82.999999999999872</v>
      </c>
      <c r="AC48" s="2">
        <f>'2025_Fantasy_Hitters_modified'!M188</f>
        <v>63.100892856126002</v>
      </c>
      <c r="AD48">
        <f>'2025_Fantasy_Hitters_modified'!N188</f>
        <v>1.9910714285713726</v>
      </c>
      <c r="AE48">
        <f>'2025_Fantasy_Hitters_modified'!O188</f>
        <v>150.9464285592</v>
      </c>
      <c r="AF48">
        <f>'2025_Fantasy_Hitters_modified'!P188</f>
        <v>2.8990697674418096</v>
      </c>
      <c r="AG48">
        <f>'2025_Fantasy_Hitters_modified'!Q188</f>
        <v>4.5999999999999535</v>
      </c>
      <c r="AH48">
        <f>'2025_Fantasy_Hitters_modified'!R188</f>
        <v>0</v>
      </c>
      <c r="AI48">
        <f>'2025_Fantasy_Hitters_modified'!S188</f>
        <v>13.037499999999939</v>
      </c>
      <c r="AJ48">
        <f>'2025_Fantasy_Hitters_modified'!T188</f>
        <v>3.0821428571428062</v>
      </c>
      <c r="AK48">
        <f>'2025_Fantasy_Hitters_modified'!U188</f>
        <v>9.9553571428571335</v>
      </c>
      <c r="AL48">
        <f>'2025_Fantasy_Hitters_modified'!V188</f>
        <v>0.24488952775911813</v>
      </c>
      <c r="AM48">
        <f>'2025_Fantasy_Hitters_modified'!W188</f>
        <v>0.32437265642096857</v>
      </c>
      <c r="AN48">
        <f>'2025_Fantasy_Hitters_modified'!X188</f>
        <v>0.43010590270460325</v>
      </c>
      <c r="AO48">
        <f>'2025_Fantasy_Hitters_modified'!Y188</f>
        <v>0.75447855912557182</v>
      </c>
      <c r="AP48">
        <f>'2025_Fantasy_Hitters_modified'!Z188</f>
        <v>0.28732864800000002</v>
      </c>
      <c r="AQ48">
        <f>'2025_Fantasy_Hitters_modified'!AA188</f>
        <v>23.51190476</v>
      </c>
      <c r="AR48">
        <f>'2025_Fantasy_Hitters_modified'!AB188</f>
        <v>9.8287995102999997</v>
      </c>
    </row>
    <row r="49" spans="1:44" x14ac:dyDescent="0.4">
      <c r="A49" t="str">
        <f>'2025_Fantasy_Hitters_modified'!A95</f>
        <v>KCR</v>
      </c>
      <c r="B49" t="str">
        <f>'2025_Fantasy_Hitters_modified'!B95</f>
        <v>Jonathan India</v>
      </c>
      <c r="C49">
        <f>'2025_Fantasy_Hitters_modified'!D95</f>
        <v>493</v>
      </c>
      <c r="D49">
        <f>'2025_Fantasy_Hitters_modified'!E95</f>
        <v>576</v>
      </c>
      <c r="E49" s="5">
        <f>(V49-AVERAGE(V$2:V$229))/AVERAGE(V$2:V$229)*100+100</f>
        <v>106.96888097478768</v>
      </c>
      <c r="F49" s="4">
        <f>E49*1.51744-31.775</f>
        <v>130.5438587463818</v>
      </c>
      <c r="G49" s="5">
        <f>(Z49-AVERAGE(Z$2:Z$229))/AVERAGE(Z$2:Z$229)*100+100</f>
        <v>76.756600779108354</v>
      </c>
      <c r="H49" s="4">
        <f>G49*0.83285-13.6979</f>
        <v>50.228834958880384</v>
      </c>
      <c r="I49" s="5">
        <f>(AA49-AVERAGE(AA$2:AA$229))/AVERAGE(AA$2:AA$229)*100+100</f>
        <v>113.59282740875399</v>
      </c>
      <c r="J49" s="5">
        <f>(AB49-AVERAGE(AB$2:AB$229))/AVERAGE(AB$2:AB$229)*100+100</f>
        <v>88.873692128838258</v>
      </c>
      <c r="K49" s="5">
        <f>(AC49-AVERAGE(AC$2:AC$229))/AVERAGE(AC$2:AC$229)*100+100</f>
        <v>133.90446314153277</v>
      </c>
      <c r="L49" s="5">
        <f>(AF49-AVERAGE(AF$2:AF$229))/AVERAGE(AF$2:AF$229)*100+100</f>
        <v>258.96055574201881</v>
      </c>
      <c r="M49" s="5">
        <f>(AI49-AVERAGE(AI$2:AI$229))/AVERAGE(AI$2:AI$229)*100+100</f>
        <v>114.31392273677491</v>
      </c>
      <c r="N49" s="5">
        <f>(AVERAGE(AJ$2:AJ$229)-AJ49)/AVERAGE(AJ$2:AJ$229)*100+100</f>
        <v>93.392189430221222</v>
      </c>
      <c r="O49" s="5">
        <f>(AK49-AVERAGE(AK$2:AK$229))/AVERAGE(AK$2:AK$229)*100+100</f>
        <v>117.01294199399715</v>
      </c>
      <c r="P49" s="5">
        <f>(AL49-AVERAGE(AL$2:AL$229))/AVERAGE(AL$2:AL$229)*100+100</f>
        <v>102.16535465392893</v>
      </c>
      <c r="Q49" s="5">
        <f>(AM49-AVERAGE(AM$2:AM$229))/AVERAGE(AM$2:AM$229)*100+100</f>
        <v>110.63645700591218</v>
      </c>
      <c r="R49" s="5">
        <f>(AN49-AVERAGE(AN$2:AN$229))/AVERAGE(AN$2:AN$229)*100+100</f>
        <v>95.558839484273491</v>
      </c>
      <c r="S49" s="5">
        <f>(AO49-AVERAGE(AO$2:AO$229))/AVERAGE(AO$2:AO$229)*100+100</f>
        <v>102.13698961728234</v>
      </c>
      <c r="T49" s="6">
        <f>(F49*1.5+H49*2.5+I49+J49+K49*1.5+L49+O49*0.75+P49+S49)/11.25</f>
        <v>113.39855078003492</v>
      </c>
      <c r="V49">
        <f>'2025_Fantasy_Hitters_modified'!F95</f>
        <v>125.65727566224713</v>
      </c>
      <c r="W49">
        <f>'2025_Fantasy_Hitters_modified'!G95</f>
        <v>82.681202092173223</v>
      </c>
      <c r="X49">
        <f>'2025_Fantasy_Hitters_modified'!H95</f>
        <v>27.159877863789823</v>
      </c>
      <c r="Y49">
        <f>'2025_Fantasy_Hitters_modified'!I95</f>
        <v>2.0413073248677627</v>
      </c>
      <c r="Z49">
        <f>'2025_Fantasy_Hitters_modified'!J95</f>
        <v>13.999999999999968</v>
      </c>
      <c r="AA49">
        <f>'2025_Fantasy_Hitters_modified'!K95</f>
        <v>74.905546218486904</v>
      </c>
      <c r="AB49">
        <f>'2025_Fantasy_Hitters_modified'!L95</f>
        <v>56.999999999999979</v>
      </c>
      <c r="AC49" s="2">
        <f>'2025_Fantasy_Hitters_modified'!M95</f>
        <v>61.192436987520004</v>
      </c>
      <c r="AD49">
        <f>'2025_Fantasy_Hitters_modified'!N95</f>
        <v>0</v>
      </c>
      <c r="AE49">
        <f>'2025_Fantasy_Hitters_modified'!O95</f>
        <v>109.3915966464</v>
      </c>
      <c r="AF49">
        <f>'2025_Fantasy_Hitters_modified'!P95</f>
        <v>15.173846153846092</v>
      </c>
      <c r="AG49">
        <f>'2025_Fantasy_Hitters_modified'!Q95</f>
        <v>3.9999999999999742</v>
      </c>
      <c r="AH49">
        <f>'2025_Fantasy_Hitters_modified'!R95</f>
        <v>0.99076923076922496</v>
      </c>
      <c r="AI49">
        <f>'2025_Fantasy_Hitters_modified'!S95</f>
        <v>11.961680672268864</v>
      </c>
      <c r="AJ49">
        <f>'2025_Fantasy_Hitters_modified'!T95</f>
        <v>2.8936134453781328</v>
      </c>
      <c r="AK49">
        <f>'2025_Fantasy_Hitters_modified'!U95</f>
        <v>9.0680672268907312</v>
      </c>
      <c r="AL49">
        <f>'2025_Fantasy_Hitters_modified'!V95</f>
        <v>0.25488291209380759</v>
      </c>
      <c r="AM49">
        <f>'2025_Fantasy_Hitters_modified'!W95</f>
        <v>0.36192457191627991</v>
      </c>
      <c r="AN49">
        <f>'2025_Fantasy_Hitters_modified'!X95</f>
        <v>0.40390442148956601</v>
      </c>
      <c r="AO49">
        <f>'2025_Fantasy_Hitters_modified'!Y95</f>
        <v>0.76582899340584598</v>
      </c>
      <c r="AP49">
        <f>'2025_Fantasy_Hitters_modified'!Z95</f>
        <v>0.29886178860000001</v>
      </c>
      <c r="AQ49">
        <f>'2025_Fantasy_Hitters_modified'!AA95</f>
        <v>18.991596640000001</v>
      </c>
      <c r="AR49">
        <f>'2025_Fantasy_Hitters_modified'!AB95</f>
        <v>10.623686977</v>
      </c>
    </row>
    <row r="50" spans="1:44" x14ac:dyDescent="0.4">
      <c r="A50" t="str">
        <f>'2025_Fantasy_Hitters_modified'!A128</f>
        <v>MIL</v>
      </c>
      <c r="B50" t="str">
        <f>'2025_Fantasy_Hitters_modified'!B128</f>
        <v>William Contreras</v>
      </c>
      <c r="C50">
        <f>'2025_Fantasy_Hitters_modified'!D128</f>
        <v>546</v>
      </c>
      <c r="D50">
        <f>'2025_Fantasy_Hitters_modified'!E128</f>
        <v>620</v>
      </c>
      <c r="E50" s="5">
        <f>(V50-AVERAGE(V$2:V$229))/AVERAGE(V$2:V$229)*100+100</f>
        <v>124.14699268803551</v>
      </c>
      <c r="F50" s="4">
        <f>E50*1.51744-31.775</f>
        <v>156.61061258453259</v>
      </c>
      <c r="G50" s="5">
        <f>(Z50-AVERAGE(Z$2:Z$229))/AVERAGE(Z$2:Z$229)*100+100</f>
        <v>128.29317558793829</v>
      </c>
      <c r="H50" s="4">
        <f>G50*0.83285-13.6979</f>
        <v>93.1510712884144</v>
      </c>
      <c r="I50" s="5">
        <f>(AA50-AVERAGE(AA$2:AA$229))/AVERAGE(AA$2:AA$229)*100+100</f>
        <v>120.29133188002797</v>
      </c>
      <c r="J50" s="5">
        <f>(AB50-AVERAGE(AB$2:AB$229))/AVERAGE(AB$2:AB$229)*100+100</f>
        <v>129.41256924023776</v>
      </c>
      <c r="K50" s="5">
        <f>(AC50-AVERAGE(AC$2:AC$229))/AVERAGE(AC$2:AC$229)*100+100</f>
        <v>138.81137124493995</v>
      </c>
      <c r="L50" s="5">
        <f>(AF50-AVERAGE(AF$2:AF$229))/AVERAGE(AF$2:AF$229)*100+100</f>
        <v>82.396546777885789</v>
      </c>
      <c r="M50" s="5">
        <f>(AI50-AVERAGE(AI$2:AI$229))/AVERAGE(AI$2:AI$229)*100+100</f>
        <v>66.832623160543022</v>
      </c>
      <c r="N50" s="5">
        <f>(AVERAGE(AJ$2:AJ$229)-AJ50)/AVERAGE(AJ$2:AJ$229)*100+100</f>
        <v>126.38572320033592</v>
      </c>
      <c r="O50" s="5">
        <f>(AK50-AVERAGE(AK$2:AK$229))/AVERAGE(AK$2:AK$229)*100+100</f>
        <v>64.457389920856997</v>
      </c>
      <c r="P50" s="5">
        <f>(AL50-AVERAGE(AL$2:AL$229))/AVERAGE(AL$2:AL$229)*100+100</f>
        <v>107.06232605024994</v>
      </c>
      <c r="Q50" s="5">
        <f>(AM50-AVERAGE(AM$2:AM$229))/AVERAGE(AM$2:AM$229)*100+100</f>
        <v>107.70466124977618</v>
      </c>
      <c r="R50" s="5">
        <f>(AN50-AVERAGE(AN$2:AN$229))/AVERAGE(AN$2:AN$229)*100+100</f>
        <v>107.6128085272438</v>
      </c>
      <c r="S50" s="5">
        <f>(AO50-AVERAGE(AO$2:AO$229))/AVERAGE(AO$2:AO$229)*100+100</f>
        <v>107.65288256401224</v>
      </c>
      <c r="T50" s="6">
        <f>(F50*1.5+H50*2.5+I50+J50+K50*1.5+L50+O50*0.75+P50+S50)/11.25</f>
        <v>112.99283137051569</v>
      </c>
      <c r="V50">
        <f>'2025_Fantasy_Hitters_modified'!F128</f>
        <v>145.83655303000069</v>
      </c>
      <c r="W50">
        <f>'2025_Fantasy_Hitters_modified'!G128</f>
        <v>93.446736925477865</v>
      </c>
      <c r="X50">
        <f>'2025_Fantasy_Hitters_modified'!H128</f>
        <v>28.568529040333466</v>
      </c>
      <c r="Y50">
        <f>'2025_Fantasy_Hitters_modified'!I128</f>
        <v>1.3887702382762925</v>
      </c>
      <c r="Z50">
        <f>'2025_Fantasy_Hitters_modified'!J128</f>
        <v>23.399999999999956</v>
      </c>
      <c r="AA50">
        <f>'2025_Fantasy_Hitters_modified'!K128</f>
        <v>79.32268370606991</v>
      </c>
      <c r="AB50">
        <f>'2025_Fantasy_Hitters_modified'!L128</f>
        <v>82.999999999999702</v>
      </c>
      <c r="AC50" s="2">
        <f>'2025_Fantasy_Hitters_modified'!M128</f>
        <v>63.434824267800003</v>
      </c>
      <c r="AD50">
        <f>'2025_Fantasy_Hitters_modified'!N128</f>
        <v>2.597124600638959</v>
      </c>
      <c r="AE50">
        <f>'2025_Fantasy_Hitters_modified'!O128</f>
        <v>130.73482427599998</v>
      </c>
      <c r="AF50">
        <f>'2025_Fantasy_Hitters_modified'!P128</f>
        <v>4.8280423280422902</v>
      </c>
      <c r="AG50">
        <f>'2025_Fantasy_Hitters_modified'!Q128</f>
        <v>2.9999999999999662</v>
      </c>
      <c r="AH50">
        <f>'2025_Fantasy_Hitters_modified'!R128</f>
        <v>0</v>
      </c>
      <c r="AI50">
        <f>'2025_Fantasy_Hitters_modified'!S128</f>
        <v>6.9932907348241864</v>
      </c>
      <c r="AJ50">
        <f>'2025_Fantasy_Hitters_modified'!T128</f>
        <v>1.9980830670926475</v>
      </c>
      <c r="AK50">
        <f>'2025_Fantasy_Hitters_modified'!U128</f>
        <v>4.9952076677315391</v>
      </c>
      <c r="AL50">
        <f>'2025_Fantasy_Hitters_modified'!V128</f>
        <v>0.26709991397436023</v>
      </c>
      <c r="AM50">
        <f>'2025_Fantasy_Hitters_modified'!W128</f>
        <v>0.35233380091094318</v>
      </c>
      <c r="AN50">
        <f>'2025_Fantasy_Hitters_modified'!X128</f>
        <v>0.45485367348163641</v>
      </c>
      <c r="AO50">
        <f>'2025_Fantasy_Hitters_modified'!Y128</f>
        <v>0.80718747439257954</v>
      </c>
      <c r="AP50">
        <f>'2025_Fantasy_Hitters_modified'!Z128</f>
        <v>0.31007179299999998</v>
      </c>
      <c r="AQ50">
        <f>'2025_Fantasy_Hitters_modified'!AA128</f>
        <v>21.08626198</v>
      </c>
      <c r="AR50">
        <f>'2025_Fantasy_Hitters_modified'!AB128</f>
        <v>10.231423269</v>
      </c>
    </row>
    <row r="51" spans="1:44" x14ac:dyDescent="0.4">
      <c r="A51" t="str">
        <f>'2025_Fantasy_Hitters_modified'!A75</f>
        <v>COL</v>
      </c>
      <c r="B51" t="str">
        <f>'2025_Fantasy_Hitters_modified'!B75</f>
        <v>Brenton Doyle</v>
      </c>
      <c r="C51">
        <f>'2025_Fantasy_Hitters_modified'!D75</f>
        <v>544</v>
      </c>
      <c r="D51">
        <f>'2025_Fantasy_Hitters_modified'!E75</f>
        <v>596</v>
      </c>
      <c r="E51" s="5">
        <f>(V51-AVERAGE(V$2:V$229))/AVERAGE(V$2:V$229)*100+100</f>
        <v>117.53924679094085</v>
      </c>
      <c r="F51" s="4">
        <f>E51*1.51744-31.775</f>
        <v>146.58375465044526</v>
      </c>
      <c r="G51" s="5">
        <f>(Z51-AVERAGE(Z$2:Z$229))/AVERAGE(Z$2:Z$229)*100+100</f>
        <v>115.13490116866259</v>
      </c>
      <c r="H51" s="4">
        <f>G51*0.83285-13.6979</f>
        <v>82.192202438320635</v>
      </c>
      <c r="I51" s="5">
        <f>(AA51-AVERAGE(AA$2:AA$229))/AVERAGE(AA$2:AA$229)*100+100</f>
        <v>117.84310541522484</v>
      </c>
      <c r="J51" s="5">
        <f>(AB51-AVERAGE(AB$2:AB$229))/AVERAGE(AB$2:AB$229)*100+100</f>
        <v>106.02475552212231</v>
      </c>
      <c r="K51" s="5">
        <f>(AC51-AVERAGE(AC$2:AC$229))/AVERAGE(AC$2:AC$229)*100+100</f>
        <v>87.210227067391855</v>
      </c>
      <c r="L51" s="5">
        <f>(AF51-AVERAGE(AF$2:AF$229))/AVERAGE(AF$2:AF$229)*100+100</f>
        <v>84.195537365130534</v>
      </c>
      <c r="M51" s="5">
        <f>(AI51-AVERAGE(AI$2:AI$229))/AVERAGE(AI$2:AI$229)*100+100</f>
        <v>256.20948989680164</v>
      </c>
      <c r="N51" s="5">
        <f>(AVERAGE(AJ$2:AJ$229)-AJ51)/AVERAGE(AJ$2:AJ$229)*100+100</f>
        <v>-18.761053605802914</v>
      </c>
      <c r="O51" s="5">
        <f>(AK51-AVERAGE(AK$2:AK$229))/AVERAGE(AK$2:AK$229)*100+100</f>
        <v>269.32557859521762</v>
      </c>
      <c r="P51" s="5">
        <f>(AL51-AVERAGE(AL$2:AL$229))/AVERAGE(AL$2:AL$229)*100+100</f>
        <v>101.73657604229214</v>
      </c>
      <c r="Q51" s="5">
        <f>(AM51-AVERAGE(AM$2:AM$229))/AVERAGE(AM$2:AM$229)*100+100</f>
        <v>95.378854159172917</v>
      </c>
      <c r="R51" s="5">
        <f>(AN51-AVERAGE(AN$2:AN$229))/AVERAGE(AN$2:AN$229)*100+100</f>
        <v>102.56703047373563</v>
      </c>
      <c r="S51" s="5">
        <f>(AO51-AVERAGE(AO$2:AO$229))/AVERAGE(AO$2:AO$229)*100+100</f>
        <v>99.430931357819489</v>
      </c>
      <c r="T51" s="6">
        <f>(F51*1.5+H51*2.5+I51+J51+K51*1.5+L51+O51*0.75+P51+S51)/11.25</f>
        <v>112.6574727396942</v>
      </c>
      <c r="V51">
        <f>'2025_Fantasy_Hitters_modified'!F75</f>
        <v>138.07437640320202</v>
      </c>
      <c r="W51">
        <f>'2025_Fantasy_Hitters_modified'!G75</f>
        <v>87.459101882146925</v>
      </c>
      <c r="X51">
        <f>'2025_Fantasy_Hitters_modified'!H75</f>
        <v>26.016528089600428</v>
      </c>
      <c r="Y51">
        <f>'2025_Fantasy_Hitters_modified'!I75</f>
        <v>4.1153963171206254</v>
      </c>
      <c r="Z51">
        <f>'2025_Fantasy_Hitters_modified'!J75</f>
        <v>20.999999999999964</v>
      </c>
      <c r="AA51">
        <f>'2025_Fantasy_Hitters_modified'!K75</f>
        <v>77.708270676691427</v>
      </c>
      <c r="AB51">
        <f>'2025_Fantasy_Hitters_modified'!L75</f>
        <v>67.999999999999631</v>
      </c>
      <c r="AC51" s="2">
        <f>'2025_Fantasy_Hitters_modified'!M75</f>
        <v>39.853834586887999</v>
      </c>
      <c r="AD51">
        <f>'2025_Fantasy_Hitters_modified'!N75</f>
        <v>0.989624060150326</v>
      </c>
      <c r="AE51">
        <f>'2025_Fantasy_Hitters_modified'!O75</f>
        <v>168.49323307239999</v>
      </c>
      <c r="AF51">
        <f>'2025_Fantasy_Hitters_modified'!P75</f>
        <v>4.9334545454545182</v>
      </c>
      <c r="AG51">
        <f>'2025_Fantasy_Hitters_modified'!Q75</f>
        <v>4.3999999999999639</v>
      </c>
      <c r="AH51">
        <f>'2025_Fantasy_Hitters_modified'!R75</f>
        <v>3.1505454545454197</v>
      </c>
      <c r="AI51">
        <f>'2025_Fantasy_Hitters_modified'!S75</f>
        <v>26.809473684210477</v>
      </c>
      <c r="AJ51">
        <f>'2025_Fantasy_Hitters_modified'!T75</f>
        <v>5.9377443609022365</v>
      </c>
      <c r="AK51">
        <f>'2025_Fantasy_Hitters_modified'!U75</f>
        <v>20.871729323308241</v>
      </c>
      <c r="AL51">
        <f>'2025_Fantasy_Hitters_modified'!V75</f>
        <v>0.25381319191765078</v>
      </c>
      <c r="AM51">
        <f>'2025_Fantasy_Hitters_modified'!W75</f>
        <v>0.31201244052472937</v>
      </c>
      <c r="AN51">
        <f>'2025_Fantasy_Hitters_modified'!X75</f>
        <v>0.43352637318512777</v>
      </c>
      <c r="AO51">
        <f>'2025_Fantasy_Hitters_modified'!Y75</f>
        <v>0.74553881370985708</v>
      </c>
      <c r="AP51">
        <f>'2025_Fantasy_Hitters_modified'!Z75</f>
        <v>0.32619718320000002</v>
      </c>
      <c r="AQ51">
        <f>'2025_Fantasy_Hitters_modified'!AA75</f>
        <v>28.270676689999998</v>
      </c>
      <c r="AR51">
        <f>'2025_Fantasy_Hitters_modified'!AB75</f>
        <v>6.6868849978</v>
      </c>
    </row>
    <row r="52" spans="1:44" x14ac:dyDescent="0.4">
      <c r="A52" t="str">
        <f>'2025_Fantasy_Hitters_modified'!A66</f>
        <v>CIN</v>
      </c>
      <c r="B52" t="str">
        <f>'2025_Fantasy_Hitters_modified'!B66</f>
        <v>Spencer Steer</v>
      </c>
      <c r="C52">
        <f>'2025_Fantasy_Hitters_modified'!D66</f>
        <v>520</v>
      </c>
      <c r="D52">
        <f>'2025_Fantasy_Hitters_modified'!E66</f>
        <v>591</v>
      </c>
      <c r="E52" s="5">
        <f>(V52-AVERAGE(V$2:V$229))/AVERAGE(V$2:V$229)*100+100</f>
        <v>107.33842834418556</v>
      </c>
      <c r="F52" s="4">
        <f>E52*1.51744-31.775</f>
        <v>131.10462470660093</v>
      </c>
      <c r="G52" s="5">
        <f>(Z52-AVERAGE(Z$2:Z$229))/AVERAGE(Z$2:Z$229)*100+100</f>
        <v>104.16967248593289</v>
      </c>
      <c r="H52" s="4">
        <f>G52*0.83285-13.6979</f>
        <v>73.0598117299092</v>
      </c>
      <c r="I52" s="5">
        <f>(AA52-AVERAGE(AA$2:AA$229))/AVERAGE(AA$2:AA$229)*100+100</f>
        <v>107.98611885275625</v>
      </c>
      <c r="J52" s="5">
        <f>(AB52-AVERAGE(AB$2:AB$229))/AVERAGE(AB$2:AB$229)*100+100</f>
        <v>115.37988100936826</v>
      </c>
      <c r="K52" s="5">
        <f>(AC52-AVERAGE(AC$2:AC$229))/AVERAGE(AC$2:AC$229)*100+100</f>
        <v>123.8062571730579</v>
      </c>
      <c r="L52" s="5">
        <f>(AF52-AVERAGE(AF$2:AF$229))/AVERAGE(AF$2:AF$229)*100+100</f>
        <v>153.92265453423369</v>
      </c>
      <c r="M52" s="5">
        <f>(AI52-AVERAGE(AI$2:AI$229))/AVERAGE(AI$2:AI$229)*100+100</f>
        <v>160.97673568707825</v>
      </c>
      <c r="N52" s="5">
        <f>(AVERAGE(AJ$2:AJ$229)-AJ52)/AVERAGE(AJ$2:AJ$229)*100+100</f>
        <v>55.987096637965408</v>
      </c>
      <c r="O52" s="5">
        <f>(AK52-AVERAGE(AK$2:AK$229))/AVERAGE(AK$2:AK$229)*100+100</f>
        <v>166.91821553182712</v>
      </c>
      <c r="P52" s="5">
        <f>(AL52-AVERAGE(AL$2:AL$229))/AVERAGE(AL$2:AL$229)*100+100</f>
        <v>97.195241241834808</v>
      </c>
      <c r="Q52" s="5">
        <f>(AM52-AVERAGE(AM$2:AM$229))/AVERAGE(AM$2:AM$229)*100+100</f>
        <v>101.10647433422663</v>
      </c>
      <c r="R52" s="5">
        <f>(AN52-AVERAGE(AN$2:AN$229))/AVERAGE(AN$2:AN$229)*100+100</f>
        <v>97.925752573284683</v>
      </c>
      <c r="S52" s="5">
        <f>(AO52-AVERAGE(AO$2:AO$229))/AVERAGE(AO$2:AO$229)*100+100</f>
        <v>99.313456250259904</v>
      </c>
      <c r="T52" s="6">
        <f>(F52*1.5+H52*2.5+I52+J52+K52*1.5+L52+O52*0.75+P52+S52)/11.25</f>
        <v>112.35572139391861</v>
      </c>
      <c r="V52">
        <f>'2025_Fantasy_Hitters_modified'!F66</f>
        <v>126.09138617404759</v>
      </c>
      <c r="W52">
        <f>'2025_Fantasy_Hitters_modified'!G66</f>
        <v>76.406485692487678</v>
      </c>
      <c r="X52">
        <f>'2025_Fantasy_Hitters_modified'!H66</f>
        <v>27.509713879571844</v>
      </c>
      <c r="Y52">
        <f>'2025_Fantasy_Hitters_modified'!I66</f>
        <v>2.6022205986217015</v>
      </c>
      <c r="Z52">
        <f>'2025_Fantasy_Hitters_modified'!J66</f>
        <v>18.999999999999979</v>
      </c>
      <c r="AA52">
        <f>'2025_Fantasy_Hitters_modified'!K66</f>
        <v>71.20836236933738</v>
      </c>
      <c r="AB52">
        <f>'2025_Fantasy_Hitters_modified'!L66</f>
        <v>73.999999999999517</v>
      </c>
      <c r="AC52" s="2">
        <f>'2025_Fantasy_Hitters_modified'!M66</f>
        <v>56.577700346816997</v>
      </c>
      <c r="AD52">
        <f>'2025_Fantasy_Hitters_modified'!N66</f>
        <v>0.60296167247384569</v>
      </c>
      <c r="AE52">
        <f>'2025_Fantasy_Hitters_modified'!O66</f>
        <v>122.52439026120001</v>
      </c>
      <c r="AF52">
        <f>'2025_Fantasy_Hitters_modified'!P66</f>
        <v>9.0191290824260815</v>
      </c>
      <c r="AG52">
        <f>'2025_Fantasy_Hitters_modified'!Q66</f>
        <v>4.1999999999999682</v>
      </c>
      <c r="AH52">
        <f>'2025_Fantasy_Hitters_modified'!R66</f>
        <v>0</v>
      </c>
      <c r="AI52">
        <f>'2025_Fantasy_Hitters_modified'!S66</f>
        <v>16.844425087108004</v>
      </c>
      <c r="AJ52">
        <f>'2025_Fantasy_Hitters_modified'!T66</f>
        <v>3.9088850174215684</v>
      </c>
      <c r="AK52">
        <f>'2025_Fantasy_Hitters_modified'!U66</f>
        <v>12.935540069686436</v>
      </c>
      <c r="AL52">
        <f>'2025_Fantasy_Hitters_modified'!V66</f>
        <v>0.2424834349500915</v>
      </c>
      <c r="AM52">
        <f>'2025_Fantasy_Hitters_modified'!W66</f>
        <v>0.3307491800774483</v>
      </c>
      <c r="AN52">
        <f>'2025_Fantasy_Hitters_modified'!X66</f>
        <v>0.41390879855287765</v>
      </c>
      <c r="AO52">
        <f>'2025_Fantasy_Hitters_modified'!Y66</f>
        <v>0.74465797863032601</v>
      </c>
      <c r="AP52">
        <f>'2025_Fantasy_Hitters_modified'!Z66</f>
        <v>0.27984899860000001</v>
      </c>
      <c r="AQ52">
        <f>'2025_Fantasy_Hitters_modified'!AA66</f>
        <v>20.731707320000002</v>
      </c>
      <c r="AR52">
        <f>'2025_Fantasy_Hitters_modified'!AB66</f>
        <v>9.5732149487000004</v>
      </c>
    </row>
    <row r="53" spans="1:44" x14ac:dyDescent="0.4">
      <c r="A53" t="str">
        <f>'2025_Fantasy_Hitters_modified'!A170</f>
        <v>SDP</v>
      </c>
      <c r="B53" t="str">
        <f>'2025_Fantasy_Hitters_modified'!B170</f>
        <v>Jackson Merrill</v>
      </c>
      <c r="C53">
        <f>'2025_Fantasy_Hitters_modified'!D170</f>
        <v>582</v>
      </c>
      <c r="D53">
        <f>'2025_Fantasy_Hitters_modified'!E170</f>
        <v>629</v>
      </c>
      <c r="E53" s="5">
        <f>(V53-AVERAGE(V$2:V$229))/AVERAGE(V$2:V$229)*100+100</f>
        <v>136.56247743307682</v>
      </c>
      <c r="F53" s="4">
        <f>E53*1.51744-31.775</f>
        <v>175.45036575604809</v>
      </c>
      <c r="G53" s="5">
        <f>(Z53-AVERAGE(Z$2:Z$229))/AVERAGE(Z$2:Z$229)*100+100</f>
        <v>132.67926706103015</v>
      </c>
      <c r="H53" s="4">
        <f>G53*0.83285-13.6979</f>
        <v>96.804027571778946</v>
      </c>
      <c r="I53" s="5">
        <f>(AA53-AVERAGE(AA$2:AA$229))/AVERAGE(AA$2:AA$229)*100+100</f>
        <v>122.0336095275986</v>
      </c>
      <c r="J53" s="5">
        <f>(AB53-AVERAGE(AB$2:AB$229))/AVERAGE(AB$2:AB$229)*100+100</f>
        <v>135.64931956506808</v>
      </c>
      <c r="K53" s="5">
        <f>(AC53-AVERAGE(AC$2:AC$229))/AVERAGE(AC$2:AC$229)*100+100</f>
        <v>80.940967793112378</v>
      </c>
      <c r="L53" s="5">
        <f>(AF53-AVERAGE(AF$2:AF$229))/AVERAGE(AF$2:AF$229)*100+100</f>
        <v>47.867969096261454</v>
      </c>
      <c r="M53" s="5">
        <f>(AI53-AVERAGE(AI$2:AI$229))/AVERAGE(AI$2:AI$229)*100+100</f>
        <v>151.17513890664844</v>
      </c>
      <c r="N53" s="5">
        <f>(AVERAGE(AJ$2:AJ$229)-AJ53)/AVERAGE(AJ$2:AJ$229)*100+100</f>
        <v>53.427988801218014</v>
      </c>
      <c r="O53" s="5">
        <f>(AK53-AVERAGE(AK$2:AK$229))/AVERAGE(AK$2:AK$229)*100+100</f>
        <v>152.78735659278522</v>
      </c>
      <c r="P53" s="5">
        <f>(AL53-AVERAGE(AL$2:AL$229))/AVERAGE(AL$2:AL$229)*100+100</f>
        <v>110.4845410244701</v>
      </c>
      <c r="Q53" s="5">
        <f>(AM53-AVERAGE(AM$2:AM$229))/AVERAGE(AM$2:AM$229)*100+100</f>
        <v>98.876184409624955</v>
      </c>
      <c r="R53" s="5">
        <f>(AN53-AVERAGE(AN$2:AN$229))/AVERAGE(AN$2:AN$229)*100+100</f>
        <v>112.58817114673593</v>
      </c>
      <c r="S53" s="5">
        <f>(AO53-AVERAGE(AO$2:AO$229))/AVERAGE(AO$2:AO$229)*100+100</f>
        <v>106.6058263068371</v>
      </c>
      <c r="T53" s="6">
        <f>(F53*1.5+H53*2.5+I53+J53+K53*1.5+L53+O53*0.75+P53+S53)/11.25</f>
        <v>112.34034241937887</v>
      </c>
      <c r="V53">
        <f>'2025_Fantasy_Hitters_modified'!F170</f>
        <v>160.42113103877497</v>
      </c>
      <c r="W53">
        <f>'2025_Fantasy_Hitters_modified'!G170</f>
        <v>100.16259635204035</v>
      </c>
      <c r="X53">
        <f>'2025_Fantasy_Hitters_modified'!H170</f>
        <v>33.0536567961733</v>
      </c>
      <c r="Y53">
        <f>'2025_Fantasy_Hitters_modified'!I170</f>
        <v>4.6313988581883718</v>
      </c>
      <c r="Z53">
        <f>'2025_Fantasy_Hitters_modified'!J170</f>
        <v>24.199999999999942</v>
      </c>
      <c r="AA53">
        <f>'2025_Fantasy_Hitters_modified'!K170</f>
        <v>80.471578947368229</v>
      </c>
      <c r="AB53">
        <f>'2025_Fantasy_Hitters_modified'!L170</f>
        <v>86.999999999999432</v>
      </c>
      <c r="AC53" s="2">
        <f>'2025_Fantasy_Hitters_modified'!M170</f>
        <v>36.988872179367</v>
      </c>
      <c r="AD53">
        <f>'2025_Fantasy_Hitters_modified'!N170</f>
        <v>2.3891729323307875</v>
      </c>
      <c r="AE53">
        <f>'2025_Fantasy_Hitters_modified'!O170</f>
        <v>104.04511276020001</v>
      </c>
      <c r="AF53">
        <f>'2025_Fantasy_Hitters_modified'!P170</f>
        <v>2.8048333333333</v>
      </c>
      <c r="AG53">
        <f>'2025_Fantasy_Hitters_modified'!Q170</f>
        <v>4.9999999999999876</v>
      </c>
      <c r="AH53">
        <f>'2025_Fantasy_Hitters_modified'!R170</f>
        <v>3.715999999999962</v>
      </c>
      <c r="AI53">
        <f>'2025_Fantasy_Hitters_modified'!S170</f>
        <v>15.818796992481147</v>
      </c>
      <c r="AJ53">
        <f>'2025_Fantasy_Hitters_modified'!T170</f>
        <v>3.9783458646616299</v>
      </c>
      <c r="AK53">
        <f>'2025_Fantasy_Hitters_modified'!U170</f>
        <v>11.840451127819517</v>
      </c>
      <c r="AL53">
        <f>'2025_Fantasy_Hitters_modified'!V170</f>
        <v>0.27563768219720786</v>
      </c>
      <c r="AM53">
        <f>'2025_Fantasy_Hitters_modified'!W170</f>
        <v>0.32345324211942494</v>
      </c>
      <c r="AN53">
        <f>'2025_Fantasy_Hitters_modified'!X170</f>
        <v>0.47588334453428149</v>
      </c>
      <c r="AO53">
        <f>'2025_Fantasy_Hitters_modified'!Y170</f>
        <v>0.79933658665370644</v>
      </c>
      <c r="AP53">
        <f>'2025_Fantasy_Hitters_modified'!Z170</f>
        <v>0.29693663180000002</v>
      </c>
      <c r="AQ53">
        <f>'2025_Fantasy_Hitters_modified'!AA170</f>
        <v>16.54135338</v>
      </c>
      <c r="AR53">
        <f>'2025_Fantasy_Hitters_modified'!AB170</f>
        <v>5.8805838123000003</v>
      </c>
    </row>
    <row r="54" spans="1:44" x14ac:dyDescent="0.4">
      <c r="A54" t="str">
        <f>'2025_Fantasy_Hitters_modified'!A24</f>
        <v>ATL</v>
      </c>
      <c r="B54" t="str">
        <f>'2025_Fantasy_Hitters_modified'!B24</f>
        <v>Michael Harris II</v>
      </c>
      <c r="C54">
        <f>'2025_Fantasy_Hitters_modified'!D24</f>
        <v>548</v>
      </c>
      <c r="D54">
        <f>'2025_Fantasy_Hitters_modified'!E24</f>
        <v>591</v>
      </c>
      <c r="E54" s="5">
        <f>(V54-AVERAGE(V$2:V$229))/AVERAGE(V$2:V$229)*100+100</f>
        <v>129.93455679028443</v>
      </c>
      <c r="F54" s="4">
        <f>E54*1.51744-31.775</f>
        <v>165.3928938558492</v>
      </c>
      <c r="G54" s="5">
        <f>(Z54-AVERAGE(Z$2:Z$229))/AVERAGE(Z$2:Z$229)*100+100</f>
        <v>112.94185543211671</v>
      </c>
      <c r="H54" s="4">
        <f>G54*0.83285-13.6979</f>
        <v>80.36572429663839</v>
      </c>
      <c r="I54" s="5">
        <f>(AA54-AVERAGE(AA$2:AA$229))/AVERAGE(AA$2:AA$229)*100+100</f>
        <v>127.16775240885531</v>
      </c>
      <c r="J54" s="5">
        <f>(AB54-AVERAGE(AB$2:AB$229))/AVERAGE(AB$2:AB$229)*100+100</f>
        <v>110.70231826574583</v>
      </c>
      <c r="K54" s="5">
        <f>(AC54-AVERAGE(AC$2:AC$229))/AVERAGE(AC$2:AC$229)*100+100</f>
        <v>83.992399991678582</v>
      </c>
      <c r="L54" s="5">
        <f>(AF54-AVERAGE(AF$2:AF$229))/AVERAGE(AF$2:AF$229)*100+100</f>
        <v>102.96430506139205</v>
      </c>
      <c r="M54" s="5">
        <f>(AI54-AVERAGE(AI$2:AI$229))/AVERAGE(AI$2:AI$229)*100+100</f>
        <v>171.85181272890611</v>
      </c>
      <c r="N54" s="5">
        <f>(AVERAGE(AJ$2:AJ$229)-AJ54)/AVERAGE(AJ$2:AJ$229)*100+100</f>
        <v>16.928108303556883</v>
      </c>
      <c r="O54" s="5">
        <f>(AK54-AVERAGE(AK$2:AK$229))/AVERAGE(AK$2:AK$229)*100+100</f>
        <v>167.92204781701807</v>
      </c>
      <c r="P54" s="5">
        <f>(AL54-AVERAGE(AL$2:AL$229))/AVERAGE(AL$2:AL$229)*100+100</f>
        <v>111.64447209905396</v>
      </c>
      <c r="Q54" s="5">
        <f>(AM54-AVERAGE(AM$2:AM$229))/AVERAGE(AM$2:AM$229)*100+100</f>
        <v>103.02379715160748</v>
      </c>
      <c r="R54" s="5">
        <f>(AN54-AVERAGE(AN$2:AN$229))/AVERAGE(AN$2:AN$229)*100+100</f>
        <v>109.06426273019031</v>
      </c>
      <c r="S54" s="5">
        <f>(AO54-AVERAGE(AO$2:AO$229))/AVERAGE(AO$2:AO$229)*100+100</f>
        <v>106.42889348885194</v>
      </c>
      <c r="T54" s="6">
        <f>(F54*1.5+H54*2.5+I54+J54+K54*1.5+L54+O54*0.75+P54+S54)/11.25</f>
        <v>111.98591366218223</v>
      </c>
      <c r="V54">
        <f>'2025_Fantasy_Hitters_modified'!F24</f>
        <v>152.63525496258077</v>
      </c>
      <c r="W54">
        <f>'2025_Fantasy_Hitters_modified'!G24</f>
        <v>97.95173565828668</v>
      </c>
      <c r="X54">
        <f>'2025_Fantasy_Hitters_modified'!H24</f>
        <v>30.705873247111722</v>
      </c>
      <c r="Y54">
        <f>'2025_Fantasy_Hitters_modified'!I24</f>
        <v>3.6194279682049975</v>
      </c>
      <c r="Z54">
        <f>'2025_Fantasy_Hitters_modified'!J24</f>
        <v>20.599999999999977</v>
      </c>
      <c r="AA54">
        <f>'2025_Fantasy_Hitters_modified'!K24</f>
        <v>83.857142857142449</v>
      </c>
      <c r="AB54">
        <f>'2025_Fantasy_Hitters_modified'!L24</f>
        <v>70.999999999999929</v>
      </c>
      <c r="AC54" s="2">
        <f>'2025_Fantasy_Hitters_modified'!M24</f>
        <v>38.383333335864002</v>
      </c>
      <c r="AD54">
        <f>'2025_Fantasy_Hitters_modified'!N24</f>
        <v>2.3876190476190118</v>
      </c>
      <c r="AE54">
        <f>'2025_Fantasy_Hitters_modified'!O24</f>
        <v>113.50952383109998</v>
      </c>
      <c r="AF54">
        <f>'2025_Fantasy_Hitters_modified'!P24</f>
        <v>6.0332142857142124</v>
      </c>
      <c r="AG54">
        <f>'2025_Fantasy_Hitters_modified'!Q24</f>
        <v>2.9999999999999432</v>
      </c>
      <c r="AH54">
        <f>'2025_Fantasy_Hitters_modified'!R24</f>
        <v>0.39999999999998465</v>
      </c>
      <c r="AI54">
        <f>'2025_Fantasy_Hitters_modified'!S24</f>
        <v>17.982380952380911</v>
      </c>
      <c r="AJ54">
        <f>'2025_Fantasy_Hitters_modified'!T24</f>
        <v>4.9690476190476032</v>
      </c>
      <c r="AK54">
        <f>'2025_Fantasy_Hitters_modified'!U24</f>
        <v>13.013333333333307</v>
      </c>
      <c r="AL54">
        <f>'2025_Fantasy_Hitters_modified'!V24</f>
        <v>0.27853148715799414</v>
      </c>
      <c r="AM54">
        <f>'2025_Fantasy_Hitters_modified'!W24</f>
        <v>0.33702131006683145</v>
      </c>
      <c r="AN54">
        <f>'2025_Fantasy_Hitters_modified'!X24</f>
        <v>0.46098862419183406</v>
      </c>
      <c r="AO54">
        <f>'2025_Fantasy_Hitters_modified'!Y24</f>
        <v>0.79800993425866551</v>
      </c>
      <c r="AP54">
        <f>'2025_Fantasy_Hitters_modified'!Z24</f>
        <v>0.31671449099999999</v>
      </c>
      <c r="AQ54">
        <f>'2025_Fantasy_Hitters_modified'!AA24</f>
        <v>19.206349209999999</v>
      </c>
      <c r="AR54">
        <f>'2025_Fantasy_Hitters_modified'!AB24</f>
        <v>6.4946418503999999</v>
      </c>
    </row>
    <row r="55" spans="1:44" x14ac:dyDescent="0.4">
      <c r="A55" t="str">
        <f>'2025_Fantasy_Hitters_modified'!A91</f>
        <v>HOU</v>
      </c>
      <c r="B55" t="str">
        <f>'2025_Fantasy_Hitters_modified'!B91</f>
        <v>Jose Altuve</v>
      </c>
      <c r="C55">
        <f>'2025_Fantasy_Hitters_modified'!D91</f>
        <v>570</v>
      </c>
      <c r="D55">
        <f>'2025_Fantasy_Hitters_modified'!E91</f>
        <v>632</v>
      </c>
      <c r="E55" s="5">
        <f>(V55-AVERAGE(V$2:V$229))/AVERAGE(V$2:V$229)*100+100</f>
        <v>127.24139884126707</v>
      </c>
      <c r="F55" s="4">
        <f>E55*1.51744-31.775</f>
        <v>161.3061882576923</v>
      </c>
      <c r="G55" s="5">
        <f>(Z55-AVERAGE(Z$2:Z$229))/AVERAGE(Z$2:Z$229)*100+100</f>
        <v>99.783581012840813</v>
      </c>
      <c r="H55" s="4">
        <f>G55*0.83285-13.6979</f>
        <v>69.406855446544469</v>
      </c>
      <c r="I55" s="5">
        <f>(AA55-AVERAGE(AA$2:AA$229))/AVERAGE(AA$2:AA$229)*100+100</f>
        <v>130.07073006180019</v>
      </c>
      <c r="J55" s="5">
        <f>(AB55-AVERAGE(AB$2:AB$229))/AVERAGE(AB$2:AB$229)*100+100</f>
        <v>102.90638035970706</v>
      </c>
      <c r="K55" s="5">
        <f>(AC55-AVERAGE(AC$2:AC$229))/AVERAGE(AC$2:AC$229)*100+100</f>
        <v>109.82097724677541</v>
      </c>
      <c r="L55" s="5">
        <f>(AF55-AVERAGE(AF$2:AF$229))/AVERAGE(AF$2:AF$229)*100+100</f>
        <v>118.59870423868949</v>
      </c>
      <c r="M55" s="5">
        <f>(AI55-AVERAGE(AI$2:AI$229))/AVERAGE(AI$2:AI$229)*100+100</f>
        <v>161.82156183466685</v>
      </c>
      <c r="N55" s="5">
        <f>(AVERAGE(AJ$2:AJ$229)-AJ55)/AVERAGE(AJ$2:AJ$229)*100+100</f>
        <v>16.515637098174366</v>
      </c>
      <c r="O55" s="5">
        <f>(AK55-AVERAGE(AK$2:AK$229))/AVERAGE(AK$2:AK$229)*100+100</f>
        <v>154.23429656022111</v>
      </c>
      <c r="P55" s="5">
        <f>(AL55-AVERAGE(AL$2:AL$229))/AVERAGE(AL$2:AL$229)*100+100</f>
        <v>105.11064301348722</v>
      </c>
      <c r="Q55" s="5">
        <f>(AM55-AVERAGE(AM$2:AM$229))/AVERAGE(AM$2:AM$229)*100+100</f>
        <v>101.6382205915839</v>
      </c>
      <c r="R55" s="5">
        <f>(AN55-AVERAGE(AN$2:AN$229))/AVERAGE(AN$2:AN$229)*100+100</f>
        <v>97.102411694947619</v>
      </c>
      <c r="S55" s="5">
        <f>(AO55-AVERAGE(AO$2:AO$229))/AVERAGE(AO$2:AO$229)*100+100</f>
        <v>99.081320620969208</v>
      </c>
      <c r="T55" s="6">
        <f>(F55*1.5+H55*2.5+I55+J55+K55*1.5+L55+O55*0.75+P55+S55)/11.25</f>
        <v>111.25790111892283</v>
      </c>
      <c r="V55">
        <f>'2025_Fantasy_Hitters_modified'!F91</f>
        <v>149.47157887550074</v>
      </c>
      <c r="W55">
        <f>'2025_Fantasy_Hitters_modified'!G91</f>
        <v>101.64384531847176</v>
      </c>
      <c r="X55">
        <f>'2025_Fantasy_Hitters_modified'!H91</f>
        <v>28.273878527030888</v>
      </c>
      <c r="Y55">
        <f>'2025_Fantasy_Hitters_modified'!I91</f>
        <v>0.98425848792147885</v>
      </c>
      <c r="Z55">
        <f>'2025_Fantasy_Hitters_modified'!J91</f>
        <v>18.19999999999995</v>
      </c>
      <c r="AA55">
        <f>'2025_Fantasy_Hitters_modified'!K91</f>
        <v>85.771428571428132</v>
      </c>
      <c r="AB55">
        <f>'2025_Fantasy_Hitters_modified'!L91</f>
        <v>65.999999999999716</v>
      </c>
      <c r="AC55" s="2">
        <f>'2025_Fantasy_Hitters_modified'!M91</f>
        <v>50.186626139399998</v>
      </c>
      <c r="AD55">
        <f>'2025_Fantasy_Hitters_modified'!N91</f>
        <v>0.6920972644376685</v>
      </c>
      <c r="AE55">
        <f>'2025_Fantasy_Hitters_modified'!O91</f>
        <v>108.5349544096</v>
      </c>
      <c r="AF55">
        <f>'2025_Fantasy_Hitters_modified'!P91</f>
        <v>6.9493150684931386</v>
      </c>
      <c r="AG55">
        <f>'2025_Fantasy_Hitters_modified'!Q91</f>
        <v>2.5999999999999672</v>
      </c>
      <c r="AH55">
        <f>'2025_Fantasy_Hitters_modified'!R91</f>
        <v>0.39999999999998526</v>
      </c>
      <c r="AI55">
        <f>'2025_Fantasy_Hitters_modified'!S91</f>
        <v>16.932826747720309</v>
      </c>
      <c r="AJ55">
        <f>'2025_Fantasy_Hitters_modified'!T91</f>
        <v>4.980243161094168</v>
      </c>
      <c r="AK55">
        <f>'2025_Fantasy_Hitters_modified'!U91</f>
        <v>11.95258358662614</v>
      </c>
      <c r="AL55">
        <f>'2025_Fantasy_Hitters_modified'!V91</f>
        <v>0.26223084013245745</v>
      </c>
      <c r="AM55">
        <f>'2025_Fantasy_Hitters_modified'!W91</f>
        <v>0.33248867935074689</v>
      </c>
      <c r="AN55">
        <f>'2025_Fantasy_Hitters_modified'!X91</f>
        <v>0.41042873304613642</v>
      </c>
      <c r="AO55">
        <f>'2025_Fantasy_Hitters_modified'!Y91</f>
        <v>0.74291741239688336</v>
      </c>
      <c r="AP55">
        <f>'2025_Fantasy_Hitters_modified'!Z91</f>
        <v>0.2944199824</v>
      </c>
      <c r="AQ55">
        <f>'2025_Fantasy_Hitters_modified'!AA91</f>
        <v>17.17325228</v>
      </c>
      <c r="AR55">
        <f>'2025_Fantasy_Hitters_modified'!AB91</f>
        <v>7.9409218575000002</v>
      </c>
    </row>
    <row r="56" spans="1:44" x14ac:dyDescent="0.4">
      <c r="A56" t="str">
        <f>'2025_Fantasy_Hitters_modified'!A39</f>
        <v>BOS</v>
      </c>
      <c r="B56" t="str">
        <f>'2025_Fantasy_Hitters_modified'!B39</f>
        <v>Alex Bregman</v>
      </c>
      <c r="C56">
        <f>'2025_Fantasy_Hitters_modified'!D39</f>
        <v>555</v>
      </c>
      <c r="D56">
        <f>'2025_Fantasy_Hitters_modified'!E39</f>
        <v>629</v>
      </c>
      <c r="E56" s="5">
        <f>(V56-AVERAGE(V$2:V$229))/AVERAGE(V$2:V$229)*100+100</f>
        <v>122.42029992255208</v>
      </c>
      <c r="F56" s="4">
        <f>E56*1.51744-31.775</f>
        <v>153.99045991447741</v>
      </c>
      <c r="G56" s="5">
        <f>(Z56-AVERAGE(Z$2:Z$229))/AVERAGE(Z$2:Z$229)*100+100</f>
        <v>122.81056124657329</v>
      </c>
      <c r="H56" s="4">
        <f>G56*0.83285-13.6979</f>
        <v>88.584875934208554</v>
      </c>
      <c r="I56" s="5">
        <f>(AA56-AVERAGE(AA$2:AA$229))/AVERAGE(AA$2:AA$229)*100+100</f>
        <v>120.88161538625332</v>
      </c>
      <c r="J56" s="5">
        <f>(AB56-AVERAGE(AB$2:AB$229))/AVERAGE(AB$2:AB$229)*100+100</f>
        <v>124.73500649661446</v>
      </c>
      <c r="K56" s="5">
        <f>(AC56-AVERAGE(AC$2:AC$229))/AVERAGE(AC$2:AC$229)*100+100</f>
        <v>133.91940153419975</v>
      </c>
      <c r="L56" s="5">
        <f>(AF56-AVERAGE(AF$2:AF$229))/AVERAGE(AF$2:AF$229)*100+100</f>
        <v>119.54016240134781</v>
      </c>
      <c r="M56" s="5">
        <f>(AI56-AVERAGE(AI$2:AI$229))/AVERAGE(AI$2:AI$229)*100+100</f>
        <v>28.458912517967775</v>
      </c>
      <c r="N56" s="5">
        <f>(AVERAGE(AJ$2:AJ$229)-AJ56)/AVERAGE(AJ$2:AJ$229)*100+100</f>
        <v>163.42884868921595</v>
      </c>
      <c r="O56" s="5">
        <f>(AK56-AVERAGE(AK$2:AK$229))/AVERAGE(AK$2:AK$229)*100+100</f>
        <v>25.617649862232199</v>
      </c>
      <c r="P56" s="5">
        <f>(AL56-AVERAGE(AL$2:AL$229))/AVERAGE(AL$2:AL$229)*100+100</f>
        <v>103.8612558656575</v>
      </c>
      <c r="Q56" s="5">
        <f>(AM56-AVERAGE(AM$2:AM$229))/AVERAGE(AM$2:AM$229)*100+100</f>
        <v>104.32067526610861</v>
      </c>
      <c r="R56" s="5">
        <f>(AN56-AVERAGE(AN$2:AN$229))/AVERAGE(AN$2:AN$229)*100+100</f>
        <v>104.07285714958255</v>
      </c>
      <c r="S56" s="5">
        <f>(AO56-AVERAGE(AO$2:AO$229))/AVERAGE(AO$2:AO$229)*100+100</f>
        <v>104.18097667004707</v>
      </c>
      <c r="T56" s="6">
        <f>(F56*1.5+H56*2.5+I56+J56+K56*1.5+L56+O56*0.75+P56+S56)/11.25</f>
        <v>110.73237655334502</v>
      </c>
      <c r="V56">
        <f>'2025_Fantasy_Hitters_modified'!F39</f>
        <v>143.80819200725148</v>
      </c>
      <c r="W56">
        <f>'2025_Fantasy_Hitters_modified'!G39</f>
        <v>90.303613889691235</v>
      </c>
      <c r="X56">
        <f>'2025_Fantasy_Hitters_modified'!H39</f>
        <v>29.097831142233808</v>
      </c>
      <c r="Y56">
        <f>'2025_Fantasy_Hitters_modified'!I39</f>
        <v>2.0134361319108822</v>
      </c>
      <c r="Z56">
        <f>'2025_Fantasy_Hitters_modified'!J39</f>
        <v>22.399999999999935</v>
      </c>
      <c r="AA56">
        <f>'2025_Fantasy_Hitters_modified'!K39</f>
        <v>79.711929307805548</v>
      </c>
      <c r="AB56">
        <f>'2025_Fantasy_Hitters_modified'!L39</f>
        <v>79.999999999999559</v>
      </c>
      <c r="AC56" s="2">
        <f>'2025_Fantasy_Hitters_modified'!M39</f>
        <v>61.199263620707001</v>
      </c>
      <c r="AD56">
        <f>'2025_Fantasy_Hitters_modified'!N39</f>
        <v>0.59263622974960306</v>
      </c>
      <c r="AE56">
        <f>'2025_Fantasy_Hitters_modified'!O39</f>
        <v>80.593519909600005</v>
      </c>
      <c r="AF56">
        <f>'2025_Fantasy_Hitters_modified'!P39</f>
        <v>7.0044799999998943</v>
      </c>
      <c r="AG56">
        <f>'2025_Fantasy_Hitters_modified'!Q39</f>
        <v>6.199999999999962</v>
      </c>
      <c r="AH56">
        <f>'2025_Fantasy_Hitters_modified'!R39</f>
        <v>0</v>
      </c>
      <c r="AI56">
        <f>'2025_Fantasy_Hitters_modified'!S39</f>
        <v>2.9779086892488649</v>
      </c>
      <c r="AJ56">
        <f>'2025_Fantasy_Hitters_modified'!T39</f>
        <v>0.99263622974958199</v>
      </c>
      <c r="AK56">
        <f>'2025_Fantasy_Hitters_modified'!U39</f>
        <v>1.9852724594992828</v>
      </c>
      <c r="AL56">
        <f>'2025_Fantasy_Hitters_modified'!V39</f>
        <v>0.25911385947252519</v>
      </c>
      <c r="AM56">
        <f>'2025_Fantasy_Hitters_modified'!W39</f>
        <v>0.34126378193479201</v>
      </c>
      <c r="AN56">
        <f>'2025_Fantasy_Hitters_modified'!X39</f>
        <v>0.4398911433691734</v>
      </c>
      <c r="AO56">
        <f>'2025_Fantasy_Hitters_modified'!Y39</f>
        <v>0.78115492530396535</v>
      </c>
      <c r="AP56">
        <f>'2025_Fantasy_Hitters_modified'!Z39</f>
        <v>0.26496393499999998</v>
      </c>
      <c r="AQ56">
        <f>'2025_Fantasy_Hitters_modified'!AA39</f>
        <v>12.812960240000001</v>
      </c>
      <c r="AR56">
        <f>'2025_Fantasy_Hitters_modified'!AB39</f>
        <v>9.7296126583000007</v>
      </c>
    </row>
    <row r="57" spans="1:44" x14ac:dyDescent="0.4">
      <c r="A57" t="str">
        <f>'2025_Fantasy_Hitters_modified'!A225</f>
        <v>WSN</v>
      </c>
      <c r="B57" t="str">
        <f>'2025_Fantasy_Hitters_modified'!B225</f>
        <v>James Wood</v>
      </c>
      <c r="C57">
        <f>'2025_Fantasy_Hitters_modified'!D225</f>
        <v>518</v>
      </c>
      <c r="D57">
        <f>'2025_Fantasy_Hitters_modified'!E225</f>
        <v>590</v>
      </c>
      <c r="E57" s="5">
        <f>(V57-AVERAGE(V$2:V$229))/AVERAGE(V$2:V$229)*100+100</f>
        <v>115.68551278931946</v>
      </c>
      <c r="F57" s="4">
        <f>E57*1.51744-31.775</f>
        <v>143.7708245270249</v>
      </c>
      <c r="G57" s="5">
        <f>(Z57-AVERAGE(Z$2:Z$229))/AVERAGE(Z$2:Z$229)*100+100</f>
        <v>99.783581012840614</v>
      </c>
      <c r="H57" s="4">
        <f>G57*0.83285-13.6979</f>
        <v>69.406855446544299</v>
      </c>
      <c r="I57" s="5">
        <f>(AA57-AVERAGE(AA$2:AA$229))/AVERAGE(AA$2:AA$229)*100+100</f>
        <v>116.01452123066005</v>
      </c>
      <c r="J57" s="5">
        <f>(AB57-AVERAGE(AB$2:AB$229))/AVERAGE(AB$2:AB$229)*100+100</f>
        <v>113.82069342816131</v>
      </c>
      <c r="K57" s="5">
        <f>(AC57-AVERAGE(AC$2:AC$229))/AVERAGE(AC$2:AC$229)*100+100</f>
        <v>132.79347039300114</v>
      </c>
      <c r="L57" s="5">
        <f>(AF57-AVERAGE(AF$2:AF$229))/AVERAGE(AF$2:AF$229)*100+100</f>
        <v>81.917969574682928</v>
      </c>
      <c r="M57" s="5">
        <f>(AI57-AVERAGE(AI$2:AI$229))/AVERAGE(AI$2:AI$229)*100+100</f>
        <v>188.6855311075669</v>
      </c>
      <c r="N57" s="5">
        <f>(AVERAGE(AJ$2:AJ$229)-AJ57)/AVERAGE(AJ$2:AJ$229)*100+100</f>
        <v>-20.365042279285234</v>
      </c>
      <c r="O57" s="5">
        <f>(AK57-AVERAGE(AK$2:AK$229))/AVERAGE(AK$2:AK$229)*100+100</f>
        <v>177.58997359958676</v>
      </c>
      <c r="P57" s="5">
        <f>(AL57-AVERAGE(AL$2:AL$229))/AVERAGE(AL$2:AL$229)*100+100</f>
        <v>105.15800295634865</v>
      </c>
      <c r="Q57" s="5">
        <f>(AM57-AVERAGE(AM$2:AM$229))/AVERAGE(AM$2:AM$229)*100+100</f>
        <v>106.40411681951599</v>
      </c>
      <c r="R57" s="5">
        <f>(AN57-AVERAGE(AN$2:AN$229))/AVERAGE(AN$2:AN$229)*100+100</f>
        <v>103.04926456328892</v>
      </c>
      <c r="S57" s="5">
        <f>(AO57-AVERAGE(AO$2:AO$229))/AVERAGE(AO$2:AO$229)*100+100</f>
        <v>104.51293889936041</v>
      </c>
      <c r="T57" s="6">
        <f>(F57*1.5+H57*2.5+I57+J57+K57*1.5+L57+O57*0.75+P57+S57)/11.25</f>
        <v>110.48712775869363</v>
      </c>
      <c r="V57">
        <f>'2025_Fantasy_Hitters_modified'!F225</f>
        <v>135.89677893444733</v>
      </c>
      <c r="W57">
        <f>'2025_Fantasy_Hitters_modified'!G225</f>
        <v>85.592927209180345</v>
      </c>
      <c r="X57">
        <f>'2025_Fantasy_Hitters_modified'!H225</f>
        <v>28.166750514226695</v>
      </c>
      <c r="Y57">
        <f>'2025_Fantasy_Hitters_modified'!I225</f>
        <v>3.6320221670010517</v>
      </c>
      <c r="Z57">
        <f>'2025_Fantasy_Hitters_modified'!J225</f>
        <v>18.199999999999914</v>
      </c>
      <c r="AA57">
        <f>'2025_Fantasy_Hitters_modified'!K225</f>
        <v>76.502463054186947</v>
      </c>
      <c r="AB57">
        <f>'2025_Fantasy_Hitters_modified'!L225</f>
        <v>72.999999999999986</v>
      </c>
      <c r="AC57" s="2">
        <f>'2025_Fantasy_Hitters_modified'!M225</f>
        <v>60.684729087699992</v>
      </c>
      <c r="AD57">
        <f>'2025_Fantasy_Hitters_modified'!N225</f>
        <v>1.993760262725734</v>
      </c>
      <c r="AE57">
        <f>'2025_Fantasy_Hitters_modified'!O225</f>
        <v>157.914614097</v>
      </c>
      <c r="AF57">
        <f>'2025_Fantasy_Hitters_modified'!P225</f>
        <v>4.7999999999999741</v>
      </c>
      <c r="AG57">
        <f>'2025_Fantasy_Hitters_modified'!Q225</f>
        <v>3.5999999999999663</v>
      </c>
      <c r="AH57">
        <f>'2025_Fantasy_Hitters_modified'!R225</f>
        <v>0</v>
      </c>
      <c r="AI57">
        <f>'2025_Fantasy_Hitters_modified'!S225</f>
        <v>19.743842364531947</v>
      </c>
      <c r="AJ57">
        <f>'2025_Fantasy_Hitters_modified'!T225</f>
        <v>5.9812807881772789</v>
      </c>
      <c r="AK57">
        <f>'2025_Fantasy_Hitters_modified'!U225</f>
        <v>13.762561576354667</v>
      </c>
      <c r="AL57">
        <f>'2025_Fantasy_Hitters_modified'!V225</f>
        <v>0.26234899408194462</v>
      </c>
      <c r="AM57">
        <f>'2025_Fantasy_Hitters_modified'!W225</f>
        <v>0.34807933543981129</v>
      </c>
      <c r="AN57">
        <f>'2025_Fantasy_Hitters_modified'!X225</f>
        <v>0.43556466165759949</v>
      </c>
      <c r="AO57">
        <f>'2025_Fantasy_Hitters_modified'!Y225</f>
        <v>0.78364399709741073</v>
      </c>
      <c r="AP57">
        <f>'2025_Fantasy_Hitters_modified'!Z225</f>
        <v>0.34067078880000001</v>
      </c>
      <c r="AQ57">
        <f>'2025_Fantasy_Hitters_modified'!AA225</f>
        <v>26.76518883</v>
      </c>
      <c r="AR57">
        <f>'2025_Fantasy_Hitters_modified'!AB225</f>
        <v>10.285547303</v>
      </c>
    </row>
    <row r="58" spans="1:44" x14ac:dyDescent="0.4">
      <c r="A58" t="str">
        <f>'2025_Fantasy_Hitters_modified'!A138</f>
        <v>NYM</v>
      </c>
      <c r="B58" t="str">
        <f>'2025_Fantasy_Hitters_modified'!B138</f>
        <v>Brandon Nimmo</v>
      </c>
      <c r="C58">
        <f>'2025_Fantasy_Hitters_modified'!D138</f>
        <v>521</v>
      </c>
      <c r="D58">
        <f>'2025_Fantasy_Hitters_modified'!E138</f>
        <v>603</v>
      </c>
      <c r="E58" s="5">
        <f>(V58-AVERAGE(V$2:V$229))/AVERAGE(V$2:V$229)*100+100</f>
        <v>108.72807742883518</v>
      </c>
      <c r="F58" s="4">
        <f>E58*1.51744-31.775</f>
        <v>133.21333381361163</v>
      </c>
      <c r="G58" s="5">
        <f>(Z58-AVERAGE(Z$2:Z$229))/AVERAGE(Z$2:Z$229)*100+100</f>
        <v>94.300966671475877</v>
      </c>
      <c r="H58" s="4">
        <f>G58*0.83285-13.6979</f>
        <v>64.84066009233868</v>
      </c>
      <c r="I58" s="5">
        <f>(AA58-AVERAGE(AA$2:AA$229))/AVERAGE(AA$2:AA$229)*100+100</f>
        <v>116.65783529201684</v>
      </c>
      <c r="J58" s="5">
        <f>(AB58-AVERAGE(AB$2:AB$229))/AVERAGE(AB$2:AB$229)*100+100</f>
        <v>106.02475552212263</v>
      </c>
      <c r="K58" s="5">
        <f>(AC58-AVERAGE(AC$2:AC$229))/AVERAGE(AC$2:AC$229)*100+100</f>
        <v>152.62209190427447</v>
      </c>
      <c r="L58" s="5">
        <f>(AF58-AVERAGE(AF$2:AF$229))/AVERAGE(AF$2:AF$229)*100+100</f>
        <v>171.79561324288684</v>
      </c>
      <c r="M58" s="5">
        <f>(AI58-AVERAGE(AI$2:AI$229))/AVERAGE(AI$2:AI$229)*100+100</f>
        <v>76.742915386481485</v>
      </c>
      <c r="N58" s="5">
        <f>(AVERAGE(AJ$2:AJ$229)-AJ58)/AVERAGE(AJ$2:AJ$229)*100+100</f>
        <v>126.03608529864233</v>
      </c>
      <c r="O58" s="5">
        <f>(AK58-AVERAGE(AK$2:AK$229))/AVERAGE(AK$2:AK$229)*100+100</f>
        <v>77.716243596925494</v>
      </c>
      <c r="P58" s="5">
        <f>(AL58-AVERAGE(AL$2:AL$229))/AVERAGE(AL$2:AL$229)*100+100</f>
        <v>98.264601910814548</v>
      </c>
      <c r="Q58" s="5">
        <f>(AM58-AVERAGE(AM$2:AM$229))/AVERAGE(AM$2:AM$229)*100+100</f>
        <v>107.28416886957881</v>
      </c>
      <c r="R58" s="5">
        <f>(AN58-AVERAGE(AN$2:AN$229))/AVERAGE(AN$2:AN$229)*100+100</f>
        <v>96.182707845562064</v>
      </c>
      <c r="S58" s="5">
        <f>(AO58-AVERAGE(AO$2:AO$229))/AVERAGE(AO$2:AO$229)*100+100</f>
        <v>101.02611743642898</v>
      </c>
      <c r="T58" s="6">
        <f>(F58*1.5+H58*2.5+I58+J58+K58*1.5+L58+O58*0.75+P58+S58)/11.25</f>
        <v>110.48096843641241</v>
      </c>
      <c r="V58">
        <f>'2025_Fantasy_Hitters_modified'!F138</f>
        <v>127.72381905090234</v>
      </c>
      <c r="W58">
        <f>'2025_Fantasy_Hitters_modified'!G138</f>
        <v>82.235620893820638</v>
      </c>
      <c r="X58">
        <f>'2025_Fantasy_Hitters_modified'!H138</f>
        <v>24.335519791024367</v>
      </c>
      <c r="Y58">
        <f>'2025_Fantasy_Hitters_modified'!I138</f>
        <v>4.0337967653606945</v>
      </c>
      <c r="Z58">
        <f>'2025_Fantasy_Hitters_modified'!J138</f>
        <v>17.199999999999942</v>
      </c>
      <c r="AA58">
        <f>'2025_Fantasy_Hitters_modified'!K138</f>
        <v>76.926678141135739</v>
      </c>
      <c r="AB58">
        <f>'2025_Fantasy_Hitters_modified'!L138</f>
        <v>67.999999999999844</v>
      </c>
      <c r="AC58" s="2">
        <f>'2025_Fantasy_Hitters_modified'!M138</f>
        <v>69.746127370560004</v>
      </c>
      <c r="AD58">
        <f>'2025_Fantasy_Hitters_modified'!N138</f>
        <v>1.2999999999999843</v>
      </c>
      <c r="AE58">
        <f>'2025_Fantasy_Hitters_modified'!O138</f>
        <v>132.84681585210001</v>
      </c>
      <c r="AF58">
        <f>'2025_Fantasy_Hitters_modified'!P138</f>
        <v>10.066398713826327</v>
      </c>
      <c r="AG58">
        <f>'2025_Fantasy_Hitters_modified'!Q138</f>
        <v>2.999999999999968</v>
      </c>
      <c r="AH58">
        <f>'2025_Fantasy_Hitters_modified'!R138</f>
        <v>0.98167202572344481</v>
      </c>
      <c r="AI58">
        <f>'2025_Fantasy_Hitters_modified'!S138</f>
        <v>8.0302925989672733</v>
      </c>
      <c r="AJ58">
        <f>'2025_Fantasy_Hitters_modified'!T138</f>
        <v>2.0075731497418183</v>
      </c>
      <c r="AK58">
        <f>'2025_Fantasy_Hitters_modified'!U138</f>
        <v>6.0227194492254554</v>
      </c>
      <c r="AL58">
        <f>'2025_Fantasy_Hitters_modified'!V138</f>
        <v>0.2451512841667991</v>
      </c>
      <c r="AM58">
        <f>'2025_Fantasy_Hitters_modified'!W138</f>
        <v>0.35095824597348835</v>
      </c>
      <c r="AN58">
        <f>'2025_Fantasy_Hitters_modified'!X138</f>
        <v>0.40654136424558779</v>
      </c>
      <c r="AO58">
        <f>'2025_Fantasy_Hitters_modified'!Y138</f>
        <v>0.75749961021907608</v>
      </c>
      <c r="AP58">
        <f>'2025_Fantasy_Hitters_modified'!Z138</f>
        <v>0.29555522919999999</v>
      </c>
      <c r="AQ58">
        <f>'2025_Fantasy_Hitters_modified'!AA138</f>
        <v>22.030981069999999</v>
      </c>
      <c r="AR58">
        <f>'2025_Fantasy_Hitters_modified'!AB138</f>
        <v>11.566521952</v>
      </c>
    </row>
    <row r="59" spans="1:44" x14ac:dyDescent="0.4">
      <c r="A59" t="str">
        <f>'2025_Fantasy_Hitters_modified'!A56</f>
        <v>CHC</v>
      </c>
      <c r="B59" t="str">
        <f>'2025_Fantasy_Hitters_modified'!B56</f>
        <v>Seiya Suzuki</v>
      </c>
      <c r="C59">
        <f>'2025_Fantasy_Hitters_modified'!D56</f>
        <v>511</v>
      </c>
      <c r="D59">
        <f>'2025_Fantasy_Hitters_modified'!E56</f>
        <v>582</v>
      </c>
      <c r="E59" s="5">
        <f>(V59-AVERAGE(V$2:V$229))/AVERAGE(V$2:V$229)*100+100</f>
        <v>112.79095384588686</v>
      </c>
      <c r="F59" s="4">
        <f>E59*1.51744-31.775</f>
        <v>139.37850500390255</v>
      </c>
      <c r="G59" s="5">
        <f>(Z59-AVERAGE(Z$2:Z$229))/AVERAGE(Z$2:Z$229)*100+100</f>
        <v>117.32794690520836</v>
      </c>
      <c r="H59" s="4">
        <f>G59*0.83285-13.6979</f>
        <v>84.01868058000278</v>
      </c>
      <c r="I59" s="5">
        <f>(AA59-AVERAGE(AA$2:AA$229))/AVERAGE(AA$2:AA$229)*100+100</f>
        <v>113.84763442442892</v>
      </c>
      <c r="J59" s="5">
        <f>(AB59-AVERAGE(AB$2:AB$229))/AVERAGE(AB$2:AB$229)*100+100</f>
        <v>115.37988100936894</v>
      </c>
      <c r="K59" s="5">
        <f>(AC59-AVERAGE(AC$2:AC$229))/AVERAGE(AC$2:AC$229)*100+100</f>
        <v>133.78033962094347</v>
      </c>
      <c r="L59" s="5">
        <f>(AF59-AVERAGE(AF$2:AF$229))/AVERAGE(AF$2:AF$229)*100+100</f>
        <v>99.23975057432061</v>
      </c>
      <c r="M59" s="5">
        <f>(AI59-AVERAGE(AI$2:AI$229))/AVERAGE(AI$2:AI$229)*100+100</f>
        <v>122.73845505278025</v>
      </c>
      <c r="N59" s="5">
        <f>(AVERAGE(AJ$2:AJ$229)-AJ59)/AVERAGE(AJ$2:AJ$229)*100+100</f>
        <v>15.064055740763507</v>
      </c>
      <c r="O59" s="5">
        <f>(AK59-AVERAGE(AK$2:AK$229))/AVERAGE(AK$2:AK$229)*100+100</f>
        <v>100.95416000474583</v>
      </c>
      <c r="P59" s="5">
        <f>(AL59-AVERAGE(AL$2:AL$229))/AVERAGE(AL$2:AL$229)*100+100</f>
        <v>103.93132950948322</v>
      </c>
      <c r="Q59" s="5">
        <f>(AM59-AVERAGE(AM$2:AM$229))/AVERAGE(AM$2:AM$229)*100+100</f>
        <v>106.65204299428028</v>
      </c>
      <c r="R59" s="5">
        <f>(AN59-AVERAGE(AN$2:AN$229))/AVERAGE(AN$2:AN$229)*100+100</f>
        <v>106.9673338399483</v>
      </c>
      <c r="S59" s="5">
        <f>(AO59-AVERAGE(AO$2:AO$229))/AVERAGE(AO$2:AO$229)*100+100</f>
        <v>106.82977692716737</v>
      </c>
      <c r="T59" s="6">
        <f>(F59*1.5+H59*2.5+I59+J59+K59*1.5+L59+O59*0.75+P59+S59)/11.25</f>
        <v>109.75368540760927</v>
      </c>
      <c r="V59">
        <f>'2025_Fantasy_Hitters_modified'!F56</f>
        <v>132.49651534599994</v>
      </c>
      <c r="W59">
        <f>'2025_Fantasy_Hitters_modified'!G56</f>
        <v>81.676266173292163</v>
      </c>
      <c r="X59">
        <f>'2025_Fantasy_Hitters_modified'!H56</f>
        <v>28.024346213405384</v>
      </c>
      <c r="Y59">
        <f>'2025_Fantasy_Hitters_modified'!I56</f>
        <v>2.5703746116087891</v>
      </c>
      <c r="Z59">
        <f>'2025_Fantasy_Hitters_modified'!J56</f>
        <v>21.399999999999928</v>
      </c>
      <c r="AA59">
        <f>'2025_Fantasy_Hitters_modified'!K56</f>
        <v>75.07357142857127</v>
      </c>
      <c r="AB59">
        <f>'2025_Fantasy_Hitters_modified'!L56</f>
        <v>73.999999999999957</v>
      </c>
      <c r="AC59" s="2">
        <f>'2025_Fantasy_Hitters_modified'!M56</f>
        <v>61.135714302300002</v>
      </c>
      <c r="AD59">
        <f>'2025_Fantasy_Hitters_modified'!N56</f>
        <v>2.6117857142856811</v>
      </c>
      <c r="AE59">
        <f>'2025_Fantasy_Hitters_modified'!O56</f>
        <v>145.5</v>
      </c>
      <c r="AF59">
        <f>'2025_Fantasy_Hitters_modified'!P56</f>
        <v>5.8149732620320522</v>
      </c>
      <c r="AG59">
        <f>'2025_Fantasy_Hitters_modified'!Q56</f>
        <v>4.3999999999999684</v>
      </c>
      <c r="AH59">
        <f>'2025_Fantasy_Hitters_modified'!R56</f>
        <v>0</v>
      </c>
      <c r="AI59">
        <f>'2025_Fantasy_Hitters_modified'!S56</f>
        <v>12.843214285714247</v>
      </c>
      <c r="AJ59">
        <f>'2025_Fantasy_Hitters_modified'!T56</f>
        <v>5.0196428571428457</v>
      </c>
      <c r="AK59">
        <f>'2025_Fantasy_Hitters_modified'!U56</f>
        <v>7.8235714285714009</v>
      </c>
      <c r="AL59">
        <f>'2025_Fantasy_Hitters_modified'!V56</f>
        <v>0.25928867973776898</v>
      </c>
      <c r="AM59">
        <f>'2025_Fantasy_Hitters_modified'!W56</f>
        <v>0.34889037528234357</v>
      </c>
      <c r="AN59">
        <f>'2025_Fantasy_Hitters_modified'!X56</f>
        <v>0.4521254059391957</v>
      </c>
      <c r="AO59">
        <f>'2025_Fantasy_Hitters_modified'!Y56</f>
        <v>0.80101578122153927</v>
      </c>
      <c r="AP59">
        <f>'2025_Fantasy_Hitters_modified'!Z56</f>
        <v>0.31878483600000002</v>
      </c>
      <c r="AQ59">
        <f>'2025_Fantasy_Hitters_modified'!AA56</f>
        <v>25</v>
      </c>
      <c r="AR59">
        <f>'2025_Fantasy_Hitters_modified'!AB56</f>
        <v>10.504418265</v>
      </c>
    </row>
    <row r="60" spans="1:44" x14ac:dyDescent="0.4">
      <c r="A60" t="str">
        <f>'2025_Fantasy_Hitters_modified'!A206</f>
        <v>TEX</v>
      </c>
      <c r="B60" t="str">
        <f>'2025_Fantasy_Hitters_modified'!B206</f>
        <v>Adolis Garcia</v>
      </c>
      <c r="C60">
        <f>'2025_Fantasy_Hitters_modified'!D206</f>
        <v>549</v>
      </c>
      <c r="D60">
        <f>'2025_Fantasy_Hitters_modified'!E206</f>
        <v>607</v>
      </c>
      <c r="E60" s="5">
        <f>(V60-AVERAGE(V$2:V$229))/AVERAGE(V$2:V$229)*100+100</f>
        <v>105.11974013068885</v>
      </c>
      <c r="F60" s="4">
        <f>E60*1.51744-31.775</f>
        <v>127.73789846391247</v>
      </c>
      <c r="G60" s="5">
        <f>(Z60-AVERAGE(Z$2:Z$229))/AVERAGE(Z$2:Z$229)*100+100</f>
        <v>141.45145000721405</v>
      </c>
      <c r="H60" s="4">
        <f>G60*0.83285-13.6979</f>
        <v>104.10994013850821</v>
      </c>
      <c r="I60" s="5">
        <f>(AA60-AVERAGE(AA$2:AA$229))/AVERAGE(AA$2:AA$229)*100+100</f>
        <v>115.13880955961913</v>
      </c>
      <c r="J60" s="5">
        <f>(AB60-AVERAGE(AB$2:AB$229))/AVERAGE(AB$2:AB$229)*100+100</f>
        <v>130.97175682144524</v>
      </c>
      <c r="K60" s="5">
        <f>(AC60-AVERAGE(AC$2:AC$229))/AVERAGE(AC$2:AC$229)*100+100</f>
        <v>104.4513706148753</v>
      </c>
      <c r="L60" s="5">
        <f>(AF60-AVERAGE(AF$2:AF$229))/AVERAGE(AF$2:AF$229)*100+100</f>
        <v>117.91119115620104</v>
      </c>
      <c r="M60" s="5">
        <f>(AI60-AVERAGE(AI$2:AI$229))/AVERAGE(AI$2:AI$229)*100+100</f>
        <v>105.91156643868216</v>
      </c>
      <c r="N60" s="5">
        <f>(AVERAGE(AJ$2:AJ$229)-AJ60)/AVERAGE(AJ$2:AJ$229)*100+100</f>
        <v>86.003715999449568</v>
      </c>
      <c r="O60" s="5">
        <f>(AK60-AVERAGE(AK$2:AK$229))/AVERAGE(AK$2:AK$229)*100+100</f>
        <v>103.07994292791383</v>
      </c>
      <c r="P60" s="5">
        <f>(AL60-AVERAGE(AL$2:AL$229))/AVERAGE(AL$2:AL$229)*100+100</f>
        <v>90.158161656593876</v>
      </c>
      <c r="Q60" s="5">
        <f>(AM60-AVERAGE(AM$2:AM$229))/AVERAGE(AM$2:AM$229)*100+100</f>
        <v>90.990130634324686</v>
      </c>
      <c r="R60" s="5">
        <f>(AN60-AVERAGE(AN$2:AN$229))/AVERAGE(AN$2:AN$229)*100+100</f>
        <v>97.515857744514619</v>
      </c>
      <c r="S60" s="5">
        <f>(AO60-AVERAGE(AO$2:AO$229))/AVERAGE(AO$2:AO$229)*100+100</f>
        <v>94.668775796967594</v>
      </c>
      <c r="T60" s="6">
        <f>(F60*1.5+H60*2.5+I60+J60+K60*1.5+L60+O60*0.75+P60+S60)/11.25</f>
        <v>109.75265832455239</v>
      </c>
      <c r="V60">
        <f>'2025_Fantasy_Hitters_modified'!F206</f>
        <v>123.48507381561836</v>
      </c>
      <c r="W60">
        <f>'2025_Fantasy_Hitters_modified'!G206</f>
        <v>72.619087823795837</v>
      </c>
      <c r="X60">
        <f>'2025_Fantasy_Hitters_modified'!H206</f>
        <v>23.162440183084712</v>
      </c>
      <c r="Y60">
        <f>'2025_Fantasy_Hitters_modified'!I206</f>
        <v>1.3802681745930274</v>
      </c>
      <c r="Z60">
        <f>'2025_Fantasy_Hitters_modified'!J206</f>
        <v>25.799999999999955</v>
      </c>
      <c r="AA60">
        <f>'2025_Fantasy_Hitters_modified'!K206</f>
        <v>75.924999999999699</v>
      </c>
      <c r="AB60">
        <f>'2025_Fantasy_Hitters_modified'!L206</f>
        <v>83.999999999999574</v>
      </c>
      <c r="AC60" s="2">
        <f>'2025_Fantasy_Hitters_modified'!M206</f>
        <v>47.732792206150002</v>
      </c>
      <c r="AD60">
        <f>'2025_Fantasy_Hitters_modified'!N206</f>
        <v>1.3985389610389474</v>
      </c>
      <c r="AE60">
        <f>'2025_Fantasy_Hitters_modified'!O206</f>
        <v>169.48701297439999</v>
      </c>
      <c r="AF60">
        <f>'2025_Fantasy_Hitters_modified'!P206</f>
        <v>6.9090301003344008</v>
      </c>
      <c r="AG60">
        <f>'2025_Fantasy_Hitters_modified'!Q206</f>
        <v>4.9999999999999538</v>
      </c>
      <c r="AH60">
        <f>'2025_Fantasy_Hitters_modified'!R206</f>
        <v>0</v>
      </c>
      <c r="AI60">
        <f>'2025_Fantasy_Hitters_modified'!S206</f>
        <v>11.082467532467479</v>
      </c>
      <c r="AJ60">
        <f>'2025_Fantasy_Hitters_modified'!T206</f>
        <v>3.094155844155813</v>
      </c>
      <c r="AK60">
        <f>'2025_Fantasy_Hitters_modified'!U206</f>
        <v>7.9883116883116667</v>
      </c>
      <c r="AL60">
        <f>'2025_Fantasy_Hitters_modified'!V206</f>
        <v>0.22492727470968737</v>
      </c>
      <c r="AM60">
        <f>'2025_Fantasy_Hitters_modified'!W206</f>
        <v>0.29765562789736255</v>
      </c>
      <c r="AN60">
        <f>'2025_Fantasy_Hitters_modified'!X206</f>
        <v>0.4121762708811369</v>
      </c>
      <c r="AO60">
        <f>'2025_Fantasy_Hitters_modified'!Y206</f>
        <v>0.7098318987784995</v>
      </c>
      <c r="AP60">
        <f>'2025_Fantasy_Hitters_modified'!Z206</f>
        <v>0.27232098459999998</v>
      </c>
      <c r="AQ60">
        <f>'2025_Fantasy_Hitters_modified'!AA206</f>
        <v>27.92207792</v>
      </c>
      <c r="AR60">
        <f>'2025_Fantasy_Hitters_modified'!AB206</f>
        <v>7.863721945</v>
      </c>
    </row>
    <row r="61" spans="1:44" x14ac:dyDescent="0.4">
      <c r="A61" t="str">
        <f>'2025_Fantasy_Hitters_modified'!A25</f>
        <v>ATL</v>
      </c>
      <c r="B61" t="str">
        <f>'2025_Fantasy_Hitters_modified'!B25</f>
        <v>Ozzie Albies</v>
      </c>
      <c r="C61">
        <f>'2025_Fantasy_Hitters_modified'!D25</f>
        <v>571</v>
      </c>
      <c r="D61">
        <f>'2025_Fantasy_Hitters_modified'!E25</f>
        <v>626</v>
      </c>
      <c r="E61" s="5">
        <f>(V61-AVERAGE(V$2:V$229))/AVERAGE(V$2:V$229)*100+100</f>
        <v>126.42340719459483</v>
      </c>
      <c r="F61" s="4">
        <f>E61*1.51744-31.775</f>
        <v>160.06493501336595</v>
      </c>
      <c r="G61" s="5">
        <f>(Z61-AVERAGE(Z$2:Z$229))/AVERAGE(Z$2:Z$229)*100+100</f>
        <v>112.9418554321165</v>
      </c>
      <c r="H61" s="4">
        <f>G61*0.83285-13.6979</f>
        <v>80.36572429663822</v>
      </c>
      <c r="I61" s="5">
        <f>(AA61-AVERAGE(AA$2:AA$229))/AVERAGE(AA$2:AA$229)*100+100</f>
        <v>122.97230899870831</v>
      </c>
      <c r="J61" s="5">
        <f>(AB61-AVERAGE(AB$2:AB$229))/AVERAGE(AB$2:AB$229)*100+100</f>
        <v>126.29419407782244</v>
      </c>
      <c r="K61" s="5">
        <f>(AC61-AVERAGE(AC$2:AC$229))/AVERAGE(AC$2:AC$229)*100+100</f>
        <v>95.814835199587151</v>
      </c>
      <c r="L61" s="5">
        <f>(AF61-AVERAGE(AF$2:AF$229))/AVERAGE(AF$2:AF$229)*100+100</f>
        <v>102.50991396147171</v>
      </c>
      <c r="M61" s="5">
        <f>(AI61-AVERAGE(AI$2:AI$229))/AVERAGE(AI$2:AI$229)*100+100</f>
        <v>114.12241327901009</v>
      </c>
      <c r="N61" s="5">
        <f>(AVERAGE(AJ$2:AJ$229)-AJ61)/AVERAGE(AJ$2:AJ$229)*100+100</f>
        <v>90.010167078318673</v>
      </c>
      <c r="O61" s="5">
        <f>(AK61-AVERAGE(AK$2:AK$229))/AVERAGE(AK$2:AK$229)*100+100</f>
        <v>115.56982459677147</v>
      </c>
      <c r="P61" s="5">
        <f>(AL61-AVERAGE(AL$2:AL$229))/AVERAGE(AL$2:AL$229)*100+100</f>
        <v>104.2520241758242</v>
      </c>
      <c r="Q61" s="5">
        <f>(AM61-AVERAGE(AM$2:AM$229))/AVERAGE(AM$2:AM$229)*100+100</f>
        <v>97.982043565601742</v>
      </c>
      <c r="R61" s="5">
        <f>(AN61-AVERAGE(AN$2:AN$229))/AVERAGE(AN$2:AN$229)*100+100</f>
        <v>103.92955516865378</v>
      </c>
      <c r="S61" s="5">
        <f>(AO61-AVERAGE(AO$2:AO$229))/AVERAGE(AO$2:AO$229)*100+100</f>
        <v>101.33474042510819</v>
      </c>
      <c r="T61" s="6">
        <f>(F61*1.5+H61*2.5+I61+J61+K61*1.5+L61+O61*0.75+P61+S61)/11.25</f>
        <v>109.22440143533679</v>
      </c>
      <c r="V61">
        <f>'2025_Fantasy_Hitters_modified'!F25</f>
        <v>148.51067696740716</v>
      </c>
      <c r="W61">
        <f>'2025_Fantasy_Hitters_modified'!G25</f>
        <v>91.765839017266785</v>
      </c>
      <c r="X61">
        <f>'2025_Fantasy_Hitters_modified'!H25</f>
        <v>33.23663259783018</v>
      </c>
      <c r="Y61">
        <f>'2025_Fantasy_Hitters_modified'!I25</f>
        <v>3.3976273569467548</v>
      </c>
      <c r="Z61">
        <f>'2025_Fantasy_Hitters_modified'!J25</f>
        <v>20.599999999999937</v>
      </c>
      <c r="AA61">
        <f>'2025_Fantasy_Hitters_modified'!K25</f>
        <v>81.090577507598269</v>
      </c>
      <c r="AB61">
        <f>'2025_Fantasy_Hitters_modified'!L25</f>
        <v>80.999999999999744</v>
      </c>
      <c r="AC61" s="2">
        <f>'2025_Fantasy_Hitters_modified'!M25</f>
        <v>43.786018239162004</v>
      </c>
      <c r="AD61">
        <f>'2025_Fantasy_Hitters_modified'!N25</f>
        <v>0.99513677811545798</v>
      </c>
      <c r="AE61">
        <f>'2025_Fantasy_Hitters_modified'!O25</f>
        <v>99.893617030599998</v>
      </c>
      <c r="AF61">
        <f>'2025_Fantasy_Hitters_modified'!P25</f>
        <v>6.0065891472868103</v>
      </c>
      <c r="AG61">
        <f>'2025_Fantasy_Hitters_modified'!Q25</f>
        <v>5.9999999999999911</v>
      </c>
      <c r="AH61">
        <f>'2025_Fantasy_Hitters_modified'!R25</f>
        <v>0</v>
      </c>
      <c r="AI61">
        <f>'2025_Fantasy_Hitters_modified'!S25</f>
        <v>11.941641337385946</v>
      </c>
      <c r="AJ61">
        <f>'2025_Fantasy_Hitters_modified'!T25</f>
        <v>2.9854103343464988</v>
      </c>
      <c r="AK61">
        <f>'2025_Fantasy_Hitters_modified'!U25</f>
        <v>8.9562310030394467</v>
      </c>
      <c r="AL61">
        <f>'2025_Fantasy_Hitters_modified'!V25</f>
        <v>0.26008875125640485</v>
      </c>
      <c r="AM61">
        <f>'2025_Fantasy_Hitters_modified'!W25</f>
        <v>0.32052824297390214</v>
      </c>
      <c r="AN61">
        <f>'2025_Fantasy_Hitters_modified'!X25</f>
        <v>0.43928544007664999</v>
      </c>
      <c r="AO61">
        <f>'2025_Fantasy_Hitters_modified'!Y25</f>
        <v>0.75981368305055219</v>
      </c>
      <c r="AP61">
        <f>'2025_Fantasy_Hitters_modified'!Z25</f>
        <v>0.28019471740000002</v>
      </c>
      <c r="AQ61">
        <f>'2025_Fantasy_Hitters_modified'!AA25</f>
        <v>15.95744681</v>
      </c>
      <c r="AR61">
        <f>'2025_Fantasy_Hitters_modified'!AB25</f>
        <v>6.9945716036999999</v>
      </c>
    </row>
    <row r="62" spans="1:44" x14ac:dyDescent="0.4">
      <c r="A62" t="str">
        <f>'2025_Fantasy_Hitters_modified'!A183</f>
        <v>SEA</v>
      </c>
      <c r="B62" t="str">
        <f>'2025_Fantasy_Hitters_modified'!B183</f>
        <v>Victor Robles</v>
      </c>
      <c r="C62">
        <f>'2025_Fantasy_Hitters_modified'!D183</f>
        <v>441</v>
      </c>
      <c r="D62">
        <f>'2025_Fantasy_Hitters_modified'!E183</f>
        <v>504</v>
      </c>
      <c r="E62" s="5">
        <f>(V62-AVERAGE(V$2:V$229))/AVERAGE(V$2:V$229)*100+100</f>
        <v>90.184946488547013</v>
      </c>
      <c r="F62" s="4">
        <f>E62*1.51744-31.775</f>
        <v>105.07524519958076</v>
      </c>
      <c r="G62" s="5">
        <f>(Z62-AVERAGE(Z$2:Z$229))/AVERAGE(Z$2:Z$229)*100+100</f>
        <v>50.440051940556884</v>
      </c>
      <c r="H62" s="4">
        <f>G62*0.83285-13.6979</f>
        <v>28.311097258692801</v>
      </c>
      <c r="I62" s="5">
        <f>(AA62-AVERAGE(AA$2:AA$229))/AVERAGE(AA$2:AA$229)*100+100</f>
        <v>95.211963074104347</v>
      </c>
      <c r="J62" s="5">
        <f>(AB62-AVERAGE(AB$2:AB$229))/AVERAGE(AB$2:AB$229)*100+100</f>
        <v>63.926690829515223</v>
      </c>
      <c r="K62" s="5">
        <f>(AC62-AVERAGE(AC$2:AC$229))/AVERAGE(AC$2:AC$229)*100+100</f>
        <v>80.846210885493548</v>
      </c>
      <c r="L62" s="5">
        <f>(AF62-AVERAGE(AF$2:AF$229))/AVERAGE(AF$2:AF$229)*100+100</f>
        <v>226.55438460498272</v>
      </c>
      <c r="M62" s="5">
        <f>(AI62-AVERAGE(AI$2:AI$229))/AVERAGE(AI$2:AI$229)*100+100</f>
        <v>358.19394468888123</v>
      </c>
      <c r="N62" s="5">
        <f>(AVERAGE(AJ$2:AJ$229)-AJ62)/AVERAGE(AJ$2:AJ$229)*100+100</f>
        <v>-19.095991350768159</v>
      </c>
      <c r="O62" s="5">
        <f>(AK62-AVERAGE(AK$2:AK$229))/AVERAGE(AK$2:AK$229)*100+100</f>
        <v>406.9121629763917</v>
      </c>
      <c r="P62" s="5">
        <f>(AL62-AVERAGE(AL$2:AL$229))/AVERAGE(AL$2:AL$229)*100+100</f>
        <v>96.291638359599091</v>
      </c>
      <c r="Q62" s="5">
        <f>(AM62-AVERAGE(AM$2:AM$229))/AVERAGE(AM$2:AM$229)*100+100</f>
        <v>99.256405459721989</v>
      </c>
      <c r="R62" s="5">
        <f>(AN62-AVERAGE(AN$2:AN$229))/AVERAGE(AN$2:AN$229)*100+100</f>
        <v>82.540391101772656</v>
      </c>
      <c r="S62" s="5">
        <f>(AO62-AVERAGE(AO$2:AO$229))/AVERAGE(AO$2:AO$229)*100+100</f>
        <v>89.833350477769031</v>
      </c>
      <c r="T62" s="6">
        <f>(F62*1.5+H62*2.5+I62+J62+K62*1.5+L62+O62*0.75+P62+S62)/11.25</f>
        <v>109.03662905356512</v>
      </c>
      <c r="V62">
        <f>'2025_Fantasy_Hitters_modified'!F183</f>
        <v>105.94104171443448</v>
      </c>
      <c r="W62">
        <f>'2025_Fantasy_Hitters_modified'!G183</f>
        <v>75.027139208263762</v>
      </c>
      <c r="X62">
        <f>'2025_Fantasy_Hitters_modified'!H183</f>
        <v>18.138945321456468</v>
      </c>
      <c r="Y62">
        <f>'2025_Fantasy_Hitters_modified'!I183</f>
        <v>1.9168028871494796</v>
      </c>
      <c r="Z62">
        <f>'2025_Fantasy_Hitters_modified'!J183</f>
        <v>9.1999999999999726</v>
      </c>
      <c r="AA62">
        <f>'2025_Fantasy_Hitters_modified'!K183</f>
        <v>62.78481012658176</v>
      </c>
      <c r="AB62">
        <f>'2025_Fantasy_Hitters_modified'!L183</f>
        <v>40.999999999999972</v>
      </c>
      <c r="AC62" s="2">
        <f>'2025_Fantasy_Hitters_modified'!M183</f>
        <v>36.945569618999997</v>
      </c>
      <c r="AD62">
        <f>'2025_Fantasy_Hitters_modified'!N183</f>
        <v>0</v>
      </c>
      <c r="AE62">
        <f>'2025_Fantasy_Hitters_modified'!O183</f>
        <v>107.54430382080001</v>
      </c>
      <c r="AF62">
        <f>'2025_Fantasy_Hitters_modified'!P183</f>
        <v>13.274999999999942</v>
      </c>
      <c r="AG62">
        <f>'2025_Fantasy_Hitters_modified'!Q183</f>
        <v>2.9999999999999738</v>
      </c>
      <c r="AH62">
        <f>'2025_Fantasy_Hitters_modified'!R183</f>
        <v>9.6136363636363011</v>
      </c>
      <c r="AI62">
        <f>'2025_Fantasy_Hitters_modified'!S183</f>
        <v>37.481012658227783</v>
      </c>
      <c r="AJ62">
        <f>'2025_Fantasy_Hitters_modified'!T183</f>
        <v>5.9468354430379273</v>
      </c>
      <c r="AK62">
        <f>'2025_Fantasy_Hitters_modified'!U183</f>
        <v>31.534177215189857</v>
      </c>
      <c r="AL62">
        <f>'2025_Fantasy_Hitters_modified'!V183</f>
        <v>0.24022911953386503</v>
      </c>
      <c r="AM62">
        <f>'2025_Fantasy_Hitters_modified'!W183</f>
        <v>0.32469705762576001</v>
      </c>
      <c r="AN62">
        <f>'2025_Fantasy_Hitters_modified'!X183</f>
        <v>0.3488785453801021</v>
      </c>
      <c r="AO62">
        <f>'2025_Fantasy_Hitters_modified'!Y183</f>
        <v>0.67357560300586217</v>
      </c>
      <c r="AP62">
        <f>'2025_Fantasy_Hitters_modified'!Z183</f>
        <v>0.29561301099999998</v>
      </c>
      <c r="AQ62">
        <f>'2025_Fantasy_Hitters_modified'!AA183</f>
        <v>21.338155520000001</v>
      </c>
      <c r="AR62">
        <f>'2025_Fantasy_Hitters_modified'!AB183</f>
        <v>7.3304701625000002</v>
      </c>
    </row>
    <row r="63" spans="1:44" x14ac:dyDescent="0.4">
      <c r="A63" t="str">
        <f>'2025_Fantasy_Hitters_modified'!A107</f>
        <v>LAA</v>
      </c>
      <c r="B63" t="str">
        <f>'2025_Fantasy_Hitters_modified'!B107</f>
        <v>Zach Neto</v>
      </c>
      <c r="C63">
        <f>'2025_Fantasy_Hitters_modified'!D107</f>
        <v>456</v>
      </c>
      <c r="D63">
        <f>'2025_Fantasy_Hitters_modified'!E107</f>
        <v>510</v>
      </c>
      <c r="E63" s="5">
        <f>(V63-AVERAGE(V$2:V$229))/AVERAGE(V$2:V$229)*100+100</f>
        <v>95.850510061726411</v>
      </c>
      <c r="F63" s="4">
        <f>E63*1.51744-31.775</f>
        <v>113.67239798806611</v>
      </c>
      <c r="G63" s="5">
        <f>(Z63-AVERAGE(Z$2:Z$229))/AVERAGE(Z$2:Z$229)*100+100</f>
        <v>101.97662674938699</v>
      </c>
      <c r="H63" s="4">
        <f>G63*0.83285-13.6979</f>
        <v>71.233333588226955</v>
      </c>
      <c r="I63" s="5">
        <f>(AA63-AVERAGE(AA$2:AA$229))/AVERAGE(AA$2:AA$229)*100+100</f>
        <v>99.697784767556143</v>
      </c>
      <c r="J63" s="5">
        <f>(AB63-AVERAGE(AB$2:AB$229))/AVERAGE(AB$2:AB$229)*100+100</f>
        <v>95.110442453668341</v>
      </c>
      <c r="K63" s="5">
        <f>(AC63-AVERAGE(AC$2:AC$229))/AVERAGE(AC$2:AC$229)*100+100</f>
        <v>72.763281437484181</v>
      </c>
      <c r="L63" s="5">
        <f>(AF63-AVERAGE(AF$2:AF$229))/AVERAGE(AF$2:AF$229)*100+100</f>
        <v>229.52557449873984</v>
      </c>
      <c r="M63" s="5">
        <f>(AI63-AVERAGE(AI$2:AI$229))/AVERAGE(AI$2:AI$229)*100+100</f>
        <v>200.63902784343284</v>
      </c>
      <c r="N63" s="5">
        <f>(AVERAGE(AJ$2:AJ$229)-AJ63)/AVERAGE(AJ$2:AJ$229)*100+100</f>
        <v>-22.436295816605337</v>
      </c>
      <c r="O63" s="5">
        <f>(AK63-AVERAGE(AK$2:AK$229))/AVERAGE(AK$2:AK$229)*100+100</f>
        <v>193.00466634706291</v>
      </c>
      <c r="P63" s="5">
        <f>(AL63-AVERAGE(AL$2:AL$229))/AVERAGE(AL$2:AL$229)*100+100</f>
        <v>98.974359342818744</v>
      </c>
      <c r="Q63" s="5">
        <f>(AM63-AVERAGE(AM$2:AM$229))/AVERAGE(AM$2:AM$229)*100+100</f>
        <v>99.171900142928948</v>
      </c>
      <c r="R63" s="5">
        <f>(AN63-AVERAGE(AN$2:AN$229))/AVERAGE(AN$2:AN$229)*100+100</f>
        <v>100.15481110259923</v>
      </c>
      <c r="S63" s="5">
        <f>(AO63-AVERAGE(AO$2:AO$229))/AVERAGE(AO$2:AO$229)*100+100</f>
        <v>99.725981027104055</v>
      </c>
      <c r="T63" s="6">
        <f>(F63*1.5+H63*2.5+I63+J63+K63*1.5+L63+O63*0.75+P63+S63)/11.25</f>
        <v>108.93551066302908</v>
      </c>
      <c r="V63">
        <f>'2025_Fantasy_Hitters_modified'!F107</f>
        <v>112.59642856348253</v>
      </c>
      <c r="W63">
        <f>'2025_Fantasy_Hitters_modified'!G107</f>
        <v>69.152007512951158</v>
      </c>
      <c r="X63">
        <f>'2025_Fantasy_Hitters_modified'!H107</f>
        <v>23.246428569463401</v>
      </c>
      <c r="Y63">
        <f>'2025_Fantasy_Hitters_modified'!I107</f>
        <v>0.99794736833667985</v>
      </c>
      <c r="Z63">
        <f>'2025_Fantasy_Hitters_modified'!J107</f>
        <v>18.599999999999991</v>
      </c>
      <c r="AA63">
        <f>'2025_Fantasy_Hitters_modified'!K107</f>
        <v>65.742857142857105</v>
      </c>
      <c r="AB63">
        <f>'2025_Fantasy_Hitters_modified'!L107</f>
        <v>60.999999999999545</v>
      </c>
      <c r="AC63" s="2">
        <f>'2025_Fantasy_Hitters_modified'!M107</f>
        <v>33.251785712790003</v>
      </c>
      <c r="AD63">
        <f>'2025_Fantasy_Hitters_modified'!N107</f>
        <v>0.59107142857140127</v>
      </c>
      <c r="AE63">
        <f>'2025_Fantasy_Hitters_modified'!O107</f>
        <v>112.928571414</v>
      </c>
      <c r="AF63">
        <f>'2025_Fantasy_Hitters_modified'!P107</f>
        <v>13.449097472924148</v>
      </c>
      <c r="AG63">
        <f>'2025_Fantasy_Hitters_modified'!Q107</f>
        <v>2.999999999999964</v>
      </c>
      <c r="AH63">
        <f>'2025_Fantasy_Hitters_modified'!R107</f>
        <v>2.4570397111913</v>
      </c>
      <c r="AI63">
        <f>'2025_Fantasy_Hitters_modified'!S107</f>
        <v>20.994642857142797</v>
      </c>
      <c r="AJ63">
        <f>'2025_Fantasy_Hitters_modified'!T107</f>
        <v>6.0374999999999766</v>
      </c>
      <c r="AK63">
        <f>'2025_Fantasy_Hitters_modified'!U107</f>
        <v>14.95714285714282</v>
      </c>
      <c r="AL63">
        <f>'2025_Fantasy_Hitters_modified'!V107</f>
        <v>0.2469219924637775</v>
      </c>
      <c r="AM63">
        <f>'2025_Fantasy_Hitters_modified'!W107</f>
        <v>0.32442061574183984</v>
      </c>
      <c r="AN63">
        <f>'2025_Fantasy_Hitters_modified'!X107</f>
        <v>0.42333049727387712</v>
      </c>
      <c r="AO63">
        <f>'2025_Fantasy_Hitters_modified'!Y107</f>
        <v>0.74775111301571695</v>
      </c>
      <c r="AP63">
        <f>'2025_Fantasy_Hitters_modified'!Z107</f>
        <v>0.28703703699999999</v>
      </c>
      <c r="AQ63">
        <f>'2025_Fantasy_Hitters_modified'!AA107</f>
        <v>22.14285714</v>
      </c>
      <c r="AR63">
        <f>'2025_Fantasy_Hitters_modified'!AB107</f>
        <v>6.5199579829000003</v>
      </c>
    </row>
    <row r="64" spans="1:44" x14ac:dyDescent="0.4">
      <c r="A64" t="str">
        <f>'2025_Fantasy_Hitters_modified'!A209</f>
        <v>TEX</v>
      </c>
      <c r="B64" t="str">
        <f>'2025_Fantasy_Hitters_modified'!B209</f>
        <v>Jake Burger</v>
      </c>
      <c r="C64">
        <f>'2025_Fantasy_Hitters_modified'!D209</f>
        <v>532</v>
      </c>
      <c r="D64">
        <f>'2025_Fantasy_Hitters_modified'!E209</f>
        <v>582</v>
      </c>
      <c r="E64" s="5">
        <f>(V64-AVERAGE(V$2:V$229))/AVERAGE(V$2:V$229)*100+100</f>
        <v>109.21314003506589</v>
      </c>
      <c r="F64" s="4">
        <f>E64*1.51744-31.775</f>
        <v>133.94938721481037</v>
      </c>
      <c r="G64" s="5">
        <f>(Z64-AVERAGE(Z$2:Z$229))/AVERAGE(Z$2:Z$229)*100+100</f>
        <v>165.57495310921962</v>
      </c>
      <c r="H64" s="4">
        <f>G64*0.83285-13.6979</f>
        <v>124.20119969701355</v>
      </c>
      <c r="I64" s="5">
        <f>(AA64-AVERAGE(AA$2:AA$229))/AVERAGE(AA$2:AA$229)*100+100</f>
        <v>108.75629610725696</v>
      </c>
      <c r="J64" s="5">
        <f>(AB64-AVERAGE(AB$2:AB$229))/AVERAGE(AB$2:AB$229)*100+100</f>
        <v>127.85338165903053</v>
      </c>
      <c r="K64" s="5">
        <f>(AC64-AVERAGE(AC$2:AC$229))/AVERAGE(AC$2:AC$229)*100+100</f>
        <v>80.311684597208114</v>
      </c>
      <c r="L64" s="5">
        <f>(AF64-AVERAGE(AF$2:AF$229))/AVERAGE(AF$2:AF$229)*100+100</f>
        <v>155.91015695074699</v>
      </c>
      <c r="M64" s="5">
        <f>(AI64-AVERAGE(AI$2:AI$229))/AVERAGE(AI$2:AI$229)*100+100</f>
        <v>10.406849294994231</v>
      </c>
      <c r="N64" s="5">
        <f>(AVERAGE(AJ$2:AJ$229)-AJ64)/AVERAGE(AJ$2:AJ$229)*100+100</f>
        <v>163.36090053581523</v>
      </c>
      <c r="O64" s="5">
        <f>(AK64-AVERAGE(AK$2:AK$229))/AVERAGE(AK$2:AK$229)*100+100</f>
        <v>1.2191620627549469</v>
      </c>
      <c r="P64" s="5">
        <f>(AL64-AVERAGE(AL$2:AL$229))/AVERAGE(AL$2:AL$229)*100+100</f>
        <v>96.66213320686694</v>
      </c>
      <c r="Q64" s="5">
        <f>(AM64-AVERAGE(AM$2:AM$229))/AVERAGE(AM$2:AM$229)*100+100</f>
        <v>93.313969797183063</v>
      </c>
      <c r="R64" s="5">
        <f>(AN64-AVERAGE(AN$2:AN$229))/AVERAGE(AN$2:AN$229)*100+100</f>
        <v>109.69379771197185</v>
      </c>
      <c r="S64" s="5">
        <f>(AO64-AVERAGE(AO$2:AO$229))/AVERAGE(AO$2:AO$229)*100+100</f>
        <v>102.54751170082355</v>
      </c>
      <c r="T64" s="6">
        <f>(F64*1.5+H64*2.5+I64+J64+K64*1.5+L64+O64*0.75+P64+S64)/11.25</f>
        <v>108.84786294509802</v>
      </c>
      <c r="V64">
        <f>'2025_Fantasy_Hitters_modified'!F209</f>
        <v>128.29362631698888</v>
      </c>
      <c r="W64">
        <f>'2025_Fantasy_Hitters_modified'!G209</f>
        <v>72.331663849900877</v>
      </c>
      <c r="X64">
        <f>'2025_Fantasy_Hitters_modified'!H209</f>
        <v>23.780273046542721</v>
      </c>
      <c r="Y64">
        <f>'2025_Fantasy_Hitters_modified'!I209</f>
        <v>1.9897779487923468</v>
      </c>
      <c r="Z64">
        <f>'2025_Fantasy_Hitters_modified'!J209</f>
        <v>30.19999999999996</v>
      </c>
      <c r="AA64">
        <f>'2025_Fantasy_Hitters_modified'!K209</f>
        <v>71.716233766233202</v>
      </c>
      <c r="AB64">
        <f>'2025_Fantasy_Hitters_modified'!L209</f>
        <v>82</v>
      </c>
      <c r="AC64" s="2">
        <f>'2025_Fantasy_Hitters_modified'!M209</f>
        <v>36.701298700415997</v>
      </c>
      <c r="AD64">
        <f>'2025_Fantasy_Hitters_modified'!N209</f>
        <v>0.99448051948048932</v>
      </c>
      <c r="AE64">
        <f>'2025_Fantasy_Hitters_modified'!O209</f>
        <v>155.8928571678</v>
      </c>
      <c r="AF64">
        <f>'2025_Fantasy_Hitters_modified'!P209</f>
        <v>9.135587188612007</v>
      </c>
      <c r="AG64">
        <f>'2025_Fantasy_Hitters_modified'!Q209</f>
        <v>3.9999999999999498</v>
      </c>
      <c r="AH64">
        <f>'2025_Fantasy_Hitters_modified'!R209</f>
        <v>0.39999999999998975</v>
      </c>
      <c r="AI64">
        <f>'2025_Fantasy_Hitters_modified'!S209</f>
        <v>1.0889610389610132</v>
      </c>
      <c r="AJ64">
        <f>'2025_Fantasy_Hitters_modified'!T209</f>
        <v>0.9944805194804951</v>
      </c>
      <c r="AK64">
        <f>'2025_Fantasy_Hitters_modified'!U209</f>
        <v>9.4480519480518055E-2</v>
      </c>
      <c r="AL64">
        <f>'2025_Fantasy_Hitters_modified'!V209</f>
        <v>0.24115343292667082</v>
      </c>
      <c r="AM64">
        <f>'2025_Fantasy_Hitters_modified'!W209</f>
        <v>0.3052575930811795</v>
      </c>
      <c r="AN64">
        <f>'2025_Fantasy_Hitters_modified'!X209</f>
        <v>0.46364951840105861</v>
      </c>
      <c r="AO64">
        <f>'2025_Fantasy_Hitters_modified'!Y209</f>
        <v>0.76890711148223811</v>
      </c>
      <c r="AP64">
        <f>'2025_Fantasy_Hitters_modified'!Z209</f>
        <v>0.2803418802</v>
      </c>
      <c r="AQ64">
        <f>'2025_Fantasy_Hitters_modified'!AA209</f>
        <v>26.785714290000001</v>
      </c>
      <c r="AR64">
        <f>'2025_Fantasy_Hitters_modified'!AB209</f>
        <v>6.3060650687999997</v>
      </c>
    </row>
    <row r="65" spans="1:44" x14ac:dyDescent="0.4">
      <c r="A65" t="str">
        <f>'2025_Fantasy_Hitters_modified'!A89</f>
        <v>HOU</v>
      </c>
      <c r="B65" t="str">
        <f>'2025_Fantasy_Hitters_modified'!B89</f>
        <v>Isaac Paredes</v>
      </c>
      <c r="C65">
        <f>'2025_Fantasy_Hitters_modified'!D89</f>
        <v>510</v>
      </c>
      <c r="D65">
        <f>'2025_Fantasy_Hitters_modified'!E89</f>
        <v>593</v>
      </c>
      <c r="E65" s="5">
        <f>(V65-AVERAGE(V$2:V$229))/AVERAGE(V$2:V$229)*100+100</f>
        <v>101.04234401846905</v>
      </c>
      <c r="F65" s="4">
        <f>E65*1.51744-31.775</f>
        <v>121.55069450738566</v>
      </c>
      <c r="G65" s="5">
        <f>(Z65-AVERAGE(Z$2:Z$229))/AVERAGE(Z$2:Z$229)*100+100</f>
        <v>116.23142403693544</v>
      </c>
      <c r="H65" s="4">
        <f>G65*0.83285-13.6979</f>
        <v>83.105441509161665</v>
      </c>
      <c r="I65" s="5">
        <f>(AA65-AVERAGE(AA$2:AA$229))/AVERAGE(AA$2:AA$229)*100+100</f>
        <v>107.69703456367891</v>
      </c>
      <c r="J65" s="5">
        <f>(AB65-AVERAGE(AB$2:AB$229))/AVERAGE(AB$2:AB$229)*100+100</f>
        <v>118.49825617178375</v>
      </c>
      <c r="K65" s="5">
        <f>(AC65-AVERAGE(AC$2:AC$229))/AVERAGE(AC$2:AC$229)*100+100</f>
        <v>135.05035209594033</v>
      </c>
      <c r="L65" s="5">
        <f>(AF65-AVERAGE(AF$2:AF$229))/AVERAGE(AF$2:AF$229)*100+100</f>
        <v>208.00840058599289</v>
      </c>
      <c r="M65" s="5">
        <f>(AI65-AVERAGE(AI$2:AI$229))/AVERAGE(AI$2:AI$229)*100+100</f>
        <v>10.46212937370359</v>
      </c>
      <c r="N65" s="5">
        <f>(AVERAGE(AJ$2:AJ$229)-AJ65)/AVERAGE(AJ$2:AJ$229)*100+100</f>
        <v>163.25434396298365</v>
      </c>
      <c r="O65" s="5">
        <f>(AK65-AVERAGE(AK$2:AK$229))/AVERAGE(AK$2:AK$229)*100+100</f>
        <v>1.2564828590038815</v>
      </c>
      <c r="P65" s="5">
        <f>(AL65-AVERAGE(AL$2:AL$229))/AVERAGE(AL$2:AL$229)*100+100</f>
        <v>93.288121963304008</v>
      </c>
      <c r="Q65" s="5">
        <f>(AM65-AVERAGE(AM$2:AM$229))/AVERAGE(AM$2:AM$229)*100+100</f>
        <v>102.36938011235991</v>
      </c>
      <c r="R65" s="5">
        <f>(AN65-AVERAGE(AN$2:AN$229))/AVERAGE(AN$2:AN$229)*100+100</f>
        <v>95.439309443024783</v>
      </c>
      <c r="S65" s="5">
        <f>(AO65-AVERAGE(AO$2:AO$229))/AVERAGE(AO$2:AO$229)*100+100</f>
        <v>98.462800735984203</v>
      </c>
      <c r="T65" s="6">
        <f>(F65*1.5+H65*2.5+I65+J65+K65*1.5+L65+O65*0.75+P65+S65)/11.25</f>
        <v>108.4055244304791</v>
      </c>
      <c r="V65">
        <f>'2025_Fantasy_Hitters_modified'!F89</f>
        <v>118.69532110821049</v>
      </c>
      <c r="W65">
        <f>'2025_Fantasy_Hitters_modified'!G89</f>
        <v>74.647932727296507</v>
      </c>
      <c r="X65">
        <f>'2025_Fantasy_Hitters_modified'!H89</f>
        <v>21.665626912935654</v>
      </c>
      <c r="Y65">
        <f>'2025_Fantasy_Hitters_modified'!I89</f>
        <v>0.98480122331525799</v>
      </c>
      <c r="Z65">
        <f>'2025_Fantasy_Hitters_modified'!J89</f>
        <v>21.199999999999939</v>
      </c>
      <c r="AA65">
        <f>'2025_Fantasy_Hitters_modified'!K89</f>
        <v>71.017733990147548</v>
      </c>
      <c r="AB65">
        <f>'2025_Fantasy_Hitters_modified'!L89</f>
        <v>75.999999999999588</v>
      </c>
      <c r="AC65" s="2">
        <f>'2025_Fantasy_Hitters_modified'!M89</f>
        <v>61.716091957579998</v>
      </c>
      <c r="AD65">
        <f>'2025_Fantasy_Hitters_modified'!N89</f>
        <v>0.59737274220031289</v>
      </c>
      <c r="AE65">
        <f>'2025_Fantasy_Hitters_modified'!O89</f>
        <v>99.320197027100022</v>
      </c>
      <c r="AF65">
        <f>'2025_Fantasy_Hitters_modified'!P89</f>
        <v>12.188294314381205</v>
      </c>
      <c r="AG65">
        <f>'2025_Fantasy_Hitters_modified'!Q89</f>
        <v>4.5999999999999766</v>
      </c>
      <c r="AH65">
        <f>'2025_Fantasy_Hitters_modified'!R89</f>
        <v>0</v>
      </c>
      <c r="AI65">
        <f>'2025_Fantasy_Hitters_modified'!S89</f>
        <v>1.0947454844006281</v>
      </c>
      <c r="AJ65">
        <f>'2025_Fantasy_Hitters_modified'!T89</f>
        <v>0.99737274220030248</v>
      </c>
      <c r="AK65">
        <f>'2025_Fantasy_Hitters_modified'!U89</f>
        <v>9.7372742200325657E-2</v>
      </c>
      <c r="AL65">
        <f>'2025_Fantasy_Hitters_modified'!V89</f>
        <v>0.23273592374158919</v>
      </c>
      <c r="AM65">
        <f>'2025_Fantasy_Hitters_modified'!W89</f>
        <v>0.33488051838573357</v>
      </c>
      <c r="AN65">
        <f>'2025_Fantasy_Hitters_modified'!X89</f>
        <v>0.4033991965159085</v>
      </c>
      <c r="AO65">
        <f>'2025_Fantasy_Hitters_modified'!Y89</f>
        <v>0.73827971490164201</v>
      </c>
      <c r="AP65">
        <f>'2025_Fantasy_Hitters_modified'!Z89</f>
        <v>0.24739994379999999</v>
      </c>
      <c r="AQ65">
        <f>'2025_Fantasy_Hitters_modified'!AA89</f>
        <v>16.748768470000002</v>
      </c>
      <c r="AR65">
        <f>'2025_Fantasy_Hitters_modified'!AB89</f>
        <v>10.407435405999999</v>
      </c>
    </row>
    <row r="66" spans="1:44" x14ac:dyDescent="0.4">
      <c r="A66" t="str">
        <f>'2025_Fantasy_Hitters_modified'!A8</f>
        <v>ARI</v>
      </c>
      <c r="B66" t="str">
        <f>'2025_Fantasy_Hitters_modified'!B8</f>
        <v>Josh Naylor</v>
      </c>
      <c r="C66">
        <f>'2025_Fantasy_Hitters_modified'!D8</f>
        <v>535</v>
      </c>
      <c r="D66">
        <f>'2025_Fantasy_Hitters_modified'!E8</f>
        <v>596</v>
      </c>
      <c r="E66" s="5">
        <f>(V66-AVERAGE(V$2:V$229))/AVERAGE(V$2:V$229)*100+100</f>
        <v>119.43447723709617</v>
      </c>
      <c r="F66" s="4">
        <f>E66*1.51744-31.775</f>
        <v>149.45965313865921</v>
      </c>
      <c r="G66" s="5">
        <f>(Z66-AVERAGE(Z$2:Z$229))/AVERAGE(Z$2:Z$229)*100+100</f>
        <v>116.23142403693538</v>
      </c>
      <c r="H66" s="4">
        <f>G66*0.83285-13.6979</f>
        <v>83.105441509161622</v>
      </c>
      <c r="I66" s="5">
        <f>(AA66-AVERAGE(AA$2:AA$229))/AVERAGE(AA$2:AA$229)*100+100</f>
        <v>107.18158047707779</v>
      </c>
      <c r="J66" s="5">
        <f>(AB66-AVERAGE(AB$2:AB$229))/AVERAGE(AB$2:AB$229)*100+100</f>
        <v>141.88606988989952</v>
      </c>
      <c r="K66" s="5">
        <f>(AC66-AVERAGE(AC$2:AC$229))/AVERAGE(AC$2:AC$229)*100+100</f>
        <v>109.17903499564277</v>
      </c>
      <c r="L66" s="5">
        <f>(AF66-AVERAGE(AF$2:AF$229))/AVERAGE(AF$2:AF$229)*100+100</f>
        <v>118.00339818243091</v>
      </c>
      <c r="M66" s="5">
        <f>(AI66-AVERAGE(AI$2:AI$229))/AVERAGE(AI$2:AI$229)*100+100</f>
        <v>66.753940517172254</v>
      </c>
      <c r="N66" s="5">
        <f>(AVERAGE(AJ$2:AJ$229)-AJ66)/AVERAGE(AJ$2:AJ$229)*100+100</f>
        <v>126.47238994502834</v>
      </c>
      <c r="O66" s="5">
        <f>(AK66-AVERAGE(AK$2:AK$229))/AVERAGE(AK$2:AK$229)*100+100</f>
        <v>64.381503660766384</v>
      </c>
      <c r="P66" s="5">
        <f>(AL66-AVERAGE(AL$2:AL$229))/AVERAGE(AL$2:AL$229)*100+100</f>
        <v>105.11605285547043</v>
      </c>
      <c r="Q66" s="5">
        <f>(AM66-AVERAGE(AM$2:AM$229))/AVERAGE(AM$2:AM$229)*100+100</f>
        <v>104.08671209565685</v>
      </c>
      <c r="R66" s="5">
        <f>(AN66-AVERAGE(AN$2:AN$229))/AVERAGE(AN$2:AN$229)*100+100</f>
        <v>102.61347555633641</v>
      </c>
      <c r="S66" s="5">
        <f>(AO66-AVERAGE(AO$2:AO$229))/AVERAGE(AO$2:AO$229)*100+100</f>
        <v>103.25622771019462</v>
      </c>
      <c r="T66" s="6">
        <f>(F66*1.5+H66*2.5+I66+J66+K66*1.5+L66+O66*0.75+P66+S66)/11.25</f>
        <v>108.39565269644491</v>
      </c>
      <c r="V66">
        <f>'2025_Fantasy_Hitters_modified'!F8</f>
        <v>140.3007201065839</v>
      </c>
      <c r="W66">
        <f>'2025_Fantasy_Hitters_modified'!G8</f>
        <v>89.528253882141868</v>
      </c>
      <c r="X66">
        <f>'2025_Fantasy_Hitters_modified'!H8</f>
        <v>28.261187821901245</v>
      </c>
      <c r="Y66">
        <f>'2025_Fantasy_Hitters_modified'!I8</f>
        <v>0.39700240035527834</v>
      </c>
      <c r="Z66">
        <f>'2025_Fantasy_Hitters_modified'!J8</f>
        <v>21.199999999999928</v>
      </c>
      <c r="AA66">
        <f>'2025_Fantasy_Hitters_modified'!K8</f>
        <v>70.677832512315035</v>
      </c>
      <c r="AB66">
        <f>'2025_Fantasy_Hitters_modified'!L8</f>
        <v>90.999999999999858</v>
      </c>
      <c r="AC66" s="2">
        <f>'2025_Fantasy_Hitters_modified'!M8</f>
        <v>49.893267652083999</v>
      </c>
      <c r="AD66">
        <f>'2025_Fantasy_Hitters_modified'!N8</f>
        <v>5.6850574712643471</v>
      </c>
      <c r="AE66">
        <f>'2025_Fantasy_Hitters_modified'!O8</f>
        <v>92.972085412400006</v>
      </c>
      <c r="AF66">
        <f>'2025_Fantasy_Hitters_modified'!P8</f>
        <v>6.9144329896906838</v>
      </c>
      <c r="AG66">
        <f>'2025_Fantasy_Hitters_modified'!Q8</f>
        <v>4.9999999999999742</v>
      </c>
      <c r="AH66">
        <f>'2025_Fantasy_Hitters_modified'!R8</f>
        <v>0</v>
      </c>
      <c r="AI66">
        <f>'2025_Fantasy_Hitters_modified'!S8</f>
        <v>6.9850574712643443</v>
      </c>
      <c r="AJ66">
        <f>'2025_Fantasy_Hitters_modified'!T8</f>
        <v>1.995730706075487</v>
      </c>
      <c r="AK66">
        <f>'2025_Fantasy_Hitters_modified'!U8</f>
        <v>4.9893267651888573</v>
      </c>
      <c r="AL66">
        <f>'2025_Fantasy_Hitters_modified'!V8</f>
        <v>0.26224433664782038</v>
      </c>
      <c r="AM66">
        <f>'2025_Fantasy_Hitters_modified'!W8</f>
        <v>0.34049841920896468</v>
      </c>
      <c r="AN66">
        <f>'2025_Fantasy_Hitters_modified'!X8</f>
        <v>0.43372268547104659</v>
      </c>
      <c r="AO66">
        <f>'2025_Fantasy_Hitters_modified'!Y8</f>
        <v>0.77422110468001126</v>
      </c>
      <c r="AP66">
        <f>'2025_Fantasy_Hitters_modified'!Z8</f>
        <v>0.27969213859999997</v>
      </c>
      <c r="AQ66">
        <f>'2025_Fantasy_Hitters_modified'!AA8</f>
        <v>15.599343190000001</v>
      </c>
      <c r="AR66">
        <f>'2025_Fantasy_Hitters_modified'!AB8</f>
        <v>8.3713536329</v>
      </c>
    </row>
    <row r="67" spans="1:44" x14ac:dyDescent="0.4">
      <c r="A67" t="str">
        <f>'2025_Fantasy_Hitters_modified'!A15</f>
        <v>ATH</v>
      </c>
      <c r="B67" t="str">
        <f>'2025_Fantasy_Hitters_modified'!B15</f>
        <v>Lawrence Butler</v>
      </c>
      <c r="C67">
        <f>'2025_Fantasy_Hitters_modified'!D15</f>
        <v>534</v>
      </c>
      <c r="D67">
        <f>'2025_Fantasy_Hitters_modified'!E15</f>
        <v>585</v>
      </c>
      <c r="E67" s="5">
        <f>(V67-AVERAGE(V$2:V$229))/AVERAGE(V$2:V$229)*100+100</f>
        <v>112.71017136240859</v>
      </c>
      <c r="F67" s="4">
        <f>E67*1.51744-31.775</f>
        <v>139.25592243217326</v>
      </c>
      <c r="G67" s="5">
        <f>(Z67-AVERAGE(Z$2:Z$229))/AVERAGE(Z$2:Z$229)*100+100</f>
        <v>133.77578992930307</v>
      </c>
      <c r="H67" s="4">
        <f>G67*0.83285-13.6979</f>
        <v>97.717266642620061</v>
      </c>
      <c r="I67" s="5">
        <f>(AA67-AVERAGE(AA$2:AA$229))/AVERAGE(AA$2:AA$229)*100+100</f>
        <v>117.40246337027469</v>
      </c>
      <c r="J67" s="5">
        <f>(AB67-AVERAGE(AB$2:AB$229))/AVERAGE(AB$2:AB$229)*100+100</f>
        <v>107.5839431033297</v>
      </c>
      <c r="K67" s="5">
        <f>(AC67-AVERAGE(AC$2:AC$229))/AVERAGE(AC$2:AC$229)*100+100</f>
        <v>100.73128069840189</v>
      </c>
      <c r="L67" s="5">
        <f>(AF67-AVERAGE(AF$2:AF$229))/AVERAGE(AF$2:AF$229)*100+100</f>
        <v>32.551119790857385</v>
      </c>
      <c r="M67" s="5">
        <f>(AI67-AVERAGE(AI$2:AI$229))/AVERAGE(AI$2:AI$229)*100+100</f>
        <v>180.78146915619806</v>
      </c>
      <c r="N67" s="5">
        <f>(AVERAGE(AJ$2:AJ$229)-AJ67)/AVERAGE(AJ$2:AJ$229)*100+100</f>
        <v>90.4852433466489</v>
      </c>
      <c r="O67" s="5">
        <f>(AK67-AVERAGE(AK$2:AK$229))/AVERAGE(AK$2:AK$229)*100+100</f>
        <v>205.74220490410221</v>
      </c>
      <c r="P67" s="5">
        <f>(AL67-AVERAGE(AL$2:AL$229))/AVERAGE(AL$2:AL$229)*100+100</f>
        <v>99.383655475601572</v>
      </c>
      <c r="Q67" s="5">
        <f>(AM67-AVERAGE(AM$2:AM$229))/AVERAGE(AM$2:AM$229)*100+100</f>
        <v>94.894864504745257</v>
      </c>
      <c r="R67" s="5">
        <f>(AN67-AVERAGE(AN$2:AN$229))/AVERAGE(AN$2:AN$229)*100+100</f>
        <v>105.49420654233516</v>
      </c>
      <c r="S67" s="5">
        <f>(AO67-AVERAGE(AO$2:AO$229))/AVERAGE(AO$2:AO$229)*100+100</f>
        <v>100.86986432551512</v>
      </c>
      <c r="T67" s="6">
        <f>(F67*1.5+H67*2.5+I67+J67+K67*1.5+L67+O67*0.75+P67+S67)/11.25</f>
        <v>108.12192631520605</v>
      </c>
      <c r="V67">
        <f>'2025_Fantasy_Hitters_modified'!F15</f>
        <v>132.40161945943362</v>
      </c>
      <c r="W67">
        <f>'2025_Fantasy_Hitters_modified'!G15</f>
        <v>79.22761001813133</v>
      </c>
      <c r="X67">
        <f>'2025_Fantasy_Hitters_modified'!H15</f>
        <v>26.743258151859703</v>
      </c>
      <c r="Y67">
        <f>'2025_Fantasy_Hitters_modified'!I15</f>
        <v>2.5986195438568882</v>
      </c>
      <c r="Z67">
        <f>'2025_Fantasy_Hitters_modified'!J15</f>
        <v>24.399999999999935</v>
      </c>
      <c r="AA67">
        <f>'2025_Fantasy_Hitters_modified'!K15</f>
        <v>77.417701863353855</v>
      </c>
      <c r="AB67">
        <f>'2025_Fantasy_Hitters_modified'!L15</f>
        <v>68.999999999999446</v>
      </c>
      <c r="AC67" s="2">
        <f>'2025_Fantasy_Hitters_modified'!M15</f>
        <v>46.032763973625009</v>
      </c>
      <c r="AD67">
        <f>'2025_Fantasy_Hitters_modified'!N15</f>
        <v>1.390838509316763</v>
      </c>
      <c r="AE67">
        <f>'2025_Fantasy_Hitters_modified'!O15</f>
        <v>139.89130435799999</v>
      </c>
      <c r="AF67">
        <f>'2025_Fantasy_Hitters_modified'!P15</f>
        <v>1.9073394495412743</v>
      </c>
      <c r="AG67">
        <f>'2025_Fantasy_Hitters_modified'!Q15</f>
        <v>3.9999999999999782</v>
      </c>
      <c r="AH67">
        <f>'2025_Fantasy_Hitters_modified'!R15</f>
        <v>0.3999999999999978</v>
      </c>
      <c r="AI67">
        <f>'2025_Fantasy_Hitters_modified'!S15</f>
        <v>18.916770186335327</v>
      </c>
      <c r="AJ67">
        <f>'2025_Fantasy_Hitters_modified'!T15</f>
        <v>2.9725155279502955</v>
      </c>
      <c r="AK67">
        <f>'2025_Fantasy_Hitters_modified'!U15</f>
        <v>15.944254658385031</v>
      </c>
      <c r="AL67">
        <f>'2025_Fantasy_Hitters_modified'!V15</f>
        <v>0.24794310760193561</v>
      </c>
      <c r="AM67">
        <f>'2025_Fantasy_Hitters_modified'!W15</f>
        <v>0.31042916722376601</v>
      </c>
      <c r="AN67">
        <f>'2025_Fantasy_Hitters_modified'!X15</f>
        <v>0.44589884822738041</v>
      </c>
      <c r="AO67">
        <f>'2025_Fantasy_Hitters_modified'!Y15</f>
        <v>0.75632801545114647</v>
      </c>
      <c r="AP67">
        <f>'2025_Fantasy_Hitters_modified'!Z15</f>
        <v>0.28899948199999997</v>
      </c>
      <c r="AQ67">
        <f>'2025_Fantasy_Hitters_modified'!AA15</f>
        <v>23.913043479999999</v>
      </c>
      <c r="AR67">
        <f>'2025_Fantasy_Hitters_modified'!AB15</f>
        <v>7.8688485425000003</v>
      </c>
    </row>
    <row r="68" spans="1:44" x14ac:dyDescent="0.4">
      <c r="A68" t="str">
        <f>'2025_Fantasy_Hitters_modified'!A85</f>
        <v>DET</v>
      </c>
      <c r="B68" t="str">
        <f>'2025_Fantasy_Hitters_modified'!B85</f>
        <v>Riley Greene</v>
      </c>
      <c r="C68">
        <f>'2025_Fantasy_Hitters_modified'!D85</f>
        <v>533</v>
      </c>
      <c r="D68">
        <f>'2025_Fantasy_Hitters_modified'!E85</f>
        <v>603</v>
      </c>
      <c r="E68" s="5">
        <f>(V68-AVERAGE(V$2:V$229))/AVERAGE(V$2:V$229)*100+100</f>
        <v>120.92994336353743</v>
      </c>
      <c r="F68" s="4">
        <f>E68*1.51744-31.775</f>
        <v>151.72893325756621</v>
      </c>
      <c r="G68" s="5">
        <f>(Z68-AVERAGE(Z$2:Z$229))/AVERAGE(Z$2:Z$229)*100+100</f>
        <v>116.23142403693544</v>
      </c>
      <c r="H68" s="4">
        <f>G68*0.83285-13.6979</f>
        <v>83.105441509161665</v>
      </c>
      <c r="I68" s="5">
        <f>(AA68-AVERAGE(AA$2:AA$229))/AVERAGE(AA$2:AA$229)*100+100</f>
        <v>119.05874594546312</v>
      </c>
      <c r="J68" s="5">
        <f>(AB68-AVERAGE(AB$2:AB$229))/AVERAGE(AB$2:AB$229)*100+100</f>
        <v>112.26150584695282</v>
      </c>
      <c r="K68" s="5">
        <f>(AC68-AVERAGE(AC$2:AC$229))/AVERAGE(AC$2:AC$229)*100+100</f>
        <v>137.95261784519587</v>
      </c>
      <c r="L68" s="5">
        <f>(AF68-AVERAGE(AF$2:AF$229))/AVERAGE(AF$2:AF$229)*100+100</f>
        <v>84.083721203925037</v>
      </c>
      <c r="M68" s="5">
        <f>(AI68-AVERAGE(AI$2:AI$229))/AVERAGE(AI$2:AI$229)*100+100</f>
        <v>57.034010376766581</v>
      </c>
      <c r="N68" s="5">
        <f>(AVERAGE(AJ$2:AJ$229)-AJ68)/AVERAGE(AJ$2:AJ$229)*100+100</f>
        <v>126.70839330094728</v>
      </c>
      <c r="O68" s="5">
        <f>(AK68-AVERAGE(AK$2:AK$229))/AVERAGE(AK$2:AK$229)*100+100</f>
        <v>51.339885427752456</v>
      </c>
      <c r="P68" s="5">
        <f>(AL68-AVERAGE(AL$2:AL$229))/AVERAGE(AL$2:AL$229)*100+100</f>
        <v>106.83160523576159</v>
      </c>
      <c r="Q68" s="5">
        <f>(AM68-AVERAGE(AM$2:AM$229))/AVERAGE(AM$2:AM$229)*100+100</f>
        <v>107.85696463834306</v>
      </c>
      <c r="R68" s="5">
        <f>(AN68-AVERAGE(AN$2:AN$229))/AVERAGE(AN$2:AN$229)*100+100</f>
        <v>108.91676750367495</v>
      </c>
      <c r="S68" s="5">
        <f>(AO68-AVERAGE(AO$2:AO$229))/AVERAGE(AO$2:AO$229)*100+100</f>
        <v>108.45439058308111</v>
      </c>
      <c r="T68" s="6">
        <f>(F68*1.5+H68*2.5+I68+J68+K68*1.5+L68+O68*0.75+P68+S68)/11.25</f>
        <v>107.68718340560402</v>
      </c>
      <c r="V68">
        <f>'2025_Fantasy_Hitters_modified'!F85</f>
        <v>142.05745718358551</v>
      </c>
      <c r="W68">
        <f>'2025_Fantasy_Hitters_modified'!G85</f>
        <v>87.984435394168997</v>
      </c>
      <c r="X68">
        <f>'2025_Fantasy_Hitters_modified'!H85</f>
        <v>28.678040687630439</v>
      </c>
      <c r="Y68">
        <f>'2025_Fantasy_Hitters_modified'!I85</f>
        <v>5.0780444194783767</v>
      </c>
      <c r="Z68">
        <f>'2025_Fantasy_Hitters_modified'!J85</f>
        <v>21.199999999999939</v>
      </c>
      <c r="AA68">
        <f>'2025_Fantasy_Hitters_modified'!K85</f>
        <v>78.509890109890009</v>
      </c>
      <c r="AB68">
        <f>'2025_Fantasy_Hitters_modified'!L85</f>
        <v>71.999999999999474</v>
      </c>
      <c r="AC68" s="2">
        <f>'2025_Fantasy_Hitters_modified'!M85</f>
        <v>63.042386166269992</v>
      </c>
      <c r="AD68">
        <f>'2025_Fantasy_Hitters_modified'!N85</f>
        <v>2.3893249607535183</v>
      </c>
      <c r="AE68">
        <f>'2025_Fantasy_Hitters_modified'!O85</f>
        <v>149.56671898979999</v>
      </c>
      <c r="AF68">
        <f>'2025_Fantasy_Hitters_modified'!P85</f>
        <v>4.9269026548672263</v>
      </c>
      <c r="AG68">
        <f>'2025_Fantasy_Hitters_modified'!Q85</f>
        <v>3.5999999999999859</v>
      </c>
      <c r="AH68">
        <f>'2025_Fantasy_Hitters_modified'!R85</f>
        <v>0</v>
      </c>
      <c r="AI68">
        <f>'2025_Fantasy_Hitters_modified'!S85</f>
        <v>5.9679748822605916</v>
      </c>
      <c r="AJ68">
        <f>'2025_Fantasy_Hitters_modified'!T85</f>
        <v>1.9893249607535304</v>
      </c>
      <c r="AK68">
        <f>'2025_Fantasy_Hitters_modified'!U85</f>
        <v>3.9786499215070612</v>
      </c>
      <c r="AL68">
        <f>'2025_Fantasy_Hitters_modified'!V85</f>
        <v>0.26652430991291842</v>
      </c>
      <c r="AM68">
        <f>'2025_Fantasy_Hitters_modified'!W85</f>
        <v>0.35283203033911004</v>
      </c>
      <c r="AN68">
        <f>'2025_Fantasy_Hitters_modified'!X85</f>
        <v>0.46036519705040291</v>
      </c>
      <c r="AO68">
        <f>'2025_Fantasy_Hitters_modified'!Y85</f>
        <v>0.81319722738951294</v>
      </c>
      <c r="AP68">
        <f>'2025_Fantasy_Hitters_modified'!Z85</f>
        <v>0.33036211700000001</v>
      </c>
      <c r="AQ68">
        <f>'2025_Fantasy_Hitters_modified'!AA85</f>
        <v>24.803767659999998</v>
      </c>
      <c r="AR68">
        <f>'2025_Fantasy_Hitters_modified'!AB85</f>
        <v>10.454790408999999</v>
      </c>
    </row>
    <row r="69" spans="1:44" x14ac:dyDescent="0.4">
      <c r="A69" t="str">
        <f>'2025_Fantasy_Hitters_modified'!A64</f>
        <v>CIN</v>
      </c>
      <c r="B69" t="str">
        <f>'2025_Fantasy_Hitters_modified'!B64</f>
        <v>Matt McLain</v>
      </c>
      <c r="C69">
        <f>'2025_Fantasy_Hitters_modified'!D64</f>
        <v>480</v>
      </c>
      <c r="D69">
        <f>'2025_Fantasy_Hitters_modified'!E64</f>
        <v>540</v>
      </c>
      <c r="E69" s="5">
        <f>(V69-AVERAGE(V$2:V$229))/AVERAGE(V$2:V$229)*100+100</f>
        <v>104.66948048072206</v>
      </c>
      <c r="F69" s="4">
        <f>E69*1.51744-31.775</f>
        <v>127.05465646066688</v>
      </c>
      <c r="G69" s="5">
        <f>(Z69-AVERAGE(Z$2:Z$229))/AVERAGE(Z$2:Z$229)*100+100</f>
        <v>108.55576395902443</v>
      </c>
      <c r="H69" s="4">
        <f>G69*0.83285-13.6979</f>
        <v>76.712768013273489</v>
      </c>
      <c r="I69" s="5">
        <f>(AA69-AVERAGE(AA$2:AA$229))/AVERAGE(AA$2:AA$229)*100+100</f>
        <v>108.55288455660563</v>
      </c>
      <c r="J69" s="5">
        <f>(AB69-AVERAGE(AB$2:AB$229))/AVERAGE(AB$2:AB$229)*100+100</f>
        <v>106.02475552212211</v>
      </c>
      <c r="K69" s="5">
        <f>(AC69-AVERAGE(AC$2:AC$229))/AVERAGE(AC$2:AC$229)*100+100</f>
        <v>102.18646490820694</v>
      </c>
      <c r="L69" s="5">
        <f>(AF69-AVERAGE(AF$2:AF$229))/AVERAGE(AF$2:AF$229)*100+100</f>
        <v>138.35119768186894</v>
      </c>
      <c r="M69" s="5">
        <f>(AI69-AVERAGE(AI$2:AI$229))/AVERAGE(AI$2:AI$229)*100+100</f>
        <v>162.20527081205208</v>
      </c>
      <c r="N69" s="5">
        <f>(AVERAGE(AJ$2:AJ$229)-AJ69)/AVERAGE(AJ$2:AJ$229)*100+100</f>
        <v>13.663440200669925</v>
      </c>
      <c r="O69" s="5">
        <f>(AK69-AVERAGE(AK$2:AK$229))/AVERAGE(AK$2:AK$229)*100+100</f>
        <v>153.75343254823878</v>
      </c>
      <c r="P69" s="5">
        <f>(AL69-AVERAGE(AL$2:AL$229))/AVERAGE(AL$2:AL$229)*100+100</f>
        <v>102.67671010118794</v>
      </c>
      <c r="Q69" s="5">
        <f>(AM69-AVERAGE(AM$2:AM$229))/AVERAGE(AM$2:AM$229)*100+100</f>
        <v>102.96590417551603</v>
      </c>
      <c r="R69" s="5">
        <f>(AN69-AVERAGE(AN$2:AN$229))/AVERAGE(AN$2:AN$229)*100+100</f>
        <v>104.99903601794522</v>
      </c>
      <c r="S69" s="5">
        <f>(AO69-AVERAGE(AO$2:AO$229))/AVERAGE(AO$2:AO$229)*100+100</f>
        <v>104.1120095046047</v>
      </c>
      <c r="T69" s="6">
        <f>(F69*1.5+H69*2.5+I69+J69+K69*1.5+L69+O69*0.75+P69+S69)/11.25</f>
        <v>107.61566523236114</v>
      </c>
      <c r="V69">
        <f>'2025_Fantasy_Hitters_modified'!F64</f>
        <v>122.95614988522031</v>
      </c>
      <c r="W69">
        <f>'2025_Fantasy_Hitters_modified'!G64</f>
        <v>74.263092519178983</v>
      </c>
      <c r="X69">
        <f>'2025_Fantasy_Hitters_modified'!H64</f>
        <v>25.28337006990693</v>
      </c>
      <c r="Y69">
        <f>'2025_Fantasy_Hitters_modified'!I64</f>
        <v>2.9989966652151026</v>
      </c>
      <c r="Z69">
        <f>'2025_Fantasy_Hitters_modified'!J64</f>
        <v>19.799999999999912</v>
      </c>
      <c r="AA69">
        <f>'2025_Fantasy_Hitters_modified'!K64</f>
        <v>71.582099827882857</v>
      </c>
      <c r="AB69">
        <f>'2025_Fantasy_Hitters_modified'!L64</f>
        <v>67.999999999999503</v>
      </c>
      <c r="AC69" s="2">
        <f>'2025_Fantasy_Hitters_modified'!M64</f>
        <v>46.697762480580003</v>
      </c>
      <c r="AD69">
        <f>'2025_Fantasy_Hitters_modified'!N64</f>
        <v>0.99294320137690617</v>
      </c>
      <c r="AE69">
        <f>'2025_Fantasy_Hitters_modified'!O64</f>
        <v>142.20309812400001</v>
      </c>
      <c r="AF69">
        <f>'2025_Fantasy_Hitters_modified'!P64</f>
        <v>8.1067164179104072</v>
      </c>
      <c r="AG69">
        <f>'2025_Fantasy_Hitters_modified'!Q64</f>
        <v>2.9999999999999702</v>
      </c>
      <c r="AH69">
        <f>'2025_Fantasy_Hitters_modified'!R64</f>
        <v>0</v>
      </c>
      <c r="AI69">
        <f>'2025_Fantasy_Hitters_modified'!S64</f>
        <v>16.972977624784811</v>
      </c>
      <c r="AJ69">
        <f>'2025_Fantasy_Hitters_modified'!T64</f>
        <v>5.0576592082615814</v>
      </c>
      <c r="AK69">
        <f>'2025_Fantasy_Hitters_modified'!U64</f>
        <v>11.915318416523229</v>
      </c>
      <c r="AL69">
        <f>'2025_Fantasy_Hitters_modified'!V64</f>
        <v>0.25615864559420898</v>
      </c>
      <c r="AM69">
        <f>'2025_Fantasy_Hitters_modified'!W64</f>
        <v>0.33683192502002235</v>
      </c>
      <c r="AN69">
        <f>'2025_Fantasy_Hitters_modified'!X64</f>
        <v>0.44380588053049536</v>
      </c>
      <c r="AO69">
        <f>'2025_Fantasy_Hitters_modified'!Y64</f>
        <v>0.78063780555051765</v>
      </c>
      <c r="AP69">
        <f>'2025_Fantasy_Hitters_modified'!Z64</f>
        <v>0.32136182400000002</v>
      </c>
      <c r="AQ69">
        <f>'2025_Fantasy_Hitters_modified'!AA64</f>
        <v>26.333907060000001</v>
      </c>
      <c r="AR69">
        <f>'2025_Fantasy_Hitters_modified'!AB64</f>
        <v>8.6477337927000004</v>
      </c>
    </row>
    <row r="70" spans="1:44" x14ac:dyDescent="0.4">
      <c r="A70" t="str">
        <f>'2025_Fantasy_Hitters_modified'!A212</f>
        <v>TEX</v>
      </c>
      <c r="B70" t="str">
        <f>'2025_Fantasy_Hitters_modified'!B212</f>
        <v>Marcus Semien</v>
      </c>
      <c r="C70">
        <f>'2025_Fantasy_Hitters_modified'!D212</f>
        <v>590</v>
      </c>
      <c r="D70">
        <f>'2025_Fantasy_Hitters_modified'!E212</f>
        <v>656</v>
      </c>
      <c r="E70" s="5">
        <f>(V70-AVERAGE(V$2:V$229))/AVERAGE(V$2:V$229)*100+100</f>
        <v>125.30638415118531</v>
      </c>
      <c r="F70" s="4">
        <f>E70*1.51744-31.775</f>
        <v>158.36991956637462</v>
      </c>
      <c r="G70" s="5">
        <f>(Z70-AVERAGE(Z$2:Z$229))/AVERAGE(Z$2:Z$229)*100+100</f>
        <v>112.9418554321167</v>
      </c>
      <c r="H70" s="4">
        <f>G70*0.83285-13.6979</f>
        <v>80.36572429663839</v>
      </c>
      <c r="I70" s="5">
        <f>(AA70-AVERAGE(AA$2:AA$229))/AVERAGE(AA$2:AA$229)*100+100</f>
        <v>134.11255063688202</v>
      </c>
      <c r="J70" s="5">
        <f>(AB70-AVERAGE(AB$2:AB$229))/AVERAGE(AB$2:AB$229)*100+100</f>
        <v>113.82069342816128</v>
      </c>
      <c r="K70" s="5">
        <f>(AC70-AVERAGE(AC$2:AC$229))/AVERAGE(AC$2:AC$229)*100+100</f>
        <v>127.17856475610424</v>
      </c>
      <c r="L70" s="5">
        <f>(AF70-AVERAGE(AF$2:AF$229))/AVERAGE(AF$2:AF$229)*100+100</f>
        <v>66.451367856477646</v>
      </c>
      <c r="M70" s="5">
        <f>(AI70-AVERAGE(AI$2:AI$229))/AVERAGE(AI$2:AI$229)*100+100</f>
        <v>95.437434999672007</v>
      </c>
      <c r="N70" s="5">
        <f>(AVERAGE(AJ$2:AJ$229)-AJ70)/AVERAGE(AJ$2:AJ$229)*100+100</f>
        <v>93.256617033303044</v>
      </c>
      <c r="O70" s="5">
        <f>(AK70-AVERAGE(AK$2:AK$229))/AVERAGE(AK$2:AK$229)*100+100</f>
        <v>91.477594989187665</v>
      </c>
      <c r="P70" s="5">
        <f>(AL70-AVERAGE(AL$2:AL$229))/AVERAGE(AL$2:AL$229)*100+100</f>
        <v>100.00329278167179</v>
      </c>
      <c r="Q70" s="5">
        <f>(AM70-AVERAGE(AM$2:AM$229))/AVERAGE(AM$2:AM$229)*100+100</f>
        <v>98.321095664069844</v>
      </c>
      <c r="R70" s="5">
        <f>(AN70-AVERAGE(AN$2:AN$229))/AVERAGE(AN$2:AN$229)*100+100</f>
        <v>97.693697562598459</v>
      </c>
      <c r="S70" s="5">
        <f>(AO70-AVERAGE(AO$2:AO$229))/AVERAGE(AO$2:AO$229)*100+100</f>
        <v>97.967422433170341</v>
      </c>
      <c r="T70" s="6">
        <f>(F70*1.5+H70*2.5+I70+J70+K70*1.5+L70+O70*0.75+P70+S70)/11.25</f>
        <v>107.57338316476159</v>
      </c>
      <c r="V70">
        <f>'2025_Fantasy_Hitters_modified'!F212</f>
        <v>147.19850027445031</v>
      </c>
      <c r="W70">
        <f>'2025_Fantasy_Hitters_modified'!G212</f>
        <v>92.807318639904793</v>
      </c>
      <c r="X70">
        <f>'2025_Fantasy_Hitters_modified'!H212</f>
        <v>29.607713773863324</v>
      </c>
      <c r="Y70">
        <f>'2025_Fantasy_Hitters_modified'!I212</f>
        <v>3.0682495541925681</v>
      </c>
      <c r="Z70">
        <f>'2025_Fantasy_Hitters_modified'!J212</f>
        <v>20.599999999999973</v>
      </c>
      <c r="AA70">
        <f>'2025_Fantasy_Hitters_modified'!K212</f>
        <v>88.436691729322675</v>
      </c>
      <c r="AB70">
        <f>'2025_Fantasy_Hitters_modified'!L212</f>
        <v>72.999999999999972</v>
      </c>
      <c r="AC70" s="2">
        <f>'2025_Fantasy_Hitters_modified'!M212</f>
        <v>58.118796994656002</v>
      </c>
      <c r="AD70">
        <f>'2025_Fantasy_Hitters_modified'!N212</f>
        <v>0.59864661654133799</v>
      </c>
      <c r="AE70">
        <f>'2025_Fantasy_Hitters_modified'!O212</f>
        <v>100.61954884159999</v>
      </c>
      <c r="AF70">
        <f>'2025_Fantasy_Hitters_modified'!P212</f>
        <v>3.8937313432835485</v>
      </c>
      <c r="AG70">
        <f>'2025_Fantasy_Hitters_modified'!Q212</f>
        <v>3.5999999999999734</v>
      </c>
      <c r="AH70">
        <f>'2025_Fantasy_Hitters_modified'!R212</f>
        <v>0.39999999999998975</v>
      </c>
      <c r="AI70">
        <f>'2025_Fantasy_Hitters_modified'!S212</f>
        <v>9.9864661654134732</v>
      </c>
      <c r="AJ70">
        <f>'2025_Fantasy_Hitters_modified'!T212</f>
        <v>2.8972932330826913</v>
      </c>
      <c r="AK70">
        <f>'2025_Fantasy_Hitters_modified'!U212</f>
        <v>7.0891729323307819</v>
      </c>
      <c r="AL70">
        <f>'2025_Fantasy_Hitters_modified'!V212</f>
        <v>0.24948898351601748</v>
      </c>
      <c r="AM70">
        <f>'2025_Fantasy_Hitters_modified'!W212</f>
        <v>0.32163738266362329</v>
      </c>
      <c r="AN70">
        <f>'2025_Fantasy_Hitters_modified'!X212</f>
        <v>0.41292795737323568</v>
      </c>
      <c r="AO70">
        <f>'2025_Fantasy_Hitters_modified'!Y212</f>
        <v>0.73456534003685903</v>
      </c>
      <c r="AP70">
        <f>'2025_Fantasy_Hitters_modified'!Z212</f>
        <v>0.26800114180000001</v>
      </c>
      <c r="AQ70">
        <f>'2025_Fantasy_Hitters_modified'!AA212</f>
        <v>15.33834586</v>
      </c>
      <c r="AR70">
        <f>'2025_Fantasy_Hitters_modified'!AB212</f>
        <v>8.8595727126000003</v>
      </c>
    </row>
    <row r="71" spans="1:44" x14ac:dyDescent="0.4">
      <c r="A71" t="str">
        <f>'2025_Fantasy_Hitters_modified'!A104</f>
        <v>LAA</v>
      </c>
      <c r="B71" t="str">
        <f>'2025_Fantasy_Hitters_modified'!B104</f>
        <v>Mike Trout</v>
      </c>
      <c r="C71">
        <f>'2025_Fantasy_Hitters_modified'!D104</f>
        <v>399</v>
      </c>
      <c r="D71">
        <f>'2025_Fantasy_Hitters_modified'!E104</f>
        <v>464</v>
      </c>
      <c r="E71" s="5">
        <f>(V71-AVERAGE(V$2:V$229))/AVERAGE(V$2:V$229)*100+100</f>
        <v>86.520993641098173</v>
      </c>
      <c r="F71" s="4">
        <f>E71*1.51744-31.775</f>
        <v>99.515416590748004</v>
      </c>
      <c r="G71" s="5">
        <f>(Z71-AVERAGE(Z$2:Z$229))/AVERAGE(Z$2:Z$229)*100+100</f>
        <v>153.51320155821708</v>
      </c>
      <c r="H71" s="4">
        <f>G71*0.83285-13.6979</f>
        <v>114.15556991776108</v>
      </c>
      <c r="I71" s="5">
        <f>(AA71-AVERAGE(AA$2:AA$229))/AVERAGE(AA$2:AA$229)*100+100</f>
        <v>100.76730285021947</v>
      </c>
      <c r="J71" s="5">
        <f>(AB71-AVERAGE(AB$2:AB$229))/AVERAGE(AB$2:AB$229)*100+100</f>
        <v>104.46556794091453</v>
      </c>
      <c r="K71" s="5">
        <f>(AC71-AVERAGE(AC$2:AC$229))/AVERAGE(AC$2:AC$229)*100+100</f>
        <v>120.34233439781968</v>
      </c>
      <c r="L71" s="5">
        <f>(AF71-AVERAGE(AF$2:AF$229))/AVERAGE(AF$2:AF$229)*100+100</f>
        <v>119.70000746505744</v>
      </c>
      <c r="M71" s="5">
        <f>(AI71-AVERAGE(AI$2:AI$229))/AVERAGE(AI$2:AI$229)*100+100</f>
        <v>66.87518502800387</v>
      </c>
      <c r="N71" s="5">
        <f>(AVERAGE(AJ$2:AJ$229)-AJ71)/AVERAGE(AJ$2:AJ$229)*100+100</f>
        <v>127.25693577865073</v>
      </c>
      <c r="O71" s="5">
        <f>(AK71-AVERAGE(AK$2:AK$229))/AVERAGE(AK$2:AK$229)*100+100</f>
        <v>64.81999577060877</v>
      </c>
      <c r="P71" s="5">
        <f>(AL71-AVERAGE(AL$2:AL$229))/AVERAGE(AL$2:AL$229)*100+100</f>
        <v>102.10375552295936</v>
      </c>
      <c r="Q71" s="5">
        <f>(AM71-AVERAGE(AM$2:AM$229))/AVERAGE(AM$2:AM$229)*100+100</f>
        <v>111.27886768510007</v>
      </c>
      <c r="R71" s="5">
        <f>(AN71-AVERAGE(AN$2:AN$229))/AVERAGE(AN$2:AN$229)*100+100</f>
        <v>125.14035291777481</v>
      </c>
      <c r="S71" s="5">
        <f>(AO71-AVERAGE(AO$2:AO$229))/AVERAGE(AO$2:AO$229)*100+100</f>
        <v>119.09278401001075</v>
      </c>
      <c r="T71" s="6">
        <f>(F71*1.5+H71*2.5+I71+J71+K71*1.5+L71+O71*0.75+P71+S71)/11.25</f>
        <v>107.5484414128331</v>
      </c>
      <c r="V71">
        <f>'2025_Fantasy_Hitters_modified'!F104</f>
        <v>101.63696440924259</v>
      </c>
      <c r="W71">
        <f>'2025_Fantasy_Hitters_modified'!G104</f>
        <v>52.600046366433695</v>
      </c>
      <c r="X71">
        <f>'2025_Fantasy_Hitters_modified'!H104</f>
        <v>19.378148528748042</v>
      </c>
      <c r="Y71">
        <f>'2025_Fantasy_Hitters_modified'!I104</f>
        <v>2.563362436732552</v>
      </c>
      <c r="Z71">
        <f>'2025_Fantasy_Hitters_modified'!J104</f>
        <v>28</v>
      </c>
      <c r="AA71">
        <f>'2025_Fantasy_Hitters_modified'!K104</f>
        <v>66.448120300751441</v>
      </c>
      <c r="AB71">
        <f>'2025_Fantasy_Hitters_modified'!L104</f>
        <v>66.999999999999574</v>
      </c>
      <c r="AC71" s="2">
        <f>'2025_Fantasy_Hitters_modified'!M104</f>
        <v>54.994736857919996</v>
      </c>
      <c r="AD71">
        <f>'2025_Fantasy_Hitters_modified'!N104</f>
        <v>4.0360902255639042</v>
      </c>
      <c r="AE71">
        <f>'2025_Fantasy_Hitters_modified'!O104</f>
        <v>124.72180452000001</v>
      </c>
      <c r="AF71">
        <f>'2025_Fantasy_Hitters_modified'!P104</f>
        <v>7.0138461538461119</v>
      </c>
      <c r="AG71">
        <f>'2025_Fantasy_Hitters_modified'!Q104</f>
        <v>2.5999999999999912</v>
      </c>
      <c r="AH71">
        <f>'2025_Fantasy_Hitters_modified'!R104</f>
        <v>0</v>
      </c>
      <c r="AI71">
        <f>'2025_Fantasy_Hitters_modified'!S104</f>
        <v>6.997744360902213</v>
      </c>
      <c r="AJ71">
        <f>'2025_Fantasy_Hitters_modified'!T104</f>
        <v>1.9744360902255609</v>
      </c>
      <c r="AK71">
        <f>'2025_Fantasy_Hitters_modified'!U104</f>
        <v>5.0233082706766519</v>
      </c>
      <c r="AL71">
        <f>'2025_Fantasy_Hitters_modified'!V104</f>
        <v>0.25472923410837744</v>
      </c>
      <c r="AM71">
        <f>'2025_Fantasy_Hitters_modified'!W104</f>
        <v>0.36402608724270707</v>
      </c>
      <c r="AN71">
        <f>'2025_Fantasy_Hitters_modified'!X104</f>
        <v>0.52893842289255</v>
      </c>
      <c r="AO71">
        <f>'2025_Fantasy_Hitters_modified'!Y104</f>
        <v>0.89296451013525702</v>
      </c>
      <c r="AP71">
        <f>'2025_Fantasy_Hitters_modified'!Z104</f>
        <v>0.29587551560000003</v>
      </c>
      <c r="AQ71">
        <f>'2025_Fantasy_Hitters_modified'!AA104</f>
        <v>26.879699250000002</v>
      </c>
      <c r="AR71">
        <f>'2025_Fantasy_Hitters_modified'!AB104</f>
        <v>11.852313978</v>
      </c>
    </row>
    <row r="72" spans="1:44" x14ac:dyDescent="0.4">
      <c r="A72" t="str">
        <f>'2025_Fantasy_Hitters_modified'!A220</f>
        <v>TOR</v>
      </c>
      <c r="B72" t="str">
        <f>'2025_Fantasy_Hitters_modified'!B220</f>
        <v>George Springer</v>
      </c>
      <c r="C72">
        <f>'2025_Fantasy_Hitters_modified'!D220</f>
        <v>537</v>
      </c>
      <c r="D72">
        <f>'2025_Fantasy_Hitters_modified'!E220</f>
        <v>602</v>
      </c>
      <c r="E72" s="5">
        <f>(V72-AVERAGE(V$2:V$229))/AVERAGE(V$2:V$229)*100+100</f>
        <v>110.71472110334931</v>
      </c>
      <c r="F72" s="4">
        <f>E72*1.51744-31.775</f>
        <v>136.22794639106635</v>
      </c>
      <c r="G72" s="5">
        <f>(Z72-AVERAGE(Z$2:Z$229))/AVERAGE(Z$2:Z$229)*100+100</f>
        <v>101.97662674938668</v>
      </c>
      <c r="H72" s="4">
        <f>G72*0.83285-13.6979</f>
        <v>71.233333588226685</v>
      </c>
      <c r="I72" s="5">
        <f>(AA72-AVERAGE(AA$2:AA$229))/AVERAGE(AA$2:AA$229)*100+100</f>
        <v>116.54939822487233</v>
      </c>
      <c r="J72" s="5">
        <f>(AB72-AVERAGE(AB$2:AB$229))/AVERAGE(AB$2:AB$229)*100+100</f>
        <v>99.788005197291199</v>
      </c>
      <c r="K72" s="5">
        <f>(AC72-AVERAGE(AC$2:AC$229))/AVERAGE(AC$2:AC$229)*100+100</f>
        <v>118.46239701269037</v>
      </c>
      <c r="L72" s="5">
        <f>(AF72-AVERAGE(AF$2:AF$229))/AVERAGE(AF$2:AF$229)*100+100</f>
        <v>116.84027398161493</v>
      </c>
      <c r="M72" s="5">
        <f>(AI72-AVERAGE(AI$2:AI$229))/AVERAGE(AI$2:AI$229)*100+100</f>
        <v>142.24070688775066</v>
      </c>
      <c r="N72" s="5">
        <f>(AVERAGE(AJ$2:AJ$229)-AJ72)/AVERAGE(AJ$2:AJ$229)*100+100</f>
        <v>89.599690974724439</v>
      </c>
      <c r="O72" s="5">
        <f>(AK72-AVERAGE(AK$2:AK$229))/AVERAGE(AK$2:AK$229)*100+100</f>
        <v>153.39261398773971</v>
      </c>
      <c r="P72" s="5">
        <f>(AL72-AVERAGE(AL$2:AL$229))/AVERAGE(AL$2:AL$229)*100+100</f>
        <v>97.078755063824573</v>
      </c>
      <c r="Q72" s="5">
        <f>(AM72-AVERAGE(AM$2:AM$229))/AVERAGE(AM$2:AM$229)*100+100</f>
        <v>98.192724264101287</v>
      </c>
      <c r="R72" s="5">
        <f>(AN72-AVERAGE(AN$2:AN$229))/AVERAGE(AN$2:AN$229)*100+100</f>
        <v>93.595267473685453</v>
      </c>
      <c r="S72" s="5">
        <f>(AO72-AVERAGE(AO$2:AO$229))/AVERAGE(AO$2:AO$229)*100+100</f>
        <v>95.601072499179224</v>
      </c>
      <c r="T72" s="6">
        <f>(F72*1.5+H72*2.5+I72+J72+K72*1.5+L72+O72*0.75+P72+S72)/11.25</f>
        <v>106.75740573633678</v>
      </c>
      <c r="V72">
        <f>'2025_Fantasy_Hitters_modified'!F220</f>
        <v>130.05754666940402</v>
      </c>
      <c r="W72">
        <f>'2025_Fantasy_Hitters_modified'!G220</f>
        <v>86.621076690851496</v>
      </c>
      <c r="X72">
        <f>'2025_Fantasy_Hitters_modified'!H220</f>
        <v>22.686049322091037</v>
      </c>
      <c r="Y72">
        <f>'2025_Fantasy_Hitters_modified'!I220</f>
        <v>2.0155467898938824</v>
      </c>
      <c r="Z72">
        <f>'2025_Fantasy_Hitters_modified'!J220</f>
        <v>18.599999999999934</v>
      </c>
      <c r="AA72">
        <f>'2025_Fantasy_Hitters_modified'!K220</f>
        <v>76.855172413792914</v>
      </c>
      <c r="AB72">
        <f>'2025_Fantasy_Hitters_modified'!L220</f>
        <v>63.99999999999941</v>
      </c>
      <c r="AC72" s="2">
        <f>'2025_Fantasy_Hitters_modified'!M220</f>
        <v>54.135632185221993</v>
      </c>
      <c r="AD72">
        <f>'2025_Fantasy_Hitters_modified'!N220</f>
        <v>0</v>
      </c>
      <c r="AE72">
        <f>'2025_Fantasy_Hitters_modified'!O220</f>
        <v>115.65517241319999</v>
      </c>
      <c r="AF72">
        <f>'2025_Fantasy_Hitters_modified'!P220</f>
        <v>6.8462794918329664</v>
      </c>
      <c r="AG72">
        <f>'2025_Fantasy_Hitters_modified'!Q220</f>
        <v>3.5999999999999734</v>
      </c>
      <c r="AH72">
        <f>'2025_Fantasy_Hitters_modified'!R220</f>
        <v>0.39999999999999702</v>
      </c>
      <c r="AI72">
        <f>'2025_Fantasy_Hitters_modified'!S220</f>
        <v>14.883908045976916</v>
      </c>
      <c r="AJ72">
        <f>'2025_Fantasy_Hitters_modified'!T220</f>
        <v>2.9965517241379089</v>
      </c>
      <c r="AK72">
        <f>'2025_Fantasy_Hitters_modified'!U220</f>
        <v>11.887356321839007</v>
      </c>
      <c r="AL72">
        <f>'2025_Fantasy_Hitters_modified'!V220</f>
        <v>0.24219282433781009</v>
      </c>
      <c r="AM72">
        <f>'2025_Fantasy_Hitters_modified'!W220</f>
        <v>0.3212174418481159</v>
      </c>
      <c r="AN72">
        <f>'2025_Fantasy_Hitters_modified'!X220</f>
        <v>0.39560487095850089</v>
      </c>
      <c r="AO72">
        <f>'2025_Fantasy_Hitters_modified'!Y220</f>
        <v>0.71682231280661679</v>
      </c>
      <c r="AP72">
        <f>'2025_Fantasy_Hitters_modified'!Z220</f>
        <v>0.274293012</v>
      </c>
      <c r="AQ72">
        <f>'2025_Fantasy_Hitters_modified'!AA220</f>
        <v>19.211822659999999</v>
      </c>
      <c r="AR72">
        <f>'2025_Fantasy_Hitters_modified'!AB220</f>
        <v>8.9926299310999998</v>
      </c>
    </row>
    <row r="73" spans="1:44" x14ac:dyDescent="0.4">
      <c r="A73" t="str">
        <f>'2025_Fantasy_Hitters_modified'!A4</f>
        <v>ARI</v>
      </c>
      <c r="B73" t="str">
        <f>'2025_Fantasy_Hitters_modified'!B4</f>
        <v>Eugenio Suarez</v>
      </c>
      <c r="C73">
        <f>'2025_Fantasy_Hitters_modified'!D4</f>
        <v>533</v>
      </c>
      <c r="D73">
        <f>'2025_Fantasy_Hitters_modified'!E4</f>
        <v>603</v>
      </c>
      <c r="E73" s="5">
        <f>(V73-AVERAGE(V$2:V$229))/AVERAGE(V$2:V$229)*100+100</f>
        <v>105.48861158652252</v>
      </c>
      <c r="F73" s="4">
        <f>E73*1.51744-31.775</f>
        <v>128.29763876585272</v>
      </c>
      <c r="G73" s="5">
        <f>(Z73-AVERAGE(Z$2:Z$229))/AVERAGE(Z$2:Z$229)*100+100</f>
        <v>129.38969845621131</v>
      </c>
      <c r="H73" s="4">
        <f>G73*0.83285-13.6979</f>
        <v>94.064310359255586</v>
      </c>
      <c r="I73" s="5">
        <f>(AA73-AVERAGE(AA$2:AA$229))/AVERAGE(AA$2:AA$229)*100+100</f>
        <v>104.91955877529784</v>
      </c>
      <c r="J73" s="5">
        <f>(AB73-AVERAGE(AB$2:AB$229))/AVERAGE(AB$2:AB$229)*100+100</f>
        <v>129.41256924023773</v>
      </c>
      <c r="K73" s="5">
        <f>(AC73-AVERAGE(AC$2:AC$229))/AVERAGE(AC$2:AC$229)*100+100</f>
        <v>118.4825188708445</v>
      </c>
      <c r="L73" s="5">
        <f>(AF73-AVERAGE(AF$2:AF$229))/AVERAGE(AF$2:AF$229)*100+100</f>
        <v>155.33116656063163</v>
      </c>
      <c r="M73" s="5">
        <f>(AI73-AVERAGE(AI$2:AI$229))/AVERAGE(AI$2:AI$229)*100+100</f>
        <v>19.0945238066939</v>
      </c>
      <c r="N73" s="5">
        <f>(AVERAGE(AJ$2:AJ$229)-AJ73)/AVERAGE(AJ$2:AJ$229)*100+100</f>
        <v>163.19384732808587</v>
      </c>
      <c r="O73" s="5">
        <f>(AK73-AVERAGE(AK$2:AK$229))/AVERAGE(AK$2:AK$229)*100+100</f>
        <v>12.891132738920859</v>
      </c>
      <c r="P73" s="5">
        <f>(AL73-AVERAGE(AL$2:AL$229))/AVERAGE(AL$2:AL$229)*100+100</f>
        <v>93.190465458184633</v>
      </c>
      <c r="Q73" s="5">
        <f>(AM73-AVERAGE(AM$2:AM$229))/AVERAGE(AM$2:AM$229)*100+100</f>
        <v>96.697985502547169</v>
      </c>
      <c r="R73" s="5">
        <f>(AN73-AVERAGE(AN$2:AN$229))/AVERAGE(AN$2:AN$229)*100+100</f>
        <v>98.957887362167355</v>
      </c>
      <c r="S73" s="5">
        <f>(AO73-AVERAGE(AO$2:AO$229))/AVERAGE(AO$2:AO$229)*100+100</f>
        <v>97.971924314814999</v>
      </c>
      <c r="T73" s="6">
        <f>(F73*1.5+H73*2.5+I73+J73+K73*1.5+L73+O73*0.75+P73+S73)/11.25</f>
        <v>106.2955596672482</v>
      </c>
      <c r="V73">
        <f>'2025_Fantasy_Hitters_modified'!F4</f>
        <v>123.918390325871</v>
      </c>
      <c r="W73">
        <f>'2025_Fantasy_Hitters_modified'!G4</f>
        <v>73.897903368760382</v>
      </c>
      <c r="X73">
        <f>'2025_Fantasy_Hitters_modified'!H4</f>
        <v>25.824536123491509</v>
      </c>
      <c r="Y73">
        <f>'2025_Fantasy_Hitters_modified'!I4</f>
        <v>0.99722439492251902</v>
      </c>
      <c r="Z73">
        <f>'2025_Fantasy_Hitters_modified'!J4</f>
        <v>23.599999999999962</v>
      </c>
      <c r="AA73">
        <f>'2025_Fantasy_Hitters_modified'!K4</f>
        <v>69.186206896551553</v>
      </c>
      <c r="AB73">
        <f>'2025_Fantasy_Hitters_modified'!L4</f>
        <v>82.999999999999687</v>
      </c>
      <c r="AC73" s="2">
        <f>'2025_Fantasy_Hitters_modified'!M4</f>
        <v>54.144827588483999</v>
      </c>
      <c r="AD73">
        <f>'2025_Fantasy_Hitters_modified'!N4</f>
        <v>0.3999999999999877</v>
      </c>
      <c r="AE73">
        <f>'2025_Fantasy_Hitters_modified'!O4</f>
        <v>173.27586204539998</v>
      </c>
      <c r="AF73">
        <f>'2025_Fantasy_Hitters_modified'!P4</f>
        <v>9.1016611295680256</v>
      </c>
      <c r="AG73">
        <f>'2025_Fantasy_Hitters_modified'!Q4</f>
        <v>5.3999999999999728</v>
      </c>
      <c r="AH73">
        <f>'2025_Fantasy_Hitters_modified'!R4</f>
        <v>0</v>
      </c>
      <c r="AI73">
        <f>'2025_Fantasy_Hitters_modified'!S4</f>
        <v>1.99802955665024</v>
      </c>
      <c r="AJ73">
        <f>'2025_Fantasy_Hitters_modified'!T4</f>
        <v>0.99901477832509278</v>
      </c>
      <c r="AK73">
        <f>'2025_Fantasy_Hitters_modified'!U4</f>
        <v>0.99901477832514718</v>
      </c>
      <c r="AL73">
        <f>'2025_Fantasy_Hitters_modified'!V4</f>
        <v>0.23249228954197185</v>
      </c>
      <c r="AM73">
        <f>'2025_Fantasy_Hitters_modified'!W4</f>
        <v>0.31632770928579029</v>
      </c>
      <c r="AN73">
        <f>'2025_Fantasy_Hitters_modified'!X4</f>
        <v>0.41827138611728104</v>
      </c>
      <c r="AO73">
        <f>'2025_Fantasy_Hitters_modified'!Y4</f>
        <v>0.73459909540307133</v>
      </c>
      <c r="AP73">
        <f>'2025_Fantasy_Hitters_modified'!Z4</f>
        <v>0.29373733559999998</v>
      </c>
      <c r="AQ73">
        <f>'2025_Fantasy_Hitters_modified'!AA4</f>
        <v>28.73563218</v>
      </c>
      <c r="AR73">
        <f>'2025_Fantasy_Hitters_modified'!AB4</f>
        <v>8.9792417227999994</v>
      </c>
    </row>
    <row r="74" spans="1:44" x14ac:dyDescent="0.4">
      <c r="A74" t="str">
        <f>'2025_Fantasy_Hitters_modified'!A224</f>
        <v>WSN</v>
      </c>
      <c r="B74" t="str">
        <f>'2025_Fantasy_Hitters_modified'!B224</f>
        <v>Dylan Crews</v>
      </c>
      <c r="C74">
        <f>'2025_Fantasy_Hitters_modified'!D224</f>
        <v>521</v>
      </c>
      <c r="D74">
        <f>'2025_Fantasy_Hitters_modified'!E224</f>
        <v>576</v>
      </c>
      <c r="E74" s="5">
        <f>(V74-AVERAGE(V$2:V$229))/AVERAGE(V$2:V$229)*100+100</f>
        <v>108.01117324536187</v>
      </c>
      <c r="F74" s="4">
        <f>E74*1.51744-31.775</f>
        <v>132.12547472944192</v>
      </c>
      <c r="G74" s="5">
        <f>(Z74-AVERAGE(Z$2:Z$229))/AVERAGE(Z$2:Z$229)*100+100</f>
        <v>82.239215120473219</v>
      </c>
      <c r="H74" s="4">
        <f>G74*0.83285-13.6979</f>
        <v>54.795030313086116</v>
      </c>
      <c r="I74" s="5">
        <f>(AA74-AVERAGE(AA$2:AA$229))/AVERAGE(AA$2:AA$229)*100+100</f>
        <v>105.13854672264881</v>
      </c>
      <c r="J74" s="5">
        <f>(AB74-AVERAGE(AB$2:AB$229))/AVERAGE(AB$2:AB$229)*100+100</f>
        <v>96.669630034875937</v>
      </c>
      <c r="K74" s="5">
        <f>(AC74-AVERAGE(AC$2:AC$229))/AVERAGE(AC$2:AC$229)*100+100</f>
        <v>83.412587674465712</v>
      </c>
      <c r="L74" s="5">
        <f>(AF74-AVERAGE(AF$2:AF$229))/AVERAGE(AF$2:AF$229)*100+100</f>
        <v>142.22073250846046</v>
      </c>
      <c r="M74" s="5">
        <f>(AI74-AVERAGE(AI$2:AI$229))/AVERAGE(AI$2:AI$229)*100+100</f>
        <v>264.23237698857383</v>
      </c>
      <c r="N74" s="5">
        <f>(AVERAGE(AJ$2:AJ$229)-AJ74)/AVERAGE(AJ$2:AJ$229)*100+100</f>
        <v>-57.370833846364093</v>
      </c>
      <c r="O74" s="5">
        <f>(AK74-AVERAGE(AK$2:AK$229))/AVERAGE(AK$2:AK$229)*100+100</f>
        <v>266.63559104434654</v>
      </c>
      <c r="P74" s="5">
        <f>(AL74-AVERAGE(AL$2:AL$229))/AVERAGE(AL$2:AL$229)*100+100</f>
        <v>97.616689192562816</v>
      </c>
      <c r="Q74" s="5">
        <f>(AM74-AVERAGE(AM$2:AM$229))/AVERAGE(AM$2:AM$229)*100+100</f>
        <v>94.194588357787467</v>
      </c>
      <c r="R74" s="5">
        <f>(AN74-AVERAGE(AN$2:AN$229))/AVERAGE(AN$2:AN$229)*100+100</f>
        <v>92.485191590462705</v>
      </c>
      <c r="S74" s="5">
        <f>(AO74-AVERAGE(AO$2:AO$229))/AVERAGE(AO$2:AO$229)*100+100</f>
        <v>93.230977093789335</v>
      </c>
      <c r="T74" s="6">
        <f>(F74*1.5+H74*2.5+I74+J74+K74*1.5+L74+O74*0.75+P74+S74)/11.25</f>
        <v>106.23537228659323</v>
      </c>
      <c r="V74">
        <f>'2025_Fantasy_Hitters_modified'!F224</f>
        <v>126.88166546581103</v>
      </c>
      <c r="W74">
        <f>'2025_Fantasy_Hitters_modified'!G224</f>
        <v>83.806097158130939</v>
      </c>
      <c r="X74">
        <f>'2025_Fantasy_Hitters_modified'!H224</f>
        <v>24.535452953028731</v>
      </c>
      <c r="Y74">
        <f>'2025_Fantasy_Hitters_modified'!I224</f>
        <v>3.5961963899724938</v>
      </c>
      <c r="Z74">
        <f>'2025_Fantasy_Hitters_modified'!J224</f>
        <v>14.999999999999961</v>
      </c>
      <c r="AA74">
        <f>'2025_Fantasy_Hitters_modified'!K224</f>
        <v>69.330612244897736</v>
      </c>
      <c r="AB74">
        <f>'2025_Fantasy_Hitters_modified'!L224</f>
        <v>61.999999999999488</v>
      </c>
      <c r="AC74" s="2">
        <f>'2025_Fantasy_Hitters_modified'!M224</f>
        <v>38.118367345535994</v>
      </c>
      <c r="AD74">
        <f>'2025_Fantasy_Hitters_modified'!N224</f>
        <v>0</v>
      </c>
      <c r="AE74">
        <f>'2025_Fantasy_Hitters_modified'!O224</f>
        <v>127.34693879039999</v>
      </c>
      <c r="AF74">
        <f>'2025_Fantasy_Hitters_modified'!P224</f>
        <v>8.3334525939176256</v>
      </c>
      <c r="AG74">
        <f>'2025_Fantasy_Hitters_modified'!Q224</f>
        <v>3.3999999999999724</v>
      </c>
      <c r="AH74">
        <f>'2025_Fantasy_Hitters_modified'!R224</f>
        <v>0.39999999999999747</v>
      </c>
      <c r="AI74">
        <f>'2025_Fantasy_Hitters_modified'!S224</f>
        <v>27.648979591836671</v>
      </c>
      <c r="AJ74">
        <f>'2025_Fantasy_Hitters_modified'!T224</f>
        <v>6.9857142857142343</v>
      </c>
      <c r="AK74">
        <f>'2025_Fantasy_Hitters_modified'!U224</f>
        <v>20.663265306122437</v>
      </c>
      <c r="AL74">
        <f>'2025_Fantasy_Hitters_modified'!V224</f>
        <v>0.2435348665370653</v>
      </c>
      <c r="AM74">
        <f>'2025_Fantasy_Hitters_modified'!W224</f>
        <v>0.30813835683838525</v>
      </c>
      <c r="AN74">
        <f>'2025_Fantasy_Hitters_modified'!X224</f>
        <v>0.39091284497908962</v>
      </c>
      <c r="AO74">
        <f>'2025_Fantasy_Hitters_modified'!Y224</f>
        <v>0.69905120181747482</v>
      </c>
      <c r="AP74">
        <f>'2025_Fantasy_Hitters_modified'!Z224</f>
        <v>0.29284326399999999</v>
      </c>
      <c r="AQ74">
        <f>'2025_Fantasy_Hitters_modified'!AA224</f>
        <v>22.108843539999999</v>
      </c>
      <c r="AR74">
        <f>'2025_Fantasy_Hitters_modified'!AB224</f>
        <v>6.6177721085999996</v>
      </c>
    </row>
    <row r="75" spans="1:44" x14ac:dyDescent="0.4">
      <c r="A75" t="str">
        <f>'2025_Fantasy_Hitters_modified'!A133</f>
        <v>MIN</v>
      </c>
      <c r="B75" t="str">
        <f>'2025_Fantasy_Hitters_modified'!B133</f>
        <v>Matt Wallner</v>
      </c>
      <c r="C75">
        <f>'2025_Fantasy_Hitters_modified'!D133</f>
        <v>438</v>
      </c>
      <c r="D75">
        <f>'2025_Fantasy_Hitters_modified'!E133</f>
        <v>508</v>
      </c>
      <c r="E75" s="5">
        <f>(V75-AVERAGE(V$2:V$229))/AVERAGE(V$2:V$229)*100+100</f>
        <v>83.724933321070466</v>
      </c>
      <c r="F75" s="4">
        <f>E75*1.51744-31.775</f>
        <v>95.272562818725163</v>
      </c>
      <c r="G75" s="5">
        <f>(Z75-AVERAGE(Z$2:Z$229))/AVERAGE(Z$2:Z$229)*100+100</f>
        <v>129.38969845621119</v>
      </c>
      <c r="H75" s="4">
        <f>G75*0.83285-13.6979</f>
        <v>94.064310359255487</v>
      </c>
      <c r="I75" s="5">
        <f>(AA75-AVERAGE(AA$2:AA$229))/AVERAGE(AA$2:AA$229)*100+100</f>
        <v>93.539350125830595</v>
      </c>
      <c r="J75" s="5">
        <f>(AB75-AVERAGE(AB$2:AB$229))/AVERAGE(AB$2:AB$229)*100+100</f>
        <v>106.02475552212255</v>
      </c>
      <c r="K75" s="5">
        <f>(AC75-AVERAGE(AC$2:AC$229))/AVERAGE(AC$2:AC$229)*100+100</f>
        <v>107.66114589012642</v>
      </c>
      <c r="L75" s="5">
        <f>(AF75-AVERAGE(AF$2:AF$229))/AVERAGE(AF$2:AF$229)*100+100</f>
        <v>225.94672289885699</v>
      </c>
      <c r="M75" s="5">
        <f>(AI75-AVERAGE(AI$2:AI$229))/AVERAGE(AI$2:AI$229)*100+100</f>
        <v>38.152912659757909</v>
      </c>
      <c r="N75" s="5">
        <f>(AVERAGE(AJ$2:AJ$229)-AJ75)/AVERAGE(AJ$2:AJ$229)*100+100</f>
        <v>163.22867376925703</v>
      </c>
      <c r="O75" s="5">
        <f>(AK75-AVERAGE(AK$2:AK$229))/AVERAGE(AK$2:AK$229)*100+100</f>
        <v>38.636804964544055</v>
      </c>
      <c r="P75" s="5">
        <f>(AL75-AVERAGE(AL$2:AL$229))/AVERAGE(AL$2:AL$229)*100+100</f>
        <v>90.006487451834857</v>
      </c>
      <c r="Q75" s="5">
        <f>(AM75-AVERAGE(AM$2:AM$229))/AVERAGE(AM$2:AM$229)*100+100</f>
        <v>101.31058704737049</v>
      </c>
      <c r="R75" s="5">
        <f>(AN75-AVERAGE(AN$2:AN$229))/AVERAGE(AN$2:AN$229)*100+100</f>
        <v>104.82911683774677</v>
      </c>
      <c r="S75" s="5">
        <f>(AO75-AVERAGE(AO$2:AO$229))/AVERAGE(AO$2:AO$229)*100+100</f>
        <v>103.29403232088971</v>
      </c>
      <c r="T75" s="6">
        <f>(F75*1.5+H75*2.5+I75+J75+K75*1.5+L75+O75*0.75+P75+S75)/11.25</f>
        <v>105.54224808927636</v>
      </c>
      <c r="V75">
        <f>'2025_Fantasy_Hitters_modified'!F133</f>
        <v>98.352408011155163</v>
      </c>
      <c r="W75">
        <f>'2025_Fantasy_Hitters_modified'!G133</f>
        <v>52.133654073197548</v>
      </c>
      <c r="X75">
        <f>'2025_Fantasy_Hitters_modified'!H133</f>
        <v>20.930674243123466</v>
      </c>
      <c r="Y75">
        <f>'2025_Fantasy_Hitters_modified'!I133</f>
        <v>1.8924660255988641</v>
      </c>
      <c r="Z75">
        <f>'2025_Fantasy_Hitters_modified'!J133</f>
        <v>23.599999999999937</v>
      </c>
      <c r="AA75">
        <f>'2025_Fantasy_Hitters_modified'!K133</f>
        <v>61.681853281853158</v>
      </c>
      <c r="AB75">
        <f>'2025_Fantasy_Hitters_modified'!L133</f>
        <v>67.999999999999787</v>
      </c>
      <c r="AC75" s="2">
        <f>'2025_Fantasy_Hitters_modified'!M133</f>
        <v>49.199613898772</v>
      </c>
      <c r="AD75">
        <f>'2025_Fantasy_Hitters_modified'!N133</f>
        <v>2.2980694980694749</v>
      </c>
      <c r="AE75">
        <f>'2025_Fantasy_Hitters_modified'!O133</f>
        <v>173.58301158360001</v>
      </c>
      <c r="AF75">
        <f>'2025_Fantasy_Hitters_modified'!P133</f>
        <v>13.23939393939386</v>
      </c>
      <c r="AG75">
        <f>'2025_Fantasy_Hitters_modified'!Q133</f>
        <v>2.5999999999999837</v>
      </c>
      <c r="AH75">
        <f>'2025_Fantasy_Hitters_modified'!R133</f>
        <v>0</v>
      </c>
      <c r="AI75">
        <f>'2025_Fantasy_Hitters_modified'!S133</f>
        <v>3.9922779922779474</v>
      </c>
      <c r="AJ75">
        <f>'2025_Fantasy_Hitters_modified'!T133</f>
        <v>0.99806949806946266</v>
      </c>
      <c r="AK75">
        <f>'2025_Fantasy_Hitters_modified'!U133</f>
        <v>2.9942084942084848</v>
      </c>
      <c r="AL75">
        <f>'2025_Fantasy_Hitters_modified'!V133</f>
        <v>0.22454887673779717</v>
      </c>
      <c r="AM75">
        <f>'2025_Fantasy_Hitters_modified'!W133</f>
        <v>0.33141689312906308</v>
      </c>
      <c r="AN75">
        <f>'2025_Fantasy_Hitters_modified'!X133</f>
        <v>0.44308767268548138</v>
      </c>
      <c r="AO75">
        <f>'2025_Fantasy_Hitters_modified'!Y133</f>
        <v>0.77450456581454441</v>
      </c>
      <c r="AP75">
        <f>'2025_Fantasy_Hitters_modified'!Z133</f>
        <v>0.30709610079999999</v>
      </c>
      <c r="AQ75">
        <f>'2025_Fantasy_Hitters_modified'!AA133</f>
        <v>34.169884170000003</v>
      </c>
      <c r="AR75">
        <f>'2025_Fantasy_Hitters_modified'!AB133</f>
        <v>9.6849633658999998</v>
      </c>
    </row>
    <row r="76" spans="1:44" x14ac:dyDescent="0.4">
      <c r="A76" t="str">
        <f>'2025_Fantasy_Hitters_modified'!A90</f>
        <v>HOU</v>
      </c>
      <c r="B76" t="str">
        <f>'2025_Fantasy_Hitters_modified'!B90</f>
        <v>Jeremy Pena</v>
      </c>
      <c r="C76">
        <f>'2025_Fantasy_Hitters_modified'!D90</f>
        <v>586</v>
      </c>
      <c r="D76">
        <f>'2025_Fantasy_Hitters_modified'!E90</f>
        <v>634</v>
      </c>
      <c r="E76" s="5">
        <f>(V76-AVERAGE(V$2:V$229))/AVERAGE(V$2:V$229)*100+100</f>
        <v>131.22153203183487</v>
      </c>
      <c r="F76" s="4">
        <f>E76*1.51744-31.775</f>
        <v>167.34580156638748</v>
      </c>
      <c r="G76" s="5">
        <f>(Z76-AVERAGE(Z$2:Z$229))/AVERAGE(Z$2:Z$229)*100+100</f>
        <v>77.853123647381139</v>
      </c>
      <c r="H76" s="4">
        <f>G76*0.83285-13.6979</f>
        <v>51.142074029721371</v>
      </c>
      <c r="I76" s="5">
        <f>(AA76-AVERAGE(AA$2:AA$229))/AVERAGE(AA$2:AA$229)*100+100</f>
        <v>113.82495421357605</v>
      </c>
      <c r="J76" s="5">
        <f>(AB76-AVERAGE(AB$2:AB$229))/AVERAGE(AB$2:AB$229)*100+100</f>
        <v>104.46556794091438</v>
      </c>
      <c r="K76" s="5">
        <f>(AC76-AVERAGE(AC$2:AC$229))/AVERAGE(AC$2:AC$229)*100+100</f>
        <v>68.407846518110631</v>
      </c>
      <c r="L76" s="5">
        <f>(AF76-AVERAGE(AF$2:AF$229))/AVERAGE(AF$2:AF$229)*100+100</f>
        <v>171.01970097398333</v>
      </c>
      <c r="M76" s="5">
        <f>(AI76-AVERAGE(AI$2:AI$229))/AVERAGE(AI$2:AI$229)*100+100</f>
        <v>161.38680533495489</v>
      </c>
      <c r="N76" s="5">
        <f>(AVERAGE(AJ$2:AJ$229)-AJ76)/AVERAGE(AJ$2:AJ$229)*100+100</f>
        <v>13.568518117614275</v>
      </c>
      <c r="O76" s="5">
        <f>(AK76-AVERAGE(AK$2:AK$229))/AVERAGE(AK$2:AK$229)*100+100</f>
        <v>152.61505859320405</v>
      </c>
      <c r="P76" s="5">
        <f>(AL76-AVERAGE(AL$2:AL$229))/AVERAGE(AL$2:AL$229)*100+100</f>
        <v>105.43883567897051</v>
      </c>
      <c r="Q76" s="5">
        <f>(AM76-AVERAGE(AM$2:AM$229))/AVERAGE(AM$2:AM$229)*100+100</f>
        <v>96.267337329163155</v>
      </c>
      <c r="R76" s="5">
        <f>(AN76-AVERAGE(AN$2:AN$229))/AVERAGE(AN$2:AN$229)*100+100</f>
        <v>92.517588267463992</v>
      </c>
      <c r="S76" s="5">
        <f>(AO76-AVERAGE(AO$2:AO$229))/AVERAGE(AO$2:AO$229)*100+100</f>
        <v>94.153550464645704</v>
      </c>
      <c r="T76" s="6">
        <f>(F76*1.5+H76*2.5+I76+J76+K76*1.5+L76+O76*0.75+P76+S76)/11.25</f>
        <v>105.31996092604831</v>
      </c>
      <c r="V76">
        <f>'2025_Fantasy_Hitters_modified'!F90</f>
        <v>154.14707598215475</v>
      </c>
      <c r="W76">
        <f>'2025_Fantasy_Hitters_modified'!G90</f>
        <v>108.72114191472117</v>
      </c>
      <c r="X76">
        <f>'2025_Fantasy_Hitters_modified'!H90</f>
        <v>28.783441159450248</v>
      </c>
      <c r="Y76">
        <f>'2025_Fantasy_Hitters_modified'!I90</f>
        <v>2.0223818925165831</v>
      </c>
      <c r="Z76">
        <f>'2025_Fantasy_Hitters_modified'!J90</f>
        <v>14.199999999999932</v>
      </c>
      <c r="AA76">
        <f>'2025_Fantasy_Hitters_modified'!K90</f>
        <v>75.058615611192309</v>
      </c>
      <c r="AB76">
        <f>'2025_Fantasy_Hitters_modified'!L90</f>
        <v>66.999999999999488</v>
      </c>
      <c r="AC76" s="2">
        <f>'2025_Fantasy_Hitters_modified'!M90</f>
        <v>31.261413841649997</v>
      </c>
      <c r="AD76">
        <f>'2025_Fantasy_Hitters_modified'!N90</f>
        <v>0.5933726067746482</v>
      </c>
      <c r="AE76">
        <f>'2025_Fantasy_Hitters_modified'!O90</f>
        <v>119.5169366656</v>
      </c>
      <c r="AF76">
        <f>'2025_Fantasy_Hitters_modified'!P90</f>
        <v>10.020933977455616</v>
      </c>
      <c r="AG76">
        <f>'2025_Fantasy_Hitters_modified'!Q90</f>
        <v>4.5999999999999615</v>
      </c>
      <c r="AH76">
        <f>'2025_Fantasy_Hitters_modified'!R90</f>
        <v>2.0251207729468161</v>
      </c>
      <c r="AI76">
        <f>'2025_Fantasy_Hitters_modified'!S90</f>
        <v>16.887334315169269</v>
      </c>
      <c r="AJ76">
        <f>'2025_Fantasy_Hitters_modified'!T90</f>
        <v>5.0602356406479618</v>
      </c>
      <c r="AK76">
        <f>'2025_Fantasy_Hitters_modified'!U90</f>
        <v>11.827098674521308</v>
      </c>
      <c r="AL76">
        <f>'2025_Fantasy_Hitters_modified'!V90</f>
        <v>0.26304961771698759</v>
      </c>
      <c r="AM76">
        <f>'2025_Fantasy_Hitters_modified'!W90</f>
        <v>0.31491893174521696</v>
      </c>
      <c r="AN76">
        <f>'2025_Fantasy_Hitters_modified'!X90</f>
        <v>0.39104977800541152</v>
      </c>
      <c r="AO76">
        <f>'2025_Fantasy_Hitters_modified'!Y90</f>
        <v>0.70596870975062842</v>
      </c>
      <c r="AP76">
        <f>'2025_Fantasy_Hitters_modified'!Z90</f>
        <v>0.30630830339999998</v>
      </c>
      <c r="AQ76">
        <f>'2025_Fantasy_Hitters_modified'!AA90</f>
        <v>18.85125184</v>
      </c>
      <c r="AR76">
        <f>'2025_Fantasy_Hitters_modified'!AB90</f>
        <v>4.9308223724999998</v>
      </c>
    </row>
    <row r="77" spans="1:44" x14ac:dyDescent="0.4">
      <c r="A77" t="str">
        <f>'2025_Fantasy_Hitters_modified'!A50</f>
        <v>CHC</v>
      </c>
      <c r="B77" t="str">
        <f>'2025_Fantasy_Hitters_modified'!B50</f>
        <v>Dansby Swanson</v>
      </c>
      <c r="C77">
        <f>'2025_Fantasy_Hitters_modified'!D50</f>
        <v>560</v>
      </c>
      <c r="D77">
        <f>'2025_Fantasy_Hitters_modified'!E50</f>
        <v>623</v>
      </c>
      <c r="E77" s="5">
        <f>(V77-AVERAGE(V$2:V$229))/AVERAGE(V$2:V$229)*100+100</f>
        <v>116.80041712554825</v>
      </c>
      <c r="F77" s="4">
        <f>E77*1.51744-31.775</f>
        <v>145.46262496299192</v>
      </c>
      <c r="G77" s="5">
        <f>(Z77-AVERAGE(Z$2:Z$229))/AVERAGE(Z$2:Z$229)*100+100</f>
        <v>108.55576395902462</v>
      </c>
      <c r="H77" s="4">
        <f>G77*0.83285-13.6979</f>
        <v>76.712768013273646</v>
      </c>
      <c r="I77" s="5">
        <f>(AA77-AVERAGE(AA$2:AA$229))/AVERAGE(AA$2:AA$229)*100+100</f>
        <v>115.39325003439369</v>
      </c>
      <c r="J77" s="5">
        <f>(AB77-AVERAGE(AB$2:AB$229))/AVERAGE(AB$2:AB$229)*100+100</f>
        <v>115.37988100936883</v>
      </c>
      <c r="K77" s="5">
        <f>(AC77-AVERAGE(AC$2:AC$229))/AVERAGE(AC$2:AC$229)*100+100</f>
        <v>116.42627780559955</v>
      </c>
      <c r="L77" s="5">
        <f>(AF77-AVERAGE(AF$2:AF$229))/AVERAGE(AF$2:AF$229)*100+100</f>
        <v>66.728163649194755</v>
      </c>
      <c r="M77" s="5">
        <f>(AI77-AVERAGE(AI$2:AI$229))/AVERAGE(AI$2:AI$229)*100+100</f>
        <v>142.16789087240033</v>
      </c>
      <c r="N77" s="5">
        <f>(AVERAGE(AJ$2:AJ$229)-AJ77)/AVERAGE(AJ$2:AJ$229)*100+100</f>
        <v>53.845618441050185</v>
      </c>
      <c r="O77" s="5">
        <f>(AK77-AVERAGE(AK$2:AK$229))/AVERAGE(AK$2:AK$229)*100+100</f>
        <v>140.77164657974464</v>
      </c>
      <c r="P77" s="5">
        <f>(AL77-AVERAGE(AL$2:AL$229))/AVERAGE(AL$2:AL$229)*100+100</f>
        <v>98.20859103055939</v>
      </c>
      <c r="Q77" s="5">
        <f>(AM77-AVERAGE(AM$2:AM$229))/AVERAGE(AM$2:AM$229)*100+100</f>
        <v>96.444171970206142</v>
      </c>
      <c r="R77" s="5">
        <f>(AN77-AVERAGE(AN$2:AN$229))/AVERAGE(AN$2:AN$229)*100+100</f>
        <v>96.291572284548039</v>
      </c>
      <c r="S77" s="5">
        <f>(AO77-AVERAGE(AO$2:AO$229))/AVERAGE(AO$2:AO$229)*100+100</f>
        <v>96.35814935755495</v>
      </c>
      <c r="T77" s="6">
        <f>(F77*1.5+H77*2.5+I77+J77+K77*1.5+L77+O77*0.75+P77+S77)/11.25</f>
        <v>105.08995948461792</v>
      </c>
      <c r="V77">
        <f>'2025_Fantasy_Hitters_modified'!F50</f>
        <v>137.20646676363529</v>
      </c>
      <c r="W77">
        <f>'2025_Fantasy_Hitters_modified'!G50</f>
        <v>89.259106935205594</v>
      </c>
      <c r="X77">
        <f>'2025_Fantasy_Hitters_modified'!H50</f>
        <v>27.327367263949583</v>
      </c>
      <c r="Y77">
        <f>'2025_Fantasy_Hitters_modified'!I50</f>
        <v>1.6023343879605771</v>
      </c>
      <c r="Z77">
        <f>'2025_Fantasy_Hitters_modified'!J50</f>
        <v>19.799999999999944</v>
      </c>
      <c r="AA77">
        <f>'2025_Fantasy_Hitters_modified'!K50</f>
        <v>76.092783505154443</v>
      </c>
      <c r="AB77">
        <f>'2025_Fantasy_Hitters_modified'!L50</f>
        <v>73.999999999999886</v>
      </c>
      <c r="AC77" s="2">
        <f>'2025_Fantasy_Hitters_modified'!M50</f>
        <v>53.205154639097998</v>
      </c>
      <c r="AD77">
        <f>'2025_Fantasy_Hitters_modified'!N50</f>
        <v>0.59175257731958131</v>
      </c>
      <c r="AE77">
        <f>'2025_Fantasy_Hitters_modified'!O50</f>
        <v>152.3092783429</v>
      </c>
      <c r="AF77">
        <f>'2025_Fantasy_Hitters_modified'!P50</f>
        <v>3.9099502487561852</v>
      </c>
      <c r="AG77">
        <f>'2025_Fantasy_Hitters_modified'!Q50</f>
        <v>3.9999999999999729</v>
      </c>
      <c r="AH77">
        <f>'2025_Fantasy_Hitters_modified'!R50</f>
        <v>0</v>
      </c>
      <c r="AI77">
        <f>'2025_Fantasy_Hitters_modified'!S50</f>
        <v>14.876288659793721</v>
      </c>
      <c r="AJ77">
        <f>'2025_Fantasy_Hitters_modified'!T50</f>
        <v>3.9670103092783231</v>
      </c>
      <c r="AK77">
        <f>'2025_Fantasy_Hitters_modified'!U50</f>
        <v>10.909278350515397</v>
      </c>
      <c r="AL77">
        <f>'2025_Fantasy_Hitters_modified'!V50</f>
        <v>0.24501154779220588</v>
      </c>
      <c r="AM77">
        <f>'2025_Fantasy_Hitters_modified'!W50</f>
        <v>0.3154974101554216</v>
      </c>
      <c r="AN77">
        <f>'2025_Fantasy_Hitters_modified'!X50</f>
        <v>0.40700150826247544</v>
      </c>
      <c r="AO77">
        <f>'2025_Fantasy_Hitters_modified'!Y50</f>
        <v>0.72249891841789704</v>
      </c>
      <c r="AP77">
        <f>'2025_Fantasy_Hitters_modified'!Z50</f>
        <v>0.2995898098</v>
      </c>
      <c r="AQ77">
        <f>'2025_Fantasy_Hitters_modified'!AA50</f>
        <v>24.447717229999999</v>
      </c>
      <c r="AR77">
        <f>'2025_Fantasy_Hitters_modified'!AB50</f>
        <v>8.5401532325999998</v>
      </c>
    </row>
    <row r="78" spans="1:44" x14ac:dyDescent="0.4">
      <c r="A78" t="str">
        <f>'2025_Fantasy_Hitters_modified'!A31</f>
        <v>BAL</v>
      </c>
      <c r="B78" t="str">
        <f>'2025_Fantasy_Hitters_modified'!B31</f>
        <v>Colton Cowser</v>
      </c>
      <c r="C78">
        <f>'2025_Fantasy_Hitters_modified'!D31</f>
        <v>484</v>
      </c>
      <c r="D78">
        <f>'2025_Fantasy_Hitters_modified'!E31</f>
        <v>555</v>
      </c>
      <c r="E78" s="5">
        <f>(V78-AVERAGE(V$2:V$229))/AVERAGE(V$2:V$229)*100+100</f>
        <v>99.97323067430996</v>
      </c>
      <c r="F78" s="4">
        <f>E78*1.51744-31.775</f>
        <v>119.9283791544249</v>
      </c>
      <c r="G78" s="5">
        <f>(Z78-AVERAGE(Z$2:Z$229))/AVERAGE(Z$2:Z$229)*100+100</f>
        <v>115.13490116866268</v>
      </c>
      <c r="H78" s="4">
        <f>G78*0.83285-13.6979</f>
        <v>82.192202438320706</v>
      </c>
      <c r="I78" s="5">
        <f>(AA78-AVERAGE(AA$2:AA$229))/AVERAGE(AA$2:AA$229)*100+100</f>
        <v>110.70039503240247</v>
      </c>
      <c r="J78" s="5">
        <f>(AB78-AVERAGE(AB$2:AB$229))/AVERAGE(AB$2:AB$229)*100+100</f>
        <v>106.02475552212243</v>
      </c>
      <c r="K78" s="5">
        <f>(AC78-AVERAGE(AC$2:AC$229))/AVERAGE(AC$2:AC$229)*100+100</f>
        <v>123.083304899859</v>
      </c>
      <c r="L78" s="5">
        <f>(AF78-AVERAGE(AF$2:AF$229))/AVERAGE(AF$2:AF$229)*100+100</f>
        <v>138.12666582690042</v>
      </c>
      <c r="M78" s="5">
        <f>(AI78-AVERAGE(AI$2:AI$229))/AVERAGE(AI$2:AI$229)*100+100</f>
        <v>84.986166425133703</v>
      </c>
      <c r="N78" s="5">
        <f>(AVERAGE(AJ$2:AJ$229)-AJ78)/AVERAGE(AJ$2:AJ$229)*100+100</f>
        <v>89.571333177115633</v>
      </c>
      <c r="O78" s="5">
        <f>(AK78-AVERAGE(AK$2:AK$229))/AVERAGE(AK$2:AK$229)*100+100</f>
        <v>76.075084281856448</v>
      </c>
      <c r="P78" s="5">
        <f>(AL78-AVERAGE(AL$2:AL$229))/AVERAGE(AL$2:AL$229)*100+100</f>
        <v>97.259375965679723</v>
      </c>
      <c r="Q78" s="5">
        <f>(AM78-AVERAGE(AM$2:AM$229))/AVERAGE(AM$2:AM$229)*100+100</f>
        <v>103.10751218806804</v>
      </c>
      <c r="R78" s="5">
        <f>(AN78-AVERAGE(AN$2:AN$229))/AVERAGE(AN$2:AN$229)*100+100</f>
        <v>102.6131557745763</v>
      </c>
      <c r="S78" s="5">
        <f>(AO78-AVERAGE(AO$2:AO$229))/AVERAGE(AO$2:AO$229)*100+100</f>
        <v>102.82883644842923</v>
      </c>
      <c r="T78" s="6">
        <f>(F78*1.5+H78*2.5+I78+J78+K78*1.5+L78+O78*0.75+P78+S78)/11.25</f>
        <v>105.06616659414703</v>
      </c>
      <c r="V78">
        <f>'2025_Fantasy_Hitters_modified'!F31</f>
        <v>117.43942435602469</v>
      </c>
      <c r="W78">
        <f>'2025_Fantasy_Hitters_modified'!G31</f>
        <v>71.166373455706818</v>
      </c>
      <c r="X78">
        <f>'2025_Fantasy_Hitters_modified'!H31</f>
        <v>24.363644047837781</v>
      </c>
      <c r="Y78">
        <f>'2025_Fantasy_Hitters_modified'!I31</f>
        <v>2.0091546740838453</v>
      </c>
      <c r="Z78">
        <f>'2025_Fantasy_Hitters_modified'!J31</f>
        <v>20.999999999999979</v>
      </c>
      <c r="AA78">
        <f>'2025_Fantasy_Hitters_modified'!K31</f>
        <v>72.998214285714269</v>
      </c>
      <c r="AB78">
        <f>'2025_Fantasy_Hitters_modified'!L31</f>
        <v>67.999999999999716</v>
      </c>
      <c r="AC78" s="2">
        <f>'2025_Fantasy_Hitters_modified'!M31</f>
        <v>56.247321430500001</v>
      </c>
      <c r="AD78">
        <f>'2025_Fantasy_Hitters_modified'!N31</f>
        <v>2.3982142857142796</v>
      </c>
      <c r="AE78">
        <f>'2025_Fantasy_Hitters_modified'!O31</f>
        <v>161.54464287300002</v>
      </c>
      <c r="AF78">
        <f>'2025_Fantasy_Hitters_modified'!P31</f>
        <v>8.0935599284436339</v>
      </c>
      <c r="AG78">
        <f>'2025_Fantasy_Hitters_modified'!Q31</f>
        <v>3.3999999999999964</v>
      </c>
      <c r="AH78">
        <f>'2025_Fantasy_Hitters_modified'!R31</f>
        <v>0.39999999999999958</v>
      </c>
      <c r="AI78">
        <f>'2025_Fantasy_Hitters_modified'!S31</f>
        <v>8.8928571428571299</v>
      </c>
      <c r="AJ78">
        <f>'2025_Fantasy_Hitters_modified'!T31</f>
        <v>2.9973214285714169</v>
      </c>
      <c r="AK78">
        <f>'2025_Fantasy_Hitters_modified'!U31</f>
        <v>5.895535714285713</v>
      </c>
      <c r="AL78">
        <f>'2025_Fantasy_Hitters_modified'!V31</f>
        <v>0.24264343875211714</v>
      </c>
      <c r="AM78">
        <f>'2025_Fantasy_Hitters_modified'!W31</f>
        <v>0.33729516671005644</v>
      </c>
      <c r="AN78">
        <f>'2025_Fantasy_Hitters_modified'!X31</f>
        <v>0.43372133382982198</v>
      </c>
      <c r="AO78">
        <f>'2025_Fantasy_Hitters_modified'!Y31</f>
        <v>0.77101650053987836</v>
      </c>
      <c r="AP78">
        <f>'2025_Fantasy_Hitters_modified'!Z31</f>
        <v>0.31634485699999998</v>
      </c>
      <c r="AQ78">
        <f>'2025_Fantasy_Hitters_modified'!AA31</f>
        <v>29.10714286</v>
      </c>
      <c r="AR78">
        <f>'2025_Fantasy_Hitters_modified'!AB31</f>
        <v>10.13465251</v>
      </c>
    </row>
    <row r="79" spans="1:44" x14ac:dyDescent="0.4">
      <c r="A79" t="str">
        <f>'2025_Fantasy_Hitters_modified'!A21</f>
        <v>ATL</v>
      </c>
      <c r="B79" t="str">
        <f>'2025_Fantasy_Hitters_modified'!B21</f>
        <v>Jurickson Profar</v>
      </c>
      <c r="C79">
        <f>'2025_Fantasy_Hitters_modified'!D21</f>
        <v>522</v>
      </c>
      <c r="D79">
        <f>'2025_Fantasy_Hitters_modified'!E21</f>
        <v>604</v>
      </c>
      <c r="E79" s="5">
        <f>(V79-AVERAGE(V$2:V$229))/AVERAGE(V$2:V$229)*100+100</f>
        <v>110.92602761598026</v>
      </c>
      <c r="F79" s="4">
        <f>E79*1.51744-31.775</f>
        <v>136.54859134559308</v>
      </c>
      <c r="G79" s="5">
        <f>(Z79-AVERAGE(Z$2:Z$229))/AVERAGE(Z$2:Z$229)*100+100</f>
        <v>87.721829461838112</v>
      </c>
      <c r="H79" s="4">
        <f>G79*0.83285-13.6979</f>
        <v>59.361225667291862</v>
      </c>
      <c r="I79" s="5">
        <f>(AA79-AVERAGE(AA$2:AA$229))/AVERAGE(AA$2:AA$229)*100+100</f>
        <v>115.63345133577195</v>
      </c>
      <c r="J79" s="5">
        <f>(AB79-AVERAGE(AB$2:AB$229))/AVERAGE(AB$2:AB$229)*100+100</f>
        <v>101.34719277849972</v>
      </c>
      <c r="K79" s="5">
        <f>(AC79-AVERAGE(AC$2:AC$229))/AVERAGE(AC$2:AC$229)*100+100</f>
        <v>138.80558956959493</v>
      </c>
      <c r="L79" s="5">
        <f>(AF79-AVERAGE(AF$2:AF$229))/AVERAGE(AF$2:AF$229)*100+100</f>
        <v>155.56096218077533</v>
      </c>
      <c r="M79" s="5">
        <f>(AI79-AVERAGE(AI$2:AI$229))/AVERAGE(AI$2:AI$229)*100+100</f>
        <v>66.550180616134838</v>
      </c>
      <c r="N79" s="5">
        <f>(AVERAGE(AJ$2:AJ$229)-AJ79)/AVERAGE(AJ$2:AJ$229)*100+100</f>
        <v>126.69682581251811</v>
      </c>
      <c r="O79" s="5">
        <f>(AK79-AVERAGE(AK$2:AK$229))/AVERAGE(AK$2:AK$229)*100+100</f>
        <v>64.18498539213806</v>
      </c>
      <c r="P79" s="5">
        <f>(AL79-AVERAGE(AL$2:AL$229))/AVERAGE(AL$2:AL$229)*100+100</f>
        <v>100.05897999072025</v>
      </c>
      <c r="Q79" s="5">
        <f>(AM79-AVERAGE(AM$2:AM$229))/AVERAGE(AM$2:AM$229)*100+100</f>
        <v>105.87742596456744</v>
      </c>
      <c r="R79" s="5">
        <f>(AN79-AVERAGE(AN$2:AN$229))/AVERAGE(AN$2:AN$229)*100+100</f>
        <v>92.825455566848632</v>
      </c>
      <c r="S79" s="5">
        <f>(AO79-AVERAGE(AO$2:AO$229))/AVERAGE(AO$2:AO$229)*100+100</f>
        <v>98.51984466277591</v>
      </c>
      <c r="T79" s="6">
        <f>(F79*1.5+H79*2.5+I79+J79+K79*1.5+L79+O79*0.75+P79+S79)/11.25</f>
        <v>104.95053382521408</v>
      </c>
      <c r="V79">
        <f>'2025_Fantasy_Hitters_modified'!F21</f>
        <v>130.30577026924848</v>
      </c>
      <c r="W79">
        <f>'2025_Fantasy_Hitters_modified'!G21</f>
        <v>87.721837192684603</v>
      </c>
      <c r="X79">
        <f>'2025_Fantasy_Hitters_modified'!H21</f>
        <v>25.067054883607121</v>
      </c>
      <c r="Y79">
        <f>'2025_Fantasy_Hitters_modified'!I21</f>
        <v>0.9837687251712306</v>
      </c>
      <c r="Z79">
        <f>'2025_Fantasy_Hitters_modified'!J21</f>
        <v>15.999999999999963</v>
      </c>
      <c r="AA79">
        <f>'2025_Fantasy_Hitters_modified'!K21</f>
        <v>76.251177394034301</v>
      </c>
      <c r="AB79">
        <f>'2025_Fantasy_Hitters_modified'!L21</f>
        <v>64.999999999999943</v>
      </c>
      <c r="AC79" s="2">
        <f>'2025_Fantasy_Hitters_modified'!M21</f>
        <v>63.432182124320001</v>
      </c>
      <c r="AD79">
        <f>'2025_Fantasy_Hitters_modified'!N21</f>
        <v>1.9896389324960169</v>
      </c>
      <c r="AE79">
        <f>'2025_Fantasy_Hitters_modified'!O21</f>
        <v>97.664050229599994</v>
      </c>
      <c r="AF79">
        <f>'2025_Fantasy_Hitters_modified'!P21</f>
        <v>9.1151260504201499</v>
      </c>
      <c r="AG79">
        <f>'2025_Fantasy_Hitters_modified'!Q21</f>
        <v>3.9999999999999449</v>
      </c>
      <c r="AH79">
        <f>'2025_Fantasy_Hitters_modified'!R21</f>
        <v>3.0272268907562601</v>
      </c>
      <c r="AI79">
        <f>'2025_Fantasy_Hitters_modified'!S21</f>
        <v>6.9637362637362399</v>
      </c>
      <c r="AJ79">
        <f>'2025_Fantasy_Hitters_modified'!T21</f>
        <v>1.9896389324960229</v>
      </c>
      <c r="AK79">
        <f>'2025_Fantasy_Hitters_modified'!U21</f>
        <v>4.974097331240217</v>
      </c>
      <c r="AL79">
        <f>'2025_Fantasy_Hitters_modified'!V21</f>
        <v>0.24962791239319632</v>
      </c>
      <c r="AM79">
        <f>'2025_Fantasy_Hitters_modified'!W21</f>
        <v>0.34635637388294138</v>
      </c>
      <c r="AN79">
        <f>'2025_Fantasy_Hitters_modified'!X21</f>
        <v>0.39235105964638389</v>
      </c>
      <c r="AO79">
        <f>'2025_Fantasy_Hitters_modified'!Y21</f>
        <v>0.73870743352932533</v>
      </c>
      <c r="AP79">
        <f>'2025_Fantasy_Hitters_modified'!Z21</f>
        <v>0.27721514539999997</v>
      </c>
      <c r="AQ79">
        <f>'2025_Fantasy_Hitters_modified'!AA21</f>
        <v>16.169544739999999</v>
      </c>
      <c r="AR79">
        <f>'2025_Fantasy_Hitters_modified'!AB21</f>
        <v>10.502016908</v>
      </c>
    </row>
    <row r="80" spans="1:44" x14ac:dyDescent="0.4">
      <c r="A80" t="str">
        <f>'2025_Fantasy_Hitters_modified'!A101</f>
        <v>LAA</v>
      </c>
      <c r="B80" t="str">
        <f>'2025_Fantasy_Hitters_modified'!B101</f>
        <v>Jorge Soler</v>
      </c>
      <c r="C80">
        <f>'2025_Fantasy_Hitters_modified'!D101</f>
        <v>475</v>
      </c>
      <c r="D80">
        <f>'2025_Fantasy_Hitters_modified'!E101</f>
        <v>545</v>
      </c>
      <c r="E80" s="5">
        <f>(V80-AVERAGE(V$2:V$229))/AVERAGE(V$2:V$229)*100+100</f>
        <v>93.65191325677506</v>
      </c>
      <c r="F80" s="4">
        <f>E80*1.51744-31.775</f>
        <v>110.33615925236074</v>
      </c>
      <c r="G80" s="5">
        <f>(Z80-AVERAGE(Z$2:Z$229))/AVERAGE(Z$2:Z$229)*100+100</f>
        <v>152.41667868994378</v>
      </c>
      <c r="H80" s="4">
        <f>G80*0.83285-13.6979</f>
        <v>113.24233084691967</v>
      </c>
      <c r="I80" s="5">
        <f>(AA80-AVERAGE(AA$2:AA$229))/AVERAGE(AA$2:AA$229)*100+100</f>
        <v>107.10416898472401</v>
      </c>
      <c r="J80" s="5">
        <f>(AB80-AVERAGE(AB$2:AB$229))/AVERAGE(AB$2:AB$229)*100+100</f>
        <v>110.70231826574582</v>
      </c>
      <c r="K80" s="5">
        <f>(AC80-AVERAGE(AC$2:AC$229))/AVERAGE(AC$2:AC$229)*100+100</f>
        <v>133.55174541376925</v>
      </c>
      <c r="L80" s="5">
        <f>(AF80-AVERAGE(AF$2:AF$229))/AVERAGE(AF$2:AF$229)*100+100</f>
        <v>101.18791266031367</v>
      </c>
      <c r="M80" s="5">
        <f>(AI80-AVERAGE(AI$2:AI$229))/AVERAGE(AI$2:AI$229)*100+100</f>
        <v>9.5310791061118323</v>
      </c>
      <c r="N80" s="5">
        <f>(AVERAGE(AJ$2:AJ$229)-AJ80)/AVERAGE(AJ$2:AJ$229)*100+100</f>
        <v>200</v>
      </c>
      <c r="O80" s="5">
        <f>(AK80-AVERAGE(AK$2:AK$229))/AVERAGE(AK$2:AK$229)*100+100</f>
        <v>12.869282014665032</v>
      </c>
      <c r="P80" s="5">
        <f>(AL80-AVERAGE(AL$2:AL$229))/AVERAGE(AL$2:AL$229)*100+100</f>
        <v>92.835944070150205</v>
      </c>
      <c r="Q80" s="5">
        <f>(AM80-AVERAGE(AM$2:AM$229))/AVERAGE(AM$2:AM$229)*100+100</f>
        <v>100.74272798316929</v>
      </c>
      <c r="R80" s="5">
        <f>(AN80-AVERAGE(AN$2:AN$229))/AVERAGE(AN$2:AN$229)*100+100</f>
        <v>109.21347348872966</v>
      </c>
      <c r="S80" s="5">
        <f>(AO80-AVERAGE(AO$2:AO$229))/AVERAGE(AO$2:AO$229)*100+100</f>
        <v>105.51780767189105</v>
      </c>
      <c r="T80" s="6">
        <f>(F80*1.5+H80*2.5+I80+J80+K80*1.5+L80+O80*0.75+P80+S80)/11.25</f>
        <v>104.52780420269488</v>
      </c>
      <c r="V80">
        <f>'2025_Fantasy_Hitters_modified'!F101</f>
        <v>110.01371775757045</v>
      </c>
      <c r="W80">
        <f>'2025_Fantasy_Hitters_modified'!G101</f>
        <v>59.540089458050005</v>
      </c>
      <c r="X80">
        <f>'2025_Fantasy_Hitters_modified'!H101</f>
        <v>22.782114559326704</v>
      </c>
      <c r="Y80">
        <f>'2025_Fantasy_Hitters_modified'!I101</f>
        <v>0.9882833667721852</v>
      </c>
      <c r="Z80">
        <f>'2025_Fantasy_Hitters_modified'!J101</f>
        <v>27.799999999999944</v>
      </c>
      <c r="AA80">
        <f>'2025_Fantasy_Hitters_modified'!K101</f>
        <v>70.626785714285418</v>
      </c>
      <c r="AB80">
        <f>'2025_Fantasy_Hitters_modified'!L101</f>
        <v>70.999999999999915</v>
      </c>
      <c r="AC80" s="2">
        <f>'2025_Fantasy_Hitters_modified'!M101</f>
        <v>61.03124999775001</v>
      </c>
      <c r="AD80">
        <f>'2025_Fantasy_Hitters_modified'!N101</f>
        <v>0.99732142857142347</v>
      </c>
      <c r="AE80">
        <f>'2025_Fantasy_Hitters_modified'!O101</f>
        <v>141.11607141300001</v>
      </c>
      <c r="AF80">
        <f>'2025_Fantasy_Hitters_modified'!P101</f>
        <v>5.9291262135922267</v>
      </c>
      <c r="AG80">
        <f>'2025_Fantasy_Hitters_modified'!Q101</f>
        <v>2.9999999999999982</v>
      </c>
      <c r="AH80">
        <f>'2025_Fantasy_Hitters_modified'!R101</f>
        <v>0</v>
      </c>
      <c r="AI80">
        <f>'2025_Fantasy_Hitters_modified'!S101</f>
        <v>0.99732142857142347</v>
      </c>
      <c r="AJ80">
        <f>'2025_Fantasy_Hitters_modified'!T101</f>
        <v>0</v>
      </c>
      <c r="AK80">
        <f>'2025_Fantasy_Hitters_modified'!U101</f>
        <v>0.99732142857142347</v>
      </c>
      <c r="AL80">
        <f>'2025_Fantasy_Hitters_modified'!V101</f>
        <v>0.23160782685804304</v>
      </c>
      <c r="AM80">
        <f>'2025_Fantasy_Hitters_modified'!W101</f>
        <v>0.32955925818411164</v>
      </c>
      <c r="AN80">
        <f>'2025_Fantasy_Hitters_modified'!X101</f>
        <v>0.46161930247793631</v>
      </c>
      <c r="AO80">
        <f>'2025_Fantasy_Hitters_modified'!Y101</f>
        <v>0.79117856066204795</v>
      </c>
      <c r="AP80">
        <f>'2025_Fantasy_Hitters_modified'!Z101</f>
        <v>0.26599156459999901</v>
      </c>
      <c r="AQ80">
        <f>'2025_Fantasy_Hitters_modified'!AA101</f>
        <v>25.89285714</v>
      </c>
      <c r="AR80">
        <f>'2025_Fantasy_Hitters_modified'!AB101</f>
        <v>11.198394495000001</v>
      </c>
    </row>
    <row r="81" spans="1:44" x14ac:dyDescent="0.4">
      <c r="A81" t="str">
        <f>'2025_Fantasy_Hitters_modified'!A147</f>
        <v>NYY</v>
      </c>
      <c r="B81" t="str">
        <f>'2025_Fantasy_Hitters_modified'!B147</f>
        <v>Anthony Volpe</v>
      </c>
      <c r="C81">
        <f>'2025_Fantasy_Hitters_modified'!D147</f>
        <v>558</v>
      </c>
      <c r="D81">
        <f>'2025_Fantasy_Hitters_modified'!E147</f>
        <v>615</v>
      </c>
      <c r="E81" s="5">
        <f>(V81-AVERAGE(V$2:V$229))/AVERAGE(V$2:V$229)*100+100</f>
        <v>112.99467605696216</v>
      </c>
      <c r="F81" s="4">
        <f>E81*1.51744-31.775</f>
        <v>139.68764123587664</v>
      </c>
      <c r="G81" s="5">
        <f>(Z81-AVERAGE(Z$2:Z$229))/AVERAGE(Z$2:Z$229)*100+100</f>
        <v>72.370509306016487</v>
      </c>
      <c r="H81" s="4">
        <f>G81*0.83285-13.6979</f>
        <v>46.575878675515824</v>
      </c>
      <c r="I81" s="5">
        <f>(AA81-AVERAGE(AA$2:AA$229))/AVERAGE(AA$2:AA$229)*100+100</f>
        <v>113.29027745552558</v>
      </c>
      <c r="J81" s="5">
        <f>(AB81-AVERAGE(AB$2:AB$229))/AVERAGE(AB$2:AB$229)*100+100</f>
        <v>91.992067291253676</v>
      </c>
      <c r="K81" s="5">
        <f>(AC81-AVERAGE(AC$2:AC$229))/AVERAGE(AC$2:AC$229)*100+100</f>
        <v>95.586321172538263</v>
      </c>
      <c r="L81" s="5">
        <f>(AF81-AVERAGE(AF$2:AF$229))/AVERAGE(AF$2:AF$229)*100+100</f>
        <v>120.53530697592629</v>
      </c>
      <c r="M81" s="5">
        <f>(AI81-AVERAGE(AI$2:AI$229))/AVERAGE(AI$2:AI$229)*100+100</f>
        <v>247.86277190352496</v>
      </c>
      <c r="N81" s="5">
        <f>(AVERAGE(AJ$2:AJ$229)-AJ81)/AVERAGE(AJ$2:AJ$229)*100+100</f>
        <v>-22.308106877478437</v>
      </c>
      <c r="O81" s="5">
        <f>(AK81-AVERAGE(AK$2:AK$229))/AVERAGE(AK$2:AK$229)*100+100</f>
        <v>256.81313903061653</v>
      </c>
      <c r="P81" s="5">
        <f>(AL81-AVERAGE(AL$2:AL$229))/AVERAGE(AL$2:AL$229)*100+100</f>
        <v>95.349165430433004</v>
      </c>
      <c r="Q81" s="5">
        <f>(AM81-AVERAGE(AM$2:AM$229))/AVERAGE(AM$2:AM$229)*100+100</f>
        <v>92.718807388863638</v>
      </c>
      <c r="R81" s="5">
        <f>(AN81-AVERAGE(AN$2:AN$229))/AVERAGE(AN$2:AN$229)*100+100</f>
        <v>86.579198018510098</v>
      </c>
      <c r="S81" s="5">
        <f>(AO81-AVERAGE(AO$2:AO$229))/AVERAGE(AO$2:AO$229)*100+100</f>
        <v>89.257822286452381</v>
      </c>
      <c r="T81" s="6">
        <f>(F81*1.5+H81*2.5+I81+J81+K81*1.5+L81+O81*0.75+P81+S81)/11.25</f>
        <v>104.21201191235247</v>
      </c>
      <c r="V81">
        <f>'2025_Fantasy_Hitters_modified'!F147</f>
        <v>132.73582960078443</v>
      </c>
      <c r="W81">
        <f>'2025_Fantasy_Hitters_modified'!G147</f>
        <v>87.789095755275639</v>
      </c>
      <c r="X81">
        <f>'2025_Fantasy_Hitters_modified'!H147</f>
        <v>25.685384872895803</v>
      </c>
      <c r="Y81">
        <f>'2025_Fantasy_Hitters_modified'!I147</f>
        <v>4.080007275678426</v>
      </c>
      <c r="Z81">
        <f>'2025_Fantasy_Hitters_modified'!J147</f>
        <v>13.199999999999976</v>
      </c>
      <c r="AA81">
        <f>'2025_Fantasy_Hitters_modified'!K147</f>
        <v>74.706038291605196</v>
      </c>
      <c r="AB81">
        <f>'2025_Fantasy_Hitters_modified'!L147</f>
        <v>59</v>
      </c>
      <c r="AC81" s="2">
        <f>'2025_Fantasy_Hitters_modified'!M147</f>
        <v>43.681590575789997</v>
      </c>
      <c r="AD81">
        <f>'2025_Fantasy_Hitters_modified'!N147</f>
        <v>0.59057437407952595</v>
      </c>
      <c r="AE81">
        <f>'2025_Fantasy_Hitters_modified'!O147</f>
        <v>135.8615611125</v>
      </c>
      <c r="AF81">
        <f>'2025_Fantasy_Hitters_modified'!P147</f>
        <v>7.0627906976743757</v>
      </c>
      <c r="AG81">
        <f>'2025_Fantasy_Hitters_modified'!Q147</f>
        <v>4.5999999999999952</v>
      </c>
      <c r="AH81">
        <f>'2025_Fantasy_Hitters_modified'!R147</f>
        <v>1.372093023255804</v>
      </c>
      <c r="AI81">
        <f>'2025_Fantasy_Hitters_modified'!S147</f>
        <v>25.936082474226765</v>
      </c>
      <c r="AJ81">
        <f>'2025_Fantasy_Hitters_modified'!T147</f>
        <v>6.0340206185566858</v>
      </c>
      <c r="AK81">
        <f>'2025_Fantasy_Hitters_modified'!U147</f>
        <v>19.90206185567008</v>
      </c>
      <c r="AL81">
        <f>'2025_Fantasy_Hitters_modified'!V147</f>
        <v>0.23787783082577854</v>
      </c>
      <c r="AM81">
        <f>'2025_Fantasy_Hitters_modified'!W147</f>
        <v>0.30331064082257492</v>
      </c>
      <c r="AN81">
        <f>'2025_Fantasy_Hitters_modified'!X147</f>
        <v>0.36594961886756705</v>
      </c>
      <c r="AO81">
        <f>'2025_Fantasy_Hitters_modified'!Y147</f>
        <v>0.66926025969014202</v>
      </c>
      <c r="AP81">
        <f>'2025_Fantasy_Hitters_modified'!Z147</f>
        <v>0.28905615139999902</v>
      </c>
      <c r="AQ81">
        <f>'2025_Fantasy_Hitters_modified'!AA147</f>
        <v>22.091310750000002</v>
      </c>
      <c r="AR81">
        <f>'2025_Fantasy_Hitters_modified'!AB147</f>
        <v>7.1026976546</v>
      </c>
    </row>
    <row r="82" spans="1:44" x14ac:dyDescent="0.4">
      <c r="A82" t="str">
        <f>'2025_Fantasy_Hitters_modified'!A57</f>
        <v>CHW</v>
      </c>
      <c r="B82" t="str">
        <f>'2025_Fantasy_Hitters_modified'!B57</f>
        <v>Andrew Vaughn</v>
      </c>
      <c r="C82">
        <f>'2025_Fantasy_Hitters_modified'!D57</f>
        <v>547</v>
      </c>
      <c r="D82">
        <f>'2025_Fantasy_Hitters_modified'!E57</f>
        <v>601</v>
      </c>
      <c r="E82" s="5">
        <f>(V82-AVERAGE(V$2:V$229))/AVERAGE(V$2:V$229)*100+100</f>
        <v>119.29664782103356</v>
      </c>
      <c r="F82" s="4">
        <f>E82*1.51744-31.775</f>
        <v>149.25050526954914</v>
      </c>
      <c r="G82" s="5">
        <f>(Z82-AVERAGE(Z$2:Z$229))/AVERAGE(Z$2:Z$229)*100+100</f>
        <v>127.1966527196651</v>
      </c>
      <c r="H82" s="4">
        <f>G82*0.83285-13.6979</f>
        <v>92.237832217573072</v>
      </c>
      <c r="I82" s="5">
        <f>(AA82-AVERAGE(AA$2:AA$229))/AVERAGE(AA$2:AA$229)*100+100</f>
        <v>99.557461051292009</v>
      </c>
      <c r="J82" s="5">
        <f>(AB82-AVERAGE(AB$2:AB$229))/AVERAGE(AB$2:AB$229)*100+100</f>
        <v>120.05744375299145</v>
      </c>
      <c r="K82" s="5">
        <f>(AC82-AVERAGE(AC$2:AC$229))/AVERAGE(AC$2:AC$229)*100+100</f>
        <v>87.743925683844679</v>
      </c>
      <c r="L82" s="5">
        <f>(AF82-AVERAGE(AF$2:AF$229))/AVERAGE(AF$2:AF$229)*100+100</f>
        <v>151.9810459393498</v>
      </c>
      <c r="M82" s="5">
        <f>(AI82-AVERAGE(AI$2:AI$229))/AVERAGE(AI$2:AI$229)*100+100</f>
        <v>9.5334062191026732</v>
      </c>
      <c r="N82" s="5">
        <f>(AVERAGE(AJ$2:AJ$229)-AJ82)/AVERAGE(AJ$2:AJ$229)*100+100</f>
        <v>200</v>
      </c>
      <c r="O82" s="5">
        <f>(AK82-AVERAGE(AK$2:AK$229))/AVERAGE(AK$2:AK$229)*100+100</f>
        <v>12.872424184929855</v>
      </c>
      <c r="P82" s="5">
        <f>(AL82-AVERAGE(AL$2:AL$229))/AVERAGE(AL$2:AL$229)*100+100</f>
        <v>102.69138888897723</v>
      </c>
      <c r="Q82" s="5">
        <f>(AM82-AVERAGE(AM$2:AM$229))/AVERAGE(AM$2:AM$229)*100+100</f>
        <v>97.716529023293035</v>
      </c>
      <c r="R82" s="5">
        <f>(AN82-AVERAGE(AN$2:AN$229))/AVERAGE(AN$2:AN$229)*100+100</f>
        <v>103.75529565719664</v>
      </c>
      <c r="S82" s="5">
        <f>(AO82-AVERAGE(AO$2:AO$229))/AVERAGE(AO$2:AO$229)*100+100</f>
        <v>101.12066764126419</v>
      </c>
      <c r="T82" s="6">
        <f>(F82*1.5+H82*2.5+I82+J82+K82*1.5+L82+O82*0.75+P82+S82)/11.25</f>
        <v>104.10209354547514</v>
      </c>
      <c r="V82">
        <f>'2025_Fantasy_Hitters_modified'!F57</f>
        <v>140.1388106917081</v>
      </c>
      <c r="W82">
        <f>'2025_Fantasy_Hitters_modified'!G57</f>
        <v>87.148341857022942</v>
      </c>
      <c r="X82">
        <f>'2025_Fantasy_Hitters_modified'!H57</f>
        <v>28.472058255372406</v>
      </c>
      <c r="Y82">
        <f>'2025_Fantasy_Hitters_modified'!I57</f>
        <v>0.99792754994807209</v>
      </c>
      <c r="Z82">
        <f>'2025_Fantasy_Hitters_modified'!J57</f>
        <v>23.199999999999914</v>
      </c>
      <c r="AA82">
        <f>'2025_Fantasy_Hitters_modified'!K57</f>
        <v>65.650324675324185</v>
      </c>
      <c r="AB82">
        <f>'2025_Fantasy_Hitters_modified'!L57</f>
        <v>76.999999999999588</v>
      </c>
      <c r="AC82" s="2">
        <f>'2025_Fantasy_Hitters_modified'!M57</f>
        <v>40.097727271205002</v>
      </c>
      <c r="AD82">
        <f>'2025_Fantasy_Hitters_modified'!N57</f>
        <v>0</v>
      </c>
      <c r="AE82">
        <f>'2025_Fantasy_Hitters_modified'!O57</f>
        <v>120.98051948129999</v>
      </c>
      <c r="AF82">
        <f>'2025_Fantasy_Hitters_modified'!P57</f>
        <v>8.9053601340032813</v>
      </c>
      <c r="AG82">
        <f>'2025_Fantasy_Hitters_modified'!Q57</f>
        <v>4.5999999999999783</v>
      </c>
      <c r="AH82">
        <f>'2025_Fantasy_Hitters_modified'!R57</f>
        <v>0</v>
      </c>
      <c r="AI82">
        <f>'2025_Fantasy_Hitters_modified'!S57</f>
        <v>0.99756493506492949</v>
      </c>
      <c r="AJ82">
        <f>'2025_Fantasy_Hitters_modified'!T57</f>
        <v>0</v>
      </c>
      <c r="AK82">
        <f>'2025_Fantasy_Hitters_modified'!U57</f>
        <v>0.99756493506492949</v>
      </c>
      <c r="AL82">
        <f>'2025_Fantasy_Hitters_modified'!V57</f>
        <v>0.25619526634681555</v>
      </c>
      <c r="AM82">
        <f>'2025_Fantasy_Hitters_modified'!W57</f>
        <v>0.31965966637932186</v>
      </c>
      <c r="AN82">
        <f>'2025_Fantasy_Hitters_modified'!X57</f>
        <v>0.43854888668667569</v>
      </c>
      <c r="AO82">
        <f>'2025_Fantasy_Hitters_modified'!Y57</f>
        <v>0.75820855306599755</v>
      </c>
      <c r="AP82">
        <f>'2025_Fantasy_Hitters_modified'!Z57</f>
        <v>0.28702312060000001</v>
      </c>
      <c r="AQ82">
        <f>'2025_Fantasy_Hitters_modified'!AA57</f>
        <v>20.12987013</v>
      </c>
      <c r="AR82">
        <f>'2025_Fantasy_Hitters_modified'!AB57</f>
        <v>6.6718348205</v>
      </c>
    </row>
    <row r="83" spans="1:44" x14ac:dyDescent="0.4">
      <c r="A83" t="str">
        <f>'2025_Fantasy_Hitters_modified'!A144</f>
        <v>NYM</v>
      </c>
      <c r="B83" t="str">
        <f>'2025_Fantasy_Hitters_modified'!B144</f>
        <v>Mark Vientos</v>
      </c>
      <c r="C83">
        <f>'2025_Fantasy_Hitters_modified'!D144</f>
        <v>551</v>
      </c>
      <c r="D83">
        <f>'2025_Fantasy_Hitters_modified'!E144</f>
        <v>606</v>
      </c>
      <c r="E83" s="5">
        <f>(V83-AVERAGE(V$2:V$229))/AVERAGE(V$2:V$229)*100+100</f>
        <v>110.95860320786839</v>
      </c>
      <c r="F83" s="4">
        <f>E83*1.51744-31.775</f>
        <v>136.5980228517478</v>
      </c>
      <c r="G83" s="5">
        <f>(Z83-AVERAGE(Z$2:Z$229))/AVERAGE(Z$2:Z$229)*100+100</f>
        <v>154.60972442648961</v>
      </c>
      <c r="H83" s="4">
        <f>G83*0.83285-13.6979</f>
        <v>115.06880898860186</v>
      </c>
      <c r="I83" s="5">
        <f>(AA83-AVERAGE(AA$2:AA$229))/AVERAGE(AA$2:AA$229)*100+100</f>
        <v>109.23952796901031</v>
      </c>
      <c r="J83" s="5">
        <f>(AB83-AVERAGE(AB$2:AB$229))/AVERAGE(AB$2:AB$229)*100+100</f>
        <v>134.09013198386043</v>
      </c>
      <c r="K83" s="5">
        <f>(AC83-AVERAGE(AC$2:AC$229))/AVERAGE(AC$2:AC$229)*100+100</f>
        <v>97.02412527046684</v>
      </c>
      <c r="L83" s="5">
        <f>(AF83-AVERAGE(AF$2:AF$229))/AVERAGE(AF$2:AF$229)*100+100</f>
        <v>86.032153314482812</v>
      </c>
      <c r="M83" s="5">
        <f>(AI83-AVERAGE(AI$2:AI$229))/AVERAGE(AI$2:AI$229)*100+100</f>
        <v>9.4718887830571106</v>
      </c>
      <c r="N83" s="5">
        <f>(AVERAGE(AJ$2:AJ$229)-AJ83)/AVERAGE(AJ$2:AJ$229)*100+100</f>
        <v>200</v>
      </c>
      <c r="O83" s="5">
        <f>(AK83-AVERAGE(AK$2:AK$229))/AVERAGE(AK$2:AK$229)*100+100</f>
        <v>12.789360638349748</v>
      </c>
      <c r="P83" s="5">
        <f>(AL83-AVERAGE(AL$2:AL$229))/AVERAGE(AL$2:AL$229)*100+100</f>
        <v>94.82055561671244</v>
      </c>
      <c r="Q83" s="5">
        <f>(AM83-AVERAGE(AM$2:AM$229))/AVERAGE(AM$2:AM$229)*100+100</f>
        <v>91.959151043859038</v>
      </c>
      <c r="R83" s="5">
        <f>(AN83-AVERAGE(AN$2:AN$229))/AVERAGE(AN$2:AN$229)*100+100</f>
        <v>104.37512573164973</v>
      </c>
      <c r="S83" s="5">
        <f>(AO83-AVERAGE(AO$2:AO$229))/AVERAGE(AO$2:AO$229)*100+100</f>
        <v>98.958212520612832</v>
      </c>
      <c r="T83" s="6">
        <f>(F83*1.5+H83*2.5+I83+J83+K83*1.5+L83+O83*0.75+P83+S83)/11.25</f>
        <v>104.074475247846</v>
      </c>
      <c r="V83">
        <f>'2025_Fantasy_Hitters_modified'!F144</f>
        <v>130.3440371006152</v>
      </c>
      <c r="W83">
        <f>'2025_Fantasy_Hitters_modified'!G144</f>
        <v>76.759726890462318</v>
      </c>
      <c r="X83">
        <f>'2025_Fantasy_Hitters_modified'!H144</f>
        <v>25.283177500152238</v>
      </c>
      <c r="Y83">
        <f>'2025_Fantasy_Hitters_modified'!I144</f>
        <v>0.98596839396971414</v>
      </c>
      <c r="Z83">
        <f>'2025_Fantasy_Hitters_modified'!J144</f>
        <v>28.199999999999921</v>
      </c>
      <c r="AA83">
        <f>'2025_Fantasy_Hitters_modified'!K144</f>
        <v>72.03488721804456</v>
      </c>
      <c r="AB83">
        <f>'2025_Fantasy_Hitters_modified'!L144</f>
        <v>85.999999999999446</v>
      </c>
      <c r="AC83" s="2">
        <f>'2025_Fantasy_Hitters_modified'!M144</f>
        <v>44.338646618574003</v>
      </c>
      <c r="AD83">
        <f>'2025_Fantasy_Hitters_modified'!N144</f>
        <v>0.99112781954884233</v>
      </c>
      <c r="AE83">
        <f>'2025_Fantasy_Hitters_modified'!O144</f>
        <v>176.78796991980002</v>
      </c>
      <c r="AF83">
        <f>'2025_Fantasy_Hitters_modified'!P144</f>
        <v>5.0410714285713993</v>
      </c>
      <c r="AG83">
        <f>'2025_Fantasy_Hitters_modified'!Q144</f>
        <v>4.399999999999987</v>
      </c>
      <c r="AH83">
        <f>'2025_Fantasy_Hitters_modified'!R144</f>
        <v>0</v>
      </c>
      <c r="AI83">
        <f>'2025_Fantasy_Hitters_modified'!S144</f>
        <v>0.99112781954884233</v>
      </c>
      <c r="AJ83">
        <f>'2025_Fantasy_Hitters_modified'!T144</f>
        <v>0</v>
      </c>
      <c r="AK83">
        <f>'2025_Fantasy_Hitters_modified'!U144</f>
        <v>0.99112781954884233</v>
      </c>
      <c r="AL83">
        <f>'2025_Fantasy_Hitters_modified'!V144</f>
        <v>0.23655905099930163</v>
      </c>
      <c r="AM83">
        <f>'2025_Fantasy_Hitters_modified'!W144</f>
        <v>0.30082558024751888</v>
      </c>
      <c r="AN83">
        <f>'2025_Fantasy_Hitters_modified'!X144</f>
        <v>0.44116876056746945</v>
      </c>
      <c r="AO83">
        <f>'2025_Fantasy_Hitters_modified'!Y144</f>
        <v>0.74199434081498827</v>
      </c>
      <c r="AP83">
        <f>'2025_Fantasy_Hitters_modified'!Z144</f>
        <v>0.29149694739999998</v>
      </c>
      <c r="AQ83">
        <f>'2025_Fantasy_Hitters_modified'!AA144</f>
        <v>29.172932329999998</v>
      </c>
      <c r="AR83">
        <f>'2025_Fantasy_Hitters_modified'!AB144</f>
        <v>7.3166083529000003</v>
      </c>
    </row>
    <row r="84" spans="1:44" x14ac:dyDescent="0.4">
      <c r="A84" t="str">
        <f>'2025_Fantasy_Hitters_modified'!A99</f>
        <v>KCR</v>
      </c>
      <c r="B84" t="str">
        <f>'2025_Fantasy_Hitters_modified'!B99</f>
        <v>Vinnie Pasquantino</v>
      </c>
      <c r="C84">
        <f>'2025_Fantasy_Hitters_modified'!D99</f>
        <v>530</v>
      </c>
      <c r="D84">
        <f>'2025_Fantasy_Hitters_modified'!E99</f>
        <v>596</v>
      </c>
      <c r="E84" s="5">
        <f>(V84-AVERAGE(V$2:V$229))/AVERAGE(V$2:V$229)*100+100</f>
        <v>118.39216208132412</v>
      </c>
      <c r="F84" s="4">
        <f>E84*1.51744-31.775</f>
        <v>147.87800242868445</v>
      </c>
      <c r="G84" s="5">
        <f>(Z84-AVERAGE(Z$2:Z$229))/AVERAGE(Z$2:Z$229)*100+100</f>
        <v>114.0383783003895</v>
      </c>
      <c r="H84" s="4">
        <f>G84*0.83285-13.6979</f>
        <v>81.278963367479392</v>
      </c>
      <c r="I84" s="5">
        <f>(AA84-AVERAGE(AA$2:AA$229))/AVERAGE(AA$2:AA$229)*100+100</f>
        <v>106.41362859153308</v>
      </c>
      <c r="J84" s="5">
        <f>(AB84-AVERAGE(AB$2:AB$229))/AVERAGE(AB$2:AB$229)*100+100</f>
        <v>130.97175682144569</v>
      </c>
      <c r="K84" s="5">
        <f>(AC84-AVERAGE(AC$2:AC$229))/AVERAGE(AC$2:AC$229)*100+100</f>
        <v>116.38651615242416</v>
      </c>
      <c r="L84" s="5">
        <f>(AF84-AVERAGE(AF$2:AF$229))/AVERAGE(AF$2:AF$229)*100+100</f>
        <v>101.66377298851829</v>
      </c>
      <c r="M84" s="5">
        <f>(AI84-AVERAGE(AI$2:AI$229))/AVERAGE(AI$2:AI$229)*100+100</f>
        <v>19.010203259968819</v>
      </c>
      <c r="N84" s="5">
        <f>(AVERAGE(AJ$2:AJ$229)-AJ84)/AVERAGE(AJ$2:AJ$229)*100+100</f>
        <v>200</v>
      </c>
      <c r="O84" s="5">
        <f>(AK84-AVERAGE(AK$2:AK$229))/AVERAGE(AK$2:AK$229)*100+100</f>
        <v>25.668412168750322</v>
      </c>
      <c r="P84" s="5">
        <f>(AL84-AVERAGE(AL$2:AL$229))/AVERAGE(AL$2:AL$229)*100+100</f>
        <v>105.18170240939905</v>
      </c>
      <c r="Q84" s="5">
        <f>(AM84-AVERAGE(AM$2:AM$229))/AVERAGE(AM$2:AM$229)*100+100</f>
        <v>103.66233958613977</v>
      </c>
      <c r="R84" s="5">
        <f>(AN84-AVERAGE(AN$2:AN$229))/AVERAGE(AN$2:AN$229)*100+100</f>
        <v>105.90978875041466</v>
      </c>
      <c r="S84" s="5">
        <f>(AO84-AVERAGE(AO$2:AO$229))/AVERAGE(AO$2:AO$229)*100+100</f>
        <v>104.92925863697408</v>
      </c>
      <c r="T84" s="6">
        <f>(F84*1.5+H84*2.5+I84+J84+K84*1.5+L84+O84*0.75+P84+S84)/11.25</f>
        <v>103.82272132131506</v>
      </c>
      <c r="V84">
        <f>'2025_Fantasy_Hitters_modified'!F99</f>
        <v>139.07630341957884</v>
      </c>
      <c r="W84">
        <f>'2025_Fantasy_Hitters_modified'!G99</f>
        <v>84.483073871127743</v>
      </c>
      <c r="X84">
        <f>'2025_Fantasy_Hitters_modified'!H99</f>
        <v>31.805392516189276</v>
      </c>
      <c r="Y84">
        <f>'2025_Fantasy_Hitters_modified'!I99</f>
        <v>1.9878370322618264</v>
      </c>
      <c r="Z84">
        <f>'2025_Fantasy_Hitters_modified'!J99</f>
        <v>20.79999999999994</v>
      </c>
      <c r="AA84">
        <f>'2025_Fantasy_Hitters_modified'!K99</f>
        <v>70.17142857142845</v>
      </c>
      <c r="AB84">
        <f>'2025_Fantasy_Hitters_modified'!L99</f>
        <v>83.999999999999858</v>
      </c>
      <c r="AC84" s="2">
        <f>'2025_Fantasy_Hitters_modified'!M99</f>
        <v>53.186984128576007</v>
      </c>
      <c r="AD84">
        <f>'2025_Fantasy_Hitters_modified'!N99</f>
        <v>2.3892063492063063</v>
      </c>
      <c r="AE84">
        <f>'2025_Fantasy_Hitters_modified'!O99</f>
        <v>79.466666646799993</v>
      </c>
      <c r="AF84">
        <f>'2025_Fantasy_Hitters_modified'!P99</f>
        <v>5.9570093457943711</v>
      </c>
      <c r="AG84">
        <f>'2025_Fantasy_Hitters_modified'!Q99</f>
        <v>5.9999999999999813</v>
      </c>
      <c r="AH84">
        <f>'2025_Fantasy_Hitters_modified'!R99</f>
        <v>1.0684112149532179</v>
      </c>
      <c r="AI84">
        <f>'2025_Fantasy_Hitters_modified'!S99</f>
        <v>1.9892063492063035</v>
      </c>
      <c r="AJ84">
        <f>'2025_Fantasy_Hitters_modified'!T99</f>
        <v>0</v>
      </c>
      <c r="AK84">
        <f>'2025_Fantasy_Hitters_modified'!U99</f>
        <v>1.9892063492063035</v>
      </c>
      <c r="AL84">
        <f>'2025_Fantasy_Hitters_modified'!V99</f>
        <v>0.26240811965958272</v>
      </c>
      <c r="AM84">
        <f>'2025_Fantasy_Hitters_modified'!W99</f>
        <v>0.33911017122094567</v>
      </c>
      <c r="AN84">
        <f>'2025_Fantasy_Hitters_modified'!X99</f>
        <v>0.44765541509488965</v>
      </c>
      <c r="AO84">
        <f>'2025_Fantasy_Hitters_modified'!Y99</f>
        <v>0.78676558631583537</v>
      </c>
      <c r="AP84">
        <f>'2025_Fantasy_Hitters_modified'!Z99</f>
        <v>0.271441944799999</v>
      </c>
      <c r="AQ84">
        <f>'2025_Fantasy_Hitters_modified'!AA99</f>
        <v>13.33333333</v>
      </c>
      <c r="AR84">
        <f>'2025_Fantasy_Hitters_modified'!AB99</f>
        <v>8.9239906256000001</v>
      </c>
    </row>
    <row r="85" spans="1:44" x14ac:dyDescent="0.4">
      <c r="A85" t="str">
        <f>'2025_Fantasy_Hitters_modified'!A48</f>
        <v>BOS</v>
      </c>
      <c r="B85" t="str">
        <f>'2025_Fantasy_Hitters_modified'!B48</f>
        <v>Triston Casas</v>
      </c>
      <c r="C85">
        <f>'2025_Fantasy_Hitters_modified'!D48</f>
        <v>497</v>
      </c>
      <c r="D85">
        <f>'2025_Fantasy_Hitters_modified'!E48</f>
        <v>578</v>
      </c>
      <c r="E85" s="5">
        <f>(V85-AVERAGE(V$2:V$229))/AVERAGE(V$2:V$229)*100+100</f>
        <v>100.55077087194299</v>
      </c>
      <c r="F85" s="4">
        <f>E85*1.51744-31.775</f>
        <v>120.80476175192115</v>
      </c>
      <c r="G85" s="5">
        <f>(Z85-AVERAGE(Z$2:Z$229))/AVERAGE(Z$2:Z$229)*100+100</f>
        <v>135.96883566584916</v>
      </c>
      <c r="H85" s="4">
        <f>G85*0.83285-13.6979</f>
        <v>99.543744784302461</v>
      </c>
      <c r="I85" s="5">
        <f>(AA85-AVERAGE(AA$2:AA$229))/AVERAGE(AA$2:AA$229)*100+100</f>
        <v>107.64293533800716</v>
      </c>
      <c r="J85" s="5">
        <f>(AB85-AVERAGE(AB$2:AB$229))/AVERAGE(AB$2:AB$229)*100+100</f>
        <v>121.61663133419964</v>
      </c>
      <c r="K85" s="5">
        <f>(AC85-AVERAGE(AC$2:AC$229))/AVERAGE(AC$2:AC$229)*100+100</f>
        <v>154.66796674229568</v>
      </c>
      <c r="L85" s="5">
        <f>(AF85-AVERAGE(AF$2:AF$229))/AVERAGE(AF$2:AF$229)*100+100</f>
        <v>66.180923736917833</v>
      </c>
      <c r="M85" s="5">
        <f>(AI85-AVERAGE(AI$2:AI$229))/AVERAGE(AI$2:AI$229)*100+100</f>
        <v>9.5185776386491625</v>
      </c>
      <c r="N85" s="5">
        <f>(AVERAGE(AJ$2:AJ$229)-AJ85)/AVERAGE(AJ$2:AJ$229)*100+100</f>
        <v>200</v>
      </c>
      <c r="O85" s="5">
        <f>(AK85-AVERAGE(AK$2:AK$229))/AVERAGE(AK$2:AK$229)*100+100</f>
        <v>12.852401983707011</v>
      </c>
      <c r="P85" s="5">
        <f>(AL85-AVERAGE(AL$2:AL$229))/AVERAGE(AL$2:AL$229)*100+100</f>
        <v>95.262533940599681</v>
      </c>
      <c r="Q85" s="5">
        <f>(AM85-AVERAGE(AM$2:AM$229))/AVERAGE(AM$2:AM$229)*100+100</f>
        <v>104.82076385005929</v>
      </c>
      <c r="R85" s="5">
        <f>(AN85-AVERAGE(AN$2:AN$229))/AVERAGE(AN$2:AN$229)*100+100</f>
        <v>104.81140877019759</v>
      </c>
      <c r="S85" s="5">
        <f>(AO85-AVERAGE(AO$2:AO$229))/AVERAGE(AO$2:AO$229)*100+100</f>
        <v>104.81549025851945</v>
      </c>
      <c r="T85" s="6">
        <f>(F85*1.5+H85*2.5+I85+J85+K85*1.5+L85+O85*0.75+P85+S85)/11.25</f>
        <v>103.75344629316493</v>
      </c>
      <c r="V85">
        <f>'2025_Fantasy_Hitters_modified'!F48</f>
        <v>118.1178658537637</v>
      </c>
      <c r="W85">
        <f>'2025_Fantasy_Hitters_modified'!G48</f>
        <v>68.387061359252144</v>
      </c>
      <c r="X85">
        <f>'2025_Fantasy_Hitters_modified'!H48</f>
        <v>23.329466463440937</v>
      </c>
      <c r="Y85">
        <f>'2025_Fantasy_Hitters_modified'!I48</f>
        <v>1.9771265643372959</v>
      </c>
      <c r="Z85">
        <f>'2025_Fantasy_Hitters_modified'!J48</f>
        <v>24.799999999999958</v>
      </c>
      <c r="AA85">
        <f>'2025_Fantasy_Hitters_modified'!K48</f>
        <v>70.982059800664103</v>
      </c>
      <c r="AB85">
        <f>'2025_Fantasy_Hitters_modified'!L48</f>
        <v>77.999999999999915</v>
      </c>
      <c r="AC85" s="2">
        <f>'2025_Fantasy_Hitters_modified'!M48</f>
        <v>70.681063101399999</v>
      </c>
      <c r="AD85">
        <f>'2025_Fantasy_Hitters_modified'!N48</f>
        <v>4.5800664451826787</v>
      </c>
      <c r="AE85">
        <f>'2025_Fantasy_Hitters_modified'!O48</f>
        <v>151.7009967004</v>
      </c>
      <c r="AF85">
        <f>'2025_Fantasy_Hitters_modified'!P48</f>
        <v>3.8778846153845659</v>
      </c>
      <c r="AG85">
        <f>'2025_Fantasy_Hitters_modified'!Q48</f>
        <v>2.999999999999988</v>
      </c>
      <c r="AH85">
        <f>'2025_Fantasy_Hitters_modified'!R48</f>
        <v>0</v>
      </c>
      <c r="AI85">
        <f>'2025_Fantasy_Hitters_modified'!S48</f>
        <v>0.99601328903650577</v>
      </c>
      <c r="AJ85">
        <f>'2025_Fantasy_Hitters_modified'!T48</f>
        <v>0</v>
      </c>
      <c r="AK85">
        <f>'2025_Fantasy_Hitters_modified'!U48</f>
        <v>0.99601328903650577</v>
      </c>
      <c r="AL85">
        <f>'2025_Fantasy_Hitters_modified'!V48</f>
        <v>0.23766170191904165</v>
      </c>
      <c r="AM85">
        <f>'2025_Fantasy_Hitters_modified'!W48</f>
        <v>0.34289971959552984</v>
      </c>
      <c r="AN85">
        <f>'2025_Fantasy_Hitters_modified'!X48</f>
        <v>0.44301282490773786</v>
      </c>
      <c r="AO85">
        <f>'2025_Fantasy_Hitters_modified'!Y48</f>
        <v>0.78591254450326775</v>
      </c>
      <c r="AP85">
        <f>'2025_Fantasy_Hitters_modified'!Z48</f>
        <v>0.28846415260000002</v>
      </c>
      <c r="AQ85">
        <f>'2025_Fantasy_Hitters_modified'!AA48</f>
        <v>26.245847179999998</v>
      </c>
      <c r="AR85">
        <f>'2025_Fantasy_Hitters_modified'!AB48</f>
        <v>12.228557629999999</v>
      </c>
    </row>
    <row r="86" spans="1:44" x14ac:dyDescent="0.4">
      <c r="A86" t="str">
        <f>'2025_Fantasy_Hitters_modified'!A176</f>
        <v>SEA</v>
      </c>
      <c r="B86" t="str">
        <f>'2025_Fantasy_Hitters_modified'!B176</f>
        <v>Cal Raleigh</v>
      </c>
      <c r="C86">
        <f>'2025_Fantasy_Hitters_modified'!D176</f>
        <v>507</v>
      </c>
      <c r="D86">
        <f>'2025_Fantasy_Hitters_modified'!E176</f>
        <v>573</v>
      </c>
      <c r="E86" s="5">
        <f>(V86-AVERAGE(V$2:V$229))/AVERAGE(V$2:V$229)*100+100</f>
        <v>94.341351484454762</v>
      </c>
      <c r="F86" s="4">
        <f>E86*1.51744-31.775</f>
        <v>111.38234039657101</v>
      </c>
      <c r="G86" s="5">
        <f>(Z86-AVERAGE(Z$2:Z$229))/AVERAGE(Z$2:Z$229)*100+100</f>
        <v>154.60972442648981</v>
      </c>
      <c r="H86" s="4">
        <f>G86*0.83285-13.6979</f>
        <v>115.06880898860203</v>
      </c>
      <c r="I86" s="5">
        <f>(AA86-AVERAGE(AA$2:AA$229))/AVERAGE(AA$2:AA$229)*100+100</f>
        <v>101.60058245374194</v>
      </c>
      <c r="J86" s="5">
        <f>(AB86-AVERAGE(AB$2:AB$229))/AVERAGE(AB$2:AB$229)*100+100</f>
        <v>129.41256924023804</v>
      </c>
      <c r="K86" s="5">
        <f>(AC86-AVERAGE(AC$2:AC$229))/AVERAGE(AC$2:AC$229)*100+100</f>
        <v>126.67954800570769</v>
      </c>
      <c r="L86" s="5">
        <f>(AF86-AVERAGE(AF$2:AF$229))/AVERAGE(AF$2:AF$229)*100+100</f>
        <v>84.19239335186235</v>
      </c>
      <c r="M86" s="5">
        <f>(AI86-AVERAGE(AI$2:AI$229))/AVERAGE(AI$2:AI$229)*100+100</f>
        <v>28.616030274341554</v>
      </c>
      <c r="N86" s="5">
        <f>(AVERAGE(AJ$2:AJ$229)-AJ86)/AVERAGE(AJ$2:AJ$229)*100+100</f>
        <v>163.22694437406227</v>
      </c>
      <c r="O86" s="5">
        <f>(AK86-AVERAGE(AK$2:AK$229))/AVERAGE(AK$2:AK$229)*100+100</f>
        <v>25.759081396813201</v>
      </c>
      <c r="P86" s="5">
        <f>(AL86-AVERAGE(AL$2:AL$229))/AVERAGE(AL$2:AL$229)*100+100</f>
        <v>87.616771795692813</v>
      </c>
      <c r="Q86" s="5">
        <f>(AM86-AVERAGE(AM$2:AM$229))/AVERAGE(AM$2:AM$229)*100+100</f>
        <v>94.050915717618864</v>
      </c>
      <c r="R86" s="5">
        <f>(AN86-AVERAGE(AN$2:AN$229))/AVERAGE(AN$2:AN$229)*100+100</f>
        <v>102.83951420903057</v>
      </c>
      <c r="S86" s="5">
        <f>(AO86-AVERAGE(AO$2:AO$229))/AVERAGE(AO$2:AO$229)*100+100</f>
        <v>99.005173654080679</v>
      </c>
      <c r="T86" s="6">
        <f>(F86*1.5+H86*2.5+I86+J86+K86*1.5+L86+O86*0.75+P86+S86)/11.25</f>
        <v>103.636591699391</v>
      </c>
      <c r="V86">
        <f>'2025_Fantasy_Hitters_modified'!F176</f>
        <v>110.82360684529549</v>
      </c>
      <c r="W86">
        <f>'2025_Fantasy_Hitters_modified'!G176</f>
        <v>59.101069018424461</v>
      </c>
      <c r="X86">
        <f>'2025_Fantasy_Hitters_modified'!H176</f>
        <v>22.72149188245627</v>
      </c>
      <c r="Y86">
        <f>'2025_Fantasy_Hitters_modified'!I176</f>
        <v>1.0125807884984963</v>
      </c>
      <c r="Z86">
        <f>'2025_Fantasy_Hitters_modified'!J176</f>
        <v>28.199999999999957</v>
      </c>
      <c r="AA86">
        <f>'2025_Fantasy_Hitters_modified'!K176</f>
        <v>66.997602739725977</v>
      </c>
      <c r="AB86">
        <f>'2025_Fantasy_Hitters_modified'!L176</f>
        <v>82.999999999999886</v>
      </c>
      <c r="AC86" s="2">
        <f>'2025_Fantasy_Hitters_modified'!M176</f>
        <v>57.890753430326995</v>
      </c>
      <c r="AD86">
        <f>'2025_Fantasy_Hitters_modified'!N176</f>
        <v>1.9962328767122943</v>
      </c>
      <c r="AE86">
        <f>'2025_Fantasy_Hitters_modified'!O176</f>
        <v>156.00513700199997</v>
      </c>
      <c r="AF86">
        <f>'2025_Fantasy_Hitters_modified'!P176</f>
        <v>4.9332703213610056</v>
      </c>
      <c r="AG86">
        <f>'2025_Fantasy_Hitters_modified'!Q176</f>
        <v>3.9999999999999845</v>
      </c>
      <c r="AH86">
        <f>'2025_Fantasy_Hitters_modified'!R176</f>
        <v>0</v>
      </c>
      <c r="AI86">
        <f>'2025_Fantasy_Hitters_modified'!S176</f>
        <v>2.9943493150684701</v>
      </c>
      <c r="AJ86">
        <f>'2025_Fantasy_Hitters_modified'!T176</f>
        <v>0.99811643835611852</v>
      </c>
      <c r="AK86">
        <f>'2025_Fantasy_Hitters_modified'!U176</f>
        <v>1.9962328767123516</v>
      </c>
      <c r="AL86">
        <f>'2025_Fantasy_Hitters_modified'!V176</f>
        <v>0.21858699575008972</v>
      </c>
      <c r="AM86">
        <f>'2025_Fantasy_Hitters_modified'!W176</f>
        <v>0.30766836114079771</v>
      </c>
      <c r="AN86">
        <f>'2025_Fantasy_Hitters_modified'!X176</f>
        <v>0.43467809694049769</v>
      </c>
      <c r="AO86">
        <f>'2025_Fantasy_Hitters_modified'!Y176</f>
        <v>0.7423464580812954</v>
      </c>
      <c r="AP86">
        <f>'2025_Fantasy_Hitters_modified'!Z176</f>
        <v>0.25283018860000001</v>
      </c>
      <c r="AQ86">
        <f>'2025_Fantasy_Hitters_modified'!AA176</f>
        <v>27.2260274</v>
      </c>
      <c r="AR86">
        <f>'2025_Fantasy_Hitters_modified'!AB176</f>
        <v>10.1030983299</v>
      </c>
    </row>
    <row r="87" spans="1:44" x14ac:dyDescent="0.4">
      <c r="A87" t="str">
        <f>'2025_Fantasy_Hitters_modified'!A35</f>
        <v>BAL</v>
      </c>
      <c r="B87" t="str">
        <f>'2025_Fantasy_Hitters_modified'!B35</f>
        <v>Jordan Westburg</v>
      </c>
      <c r="C87">
        <f>'2025_Fantasy_Hitters_modified'!D35</f>
        <v>517</v>
      </c>
      <c r="D87">
        <f>'2025_Fantasy_Hitters_modified'!E35</f>
        <v>568</v>
      </c>
      <c r="E87" s="5">
        <f>(V87-AVERAGE(V$2:V$229))/AVERAGE(V$2:V$229)*100+100</f>
        <v>113.75208523455784</v>
      </c>
      <c r="F87" s="4">
        <f>E87*1.51744-31.775</f>
        <v>140.83696421832744</v>
      </c>
      <c r="G87" s="5">
        <f>(Z87-AVERAGE(Z$2:Z$229))/AVERAGE(Z$2:Z$229)*100+100</f>
        <v>112.94185543211648</v>
      </c>
      <c r="H87" s="4">
        <f>G87*0.83285-13.6979</f>
        <v>80.365724296638206</v>
      </c>
      <c r="I87" s="5">
        <f>(AA87-AVERAGE(AA$2:AA$229))/AVERAGE(AA$2:AA$229)*100+100</f>
        <v>109.49983680663968</v>
      </c>
      <c r="J87" s="5">
        <f>(AB87-AVERAGE(AB$2:AB$229))/AVERAGE(AB$2:AB$229)*100+100</f>
        <v>113.82069342816096</v>
      </c>
      <c r="K87" s="5">
        <f>(AC87-AVERAGE(AC$2:AC$229))/AVERAGE(AC$2:AC$229)*100+100</f>
        <v>83.395370056523348</v>
      </c>
      <c r="L87" s="5">
        <f>(AF87-AVERAGE(AF$2:AF$229))/AVERAGE(AF$2:AF$229)*100+100</f>
        <v>122.37346748005984</v>
      </c>
      <c r="M87" s="5">
        <f>(AI87-AVERAGE(AI$2:AI$229))/AVERAGE(AI$2:AI$229)*100+100</f>
        <v>93.484371850893481</v>
      </c>
      <c r="N87" s="5">
        <f>(AVERAGE(AJ$2:AJ$229)-AJ87)/AVERAGE(AJ$2:AJ$229)*100+100</f>
        <v>126.47997024626854</v>
      </c>
      <c r="O87" s="5">
        <f>(AK87-AVERAGE(AK$2:AK$229))/AVERAGE(AK$2:AK$229)*100+100</f>
        <v>100.476762126341</v>
      </c>
      <c r="P87" s="5">
        <f>(AL87-AVERAGE(AL$2:AL$229))/AVERAGE(AL$2:AL$229)*100+100</f>
        <v>103.60052045587526</v>
      </c>
      <c r="Q87" s="5">
        <f>(AM87-AVERAGE(AM$2:AM$229))/AVERAGE(AM$2:AM$229)*100+100</f>
        <v>98.219987243881533</v>
      </c>
      <c r="R87" s="5">
        <f>(AN87-AVERAGE(AN$2:AN$229))/AVERAGE(AN$2:AN$229)*100+100</f>
        <v>105.36248421680891</v>
      </c>
      <c r="S87" s="5">
        <f>(AO87-AVERAGE(AO$2:AO$229))/AVERAGE(AO$2:AO$229)*100+100</f>
        <v>102.24631434812451</v>
      </c>
      <c r="T87" s="6">
        <f>(F87*1.5+H87*2.5+I87+J87+K87*1.5+L87+O87*0.75+P87+S87)/11.25</f>
        <v>103.48099700155447</v>
      </c>
      <c r="V87">
        <f>'2025_Fantasy_Hitters_modified'!F35</f>
        <v>133.62556475507373</v>
      </c>
      <c r="W87">
        <f>'2025_Fantasy_Hitters_modified'!G35</f>
        <v>81.61118238630651</v>
      </c>
      <c r="X87">
        <f>'2025_Fantasy_Hitters_modified'!H35</f>
        <v>27.760665027561949</v>
      </c>
      <c r="Y87">
        <f>'2025_Fantasy_Hitters_modified'!I35</f>
        <v>3.5697825886928447</v>
      </c>
      <c r="Z87">
        <f>'2025_Fantasy_Hitters_modified'!J35</f>
        <v>20.599999999999934</v>
      </c>
      <c r="AA87">
        <f>'2025_Fantasy_Hitters_modified'!K35</f>
        <v>72.206540447503869</v>
      </c>
      <c r="AB87">
        <f>'2025_Fantasy_Hitters_modified'!L35</f>
        <v>72.999999999999773</v>
      </c>
      <c r="AC87" s="2">
        <f>'2025_Fantasy_Hitters_modified'!M35</f>
        <v>38.110499138783993</v>
      </c>
      <c r="AD87">
        <f>'2025_Fantasy_Hitters_modified'!N35</f>
        <v>0.89999999999995395</v>
      </c>
      <c r="AE87">
        <f>'2025_Fantasy_Hitters_modified'!O35</f>
        <v>128.06884683920001</v>
      </c>
      <c r="AF87">
        <f>'2025_Fantasy_Hitters_modified'!P35</f>
        <v>7.1704980842911432</v>
      </c>
      <c r="AG87">
        <f>'2025_Fantasy_Hitters_modified'!Q35</f>
        <v>3.5999999999999632</v>
      </c>
      <c r="AH87">
        <f>'2025_Fantasy_Hitters_modified'!R35</f>
        <v>1.0528735632183579</v>
      </c>
      <c r="AI87">
        <f>'2025_Fantasy_Hitters_modified'!S35</f>
        <v>9.7820998278829254</v>
      </c>
      <c r="AJ87">
        <f>'2025_Fantasy_Hitters_modified'!T35</f>
        <v>1.9955249569706943</v>
      </c>
      <c r="AK87">
        <f>'2025_Fantasy_Hitters_modified'!U35</f>
        <v>7.7865748709122311</v>
      </c>
      <c r="AL87">
        <f>'2025_Fantasy_Hitters_modified'!V35</f>
        <v>0.25846337476803427</v>
      </c>
      <c r="AM87">
        <f>'2025_Fantasy_Hitters_modified'!W35</f>
        <v>0.32130662711808167</v>
      </c>
      <c r="AN87">
        <f>'2025_Fantasy_Hitters_modified'!X35</f>
        <v>0.44534208937622571</v>
      </c>
      <c r="AO87">
        <f>'2025_Fantasy_Hitters_modified'!Y35</f>
        <v>0.76664871649430744</v>
      </c>
      <c r="AP87">
        <f>'2025_Fantasy_Hitters_modified'!Z35</f>
        <v>0.30388840459999999</v>
      </c>
      <c r="AQ87">
        <f>'2025_Fantasy_Hitters_modified'!AA35</f>
        <v>22.547332189999999</v>
      </c>
      <c r="AR87">
        <f>'2025_Fantasy_Hitters_modified'!AB35</f>
        <v>6.7095949187999997</v>
      </c>
    </row>
    <row r="88" spans="1:44" x14ac:dyDescent="0.4">
      <c r="A88" t="str">
        <f>'2025_Fantasy_Hitters_modified'!A157</f>
        <v>PHI</v>
      </c>
      <c r="B88" t="str">
        <f>'2025_Fantasy_Hitters_modified'!B157</f>
        <v>Bryson Stott</v>
      </c>
      <c r="C88">
        <f>'2025_Fantasy_Hitters_modified'!D157</f>
        <v>534</v>
      </c>
      <c r="D88">
        <f>'2025_Fantasy_Hitters_modified'!E157</f>
        <v>592</v>
      </c>
      <c r="E88" s="5">
        <f>(V88-AVERAGE(V$2:V$229))/AVERAGE(V$2:V$229)*100+100</f>
        <v>115.97994602713176</v>
      </c>
      <c r="F88" s="4">
        <f>E88*1.51744-31.775</f>
        <v>144.21760929941081</v>
      </c>
      <c r="G88" s="5">
        <f>(Z88-AVERAGE(Z$2:Z$229))/AVERAGE(Z$2:Z$229)*100+100</f>
        <v>65.79137209637851</v>
      </c>
      <c r="H88" s="4">
        <f>G88*0.83285-13.6979</f>
        <v>41.096444250468835</v>
      </c>
      <c r="I88" s="5">
        <f>(AA88-AVERAGE(AA$2:AA$229))/AVERAGE(AA$2:AA$229)*100+100</f>
        <v>108.82043047808627</v>
      </c>
      <c r="J88" s="5">
        <f>(AB88-AVERAGE(AB$2:AB$229))/AVERAGE(AB$2:AB$229)*100+100</f>
        <v>91.992067291253619</v>
      </c>
      <c r="K88" s="5">
        <f>(AC88-AVERAGE(AC$2:AC$229))/AVERAGE(AC$2:AC$229)*100+100</f>
        <v>105.47710030100569</v>
      </c>
      <c r="L88" s="5">
        <f>(AF88-AVERAGE(AF$2:AF$229))/AVERAGE(AF$2:AF$229)*100+100</f>
        <v>66.803016781477965</v>
      </c>
      <c r="M88" s="5">
        <f>(AI88-AVERAGE(AI$2:AI$229))/AVERAGE(AI$2:AI$229)*100+100</f>
        <v>266.03088620395965</v>
      </c>
      <c r="N88" s="5">
        <f>(AVERAGE(AJ$2:AJ$229)-AJ88)/AVERAGE(AJ$2:AJ$229)*100+100</f>
        <v>17.457258708479344</v>
      </c>
      <c r="O88" s="5">
        <f>(AK88-AVERAGE(AK$2:AK$229))/AVERAGE(AK$2:AK$229)*100+100</f>
        <v>295.27210486069049</v>
      </c>
      <c r="P88" s="5">
        <f>(AL88-AVERAGE(AL$2:AL$229))/AVERAGE(AL$2:AL$229)*100+100</f>
        <v>102.26682169594928</v>
      </c>
      <c r="Q88" s="5">
        <f>(AM88-AVERAGE(AM$2:AM$229))/AVERAGE(AM$2:AM$229)*100+100</f>
        <v>98.480670698016908</v>
      </c>
      <c r="R88" s="5">
        <f>(AN88-AVERAGE(AN$2:AN$229))/AVERAGE(AN$2:AN$229)*100+100</f>
        <v>89.426832718758618</v>
      </c>
      <c r="S88" s="5">
        <f>(AO88-AVERAGE(AO$2:AO$229))/AVERAGE(AO$2:AO$229)*100+100</f>
        <v>93.376893490762157</v>
      </c>
      <c r="T88" s="6">
        <f>(F88*1.5+H88*2.5+I88+J88+K88*1.5+L88+O88*0.75+P88+S88)/11.25</f>
        <v>103.28857630309723</v>
      </c>
      <c r="V88">
        <f>'2025_Fantasy_Hitters_modified'!F157</f>
        <v>136.24265222199372</v>
      </c>
      <c r="W88">
        <f>'2025_Fantasy_Hitters_modified'!G157</f>
        <v>95.129793327136824</v>
      </c>
      <c r="X88">
        <f>'2025_Fantasy_Hitters_modified'!H157</f>
        <v>24.848530444398754</v>
      </c>
      <c r="Y88">
        <f>'2025_Fantasy_Hitters_modified'!I157</f>
        <v>3.0058706182740336</v>
      </c>
      <c r="Z88">
        <f>'2025_Fantasy_Hitters_modified'!J157</f>
        <v>11.999999999999957</v>
      </c>
      <c r="AA88">
        <f>'2025_Fantasy_Hitters_modified'!K157</f>
        <v>71.758525345621933</v>
      </c>
      <c r="AB88">
        <f>'2025_Fantasy_Hitters_modified'!L157</f>
        <v>58.999999999999964</v>
      </c>
      <c r="AC88" s="2">
        <f>'2025_Fantasy_Hitters_modified'!M157</f>
        <v>48.201536097968003</v>
      </c>
      <c r="AD88">
        <f>'2025_Fantasy_Hitters_modified'!N157</f>
        <v>1.3909370199692295</v>
      </c>
      <c r="AE88">
        <f>'2025_Fantasy_Hitters_modified'!O157</f>
        <v>100.94009214079999</v>
      </c>
      <c r="AF88">
        <f>'2025_Fantasy_Hitters_modified'!P157</f>
        <v>3.9143362831858086</v>
      </c>
      <c r="AG88">
        <f>'2025_Fantasy_Hitters_modified'!Q157</f>
        <v>5.3999999999999693</v>
      </c>
      <c r="AH88">
        <f>'2025_Fantasy_Hitters_modified'!R157</f>
        <v>0.39999999999997893</v>
      </c>
      <c r="AI88">
        <f>'2025_Fantasy_Hitters_modified'!S157</f>
        <v>27.837173579109031</v>
      </c>
      <c r="AJ88">
        <f>'2025_Fantasy_Hitters_modified'!T157</f>
        <v>4.9546850998463601</v>
      </c>
      <c r="AK88">
        <f>'2025_Fantasy_Hitters_modified'!U157</f>
        <v>22.882488479262669</v>
      </c>
      <c r="AL88">
        <f>'2025_Fantasy_Hitters_modified'!V157</f>
        <v>0.25513605285017549</v>
      </c>
      <c r="AM88">
        <f>'2025_Fantasy_Hitters_modified'!W157</f>
        <v>0.32215939979443881</v>
      </c>
      <c r="AN88">
        <f>'2025_Fantasy_Hitters_modified'!X157</f>
        <v>0.37798589151827017</v>
      </c>
      <c r="AO88">
        <f>'2025_Fantasy_Hitters_modified'!Y157</f>
        <v>0.70014529131270897</v>
      </c>
      <c r="AP88">
        <f>'2025_Fantasy_Hitters_modified'!Z157</f>
        <v>0.29133489439999999</v>
      </c>
      <c r="AQ88">
        <f>'2025_Fantasy_Hitters_modified'!AA157</f>
        <v>17.050691239999999</v>
      </c>
      <c r="AR88">
        <f>'2025_Fantasy_Hitters_modified'!AB157</f>
        <v>8.1421513679000004</v>
      </c>
    </row>
    <row r="89" spans="1:44" x14ac:dyDescent="0.4">
      <c r="A89" t="str">
        <f>'2025_Fantasy_Hitters_modified'!A98</f>
        <v>KCR</v>
      </c>
      <c r="B89" t="str">
        <f>'2025_Fantasy_Hitters_modified'!B98</f>
        <v>Salvador Perez</v>
      </c>
      <c r="C89">
        <f>'2025_Fantasy_Hitters_modified'!D98</f>
        <v>539</v>
      </c>
      <c r="D89">
        <f>'2025_Fantasy_Hitters_modified'!E98</f>
        <v>585</v>
      </c>
      <c r="E89" s="5">
        <f>(V89-AVERAGE(V$2:V$229))/AVERAGE(V$2:V$229)*100+100</f>
        <v>115.61744074584779</v>
      </c>
      <c r="F89" s="4">
        <f>E89*1.51744-31.775</f>
        <v>143.66752928537926</v>
      </c>
      <c r="G89" s="5">
        <f>(Z89-AVERAGE(Z$2:Z$229))/AVERAGE(Z$2:Z$229)*100+100</f>
        <v>131.58274419275739</v>
      </c>
      <c r="H89" s="4">
        <f>G89*0.83285-13.6979</f>
        <v>95.890788500937987</v>
      </c>
      <c r="I89" s="5">
        <f>(AA89-AVERAGE(AA$2:AA$229))/AVERAGE(AA$2:AA$229)*100+100</f>
        <v>95.618578680164987</v>
      </c>
      <c r="J89" s="5">
        <f>(AB89-AVERAGE(AB$2:AB$229))/AVERAGE(AB$2:AB$229)*100+100</f>
        <v>134.09013198386128</v>
      </c>
      <c r="K89" s="5">
        <f>(AC89-AVERAGE(AC$2:AC$229))/AVERAGE(AC$2:AC$229)*100+100</f>
        <v>67.954873839959149</v>
      </c>
      <c r="L89" s="5">
        <f>(AF89-AVERAGE(AF$2:AF$229))/AVERAGE(AF$2:AF$229)*100+100</f>
        <v>173.31275991142743</v>
      </c>
      <c r="M89" s="5">
        <f>(AI89-AVERAGE(AI$2:AI$229))/AVERAGE(AI$2:AI$229)*100+100</f>
        <v>0</v>
      </c>
      <c r="N89" s="5">
        <f>(AVERAGE(AJ$2:AJ$229)-AJ89)/AVERAGE(AJ$2:AJ$229)*100+100</f>
        <v>200</v>
      </c>
      <c r="O89" s="5">
        <f>(AK89-AVERAGE(AK$2:AK$229))/AVERAGE(AK$2:AK$229)*100+100</f>
        <v>0</v>
      </c>
      <c r="P89" s="5">
        <f>(AL89-AVERAGE(AL$2:AL$229))/AVERAGE(AL$2:AL$229)*100+100</f>
        <v>101.00147130226684</v>
      </c>
      <c r="Q89" s="5">
        <f>(AM89-AVERAGE(AM$2:AM$229))/AVERAGE(AM$2:AM$229)*100+100</f>
        <v>95.600777029081527</v>
      </c>
      <c r="R89" s="5">
        <f>(AN89-AVERAGE(AN$2:AN$229))/AVERAGE(AN$2:AN$229)*100+100</f>
        <v>104.17168831090042</v>
      </c>
      <c r="S89" s="5">
        <f>(AO89-AVERAGE(AO$2:AO$229))/AVERAGE(AO$2:AO$229)*100+100</f>
        <v>100.43232159015757</v>
      </c>
      <c r="T89" s="6">
        <f>(F89*1.5+H89*2.5+I89+J89+K89*1.5+L89+O89*0.75+P89+S89)/11.25</f>
        <v>103.25474128073161</v>
      </c>
      <c r="V89">
        <f>'2025_Fantasy_Hitters_modified'!F98</f>
        <v>135.81681411240316</v>
      </c>
      <c r="W89">
        <f>'2025_Fantasy_Hitters_modified'!G98</f>
        <v>84.997336180598353</v>
      </c>
      <c r="X89">
        <f>'2025_Fantasy_Hitters_modified'!H98</f>
        <v>26.671900613967718</v>
      </c>
      <c r="Y89">
        <f>'2025_Fantasy_Hitters_modified'!I98</f>
        <v>0.99511614473238763</v>
      </c>
      <c r="Z89">
        <f>'2025_Fantasy_Hitters_modified'!J98</f>
        <v>23.999999999999982</v>
      </c>
      <c r="AA89">
        <f>'2025_Fantasy_Hitters_modified'!K98</f>
        <v>63.052941176470441</v>
      </c>
      <c r="AB89">
        <f>'2025_Fantasy_Hitters_modified'!L98</f>
        <v>86</v>
      </c>
      <c r="AC89" s="2">
        <f>'2025_Fantasy_Hitters_modified'!M98</f>
        <v>31.054411764090002</v>
      </c>
      <c r="AD89">
        <f>'2025_Fantasy_Hitters_modified'!N98</f>
        <v>4.3691176470588013</v>
      </c>
      <c r="AE89">
        <f>'2025_Fantasy_Hitters_modified'!O98</f>
        <v>129.0441176505</v>
      </c>
      <c r="AF89">
        <f>'2025_Fantasy_Hitters_modified'!P98</f>
        <v>10.155296229802424</v>
      </c>
      <c r="AG89">
        <f>'2025_Fantasy_Hitters_modified'!Q98</f>
        <v>5.5999999999999632</v>
      </c>
      <c r="AH89">
        <f>'2025_Fantasy_Hitters_modified'!R98</f>
        <v>0</v>
      </c>
      <c r="AI89">
        <f>'2025_Fantasy_Hitters_modified'!S98</f>
        <v>0</v>
      </c>
      <c r="AJ89">
        <f>'2025_Fantasy_Hitters_modified'!T98</f>
        <v>0</v>
      </c>
      <c r="AK89">
        <f>'2025_Fantasy_Hitters_modified'!U98</f>
        <v>0</v>
      </c>
      <c r="AL89">
        <f>'2025_Fantasy_Hitters_modified'!V98</f>
        <v>0.25197924696178697</v>
      </c>
      <c r="AM89">
        <f>'2025_Fantasy_Hitters_modified'!W98</f>
        <v>0.31273841586652662</v>
      </c>
      <c r="AN89">
        <f>'2025_Fantasy_Hitters_modified'!X98</f>
        <v>0.4403088791145286</v>
      </c>
      <c r="AO89">
        <f>'2025_Fantasy_Hitters_modified'!Y98</f>
        <v>0.75304729498105516</v>
      </c>
      <c r="AP89">
        <f>'2025_Fantasy_Hitters_modified'!Z98</f>
        <v>0.28557051280000001</v>
      </c>
      <c r="AQ89">
        <f>'2025_Fantasy_Hitters_modified'!AA98</f>
        <v>22.058823530000002</v>
      </c>
      <c r="AR89">
        <f>'2025_Fantasy_Hitters_modified'!AB98</f>
        <v>5.3084464554000004</v>
      </c>
    </row>
    <row r="90" spans="1:44" x14ac:dyDescent="0.4">
      <c r="A90" t="str">
        <f>'2025_Fantasy_Hitters_modified'!A76</f>
        <v>COL</v>
      </c>
      <c r="B90" t="str">
        <f>'2025_Fantasy_Hitters_modified'!B76</f>
        <v>Ezequiel Tovar</v>
      </c>
      <c r="C90">
        <f>'2025_Fantasy_Hitters_modified'!D76</f>
        <v>604</v>
      </c>
      <c r="D90">
        <f>'2025_Fantasy_Hitters_modified'!E76</f>
        <v>643</v>
      </c>
      <c r="E90" s="5">
        <f>(V90-AVERAGE(V$2:V$229))/AVERAGE(V$2:V$229)*100+100</f>
        <v>136.3956934896361</v>
      </c>
      <c r="F90" s="4">
        <f>E90*1.51744-31.775</f>
        <v>175.19728112891337</v>
      </c>
      <c r="G90" s="5">
        <f>(Z90-AVERAGE(Z$2:Z$229))/AVERAGE(Z$2:Z$229)*100+100</f>
        <v>120.61751551002757</v>
      </c>
      <c r="H90" s="4">
        <f>G90*0.83285-13.6979</f>
        <v>86.758397792526452</v>
      </c>
      <c r="I90" s="5">
        <f>(AA90-AVERAGE(AA$2:AA$229))/AVERAGE(AA$2:AA$229)*100+100</f>
        <v>119.20025921913287</v>
      </c>
      <c r="J90" s="5">
        <f>(AB90-AVERAGE(AB$2:AB$229))/AVERAGE(AB$2:AB$229)*100+100</f>
        <v>118.49825617178408</v>
      </c>
      <c r="K90" s="5">
        <f>(AC90-AVERAGE(AC$2:AC$229))/AVERAGE(AC$2:AC$229)*100+100</f>
        <v>65.030953191767836</v>
      </c>
      <c r="L90" s="5">
        <f>(AF90-AVERAGE(AF$2:AF$229))/AVERAGE(AF$2:AF$229)*100+100</f>
        <v>83.540704571058356</v>
      </c>
      <c r="M90" s="5">
        <f>(AI90-AVERAGE(AI$2:AI$229))/AVERAGE(AI$2:AI$229)*100+100</f>
        <v>85.470965800855879</v>
      </c>
      <c r="N90" s="5">
        <f>(AVERAGE(AJ$2:AJ$229)-AJ90)/AVERAGE(AJ$2:AJ$229)*100+100</f>
        <v>86.712149552288452</v>
      </c>
      <c r="O90" s="5">
        <f>(AK90-AVERAGE(AK$2:AK$229))/AVERAGE(AK$2:AK$229)*100+100</f>
        <v>75.728269910788654</v>
      </c>
      <c r="P90" s="5">
        <f>(AL90-AVERAGE(AL$2:AL$229))/AVERAGE(AL$2:AL$229)*100+100</f>
        <v>106.33024958738756</v>
      </c>
      <c r="Q90" s="5">
        <f>(AM90-AVERAGE(AM$2:AM$229))/AVERAGE(AM$2:AM$229)*100+100</f>
        <v>93.637879708936623</v>
      </c>
      <c r="R90" s="5">
        <f>(AN90-AVERAGE(AN$2:AN$229))/AVERAGE(AN$2:AN$229)*100+100</f>
        <v>103.31808941850733</v>
      </c>
      <c r="S90" s="5">
        <f>(AO90-AVERAGE(AO$2:AO$229))/AVERAGE(AO$2:AO$229)*100+100</f>
        <v>99.094751567074255</v>
      </c>
      <c r="T90" s="6">
        <f>(F90*1.5+H90*2.5+I90+J90+K90*1.5+L90+O90*0.75+P90+S90)/11.25</f>
        <v>103.17322395661037</v>
      </c>
      <c r="V90">
        <f>'2025_Fantasy_Hitters_modified'!F76</f>
        <v>160.22520848853432</v>
      </c>
      <c r="W90">
        <f>'2025_Fantasy_Hitters_modified'!G76</f>
        <v>99.689285167760232</v>
      </c>
      <c r="X90">
        <f>'2025_Fantasy_Hitters_modified'!H76</f>
        <v>32.523578467890317</v>
      </c>
      <c r="Y90">
        <f>'2025_Fantasy_Hitters_modified'!I76</f>
        <v>3.676971232342046</v>
      </c>
      <c r="Z90">
        <f>'2025_Fantasy_Hitters_modified'!J76</f>
        <v>21.999999999999979</v>
      </c>
      <c r="AA90">
        <f>'2025_Fantasy_Hitters_modified'!K76</f>
        <v>78.603206997084442</v>
      </c>
      <c r="AB90">
        <f>'2025_Fantasy_Hitters_modified'!L76</f>
        <v>75.999999999999801</v>
      </c>
      <c r="AC90" s="2">
        <f>'2025_Fantasy_Hitters_modified'!M76</f>
        <v>29.718221574284001</v>
      </c>
      <c r="AD90">
        <f>'2025_Fantasy_Hitters_modified'!N76</f>
        <v>0.99373177842565097</v>
      </c>
      <c r="AE90">
        <f>'2025_Fantasy_Hitters_modified'!O76</f>
        <v>166.84256562410002</v>
      </c>
      <c r="AF90">
        <f>'2025_Fantasy_Hitters_modified'!P76</f>
        <v>4.8950844854070601</v>
      </c>
      <c r="AG90">
        <f>'2025_Fantasy_Hitters_modified'!Q76</f>
        <v>4.5999999999999961</v>
      </c>
      <c r="AH90">
        <f>'2025_Fantasy_Hitters_modified'!R76</f>
        <v>2.977880184331767</v>
      </c>
      <c r="AI90">
        <f>'2025_Fantasy_Hitters_modified'!S76</f>
        <v>8.9435860058308645</v>
      </c>
      <c r="AJ90">
        <f>'2025_Fantasy_Hitters_modified'!T76</f>
        <v>3.0749271137026173</v>
      </c>
      <c r="AK90">
        <f>'2025_Fantasy_Hitters_modified'!U76</f>
        <v>5.8686588921282468</v>
      </c>
      <c r="AL90">
        <f>'2025_Fantasy_Hitters_modified'!V76</f>
        <v>0.26527352398763959</v>
      </c>
      <c r="AM90">
        <f>'2025_Fantasy_Hitters_modified'!W76</f>
        <v>0.30631719819981218</v>
      </c>
      <c r="AN90">
        <f>'2025_Fantasy_Hitters_modified'!X76</f>
        <v>0.4367009201996141</v>
      </c>
      <c r="AO90">
        <f>'2025_Fantasy_Hitters_modified'!Y76</f>
        <v>0.74301811839942622</v>
      </c>
      <c r="AP90">
        <f>'2025_Fantasy_Hitters_modified'!Z76</f>
        <v>0.32929782099999999</v>
      </c>
      <c r="AQ90">
        <f>'2025_Fantasy_Hitters_modified'!AA76</f>
        <v>25.947521869999999</v>
      </c>
      <c r="AR90">
        <f>'2025_Fantasy_Hitters_modified'!AB76</f>
        <v>4.6218073987999997</v>
      </c>
    </row>
    <row r="91" spans="1:44" x14ac:dyDescent="0.4">
      <c r="A91" t="str">
        <f>'2025_Fantasy_Hitters_modified'!A28</f>
        <v>BAL</v>
      </c>
      <c r="B91" t="str">
        <f>'2025_Fantasy_Hitters_modified'!B28</f>
        <v>Adley Rutschman</v>
      </c>
      <c r="C91">
        <f>'2025_Fantasy_Hitters_modified'!D28</f>
        <v>536</v>
      </c>
      <c r="D91">
        <f>'2025_Fantasy_Hitters_modified'!E28</f>
        <v>613</v>
      </c>
      <c r="E91" s="5">
        <f>(V91-AVERAGE(V$2:V$229))/AVERAGE(V$2:V$229)*100+100</f>
        <v>118.19612187716378</v>
      </c>
      <c r="F91" s="4">
        <f>E91*1.51744-31.775</f>
        <v>147.58052318128338</v>
      </c>
      <c r="G91" s="5">
        <f>(Z91-AVERAGE(Z$2:Z$229))/AVERAGE(Z$2:Z$229)*100+100</f>
        <v>105.26619535420576</v>
      </c>
      <c r="H91" s="4">
        <f>G91*0.83285-13.6979</f>
        <v>73.973050800750258</v>
      </c>
      <c r="I91" s="5">
        <f>(AA91-AVERAGE(AA$2:AA$229))/AVERAGE(AA$2:AA$229)*100+100</f>
        <v>114.10871534851358</v>
      </c>
      <c r="J91" s="5">
        <f>(AB91-AVERAGE(AB$2:AB$229))/AVERAGE(AB$2:AB$229)*100+100</f>
        <v>113.82069342816092</v>
      </c>
      <c r="K91" s="5">
        <f>(AC91-AVERAGE(AC$2:AC$229))/AVERAGE(AC$2:AC$229)*100+100</f>
        <v>145.09005939564241</v>
      </c>
      <c r="L91" s="5">
        <f>(AF91-AVERAGE(AF$2:AF$229))/AVERAGE(AF$2:AF$229)*100+100</f>
        <v>82.218618426748762</v>
      </c>
      <c r="M91" s="5">
        <f>(AI91-AVERAGE(AI$2:AI$229))/AVERAGE(AI$2:AI$229)*100+100</f>
        <v>19.201419642876388</v>
      </c>
      <c r="N91" s="5">
        <f>(AVERAGE(AJ$2:AJ$229)-AJ91)/AVERAGE(AJ$2:AJ$229)*100+100</f>
        <v>200</v>
      </c>
      <c r="O91" s="5">
        <f>(AK91-AVERAGE(AK$2:AK$229))/AVERAGE(AK$2:AK$229)*100+100</f>
        <v>25.926600935212633</v>
      </c>
      <c r="P91" s="5">
        <f>(AL91-AVERAGE(AL$2:AL$229))/AVERAGE(AL$2:AL$229)*100+100</f>
        <v>103.8320793038752</v>
      </c>
      <c r="Q91" s="5">
        <f>(AM91-AVERAGE(AM$2:AM$229))/AVERAGE(AM$2:AM$229)*100+100</f>
        <v>106.67583449475096</v>
      </c>
      <c r="R91" s="5">
        <f>(AN91-AVERAGE(AN$2:AN$229))/AVERAGE(AN$2:AN$229)*100+100</f>
        <v>99.00196394205922</v>
      </c>
      <c r="S91" s="5">
        <f>(AO91-AVERAGE(AO$2:AO$229))/AVERAGE(AO$2:AO$229)*100+100</f>
        <v>102.3499645478867</v>
      </c>
      <c r="T91" s="6">
        <f>(F91*1.5+H91*2.5+I91+J91+K91*1.5+L91+O91*0.75+P91+S91)/11.25</f>
        <v>103.08564645545411</v>
      </c>
      <c r="V91">
        <f>'2025_Fantasy_Hitters_modified'!F28</f>
        <v>138.84601328519045</v>
      </c>
      <c r="W91">
        <f>'2025_Fantasy_Hitters_modified'!G28</f>
        <v>90.992999934140784</v>
      </c>
      <c r="X91">
        <f>'2025_Fantasy_Hitters_modified'!H28</f>
        <v>26.141145759789499</v>
      </c>
      <c r="Y91">
        <f>'2025_Fantasy_Hitters_modified'!I28</f>
        <v>1.4060096476451609</v>
      </c>
      <c r="Z91">
        <f>'2025_Fantasy_Hitters_modified'!J28</f>
        <v>19.19999999999996</v>
      </c>
      <c r="AA91">
        <f>'2025_Fantasy_Hitters_modified'!K28</f>
        <v>75.245733788395427</v>
      </c>
      <c r="AB91">
        <f>'2025_Fantasy_Hitters_modified'!L28</f>
        <v>72.999999999999744</v>
      </c>
      <c r="AC91" s="2">
        <f>'2025_Fantasy_Hitters_modified'!M28</f>
        <v>66.304095537870012</v>
      </c>
      <c r="AD91">
        <f>'2025_Fantasy_Hitters_modified'!N28</f>
        <v>3.0138225255972357</v>
      </c>
      <c r="AE91">
        <f>'2025_Fantasy_Hitters_modified'!O28</f>
        <v>96.238907830999992</v>
      </c>
      <c r="AF91">
        <f>'2025_Fantasy_Hitters_modified'!P28</f>
        <v>4.8176165803108466</v>
      </c>
      <c r="AG91">
        <f>'2025_Fantasy_Hitters_modified'!Q28</f>
        <v>4.9999999999999662</v>
      </c>
      <c r="AH91">
        <f>'2025_Fantasy_Hitters_modified'!R28</f>
        <v>0.39999999999998753</v>
      </c>
      <c r="AI91">
        <f>'2025_Fantasy_Hitters_modified'!S28</f>
        <v>2.0092150170648422</v>
      </c>
      <c r="AJ91">
        <f>'2025_Fantasy_Hitters_modified'!T28</f>
        <v>0</v>
      </c>
      <c r="AK91">
        <f>'2025_Fantasy_Hitters_modified'!U28</f>
        <v>2.0092150170648422</v>
      </c>
      <c r="AL91">
        <f>'2025_Fantasy_Hitters_modified'!V28</f>
        <v>0.25904106956192247</v>
      </c>
      <c r="AM91">
        <f>'2025_Fantasy_Hitters_modified'!W28</f>
        <v>0.34896820431678777</v>
      </c>
      <c r="AN91">
        <f>'2025_Fantasy_Hitters_modified'!X28</f>
        <v>0.41845768730719235</v>
      </c>
      <c r="AO91">
        <f>'2025_Fantasy_Hitters_modified'!Y28</f>
        <v>0.76742589162398012</v>
      </c>
      <c r="AP91">
        <f>'2025_Fantasy_Hitters_modified'!Z28</f>
        <v>0.28114885379999999</v>
      </c>
      <c r="AQ91">
        <f>'2025_Fantasy_Hitters_modified'!AA28</f>
        <v>15.699658700000001</v>
      </c>
      <c r="AR91">
        <f>'2025_Fantasy_Hitters_modified'!AB28</f>
        <v>10.816328799000001</v>
      </c>
    </row>
    <row r="92" spans="1:44" x14ac:dyDescent="0.4">
      <c r="A92" t="str">
        <f>'2025_Fantasy_Hitters_modified'!A73</f>
        <v>CLE</v>
      </c>
      <c r="B92" t="str">
        <f>'2025_Fantasy_Hitters_modified'!B73</f>
        <v>Lane Thomas</v>
      </c>
      <c r="C92">
        <f>'2025_Fantasy_Hitters_modified'!D73</f>
        <v>510</v>
      </c>
      <c r="D92">
        <f>'2025_Fantasy_Hitters_modified'!E73</f>
        <v>567</v>
      </c>
      <c r="E92" s="5">
        <f>(V92-AVERAGE(V$2:V$229))/AVERAGE(V$2:V$229)*100+100</f>
        <v>103.72741329347541</v>
      </c>
      <c r="F92" s="4">
        <f>E92*1.51744-31.775</f>
        <v>125.62512602805131</v>
      </c>
      <c r="G92" s="5">
        <f>(Z92-AVERAGE(Z$2:Z$229))/AVERAGE(Z$2:Z$229)*100+100</f>
        <v>91.011398066656909</v>
      </c>
      <c r="H92" s="4">
        <f>G92*0.83285-13.6979</f>
        <v>62.100942879815207</v>
      </c>
      <c r="I92" s="5">
        <f>(AA92-AVERAGE(AA$2:AA$229))/AVERAGE(AA$2:AA$229)*100+100</f>
        <v>108.55534292729592</v>
      </c>
      <c r="J92" s="5">
        <f>(AB92-AVERAGE(AB$2:AB$229))/AVERAGE(AB$2:AB$229)*100+100</f>
        <v>99.788005197291938</v>
      </c>
      <c r="K92" s="5">
        <f>(AC92-AVERAGE(AC$2:AC$229))/AVERAGE(AC$2:AC$229)*100+100</f>
        <v>96.959912562467181</v>
      </c>
      <c r="L92" s="5">
        <f>(AF92-AVERAGE(AF$2:AF$229))/AVERAGE(AF$2:AF$229)*100+100</f>
        <v>117.86659726571106</v>
      </c>
      <c r="M92" s="5">
        <f>(AI92-AVERAGE(AI$2:AI$229))/AVERAGE(AI$2:AI$229)*100+100</f>
        <v>228.02676651361182</v>
      </c>
      <c r="N92" s="5">
        <f>(AVERAGE(AJ$2:AJ$229)-AJ92)/AVERAGE(AJ$2:AJ$229)*100+100</f>
        <v>-96.496047637675929</v>
      </c>
      <c r="O92" s="5">
        <f>(AK92-AVERAGE(AK$2:AK$229))/AVERAGE(AK$2:AK$229)*100+100</f>
        <v>204.045814215322</v>
      </c>
      <c r="P92" s="5">
        <f>(AL92-AVERAGE(AL$2:AL$229))/AVERAGE(AL$2:AL$229)*100+100</f>
        <v>95.767132841762333</v>
      </c>
      <c r="Q92" s="5">
        <f>(AM92-AVERAGE(AM$2:AM$229))/AVERAGE(AM$2:AM$229)*100+100</f>
        <v>94.72555446574745</v>
      </c>
      <c r="R92" s="5">
        <f>(AN92-AVERAGE(AN$2:AN$229))/AVERAGE(AN$2:AN$229)*100+100</f>
        <v>93.986281010937716</v>
      </c>
      <c r="S92" s="5">
        <f>(AO92-AVERAGE(AO$2:AO$229))/AVERAGE(AO$2:AO$229)*100+100</f>
        <v>94.308815507392922</v>
      </c>
      <c r="T92" s="6">
        <f>(F92*1.5+H92*2.5+I92+J92+K92*1.5+L92+O92*0.75+P92+S92)/11.25</f>
        <v>102.97334839877878</v>
      </c>
      <c r="V92">
        <f>'2025_Fantasy_Hitters_modified'!F73</f>
        <v>121.84949535951661</v>
      </c>
      <c r="W92">
        <f>'2025_Fantasy_Hitters_modified'!G73</f>
        <v>75.90423107703451</v>
      </c>
      <c r="X92">
        <f>'2025_Fantasy_Hitters_modified'!H73</f>
        <v>26.312373839879168</v>
      </c>
      <c r="Y92">
        <f>'2025_Fantasy_Hitters_modified'!I73</f>
        <v>2.5574643732218849</v>
      </c>
      <c r="Z92">
        <f>'2025_Fantasy_Hitters_modified'!J73</f>
        <v>16.599999999999937</v>
      </c>
      <c r="AA92">
        <f>'2025_Fantasy_Hitters_modified'!K73</f>
        <v>71.583720930232047</v>
      </c>
      <c r="AB92">
        <f>'2025_Fantasy_Hitters_modified'!L73</f>
        <v>63.999999999999879</v>
      </c>
      <c r="AC92" s="2">
        <f>'2025_Fantasy_Hitters_modified'!M73</f>
        <v>44.309302323425946</v>
      </c>
      <c r="AD92">
        <f>'2025_Fantasy_Hitters_modified'!N73</f>
        <v>9.4186046511627208E-2</v>
      </c>
      <c r="AE92">
        <f>'2025_Fantasy_Hitters_modified'!O73</f>
        <v>145.98837211770001</v>
      </c>
      <c r="AF92">
        <f>'2025_Fantasy_Hitters_modified'!P73</f>
        <v>6.9064171122993789</v>
      </c>
      <c r="AG92">
        <f>'2025_Fantasy_Hitters_modified'!Q73</f>
        <v>4.3999999999999506</v>
      </c>
      <c r="AH92">
        <f>'2025_Fantasy_Hitters_modified'!R73</f>
        <v>0</v>
      </c>
      <c r="AI92">
        <f>'2025_Fantasy_Hitters_modified'!S73</f>
        <v>23.860465116279041</v>
      </c>
      <c r="AJ92">
        <f>'2025_Fantasy_Hitters_modified'!T73</f>
        <v>8.0476744186046059</v>
      </c>
      <c r="AK92">
        <f>'2025_Fantasy_Hitters_modified'!U73</f>
        <v>15.812790697674435</v>
      </c>
      <c r="AL92">
        <f>'2025_Fantasy_Hitters_modified'!V73</f>
        <v>0.23892057913630707</v>
      </c>
      <c r="AM92">
        <f>'2025_Fantasy_Hitters_modified'!W73</f>
        <v>0.30987530401227387</v>
      </c>
      <c r="AN92">
        <f>'2025_Fantasy_Hitters_modified'!X73</f>
        <v>0.39725759191462401</v>
      </c>
      <c r="AO92">
        <f>'2025_Fantasy_Hitters_modified'!Y73</f>
        <v>0.70713289592689788</v>
      </c>
      <c r="AP92">
        <f>'2025_Fantasy_Hitters_modified'!Z73</f>
        <v>0.29916434539999998</v>
      </c>
      <c r="AQ92">
        <f>'2025_Fantasy_Hitters_modified'!AA73</f>
        <v>25.747508310000001</v>
      </c>
      <c r="AR92">
        <f>'2025_Fantasy_Hitters_modified'!AB73</f>
        <v>7.8146917677999896</v>
      </c>
    </row>
    <row r="93" spans="1:44" x14ac:dyDescent="0.4">
      <c r="A93" t="str">
        <f>'2025_Fantasy_Hitters_modified'!A123</f>
        <v>MIL</v>
      </c>
      <c r="B93" t="str">
        <f>'2025_Fantasy_Hitters_modified'!B123</f>
        <v>Christian Yelich</v>
      </c>
      <c r="C93">
        <f>'2025_Fantasy_Hitters_modified'!D123</f>
        <v>452</v>
      </c>
      <c r="D93">
        <f>'2025_Fantasy_Hitters_modified'!E123</f>
        <v>525</v>
      </c>
      <c r="E93" s="5">
        <f>(V93-AVERAGE(V$2:V$229))/AVERAGE(V$2:V$229)*100+100</f>
        <v>100.3181604706872</v>
      </c>
      <c r="F93" s="4">
        <f>E93*1.51744-31.775</f>
        <v>120.45178942463957</v>
      </c>
      <c r="G93" s="5">
        <f>(Z93-AVERAGE(Z$2:Z$229))/AVERAGE(Z$2:Z$229)*100+100</f>
        <v>82.239215120472934</v>
      </c>
      <c r="H93" s="4">
        <f>G93*0.83285-13.6979</f>
        <v>54.795030313085874</v>
      </c>
      <c r="I93" s="5">
        <f>(AA93-AVERAGE(AA$2:AA$229))/AVERAGE(AA$2:AA$229)*100+100</f>
        <v>109.26429558054562</v>
      </c>
      <c r="J93" s="5">
        <f>(AB93-AVERAGE(AB$2:AB$229))/AVERAGE(AB$2:AB$229)*100+100</f>
        <v>91.992067291253363</v>
      </c>
      <c r="K93" s="5">
        <f>(AC93-AVERAGE(AC$2:AC$229))/AVERAGE(AC$2:AC$229)*100+100</f>
        <v>140.45374525354654</v>
      </c>
      <c r="L93" s="5">
        <f>(AF93-AVERAGE(AF$2:AF$229))/AVERAGE(AF$2:AF$229)*100+100</f>
        <v>51.531055404358206</v>
      </c>
      <c r="M93" s="5">
        <f>(AI93-AVERAGE(AI$2:AI$229))/AVERAGE(AI$2:AI$229)*100+100</f>
        <v>200.72518778294719</v>
      </c>
      <c r="N93" s="5">
        <f>(AVERAGE(AJ$2:AJ$229)-AJ93)/AVERAGE(AJ$2:AJ$229)*100+100</f>
        <v>53.888232288925728</v>
      </c>
      <c r="O93" s="5">
        <f>(AK93-AVERAGE(AK$2:AK$229))/AVERAGE(AK$2:AK$229)*100+100</f>
        <v>219.85320840897018</v>
      </c>
      <c r="P93" s="5">
        <f>(AL93-AVERAGE(AL$2:AL$229))/AVERAGE(AL$2:AL$229)*100+100</f>
        <v>104.50431881242577</v>
      </c>
      <c r="Q93" s="5">
        <f>(AM93-AVERAGE(AM$2:AM$229))/AVERAGE(AM$2:AM$229)*100+100</f>
        <v>110.75105656968395</v>
      </c>
      <c r="R93" s="5">
        <f>(AN93-AVERAGE(AN$2:AN$229))/AVERAGE(AN$2:AN$229)*100+100</f>
        <v>100.18888993233045</v>
      </c>
      <c r="S93" s="5">
        <f>(AO93-AVERAGE(AO$2:AO$229))/AVERAGE(AO$2:AO$229)*100+100</f>
        <v>104.79701305063178</v>
      </c>
      <c r="T93" s="6">
        <f>(F93*1.5+H93*2.5+I93+J93+K93*1.5+L93+O93*0.75+P93+S93)/11.25</f>
        <v>102.69551415519432</v>
      </c>
      <c r="V93">
        <f>'2025_Fantasy_Hitters_modified'!F123</f>
        <v>117.8446163904979</v>
      </c>
      <c r="W93">
        <f>'2025_Fantasy_Hitters_modified'!G123</f>
        <v>78.308935956262673</v>
      </c>
      <c r="X93">
        <f>'2025_Fantasy_Hitters_modified'!H123</f>
        <v>22.744482470975502</v>
      </c>
      <c r="Y93">
        <f>'2025_Fantasy_Hitters_modified'!I123</f>
        <v>2.5375304479513199</v>
      </c>
      <c r="Z93">
        <f>'2025_Fantasy_Hitters_modified'!J123</f>
        <v>14.999999999999909</v>
      </c>
      <c r="AA93">
        <f>'2025_Fantasy_Hitters_modified'!K123</f>
        <v>72.051219512194649</v>
      </c>
      <c r="AB93">
        <f>'2025_Fantasy_Hitters_modified'!L123</f>
        <v>58.999999999999801</v>
      </c>
      <c r="AC93" s="2">
        <f>'2025_Fantasy_Hitters_modified'!M123</f>
        <v>64.185365852999993</v>
      </c>
      <c r="AD93">
        <f>'2025_Fantasy_Hitters_modified'!N123</f>
        <v>4.5573170731707195</v>
      </c>
      <c r="AE93">
        <f>'2025_Fantasy_Hitters_modified'!O123</f>
        <v>115.2439024275</v>
      </c>
      <c r="AF93">
        <f>'2025_Fantasy_Hitters_modified'!P123</f>
        <v>3.01947261663285</v>
      </c>
      <c r="AG93">
        <f>'2025_Fantasy_Hitters_modified'!Q123</f>
        <v>2.5999999999999934</v>
      </c>
      <c r="AH93">
        <f>'2025_Fantasy_Hitters_modified'!R123</f>
        <v>1.0389452332657125</v>
      </c>
      <c r="AI93">
        <f>'2025_Fantasy_Hitters_modified'!S123</f>
        <v>21.003658536585323</v>
      </c>
      <c r="AJ93">
        <f>'2025_Fantasy_Hitters_modified'!T123</f>
        <v>3.9658536585365725</v>
      </c>
      <c r="AK93">
        <f>'2025_Fantasy_Hitters_modified'!U123</f>
        <v>17.03780487804875</v>
      </c>
      <c r="AL93">
        <f>'2025_Fantasy_Hitters_modified'!V123</f>
        <v>0.26071817785508383</v>
      </c>
      <c r="AM93">
        <f>'2025_Fantasy_Hitters_modified'!W123</f>
        <v>0.36229946098252752</v>
      </c>
      <c r="AN93">
        <f>'2025_Fantasy_Hitters_modified'!X123</f>
        <v>0.42347454035855586</v>
      </c>
      <c r="AO93">
        <f>'2025_Fantasy_Hitters_modified'!Y123</f>
        <v>0.78577400134108344</v>
      </c>
      <c r="AP93">
        <f>'2025_Fantasy_Hitters_modified'!Z123</f>
        <v>0.31707317099999999</v>
      </c>
      <c r="AQ93">
        <f>'2025_Fantasy_Hitters_modified'!AA123</f>
        <v>21.951219510000001</v>
      </c>
      <c r="AR93">
        <f>'2025_Fantasy_Hitters_modified'!AB123</f>
        <v>12.225783972</v>
      </c>
    </row>
    <row r="94" spans="1:44" x14ac:dyDescent="0.4">
      <c r="A94" t="str">
        <f>'2025_Fantasy_Hitters_modified'!A18</f>
        <v>ATH</v>
      </c>
      <c r="B94" t="str">
        <f>'2025_Fantasy_Hitters_modified'!B18</f>
        <v>Zack Gelof</v>
      </c>
      <c r="C94">
        <f>'2025_Fantasy_Hitters_modified'!D18</f>
        <v>528</v>
      </c>
      <c r="D94">
        <f>'2025_Fantasy_Hitters_modified'!E18</f>
        <v>582</v>
      </c>
      <c r="E94" s="5">
        <f>(V94-AVERAGE(V$2:V$229))/AVERAGE(V$2:V$229)*100+100</f>
        <v>101.11766265544907</v>
      </c>
      <c r="F94" s="4">
        <f>E94*1.51744-31.775</f>
        <v>121.66498601988462</v>
      </c>
      <c r="G94" s="5">
        <f>(Z94-AVERAGE(Z$2:Z$229))/AVERAGE(Z$2:Z$229)*100+100</f>
        <v>107.45924109075168</v>
      </c>
      <c r="H94" s="4">
        <f>G94*0.83285-13.6979</f>
        <v>75.799528942432531</v>
      </c>
      <c r="I94" s="5">
        <f>(AA94-AVERAGE(AA$2:AA$229))/AVERAGE(AA$2:AA$229)*100+100</f>
        <v>105.03579740700053</v>
      </c>
      <c r="J94" s="5">
        <f>(AB94-AVERAGE(AB$2:AB$229))/AVERAGE(AB$2:AB$229)*100+100</f>
        <v>93.551254872460774</v>
      </c>
      <c r="K94" s="5">
        <f>(AC94-AVERAGE(AC$2:AC$229))/AVERAGE(AC$2:AC$229)*100+100</f>
        <v>92.823559214472724</v>
      </c>
      <c r="L94" s="5">
        <f>(AF94-AVERAGE(AF$2:AF$229))/AVERAGE(AF$2:AF$229)*100+100</f>
        <v>82.225721509560714</v>
      </c>
      <c r="M94" s="5">
        <f>(AI94-AVERAGE(AI$2:AI$229))/AVERAGE(AI$2:AI$229)*100+100</f>
        <v>219.89459500200616</v>
      </c>
      <c r="N94" s="5">
        <f>(AVERAGE(AJ$2:AJ$229)-AJ94)/AVERAGE(AJ$2:AJ$229)*100+100</f>
        <v>17.191268665362841</v>
      </c>
      <c r="O94" s="5">
        <f>(AK94-AVERAGE(AK$2:AK$229))/AVERAGE(AK$2:AK$229)*100+100</f>
        <v>232.88369482819814</v>
      </c>
      <c r="P94" s="5">
        <f>(AL94-AVERAGE(AL$2:AL$229))/AVERAGE(AL$2:AL$229)*100+100</f>
        <v>90.175012958533259</v>
      </c>
      <c r="Q94" s="5">
        <f>(AM94-AVERAGE(AM$2:AM$229))/AVERAGE(AM$2:AM$229)*100+100</f>
        <v>88.443910964034743</v>
      </c>
      <c r="R94" s="5">
        <f>(AN94-AVERAGE(AN$2:AN$229))/AVERAGE(AN$2:AN$229)*100+100</f>
        <v>91.863586730923757</v>
      </c>
      <c r="S94" s="5">
        <f>(AO94-AVERAGE(AO$2:AO$229))/AVERAGE(AO$2:AO$229)*100+100</f>
        <v>90.371630818888917</v>
      </c>
      <c r="T94" s="6">
        <f>(F94*1.5+H94*2.5+I94+J94+K94*1.5+L94+O94*0.75+P94+S94)/11.25</f>
        <v>101.97811812401868</v>
      </c>
      <c r="V94">
        <f>'2025_Fantasy_Hitters_modified'!F18</f>
        <v>118.78379856673166</v>
      </c>
      <c r="W94">
        <f>'2025_Fantasy_Hitters_modified'!G18</f>
        <v>72.428094834630002</v>
      </c>
      <c r="X94">
        <f>'2025_Fantasy_Hitters_modified'!H18</f>
        <v>24.044557228298554</v>
      </c>
      <c r="Y94">
        <f>'2025_Fantasy_Hitters_modified'!I18</f>
        <v>2.0325062024825682</v>
      </c>
      <c r="Z94">
        <f>'2025_Fantasy_Hitters_modified'!J18</f>
        <v>19.599999999999952</v>
      </c>
      <c r="AA94">
        <f>'2025_Fantasy_Hitters_modified'!K18</f>
        <v>69.262857142856703</v>
      </c>
      <c r="AB94">
        <f>'2025_Fantasy_Hitters_modified'!L18</f>
        <v>59.999999999999623</v>
      </c>
      <c r="AC94" s="2">
        <f>'2025_Fantasy_Hitters_modified'!M18</f>
        <v>42.419047617444001</v>
      </c>
      <c r="AD94">
        <f>'2025_Fantasy_Hitters_modified'!N18</f>
        <v>0</v>
      </c>
      <c r="AE94">
        <f>'2025_Fantasy_Hitters_modified'!O18</f>
        <v>181.99047619139998</v>
      </c>
      <c r="AF94">
        <f>'2025_Fantasy_Hitters_modified'!P18</f>
        <v>4.8180327868852331</v>
      </c>
      <c r="AG94">
        <f>'2025_Fantasy_Hitters_modified'!Q18</f>
        <v>3.399999999999971</v>
      </c>
      <c r="AH94">
        <f>'2025_Fantasy_Hitters_modified'!R18</f>
        <v>2.0721311475409538</v>
      </c>
      <c r="AI94">
        <f>'2025_Fantasy_Hitters_modified'!S18</f>
        <v>23.009523809523799</v>
      </c>
      <c r="AJ94">
        <f>'2025_Fantasy_Hitters_modified'!T18</f>
        <v>4.9619047619047496</v>
      </c>
      <c r="AK94">
        <f>'2025_Fantasy_Hitters_modified'!U18</f>
        <v>18.047619047619051</v>
      </c>
      <c r="AL94">
        <f>'2025_Fantasy_Hitters_modified'!V18</f>
        <v>0.22496931546729482</v>
      </c>
      <c r="AM94">
        <f>'2025_Fantasy_Hitters_modified'!W18</f>
        <v>0.28932619030406315</v>
      </c>
      <c r="AN94">
        <f>'2025_Fantasy_Hitters_modified'!X18</f>
        <v>0.38828546950506559</v>
      </c>
      <c r="AO94">
        <f>'2025_Fantasy_Hitters_modified'!Y18</f>
        <v>0.67761165980912874</v>
      </c>
      <c r="AP94">
        <f>'2025_Fantasy_Hitters_modified'!Z18</f>
        <v>0.30073054719999998</v>
      </c>
      <c r="AQ94">
        <f>'2025_Fantasy_Hitters_modified'!AA18</f>
        <v>31.269841270000001</v>
      </c>
      <c r="AR94">
        <f>'2025_Fantasy_Hitters_modified'!AB18</f>
        <v>7.2884961541999997</v>
      </c>
    </row>
    <row r="95" spans="1:44" x14ac:dyDescent="0.4">
      <c r="A95" t="str">
        <f>'2025_Fantasy_Hitters_modified'!A153</f>
        <v>NYY</v>
      </c>
      <c r="B95" t="str">
        <f>'2025_Fantasy_Hitters_modified'!B153</f>
        <v>Paul Goldschmidt</v>
      </c>
      <c r="C95">
        <f>'2025_Fantasy_Hitters_modified'!D153</f>
        <v>544</v>
      </c>
      <c r="D95">
        <f>'2025_Fantasy_Hitters_modified'!E153</f>
        <v>609</v>
      </c>
      <c r="E95" s="5">
        <f>(V95-AVERAGE(V$2:V$229))/AVERAGE(V$2:V$229)*100+100</f>
        <v>111.39533009150723</v>
      </c>
      <c r="F95" s="4">
        <f>E95*1.51744-31.775</f>
        <v>137.26072969405672</v>
      </c>
      <c r="G95" s="5">
        <f>(Z95-AVERAGE(Z$2:Z$229))/AVERAGE(Z$2:Z$229)*100+100</f>
        <v>126.10012985139244</v>
      </c>
      <c r="H95" s="4">
        <f>G95*0.83285-13.6979</f>
        <v>91.324593146732184</v>
      </c>
      <c r="I95" s="5">
        <f>(AA95-AVERAGE(AA$2:AA$229))/AVERAGE(AA$2:AA$229)*100+100</f>
        <v>111.52633550268934</v>
      </c>
      <c r="J95" s="5">
        <f>(AB95-AVERAGE(AB$2:AB$229))/AVERAGE(AB$2:AB$229)*100+100</f>
        <v>116.93906859057583</v>
      </c>
      <c r="K95" s="5">
        <f>(AC95-AVERAGE(AC$2:AC$229))/AVERAGE(AC$2:AC$229)*100+100</f>
        <v>119.11063587138852</v>
      </c>
      <c r="L95" s="5">
        <f>(AF95-AVERAGE(AF$2:AF$229))/AVERAGE(AF$2:AF$229)*100+100</f>
        <v>51.390617199108846</v>
      </c>
      <c r="M95" s="5">
        <f>(AI95-AVERAGE(AI$2:AI$229))/AVERAGE(AI$2:AI$229)*100+100</f>
        <v>77.031020170324396</v>
      </c>
      <c r="N95" s="5">
        <f>(AVERAGE(AJ$2:AJ$229)-AJ95)/AVERAGE(AJ$2:AJ$229)*100+100</f>
        <v>130.16128859761383</v>
      </c>
      <c r="O95" s="5">
        <f>(AK95-AVERAGE(AK$2:AK$229))/AVERAGE(AK$2:AK$229)*100+100</f>
        <v>79.550082889355679</v>
      </c>
      <c r="P95" s="5">
        <f>(AL95-AVERAGE(AL$2:AL$229))/AVERAGE(AL$2:AL$229)*100+100</f>
        <v>96.418683801573678</v>
      </c>
      <c r="Q95" s="5">
        <f>(AM95-AVERAGE(AM$2:AM$229))/AVERAGE(AM$2:AM$229)*100+100</f>
        <v>96.101888005679072</v>
      </c>
      <c r="R95" s="5">
        <f>(AN95-AVERAGE(AN$2:AN$229))/AVERAGE(AN$2:AN$229)*100+100</f>
        <v>98.296281258742923</v>
      </c>
      <c r="S95" s="5">
        <f>(AO95-AVERAGE(AO$2:AO$229))/AVERAGE(AO$2:AO$229)*100+100</f>
        <v>97.338898684951005</v>
      </c>
      <c r="T95" s="6">
        <f>(F95*1.5+H95*2.5+I95+J95+K95*1.5+L95+O95*0.75+P95+S95)/11.25</f>
        <v>101.87952863652568</v>
      </c>
      <c r="V95">
        <f>'2025_Fantasy_Hitters_modified'!F153</f>
        <v>130.8570639726029</v>
      </c>
      <c r="W95">
        <f>'2025_Fantasy_Hitters_modified'!G153</f>
        <v>82.066770444805101</v>
      </c>
      <c r="X95">
        <f>'2025_Fantasy_Hitters_modified'!H153</f>
        <v>24.512969084682453</v>
      </c>
      <c r="Y95">
        <f>'2025_Fantasy_Hitters_modified'!I153</f>
        <v>0.97521866196357965</v>
      </c>
      <c r="Z95">
        <f>'2025_Fantasy_Hitters_modified'!J153</f>
        <v>22.999999999999972</v>
      </c>
      <c r="AA95">
        <f>'2025_Fantasy_Hitters_modified'!K153</f>
        <v>73.542857142856704</v>
      </c>
      <c r="AB95">
        <f>'2025_Fantasy_Hitters_modified'!L153</f>
        <v>74.999999999999446</v>
      </c>
      <c r="AC95" s="2">
        <f>'2025_Fantasy_Hitters_modified'!M153</f>
        <v>54.431868132726009</v>
      </c>
      <c r="AD95">
        <f>'2025_Fantasy_Hitters_modified'!N153</f>
        <v>1.5912087912087456</v>
      </c>
      <c r="AE95">
        <f>'2025_Fantasy_Hitters_modified'!O153</f>
        <v>159.65934064499999</v>
      </c>
      <c r="AF95">
        <f>'2025_Fantasy_Hitters_modified'!P153</f>
        <v>3.0112436115843013</v>
      </c>
      <c r="AG95">
        <f>'2025_Fantasy_Hitters_modified'!Q153</f>
        <v>3.9999999999999503</v>
      </c>
      <c r="AH95">
        <f>'2025_Fantasy_Hitters_modified'!R153</f>
        <v>0</v>
      </c>
      <c r="AI95">
        <f>'2025_Fantasy_Hitters_modified'!S153</f>
        <v>8.0604395604394767</v>
      </c>
      <c r="AJ95">
        <f>'2025_Fantasy_Hitters_modified'!T153</f>
        <v>1.8956043956043422</v>
      </c>
      <c r="AK95">
        <f>'2025_Fantasy_Hitters_modified'!U153</f>
        <v>6.1648351648351341</v>
      </c>
      <c r="AL95">
        <f>'2025_Fantasy_Hitters_modified'!V153</f>
        <v>0.24054607347904944</v>
      </c>
      <c r="AM95">
        <f>'2025_Fantasy_Hitters_modified'!W153</f>
        <v>0.31437769807598787</v>
      </c>
      <c r="AN95">
        <f>'2025_Fantasy_Hitters_modified'!X153</f>
        <v>0.41547493492658205</v>
      </c>
      <c r="AO95">
        <f>'2025_Fantasy_Hitters_modified'!Y153</f>
        <v>0.72985263300256986</v>
      </c>
      <c r="AP95">
        <f>'2025_Fantasy_Hitters_modified'!Z153</f>
        <v>0.2952232696</v>
      </c>
      <c r="AQ95">
        <f>'2025_Fantasy_Hitters_modified'!AA153</f>
        <v>26.2166405</v>
      </c>
      <c r="AR95">
        <f>'2025_Fantasy_Hitters_modified'!AB153</f>
        <v>8.9379093814000008</v>
      </c>
    </row>
    <row r="96" spans="1:44" x14ac:dyDescent="0.4">
      <c r="A96" t="str">
        <f>'2025_Fantasy_Hitters_modified'!A175</f>
        <v>SDP</v>
      </c>
      <c r="B96" t="str">
        <f>'2025_Fantasy_Hitters_modified'!B175</f>
        <v>Xander Bogaerts</v>
      </c>
      <c r="C96">
        <f>'2025_Fantasy_Hitters_modified'!D175</f>
        <v>545</v>
      </c>
      <c r="D96">
        <f>'2025_Fantasy_Hitters_modified'!E175</f>
        <v>602</v>
      </c>
      <c r="E96" s="5">
        <f>(V96-AVERAGE(V$2:V$229))/AVERAGE(V$2:V$229)*100+100</f>
        <v>125.54013604426474</v>
      </c>
      <c r="F96" s="4">
        <f>E96*1.51744-31.775</f>
        <v>158.72462403900906</v>
      </c>
      <c r="G96" s="5">
        <f>(Z96-AVERAGE(Z$2:Z$229))/AVERAGE(Z$2:Z$229)*100+100</f>
        <v>87.721829461837999</v>
      </c>
      <c r="H96" s="4">
        <f>G96*0.83285-13.6979</f>
        <v>59.361225667291777</v>
      </c>
      <c r="I96" s="5">
        <f>(AA96-AVERAGE(AA$2:AA$229))/AVERAGE(AA$2:AA$229)*100+100</f>
        <v>108.43497513378466</v>
      </c>
      <c r="J96" s="5">
        <f>(AB96-AVERAGE(AB$2:AB$229))/AVERAGE(AB$2:AB$229)*100+100</f>
        <v>99.788005197291199</v>
      </c>
      <c r="K96" s="5">
        <f>(AC96-AVERAGE(AC$2:AC$229))/AVERAGE(AC$2:AC$229)*100+100</f>
        <v>97.291579862260122</v>
      </c>
      <c r="L96" s="5">
        <f>(AF96-AVERAGE(AF$2:AF$229))/AVERAGE(AF$2:AF$229)*100+100</f>
        <v>101.61800921917752</v>
      </c>
      <c r="M96" s="5">
        <f>(AI96-AVERAGE(AI$2:AI$229))/AVERAGE(AI$2:AI$229)*100+100</f>
        <v>123.42656550103091</v>
      </c>
      <c r="N96" s="5">
        <f>(AVERAGE(AJ$2:AJ$229)-AJ96)/AVERAGE(AJ$2:AJ$229)*100+100</f>
        <v>90.193478597690159</v>
      </c>
      <c r="O96" s="5">
        <f>(AK96-AVERAGE(AK$2:AK$229))/AVERAGE(AK$2:AK$229)*100+100</f>
        <v>128.19690370920068</v>
      </c>
      <c r="P96" s="5">
        <f>(AL96-AVERAGE(AL$2:AL$229))/AVERAGE(AL$2:AL$229)*100+100</f>
        <v>108.46239906590077</v>
      </c>
      <c r="Q96" s="5">
        <f>(AM96-AVERAGE(AM$2:AM$229))/AVERAGE(AM$2:AM$229)*100+100</f>
        <v>101.72360482486168</v>
      </c>
      <c r="R96" s="5">
        <f>(AN96-AVERAGE(AN$2:AN$229))/AVERAGE(AN$2:AN$229)*100+100</f>
        <v>97.192714727968635</v>
      </c>
      <c r="S96" s="5">
        <f>(AO96-AVERAGE(AO$2:AO$229))/AVERAGE(AO$2:AO$229)*100+100</f>
        <v>99.169477651603643</v>
      </c>
      <c r="T96" s="6">
        <f>(F96*1.5+H96*2.5+I96+J96+K96*1.5+L96+O96*0.75+P96+S96)/11.25</f>
        <v>101.87092569509259</v>
      </c>
      <c r="V96">
        <f>'2025_Fantasy_Hitters_modified'!F175</f>
        <v>147.47309065809822</v>
      </c>
      <c r="W96">
        <f>'2025_Fantasy_Hitters_modified'!G175</f>
        <v>102.98833270424591</v>
      </c>
      <c r="X96">
        <f>'2025_Fantasy_Hitters_modified'!H175</f>
        <v>26.915750843390079</v>
      </c>
      <c r="Y96">
        <f>'2025_Fantasy_Hitters_modified'!I175</f>
        <v>1.0239486106244802</v>
      </c>
      <c r="Z96">
        <f>'2025_Fantasy_Hitters_modified'!J175</f>
        <v>15.999999999999941</v>
      </c>
      <c r="AA96">
        <f>'2025_Fantasy_Hitters_modified'!K175</f>
        <v>71.504347826086743</v>
      </c>
      <c r="AB96">
        <f>'2025_Fantasy_Hitters_modified'!L175</f>
        <v>63.99999999999941</v>
      </c>
      <c r="AC96" s="2">
        <f>'2025_Fantasy_Hitters_modified'!M175</f>
        <v>44.460869566722003</v>
      </c>
      <c r="AD96">
        <f>'2025_Fantasy_Hitters_modified'!N175</f>
        <v>9.3478260869565177E-2</v>
      </c>
      <c r="AE96">
        <f>'2025_Fantasy_Hitters_modified'!O175</f>
        <v>106.565217367</v>
      </c>
      <c r="AF96">
        <f>'2025_Fantasy_Hitters_modified'!P175</f>
        <v>5.9543278084714109</v>
      </c>
      <c r="AG96">
        <f>'2025_Fantasy_Hitters_modified'!Q175</f>
        <v>5.3999999999999542</v>
      </c>
      <c r="AH96">
        <f>'2025_Fantasy_Hitters_modified'!R175</f>
        <v>0</v>
      </c>
      <c r="AI96">
        <f>'2025_Fantasy_Hitters_modified'!S175</f>
        <v>12.915217391304273</v>
      </c>
      <c r="AJ96">
        <f>'2025_Fantasy_Hitters_modified'!T175</f>
        <v>2.9804347826086754</v>
      </c>
      <c r="AK96">
        <f>'2025_Fantasy_Hitters_modified'!U175</f>
        <v>9.9347826086955973</v>
      </c>
      <c r="AL96">
        <f>'2025_Fantasy_Hitters_modified'!V175</f>
        <v>0.27059282689559305</v>
      </c>
      <c r="AM96">
        <f>'2025_Fantasy_Hitters_modified'!W175</f>
        <v>0.33276799643043076</v>
      </c>
      <c r="AN96">
        <f>'2025_Fantasy_Hitters_modified'!X175</f>
        <v>0.41081042242733812</v>
      </c>
      <c r="AO96">
        <f>'2025_Fantasy_Hitters_modified'!Y175</f>
        <v>0.74357841885776887</v>
      </c>
      <c r="AP96">
        <f>'2025_Fantasy_Hitters_modified'!Z175</f>
        <v>0.30729874239999999</v>
      </c>
      <c r="AQ96">
        <f>'2025_Fantasy_Hitters_modified'!AA175</f>
        <v>17.70186335</v>
      </c>
      <c r="AR96">
        <f>'2025_Fantasy_Hitters_modified'!AB175</f>
        <v>7.3855265060999997</v>
      </c>
    </row>
    <row r="97" spans="1:44" x14ac:dyDescent="0.4">
      <c r="A97" t="str">
        <f>'2025_Fantasy_Hitters_modified'!A117</f>
        <v>LAD</v>
      </c>
      <c r="B97" t="str">
        <f>'2025_Fantasy_Hitters_modified'!B117</f>
        <v>Will Smith</v>
      </c>
      <c r="C97">
        <f>'2025_Fantasy_Hitters_modified'!D117</f>
        <v>442</v>
      </c>
      <c r="D97">
        <f>'2025_Fantasy_Hitters_modified'!E117</f>
        <v>511</v>
      </c>
      <c r="E97" s="5">
        <f>(V97-AVERAGE(V$2:V$229))/AVERAGE(V$2:V$229)*100+100</f>
        <v>96.526842686416359</v>
      </c>
      <c r="F97" s="4">
        <f>E97*1.51744-31.775</f>
        <v>114.69869216607563</v>
      </c>
      <c r="G97" s="5">
        <f>(Z97-AVERAGE(Z$2:Z$229))/AVERAGE(Z$2:Z$229)*100+100</f>
        <v>110.74880969557057</v>
      </c>
      <c r="H97" s="4">
        <f>G97*0.83285-13.6979</f>
        <v>78.539246154955947</v>
      </c>
      <c r="I97" s="5">
        <f>(AA97-AVERAGE(AA$2:AA$229))/AVERAGE(AA$2:AA$229)*100+100</f>
        <v>100.96493490223995</v>
      </c>
      <c r="J97" s="5">
        <f>(AB97-AVERAGE(AB$2:AB$229))/AVERAGE(AB$2:AB$229)*100+100</f>
        <v>107.58394310333026</v>
      </c>
      <c r="K97" s="5">
        <f>(AC97-AVERAGE(AC$2:AC$229))/AVERAGE(AC$2:AC$229)*100+100</f>
        <v>109.85417361351512</v>
      </c>
      <c r="L97" s="5">
        <f>(AF97-AVERAGE(AF$2:AF$229))/AVERAGE(AF$2:AF$229)*100+100</f>
        <v>172.58897083486417</v>
      </c>
      <c r="M97" s="5">
        <f>(AI97-AVERAGE(AI$2:AI$229))/AVERAGE(AI$2:AI$229)*100+100</f>
        <v>19.15150510660078</v>
      </c>
      <c r="N97" s="5">
        <f>(AVERAGE(AJ$2:AJ$229)-AJ97)/AVERAGE(AJ$2:AJ$229)*100+100</f>
        <v>200</v>
      </c>
      <c r="O97" s="5">
        <f>(AK97-AVERAGE(AK$2:AK$229))/AVERAGE(AK$2:AK$229)*100+100</f>
        <v>25.859204133988939</v>
      </c>
      <c r="P97" s="5">
        <f>(AL97-AVERAGE(AL$2:AL$229))/AVERAGE(AL$2:AL$229)*100+100</f>
        <v>102.82978915046733</v>
      </c>
      <c r="Q97" s="5">
        <f>(AM97-AVERAGE(AM$2:AM$229))/AVERAGE(AM$2:AM$229)*100+100</f>
        <v>107.65958784246772</v>
      </c>
      <c r="R97" s="5">
        <f>(AN97-AVERAGE(AN$2:AN$229))/AVERAGE(AN$2:AN$229)*100+100</f>
        <v>107.98340604934751</v>
      </c>
      <c r="S97" s="5">
        <f>(AO97-AVERAGE(AO$2:AO$229))/AVERAGE(AO$2:AO$229)*100+100</f>
        <v>107.84212877012214</v>
      </c>
      <c r="T97" s="6">
        <f>(F97*1.5+H97*2.5+I97+J97+K97*1.5+L97+O97*0.75+P97+S97)/11.25</f>
        <v>101.7228074594037</v>
      </c>
      <c r="V97">
        <f>'2025_Fantasy_Hitters_modified'!F117</f>
        <v>113.39092238528914</v>
      </c>
      <c r="W97">
        <f>'2025_Fantasy_Hitters_modified'!G117</f>
        <v>69.295158072904727</v>
      </c>
      <c r="X97">
        <f>'2025_Fantasy_Hitters_modified'!H117</f>
        <v>22.802034200655793</v>
      </c>
      <c r="Y97">
        <f>'2025_Fantasy_Hitters_modified'!I117</f>
        <v>2.0128193614774896</v>
      </c>
      <c r="Z97">
        <f>'2025_Fantasy_Hitters_modified'!J117</f>
        <v>20.199999999999942</v>
      </c>
      <c r="AA97">
        <f>'2025_Fantasy_Hitters_modified'!K117</f>
        <v>66.578443113772067</v>
      </c>
      <c r="AB97">
        <f>'2025_Fantasy_Hitters_modified'!L117</f>
        <v>68.999999999999801</v>
      </c>
      <c r="AC97" s="2">
        <f>'2025_Fantasy_Hitters_modified'!M117</f>
        <v>50.201796407308002</v>
      </c>
      <c r="AD97">
        <f>'2025_Fantasy_Hitters_modified'!N117</f>
        <v>2.7079840319361086</v>
      </c>
      <c r="AE97">
        <f>'2025_Fantasy_Hitters_modified'!O117</f>
        <v>91.796407204600001</v>
      </c>
      <c r="AF97">
        <f>'2025_Fantasy_Hitters_modified'!P117</f>
        <v>10.1128856624319</v>
      </c>
      <c r="AG97">
        <f>'2025_Fantasy_Hitters_modified'!Q117</f>
        <v>5.9999999999999556</v>
      </c>
      <c r="AH97">
        <f>'2025_Fantasy_Hitters_modified'!R117</f>
        <v>0</v>
      </c>
      <c r="AI97">
        <f>'2025_Fantasy_Hitters_modified'!S117</f>
        <v>2.0039920159680467</v>
      </c>
      <c r="AJ97">
        <f>'2025_Fantasy_Hitters_modified'!T117</f>
        <v>0</v>
      </c>
      <c r="AK97">
        <f>'2025_Fantasy_Hitters_modified'!U117</f>
        <v>2.0039920159680467</v>
      </c>
      <c r="AL97">
        <f>'2025_Fantasy_Hitters_modified'!V117</f>
        <v>0.25654054838300711</v>
      </c>
      <c r="AM97">
        <f>'2025_Fantasy_Hitters_modified'!W117</f>
        <v>0.35218635246504748</v>
      </c>
      <c r="AN97">
        <f>'2025_Fantasy_Hitters_modified'!X117</f>
        <v>0.45642010081142204</v>
      </c>
      <c r="AO97">
        <f>'2025_Fantasy_Hitters_modified'!Y117</f>
        <v>0.80860645327646952</v>
      </c>
      <c r="AP97">
        <f>'2025_Fantasy_Hitters_modified'!Z117</f>
        <v>0.27735096999999997</v>
      </c>
      <c r="AQ97">
        <f>'2025_Fantasy_Hitters_modified'!AA117</f>
        <v>17.964071860000001</v>
      </c>
      <c r="AR97">
        <f>'2025_Fantasy_Hitters_modified'!AB117</f>
        <v>9.8242263027999996</v>
      </c>
    </row>
    <row r="98" spans="1:44" x14ac:dyDescent="0.4">
      <c r="A98" t="str">
        <f>'2025_Fantasy_Hitters_modified'!A111</f>
        <v>LAD</v>
      </c>
      <c r="B98" t="str">
        <f>'2025_Fantasy_Hitters_modified'!B111</f>
        <v>Max Muncy</v>
      </c>
      <c r="C98">
        <f>'2025_Fantasy_Hitters_modified'!D111</f>
        <v>436</v>
      </c>
      <c r="D98">
        <f>'2025_Fantasy_Hitters_modified'!E111</f>
        <v>523</v>
      </c>
      <c r="E98" s="5">
        <f>(V98-AVERAGE(V$2:V$229))/AVERAGE(V$2:V$229)*100+100</f>
        <v>78.880160459694039</v>
      </c>
      <c r="F98" s="4">
        <f>E98*1.51744-31.775</f>
        <v>87.920910687958127</v>
      </c>
      <c r="G98" s="5">
        <f>(Z98-AVERAGE(Z$2:Z$229))/AVERAGE(Z$2:Z$229)*100+100</f>
        <v>134.87231279757609</v>
      </c>
      <c r="H98" s="4">
        <f>G98*0.83285-13.6979</f>
        <v>98.630505713461233</v>
      </c>
      <c r="I98" s="5">
        <f>(AA98-AVERAGE(AA$2:AA$229))/AVERAGE(AA$2:AA$229)*100+100</f>
        <v>105.74371067162231</v>
      </c>
      <c r="J98" s="5">
        <f>(AB98-AVERAGE(AB$2:AB$229))/AVERAGE(AB$2:AB$229)*100+100</f>
        <v>116.9390685905764</v>
      </c>
      <c r="K98" s="5">
        <f>(AC98-AVERAGE(AC$2:AC$229))/AVERAGE(AC$2:AC$229)*100+100</f>
        <v>158.56730144594741</v>
      </c>
      <c r="L98" s="5">
        <f>(AF98-AVERAGE(AF$2:AF$229))/AVERAGE(AF$2:AF$229)*100+100</f>
        <v>106.01126744432497</v>
      </c>
      <c r="M98" s="5">
        <f>(AI98-AVERAGE(AI$2:AI$229))/AVERAGE(AI$2:AI$229)*100+100</f>
        <v>19.948251235655064</v>
      </c>
      <c r="N98" s="5">
        <f>(AVERAGE(AJ$2:AJ$229)-AJ98)/AVERAGE(AJ$2:AJ$229)*100+100</f>
        <v>163.31274648359664</v>
      </c>
      <c r="O98" s="5">
        <f>(AK98-AVERAGE(AK$2:AK$229))/AVERAGE(AK$2:AK$229)*100+100</f>
        <v>14.085516756403891</v>
      </c>
      <c r="P98" s="5">
        <f>(AL98-AVERAGE(AL$2:AL$229))/AVERAGE(AL$2:AL$229)*100+100</f>
        <v>85.187212947827589</v>
      </c>
      <c r="Q98" s="5">
        <f>(AM98-AVERAGE(AM$2:AM$229))/AVERAGE(AM$2:AM$229)*100+100</f>
        <v>103.30276788515431</v>
      </c>
      <c r="R98" s="5">
        <f>(AN98-AVERAGE(AN$2:AN$229))/AVERAGE(AN$2:AN$229)*100+100</f>
        <v>101.0318273981613</v>
      </c>
      <c r="S98" s="5">
        <f>(AO98-AVERAGE(AO$2:AO$229))/AVERAGE(AO$2:AO$229)*100+100</f>
        <v>102.02260644167588</v>
      </c>
      <c r="T98" s="6">
        <f>(F98*1.5+H98*2.5+I98+J98+K98*1.5+L98+O98*0.75+P98+S98)/11.25</f>
        <v>101.58014099091925</v>
      </c>
      <c r="V98">
        <f>'2025_Fantasy_Hitters_modified'!F111</f>
        <v>92.661211156376069</v>
      </c>
      <c r="W98">
        <f>'2025_Fantasy_Hitters_modified'!G111</f>
        <v>48.375901450749815</v>
      </c>
      <c r="X98">
        <f>'2025_Fantasy_Hitters_modified'!H111</f>
        <v>18.213563548889326</v>
      </c>
      <c r="Y98">
        <f>'2025_Fantasy_Hitters_modified'!I111</f>
        <v>0.99509784427267289</v>
      </c>
      <c r="Z98">
        <f>'2025_Fantasy_Hitters_modified'!J111</f>
        <v>24.599999999999937</v>
      </c>
      <c r="AA98">
        <f>'2025_Fantasy_Hitters_modified'!K111</f>
        <v>69.729670329669943</v>
      </c>
      <c r="AB98">
        <f>'2025_Fantasy_Hitters_modified'!L111</f>
        <v>74.999999999999801</v>
      </c>
      <c r="AC98" s="2">
        <f>'2025_Fantasy_Hitters_modified'!M111</f>
        <v>72.463003654749997</v>
      </c>
      <c r="AD98">
        <f>'2025_Fantasy_Hitters_modified'!N111</f>
        <v>2.9873626373626254</v>
      </c>
      <c r="AE98">
        <f>'2025_Fantasy_Hitters_modified'!O111</f>
        <v>139.84981685020003</v>
      </c>
      <c r="AF98">
        <f>'2025_Fantasy_Hitters_modified'!P111</f>
        <v>6.2117516629711549</v>
      </c>
      <c r="AG98">
        <f>'2025_Fantasy_Hitters_modified'!Q111</f>
        <v>4.3999999999999639</v>
      </c>
      <c r="AH98">
        <f>'2025_Fantasy_Hitters_modified'!R111</f>
        <v>0</v>
      </c>
      <c r="AI98">
        <f>'2025_Fantasy_Hitters_modified'!S111</f>
        <v>2.0873626373625962</v>
      </c>
      <c r="AJ98">
        <f>'2025_Fantasy_Hitters_modified'!T111</f>
        <v>0.99578754578752082</v>
      </c>
      <c r="AK98">
        <f>'2025_Fantasy_Hitters_modified'!U111</f>
        <v>1.0915750915750753</v>
      </c>
      <c r="AL98">
        <f>'2025_Fantasy_Hitters_modified'!V111</f>
        <v>0.21252571366141301</v>
      </c>
      <c r="AM98">
        <f>'2025_Fantasy_Hitters_modified'!W111</f>
        <v>0.33793390584265887</v>
      </c>
      <c r="AN98">
        <f>'2025_Fantasy_Hitters_modified'!X111</f>
        <v>0.42703743596639043</v>
      </c>
      <c r="AO98">
        <f>'2025_Fantasy_Hitters_modified'!Y111</f>
        <v>0.76497134180904935</v>
      </c>
      <c r="AP98">
        <f>'2025_Fantasy_Hitters_modified'!Z111</f>
        <v>0.24664310919999999</v>
      </c>
      <c r="AQ98">
        <f>'2025_Fantasy_Hitters_modified'!AA111</f>
        <v>26.739926740000001</v>
      </c>
      <c r="AR98">
        <f>'2025_Fantasy_Hitters_modified'!AB111</f>
        <v>13.855258825</v>
      </c>
    </row>
    <row r="99" spans="1:44" x14ac:dyDescent="0.4">
      <c r="A99" t="str">
        <f>'2025_Fantasy_Hitters_modified'!A205</f>
        <v>TBR</v>
      </c>
      <c r="B99" t="str">
        <f>'2025_Fantasy_Hitters_modified'!B205</f>
        <v>Yandy Diaz</v>
      </c>
      <c r="C99">
        <f>'2025_Fantasy_Hitters_modified'!D205</f>
        <v>543</v>
      </c>
      <c r="D99">
        <f>'2025_Fantasy_Hitters_modified'!E205</f>
        <v>613</v>
      </c>
      <c r="E99" s="5">
        <f>(V99-AVERAGE(V$2:V$229))/AVERAGE(V$2:V$229)*100+100</f>
        <v>128.37683305072508</v>
      </c>
      <c r="F99" s="4">
        <f>E99*1.51744-31.775</f>
        <v>163.02914154449226</v>
      </c>
      <c r="G99" s="5">
        <f>(Z99-AVERAGE(Z$2:Z$229))/AVERAGE(Z$2:Z$229)*100+100</f>
        <v>96.49401240802203</v>
      </c>
      <c r="H99" s="4">
        <f>G99*0.83285-13.6979</f>
        <v>66.667138234021138</v>
      </c>
      <c r="I99" s="5">
        <f>(AA99-AVERAGE(AA$2:AA$229))/AVERAGE(AA$2:AA$229)*100+100</f>
        <v>115.85038017755116</v>
      </c>
      <c r="J99" s="5">
        <f>(AB99-AVERAGE(AB$2:AB$229))/AVERAGE(AB$2:AB$229)*100+100</f>
        <v>106.02475552212223</v>
      </c>
      <c r="K99" s="5">
        <f>(AC99-AVERAGE(AC$2:AC$229))/AVERAGE(AC$2:AC$229)*100+100</f>
        <v>127.68150211625886</v>
      </c>
      <c r="L99" s="5">
        <f>(AF99-AVERAGE(AF$2:AF$229))/AVERAGE(AF$2:AF$229)*100+100</f>
        <v>101.39941839027625</v>
      </c>
      <c r="M99" s="5">
        <f>(AI99-AVERAGE(AI$2:AI$229))/AVERAGE(AI$2:AI$229)*100+100</f>
        <v>9.4913201330980428</v>
      </c>
      <c r="N99" s="5">
        <f>(AVERAGE(AJ$2:AJ$229)-AJ99)/AVERAGE(AJ$2:AJ$229)*100+100</f>
        <v>163.40951139568494</v>
      </c>
      <c r="O99" s="5">
        <f>(AK99-AVERAGE(AK$2:AK$229))/AVERAGE(AK$2:AK$229)*100+100</f>
        <v>0</v>
      </c>
      <c r="P99" s="5">
        <f>(AL99-AVERAGE(AL$2:AL$229))/AVERAGE(AL$2:AL$229)*100+100</f>
        <v>111.32172870865338</v>
      </c>
      <c r="Q99" s="5">
        <f>(AM99-AVERAGE(AM$2:AM$229))/AVERAGE(AM$2:AM$229)*100+100</f>
        <v>109.12181479073355</v>
      </c>
      <c r="R99" s="5">
        <f>(AN99-AVERAGE(AN$2:AN$229))/AVERAGE(AN$2:AN$229)*100+100</f>
        <v>99.79548564016261</v>
      </c>
      <c r="S99" s="5">
        <f>(AO99-AVERAGE(AO$2:AO$229))/AVERAGE(AO$2:AO$229)*100+100</f>
        <v>103.86443043560297</v>
      </c>
      <c r="T99" s="6">
        <f>(F99*1.5+H99*2.5+I99+J99+K99*1.5+L99+O99*0.75+P99+S99)/11.25</f>
        <v>101.43951327203429</v>
      </c>
      <c r="V99">
        <f>'2025_Fantasy_Hitters_modified'!F205</f>
        <v>150.8053833254869</v>
      </c>
      <c r="W99">
        <f>'2025_Fantasy_Hitters_modified'!G205</f>
        <v>105.27437310644699</v>
      </c>
      <c r="X99">
        <f>'2025_Fantasy_Hitters_modified'!H205</f>
        <v>25.228292296493684</v>
      </c>
      <c r="Y99">
        <f>'2025_Fantasy_Hitters_modified'!I205</f>
        <v>0.97093437973819907</v>
      </c>
      <c r="Z99">
        <f>'2025_Fantasy_Hitters_modified'!J205</f>
        <v>17.599999999999977</v>
      </c>
      <c r="AA99">
        <f>'2025_Fantasy_Hitters_modified'!K205</f>
        <v>76.394224924012079</v>
      </c>
      <c r="AB99">
        <f>'2025_Fantasy_Hitters_modified'!L205</f>
        <v>67.999999999999588</v>
      </c>
      <c r="AC99" s="2">
        <f>'2025_Fantasy_Hitters_modified'!M205</f>
        <v>58.348632221935937</v>
      </c>
      <c r="AD99">
        <f>'2025_Fantasy_Hitters_modified'!N205</f>
        <v>0.99316109422489129</v>
      </c>
      <c r="AE99">
        <f>'2025_Fantasy_Hitters_modified'!O205</f>
        <v>91.297872332599994</v>
      </c>
      <c r="AF99">
        <f>'2025_Fantasy_Hitters_modified'!P205</f>
        <v>5.9415194346289715</v>
      </c>
      <c r="AG99">
        <f>'2025_Fantasy_Hitters_modified'!Q205</f>
        <v>2.9999999999999671</v>
      </c>
      <c r="AH99">
        <f>'2025_Fantasy_Hitters_modified'!R205</f>
        <v>0.39999999999998753</v>
      </c>
      <c r="AI99">
        <f>'2025_Fantasy_Hitters_modified'!S205</f>
        <v>0.99316109422489129</v>
      </c>
      <c r="AJ99">
        <f>'2025_Fantasy_Hitters_modified'!T205</f>
        <v>0.99316109422489129</v>
      </c>
      <c r="AK99">
        <f>'2025_Fantasy_Hitters_modified'!U205</f>
        <v>0</v>
      </c>
      <c r="AL99">
        <f>'2025_Fantasy_Hitters_modified'!V205</f>
        <v>0.27772630446682672</v>
      </c>
      <c r="AM99">
        <f>'2025_Fantasy_Hitters_modified'!W205</f>
        <v>0.35696972927064496</v>
      </c>
      <c r="AN99">
        <f>'2025_Fantasy_Hitters_modified'!X205</f>
        <v>0.42181171425165531</v>
      </c>
      <c r="AO99">
        <f>'2025_Fantasy_Hitters_modified'!Y205</f>
        <v>0.77878144352230028</v>
      </c>
      <c r="AP99">
        <f>'2025_Fantasy_Hitters_modified'!Z205</f>
        <v>0.30474659100000001</v>
      </c>
      <c r="AQ99">
        <f>'2025_Fantasy_Hitters_modified'!AA205</f>
        <v>14.893617020000001</v>
      </c>
      <c r="AR99">
        <f>'2025_Fantasy_Hitters_modified'!AB205</f>
        <v>9.5185370671999898</v>
      </c>
    </row>
    <row r="100" spans="1:44" x14ac:dyDescent="0.4">
      <c r="A100" t="str">
        <f>'2025_Fantasy_Hitters_modified'!A161</f>
        <v>PHI</v>
      </c>
      <c r="B100" t="str">
        <f>'2025_Fantasy_Hitters_modified'!B161</f>
        <v>Nick Castellanos</v>
      </c>
      <c r="C100">
        <f>'2025_Fantasy_Hitters_modified'!D161</f>
        <v>574</v>
      </c>
      <c r="D100">
        <f>'2025_Fantasy_Hitters_modified'!E161</f>
        <v>621</v>
      </c>
      <c r="E100" s="5">
        <f>(V100-AVERAGE(V$2:V$229))/AVERAGE(V$2:V$229)*100+100</f>
        <v>123.27812687789363</v>
      </c>
      <c r="F100" s="4">
        <f>E100*1.51744-31.775</f>
        <v>155.29216084959089</v>
      </c>
      <c r="G100" s="5">
        <f>(Z100-AVERAGE(Z$2:Z$229))/AVERAGE(Z$2:Z$229)*100+100</f>
        <v>112.94185543211675</v>
      </c>
      <c r="H100" s="4">
        <f>G100*0.83285-13.6979</f>
        <v>80.365724296638433</v>
      </c>
      <c r="I100" s="5">
        <f>(AA100-AVERAGE(AA$2:AA$229))/AVERAGE(AA$2:AA$229)*100+100</f>
        <v>108.70858550266892</v>
      </c>
      <c r="J100" s="5">
        <f>(AB100-AVERAGE(AB$2:AB$229))/AVERAGE(AB$2:AB$229)*100+100</f>
        <v>127.85338165902986</v>
      </c>
      <c r="K100" s="5">
        <f>(AC100-AVERAGE(AC$2:AC$229))/AVERAGE(AC$2:AC$229)*100+100</f>
        <v>84.914133805350161</v>
      </c>
      <c r="L100" s="5">
        <f>(AF100-AVERAGE(AF$2:AF$229))/AVERAGE(AF$2:AF$229)*100+100</f>
        <v>102.8629049773006</v>
      </c>
      <c r="M100" s="5">
        <f>(AI100-AVERAGE(AI$2:AI$229))/AVERAGE(AI$2:AI$229)*100+100</f>
        <v>57.1960388153366</v>
      </c>
      <c r="N100" s="5">
        <f>(AVERAGE(AJ$2:AJ$229)-AJ100)/AVERAGE(AJ$2:AJ$229)*100+100</f>
        <v>130.09188366702764</v>
      </c>
      <c r="O100" s="5">
        <f>(AK100-AVERAGE(AK$2:AK$229))/AVERAGE(AK$2:AK$229)*100+100</f>
        <v>52.743710419917775</v>
      </c>
      <c r="P100" s="5">
        <f>(AL100-AVERAGE(AL$2:AL$229))/AVERAGE(AL$2:AL$229)*100+100</f>
        <v>101.12702897035066</v>
      </c>
      <c r="Q100" s="5">
        <f>(AM100-AVERAGE(AM$2:AM$229))/AVERAGE(AM$2:AM$229)*100+100</f>
        <v>94.273302531769403</v>
      </c>
      <c r="R100" s="5">
        <f>(AN100-AVERAGE(AN$2:AN$229))/AVERAGE(AN$2:AN$229)*100+100</f>
        <v>99.486140585180181</v>
      </c>
      <c r="S100" s="5">
        <f>(AO100-AVERAGE(AO$2:AO$229))/AVERAGE(AO$2:AO$229)*100+100</f>
        <v>97.211853464871822</v>
      </c>
      <c r="T100" s="6">
        <f>(F100*1.5+H100*2.5+I100+J100+K100*1.5+L100+O100*0.75+P100+S100)/11.25</f>
        <v>101.20402578783714</v>
      </c>
      <c r="V100">
        <f>'2025_Fantasy_Hitters_modified'!F161</f>
        <v>144.81588879921162</v>
      </c>
      <c r="W100">
        <f>'2025_Fantasy_Hitters_modified'!G161</f>
        <v>92.863798466290632</v>
      </c>
      <c r="X100">
        <f>'2025_Fantasy_Hitters_modified'!H161</f>
        <v>30.052231161099499</v>
      </c>
      <c r="Y100">
        <f>'2025_Fantasy_Hitters_modified'!I161</f>
        <v>2.0003807523047019</v>
      </c>
      <c r="Z100">
        <f>'2025_Fantasy_Hitters_modified'!J161</f>
        <v>20.599999999999984</v>
      </c>
      <c r="AA100">
        <f>'2025_Fantasy_Hitters_modified'!K161</f>
        <v>71.684772370486613</v>
      </c>
      <c r="AB100">
        <f>'2025_Fantasy_Hitters_modified'!L161</f>
        <v>81.999999999999574</v>
      </c>
      <c r="AC100" s="2">
        <f>'2025_Fantasy_Hitters_modified'!M161</f>
        <v>38.804552591660936</v>
      </c>
      <c r="AD100">
        <f>'2025_Fantasy_Hitters_modified'!N161</f>
        <v>1.0949764521192833</v>
      </c>
      <c r="AE100">
        <f>'2025_Fantasy_Hitters_modified'!O161</f>
        <v>144.28257457950002</v>
      </c>
      <c r="AF100">
        <f>'2025_Fantasy_Hitters_modified'!P161</f>
        <v>6.0272727272726883</v>
      </c>
      <c r="AG100">
        <f>'2025_Fantasy_Hitters_modified'!Q161</f>
        <v>4.5999999999999703</v>
      </c>
      <c r="AH100">
        <f>'2025_Fantasy_Hitters_modified'!R161</f>
        <v>0</v>
      </c>
      <c r="AI100">
        <f>'2025_Fantasy_Hitters_modified'!S161</f>
        <v>5.9849293563578865</v>
      </c>
      <c r="AJ100">
        <f>'2025_Fantasy_Hitters_modified'!T161</f>
        <v>1.8974882260596007</v>
      </c>
      <c r="AK100">
        <f>'2025_Fantasy_Hitters_modified'!U161</f>
        <v>4.087441130298286</v>
      </c>
      <c r="AL100">
        <f>'2025_Fantasy_Hitters_modified'!V161</f>
        <v>0.25229248919723279</v>
      </c>
      <c r="AM100">
        <f>'2025_Fantasy_Hitters_modified'!W161</f>
        <v>0.30839585418142318</v>
      </c>
      <c r="AN100">
        <f>'2025_Fantasy_Hitters_modified'!X161</f>
        <v>0.42050418649025029</v>
      </c>
      <c r="AO100">
        <f>'2025_Fantasy_Hitters_modified'!Y161</f>
        <v>0.72890004067167347</v>
      </c>
      <c r="AP100">
        <f>'2025_Fantasy_Hitters_modified'!Z161</f>
        <v>0.30024330900000001</v>
      </c>
      <c r="AQ100">
        <f>'2025_Fantasy_Hitters_modified'!AA161</f>
        <v>23.23390895</v>
      </c>
      <c r="AR100">
        <f>'2025_Fantasy_Hitters_modified'!AB161</f>
        <v>6.2487202240999897</v>
      </c>
    </row>
    <row r="101" spans="1:44" x14ac:dyDescent="0.4">
      <c r="A101" t="str">
        <f>'2025_Fantasy_Hitters_modified'!A171</f>
        <v>SDP</v>
      </c>
      <c r="B101" t="str">
        <f>'2025_Fantasy_Hitters_modified'!B171</f>
        <v>Jake Cronenworth</v>
      </c>
      <c r="C101">
        <f>'2025_Fantasy_Hitters_modified'!D171</f>
        <v>529</v>
      </c>
      <c r="D101">
        <f>'2025_Fantasy_Hitters_modified'!E171</f>
        <v>600</v>
      </c>
      <c r="E101" s="5">
        <f>(V101-AVERAGE(V$2:V$229))/AVERAGE(V$2:V$229)*100+100</f>
        <v>108.62513631471967</v>
      </c>
      <c r="F101" s="4">
        <f>E101*1.51744-31.775</f>
        <v>133.05712684940821</v>
      </c>
      <c r="G101" s="5">
        <f>(Z101-AVERAGE(Z$2:Z$229))/AVERAGE(Z$2:Z$229)*100+100</f>
        <v>84.432260857019173</v>
      </c>
      <c r="H101" s="4">
        <f>G101*0.83285-13.6979</f>
        <v>56.621508454768417</v>
      </c>
      <c r="I101" s="5">
        <f>(AA101-AVERAGE(AA$2:AA$229))/AVERAGE(AA$2:AA$229)*100+100</f>
        <v>104.67856027774845</v>
      </c>
      <c r="J101" s="5">
        <f>(AB101-AVERAGE(AB$2:AB$229))/AVERAGE(AB$2:AB$229)*100+100</f>
        <v>104.46556794091457</v>
      </c>
      <c r="K101" s="5">
        <f>(AC101-AVERAGE(AC$2:AC$229))/AVERAGE(AC$2:AC$229)*100+100</f>
        <v>120.12027403806425</v>
      </c>
      <c r="L101" s="5">
        <f>(AF101-AVERAGE(AF$2:AF$229))/AVERAGE(AF$2:AF$229)*100+100</f>
        <v>173.83951327576301</v>
      </c>
      <c r="M101" s="5">
        <f>(AI101-AVERAGE(AI$2:AI$229))/AVERAGE(AI$2:AI$229)*100+100</f>
        <v>46.686593116717425</v>
      </c>
      <c r="N101" s="5">
        <f>(AVERAGE(AJ$2:AJ$229)-AJ101)/AVERAGE(AJ$2:AJ$229)*100+100</f>
        <v>159.74533521766151</v>
      </c>
      <c r="O101" s="5">
        <f>(AK101-AVERAGE(AK$2:AK$229))/AVERAGE(AK$2:AK$229)*100+100</f>
        <v>48.939337180048227</v>
      </c>
      <c r="P101" s="5">
        <f>(AL101-AVERAGE(AL$2:AL$229))/AVERAGE(AL$2:AL$229)*100+100</f>
        <v>96.686931182868364</v>
      </c>
      <c r="Q101" s="5">
        <f>(AM101-AVERAGE(AM$2:AM$229))/AVERAGE(AM$2:AM$229)*100+100</f>
        <v>100.50618338723399</v>
      </c>
      <c r="R101" s="5">
        <f>(AN101-AVERAGE(AN$2:AN$229))/AVERAGE(AN$2:AN$229)*100+100</f>
        <v>93.00092348126492</v>
      </c>
      <c r="S101" s="5">
        <f>(AO101-AVERAGE(AO$2:AO$229))/AVERAGE(AO$2:AO$229)*100+100</f>
        <v>96.275361659436058</v>
      </c>
      <c r="T101" s="6">
        <f>(F101*1.5+H101*2.5+I101+J101+K101*1.5+L101+O101*0.75+P101+S101)/11.25</f>
        <v>100.79736086132414</v>
      </c>
      <c r="V101">
        <f>'2025_Fantasy_Hitters_modified'!F171</f>
        <v>127.60289322803203</v>
      </c>
      <c r="W101">
        <f>'2025_Fantasy_Hitters_modified'!G171</f>
        <v>81.9074028093507</v>
      </c>
      <c r="X101">
        <f>'2025_Fantasy_Hitters_modified'!H171</f>
        <v>26.809540859795259</v>
      </c>
      <c r="Y101">
        <f>'2025_Fantasy_Hitters_modified'!I171</f>
        <v>3.6065215680438829</v>
      </c>
      <c r="Z101">
        <f>'2025_Fantasy_Hitters_modified'!J171</f>
        <v>15.399999999999961</v>
      </c>
      <c r="AA101">
        <f>'2025_Fantasy_Hitters_modified'!K171</f>
        <v>69.027287319421802</v>
      </c>
      <c r="AB101">
        <f>'2025_Fantasy_Hitters_modified'!L171</f>
        <v>66.999999999999602</v>
      </c>
      <c r="AC101" s="2">
        <f>'2025_Fantasy_Hitters_modified'!M171</f>
        <v>54.893258428799996</v>
      </c>
      <c r="AD101">
        <f>'2025_Fantasy_Hitters_modified'!N171</f>
        <v>1.396308186195798</v>
      </c>
      <c r="AE101">
        <f>'2025_Fantasy_Hitters_modified'!O171</f>
        <v>111.71749596000001</v>
      </c>
      <c r="AF101">
        <f>'2025_Fantasy_Hitters_modified'!P171</f>
        <v>10.186161449752801</v>
      </c>
      <c r="AG101">
        <f>'2025_Fantasy_Hitters_modified'!Q171</f>
        <v>4.9999999999999805</v>
      </c>
      <c r="AH101">
        <f>'2025_Fantasy_Hitters_modified'!R171</f>
        <v>0.99308072487641996</v>
      </c>
      <c r="AI101">
        <f>'2025_Fantasy_Hitters_modified'!S171</f>
        <v>4.885232744783286</v>
      </c>
      <c r="AJ101">
        <f>'2025_Fantasy_Hitters_modified'!T171</f>
        <v>1.092616372391616</v>
      </c>
      <c r="AK101">
        <f>'2025_Fantasy_Hitters_modified'!U171</f>
        <v>3.7926163723916702</v>
      </c>
      <c r="AL101">
        <f>'2025_Fantasy_Hitters_modified'!V171</f>
        <v>0.24121529910781103</v>
      </c>
      <c r="AM101">
        <f>'2025_Fantasy_Hitters_modified'!W171</f>
        <v>0.32878545085206357</v>
      </c>
      <c r="AN101">
        <f>'2025_Fantasy_Hitters_modified'!X171</f>
        <v>0.39309272066743423</v>
      </c>
      <c r="AO101">
        <f>'2025_Fantasy_Hitters_modified'!Y171</f>
        <v>0.72187817151949774</v>
      </c>
      <c r="AP101">
        <f>'2025_Fantasy_Hitters_modified'!Z171</f>
        <v>0.27576239359999999</v>
      </c>
      <c r="AQ101">
        <f>'2025_Fantasy_Hitters_modified'!AA171</f>
        <v>18.619582659999999</v>
      </c>
      <c r="AR101">
        <f>'2025_Fantasy_Hitters_modified'!AB171</f>
        <v>9.1488764047999993</v>
      </c>
    </row>
    <row r="102" spans="1:44" x14ac:dyDescent="0.4">
      <c r="A102" t="str">
        <f>'2025_Fantasy_Hitters_modified'!A149</f>
        <v>NYY</v>
      </c>
      <c r="B102" t="str">
        <f>'2025_Fantasy_Hitters_modified'!B149</f>
        <v>Cody Bellinger</v>
      </c>
      <c r="C102">
        <f>'2025_Fantasy_Hitters_modified'!D149</f>
        <v>513</v>
      </c>
      <c r="D102">
        <f>'2025_Fantasy_Hitters_modified'!E149</f>
        <v>568</v>
      </c>
      <c r="E102" s="5">
        <f>(V102-AVERAGE(V$2:V$229))/AVERAGE(V$2:V$229)*100+100</f>
        <v>108.45188662666412</v>
      </c>
      <c r="F102" s="4">
        <f>E102*1.51744-31.775</f>
        <v>132.79423084276519</v>
      </c>
      <c r="G102" s="5">
        <f>(Z102-AVERAGE(Z$2:Z$229))/AVERAGE(Z$2:Z$229)*100+100</f>
        <v>110.74880969557044</v>
      </c>
      <c r="H102" s="4">
        <f>G102*0.83285-13.6979</f>
        <v>78.539246154955833</v>
      </c>
      <c r="I102" s="5">
        <f>(AA102-AVERAGE(AA$2:AA$229))/AVERAGE(AA$2:AA$229)*100+100</f>
        <v>108.32006167704859</v>
      </c>
      <c r="J102" s="5">
        <f>(AB102-AVERAGE(AB$2:AB$229))/AVERAGE(AB$2:AB$229)*100+100</f>
        <v>116.93906859057604</v>
      </c>
      <c r="K102" s="5">
        <f>(AC102-AVERAGE(AC$2:AC$229))/AVERAGE(AC$2:AC$229)*100+100</f>
        <v>100.31720532934571</v>
      </c>
      <c r="L102" s="5">
        <f>(AF102-AVERAGE(AF$2:AF$229))/AVERAGE(AF$2:AF$229)*100+100</f>
        <v>68.412309123221206</v>
      </c>
      <c r="M102" s="5">
        <f>(AI102-AVERAGE(AI$2:AI$229))/AVERAGE(AI$2:AI$229)*100+100</f>
        <v>114.29005972490654</v>
      </c>
      <c r="N102" s="5">
        <f>(AVERAGE(AJ$2:AJ$229)-AJ102)/AVERAGE(AJ$2:AJ$229)*100+100</f>
        <v>89.848591415448226</v>
      </c>
      <c r="O102" s="5">
        <f>(AK102-AVERAGE(AK$2:AK$229))/AVERAGE(AK$2:AK$229)*100+100</f>
        <v>115.7395972977676</v>
      </c>
      <c r="P102" s="5">
        <f>(AL102-AVERAGE(AL$2:AL$229))/AVERAGE(AL$2:AL$229)*100+100</f>
        <v>99.543489279820065</v>
      </c>
      <c r="Q102" s="5">
        <f>(AM102-AVERAGE(AM$2:AM$229))/AVERAGE(AM$2:AM$229)*100+100</f>
        <v>97.320367045023644</v>
      </c>
      <c r="R102" s="5">
        <f>(AN102-AVERAGE(AN$2:AN$229))/AVERAGE(AN$2:AN$229)*100+100</f>
        <v>100.31008500169074</v>
      </c>
      <c r="S102" s="5">
        <f>(AO102-AVERAGE(AO$2:AO$229))/AVERAGE(AO$2:AO$229)*100+100</f>
        <v>99.005713568598978</v>
      </c>
      <c r="T102" s="6">
        <f>(F102*1.5+H102*2.5+I102+J102+K102*1.5+L102+O102*0.75+P102+S102)/11.25</f>
        <v>100.00360976516859</v>
      </c>
      <c r="V102">
        <f>'2025_Fantasy_Hitters_modified'!F149</f>
        <v>127.39937531130703</v>
      </c>
      <c r="W102">
        <f>'2025_Fantasy_Hitters_modified'!G149</f>
        <v>80.194485075796393</v>
      </c>
      <c r="X102">
        <f>'2025_Fantasy_Hitters_modified'!H149</f>
        <v>25.282871535685576</v>
      </c>
      <c r="Y102">
        <f>'2025_Fantasy_Hitters_modified'!I149</f>
        <v>1.9816672654649483</v>
      </c>
      <c r="Z102">
        <f>'2025_Fantasy_Hitters_modified'!J149</f>
        <v>20.199999999999921</v>
      </c>
      <c r="AA102">
        <f>'2025_Fantasy_Hitters_modified'!K149</f>
        <v>71.428571428570933</v>
      </c>
      <c r="AB102">
        <f>'2025_Fantasy_Hitters_modified'!L149</f>
        <v>74.999999999999574</v>
      </c>
      <c r="AC102" s="2">
        <f>'2025_Fantasy_Hitters_modified'!M149</f>
        <v>45.843537413623999</v>
      </c>
      <c r="AD102">
        <f>'2025_Fantasy_Hitters_modified'!N149</f>
        <v>3.6829931972788774</v>
      </c>
      <c r="AE102">
        <f>'2025_Fantasy_Hitters_modified'!O149</f>
        <v>97.564625859999992</v>
      </c>
      <c r="AF102">
        <f>'2025_Fantasy_Hitters_modified'!P149</f>
        <v>4.0086330935251464</v>
      </c>
      <c r="AG102">
        <f>'2025_Fantasy_Hitters_modified'!Q149</f>
        <v>5.7999999999999421</v>
      </c>
      <c r="AH102">
        <f>'2025_Fantasy_Hitters_modified'!R149</f>
        <v>0</v>
      </c>
      <c r="AI102">
        <f>'2025_Fantasy_Hitters_modified'!S149</f>
        <v>11.959183673469292</v>
      </c>
      <c r="AJ102">
        <f>'2025_Fantasy_Hitters_modified'!T149</f>
        <v>2.9897959183673035</v>
      </c>
      <c r="AK102">
        <f>'2025_Fantasy_Hitters_modified'!U149</f>
        <v>8.9693877551019892</v>
      </c>
      <c r="AL102">
        <f>'2025_Fantasy_Hitters_modified'!V149</f>
        <v>0.24834186220527685</v>
      </c>
      <c r="AM102">
        <f>'2025_Fantasy_Hitters_modified'!W149</f>
        <v>0.3183637033823597</v>
      </c>
      <c r="AN102">
        <f>'2025_Fantasy_Hitters_modified'!X149</f>
        <v>0.42398680300889297</v>
      </c>
      <c r="AO102">
        <f>'2025_Fantasy_Hitters_modified'!Y149</f>
        <v>0.74235050639125266</v>
      </c>
      <c r="AP102">
        <f>'2025_Fantasy_Hitters_modified'!Z149</f>
        <v>0.26730653259999998</v>
      </c>
      <c r="AQ102">
        <f>'2025_Fantasy_Hitters_modified'!AA149</f>
        <v>17.176870749999999</v>
      </c>
      <c r="AR102">
        <f>'2025_Fantasy_Hitters_modified'!AB149</f>
        <v>8.0710453192999996</v>
      </c>
    </row>
    <row r="103" spans="1:44" x14ac:dyDescent="0.4">
      <c r="A103" t="str">
        <f>'2025_Fantasy_Hitters_modified'!A181</f>
        <v>SEA</v>
      </c>
      <c r="B103" t="str">
        <f>'2025_Fantasy_Hitters_modified'!B181</f>
        <v>Luke Raley</v>
      </c>
      <c r="C103">
        <f>'2025_Fantasy_Hitters_modified'!D181</f>
        <v>405</v>
      </c>
      <c r="D103">
        <f>'2025_Fantasy_Hitters_modified'!E181</f>
        <v>454</v>
      </c>
      <c r="E103" s="5">
        <f>(V103-AVERAGE(V$2:V$229))/AVERAGE(V$2:V$229)*100+100</f>
        <v>77.858572001428925</v>
      </c>
      <c r="F103" s="4">
        <f>E103*1.51744-31.775</f>
        <v>86.370711497848305</v>
      </c>
      <c r="G103" s="5">
        <f>(Z103-AVERAGE(Z$2:Z$229))/AVERAGE(Z$2:Z$229)*100+100</f>
        <v>101.97662674938677</v>
      </c>
      <c r="H103" s="4">
        <f>G103*0.83285-13.6979</f>
        <v>71.233333588226756</v>
      </c>
      <c r="I103" s="5">
        <f>(AA103-AVERAGE(AA$2:AA$229))/AVERAGE(AA$2:AA$229)*100+100</f>
        <v>83.216180948207807</v>
      </c>
      <c r="J103" s="5">
        <f>(AB103-AVERAGE(AB$2:AB$229))/AVERAGE(AB$2:AB$229)*100+100</f>
        <v>87.314504547630335</v>
      </c>
      <c r="K103" s="5">
        <f>(AC103-AVERAGE(AC$2:AC$229))/AVERAGE(AC$2:AC$229)*100+100</f>
        <v>71.778738006516804</v>
      </c>
      <c r="L103" s="5">
        <f>(AF103-AVERAGE(AF$2:AF$229))/AVERAGE(AF$2:AF$229)*100+100</f>
        <v>265.361847106509</v>
      </c>
      <c r="M103" s="5">
        <f>(AI103-AVERAGE(AI$2:AI$229))/AVERAGE(AI$2:AI$229)*100+100</f>
        <v>103.59398674164999</v>
      </c>
      <c r="N103" s="5">
        <f>(AVERAGE(AJ$2:AJ$229)-AJ103)/AVERAGE(AJ$2:AJ$229)*100+100</f>
        <v>123.29447541095288</v>
      </c>
      <c r="O103" s="5">
        <f>(AK103-AVERAGE(AK$2:AK$229))/AVERAGE(AK$2:AK$229)*100+100</f>
        <v>113.01150825889177</v>
      </c>
      <c r="P103" s="5">
        <f>(AL103-AVERAGE(AL$2:AL$229))/AVERAGE(AL$2:AL$229)*100+100</f>
        <v>90.519995671368306</v>
      </c>
      <c r="Q103" s="5">
        <f>(AM103-AVERAGE(AM$2:AM$229))/AVERAGE(AM$2:AM$229)*100+100</f>
        <v>97.146652588524674</v>
      </c>
      <c r="R103" s="5">
        <f>(AN103-AVERAGE(AN$2:AN$229))/AVERAGE(AN$2:AN$229)*100+100</f>
        <v>97.85218538931889</v>
      </c>
      <c r="S103" s="5">
        <f>(AO103-AVERAGE(AO$2:AO$229))/AVERAGE(AO$2:AO$229)*100+100</f>
        <v>97.544371460445404</v>
      </c>
      <c r="T103" s="6">
        <f>(F103*1.5+H103*2.5+I103+J103+K103*1.5+L103+O103*0.75+P103+S103)/11.25</f>
        <v>99.913159036039488</v>
      </c>
      <c r="V103">
        <f>'2025_Fantasy_Hitters_modified'!F181</f>
        <v>91.461142301361619</v>
      </c>
      <c r="W103">
        <f>'2025_Fantasy_Hitters_modified'!G181</f>
        <v>54.295002729023807</v>
      </c>
      <c r="X103">
        <f>'2025_Fantasy_Hitters_modified'!H181</f>
        <v>16.419412349602606</v>
      </c>
      <c r="Y103">
        <f>'2025_Fantasy_Hitters_modified'!I181</f>
        <v>1.9911002851122763</v>
      </c>
      <c r="Z103">
        <f>'2025_Fantasy_Hitters_modified'!J181</f>
        <v>18.599999999999948</v>
      </c>
      <c r="AA103">
        <f>'2025_Fantasy_Hitters_modified'!K181</f>
        <v>54.874534161490352</v>
      </c>
      <c r="AB103">
        <f>'2025_Fantasy_Hitters_modified'!L181</f>
        <v>55.999999999999829</v>
      </c>
      <c r="AC103" s="2">
        <f>'2025_Fantasy_Hitters_modified'!M181</f>
        <v>32.801863354359952</v>
      </c>
      <c r="AD103">
        <f>'2025_Fantasy_Hitters_modified'!N181</f>
        <v>0.39999999999998775</v>
      </c>
      <c r="AE103">
        <f>'2025_Fantasy_Hitters_modified'!O181</f>
        <v>137.23395444580001</v>
      </c>
      <c r="AF103">
        <f>'2025_Fantasy_Hitters_modified'!P181</f>
        <v>15.548931116389509</v>
      </c>
      <c r="AG103">
        <f>'2025_Fantasy_Hitters_modified'!Q181</f>
        <v>2.9999999999999991</v>
      </c>
      <c r="AH103">
        <f>'2025_Fantasy_Hitters_modified'!R181</f>
        <v>1.0470308788598415</v>
      </c>
      <c r="AI103">
        <f>'2025_Fantasy_Hitters_modified'!S181</f>
        <v>10.839958592132479</v>
      </c>
      <c r="AJ103">
        <f>'2025_Fantasy_Hitters_modified'!T181</f>
        <v>2.0819875776397372</v>
      </c>
      <c r="AK103">
        <f>'2025_Fantasy_Hitters_modified'!U181</f>
        <v>8.7579710144927425</v>
      </c>
      <c r="AL103">
        <f>'2025_Fantasy_Hitters_modified'!V181</f>
        <v>0.22582998099101634</v>
      </c>
      <c r="AM103">
        <f>'2025_Fantasy_Hitters_modified'!W181</f>
        <v>0.31779543201860211</v>
      </c>
      <c r="AN103">
        <f>'2025_Fantasy_Hitters_modified'!X181</f>
        <v>0.4135978476137423</v>
      </c>
      <c r="AO103">
        <f>'2025_Fantasy_Hitters_modified'!Y181</f>
        <v>0.73139327963234435</v>
      </c>
      <c r="AP103">
        <f>'2025_Fantasy_Hitters_modified'!Z181</f>
        <v>0.28894113059999998</v>
      </c>
      <c r="AQ103">
        <f>'2025_Fantasy_Hitters_modified'!AA181</f>
        <v>30.227743270000001</v>
      </c>
      <c r="AR103">
        <f>'2025_Fantasy_Hitters_modified'!AB181</f>
        <v>7.2250800339999897</v>
      </c>
    </row>
    <row r="104" spans="1:44" x14ac:dyDescent="0.4">
      <c r="A104" t="str">
        <f>'2025_Fantasy_Hitters_modified'!A54</f>
        <v>CHC</v>
      </c>
      <c r="B104" t="str">
        <f>'2025_Fantasy_Hitters_modified'!B54</f>
        <v>Michael Busch</v>
      </c>
      <c r="C104">
        <f>'2025_Fantasy_Hitters_modified'!D54</f>
        <v>507</v>
      </c>
      <c r="D104">
        <f>'2025_Fantasy_Hitters_modified'!E54</f>
        <v>578</v>
      </c>
      <c r="E104" s="5">
        <f>(V104-AVERAGE(V$2:V$229))/AVERAGE(V$2:V$229)*100+100</f>
        <v>100.54089129868979</v>
      </c>
      <c r="F104" s="4">
        <f>E104*1.51744-31.775</f>
        <v>120.78977009228382</v>
      </c>
      <c r="G104" s="5">
        <f>(Z104-AVERAGE(Z$2:Z$229))/AVERAGE(Z$2:Z$229)*100+100</f>
        <v>112.94185543211651</v>
      </c>
      <c r="H104" s="4">
        <f>G104*0.83285-13.6979</f>
        <v>80.365724296638234</v>
      </c>
      <c r="I104" s="5">
        <f>(AA104-AVERAGE(AA$2:AA$229))/AVERAGE(AA$2:AA$229)*100+100</f>
        <v>106.10708281698696</v>
      </c>
      <c r="J104" s="5">
        <f>(AB104-AVERAGE(AB$2:AB$229))/AVERAGE(AB$2:AB$229)*100+100</f>
        <v>112.26150584695282</v>
      </c>
      <c r="K104" s="5">
        <f>(AC104-AVERAGE(AC$2:AC$229))/AVERAGE(AC$2:AC$229)*100+100</f>
        <v>125.35713302749438</v>
      </c>
      <c r="L104" s="5">
        <f>(AF104-AVERAGE(AF$2:AF$229))/AVERAGE(AF$2:AF$229)*100+100</f>
        <v>121.19399203215715</v>
      </c>
      <c r="M104" s="5">
        <f>(AI104-AVERAGE(AI$2:AI$229))/AVERAGE(AI$2:AI$229)*100+100</f>
        <v>27.775800095089778</v>
      </c>
      <c r="N104" s="5">
        <f>(AVERAGE(AJ$2:AJ$229)-AJ104)/AVERAGE(AJ$2:AJ$229)*100+100</f>
        <v>163.0391271843348</v>
      </c>
      <c r="O104" s="5">
        <f>(AK104-AVERAGE(AK$2:AK$229))/AVERAGE(AK$2:AK$229)*100+100</f>
        <v>24.558783833894836</v>
      </c>
      <c r="P104" s="5">
        <f>(AL104-AVERAGE(AL$2:AL$229))/AVERAGE(AL$2:AL$229)*100+100</f>
        <v>93.374413133188867</v>
      </c>
      <c r="Q104" s="5">
        <f>(AM104-AVERAGE(AM$2:AM$229))/AVERAGE(AM$2:AM$229)*100+100</f>
        <v>98.531832791183007</v>
      </c>
      <c r="R104" s="5">
        <f>(AN104-AVERAGE(AN$2:AN$229))/AVERAGE(AN$2:AN$229)*100+100</f>
        <v>96.695592669321925</v>
      </c>
      <c r="S104" s="5">
        <f>(AO104-AVERAGE(AO$2:AO$229))/AVERAGE(AO$2:AO$229)*100+100</f>
        <v>97.496718124621509</v>
      </c>
      <c r="T104" s="6">
        <f>(F104*1.5+H104*2.5+I104+J104+K104*1.5+L104+O104*0.75+P104+S104)/11.25</f>
        <v>99.465552466719231</v>
      </c>
      <c r="V104">
        <f>'2025_Fantasy_Hitters_modified'!F54</f>
        <v>118.10626023305991</v>
      </c>
      <c r="W104">
        <f>'2025_Fantasy_Hitters_modified'!G54</f>
        <v>70.69103344979078</v>
      </c>
      <c r="X104">
        <f>'2025_Fantasy_Hitters_modified'!H54</f>
        <v>24.125260263849878</v>
      </c>
      <c r="Y104">
        <f>'2025_Fantasy_Hitters_modified'!I54</f>
        <v>1.9580044984173985</v>
      </c>
      <c r="Z104">
        <f>'2025_Fantasy_Hitters_modified'!J54</f>
        <v>20.599999999999941</v>
      </c>
      <c r="AA104">
        <f>'2025_Fantasy_Hitters_modified'!K54</f>
        <v>69.969285714285547</v>
      </c>
      <c r="AB104">
        <f>'2025_Fantasy_Hitters_modified'!L54</f>
        <v>71.999999999999474</v>
      </c>
      <c r="AC104" s="2">
        <f>'2025_Fantasy_Hitters_modified'!M54</f>
        <v>57.286428575671941</v>
      </c>
      <c r="AD104">
        <f>'2025_Fantasy_Hitters_modified'!N54</f>
        <v>1.0032142857142425</v>
      </c>
      <c r="AE104">
        <f>'2025_Fantasy_Hitters_modified'!O54</f>
        <v>158.95000000000002</v>
      </c>
      <c r="AF104">
        <f>'2025_Fantasy_Hitters_modified'!P54</f>
        <v>7.1013864818023702</v>
      </c>
      <c r="AG104">
        <f>'2025_Fantasy_Hitters_modified'!Q54</f>
        <v>3.9999999999999449</v>
      </c>
      <c r="AH104">
        <f>'2025_Fantasy_Hitters_modified'!R54</f>
        <v>0</v>
      </c>
      <c r="AI104">
        <f>'2025_Fantasy_Hitters_modified'!S54</f>
        <v>2.906428571428556</v>
      </c>
      <c r="AJ104">
        <f>'2025_Fantasy_Hitters_modified'!T54</f>
        <v>1.0032142857142425</v>
      </c>
      <c r="AK104">
        <f>'2025_Fantasy_Hitters_modified'!U54</f>
        <v>1.9032142857143135</v>
      </c>
      <c r="AL104">
        <f>'2025_Fantasy_Hitters_modified'!V54</f>
        <v>0.23295120361550278</v>
      </c>
      <c r="AM104">
        <f>'2025_Fantasy_Hitters_modified'!W54</f>
        <v>0.32232676613252109</v>
      </c>
      <c r="AN104">
        <f>'2025_Fantasy_Hitters_modified'!X54</f>
        <v>0.40870920606063615</v>
      </c>
      <c r="AO104">
        <f>'2025_Fantasy_Hitters_modified'!Y54</f>
        <v>0.73103597219315719</v>
      </c>
      <c r="AP104">
        <f>'2025_Fantasy_Hitters_modified'!Z54</f>
        <v>0.29418090279999998</v>
      </c>
      <c r="AQ104">
        <f>'2025_Fantasy_Hitters_modified'!AA54</f>
        <v>27.5</v>
      </c>
      <c r="AR104">
        <f>'2025_Fantasy_Hitters_modified'!AB54</f>
        <v>9.9111468123999895</v>
      </c>
    </row>
    <row r="105" spans="1:44" x14ac:dyDescent="0.4">
      <c r="A105" t="str">
        <f>'2025_Fantasy_Hitters_modified'!A74</f>
        <v>CLE</v>
      </c>
      <c r="B105" t="str">
        <f>'2025_Fantasy_Hitters_modified'!B74</f>
        <v>Steven Kwan</v>
      </c>
      <c r="C105">
        <f>'2025_Fantasy_Hitters_modified'!D74</f>
        <v>567</v>
      </c>
      <c r="D105">
        <f>'2025_Fantasy_Hitters_modified'!E74</f>
        <v>640</v>
      </c>
      <c r="E105" s="5">
        <f>(V105-AVERAGE(V$2:V$229))/AVERAGE(V$2:V$229)*100+100</f>
        <v>131.20459012606449</v>
      </c>
      <c r="F105" s="4">
        <f>E105*1.51744-31.775</f>
        <v>167.32009324089529</v>
      </c>
      <c r="G105" s="5">
        <f>(Z105-AVERAGE(Z$2:Z$229))/AVERAGE(Z$2:Z$229)*100+100</f>
        <v>38.378300389554262</v>
      </c>
      <c r="H105" s="4">
        <f>G105*0.83285-13.6979</f>
        <v>18.265467479440264</v>
      </c>
      <c r="I105" s="5">
        <f>(AA105-AVERAGE(AA$2:AA$229))/AVERAGE(AA$2:AA$229)*100+100</f>
        <v>123.65818241051922</v>
      </c>
      <c r="J105" s="5">
        <f>(AB105-AVERAGE(AB$2:AB$229))/AVERAGE(AB$2:AB$229)*100+100</f>
        <v>85.75531696642291</v>
      </c>
      <c r="K105" s="5">
        <f>(AC105-AVERAGE(AC$2:AC$229))/AVERAGE(AC$2:AC$229)*100+100</f>
        <v>130.36770873238126</v>
      </c>
      <c r="L105" s="5">
        <f>(AF105-AVERAGE(AF$2:AF$229))/AVERAGE(AF$2:AF$229)*100+100</f>
        <v>85.592296108545113</v>
      </c>
      <c r="M105" s="5">
        <f>(AI105-AVERAGE(AI$2:AI$229))/AVERAGE(AI$2:AI$229)*100+100</f>
        <v>162.60003889531612</v>
      </c>
      <c r="N105" s="5">
        <f>(AVERAGE(AJ$2:AJ$229)-AJ105)/AVERAGE(AJ$2:AJ$229)*100+100</f>
        <v>53.331958353400275</v>
      </c>
      <c r="O105" s="5">
        <f>(AK105-AVERAGE(AK$2:AK$229))/AVERAGE(AK$2:AK$229)*100+100</f>
        <v>168.18012473476978</v>
      </c>
      <c r="P105" s="5">
        <f>(AL105-AVERAGE(AL$2:AL$229))/AVERAGE(AL$2:AL$229)*100+100</f>
        <v>108.95799015514072</v>
      </c>
      <c r="Q105" s="5">
        <f>(AM105-AVERAGE(AM$2:AM$229))/AVERAGE(AM$2:AM$229)*100+100</f>
        <v>106.36973763403398</v>
      </c>
      <c r="R105" s="5">
        <f>(AN105-AVERAGE(AN$2:AN$229))/AVERAGE(AN$2:AN$229)*100+100</f>
        <v>87.993469749801363</v>
      </c>
      <c r="S105" s="5">
        <f>(AO105-AVERAGE(AO$2:AO$229))/AVERAGE(AO$2:AO$229)*100+100</f>
        <v>96.01077413183566</v>
      </c>
      <c r="T105" s="6">
        <f>(F105*1.5+H105*2.5+I105+J105+K105*1.5+L105+O105*0.75+P105+S105)/11.25</f>
        <v>99.404891109516129</v>
      </c>
      <c r="V105">
        <f>'2025_Fantasy_Hitters_modified'!F74</f>
        <v>154.12717417796429</v>
      </c>
      <c r="W105">
        <f>'2025_Fantasy_Hitters_modified'!G74</f>
        <v>117.50291883672544</v>
      </c>
      <c r="X105">
        <f>'2025_Fantasy_Hitters_modified'!H74</f>
        <v>25.846665733966599</v>
      </c>
      <c r="Y105">
        <f>'2025_Fantasy_Hitters_modified'!I74</f>
        <v>4.5621967033779978</v>
      </c>
      <c r="Z105">
        <f>'2025_Fantasy_Hitters_modified'!J74</f>
        <v>7</v>
      </c>
      <c r="AA105">
        <f>'2025_Fantasy_Hitters_modified'!K74</f>
        <v>81.542857142856946</v>
      </c>
      <c r="AB105">
        <f>'2025_Fantasy_Hitters_modified'!L74</f>
        <v>55</v>
      </c>
      <c r="AC105" s="2">
        <f>'2025_Fantasy_Hitters_modified'!M74</f>
        <v>59.576190476800008</v>
      </c>
      <c r="AD105">
        <f>'2025_Fantasy_Hitters_modified'!N74</f>
        <v>1.3952380952380927</v>
      </c>
      <c r="AE105">
        <f>'2025_Fantasy_Hitters_modified'!O74</f>
        <v>62.857142854400003</v>
      </c>
      <c r="AF105">
        <f>'2025_Fantasy_Hitters_modified'!P74</f>
        <v>5.0152979066022532</v>
      </c>
      <c r="AG105">
        <f>'2025_Fantasy_Hitters_modified'!Q74</f>
        <v>4.6000000000000005</v>
      </c>
      <c r="AH105">
        <f>'2025_Fantasy_Hitters_modified'!R74</f>
        <v>2.036714975845376</v>
      </c>
      <c r="AI105">
        <f>'2025_Fantasy_Hitters_modified'!S74</f>
        <v>17.014285714285695</v>
      </c>
      <c r="AJ105">
        <f>'2025_Fantasy_Hitters_modified'!T74</f>
        <v>3.9809523809523779</v>
      </c>
      <c r="AK105">
        <f>'2025_Fantasy_Hitters_modified'!U74</f>
        <v>13.033333333333317</v>
      </c>
      <c r="AL105">
        <f>'2025_Fantasy_Hitters_modified'!V74</f>
        <v>0.27182923135443438</v>
      </c>
      <c r="AM105">
        <f>'2025_Fantasy_Hitters_modified'!W74</f>
        <v>0.34796687095635676</v>
      </c>
      <c r="AN105">
        <f>'2025_Fantasy_Hitters_modified'!X74</f>
        <v>0.37192740813896408</v>
      </c>
      <c r="AO105">
        <f>'2025_Fantasy_Hitters_modified'!Y74</f>
        <v>0.71989427909532089</v>
      </c>
      <c r="AP105">
        <f>'2025_Fantasy_Hitters_modified'!Z74</f>
        <v>0.29323222459999998</v>
      </c>
      <c r="AQ105">
        <f>'2025_Fantasy_Hitters_modified'!AA74</f>
        <v>9.8214285710000002</v>
      </c>
      <c r="AR105">
        <f>'2025_Fantasy_Hitters_modified'!AB74</f>
        <v>9.3087797620000003</v>
      </c>
    </row>
    <row r="106" spans="1:44" x14ac:dyDescent="0.4">
      <c r="A106" t="str">
        <f>'2025_Fantasy_Hitters_modified'!A29</f>
        <v>BAL</v>
      </c>
      <c r="B106" t="str">
        <f>'2025_Fantasy_Hitters_modified'!B29</f>
        <v>Cedric Mullins</v>
      </c>
      <c r="C106">
        <f>'2025_Fantasy_Hitters_modified'!D29</f>
        <v>466</v>
      </c>
      <c r="D106">
        <f>'2025_Fantasy_Hitters_modified'!E29</f>
        <v>519</v>
      </c>
      <c r="E106" s="5">
        <f>(V106-AVERAGE(V$2:V$229))/AVERAGE(V$2:V$229)*100+100</f>
        <v>91.147461386648516</v>
      </c>
      <c r="F106" s="4">
        <f>E106*1.51744-31.775</f>
        <v>106.53580380655592</v>
      </c>
      <c r="G106" s="5">
        <f>(Z106-AVERAGE(Z$2:Z$229))/AVERAGE(Z$2:Z$229)*100+100</f>
        <v>91.011398066657051</v>
      </c>
      <c r="H106" s="4">
        <f>G106*0.83285-13.6979</f>
        <v>62.100942879815321</v>
      </c>
      <c r="I106" s="5">
        <f>(AA106-AVERAGE(AA$2:AA$229))/AVERAGE(AA$2:AA$229)*100+100</f>
        <v>98.960666747843405</v>
      </c>
      <c r="J106" s="5">
        <f>(AB106-AVERAGE(AB$2:AB$229))/AVERAGE(AB$2:AB$229)*100+100</f>
        <v>91.992067291252951</v>
      </c>
      <c r="K106" s="5">
        <f>(AC106-AVERAGE(AC$2:AC$229))/AVERAGE(AC$2:AC$229)*100+100</f>
        <v>91.842102213821619</v>
      </c>
      <c r="L106" s="5">
        <f>(AF106-AVERAGE(AF$2:AF$229))/AVERAGE(AF$2:AF$229)*100+100</f>
        <v>85.122702172001098</v>
      </c>
      <c r="M106" s="5">
        <f>(AI106-AVERAGE(AI$2:AI$229))/AVERAGE(AI$2:AI$229)*100+100</f>
        <v>257.02683730165114</v>
      </c>
      <c r="N106" s="5">
        <f>(AVERAGE(AJ$2:AJ$229)-AJ106)/AVERAGE(AJ$2:AJ$229)*100+100</f>
        <v>-22.850773386447969</v>
      </c>
      <c r="O106" s="5">
        <f>(AK106-AVERAGE(AK$2:AK$229))/AVERAGE(AK$2:AK$229)*100+100</f>
        <v>268.9967973339285</v>
      </c>
      <c r="P106" s="5">
        <f>(AL106-AVERAGE(AL$2:AL$229))/AVERAGE(AL$2:AL$229)*100+100</f>
        <v>92.09833402177739</v>
      </c>
      <c r="Q106" s="5">
        <f>(AM106-AVERAGE(AM$2:AM$229))/AVERAGE(AM$2:AM$229)*100+100</f>
        <v>92.454507108349517</v>
      </c>
      <c r="R106" s="5">
        <f>(AN106-AVERAGE(AN$2:AN$229))/AVERAGE(AN$2:AN$229)*100+100</f>
        <v>93.105359483565877</v>
      </c>
      <c r="S106" s="5">
        <f>(AO106-AVERAGE(AO$2:AO$229))/AVERAGE(AO$2:AO$229)*100+100</f>
        <v>92.821401846860027</v>
      </c>
      <c r="T106" s="6">
        <f>(F106*1.5+H106*2.5+I106+J106+K106*1.5+L106+O106*0.75+P106+S106)/11.25</f>
        <v>99.161065449803189</v>
      </c>
      <c r="V106">
        <f>'2025_Fantasy_Hitters_modified'!F29</f>
        <v>107.07171634407996</v>
      </c>
      <c r="W106">
        <f>'2025_Fantasy_Hitters_modified'!G29</f>
        <v>67.141701260997664</v>
      </c>
      <c r="X106">
        <f>'2025_Fantasy_Hitters_modified'!H29</f>
        <v>20.561753714563608</v>
      </c>
      <c r="Y106">
        <f>'2025_Fantasy_Hitters_modified'!I29</f>
        <v>2.9072345633759782</v>
      </c>
      <c r="Z106">
        <f>'2025_Fantasy_Hitters_modified'!J29</f>
        <v>16.599999999999962</v>
      </c>
      <c r="AA106">
        <f>'2025_Fantasy_Hitters_modified'!K29</f>
        <v>65.2567857142854</v>
      </c>
      <c r="AB106">
        <f>'2025_Fantasy_Hitters_modified'!L29</f>
        <v>58.999999999999538</v>
      </c>
      <c r="AC106" s="2">
        <f>'2025_Fantasy_Hitters_modified'!M29</f>
        <v>41.97053571381295</v>
      </c>
      <c r="AD106">
        <f>'2025_Fantasy_Hitters_modified'!N29</f>
        <v>0.99267857142852833</v>
      </c>
      <c r="AE106">
        <f>'2025_Fantasy_Hitters_modified'!O29</f>
        <v>103.80000000000001</v>
      </c>
      <c r="AF106">
        <f>'2025_Fantasy_Hitters_modified'!P29</f>
        <v>4.9877819548872111</v>
      </c>
      <c r="AG106">
        <f>'2025_Fantasy_Hitters_modified'!Q29</f>
        <v>3.5999999999999801</v>
      </c>
      <c r="AH106">
        <f>'2025_Fantasy_Hitters_modified'!R29</f>
        <v>1.970676691729309</v>
      </c>
      <c r="AI106">
        <f>'2025_Fantasy_Hitters_modified'!S29</f>
        <v>26.894999999999939</v>
      </c>
      <c r="AJ106">
        <f>'2025_Fantasy_Hitters_modified'!T29</f>
        <v>6.0487499999999228</v>
      </c>
      <c r="AK106">
        <f>'2025_Fantasy_Hitters_modified'!U29</f>
        <v>20.846250000000015</v>
      </c>
      <c r="AL106">
        <f>'2025_Fantasy_Hitters_modified'!V29</f>
        <v>0.22976763163965658</v>
      </c>
      <c r="AM106">
        <f>'2025_Fantasy_Hitters_modified'!W29</f>
        <v>0.30244603643744611</v>
      </c>
      <c r="AN106">
        <f>'2025_Fantasy_Hitters_modified'!X29</f>
        <v>0.39353414673873965</v>
      </c>
      <c r="AO106">
        <f>'2025_Fantasy_Hitters_modified'!Y29</f>
        <v>0.69598018317618582</v>
      </c>
      <c r="AP106">
        <f>'2025_Fantasy_Hitters_modified'!Z29</f>
        <v>0.2590828074</v>
      </c>
      <c r="AQ106">
        <f>'2025_Fantasy_Hitters_modified'!AA29</f>
        <v>20</v>
      </c>
      <c r="AR106">
        <f>'2025_Fantasy_Hitters_modified'!AB29</f>
        <v>8.0868084226999901</v>
      </c>
    </row>
    <row r="107" spans="1:44" x14ac:dyDescent="0.4">
      <c r="A107" t="str">
        <f>'2025_Fantasy_Hitters_modified'!A127</f>
        <v>MIL</v>
      </c>
      <c r="B107" t="str">
        <f>'2025_Fantasy_Hitters_modified'!B127</f>
        <v>Rhys Hoskins</v>
      </c>
      <c r="C107">
        <f>'2025_Fantasy_Hitters_modified'!D127</f>
        <v>469</v>
      </c>
      <c r="D107">
        <f>'2025_Fantasy_Hitters_modified'!E127</f>
        <v>537</v>
      </c>
      <c r="E107" s="5">
        <f>(V107-AVERAGE(V$2:V$229))/AVERAGE(V$2:V$229)*100+100</f>
        <v>85.610216619881228</v>
      </c>
      <c r="F107" s="4">
        <f>E107*1.51744-31.775</f>
        <v>98.133367107672569</v>
      </c>
      <c r="G107" s="5">
        <f>(Z107-AVERAGE(Z$2:Z$229))/AVERAGE(Z$2:Z$229)*100+100</f>
        <v>132.67926706103006</v>
      </c>
      <c r="H107" s="4">
        <f>G107*0.83285-13.6979</f>
        <v>96.804027571778875</v>
      </c>
      <c r="I107" s="5">
        <f>(AA107-AVERAGE(AA$2:AA$229))/AVERAGE(AA$2:AA$229)*100+100</f>
        <v>93.673075776132848</v>
      </c>
      <c r="J107" s="5">
        <f>(AB107-AVERAGE(AB$2:AB$229))/AVERAGE(AB$2:AB$229)*100+100</f>
        <v>118.49825617178405</v>
      </c>
      <c r="K107" s="5">
        <f>(AC107-AVERAGE(AC$2:AC$229))/AVERAGE(AC$2:AC$229)*100+100</f>
        <v>128.47935668988413</v>
      </c>
      <c r="L107" s="5">
        <f>(AF107-AVERAGE(AF$2:AF$229))/AVERAGE(AF$2:AF$229)*100+100</f>
        <v>118.29918547402724</v>
      </c>
      <c r="M107" s="5">
        <f>(AI107-AVERAGE(AI$2:AI$229))/AVERAGE(AI$2:AI$229)*100+100</f>
        <v>28.485225220248836</v>
      </c>
      <c r="N107" s="5">
        <f>(AVERAGE(AJ$2:AJ$229)-AJ107)/AVERAGE(AJ$2:AJ$229)*100+100</f>
        <v>163.39503552731344</v>
      </c>
      <c r="O107" s="5">
        <f>(AK107-AVERAGE(AK$2:AK$229))/AVERAGE(AK$2:AK$229)*100+100</f>
        <v>25.641335573818395</v>
      </c>
      <c r="P107" s="5">
        <f>(AL107-AVERAGE(AL$2:AL$229))/AVERAGE(AL$2:AL$229)*100+100</f>
        <v>85.949997199550324</v>
      </c>
      <c r="Q107" s="5">
        <f>(AM107-AVERAGE(AM$2:AM$229))/AVERAGE(AM$2:AM$229)*100+100</f>
        <v>95.791919225765682</v>
      </c>
      <c r="R107" s="5">
        <f>(AN107-AVERAGE(AN$2:AN$229))/AVERAGE(AN$2:AN$229)*100+100</f>
        <v>98.927027279371089</v>
      </c>
      <c r="S107" s="5">
        <f>(AO107-AVERAGE(AO$2:AO$229))/AVERAGE(AO$2:AO$229)*100+100</f>
        <v>97.559224214316245</v>
      </c>
      <c r="T107" s="6">
        <f>(F107*1.5+H107*2.5+I107+J107+K107*1.5+L107+O107*0.75+P107+S107)/11.25</f>
        <v>99.123546234840589</v>
      </c>
      <c r="V107">
        <f>'2025_Fantasy_Hitters_modified'!F127</f>
        <v>100.56706671395987</v>
      </c>
      <c r="W107">
        <f>'2025_Fantasy_Hitters_modified'!G127</f>
        <v>55.219263623940257</v>
      </c>
      <c r="X107">
        <f>'2025_Fantasy_Hitters_modified'!H127</f>
        <v>20.560364115296888</v>
      </c>
      <c r="Y107">
        <f>'2025_Fantasy_Hitters_modified'!I127</f>
        <v>0.98937090479623946</v>
      </c>
      <c r="Z107">
        <f>'2025_Fantasy_Hitters_modified'!J127</f>
        <v>24.199999999999928</v>
      </c>
      <c r="AA107">
        <f>'2025_Fantasy_Hitters_modified'!K127</f>
        <v>61.770034843205345</v>
      </c>
      <c r="AB107">
        <f>'2025_Fantasy_Hitters_modified'!L127</f>
        <v>75.999999999999787</v>
      </c>
      <c r="AC107" s="2">
        <f>'2025_Fantasy_Hitters_modified'!M127</f>
        <v>58.71324042525</v>
      </c>
      <c r="AD107">
        <f>'2025_Fantasy_Hitters_modified'!N127</f>
        <v>0.59355400696862537</v>
      </c>
      <c r="AE107">
        <f>'2025_Fantasy_Hitters_modified'!O127</f>
        <v>149.6864111502</v>
      </c>
      <c r="AF107">
        <f>'2025_Fantasy_Hitters_modified'!P127</f>
        <v>6.9317647058823058</v>
      </c>
      <c r="AG107">
        <f>'2025_Fantasy_Hitters_modified'!Q127</f>
        <v>4</v>
      </c>
      <c r="AH107">
        <f>'2025_Fantasy_Hitters_modified'!R127</f>
        <v>0</v>
      </c>
      <c r="AI107">
        <f>'2025_Fantasy_Hitters_modified'!S127</f>
        <v>2.9806620209058972</v>
      </c>
      <c r="AJ107">
        <f>'2025_Fantasy_Hitters_modified'!T127</f>
        <v>0.99355400696861451</v>
      </c>
      <c r="AK107">
        <f>'2025_Fantasy_Hitters_modified'!U127</f>
        <v>1.9871080139372825</v>
      </c>
      <c r="AL107">
        <f>'2025_Fantasy_Hitters_modified'!V127</f>
        <v>0.21442871367582064</v>
      </c>
      <c r="AM107">
        <f>'2025_Fantasy_Hitters_modified'!W127</f>
        <v>0.31336369852273421</v>
      </c>
      <c r="AN107">
        <f>'2025_Fantasy_Hitters_modified'!X127</f>
        <v>0.41814094790815026</v>
      </c>
      <c r="AO107">
        <f>'2025_Fantasy_Hitters_modified'!Y127</f>
        <v>0.73150464643088453</v>
      </c>
      <c r="AP107">
        <f>'2025_Fantasy_Hitters_modified'!Z127</f>
        <v>0.2553112582</v>
      </c>
      <c r="AQ107">
        <f>'2025_Fantasy_Hitters_modified'!AA127</f>
        <v>27.874564459999998</v>
      </c>
      <c r="AR107">
        <f>'2025_Fantasy_Hitters_modified'!AB127</f>
        <v>10.933564325000001</v>
      </c>
    </row>
    <row r="108" spans="1:44" x14ac:dyDescent="0.4">
      <c r="A108" t="str">
        <f>'2025_Fantasy_Hitters_modified'!A137</f>
        <v>MIN</v>
      </c>
      <c r="B108" t="str">
        <f>'2025_Fantasy_Hitters_modified'!B137</f>
        <v>Willi Castro</v>
      </c>
      <c r="C108">
        <f>'2025_Fantasy_Hitters_modified'!D137</f>
        <v>487</v>
      </c>
      <c r="D108">
        <f>'2025_Fantasy_Hitters_modified'!E137</f>
        <v>547</v>
      </c>
      <c r="E108" s="5">
        <f>(V108-AVERAGE(V$2:V$229))/AVERAGE(V$2:V$229)*100+100</f>
        <v>100.82381922410799</v>
      </c>
      <c r="F108" s="4">
        <f>E108*1.51744-31.775</f>
        <v>121.21909624343041</v>
      </c>
      <c r="G108" s="5">
        <f>(Z108-AVERAGE(Z$2:Z$229))/AVERAGE(Z$2:Z$229)*100+100</f>
        <v>62.50180349155967</v>
      </c>
      <c r="H108" s="4">
        <f>G108*0.83285-13.6979</f>
        <v>38.356727037945475</v>
      </c>
      <c r="I108" s="5">
        <f>(AA108-AVERAGE(AA$2:AA$229))/AVERAGE(AA$2:AA$229)*100+100</f>
        <v>105.20492611019881</v>
      </c>
      <c r="J108" s="5">
        <f>(AB108-AVERAGE(AB$2:AB$229))/AVERAGE(AB$2:AB$229)*100+100</f>
        <v>79.51856664159213</v>
      </c>
      <c r="K108" s="5">
        <f>(AC108-AVERAGE(AC$2:AC$229))/AVERAGE(AC$2:AC$229)*100+100</f>
        <v>89.394579355280484</v>
      </c>
      <c r="L108" s="5">
        <f>(AF108-AVERAGE(AF$2:AF$229))/AVERAGE(AF$2:AF$229)*100+100</f>
        <v>209.96168231990995</v>
      </c>
      <c r="M108" s="5">
        <f>(AI108-AVERAGE(AI$2:AI$229))/AVERAGE(AI$2:AI$229)*100+100</f>
        <v>171.12729418505765</v>
      </c>
      <c r="N108" s="5">
        <f>(AVERAGE(AJ$2:AJ$229)-AJ108)/AVERAGE(AJ$2:AJ$229)*100+100</f>
        <v>-18.80422909891854</v>
      </c>
      <c r="O108" s="5">
        <f>(AK108-AVERAGE(AK$2:AK$229))/AVERAGE(AK$2:AK$229)*100+100</f>
        <v>154.42873560334459</v>
      </c>
      <c r="P108" s="5">
        <f>(AL108-AVERAGE(AL$2:AL$229))/AVERAGE(AL$2:AL$229)*100+100</f>
        <v>97.482643336701074</v>
      </c>
      <c r="Q108" s="5">
        <f>(AM108-AVERAGE(AM$2:AM$229))/AVERAGE(AM$2:AM$229)*100+100</f>
        <v>98.975473097894124</v>
      </c>
      <c r="R108" s="5">
        <f>(AN108-AVERAGE(AN$2:AN$229))/AVERAGE(AN$2:AN$229)*100+100</f>
        <v>88.631486978305858</v>
      </c>
      <c r="S108" s="5">
        <f>(AO108-AVERAGE(AO$2:AO$229))/AVERAGE(AO$2:AO$229)*100+100</f>
        <v>93.144421039058955</v>
      </c>
      <c r="T108" s="6">
        <f>(F108*1.5+H108*2.5+I108+J108+K108*1.5+L108+O108*0.75+P108+S108)/11.25</f>
        <v>98.928544190479954</v>
      </c>
      <c r="V108">
        <f>'2025_Fantasy_Hitters_modified'!F137</f>
        <v>118.43861812998138</v>
      </c>
      <c r="W108">
        <f>'2025_Fantasy_Hitters_modified'!G137</f>
        <v>80.932903234036388</v>
      </c>
      <c r="X108">
        <f>'2025_Fantasy_Hitters_modified'!H137</f>
        <v>22.007940176257858</v>
      </c>
      <c r="Y108">
        <f>'2025_Fantasy_Hitters_modified'!I137</f>
        <v>3.9643932640733812</v>
      </c>
      <c r="Z108">
        <f>'2025_Fantasy_Hitters_modified'!J137</f>
        <v>11.399999999999975</v>
      </c>
      <c r="AA108">
        <f>'2025_Fantasy_Hitters_modified'!K137</f>
        <v>69.374384236453068</v>
      </c>
      <c r="AB108">
        <f>'2025_Fantasy_Hitters_modified'!L137</f>
        <v>50.999999999999979</v>
      </c>
      <c r="AC108" s="2">
        <f>'2025_Fantasy_Hitters_modified'!M137</f>
        <v>40.852052544670997</v>
      </c>
      <c r="AD108">
        <f>'2025_Fantasy_Hitters_modified'!N137</f>
        <v>0.8999999999999746</v>
      </c>
      <c r="AE108">
        <f>'2025_Fantasy_Hitters_modified'!O137</f>
        <v>128.44170769259998</v>
      </c>
      <c r="AF108">
        <f>'2025_Fantasy_Hitters_modified'!P137</f>
        <v>12.30274725274724</v>
      </c>
      <c r="AG108">
        <f>'2025_Fantasy_Hitters_modified'!Q137</f>
        <v>3.9999999999999964</v>
      </c>
      <c r="AH108">
        <f>'2025_Fantasy_Hitters_modified'!R137</f>
        <v>1.4010989010988899</v>
      </c>
      <c r="AI108">
        <f>'2025_Fantasy_Hitters_modified'!S137</f>
        <v>17.906568144499161</v>
      </c>
      <c r="AJ108">
        <f>'2025_Fantasy_Hitters_modified'!T137</f>
        <v>5.9389162561575883</v>
      </c>
      <c r="AK108">
        <f>'2025_Fantasy_Hitters_modified'!U137</f>
        <v>11.967651888341573</v>
      </c>
      <c r="AL108">
        <f>'2025_Fantasy_Hitters_modified'!V137</f>
        <v>0.24320044790550591</v>
      </c>
      <c r="AM108">
        <f>'2025_Fantasy_Hitters_modified'!W137</f>
        <v>0.32377804478366817</v>
      </c>
      <c r="AN108">
        <f>'2025_Fantasy_Hitters_modified'!X137</f>
        <v>0.374624154781873</v>
      </c>
      <c r="AO108">
        <f>'2025_Fantasy_Hitters_modified'!Y137</f>
        <v>0.69840219956554117</v>
      </c>
      <c r="AP108">
        <f>'2025_Fantasy_Hitters_modified'!Z137</f>
        <v>0.30481586360000001</v>
      </c>
      <c r="AQ108">
        <f>'2025_Fantasy_Hitters_modified'!AA137</f>
        <v>23.481116579999998</v>
      </c>
      <c r="AR108">
        <f>'2025_Fantasy_Hitters_modified'!AB137</f>
        <v>7.4683825493000002</v>
      </c>
    </row>
    <row r="109" spans="1:44" x14ac:dyDescent="0.4">
      <c r="A109" t="str">
        <f>'2025_Fantasy_Hitters_modified'!A79</f>
        <v>COL</v>
      </c>
      <c r="B109" t="str">
        <f>'2025_Fantasy_Hitters_modified'!B79</f>
        <v>Ryan McMahon</v>
      </c>
      <c r="C109">
        <f>'2025_Fantasy_Hitters_modified'!D79</f>
        <v>548</v>
      </c>
      <c r="D109">
        <f>'2025_Fantasy_Hitters_modified'!E79</f>
        <v>620</v>
      </c>
      <c r="E109" s="5">
        <f>(V109-AVERAGE(V$2:V$229))/AVERAGE(V$2:V$229)*100+100</f>
        <v>111.84885860536212</v>
      </c>
      <c r="F109" s="4">
        <f>E109*1.51744-31.775</f>
        <v>137.9489320021207</v>
      </c>
      <c r="G109" s="5">
        <f>(Z109-AVERAGE(Z$2:Z$229))/AVERAGE(Z$2:Z$229)*100+100</f>
        <v>107.45924109075176</v>
      </c>
      <c r="H109" s="4">
        <f>G109*0.83285-13.6979</f>
        <v>75.799528942432602</v>
      </c>
      <c r="I109" s="5">
        <f>(AA109-AVERAGE(AA$2:AA$229))/AVERAGE(AA$2:AA$229)*100+100</f>
        <v>107.99629182236569</v>
      </c>
      <c r="J109" s="5">
        <f>(AB109-AVERAGE(AB$2:AB$229))/AVERAGE(AB$2:AB$229)*100+100</f>
        <v>109.14313068453765</v>
      </c>
      <c r="K109" s="5">
        <f>(AC109-AVERAGE(AC$2:AC$229))/AVERAGE(AC$2:AC$229)*100+100</f>
        <v>144.25217241592904</v>
      </c>
      <c r="L109" s="5">
        <f>(AF109-AVERAGE(AF$2:AF$229))/AVERAGE(AF$2:AF$229)*100+100</f>
        <v>66.720209828298593</v>
      </c>
      <c r="M109" s="5">
        <f>(AI109-AVERAGE(AI$2:AI$229))/AVERAGE(AI$2:AI$229)*100+100</f>
        <v>48.586027621306151</v>
      </c>
      <c r="N109" s="5">
        <f>(AVERAGE(AJ$2:AJ$229)-AJ109)/AVERAGE(AJ$2:AJ$229)*100+100</f>
        <v>86.181697582808965</v>
      </c>
      <c r="O109" s="5">
        <f>(AK109-AVERAGE(AK$2:AK$229))/AVERAGE(AK$2:AK$229)*100+100</f>
        <v>25.738817244516341</v>
      </c>
      <c r="P109" s="5">
        <f>(AL109-AVERAGE(AL$2:AL$229))/AVERAGE(AL$2:AL$229)*100+100</f>
        <v>96.104585895744492</v>
      </c>
      <c r="Q109" s="5">
        <f>(AM109-AVERAGE(AM$2:AM$229))/AVERAGE(AM$2:AM$229)*100+100</f>
        <v>100.5383205998673</v>
      </c>
      <c r="R109" s="5">
        <f>(AN109-AVERAGE(AN$2:AN$229))/AVERAGE(AN$2:AN$229)*100+100</f>
        <v>95.251045908491548</v>
      </c>
      <c r="S109" s="5">
        <f>(AO109-AVERAGE(AO$2:AO$229))/AVERAGE(AO$2:AO$229)*100+100</f>
        <v>97.55780867551438</v>
      </c>
      <c r="T109" s="6">
        <f>(F109*1.5+H109*2.5+I109+J109+K109*1.5+L109+O109*0.75+P109+S109)/11.25</f>
        <v>98.633477228711484</v>
      </c>
      <c r="V109">
        <f>'2025_Fantasy_Hitters_modified'!F79</f>
        <v>131.38982786586627</v>
      </c>
      <c r="W109">
        <f>'2025_Fantasy_Hitters_modified'!G79</f>
        <v>83.590592007809846</v>
      </c>
      <c r="X109">
        <f>'2025_Fantasy_Hitters_modified'!H79</f>
        <v>27.192120291697179</v>
      </c>
      <c r="Y109">
        <f>'2025_Fantasy_Hitters_modified'!I79</f>
        <v>1.4172862697490578</v>
      </c>
      <c r="Z109">
        <f>'2025_Fantasy_Hitters_modified'!J79</f>
        <v>19.599999999999966</v>
      </c>
      <c r="AA109">
        <f>'2025_Fantasy_Hitters_modified'!K79</f>
        <v>71.215070643641681</v>
      </c>
      <c r="AB109">
        <f>'2025_Fantasy_Hitters_modified'!L79</f>
        <v>69.999999999999616</v>
      </c>
      <c r="AC109" s="2">
        <f>'2025_Fantasy_Hitters_modified'!M79</f>
        <v>65.921193093800014</v>
      </c>
      <c r="AD109">
        <f>'2025_Fantasy_Hitters_modified'!N79</f>
        <v>2.9919937205651141</v>
      </c>
      <c r="AE109">
        <f>'2025_Fantasy_Hitters_modified'!O79</f>
        <v>176.16954473999999</v>
      </c>
      <c r="AF109">
        <f>'2025_Fantasy_Hitters_modified'!P79</f>
        <v>3.9094841930116422</v>
      </c>
      <c r="AG109">
        <f>'2025_Fantasy_Hitters_modified'!Q79</f>
        <v>3.9999999999999964</v>
      </c>
      <c r="AH109">
        <f>'2025_Fantasy_Hitters_modified'!R79</f>
        <v>0</v>
      </c>
      <c r="AI109">
        <f>'2025_Fantasy_Hitters_modified'!S79</f>
        <v>5.0839874411302635</v>
      </c>
      <c r="AJ109">
        <f>'2025_Fantasy_Hitters_modified'!T79</f>
        <v>3.0893249607535003</v>
      </c>
      <c r="AK109">
        <f>'2025_Fantasy_Hitters_modified'!U79</f>
        <v>1.9946624803767632</v>
      </c>
      <c r="AL109">
        <f>'2025_Fantasy_Hitters_modified'!V79</f>
        <v>0.239762459609245</v>
      </c>
      <c r="AM109">
        <f>'2025_Fantasy_Hitters_modified'!W79</f>
        <v>0.32889058117926012</v>
      </c>
      <c r="AN109">
        <f>'2025_Fantasy_Hitters_modified'!X79</f>
        <v>0.40260345146067744</v>
      </c>
      <c r="AO109">
        <f>'2025_Fantasy_Hitters_modified'!Y79</f>
        <v>0.73149403263993751</v>
      </c>
      <c r="AP109">
        <f>'2025_Fantasy_Hitters_modified'!Z79</f>
        <v>0.313813224599999</v>
      </c>
      <c r="AQ109">
        <f>'2025_Fantasy_Hitters_modified'!AA79</f>
        <v>28.414442699999999</v>
      </c>
      <c r="AR109">
        <f>'2025_Fantasy_Hitters_modified'!AB79</f>
        <v>10.632450499000001</v>
      </c>
    </row>
    <row r="110" spans="1:44" x14ac:dyDescent="0.4">
      <c r="A110" t="str">
        <f>'2025_Fantasy_Hitters_modified'!A190</f>
        <v>STL</v>
      </c>
      <c r="B110" t="str">
        <f>'2025_Fantasy_Hitters_modified'!B190</f>
        <v>Brendan Donovan</v>
      </c>
      <c r="C110">
        <f>'2025_Fantasy_Hitters_modified'!D190</f>
        <v>505</v>
      </c>
      <c r="D110">
        <f>'2025_Fantasy_Hitters_modified'!E190</f>
        <v>570</v>
      </c>
      <c r="E110" s="5">
        <f>(V110-AVERAGE(V$2:V$229))/AVERAGE(V$2:V$229)*100+100</f>
        <v>116.08466011760913</v>
      </c>
      <c r="F110" s="4">
        <f>E110*1.51744-31.775</f>
        <v>144.37650664886479</v>
      </c>
      <c r="G110" s="5">
        <f>(Z110-AVERAGE(Z$2:Z$229))/AVERAGE(Z$2:Z$229)*100+100</f>
        <v>63.598326359832299</v>
      </c>
      <c r="H110" s="4">
        <f>G110*0.83285-13.6979</f>
        <v>39.269966108786335</v>
      </c>
      <c r="I110" s="5">
        <f>(AA110-AVERAGE(AA$2:AA$229))/AVERAGE(AA$2:AA$229)*100+100</f>
        <v>101.35172005412834</v>
      </c>
      <c r="J110" s="5">
        <f>(AB110-AVERAGE(AB$2:AB$229))/AVERAGE(AB$2:AB$229)*100+100</f>
        <v>95.110442453668938</v>
      </c>
      <c r="K110" s="5">
        <f>(AC110-AVERAGE(AC$2:AC$229))/AVERAGE(AC$2:AC$229)*100+100</f>
        <v>107.76655256327058</v>
      </c>
      <c r="L110" s="5">
        <f>(AF110-AVERAGE(AF$2:AF$229))/AVERAGE(AF$2:AF$229)*100+100</f>
        <v>190.61007004417291</v>
      </c>
      <c r="M110" s="5">
        <f>(AI110-AVERAGE(AI$2:AI$229))/AVERAGE(AI$2:AI$229)*100+100</f>
        <v>56.972861713167354</v>
      </c>
      <c r="N110" s="5">
        <f>(AVERAGE(AJ$2:AJ$229)-AJ110)/AVERAGE(AJ$2:AJ$229)*100+100</f>
        <v>123.33866425731384</v>
      </c>
      <c r="O110" s="5">
        <f>(AK110-AVERAGE(AK$2:AK$229))/AVERAGE(AK$2:AK$229)*100+100</f>
        <v>50.077092562729057</v>
      </c>
      <c r="P110" s="5">
        <f>(AL110-AVERAGE(AL$2:AL$229))/AVERAGE(AL$2:AL$229)*100+100</f>
        <v>108.23720517150917</v>
      </c>
      <c r="Q110" s="5">
        <f>(AM110-AVERAGE(AM$2:AM$229))/AVERAGE(AM$2:AM$229)*100+100</f>
        <v>108.24831824348875</v>
      </c>
      <c r="R110" s="5">
        <f>(AN110-AVERAGE(AN$2:AN$229))/AVERAGE(AN$2:AN$229)*100+100</f>
        <v>92.785166332410753</v>
      </c>
      <c r="S110" s="5">
        <f>(AO110-AVERAGE(AO$2:AO$229))/AVERAGE(AO$2:AO$229)*100+100</f>
        <v>99.531519637540782</v>
      </c>
      <c r="T110" s="6">
        <f>(F110*1.5+H110*2.5+I110+J110+K110*1.5+L110+O110*0.75+P110+S110)/11.25</f>
        <v>98.558958299843212</v>
      </c>
      <c r="V110">
        <f>'2025_Fantasy_Hitters_modified'!F190</f>
        <v>136.36566077563035</v>
      </c>
      <c r="W110">
        <f>'2025_Fantasy_Hitters_modified'!G190</f>
        <v>97.375349942270631</v>
      </c>
      <c r="X110">
        <f>'2025_Fantasy_Hitters_modified'!H190</f>
        <v>24.14819240818651</v>
      </c>
      <c r="Y110">
        <f>'2025_Fantasy_Hitters_modified'!I190</f>
        <v>1.9931841352788719</v>
      </c>
      <c r="Z110">
        <f>'2025_Fantasy_Hitters_modified'!J190</f>
        <v>11.599999999999911</v>
      </c>
      <c r="AA110">
        <f>'2025_Fantasy_Hitters_modified'!K190</f>
        <v>66.833497536945686</v>
      </c>
      <c r="AB110">
        <f>'2025_Fantasy_Hitters_modified'!L190</f>
        <v>60.999999999999929</v>
      </c>
      <c r="AC110" s="2">
        <f>'2025_Fantasy_Hitters_modified'!M190</f>
        <v>49.24778325066</v>
      </c>
      <c r="AD110">
        <f>'2025_Fantasy_Hitters_modified'!N190</f>
        <v>1.3935960591132608</v>
      </c>
      <c r="AE110">
        <f>'2025_Fantasy_Hitters_modified'!O190</f>
        <v>75.812807876999997</v>
      </c>
      <c r="AF110">
        <f>'2025_Fantasy_Hitters_modified'!P190</f>
        <v>11.168835616438269</v>
      </c>
      <c r="AG110">
        <f>'2025_Fantasy_Hitters_modified'!Q190</f>
        <v>3.9999999999999813</v>
      </c>
      <c r="AH110">
        <f>'2025_Fantasy_Hitters_modified'!R190</f>
        <v>0.98561643835611601</v>
      </c>
      <c r="AI110">
        <f>'2025_Fantasy_Hitters_modified'!S190</f>
        <v>5.9615763546797105</v>
      </c>
      <c r="AJ110">
        <f>'2025_Fantasy_Hitters_modified'!T190</f>
        <v>2.0807881773398678</v>
      </c>
      <c r="AK110">
        <f>'2025_Fantasy_Hitters_modified'!U190</f>
        <v>3.8807881773398427</v>
      </c>
      <c r="AL110">
        <f>'2025_Fantasy_Hitters_modified'!V190</f>
        <v>0.27003101143689179</v>
      </c>
      <c r="AM110">
        <f>'2025_Fantasy_Hitters_modified'!W190</f>
        <v>0.35411226372549442</v>
      </c>
      <c r="AN110">
        <f>'2025_Fantasy_Hitters_modified'!X190</f>
        <v>0.39218076666233642</v>
      </c>
      <c r="AO110">
        <f>'2025_Fantasy_Hitters_modified'!Y190</f>
        <v>0.74629303038783079</v>
      </c>
      <c r="AP110">
        <f>'2025_Fantasy_Hitters_modified'!Z190</f>
        <v>0.29594272100000002</v>
      </c>
      <c r="AQ110">
        <f>'2025_Fantasy_Hitters_modified'!AA190</f>
        <v>13.300492609999999</v>
      </c>
      <c r="AR110">
        <f>'2025_Fantasy_Hitters_modified'!AB190</f>
        <v>8.6399619738000002</v>
      </c>
    </row>
    <row r="111" spans="1:44" x14ac:dyDescent="0.4">
      <c r="A111" t="str">
        <f>'2025_Fantasy_Hitters_modified'!A38</f>
        <v>BAL</v>
      </c>
      <c r="B111" t="str">
        <f>'2025_Fantasy_Hitters_modified'!B38</f>
        <v>Tyler O'Neill</v>
      </c>
      <c r="C111">
        <f>'2025_Fantasy_Hitters_modified'!D38</f>
        <v>424</v>
      </c>
      <c r="D111">
        <f>'2025_Fantasy_Hitters_modified'!E38</f>
        <v>482</v>
      </c>
      <c r="E111" s="5">
        <f>(V111-AVERAGE(V$2:V$229))/AVERAGE(V$2:V$229)*100+100</f>
        <v>83.953850890495204</v>
      </c>
      <c r="F111" s="4">
        <f>E111*1.51744-31.775</f>
        <v>95.619931495273022</v>
      </c>
      <c r="G111" s="5">
        <f>(Z111-AVERAGE(Z$2:Z$229))/AVERAGE(Z$2:Z$229)*100+100</f>
        <v>133.77578992930304</v>
      </c>
      <c r="H111" s="4">
        <f>G111*0.83285-13.6979</f>
        <v>97.717266642620032</v>
      </c>
      <c r="I111" s="5">
        <f>(AA111-AVERAGE(AA$2:AA$229))/AVERAGE(AA$2:AA$229)*100+100</f>
        <v>98.710160675794555</v>
      </c>
      <c r="J111" s="5">
        <f>(AB111-AVERAGE(AB$2:AB$229))/AVERAGE(AB$2:AB$229)*100+100</f>
        <v>99.788005197291483</v>
      </c>
      <c r="K111" s="5">
        <f>(AC111-AVERAGE(AC$2:AC$229))/AVERAGE(AC$2:AC$229)*100+100</f>
        <v>107.13791361521142</v>
      </c>
      <c r="L111" s="5">
        <f>(AF111-AVERAGE(AF$2:AF$229))/AVERAGE(AF$2:AF$229)*100+100</f>
        <v>118.55885110004722</v>
      </c>
      <c r="M111" s="5">
        <f>(AI111-AVERAGE(AI$2:AI$229))/AVERAGE(AI$2:AI$229)*100+100</f>
        <v>57.412341485780672</v>
      </c>
      <c r="N111" s="5">
        <f>(AVERAGE(AJ$2:AJ$229)-AJ111)/AVERAGE(AJ$2:AJ$229)*100+100</f>
        <v>129.95290369573084</v>
      </c>
      <c r="O111" s="5">
        <f>(AK111-AVERAGE(AK$2:AK$229))/AVERAGE(AK$2:AK$229)*100+100</f>
        <v>52.987094898866097</v>
      </c>
      <c r="P111" s="5">
        <f>(AL111-AVERAGE(AL$2:AL$229))/AVERAGE(AL$2:AL$229)*100+100</f>
        <v>93.23261782335598</v>
      </c>
      <c r="Q111" s="5">
        <f>(AM111-AVERAGE(AM$2:AM$229))/AVERAGE(AM$2:AM$229)*100+100</f>
        <v>100.11223315673784</v>
      </c>
      <c r="R111" s="5">
        <f>(AN111-AVERAGE(AN$2:AN$229))/AVERAGE(AN$2:AN$229)*100+100</f>
        <v>107.33191059417757</v>
      </c>
      <c r="S111" s="5">
        <f>(AO111-AVERAGE(AO$2:AO$229))/AVERAGE(AO$2:AO$229)*100+100</f>
        <v>104.18206798627102</v>
      </c>
      <c r="T111" s="6">
        <f>(F111*1.5+H111*2.5+I111+J111+K111*1.5+L111+O111*0.75+P111+S111)/11.25</f>
        <v>98.012618509261046</v>
      </c>
      <c r="V111">
        <f>'2025_Fantasy_Hitters_modified'!F38</f>
        <v>98.621319472722348</v>
      </c>
      <c r="W111">
        <f>'2025_Fantasy_Hitters_modified'!G38</f>
        <v>55.661977641326999</v>
      </c>
      <c r="X111">
        <f>'2025_Fantasy_Hitters_modified'!H38</f>
        <v>18.053834466337868</v>
      </c>
      <c r="Y111">
        <f>'2025_Fantasy_Hitters_modified'!I38</f>
        <v>0.99496687725594668</v>
      </c>
      <c r="Z111">
        <f>'2025_Fantasy_Hitters_modified'!J38</f>
        <v>24.399999999999928</v>
      </c>
      <c r="AA111">
        <f>'2025_Fantasy_Hitters_modified'!K38</f>
        <v>65.091596638655247</v>
      </c>
      <c r="AB111">
        <f>'2025_Fantasy_Hitters_modified'!L38</f>
        <v>63.999999999999588</v>
      </c>
      <c r="AC111" s="2">
        <f>'2025_Fantasy_Hitters_modified'!M38</f>
        <v>48.960504183819999</v>
      </c>
      <c r="AD111">
        <f>'2025_Fantasy_Hitters_modified'!N38</f>
        <v>2.0025210084033147</v>
      </c>
      <c r="AE111">
        <f>'2025_Fantasy_Hitters_modified'!O38</f>
        <v>147.8403361462</v>
      </c>
      <c r="AF111">
        <f>'2025_Fantasy_Hitters_modified'!P38</f>
        <v>6.9469798657717314</v>
      </c>
      <c r="AG111">
        <f>'2025_Fantasy_Hitters_modified'!Q38</f>
        <v>2.9999999999999547</v>
      </c>
      <c r="AH111">
        <f>'2025_Fantasy_Hitters_modified'!R38</f>
        <v>0</v>
      </c>
      <c r="AI111">
        <f>'2025_Fantasy_Hitters_modified'!S38</f>
        <v>6.0075630252100067</v>
      </c>
      <c r="AJ111">
        <f>'2025_Fantasy_Hitters_modified'!T38</f>
        <v>1.9012605042016364</v>
      </c>
      <c r="AK111">
        <f>'2025_Fantasy_Hitters_modified'!U38</f>
        <v>4.1063025210083701</v>
      </c>
      <c r="AL111">
        <f>'2025_Fantasy_Hitters_modified'!V38</f>
        <v>0.2325974515866093</v>
      </c>
      <c r="AM111">
        <f>'2025_Fantasy_Hitters_modified'!W38</f>
        <v>0.32749672313619849</v>
      </c>
      <c r="AN111">
        <f>'2025_Fantasy_Hitters_modified'!X38</f>
        <v>0.45366638491926958</v>
      </c>
      <c r="AO111">
        <f>'2025_Fantasy_Hitters_modified'!Y38</f>
        <v>0.78116310805546807</v>
      </c>
      <c r="AP111">
        <f>'2025_Fantasy_Hitters_modified'!Z38</f>
        <v>0.29133858299999998</v>
      </c>
      <c r="AQ111">
        <f>'2025_Fantasy_Hitters_modified'!AA38</f>
        <v>30.67226891</v>
      </c>
      <c r="AR111">
        <f>'2025_Fantasy_Hitters_modified'!AB38</f>
        <v>10.157780950999999</v>
      </c>
    </row>
    <row r="112" spans="1:44" x14ac:dyDescent="0.4">
      <c r="A112" t="str">
        <f>'2025_Fantasy_Hitters_modified'!A14</f>
        <v>ATH</v>
      </c>
      <c r="B112" t="str">
        <f>'2025_Fantasy_Hitters_modified'!B14</f>
        <v>JJ Bleday</v>
      </c>
      <c r="C112">
        <f>'2025_Fantasy_Hitters_modified'!D14</f>
        <v>522</v>
      </c>
      <c r="D112">
        <f>'2025_Fantasy_Hitters_modified'!E14</f>
        <v>597</v>
      </c>
      <c r="E112" s="5">
        <f>(V112-AVERAGE(V$2:V$229))/AVERAGE(V$2:V$229)*100+100</f>
        <v>100.31984868088108</v>
      </c>
      <c r="F112" s="4">
        <f>E112*1.51744-31.775</f>
        <v>120.45435118231617</v>
      </c>
      <c r="G112" s="5">
        <f>(Z112-AVERAGE(Z$2:Z$229))/AVERAGE(Z$2:Z$229)*100+100</f>
        <v>117.32794690520848</v>
      </c>
      <c r="H112" s="4">
        <f>G112*0.83285-13.6979</f>
        <v>84.018680580002879</v>
      </c>
      <c r="I112" s="5">
        <f>(AA112-AVERAGE(AA$2:AA$229))/AVERAGE(AA$2:AA$229)*100+100</f>
        <v>107.67889909920686</v>
      </c>
      <c r="J112" s="5">
        <f>(AB112-AVERAGE(AB$2:AB$229))/AVERAGE(AB$2:AB$229)*100+100</f>
        <v>102.90638035970706</v>
      </c>
      <c r="K112" s="5">
        <f>(AC112-AVERAGE(AC$2:AC$229))/AVERAGE(AC$2:AC$229)*100+100</f>
        <v>143.30023274380548</v>
      </c>
      <c r="L112" s="5">
        <f>(AF112-AVERAGE(AF$2:AF$229))/AVERAGE(AF$2:AF$229)*100+100</f>
        <v>66.61909453653</v>
      </c>
      <c r="M112" s="5">
        <f>(AI112-AVERAGE(AI$2:AI$229))/AVERAGE(AI$2:AI$229)*100+100</f>
        <v>38.739400445314651</v>
      </c>
      <c r="N112" s="5">
        <f>(AVERAGE(AJ$2:AJ$229)-AJ112)/AVERAGE(AJ$2:AJ$229)*100+100</f>
        <v>126.99819580366133</v>
      </c>
      <c r="O112" s="5">
        <f>(AK112-AVERAGE(AK$2:AK$229))/AVERAGE(AK$2:AK$229)*100+100</f>
        <v>26.739200406858558</v>
      </c>
      <c r="P112" s="5">
        <f>(AL112-AVERAGE(AL$2:AL$229))/AVERAGE(AL$2:AL$229)*100+100</f>
        <v>90.491852521601345</v>
      </c>
      <c r="Q112" s="5">
        <f>(AM112-AVERAGE(AM$2:AM$229))/AVERAGE(AM$2:AM$229)*100+100</f>
        <v>97.08323631067762</v>
      </c>
      <c r="R112" s="5">
        <f>(AN112-AVERAGE(AN$2:AN$229))/AVERAGE(AN$2:AN$229)*100+100</f>
        <v>97.213462092186944</v>
      </c>
      <c r="S112" s="5">
        <f>(AO112-AVERAGE(AO$2:AO$229))/AVERAGE(AO$2:AO$229)*100+100</f>
        <v>97.156646435421024</v>
      </c>
      <c r="T112" s="6">
        <f>(F112*1.5+H112*2.5+I112+J112+K112*1.5+L112+O112*0.75+P112+S112)/11.25</f>
        <v>96.940964497493326</v>
      </c>
      <c r="V112">
        <f>'2025_Fantasy_Hitters_modified'!F14</f>
        <v>117.8465995457088</v>
      </c>
      <c r="W112">
        <f>'2025_Fantasy_Hitters_modified'!G14</f>
        <v>66.182050267855388</v>
      </c>
      <c r="X112">
        <f>'2025_Fantasy_Hitters_modified'!H14</f>
        <v>27.556171298773886</v>
      </c>
      <c r="Y112">
        <f>'2025_Fantasy_Hitters_modified'!I14</f>
        <v>2.5314746643646808</v>
      </c>
      <c r="Z112">
        <f>'2025_Fantasy_Hitters_modified'!J14</f>
        <v>21.399999999999949</v>
      </c>
      <c r="AA112">
        <f>'2025_Fantasy_Hitters_modified'!K14</f>
        <v>71.005775075987259</v>
      </c>
      <c r="AB112">
        <f>'2025_Fantasy_Hitters_modified'!L14</f>
        <v>65.999999999999716</v>
      </c>
      <c r="AC112" s="2">
        <f>'2025_Fantasy_Hitters_modified'!M14</f>
        <v>65.486170189890004</v>
      </c>
      <c r="AD112">
        <f>'2025_Fantasy_Hitters_modified'!N14</f>
        <v>0.99072948328266364</v>
      </c>
      <c r="AE112">
        <f>'2025_Fantasy_Hitters_modified'!O14</f>
        <v>127.9285714371</v>
      </c>
      <c r="AF112">
        <f>'2025_Fantasy_Hitters_modified'!P14</f>
        <v>3.903559322033892</v>
      </c>
      <c r="AG112">
        <f>'2025_Fantasy_Hitters_modified'!Q14</f>
        <v>4.1999999999999966</v>
      </c>
      <c r="AH112">
        <f>'2025_Fantasy_Hitters_modified'!R14</f>
        <v>1.0071186440677646</v>
      </c>
      <c r="AI112">
        <f>'2025_Fantasy_Hitters_modified'!S14</f>
        <v>4.0536474164133605</v>
      </c>
      <c r="AJ112">
        <f>'2025_Fantasy_Hitters_modified'!T14</f>
        <v>1.9814589665653395</v>
      </c>
      <c r="AK112">
        <f>'2025_Fantasy_Hitters_modified'!U14</f>
        <v>2.0721884498480208</v>
      </c>
      <c r="AL112">
        <f>'2025_Fantasy_Hitters_modified'!V14</f>
        <v>0.22575976924465288</v>
      </c>
      <c r="AM112">
        <f>'2025_Fantasy_Hitters_modified'!W14</f>
        <v>0.31758797861821808</v>
      </c>
      <c r="AN112">
        <f>'2025_Fantasy_Hitters_modified'!X14</f>
        <v>0.41089811658715897</v>
      </c>
      <c r="AO112">
        <f>'2025_Fantasy_Hitters_modified'!Y14</f>
        <v>0.7284860952053771</v>
      </c>
      <c r="AP112">
        <f>'2025_Fantasy_Hitters_modified'!Z14</f>
        <v>0.2559138004</v>
      </c>
      <c r="AQ112">
        <f>'2025_Fantasy_Hitters_modified'!AA14</f>
        <v>21.428571430000002</v>
      </c>
      <c r="AR112">
        <f>'2025_Fantasy_Hitters_modified'!AB14</f>
        <v>10.969207737</v>
      </c>
    </row>
    <row r="113" spans="1:44" x14ac:dyDescent="0.4">
      <c r="A113" t="str">
        <f>'2025_Fantasy_Hitters_modified'!A151</f>
        <v>NYY</v>
      </c>
      <c r="B113" t="str">
        <f>'2025_Fantasy_Hitters_modified'!B151</f>
        <v>Jasson Dominguez</v>
      </c>
      <c r="C113">
        <f>'2025_Fantasy_Hitters_modified'!D151</f>
        <v>466</v>
      </c>
      <c r="D113">
        <f>'2025_Fantasy_Hitters_modified'!E151</f>
        <v>522</v>
      </c>
      <c r="E113" s="5">
        <f>(V113-AVERAGE(V$2:V$229))/AVERAGE(V$2:V$229)*100+100</f>
        <v>95.253271555768279</v>
      </c>
      <c r="F113" s="4">
        <f>E113*1.51744-31.775</f>
        <v>112.766124389585</v>
      </c>
      <c r="G113" s="5">
        <f>(Z113-AVERAGE(Z$2:Z$229))/AVERAGE(Z$2:Z$229)*100+100</f>
        <v>85.528783725292172</v>
      </c>
      <c r="H113" s="4">
        <f>G113*0.83285-13.6979</f>
        <v>57.534747525609575</v>
      </c>
      <c r="I113" s="5">
        <f>(AA113-AVERAGE(AA$2:AA$229))/AVERAGE(AA$2:AA$229)*100+100</f>
        <v>105.66467273650827</v>
      </c>
      <c r="J113" s="5">
        <f>(AB113-AVERAGE(AB$2:AB$229))/AVERAGE(AB$2:AB$229)*100+100</f>
        <v>93.551254872461215</v>
      </c>
      <c r="K113" s="5">
        <f>(AC113-AVERAGE(AC$2:AC$229))/AVERAGE(AC$2:AC$229)*100+100</f>
        <v>99.502937467294274</v>
      </c>
      <c r="L113" s="5">
        <f>(AF113-AVERAGE(AF$2:AF$229))/AVERAGE(AF$2:AF$229)*100+100</f>
        <v>63.431447917308901</v>
      </c>
      <c r="M113" s="5">
        <f>(AI113-AVERAGE(AI$2:AI$229))/AVERAGE(AI$2:AI$229)*100+100</f>
        <v>210.4321841982744</v>
      </c>
      <c r="N113" s="5">
        <f>(AVERAGE(AJ$2:AJ$229)-AJ113)/AVERAGE(AJ$2:AJ$229)*100+100</f>
        <v>54.284348234223174</v>
      </c>
      <c r="O113" s="5">
        <f>(AK113-AVERAGE(AK$2:AK$229))/AVERAGE(AK$2:AK$229)*100+100</f>
        <v>233.09875892632454</v>
      </c>
      <c r="P113" s="5">
        <f>(AL113-AVERAGE(AL$2:AL$229))/AVERAGE(AL$2:AL$229)*100+100</f>
        <v>96.246977007910985</v>
      </c>
      <c r="Q113" s="5">
        <f>(AM113-AVERAGE(AM$2:AM$229))/AVERAGE(AM$2:AM$229)*100+100</f>
        <v>96.277817429242589</v>
      </c>
      <c r="R113" s="5">
        <f>(AN113-AVERAGE(AN$2:AN$229))/AVERAGE(AN$2:AN$229)*100+100</f>
        <v>93.226000677680901</v>
      </c>
      <c r="S113" s="5">
        <f>(AO113-AVERAGE(AO$2:AO$229))/AVERAGE(AO$2:AO$229)*100+100</f>
        <v>94.557464931989813</v>
      </c>
      <c r="T113" s="6">
        <f>(F113*1.5+H113*2.5+I113+J113+K113*1.5+L113+O113*0.75+P113+S113)/11.25</f>
        <v>96.934786512023592</v>
      </c>
      <c r="V113">
        <f>'2025_Fantasy_Hitters_modified'!F151</f>
        <v>111.89484729147711</v>
      </c>
      <c r="W113">
        <f>'2025_Fantasy_Hitters_modified'!G151</f>
        <v>73.998933248920665</v>
      </c>
      <c r="X113">
        <f>'2025_Fantasy_Hitters_modified'!H151</f>
        <v>20.634610133887932</v>
      </c>
      <c r="Y113">
        <f>'2025_Fantasy_Hitters_modified'!I151</f>
        <v>1.9854607688964332</v>
      </c>
      <c r="Z113">
        <f>'2025_Fantasy_Hitters_modified'!J151</f>
        <v>15.599999999999966</v>
      </c>
      <c r="AA113">
        <f>'2025_Fantasy_Hitters_modified'!K151</f>
        <v>69.67755102040762</v>
      </c>
      <c r="AB113">
        <f>'2025_Fantasy_Hitters_modified'!L151</f>
        <v>59.999999999999908</v>
      </c>
      <c r="AC113" s="2">
        <f>'2025_Fantasy_Hitters_modified'!M151</f>
        <v>45.471428570717997</v>
      </c>
      <c r="AD113">
        <f>'2025_Fantasy_Hitters_modified'!N151</f>
        <v>1.3887755102040547</v>
      </c>
      <c r="AE113">
        <f>'2025_Fantasy_Hitters_modified'!O151</f>
        <v>128.72448981899998</v>
      </c>
      <c r="AF113">
        <f>'2025_Fantasy_Hitters_modified'!P151</f>
        <v>3.7167785234899067</v>
      </c>
      <c r="AG113">
        <f>'2025_Fantasy_Hitters_modified'!Q151</f>
        <v>2.9999999999999951</v>
      </c>
      <c r="AH113">
        <f>'2025_Fantasy_Hitters_modified'!R151</f>
        <v>0.39999999999999236</v>
      </c>
      <c r="AI113">
        <f>'2025_Fantasy_Hitters_modified'!S151</f>
        <v>22.019387755102024</v>
      </c>
      <c r="AJ113">
        <f>'2025_Fantasy_Hitters_modified'!T151</f>
        <v>3.9551020408163011</v>
      </c>
      <c r="AK113">
        <f>'2025_Fantasy_Hitters_modified'!U151</f>
        <v>18.064285714285724</v>
      </c>
      <c r="AL113">
        <f>'2025_Fantasy_Hitters_modified'!V151</f>
        <v>0.24011769805038005</v>
      </c>
      <c r="AM113">
        <f>'2025_Fantasy_Hitters_modified'!W151</f>
        <v>0.31495321525209646</v>
      </c>
      <c r="AN113">
        <f>'2025_Fantasy_Hitters_modified'!X151</f>
        <v>0.39404406829052724</v>
      </c>
      <c r="AO113">
        <f>'2025_Fantasy_Hitters_modified'!Y151</f>
        <v>0.7089972835426237</v>
      </c>
      <c r="AP113">
        <f>'2025_Fantasy_Hitters_modified'!Z151</f>
        <v>0.2965879602</v>
      </c>
      <c r="AQ113">
        <f>'2025_Fantasy_Hitters_modified'!AA151</f>
        <v>24.659863949999998</v>
      </c>
      <c r="AR113">
        <f>'2025_Fantasy_Hitters_modified'!AB151</f>
        <v>8.7110016418999994</v>
      </c>
    </row>
    <row r="114" spans="1:44" x14ac:dyDescent="0.4">
      <c r="A114" t="str">
        <f>'2025_Fantasy_Hitters_modified'!A122</f>
        <v>MIL</v>
      </c>
      <c r="B114" t="str">
        <f>'2025_Fantasy_Hitters_modified'!B122</f>
        <v>Brice Turang</v>
      </c>
      <c r="C114">
        <f>'2025_Fantasy_Hitters_modified'!D122</f>
        <v>515</v>
      </c>
      <c r="D114">
        <f>'2025_Fantasy_Hitters_modified'!E122</f>
        <v>571</v>
      </c>
      <c r="E114" s="5">
        <f>(V114-AVERAGE(V$2:V$229))/AVERAGE(V$2:V$229)*100+100</f>
        <v>108.04603695613618</v>
      </c>
      <c r="F114" s="4">
        <f>E114*1.51744-31.775</f>
        <v>132.17837831871927</v>
      </c>
      <c r="G114" s="5">
        <f>(Z114-AVERAGE(Z$2:Z$229))/AVERAGE(Z$2:Z$229)*100+100</f>
        <v>39.474823257826884</v>
      </c>
      <c r="H114" s="4">
        <f>G114*0.83285-13.6979</f>
        <v>19.178706550281117</v>
      </c>
      <c r="I114" s="5">
        <f>(AA114-AVERAGE(AA$2:AA$229))/AVERAGE(AA$2:AA$229)*100+100</f>
        <v>98.977834218084055</v>
      </c>
      <c r="J114" s="5">
        <f>(AB114-AVERAGE(AB$2:AB$229))/AVERAGE(AB$2:AB$229)*100+100</f>
        <v>79.518566641592145</v>
      </c>
      <c r="K114" s="5">
        <f>(AC114-AVERAGE(AC$2:AC$229))/AVERAGE(AC$2:AC$229)*100+100</f>
        <v>99.417152180242368</v>
      </c>
      <c r="L114" s="5">
        <f>(AF114-AVERAGE(AF$2:AF$229))/AVERAGE(AF$2:AF$229)*100+100</f>
        <v>32.385020664121882</v>
      </c>
      <c r="M114" s="5">
        <f>(AI114-AVERAGE(AI$2:AI$229))/AVERAGE(AI$2:AI$229)*100+100</f>
        <v>351.7762132557142</v>
      </c>
      <c r="N114" s="5">
        <f>(AVERAGE(AJ$2:AJ$229)-AJ114)/AVERAGE(AJ$2:AJ$229)*100+100</f>
        <v>-23.41090715655028</v>
      </c>
      <c r="O114" s="5">
        <f>(AK114-AVERAGE(AK$2:AK$229))/AVERAGE(AK$2:AK$229)*100+100</f>
        <v>396.73538665117661</v>
      </c>
      <c r="P114" s="5">
        <f>(AL114-AVERAGE(AL$2:AL$229))/AVERAGE(AL$2:AL$229)*100+100</f>
        <v>98.785846691067277</v>
      </c>
      <c r="Q114" s="5">
        <f>(AM114-AVERAGE(AM$2:AM$229))/AVERAGE(AM$2:AM$229)*100+100</f>
        <v>94.744701688687329</v>
      </c>
      <c r="R114" s="5">
        <f>(AN114-AVERAGE(AN$2:AN$229))/AVERAGE(AN$2:AN$229)*100+100</f>
        <v>80.33902335526237</v>
      </c>
      <c r="S114" s="5">
        <f>(AO114-AVERAGE(AO$2:AO$229))/AVERAGE(AO$2:AO$229)*100+100</f>
        <v>86.624015974892288</v>
      </c>
      <c r="T114" s="6">
        <f>(F114*1.5+H114*2.5+I114+J114+K114*1.5+L114+O114*0.75+P114+S114)/11.25</f>
        <v>96.816256560203129</v>
      </c>
      <c r="V114">
        <f>'2025_Fantasy_Hitters_modified'!F122</f>
        <v>126.92262017035176</v>
      </c>
      <c r="W114">
        <f>'2025_Fantasy_Hitters_modified'!G122</f>
        <v>93.096913087928542</v>
      </c>
      <c r="X114">
        <f>'2025_Fantasy_Hitters_modified'!H122</f>
        <v>21.949147031231128</v>
      </c>
      <c r="Y114">
        <f>'2025_Fantasy_Hitters_modified'!I122</f>
        <v>3.0284485603552778</v>
      </c>
      <c r="Z114">
        <f>'2025_Fantasy_Hitters_modified'!J122</f>
        <v>7.1999999999999345</v>
      </c>
      <c r="AA114">
        <f>'2025_Fantasy_Hitters_modified'!K122</f>
        <v>65.268106312292332</v>
      </c>
      <c r="AB114">
        <f>'2025_Fantasy_Hitters_modified'!L122</f>
        <v>50.999999999999993</v>
      </c>
      <c r="AC114" s="2">
        <f>'2025_Fantasy_Hitters_modified'!M122</f>
        <v>45.432225913471001</v>
      </c>
      <c r="AD114">
        <f>'2025_Fantasy_Hitters_modified'!N122</f>
        <v>0.99485049833885153</v>
      </c>
      <c r="AE114">
        <f>'2025_Fantasy_Hitters_modified'!O122</f>
        <v>102.43853823139999</v>
      </c>
      <c r="AF114">
        <f>'2025_Fantasy_Hitters_modified'!P122</f>
        <v>1.8976068376068007</v>
      </c>
      <c r="AG114">
        <f>'2025_Fantasy_Hitters_modified'!Q122</f>
        <v>3.9999999999999765</v>
      </c>
      <c r="AH114">
        <f>'2025_Fantasy_Hitters_modified'!R122</f>
        <v>3.5425641025640884</v>
      </c>
      <c r="AI114">
        <f>'2025_Fantasy_Hitters_modified'!S122</f>
        <v>36.809468438538168</v>
      </c>
      <c r="AJ114">
        <f>'2025_Fantasy_Hitters_modified'!T122</f>
        <v>6.0639534883720767</v>
      </c>
      <c r="AK114">
        <f>'2025_Fantasy_Hitters_modified'!U122</f>
        <v>30.74551495016609</v>
      </c>
      <c r="AL114">
        <f>'2025_Fantasy_Hitters_modified'!V122</f>
        <v>0.24645168965116848</v>
      </c>
      <c r="AM114">
        <f>'2025_Fantasy_Hitters_modified'!W122</f>
        <v>0.3099379402413564</v>
      </c>
      <c r="AN114">
        <f>'2025_Fantasy_Hitters_modified'!X122</f>
        <v>0.33957388899311913</v>
      </c>
      <c r="AO114">
        <f>'2025_Fantasy_Hitters_modified'!Y122</f>
        <v>0.64951182923447548</v>
      </c>
      <c r="AP114">
        <f>'2025_Fantasy_Hitters_modified'!Z122</f>
        <v>0.29246187379999999</v>
      </c>
      <c r="AQ114">
        <f>'2025_Fantasy_Hitters_modified'!AA122</f>
        <v>17.940199339999999</v>
      </c>
      <c r="AR114">
        <f>'2025_Fantasy_Hitters_modified'!AB122</f>
        <v>7.9566069901000001</v>
      </c>
    </row>
    <row r="115" spans="1:44" x14ac:dyDescent="0.4">
      <c r="A115" t="str">
        <f>'2025_Fantasy_Hitters_modified'!A187</f>
        <v>SFG</v>
      </c>
      <c r="B115" t="str">
        <f>'2025_Fantasy_Hitters_modified'!B187</f>
        <v>Tyler Fitzgerald</v>
      </c>
      <c r="C115">
        <f>'2025_Fantasy_Hitters_modified'!D187</f>
        <v>490</v>
      </c>
      <c r="D115">
        <f>'2025_Fantasy_Hitters_modified'!E187</f>
        <v>537</v>
      </c>
      <c r="E115" s="5">
        <f>(V115-AVERAGE(V$2:V$229))/AVERAGE(V$2:V$229)*100+100</f>
        <v>97.184836182421947</v>
      </c>
      <c r="F115" s="4">
        <f>E115*1.51744-31.775</f>
        <v>115.69715781665434</v>
      </c>
      <c r="G115" s="5">
        <f>(Z115-AVERAGE(Z$2:Z$229))/AVERAGE(Z$2:Z$229)*100+100</f>
        <v>88.818352330110926</v>
      </c>
      <c r="H115" s="4">
        <f>G115*0.83285-13.6979</f>
        <v>60.274464738132878</v>
      </c>
      <c r="I115" s="5">
        <f>(AA115-AVERAGE(AA$2:AA$229))/AVERAGE(AA$2:AA$229)*100+100</f>
        <v>99.979155915718962</v>
      </c>
      <c r="J115" s="5">
        <f>(AB115-AVERAGE(AB$2:AB$229))/AVERAGE(AB$2:AB$229)*100+100</f>
        <v>88.873692128838258</v>
      </c>
      <c r="K115" s="5">
        <f>(AC115-AVERAGE(AC$2:AC$229))/AVERAGE(AC$2:AC$229)*100+100</f>
        <v>74.646129032240609</v>
      </c>
      <c r="L115" s="5">
        <f>(AF115-AVERAGE(AF$2:AF$229))/AVERAGE(AF$2:AF$229)*100+100</f>
        <v>122.47990297888168</v>
      </c>
      <c r="M115" s="5">
        <f>(AI115-AVERAGE(AI$2:AI$229))/AVERAGE(AI$2:AI$229)*100+100</f>
        <v>188.80277042195036</v>
      </c>
      <c r="N115" s="5">
        <f>(AVERAGE(AJ$2:AJ$229)-AJ115)/AVERAGE(AJ$2:AJ$229)*100+100</f>
        <v>50.34101930154781</v>
      </c>
      <c r="O115" s="5">
        <f>(AK115-AVERAGE(AK$2:AK$229))/AVERAGE(AK$2:AK$229)*100+100</f>
        <v>202.51264642360729</v>
      </c>
      <c r="P115" s="5">
        <f>(AL115-AVERAGE(AL$2:AL$229))/AVERAGE(AL$2:AL$229)*100+100</f>
        <v>93.388960327350986</v>
      </c>
      <c r="Q115" s="5">
        <f>(AM115-AVERAGE(AM$2:AM$229))/AVERAGE(AM$2:AM$229)*100+100</f>
        <v>90.152076156036131</v>
      </c>
      <c r="R115" s="5">
        <f>(AN115-AVERAGE(AN$2:AN$229))/AVERAGE(AN$2:AN$229)*100+100</f>
        <v>92.312921578651085</v>
      </c>
      <c r="S115" s="5">
        <f>(AO115-AVERAGE(AO$2:AO$229))/AVERAGE(AO$2:AO$229)*100+100</f>
        <v>91.370175446260674</v>
      </c>
      <c r="T115" s="6">
        <f>(F115*1.5+H115*2.5+I115+J115+K115*1.5+L115+O115*0.75+P115+S115)/11.25</f>
        <v>96.371330109638279</v>
      </c>
      <c r="V115">
        <f>'2025_Fantasy_Hitters_modified'!F187</f>
        <v>114.16387307298521</v>
      </c>
      <c r="W115">
        <f>'2025_Fantasy_Hitters_modified'!G187</f>
        <v>71.373678953174931</v>
      </c>
      <c r="X115">
        <f>'2025_Fantasy_Hitters_modified'!H187</f>
        <v>22.991521231414872</v>
      </c>
      <c r="Y115">
        <f>'2025_Fantasy_Hitters_modified'!I187</f>
        <v>3.0112606471624388</v>
      </c>
      <c r="Z115">
        <f>'2025_Fantasy_Hitters_modified'!J187</f>
        <v>16.199999999999932</v>
      </c>
      <c r="AA115">
        <f>'2025_Fantasy_Hitters_modified'!K187</f>
        <v>65.928399311531336</v>
      </c>
      <c r="AB115">
        <f>'2025_Fantasy_Hitters_modified'!L187</f>
        <v>56.999999999999979</v>
      </c>
      <c r="AC115" s="2">
        <f>'2025_Fantasy_Hitters_modified'!M187</f>
        <v>34.112220309935999</v>
      </c>
      <c r="AD115">
        <f>'2025_Fantasy_Hitters_modified'!N187</f>
        <v>0</v>
      </c>
      <c r="AE115">
        <f>'2025_Fantasy_Hitters_modified'!O187</f>
        <v>163.59552497369998</v>
      </c>
      <c r="AF115">
        <f>'2025_Fantasy_Hitters_modified'!P187</f>
        <v>7.1767346938775054</v>
      </c>
      <c r="AG115">
        <f>'2025_Fantasy_Hitters_modified'!Q187</f>
        <v>2.9999999999999729</v>
      </c>
      <c r="AH115">
        <f>'2025_Fantasy_Hitters_modified'!R187</f>
        <v>1.0575510204081486</v>
      </c>
      <c r="AI115">
        <f>'2025_Fantasy_Hitters_modified'!S187</f>
        <v>19.756110154905301</v>
      </c>
      <c r="AJ115">
        <f>'2025_Fantasy_Hitters_modified'!T187</f>
        <v>4.0621342512908747</v>
      </c>
      <c r="AK115">
        <f>'2025_Fantasy_Hitters_modified'!U187</f>
        <v>15.693975903614426</v>
      </c>
      <c r="AL115">
        <f>'2025_Fantasy_Hitters_modified'!V187</f>
        <v>0.23298749606731675</v>
      </c>
      <c r="AM115">
        <f>'2025_Fantasy_Hitters_modified'!W187</f>
        <v>0.29491410384186162</v>
      </c>
      <c r="AN115">
        <f>'2025_Fantasy_Hitters_modified'!X187</f>
        <v>0.3901847007295749</v>
      </c>
      <c r="AO115">
        <f>'2025_Fantasy_Hitters_modified'!Y187</f>
        <v>0.68509880457143657</v>
      </c>
      <c r="AP115">
        <f>'2025_Fantasy_Hitters_modified'!Z187</f>
        <v>0.31277928919999998</v>
      </c>
      <c r="AQ115">
        <f>'2025_Fantasy_Hitters_modified'!AA187</f>
        <v>30.46471601</v>
      </c>
      <c r="AR115">
        <f>'2025_Fantasy_Hitters_modified'!AB187</f>
        <v>6.3523687728000002</v>
      </c>
    </row>
    <row r="116" spans="1:44" x14ac:dyDescent="0.4">
      <c r="A116" t="str">
        <f>'2025_Fantasy_Hitters_modified'!A121</f>
        <v>MIA</v>
      </c>
      <c r="B116" t="str">
        <f>'2025_Fantasy_Hitters_modified'!B121</f>
        <v>Xavier Edwards</v>
      </c>
      <c r="C116">
        <f>'2025_Fantasy_Hitters_modified'!D121</f>
        <v>514</v>
      </c>
      <c r="D116">
        <f>'2025_Fantasy_Hitters_modified'!E121</f>
        <v>577</v>
      </c>
      <c r="E116" s="5">
        <f>(V116-AVERAGE(V$2:V$229))/AVERAGE(V$2:V$229)*100+100</f>
        <v>122.3898684284836</v>
      </c>
      <c r="F116" s="4">
        <f>E116*1.51744-31.775</f>
        <v>153.94428194811812</v>
      </c>
      <c r="G116" s="5">
        <f>(Z116-AVERAGE(Z$2:Z$229))/AVERAGE(Z$2:Z$229)*100+100</f>
        <v>17.544365892367566</v>
      </c>
      <c r="H116" s="4">
        <f>G116*0.83285-13.6979</f>
        <v>0.91392513345832604</v>
      </c>
      <c r="I116" s="5">
        <f>(AA116-AVERAGE(AA$2:AA$229))/AVERAGE(AA$2:AA$229)*100+100</f>
        <v>105.53468866249602</v>
      </c>
      <c r="J116" s="5">
        <f>(AB116-AVERAGE(AB$2:AB$229))/AVERAGE(AB$2:AB$229)*100+100</f>
        <v>67.045065991930599</v>
      </c>
      <c r="K116" s="5">
        <f>(AC116-AVERAGE(AC$2:AC$229))/AVERAGE(AC$2:AC$229)*100+100</f>
        <v>102.18912825422197</v>
      </c>
      <c r="L116" s="5">
        <f>(AF116-AVERAGE(AF$2:AF$229))/AVERAGE(AF$2:AF$229)*100+100</f>
        <v>32.855295552029247</v>
      </c>
      <c r="M116" s="5">
        <f>(AI116-AVERAGE(AI$2:AI$229))/AVERAGE(AI$2:AI$229)*100+100</f>
        <v>339.64561321206224</v>
      </c>
      <c r="N116" s="5">
        <f>(AVERAGE(AJ$2:AJ$229)-AJ116)/AVERAGE(AJ$2:AJ$229)*100+100</f>
        <v>-24.256488319096107</v>
      </c>
      <c r="O116" s="5">
        <f>(AK116-AVERAGE(AK$2:AK$229))/AVERAGE(AK$2:AK$229)*100+100</f>
        <v>380.05995748983696</v>
      </c>
      <c r="P116" s="5">
        <f>(AL116-AVERAGE(AL$2:AL$229))/AVERAGE(AL$2:AL$229)*100+100</f>
        <v>112.11803110650658</v>
      </c>
      <c r="Q116" s="5">
        <f>(AM116-AVERAGE(AM$2:AM$229))/AVERAGE(AM$2:AM$229)*100+100</f>
        <v>104.64806041934071</v>
      </c>
      <c r="R116" s="5">
        <f>(AN116-AVERAGE(AN$2:AN$229))/AVERAGE(AN$2:AN$229)*100+100</f>
        <v>85.479237380060241</v>
      </c>
      <c r="S116" s="5">
        <f>(AO116-AVERAGE(AO$2:AO$229))/AVERAGE(AO$2:AO$229)*100+100</f>
        <v>93.842322306740442</v>
      </c>
      <c r="T116" s="6">
        <f>(F116*1.5+H116*2.5+I116+J116+K116*1.5+L116+O116*0.75+P116+S116)/11.25</f>
        <v>96.260026655487692</v>
      </c>
      <c r="V116">
        <f>'2025_Fantasy_Hitters_modified'!F121</f>
        <v>143.77244386625821</v>
      </c>
      <c r="W116">
        <f>'2025_Fantasy_Hitters_modified'!G121</f>
        <v>113.0561357052034</v>
      </c>
      <c r="X116">
        <f>'2025_Fantasy_Hitters_modified'!H121</f>
        <v>23.927224487873627</v>
      </c>
      <c r="Y116">
        <f>'2025_Fantasy_Hitters_modified'!I121</f>
        <v>3.9992646644017387</v>
      </c>
      <c r="Z116">
        <f>'2025_Fantasy_Hitters_modified'!J121</f>
        <v>3.1999999999999811</v>
      </c>
      <c r="AA116">
        <f>'2025_Fantasy_Hitters_modified'!K121</f>
        <v>69.591836734693473</v>
      </c>
      <c r="AB116">
        <f>'2025_Fantasy_Hitters_modified'!L121</f>
        <v>42.999999999999972</v>
      </c>
      <c r="AC116" s="2">
        <f>'2025_Fantasy_Hitters_modified'!M121</f>
        <v>46.698979591864997</v>
      </c>
      <c r="AD116">
        <f>'2025_Fantasy_Hitters_modified'!N121</f>
        <v>1.3981292517006561</v>
      </c>
      <c r="AE116">
        <f>'2025_Fantasy_Hitters_modified'!O121</f>
        <v>80.465986387100003</v>
      </c>
      <c r="AF116">
        <f>'2025_Fantasy_Hitters_modified'!P121</f>
        <v>1.9251626898047409</v>
      </c>
      <c r="AG116">
        <f>'2025_Fantasy_Hitters_modified'!Q121</f>
        <v>3.9999999999999907</v>
      </c>
      <c r="AH116">
        <f>'2025_Fantasy_Hitters_modified'!R121</f>
        <v>6.9058568329717573</v>
      </c>
      <c r="AI116">
        <f>'2025_Fantasy_Hitters_modified'!S121</f>
        <v>35.540136054421708</v>
      </c>
      <c r="AJ116">
        <f>'2025_Fantasy_Hitters_modified'!T121</f>
        <v>6.0869047619046999</v>
      </c>
      <c r="AK116">
        <f>'2025_Fantasy_Hitters_modified'!U121</f>
        <v>29.45323129251701</v>
      </c>
      <c r="AL116">
        <f>'2025_Fantasy_Hitters_modified'!V121</f>
        <v>0.27971292580984086</v>
      </c>
      <c r="AM116">
        <f>'2025_Fantasy_Hitters_modified'!W121</f>
        <v>0.34233475559611365</v>
      </c>
      <c r="AN116">
        <f>'2025_Fantasy_Hitters_modified'!X121</f>
        <v>0.36130034761508911</v>
      </c>
      <c r="AO116">
        <f>'2025_Fantasy_Hitters_modified'!Y121</f>
        <v>0.70363510321120271</v>
      </c>
      <c r="AP116">
        <f>'2025_Fantasy_Hitters_modified'!Z121</f>
        <v>0.32365055339999999</v>
      </c>
      <c r="AQ116">
        <f>'2025_Fantasy_Hitters_modified'!AA121</f>
        <v>13.945578230000001</v>
      </c>
      <c r="AR116">
        <f>'2025_Fantasy_Hitters_modified'!AB121</f>
        <v>8.0934106744999994</v>
      </c>
    </row>
    <row r="117" spans="1:44" x14ac:dyDescent="0.4">
      <c r="A117" t="str">
        <f>'2025_Fantasy_Hitters_modified'!A81</f>
        <v>DET</v>
      </c>
      <c r="B117" t="str">
        <f>'2025_Fantasy_Hitters_modified'!B81</f>
        <v>Gleyber Torres</v>
      </c>
      <c r="C117">
        <f>'2025_Fantasy_Hitters_modified'!D81</f>
        <v>556</v>
      </c>
      <c r="D117">
        <f>'2025_Fantasy_Hitters_modified'!E81</f>
        <v>626</v>
      </c>
      <c r="E117" s="5">
        <f>(V117-AVERAGE(V$2:V$229))/AVERAGE(V$2:V$229)*100+100</f>
        <v>119.7863926551322</v>
      </c>
      <c r="F117" s="4">
        <f>E117*1.51744-31.775</f>
        <v>149.99366367060378</v>
      </c>
      <c r="G117" s="5">
        <f>(Z117-AVERAGE(Z$2:Z$229))/AVERAGE(Z$2:Z$229)*100+100</f>
        <v>89.914875198384095</v>
      </c>
      <c r="H117" s="4">
        <f>G117*0.83285-13.6979</f>
        <v>61.187703808974192</v>
      </c>
      <c r="I117" s="5">
        <f>(AA117-AVERAGE(AA$2:AA$229))/AVERAGE(AA$2:AA$229)*100+100</f>
        <v>111.45350754632761</v>
      </c>
      <c r="J117" s="5">
        <f>(AB117-AVERAGE(AB$2:AB$229))/AVERAGE(AB$2:AB$229)*100+100</f>
        <v>101.34719277849935</v>
      </c>
      <c r="K117" s="5">
        <f>(AC117-AVERAGE(AC$2:AC$229))/AVERAGE(AC$2:AC$229)*100+100</f>
        <v>125.58104638828181</v>
      </c>
      <c r="L117" s="5">
        <f>(AF117-AVERAGE(AF$2:AF$229))/AVERAGE(AF$2:AF$229)*100+100</f>
        <v>66.454190106848159</v>
      </c>
      <c r="M117" s="5">
        <f>(AI117-AVERAGE(AI$2:AI$229))/AVERAGE(AI$2:AI$229)*100+100</f>
        <v>67.480599238563343</v>
      </c>
      <c r="N117" s="5">
        <f>(AVERAGE(AJ$2:AJ$229)-AJ117)/AVERAGE(AJ$2:AJ$229)*100+100</f>
        <v>90.010167078318673</v>
      </c>
      <c r="O117" s="5">
        <f>(AK117-AVERAGE(AK$2:AK$229))/AVERAGE(AK$2:AK$229)*100+100</f>
        <v>52.591996810496831</v>
      </c>
      <c r="P117" s="5">
        <f>(AL117-AVERAGE(AL$2:AL$229))/AVERAGE(AL$2:AL$229)*100+100</f>
        <v>101.44386991597233</v>
      </c>
      <c r="Q117" s="5">
        <f>(AM117-AVERAGE(AM$2:AM$229))/AVERAGE(AM$2:AM$229)*100+100</f>
        <v>99.756649433925929</v>
      </c>
      <c r="R117" s="5">
        <f>(AN117-AVERAGE(AN$2:AN$229))/AVERAGE(AN$2:AN$229)*100+100</f>
        <v>92.773637837259315</v>
      </c>
      <c r="S117" s="5">
        <f>(AO117-AVERAGE(AO$2:AO$229))/AVERAGE(AO$2:AO$229)*100+100</f>
        <v>95.820226504035759</v>
      </c>
      <c r="T117" s="6">
        <f>(F117*1.5+H117*2.5+I117+J117+K117*1.5+L117+O117*0.75+P117+S117)/11.25</f>
        <v>96.203938584028421</v>
      </c>
      <c r="V117">
        <f>'2025_Fantasy_Hitters_modified'!F81</f>
        <v>140.71411821163065</v>
      </c>
      <c r="W117">
        <f>'2025_Fantasy_Hitters_modified'!G81</f>
        <v>96.890895386625928</v>
      </c>
      <c r="X117">
        <f>'2025_Fantasy_Hitters_modified'!H81</f>
        <v>26.277781085385321</v>
      </c>
      <c r="Y117">
        <f>'2025_Fantasy_Hitters_modified'!I81</f>
        <v>0.99298527603759745</v>
      </c>
      <c r="Z117">
        <f>'2025_Fantasy_Hitters_modified'!J81</f>
        <v>16.399999999999967</v>
      </c>
      <c r="AA117">
        <f>'2025_Fantasy_Hitters_modified'!K81</f>
        <v>73.494832826747199</v>
      </c>
      <c r="AB117">
        <f>'2025_Fantasy_Hitters_modified'!L81</f>
        <v>64.999999999999702</v>
      </c>
      <c r="AC117" s="2">
        <f>'2025_Fantasy_Hitters_modified'!M81</f>
        <v>57.388753799933994</v>
      </c>
      <c r="AD117">
        <f>'2025_Fantasy_Hitters_modified'!N81</f>
        <v>0</v>
      </c>
      <c r="AE117">
        <f>'2025_Fantasy_Hitters_modified'!O81</f>
        <v>111.3100304252</v>
      </c>
      <c r="AF117">
        <f>'2025_Fantasy_Hitters_modified'!P81</f>
        <v>3.8938967136149758</v>
      </c>
      <c r="AG117">
        <f>'2025_Fantasy_Hitters_modified'!Q81</f>
        <v>5.5999999999999828</v>
      </c>
      <c r="AH117">
        <f>'2025_Fantasy_Hitters_modified'!R81</f>
        <v>0.98779342723000796</v>
      </c>
      <c r="AI117">
        <f>'2025_Fantasy_Hitters_modified'!S81</f>
        <v>7.0610942249239521</v>
      </c>
      <c r="AJ117">
        <f>'2025_Fantasy_Hitters_modified'!T81</f>
        <v>2.9854103343464988</v>
      </c>
      <c r="AK117">
        <f>'2025_Fantasy_Hitters_modified'!U81</f>
        <v>4.0756838905774533</v>
      </c>
      <c r="AL117">
        <f>'2025_Fantasy_Hitters_modified'!V81</f>
        <v>0.25308294642379614</v>
      </c>
      <c r="AM117">
        <f>'2025_Fantasy_Hitters_modified'!W81</f>
        <v>0.32633350361397334</v>
      </c>
      <c r="AN117">
        <f>'2025_Fantasy_Hitters_modified'!X81</f>
        <v>0.39213203846314609</v>
      </c>
      <c r="AO117">
        <f>'2025_Fantasy_Hitters_modified'!Y81</f>
        <v>0.71846554207711943</v>
      </c>
      <c r="AP117">
        <f>'2025_Fantasy_Hitters_modified'!Z81</f>
        <v>0.28651069839999999</v>
      </c>
      <c r="AQ117">
        <f>'2025_Fantasy_Hitters_modified'!AA81</f>
        <v>17.78115502</v>
      </c>
      <c r="AR117">
        <f>'2025_Fantasy_Hitters_modified'!AB81</f>
        <v>9.1675325558999994</v>
      </c>
    </row>
    <row r="118" spans="1:44" x14ac:dyDescent="0.4">
      <c r="A118" t="str">
        <f>'2025_Fantasy_Hitters_modified'!A184</f>
        <v>SFG</v>
      </c>
      <c r="B118" t="str">
        <f>'2025_Fantasy_Hitters_modified'!B184</f>
        <v>Heliot Ramos</v>
      </c>
      <c r="C118">
        <f>'2025_Fantasy_Hitters_modified'!D184</f>
        <v>516</v>
      </c>
      <c r="D118">
        <f>'2025_Fantasy_Hitters_modified'!E184</f>
        <v>566</v>
      </c>
      <c r="E118" s="5">
        <f>(V118-AVERAGE(V$2:V$229))/AVERAGE(V$2:V$229)*100+100</f>
        <v>111.7047083788076</v>
      </c>
      <c r="F118" s="4">
        <f>E118*1.51744-31.775</f>
        <v>137.73019268233779</v>
      </c>
      <c r="G118" s="5">
        <f>(Z118-AVERAGE(Z$2:Z$229))/AVERAGE(Z$2:Z$229)*100+100</f>
        <v>115.13490116866276</v>
      </c>
      <c r="H118" s="4">
        <f>G118*0.83285-13.6979</f>
        <v>82.192202438320777</v>
      </c>
      <c r="I118" s="5">
        <f>(AA118-AVERAGE(AA$2:AA$229))/AVERAGE(AA$2:AA$229)*100+100</f>
        <v>103.9543896740096</v>
      </c>
      <c r="J118" s="5">
        <f>(AB118-AVERAGE(AB$2:AB$229))/AVERAGE(AB$2:AB$229)*100+100</f>
        <v>107.58394310333009</v>
      </c>
      <c r="K118" s="5">
        <f>(AC118-AVERAGE(AC$2:AC$229))/AVERAGE(AC$2:AC$229)*100+100</f>
        <v>88.132292206124504</v>
      </c>
      <c r="L118" s="5">
        <f>(AF118-AVERAGE(AF$2:AF$229))/AVERAGE(AF$2:AF$229)*100+100</f>
        <v>85.082396572619075</v>
      </c>
      <c r="M118" s="5">
        <f>(AI118-AVERAGE(AI$2:AI$229))/AVERAGE(AI$2:AI$229)*100+100</f>
        <v>66.424399918930249</v>
      </c>
      <c r="N118" s="5">
        <f>(AVERAGE(AJ$2:AJ$229)-AJ118)/AVERAGE(AJ$2:AJ$229)*100+100</f>
        <v>90.253054631622717</v>
      </c>
      <c r="O118" s="5">
        <f>(AK118-AVERAGE(AK$2:AK$229))/AVERAGE(AK$2:AK$229)*100+100</f>
        <v>51.250939955458392</v>
      </c>
      <c r="P118" s="5">
        <f>(AL118-AVERAGE(AL$2:AL$229))/AVERAGE(AL$2:AL$229)*100+100</f>
        <v>101.93301994112308</v>
      </c>
      <c r="Q118" s="5">
        <f>(AM118-AVERAGE(AM$2:AM$229))/AVERAGE(AM$2:AM$229)*100+100</f>
        <v>96.728464991789252</v>
      </c>
      <c r="R118" s="5">
        <f>(AN118-AVERAGE(AN$2:AN$229))/AVERAGE(AN$2:AN$229)*100+100</f>
        <v>102.90255392072606</v>
      </c>
      <c r="S118" s="5">
        <f>(AO118-AVERAGE(AO$2:AO$229))/AVERAGE(AO$2:AO$229)*100+100</f>
        <v>100.2088867116456</v>
      </c>
      <c r="T118" s="6">
        <f>(F118*1.5+H118*2.5+I118+J118+K118*1.5+L118+O118*0.75+P118+S118)/11.25</f>
        <v>96.131117724250359</v>
      </c>
      <c r="V118">
        <f>'2025_Fantasy_Hitters_modified'!F184</f>
        <v>131.22049333988195</v>
      </c>
      <c r="W118">
        <f>'2025_Fantasy_Hitters_modified'!G184</f>
        <v>82.465888378099407</v>
      </c>
      <c r="X118">
        <f>'2025_Fantasy_Hitters_modified'!H184</f>
        <v>25.050112122700412</v>
      </c>
      <c r="Y118">
        <f>'2025_Fantasy_Hitters_modified'!I184</f>
        <v>2.6217585238143641</v>
      </c>
      <c r="Z118">
        <f>'2025_Fantasy_Hitters_modified'!J184</f>
        <v>20.999999999999993</v>
      </c>
      <c r="AA118">
        <f>'2025_Fantasy_Hitters_modified'!K184</f>
        <v>68.5497536945809</v>
      </c>
      <c r="AB118">
        <f>'2025_Fantasy_Hitters_modified'!L184</f>
        <v>68.999999999999687</v>
      </c>
      <c r="AC118" s="2">
        <f>'2025_Fantasy_Hitters_modified'!M184</f>
        <v>40.275205253529997</v>
      </c>
      <c r="AD118">
        <f>'2025_Fantasy_Hitters_modified'!N184</f>
        <v>0.99293924466336991</v>
      </c>
      <c r="AE118">
        <f>'2025_Fantasy_Hitters_modified'!O184</f>
        <v>148.70279148</v>
      </c>
      <c r="AF118">
        <f>'2025_Fantasy_Hitters_modified'!P184</f>
        <v>4.9854202401372216</v>
      </c>
      <c r="AG118">
        <f>'2025_Fantasy_Hitters_modified'!Q184</f>
        <v>3.5999999999999597</v>
      </c>
      <c r="AH118">
        <f>'2025_Fantasy_Hitters_modified'!R184</f>
        <v>0.39999999999999553</v>
      </c>
      <c r="AI118">
        <f>'2025_Fantasy_Hitters_modified'!S184</f>
        <v>6.950574712643629</v>
      </c>
      <c r="AJ118">
        <f>'2025_Fantasy_Hitters_modified'!T184</f>
        <v>2.9788177339901156</v>
      </c>
      <c r="AK118">
        <f>'2025_Fantasy_Hitters_modified'!U184</f>
        <v>3.9717569786535134</v>
      </c>
      <c r="AL118">
        <f>'2025_Fantasy_Hitters_modified'!V184</f>
        <v>0.2543032816664379</v>
      </c>
      <c r="AM118">
        <f>'2025_Fantasy_Hitters_modified'!W184</f>
        <v>0.31642741670949764</v>
      </c>
      <c r="AN118">
        <f>'2025_Fantasy_Hitters_modified'!X184</f>
        <v>0.43494455076539401</v>
      </c>
      <c r="AO118">
        <f>'2025_Fantasy_Hitters_modified'!Y184</f>
        <v>0.75137196747489166</v>
      </c>
      <c r="AP118">
        <f>'2025_Fantasy_Hitters_modified'!Z184</f>
        <v>0.31500821000000001</v>
      </c>
      <c r="AQ118">
        <f>'2025_Fantasy_Hitters_modified'!AA184</f>
        <v>26.272577999999999</v>
      </c>
      <c r="AR118">
        <f>'2025_Fantasy_Hitters_modified'!AB184</f>
        <v>7.1157606455</v>
      </c>
    </row>
    <row r="119" spans="1:44" x14ac:dyDescent="0.4">
      <c r="A119" t="str">
        <f>'2025_Fantasy_Hitters_modified'!A6</f>
        <v>ARI</v>
      </c>
      <c r="B119" t="str">
        <f>'2025_Fantasy_Hitters_modified'!B6</f>
        <v>Jake McCarthy</v>
      </c>
      <c r="C119">
        <f>'2025_Fantasy_Hitters_modified'!D6</f>
        <v>465</v>
      </c>
      <c r="D119">
        <f>'2025_Fantasy_Hitters_modified'!E6</f>
        <v>517</v>
      </c>
      <c r="E119" s="5">
        <f>(V119-AVERAGE(V$2:V$229))/AVERAGE(V$2:V$229)*100+100</f>
        <v>103.16287684547525</v>
      </c>
      <c r="F119" s="4">
        <f>E119*1.51744-31.775</f>
        <v>124.76847584039794</v>
      </c>
      <c r="G119" s="5">
        <f>(Z119-AVERAGE(Z$2:Z$229))/AVERAGE(Z$2:Z$229)*100+100</f>
        <v>39.474823257826927</v>
      </c>
      <c r="H119" s="4">
        <f>G119*0.83285-13.6979</f>
        <v>19.178706550281152</v>
      </c>
      <c r="I119" s="5">
        <f>(AA119-AVERAGE(AA$2:AA$229))/AVERAGE(AA$2:AA$229)*100+100</f>
        <v>99.227842346126224</v>
      </c>
      <c r="J119" s="5">
        <f>(AB119-AVERAGE(AB$2:AB$229))/AVERAGE(AB$2:AB$229)*100+100</f>
        <v>79.518566641592088</v>
      </c>
      <c r="K119" s="5">
        <f>(AC119-AVERAGE(AC$2:AC$229))/AVERAGE(AC$2:AC$229)*100+100</f>
        <v>77.010834578301868</v>
      </c>
      <c r="L119" s="5">
        <f>(AF119-AVERAGE(AF$2:AF$229))/AVERAGE(AF$2:AF$229)*100+100</f>
        <v>140.34873252626159</v>
      </c>
      <c r="M119" s="5">
        <f>(AI119-AVERAGE(AI$2:AI$229))/AVERAGE(AI$2:AI$229)*100+100</f>
        <v>266.16571632040439</v>
      </c>
      <c r="N119" s="5">
        <f>(AVERAGE(AJ$2:AJ$229)-AJ119)/AVERAGE(AJ$2:AJ$229)*100+100</f>
        <v>-23.369165560699145</v>
      </c>
      <c r="O119" s="5">
        <f>(AK119-AVERAGE(AK$2:AK$229))/AVERAGE(AK$2:AK$229)*100+100</f>
        <v>281.15494981973416</v>
      </c>
      <c r="P119" s="5">
        <f>(AL119-AVERAGE(AL$2:AL$229))/AVERAGE(AL$2:AL$229)*100+100</f>
        <v>104.46326733829366</v>
      </c>
      <c r="Q119" s="5">
        <f>(AM119-AVERAGE(AM$2:AM$229))/AVERAGE(AM$2:AM$229)*100+100</f>
        <v>100.36340409678401</v>
      </c>
      <c r="R119" s="5">
        <f>(AN119-AVERAGE(AN$2:AN$229))/AVERAGE(AN$2:AN$229)*100+100</f>
        <v>89.244945041538557</v>
      </c>
      <c r="S119" s="5">
        <f>(AO119-AVERAGE(AO$2:AO$229))/AVERAGE(AO$2:AO$229)*100+100</f>
        <v>94.095770631732137</v>
      </c>
      <c r="T119" s="6">
        <f>(F119*1.5+H119*2.5+I119+J119+K119*1.5+L119+O119*0.75+P119+S119)/11.25</f>
        <v>95.923211009116329</v>
      </c>
      <c r="V119">
        <f>'2025_Fantasy_Hitters_modified'!F6</f>
        <v>121.18632947967104</v>
      </c>
      <c r="W119">
        <f>'2025_Fantasy_Hitters_modified'!G6</f>
        <v>88.125083224573075</v>
      </c>
      <c r="X119">
        <f>'2025_Fantasy_Hitters_modified'!H6</f>
        <v>20.814894948461575</v>
      </c>
      <c r="Y119">
        <f>'2025_Fantasy_Hitters_modified'!I6</f>
        <v>5.6170254582902617</v>
      </c>
      <c r="Z119">
        <f>'2025_Fantasy_Hitters_modified'!J6</f>
        <v>7.1999999999999424</v>
      </c>
      <c r="AA119">
        <f>'2025_Fantasy_Hitters_modified'!K6</f>
        <v>65.432967032966815</v>
      </c>
      <c r="AB119">
        <f>'2025_Fantasy_Hitters_modified'!L6</f>
        <v>50.999999999999957</v>
      </c>
      <c r="AC119" s="2">
        <f>'2025_Fantasy_Hitters_modified'!M6</f>
        <v>35.192857144037994</v>
      </c>
      <c r="AD119">
        <f>'2025_Fantasy_Hitters_modified'!N6</f>
        <v>0.89999999999996827</v>
      </c>
      <c r="AE119">
        <f>'2025_Fantasy_Hitters_modified'!O6</f>
        <v>92.794871801499994</v>
      </c>
      <c r="AF119">
        <f>'2025_Fantasy_Hitters_modified'!P6</f>
        <v>8.2237623762375769</v>
      </c>
      <c r="AG119">
        <f>'2025_Fantasy_Hitters_modified'!Q6</f>
        <v>2.9999999999999973</v>
      </c>
      <c r="AH119">
        <f>'2025_Fantasy_Hitters_modified'!R6</f>
        <v>4.0570297029702749</v>
      </c>
      <c r="AI119">
        <f>'2025_Fantasy_Hitters_modified'!S6</f>
        <v>27.851282051282016</v>
      </c>
      <c r="AJ119">
        <f>'2025_Fantasy_Hitters_modified'!T6</f>
        <v>6.0628205128204655</v>
      </c>
      <c r="AK119">
        <f>'2025_Fantasy_Hitters_modified'!U6</f>
        <v>21.788461538461551</v>
      </c>
      <c r="AL119">
        <f>'2025_Fantasy_Hitters_modified'!V6</f>
        <v>0.26061576232187322</v>
      </c>
      <c r="AM119">
        <f>'2025_Fantasy_Hitters_modified'!W6</f>
        <v>0.32831837756561644</v>
      </c>
      <c r="AN119">
        <f>'2025_Fantasy_Hitters_modified'!X6</f>
        <v>0.37721709569111134</v>
      </c>
      <c r="AO119">
        <f>'2025_Fantasy_Hitters_modified'!Y6</f>
        <v>0.70553547325672783</v>
      </c>
      <c r="AP119">
        <f>'2025_Fantasy_Hitters_modified'!Z6</f>
        <v>0.30974114419999998</v>
      </c>
      <c r="AQ119">
        <f>'2025_Fantasy_Hitters_modified'!AA6</f>
        <v>17.948717949999999</v>
      </c>
      <c r="AR119">
        <f>'2025_Fantasy_Hitters_modified'!AB6</f>
        <v>6.8071290413999996</v>
      </c>
    </row>
    <row r="120" spans="1:44" x14ac:dyDescent="0.4">
      <c r="A120" t="str">
        <f>'2025_Fantasy_Hitters_modified'!A203</f>
        <v>TBR</v>
      </c>
      <c r="B120" t="str">
        <f>'2025_Fantasy_Hitters_modified'!B203</f>
        <v>Josh Lowe</v>
      </c>
      <c r="C120">
        <f>'2025_Fantasy_Hitters_modified'!D203</f>
        <v>458</v>
      </c>
      <c r="D120">
        <f>'2025_Fantasy_Hitters_modified'!E203</f>
        <v>503</v>
      </c>
      <c r="E120" s="5">
        <f>(V120-AVERAGE(V$2:V$229))/AVERAGE(V$2:V$229)*100+100</f>
        <v>93.99039004249228</v>
      </c>
      <c r="F120" s="4">
        <f>E120*1.51744-31.775</f>
        <v>110.84977746607947</v>
      </c>
      <c r="G120" s="5">
        <f>(Z120-AVERAGE(Z$2:Z$229))/AVERAGE(Z$2:Z$229)*100+100</f>
        <v>89.914875198384095</v>
      </c>
      <c r="H120" s="4">
        <f>G120*0.83285-13.6979</f>
        <v>61.187703808974192</v>
      </c>
      <c r="I120" s="5">
        <f>(AA120-AVERAGE(AA$2:AA$229))/AVERAGE(AA$2:AA$229)*100+100</f>
        <v>94.14513175974119</v>
      </c>
      <c r="J120" s="5">
        <f>(AB120-AVERAGE(AB$2:AB$229))/AVERAGE(AB$2:AB$229)*100+100</f>
        <v>91.992067291252965</v>
      </c>
      <c r="K120" s="5">
        <f>(AC120-AVERAGE(AC$2:AC$229))/AVERAGE(AC$2:AC$229)*100+100</f>
        <v>90.019711245975785</v>
      </c>
      <c r="L120" s="5">
        <f>(AF120-AVERAGE(AF$2:AF$229))/AVERAGE(AF$2:AF$229)*100+100</f>
        <v>32.507638707522261</v>
      </c>
      <c r="M120" s="5">
        <f>(AI120-AVERAGE(AI$2:AI$229))/AVERAGE(AI$2:AI$229)*100+100</f>
        <v>246.51676761710786</v>
      </c>
      <c r="N120" s="5">
        <f>(AVERAGE(AJ$2:AJ$229)-AJ120)/AVERAGE(AJ$2:AJ$229)*100+100</f>
        <v>57.184895958306278</v>
      </c>
      <c r="O120" s="5">
        <f>(AK120-AVERAGE(AK$2:AK$229))/AVERAGE(AK$2:AK$229)*100+100</f>
        <v>282.83764913694176</v>
      </c>
      <c r="P120" s="5">
        <f>(AL120-AVERAGE(AL$2:AL$229))/AVERAGE(AL$2:AL$229)*100+100</f>
        <v>96.629801518224411</v>
      </c>
      <c r="Q120" s="5">
        <f>(AM120-AVERAGE(AM$2:AM$229))/AVERAGE(AM$2:AM$229)*100+100</f>
        <v>94.557458672326192</v>
      </c>
      <c r="R120" s="5">
        <f>(AN120-AVERAGE(AN$2:AN$229))/AVERAGE(AN$2:AN$229)*100+100</f>
        <v>97.137270029829608</v>
      </c>
      <c r="S120" s="5">
        <f>(AO120-AVERAGE(AO$2:AO$229))/AVERAGE(AO$2:AO$229)*100+100</f>
        <v>96.011735017408398</v>
      </c>
      <c r="T120" s="6">
        <f>(F120*1.5+H120*2.5+I120+J120+K120*1.5+L120+O120*0.75+P120+S120)/11.25</f>
        <v>95.794498109988794</v>
      </c>
      <c r="V120">
        <f>'2025_Fantasy_Hitters_modified'!F203</f>
        <v>110.41132938424686</v>
      </c>
      <c r="W120">
        <f>'2025_Fantasy_Hitters_modified'!G203</f>
        <v>67.494003324233717</v>
      </c>
      <c r="X120">
        <f>'2025_Fantasy_Hitters_modified'!H203</f>
        <v>24.524694621977424</v>
      </c>
      <c r="Y120">
        <f>'2025_Fantasy_Hitters_modified'!I203</f>
        <v>1.9668159700125292</v>
      </c>
      <c r="Z120">
        <f>'2025_Fantasy_Hitters_modified'!J203</f>
        <v>16.399999999999967</v>
      </c>
      <c r="AA120">
        <f>'2025_Fantasy_Hitters_modified'!K203</f>
        <v>62.081318681318194</v>
      </c>
      <c r="AB120">
        <f>'2025_Fantasy_Hitters_modified'!L203</f>
        <v>58.999999999999545</v>
      </c>
      <c r="AC120" s="2">
        <f>'2025_Fantasy_Hitters_modified'!M203</f>
        <v>41.137728936128006</v>
      </c>
      <c r="AD120">
        <f>'2025_Fantasy_Hitters_modified'!N203</f>
        <v>2.9763736263736118</v>
      </c>
      <c r="AE120">
        <f>'2025_Fantasy_Hitters_modified'!O203</f>
        <v>148.3205128347</v>
      </c>
      <c r="AF120">
        <f>'2025_Fantasy_Hitters_modified'!P203</f>
        <v>1.9047916666666231</v>
      </c>
      <c r="AG120">
        <f>'2025_Fantasy_Hitters_modified'!Q203</f>
        <v>3.5999999999999766</v>
      </c>
      <c r="AH120">
        <f>'2025_Fantasy_Hitters_modified'!R203</f>
        <v>0</v>
      </c>
      <c r="AI120">
        <f>'2025_Fantasy_Hitters_modified'!S203</f>
        <v>25.795238095238037</v>
      </c>
      <c r="AJ120">
        <f>'2025_Fantasy_Hitters_modified'!T203</f>
        <v>3.8763736263735877</v>
      </c>
      <c r="AK120">
        <f>'2025_Fantasy_Hitters_modified'!U203</f>
        <v>21.918864468864449</v>
      </c>
      <c r="AL120">
        <f>'2025_Fantasy_Hitters_modified'!V203</f>
        <v>0.24107277158132501</v>
      </c>
      <c r="AM120">
        <f>'2025_Fantasy_Hitters_modified'!W203</f>
        <v>0.30932541295717919</v>
      </c>
      <c r="AN120">
        <f>'2025_Fantasy_Hitters_modified'!X203</f>
        <v>0.41057607091315723</v>
      </c>
      <c r="AO120">
        <f>'2025_Fantasy_Hitters_modified'!Y203</f>
        <v>0.71990148387033637</v>
      </c>
      <c r="AP120">
        <f>'2025_Fantasy_Hitters_modified'!Z203</f>
        <v>0.31666495480000001</v>
      </c>
      <c r="AQ120">
        <f>'2025_Fantasy_Hitters_modified'!AA203</f>
        <v>29.487179489999999</v>
      </c>
      <c r="AR120">
        <f>'2025_Fantasy_Hitters_modified'!AB203</f>
        <v>8.1784749376000008</v>
      </c>
    </row>
    <row r="121" spans="1:44" x14ac:dyDescent="0.4">
      <c r="A121" t="str">
        <f>'2025_Fantasy_Hitters_modified'!A67</f>
        <v>CIN</v>
      </c>
      <c r="B121" t="str">
        <f>'2025_Fantasy_Hitters_modified'!B67</f>
        <v>TJ Friedl</v>
      </c>
      <c r="C121">
        <f>'2025_Fantasy_Hitters_modified'!D67</f>
        <v>444</v>
      </c>
      <c r="D121">
        <f>'2025_Fantasy_Hitters_modified'!E67</f>
        <v>504</v>
      </c>
      <c r="E121" s="5">
        <f>(V121-AVERAGE(V$2:V$229))/AVERAGE(V$2:V$229)*100+100</f>
        <v>90.014005894955744</v>
      </c>
      <c r="F121" s="4">
        <f>E121*1.51744-31.775</f>
        <v>104.81585310524164</v>
      </c>
      <c r="G121" s="5">
        <f>(Z121-AVERAGE(Z$2:Z$229))/AVERAGE(Z$2:Z$229)*100+100</f>
        <v>75.660077910835327</v>
      </c>
      <c r="H121" s="4">
        <f>G121*0.83285-13.6979</f>
        <v>49.315595888039198</v>
      </c>
      <c r="I121" s="5">
        <f>(AA121-AVERAGE(AA$2:AA$229))/AVERAGE(AA$2:AA$229)*100+100</f>
        <v>92.606431396431915</v>
      </c>
      <c r="J121" s="5">
        <f>(AB121-AVERAGE(AB$2:AB$229))/AVERAGE(AB$2:AB$229)*100+100</f>
        <v>90.432879710045924</v>
      </c>
      <c r="K121" s="5">
        <f>(AC121-AVERAGE(AC$2:AC$229))/AVERAGE(AC$2:AC$229)*100+100</f>
        <v>88.113607632982621</v>
      </c>
      <c r="L121" s="5">
        <f>(AF121-AVERAGE(AF$2:AF$229))/AVERAGE(AF$2:AF$229)*100+100</f>
        <v>174.6218051433658</v>
      </c>
      <c r="M121" s="5">
        <f>(AI121-AVERAGE(AI$2:AI$229))/AVERAGE(AI$2:AI$229)*100+100</f>
        <v>151.20787272212954</v>
      </c>
      <c r="N121" s="5">
        <f>(AVERAGE(AJ$2:AJ$229)-AJ121)/AVERAGE(AJ$2:AJ$229)*100+100</f>
        <v>54.267639639822612</v>
      </c>
      <c r="O121" s="5">
        <f>(AK121-AVERAGE(AK$2:AK$229))/AVERAGE(AK$2:AK$229)*100+100</f>
        <v>153.12563786592813</v>
      </c>
      <c r="P121" s="5">
        <f>(AL121-AVERAGE(AL$2:AL$229))/AVERAGE(AL$2:AL$229)*100+100</f>
        <v>95.459736902941415</v>
      </c>
      <c r="Q121" s="5">
        <f>(AM121-AVERAGE(AM$2:AM$229))/AVERAGE(AM$2:AM$229)*100+100</f>
        <v>97.986694533637134</v>
      </c>
      <c r="R121" s="5">
        <f>(AN121-AVERAGE(AN$2:AN$229))/AVERAGE(AN$2:AN$229)*100+100</f>
        <v>91.404549114997181</v>
      </c>
      <c r="S121" s="5">
        <f>(AO121-AVERAGE(AO$2:AO$229))/AVERAGE(AO$2:AO$229)*100+100</f>
        <v>94.276245568297568</v>
      </c>
      <c r="T121" s="6">
        <f>(F121*1.5+H121*2.5+I121+J121+K121*1.5+L121+O121*0.75+P121+S121)/11.25</f>
        <v>95.548845150930049</v>
      </c>
      <c r="V121">
        <f>'2025_Fantasy_Hitters_modified'!F67</f>
        <v>105.74023631107768</v>
      </c>
      <c r="W121">
        <f>'2025_Fantasy_Hitters_modified'!G67</f>
        <v>71.643752166107689</v>
      </c>
      <c r="X121">
        <f>'2025_Fantasy_Hitters_modified'!H67</f>
        <v>16.98895670965565</v>
      </c>
      <c r="Y121">
        <f>'2025_Fantasy_Hitters_modified'!I67</f>
        <v>3.57187173326346</v>
      </c>
      <c r="Z121">
        <f>'2025_Fantasy_Hitters_modified'!J67</f>
        <v>13.79999999999996</v>
      </c>
      <c r="AA121">
        <f>'2025_Fantasy_Hitters_modified'!K67</f>
        <v>61.066666666666585</v>
      </c>
      <c r="AB121">
        <f>'2025_Fantasy_Hitters_modified'!L67</f>
        <v>57.999999999999964</v>
      </c>
      <c r="AC121" s="2">
        <f>'2025_Fantasy_Hitters_modified'!M67</f>
        <v>40.266666669095997</v>
      </c>
      <c r="AD121">
        <f>'2025_Fantasy_Hitters_modified'!N67</f>
        <v>0.39999999999998304</v>
      </c>
      <c r="AE121">
        <f>'2025_Fantasy_Hitters_modified'!O67</f>
        <v>84.444444453599999</v>
      </c>
      <c r="AF121">
        <f>'2025_Fantasy_Hitters_modified'!P67</f>
        <v>10.231999999999948</v>
      </c>
      <c r="AG121">
        <f>'2025_Fantasy_Hitters_modified'!Q67</f>
        <v>3.9999999999999813</v>
      </c>
      <c r="AH121">
        <f>'2025_Fantasy_Hitters_modified'!R67</f>
        <v>4.2879999999999656</v>
      </c>
      <c r="AI121">
        <f>'2025_Fantasy_Hitters_modified'!S67</f>
        <v>15.822222222222159</v>
      </c>
      <c r="AJ121">
        <f>'2025_Fantasy_Hitters_modified'!T67</f>
        <v>3.9555555555555348</v>
      </c>
      <c r="AK121">
        <f>'2025_Fantasy_Hitters_modified'!U67</f>
        <v>11.866666666666625</v>
      </c>
      <c r="AL121">
        <f>'2025_Fantasy_Hitters_modified'!V67</f>
        <v>0.23815368538531009</v>
      </c>
      <c r="AM121">
        <f>'2025_Fantasy_Hitters_modified'!W67</f>
        <v>0.3205434576658831</v>
      </c>
      <c r="AN121">
        <f>'2025_Fantasy_Hitters_modified'!X67</f>
        <v>0.38634522699371437</v>
      </c>
      <c r="AO121">
        <f>'2025_Fantasy_Hitters_modified'!Y67</f>
        <v>0.70688868465959742</v>
      </c>
      <c r="AP121">
        <f>'2025_Fantasy_Hitters_modified'!Z67</f>
        <v>0.26286998119999999</v>
      </c>
      <c r="AQ121">
        <f>'2025_Fantasy_Hitters_modified'!AA67</f>
        <v>16.754850090000001</v>
      </c>
      <c r="AR121">
        <f>'2025_Fantasy_Hitters_modified'!AB67</f>
        <v>7.9894179898999997</v>
      </c>
    </row>
    <row r="122" spans="1:44" x14ac:dyDescent="0.4">
      <c r="A122" t="str">
        <f>'2025_Fantasy_Hitters_modified'!A116</f>
        <v>LAD</v>
      </c>
      <c r="B122" t="str">
        <f>'2025_Fantasy_Hitters_modified'!B116</f>
        <v>Tommy Edman</v>
      </c>
      <c r="C122">
        <f>'2025_Fantasy_Hitters_modified'!D116</f>
        <v>490</v>
      </c>
      <c r="D122">
        <f>'2025_Fantasy_Hitters_modified'!E116</f>
        <v>537</v>
      </c>
      <c r="E122" s="5">
        <f>(V122-AVERAGE(V$2:V$229))/AVERAGE(V$2:V$229)*100+100</f>
        <v>102.58052313695221</v>
      </c>
      <c r="F122" s="4">
        <f>E122*1.51744-31.775</f>
        <v>123.88478902893675</v>
      </c>
      <c r="G122" s="5">
        <f>(Z122-AVERAGE(Z$2:Z$229))/AVERAGE(Z$2:Z$229)*100+100</f>
        <v>71.273986437743488</v>
      </c>
      <c r="H122" s="4">
        <f>G122*0.83285-13.6979</f>
        <v>45.662639604674666</v>
      </c>
      <c r="I122" s="5">
        <f>(AA122-AVERAGE(AA$2:AA$229))/AVERAGE(AA$2:AA$229)*100+100</f>
        <v>105.04207250022917</v>
      </c>
      <c r="J122" s="5">
        <f>(AB122-AVERAGE(AB$2:AB$229))/AVERAGE(AB$2:AB$229)*100+100</f>
        <v>87.314504547630278</v>
      </c>
      <c r="K122" s="5">
        <f>(AC122-AVERAGE(AC$2:AC$229))/AVERAGE(AC$2:AC$229)*100+100</f>
        <v>80.972863964929417</v>
      </c>
      <c r="L122" s="5">
        <f>(AF122-AVERAGE(AF$2:AF$229))/AVERAGE(AF$2:AF$229)*100+100</f>
        <v>84.647837672126187</v>
      </c>
      <c r="M122" s="5">
        <f>(AI122-AVERAGE(AI$2:AI$229))/AVERAGE(AI$2:AI$229)*100+100</f>
        <v>218.89028079784029</v>
      </c>
      <c r="N122" s="5">
        <f>(AVERAGE(AJ$2:AJ$229)-AJ122)/AVERAGE(AJ$2:AJ$229)*100+100</f>
        <v>54.372500473645331</v>
      </c>
      <c r="O122" s="5">
        <f>(AK122-AVERAGE(AK$2:AK$229))/AVERAGE(AK$2:AK$229)*100+100</f>
        <v>244.55012757975837</v>
      </c>
      <c r="P122" s="5">
        <f>(AL122-AVERAGE(AL$2:AL$229))/AVERAGE(AL$2:AL$229)*100+100</f>
        <v>98.573900846153578</v>
      </c>
      <c r="Q122" s="5">
        <f>(AM122-AVERAGE(AM$2:AM$229))/AVERAGE(AM$2:AM$229)*100+100</f>
        <v>93.922676307292605</v>
      </c>
      <c r="R122" s="5">
        <f>(AN122-AVERAGE(AN$2:AN$229))/AVERAGE(AN$2:AN$229)*100+100</f>
        <v>90.607661438404278</v>
      </c>
      <c r="S122" s="5">
        <f>(AO122-AVERAGE(AO$2:AO$229))/AVERAGE(AO$2:AO$229)*100+100</f>
        <v>92.053955288835738</v>
      </c>
      <c r="T122" s="6">
        <f>(F122*1.5+H122*2.5+I122+J122+K122*1.5+L122+O122*0.75+P122+S122)/11.25</f>
        <v>95.332261781535976</v>
      </c>
      <c r="V122">
        <f>'2025_Fantasy_Hitters_modified'!F116</f>
        <v>120.50223350878713</v>
      </c>
      <c r="W122">
        <f>'2025_Fantasy_Hitters_modified'!G116</f>
        <v>80.928032055289833</v>
      </c>
      <c r="X122">
        <f>'2025_Fantasy_Hitters_modified'!H116</f>
        <v>22.893994173167531</v>
      </c>
      <c r="Y122">
        <f>'2025_Fantasy_Hitters_modified'!I116</f>
        <v>2.9808987667617002</v>
      </c>
      <c r="Z122">
        <f>'2025_Fantasy_Hitters_modified'!J116</f>
        <v>12.999999999999973</v>
      </c>
      <c r="AA122">
        <f>'2025_Fantasy_Hitters_modified'!K116</f>
        <v>69.266995073891479</v>
      </c>
      <c r="AB122">
        <f>'2025_Fantasy_Hitters_modified'!L116</f>
        <v>55.999999999999787</v>
      </c>
      <c r="AC122" s="2">
        <f>'2025_Fantasy_Hitters_modified'!M116</f>
        <v>37.003448276669999</v>
      </c>
      <c r="AD122">
        <f>'2025_Fantasy_Hitters_modified'!N116</f>
        <v>0.98817733990145129</v>
      </c>
      <c r="AE122">
        <f>'2025_Fantasy_Hitters_modified'!O116</f>
        <v>95.231527105500007</v>
      </c>
      <c r="AF122">
        <f>'2025_Fantasy_Hitters_modified'!P116</f>
        <v>4.9599571734475107</v>
      </c>
      <c r="AG122">
        <f>'2025_Fantasy_Hitters_modified'!Q116</f>
        <v>4</v>
      </c>
      <c r="AH122">
        <f>'2025_Fantasy_Hitters_modified'!R116</f>
        <v>2.1798715203425822</v>
      </c>
      <c r="AI122">
        <f>'2025_Fantasy_Hitters_modified'!S116</f>
        <v>22.904433497536886</v>
      </c>
      <c r="AJ122">
        <f>'2025_Fantasy_Hitters_modified'!T116</f>
        <v>3.9527093596059015</v>
      </c>
      <c r="AK122">
        <f>'2025_Fantasy_Hitters_modified'!U116</f>
        <v>18.951724137930984</v>
      </c>
      <c r="AL122">
        <f>'2025_Fantasy_Hitters_modified'!V116</f>
        <v>0.24592292552813699</v>
      </c>
      <c r="AM122">
        <f>'2025_Fantasy_Hitters_modified'!W116</f>
        <v>0.30724885210244657</v>
      </c>
      <c r="AN122">
        <f>'2025_Fantasy_Hitters_modified'!X116</f>
        <v>0.38297697286104054</v>
      </c>
      <c r="AO122">
        <f>'2025_Fantasy_Hitters_modified'!Y116</f>
        <v>0.69022582496348717</v>
      </c>
      <c r="AP122">
        <f>'2025_Fantasy_Hitters_modified'!Z116</f>
        <v>0.2786703452</v>
      </c>
      <c r="AQ122">
        <f>'2025_Fantasy_Hitters_modified'!AA116</f>
        <v>17.73399015</v>
      </c>
      <c r="AR122">
        <f>'2025_Fantasy_Hitters_modified'!AB116</f>
        <v>6.8907724909999999</v>
      </c>
    </row>
    <row r="123" spans="1:44" x14ac:dyDescent="0.4">
      <c r="A123" t="str">
        <f>'2025_Fantasy_Hitters_modified'!A154</f>
        <v>PHI</v>
      </c>
      <c r="B123" t="str">
        <f>'2025_Fantasy_Hitters_modified'!B154</f>
        <v>Alec Bohm</v>
      </c>
      <c r="C123">
        <f>'2025_Fantasy_Hitters_modified'!D154</f>
        <v>558</v>
      </c>
      <c r="D123">
        <f>'2025_Fantasy_Hitters_modified'!E154</f>
        <v>611</v>
      </c>
      <c r="E123" s="5">
        <f>(V123-AVERAGE(V$2:V$229))/AVERAGE(V$2:V$229)*100+100</f>
        <v>128.64096450724591</v>
      </c>
      <c r="F123" s="4">
        <f>E123*1.51744-31.775</f>
        <v>163.42994518187521</v>
      </c>
      <c r="G123" s="5">
        <f>(Z123-AVERAGE(Z$2:Z$229))/AVERAGE(Z$2:Z$229)*100+100</f>
        <v>87.721829461838183</v>
      </c>
      <c r="H123" s="4">
        <f>G123*0.83285-13.6979</f>
        <v>59.361225667291919</v>
      </c>
      <c r="I123" s="5">
        <f>(AA123-AVERAGE(AA$2:AA$229))/AVERAGE(AA$2:AA$229)*100+100</f>
        <v>105.93258904490314</v>
      </c>
      <c r="J123" s="5">
        <f>(AB123-AVERAGE(AB$2:AB$229))/AVERAGE(AB$2:AB$229)*100+100</f>
        <v>126.29419407782284</v>
      </c>
      <c r="K123" s="5">
        <f>(AC123-AVERAGE(AC$2:AC$229))/AVERAGE(AC$2:AC$229)*100+100</f>
        <v>87.893124682178268</v>
      </c>
      <c r="L123" s="5">
        <f>(AF123-AVERAGE(AF$2:AF$229))/AVERAGE(AF$2:AF$229)*100+100</f>
        <v>85.387449752303311</v>
      </c>
      <c r="M123" s="5">
        <f>(AI123-AVERAGE(AI$2:AI$229))/AVERAGE(AI$2:AI$229)*100+100</f>
        <v>38.195681222832555</v>
      </c>
      <c r="N123" s="5">
        <f>(AVERAGE(AJ$2:AJ$229)-AJ123)/AVERAGE(AJ$2:AJ$229)*100+100</f>
        <v>126.3749078674319</v>
      </c>
      <c r="O123" s="5">
        <f>(AK123-AVERAGE(AK$2:AK$229))/AVERAGE(AK$2:AK$229)*100+100</f>
        <v>25.786743973391069</v>
      </c>
      <c r="P123" s="5">
        <f>(AL123-AVERAGE(AL$2:AL$229))/AVERAGE(AL$2:AL$229)*100+100</f>
        <v>108.55209319551027</v>
      </c>
      <c r="Q123" s="5">
        <f>(AM123-AVERAGE(AM$2:AM$229))/AVERAGE(AM$2:AM$229)*100+100</f>
        <v>99.654817841972289</v>
      </c>
      <c r="R123" s="5">
        <f>(AN123-AVERAGE(AN$2:AN$229))/AVERAGE(AN$2:AN$229)*100+100</f>
        <v>97.859373207854105</v>
      </c>
      <c r="S123" s="5">
        <f>(AO123-AVERAGE(AO$2:AO$229))/AVERAGE(AO$2:AO$229)*100+100</f>
        <v>98.642700171930741</v>
      </c>
      <c r="T123" s="6">
        <f>(F123*1.5+H123*2.5+I123+J123+K123*1.5+L123+O123*0.75+P123+S123)/11.25</f>
        <v>95.069933616606534</v>
      </c>
      <c r="V123">
        <f>'2025_Fantasy_Hitters_modified'!F154</f>
        <v>151.11566084676835</v>
      </c>
      <c r="W123">
        <f>'2025_Fantasy_Hitters_modified'!G154</f>
        <v>103.98607231834613</v>
      </c>
      <c r="X123">
        <f>'2025_Fantasy_Hitters_modified'!H154</f>
        <v>29.024845663379761</v>
      </c>
      <c r="Y123">
        <f>'2025_Fantasy_Hitters_modified'!I154</f>
        <v>1.5895960099619619</v>
      </c>
      <c r="Z123">
        <f>'2025_Fantasy_Hitters_modified'!J154</f>
        <v>15.999999999999975</v>
      </c>
      <c r="AA123">
        <f>'2025_Fantasy_Hitters_modified'!K154</f>
        <v>69.854220779220327</v>
      </c>
      <c r="AB123">
        <f>'2025_Fantasy_Hitters_modified'!L154</f>
        <v>81</v>
      </c>
      <c r="AC123" s="2">
        <f>'2025_Fantasy_Hitters_modified'!M154</f>
        <v>40.165909093452996</v>
      </c>
      <c r="AD123">
        <f>'2025_Fantasy_Hitters_modified'!N154</f>
        <v>0.99918831168825728</v>
      </c>
      <c r="AE123">
        <f>'2025_Fantasy_Hitters_modified'!O154</f>
        <v>94.228896091199999</v>
      </c>
      <c r="AF123">
        <f>'2025_Fantasy_Hitters_modified'!P154</f>
        <v>5.0032948929159309</v>
      </c>
      <c r="AG123">
        <f>'2025_Fantasy_Hitters_modified'!Q154</f>
        <v>5.999999999999952</v>
      </c>
      <c r="AH123">
        <f>'2025_Fantasy_Hitters_modified'!R154</f>
        <v>0</v>
      </c>
      <c r="AI123">
        <f>'2025_Fantasy_Hitters_modified'!S154</f>
        <v>3.9967532467531943</v>
      </c>
      <c r="AJ123">
        <f>'2025_Fantasy_Hitters_modified'!T154</f>
        <v>1.9983766233765636</v>
      </c>
      <c r="AK123">
        <f>'2025_Fantasy_Hitters_modified'!U154</f>
        <v>1.9983766233766307</v>
      </c>
      <c r="AL123">
        <f>'2025_Fantasy_Hitters_modified'!V154</f>
        <v>0.27081659649958484</v>
      </c>
      <c r="AM123">
        <f>'2025_Fantasy_Hitters_modified'!W154</f>
        <v>0.32600038235970719</v>
      </c>
      <c r="AN123">
        <f>'2025_Fantasy_Hitters_modified'!X154</f>
        <v>0.41362822880822842</v>
      </c>
      <c r="AO123">
        <f>'2025_Fantasy_Hitters_modified'!Y154</f>
        <v>0.73962861116793555</v>
      </c>
      <c r="AP123">
        <f>'2025_Fantasy_Hitters_modified'!Z154</f>
        <v>0.29776171219999997</v>
      </c>
      <c r="AQ123">
        <f>'2025_Fantasy_Hitters_modified'!AA154</f>
        <v>15.42207792</v>
      </c>
      <c r="AR123">
        <f>'2025_Fantasy_Hitters_modified'!AB154</f>
        <v>6.5737985422999996</v>
      </c>
    </row>
    <row r="124" spans="1:44" x14ac:dyDescent="0.4">
      <c r="A124" t="str">
        <f>'2025_Fantasy_Hitters_modified'!A199</f>
        <v>TBR</v>
      </c>
      <c r="B124" t="str">
        <f>'2025_Fantasy_Hitters_modified'!B199</f>
        <v>Christopher Morel</v>
      </c>
      <c r="C124">
        <f>'2025_Fantasy_Hitters_modified'!D199</f>
        <v>463</v>
      </c>
      <c r="D124">
        <f>'2025_Fantasy_Hitters_modified'!E199</f>
        <v>521</v>
      </c>
      <c r="E124" s="5">
        <f>(V124-AVERAGE(V$2:V$229))/AVERAGE(V$2:V$229)*100+100</f>
        <v>90.453950472912993</v>
      </c>
      <c r="F124" s="4">
        <f>E124*1.51744-31.775</f>
        <v>105.48344260561709</v>
      </c>
      <c r="G124" s="5">
        <f>(Z124-AVERAGE(Z$2:Z$229))/AVERAGE(Z$2:Z$229)*100+100</f>
        <v>128.29317558793835</v>
      </c>
      <c r="H124" s="4">
        <f>G124*0.83285-13.6979</f>
        <v>93.151071288414443</v>
      </c>
      <c r="I124" s="5">
        <f>(AA124-AVERAGE(AA$2:AA$229))/AVERAGE(AA$2:AA$229)*100+100</f>
        <v>98.158749589864613</v>
      </c>
      <c r="J124" s="5">
        <f>(AB124-AVERAGE(AB$2:AB$229))/AVERAGE(AB$2:AB$229)*100+100</f>
        <v>101.34719277849911</v>
      </c>
      <c r="K124" s="5">
        <f>(AC124-AVERAGE(AC$2:AC$229))/AVERAGE(AC$2:AC$229)*100+100</f>
        <v>101.30278531644117</v>
      </c>
      <c r="L124" s="5">
        <f>(AF124-AVERAGE(AF$2:AF$229))/AVERAGE(AF$2:AF$229)*100+100</f>
        <v>85.948881671035963</v>
      </c>
      <c r="M124" s="5">
        <f>(AI124-AVERAGE(AI$2:AI$229))/AVERAGE(AI$2:AI$229)*100+100</f>
        <v>86.178413354682107</v>
      </c>
      <c r="N124" s="5">
        <f>(AVERAGE(AJ$2:AJ$229)-AJ124)/AVERAGE(AJ$2:AJ$229)*100+100</f>
        <v>52.34180247153661</v>
      </c>
      <c r="O124" s="5">
        <f>(AK124-AVERAGE(AK$2:AK$229))/AVERAGE(AK$2:AK$229)*100+100</f>
        <v>64.645490160861158</v>
      </c>
      <c r="P124" s="5">
        <f>(AL124-AVERAGE(AL$2:AL$229))/AVERAGE(AL$2:AL$229)*100+100</f>
        <v>91.989797227406143</v>
      </c>
      <c r="Q124" s="5">
        <f>(AM124-AVERAGE(AM$2:AM$229))/AVERAGE(AM$2:AM$229)*100+100</f>
        <v>94.378139711984588</v>
      </c>
      <c r="R124" s="5">
        <f>(AN124-AVERAGE(AN$2:AN$229))/AVERAGE(AN$2:AN$229)*100+100</f>
        <v>105.14607823487857</v>
      </c>
      <c r="S124" s="5">
        <f>(AO124-AVERAGE(AO$2:AO$229))/AVERAGE(AO$2:AO$229)*100+100</f>
        <v>100.44817976882777</v>
      </c>
      <c r="T124" s="6">
        <f>(F124*1.5+H124*2.5+I124+J124+K124*1.5+L124+O124*0.75+P124+S124)/11.25</f>
        <v>95.060794556480261</v>
      </c>
      <c r="V124">
        <f>'2025_Fantasy_Hitters_modified'!F199</f>
        <v>106.25704303659177</v>
      </c>
      <c r="W124">
        <f>'2025_Fantasy_Hitters_modified'!G199</f>
        <v>61.191983708363878</v>
      </c>
      <c r="X124">
        <f>'2025_Fantasy_Hitters_modified'!H199</f>
        <v>20.963830165884666</v>
      </c>
      <c r="Y124">
        <f>'2025_Fantasy_Hitters_modified'!I199</f>
        <v>3.0167462921638899</v>
      </c>
      <c r="Z124">
        <f>'2025_Fantasy_Hitters_modified'!J199</f>
        <v>23.399999999999963</v>
      </c>
      <c r="AA124">
        <f>'2025_Fantasy_Hitters_modified'!K199</f>
        <v>64.727984344422239</v>
      </c>
      <c r="AB124">
        <f>'2025_Fantasy_Hitters_modified'!L199</f>
        <v>64.999999999999545</v>
      </c>
      <c r="AC124" s="2">
        <f>'2025_Fantasy_Hitters_modified'!M199</f>
        <v>46.293933463476002</v>
      </c>
      <c r="AD124">
        <f>'2025_Fantasy_Hitters_modified'!N199</f>
        <v>1.1039138943248492</v>
      </c>
      <c r="AE124">
        <f>'2025_Fantasy_Hitters_modified'!O199</f>
        <v>141.72015656759999</v>
      </c>
      <c r="AF124">
        <f>'2025_Fantasy_Hitters_modified'!P199</f>
        <v>5.0361921097769988</v>
      </c>
      <c r="AG124">
        <f>'2025_Fantasy_Hitters_modified'!Q199</f>
        <v>3.5999999999999894</v>
      </c>
      <c r="AH124">
        <f>'2025_Fantasy_Hitters_modified'!R199</f>
        <v>0.93619210977699474</v>
      </c>
      <c r="AI124">
        <f>'2025_Fantasy_Hitters_modified'!S199</f>
        <v>9.0176125244617822</v>
      </c>
      <c r="AJ124">
        <f>'2025_Fantasy_Hitters_modified'!T199</f>
        <v>4.0078277886496929</v>
      </c>
      <c r="AK124">
        <f>'2025_Fantasy_Hitters_modified'!U199</f>
        <v>5.0097847358120893</v>
      </c>
      <c r="AL124">
        <f>'2025_Fantasy_Hitters_modified'!V199</f>
        <v>0.22949685321078137</v>
      </c>
      <c r="AM124">
        <f>'2025_Fantasy_Hitters_modified'!W199</f>
        <v>0.30873880760380423</v>
      </c>
      <c r="AN124">
        <f>'2025_Fantasy_Hitters_modified'!X199</f>
        <v>0.44442739290847677</v>
      </c>
      <c r="AO124">
        <f>'2025_Fantasy_Hitters_modified'!Y199</f>
        <v>0.753166200512281</v>
      </c>
      <c r="AP124">
        <f>'2025_Fantasy_Hitters_modified'!Z199</f>
        <v>0.27483443699999999</v>
      </c>
      <c r="AQ124">
        <f>'2025_Fantasy_Hitters_modified'!AA199</f>
        <v>27.201565559999999</v>
      </c>
      <c r="AR124">
        <f>'2025_Fantasy_Hitters_modified'!AB199</f>
        <v>8.8855918355999997</v>
      </c>
    </row>
    <row r="125" spans="1:44" x14ac:dyDescent="0.4">
      <c r="A125" t="str">
        <f>'2025_Fantasy_Hitters_modified'!A198</f>
        <v>TBR</v>
      </c>
      <c r="B125" t="str">
        <f>'2025_Fantasy_Hitters_modified'!B198</f>
        <v>Brandon Lowe</v>
      </c>
      <c r="C125">
        <f>'2025_Fantasy_Hitters_modified'!D198</f>
        <v>428</v>
      </c>
      <c r="D125">
        <f>'2025_Fantasy_Hitters_modified'!E198</f>
        <v>483</v>
      </c>
      <c r="E125" s="5">
        <f>(V125-AVERAGE(V$2:V$229))/AVERAGE(V$2:V$229)*100+100</f>
        <v>87.734782231598459</v>
      </c>
      <c r="F125" s="4">
        <f>E125*1.51744-31.775</f>
        <v>101.35726794951674</v>
      </c>
      <c r="G125" s="5">
        <f>(Z125-AVERAGE(Z$2:Z$229))/AVERAGE(Z$2:Z$229)*100+100</f>
        <v>118.42446977348163</v>
      </c>
      <c r="H125" s="4">
        <f>G125*0.83285-13.6979</f>
        <v>84.931919650844165</v>
      </c>
      <c r="I125" s="5">
        <f>(AA125-AVERAGE(AA$2:AA$229))/AVERAGE(AA$2:AA$229)*100+100</f>
        <v>95.87351648476799</v>
      </c>
      <c r="J125" s="5">
        <f>(AB125-AVERAGE(AB$2:AB$229))/AVERAGE(AB$2:AB$229)*100+100</f>
        <v>102.90638035970733</v>
      </c>
      <c r="K125" s="5">
        <f>(AC125-AVERAGE(AC$2:AC$229))/AVERAGE(AC$2:AC$229)*100+100</f>
        <v>102.49656470873987</v>
      </c>
      <c r="L125" s="5">
        <f>(AF125-AVERAGE(AF$2:AF$229))/AVERAGE(AF$2:AF$229)*100+100</f>
        <v>103.32204401772938</v>
      </c>
      <c r="M125" s="5">
        <f>(AI125-AVERAGE(AI$2:AI$229))/AVERAGE(AI$2:AI$229)*100+100</f>
        <v>56.811931924778449</v>
      </c>
      <c r="N125" s="5">
        <f>(AVERAGE(AJ$2:AJ$229)-AJ125)/AVERAGE(AJ$2:AJ$229)*100+100</f>
        <v>163.49688770842226</v>
      </c>
      <c r="O125" s="5">
        <f>(AK125-AVERAGE(AK$2:AK$229))/AVERAGE(AK$2:AK$229)*100+100</f>
        <v>63.924973377278732</v>
      </c>
      <c r="P125" s="5">
        <f>(AL125-AVERAGE(AL$2:AL$229))/AVERAGE(AL$2:AL$229)*100+100</f>
        <v>96.520852056941123</v>
      </c>
      <c r="Q125" s="5">
        <f>(AM125-AVERAGE(AM$2:AM$229))/AVERAGE(AM$2:AM$229)*100+100</f>
        <v>100.19644531605532</v>
      </c>
      <c r="R125" s="5">
        <f>(AN125-AVERAGE(AN$2:AN$229))/AVERAGE(AN$2:AN$229)*100+100</f>
        <v>107.61621942028212</v>
      </c>
      <c r="S125" s="5">
        <f>(AO125-AVERAGE(AO$2:AO$229))/AVERAGE(AO$2:AO$229)*100+100</f>
        <v>104.37907748187119</v>
      </c>
      <c r="T125" s="6">
        <f>(F125*1.5+H125*2.5+I125+J125+K125*1.5+L125+O125*0.75+P125+S125)/11.25</f>
        <v>95.027213204308566</v>
      </c>
      <c r="V125">
        <f>'2025_Fantasy_Hitters_modified'!F198</f>
        <v>103.06281243272649</v>
      </c>
      <c r="W125">
        <f>'2025_Fantasy_Hitters_modified'!G198</f>
        <v>57.906196066807276</v>
      </c>
      <c r="X125">
        <f>'2025_Fantasy_Hitters_modified'!H198</f>
        <v>22.125702142221936</v>
      </c>
      <c r="Y125">
        <f>'2025_Fantasy_Hitters_modified'!I198</f>
        <v>2.0419807960945926</v>
      </c>
      <c r="Z125">
        <f>'2025_Fantasy_Hitters_modified'!J198</f>
        <v>21.59999999999998</v>
      </c>
      <c r="AA125">
        <f>'2025_Fantasy_Hitters_modified'!K198</f>
        <v>63.221052631578551</v>
      </c>
      <c r="AB125">
        <f>'2025_Fantasy_Hitters_modified'!L198</f>
        <v>65.999999999999886</v>
      </c>
      <c r="AC125" s="2">
        <f>'2025_Fantasy_Hitters_modified'!M198</f>
        <v>46.839473683169999</v>
      </c>
      <c r="AD125">
        <f>'2025_Fantasy_Hitters_modified'!N198</f>
        <v>0.99078947368421</v>
      </c>
      <c r="AE125">
        <f>'2025_Fantasy_Hitters_modified'!O198</f>
        <v>124.38157895100001</v>
      </c>
      <c r="AF125">
        <f>'2025_Fantasy_Hitters_modified'!P198</f>
        <v>6.0541760722347346</v>
      </c>
      <c r="AG125">
        <f>'2025_Fantasy_Hitters_modified'!Q198</f>
        <v>2.9999999999999991</v>
      </c>
      <c r="AH125">
        <f>'2025_Fantasy_Hitters_modified'!R198</f>
        <v>0</v>
      </c>
      <c r="AI125">
        <f>'2025_Fantasy_Hitters_modified'!S198</f>
        <v>5.9447368421052316</v>
      </c>
      <c r="AJ125">
        <f>'2025_Fantasy_Hitters_modified'!T198</f>
        <v>0.99078947368421</v>
      </c>
      <c r="AK125">
        <f>'2025_Fantasy_Hitters_modified'!U198</f>
        <v>4.9539473684210211</v>
      </c>
      <c r="AL125">
        <f>'2025_Fantasy_Hitters_modified'!V198</f>
        <v>0.24080096362786563</v>
      </c>
      <c r="AM125">
        <f>'2025_Fantasy_Hitters_modified'!W198</f>
        <v>0.32777220601531393</v>
      </c>
      <c r="AN125">
        <f>'2025_Fantasy_Hitters_modified'!X198</f>
        <v>0.45486809051293192</v>
      </c>
      <c r="AO125">
        <f>'2025_Fantasy_Hitters_modified'!Y198</f>
        <v>0.78264029652824585</v>
      </c>
      <c r="AP125">
        <f>'2025_Fantasy_Hitters_modified'!Z198</f>
        <v>0.28581595579999902</v>
      </c>
      <c r="AQ125">
        <f>'2025_Fantasy_Hitters_modified'!AA198</f>
        <v>25.7518797</v>
      </c>
      <c r="AR125">
        <f>'2025_Fantasy_Hitters_modified'!AB198</f>
        <v>9.6976135990000003</v>
      </c>
    </row>
    <row r="126" spans="1:44" x14ac:dyDescent="0.4">
      <c r="A126" t="str">
        <f>'2025_Fantasy_Hitters_modified'!A55</f>
        <v>CHC</v>
      </c>
      <c r="B126" t="str">
        <f>'2025_Fantasy_Hitters_modified'!B55</f>
        <v>Nico Hoerner</v>
      </c>
      <c r="C126">
        <f>'2025_Fantasy_Hitters_modified'!D55</f>
        <v>491</v>
      </c>
      <c r="D126">
        <f>'2025_Fantasy_Hitters_modified'!E55</f>
        <v>540</v>
      </c>
      <c r="E126" s="5">
        <f>(V126-AVERAGE(V$2:V$229))/AVERAGE(V$2:V$229)*100+100</f>
        <v>113.83341811715457</v>
      </c>
      <c r="F126" s="4">
        <f>E126*1.51744-31.775</f>
        <v>140.960381987695</v>
      </c>
      <c r="G126" s="5">
        <f>(Z126-AVERAGE(Z$2:Z$229))/AVERAGE(Z$2:Z$229)*100+100</f>
        <v>28.509594575097424</v>
      </c>
      <c r="H126" s="4">
        <f>G126*0.83285-13.6979</f>
        <v>10.046315841869887</v>
      </c>
      <c r="I126" s="5">
        <f>(AA126-AVERAGE(AA$2:AA$229))/AVERAGE(AA$2:AA$229)*100+100</f>
        <v>97.141431311977342</v>
      </c>
      <c r="J126" s="5">
        <f>(AB126-AVERAGE(AB$2:AB$229))/AVERAGE(AB$2:AB$229)*100+100</f>
        <v>76.400191479176755</v>
      </c>
      <c r="K126" s="5">
        <f>(AC126-AVERAGE(AC$2:AC$229))/AVERAGE(AC$2:AC$229)*100+100</f>
        <v>73.118872364034814</v>
      </c>
      <c r="L126" s="5">
        <f>(AF126-AVERAGE(AF$2:AF$229))/AVERAGE(AF$2:AF$229)*100+100</f>
        <v>154.64005057453784</v>
      </c>
      <c r="M126" s="5">
        <f>(AI126-AVERAGE(AI$2:AI$229))/AVERAGE(AI$2:AI$229)*100+100</f>
        <v>247.2904034025041</v>
      </c>
      <c r="N126" s="5">
        <f>(AVERAGE(AJ$2:AJ$229)-AJ126)/AVERAGE(AJ$2:AJ$229)*100+100</f>
        <v>-16.493257645817465</v>
      </c>
      <c r="O126" s="5">
        <f>(AK126-AVERAGE(AK$2:AK$229))/AVERAGE(AK$2:AK$229)*100+100</f>
        <v>258.07691775156491</v>
      </c>
      <c r="P126" s="5">
        <f>(AL126-AVERAGE(AL$2:AL$229))/AVERAGE(AL$2:AL$229)*100+100</f>
        <v>109.16449204231373</v>
      </c>
      <c r="Q126" s="5">
        <f>(AM126-AVERAGE(AM$2:AM$229))/AVERAGE(AM$2:AM$229)*100+100</f>
        <v>102.23681577642536</v>
      </c>
      <c r="R126" s="5">
        <f>(AN126-AVERAGE(AN$2:AN$229))/AVERAGE(AN$2:AN$229)*100+100</f>
        <v>83.54964353433158</v>
      </c>
      <c r="S126" s="5">
        <f>(AO126-AVERAGE(AO$2:AO$229))/AVERAGE(AO$2:AO$229)*100+100</f>
        <v>91.702591066888985</v>
      </c>
      <c r="T126" s="6">
        <f>(F126*1.5+H126*2.5+I126+J126+K126*1.5+L126+O126*0.75+P126+S126)/11.25</f>
        <v>95.008099192963343</v>
      </c>
      <c r="V126">
        <f>'2025_Fantasy_Hitters_modified'!F55</f>
        <v>133.72110720027581</v>
      </c>
      <c r="W126">
        <f>'2025_Fantasy_Hitters_modified'!G55</f>
        <v>102.73282398952279</v>
      </c>
      <c r="X126">
        <f>'2025_Fantasy_Hitters_modified'!H55</f>
        <v>21.918328359736869</v>
      </c>
      <c r="Y126">
        <f>'2025_Fantasy_Hitters_modified'!I55</f>
        <v>2.0081423000043097</v>
      </c>
      <c r="Z126">
        <f>'2025_Fantasy_Hitters_modified'!J55</f>
        <v>5.1999999999999948</v>
      </c>
      <c r="AA126">
        <f>'2025_Fantasy_Hitters_modified'!K55</f>
        <v>64.057142857142523</v>
      </c>
      <c r="AB126">
        <f>'2025_Fantasy_Hitters_modified'!L55</f>
        <v>48.999999999999979</v>
      </c>
      <c r="AC126" s="2">
        <f>'2025_Fantasy_Hitters_modified'!M55</f>
        <v>33.41428571358</v>
      </c>
      <c r="AD126">
        <f>'2025_Fantasy_Hitters_modified'!N55</f>
        <v>0.59523809523807603</v>
      </c>
      <c r="AE126">
        <f>'2025_Fantasy_Hitters_modified'!O55</f>
        <v>59.999999994</v>
      </c>
      <c r="AF126">
        <f>'2025_Fantasy_Hitters_modified'!P55</f>
        <v>9.0611650485436321</v>
      </c>
      <c r="AG126">
        <f>'2025_Fantasy_Hitters_modified'!Q55</f>
        <v>3.5999999999999859</v>
      </c>
      <c r="AH126">
        <f>'2025_Fantasy_Hitters_modified'!R55</f>
        <v>0.39999999999998881</v>
      </c>
      <c r="AI126">
        <f>'2025_Fantasy_Hitters_modified'!S55</f>
        <v>25.87619047619043</v>
      </c>
      <c r="AJ126">
        <f>'2025_Fantasy_Hitters_modified'!T55</f>
        <v>5.87619047619045</v>
      </c>
      <c r="AK126">
        <f>'2025_Fantasy_Hitters_modified'!U55</f>
        <v>19.999999999999979</v>
      </c>
      <c r="AL126">
        <f>'2025_Fantasy_Hitters_modified'!V55</f>
        <v>0.27234441384984892</v>
      </c>
      <c r="AM126">
        <f>'2025_Fantasy_Hitters_modified'!W55</f>
        <v>0.33444686123660855</v>
      </c>
      <c r="AN126">
        <f>'2025_Fantasy_Hitters_modified'!X55</f>
        <v>0.35314441468230034</v>
      </c>
      <c r="AO126">
        <f>'2025_Fantasy_Hitters_modified'!Y55</f>
        <v>0.6875912759189089</v>
      </c>
      <c r="AP126">
        <f>'2025_Fantasy_Hitters_modified'!Z55</f>
        <v>0.29930392919999999</v>
      </c>
      <c r="AQ126">
        <f>'2025_Fantasy_Hitters_modified'!AA55</f>
        <v>11.11111111</v>
      </c>
      <c r="AR126">
        <f>'2025_Fantasy_Hitters_modified'!AB55</f>
        <v>6.1878306877</v>
      </c>
    </row>
    <row r="127" spans="1:44" x14ac:dyDescent="0.4">
      <c r="A127" t="str">
        <f>'2025_Fantasy_Hitters_modified'!A218</f>
        <v>TOR</v>
      </c>
      <c r="B127" t="str">
        <f>'2025_Fantasy_Hitters_modified'!B218</f>
        <v>Daulton Varsho</v>
      </c>
      <c r="C127">
        <f>'2025_Fantasy_Hitters_modified'!D218</f>
        <v>485</v>
      </c>
      <c r="D127">
        <f>'2025_Fantasy_Hitters_modified'!E218</f>
        <v>540</v>
      </c>
      <c r="E127" s="5">
        <f>(V127-AVERAGE(V$2:V$229))/AVERAGE(V$2:V$229)*100+100</f>
        <v>90.625330529176438</v>
      </c>
      <c r="F127" s="4">
        <f>E127*1.51744-31.775</f>
        <v>105.74350155819349</v>
      </c>
      <c r="G127" s="5">
        <f>(Z127-AVERAGE(Z$2:Z$229))/AVERAGE(Z$2:Z$229)*100+100</f>
        <v>111.84533256384364</v>
      </c>
      <c r="H127" s="4">
        <f>G127*0.83285-13.6979</f>
        <v>79.452485225797176</v>
      </c>
      <c r="I127" s="5">
        <f>(AA127-AVERAGE(AA$2:AA$229))/AVERAGE(AA$2:AA$229)*100+100</f>
        <v>102.774074519184</v>
      </c>
      <c r="J127" s="5">
        <f>(AB127-AVERAGE(AB$2:AB$229))/AVERAGE(AB$2:AB$229)*100+100</f>
        <v>98.228817616083873</v>
      </c>
      <c r="K127" s="5">
        <f>(AC127-AVERAGE(AC$2:AC$229))/AVERAGE(AC$2:AC$229)*100+100</f>
        <v>104.74432165171176</v>
      </c>
      <c r="L127" s="5">
        <f>(AF127-AVERAGE(AF$2:AF$229))/AVERAGE(AF$2:AF$229)*100+100</f>
        <v>83.779741610471063</v>
      </c>
      <c r="M127" s="5">
        <f>(AI127-AVERAGE(AI$2:AI$229))/AVERAGE(AI$2:AI$229)*100+100</f>
        <v>114.13403233961687</v>
      </c>
      <c r="N127" s="5">
        <f>(AVERAGE(AJ$2:AJ$229)-AJ127)/AVERAGE(AJ$2:AJ$229)*100+100</f>
        <v>86.490163940969936</v>
      </c>
      <c r="O127" s="5">
        <f>(AK127-AVERAGE(AK$2:AK$229))/AVERAGE(AK$2:AK$229)*100+100</f>
        <v>114.35265331801452</v>
      </c>
      <c r="P127" s="5">
        <f>(AL127-AVERAGE(AL$2:AL$229))/AVERAGE(AL$2:AL$229)*100+100</f>
        <v>87.983448193787197</v>
      </c>
      <c r="Q127" s="5">
        <f>(AM127-AVERAGE(AM$2:AM$229))/AVERAGE(AM$2:AM$229)*100+100</f>
        <v>91.23462708477156</v>
      </c>
      <c r="R127" s="5">
        <f>(AN127-AVERAGE(AN$2:AN$229))/AVERAGE(AN$2:AN$229)*100+100</f>
        <v>95.99004612446484</v>
      </c>
      <c r="S127" s="5">
        <f>(AO127-AVERAGE(AO$2:AO$229))/AVERAGE(AO$2:AO$229)*100+100</f>
        <v>93.915324415708284</v>
      </c>
      <c r="T127" s="6">
        <f>(F127*1.5+H127*2.5+I127+J127+K127*1.5+L127+O127*0.75+P127+S127)/11.25</f>
        <v>94.827452819830782</v>
      </c>
      <c r="V127">
        <f>'2025_Fantasy_Hitters_modified'!F218</f>
        <v>106.45836468057514</v>
      </c>
      <c r="W127">
        <f>'2025_Fantasy_Hitters_modified'!G218</f>
        <v>61.298715573140534</v>
      </c>
      <c r="X127">
        <f>'2025_Fantasy_Hitters_modified'!H218</f>
        <v>21.514591170143795</v>
      </c>
      <c r="Y127">
        <f>'2025_Fantasy_Hitters_modified'!I218</f>
        <v>3.6165704008033721</v>
      </c>
      <c r="Z127">
        <f>'2025_Fantasy_Hitters_modified'!J218</f>
        <v>20.399999999999959</v>
      </c>
      <c r="AA127">
        <f>'2025_Fantasy_Hitters_modified'!K218</f>
        <v>67.771428571428302</v>
      </c>
      <c r="AB127">
        <f>'2025_Fantasy_Hitters_modified'!L218</f>
        <v>62.999999999999645</v>
      </c>
      <c r="AC127" s="2">
        <f>'2025_Fantasy_Hitters_modified'!M218</f>
        <v>47.866666667400004</v>
      </c>
      <c r="AD127">
        <f>'2025_Fantasy_Hitters_modified'!N218</f>
        <v>0.99523809523806483</v>
      </c>
      <c r="AE127">
        <f>'2025_Fantasy_Hitters_modified'!O218</f>
        <v>133.33333330799999</v>
      </c>
      <c r="AF127">
        <f>'2025_Fantasy_Hitters_modified'!P218</f>
        <v>4.9090909090908763</v>
      </c>
      <c r="AG127">
        <f>'2025_Fantasy_Hitters_modified'!Q218</f>
        <v>2.9999999999999702</v>
      </c>
      <c r="AH127">
        <f>'2025_Fantasy_Hitters_modified'!R218</f>
        <v>1.0136363636363219</v>
      </c>
      <c r="AI127">
        <f>'2025_Fantasy_Hitters_modified'!S218</f>
        <v>11.942857142857079</v>
      </c>
      <c r="AJ127">
        <f>'2025_Fantasy_Hitters_modified'!T218</f>
        <v>3.0809523809523496</v>
      </c>
      <c r="AK127">
        <f>'2025_Fantasy_Hitters_modified'!U218</f>
        <v>8.8619047619047286</v>
      </c>
      <c r="AL127">
        <f>'2025_Fantasy_Hitters_modified'!V218</f>
        <v>0.2195017828465467</v>
      </c>
      <c r="AM127">
        <f>'2025_Fantasy_Hitters_modified'!W218</f>
        <v>0.29845544809730179</v>
      </c>
      <c r="AN127">
        <f>'2025_Fantasy_Hitters_modified'!X218</f>
        <v>0.40572702910482078</v>
      </c>
      <c r="AO127">
        <f>'2025_Fantasy_Hitters_modified'!Y218</f>
        <v>0.70418247720212257</v>
      </c>
      <c r="AP127">
        <f>'2025_Fantasy_Hitters_modified'!Z218</f>
        <v>0.25745422219999903</v>
      </c>
      <c r="AQ127">
        <f>'2025_Fantasy_Hitters_modified'!AA218</f>
        <v>24.691358019999999</v>
      </c>
      <c r="AR127">
        <f>'2025_Fantasy_Hitters_modified'!AB218</f>
        <v>8.8641975310000003</v>
      </c>
    </row>
    <row r="128" spans="1:44" x14ac:dyDescent="0.4">
      <c r="A128" t="str">
        <f>'2025_Fantasy_Hitters_modified'!A77</f>
        <v>COL</v>
      </c>
      <c r="B128" t="str">
        <f>'2025_Fantasy_Hitters_modified'!B77</f>
        <v>Michael Toglia</v>
      </c>
      <c r="C128">
        <f>'2025_Fantasy_Hitters_modified'!D77</f>
        <v>471</v>
      </c>
      <c r="D128">
        <f>'2025_Fantasy_Hitters_modified'!E77</f>
        <v>531</v>
      </c>
      <c r="E128" s="5">
        <f>(V128-AVERAGE(V$2:V$229))/AVERAGE(V$2:V$229)*100+100</f>
        <v>91.089633854348634</v>
      </c>
      <c r="F128" s="4">
        <f>E128*1.51744-31.775</f>
        <v>106.44805399594279</v>
      </c>
      <c r="G128" s="5">
        <f>(Z128-AVERAGE(Z$2:Z$229))/AVERAGE(Z$2:Z$229)*100+100</f>
        <v>125.00360698311923</v>
      </c>
      <c r="H128" s="4">
        <f>G128*0.83285-13.6979</f>
        <v>90.411354075890841</v>
      </c>
      <c r="I128" s="5">
        <f>(AA128-AVERAGE(AA$2:AA$229))/AVERAGE(AA$2:AA$229)*100+100</f>
        <v>96.404854892573766</v>
      </c>
      <c r="J128" s="5">
        <f>(AB128-AVERAGE(AB$2:AB$229))/AVERAGE(AB$2:AB$229)*100+100</f>
        <v>104.46556794091499</v>
      </c>
      <c r="K128" s="5">
        <f>(AC128-AVERAGE(AC$2:AC$229))/AVERAGE(AC$2:AC$229)*100+100</f>
        <v>114.2962146277239</v>
      </c>
      <c r="L128" s="5">
        <f>(AF128-AVERAGE(AF$2:AF$229))/AVERAGE(AF$2:AF$229)*100+100</f>
        <v>50.907725763662356</v>
      </c>
      <c r="M128" s="5">
        <f>(AI128-AVERAGE(AI$2:AI$229))/AVERAGE(AI$2:AI$229)*100+100</f>
        <v>84.569009874184061</v>
      </c>
      <c r="N128" s="5">
        <f>(AVERAGE(AJ$2:AJ$229)-AJ128)/AVERAGE(AJ$2:AJ$229)*100+100</f>
        <v>126.78293933750349</v>
      </c>
      <c r="O128" s="5">
        <f>(AK128-AVERAGE(AK$2:AK$229))/AVERAGE(AK$2:AK$229)*100+100</f>
        <v>88.544961542857507</v>
      </c>
      <c r="P128" s="5">
        <f>(AL128-AVERAGE(AL$2:AL$229))/AVERAGE(AL$2:AL$229)*100+100</f>
        <v>91.062834182211347</v>
      </c>
      <c r="Q128" s="5">
        <f>(AM128-AVERAGE(AM$2:AM$229))/AVERAGE(AM$2:AM$229)*100+100</f>
        <v>94.991298161850168</v>
      </c>
      <c r="R128" s="5">
        <f>(AN128-AVERAGE(AN$2:AN$229))/AVERAGE(AN$2:AN$229)*100+100</f>
        <v>102.9140025103428</v>
      </c>
      <c r="S128" s="5">
        <f>(AO128-AVERAGE(AO$2:AO$229))/AVERAGE(AO$2:AO$229)*100+100</f>
        <v>99.457439257625168</v>
      </c>
      <c r="T128" s="6">
        <f>(F128*1.5+H128*2.5+I128+J128+K128*1.5+L128+O128*0.75+P128+S128)/11.25</f>
        <v>94.742393895054036</v>
      </c>
      <c r="V128">
        <f>'2025_Fantasy_Hitters_modified'!F77</f>
        <v>107.00378583848939</v>
      </c>
      <c r="W128">
        <f>'2025_Fantasy_Hitters_modified'!G77</f>
        <v>60.199440823837442</v>
      </c>
      <c r="X128">
        <f>'2025_Fantasy_Hitters_modified'!H77</f>
        <v>22.784553815120628</v>
      </c>
      <c r="Y128">
        <f>'2025_Fantasy_Hitters_modified'!I77</f>
        <v>2.6377089539767722</v>
      </c>
      <c r="Z128">
        <f>'2025_Fantasy_Hitters_modified'!J77</f>
        <v>22.79999999999993</v>
      </c>
      <c r="AA128">
        <f>'2025_Fantasy_Hitters_modified'!K77</f>
        <v>63.571428571428477</v>
      </c>
      <c r="AB128">
        <f>'2025_Fantasy_Hitters_modified'!L77</f>
        <v>66.999999999999872</v>
      </c>
      <c r="AC128" s="2">
        <f>'2025_Fantasy_Hitters_modified'!M77</f>
        <v>52.231746033188998</v>
      </c>
      <c r="AD128">
        <f>'2025_Fantasy_Hitters_modified'!N77</f>
        <v>1.8936507936507747</v>
      </c>
      <c r="AE128">
        <f>'2025_Fantasy_Hitters_modified'!O77</f>
        <v>159.20634922919999</v>
      </c>
      <c r="AF128">
        <f>'2025_Fantasy_Hitters_modified'!P77</f>
        <v>2.9829484902308603</v>
      </c>
      <c r="AG128">
        <f>'2025_Fantasy_Hitters_modified'!Q77</f>
        <v>2.9999999999999503</v>
      </c>
      <c r="AH128">
        <f>'2025_Fantasy_Hitters_modified'!R77</f>
        <v>0</v>
      </c>
      <c r="AI128">
        <f>'2025_Fantasy_Hitters_modified'!S77</f>
        <v>8.8492063492062574</v>
      </c>
      <c r="AJ128">
        <f>'2025_Fantasy_Hitters_modified'!T77</f>
        <v>1.9873015873015683</v>
      </c>
      <c r="AK128">
        <f>'2025_Fantasy_Hitters_modified'!U77</f>
        <v>6.8619047619046896</v>
      </c>
      <c r="AL128">
        <f>'2025_Fantasy_Hitters_modified'!V77</f>
        <v>0.22718425868044456</v>
      </c>
      <c r="AM128">
        <f>'2025_Fantasy_Hitters_modified'!W77</f>
        <v>0.31074463023668725</v>
      </c>
      <c r="AN128">
        <f>'2025_Fantasy_Hitters_modified'!X77</f>
        <v>0.43499294122294851</v>
      </c>
      <c r="AO128">
        <f>'2025_Fantasy_Hitters_modified'!Y77</f>
        <v>0.74573757145963571</v>
      </c>
      <c r="AP128">
        <f>'2025_Fantasy_Hitters_modified'!Z77</f>
        <v>0.288375399999999</v>
      </c>
      <c r="AQ128">
        <f>'2025_Fantasy_Hitters_modified'!AA77</f>
        <v>29.982363320000001</v>
      </c>
      <c r="AR128">
        <f>'2025_Fantasy_Hitters_modified'!AB77</f>
        <v>9.8364870118999992</v>
      </c>
    </row>
    <row r="129" spans="1:44" x14ac:dyDescent="0.4">
      <c r="A129" t="str">
        <f>'2025_Fantasy_Hitters_modified'!A204</f>
        <v>TBR</v>
      </c>
      <c r="B129" t="str">
        <f>'2025_Fantasy_Hitters_modified'!B204</f>
        <v>Junior Caminero</v>
      </c>
      <c r="C129">
        <f>'2025_Fantasy_Hitters_modified'!D204</f>
        <v>515</v>
      </c>
      <c r="D129">
        <f>'2025_Fantasy_Hitters_modified'!E204</f>
        <v>558</v>
      </c>
      <c r="E129" s="5">
        <f>(V129-AVERAGE(V$2:V$229))/AVERAGE(V$2:V$229)*100+100</f>
        <v>113.27874723512051</v>
      </c>
      <c r="F129" s="4">
        <f>E129*1.51744-31.775</f>
        <v>140.11870220446124</v>
      </c>
      <c r="G129" s="5">
        <f>(Z129-AVERAGE(Z$2:Z$229))/AVERAGE(Z$2:Z$229)*100+100</f>
        <v>122.81056124657353</v>
      </c>
      <c r="H129" s="4">
        <f>G129*0.83285-13.6979</f>
        <v>88.584875934208753</v>
      </c>
      <c r="I129" s="5">
        <f>(AA129-AVERAGE(AA$2:AA$229))/AVERAGE(AA$2:AA$229)*100+100</f>
        <v>99.871096866239085</v>
      </c>
      <c r="J129" s="5">
        <f>(AB129-AVERAGE(AB$2:AB$229))/AVERAGE(AB$2:AB$229)*100+100</f>
        <v>116.93906859057614</v>
      </c>
      <c r="K129" s="5">
        <f>(AC129-AVERAGE(AC$2:AC$229))/AVERAGE(AC$2:AC$229)*100+100</f>
        <v>70.774316816066033</v>
      </c>
      <c r="L129" s="5">
        <f>(AF129-AVERAGE(AF$2:AF$229))/AVERAGE(AF$2:AF$229)*100+100</f>
        <v>84.493420890856981</v>
      </c>
      <c r="M129" s="5">
        <f>(AI129-AVERAGE(AI$2:AI$229))/AVERAGE(AI$2:AI$229)*100+100</f>
        <v>37.789832717232144</v>
      </c>
      <c r="N129" s="5">
        <f>(AVERAGE(AJ$2:AJ$229)-AJ129)/AVERAGE(AJ$2:AJ$229)*100+100</f>
        <v>127.1572118520717</v>
      </c>
      <c r="O129" s="5">
        <f>(AK129-AVERAGE(AK$2:AK$229))/AVERAGE(AK$2:AK$229)*100+100</f>
        <v>25.512746726297593</v>
      </c>
      <c r="P129" s="5">
        <f>(AL129-AVERAGE(AL$2:AL$229))/AVERAGE(AL$2:AL$229)*100+100</f>
        <v>103.57008246649301</v>
      </c>
      <c r="Q129" s="5">
        <f>(AM129-AVERAGE(AM$2:AM$229))/AVERAGE(AM$2:AM$229)*100+100</f>
        <v>95.314432113891385</v>
      </c>
      <c r="R129" s="5">
        <f>(AN129-AVERAGE(AN$2:AN$229))/AVERAGE(AN$2:AN$229)*100+100</f>
        <v>103.96094186396883</v>
      </c>
      <c r="S129" s="5">
        <f>(AO129-AVERAGE(AO$2:AO$229))/AVERAGE(AO$2:AO$229)*100+100</f>
        <v>100.18859260647461</v>
      </c>
      <c r="T129" s="6">
        <f>(F129*1.5+H129*2.5+I129+J129+K129*1.5+L129+O129*0.75+P129+S129)/11.25</f>
        <v>94.399870207260093</v>
      </c>
      <c r="V129">
        <f>'2025_Fantasy_Hitters_modified'!F204</f>
        <v>133.06953048665193</v>
      </c>
      <c r="W129">
        <f>'2025_Fantasy_Hitters_modified'!G204</f>
        <v>87.75212328853101</v>
      </c>
      <c r="X129">
        <f>'2025_Fantasy_Hitters_modified'!H204</f>
        <v>21.546280271737473</v>
      </c>
      <c r="Y129">
        <f>'2025_Fantasy_Hitters_modified'!I204</f>
        <v>1.9518799353025296</v>
      </c>
      <c r="Z129">
        <f>'2025_Fantasy_Hitters_modified'!J204</f>
        <v>22.399999999999977</v>
      </c>
      <c r="AA129">
        <f>'2025_Fantasy_Hitters_modified'!K204</f>
        <v>65.857142857142591</v>
      </c>
      <c r="AB129">
        <f>'2025_Fantasy_Hitters_modified'!L204</f>
        <v>74.999999999999645</v>
      </c>
      <c r="AC129" s="2">
        <f>'2025_Fantasy_Hitters_modified'!M204</f>
        <v>32.342857142291997</v>
      </c>
      <c r="AD129">
        <f>'2025_Fantasy_Hitters_modified'!N204</f>
        <v>2.0657142857142805</v>
      </c>
      <c r="AE129">
        <f>'2025_Fantasy_Hitters_modified'!O204</f>
        <v>119.57142857940001</v>
      </c>
      <c r="AF129">
        <f>'2025_Fantasy_Hitters_modified'!P204</f>
        <v>4.9509090909090823</v>
      </c>
      <c r="AG129">
        <f>'2025_Fantasy_Hitters_modified'!Q204</f>
        <v>3.5999999999999965</v>
      </c>
      <c r="AH129">
        <f>'2025_Fantasy_Hitters_modified'!R204</f>
        <v>0</v>
      </c>
      <c r="AI129">
        <f>'2025_Fantasy_Hitters_modified'!S204</f>
        <v>3.954285714285708</v>
      </c>
      <c r="AJ129">
        <f>'2025_Fantasy_Hitters_modified'!T204</f>
        <v>1.9771428571428511</v>
      </c>
      <c r="AK129">
        <f>'2025_Fantasy_Hitters_modified'!U204</f>
        <v>1.9771428571428569</v>
      </c>
      <c r="AL129">
        <f>'2025_Fantasy_Hitters_modified'!V204</f>
        <v>0.2583874378381591</v>
      </c>
      <c r="AM129">
        <f>'2025_Fantasy_Hitters_modified'!W204</f>
        <v>0.31180169696160853</v>
      </c>
      <c r="AN129">
        <f>'2025_Fantasy_Hitters_modified'!X204</f>
        <v>0.43941810415128829</v>
      </c>
      <c r="AO129">
        <f>'2025_Fantasy_Hitters_modified'!Y204</f>
        <v>0.75121980111289677</v>
      </c>
      <c r="AP129">
        <f>'2025_Fantasy_Hitters_modified'!Z204</f>
        <v>0.2938426314</v>
      </c>
      <c r="AQ129">
        <f>'2025_Fantasy_Hitters_modified'!AA204</f>
        <v>21.428571430000002</v>
      </c>
      <c r="AR129">
        <f>'2025_Fantasy_Hitters_modified'!AB204</f>
        <v>5.7962109573999996</v>
      </c>
    </row>
    <row r="130" spans="1:44" x14ac:dyDescent="0.4">
      <c r="A130" t="str">
        <f>'2025_Fantasy_Hitters_modified'!A103</f>
        <v>LAA</v>
      </c>
      <c r="B130" t="str">
        <f>'2025_Fantasy_Hitters_modified'!B103</f>
        <v>Luis Rengifo</v>
      </c>
      <c r="C130">
        <f>'2025_Fantasy_Hitters_modified'!D103</f>
        <v>496</v>
      </c>
      <c r="D130">
        <f>'2025_Fantasy_Hitters_modified'!E103</f>
        <v>541</v>
      </c>
      <c r="E130" s="5">
        <f>(V130-AVERAGE(V$2:V$229))/AVERAGE(V$2:V$229)*100+100</f>
        <v>105.69211487391784</v>
      </c>
      <c r="F130" s="4">
        <f>E130*1.51744-31.775</f>
        <v>128.60644279427788</v>
      </c>
      <c r="G130" s="5">
        <f>(Z130-AVERAGE(Z$2:Z$229))/AVERAGE(Z$2:Z$229)*100+100</f>
        <v>74.563555042562172</v>
      </c>
      <c r="H130" s="4">
        <f>G130*0.83285-13.6979</f>
        <v>48.402356817197898</v>
      </c>
      <c r="I130" s="5">
        <f>(AA130-AVERAGE(AA$2:AA$229))/AVERAGE(AA$2:AA$229)*100+100</f>
        <v>98.994851284955175</v>
      </c>
      <c r="J130" s="5">
        <f>(AB130-AVERAGE(AB$2:AB$229))/AVERAGE(AB$2:AB$229)*100+100</f>
        <v>87.314504547630023</v>
      </c>
      <c r="K130" s="5">
        <f>(AC130-AVERAGE(AC$2:AC$229))/AVERAGE(AC$2:AC$229)*100+100</f>
        <v>78.460045737317117</v>
      </c>
      <c r="L130" s="5">
        <f>(AF130-AVERAGE(AF$2:AF$229))/AVERAGE(AF$2:AF$229)*100+100</f>
        <v>102.74583253850565</v>
      </c>
      <c r="M130" s="5">
        <f>(AI130-AVERAGE(AI$2:AI$229))/AVERAGE(AI$2:AI$229)*100+100</f>
        <v>199.73776892285079</v>
      </c>
      <c r="N130" s="5">
        <f>(AVERAGE(AJ$2:AJ$229)-AJ130)/AVERAGE(AJ$2:AJ$229)*100+100</f>
        <v>-22.398369764461634</v>
      </c>
      <c r="O130" s="5">
        <f>(AK130-AVERAGE(AK$2:AK$229))/AVERAGE(AK$2:AK$229)*100+100</f>
        <v>191.80103030208761</v>
      </c>
      <c r="P130" s="5">
        <f>(AL130-AVERAGE(AL$2:AL$229))/AVERAGE(AL$2:AL$229)*100+100</f>
        <v>100.33536277687892</v>
      </c>
      <c r="Q130" s="5">
        <f>(AM130-AVERAGE(AM$2:AM$229))/AVERAGE(AM$2:AM$229)*100+100</f>
        <v>94.945023518742843</v>
      </c>
      <c r="R130" s="5">
        <f>(AN130-AVERAGE(AN$2:AN$229))/AVERAGE(AN$2:AN$229)*100+100</f>
        <v>92.002513949856237</v>
      </c>
      <c r="S130" s="5">
        <f>(AO130-AVERAGE(AO$2:AO$229))/AVERAGE(AO$2:AO$229)*100+100</f>
        <v>93.286289034624858</v>
      </c>
      <c r="T130" s="6">
        <f>(F130*1.5+H130*2.5+I130+J130+K130*1.5+L130+O130*0.75+P130+S130)/11.25</f>
        <v>94.05628779995979</v>
      </c>
      <c r="V130">
        <f>'2025_Fantasy_Hitters_modified'!F103</f>
        <v>124.15744740910286</v>
      </c>
      <c r="W130">
        <f>'2025_Fantasy_Hitters_modified'!G103</f>
        <v>87.458369661888739</v>
      </c>
      <c r="X130">
        <f>'2025_Fantasy_Hitters_modified'!H103</f>
        <v>21.106421778101367</v>
      </c>
      <c r="Y130">
        <f>'2025_Fantasy_Hitters_modified'!I103</f>
        <v>2.9365456386923685</v>
      </c>
      <c r="Z130">
        <f>'2025_Fantasy_Hitters_modified'!J103</f>
        <v>13.599999999999925</v>
      </c>
      <c r="AA130">
        <f>'2025_Fantasy_Hitters_modified'!K103</f>
        <v>65.279327731092224</v>
      </c>
      <c r="AB130">
        <f>'2025_Fantasy_Hitters_modified'!L103</f>
        <v>55.999999999999631</v>
      </c>
      <c r="AC130" s="2">
        <f>'2025_Fantasy_Hitters_modified'!M103</f>
        <v>35.855126051654004</v>
      </c>
      <c r="AD130">
        <f>'2025_Fantasy_Hitters_modified'!N103</f>
        <v>0.39999999999999269</v>
      </c>
      <c r="AE130">
        <f>'2025_Fantasy_Hitters_modified'!O103</f>
        <v>88.196638664099993</v>
      </c>
      <c r="AF130">
        <f>'2025_Fantasy_Hitters_modified'!P103</f>
        <v>6.0204128440366489</v>
      </c>
      <c r="AG130">
        <f>'2025_Fantasy_Hitters_modified'!Q103</f>
        <v>3.5999999999999885</v>
      </c>
      <c r="AH130">
        <f>'2025_Fantasy_Hitters_modified'!R103</f>
        <v>1.1444954128440046</v>
      </c>
      <c r="AI130">
        <f>'2025_Fantasy_Hitters_modified'!S103</f>
        <v>20.900336134453731</v>
      </c>
      <c r="AJ130">
        <f>'2025_Fantasy_Hitters_modified'!T103</f>
        <v>6.0364705882352423</v>
      </c>
      <c r="AK130">
        <f>'2025_Fantasy_Hitters_modified'!U103</f>
        <v>14.863865546218488</v>
      </c>
      <c r="AL130">
        <f>'2025_Fantasy_Hitters_modified'!V103</f>
        <v>0.2503174342925461</v>
      </c>
      <c r="AM130">
        <f>'2025_Fantasy_Hitters_modified'!W103</f>
        <v>0.31059325219322459</v>
      </c>
      <c r="AN130">
        <f>'2025_Fantasy_Hitters_modified'!X103</f>
        <v>0.38887268172211342</v>
      </c>
      <c r="AO130">
        <f>'2025_Fantasy_Hitters_modified'!Y103</f>
        <v>0.69946593391533796</v>
      </c>
      <c r="AP130">
        <f>'2025_Fantasy_Hitters_modified'!Z103</f>
        <v>0.27791984219999999</v>
      </c>
      <c r="AQ130">
        <f>'2025_Fantasy_Hitters_modified'!AA103</f>
        <v>16.30252101</v>
      </c>
      <c r="AR130">
        <f>'2025_Fantasy_Hitters_modified'!AB103</f>
        <v>6.6275648894000003</v>
      </c>
    </row>
    <row r="131" spans="1:44" x14ac:dyDescent="0.4">
      <c r="A131" t="str">
        <f>'2025_Fantasy_Hitters_modified'!A120</f>
        <v>MIA</v>
      </c>
      <c r="B131" t="str">
        <f>'2025_Fantasy_Hitters_modified'!B120</f>
        <v>Jesus Sanchez</v>
      </c>
      <c r="C131">
        <f>'2025_Fantasy_Hitters_modified'!D120</f>
        <v>465</v>
      </c>
      <c r="D131">
        <f>'2025_Fantasy_Hitters_modified'!E120</f>
        <v>515</v>
      </c>
      <c r="E131" s="5">
        <f>(V131-AVERAGE(V$2:V$229))/AVERAGE(V$2:V$229)*100+100</f>
        <v>98.047996486223894</v>
      </c>
      <c r="F131" s="4">
        <f>E131*1.51744-31.775</f>
        <v>117.00695178805557</v>
      </c>
      <c r="G131" s="5">
        <f>(Z131-AVERAGE(Z$2:Z$229))/AVERAGE(Z$2:Z$229)*100+100</f>
        <v>101.97662674938695</v>
      </c>
      <c r="H131" s="4">
        <f>G131*0.83285-13.6979</f>
        <v>71.233333588226913</v>
      </c>
      <c r="I131" s="5">
        <f>(AA131-AVERAGE(AA$2:AA$229))/AVERAGE(AA$2:AA$229)*100+100</f>
        <v>91.772695164129786</v>
      </c>
      <c r="J131" s="5">
        <f>(AB131-AVERAGE(AB$2:AB$229))/AVERAGE(AB$2:AB$229)*100+100</f>
        <v>99.78800519729198</v>
      </c>
      <c r="K131" s="5">
        <f>(AC131-AVERAGE(AC$2:AC$229))/AVERAGE(AC$2:AC$229)*100+100</f>
        <v>98.032870694564679</v>
      </c>
      <c r="L131" s="5">
        <f>(AF131-AVERAGE(AF$2:AF$229))/AVERAGE(AF$2:AF$229)*100+100</f>
        <v>83.815354349013219</v>
      </c>
      <c r="M131" s="5">
        <f>(AI131-AVERAGE(AI$2:AI$229))/AVERAGE(AI$2:AI$229)*100+100</f>
        <v>95.141244257500858</v>
      </c>
      <c r="N131" s="5">
        <f>(AVERAGE(AJ$2:AJ$229)-AJ131)/AVERAGE(AJ$2:AJ$229)*100+100</f>
        <v>126.64319472979174</v>
      </c>
      <c r="O131" s="5">
        <f>(AK131-AVERAGE(AK$2:AK$229))/AVERAGE(AK$2:AK$229)*100+100</f>
        <v>102.77111247902759</v>
      </c>
      <c r="P131" s="5">
        <f>(AL131-AVERAGE(AL$2:AL$229))/AVERAGE(AL$2:AL$229)*100+100</f>
        <v>99.283912800011436</v>
      </c>
      <c r="Q131" s="5">
        <f>(AM131-AVERAGE(AM$2:AM$229))/AVERAGE(AM$2:AM$229)*100+100</f>
        <v>99.332830917154624</v>
      </c>
      <c r="R131" s="5">
        <f>(AN131-AVERAGE(AN$2:AN$229))/AVERAGE(AN$2:AN$229)*100+100</f>
        <v>101.15288469673573</v>
      </c>
      <c r="S131" s="5">
        <f>(AO131-AVERAGE(AO$2:AO$229))/AVERAGE(AO$2:AO$229)*100+100</f>
        <v>100.35882111241591</v>
      </c>
      <c r="T131" s="6">
        <f>(F131*1.5+H131*2.5+I131+J131+K131*1.5+L131+O131*0.75+P131+S131)/11.25</f>
        <v>93.576905837922723</v>
      </c>
      <c r="V131">
        <f>'2025_Fantasy_Hitters_modified'!F120</f>
        <v>115.17783499580942</v>
      </c>
      <c r="W131">
        <f>'2025_Fantasy_Hitters_modified'!G120</f>
        <v>72.134681911818461</v>
      </c>
      <c r="X131">
        <f>'2025_Fantasy_Hitters_modified'!H120</f>
        <v>23.138439634412649</v>
      </c>
      <c r="Y131">
        <f>'2025_Fantasy_Hitters_modified'!I120</f>
        <v>1.9995926317860802</v>
      </c>
      <c r="Z131">
        <f>'2025_Fantasy_Hitters_modified'!J120</f>
        <v>18.599999999999984</v>
      </c>
      <c r="AA131">
        <f>'2025_Fantasy_Hitters_modified'!K120</f>
        <v>60.516883116883037</v>
      </c>
      <c r="AB131">
        <f>'2025_Fantasy_Hitters_modified'!L120</f>
        <v>63.999999999999915</v>
      </c>
      <c r="AC131" s="2">
        <f>'2025_Fantasy_Hitters_modified'!M120</f>
        <v>44.799628943975002</v>
      </c>
      <c r="AD131">
        <f>'2025_Fantasy_Hitters_modified'!N120</f>
        <v>2.3910946196660268</v>
      </c>
      <c r="AE131">
        <f>'2025_Fantasy_Hitters_modified'!O120</f>
        <v>130.89981445500001</v>
      </c>
      <c r="AF131">
        <f>'2025_Fantasy_Hitters_modified'!P120</f>
        <v>4.911177644710544</v>
      </c>
      <c r="AG131">
        <f>'2025_Fantasy_Hitters_modified'!Q120</f>
        <v>2.5999999999999854</v>
      </c>
      <c r="AH131">
        <f>'2025_Fantasy_Hitters_modified'!R120</f>
        <v>1.0167664670658503</v>
      </c>
      <c r="AI131">
        <f>'2025_Fantasy_Hitters_modified'!S120</f>
        <v>9.9554730983301951</v>
      </c>
      <c r="AJ131">
        <f>'2025_Fantasy_Hitters_modified'!T120</f>
        <v>1.9910946196660133</v>
      </c>
      <c r="AK131">
        <f>'2025_Fantasy_Hitters_modified'!U120</f>
        <v>7.964378478664182</v>
      </c>
      <c r="AL131">
        <f>'2025_Fantasy_Hitters_modified'!V120</f>
        <v>0.24769426880819231</v>
      </c>
      <c r="AM131">
        <f>'2025_Fantasy_Hitters_modified'!W120</f>
        <v>0.32494706790007072</v>
      </c>
      <c r="AN131">
        <f>'2025_Fantasy_Hitters_modified'!X120</f>
        <v>0.42754911629247727</v>
      </c>
      <c r="AO131">
        <f>'2025_Fantasy_Hitters_modified'!Y120</f>
        <v>0.75249618419254793</v>
      </c>
      <c r="AP131">
        <f>'2025_Fantasy_Hitters_modified'!Z120</f>
        <v>0.30360823219999999</v>
      </c>
      <c r="AQ131">
        <f>'2025_Fantasy_Hitters_modified'!AA120</f>
        <v>25.417439699999999</v>
      </c>
      <c r="AR131">
        <f>'2025_Fantasy_Hitters_modified'!AB120</f>
        <v>8.6989570764999993</v>
      </c>
    </row>
    <row r="132" spans="1:44" x14ac:dyDescent="0.4">
      <c r="A132" t="str">
        <f>'2025_Fantasy_Hitters_modified'!A217</f>
        <v>TOR</v>
      </c>
      <c r="B132" t="str">
        <f>'2025_Fantasy_Hitters_modified'!B217</f>
        <v>Bo Bichette</v>
      </c>
      <c r="C132">
        <f>'2025_Fantasy_Hitters_modified'!D217</f>
        <v>559</v>
      </c>
      <c r="D132">
        <f>'2025_Fantasy_Hitters_modified'!E217</f>
        <v>600</v>
      </c>
      <c r="E132" s="5">
        <f>(V132-AVERAGE(V$2:V$229))/AVERAGE(V$2:V$229)*100+100</f>
        <v>130.96748189790247</v>
      </c>
      <c r="F132" s="4">
        <f>E132*1.51744-31.775</f>
        <v>166.96029573115311</v>
      </c>
      <c r="G132" s="5">
        <f>(Z132-AVERAGE(Z$2:Z$229))/AVERAGE(Z$2:Z$229)*100+100</f>
        <v>83.335737988745976</v>
      </c>
      <c r="H132" s="4">
        <f>G132*0.83285-13.6979</f>
        <v>55.708269383927075</v>
      </c>
      <c r="I132" s="5">
        <f>(AA132-AVERAGE(AA$2:AA$229))/AVERAGE(AA$2:AA$229)*100+100</f>
        <v>109.53718527916566</v>
      </c>
      <c r="J132" s="5">
        <f>(AB132-AVERAGE(AB$2:AB$229))/AVERAGE(AB$2:AB$229)*100+100</f>
        <v>110.70231826574563</v>
      </c>
      <c r="K132" s="5">
        <f>(AC132-AVERAGE(AC$2:AC$229))/AVERAGE(AC$2:AC$229)*100+100</f>
        <v>70.694744018793514</v>
      </c>
      <c r="L132" s="5">
        <f>(AF132-AVERAGE(AF$2:AF$229))/AVERAGE(AF$2:AF$229)*100+100</f>
        <v>67.044177653731992</v>
      </c>
      <c r="M132" s="5">
        <f>(AI132-AVERAGE(AI$2:AI$229))/AVERAGE(AI$2:AI$229)*100+100</f>
        <v>86.717538490311654</v>
      </c>
      <c r="N132" s="5">
        <f>(AVERAGE(AJ$2:AJ$229)-AJ132)/AVERAGE(AJ$2:AJ$229)*100+100</f>
        <v>89.759732072499276</v>
      </c>
      <c r="O132" s="5">
        <f>(AK132-AVERAGE(AK$2:AK$229))/AVERAGE(AK$2:AK$229)*100+100</f>
        <v>78.478844534453088</v>
      </c>
      <c r="P132" s="5">
        <f>(AL132-AVERAGE(AL$2:AL$229))/AVERAGE(AL$2:AL$229)*100+100</f>
        <v>110.31759445350941</v>
      </c>
      <c r="Q132" s="5">
        <f>(AM132-AVERAGE(AM$2:AM$229))/AVERAGE(AM$2:AM$229)*100+100</f>
        <v>97.882040366788715</v>
      </c>
      <c r="R132" s="5">
        <f>(AN132-AVERAGE(AN$2:AN$229))/AVERAGE(AN$2:AN$229)*100+100</f>
        <v>96.538966940317039</v>
      </c>
      <c r="S132" s="5">
        <f>(AO132-AVERAGE(AO$2:AO$229))/AVERAGE(AO$2:AO$229)*100+100</f>
        <v>97.124930778854875</v>
      </c>
      <c r="T132" s="6">
        <f>(F132*1.5+H132*2.5+I132+J132+K132*1.5+L132+O132*0.75+P132+S132)/11.25</f>
        <v>93.274539814807554</v>
      </c>
      <c r="V132">
        <f>'2025_Fantasy_Hitters_modified'!F217</f>
        <v>153.84864107827744</v>
      </c>
      <c r="W132">
        <f>'2025_Fantasy_Hitters_modified'!G217</f>
        <v>108.21282227985012</v>
      </c>
      <c r="X132">
        <f>'2025_Fantasy_Hitters_modified'!H217</f>
        <v>27.126908037054228</v>
      </c>
      <c r="Y132">
        <f>'2025_Fantasy_Hitters_modified'!I217</f>
        <v>1.6105796262898835</v>
      </c>
      <c r="Z132">
        <f>'2025_Fantasy_Hitters_modified'!J217</f>
        <v>15.199999999999921</v>
      </c>
      <c r="AA132">
        <f>'2025_Fantasy_Hitters_modified'!K217</f>
        <v>72.231168831168603</v>
      </c>
      <c r="AB132">
        <f>'2025_Fantasy_Hitters_modified'!L217</f>
        <v>70.999999999999801</v>
      </c>
      <c r="AC132" s="2">
        <f>'2025_Fantasy_Hitters_modified'!M217</f>
        <v>32.306493504599999</v>
      </c>
      <c r="AD132">
        <f>'2025_Fantasy_Hitters_modified'!N217</f>
        <v>0.5974025974025754</v>
      </c>
      <c r="AE132">
        <f>'2025_Fantasy_Hitters_modified'!O217</f>
        <v>114.93506496000001</v>
      </c>
      <c r="AF132">
        <f>'2025_Fantasy_Hitters_modified'!P217</f>
        <v>3.9284671532846338</v>
      </c>
      <c r="AG132">
        <f>'2025_Fantasy_Hitters_modified'!Q217</f>
        <v>3.5999999999999761</v>
      </c>
      <c r="AH132">
        <f>'2025_Fantasy_Hitters_modified'!R217</f>
        <v>0</v>
      </c>
      <c r="AI132">
        <f>'2025_Fantasy_Hitters_modified'!S217</f>
        <v>9.0740259740259592</v>
      </c>
      <c r="AJ132">
        <f>'2025_Fantasy_Hitters_modified'!T217</f>
        <v>2.9922077922077879</v>
      </c>
      <c r="AK132">
        <f>'2025_Fantasy_Hitters_modified'!U217</f>
        <v>6.0818181818181714</v>
      </c>
      <c r="AL132">
        <f>'2025_Fantasy_Hitters_modified'!V217</f>
        <v>0.2752211826087253</v>
      </c>
      <c r="AM132">
        <f>'2025_Fantasy_Hitters_modified'!W217</f>
        <v>0.32020110293435144</v>
      </c>
      <c r="AN132">
        <f>'2025_Fantasy_Hitters_modified'!X217</f>
        <v>0.40804718646301946</v>
      </c>
      <c r="AO132">
        <f>'2025_Fantasy_Hitters_modified'!Y217</f>
        <v>0.72824828939737096</v>
      </c>
      <c r="AP132">
        <f>'2025_Fantasy_Hitters_modified'!Z217</f>
        <v>0.32060088539999998</v>
      </c>
      <c r="AQ132">
        <f>'2025_Fantasy_Hitters_modified'!AA217</f>
        <v>19.155844160000001</v>
      </c>
      <c r="AR132">
        <f>'2025_Fantasy_Hitters_modified'!AB217</f>
        <v>5.3844155841000001</v>
      </c>
    </row>
    <row r="133" spans="1:44" x14ac:dyDescent="0.4">
      <c r="A133" t="str">
        <f>'2025_Fantasy_Hitters_modified'!A210</f>
        <v>TEX</v>
      </c>
      <c r="B133" t="str">
        <f>'2025_Fantasy_Hitters_modified'!B210</f>
        <v>Joc Pederson</v>
      </c>
      <c r="C133">
        <f>'2025_Fantasy_Hitters_modified'!D210</f>
        <v>366</v>
      </c>
      <c r="D133">
        <f>'2025_Fantasy_Hitters_modified'!E210</f>
        <v>429</v>
      </c>
      <c r="E133" s="5">
        <f>(V133-AVERAGE(V$2:V$229))/AVERAGE(V$2:V$229)*100+100</f>
        <v>73.656373203178759</v>
      </c>
      <c r="F133" s="4">
        <f>E133*1.51744-31.775</f>
        <v>79.994126953431561</v>
      </c>
      <c r="G133" s="5">
        <f>(Z133-AVERAGE(Z$2:Z$229))/AVERAGE(Z$2:Z$229)*100+100</f>
        <v>115.13490116866268</v>
      </c>
      <c r="H133" s="4">
        <f>G133*0.83285-13.6979</f>
        <v>82.192202438320706</v>
      </c>
      <c r="I133" s="5">
        <f>(AA133-AVERAGE(AA$2:AA$229))/AVERAGE(AA$2:AA$229)*100+100</f>
        <v>86.907351884729835</v>
      </c>
      <c r="J133" s="5">
        <f>(AB133-AVERAGE(AB$2:AB$229))/AVERAGE(AB$2:AB$229)*100+100</f>
        <v>91.992067291253335</v>
      </c>
      <c r="K133" s="5">
        <f>(AC133-AVERAGE(AC$2:AC$229))/AVERAGE(AC$2:AC$229)*100+100</f>
        <v>107.02427165270527</v>
      </c>
      <c r="L133" s="5">
        <f>(AF133-AVERAGE(AF$2:AF$229))/AVERAGE(AF$2:AF$229)*100+100</f>
        <v>157.00944168480873</v>
      </c>
      <c r="M133" s="5">
        <f>(AI133-AVERAGE(AI$2:AI$229))/AVERAGE(AI$2:AI$229)*100+100</f>
        <v>38.909329206687659</v>
      </c>
      <c r="N133" s="5">
        <f>(AVERAGE(AJ$2:AJ$229)-AJ133)/AVERAGE(AJ$2:AJ$229)*100+100</f>
        <v>126.73615527318273</v>
      </c>
      <c r="O133" s="5">
        <f>(AK133-AVERAGE(AK$2:AK$229))/AVERAGE(AK$2:AK$229)*100+100</f>
        <v>26.876867577270332</v>
      </c>
      <c r="P133" s="5">
        <f>(AL133-AVERAGE(AL$2:AL$229))/AVERAGE(AL$2:AL$229)*100+100</f>
        <v>94.759412371566924</v>
      </c>
      <c r="Q133" s="5">
        <f>(AM133-AVERAGE(AM$2:AM$229))/AVERAGE(AM$2:AM$229)*100+100</f>
        <v>107.05957073183055</v>
      </c>
      <c r="R133" s="5">
        <f>(AN133-AVERAGE(AN$2:AN$229))/AVERAGE(AN$2:AN$229)*100+100</f>
        <v>109.77548734999988</v>
      </c>
      <c r="S133" s="5">
        <f>(AO133-AVERAGE(AO$2:AO$229))/AVERAGE(AO$2:AO$229)*100+100</f>
        <v>108.59057154765826</v>
      </c>
      <c r="T133" s="6">
        <f>(F133*1.5+H133*2.5+I133+J133+K133*1.5+L133+O133*0.75+P133+S133)/11.25</f>
        <v>92.926631063820167</v>
      </c>
      <c r="V133">
        <f>'2025_Fantasy_Hitters_modified'!F210</f>
        <v>86.524782792246612</v>
      </c>
      <c r="W133">
        <f>'2025_Fantasy_Hitters_modified'!G210</f>
        <v>48.809676154156193</v>
      </c>
      <c r="X133">
        <f>'2025_Fantasy_Hitters_modified'!H210</f>
        <v>15.647709323521534</v>
      </c>
      <c r="Y133">
        <f>'2025_Fantasy_Hitters_modified'!I210</f>
        <v>1.9056674569002985</v>
      </c>
      <c r="Z133">
        <f>'2025_Fantasy_Hitters_modified'!J210</f>
        <v>20.999999999999979</v>
      </c>
      <c r="AA133">
        <f>'2025_Fantasy_Hitters_modified'!K210</f>
        <v>57.30857142857117</v>
      </c>
      <c r="AB133">
        <f>'2025_Fantasy_Hitters_modified'!L210</f>
        <v>58.99999999999978</v>
      </c>
      <c r="AC133" s="2">
        <f>'2025_Fantasy_Hitters_modified'!M210</f>
        <v>48.908571421710008</v>
      </c>
      <c r="AD133">
        <f>'2025_Fantasy_Hitters_modified'!N210</f>
        <v>2.9828571428571031</v>
      </c>
      <c r="AE133">
        <f>'2025_Fantasy_Hitters_modified'!O210</f>
        <v>103.7142857322</v>
      </c>
      <c r="AF133">
        <f>'2025_Fantasy_Hitters_modified'!P210</f>
        <v>9.1999999999999389</v>
      </c>
      <c r="AG133">
        <f>'2025_Fantasy_Hitters_modified'!Q210</f>
        <v>3.5999999999999779</v>
      </c>
      <c r="AH133">
        <f>'2025_Fantasy_Hitters_modified'!R210</f>
        <v>0</v>
      </c>
      <c r="AI133">
        <f>'2025_Fantasy_Hitters_modified'!S210</f>
        <v>4.0714285714285587</v>
      </c>
      <c r="AJ133">
        <f>'2025_Fantasy_Hitters_modified'!T210</f>
        <v>1.9885714285714007</v>
      </c>
      <c r="AK133">
        <f>'2025_Fantasy_Hitters_modified'!U210</f>
        <v>2.0828571428571578</v>
      </c>
      <c r="AL133">
        <f>'2025_Fantasy_Hitters_modified'!V210</f>
        <v>0.23640651036132954</v>
      </c>
      <c r="AM133">
        <f>'2025_Fantasy_Hitters_modified'!W210</f>
        <v>0.35022351903936944</v>
      </c>
      <c r="AN133">
        <f>'2025_Fantasy_Hitters_modified'!X210</f>
        <v>0.4639948010161204</v>
      </c>
      <c r="AO133">
        <f>'2025_Fantasy_Hitters_modified'!Y210</f>
        <v>0.81421832005548977</v>
      </c>
      <c r="AP133">
        <f>'2025_Fantasy_Hitters_modified'!Z210</f>
        <v>0.26757290839999998</v>
      </c>
      <c r="AQ133">
        <f>'2025_Fantasy_Hitters_modified'!AA210</f>
        <v>24.175824179999999</v>
      </c>
      <c r="AR133">
        <f>'2025_Fantasy_Hitters_modified'!AB210</f>
        <v>11.400599399000001</v>
      </c>
    </row>
    <row r="134" spans="1:44" x14ac:dyDescent="0.4">
      <c r="A134" t="str">
        <f>'2025_Fantasy_Hitters_modified'!A195</f>
        <v>STL</v>
      </c>
      <c r="B134" t="str">
        <f>'2025_Fantasy_Hitters_modified'!B195</f>
        <v>Nolan Arenado</v>
      </c>
      <c r="C134">
        <f>'2025_Fantasy_Hitters_modified'!D195</f>
        <v>556</v>
      </c>
      <c r="D134">
        <f>'2025_Fantasy_Hitters_modified'!E195</f>
        <v>611</v>
      </c>
      <c r="E134" s="5">
        <f>(V134-AVERAGE(V$2:V$229))/AVERAGE(V$2:V$229)*100+100</f>
        <v>117.60484949138083</v>
      </c>
      <c r="F134" s="4">
        <f>E134*1.51744-31.775</f>
        <v>146.68330281220091</v>
      </c>
      <c r="G134" s="5">
        <f>(Z134-AVERAGE(Z$2:Z$229))/AVERAGE(Z$2:Z$229)*100+100</f>
        <v>97.590535276294887</v>
      </c>
      <c r="H134" s="4">
        <f>G134*0.83285-13.6979</f>
        <v>67.580377304862196</v>
      </c>
      <c r="I134" s="5">
        <f>(AA134-AVERAGE(AA$2:AA$229))/AVERAGE(AA$2:AA$229)*100+100</f>
        <v>97.834679706710659</v>
      </c>
      <c r="J134" s="5">
        <f>(AB134-AVERAGE(AB$2:AB$229))/AVERAGE(AB$2:AB$229)*100+100</f>
        <v>118.49825617178391</v>
      </c>
      <c r="K134" s="5">
        <f>(AC134-AVERAGE(AC$2:AC$229))/AVERAGE(AC$2:AC$229)*100+100</f>
        <v>92.266076013119132</v>
      </c>
      <c r="L134" s="5">
        <f>(AF134-AVERAGE(AF$2:AF$229))/AVERAGE(AF$2:AF$229)*100+100</f>
        <v>85.787298956532752</v>
      </c>
      <c r="M134" s="5">
        <f>(AI134-AVERAGE(AI$2:AI$229))/AVERAGE(AI$2:AI$229)*100+100</f>
        <v>28.465246103839519</v>
      </c>
      <c r="N134" s="5">
        <f>(AVERAGE(AJ$2:AJ$229)-AJ134)/AVERAGE(AJ$2:AJ$229)*100+100</f>
        <v>159.99962500547483</v>
      </c>
      <c r="O134" s="5">
        <f>(AK134-AVERAGE(AK$2:AK$229))/AVERAGE(AK$2:AK$229)*100+100</f>
        <v>24.425136858630353</v>
      </c>
      <c r="P134" s="5">
        <f>(AL134-AVERAGE(AL$2:AL$229))/AVERAGE(AL$2:AL$229)*100+100</f>
        <v>99.596379762755902</v>
      </c>
      <c r="Q134" s="5">
        <f>(AM134-AVERAGE(AM$2:AM$229))/AVERAGE(AM$2:AM$229)*100+100</f>
        <v>94.364930328085251</v>
      </c>
      <c r="R134" s="5">
        <f>(AN134-AVERAGE(AN$2:AN$229))/AVERAGE(AN$2:AN$229)*100+100</f>
        <v>93.128653246083871</v>
      </c>
      <c r="S134" s="5">
        <f>(AO134-AVERAGE(AO$2:AO$229))/AVERAGE(AO$2:AO$229)*100+100</f>
        <v>93.66802335808805</v>
      </c>
      <c r="T134" s="6">
        <f>(F134*1.5+H134*2.5+I134+J134+K134*1.5+L134+O134*0.75+P134+S134)/11.25</f>
        <v>92.540311297775958</v>
      </c>
      <c r="V134">
        <f>'2025_Fantasy_Hitters_modified'!F195</f>
        <v>138.15144046649084</v>
      </c>
      <c r="W134">
        <f>'2025_Fantasy_Hitters_modified'!G195</f>
        <v>94.132433998146922</v>
      </c>
      <c r="X134">
        <f>'2025_Fantasy_Hitters_modified'!H195</f>
        <v>25.283916064388794</v>
      </c>
      <c r="Y134">
        <f>'2025_Fantasy_Hitters_modified'!I195</f>
        <v>0.98648721693844865</v>
      </c>
      <c r="Z134">
        <f>'2025_Fantasy_Hitters_modified'!J195</f>
        <v>17.799999999999955</v>
      </c>
      <c r="AA134">
        <f>'2025_Fantasy_Hitters_modified'!K195</f>
        <v>64.514285714285521</v>
      </c>
      <c r="AB134">
        <f>'2025_Fantasy_Hitters_modified'!L195</f>
        <v>75.999999999999687</v>
      </c>
      <c r="AC134" s="2">
        <f>'2025_Fantasy_Hitters_modified'!M195</f>
        <v>42.164285715786001</v>
      </c>
      <c r="AD134">
        <f>'2025_Fantasy_Hitters_modified'!N195</f>
        <v>1.6785714285713751</v>
      </c>
      <c r="AE134">
        <f>'2025_Fantasy_Hitters_modified'!O195</f>
        <v>91.928571458099995</v>
      </c>
      <c r="AF134">
        <f>'2025_Fantasy_Hitters_modified'!P195</f>
        <v>5.026724137930989</v>
      </c>
      <c r="AG134">
        <f>'2025_Fantasy_Hitters_modified'!Q195</f>
        <v>5.999999999999952</v>
      </c>
      <c r="AH134">
        <f>'2025_Fantasy_Hitters_modified'!R195</f>
        <v>0</v>
      </c>
      <c r="AI134">
        <f>'2025_Fantasy_Hitters_modified'!S195</f>
        <v>2.9785714285713785</v>
      </c>
      <c r="AJ134">
        <f>'2025_Fantasy_Hitters_modified'!T195</f>
        <v>1.0857142857142297</v>
      </c>
      <c r="AK134">
        <f>'2025_Fantasy_Hitters_modified'!U195</f>
        <v>1.8928571428571488</v>
      </c>
      <c r="AL134">
        <f>'2025_Fantasy_Hitters_modified'!V195</f>
        <v>0.2484738137886526</v>
      </c>
      <c r="AM134">
        <f>'2025_Fantasy_Hitters_modified'!W195</f>
        <v>0.30869559580235628</v>
      </c>
      <c r="AN134">
        <f>'2025_Fantasy_Hitters_modified'!X195</f>
        <v>0.39363260391679794</v>
      </c>
      <c r="AO134">
        <f>'2025_Fantasy_Hitters_modified'!Y195</f>
        <v>0.70232819971915417</v>
      </c>
      <c r="AP134">
        <f>'2025_Fantasy_Hitters_modified'!Z195</f>
        <v>0.26610445160000001</v>
      </c>
      <c r="AQ134">
        <f>'2025_Fantasy_Hitters_modified'!AA195</f>
        <v>15.045592709999999</v>
      </c>
      <c r="AR134">
        <f>'2025_Fantasy_Hitters_modified'!AB195</f>
        <v>6.9008650926000001</v>
      </c>
    </row>
    <row r="135" spans="1:44" x14ac:dyDescent="0.4">
      <c r="A135" t="str">
        <f>'2025_Fantasy_Hitters_modified'!A228</f>
        <v>WSN</v>
      </c>
      <c r="B135" t="str">
        <f>'2025_Fantasy_Hitters_modified'!B228</f>
        <v>Luis Garcia Jr.</v>
      </c>
      <c r="C135">
        <f>'2025_Fantasy_Hitters_modified'!D228</f>
        <v>526</v>
      </c>
      <c r="D135">
        <f>'2025_Fantasy_Hitters_modified'!E228</f>
        <v>562</v>
      </c>
      <c r="E135" s="5">
        <f>(V135-AVERAGE(V$2:V$229))/AVERAGE(V$2:V$229)*100+100</f>
        <v>121.58078472185696</v>
      </c>
      <c r="F135" s="4">
        <f>E135*1.51744-31.775</f>
        <v>152.7165459683346</v>
      </c>
      <c r="G135" s="5">
        <f>(Z135-AVERAGE(Z$2:Z$229))/AVERAGE(Z$2:Z$229)*100+100</f>
        <v>88.81835233011094</v>
      </c>
      <c r="H135" s="4">
        <f>G135*0.83285-13.6979</f>
        <v>60.274464738132892</v>
      </c>
      <c r="I135" s="5">
        <f>(AA135-AVERAGE(AA$2:AA$229))/AVERAGE(AA$2:AA$229)*100+100</f>
        <v>97.824680931786261</v>
      </c>
      <c r="J135" s="5">
        <f>(AB135-AVERAGE(AB$2:AB$229))/AVERAGE(AB$2:AB$229)*100+100</f>
        <v>106.02475552212219</v>
      </c>
      <c r="K135" s="5">
        <f>(AC135-AVERAGE(AC$2:AC$229))/AVERAGE(AC$2:AC$229)*100+100</f>
        <v>68.034593446793991</v>
      </c>
      <c r="L135" s="5">
        <f>(AF135-AVERAGE(AF$2:AF$229))/AVERAGE(AF$2:AF$229)*100+100</f>
        <v>30.719238590505711</v>
      </c>
      <c r="M135" s="5">
        <f>(AI135-AVERAGE(AI$2:AI$229))/AVERAGE(AI$2:AI$229)*100+100</f>
        <v>160.97225319301128</v>
      </c>
      <c r="N135" s="5">
        <f>(AVERAGE(AJ$2:AJ$229)-AJ135)/AVERAGE(AJ$2:AJ$229)*100+100</f>
        <v>15.247930608948451</v>
      </c>
      <c r="O135" s="5">
        <f>(AK135-AVERAGE(AK$2:AK$229))/AVERAGE(AK$2:AK$229)*100+100</f>
        <v>152.64351615144656</v>
      </c>
      <c r="P135" s="5">
        <f>(AL135-AVERAGE(AL$2:AL$229))/AVERAGE(AL$2:AL$229)*100+100</f>
        <v>108.83593475438364</v>
      </c>
      <c r="Q135" s="5">
        <f>(AM135-AVERAGE(AM$2:AM$229))/AVERAGE(AM$2:AM$229)*100+100</f>
        <v>96.375766743185892</v>
      </c>
      <c r="R135" s="5">
        <f>(AN135-AVERAGE(AN$2:AN$229))/AVERAGE(AN$2:AN$229)*100+100</f>
        <v>100.05161443123681</v>
      </c>
      <c r="S135" s="5">
        <f>(AO135-AVERAGE(AO$2:AO$229))/AVERAGE(AO$2:AO$229)*100+100</f>
        <v>98.447894352559217</v>
      </c>
      <c r="T135" s="6">
        <f>(F135*1.5+H135*2.5+I135+J135+K135*1.5+L135+O135*0.75+P135+S135)/11.25</f>
        <v>92.279823309597063</v>
      </c>
      <c r="V135">
        <f>'2025_Fantasy_Hitters_modified'!F228</f>
        <v>142.82200619288125</v>
      </c>
      <c r="W135">
        <f>'2025_Fantasy_Hitters_modified'!G228</f>
        <v>97.570635518181533</v>
      </c>
      <c r="X135">
        <f>'2025_Fantasy_Hitters_modified'!H228</f>
        <v>26.128350484245303</v>
      </c>
      <c r="Y135">
        <f>'2025_Fantasy_Hitters_modified'!I228</f>
        <v>2.6050234470925884</v>
      </c>
      <c r="Z135">
        <f>'2025_Fantasy_Hitters_modified'!J228</f>
        <v>16.199999999999935</v>
      </c>
      <c r="AA135">
        <f>'2025_Fantasy_Hitters_modified'!K228</f>
        <v>64.507692307691869</v>
      </c>
      <c r="AB135">
        <f>'2025_Fantasy_Hitters_modified'!L228</f>
        <v>67.999999999999559</v>
      </c>
      <c r="AC135" s="2">
        <f>'2025_Fantasy_Hitters_modified'!M228</f>
        <v>31.090842491665942</v>
      </c>
      <c r="AD135">
        <f>'2025_Fantasy_Hitters_modified'!N228</f>
        <v>2.0058608058607699</v>
      </c>
      <c r="AE135">
        <f>'2025_Fantasy_Hitters_modified'!O228</f>
        <v>87.490842503400003</v>
      </c>
      <c r="AF135">
        <f>'2025_Fantasy_Hitters_modified'!P228</f>
        <v>1.7999999999999674</v>
      </c>
      <c r="AG135">
        <f>'2025_Fantasy_Hitters_modified'!Q228</f>
        <v>4.5999999999999899</v>
      </c>
      <c r="AH135">
        <f>'2025_Fantasy_Hitters_modified'!R228</f>
        <v>0.39999999999998148</v>
      </c>
      <c r="AI135">
        <f>'2025_Fantasy_Hitters_modified'!S228</f>
        <v>16.843956043955945</v>
      </c>
      <c r="AJ135">
        <f>'2025_Fantasy_Hitters_modified'!T228</f>
        <v>5.0146520146520057</v>
      </c>
      <c r="AK135">
        <f>'2025_Fantasy_Hitters_modified'!U228</f>
        <v>11.829304029303939</v>
      </c>
      <c r="AL135">
        <f>'2025_Fantasy_Hitters_modified'!V228</f>
        <v>0.27152472660243582</v>
      </c>
      <c r="AM135">
        <f>'2025_Fantasy_Hitters_modified'!W228</f>
        <v>0.31527363642679596</v>
      </c>
      <c r="AN135">
        <f>'2025_Fantasy_Hitters_modified'!X228</f>
        <v>0.42289430955883961</v>
      </c>
      <c r="AO135">
        <f>'2025_Fantasy_Hitters_modified'!Y228</f>
        <v>0.73816794598563562</v>
      </c>
      <c r="AP135">
        <f>'2025_Fantasy_Hitters_modified'!Z228</f>
        <v>0.29660175700000002</v>
      </c>
      <c r="AQ135">
        <f>'2025_Fantasy_Hitters_modified'!AA228</f>
        <v>15.567765570000001</v>
      </c>
      <c r="AR135">
        <f>'2025_Fantasy_Hitters_modified'!AB228</f>
        <v>5.5321783792999897</v>
      </c>
    </row>
    <row r="136" spans="1:44" x14ac:dyDescent="0.4">
      <c r="A136" t="str">
        <f>'2025_Fantasy_Hitters_modified'!A84</f>
        <v>DET</v>
      </c>
      <c r="B136" t="str">
        <f>'2025_Fantasy_Hitters_modified'!B84</f>
        <v>Parker Meadows</v>
      </c>
      <c r="C136">
        <f>'2025_Fantasy_Hitters_modified'!D84</f>
        <v>485</v>
      </c>
      <c r="D136">
        <f>'2025_Fantasy_Hitters_modified'!E84</f>
        <v>541</v>
      </c>
      <c r="E136" s="5">
        <f>(V136-AVERAGE(V$2:V$229))/AVERAGE(V$2:V$229)*100+100</f>
        <v>95.31572983509227</v>
      </c>
      <c r="F136" s="4">
        <f>E136*1.51744-31.775</f>
        <v>112.86090108096241</v>
      </c>
      <c r="G136" s="5">
        <f>(Z136-AVERAGE(Z$2:Z$229))/AVERAGE(Z$2:Z$229)*100+100</f>
        <v>84.432260857019273</v>
      </c>
      <c r="H136" s="4">
        <f>G136*0.83285-13.6979</f>
        <v>56.621508454768502</v>
      </c>
      <c r="I136" s="5">
        <f>(AA136-AVERAGE(AA$2:AA$229))/AVERAGE(AA$2:AA$229)*100+100</f>
        <v>101.78070029502379</v>
      </c>
      <c r="J136" s="5">
        <f>(AB136-AVERAGE(AB$2:AB$229))/AVERAGE(AB$2:AB$229)*100+100</f>
        <v>82.636941804007478</v>
      </c>
      <c r="K136" s="5">
        <f>(AC136-AVERAGE(AC$2:AC$229))/AVERAGE(AC$2:AC$229)*100+100</f>
        <v>97.173249832621707</v>
      </c>
      <c r="L136" s="5">
        <f>(AF136-AVERAGE(AF$2:AF$229))/AVERAGE(AF$2:AF$229)*100+100</f>
        <v>67.940475646373642</v>
      </c>
      <c r="M136" s="5">
        <f>(AI136-AVERAGE(AI$2:AI$229))/AVERAGE(AI$2:AI$229)*100+100</f>
        <v>190.03469557772064</v>
      </c>
      <c r="N136" s="5">
        <f>(AVERAGE(AJ$2:AJ$229)-AJ136)/AVERAGE(AJ$2:AJ$229)*100+100</f>
        <v>13.374373661606981</v>
      </c>
      <c r="O136" s="5">
        <f>(AK136-AVERAGE(AK$2:AK$229))/AVERAGE(AK$2:AK$229)*100+100</f>
        <v>191.22870149494008</v>
      </c>
      <c r="P136" s="5">
        <f>(AL136-AVERAGE(AL$2:AL$229))/AVERAGE(AL$2:AL$229)*100+100</f>
        <v>92.537114392084376</v>
      </c>
      <c r="Q136" s="5">
        <f>(AM136-AVERAGE(AM$2:AM$229))/AVERAGE(AM$2:AM$229)*100+100</f>
        <v>92.295925831258998</v>
      </c>
      <c r="R136" s="5">
        <f>(AN136-AVERAGE(AN$2:AN$229))/AVERAGE(AN$2:AN$229)*100+100</f>
        <v>93.741568998217872</v>
      </c>
      <c r="S136" s="5">
        <f>(AO136-AVERAGE(AO$2:AO$229))/AVERAGE(AO$2:AO$229)*100+100</f>
        <v>93.110855440365199</v>
      </c>
      <c r="T136" s="6">
        <f>(F136*1.5+H136*2.5+I136+J136+K136*1.5+L136+O136*0.75+P136+S136)/11.25</f>
        <v>92.26956544056506</v>
      </c>
      <c r="V136">
        <f>'2025_Fantasy_Hitters_modified'!F84</f>
        <v>111.96821757590827</v>
      </c>
      <c r="W136">
        <f>'2025_Fantasy_Hitters_modified'!G84</f>
        <v>69.73761621532914</v>
      </c>
      <c r="X136">
        <f>'2025_Fantasy_Hitters_modified'!H84</f>
        <v>22.130216527812252</v>
      </c>
      <c r="Y136">
        <f>'2025_Fantasy_Hitters_modified'!I84</f>
        <v>5.5234094143795938</v>
      </c>
      <c r="Z136">
        <f>'2025_Fantasy_Hitters_modified'!J84</f>
        <v>15.399999999999979</v>
      </c>
      <c r="AA136">
        <f>'2025_Fantasy_Hitters_modified'!K84</f>
        <v>67.116376306619969</v>
      </c>
      <c r="AB136">
        <f>'2025_Fantasy_Hitters_modified'!L84</f>
        <v>52.999999999999957</v>
      </c>
      <c r="AC136" s="2">
        <f>'2025_Fantasy_Hitters_modified'!M84</f>
        <v>44.406794424546</v>
      </c>
      <c r="AD136">
        <f>'2025_Fantasy_Hitters_modified'!N84</f>
        <v>0.99425087108011512</v>
      </c>
      <c r="AE136">
        <f>'2025_Fantasy_Hitters_modified'!O84</f>
        <v>125.35365855109998</v>
      </c>
      <c r="AF136">
        <f>'2025_Fantasy_Hitters_modified'!P84</f>
        <v>3.9809859154929375</v>
      </c>
      <c r="AG136">
        <f>'2025_Fantasy_Hitters_modified'!Q84</f>
        <v>3.9999999999999813</v>
      </c>
      <c r="AH136">
        <f>'2025_Fantasy_Hitters_modified'!R84</f>
        <v>1.9429577464788326</v>
      </c>
      <c r="AI136">
        <f>'2025_Fantasy_Hitters_modified'!S84</f>
        <v>19.885017421602736</v>
      </c>
      <c r="AJ136">
        <f>'2025_Fantasy_Hitters_modified'!T84</f>
        <v>5.0655052264807994</v>
      </c>
      <c r="AK136">
        <f>'2025_Fantasy_Hitters_modified'!U84</f>
        <v>14.819512195121938</v>
      </c>
      <c r="AL136">
        <f>'2025_Fantasy_Hitters_modified'!V84</f>
        <v>0.23086230428022322</v>
      </c>
      <c r="AM136">
        <f>'2025_Fantasy_Hitters_modified'!W84</f>
        <v>0.30192727017921484</v>
      </c>
      <c r="AN136">
        <f>'2025_Fantasy_Hitters_modified'!X84</f>
        <v>0.39622325260637592</v>
      </c>
      <c r="AO136">
        <f>'2025_Fantasy_Hitters_modified'!Y84</f>
        <v>0.69815052278559075</v>
      </c>
      <c r="AP136">
        <f>'2025_Fantasy_Hitters_modified'!Z84</f>
        <v>0.27729858460000001</v>
      </c>
      <c r="AQ136">
        <f>'2025_Fantasy_Hitters_modified'!AA84</f>
        <v>23.170731709999998</v>
      </c>
      <c r="AR136">
        <f>'2025_Fantasy_Hitters_modified'!AB84</f>
        <v>8.2082799305999998</v>
      </c>
    </row>
    <row r="137" spans="1:44" x14ac:dyDescent="0.4">
      <c r="A137" t="str">
        <f>'2025_Fantasy_Hitters_modified'!A229</f>
        <v>WSN</v>
      </c>
      <c r="B137" t="str">
        <f>'2025_Fantasy_Hitters_modified'!B229</f>
        <v>Nathaniel Lowe</v>
      </c>
      <c r="C137">
        <f>'2025_Fantasy_Hitters_modified'!D229</f>
        <v>520</v>
      </c>
      <c r="D137">
        <f>'2025_Fantasy_Hitters_modified'!E229</f>
        <v>595</v>
      </c>
      <c r="E137" s="5">
        <f>(V137-AVERAGE(V$2:V$229))/AVERAGE(V$2:V$229)*100+100</f>
        <v>113.30475937540537</v>
      </c>
      <c r="F137" s="4">
        <f>E137*1.51744-31.775</f>
        <v>140.15817406661512</v>
      </c>
      <c r="G137" s="5">
        <f>(Z137-AVERAGE(Z$2:Z$229))/AVERAGE(Z$2:Z$229)*100+100</f>
        <v>75.660077910835327</v>
      </c>
      <c r="H137" s="4">
        <f>G137*0.83285-13.6979</f>
        <v>49.315595888039198</v>
      </c>
      <c r="I137" s="5">
        <f>(AA137-AVERAGE(AA$2:AA$229))/AVERAGE(AA$2:AA$229)*100+100</f>
        <v>99.044943407066441</v>
      </c>
      <c r="J137" s="5">
        <f>(AB137-AVERAGE(AB$2:AB$229))/AVERAGE(AB$2:AB$229)*100+100</f>
        <v>107.58394310332979</v>
      </c>
      <c r="K137" s="5">
        <f>(AC137-AVERAGE(AC$2:AC$229))/AVERAGE(AC$2:AC$229)*100+100</f>
        <v>146.16292968196905</v>
      </c>
      <c r="L137" s="5">
        <f>(AF137-AVERAGE(AF$2:AF$229))/AVERAGE(AF$2:AF$229)*100+100</f>
        <v>68.130019176747382</v>
      </c>
      <c r="M137" s="5">
        <f>(AI137-AVERAGE(AI$2:AI$229))/AVERAGE(AI$2:AI$229)*100+100</f>
        <v>19.027451980278002</v>
      </c>
      <c r="N137" s="5">
        <f>(AVERAGE(AJ$2:AJ$229)-AJ137)/AVERAGE(AJ$2:AJ$229)*100+100</f>
        <v>163.32313339502522</v>
      </c>
      <c r="O137" s="5">
        <f>(AK137-AVERAGE(AK$2:AK$229))/AVERAGE(AK$2:AK$229)*100+100</f>
        <v>12.845851074600617</v>
      </c>
      <c r="P137" s="5">
        <f>(AL137-AVERAGE(AL$2:AL$229))/AVERAGE(AL$2:AL$229)*100+100</f>
        <v>102.59777035329694</v>
      </c>
      <c r="Q137" s="5">
        <f>(AM137-AVERAGE(AM$2:AM$229))/AVERAGE(AM$2:AM$229)*100+100</f>
        <v>106.20706262818612</v>
      </c>
      <c r="R137" s="5">
        <f>(AN137-AVERAGE(AN$2:AN$229))/AVERAGE(AN$2:AN$229)*100+100</f>
        <v>91.389871811148765</v>
      </c>
      <c r="S137" s="5">
        <f>(AO137-AVERAGE(AO$2:AO$229))/AVERAGE(AO$2:AO$229)*100+100</f>
        <v>97.85440147599985</v>
      </c>
      <c r="T137" s="6">
        <f>(F137*1.5+H137*2.5+I137+J137+K137*1.5+L137+O137*0.75+P137+S137)/11.25</f>
        <v>92.23254321469912</v>
      </c>
      <c r="V137">
        <f>'2025_Fantasy_Hitters_modified'!F229</f>
        <v>133.1000871742844</v>
      </c>
      <c r="W137">
        <f>'2025_Fantasy_Hitters_modified'!G229</f>
        <v>95.197425494327277</v>
      </c>
      <c r="X137">
        <f>'2025_Fantasy_Hitters_modified'!H229</f>
        <v>22.242389134188542</v>
      </c>
      <c r="Y137">
        <f>'2025_Fantasy_Hitters_modified'!I229</f>
        <v>1.995018264511137</v>
      </c>
      <c r="Z137">
        <f>'2025_Fantasy_Hitters_modified'!J229</f>
        <v>13.799999999999958</v>
      </c>
      <c r="AA137">
        <f>'2025_Fantasy_Hitters_modified'!K229</f>
        <v>65.312359550561652</v>
      </c>
      <c r="AB137">
        <f>'2025_Fantasy_Hitters_modified'!L229</f>
        <v>68.999999999999503</v>
      </c>
      <c r="AC137" s="2">
        <f>'2025_Fantasy_Hitters_modified'!M229</f>
        <v>66.794382014150003</v>
      </c>
      <c r="AD137">
        <f>'2025_Fantasy_Hitters_modified'!N229</f>
        <v>1.8955056179775134</v>
      </c>
      <c r="AE137">
        <f>'2025_Fantasy_Hitters_modified'!O229</f>
        <v>127.9775280875</v>
      </c>
      <c r="AF137">
        <f>'2025_Fantasy_Hitters_modified'!P229</f>
        <v>3.992092257001616</v>
      </c>
      <c r="AG137">
        <f>'2025_Fantasy_Hitters_modified'!Q229</f>
        <v>3.5999999999999601</v>
      </c>
      <c r="AH137">
        <f>'2025_Fantasy_Hitters_modified'!R229</f>
        <v>0</v>
      </c>
      <c r="AI137">
        <f>'2025_Fantasy_Hitters_modified'!S229</f>
        <v>1.9910112359550409</v>
      </c>
      <c r="AJ137">
        <f>'2025_Fantasy_Hitters_modified'!T229</f>
        <v>0.99550561797749371</v>
      </c>
      <c r="AK137">
        <f>'2025_Fantasy_Hitters_modified'!U229</f>
        <v>0.99550561797754722</v>
      </c>
      <c r="AL137">
        <f>'2025_Fantasy_Hitters_modified'!V229</f>
        <v>0.25596170610439306</v>
      </c>
      <c r="AM137">
        <f>'2025_Fantasy_Hitters_modified'!W229</f>
        <v>0.34743471290062822</v>
      </c>
      <c r="AN137">
        <f>'2025_Fantasy_Hitters_modified'!X229</f>
        <v>0.3862831895312262</v>
      </c>
      <c r="AO137">
        <f>'2025_Fantasy_Hitters_modified'!Y229</f>
        <v>0.73371790243185442</v>
      </c>
      <c r="AP137">
        <f>'2025_Fantasy_Hitters_modified'!Z229</f>
        <v>0.31244909859999997</v>
      </c>
      <c r="AQ137">
        <f>'2025_Fantasy_Hitters_modified'!AA229</f>
        <v>21.508828250000001</v>
      </c>
      <c r="AR137">
        <f>'2025_Fantasy_Hitters_modified'!AB229</f>
        <v>11.225946557</v>
      </c>
    </row>
    <row r="138" spans="1:44" x14ac:dyDescent="0.4">
      <c r="A138" t="str">
        <f>'2025_Fantasy_Hitters_modified'!A16</f>
        <v>ATH</v>
      </c>
      <c r="B138" t="str">
        <f>'2025_Fantasy_Hitters_modified'!B16</f>
        <v>Shea Langeliers</v>
      </c>
      <c r="C138">
        <f>'2025_Fantasy_Hitters_modified'!D16</f>
        <v>454</v>
      </c>
      <c r="D138">
        <f>'2025_Fantasy_Hitters_modified'!E16</f>
        <v>500</v>
      </c>
      <c r="E138" s="5">
        <f>(V138-AVERAGE(V$2:V$229))/AVERAGE(V$2:V$229)*100+100</f>
        <v>88.762900349511582</v>
      </c>
      <c r="F138" s="4">
        <f>E138*1.51744-31.775</f>
        <v>102.91737550636284</v>
      </c>
      <c r="G138" s="5">
        <f>(Z138-AVERAGE(Z$2:Z$229))/AVERAGE(Z$2:Z$229)*100+100</f>
        <v>142.54797287548729</v>
      </c>
      <c r="H138" s="4">
        <f>G138*0.83285-13.6979</f>
        <v>105.02317920934958</v>
      </c>
      <c r="I138" s="5">
        <f>(AA138-AVERAGE(AA$2:AA$229))/AVERAGE(AA$2:AA$229)*100+100</f>
        <v>91.847191965440871</v>
      </c>
      <c r="J138" s="5">
        <f>(AB138-AVERAGE(AB$2:AB$229))/AVERAGE(AB$2:AB$229)*100+100</f>
        <v>109.14313068453825</v>
      </c>
      <c r="K138" s="5">
        <f>(AC138-AVERAGE(AC$2:AC$229))/AVERAGE(AC$2:AC$229)*100+100</f>
        <v>81.301772799379918</v>
      </c>
      <c r="L138" s="5">
        <f>(AF138-AVERAGE(AF$2:AF$229))/AVERAGE(AF$2:AF$229)*100+100</f>
        <v>85.050632095894429</v>
      </c>
      <c r="M138" s="5">
        <f>(AI138-AVERAGE(AI$2:AI$229))/AVERAGE(AI$2:AI$229)*100+100</f>
        <v>29.580371668025819</v>
      </c>
      <c r="N138" s="5">
        <f>(AVERAGE(AJ$2:AJ$229)-AJ138)/AVERAGE(AJ$2:AJ$229)*100+100</f>
        <v>159.56067768261846</v>
      </c>
      <c r="O138" s="5">
        <f>(AK138-AVERAGE(AK$2:AK$229))/AVERAGE(AK$2:AK$229)*100+100</f>
        <v>25.777089769099035</v>
      </c>
      <c r="P138" s="5">
        <f>(AL138-AVERAGE(AL$2:AL$229))/AVERAGE(AL$2:AL$229)*100+100</f>
        <v>92.059528289809009</v>
      </c>
      <c r="Q138" s="5">
        <f>(AM138-AVERAGE(AM$2:AM$229))/AVERAGE(AM$2:AM$229)*100+100</f>
        <v>90.862913131302747</v>
      </c>
      <c r="R138" s="5">
        <f>(AN138-AVERAGE(AN$2:AN$229))/AVERAGE(AN$2:AN$229)*100+100</f>
        <v>108.75718528313635</v>
      </c>
      <c r="S138" s="5">
        <f>(AO138-AVERAGE(AO$2:AO$229))/AVERAGE(AO$2:AO$229)*100+100</f>
        <v>100.9501687855532</v>
      </c>
      <c r="T138" s="6">
        <f>(F138*1.5+H138*2.5+I138+J138+K138*1.5+L138+O138*0.75+P138+S138)/11.25</f>
        <v>92.201790189337615</v>
      </c>
      <c r="V138">
        <f>'2025_Fantasy_Hitters_modified'!F16</f>
        <v>104.27055173577118</v>
      </c>
      <c r="W138">
        <f>'2025_Fantasy_Hitters_modified'!G16</f>
        <v>56.486160413507541</v>
      </c>
      <c r="X138">
        <f>'2025_Fantasy_Hitters_modified'!H16</f>
        <v>21.072840851938377</v>
      </c>
      <c r="Y138">
        <f>'2025_Fantasy_Hitters_modified'!I16</f>
        <v>2.0225756958694006</v>
      </c>
      <c r="Z138">
        <f>'2025_Fantasy_Hitters_modified'!J16</f>
        <v>26</v>
      </c>
      <c r="AA138">
        <f>'2025_Fantasy_Hitters_modified'!K16</f>
        <v>60.566007905137994</v>
      </c>
      <c r="AB138">
        <f>'2025_Fantasy_Hitters_modified'!L16</f>
        <v>70</v>
      </c>
      <c r="AC138" s="2">
        <f>'2025_Fantasy_Hitters_modified'!M16</f>
        <v>37.153754940500001</v>
      </c>
      <c r="AD138">
        <f>'2025_Fantasy_Hitters_modified'!N16</f>
        <v>1.09762845849802</v>
      </c>
      <c r="AE138">
        <f>'2025_Fantasy_Hitters_modified'!O16</f>
        <v>135.37549404999999</v>
      </c>
      <c r="AF138">
        <f>'2025_Fantasy_Hitters_modified'!P16</f>
        <v>4.9835589941972902</v>
      </c>
      <c r="AG138">
        <f>'2025_Fantasy_Hitters_modified'!Q16</f>
        <v>4</v>
      </c>
      <c r="AH138">
        <f>'2025_Fantasy_Hitters_modified'!R16</f>
        <v>0</v>
      </c>
      <c r="AI138">
        <f>'2025_Fantasy_Hitters_modified'!S16</f>
        <v>3.0952569169960449</v>
      </c>
      <c r="AJ138">
        <f>'2025_Fantasy_Hitters_modified'!T16</f>
        <v>1.09762845849802</v>
      </c>
      <c r="AK138">
        <f>'2025_Fantasy_Hitters_modified'!U16</f>
        <v>1.9976284584980248</v>
      </c>
      <c r="AL138">
        <f>'2025_Fantasy_Hitters_modified'!V16</f>
        <v>0.22967081880125811</v>
      </c>
      <c r="AM138">
        <f>'2025_Fantasy_Hitters_modified'!W16</f>
        <v>0.29723946182003591</v>
      </c>
      <c r="AN138">
        <f>'2025_Fantasy_Hitters_modified'!X16</f>
        <v>0.45969068106826538</v>
      </c>
      <c r="AO138">
        <f>'2025_Fantasy_Hitters_modified'!Y16</f>
        <v>0.75693014288830129</v>
      </c>
      <c r="AP138">
        <f>'2025_Fantasy_Hitters_modified'!Z16</f>
        <v>0.26387082039999998</v>
      </c>
      <c r="AQ138">
        <f>'2025_Fantasy_Hitters_modified'!AA16</f>
        <v>27.07509881</v>
      </c>
      <c r="AR138">
        <f>'2025_Fantasy_Hitters_modified'!AB16</f>
        <v>7.4307509880999998</v>
      </c>
    </row>
    <row r="139" spans="1:44" x14ac:dyDescent="0.4">
      <c r="A139" t="str">
        <f>'2025_Fantasy_Hitters_modified'!A130</f>
        <v>MIN</v>
      </c>
      <c r="B139" t="str">
        <f>'2025_Fantasy_Hitters_modified'!B130</f>
        <v>Byron Buxton</v>
      </c>
      <c r="C139">
        <f>'2025_Fantasy_Hitters_modified'!D130</f>
        <v>393</v>
      </c>
      <c r="D139">
        <f>'2025_Fantasy_Hitters_modified'!E130</f>
        <v>436</v>
      </c>
      <c r="E139" s="5">
        <f>(V139-AVERAGE(V$2:V$229))/AVERAGE(V$2:V$229)*100+100</f>
        <v>80.054841118189898</v>
      </c>
      <c r="F139" s="4">
        <f>E139*1.51744-31.775</f>
        <v>89.703418106386067</v>
      </c>
      <c r="G139" s="5">
        <f>(Z139-AVERAGE(Z$2:Z$229))/AVERAGE(Z$2:Z$229)*100+100</f>
        <v>118.42446977348145</v>
      </c>
      <c r="H139" s="4">
        <f>G139*0.83285-13.6979</f>
        <v>84.931919650844023</v>
      </c>
      <c r="I139" s="5">
        <f>(AA139-AVERAGE(AA$2:AA$229))/AVERAGE(AA$2:AA$229)*100+100</f>
        <v>90.909318174394031</v>
      </c>
      <c r="J139" s="5">
        <f>(AB139-AVERAGE(AB$2:AB$229))/AVERAGE(AB$2:AB$229)*100+100</f>
        <v>95.110442453668412</v>
      </c>
      <c r="K139" s="5">
        <f>(AC139-AVERAGE(AC$2:AC$229))/AVERAGE(AC$2:AC$229)*100+100</f>
        <v>69.929848588177791</v>
      </c>
      <c r="L139" s="5">
        <f>(AF139-AVERAGE(AF$2:AF$229))/AVERAGE(AF$2:AF$229)*100+100</f>
        <v>138.66662489012441</v>
      </c>
      <c r="M139" s="5">
        <f>(AI139-AVERAGE(AI$2:AI$229))/AVERAGE(AI$2:AI$229)*100+100</f>
        <v>75.331304034865411</v>
      </c>
      <c r="N139" s="5">
        <f>(AVERAGE(AJ$2:AJ$229)-AJ139)/AVERAGE(AJ$2:AJ$229)*100+100</f>
        <v>127.39657963322209</v>
      </c>
      <c r="O139" s="5">
        <f>(AK139-AVERAGE(AK$2:AK$229))/AVERAGE(AK$2:AK$229)*100+100</f>
        <v>76.28672881873544</v>
      </c>
      <c r="P139" s="5">
        <f>(AL139-AVERAGE(AL$2:AL$229))/AVERAGE(AL$2:AL$229)*100+100</f>
        <v>95.91536044612549</v>
      </c>
      <c r="Q139" s="5">
        <f>(AM139-AVERAGE(AM$2:AM$229))/AVERAGE(AM$2:AM$229)*100+100</f>
        <v>96.286255756783888</v>
      </c>
      <c r="R139" s="5">
        <f>(AN139-AVERAGE(AN$2:AN$229))/AVERAGE(AN$2:AN$229)*100+100</f>
        <v>112.68112738201093</v>
      </c>
      <c r="S139" s="5">
        <f>(AO139-AVERAGE(AO$2:AO$229))/AVERAGE(AO$2:AO$229)*100+100</f>
        <v>105.52827801390795</v>
      </c>
      <c r="T139" s="6">
        <f>(F139*1.5+H139*2.5+I139+J139+K139*1.5+L139+O139*0.75+P139+S139)/11.25</f>
        <v>92.011090645442465</v>
      </c>
      <c r="V139">
        <f>'2025_Fantasy_Hitters_modified'!F130</f>
        <v>94.041118751693574</v>
      </c>
      <c r="W139">
        <f>'2025_Fantasy_Hitters_modified'!G130</f>
        <v>47.833667269028332</v>
      </c>
      <c r="X139">
        <f>'2025_Fantasy_Hitters_modified'!H130</f>
        <v>23.494416892441151</v>
      </c>
      <c r="Y139">
        <f>'2025_Fantasy_Hitters_modified'!I130</f>
        <v>1.9846881849779074</v>
      </c>
      <c r="Z139">
        <f>'2025_Fantasy_Hitters_modified'!J130</f>
        <v>21.599999999999948</v>
      </c>
      <c r="AA139">
        <f>'2025_Fantasy_Hitters_modified'!K130</f>
        <v>59.947553816046863</v>
      </c>
      <c r="AB139">
        <f>'2025_Fantasy_Hitters_modified'!L130</f>
        <v>60.999999999999588</v>
      </c>
      <c r="AC139" s="2">
        <f>'2025_Fantasy_Hitters_modified'!M130</f>
        <v>31.956947161319999</v>
      </c>
      <c r="AD139">
        <f>'2025_Fantasy_Hitters_modified'!N130</f>
        <v>0.98532289628176994</v>
      </c>
      <c r="AE139">
        <f>'2025_Fantasy_Hitters_modified'!O130</f>
        <v>123.71819962960001</v>
      </c>
      <c r="AF139">
        <f>'2025_Fantasy_Hitters_modified'!P130</f>
        <v>8.1251989389920105</v>
      </c>
      <c r="AG139">
        <f>'2025_Fantasy_Hitters_modified'!Q130</f>
        <v>2.9999999999999876</v>
      </c>
      <c r="AH139">
        <f>'2025_Fantasy_Hitters_modified'!R130</f>
        <v>0</v>
      </c>
      <c r="AI139">
        <f>'2025_Fantasy_Hitters_modified'!S130</f>
        <v>7.8825831702543594</v>
      </c>
      <c r="AJ139">
        <f>'2025_Fantasy_Hitters_modified'!T130</f>
        <v>1.9706457925635745</v>
      </c>
      <c r="AK139">
        <f>'2025_Fantasy_Hitters_modified'!U130</f>
        <v>5.9119373776907853</v>
      </c>
      <c r="AL139">
        <f>'2025_Fantasy_Hitters_modified'!V130</f>
        <v>0.23929037850303708</v>
      </c>
      <c r="AM139">
        <f>'2025_Fantasy_Hitters_modified'!W130</f>
        <v>0.31498081951714368</v>
      </c>
      <c r="AN139">
        <f>'2025_Fantasy_Hitters_modified'!X130</f>
        <v>0.4762762483685602</v>
      </c>
      <c r="AO139">
        <f>'2025_Fantasy_Hitters_modified'!Y130</f>
        <v>0.79125706788570382</v>
      </c>
      <c r="AP139">
        <f>'2025_Fantasy_Hitters_modified'!Z130</f>
        <v>0.28897637819999999</v>
      </c>
      <c r="AQ139">
        <f>'2025_Fantasy_Hitters_modified'!AA130</f>
        <v>28.37573386</v>
      </c>
      <c r="AR139">
        <f>'2025_Fantasy_Hitters_modified'!AB130</f>
        <v>7.3295750369999997</v>
      </c>
    </row>
    <row r="140" spans="1:44" x14ac:dyDescent="0.4">
      <c r="A140" t="str">
        <f>'2025_Fantasy_Hitters_modified'!A105</f>
        <v>LAA</v>
      </c>
      <c r="B140" t="str">
        <f>'2025_Fantasy_Hitters_modified'!B105</f>
        <v>Nolan Schanuel</v>
      </c>
      <c r="C140">
        <f>'2025_Fantasy_Hitters_modified'!D105</f>
        <v>483</v>
      </c>
      <c r="D140">
        <f>'2025_Fantasy_Hitters_modified'!E105</f>
        <v>563</v>
      </c>
      <c r="E140" s="5">
        <f>(V140-AVERAGE(V$2:V$229))/AVERAGE(V$2:V$229)*100+100</f>
        <v>103.19750882091692</v>
      </c>
      <c r="F140" s="4">
        <f>E140*1.51744-31.775</f>
        <v>124.82102778521215</v>
      </c>
      <c r="G140" s="5">
        <f>(Z140-AVERAGE(Z$2:Z$229))/AVERAGE(Z$2:Z$229)*100+100</f>
        <v>49.343529072283879</v>
      </c>
      <c r="H140" s="4">
        <f>G140*0.83285-13.6979</f>
        <v>27.397858187851629</v>
      </c>
      <c r="I140" s="5">
        <f>(AA140-AVERAGE(AA$2:AA$229))/AVERAGE(AA$2:AA$229)*100+100</f>
        <v>98.747310504840001</v>
      </c>
      <c r="J140" s="5">
        <f>(AB140-AVERAGE(AB$2:AB$229))/AVERAGE(AB$2:AB$229)*100+100</f>
        <v>81.077754222799797</v>
      </c>
      <c r="K140" s="5">
        <f>(AC140-AVERAGE(AC$2:AC$229))/AVERAGE(AC$2:AC$229)*100+100</f>
        <v>138.55472528272958</v>
      </c>
      <c r="L140" s="5">
        <f>(AF140-AVERAGE(AF$2:AF$229))/AVERAGE(AF$2:AF$229)*100+100</f>
        <v>137.6337217054157</v>
      </c>
      <c r="M140" s="5">
        <f>(AI140-AVERAGE(AI$2:AI$229))/AVERAGE(AI$2:AI$229)*100+100</f>
        <v>75.618721656541567</v>
      </c>
      <c r="N140" s="5">
        <f>(AVERAGE(AJ$2:AJ$229)-AJ140)/AVERAGE(AJ$2:AJ$229)*100+100</f>
        <v>129.93272088317235</v>
      </c>
      <c r="O140" s="5">
        <f>(AK140-AVERAGE(AK$2:AK$229))/AVERAGE(AK$2:AK$229)*100+100</f>
        <v>77.56308088663711</v>
      </c>
      <c r="P140" s="5">
        <f>(AL140-AVERAGE(AL$2:AL$229))/AVERAGE(AL$2:AL$229)*100+100</f>
        <v>100.6039879371672</v>
      </c>
      <c r="Q140" s="5">
        <f>(AM140-AVERAGE(AM$2:AM$229))/AVERAGE(AM$2:AM$229)*100+100</f>
        <v>107.34170048411322</v>
      </c>
      <c r="R140" s="5">
        <f>(AN140-AVERAGE(AN$2:AN$229))/AVERAGE(AN$2:AN$229)*100+100</f>
        <v>83.428203503156254</v>
      </c>
      <c r="S140" s="5">
        <f>(AO140-AVERAGE(AO$2:AO$229))/AVERAGE(AO$2:AO$229)*100+100</f>
        <v>93.861322205114959</v>
      </c>
      <c r="T140" s="6">
        <f>(F140*1.5+H140*2.5+I140+J140+K140*1.5+L140+O140*0.75+P140+S140)/11.25</f>
        <v>91.88041620549842</v>
      </c>
      <c r="V140">
        <f>'2025_Fantasy_Hitters_modified'!F105</f>
        <v>121.22701196269924</v>
      </c>
      <c r="W140">
        <f>'2025_Fantasy_Hitters_modified'!G105</f>
        <v>90.739450355047225</v>
      </c>
      <c r="X140">
        <f>'2025_Fantasy_Hitters_modified'!H105</f>
        <v>19.688949467140215</v>
      </c>
      <c r="Y140">
        <f>'2025_Fantasy_Hitters_modified'!I105</f>
        <v>1.4011600154156529</v>
      </c>
      <c r="Z140">
        <f>'2025_Fantasy_Hitters_modified'!J105</f>
        <v>8.999999999999968</v>
      </c>
      <c r="AA140">
        <f>'2025_Fantasy_Hitters_modified'!K105</f>
        <v>65.116094032549313</v>
      </c>
      <c r="AB140">
        <f>'2025_Fantasy_Hitters_modified'!L105</f>
        <v>51.999999999999972</v>
      </c>
      <c r="AC140" s="2">
        <f>'2025_Fantasy_Hitters_modified'!M105</f>
        <v>63.317540709789995</v>
      </c>
      <c r="AD140">
        <f>'2025_Fantasy_Hitters_modified'!N105</f>
        <v>1.299999999999971</v>
      </c>
      <c r="AE140">
        <f>'2025_Fantasy_Hitters_modified'!O105</f>
        <v>93.663652808899997</v>
      </c>
      <c r="AF140">
        <f>'2025_Fantasy_Hitters_modified'!P105</f>
        <v>8.064675767918029</v>
      </c>
      <c r="AG140">
        <f>'2025_Fantasy_Hitters_modified'!Q105</f>
        <v>4.5999999999999481</v>
      </c>
      <c r="AH140">
        <f>'2025_Fantasy_Hitters_modified'!R105</f>
        <v>1.9529010238907503</v>
      </c>
      <c r="AI140">
        <f>'2025_Fantasy_Hitters_modified'!S105</f>
        <v>7.9126582278480839</v>
      </c>
      <c r="AJ140">
        <f>'2025_Fantasy_Hitters_modified'!T105</f>
        <v>1.9018083182639709</v>
      </c>
      <c r="AK140">
        <f>'2025_Fantasy_Hitters_modified'!U105</f>
        <v>6.0108499095841132</v>
      </c>
      <c r="AL140">
        <f>'2025_Fantasy_Hitters_modified'!V105</f>
        <v>0.25098760240724477</v>
      </c>
      <c r="AM140">
        <f>'2025_Fantasy_Hitters_modified'!W105</f>
        <v>0.35114644889977065</v>
      </c>
      <c r="AN140">
        <f>'2025_Fantasy_Hitters_modified'!X105</f>
        <v>0.35263111663680019</v>
      </c>
      <c r="AO140">
        <f>'2025_Fantasy_Hitters_modified'!Y105</f>
        <v>0.70377756553657078</v>
      </c>
      <c r="AP140">
        <f>'2025_Fantasy_Hitters_modified'!Z105</f>
        <v>0.29154693440000001</v>
      </c>
      <c r="AQ140">
        <f>'2025_Fantasy_Hitters_modified'!AA105</f>
        <v>16.636528030000001</v>
      </c>
      <c r="AR140">
        <f>'2025_Fantasy_Hitters_modified'!AB105</f>
        <v>11.246454833</v>
      </c>
    </row>
    <row r="141" spans="1:44" x14ac:dyDescent="0.4">
      <c r="A141" t="str">
        <f>'2025_Fantasy_Hitters_modified'!A10</f>
        <v>ARI</v>
      </c>
      <c r="B141" t="str">
        <f>'2025_Fantasy_Hitters_modified'!B10</f>
        <v>Lourdes Gurriel Jr.</v>
      </c>
      <c r="C141">
        <f>'2025_Fantasy_Hitters_modified'!D10</f>
        <v>518</v>
      </c>
      <c r="D141">
        <f>'2025_Fantasy_Hitters_modified'!E10</f>
        <v>560</v>
      </c>
      <c r="E141" s="5">
        <f>(V141-AVERAGE(V$2:V$229))/AVERAGE(V$2:V$229)*100+100</f>
        <v>119.37801896131421</v>
      </c>
      <c r="F141" s="4">
        <f>E141*1.51744-31.775</f>
        <v>149.37398109265661</v>
      </c>
      <c r="G141" s="5">
        <f>(Z141-AVERAGE(Z$2:Z$229))/AVERAGE(Z$2:Z$229)*100+100</f>
        <v>91.011398066656824</v>
      </c>
      <c r="H141" s="4">
        <f>G141*0.83285-13.6979</f>
        <v>62.100942879815136</v>
      </c>
      <c r="I141" s="5">
        <f>(AA141-AVERAGE(AA$2:AA$229))/AVERAGE(AA$2:AA$229)*100+100</f>
        <v>98.267959953418554</v>
      </c>
      <c r="J141" s="5">
        <f>(AB141-AVERAGE(AB$2:AB$229))/AVERAGE(AB$2:AB$229)*100+100</f>
        <v>113.82069342816057</v>
      </c>
      <c r="K141" s="5">
        <f>(AC141-AVERAGE(AC$2:AC$229))/AVERAGE(AC$2:AC$229)*100+100</f>
        <v>70.024059038353073</v>
      </c>
      <c r="L141" s="5">
        <f>(AF141-AVERAGE(AF$2:AF$229))/AVERAGE(AF$2:AF$229)*100+100</f>
        <v>85.917463318230773</v>
      </c>
      <c r="M141" s="5">
        <f>(AI141-AVERAGE(AI$2:AI$229))/AVERAGE(AI$2:AI$229)*100+100</f>
        <v>56.38439635916464</v>
      </c>
      <c r="N141" s="5">
        <f>(AVERAGE(AJ$2:AJ$229)-AJ141)/AVERAGE(AJ$2:AJ$229)*100+100</f>
        <v>129.99934375957886</v>
      </c>
      <c r="O141" s="5">
        <f>(AK141-AVERAGE(AK$2:AK$229))/AVERAGE(AK$2:AK$229)*100+100</f>
        <v>51.615383550312949</v>
      </c>
      <c r="P141" s="5">
        <f>(AL141-AVERAGE(AL$2:AL$229))/AVERAGE(AL$2:AL$229)*100+100</f>
        <v>108.51448697572718</v>
      </c>
      <c r="Q141" s="5">
        <f>(AM141-AVERAGE(AM$2:AM$229))/AVERAGE(AM$2:AM$229)*100+100</f>
        <v>97.933298859131156</v>
      </c>
      <c r="R141" s="5">
        <f>(AN141-AVERAGE(AN$2:AN$229))/AVERAGE(AN$2:AN$229)*100+100</f>
        <v>101.00306055949066</v>
      </c>
      <c r="S141" s="5">
        <f>(AO141-AVERAGE(AO$2:AO$229))/AVERAGE(AO$2:AO$229)*100+100</f>
        <v>99.663767179184035</v>
      </c>
      <c r="T141" s="6">
        <f>(F141*1.5+H141*2.5+I141+J141+K141*1.5+L141+O141*0.75+P141+S141)/11.25</f>
        <v>91.488473414534084</v>
      </c>
      <c r="V141">
        <f>'2025_Fantasy_Hitters_modified'!F10</f>
        <v>140.23439807854453</v>
      </c>
      <c r="W141">
        <f>'2025_Fantasy_Hitters_modified'!G10</f>
        <v>94.919312073205106</v>
      </c>
      <c r="X141">
        <f>'2025_Fantasy_Hitters_modified'!H10</f>
        <v>26.920393130005564</v>
      </c>
      <c r="Y141">
        <f>'2025_Fantasy_Hitters_modified'!I10</f>
        <v>1.9941031948152337</v>
      </c>
      <c r="Z141">
        <f>'2025_Fantasy_Hitters_modified'!J10</f>
        <v>16.59999999999992</v>
      </c>
      <c r="AA141">
        <f>'2025_Fantasy_Hitters_modified'!K10</f>
        <v>64.799999999999599</v>
      </c>
      <c r="AB141">
        <f>'2025_Fantasy_Hitters_modified'!L10</f>
        <v>72.999999999999517</v>
      </c>
      <c r="AC141" s="2">
        <f>'2025_Fantasy_Hitters_modified'!M10</f>
        <v>31.999999998399996</v>
      </c>
      <c r="AD141">
        <f>'2025_Fantasy_Hitters_modified'!N10</f>
        <v>0.59999999999997122</v>
      </c>
      <c r="AE141">
        <f>'2025_Fantasy_Hitters_modified'!O10</f>
        <v>101.999999976</v>
      </c>
      <c r="AF141">
        <f>'2025_Fantasy_Hitters_modified'!P10</f>
        <v>5.0343511450381522</v>
      </c>
      <c r="AG141">
        <f>'2025_Fantasy_Hitters_modified'!Q10</f>
        <v>4.5999999999999801</v>
      </c>
      <c r="AH141">
        <f>'2025_Fantasy_Hitters_modified'!R10</f>
        <v>0</v>
      </c>
      <c r="AI141">
        <f>'2025_Fantasy_Hitters_modified'!S10</f>
        <v>5.8999999999999524</v>
      </c>
      <c r="AJ141">
        <f>'2025_Fantasy_Hitters_modified'!T10</f>
        <v>1.8999999999999591</v>
      </c>
      <c r="AK141">
        <f>'2025_Fantasy_Hitters_modified'!U10</f>
        <v>3.9999999999999933</v>
      </c>
      <c r="AL141">
        <f>'2025_Fantasy_Hitters_modified'!V10</f>
        <v>0.2707227762134064</v>
      </c>
      <c r="AM141">
        <f>'2025_Fantasy_Hitters_modified'!W10</f>
        <v>0.32036878462264995</v>
      </c>
      <c r="AN141">
        <f>'2025_Fantasy_Hitters_modified'!X10</f>
        <v>0.42691584540089117</v>
      </c>
      <c r="AO141">
        <f>'2025_Fantasy_Hitters_modified'!Y10</f>
        <v>0.74728463002354117</v>
      </c>
      <c r="AP141">
        <f>'2025_Fantasy_Hitters_modified'!Z10</f>
        <v>0.30602573779999998</v>
      </c>
      <c r="AQ141">
        <f>'2025_Fantasy_Hitters_modified'!AA10</f>
        <v>18.214285709999999</v>
      </c>
      <c r="AR141">
        <f>'2025_Fantasy_Hitters_modified'!AB10</f>
        <v>5.7142857139999998</v>
      </c>
    </row>
    <row r="142" spans="1:44" x14ac:dyDescent="0.4">
      <c r="A142" t="str">
        <f>'2025_Fantasy_Hitters_modified'!A83</f>
        <v>DET</v>
      </c>
      <c r="B142" t="str">
        <f>'2025_Fantasy_Hitters_modified'!B83</f>
        <v>Kerry Carpenter</v>
      </c>
      <c r="C142">
        <f>'2025_Fantasy_Hitters_modified'!D83</f>
        <v>433</v>
      </c>
      <c r="D142">
        <f>'2025_Fantasy_Hitters_modified'!E83</f>
        <v>478</v>
      </c>
      <c r="E142" s="5">
        <f>(V142-AVERAGE(V$2:V$229))/AVERAGE(V$2:V$229)*100+100</f>
        <v>92.293784282837052</v>
      </c>
      <c r="F142" s="4">
        <f>E142*1.51744-31.775</f>
        <v>108.27528002214825</v>
      </c>
      <c r="G142" s="5">
        <f>(Z142-AVERAGE(Z$2:Z$229))/AVERAGE(Z$2:Z$229)*100+100</f>
        <v>116.23142403693565</v>
      </c>
      <c r="H142" s="4">
        <f>G142*0.83285-13.6979</f>
        <v>83.105441509161849</v>
      </c>
      <c r="I142" s="5">
        <f>(AA142-AVERAGE(AA$2:AA$229))/AVERAGE(AA$2:AA$229)*100+100</f>
        <v>88.295191232706841</v>
      </c>
      <c r="J142" s="5">
        <f>(AB142-AVERAGE(AB$2:AB$229))/AVERAGE(AB$2:AB$229)*100+100</f>
        <v>109.14313068453792</v>
      </c>
      <c r="K142" s="5">
        <f>(AC142-AVERAGE(AC$2:AC$229))/AVERAGE(AC$2:AC$229)*100+100</f>
        <v>80.234873636489965</v>
      </c>
      <c r="L142" s="5">
        <f>(AF142-AVERAGE(AF$2:AF$229))/AVERAGE(AF$2:AF$229)*100+100</f>
        <v>120.73577286561805</v>
      </c>
      <c r="M142" s="5">
        <f>(AI142-AVERAGE(AI$2:AI$229))/AVERAGE(AI$2:AI$229)*100+100</f>
        <v>28.560428302788637</v>
      </c>
      <c r="N142" s="5">
        <f>(AVERAGE(AJ$2:AJ$229)-AJ142)/AVERAGE(AJ$2:AJ$229)*100+100</f>
        <v>126.59679147594437</v>
      </c>
      <c r="O142" s="5">
        <f>(AK142-AVERAGE(AK$2:AK$229))/AVERAGE(AK$2:AK$229)*100+100</f>
        <v>12.854515289617623</v>
      </c>
      <c r="P142" s="5">
        <f>(AL142-AVERAGE(AL$2:AL$229))/AVERAGE(AL$2:AL$229)*100+100</f>
        <v>100.36393276633176</v>
      </c>
      <c r="Q142" s="5">
        <f>(AM142-AVERAGE(AM$2:AM$229))/AVERAGE(AM$2:AM$229)*100+100</f>
        <v>99.151142798176821</v>
      </c>
      <c r="R142" s="5">
        <f>(AN142-AVERAGE(AN$2:AN$229))/AVERAGE(AN$2:AN$229)*100+100</f>
        <v>109.92626557575774</v>
      </c>
      <c r="S142" s="5">
        <f>(AO142-AVERAGE(AO$2:AO$229))/AVERAGE(AO$2:AO$229)*100+100</f>
        <v>105.22523272154137</v>
      </c>
      <c r="T142" s="6">
        <f>(F142*1.5+H142*2.5+I142+J142+K142*1.5+L142+O142*0.75+P142+S142)/11.25</f>
        <v>91.016264977672094</v>
      </c>
      <c r="V142">
        <f>'2025_Fantasy_Hitters_modified'!F83</f>
        <v>108.41831182915621</v>
      </c>
      <c r="W142">
        <f>'2025_Fantasy_Hitters_modified'!G83</f>
        <v>63.374359552266334</v>
      </c>
      <c r="X142">
        <f>'2025_Fantasy_Hitters_modified'!H83</f>
        <v>22.05520529013139</v>
      </c>
      <c r="Y142">
        <f>'2025_Fantasy_Hitters_modified'!I83</f>
        <v>2.966977054862419</v>
      </c>
      <c r="Z142">
        <f>'2025_Fantasy_Hitters_modified'!J83</f>
        <v>21.199999999999978</v>
      </c>
      <c r="AA142">
        <f>'2025_Fantasy_Hitters_modified'!K83</f>
        <v>58.223742454728018</v>
      </c>
      <c r="AB142">
        <f>'2025_Fantasy_Hitters_modified'!L83</f>
        <v>69.999999999999787</v>
      </c>
      <c r="AC142" s="2">
        <f>'2025_Fantasy_Hitters_modified'!M83</f>
        <v>36.666197182786007</v>
      </c>
      <c r="AD142">
        <f>'2025_Fantasy_Hitters_modified'!N83</f>
        <v>1.9923541247484686</v>
      </c>
      <c r="AE142">
        <f>'2025_Fantasy_Hitters_modified'!O83</f>
        <v>119.2595573482</v>
      </c>
      <c r="AF142">
        <f>'2025_Fantasy_Hitters_modified'!P83</f>
        <v>7.074537037036988</v>
      </c>
      <c r="AG142">
        <f>'2025_Fantasy_Hitters_modified'!Q83</f>
        <v>3.5999999999999637</v>
      </c>
      <c r="AH142">
        <f>'2025_Fantasy_Hitters_modified'!R83</f>
        <v>0</v>
      </c>
      <c r="AI142">
        <f>'2025_Fantasy_Hitters_modified'!S83</f>
        <v>2.9885311871227076</v>
      </c>
      <c r="AJ142">
        <f>'2025_Fantasy_Hitters_modified'!T83</f>
        <v>1.9923541247484686</v>
      </c>
      <c r="AK142">
        <f>'2025_Fantasy_Hitters_modified'!U83</f>
        <v>0.99617706237423898</v>
      </c>
      <c r="AL142">
        <f>'2025_Fantasy_Hitters_modified'!V83</f>
        <v>0.25038871092183884</v>
      </c>
      <c r="AM142">
        <f>'2025_Fantasy_Hitters_modified'!W83</f>
        <v>0.3243527123281113</v>
      </c>
      <c r="AN142">
        <f>'2025_Fantasy_Hitters_modified'!X83</f>
        <v>0.46463210461227777</v>
      </c>
      <c r="AO142">
        <f>'2025_Fantasy_Hitters_modified'!Y83</f>
        <v>0.78898481694038902</v>
      </c>
      <c r="AP142">
        <f>'2025_Fantasy_Hitters_modified'!Z83</f>
        <v>0.29451672000000001</v>
      </c>
      <c r="AQ142">
        <f>'2025_Fantasy_Hitters_modified'!AA83</f>
        <v>24.949698189999999</v>
      </c>
      <c r="AR142">
        <f>'2025_Fantasy_Hitters_modified'!AB83</f>
        <v>7.6707525487000003</v>
      </c>
    </row>
    <row r="143" spans="1:44" x14ac:dyDescent="0.4">
      <c r="A143" t="str">
        <f>'2025_Fantasy_Hitters_modified'!A194</f>
        <v>STL</v>
      </c>
      <c r="B143" t="str">
        <f>'2025_Fantasy_Hitters_modified'!B194</f>
        <v>Masyn Winn</v>
      </c>
      <c r="C143">
        <f>'2025_Fantasy_Hitters_modified'!D194</f>
        <v>561</v>
      </c>
      <c r="D143">
        <f>'2025_Fantasy_Hitters_modified'!E194</f>
        <v>615</v>
      </c>
      <c r="E143" s="5">
        <f>(V143-AVERAGE(V$2:V$229))/AVERAGE(V$2:V$229)*100+100</f>
        <v>121.69137722846746</v>
      </c>
      <c r="F143" s="4">
        <f>E143*1.51744-31.775</f>
        <v>152.88436346156564</v>
      </c>
      <c r="G143" s="5">
        <f>(Z143-AVERAGE(Z$2:Z$229))/AVERAGE(Z$2:Z$229)*100+100</f>
        <v>69.08094070119742</v>
      </c>
      <c r="H143" s="4">
        <f>G143*0.83285-13.6979</f>
        <v>43.836161462992266</v>
      </c>
      <c r="I143" s="5">
        <f>(AA143-AVERAGE(AA$2:AA$229))/AVERAGE(AA$2:AA$229)*100+100</f>
        <v>116.51133876218503</v>
      </c>
      <c r="J143" s="5">
        <f>(AB143-AVERAGE(AB$2:AB$229))/AVERAGE(AB$2:AB$229)*100+100</f>
        <v>93.551254872461357</v>
      </c>
      <c r="K143" s="5">
        <f>(AC143-AVERAGE(AC$2:AC$229))/AVERAGE(AC$2:AC$229)*100+100</f>
        <v>84.349704772076791</v>
      </c>
      <c r="L143" s="5">
        <f>(AF143-AVERAGE(AF$2:AF$229))/AVERAGE(AF$2:AF$229)*100+100</f>
        <v>51.006435280950022</v>
      </c>
      <c r="M143" s="5">
        <f>(AI143-AVERAGE(AI$2:AI$229))/AVERAGE(AI$2:AI$229)*100+100</f>
        <v>132.78751684941577</v>
      </c>
      <c r="N143" s="5">
        <f>(AVERAGE(AJ$2:AJ$229)-AJ143)/AVERAGE(AJ$2:AJ$229)*100+100</f>
        <v>53.738241017241442</v>
      </c>
      <c r="O143" s="5">
        <f>(AK143-AVERAGE(AK$2:AK$229))/AVERAGE(AK$2:AK$229)*100+100</f>
        <v>128.06824489927212</v>
      </c>
      <c r="P143" s="5">
        <f>(AL143-AVERAGE(AL$2:AL$229))/AVERAGE(AL$2:AL$229)*100+100</f>
        <v>102.13863712332386</v>
      </c>
      <c r="Q143" s="5">
        <f>(AM143-AVERAGE(AM$2:AM$229))/AVERAGE(AM$2:AM$229)*100+100</f>
        <v>93.411252251511115</v>
      </c>
      <c r="R143" s="5">
        <f>(AN143-AVERAGE(AN$2:AN$229))/AVERAGE(AN$2:AN$229)*100+100</f>
        <v>89.847793625629407</v>
      </c>
      <c r="S143" s="5">
        <f>(AO143-AVERAGE(AO$2:AO$229))/AVERAGE(AO$2:AO$229)*100+100</f>
        <v>91.402479954565223</v>
      </c>
      <c r="T143" s="6">
        <f>(F143*1.5+H143*2.5+I143+J143+K143*1.5+L143+O143*0.75+P143+S143)/11.25</f>
        <v>90.320252060078559</v>
      </c>
      <c r="V143">
        <f>'2025_Fantasy_Hitters_modified'!F194</f>
        <v>142.95192017312201</v>
      </c>
      <c r="W143">
        <f>'2025_Fantasy_Hitters_modified'!G194</f>
        <v>98.566871217695819</v>
      </c>
      <c r="X143">
        <f>'2025_Fantasy_Hitters_modified'!H194</f>
        <v>26.070384034624411</v>
      </c>
      <c r="Y143">
        <f>'2025_Fantasy_Hitters_modified'!I194</f>
        <v>3.9802113029960839</v>
      </c>
      <c r="Z143">
        <f>'2025_Fantasy_Hitters_modified'!J194</f>
        <v>12.599999999999952</v>
      </c>
      <c r="AA143">
        <f>'2025_Fantasy_Hitters_modified'!K194</f>
        <v>76.830075187969712</v>
      </c>
      <c r="AB143">
        <f>'2025_Fantasy_Hitters_modified'!L194</f>
        <v>60</v>
      </c>
      <c r="AC143" s="2">
        <f>'2025_Fantasy_Hitters_modified'!M194</f>
        <v>38.546616543509941</v>
      </c>
      <c r="AD143">
        <f>'2025_Fantasy_Hitters_modified'!N194</f>
        <v>9.2481203007516291E-2</v>
      </c>
      <c r="AE143">
        <f>'2025_Fantasy_Hitters_modified'!O194</f>
        <v>107.278195473</v>
      </c>
      <c r="AF143">
        <f>'2025_Fantasy_Hitters_modified'!P194</f>
        <v>2.9887323943661896</v>
      </c>
      <c r="AG143">
        <f>'2025_Fantasy_Hitters_modified'!Q194</f>
        <v>4.3999999999999959</v>
      </c>
      <c r="AH143">
        <f>'2025_Fantasy_Hitters_modified'!R194</f>
        <v>2.9323943661971548</v>
      </c>
      <c r="AI143">
        <f>'2025_Fantasy_Hitters_modified'!S194</f>
        <v>13.894736842105191</v>
      </c>
      <c r="AJ143">
        <f>'2025_Fantasy_Hitters_modified'!T194</f>
        <v>3.9699248120300674</v>
      </c>
      <c r="AK143">
        <f>'2025_Fantasy_Hitters_modified'!U194</f>
        <v>9.9248120300751239</v>
      </c>
      <c r="AL143">
        <f>'2025_Fantasy_Hitters_modified'!V194</f>
        <v>0.25481625699308735</v>
      </c>
      <c r="AM143">
        <f>'2025_Fantasy_Hitters_modified'!W194</f>
        <v>0.30557583276085187</v>
      </c>
      <c r="AN143">
        <f>'2025_Fantasy_Hitters_modified'!X194</f>
        <v>0.37976519286262511</v>
      </c>
      <c r="AO143">
        <f>'2025_Fantasy_Hitters_modified'!Y194</f>
        <v>0.68534102562347698</v>
      </c>
      <c r="AP143">
        <f>'2025_Fantasy_Hitters_modified'!Z194</f>
        <v>0.29258258259999997</v>
      </c>
      <c r="AQ143">
        <f>'2025_Fantasy_Hitters_modified'!AA194</f>
        <v>17.44360902</v>
      </c>
      <c r="AR143">
        <f>'2025_Fantasy_Hitters_modified'!AB194</f>
        <v>6.2677425273999896</v>
      </c>
    </row>
    <row r="144" spans="1:44" x14ac:dyDescent="0.4">
      <c r="A144" t="str">
        <f>'2025_Fantasy_Hitters_modified'!A134</f>
        <v>MIN</v>
      </c>
      <c r="B144" t="str">
        <f>'2025_Fantasy_Hitters_modified'!B134</f>
        <v>Royce Lewis</v>
      </c>
      <c r="C144">
        <f>'2025_Fantasy_Hitters_modified'!D134</f>
        <v>454</v>
      </c>
      <c r="D144">
        <f>'2025_Fantasy_Hitters_modified'!E134</f>
        <v>501</v>
      </c>
      <c r="E144" s="5">
        <f>(V144-AVERAGE(V$2:V$229))/AVERAGE(V$2:V$229)*100+100</f>
        <v>95.877747211139038</v>
      </c>
      <c r="F144" s="4">
        <f>E144*1.51744-31.775</f>
        <v>113.71372872807081</v>
      </c>
      <c r="G144" s="5">
        <f>(Z144-AVERAGE(Z$2:Z$229))/AVERAGE(Z$2:Z$229)*100+100</f>
        <v>119.52099264175442</v>
      </c>
      <c r="H144" s="4">
        <f>G144*0.83285-13.6979</f>
        <v>85.845158721685166</v>
      </c>
      <c r="I144" s="5">
        <f>(AA144-AVERAGE(AA$2:AA$229))/AVERAGE(AA$2:AA$229)*100+100</f>
        <v>96.564957227637848</v>
      </c>
      <c r="J144" s="5">
        <f>(AB144-AVERAGE(AB$2:AB$229))/AVERAGE(AB$2:AB$229)*100+100</f>
        <v>110.70231826574556</v>
      </c>
      <c r="K144" s="5">
        <f>(AC144-AVERAGE(AC$2:AC$229))/AVERAGE(AC$2:AC$229)*100+100</f>
        <v>83.815001633511642</v>
      </c>
      <c r="L144" s="5">
        <f>(AF144-AVERAGE(AF$2:AF$229))/AVERAGE(AF$2:AF$229)*100+100</f>
        <v>65.891700136406712</v>
      </c>
      <c r="M144" s="5">
        <f>(AI144-AVERAGE(AI$2:AI$229))/AVERAGE(AI$2:AI$229)*100+100</f>
        <v>48.843944841103159</v>
      </c>
      <c r="N144" s="5">
        <f>(AVERAGE(AJ$2:AJ$229)-AJ144)/AVERAGE(AJ$2:AJ$229)*100+100</f>
        <v>127.25220632413942</v>
      </c>
      <c r="O144" s="5">
        <f>(AK144-AVERAGE(AK$2:AK$229))/AVERAGE(AK$2:AK$229)*100+100</f>
        <v>40.471766117433447</v>
      </c>
      <c r="P144" s="5">
        <f>(AL144-AVERAGE(AL$2:AL$229))/AVERAGE(AL$2:AL$229)*100+100</f>
        <v>99.438618465508242</v>
      </c>
      <c r="Q144" s="5">
        <f>(AM144-AVERAGE(AM$2:AM$229))/AVERAGE(AM$2:AM$229)*100+100</f>
        <v>95.795820890156335</v>
      </c>
      <c r="R144" s="5">
        <f>(AN144-AVERAGE(AN$2:AN$229))/AVERAGE(AN$2:AN$229)*100+100</f>
        <v>105.10502217440029</v>
      </c>
      <c r="S144" s="5">
        <f>(AO144-AVERAGE(AO$2:AO$229))/AVERAGE(AO$2:AO$229)*100+100</f>
        <v>101.04355002349374</v>
      </c>
      <c r="T144" s="6">
        <f>(F144*1.5+H144*2.5+I144+J144+K144*1.5+L144+O144*0.75+P144+S144)/11.25</f>
        <v>90.213418760307007</v>
      </c>
      <c r="V144">
        <f>'2025_Fantasy_Hitters_modified'!F134</f>
        <v>112.62842428000127</v>
      </c>
      <c r="W144">
        <f>'2025_Fantasy_Hitters_modified'!G134</f>
        <v>66.596778724124292</v>
      </c>
      <c r="X144">
        <f>'2025_Fantasy_Hitters_modified'!H134</f>
        <v>22.462943639140086</v>
      </c>
      <c r="Y144">
        <f>'2025_Fantasy_Hitters_modified'!I134</f>
        <v>0.989528620892833</v>
      </c>
      <c r="Z144">
        <f>'2025_Fantasy_Hitters_modified'!J134</f>
        <v>21.799999999999947</v>
      </c>
      <c r="AA144">
        <f>'2025_Fantasy_Hitters_modified'!K134</f>
        <v>63.677003484320437</v>
      </c>
      <c r="AB144">
        <f>'2025_Fantasy_Hitters_modified'!L134</f>
        <v>70.999999999999758</v>
      </c>
      <c r="AC144" s="2">
        <f>'2025_Fantasy_Hitters_modified'!M134</f>
        <v>38.302264806861004</v>
      </c>
      <c r="AD144">
        <f>'2025_Fantasy_Hitters_modified'!N134</f>
        <v>1.0745644599302928</v>
      </c>
      <c r="AE144">
        <f>'2025_Fantasy_Hitters_modified'!O134</f>
        <v>119.57665505819999</v>
      </c>
      <c r="AF144">
        <f>'2025_Fantasy_Hitters_modified'!P134</f>
        <v>3.8609374999999782</v>
      </c>
      <c r="AG144">
        <f>'2025_Fantasy_Hitters_modified'!Q134</f>
        <v>3.9999999999999778</v>
      </c>
      <c r="AH144">
        <f>'2025_Fantasy_Hitters_modified'!R134</f>
        <v>0</v>
      </c>
      <c r="AI144">
        <f>'2025_Fantasy_Hitters_modified'!S134</f>
        <v>5.1109756097560153</v>
      </c>
      <c r="AJ144">
        <f>'2025_Fantasy_Hitters_modified'!T134</f>
        <v>1.9745644599302767</v>
      </c>
      <c r="AK144">
        <f>'2025_Fantasy_Hitters_modified'!U134</f>
        <v>3.1364111498257383</v>
      </c>
      <c r="AL144">
        <f>'2025_Fantasy_Hitters_modified'!V134</f>
        <v>0.24808022969163276</v>
      </c>
      <c r="AM144">
        <f>'2025_Fantasy_Hitters_modified'!W134</f>
        <v>0.31337646202088448</v>
      </c>
      <c r="AN144">
        <f>'2025_Fantasy_Hitters_modified'!X134</f>
        <v>0.44425385873366241</v>
      </c>
      <c r="AO144">
        <f>'2025_Fantasy_Hitters_modified'!Y134</f>
        <v>0.75763032075454695</v>
      </c>
      <c r="AP144">
        <f>'2025_Fantasy_Hitters_modified'!Z134</f>
        <v>0.28686584780000002</v>
      </c>
      <c r="AQ144">
        <f>'2025_Fantasy_Hitters_modified'!AA134</f>
        <v>23.867595819999998</v>
      </c>
      <c r="AR144">
        <f>'2025_Fantasy_Hitters_modified'!AB134</f>
        <v>7.6451626361000002</v>
      </c>
    </row>
    <row r="145" spans="1:44" x14ac:dyDescent="0.4">
      <c r="A145" t="str">
        <f>'2025_Fantasy_Hitters_modified'!A118</f>
        <v>MIA</v>
      </c>
      <c r="B145" t="str">
        <f>'2025_Fantasy_Hitters_modified'!B118</f>
        <v>Connor Norby</v>
      </c>
      <c r="C145">
        <f>'2025_Fantasy_Hitters_modified'!D118</f>
        <v>496</v>
      </c>
      <c r="D145">
        <f>'2025_Fantasy_Hitters_modified'!E118</f>
        <v>547</v>
      </c>
      <c r="E145" s="5">
        <f>(V145-AVERAGE(V$2:V$229))/AVERAGE(V$2:V$229)*100+100</f>
        <v>104.73506036419872</v>
      </c>
      <c r="F145" s="4">
        <f>E145*1.51744-31.775</f>
        <v>127.15416999904969</v>
      </c>
      <c r="G145" s="5">
        <f>(Z145-AVERAGE(Z$2:Z$229))/AVERAGE(Z$2:Z$229)*100+100</f>
        <v>91.01139806665698</v>
      </c>
      <c r="H145" s="4">
        <f>G145*0.83285-13.6979</f>
        <v>62.100942879815264</v>
      </c>
      <c r="I145" s="5">
        <f>(AA145-AVERAGE(AA$2:AA$229))/AVERAGE(AA$2:AA$229)*100+100</f>
        <v>103.63135043588541</v>
      </c>
      <c r="J145" s="5">
        <f>(AB145-AVERAGE(AB$2:AB$229))/AVERAGE(AB$2:AB$229)*100+100</f>
        <v>93.551254872461286</v>
      </c>
      <c r="K145" s="5">
        <f>(AC145-AVERAGE(AC$2:AC$229))/AVERAGE(AC$2:AC$229)*100+100</f>
        <v>88.344713821863905</v>
      </c>
      <c r="L145" s="5">
        <f>(AF145-AVERAGE(AF$2:AF$229))/AVERAGE(AF$2:AF$229)*100+100</f>
        <v>84.424922687687996</v>
      </c>
      <c r="M145" s="5">
        <f>(AI145-AVERAGE(AI$2:AI$229))/AVERAGE(AI$2:AI$229)*100+100</f>
        <v>85.410365878890346</v>
      </c>
      <c r="N145" s="5">
        <f>(AVERAGE(AJ$2:AJ$229)-AJ145)/AVERAGE(AJ$2:AJ$229)*100+100</f>
        <v>86.815981531777695</v>
      </c>
      <c r="O145" s="5">
        <f>(AK145-AVERAGE(AK$2:AK$229))/AVERAGE(AK$2:AK$229)*100+100</f>
        <v>75.682811755936967</v>
      </c>
      <c r="P145" s="5">
        <f>(AL145-AVERAGE(AL$2:AL$229))/AVERAGE(AL$2:AL$229)*100+100</f>
        <v>99.426814286346115</v>
      </c>
      <c r="Q145" s="5">
        <f>(AM145-AVERAGE(AM$2:AM$229))/AVERAGE(AM$2:AM$229)*100+100</f>
        <v>95.343002868223948</v>
      </c>
      <c r="R145" s="5">
        <f>(AN145-AVERAGE(AN$2:AN$229))/AVERAGE(AN$2:AN$229)*100+100</f>
        <v>96.436895260435278</v>
      </c>
      <c r="S145" s="5">
        <f>(AO145-AVERAGE(AO$2:AO$229))/AVERAGE(AO$2:AO$229)*100+100</f>
        <v>95.95964556398981</v>
      </c>
      <c r="T145" s="6">
        <f>(F145*1.5+H145*2.5+I145+J145+K145*1.5+L145+O145*0.75+P145+S145)/11.25</f>
        <v>89.978380408376168</v>
      </c>
      <c r="V145">
        <f>'2025_Fantasy_Hitters_modified'!F118</f>
        <v>123.03318714522369</v>
      </c>
      <c r="W145">
        <f>'2025_Fantasy_Hitters_modified'!G118</f>
        <v>77.388761629517532</v>
      </c>
      <c r="X145">
        <f>'2025_Fantasy_Hitters_modified'!H118</f>
        <v>26.106253450715201</v>
      </c>
      <c r="Y145">
        <f>'2025_Fantasy_Hitters_modified'!I118</f>
        <v>2.0587151210315766</v>
      </c>
      <c r="Z145">
        <f>'2025_Fantasy_Hitters_modified'!J118</f>
        <v>16.599999999999948</v>
      </c>
      <c r="AA145">
        <f>'2025_Fantasy_Hitters_modified'!K118</f>
        <v>68.336734693877403</v>
      </c>
      <c r="AB145">
        <f>'2025_Fantasy_Hitters_modified'!L118</f>
        <v>59.99999999999995</v>
      </c>
      <c r="AC145" s="2">
        <f>'2025_Fantasy_Hitters_modified'!M118</f>
        <v>40.372278913593</v>
      </c>
      <c r="AD145">
        <f>'2025_Fantasy_Hitters_modified'!N118</f>
        <v>0</v>
      </c>
      <c r="AE145">
        <f>'2025_Fantasy_Hitters_modified'!O118</f>
        <v>150.7040816427</v>
      </c>
      <c r="AF145">
        <f>'2025_Fantasy_Hitters_modified'!P118</f>
        <v>4.9468954248365691</v>
      </c>
      <c r="AG145">
        <f>'2025_Fantasy_Hitters_modified'!Q118</f>
        <v>3.3999999999999804</v>
      </c>
      <c r="AH145">
        <f>'2025_Fantasy_Hitters_modified'!R118</f>
        <v>0.3999999999999887</v>
      </c>
      <c r="AI145">
        <f>'2025_Fantasy_Hitters_modified'!S118</f>
        <v>8.9372448979591201</v>
      </c>
      <c r="AJ145">
        <f>'2025_Fantasy_Hitters_modified'!T118</f>
        <v>3.0721088435373782</v>
      </c>
      <c r="AK145">
        <f>'2025_Fantasy_Hitters_modified'!U118</f>
        <v>5.8651360544217415</v>
      </c>
      <c r="AL145">
        <f>'2025_Fantasy_Hitters_modified'!V118</f>
        <v>0.24805078053472518</v>
      </c>
      <c r="AM145">
        <f>'2025_Fantasy_Hitters_modified'!W118</f>
        <v>0.31189516034891301</v>
      </c>
      <c r="AN145">
        <f>'2025_Fantasy_Hitters_modified'!X118</f>
        <v>0.40761575381863396</v>
      </c>
      <c r="AO145">
        <f>'2025_Fantasy_Hitters_modified'!Y118</f>
        <v>0.71951091416754698</v>
      </c>
      <c r="AP145">
        <f>'2025_Fantasy_Hitters_modified'!Z118</f>
        <v>0.3204892962</v>
      </c>
      <c r="AQ145">
        <f>'2025_Fantasy_Hitters_modified'!AA118</f>
        <v>27.55102041</v>
      </c>
      <c r="AR145">
        <f>'2025_Fantasy_Hitters_modified'!AB118</f>
        <v>7.3806725619</v>
      </c>
    </row>
    <row r="146" spans="1:44" x14ac:dyDescent="0.4">
      <c r="A146" t="str">
        <f>'2025_Fantasy_Hitters_modified'!A102</f>
        <v>LAA</v>
      </c>
      <c r="B146" t="str">
        <f>'2025_Fantasy_Hitters_modified'!B102</f>
        <v>Logan O'Hoppe</v>
      </c>
      <c r="C146">
        <f>'2025_Fantasy_Hitters_modified'!D102</f>
        <v>447</v>
      </c>
      <c r="D146">
        <f>'2025_Fantasy_Hitters_modified'!E102</f>
        <v>497</v>
      </c>
      <c r="E146" s="5">
        <f>(V146-AVERAGE(V$2:V$229))/AVERAGE(V$2:V$229)*100+100</f>
        <v>92.604352517068108</v>
      </c>
      <c r="F146" s="4">
        <f>E146*1.51744-31.775</f>
        <v>108.74654868349981</v>
      </c>
      <c r="G146" s="5">
        <f>(Z146-AVERAGE(Z$2:Z$229))/AVERAGE(Z$2:Z$229)*100+100</f>
        <v>120.61751551002767</v>
      </c>
      <c r="H146" s="4">
        <f>G146*0.83285-13.6979</f>
        <v>86.758397792526537</v>
      </c>
      <c r="I146" s="5">
        <f>(AA146-AVERAGE(AA$2:AA$229))/AVERAGE(AA$2:AA$229)*100+100</f>
        <v>89.251791910554459</v>
      </c>
      <c r="J146" s="5">
        <f>(AB146-AVERAGE(AB$2:AB$229))/AVERAGE(AB$2:AB$229)*100+100</f>
        <v>98.228817616083887</v>
      </c>
      <c r="K146" s="5">
        <f>(AC146-AVERAGE(AC$2:AC$229))/AVERAGE(AC$2:AC$229)*100+100</f>
        <v>83.548118556109443</v>
      </c>
      <c r="L146" s="5">
        <f>(AF146-AVERAGE(AF$2:AF$229))/AVERAGE(AF$2:AF$229)*100+100</f>
        <v>107.83272766010226</v>
      </c>
      <c r="M146" s="5">
        <f>(AI146-AVERAGE(AI$2:AI$229))/AVERAGE(AI$2:AI$229)*100+100</f>
        <v>28.88722925951042</v>
      </c>
      <c r="N146" s="5">
        <f>(AVERAGE(AJ$2:AJ$229)-AJ146)/AVERAGE(AJ$2:AJ$229)*100+100</f>
        <v>125.75687974500784</v>
      </c>
      <c r="O146" s="5">
        <f>(AK146-AVERAGE(AK$2:AK$229))/AVERAGE(AK$2:AK$229)*100+100</f>
        <v>13.001602295817762</v>
      </c>
      <c r="P146" s="5">
        <f>(AL146-AVERAGE(AL$2:AL$229))/AVERAGE(AL$2:AL$229)*100+100</f>
        <v>97.547690133095855</v>
      </c>
      <c r="Q146" s="5">
        <f>(AM146-AVERAGE(AM$2:AM$229))/AVERAGE(AM$2:AM$229)*100+100</f>
        <v>96.232711414839969</v>
      </c>
      <c r="R146" s="5">
        <f>(AN146-AVERAGE(AN$2:AN$229))/AVERAGE(AN$2:AN$229)*100+100</f>
        <v>105.7829517682235</v>
      </c>
      <c r="S146" s="5">
        <f>(AO146-AVERAGE(AO$2:AO$229))/AVERAGE(AO$2:AO$229)*100+100</f>
        <v>101.61631769883444</v>
      </c>
      <c r="T146" s="6">
        <f>(F146*1.5+H146*2.5+I146+J146+K146*1.5+L146+O146*0.75+P146+S146)/11.25</f>
        <v>89.739248185001287</v>
      </c>
      <c r="V146">
        <f>'2025_Fantasy_Hitters_modified'!F102</f>
        <v>108.78313903745344</v>
      </c>
      <c r="W146">
        <f>'2025_Fantasy_Hitters_modified'!G102</f>
        <v>64.944687529872922</v>
      </c>
      <c r="X146">
        <f>'2025_Fantasy_Hitters_modified'!H102</f>
        <v>21.94516159567781</v>
      </c>
      <c r="Y146">
        <f>'2025_Fantasy_Hitters_modified'!I102</f>
        <v>1.0091062678773579</v>
      </c>
      <c r="Z146">
        <f>'2025_Fantasy_Hitters_modified'!J102</f>
        <v>21.999999999999996</v>
      </c>
      <c r="AA146">
        <f>'2025_Fantasy_Hitters_modified'!K102</f>
        <v>58.854545454545139</v>
      </c>
      <c r="AB146">
        <f>'2025_Fantasy_Hitters_modified'!L102</f>
        <v>62.999999999999652</v>
      </c>
      <c r="AC146" s="2">
        <f>'2025_Fantasy_Hitters_modified'!M102</f>
        <v>38.180303032669002</v>
      </c>
      <c r="AD146">
        <f>'2025_Fantasy_Hitters_modified'!N102</f>
        <v>0.39999999999999086</v>
      </c>
      <c r="AE146">
        <f>'2025_Fantasy_Hitters_modified'!O102</f>
        <v>129.09090907089998</v>
      </c>
      <c r="AF146">
        <f>'2025_Fantasy_Hitters_modified'!P102</f>
        <v>6.3184804928130633</v>
      </c>
      <c r="AG146">
        <f>'2025_Fantasy_Hitters_modified'!Q102</f>
        <v>2.5999999999999654</v>
      </c>
      <c r="AH146">
        <f>'2025_Fantasy_Hitters_modified'!R102</f>
        <v>1.0123203285420628</v>
      </c>
      <c r="AI146">
        <f>'2025_Fantasy_Hitters_modified'!S102</f>
        <v>3.0227272727272512</v>
      </c>
      <c r="AJ146">
        <f>'2025_Fantasy_Hitters_modified'!T102</f>
        <v>2.0151515151514729</v>
      </c>
      <c r="AK146">
        <f>'2025_Fantasy_Hitters_modified'!U102</f>
        <v>1.0075757575757782</v>
      </c>
      <c r="AL146">
        <f>'2025_Fantasy_Hitters_modified'!V102</f>
        <v>0.24336272715313967</v>
      </c>
      <c r="AM146">
        <f>'2025_Fantasy_Hitters_modified'!W102</f>
        <v>0.31480566013875222</v>
      </c>
      <c r="AN146">
        <f>'2025_Fantasy_Hitters_modified'!X102</f>
        <v>0.4471193054247441</v>
      </c>
      <c r="AO146">
        <f>'2025_Fantasy_Hitters_modified'!Y102</f>
        <v>0.76192496556349631</v>
      </c>
      <c r="AP146">
        <f>'2025_Fantasy_Hitters_modified'!Z102</f>
        <v>0.29072193000000002</v>
      </c>
      <c r="AQ146">
        <f>'2025_Fantasy_Hitters_modified'!AA102</f>
        <v>25.97402597</v>
      </c>
      <c r="AR146">
        <f>'2025_Fantasy_Hitters_modified'!AB102</f>
        <v>7.6821535276999997</v>
      </c>
    </row>
    <row r="147" spans="1:44" x14ac:dyDescent="0.4">
      <c r="A147" t="str">
        <f>'2025_Fantasy_Hitters_modified'!A131</f>
        <v>MIN</v>
      </c>
      <c r="B147" t="str">
        <f>'2025_Fantasy_Hitters_modified'!B131</f>
        <v>Carlos Correa</v>
      </c>
      <c r="C147">
        <f>'2025_Fantasy_Hitters_modified'!D131</f>
        <v>453</v>
      </c>
      <c r="D147">
        <f>'2025_Fantasy_Hitters_modified'!E131</f>
        <v>516</v>
      </c>
      <c r="E147" s="5">
        <f>(V147-AVERAGE(V$2:V$229))/AVERAGE(V$2:V$229)*100+100</f>
        <v>103.70634035544234</v>
      </c>
      <c r="F147" s="4">
        <f>E147*1.51744-31.775</f>
        <v>125.59314910896239</v>
      </c>
      <c r="G147" s="5">
        <f>(Z147-AVERAGE(Z$2:Z$229))/AVERAGE(Z$2:Z$229)*100+100</f>
        <v>98.687058144567956</v>
      </c>
      <c r="H147" s="4">
        <f>G147*0.83285-13.6979</f>
        <v>68.493616375703411</v>
      </c>
      <c r="I147" s="5">
        <f>(AA147-AVERAGE(AA$2:AA$229))/AVERAGE(AA$2:AA$229)*100+100</f>
        <v>100.25671628580911</v>
      </c>
      <c r="J147" s="5">
        <f>(AB147-AVERAGE(AB$2:AB$229))/AVERAGE(AB$2:AB$229)*100+100</f>
        <v>99.788005197291326</v>
      </c>
      <c r="K147" s="5">
        <f>(AC147-AVERAGE(AC$2:AC$229))/AVERAGE(AC$2:AC$229)*100+100</f>
        <v>110.56923965573456</v>
      </c>
      <c r="L147" s="5">
        <f>(AF147-AVERAGE(AF$2:AF$229))/AVERAGE(AF$2:AF$229)*100+100</f>
        <v>68.55458362891406</v>
      </c>
      <c r="M147" s="5">
        <f>(AI147-AVERAGE(AI$2:AI$229))/AVERAGE(AI$2:AI$229)*100+100</f>
        <v>0.88057955573026447</v>
      </c>
      <c r="N147" s="5">
        <f>(AVERAGE(AJ$2:AJ$229)-AJ147)/AVERAGE(AJ$2:AJ$229)*100+100</f>
        <v>200</v>
      </c>
      <c r="O147" s="5">
        <f>(AK147-AVERAGE(AK$2:AK$229))/AVERAGE(AK$2:AK$229)*100+100</f>
        <v>1.1889972282125143</v>
      </c>
      <c r="P147" s="5">
        <f>(AL147-AVERAGE(AL$2:AL$229))/AVERAGE(AL$2:AL$229)*100+100</f>
        <v>107.79539804778008</v>
      </c>
      <c r="Q147" s="5">
        <f>(AM147-AVERAGE(AM$2:AM$229))/AVERAGE(AM$2:AM$229)*100+100</f>
        <v>107.2727602760018</v>
      </c>
      <c r="R147" s="5">
        <f>(AN147-AVERAGE(AN$2:AN$229))/AVERAGE(AN$2:AN$229)*100+100</f>
        <v>105.50345559916009</v>
      </c>
      <c r="S147" s="5">
        <f>(AO147-AVERAGE(AO$2:AO$229))/AVERAGE(AO$2:AO$229)*100+100</f>
        <v>106.27537807156631</v>
      </c>
      <c r="T147" s="6">
        <f>(F147*1.5+H147*2.5+I147+J147+K147*1.5+L147+O147*0.75+P147+S147)/11.25</f>
        <v>89.692395843451052</v>
      </c>
      <c r="V147">
        <f>'2025_Fantasy_Hitters_modified'!F131</f>
        <v>121.82474079576588</v>
      </c>
      <c r="W147">
        <f>'2025_Fantasy_Hitters_modified'!G131</f>
        <v>78.826162429406651</v>
      </c>
      <c r="X147">
        <f>'2025_Fantasy_Hitters_modified'!H131</f>
        <v>23.184165420413702</v>
      </c>
      <c r="Y147">
        <f>'2025_Fantasy_Hitters_modified'!I131</f>
        <v>1.6051314527093787</v>
      </c>
      <c r="Z147">
        <f>'2025_Fantasy_Hitters_modified'!J131</f>
        <v>17.999999999999972</v>
      </c>
      <c r="AA147">
        <f>'2025_Fantasy_Hitters_modified'!K131</f>
        <v>66.111428571428121</v>
      </c>
      <c r="AB147">
        <f>'2025_Fantasy_Hitters_modified'!L131</f>
        <v>63.999999999999488</v>
      </c>
      <c r="AC147" s="2">
        <f>'2025_Fantasy_Hitters_modified'!M131</f>
        <v>50.528571428123996</v>
      </c>
      <c r="AD147">
        <f>'2025_Fantasy_Hitters_modified'!N131</f>
        <v>2.6685714285713895</v>
      </c>
      <c r="AE147">
        <f>'2025_Fantasy_Hitters_modified'!O131</f>
        <v>100.43571426359999</v>
      </c>
      <c r="AF147">
        <f>'2025_Fantasy_Hitters_modified'!P131</f>
        <v>4.0169696969696815</v>
      </c>
      <c r="AG147">
        <f>'2025_Fantasy_Hitters_modified'!Q131</f>
        <v>3.9999999999999876</v>
      </c>
      <c r="AH147">
        <f>'2025_Fantasy_Hitters_modified'!R131</f>
        <v>0</v>
      </c>
      <c r="AI147">
        <f>'2025_Fantasy_Hitters_modified'!S131</f>
        <v>9.2142857142852724E-2</v>
      </c>
      <c r="AJ147">
        <f>'2025_Fantasy_Hitters_modified'!T131</f>
        <v>0</v>
      </c>
      <c r="AK147">
        <f>'2025_Fantasy_Hitters_modified'!U131</f>
        <v>9.2142857142852724E-2</v>
      </c>
      <c r="AL147">
        <f>'2025_Fantasy_Hitters_modified'!V131</f>
        <v>0.26892878762862227</v>
      </c>
      <c r="AM147">
        <f>'2025_Fantasy_Hitters_modified'!W131</f>
        <v>0.35092092508977363</v>
      </c>
      <c r="AN147">
        <f>'2025_Fantasy_Hitters_modified'!X131</f>
        <v>0.44593794178446378</v>
      </c>
      <c r="AO147">
        <f>'2025_Fantasy_Hitters_modified'!Y131</f>
        <v>0.79685886687423735</v>
      </c>
      <c r="AP147">
        <f>'2025_Fantasy_Hitters_modified'!Z131</f>
        <v>0.30666182219999999</v>
      </c>
      <c r="AQ147">
        <f>'2025_Fantasy_Hitters_modified'!AA131</f>
        <v>19.464285709999999</v>
      </c>
      <c r="AR147">
        <f>'2025_Fantasy_Hitters_modified'!AB131</f>
        <v>9.7923588038999991</v>
      </c>
    </row>
    <row r="148" spans="1:44" x14ac:dyDescent="0.4">
      <c r="A148" t="str">
        <f>'2025_Fantasy_Hitters_modified'!A155</f>
        <v>PHI</v>
      </c>
      <c r="B148" t="str">
        <f>'2025_Fantasy_Hitters_modified'!B155</f>
        <v>Brandon Marsh</v>
      </c>
      <c r="C148">
        <f>'2025_Fantasy_Hitters_modified'!D155</f>
        <v>433</v>
      </c>
      <c r="D148">
        <f>'2025_Fantasy_Hitters_modified'!E155</f>
        <v>491</v>
      </c>
      <c r="E148" s="5">
        <f>(V148-AVERAGE(V$2:V$229))/AVERAGE(V$2:V$229)*100+100</f>
        <v>88.757122444813149</v>
      </c>
      <c r="F148" s="4">
        <f>E148*1.51744-31.775</f>
        <v>102.90860788265724</v>
      </c>
      <c r="G148" s="5">
        <f>(Z148-AVERAGE(Z$2:Z$229))/AVERAGE(Z$2:Z$229)*100+100</f>
        <v>74.563555042562456</v>
      </c>
      <c r="H148" s="4">
        <f>G148*0.83285-13.6979</f>
        <v>48.40235681719814</v>
      </c>
      <c r="I148" s="5">
        <f>(AA148-AVERAGE(AA$2:AA$229))/AVERAGE(AA$2:AA$229)*100+100</f>
        <v>89.220280619884463</v>
      </c>
      <c r="J148" s="5">
        <f>(AB148-AVERAGE(AB$2:AB$229))/AVERAGE(AB$2:AB$229)*100+100</f>
        <v>85.755316966422612</v>
      </c>
      <c r="K148" s="5">
        <f>(AC148-AVERAGE(AC$2:AC$229))/AVERAGE(AC$2:AC$229)*100+100</f>
        <v>113.37377462749571</v>
      </c>
      <c r="L148" s="5">
        <f>(AF148-AVERAGE(AF$2:AF$229))/AVERAGE(AF$2:AF$229)*100+100</f>
        <v>66.719690818245638</v>
      </c>
      <c r="M148" s="5">
        <f>(AI148-AVERAGE(AI$2:AI$229))/AVERAGE(AI$2:AI$229)*100+100</f>
        <v>151.54514403982756</v>
      </c>
      <c r="N148" s="5">
        <f>(AVERAGE(AJ$2:AJ$229)-AJ148)/AVERAGE(AJ$2:AJ$229)*100+100</f>
        <v>87.100787118146982</v>
      </c>
      <c r="O148" s="5">
        <f>(AK148-AVERAGE(AK$2:AK$229))/AVERAGE(AK$2:AK$229)*100+100</f>
        <v>165.08064808496454</v>
      </c>
      <c r="P148" s="5">
        <f>(AL148-AVERAGE(AL$2:AL$229))/AVERAGE(AL$2:AL$229)*100+100</f>
        <v>96.518025984127249</v>
      </c>
      <c r="Q148" s="5">
        <f>(AM148-AVERAGE(AM$2:AM$229))/AVERAGE(AM$2:AM$229)*100+100</f>
        <v>100.75638658996641</v>
      </c>
      <c r="R148" s="5">
        <f>(AN148-AVERAGE(AN$2:AN$229))/AVERAGE(AN$2:AN$229)*100+100</f>
        <v>94.533994390411848</v>
      </c>
      <c r="S148" s="5">
        <f>(AO148-AVERAGE(AO$2:AO$229))/AVERAGE(AO$2:AO$229)*100+100</f>
        <v>97.248735629628797</v>
      </c>
      <c r="T148" s="6">
        <f>(F148*1.5+H148*2.5+I148+J148+K148*1.5+L148+O148*0.75+P148+S148)/11.25</f>
        <v>89.306844612467287</v>
      </c>
      <c r="V148">
        <f>'2025_Fantasy_Hitters_modified'!F155</f>
        <v>104.26376438082434</v>
      </c>
      <c r="W148">
        <f>'2025_Fantasy_Hitters_modified'!G155</f>
        <v>67.145220713888435</v>
      </c>
      <c r="X148">
        <f>'2025_Fantasy_Hitters_modified'!H155</f>
        <v>20.373879636140259</v>
      </c>
      <c r="Y148">
        <f>'2025_Fantasy_Hitters_modified'!I155</f>
        <v>3.5739918712440848</v>
      </c>
      <c r="Z148">
        <f>'2025_Fantasy_Hitters_modified'!J155</f>
        <v>13.59999999999998</v>
      </c>
      <c r="AA148">
        <f>'2025_Fantasy_Hitters_modified'!K155</f>
        <v>58.833766233765708</v>
      </c>
      <c r="AB148">
        <f>'2025_Fantasy_Hitters_modified'!L155</f>
        <v>54.999999999999801</v>
      </c>
      <c r="AC148" s="2">
        <f>'2025_Fantasy_Hitters_modified'!M155</f>
        <v>51.810204060170001</v>
      </c>
      <c r="AD148">
        <f>'2025_Fantasy_Hitters_modified'!N155</f>
        <v>1.3910946196660394</v>
      </c>
      <c r="AE148">
        <f>'2025_Fantasy_Hitters_modified'!O155</f>
        <v>151.2170686215</v>
      </c>
      <c r="AF148">
        <f>'2025_Fantasy_Hitters_modified'!P155</f>
        <v>3.9094537815125885</v>
      </c>
      <c r="AG148">
        <f>'2025_Fantasy_Hitters_modified'!Q155</f>
        <v>3.3999999999999879</v>
      </c>
      <c r="AH148">
        <f>'2025_Fantasy_Hitters_modified'!R155</f>
        <v>1.0189075630251927</v>
      </c>
      <c r="AI148">
        <f>'2025_Fantasy_Hitters_modified'!S155</f>
        <v>15.857513914656762</v>
      </c>
      <c r="AJ148">
        <f>'2025_Fantasy_Hitters_modified'!T155</f>
        <v>3.0643784786641817</v>
      </c>
      <c r="AK148">
        <f>'2025_Fantasy_Hitters_modified'!U155</f>
        <v>12.79313543599258</v>
      </c>
      <c r="AL148">
        <f>'2025_Fantasy_Hitters_modified'!V155</f>
        <v>0.2407939131196867</v>
      </c>
      <c r="AM148">
        <f>'2025_Fantasy_Hitters_modified'!W155</f>
        <v>0.32960393952651723</v>
      </c>
      <c r="AN148">
        <f>'2025_Fantasy_Hitters_modified'!X155</f>
        <v>0.39957264572725432</v>
      </c>
      <c r="AO148">
        <f>'2025_Fantasy_Hitters_modified'!Y155</f>
        <v>0.72917658525377149</v>
      </c>
      <c r="AP148">
        <f>'2025_Fantasy_Hitters_modified'!Z155</f>
        <v>0.3338345452</v>
      </c>
      <c r="AQ148">
        <f>'2025_Fantasy_Hitters_modified'!AA155</f>
        <v>30.79777365</v>
      </c>
      <c r="AR148">
        <f>'2025_Fantasy_Hitters_modified'!AB155</f>
        <v>10.551976387</v>
      </c>
    </row>
    <row r="149" spans="1:44" x14ac:dyDescent="0.4">
      <c r="A149" t="str">
        <f>'2025_Fantasy_Hitters_modified'!A226</f>
        <v>WSN</v>
      </c>
      <c r="B149" t="str">
        <f>'2025_Fantasy_Hitters_modified'!B226</f>
        <v>Josh Bell</v>
      </c>
      <c r="C149">
        <f>'2025_Fantasy_Hitters_modified'!D226</f>
        <v>492</v>
      </c>
      <c r="D149">
        <f>'2025_Fantasy_Hitters_modified'!E226</f>
        <v>555</v>
      </c>
      <c r="E149" s="5">
        <f>(V149-AVERAGE(V$2:V$229))/AVERAGE(V$2:V$229)*100+100</f>
        <v>102.5357684459802</v>
      </c>
      <c r="F149" s="4">
        <f>E149*1.51744-31.775</f>
        <v>123.81687647066818</v>
      </c>
      <c r="G149" s="5">
        <f>(Z149-AVERAGE(Z$2:Z$229))/AVERAGE(Z$2:Z$229)*100+100</f>
        <v>99.783581012840813</v>
      </c>
      <c r="H149" s="4">
        <f>G149*0.83285-13.6979</f>
        <v>69.406855446544469</v>
      </c>
      <c r="I149" s="5">
        <f>(AA149-AVERAGE(AA$2:AA$229))/AVERAGE(AA$2:AA$229)*100+100</f>
        <v>90.202683071923175</v>
      </c>
      <c r="J149" s="5">
        <f>(AB149-AVERAGE(AB$2:AB$229))/AVERAGE(AB$2:AB$229)*100+100</f>
        <v>104.46556794091457</v>
      </c>
      <c r="K149" s="5">
        <f>(AC149-AVERAGE(AC$2:AC$229))/AVERAGE(AC$2:AC$229)*100+100</f>
        <v>114.53408081836186</v>
      </c>
      <c r="L149" s="5">
        <f>(AF149-AVERAGE(AF$2:AF$229))/AVERAGE(AF$2:AF$229)*100+100</f>
        <v>68.062089231412912</v>
      </c>
      <c r="M149" s="5">
        <f>(AI149-AVERAGE(AI$2:AI$229))/AVERAGE(AI$2:AI$229)*100+100</f>
        <v>9.5139108066573925</v>
      </c>
      <c r="N149" s="5">
        <f>(AVERAGE(AJ$2:AJ$229)-AJ149)/AVERAGE(AJ$2:AJ$229)*100+100</f>
        <v>196.48062648668969</v>
      </c>
      <c r="O149" s="5">
        <f>(AK149-AVERAGE(AK$2:AK$229))/AVERAGE(AK$2:AK$229)*100+100</f>
        <v>11.613461298820425</v>
      </c>
      <c r="P149" s="5">
        <f>(AL149-AVERAGE(AL$2:AL$229))/AVERAGE(AL$2:AL$229)*100+100</f>
        <v>98.130362107722334</v>
      </c>
      <c r="Q149" s="5">
        <f>(AM149-AVERAGE(AM$2:AM$229))/AVERAGE(AM$2:AM$229)*100+100</f>
        <v>99.041692134260373</v>
      </c>
      <c r="R149" s="5">
        <f>(AN149-AVERAGE(AN$2:AN$229))/AVERAGE(AN$2:AN$229)*100+100</f>
        <v>95.937960273043359</v>
      </c>
      <c r="S149" s="5">
        <f>(AO149-AVERAGE(AO$2:AO$229))/AVERAGE(AO$2:AO$229)*100+100</f>
        <v>97.292074351503473</v>
      </c>
      <c r="T149" s="6">
        <f>(F149*1.5+H149*2.5+I149+J149+K149*1.5+L149+O149*0.75+P149+S149)/11.25</f>
        <v>88.70279530911094</v>
      </c>
      <c r="V149">
        <f>'2025_Fantasy_Hitters_modified'!F226</f>
        <v>120.44965978370558</v>
      </c>
      <c r="W149">
        <f>'2025_Fantasy_Hitters_modified'!G226</f>
        <v>79.594343008100211</v>
      </c>
      <c r="X149">
        <f>'2025_Fantasy_Hitters_modified'!H226</f>
        <v>22.053848188642299</v>
      </c>
      <c r="Y149">
        <f>'2025_Fantasy_Hitters_modified'!I226</f>
        <v>1.0024476449382853</v>
      </c>
      <c r="Z149">
        <f>'2025_Fantasy_Hitters_modified'!J226</f>
        <v>18.19999999999995</v>
      </c>
      <c r="AA149">
        <f>'2025_Fantasy_Hitters_modified'!K226</f>
        <v>59.481583476764186</v>
      </c>
      <c r="AB149">
        <f>'2025_Fantasy_Hitters_modified'!L226</f>
        <v>66.999999999999602</v>
      </c>
      <c r="AC149" s="2">
        <f>'2025_Fantasy_Hitters_modified'!M226</f>
        <v>52.340447502434948</v>
      </c>
      <c r="AD149">
        <f>'2025_Fantasy_Hitters_modified'!N226</f>
        <v>1.5910499139414742</v>
      </c>
      <c r="AE149">
        <f>'2025_Fantasy_Hitters_modified'!O226</f>
        <v>108.8984509305</v>
      </c>
      <c r="AF149">
        <f>'2025_Fantasy_Hitters_modified'!P226</f>
        <v>3.9881118881118796</v>
      </c>
      <c r="AG149">
        <f>'2025_Fantasy_Hitters_modified'!Q226</f>
        <v>4.5999999999999952</v>
      </c>
      <c r="AH149">
        <f>'2025_Fantasy_Hitters_modified'!R226</f>
        <v>0</v>
      </c>
      <c r="AI149">
        <f>'2025_Fantasy_Hitters_modified'!S226</f>
        <v>0.99552495697073418</v>
      </c>
      <c r="AJ149">
        <f>'2025_Fantasy_Hitters_modified'!T226</f>
        <v>9.5524956970735056E-2</v>
      </c>
      <c r="AK149">
        <f>'2025_Fantasy_Hitters_modified'!U226</f>
        <v>0.89999999999999913</v>
      </c>
      <c r="AL149">
        <f>'2025_Fantasy_Hitters_modified'!V226</f>
        <v>0.24481638167419834</v>
      </c>
      <c r="AM149">
        <f>'2025_Fantasy_Hitters_modified'!W226</f>
        <v>0.32399466683609235</v>
      </c>
      <c r="AN149">
        <f>'2025_Fantasy_Hitters_modified'!X226</f>
        <v>0.40550687463455171</v>
      </c>
      <c r="AO149">
        <f>'2025_Fantasy_Hitters_modified'!Y226</f>
        <v>0.72950154147064405</v>
      </c>
      <c r="AP149">
        <f>'2025_Fantasy_Hitters_modified'!Z226</f>
        <v>0.27672322360000001</v>
      </c>
      <c r="AQ149">
        <f>'2025_Fantasy_Hitters_modified'!AA226</f>
        <v>19.621342510000002</v>
      </c>
      <c r="AR149">
        <f>'2025_Fantasy_Hitters_modified'!AB226</f>
        <v>9.4307112616999902</v>
      </c>
    </row>
    <row r="150" spans="1:44" x14ac:dyDescent="0.4">
      <c r="A150" t="str">
        <f>'2025_Fantasy_Hitters_modified'!A193</f>
        <v>STL</v>
      </c>
      <c r="B150" t="str">
        <f>'2025_Fantasy_Hitters_modified'!B193</f>
        <v>Lars Nootbaar</v>
      </c>
      <c r="C150">
        <f>'2025_Fantasy_Hitters_modified'!D193</f>
        <v>426</v>
      </c>
      <c r="D150">
        <f>'2025_Fantasy_Hitters_modified'!E193</f>
        <v>497</v>
      </c>
      <c r="E150" s="5">
        <f>(V150-AVERAGE(V$2:V$229))/AVERAGE(V$2:V$229)*100+100</f>
        <v>88.198351991762451</v>
      </c>
      <c r="F150" s="4">
        <f>E150*1.51744-31.775</f>
        <v>102.06070724637999</v>
      </c>
      <c r="G150" s="5">
        <f>(Z150-AVERAGE(Z$2:Z$229))/AVERAGE(Z$2:Z$229)*100+100</f>
        <v>91.011398066656938</v>
      </c>
      <c r="H150" s="4">
        <f>G150*0.83285-13.6979</f>
        <v>62.100942879815221</v>
      </c>
      <c r="I150" s="5">
        <f>(AA150-AVERAGE(AA$2:AA$229))/AVERAGE(AA$2:AA$229)*100+100</f>
        <v>94.803998402104057</v>
      </c>
      <c r="J150" s="5">
        <f>(AB150-AVERAGE(AB$2:AB$229))/AVERAGE(AB$2:AB$229)*100+100</f>
        <v>85.755316966422498</v>
      </c>
      <c r="K150" s="5">
        <f>(AC150-AVERAGE(AC$2:AC$229))/AVERAGE(AC$2:AC$229)*100+100</f>
        <v>134.44504164146539</v>
      </c>
      <c r="L150" s="5">
        <f>(AF150-AVERAGE(AF$2:AF$229))/AVERAGE(AF$2:AF$229)*100+100</f>
        <v>32.504906611497546</v>
      </c>
      <c r="M150" s="5">
        <f>(AI150-AVERAGE(AI$2:AI$229))/AVERAGE(AI$2:AI$229)*100+100</f>
        <v>85.444240245433676</v>
      </c>
      <c r="N150" s="5">
        <f>(AVERAGE(AJ$2:AJ$229)-AJ150)/AVERAGE(AJ$2:AJ$229)*100+100</f>
        <v>126.79986778183101</v>
      </c>
      <c r="O150" s="5">
        <f>(AK150-AVERAGE(AK$2:AK$229))/AVERAGE(AK$2:AK$229)*100+100</f>
        <v>89.73266515243553</v>
      </c>
      <c r="P150" s="5">
        <f>(AL150-AVERAGE(AL$2:AL$229))/AVERAGE(AL$2:AL$229)*100+100</f>
        <v>97.486389198919383</v>
      </c>
      <c r="Q150" s="5">
        <f>(AM150-AVERAGE(AM$2:AM$229))/AVERAGE(AM$2:AM$229)*100+100</f>
        <v>104.78870400466259</v>
      </c>
      <c r="R150" s="5">
        <f>(AN150-AVERAGE(AN$2:AN$229))/AVERAGE(AN$2:AN$229)*100+100</f>
        <v>98.918728747475456</v>
      </c>
      <c r="S150" s="5">
        <f>(AO150-AVERAGE(AO$2:AO$229))/AVERAGE(AO$2:AO$229)*100+100</f>
        <v>101.47971548582501</v>
      </c>
      <c r="T150" s="6">
        <f>(F150*1.5+H150*2.5+I150+J150+K150*1.5+L150+O150*0.75+P150+S150)/11.25</f>
        <v>87.941404983146782</v>
      </c>
      <c r="V150">
        <f>'2025_Fantasy_Hitters_modified'!F193</f>
        <v>103.6073718654398</v>
      </c>
      <c r="W150">
        <f>'2025_Fantasy_Hitters_modified'!G193</f>
        <v>65.150065418030806</v>
      </c>
      <c r="X150">
        <f>'2025_Fantasy_Hitters_modified'!H193</f>
        <v>20.301720101935938</v>
      </c>
      <c r="Y150">
        <f>'2025_Fantasy_Hitters_modified'!I193</f>
        <v>1.9865319490698556</v>
      </c>
      <c r="Z150">
        <f>'2025_Fantasy_Hitters_modified'!J193</f>
        <v>16.599999999999941</v>
      </c>
      <c r="AA150">
        <f>'2025_Fantasy_Hitters_modified'!K193</f>
        <v>62.515789473683803</v>
      </c>
      <c r="AB150">
        <f>'2025_Fantasy_Hitters_modified'!L193</f>
        <v>54.999999999999737</v>
      </c>
      <c r="AC150" s="2">
        <f>'2025_Fantasy_Hitters_modified'!M193</f>
        <v>61.439473680830005</v>
      </c>
      <c r="AD150">
        <f>'2025_Fantasy_Hitters_modified'!N193</f>
        <v>1.9868421052631169</v>
      </c>
      <c r="AE150">
        <f>'2025_Fantasy_Hitters_modified'!O193</f>
        <v>100.8947368436</v>
      </c>
      <c r="AF150">
        <f>'2025_Fantasy_Hitters_modified'!P193</f>
        <v>1.9046315789473256</v>
      </c>
      <c r="AG150">
        <f>'2025_Fantasy_Hitters_modified'!Q193</f>
        <v>3.3999999999999719</v>
      </c>
      <c r="AH150">
        <f>'2025_Fantasy_Hitters_modified'!R193</f>
        <v>1.0277894736841904</v>
      </c>
      <c r="AI150">
        <f>'2025_Fantasy_Hitters_modified'!S193</f>
        <v>8.9407894736841591</v>
      </c>
      <c r="AJ150">
        <f>'2025_Fantasy_Hitters_modified'!T193</f>
        <v>1.9868421052631169</v>
      </c>
      <c r="AK150">
        <f>'2025_Fantasy_Hitters_modified'!U193</f>
        <v>6.9539473684210424</v>
      </c>
      <c r="AL150">
        <f>'2025_Fantasy_Hitters_modified'!V193</f>
        <v>0.24320979311136104</v>
      </c>
      <c r="AM150">
        <f>'2025_Fantasy_Hitters_modified'!W193</f>
        <v>0.34279484235944585</v>
      </c>
      <c r="AN150">
        <f>'2025_Fantasy_Hitters_modified'!X193</f>
        <v>0.41810587199322069</v>
      </c>
      <c r="AO150">
        <f>'2025_Fantasy_Hitters_modified'!Y193</f>
        <v>0.76090071435266649</v>
      </c>
      <c r="AP150">
        <f>'2025_Fantasy_Hitters_modified'!Z193</f>
        <v>0.27895448439999998</v>
      </c>
      <c r="AQ150">
        <f>'2025_Fantasy_Hitters_modified'!AA193</f>
        <v>20.30075188</v>
      </c>
      <c r="AR150">
        <f>'2025_Fantasy_Hitters_modified'!AB193</f>
        <v>12.362067139000001</v>
      </c>
    </row>
    <row r="151" spans="1:44" x14ac:dyDescent="0.4">
      <c r="A151" t="str">
        <f>'2025_Fantasy_Hitters_modified'!A92</f>
        <v>HOU</v>
      </c>
      <c r="B151" t="str">
        <f>'2025_Fantasy_Hitters_modified'!B92</f>
        <v>Yainer Diaz</v>
      </c>
      <c r="C151">
        <f>'2025_Fantasy_Hitters_modified'!D92</f>
        <v>509</v>
      </c>
      <c r="D151">
        <f>'2025_Fantasy_Hitters_modified'!E92</f>
        <v>541</v>
      </c>
      <c r="E151" s="5">
        <f>(V151-AVERAGE(V$2:V$229))/AVERAGE(V$2:V$229)*100+100</f>
        <v>119.8076434288466</v>
      </c>
      <c r="F151" s="4">
        <f>E151*1.51744-31.775</f>
        <v>150.02591044466897</v>
      </c>
      <c r="G151" s="5">
        <f>(Z151-AVERAGE(Z$2:Z$229))/AVERAGE(Z$2:Z$229)*100+100</f>
        <v>103.07314961765982</v>
      </c>
      <c r="H151" s="4">
        <f>G151*0.83285-13.6979</f>
        <v>72.146572659067971</v>
      </c>
      <c r="I151" s="5">
        <f>(AA151-AVERAGE(AA$2:AA$229))/AVERAGE(AA$2:AA$229)*100+100</f>
        <v>95.822601594084233</v>
      </c>
      <c r="J151" s="5">
        <f>(AB151-AVERAGE(AB$2:AB$229))/AVERAGE(AB$2:AB$229)*100+100</f>
        <v>115.37988100936843</v>
      </c>
      <c r="K151" s="5">
        <f>(AC151-AVERAGE(AC$2:AC$229))/AVERAGE(AC$2:AC$229)*100+100</f>
        <v>54.382815421904269</v>
      </c>
      <c r="L151" s="5">
        <f>(AF151-AVERAGE(AF$2:AF$229))/AVERAGE(AF$2:AF$229)*100+100</f>
        <v>66.45632382275852</v>
      </c>
      <c r="M151" s="5">
        <f>(AI151-AVERAGE(AI$2:AI$229))/AVERAGE(AI$2:AI$229)*100+100</f>
        <v>9.5001683003384585</v>
      </c>
      <c r="N151" s="5">
        <f>(AVERAGE(AJ$2:AJ$229)-AJ151)/AVERAGE(AJ$2:AJ$229)*100+100</f>
        <v>200</v>
      </c>
      <c r="O151" s="5">
        <f>(AK151-AVERAGE(AK$2:AK$229))/AVERAGE(AK$2:AK$229)*100+100</f>
        <v>12.827544885808024</v>
      </c>
      <c r="P151" s="5">
        <f>(AL151-AVERAGE(AL$2:AL$229))/AVERAGE(AL$2:AL$229)*100+100</f>
        <v>110.83064409213665</v>
      </c>
      <c r="Q151" s="5">
        <f>(AM151-AVERAGE(AM$2:AM$229))/AVERAGE(AM$2:AM$229)*100+100</f>
        <v>96.64176767936506</v>
      </c>
      <c r="R151" s="5">
        <f>(AN151-AVERAGE(AN$2:AN$229))/AVERAGE(AN$2:AN$229)*100+100</f>
        <v>104.87886980202268</v>
      </c>
      <c r="S151" s="5">
        <f>(AO151-AVERAGE(AO$2:AO$229))/AVERAGE(AO$2:AO$229)*100+100</f>
        <v>101.28513927092217</v>
      </c>
      <c r="T151" s="6">
        <f>(F151*1.5+H151*2.5+I151+J151+K151*1.5+L151+O151*0.75+P151+S151)/11.25</f>
        <v>87.677757235658277</v>
      </c>
      <c r="V151">
        <f>'2025_Fantasy_Hitters_modified'!F92</f>
        <v>140.73908168050431</v>
      </c>
      <c r="W151">
        <f>'2025_Fantasy_Hitters_modified'!G92</f>
        <v>94.089580098775301</v>
      </c>
      <c r="X151">
        <f>'2025_Fantasy_Hitters_modified'!H92</f>
        <v>25.775740843033415</v>
      </c>
      <c r="Y151">
        <f>'2025_Fantasy_Hitters_modified'!I92</f>
        <v>1.5992010712197224</v>
      </c>
      <c r="Z151">
        <f>'2025_Fantasy_Hitters_modified'!J92</f>
        <v>18.799999999999962</v>
      </c>
      <c r="AA151">
        <f>'2025_Fantasy_Hitters_modified'!K92</f>
        <v>63.187478260869405</v>
      </c>
      <c r="AB151">
        <f>'2025_Fantasy_Hitters_modified'!L92</f>
        <v>73.999999999999631</v>
      </c>
      <c r="AC151" s="2">
        <f>'2025_Fantasy_Hitters_modified'!M92</f>
        <v>24.852173914407999</v>
      </c>
      <c r="AD151">
        <f>'2025_Fantasy_Hitters_modified'!N92</f>
        <v>0.9940869565217223</v>
      </c>
      <c r="AE151">
        <f>'2025_Fantasy_Hitters_modified'!O92</f>
        <v>96.909565226799998</v>
      </c>
      <c r="AF151">
        <f>'2025_Fantasy_Hitters_modified'!P92</f>
        <v>3.894021739130415</v>
      </c>
      <c r="AG151">
        <f>'2025_Fantasy_Hitters_modified'!Q92</f>
        <v>4.3999999999999684</v>
      </c>
      <c r="AH151">
        <f>'2025_Fantasy_Hitters_modified'!R92</f>
        <v>0</v>
      </c>
      <c r="AI151">
        <f>'2025_Fantasy_Hitters_modified'!S92</f>
        <v>0.9940869565217223</v>
      </c>
      <c r="AJ151">
        <f>'2025_Fantasy_Hitters_modified'!T92</f>
        <v>0</v>
      </c>
      <c r="AK151">
        <f>'2025_Fantasy_Hitters_modified'!U92</f>
        <v>0.9940869565217223</v>
      </c>
      <c r="AL151">
        <f>'2025_Fantasy_Hitters_modified'!V92</f>
        <v>0.2765011427907747</v>
      </c>
      <c r="AM151">
        <f>'2025_Fantasy_Hitters_modified'!W92</f>
        <v>0.31614380415957893</v>
      </c>
      <c r="AN151">
        <f>'2025_Fantasy_Hitters_modified'!X92</f>
        <v>0.44329796659823406</v>
      </c>
      <c r="AO151">
        <f>'2025_Fantasy_Hitters_modified'!Y92</f>
        <v>0.75944177075781294</v>
      </c>
      <c r="AP151">
        <f>'2025_Fantasy_Hitters_modified'!Z92</f>
        <v>0.30661809039999999</v>
      </c>
      <c r="AQ151">
        <f>'2025_Fantasy_Hitters_modified'!AA92</f>
        <v>17.913043479999999</v>
      </c>
      <c r="AR151">
        <f>'2025_Fantasy_Hitters_modified'!AB92</f>
        <v>4.5937474888000001</v>
      </c>
    </row>
    <row r="152" spans="1:44" x14ac:dyDescent="0.4">
      <c r="A152" t="str">
        <f>'2025_Fantasy_Hitters_modified'!A150</f>
        <v>NYY</v>
      </c>
      <c r="B152" t="str">
        <f>'2025_Fantasy_Hitters_modified'!B150</f>
        <v>Giancarlo Stanton</v>
      </c>
      <c r="C152">
        <f>'2025_Fantasy_Hitters_modified'!D150</f>
        <v>409</v>
      </c>
      <c r="D152">
        <f>'2025_Fantasy_Hitters_modified'!E150</f>
        <v>457</v>
      </c>
      <c r="E152" s="5">
        <f>(V152-AVERAGE(V$2:V$229))/AVERAGE(V$2:V$229)*100+100</f>
        <v>78.788200430770658</v>
      </c>
      <c r="F152" s="4">
        <f>E152*1.51744-31.775</f>
        <v>87.78136686166863</v>
      </c>
      <c r="G152" s="5">
        <f>(Z152-AVERAGE(Z$2:Z$229))/AVERAGE(Z$2:Z$229)*100+100</f>
        <v>150.22363295339787</v>
      </c>
      <c r="H152" s="4">
        <f>G152*0.83285-13.6979</f>
        <v>111.41585270523741</v>
      </c>
      <c r="I152" s="5">
        <f>(AA152-AVERAGE(AA$2:AA$229))/AVERAGE(AA$2:AA$229)*100+100</f>
        <v>82.339959112644095</v>
      </c>
      <c r="J152" s="5">
        <f>(AB152-AVERAGE(AB$2:AB$229))/AVERAGE(AB$2:AB$229)*100+100</f>
        <v>109.14313068453772</v>
      </c>
      <c r="K152" s="5">
        <f>(AC152-AVERAGE(AC$2:AC$229))/AVERAGE(AC$2:AC$229)*100+100</f>
        <v>92.10396673823179</v>
      </c>
      <c r="L152" s="5">
        <f>(AF152-AVERAGE(AF$2:AF$229))/AVERAGE(AF$2:AF$229)*100+100</f>
        <v>49.623982137238976</v>
      </c>
      <c r="M152" s="5">
        <f>(AI152-AVERAGE(AI$2:AI$229))/AVERAGE(AI$2:AI$229)*100+100</f>
        <v>0</v>
      </c>
      <c r="N152" s="5">
        <f>(AVERAGE(AJ$2:AJ$229)-AJ152)/AVERAGE(AJ$2:AJ$229)*100+100</f>
        <v>200</v>
      </c>
      <c r="O152" s="5">
        <f>(AK152-AVERAGE(AK$2:AK$229))/AVERAGE(AK$2:AK$229)*100+100</f>
        <v>0</v>
      </c>
      <c r="P152" s="5">
        <f>(AL152-AVERAGE(AL$2:AL$229))/AVERAGE(AL$2:AL$229)*100+100</f>
        <v>90.704949669656557</v>
      </c>
      <c r="Q152" s="5">
        <f>(AM152-AVERAGE(AM$2:AM$229))/AVERAGE(AM$2:AM$229)*100+100</f>
        <v>93.608380040210662</v>
      </c>
      <c r="R152" s="5">
        <f>(AN152-AVERAGE(AN$2:AN$229))/AVERAGE(AN$2:AN$229)*100+100</f>
        <v>109.91986315061422</v>
      </c>
      <c r="S152" s="5">
        <f>(AO152-AVERAGE(AO$2:AO$229))/AVERAGE(AO$2:AO$229)*100+100</f>
        <v>102.80339500581064</v>
      </c>
      <c r="T152" s="6">
        <f>(F152*1.5+H152*2.5+I152+J152+K152*1.5+L152+O152*0.75+P152+S152)/11.25</f>
        <v>87.37627100202954</v>
      </c>
      <c r="V152">
        <f>'2025_Fantasy_Hitters_modified'!F150</f>
        <v>92.553184909873053</v>
      </c>
      <c r="W152">
        <f>'2025_Fantasy_Hitters_modified'!G150</f>
        <v>49.882907196621595</v>
      </c>
      <c r="X152">
        <f>'2025_Fantasy_Hitters_modified'!H150</f>
        <v>15.27027771325151</v>
      </c>
      <c r="Y152">
        <f>'2025_Fantasy_Hitters_modified'!I150</f>
        <v>0</v>
      </c>
      <c r="Z152">
        <f>'2025_Fantasy_Hitters_modified'!J150</f>
        <v>27.399999999999952</v>
      </c>
      <c r="AA152">
        <f>'2025_Fantasy_Hitters_modified'!K150</f>
        <v>54.296734693877085</v>
      </c>
      <c r="AB152">
        <f>'2025_Fantasy_Hitters_modified'!L150</f>
        <v>69.999999999999659</v>
      </c>
      <c r="AC152" s="2">
        <f>'2025_Fantasy_Hitters_modified'!M150</f>
        <v>42.090204080596955</v>
      </c>
      <c r="AD152">
        <f>'2025_Fantasy_Hitters_modified'!N150</f>
        <v>1.9865306122448765</v>
      </c>
      <c r="AE152">
        <f>'2025_Fantasy_Hitters_modified'!O150</f>
        <v>136.1673469509</v>
      </c>
      <c r="AF152">
        <f>'2025_Fantasy_Hitters_modified'!P150</f>
        <v>2.9077272727272399</v>
      </c>
      <c r="AG152">
        <f>'2025_Fantasy_Hitters_modified'!Q150</f>
        <v>2.5999999999999703</v>
      </c>
      <c r="AH152">
        <f>'2025_Fantasy_Hitters_modified'!R150</f>
        <v>0</v>
      </c>
      <c r="AI152">
        <f>'2025_Fantasy_Hitters_modified'!S150</f>
        <v>0</v>
      </c>
      <c r="AJ152">
        <f>'2025_Fantasy_Hitters_modified'!T150</f>
        <v>0</v>
      </c>
      <c r="AK152">
        <f>'2025_Fantasy_Hitters_modified'!U150</f>
        <v>0</v>
      </c>
      <c r="AL152">
        <f>'2025_Fantasy_Hitters_modified'!V150</f>
        <v>0.22629140564761138</v>
      </c>
      <c r="AM152">
        <f>'2025_Fantasy_Hitters_modified'!W150</f>
        <v>0.30622069605879781</v>
      </c>
      <c r="AN152">
        <f>'2025_Fantasy_Hitters_modified'!X150</f>
        <v>0.46460504308832379</v>
      </c>
      <c r="AO152">
        <f>'2025_Fantasy_Hitters_modified'!Y150</f>
        <v>0.7708257391471216</v>
      </c>
      <c r="AP152">
        <f>'2025_Fantasy_Hitters_modified'!Z150</f>
        <v>0.26267986939999999</v>
      </c>
      <c r="AQ152">
        <f>'2025_Fantasy_Hitters_modified'!AA150</f>
        <v>29.795918369999999</v>
      </c>
      <c r="AR152">
        <f>'2025_Fantasy_Hitters_modified'!AB150</f>
        <v>9.2101103020999897</v>
      </c>
    </row>
    <row r="153" spans="1:44" x14ac:dyDescent="0.4">
      <c r="A153" t="str">
        <f>'2025_Fantasy_Hitters_modified'!A100</f>
        <v>LAA</v>
      </c>
      <c r="B153" t="str">
        <f>'2025_Fantasy_Hitters_modified'!B100</f>
        <v>Jo Adell</v>
      </c>
      <c r="C153">
        <f>'2025_Fantasy_Hitters_modified'!D100</f>
        <v>401</v>
      </c>
      <c r="D153">
        <f>'2025_Fantasy_Hitters_modified'!E100</f>
        <v>444</v>
      </c>
      <c r="E153" s="5">
        <f>(V153-AVERAGE(V$2:V$229))/AVERAGE(V$2:V$229)*100+100</f>
        <v>76.445114431728967</v>
      </c>
      <c r="F153" s="4">
        <f>E153*1.51744-31.775</f>
        <v>84.225874443282805</v>
      </c>
      <c r="G153" s="5">
        <f>(Z153-AVERAGE(Z$2:Z$229))/AVERAGE(Z$2:Z$229)*100+100</f>
        <v>111.84533256384375</v>
      </c>
      <c r="H153" s="4">
        <f>G153*0.83285-13.6979</f>
        <v>79.452485225797261</v>
      </c>
      <c r="I153" s="5">
        <f>(AA153-AVERAGE(AA$2:AA$229))/AVERAGE(AA$2:AA$229)*100+100</f>
        <v>84.76091921908062</v>
      </c>
      <c r="J153" s="5">
        <f>(AB153-AVERAGE(AB$2:AB$229))/AVERAGE(AB$2:AB$229)*100+100</f>
        <v>88.873692128838044</v>
      </c>
      <c r="K153" s="5">
        <f>(AC153-AVERAGE(AC$2:AC$229))/AVERAGE(AC$2:AC$229)*100+100</f>
        <v>70.263271664032047</v>
      </c>
      <c r="L153" s="5">
        <f>(AF153-AVERAGE(AF$2:AF$229))/AVERAGE(AF$2:AF$229)*100+100</f>
        <v>103.89264614753782</v>
      </c>
      <c r="M153" s="5">
        <f>(AI153-AVERAGE(AI$2:AI$229))/AVERAGE(AI$2:AI$229)*100+100</f>
        <v>123.2336512067188</v>
      </c>
      <c r="N153" s="5">
        <f>(AVERAGE(AJ$2:AJ$229)-AJ153)/AVERAGE(AJ$2:AJ$229)*100+100</f>
        <v>47.046621016350244</v>
      </c>
      <c r="O153" s="5">
        <f>(AK153-AVERAGE(AK$2:AK$229))/AVERAGE(AK$2:AK$229)*100+100</f>
        <v>112.82449599965105</v>
      </c>
      <c r="P153" s="5">
        <f>(AL153-AVERAGE(AL$2:AL$229))/AVERAGE(AL$2:AL$229)*100+100</f>
        <v>89.763230922443242</v>
      </c>
      <c r="Q153" s="5">
        <f>(AM153-AVERAGE(AM$2:AM$229))/AVERAGE(AM$2:AM$229)*100+100</f>
        <v>90.333613440280033</v>
      </c>
      <c r="R153" s="5">
        <f>(AN153-AVERAGE(AN$2:AN$229))/AVERAGE(AN$2:AN$229)*100+100</f>
        <v>102.50938315431007</v>
      </c>
      <c r="S153" s="5">
        <f>(AO153-AVERAGE(AO$2:AO$229))/AVERAGE(AO$2:AO$229)*100+100</f>
        <v>97.19726795780204</v>
      </c>
      <c r="T153" s="6">
        <f>(F153*1.5+H153*2.5+I153+J153+K153*1.5+L153+O153*0.75+P153+S153)/11.25</f>
        <v>87.064094275636037</v>
      </c>
      <c r="V153">
        <f>'2025_Fantasy_Hitters_modified'!F100</f>
        <v>89.800741389861571</v>
      </c>
      <c r="W153">
        <f>'2025_Fantasy_Hitters_modified'!G100</f>
        <v>50.454195303594183</v>
      </c>
      <c r="X153">
        <f>'2025_Fantasy_Hitters_modified'!H100</f>
        <v>17.845904928821543</v>
      </c>
      <c r="Y153">
        <f>'2025_Fantasy_Hitters_modified'!I100</f>
        <v>2.0001207456456926</v>
      </c>
      <c r="Z153">
        <f>'2025_Fantasy_Hitters_modified'!J100</f>
        <v>20.399999999999981</v>
      </c>
      <c r="AA153">
        <f>'2025_Fantasy_Hitters_modified'!K100</f>
        <v>55.893167701863099</v>
      </c>
      <c r="AB153">
        <f>'2025_Fantasy_Hitters_modified'!L100</f>
        <v>56.999999999999837</v>
      </c>
      <c r="AC153" s="2">
        <f>'2025_Fantasy_Hitters_modified'!M100</f>
        <v>32.109316769327997</v>
      </c>
      <c r="AD153">
        <f>'2025_Fantasy_Hitters_modified'!N100</f>
        <v>0.99192546583848851</v>
      </c>
      <c r="AE153">
        <f>'2025_Fantasy_Hitters_modified'!O100</f>
        <v>132.37267082400001</v>
      </c>
      <c r="AF153">
        <f>'2025_Fantasy_Hitters_modified'!P100</f>
        <v>6.0876106194690074</v>
      </c>
      <c r="AG153">
        <f>'2025_Fantasy_Hitters_modified'!Q100</f>
        <v>2.3999999999999884</v>
      </c>
      <c r="AH153">
        <f>'2025_Fantasy_Hitters_modified'!R100</f>
        <v>0</v>
      </c>
      <c r="AI153">
        <f>'2025_Fantasy_Hitters_modified'!S100</f>
        <v>12.895031055900571</v>
      </c>
      <c r="AJ153">
        <f>'2025_Fantasy_Hitters_modified'!T100</f>
        <v>4.1515527950310522</v>
      </c>
      <c r="AK153">
        <f>'2025_Fantasy_Hitters_modified'!U100</f>
        <v>8.7434782608695194</v>
      </c>
      <c r="AL153">
        <f>'2025_Fantasy_Hitters_modified'!V100</f>
        <v>0.22394199847845778</v>
      </c>
      <c r="AM153">
        <f>'2025_Fantasy_Hitters_modified'!W100</f>
        <v>0.29550796598879664</v>
      </c>
      <c r="AN153">
        <f>'2025_Fantasy_Hitters_modified'!X100</f>
        <v>0.4332827117161453</v>
      </c>
      <c r="AO153">
        <f>'2025_Fantasy_Hitters_modified'!Y100</f>
        <v>0.72879067770494199</v>
      </c>
      <c r="AP153">
        <f>'2025_Fantasy_Hitters_modified'!Z100</f>
        <v>0.27690811539999999</v>
      </c>
      <c r="AQ153">
        <f>'2025_Fantasy_Hitters_modified'!AA100</f>
        <v>29.813664599999999</v>
      </c>
      <c r="AR153">
        <f>'2025_Fantasy_Hitters_modified'!AB100</f>
        <v>7.2318281011999996</v>
      </c>
    </row>
    <row r="154" spans="1:44" x14ac:dyDescent="0.4">
      <c r="A154" t="str">
        <f>'2025_Fantasy_Hitters_modified'!A78</f>
        <v>COL</v>
      </c>
      <c r="B154" t="str">
        <f>'2025_Fantasy_Hitters_modified'!B78</f>
        <v>Nolan Jones</v>
      </c>
      <c r="C154">
        <f>'2025_Fantasy_Hitters_modified'!D78</f>
        <v>427</v>
      </c>
      <c r="D154">
        <f>'2025_Fantasy_Hitters_modified'!E78</f>
        <v>491</v>
      </c>
      <c r="E154" s="5">
        <f>(V154-AVERAGE(V$2:V$229))/AVERAGE(V$2:V$229)*100+100</f>
        <v>89.019884991529139</v>
      </c>
      <c r="F154" s="4">
        <f>E154*1.51744-31.775</f>
        <v>103.30733428154596</v>
      </c>
      <c r="G154" s="5">
        <f>(Z154-AVERAGE(Z$2:Z$229))/AVERAGE(Z$2:Z$229)*100+100</f>
        <v>76.756600779108524</v>
      </c>
      <c r="H154" s="4">
        <f>G154*0.83285-13.6979</f>
        <v>50.228834958880526</v>
      </c>
      <c r="I154" s="5">
        <f>(AA154-AVERAGE(AA$2:AA$229))/AVERAGE(AA$2:AA$229)*100+100</f>
        <v>90.730640202236685</v>
      </c>
      <c r="J154" s="5">
        <f>(AB154-AVERAGE(AB$2:AB$229))/AVERAGE(AB$2:AB$229)*100+100</f>
        <v>85.755316966422612</v>
      </c>
      <c r="K154" s="5">
        <f>(AC154-AVERAGE(AC$2:AC$229))/AVERAGE(AC$2:AC$229)*100+100</f>
        <v>119.00161322717574</v>
      </c>
      <c r="L154" s="5">
        <f>(AF154-AVERAGE(AF$2:AF$229))/AVERAGE(AF$2:AF$229)*100+100</f>
        <v>68.725021213832832</v>
      </c>
      <c r="M154" s="5">
        <f>(AI154-AVERAGE(AI$2:AI$229))/AVERAGE(AI$2:AI$229)*100+100</f>
        <v>104.57551007219858</v>
      </c>
      <c r="N154" s="5">
        <f>(AVERAGE(AJ$2:AJ$229)-AJ154)/AVERAGE(AJ$2:AJ$229)*100+100</f>
        <v>90.048755860527464</v>
      </c>
      <c r="O154" s="5">
        <f>(AK154-AVERAGE(AK$2:AK$229))/AVERAGE(AK$2:AK$229)*100+100</f>
        <v>102.6926916736529</v>
      </c>
      <c r="P154" s="5">
        <f>(AL154-AVERAGE(AL$2:AL$229))/AVERAGE(AL$2:AL$229)*100+100</f>
        <v>98.164004680562385</v>
      </c>
      <c r="Q154" s="5">
        <f>(AM154-AVERAGE(AM$2:AM$229))/AVERAGE(AM$2:AM$229)*100+100</f>
        <v>104.22650911192299</v>
      </c>
      <c r="R154" s="5">
        <f>(AN154-AVERAGE(AN$2:AN$229))/AVERAGE(AN$2:AN$229)*100+100</f>
        <v>94.944658885283729</v>
      </c>
      <c r="S154" s="5">
        <f>(AO154-AVERAGE(AO$2:AO$229))/AVERAGE(AO$2:AO$229)*100+100</f>
        <v>98.994198158667487</v>
      </c>
      <c r="T154" s="6">
        <f>(F154*1.5+H154*2.5+I154+J154+K154*1.5+L154+O154*0.75+P154+S154)/11.25</f>
        <v>86.971040767755156</v>
      </c>
      <c r="V154">
        <f>'2025_Fantasy_Hitters_modified'!F78</f>
        <v>104.57243383184148</v>
      </c>
      <c r="W154">
        <f>'2025_Fantasy_Hitters_modified'!G78</f>
        <v>66.683788484596121</v>
      </c>
      <c r="X154">
        <f>'2025_Fantasy_Hitters_modified'!H78</f>
        <v>21.371023713131109</v>
      </c>
      <c r="Y154">
        <f>'2025_Fantasy_Hitters_modified'!I78</f>
        <v>1.9776207482633277</v>
      </c>
      <c r="Z154">
        <f>'2025_Fantasy_Hitters_modified'!J78</f>
        <v>13.999999999999998</v>
      </c>
      <c r="AA154">
        <f>'2025_Fantasy_Hitters_modified'!K78</f>
        <v>59.829729729729365</v>
      </c>
      <c r="AB154">
        <f>'2025_Fantasy_Hitters_modified'!L78</f>
        <v>54.999999999999801</v>
      </c>
      <c r="AC154" s="2">
        <f>'2025_Fantasy_Hitters_modified'!M78</f>
        <v>54.382046333439511</v>
      </c>
      <c r="AD154">
        <f>'2025_Fantasy_Hitters_modified'!N78</f>
        <v>2.9843629343629203</v>
      </c>
      <c r="AE154">
        <f>'2025_Fantasy_Hitters_modified'!O78</f>
        <v>144.07722005939999</v>
      </c>
      <c r="AF154">
        <f>'2025_Fantasy_Hitters_modified'!P78</f>
        <v>4.0269565217391152</v>
      </c>
      <c r="AG154">
        <f>'2025_Fantasy_Hitters_modified'!Q78</f>
        <v>2.3999999999999915</v>
      </c>
      <c r="AH154">
        <f>'2025_Fantasy_Hitters_modified'!R78</f>
        <v>1.0404347826086764</v>
      </c>
      <c r="AI154">
        <f>'2025_Fantasy_Hitters_modified'!S78</f>
        <v>10.942664092664018</v>
      </c>
      <c r="AJ154">
        <f>'2025_Fantasy_Hitters_modified'!T78</f>
        <v>2.9843629343629203</v>
      </c>
      <c r="AK154">
        <f>'2025_Fantasy_Hitters_modified'!U78</f>
        <v>7.9583011583010972</v>
      </c>
      <c r="AL154">
        <f>'2025_Fantasy_Hitters_modified'!V78</f>
        <v>0.24490031342351634</v>
      </c>
      <c r="AM154">
        <f>'2025_Fantasy_Hitters_modified'!W78</f>
        <v>0.34095573659454032</v>
      </c>
      <c r="AN154">
        <f>'2025_Fantasy_Hitters_modified'!X78</f>
        <v>0.40130842659402416</v>
      </c>
      <c r="AO154">
        <f>'2025_Fantasy_Hitters_modified'!Y78</f>
        <v>0.74226416318856447</v>
      </c>
      <c r="AP154">
        <f>'2025_Fantasy_Hitters_modified'!Z78</f>
        <v>0.33381802240000003</v>
      </c>
      <c r="AQ154">
        <f>'2025_Fantasy_Hitters_modified'!AA78</f>
        <v>29.34362934</v>
      </c>
      <c r="AR154">
        <f>'2025_Fantasy_Hitters_modified'!AB78</f>
        <v>11.0757731839999</v>
      </c>
    </row>
    <row r="155" spans="1:44" x14ac:dyDescent="0.4">
      <c r="A155" t="str">
        <f>'2025_Fantasy_Hitters_modified'!A96</f>
        <v>KCR</v>
      </c>
      <c r="B155" t="str">
        <f>'2025_Fantasy_Hitters_modified'!B96</f>
        <v>Maikel Garcia</v>
      </c>
      <c r="C155">
        <f>'2025_Fantasy_Hitters_modified'!D96</f>
        <v>488</v>
      </c>
      <c r="D155">
        <f>'2025_Fantasy_Hitters_modified'!E96</f>
        <v>535</v>
      </c>
      <c r="E155" s="5">
        <f>(V155-AVERAGE(V$2:V$229))/AVERAGE(V$2:V$229)*100+100</f>
        <v>107.79419760605407</v>
      </c>
      <c r="F155" s="4">
        <f>E155*1.51744-31.775</f>
        <v>131.79622721533067</v>
      </c>
      <c r="G155" s="5">
        <f>(Z155-AVERAGE(Z$2:Z$229))/AVERAGE(Z$2:Z$229)*100+100</f>
        <v>38.378300389554234</v>
      </c>
      <c r="H155" s="4">
        <f>G155*0.83285-13.6979</f>
        <v>18.265467479440243</v>
      </c>
      <c r="I155" s="5">
        <f>(AA155-AVERAGE(AA$2:AA$229))/AVERAGE(AA$2:AA$229)*100+100</f>
        <v>99.152361398169987</v>
      </c>
      <c r="J155" s="5">
        <f>(AB155-AVERAGE(AB$2:AB$229))/AVERAGE(AB$2:AB$229)*100+100</f>
        <v>76.400191479176726</v>
      </c>
      <c r="K155" s="5">
        <f>(AC155-AVERAGE(AC$2:AC$229))/AVERAGE(AC$2:AC$229)*100+100</f>
        <v>83.692358168084951</v>
      </c>
      <c r="L155" s="5">
        <f>(AF155-AVERAGE(AF$2:AF$229))/AVERAGE(AF$2:AF$229)*100+100</f>
        <v>32.238446636902708</v>
      </c>
      <c r="M155" s="5">
        <f>(AI155-AVERAGE(AI$2:AI$229))/AVERAGE(AI$2:AI$229)*100+100</f>
        <v>258.00619595939213</v>
      </c>
      <c r="N155" s="5">
        <f>(AVERAGE(AJ$2:AJ$229)-AJ155)/AVERAGE(AJ$2:AJ$229)*100+100</f>
        <v>-18.825580852412244</v>
      </c>
      <c r="O155" s="5">
        <f>(AK155-AVERAGE(AK$2:AK$229))/AVERAGE(AK$2:AK$229)*100+100</f>
        <v>271.72896982926306</v>
      </c>
      <c r="P155" s="5">
        <f>(AL155-AVERAGE(AL$2:AL$229))/AVERAGE(AL$2:AL$229)*100+100</f>
        <v>104.00846231633449</v>
      </c>
      <c r="Q155" s="5">
        <f>(AM155-AVERAGE(AM$2:AM$229))/AVERAGE(AM$2:AM$229)*100+100</f>
        <v>96.06656480003285</v>
      </c>
      <c r="R155" s="5">
        <f>(AN155-AVERAGE(AN$2:AN$229))/AVERAGE(AN$2:AN$229)*100+100</f>
        <v>86.402850329143533</v>
      </c>
      <c r="S155" s="5">
        <f>(AO155-AVERAGE(AO$2:AO$229))/AVERAGE(AO$2:AO$229)*100+100</f>
        <v>90.618991542488942</v>
      </c>
      <c r="T155" s="6">
        <f>(F155*1.5+H155*2.5+I155+J155+K155*1.5+L155+O155*0.75+P155+S155)/11.25</f>
        <v>86.67659800166615</v>
      </c>
      <c r="V155">
        <f>'2025_Fantasy_Hitters_modified'!F96</f>
        <v>126.62678229350861</v>
      </c>
      <c r="W155">
        <f>'2025_Fantasy_Hitters_modified'!G96</f>
        <v>91.663037470507149</v>
      </c>
      <c r="X155">
        <f>'2025_Fantasy_Hitters_modified'!H96</f>
        <v>24.716277333369444</v>
      </c>
      <c r="Y155">
        <f>'2025_Fantasy_Hitters_modified'!I96</f>
        <v>3.0413588718688604</v>
      </c>
      <c r="Z155">
        <f>'2025_Fantasy_Hitters_modified'!J96</f>
        <v>6.9999999999999947</v>
      </c>
      <c r="AA155">
        <f>'2025_Fantasy_Hitters_modified'!K96</f>
        <v>65.383193277310525</v>
      </c>
      <c r="AB155">
        <f>'2025_Fantasy_Hitters_modified'!L96</f>
        <v>48.999999999999964</v>
      </c>
      <c r="AC155" s="2">
        <f>'2025_Fantasy_Hitters_modified'!M96</f>
        <v>38.246218485820002</v>
      </c>
      <c r="AD155">
        <f>'2025_Fantasy_Hitters_modified'!N96</f>
        <v>0</v>
      </c>
      <c r="AE155">
        <f>'2025_Fantasy_Hitters_modified'!O96</f>
        <v>94.411764687000016</v>
      </c>
      <c r="AF155">
        <f>'2025_Fantasy_Hitters_modified'!P96</f>
        <v>1.8890183028285965</v>
      </c>
      <c r="AG155">
        <f>'2025_Fantasy_Hitters_modified'!Q96</f>
        <v>4.3999999999999515</v>
      </c>
      <c r="AH155">
        <f>'2025_Fantasy_Hitters_modified'!R96</f>
        <v>2.80232945091513</v>
      </c>
      <c r="AI155">
        <f>'2025_Fantasy_Hitters_modified'!S96</f>
        <v>26.997478991596566</v>
      </c>
      <c r="AJ155">
        <f>'2025_Fantasy_Hitters_modified'!T96</f>
        <v>5.9394957983192889</v>
      </c>
      <c r="AK155">
        <f>'2025_Fantasy_Hitters_modified'!U96</f>
        <v>21.057983193277277</v>
      </c>
      <c r="AL155">
        <f>'2025_Fantasy_Hitters_modified'!V96</f>
        <v>0.25948111125718976</v>
      </c>
      <c r="AM155">
        <f>'2025_Fantasy_Hitters_modified'!W96</f>
        <v>0.31426214542337955</v>
      </c>
      <c r="AN155">
        <f>'2025_Fantasy_Hitters_modified'!X96</f>
        <v>0.36520423924764872</v>
      </c>
      <c r="AO155">
        <f>'2025_Fantasy_Hitters_modified'!Y96</f>
        <v>0.67946638467102827</v>
      </c>
      <c r="AP155">
        <f>'2025_Fantasy_Hitters_modified'!Z96</f>
        <v>0.30596005579999902</v>
      </c>
      <c r="AQ155">
        <f>'2025_Fantasy_Hitters_modified'!AA96</f>
        <v>17.647058820000002</v>
      </c>
      <c r="AR155">
        <f>'2025_Fantasy_Hitters_modified'!AB96</f>
        <v>7.1488258852</v>
      </c>
    </row>
    <row r="156" spans="1:44" x14ac:dyDescent="0.4">
      <c r="A156" t="str">
        <f>'2025_Fantasy_Hitters_modified'!A172</f>
        <v>SDP</v>
      </c>
      <c r="B156" t="str">
        <f>'2025_Fantasy_Hitters_modified'!B172</f>
        <v>Luis Arraez</v>
      </c>
      <c r="C156">
        <f>'2025_Fantasy_Hitters_modified'!D172</f>
        <v>593</v>
      </c>
      <c r="D156">
        <f>'2025_Fantasy_Hitters_modified'!E172</f>
        <v>640</v>
      </c>
      <c r="E156" s="5">
        <f>(V156-AVERAGE(V$2:V$229))/AVERAGE(V$2:V$229)*100+100</f>
        <v>152.7414359503037</v>
      </c>
      <c r="F156" s="4">
        <f>E156*1.51744-31.775</f>
        <v>200.00096456842883</v>
      </c>
      <c r="G156" s="5">
        <f>(Z156-AVERAGE(Z$2:Z$229))/AVERAGE(Z$2:Z$229)*100+100</f>
        <v>18.640888760640607</v>
      </c>
      <c r="H156" s="4">
        <f>G156*0.83285-13.6979</f>
        <v>1.8271642042995282</v>
      </c>
      <c r="I156" s="5">
        <f>(AA156-AVERAGE(AA$2:AA$229))/AVERAGE(AA$2:AA$229)*100+100</f>
        <v>113.70391816195215</v>
      </c>
      <c r="J156" s="5">
        <f>(AB156-AVERAGE(AB$2:AB$229))/AVERAGE(AB$2:AB$229)*100+100</f>
        <v>90.432879710045981</v>
      </c>
      <c r="K156" s="5">
        <f>(AC156-AVERAGE(AC$2:AC$229))/AVERAGE(AC$2:AC$229)*100+100</f>
        <v>80.82851050959151</v>
      </c>
      <c r="L156" s="5">
        <f>(AF156-AVERAGE(AF$2:AF$229))/AVERAGE(AF$2:AF$229)*100+100</f>
        <v>85.425581423573007</v>
      </c>
      <c r="M156" s="5">
        <f>(AI156-AVERAGE(AI$2:AI$229))/AVERAGE(AI$2:AI$229)*100+100</f>
        <v>66.783705474433006</v>
      </c>
      <c r="N156" s="5">
        <f>(AVERAGE(AJ$2:AJ$229)-AJ156)/AVERAGE(AJ$2:AJ$229)*100+100</f>
        <v>89.659407007881143</v>
      </c>
      <c r="O156" s="5">
        <f>(AK156-AVERAGE(AK$2:AK$229))/AVERAGE(AK$2:AK$229)*100+100</f>
        <v>51.528168616510719</v>
      </c>
      <c r="P156" s="5">
        <f>(AL156-AVERAGE(AL$2:AL$229))/AVERAGE(AL$2:AL$229)*100+100</f>
        <v>121.28170380525754</v>
      </c>
      <c r="Q156" s="5">
        <f>(AM156-AVERAGE(AM$2:AM$229))/AVERAGE(AM$2:AM$229)*100+100</f>
        <v>108.2360386864934</v>
      </c>
      <c r="R156" s="5">
        <f>(AN156-AVERAGE(AN$2:AN$229))/AVERAGE(AN$2:AN$229)*100+100</f>
        <v>89.604737836342508</v>
      </c>
      <c r="S156" s="5">
        <f>(AO156-AVERAGE(AO$2:AO$229))/AVERAGE(AO$2:AO$229)*100+100</f>
        <v>97.733309475041807</v>
      </c>
      <c r="T156" s="6">
        <f>(F156*1.5+H156*2.5+I156+J156+K156*1.5+L156+O156*0.75+P156+S156)/11.25</f>
        <v>86.492057081425145</v>
      </c>
      <c r="V156">
        <f>'2025_Fantasy_Hitters_modified'!F172</f>
        <v>179.42669444937485</v>
      </c>
      <c r="W156">
        <f>'2025_Fantasy_Hitters_modified'!G172</f>
        <v>142.02153756710911</v>
      </c>
      <c r="X156">
        <f>'2025_Fantasy_Hitters_modified'!H172</f>
        <v>30.004550190234269</v>
      </c>
      <c r="Y156">
        <f>'2025_Fantasy_Hitters_modified'!I172</f>
        <v>2.9869698279266843</v>
      </c>
      <c r="Z156">
        <f>'2025_Fantasy_Hitters_modified'!J172</f>
        <v>3.3999999999999937</v>
      </c>
      <c r="AA156">
        <f>'2025_Fantasy_Hitters_modified'!K172</f>
        <v>74.978801843317754</v>
      </c>
      <c r="AB156">
        <f>'2025_Fantasy_Hitters_modified'!L172</f>
        <v>58</v>
      </c>
      <c r="AC156" s="2">
        <f>'2025_Fantasy_Hitters_modified'!M172</f>
        <v>36.937480798720003</v>
      </c>
      <c r="AD156">
        <f>'2025_Fantasy_Hitters_modified'!N172</f>
        <v>4.8932411674347138</v>
      </c>
      <c r="AE156">
        <f>'2025_Fantasy_Hitters_modified'!O172</f>
        <v>37.357910905600001</v>
      </c>
      <c r="AF156">
        <f>'2025_Fantasy_Hitters_modified'!P172</f>
        <v>5.0055292259083721</v>
      </c>
      <c r="AG156">
        <f>'2025_Fantasy_Hitters_modified'!Q172</f>
        <v>4.2</v>
      </c>
      <c r="AH156">
        <f>'2025_Fantasy_Hitters_modified'!R172</f>
        <v>1.4066350710900224</v>
      </c>
      <c r="AI156">
        <f>'2025_Fantasy_Hitters_modified'!S172</f>
        <v>6.9881720430107519</v>
      </c>
      <c r="AJ156">
        <f>'2025_Fantasy_Hitters_modified'!T172</f>
        <v>2.9949308755760318</v>
      </c>
      <c r="AK156">
        <f>'2025_Fantasy_Hitters_modified'!U172</f>
        <v>3.9932411674347201</v>
      </c>
      <c r="AL156">
        <f>'2025_Fantasy_Hitters_modified'!V172</f>
        <v>0.302574526896079</v>
      </c>
      <c r="AM156">
        <f>'2025_Fantasy_Hitters_modified'!W172</f>
        <v>0.35407209366284836</v>
      </c>
      <c r="AN156">
        <f>'2025_Fantasy_Hitters_modified'!X172</f>
        <v>0.3787378540157802</v>
      </c>
      <c r="AO156">
        <f>'2025_Fantasy_Hitters_modified'!Y172</f>
        <v>0.7328099476786285</v>
      </c>
      <c r="AP156">
        <f>'2025_Fantasy_Hitters_modified'!Z172</f>
        <v>0.31634324199999903</v>
      </c>
      <c r="AQ156">
        <f>'2025_Fantasy_Hitters_modified'!AA172</f>
        <v>5.8371735789999999</v>
      </c>
      <c r="AR156">
        <f>'2025_Fantasy_Hitters_modified'!AB172</f>
        <v>5.7714813747999996</v>
      </c>
    </row>
    <row r="157" spans="1:44" x14ac:dyDescent="0.4">
      <c r="A157" t="str">
        <f>'2025_Fantasy_Hitters_modified'!A136</f>
        <v>MIN</v>
      </c>
      <c r="B157" t="str">
        <f>'2025_Fantasy_Hitters_modified'!B136</f>
        <v>Trevor Larnach</v>
      </c>
      <c r="C157">
        <f>'2025_Fantasy_Hitters_modified'!D136</f>
        <v>416</v>
      </c>
      <c r="D157">
        <f>'2025_Fantasy_Hitters_modified'!E136</f>
        <v>473</v>
      </c>
      <c r="E157" s="5">
        <f>(V157-AVERAGE(V$2:V$229))/AVERAGE(V$2:V$229)*100+100</f>
        <v>86.334699163205272</v>
      </c>
      <c r="F157" s="4">
        <f>E157*1.51744-31.775</f>
        <v>99.232725898214198</v>
      </c>
      <c r="G157" s="5">
        <f>(Z157-AVERAGE(Z$2:Z$229))/AVERAGE(Z$2:Z$229)*100+100</f>
        <v>96.494012408021902</v>
      </c>
      <c r="H157" s="4">
        <f>G157*0.83285-13.6979</f>
        <v>66.667138234021039</v>
      </c>
      <c r="I157" s="5">
        <f>(AA157-AVERAGE(AA$2:AA$229))/AVERAGE(AA$2:AA$229)*100+100</f>
        <v>88.717040604712381</v>
      </c>
      <c r="J157" s="5">
        <f>(AB157-AVERAGE(AB$2:AB$229))/AVERAGE(AB$2:AB$229)*100+100</f>
        <v>91.992067291253534</v>
      </c>
      <c r="K157" s="5">
        <f>(AC157-AVERAGE(AC$2:AC$229))/AVERAGE(AC$2:AC$229)*100+100</f>
        <v>107.53648120016828</v>
      </c>
      <c r="L157" s="5">
        <f>(AF157-AVERAGE(AF$2:AF$229))/AVERAGE(AF$2:AF$229)*100+100</f>
        <v>84.413505204414449</v>
      </c>
      <c r="M157" s="5">
        <f>(AI157-AVERAGE(AI$2:AI$229))/AVERAGE(AI$2:AI$229)*100+100</f>
        <v>38.259312133268821</v>
      </c>
      <c r="N157" s="5">
        <f>(AVERAGE(AJ$2:AJ$229)-AJ157)/AVERAGE(AJ$2:AJ$229)*100+100</f>
        <v>163.12612721439427</v>
      </c>
      <c r="O157" s="5">
        <f>(AK157-AVERAGE(AK$2:AK$229))/AVERAGE(AK$2:AK$229)*100+100</f>
        <v>38.744553899547675</v>
      </c>
      <c r="P157" s="5">
        <f>(AL157-AVERAGE(AL$2:AL$229))/AVERAGE(AL$2:AL$229)*100+100</f>
        <v>97.720383582031474</v>
      </c>
      <c r="Q157" s="5">
        <f>(AM157-AVERAGE(AM$2:AM$229))/AVERAGE(AM$2:AM$229)*100+100</f>
        <v>102.28197288522767</v>
      </c>
      <c r="R157" s="5">
        <f>(AN157-AVERAGE(AN$2:AN$229))/AVERAGE(AN$2:AN$229)*100+100</f>
        <v>101.86247318417036</v>
      </c>
      <c r="S157" s="5">
        <f>(AO157-AVERAGE(AO$2:AO$229))/AVERAGE(AO$2:AO$229)*100+100</f>
        <v>102.04549493879082</v>
      </c>
      <c r="T157" s="6">
        <f>(F157*1.5+H157*2.5+I157+J157+K157*1.5+L157+O157*0.75+P157+S157)/11.25</f>
        <v>86.290538958087978</v>
      </c>
      <c r="V157">
        <f>'2025_Fantasy_Hitters_modified'!F136</f>
        <v>101.41812266433867</v>
      </c>
      <c r="W157">
        <f>'2025_Fantasy_Hitters_modified'!G136</f>
        <v>62.31886330595632</v>
      </c>
      <c r="X157">
        <f>'2025_Fantasy_Hitters_modified'!H136</f>
        <v>21.694102336652314</v>
      </c>
      <c r="Y157">
        <f>'2025_Fantasy_Hitters_modified'!I136</f>
        <v>1.0003523640449714</v>
      </c>
      <c r="Z157">
        <f>'2025_Fantasy_Hitters_modified'!J136</f>
        <v>17.599999999999955</v>
      </c>
      <c r="AA157">
        <f>'2025_Fantasy_Hitters_modified'!K136</f>
        <v>58.501918976545674</v>
      </c>
      <c r="AB157">
        <f>'2025_Fantasy_Hitters_modified'!L136</f>
        <v>58.999999999999915</v>
      </c>
      <c r="AC157" s="2">
        <f>'2025_Fantasy_Hitters_modified'!M136</f>
        <v>49.14264390684</v>
      </c>
      <c r="AD157">
        <f>'2025_Fantasy_Hitters_modified'!N136</f>
        <v>1.9008528784647933</v>
      </c>
      <c r="AE157">
        <f>'2025_Fantasy_Hitters_modified'!O136</f>
        <v>127.0746268572</v>
      </c>
      <c r="AF157">
        <f>'2025_Fantasy_Hitters_modified'!P136</f>
        <v>4.9462264150942916</v>
      </c>
      <c r="AG157">
        <f>'2025_Fantasy_Hitters_modified'!Q136</f>
        <v>3.3999999999999861</v>
      </c>
      <c r="AH157">
        <f>'2025_Fantasy_Hitters_modified'!R136</f>
        <v>0</v>
      </c>
      <c r="AI157">
        <f>'2025_Fantasy_Hitters_modified'!S136</f>
        <v>4.0034115138592661</v>
      </c>
      <c r="AJ157">
        <f>'2025_Fantasy_Hitters_modified'!T136</f>
        <v>1.0008528784647845</v>
      </c>
      <c r="AK157">
        <f>'2025_Fantasy_Hitters_modified'!U136</f>
        <v>3.0025586353944815</v>
      </c>
      <c r="AL157">
        <f>'2025_Fantasy_Hitters_modified'!V136</f>
        <v>0.24379356409696795</v>
      </c>
      <c r="AM157">
        <f>'2025_Fantasy_Hitters_modified'!W136</f>
        <v>0.33459458349484555</v>
      </c>
      <c r="AN157">
        <f>'2025_Fantasy_Hitters_modified'!X136</f>
        <v>0.43054837757547043</v>
      </c>
      <c r="AO157">
        <f>'2025_Fantasy_Hitters_modified'!Y136</f>
        <v>0.76514296107031599</v>
      </c>
      <c r="AP157">
        <f>'2025_Fantasy_Hitters_modified'!Z136</f>
        <v>0.30509785719999999</v>
      </c>
      <c r="AQ157">
        <f>'2025_Fantasy_Hitters_modified'!AA136</f>
        <v>26.865671639999999</v>
      </c>
      <c r="AR157">
        <f>'2025_Fantasy_Hitters_modified'!AB136</f>
        <v>10.389565308</v>
      </c>
    </row>
    <row r="158" spans="1:44" x14ac:dyDescent="0.4">
      <c r="A158" t="str">
        <f>'2025_Fantasy_Hitters_modified'!A17</f>
        <v>ATH</v>
      </c>
      <c r="B158" t="str">
        <f>'2025_Fantasy_Hitters_modified'!B17</f>
        <v>Tyler Soderstrom</v>
      </c>
      <c r="C158">
        <f>'2025_Fantasy_Hitters_modified'!D17</f>
        <v>463</v>
      </c>
      <c r="D158">
        <f>'2025_Fantasy_Hitters_modified'!E17</f>
        <v>511</v>
      </c>
      <c r="E158" s="5">
        <f>(V158-AVERAGE(V$2:V$229))/AVERAGE(V$2:V$229)*100+100</f>
        <v>91.638634776780734</v>
      </c>
      <c r="F158" s="4">
        <f>E158*1.51744-31.775</f>
        <v>107.28112995567815</v>
      </c>
      <c r="G158" s="5">
        <f>(Z158-AVERAGE(Z$2:Z$229))/AVERAGE(Z$2:Z$229)*100+100</f>
        <v>119.52099264175445</v>
      </c>
      <c r="H158" s="4">
        <f>G158*0.83285-13.6979</f>
        <v>85.845158721685181</v>
      </c>
      <c r="I158" s="5">
        <f>(AA158-AVERAGE(AA$2:AA$229))/AVERAGE(AA$2:AA$229)*100+100</f>
        <v>85.26613191864638</v>
      </c>
      <c r="J158" s="5">
        <f>(AB158-AVERAGE(AB$2:AB$229))/AVERAGE(AB$2:AB$229)*100+100</f>
        <v>101.34719277849905</v>
      </c>
      <c r="K158" s="5">
        <f>(AC158-AVERAGE(AC$2:AC$229))/AVERAGE(AC$2:AC$229)*100+100</f>
        <v>87.394747703999727</v>
      </c>
      <c r="L158" s="5">
        <f>(AF158-AVERAGE(AF$2:AF$229))/AVERAGE(AF$2:AF$229)*100+100</f>
        <v>86.360432562856602</v>
      </c>
      <c r="M158" s="5">
        <f>(AI158-AVERAGE(AI$2:AI$229))/AVERAGE(AI$2:AI$229)*100+100</f>
        <v>9.5189536226332905</v>
      </c>
      <c r="N158" s="5">
        <f>(AVERAGE(AJ$2:AJ$229)-AJ158)/AVERAGE(AJ$2:AJ$229)*100+100</f>
        <v>163.30298007340747</v>
      </c>
      <c r="O158" s="5">
        <f>(AK158-AVERAGE(AK$2:AK$229))/AVERAGE(AK$2:AK$229)*100+100</f>
        <v>0</v>
      </c>
      <c r="P158" s="5">
        <f>(AL158-AVERAGE(AL$2:AL$229))/AVERAGE(AL$2:AL$229)*100+100</f>
        <v>93.194596667580058</v>
      </c>
      <c r="Q158" s="5">
        <f>(AM158-AVERAGE(AM$2:AM$229))/AVERAGE(AM$2:AM$229)*100+100</f>
        <v>92.884171258599011</v>
      </c>
      <c r="R158" s="5">
        <f>(AN158-AVERAGE(AN$2:AN$229))/AVERAGE(AN$2:AN$229)*100+100</f>
        <v>101.19888971375134</v>
      </c>
      <c r="S158" s="5">
        <f>(AO158-AVERAGE(AO$2:AO$229))/AVERAGE(AO$2:AO$229)*100+100</f>
        <v>97.571296280425699</v>
      </c>
      <c r="T158" s="6">
        <f>(F158*1.5+H158*2.5+I158+J158+K158*1.5+L158+O158*0.75+P158+S158)/11.25</f>
        <v>86.254787866821118</v>
      </c>
      <c r="V158">
        <f>'2025_Fantasy_Hitters_modified'!F17</f>
        <v>107.64870200121095</v>
      </c>
      <c r="W158">
        <f>'2025_Fantasy_Hitters_modified'!G17</f>
        <v>63.983622113539127</v>
      </c>
      <c r="X158">
        <f>'2025_Fantasy_Hitters_modified'!H17</f>
        <v>20.963055139830516</v>
      </c>
      <c r="Y158">
        <f>'2025_Fantasy_Hitters_modified'!I17</f>
        <v>1.6451799447999544</v>
      </c>
      <c r="Z158">
        <f>'2025_Fantasy_Hitters_modified'!J17</f>
        <v>21.799999999999951</v>
      </c>
      <c r="AA158">
        <f>'2025_Fantasy_Hitters_modified'!K17</f>
        <v>56.226315789473546</v>
      </c>
      <c r="AB158">
        <f>'2025_Fantasy_Hitters_modified'!L17</f>
        <v>64.999999999999517</v>
      </c>
      <c r="AC158" s="2">
        <f>'2025_Fantasy_Hitters_modified'!M17</f>
        <v>39.938157895936996</v>
      </c>
      <c r="AD158">
        <f>'2025_Fantasy_Hitters_modified'!N17</f>
        <v>1.9921052631578815</v>
      </c>
      <c r="AE158">
        <f>'2025_Fantasy_Hitters_modified'!O17</f>
        <v>136.3947368252</v>
      </c>
      <c r="AF158">
        <f>'2025_Fantasy_Hitters_modified'!P17</f>
        <v>5.0603070175438241</v>
      </c>
      <c r="AG158">
        <f>'2025_Fantasy_Hitters_modified'!Q17</f>
        <v>3.9999999999999707</v>
      </c>
      <c r="AH158">
        <f>'2025_Fantasy_Hitters_modified'!R17</f>
        <v>0</v>
      </c>
      <c r="AI158">
        <f>'2025_Fantasy_Hitters_modified'!S17</f>
        <v>0.99605263157894075</v>
      </c>
      <c r="AJ158">
        <f>'2025_Fantasy_Hitters_modified'!T17</f>
        <v>0.99605263157894075</v>
      </c>
      <c r="AK158">
        <f>'2025_Fantasy_Hitters_modified'!U17</f>
        <v>0</v>
      </c>
      <c r="AL158">
        <f>'2025_Fantasy_Hitters_modified'!V17</f>
        <v>0.23250259611492646</v>
      </c>
      <c r="AM158">
        <f>'2025_Fantasy_Hitters_modified'!W17</f>
        <v>0.30385159494731878</v>
      </c>
      <c r="AN158">
        <f>'2025_Fantasy_Hitters_modified'!X17</f>
        <v>0.42774356852613349</v>
      </c>
      <c r="AO158">
        <f>'2025_Fantasy_Hitters_modified'!Y17</f>
        <v>0.73159516347345233</v>
      </c>
      <c r="AP158">
        <f>'2025_Fantasy_Hitters_modified'!Z17</f>
        <v>0.27800271639999902</v>
      </c>
      <c r="AQ158">
        <f>'2025_Fantasy_Hitters_modified'!AA17</f>
        <v>26.69172932</v>
      </c>
      <c r="AR158">
        <f>'2025_Fantasy_Hitters_modified'!AB17</f>
        <v>7.8156864766999998</v>
      </c>
    </row>
    <row r="159" spans="1:44" x14ac:dyDescent="0.4">
      <c r="A159" t="str">
        <f>'2025_Fantasy_Hitters_modified'!A126</f>
        <v>MIL</v>
      </c>
      <c r="B159" t="str">
        <f>'2025_Fantasy_Hitters_modified'!B126</f>
        <v>Joey Ortiz</v>
      </c>
      <c r="C159">
        <f>'2025_Fantasy_Hitters_modified'!D126</f>
        <v>493</v>
      </c>
      <c r="D159">
        <f>'2025_Fantasy_Hitters_modified'!E126</f>
        <v>552</v>
      </c>
      <c r="E159" s="5">
        <f>(V159-AVERAGE(V$2:V$229))/AVERAGE(V$2:V$229)*100+100</f>
        <v>103.23885560391379</v>
      </c>
      <c r="F159" s="4">
        <f>E159*1.51744-31.775</f>
        <v>124.88376904760293</v>
      </c>
      <c r="G159" s="5">
        <f>(Z159-AVERAGE(Z$2:Z$229))/AVERAGE(Z$2:Z$229)*100+100</f>
        <v>65.791372096378723</v>
      </c>
      <c r="H159" s="4">
        <f>G159*0.83285-13.6979</f>
        <v>41.09644425046902</v>
      </c>
      <c r="I159" s="5">
        <f>(AA159-AVERAGE(AA$2:AA$229))/AVERAGE(AA$2:AA$229)*100+100</f>
        <v>97.401399460002352</v>
      </c>
      <c r="J159" s="5">
        <f>(AB159-AVERAGE(AB$2:AB$229))/AVERAGE(AB$2:AB$229)*100+100</f>
        <v>95.11044245366854</v>
      </c>
      <c r="K159" s="5">
        <f>(AC159-AVERAGE(AC$2:AC$229))/AVERAGE(AC$2:AC$229)*100+100</f>
        <v>95.23063624231213</v>
      </c>
      <c r="L159" s="5">
        <f>(AF159-AVERAGE(AF$2:AF$229))/AVERAGE(AF$2:AF$229)*100+100</f>
        <v>85.89130738465181</v>
      </c>
      <c r="M159" s="5">
        <f>(AI159-AVERAGE(AI$2:AI$229))/AVERAGE(AI$2:AI$229)*100+100</f>
        <v>104.65926936788338</v>
      </c>
      <c r="N159" s="5">
        <f>(AVERAGE(AJ$2:AJ$229)-AJ159)/AVERAGE(AJ$2:AJ$229)*100+100</f>
        <v>54.45477589710633</v>
      </c>
      <c r="O159" s="5">
        <f>(AK159-AVERAGE(AK$2:AK$229))/AVERAGE(AK$2:AK$229)*100+100</f>
        <v>90.339210590083255</v>
      </c>
      <c r="P159" s="5">
        <f>(AL159-AVERAGE(AL$2:AL$229))/AVERAGE(AL$2:AL$229)*100+100</f>
        <v>98.602829166041417</v>
      </c>
      <c r="Q159" s="5">
        <f>(AM159-AVERAGE(AM$2:AM$229))/AVERAGE(AM$2:AM$229)*100+100</f>
        <v>96.081062560529631</v>
      </c>
      <c r="R159" s="5">
        <f>(AN159-AVERAGE(AN$2:AN$229))/AVERAGE(AN$2:AN$229)*100+100</f>
        <v>88.728806603721864</v>
      </c>
      <c r="S159" s="5">
        <f>(AO159-AVERAGE(AO$2:AO$229))/AVERAGE(AO$2:AO$229)*100+100</f>
        <v>91.936491334467917</v>
      </c>
      <c r="T159" s="6">
        <f>(F159*1.5+H159*2.5+I159+J159+K159*1.5+L159+O159*0.75+P159+S159)/11.25</f>
        <v>86.187519671327976</v>
      </c>
      <c r="V159">
        <f>'2025_Fantasy_Hitters_modified'!F126</f>
        <v>121.27558238861599</v>
      </c>
      <c r="W159">
        <f>'2025_Fantasy_Hitters_modified'!G126</f>
        <v>81.261296721716178</v>
      </c>
      <c r="X159">
        <f>'2025_Fantasy_Hitters_modified'!H126</f>
        <v>21.8551164777232</v>
      </c>
      <c r="Y159">
        <f>'2025_Fantasy_Hitters_modified'!I126</f>
        <v>3.9736575414042106</v>
      </c>
      <c r="Z159">
        <f>'2025_Fantasy_Hitters_modified'!J126</f>
        <v>11.999999999999996</v>
      </c>
      <c r="AA159">
        <f>'2025_Fantasy_Hitters_modified'!K126</f>
        <v>64.228571428571158</v>
      </c>
      <c r="AB159">
        <f>'2025_Fantasy_Hitters_modified'!L126</f>
        <v>60.999999999999673</v>
      </c>
      <c r="AC159" s="2">
        <f>'2025_Fantasy_Hitters_modified'!M126</f>
        <v>43.519047616656003</v>
      </c>
      <c r="AD159">
        <f>'2025_Fantasy_Hitters_modified'!N126</f>
        <v>0</v>
      </c>
      <c r="AE159">
        <f>'2025_Fantasy_Hitters_modified'!O126</f>
        <v>111.27619048320001</v>
      </c>
      <c r="AF159">
        <f>'2025_Fantasy_Hitters_modified'!P126</f>
        <v>5.0328185328185029</v>
      </c>
      <c r="AG159">
        <f>'2025_Fantasy_Hitters_modified'!Q126</f>
        <v>3.7999999999999705</v>
      </c>
      <c r="AH159">
        <f>'2025_Fantasy_Hitters_modified'!R126</f>
        <v>2.0787644787644579</v>
      </c>
      <c r="AI159">
        <f>'2025_Fantasy_Hitters_modified'!S126</f>
        <v>10.95142857142854</v>
      </c>
      <c r="AJ159">
        <f>'2025_Fantasy_Hitters_modified'!T126</f>
        <v>3.9504761904761865</v>
      </c>
      <c r="AK159">
        <f>'2025_Fantasy_Hitters_modified'!U126</f>
        <v>7.0009523809523539</v>
      </c>
      <c r="AL159">
        <f>'2025_Fantasy_Hitters_modified'!V126</f>
        <v>0.24599509612295331</v>
      </c>
      <c r="AM159">
        <f>'2025_Fantasy_Hitters_modified'!W126</f>
        <v>0.31430957188571884</v>
      </c>
      <c r="AN159">
        <f>'2025_Fantasy_Hitters_modified'!X126</f>
        <v>0.37503550162550753</v>
      </c>
      <c r="AO159">
        <f>'2025_Fantasy_Hitters_modified'!Y126</f>
        <v>0.68934507351122631</v>
      </c>
      <c r="AP159">
        <f>'2025_Fantasy_Hitters_modified'!Z126</f>
        <v>0.29255319099999999</v>
      </c>
      <c r="AQ159">
        <f>'2025_Fantasy_Hitters_modified'!AA126</f>
        <v>20.158730160000001</v>
      </c>
      <c r="AR159">
        <f>'2025_Fantasy_Hitters_modified'!AB126</f>
        <v>7.8838854378000001</v>
      </c>
    </row>
    <row r="160" spans="1:44" x14ac:dyDescent="0.4">
      <c r="A160" t="str">
        <f>'2025_Fantasy_Hitters_modified'!A178</f>
        <v>SEA</v>
      </c>
      <c r="B160" t="str">
        <f>'2025_Fantasy_Hitters_modified'!B178</f>
        <v>J.P. Crawford</v>
      </c>
      <c r="C160">
        <f>'2025_Fantasy_Hitters_modified'!D178</f>
        <v>479</v>
      </c>
      <c r="D160">
        <f>'2025_Fantasy_Hitters_modified'!E178</f>
        <v>555</v>
      </c>
      <c r="E160" s="5">
        <f>(V160-AVERAGE(V$2:V$229))/AVERAGE(V$2:V$229)*100+100</f>
        <v>95.837885894234702</v>
      </c>
      <c r="F160" s="4">
        <f>E160*1.51744-31.775</f>
        <v>113.65324157134748</v>
      </c>
      <c r="G160" s="5">
        <f>(Z160-AVERAGE(Z$2:Z$229))/AVERAGE(Z$2:Z$229)*100+100</f>
        <v>62.501803491559684</v>
      </c>
      <c r="H160" s="4">
        <f>G160*0.83285-13.6979</f>
        <v>38.356727037945475</v>
      </c>
      <c r="I160" s="5">
        <f>(AA160-AVERAGE(AA$2:AA$229))/AVERAGE(AA$2:AA$229)*100+100</f>
        <v>94.056177141451428</v>
      </c>
      <c r="J160" s="5">
        <f>(AB160-AVERAGE(AB$2:AB$229))/AVERAGE(AB$2:AB$229)*100+100</f>
        <v>79.518566641592159</v>
      </c>
      <c r="K160" s="5">
        <f>(AC160-AVERAGE(AC$2:AC$229))/AVERAGE(AC$2:AC$229)*100+100</f>
        <v>138.23283920326116</v>
      </c>
      <c r="L160" s="5">
        <f>(AF160-AVERAGE(AF$2:AF$229))/AVERAGE(AF$2:AF$229)*100+100</f>
        <v>102.58534721967143</v>
      </c>
      <c r="M160" s="5">
        <f>(AI160-AVERAGE(AI$2:AI$229))/AVERAGE(AI$2:AI$229)*100+100</f>
        <v>38.758682076062925</v>
      </c>
      <c r="N160" s="5">
        <f>(AVERAGE(AJ$2:AJ$229)-AJ160)/AVERAGE(AJ$2:AJ$229)*100+100</f>
        <v>163.48423117559506</v>
      </c>
      <c r="O160" s="5">
        <f>(AK160-AVERAGE(AK$2:AK$229))/AVERAGE(AK$2:AK$229)*100+100</f>
        <v>39.544248899814939</v>
      </c>
      <c r="P160" s="5">
        <f>(AL160-AVERAGE(AL$2:AL$229))/AVERAGE(AL$2:AL$229)*100+100</f>
        <v>94.209527404628062</v>
      </c>
      <c r="Q160" s="5">
        <f>(AM160-AVERAGE(AM$2:AM$229))/AVERAGE(AM$2:AM$229)*100+100</f>
        <v>102.2544525401843</v>
      </c>
      <c r="R160" s="5">
        <f>(AN160-AVERAGE(AN$2:AN$229))/AVERAGE(AN$2:AN$229)*100+100</f>
        <v>83.161817366768148</v>
      </c>
      <c r="S160" s="5">
        <f>(AO160-AVERAGE(AO$2:AO$229))/AVERAGE(AO$2:AO$229)*100+100</f>
        <v>91.491662610902381</v>
      </c>
      <c r="T160" s="6">
        <f>(F160*1.5+H160*2.5+I160+J160+K160*1.5+L160+O160*0.75+P160+S160)/11.25</f>
        <v>85.799147239989622</v>
      </c>
      <c r="V160">
        <f>'2025_Fantasy_Hitters_modified'!F178</f>
        <v>112.58159884403463</v>
      </c>
      <c r="W160">
        <f>'2025_Fantasy_Hitters_modified'!G178</f>
        <v>77.298773611005416</v>
      </c>
      <c r="X160">
        <f>'2025_Fantasy_Hitters_modified'!H178</f>
        <v>21.248135757247276</v>
      </c>
      <c r="Y160">
        <f>'2025_Fantasy_Hitters_modified'!I178</f>
        <v>0.99197645925523659</v>
      </c>
      <c r="Z160">
        <f>'2025_Fantasy_Hitters_modified'!J178</f>
        <v>11.399999999999977</v>
      </c>
      <c r="AA160">
        <f>'2025_Fantasy_Hitters_modified'!K178</f>
        <v>62.022660098521634</v>
      </c>
      <c r="AB160">
        <f>'2025_Fantasy_Hitters_modified'!L178</f>
        <v>51</v>
      </c>
      <c r="AC160" s="2">
        <f>'2025_Fantasy_Hitters_modified'!M178</f>
        <v>63.170443345199445</v>
      </c>
      <c r="AD160">
        <f>'2025_Fantasy_Hitters_modified'!N178</f>
        <v>0.89999999999999913</v>
      </c>
      <c r="AE160">
        <f>'2025_Fantasy_Hitters_modified'!O178</f>
        <v>110.27093596050001</v>
      </c>
      <c r="AF160">
        <f>'2025_Fantasy_Hitters_modified'!P178</f>
        <v>6.0110091743118765</v>
      </c>
      <c r="AG160">
        <f>'2025_Fantasy_Hitters_modified'!Q178</f>
        <v>2.9999999999999969</v>
      </c>
      <c r="AH160">
        <f>'2025_Fantasy_Hitters_modified'!R178</f>
        <v>1.4110091743119255</v>
      </c>
      <c r="AI160">
        <f>'2025_Fantasy_Hitters_modified'!S178</f>
        <v>4.055665024630537</v>
      </c>
      <c r="AJ160">
        <f>'2025_Fantasy_Hitters_modified'!T178</f>
        <v>0.99113300492610501</v>
      </c>
      <c r="AK160">
        <f>'2025_Fantasy_Hitters_modified'!U178</f>
        <v>3.0645320197044321</v>
      </c>
      <c r="AL160">
        <f>'2025_Fantasy_Hitters_modified'!V178</f>
        <v>0.23503465311907021</v>
      </c>
      <c r="AM160">
        <f>'2025_Fantasy_Hitters_modified'!W178</f>
        <v>0.33450455630698761</v>
      </c>
      <c r="AN160">
        <f>'2025_Fantasy_Hitters_modified'!X178</f>
        <v>0.35150516597758996</v>
      </c>
      <c r="AO160">
        <f>'2025_Fantasy_Hitters_modified'!Y178</f>
        <v>0.68600972228457757</v>
      </c>
      <c r="AP160">
        <f>'2025_Fantasy_Hitters_modified'!Z178</f>
        <v>0.2808033238</v>
      </c>
      <c r="AQ160">
        <f>'2025_Fantasy_Hitters_modified'!AA178</f>
        <v>19.868637110000002</v>
      </c>
      <c r="AR160">
        <f>'2025_Fantasy_Hitters_modified'!AB178</f>
        <v>11.382061863999899</v>
      </c>
    </row>
    <row r="161" spans="1:44" x14ac:dyDescent="0.4">
      <c r="A161" t="str">
        <f>'2025_Fantasy_Hitters_modified'!A211</f>
        <v>TEX</v>
      </c>
      <c r="B161" t="str">
        <f>'2025_Fantasy_Hitters_modified'!B211</f>
        <v>Josh Jung</v>
      </c>
      <c r="C161">
        <f>'2025_Fantasy_Hitters_modified'!D211</f>
        <v>469</v>
      </c>
      <c r="D161">
        <f>'2025_Fantasy_Hitters_modified'!E211</f>
        <v>504</v>
      </c>
      <c r="E161" s="5">
        <f>(V161-AVERAGE(V$2:V$229))/AVERAGE(V$2:V$229)*100+100</f>
        <v>97.402597237765903</v>
      </c>
      <c r="F161" s="4">
        <f>E161*1.51744-31.775</f>
        <v>116.02759715247547</v>
      </c>
      <c r="G161" s="5">
        <f>(Z161-AVERAGE(Z$2:Z$229))/AVERAGE(Z$2:Z$229)*100+100</f>
        <v>99.78358101284077</v>
      </c>
      <c r="H161" s="4">
        <f>G161*0.83285-13.6979</f>
        <v>69.406855446544427</v>
      </c>
      <c r="I161" s="5">
        <f>(AA161-AVERAGE(AA$2:AA$229))/AVERAGE(AA$2:AA$229)*100+100</f>
        <v>87.435953785713821</v>
      </c>
      <c r="J161" s="5">
        <f>(AB161-AVERAGE(AB$2:AB$229))/AVERAGE(AB$2:AB$229)*100+100</f>
        <v>96.669630034876732</v>
      </c>
      <c r="K161" s="5">
        <f>(AC161-AVERAGE(AC$2:AC$229))/AVERAGE(AC$2:AC$229)*100+100</f>
        <v>65.084862016648358</v>
      </c>
      <c r="L161" s="5">
        <f>(AF161-AVERAGE(AF$2:AF$229))/AVERAGE(AF$2:AF$229)*100+100</f>
        <v>101.76820382217993</v>
      </c>
      <c r="M161" s="5">
        <f>(AI161-AVERAGE(AI$2:AI$229))/AVERAGE(AI$2:AI$229)*100+100</f>
        <v>47.100766934411368</v>
      </c>
      <c r="N161" s="5">
        <f>(AVERAGE(AJ$2:AJ$229)-AJ161)/AVERAGE(AJ$2:AJ$229)*100+100</f>
        <v>160.52594572908654</v>
      </c>
      <c r="O161" s="5">
        <f>(AK161-AVERAGE(AK$2:AK$229))/AVERAGE(AK$2:AK$229)*100+100</f>
        <v>49.771976994945057</v>
      </c>
      <c r="P161" s="5">
        <f>(AL161-AVERAGE(AL$2:AL$229))/AVERAGE(AL$2:AL$229)*100+100</f>
        <v>97.789180898658515</v>
      </c>
      <c r="Q161" s="5">
        <f>(AM161-AVERAGE(AM$2:AM$229))/AVERAGE(AM$2:AM$229)*100+100</f>
        <v>91.635436722608702</v>
      </c>
      <c r="R161" s="5">
        <f>(AN161-AVERAGE(AN$2:AN$229))/AVERAGE(AN$2:AN$229)*100+100</f>
        <v>97.894267047103583</v>
      </c>
      <c r="S161" s="5">
        <f>(AO161-AVERAGE(AO$2:AO$229))/AVERAGE(AO$2:AO$229)*100+100</f>
        <v>95.163628372096113</v>
      </c>
      <c r="T161" s="6">
        <f>(F161*1.5+H161*2.5+I161+J161+K161*1.5+L161+O161*0.75+P161+S161)/11.25</f>
        <v>85.452569513758291</v>
      </c>
      <c r="V161">
        <f>'2025_Fantasy_Hitters_modified'!F211</f>
        <v>114.41967888034246</v>
      </c>
      <c r="W161">
        <f>'2025_Fantasy_Hitters_modified'!G211</f>
        <v>72.71973213176959</v>
      </c>
      <c r="X161">
        <f>'2025_Fantasy_Hitters_modified'!H211</f>
        <v>21.26961322618094</v>
      </c>
      <c r="Y161">
        <f>'2025_Fantasy_Hitters_modified'!I211</f>
        <v>2.0006175228945779</v>
      </c>
      <c r="Z161">
        <f>'2025_Fantasy_Hitters_modified'!J211</f>
        <v>18.199999999999942</v>
      </c>
      <c r="AA161">
        <f>'2025_Fantasy_Hitters_modified'!K211</f>
        <v>57.657142857142588</v>
      </c>
      <c r="AB161">
        <f>'2025_Fantasy_Hitters_modified'!L211</f>
        <v>61.999999999999993</v>
      </c>
      <c r="AC161" s="2">
        <f>'2025_Fantasy_Hitters_modified'!M211</f>
        <v>29.742857141256</v>
      </c>
      <c r="AD161">
        <f>'2025_Fantasy_Hitters_modified'!N211</f>
        <v>0.39999999999998304</v>
      </c>
      <c r="AE161">
        <f>'2025_Fantasy_Hitters_modified'!O211</f>
        <v>137.9999999952</v>
      </c>
      <c r="AF161">
        <f>'2025_Fantasy_Hitters_modified'!P211</f>
        <v>5.9631284916201093</v>
      </c>
      <c r="AG161">
        <f>'2025_Fantasy_Hitters_modified'!Q211</f>
        <v>2.9999999999999738</v>
      </c>
      <c r="AH161">
        <f>'2025_Fantasy_Hitters_modified'!R211</f>
        <v>0</v>
      </c>
      <c r="AI161">
        <f>'2025_Fantasy_Hitters_modified'!S211</f>
        <v>4.9285714285714128</v>
      </c>
      <c r="AJ161">
        <f>'2025_Fantasy_Hitters_modified'!T211</f>
        <v>1.071428571428529</v>
      </c>
      <c r="AK161">
        <f>'2025_Fantasy_Hitters_modified'!U211</f>
        <v>3.8571428571428839</v>
      </c>
      <c r="AL161">
        <f>'2025_Fantasy_Hitters_modified'!V211</f>
        <v>0.24396520017130588</v>
      </c>
      <c r="AM161">
        <f>'2025_Fantasy_Hitters_modified'!W211</f>
        <v>0.29976661496326873</v>
      </c>
      <c r="AN161">
        <f>'2025_Fantasy_Hitters_modified'!X211</f>
        <v>0.41377571674374197</v>
      </c>
      <c r="AO161">
        <f>'2025_Fantasy_Hitters_modified'!Y211</f>
        <v>0.71354233170701065</v>
      </c>
      <c r="AP161">
        <f>'2025_Fantasy_Hitters_modified'!Z211</f>
        <v>0.30468549360000002</v>
      </c>
      <c r="AQ161">
        <f>'2025_Fantasy_Hitters_modified'!AA211</f>
        <v>27.38095238</v>
      </c>
      <c r="AR161">
        <f>'2025_Fantasy_Hitters_modified'!AB211</f>
        <v>5.9013605439000001</v>
      </c>
    </row>
    <row r="162" spans="1:44" x14ac:dyDescent="0.4">
      <c r="A162" t="str">
        <f>'2025_Fantasy_Hitters_modified'!A36</f>
        <v>BAL</v>
      </c>
      <c r="B162" t="str">
        <f>'2025_Fantasy_Hitters_modified'!B36</f>
        <v>Ryan Mountcastle</v>
      </c>
      <c r="C162">
        <f>'2025_Fantasy_Hitters_modified'!D36</f>
        <v>476</v>
      </c>
      <c r="D162">
        <f>'2025_Fantasy_Hitters_modified'!E36</f>
        <v>519</v>
      </c>
      <c r="E162" s="5">
        <f>(V162-AVERAGE(V$2:V$229))/AVERAGE(V$2:V$229)*100+100</f>
        <v>105.11280293719449</v>
      </c>
      <c r="F162" s="4">
        <f>E162*1.51744-31.775</f>
        <v>127.72737168901639</v>
      </c>
      <c r="G162" s="5">
        <f>(Z162-AVERAGE(Z$2:Z$229))/AVERAGE(Z$2:Z$229)*100+100</f>
        <v>98.687058144567843</v>
      </c>
      <c r="H162" s="4">
        <f>G162*0.83285-13.6979</f>
        <v>68.493616375703326</v>
      </c>
      <c r="I162" s="5">
        <f>(AA162-AVERAGE(AA$2:AA$229))/AVERAGE(AA$2:AA$229)*100+100</f>
        <v>91.149051478885738</v>
      </c>
      <c r="J162" s="5">
        <f>(AB162-AVERAGE(AB$2:AB$229))/AVERAGE(AB$2:AB$229)*100+100</f>
        <v>104.46556794091474</v>
      </c>
      <c r="K162" s="5">
        <f>(AC162-AVERAGE(AC$2:AC$229))/AVERAGE(AC$2:AC$229)*100+100</f>
        <v>76.6151394149678</v>
      </c>
      <c r="L162" s="5">
        <f>(AF162-AVERAGE(AF$2:AF$229))/AVERAGE(AF$2:AF$229)*100+100</f>
        <v>64.806302451074032</v>
      </c>
      <c r="M162" s="5">
        <f>(AI162-AVERAGE(AI$2:AI$229))/AVERAGE(AI$2:AI$229)*100+100</f>
        <v>28.599973698045773</v>
      </c>
      <c r="N162" s="5">
        <f>(AVERAGE(AJ$2:AJ$229)-AJ162)/AVERAGE(AJ$2:AJ$229)*100+100</f>
        <v>163.24757789197579</v>
      </c>
      <c r="O162" s="5">
        <f>(AK162-AVERAGE(AK$2:AK$229))/AVERAGE(AK$2:AK$229)*100+100</f>
        <v>25.744627866683587</v>
      </c>
      <c r="P162" s="5">
        <f>(AL162-AVERAGE(AL$2:AL$229))/AVERAGE(AL$2:AL$229)*100+100</f>
        <v>103.97807624505909</v>
      </c>
      <c r="Q162" s="5">
        <f>(AM162-AVERAGE(AM$2:AM$229))/AVERAGE(AM$2:AM$229)*100+100</f>
        <v>96.543896927313625</v>
      </c>
      <c r="R162" s="5">
        <f>(AN162-AVERAGE(AN$2:AN$229))/AVERAGE(AN$2:AN$229)*100+100</f>
        <v>99.932998258662337</v>
      </c>
      <c r="S162" s="5">
        <f>(AO162-AVERAGE(AO$2:AO$229))/AVERAGE(AO$2:AO$229)*100+100</f>
        <v>98.454381538109672</v>
      </c>
      <c r="T162" s="6">
        <f>(F162*1.5+H162*2.5+I162+J162+K162*1.5+L162+O162*0.75+P162+S162)/11.25</f>
        <v>85.3253029466036</v>
      </c>
      <c r="V162">
        <f>'2025_Fantasy_Hitters_modified'!F36</f>
        <v>123.47692463403115</v>
      </c>
      <c r="W162">
        <f>'2025_Fantasy_Hitters_modified'!G36</f>
        <v>80.739786604889687</v>
      </c>
      <c r="X162">
        <f>'2025_Fantasy_Hitters_modified'!H36</f>
        <v>22.672609968062741</v>
      </c>
      <c r="Y162">
        <f>'2025_Fantasy_Hitters_modified'!I36</f>
        <v>0.99134545635581595</v>
      </c>
      <c r="Z162">
        <f>'2025_Fantasy_Hitters_modified'!J36</f>
        <v>17.99999999999995</v>
      </c>
      <c r="AA162">
        <f>'2025_Fantasy_Hitters_modified'!K36</f>
        <v>60.105639097744245</v>
      </c>
      <c r="AB162">
        <f>'2025_Fantasy_Hitters_modified'!L36</f>
        <v>66.999999999999716</v>
      </c>
      <c r="AC162" s="2">
        <f>'2025_Fantasy_Hitters_modified'!M36</f>
        <v>35.012030076884948</v>
      </c>
      <c r="AD162">
        <f>'2025_Fantasy_Hitters_modified'!N36</f>
        <v>0.99755639097740489</v>
      </c>
      <c r="AE162">
        <f>'2025_Fantasy_Hitters_modified'!O36</f>
        <v>123.8966165355</v>
      </c>
      <c r="AF162">
        <f>'2025_Fantasy_Hitters_modified'!P36</f>
        <v>3.7973384030418056</v>
      </c>
      <c r="AG162">
        <f>'2025_Fantasy_Hitters_modified'!Q36</f>
        <v>4.999999999999992</v>
      </c>
      <c r="AH162">
        <f>'2025_Fantasy_Hitters_modified'!R36</f>
        <v>0</v>
      </c>
      <c r="AI162">
        <f>'2025_Fantasy_Hitters_modified'!S36</f>
        <v>2.9926691729323078</v>
      </c>
      <c r="AJ162">
        <f>'2025_Fantasy_Hitters_modified'!T36</f>
        <v>0.99755639097740489</v>
      </c>
      <c r="AK162">
        <f>'2025_Fantasy_Hitters_modified'!U36</f>
        <v>1.9951127819549028</v>
      </c>
      <c r="AL162">
        <f>'2025_Fantasy_Hitters_modified'!V36</f>
        <v>0.25940530385300664</v>
      </c>
      <c r="AM162">
        <f>'2025_Fantasy_Hitters_modified'!W36</f>
        <v>0.31582363998406265</v>
      </c>
      <c r="AN162">
        <f>'2025_Fantasy_Hitters_modified'!X36</f>
        <v>0.42239294729008908</v>
      </c>
      <c r="AO162">
        <f>'2025_Fantasy_Hitters_modified'!Y36</f>
        <v>0.73821658727415174</v>
      </c>
      <c r="AP162">
        <f>'2025_Fantasy_Hitters_modified'!Z36</f>
        <v>0.311046512</v>
      </c>
      <c r="AQ162">
        <f>'2025_Fantasy_Hitters_modified'!AA36</f>
        <v>23.872180449999998</v>
      </c>
      <c r="AR162">
        <f>'2025_Fantasy_Hitters_modified'!AB36</f>
        <v>6.7460558914999904</v>
      </c>
    </row>
    <row r="163" spans="1:44" x14ac:dyDescent="0.4">
      <c r="A163" t="str">
        <f>'2025_Fantasy_Hitters_modified'!A53</f>
        <v>CHC</v>
      </c>
      <c r="B163" t="str">
        <f>'2025_Fantasy_Hitters_modified'!B53</f>
        <v>Matt Shaw</v>
      </c>
      <c r="C163">
        <f>'2025_Fantasy_Hitters_modified'!D53</f>
        <v>425</v>
      </c>
      <c r="D163">
        <f>'2025_Fantasy_Hitters_modified'!E53</f>
        <v>473</v>
      </c>
      <c r="E163" s="5">
        <f>(V163-AVERAGE(V$2:V$229))/AVERAGE(V$2:V$229)*100+100</f>
        <v>88.562833588538894</v>
      </c>
      <c r="F163" s="4">
        <f>E163*1.51744-31.775</f>
        <v>102.61378620059244</v>
      </c>
      <c r="G163" s="5">
        <f>(Z163-AVERAGE(Z$2:Z$229))/AVERAGE(Z$2:Z$229)*100+100</f>
        <v>74.563555042562371</v>
      </c>
      <c r="H163" s="4">
        <f>G163*0.83285-13.6979</f>
        <v>48.402356817198068</v>
      </c>
      <c r="I163" s="5">
        <f>(AA163-AVERAGE(AA$2:AA$229))/AVERAGE(AA$2:AA$229)*100+100</f>
        <v>85.00785128316096</v>
      </c>
      <c r="J163" s="5">
        <f>(AB163-AVERAGE(AB$2:AB$229))/AVERAGE(AB$2:AB$229)*100+100</f>
        <v>84.196129385215031</v>
      </c>
      <c r="K163" s="5">
        <f>(AC163-AVERAGE(AC$2:AC$229))/AVERAGE(AC$2:AC$229)*100+100</f>
        <v>73.468575849986976</v>
      </c>
      <c r="L163" s="5">
        <f>(AF163-AVERAGE(AF$2:AF$229))/AVERAGE(AF$2:AF$229)*100+100</f>
        <v>89.535505946621029</v>
      </c>
      <c r="M163" s="5">
        <f>(AI163-AVERAGE(AI$2:AI$229))/AVERAGE(AI$2:AI$229)*100+100</f>
        <v>160.85435249956316</v>
      </c>
      <c r="N163" s="5">
        <f>(AVERAGE(AJ$2:AJ$229)-AJ163)/AVERAGE(AJ$2:AJ$229)*100+100</f>
        <v>47.451201468240136</v>
      </c>
      <c r="O163" s="5">
        <f>(AK163-AVERAGE(AK$2:AK$229))/AVERAGE(AK$2:AK$229)*100+100</f>
        <v>163.76332262810698</v>
      </c>
      <c r="P163" s="5">
        <f>(AL163-AVERAGE(AL$2:AL$229))/AVERAGE(AL$2:AL$229)*100+100</f>
        <v>98.119581466319914</v>
      </c>
      <c r="Q163" s="5">
        <f>(AM163-AVERAGE(AM$2:AM$229))/AVERAGE(AM$2:AM$229)*100+100</f>
        <v>95.020802083032663</v>
      </c>
      <c r="R163" s="5">
        <f>(AN163-AVERAGE(AN$2:AN$229))/AVERAGE(AN$2:AN$229)*100+100</f>
        <v>92.638796057646687</v>
      </c>
      <c r="S163" s="5">
        <f>(AO163-AVERAGE(AO$2:AO$229))/AVERAGE(AO$2:AO$229)*100+100</f>
        <v>93.67803141629885</v>
      </c>
      <c r="T163" s="6">
        <f>(F163*1.5+H163*2.5+I163+J163+K163*1.5+L163+O163*0.75+P163+S163)/11.25</f>
        <v>85.199024585560906</v>
      </c>
      <c r="V163">
        <f>'2025_Fantasy_Hitters_modified'!F53</f>
        <v>104.0355315700435</v>
      </c>
      <c r="W163">
        <f>'2025_Fantasy_Hitters_modified'!G53</f>
        <v>70.689216267840962</v>
      </c>
      <c r="X163">
        <f>'2025_Fantasy_Hitters_modified'!H53</f>
        <v>17.693908350660646</v>
      </c>
      <c r="Y163">
        <f>'2025_Fantasy_Hitters_modified'!I53</f>
        <v>1.9789523869603292</v>
      </c>
      <c r="Z163">
        <f>'2025_Fantasy_Hitters_modified'!J53</f>
        <v>13.599999999999962</v>
      </c>
      <c r="AA163">
        <f>'2025_Fantasy_Hitters_modified'!K53</f>
        <v>56.055999999999649</v>
      </c>
      <c r="AB163">
        <f>'2025_Fantasy_Hitters_modified'!L53</f>
        <v>53.999999999999872</v>
      </c>
      <c r="AC163" s="2">
        <f>'2025_Fantasy_Hitters_modified'!M53</f>
        <v>33.574095237672005</v>
      </c>
      <c r="AD163">
        <f>'2025_Fantasy_Hitters_modified'!N53</f>
        <v>0.89999999999996627</v>
      </c>
      <c r="AE163">
        <f>'2025_Fantasy_Hitters_modified'!O53</f>
        <v>101.8076190296</v>
      </c>
      <c r="AF163">
        <f>'2025_Fantasy_Hitters_modified'!P53</f>
        <v>5.2463510848125425</v>
      </c>
      <c r="AG163">
        <f>'2025_Fantasy_Hitters_modified'!Q53</f>
        <v>2.9999999999999822</v>
      </c>
      <c r="AH163">
        <f>'2025_Fantasy_Hitters_modified'!R53</f>
        <v>0.39999999999998498</v>
      </c>
      <c r="AI163">
        <f>'2025_Fantasy_Hitters_modified'!S53</f>
        <v>16.831619047619</v>
      </c>
      <c r="AJ163">
        <f>'2025_Fantasy_Hitters_modified'!T53</f>
        <v>4.1405714285714206</v>
      </c>
      <c r="AK163">
        <f>'2025_Fantasy_Hitters_modified'!U53</f>
        <v>12.69104761904758</v>
      </c>
      <c r="AL163">
        <f>'2025_Fantasy_Hitters_modified'!V53</f>
        <v>0.24478948604716119</v>
      </c>
      <c r="AM163">
        <f>'2025_Fantasy_Hitters_modified'!W53</f>
        <v>0.31084114628874465</v>
      </c>
      <c r="AN163">
        <f>'2025_Fantasy_Hitters_modified'!X53</f>
        <v>0.39156209442363077</v>
      </c>
      <c r="AO163">
        <f>'2025_Fantasy_Hitters_modified'!Y53</f>
        <v>0.70240324071237548</v>
      </c>
      <c r="AP163">
        <f>'2025_Fantasy_Hitters_modified'!Z53</f>
        <v>0.28930817599999997</v>
      </c>
      <c r="AQ163">
        <f>'2025_Fantasy_Hitters_modified'!AA53</f>
        <v>21.52380952</v>
      </c>
      <c r="AR163">
        <f>'2025_Fantasy_Hitters_modified'!AB53</f>
        <v>7.0981173864000002</v>
      </c>
    </row>
    <row r="164" spans="1:44" x14ac:dyDescent="0.4">
      <c r="A164" t="str">
        <f>'2025_Fantasy_Hitters_modified'!A63</f>
        <v>CIN</v>
      </c>
      <c r="B164" t="str">
        <f>'2025_Fantasy_Hitters_modified'!B63</f>
        <v>Jeimer Candelario</v>
      </c>
      <c r="C164">
        <f>'2025_Fantasy_Hitters_modified'!D63</f>
        <v>449</v>
      </c>
      <c r="D164">
        <f>'2025_Fantasy_Hitters_modified'!E63</f>
        <v>496</v>
      </c>
      <c r="E164" s="5">
        <f>(V164-AVERAGE(V$2:V$229))/AVERAGE(V$2:V$229)*100+100</f>
        <v>91.816711684167686</v>
      </c>
      <c r="F164" s="4">
        <f>E164*1.51744-31.775</f>
        <v>107.55135097802341</v>
      </c>
      <c r="G164" s="5">
        <f>(Z164-AVERAGE(Z$2:Z$229))/AVERAGE(Z$2:Z$229)*100+100</f>
        <v>94.300966671475877</v>
      </c>
      <c r="H164" s="4">
        <f>G164*0.83285-13.6979</f>
        <v>64.84066009233868</v>
      </c>
      <c r="I164" s="5">
        <f>(AA164-AVERAGE(AA$2:AA$229))/AVERAGE(AA$2:AA$229)*100+100</f>
        <v>86.564832447595009</v>
      </c>
      <c r="J164" s="5">
        <f>(AB164-AVERAGE(AB$2:AB$229))/AVERAGE(AB$2:AB$229)*100+100</f>
        <v>96.669630034876747</v>
      </c>
      <c r="K164" s="5">
        <f>(AC164-AVERAGE(AC$2:AC$229))/AVERAGE(AC$2:AC$229)*100+100</f>
        <v>81.233502512039593</v>
      </c>
      <c r="L164" s="5">
        <f>(AF164-AVERAGE(AF$2:AF$229))/AVERAGE(AF$2:AF$229)*100+100</f>
        <v>104.45107635084457</v>
      </c>
      <c r="M164" s="5">
        <f>(AI164-AVERAGE(AI$2:AI$229))/AVERAGE(AI$2:AI$229)*100+100</f>
        <v>47.460040518960611</v>
      </c>
      <c r="N164" s="5">
        <f>(AVERAGE(AJ$2:AJ$229)-AJ164)/AVERAGE(AJ$2:AJ$229)*100+100</f>
        <v>126.8137183271882</v>
      </c>
      <c r="O164" s="5">
        <f>(AK164-AVERAGE(AK$2:AK$229))/AVERAGE(AK$2:AK$229)*100+100</f>
        <v>38.449579889077079</v>
      </c>
      <c r="P164" s="5">
        <f>(AL164-AVERAGE(AL$2:AL$229))/AVERAGE(AL$2:AL$229)*100+100</f>
        <v>96.287188872288908</v>
      </c>
      <c r="Q164" s="5">
        <f>(AM164-AVERAGE(AM$2:AM$229))/AVERAGE(AM$2:AM$229)*100+100</f>
        <v>94.862291682400951</v>
      </c>
      <c r="R164" s="5">
        <f>(AN164-AVERAGE(AN$2:AN$229))/AVERAGE(AN$2:AN$229)*100+100</f>
        <v>97.690299281908864</v>
      </c>
      <c r="S164" s="5">
        <f>(AO164-AVERAGE(AO$2:AO$229))/AVERAGE(AO$2:AO$229)*100+100</f>
        <v>96.456479778253495</v>
      </c>
      <c r="T164" s="6">
        <f>(F164*1.5+H164*2.5+I164+J164+K164*1.5+L164+O164*0.75+P164+S164)/11.25</f>
        <v>84.84847314369847</v>
      </c>
      <c r="V164">
        <f>'2025_Fantasy_Hitters_modified'!F63</f>
        <v>107.85789049450628</v>
      </c>
      <c r="W164">
        <f>'2025_Fantasy_Hitters_modified'!G63</f>
        <v>64.713099953925123</v>
      </c>
      <c r="X164">
        <f>'2025_Fantasy_Hitters_modified'!H63</f>
        <v>22.913532762347689</v>
      </c>
      <c r="Y164">
        <f>'2025_Fantasy_Hitters_modified'!I63</f>
        <v>2.019346023608946</v>
      </c>
      <c r="Z164">
        <f>'2025_Fantasy_Hitters_modified'!J63</f>
        <v>17.199999999999942</v>
      </c>
      <c r="AA164">
        <f>'2025_Fantasy_Hitters_modified'!K63</f>
        <v>57.082706766916878</v>
      </c>
      <c r="AB164">
        <f>'2025_Fantasy_Hitters_modified'!L63</f>
        <v>62</v>
      </c>
      <c r="AC164" s="2">
        <f>'2025_Fantasy_Hitters_modified'!M63</f>
        <v>37.122556389248004</v>
      </c>
      <c r="AD164">
        <f>'2025_Fantasy_Hitters_modified'!N63</f>
        <v>0.99323308270673794</v>
      </c>
      <c r="AE164">
        <f>'2025_Fantasy_Hitters_modified'!O63</f>
        <v>118.406015032</v>
      </c>
      <c r="AF164">
        <f>'2025_Fantasy_Hitters_modified'!P63</f>
        <v>6.1203319502074205</v>
      </c>
      <c r="AG164">
        <f>'2025_Fantasy_Hitters_modified'!Q63</f>
        <v>2.9999999999999534</v>
      </c>
      <c r="AH164">
        <f>'2025_Fantasy_Hitters_modified'!R63</f>
        <v>0</v>
      </c>
      <c r="AI164">
        <f>'2025_Fantasy_Hitters_modified'!S63</f>
        <v>4.9661654135338145</v>
      </c>
      <c r="AJ164">
        <f>'2025_Fantasy_Hitters_modified'!T63</f>
        <v>1.9864661654135207</v>
      </c>
      <c r="AK164">
        <f>'2025_Fantasy_Hitters_modified'!U63</f>
        <v>2.9796992481202937</v>
      </c>
      <c r="AL164">
        <f>'2025_Fantasy_Hitters_modified'!V63</f>
        <v>0.24021801891872221</v>
      </c>
      <c r="AM164">
        <f>'2025_Fantasy_Hitters_modified'!W63</f>
        <v>0.31032261188837201</v>
      </c>
      <c r="AN164">
        <f>'2025_Fantasy_Hitters_modified'!X63</f>
        <v>0.4129135936513299</v>
      </c>
      <c r="AO164">
        <f>'2025_Fantasy_Hitters_modified'!Y63</f>
        <v>0.72323620553970192</v>
      </c>
      <c r="AP164">
        <f>'2025_Fantasy_Hitters_modified'!Z63</f>
        <v>0.28653481040000001</v>
      </c>
      <c r="AQ164">
        <f>'2025_Fantasy_Hitters_modified'!AA63</f>
        <v>23.872180449999998</v>
      </c>
      <c r="AR164">
        <f>'2025_Fantasy_Hitters_modified'!AB63</f>
        <v>7.4843863688000001</v>
      </c>
    </row>
    <row r="165" spans="1:44" x14ac:dyDescent="0.4">
      <c r="A165" t="str">
        <f>'2025_Fantasy_Hitters_modified'!A49</f>
        <v>BOS</v>
      </c>
      <c r="B165" t="str">
        <f>'2025_Fantasy_Hitters_modified'!B49</f>
        <v>Wilyer Abreu</v>
      </c>
      <c r="C165">
        <f>'2025_Fantasy_Hitters_modified'!D49</f>
        <v>411</v>
      </c>
      <c r="D165">
        <f>'2025_Fantasy_Hitters_modified'!E49</f>
        <v>466</v>
      </c>
      <c r="E165" s="5">
        <f>(V165-AVERAGE(V$2:V$229))/AVERAGE(V$2:V$229)*100+100</f>
        <v>83.040510376357901</v>
      </c>
      <c r="F165" s="4">
        <f>E165*1.51744-31.775</f>
        <v>94.23399206550053</v>
      </c>
      <c r="G165" s="5">
        <f>(Z165-AVERAGE(Z$2:Z$229))/AVERAGE(Z$2:Z$229)*100+100</f>
        <v>92.107920934929851</v>
      </c>
      <c r="H165" s="4">
        <f>G165*0.83285-13.6979</f>
        <v>63.014181950656322</v>
      </c>
      <c r="I165" s="5">
        <f>(AA165-AVERAGE(AA$2:AA$229))/AVERAGE(AA$2:AA$229)*100+100</f>
        <v>89.841933508611419</v>
      </c>
      <c r="J165" s="5">
        <f>(AB165-AVERAGE(AB$2:AB$229))/AVERAGE(AB$2:AB$229)*100+100</f>
        <v>90.432879710045455</v>
      </c>
      <c r="K165" s="5">
        <f>(AC165-AVERAGE(AC$2:AC$229))/AVERAGE(AC$2:AC$229)*100+100</f>
        <v>103.48868189773043</v>
      </c>
      <c r="L165" s="5">
        <f>(AF165-AVERAGE(AF$2:AF$229))/AVERAGE(AF$2:AF$229)*100+100</f>
        <v>66.367941775769594</v>
      </c>
      <c r="M165" s="5">
        <f>(AI165-AVERAGE(AI$2:AI$229))/AVERAGE(AI$2:AI$229)*100+100</f>
        <v>85.829402661811059</v>
      </c>
      <c r="N165" s="5">
        <f>(AVERAGE(AJ$2:AJ$229)-AJ165)/AVERAGE(AJ$2:AJ$229)*100+100</f>
        <v>89.704848360679421</v>
      </c>
      <c r="O165" s="5">
        <f>(AK165-AVERAGE(AK$2:AK$229))/AVERAGE(AK$2:AK$229)*100+100</f>
        <v>77.260421805878224</v>
      </c>
      <c r="P165" s="5">
        <f>(AL165-AVERAGE(AL$2:AL$229))/AVERAGE(AL$2:AL$229)*100+100</f>
        <v>95.135214452795566</v>
      </c>
      <c r="Q165" s="5">
        <f>(AM165-AVERAGE(AM$2:AM$229))/AVERAGE(AM$2:AM$229)*100+100</f>
        <v>98.963707608403126</v>
      </c>
      <c r="R165" s="5">
        <f>(AN165-AVERAGE(AN$2:AN$229))/AVERAGE(AN$2:AN$229)*100+100</f>
        <v>100.2935473499931</v>
      </c>
      <c r="S165" s="5">
        <f>(AO165-AVERAGE(AO$2:AO$229))/AVERAGE(AO$2:AO$229)*100+100</f>
        <v>99.713357179996635</v>
      </c>
      <c r="T165" s="6">
        <f>(F165*1.5+H165*2.5+I165+J165+K165*1.5+L165+O165*0.75+P165+S165)/11.25</f>
        <v>84.760543004721299</v>
      </c>
      <c r="V165">
        <f>'2025_Fantasy_Hitters_modified'!F49</f>
        <v>97.548410419990461</v>
      </c>
      <c r="W165">
        <f>'2025_Fantasy_Hitters_modified'!G49</f>
        <v>56.484972397405372</v>
      </c>
      <c r="X165">
        <f>'2025_Fantasy_Hitters_modified'!H49</f>
        <v>23.215167995747276</v>
      </c>
      <c r="Y165">
        <f>'2025_Fantasy_Hitters_modified'!I49</f>
        <v>1.3715128187703269</v>
      </c>
      <c r="Z165">
        <f>'2025_Fantasy_Hitters_modified'!J49</f>
        <v>16.79999999999993</v>
      </c>
      <c r="AA165">
        <f>'2025_Fantasy_Hitters_modified'!K49</f>
        <v>59.243697478991542</v>
      </c>
      <c r="AB165">
        <f>'2025_Fantasy_Hitters_modified'!L49</f>
        <v>57.999999999999666</v>
      </c>
      <c r="AC165" s="2">
        <f>'2025_Fantasy_Hitters_modified'!M49</f>
        <v>47.292857141399999</v>
      </c>
      <c r="AD165">
        <f>'2025_Fantasy_Hitters_modified'!N49</f>
        <v>0.89999999999999336</v>
      </c>
      <c r="AE165">
        <f>'2025_Fantasy_Hitters_modified'!O49</f>
        <v>125.31092435800001</v>
      </c>
      <c r="AF165">
        <f>'2025_Fantasy_Hitters_modified'!P49</f>
        <v>3.8888429752065838</v>
      </c>
      <c r="AG165">
        <f>'2025_Fantasy_Hitters_modified'!Q49</f>
        <v>2.9999999999999778</v>
      </c>
      <c r="AH165">
        <f>'2025_Fantasy_Hitters_modified'!R49</f>
        <v>0</v>
      </c>
      <c r="AI165">
        <f>'2025_Fantasy_Hitters_modified'!S49</f>
        <v>8.9810924369747678</v>
      </c>
      <c r="AJ165">
        <f>'2025_Fantasy_Hitters_modified'!T49</f>
        <v>2.993697478991574</v>
      </c>
      <c r="AK165">
        <f>'2025_Fantasy_Hitters_modified'!U49</f>
        <v>5.9873949579831933</v>
      </c>
      <c r="AL165">
        <f>'2025_Fantasy_Hitters_modified'!V49</f>
        <v>0.23734406428221524</v>
      </c>
      <c r="AM165">
        <f>'2025_Fantasy_Hitters_modified'!W49</f>
        <v>0.32373955638786578</v>
      </c>
      <c r="AN165">
        <f>'2025_Fantasy_Hitters_modified'!X49</f>
        <v>0.42391690229978246</v>
      </c>
      <c r="AO165">
        <f>'2025_Fantasy_Hitters_modified'!Y49</f>
        <v>0.74765645868764818</v>
      </c>
      <c r="AP165">
        <f>'2025_Fantasy_Hitters_modified'!Z49</f>
        <v>0.29699027160000002</v>
      </c>
      <c r="AQ165">
        <f>'2025_Fantasy_Hitters_modified'!AA49</f>
        <v>26.8907563</v>
      </c>
      <c r="AR165">
        <f>'2025_Fantasy_Hitters_modified'!AB49</f>
        <v>10.148681789999999</v>
      </c>
    </row>
    <row r="166" spans="1:44" x14ac:dyDescent="0.4">
      <c r="A166" t="str">
        <f>'2025_Fantasy_Hitters_modified'!A112</f>
        <v>LAD</v>
      </c>
      <c r="B166" t="str">
        <f>'2025_Fantasy_Hitters_modified'!B112</f>
        <v>Michael Conforto</v>
      </c>
      <c r="C166">
        <f>'2025_Fantasy_Hitters_modified'!D112</f>
        <v>409</v>
      </c>
      <c r="D166">
        <f>'2025_Fantasy_Hitters_modified'!E112</f>
        <v>464</v>
      </c>
      <c r="E166" s="5">
        <f>(V166-AVERAGE(V$2:V$229))/AVERAGE(V$2:V$229)*100+100</f>
        <v>80.597252480805849</v>
      </c>
      <c r="F166" s="4">
        <f>E166*1.51744-31.775</f>
        <v>90.526494804474027</v>
      </c>
      <c r="G166" s="5">
        <f>(Z166-AVERAGE(Z$2:Z$229))/AVERAGE(Z$2:Z$229)*100+100</f>
        <v>96.494012408021845</v>
      </c>
      <c r="H166" s="4">
        <f>G166*0.83285-13.6979</f>
        <v>66.667138234020982</v>
      </c>
      <c r="I166" s="5">
        <f>(AA166-AVERAGE(AA$2:AA$229))/AVERAGE(AA$2:AA$229)*100+100</f>
        <v>84.088101062557513</v>
      </c>
      <c r="J166" s="5">
        <f>(AB166-AVERAGE(AB$2:AB$229))/AVERAGE(AB$2:AB$229)*100+100</f>
        <v>95.110442453668824</v>
      </c>
      <c r="K166" s="5">
        <f>(AC166-AVERAGE(AC$2:AC$229))/AVERAGE(AC$2:AC$229)*100+100</f>
        <v>100.39981251662284</v>
      </c>
      <c r="L166" s="5">
        <f>(AF166-AVERAGE(AF$2:AF$229))/AVERAGE(AF$2:AF$229)*100+100</f>
        <v>120.08675896976536</v>
      </c>
      <c r="M166" s="5">
        <f>(AI166-AVERAGE(AI$2:AI$229))/AVERAGE(AI$2:AI$229)*100+100</f>
        <v>18.986445099423449</v>
      </c>
      <c r="N166" s="5">
        <f>(AVERAGE(AJ$2:AJ$229)-AJ166)/AVERAGE(AJ$2:AJ$229)*100+100</f>
        <v>163.4021772891067</v>
      </c>
      <c r="O166" s="5">
        <f>(AK166-AVERAGE(AK$2:AK$229))/AVERAGE(AK$2:AK$229)*100+100</f>
        <v>12.818166427962495</v>
      </c>
      <c r="P166" s="5">
        <f>(AL166-AVERAGE(AL$2:AL$229))/AVERAGE(AL$2:AL$229)*100+100</f>
        <v>92.787621621180719</v>
      </c>
      <c r="Q166" s="5">
        <f>(AM166-AVERAGE(AM$2:AM$229))/AVERAGE(AM$2:AM$229)*100+100</f>
        <v>99.303010704624441</v>
      </c>
      <c r="R166" s="5">
        <f>(AN166-AVERAGE(AN$2:AN$229))/AVERAGE(AN$2:AN$229)*100+100</f>
        <v>96.54933858470028</v>
      </c>
      <c r="S166" s="5">
        <f>(AO166-AVERAGE(AO$2:AO$229))/AVERAGE(AO$2:AO$229)*100+100</f>
        <v>97.750726575604332</v>
      </c>
      <c r="T166" s="6">
        <f>(F166*1.5+H166*2.5+I166+J166+K166*1.5+L166+O166*0.75+P166+S166)/11.25</f>
        <v>84.666185072928556</v>
      </c>
      <c r="V166">
        <f>'2025_Fantasy_Hitters_modified'!F112</f>
        <v>94.678294101135918</v>
      </c>
      <c r="W166">
        <f>'2025_Fantasy_Hitters_modified'!G112</f>
        <v>58.007608092276477</v>
      </c>
      <c r="X166">
        <f>'2025_Fantasy_Hitters_modified'!H112</f>
        <v>17.78729863872363</v>
      </c>
      <c r="Y166">
        <f>'2025_Fantasy_Hitters_modified'!I112</f>
        <v>0.97567460887513391</v>
      </c>
      <c r="Z166">
        <f>'2025_Fantasy_Hitters_modified'!J112</f>
        <v>17.599999999999945</v>
      </c>
      <c r="AA166">
        <f>'2025_Fantasy_Hitters_modified'!K112</f>
        <v>55.449496981891265</v>
      </c>
      <c r="AB166">
        <f>'2025_Fantasy_Hitters_modified'!L112</f>
        <v>60.999999999999858</v>
      </c>
      <c r="AC166" s="2">
        <f>'2025_Fantasy_Hitters_modified'!M112</f>
        <v>45.881287724432006</v>
      </c>
      <c r="AD166">
        <f>'2025_Fantasy_Hitters_modified'!N112</f>
        <v>1.9867203219315823</v>
      </c>
      <c r="AE166">
        <f>'2025_Fantasy_Hitters_modified'!O112</f>
        <v>112.9657947744</v>
      </c>
      <c r="AF166">
        <f>'2025_Fantasy_Hitters_modified'!P112</f>
        <v>7.0365079365079186</v>
      </c>
      <c r="AG166">
        <f>'2025_Fantasy_Hitters_modified'!Q112</f>
        <v>3.5999999999999943</v>
      </c>
      <c r="AH166">
        <f>'2025_Fantasy_Hitters_modified'!R112</f>
        <v>0</v>
      </c>
      <c r="AI166">
        <f>'2025_Fantasy_Hitters_modified'!S112</f>
        <v>1.9867203219315823</v>
      </c>
      <c r="AJ166">
        <f>'2025_Fantasy_Hitters_modified'!T112</f>
        <v>0.99336016096579116</v>
      </c>
      <c r="AK166">
        <f>'2025_Fantasy_Hitters_modified'!U112</f>
        <v>0.99336016096579116</v>
      </c>
      <c r="AL166">
        <f>'2025_Fantasy_Hitters_modified'!V112</f>
        <v>0.23148727164091912</v>
      </c>
      <c r="AM166">
        <f>'2025_Fantasy_Hitters_modified'!W112</f>
        <v>0.324849517165471</v>
      </c>
      <c r="AN166">
        <f>'2025_Fantasy_Hitters_modified'!X112</f>
        <v>0.40809102492994848</v>
      </c>
      <c r="AO166">
        <f>'2025_Fantasy_Hitters_modified'!Y112</f>
        <v>0.73294054209541948</v>
      </c>
      <c r="AP166">
        <f>'2025_Fantasy_Hitters_modified'!Z112</f>
        <v>0.27329413479999998</v>
      </c>
      <c r="AQ166">
        <f>'2025_Fantasy_Hitters_modified'!AA112</f>
        <v>24.346076459999999</v>
      </c>
      <c r="AR166">
        <f>'2025_Fantasy_Hitters_modified'!AB112</f>
        <v>9.8882085613000008</v>
      </c>
    </row>
    <row r="167" spans="1:44" x14ac:dyDescent="0.4">
      <c r="A167" t="str">
        <f>'2025_Fantasy_Hitters_modified'!A192</f>
        <v>STL</v>
      </c>
      <c r="B167" t="str">
        <f>'2025_Fantasy_Hitters_modified'!B192</f>
        <v>Jordan Walker</v>
      </c>
      <c r="C167">
        <f>'2025_Fantasy_Hitters_modified'!D192</f>
        <v>470</v>
      </c>
      <c r="D167">
        <f>'2025_Fantasy_Hitters_modified'!E192</f>
        <v>517</v>
      </c>
      <c r="E167" s="5">
        <f>(V167-AVERAGE(V$2:V$229))/AVERAGE(V$2:V$229)*100+100</f>
        <v>99.85226154098747</v>
      </c>
      <c r="F167" s="4">
        <f>E167*1.51744-31.775</f>
        <v>119.74481575275601</v>
      </c>
      <c r="G167" s="5">
        <f>(Z167-AVERAGE(Z$2:Z$229))/AVERAGE(Z$2:Z$229)*100+100</f>
        <v>82.239215120473361</v>
      </c>
      <c r="H167" s="4">
        <f>G167*0.83285-13.6979</f>
        <v>54.79503031308623</v>
      </c>
      <c r="I167" s="5">
        <f>(AA167-AVERAGE(AA$2:AA$229))/AVERAGE(AA$2:AA$229)*100+100</f>
        <v>84.738383064541438</v>
      </c>
      <c r="J167" s="5">
        <f>(AB167-AVERAGE(AB$2:AB$229))/AVERAGE(AB$2:AB$229)*100+100</f>
        <v>91.992067291252937</v>
      </c>
      <c r="K167" s="5">
        <f>(AC167-AVERAGE(AC$2:AC$229))/AVERAGE(AC$2:AC$229)*100+100</f>
        <v>79.080025446867737</v>
      </c>
      <c r="L167" s="5">
        <f>(AF167-AVERAGE(AF$2:AF$229))/AVERAGE(AF$2:AF$229)*100+100</f>
        <v>102.64374901609861</v>
      </c>
      <c r="M167" s="5">
        <f>(AI167-AVERAGE(AI$2:AI$229))/AVERAGE(AI$2:AI$229)*100+100</f>
        <v>57.705813474089709</v>
      </c>
      <c r="N167" s="5">
        <f>(AVERAGE(AJ$2:AJ$229)-AJ167)/AVERAGE(AJ$2:AJ$229)*100+100</f>
        <v>123.6055216356966</v>
      </c>
      <c r="O167" s="5">
        <f>(AK167-AVERAGE(AK$2:AK$229))/AVERAGE(AK$2:AK$229)*100+100</f>
        <v>51.160221437876189</v>
      </c>
      <c r="P167" s="5">
        <f>(AL167-AVERAGE(AL$2:AL$229))/AVERAGE(AL$2:AL$229)*100+100</f>
        <v>100.03527291225184</v>
      </c>
      <c r="Q167" s="5">
        <f>(AM167-AVERAGE(AM$2:AM$229))/AVERAGE(AM$2:AM$229)*100+100</f>
        <v>95.824291428172486</v>
      </c>
      <c r="R167" s="5">
        <f>(AN167-AVERAGE(AN$2:AN$229))/AVERAGE(AN$2:AN$229)*100+100</f>
        <v>96.487668543279852</v>
      </c>
      <c r="S167" s="5">
        <f>(AO167-AVERAGE(AO$2:AO$229))/AVERAGE(AO$2:AO$229)*100+100</f>
        <v>96.19824654065134</v>
      </c>
      <c r="T167" s="6">
        <f>(F167*1.5+H167*2.5+I167+J167+K167*1.5+L167+O167*0.75+P167+S167)/11.25</f>
        <v>84.373575332031493</v>
      </c>
      <c r="V167">
        <f>'2025_Fantasy_Hitters_modified'!F192</f>
        <v>117.29732086205517</v>
      </c>
      <c r="W167">
        <f>'2025_Fantasy_Hitters_modified'!G192</f>
        <v>75.528256088215187</v>
      </c>
      <c r="X167">
        <f>'2025_Fantasy_Hitters_modified'!H192</f>
        <v>25.072872760307614</v>
      </c>
      <c r="Y167">
        <f>'2025_Fantasy_Hitters_modified'!I192</f>
        <v>2.0020892557449104</v>
      </c>
      <c r="Z167">
        <f>'2025_Fantasy_Hitters_modified'!J192</f>
        <v>14.999999999999988</v>
      </c>
      <c r="AA167">
        <f>'2025_Fantasy_Hitters_modified'!K192</f>
        <v>55.878306878306461</v>
      </c>
      <c r="AB167">
        <f>'2025_Fantasy_Hitters_modified'!L192</f>
        <v>58.999999999999524</v>
      </c>
      <c r="AC167" s="2">
        <f>'2025_Fantasy_Hitters_modified'!M192</f>
        <v>36.138447969535996</v>
      </c>
      <c r="AD167">
        <f>'2025_Fantasy_Hitters_modified'!N192</f>
        <v>0.39999999999998587</v>
      </c>
      <c r="AE167">
        <f>'2025_Fantasy_Hitters_modified'!O192</f>
        <v>117.6243386175</v>
      </c>
      <c r="AF167">
        <f>'2025_Fantasy_Hitters_modified'!P192</f>
        <v>6.0144312393887569</v>
      </c>
      <c r="AG167">
        <f>'2025_Fantasy_Hitters_modified'!Q192</f>
        <v>3.3999999999999782</v>
      </c>
      <c r="AH167">
        <f>'2025_Fantasy_Hitters_modified'!R192</f>
        <v>0</v>
      </c>
      <c r="AI167">
        <f>'2025_Fantasy_Hitters_modified'!S192</f>
        <v>6.0382716049382328</v>
      </c>
      <c r="AJ167">
        <f>'2025_Fantasy_Hitters_modified'!T192</f>
        <v>2.0735449735449518</v>
      </c>
      <c r="AK167">
        <f>'2025_Fantasy_Hitters_modified'!U192</f>
        <v>3.964726631393281</v>
      </c>
      <c r="AL167">
        <f>'2025_Fantasy_Hitters_modified'!V192</f>
        <v>0.24956876779160675</v>
      </c>
      <c r="AM167">
        <f>'2025_Fantasy_Hitters_modified'!W192</f>
        <v>0.3134695975709787</v>
      </c>
      <c r="AN167">
        <f>'2025_Fantasy_Hitters_modified'!X192</f>
        <v>0.40783036037460657</v>
      </c>
      <c r="AO167">
        <f>'2025_Fantasy_Hitters_modified'!Y192</f>
        <v>0.72129995794558521</v>
      </c>
      <c r="AP167">
        <f>'2025_Fantasy_Hitters_modified'!Z192</f>
        <v>0.30018963339999999</v>
      </c>
      <c r="AQ167">
        <f>'2025_Fantasy_Hitters_modified'!AA192</f>
        <v>22.75132275</v>
      </c>
      <c r="AR167">
        <f>'2025_Fantasy_Hitters_modified'!AB192</f>
        <v>6.9900286208000004</v>
      </c>
    </row>
    <row r="168" spans="1:44" x14ac:dyDescent="0.4">
      <c r="A168" t="str">
        <f>'2025_Fantasy_Hitters_modified'!A47</f>
        <v>BOS</v>
      </c>
      <c r="B168" t="str">
        <f>'2025_Fantasy_Hitters_modified'!B47</f>
        <v>Trevor Story</v>
      </c>
      <c r="C168">
        <f>'2025_Fantasy_Hitters_modified'!D47</f>
        <v>423</v>
      </c>
      <c r="D168">
        <f>'2025_Fantasy_Hitters_modified'!E47</f>
        <v>470</v>
      </c>
      <c r="E168" s="5">
        <f>(V168-AVERAGE(V$2:V$229))/AVERAGE(V$2:V$229)*100+100</f>
        <v>82.809775892029322</v>
      </c>
      <c r="F168" s="4">
        <f>E168*1.51744-31.775</f>
        <v>93.883866329600977</v>
      </c>
      <c r="G168" s="5">
        <f>(Z168-AVERAGE(Z$2:Z$229))/AVERAGE(Z$2:Z$229)*100+100</f>
        <v>73.467032174289486</v>
      </c>
      <c r="H168" s="4">
        <f>G168*0.83285-13.6979</f>
        <v>47.489117746356996</v>
      </c>
      <c r="I168" s="5">
        <f>(AA168-AVERAGE(AA$2:AA$229))/AVERAGE(AA$2:AA$229)*100+100</f>
        <v>83.539419704972616</v>
      </c>
      <c r="J168" s="5">
        <f>(AB168-AVERAGE(AB$2:AB$229))/AVERAGE(AB$2:AB$229)*100+100</f>
        <v>82.636941804007165</v>
      </c>
      <c r="K168" s="5">
        <f>(AC168-AVERAGE(AC$2:AC$229))/AVERAGE(AC$2:AC$229)*100+100</f>
        <v>79.343352941491389</v>
      </c>
      <c r="L168" s="5">
        <f>(AF168-AVERAGE(AF$2:AF$229))/AVERAGE(AF$2:AF$229)*100+100</f>
        <v>86.887573860987317</v>
      </c>
      <c r="M168" s="5">
        <f>(AI168-AVERAGE(AI$2:AI$229))/AVERAGE(AI$2:AI$229)*100+100</f>
        <v>180.38267727281897</v>
      </c>
      <c r="N168" s="5">
        <f>(AVERAGE(AJ$2:AJ$229)-AJ168)/AVERAGE(AJ$2:AJ$229)*100+100</f>
        <v>17.148921020934353</v>
      </c>
      <c r="O168" s="5">
        <f>(AK168-AVERAGE(AK$2:AK$229))/AVERAGE(AK$2:AK$229)*100+100</f>
        <v>179.51813447933978</v>
      </c>
      <c r="P168" s="5">
        <f>(AL168-AVERAGE(AL$2:AL$229))/AVERAGE(AL$2:AL$229)*100+100</f>
        <v>92.179501588077954</v>
      </c>
      <c r="Q168" s="5">
        <f>(AM168-AVERAGE(AM$2:AM$229))/AVERAGE(AM$2:AM$229)*100+100</f>
        <v>92.754799999677104</v>
      </c>
      <c r="R168" s="5">
        <f>(AN168-AVERAGE(AN$2:AN$229))/AVERAGE(AN$2:AN$229)*100+100</f>
        <v>88.41363486888153</v>
      </c>
      <c r="S168" s="5">
        <f>(AO168-AVERAGE(AO$2:AO$229))/AVERAGE(AO$2:AO$229)*100+100</f>
        <v>90.30762348754574</v>
      </c>
      <c r="T168" s="6">
        <f>(F168*1.5+H168*2.5+I168+J168+K168*1.5+L168+O168*0.75+P168+S168)/11.25</f>
        <v>84.333625295789048</v>
      </c>
      <c r="V168">
        <f>'2025_Fantasy_Hitters_modified'!F47</f>
        <v>97.277364612669203</v>
      </c>
      <c r="W168">
        <f>'2025_Fantasy_Hitters_modified'!G47</f>
        <v>61.510067382624065</v>
      </c>
      <c r="X168">
        <f>'2025_Fantasy_Hitters_modified'!H47</f>
        <v>19.970801098254569</v>
      </c>
      <c r="Y168">
        <f>'2025_Fantasy_Hitters_modified'!I47</f>
        <v>1.0082819091069954</v>
      </c>
      <c r="Z168">
        <f>'2025_Fantasy_Hitters_modified'!J47</f>
        <v>13.399999999999981</v>
      </c>
      <c r="AA168">
        <f>'2025_Fantasy_Hitters_modified'!K47</f>
        <v>55.087684729063838</v>
      </c>
      <c r="AB168">
        <f>'2025_Fantasy_Hitters_modified'!L47</f>
        <v>52.999999999999758</v>
      </c>
      <c r="AC168" s="2">
        <f>'2025_Fantasy_Hitters_modified'!M47</f>
        <v>36.258784892920005</v>
      </c>
      <c r="AD168">
        <f>'2025_Fantasy_Hitters_modified'!N47</f>
        <v>2.6087027914613818</v>
      </c>
      <c r="AE168">
        <f>'2025_Fantasy_Hitters_modified'!O47</f>
        <v>135.82922826000001</v>
      </c>
      <c r="AF168">
        <f>'2025_Fantasy_Hitters_modified'!P47</f>
        <v>5.0911949685534079</v>
      </c>
      <c r="AG168">
        <f>'2025_Fantasy_Hitters_modified'!Q47</f>
        <v>3.5999999999999783</v>
      </c>
      <c r="AH168">
        <f>'2025_Fantasy_Hitters_modified'!R47</f>
        <v>0</v>
      </c>
      <c r="AI168">
        <f>'2025_Fantasy_Hitters_modified'!S47</f>
        <v>18.875041050903089</v>
      </c>
      <c r="AJ168">
        <f>'2025_Fantasy_Hitters_modified'!T47</f>
        <v>4.9630541871921041</v>
      </c>
      <c r="AK168">
        <f>'2025_Fantasy_Hitters_modified'!U47</f>
        <v>13.911986863710986</v>
      </c>
      <c r="AL168">
        <f>'2025_Fantasy_Hitters_modified'!V47</f>
        <v>0.22997012910796502</v>
      </c>
      <c r="AM168">
        <f>'2025_Fantasy_Hitters_modified'!W47</f>
        <v>0.3034283832974638</v>
      </c>
      <c r="AN168">
        <f>'2025_Fantasy_Hitters_modified'!X47</f>
        <v>0.37370334587814208</v>
      </c>
      <c r="AO168">
        <f>'2025_Fantasy_Hitters_modified'!Y47</f>
        <v>0.67713172917560582</v>
      </c>
      <c r="AP168">
        <f>'2025_Fantasy_Hitters_modified'!Z47</f>
        <v>0.30240159799999999</v>
      </c>
      <c r="AQ168">
        <f>'2025_Fantasy_Hitters_modified'!AA47</f>
        <v>28.899835800000002</v>
      </c>
      <c r="AR168">
        <f>'2025_Fantasy_Hitters_modified'!AB47</f>
        <v>7.7146350836000002</v>
      </c>
    </row>
    <row r="169" spans="1:44" x14ac:dyDescent="0.4">
      <c r="A169" t="str">
        <f>'2025_Fantasy_Hitters_modified'!A68</f>
        <v>CIN</v>
      </c>
      <c r="B169" t="str">
        <f>'2025_Fantasy_Hitters_modified'!B68</f>
        <v>Tyler Stephenson</v>
      </c>
      <c r="C169">
        <f>'2025_Fantasy_Hitters_modified'!D68</f>
        <v>418</v>
      </c>
      <c r="D169">
        <f>'2025_Fantasy_Hitters_modified'!E68</f>
        <v>469</v>
      </c>
      <c r="E169" s="5">
        <f>(V169-AVERAGE(V$2:V$229))/AVERAGE(V$2:V$229)*100+100</f>
        <v>91.730536353927221</v>
      </c>
      <c r="F169" s="4">
        <f>E169*1.51744-31.775</f>
        <v>107.42058508490331</v>
      </c>
      <c r="G169" s="5">
        <f>(Z169-AVERAGE(Z$2:Z$229))/AVERAGE(Z$2:Z$229)*100+100</f>
        <v>86.625306593565213</v>
      </c>
      <c r="H169" s="4">
        <f>G169*0.83285-13.6979</f>
        <v>58.447986596450775</v>
      </c>
      <c r="I169" s="5">
        <f>(AA169-AVERAGE(AA$2:AA$229))/AVERAGE(AA$2:AA$229)*100+100</f>
        <v>84.745283453655844</v>
      </c>
      <c r="J169" s="5">
        <f>(AB169-AVERAGE(AB$2:AB$229))/AVERAGE(AB$2:AB$229)*100+100</f>
        <v>91.992067291253235</v>
      </c>
      <c r="K169" s="5">
        <f>(AC169-AVERAGE(AC$2:AC$229))/AVERAGE(AC$2:AC$229)*100+100</f>
        <v>88.202179724026038</v>
      </c>
      <c r="L169" s="5">
        <f>(AF169-AVERAGE(AF$2:AF$229))/AVERAGE(AF$2:AF$229)*100+100</f>
        <v>117.62773710112049</v>
      </c>
      <c r="M169" s="5">
        <f>(AI169-AVERAGE(AI$2:AI$229))/AVERAGE(AI$2:AI$229)*100+100</f>
        <v>9.515720160372382</v>
      </c>
      <c r="N169" s="5">
        <f>(AVERAGE(AJ$2:AJ$229)-AJ169)/AVERAGE(AJ$2:AJ$229)*100+100</f>
        <v>200</v>
      </c>
      <c r="O169" s="5">
        <f>(AK169-AVERAGE(AK$2:AK$229))/AVERAGE(AK$2:AK$229)*100+100</f>
        <v>12.848543690917154</v>
      </c>
      <c r="P169" s="5">
        <f>(AL169-AVERAGE(AL$2:AL$229))/AVERAGE(AL$2:AL$229)*100+100</f>
        <v>103.33103149465509</v>
      </c>
      <c r="Q169" s="5">
        <f>(AM169-AVERAGE(AM$2:AM$229))/AVERAGE(AM$2:AM$229)*100+100</f>
        <v>103.02859507666562</v>
      </c>
      <c r="R169" s="5">
        <f>(AN169-AVERAGE(AN$2:AN$229))/AVERAGE(AN$2:AN$229)*100+100</f>
        <v>100.40146915233842</v>
      </c>
      <c r="S169" s="5">
        <f>(AO169-AVERAGE(AO$2:AO$229))/AVERAGE(AO$2:AO$229)*100+100</f>
        <v>101.54764683748938</v>
      </c>
      <c r="T169" s="6">
        <f>(F169*1.5+H169*2.5+I169+J169+K169*1.5+L169+O169*0.75+P169+S169)/11.25</f>
        <v>84.305270013411828</v>
      </c>
      <c r="V169">
        <f>'2025_Fantasy_Hitters_modified'!F68</f>
        <v>107.7566595839028</v>
      </c>
      <c r="W169">
        <f>'2025_Fantasy_Hitters_modified'!G68</f>
        <v>70.735891987617549</v>
      </c>
      <c r="X169">
        <f>'2025_Fantasy_Hitters_modified'!H68</f>
        <v>20.210254853604948</v>
      </c>
      <c r="Y169">
        <f>'2025_Fantasy_Hitters_modified'!I68</f>
        <v>1.0105127426802427</v>
      </c>
      <c r="Z169">
        <f>'2025_Fantasy_Hitters_modified'!J68</f>
        <v>15.799999999999976</v>
      </c>
      <c r="AA169">
        <f>'2025_Fantasy_Hitters_modified'!K68</f>
        <v>55.882857142856835</v>
      </c>
      <c r="AB169">
        <f>'2025_Fantasy_Hitters_modified'!L68</f>
        <v>58.999999999999716</v>
      </c>
      <c r="AC169" s="2">
        <f>'2025_Fantasy_Hitters_modified'!M68</f>
        <v>40.307142856169001</v>
      </c>
      <c r="AD169">
        <f>'2025_Fantasy_Hitters_modified'!N68</f>
        <v>1.0914285714285668</v>
      </c>
      <c r="AE169">
        <f>'2025_Fantasy_Hitters_modified'!O68</f>
        <v>109.1142857028</v>
      </c>
      <c r="AF169">
        <f>'2025_Fantasy_Hitters_modified'!P68</f>
        <v>6.8924210526315486</v>
      </c>
      <c r="AG169">
        <f>'2025_Fantasy_Hitters_modified'!Q68</f>
        <v>3.5999999999999859</v>
      </c>
      <c r="AH169">
        <f>'2025_Fantasy_Hitters_modified'!R68</f>
        <v>0</v>
      </c>
      <c r="AI169">
        <f>'2025_Fantasy_Hitters_modified'!S68</f>
        <v>0.99571428571428156</v>
      </c>
      <c r="AJ169">
        <f>'2025_Fantasy_Hitters_modified'!T68</f>
        <v>0</v>
      </c>
      <c r="AK169">
        <f>'2025_Fantasy_Hitters_modified'!U68</f>
        <v>0.99571428571428156</v>
      </c>
      <c r="AL169">
        <f>'2025_Fantasy_Hitters_modified'!V68</f>
        <v>0.25779105163613109</v>
      </c>
      <c r="AM169">
        <f>'2025_Fantasy_Hitters_modified'!W68</f>
        <v>0.33703700549869675</v>
      </c>
      <c r="AN169">
        <f>'2025_Fantasy_Hitters_modified'!X68</f>
        <v>0.42437306201643088</v>
      </c>
      <c r="AO169">
        <f>'2025_Fantasy_Hitters_modified'!Y68</f>
        <v>0.76141006751512763</v>
      </c>
      <c r="AP169">
        <f>'2025_Fantasy_Hitters_modified'!Z68</f>
        <v>0.30994636800000003</v>
      </c>
      <c r="AQ169">
        <f>'2025_Fantasy_Hitters_modified'!AA68</f>
        <v>23.265306120000002</v>
      </c>
      <c r="AR169">
        <f>'2025_Fantasy_Hitters_modified'!AB68</f>
        <v>8.5942735301000006</v>
      </c>
    </row>
    <row r="170" spans="1:44" x14ac:dyDescent="0.4">
      <c r="A170" t="str">
        <f>'2025_Fantasy_Hitters_modified'!A158</f>
        <v>PHI</v>
      </c>
      <c r="B170" t="str">
        <f>'2025_Fantasy_Hitters_modified'!B158</f>
        <v>J.T. Realmuto</v>
      </c>
      <c r="C170">
        <f>'2025_Fantasy_Hitters_modified'!D158</f>
        <v>410</v>
      </c>
      <c r="D170">
        <f>'2025_Fantasy_Hitters_modified'!E158</f>
        <v>452</v>
      </c>
      <c r="E170" s="5">
        <f>(V170-AVERAGE(V$2:V$229))/AVERAGE(V$2:V$229)*100+100</f>
        <v>89.547418361187411</v>
      </c>
      <c r="F170" s="4">
        <f>E170*1.51744-31.775</f>
        <v>104.1078345180002</v>
      </c>
      <c r="G170" s="5">
        <f>(Z170-AVERAGE(Z$2:Z$229))/AVERAGE(Z$2:Z$229)*100+100</f>
        <v>87.721829461838126</v>
      </c>
      <c r="H170" s="4">
        <f>G170*0.83285-13.6979</f>
        <v>59.361225667291876</v>
      </c>
      <c r="I170" s="5">
        <f>(AA170-AVERAGE(AA$2:AA$229))/AVERAGE(AA$2:AA$229)*100+100</f>
        <v>83.615304137196233</v>
      </c>
      <c r="J170" s="5">
        <f>(AB170-AVERAGE(AB$2:AB$229))/AVERAGE(AB$2:AB$229)*100+100</f>
        <v>87.314504547630236</v>
      </c>
      <c r="K170" s="5">
        <f>(AC170-AVERAGE(AC$2:AC$229))/AVERAGE(AC$2:AC$229)*100+100</f>
        <v>67.96203569948193</v>
      </c>
      <c r="L170" s="5">
        <f>(AF170-AVERAGE(AF$2:AF$229))/AVERAGE(AF$2:AF$229)*100+100</f>
        <v>121.47922128387439</v>
      </c>
      <c r="M170" s="5">
        <f>(AI170-AVERAGE(AI$2:AI$229))/AVERAGE(AI$2:AI$229)*100+100</f>
        <v>67.104661169831815</v>
      </c>
      <c r="N170" s="5">
        <f>(AVERAGE(AJ$2:AJ$229)-AJ170)/AVERAGE(AJ$2:AJ$229)*100+100</f>
        <v>90.553654078557912</v>
      </c>
      <c r="O170" s="5">
        <f>(AK170-AVERAGE(AK$2:AK$229))/AVERAGE(AK$2:AK$229)*100+100</f>
        <v>52.274741743370555</v>
      </c>
      <c r="P170" s="5">
        <f>(AL170-AVERAGE(AL$2:AL$229))/AVERAGE(AL$2:AL$229)*100+100</f>
        <v>102.84006125208327</v>
      </c>
      <c r="Q170" s="5">
        <f>(AM170-AVERAGE(AM$2:AM$229))/AVERAGE(AM$2:AM$229)*100+100</f>
        <v>99.196877147871277</v>
      </c>
      <c r="R170" s="5">
        <f>(AN170-AVERAGE(AN$2:AN$229))/AVERAGE(AN$2:AN$229)*100+100</f>
        <v>104.25291802753071</v>
      </c>
      <c r="S170" s="5">
        <f>(AO170-AVERAGE(AO$2:AO$229))/AVERAGE(AO$2:AO$229)*100+100</f>
        <v>102.04703928459946</v>
      </c>
      <c r="T170" s="6">
        <f>(F170*1.5+H170*2.5+I170+J170+K170*1.5+L170+O170*0.75+P170+S170)/11.25</f>
        <v>83.823116116210173</v>
      </c>
      <c r="V170">
        <f>'2025_Fantasy_Hitters_modified'!F158</f>
        <v>105.19213187344116</v>
      </c>
      <c r="W170">
        <f>'2025_Fantasy_Hitters_modified'!G158</f>
        <v>65.407563373856846</v>
      </c>
      <c r="X170">
        <f>'2025_Fantasy_Hitters_modified'!H158</f>
        <v>22.55433219788161</v>
      </c>
      <c r="Y170">
        <f>'2025_Fantasy_Hitters_modified'!I158</f>
        <v>2.0503938361710587</v>
      </c>
      <c r="Z170">
        <f>'2025_Fantasy_Hitters_modified'!J158</f>
        <v>15.999999999999964</v>
      </c>
      <c r="AA170">
        <f>'2025_Fantasy_Hitters_modified'!K158</f>
        <v>55.137724550898149</v>
      </c>
      <c r="AB170">
        <f>'2025_Fantasy_Hitters_modified'!L158</f>
        <v>55.999999999999766</v>
      </c>
      <c r="AC170" s="2">
        <f>'2025_Fantasy_Hitters_modified'!M158</f>
        <v>31.057684632127998</v>
      </c>
      <c r="AD170">
        <f>'2025_Fantasy_Hitters_modified'!N158</f>
        <v>1.080439121756454</v>
      </c>
      <c r="AE170">
        <f>'2025_Fantasy_Hitters_modified'!O158</f>
        <v>110.97005986399999</v>
      </c>
      <c r="AF170">
        <f>'2025_Fantasy_Hitters_modified'!P158</f>
        <v>7.1180995475112878</v>
      </c>
      <c r="AG170">
        <f>'2025_Fantasy_Hitters_modified'!Q158</f>
        <v>2.9999999999999911</v>
      </c>
      <c r="AH170">
        <f>'2025_Fantasy_Hitters_modified'!R158</f>
        <v>0</v>
      </c>
      <c r="AI170">
        <f>'2025_Fantasy_Hitters_modified'!S158</f>
        <v>7.021756487025911</v>
      </c>
      <c r="AJ170">
        <f>'2025_Fantasy_Hitters_modified'!T158</f>
        <v>2.9706586826347219</v>
      </c>
      <c r="AK170">
        <f>'2025_Fantasy_Hitters_modified'!U158</f>
        <v>4.0510978043911887</v>
      </c>
      <c r="AL170">
        <f>'2025_Fantasy_Hitters_modified'!V158</f>
        <v>0.256566175301076</v>
      </c>
      <c r="AM170">
        <f>'2025_Fantasy_Hitters_modified'!W158</f>
        <v>0.32450232291202713</v>
      </c>
      <c r="AN170">
        <f>'2025_Fantasy_Hitters_modified'!X158</f>
        <v>0.44065221775154417</v>
      </c>
      <c r="AO170">
        <f>'2025_Fantasy_Hitters_modified'!Y158</f>
        <v>0.76515454066357136</v>
      </c>
      <c r="AP170">
        <f>'2025_Fantasy_Hitters_modified'!Z158</f>
        <v>0.31182795699999999</v>
      </c>
      <c r="AQ170">
        <f>'2025_Fantasy_Hitters_modified'!AA158</f>
        <v>24.550898199999999</v>
      </c>
      <c r="AR170">
        <f>'2025_Fantasy_Hitters_modified'!AB158</f>
        <v>6.8711691663999996</v>
      </c>
    </row>
    <row r="171" spans="1:44" x14ac:dyDescent="0.4">
      <c r="A171" t="str">
        <f>'2025_Fantasy_Hitters_modified'!A139</f>
        <v>NYM</v>
      </c>
      <c r="B171" t="str">
        <f>'2025_Fantasy_Hitters_modified'!B139</f>
        <v>Francisco Alvarez</v>
      </c>
      <c r="C171">
        <f>'2025_Fantasy_Hitters_modified'!D139</f>
        <v>414</v>
      </c>
      <c r="D171">
        <f>'2025_Fantasy_Hitters_modified'!E139</f>
        <v>465</v>
      </c>
      <c r="E171" s="5">
        <f>(V171-AVERAGE(V$2:V$229))/AVERAGE(V$2:V$229)*100+100</f>
        <v>80.867997907442046</v>
      </c>
      <c r="F171" s="4">
        <f>E171*1.51744-31.775</f>
        <v>90.937334744668846</v>
      </c>
      <c r="G171" s="5">
        <f>(Z171-AVERAGE(Z$2:Z$229))/AVERAGE(Z$2:Z$229)*100+100</f>
        <v>108.5557639590246</v>
      </c>
      <c r="H171" s="4">
        <f>G171*0.83285-13.6979</f>
        <v>76.712768013273632</v>
      </c>
      <c r="I171" s="5">
        <f>(AA171-AVERAGE(AA$2:AA$229))/AVERAGE(AA$2:AA$229)*100+100</f>
        <v>82.089470872593225</v>
      </c>
      <c r="J171" s="5">
        <f>(AB171-AVERAGE(AB$2:AB$229))/AVERAGE(AB$2:AB$229)*100+100</f>
        <v>98.228817616083759</v>
      </c>
      <c r="K171" s="5">
        <f>(AC171-AVERAGE(AC$2:AC$229))/AVERAGE(AC$2:AC$229)*100+100</f>
        <v>88.160093035229579</v>
      </c>
      <c r="L171" s="5">
        <f>(AF171-AVERAGE(AF$2:AF$229))/AVERAGE(AF$2:AF$229)*100+100</f>
        <v>101.23758225040562</v>
      </c>
      <c r="M171" s="5">
        <f>(AI171-AVERAGE(AI$2:AI$229))/AVERAGE(AI$2:AI$229)*100+100</f>
        <v>19.023271263994488</v>
      </c>
      <c r="N171" s="5">
        <f>(AVERAGE(AJ$2:AJ$229)-AJ171)/AVERAGE(AJ$2:AJ$229)*100+100</f>
        <v>163.3311920448952</v>
      </c>
      <c r="O171" s="5">
        <f>(AK171-AVERAGE(AK$2:AK$229))/AVERAGE(AK$2:AK$229)*100+100</f>
        <v>12.843028581140928</v>
      </c>
      <c r="P171" s="5">
        <f>(AL171-AVERAGE(AL$2:AL$229))/AVERAGE(AL$2:AL$229)*100+100</f>
        <v>91.974929518742968</v>
      </c>
      <c r="Q171" s="5">
        <f>(AM171-AVERAGE(AM$2:AM$229))/AVERAGE(AM$2:AM$229)*100+100</f>
        <v>94.81573564982024</v>
      </c>
      <c r="R171" s="5">
        <f>(AN171-AVERAGE(AN$2:AN$229))/AVERAGE(AN$2:AN$229)*100+100</f>
        <v>99.512665665644661</v>
      </c>
      <c r="S171" s="5">
        <f>(AO171-AVERAGE(AO$2:AO$229))/AVERAGE(AO$2:AO$229)*100+100</f>
        <v>97.463461886334869</v>
      </c>
      <c r="T171" s="6">
        <f>(F171*1.5+H171*2.5+I171+J171+K171*1.5+L171+O171*0.75+P171+S171)/11.25</f>
        <v>83.649297358493129</v>
      </c>
      <c r="V171">
        <f>'2025_Fantasy_Hitters_modified'!F139</f>
        <v>94.996341110687567</v>
      </c>
      <c r="W171">
        <f>'2025_Fantasy_Hitters_modified'!G139</f>
        <v>57.845774824937322</v>
      </c>
      <c r="X171">
        <f>'2025_Fantasy_Hitters_modified'!H139</f>
        <v>17.044503985089143</v>
      </c>
      <c r="Y171">
        <f>'2025_Fantasy_Hitters_modified'!I139</f>
        <v>1.0001220332644747</v>
      </c>
      <c r="Z171">
        <f>'2025_Fantasy_Hitters_modified'!J139</f>
        <v>19.79999999999994</v>
      </c>
      <c r="AA171">
        <f>'2025_Fantasy_Hitters_modified'!K139</f>
        <v>54.131557377048779</v>
      </c>
      <c r="AB171">
        <f>'2025_Fantasy_Hitters_modified'!L139</f>
        <v>62.999999999999567</v>
      </c>
      <c r="AC171" s="2">
        <f>'2025_Fantasy_Hitters_modified'!M139</f>
        <v>40.287909837404953</v>
      </c>
      <c r="AD171">
        <f>'2025_Fantasy_Hitters_modified'!N139</f>
        <v>0.89999999999999913</v>
      </c>
      <c r="AE171">
        <f>'2025_Fantasy_Hitters_modified'!O139</f>
        <v>113.39139343500001</v>
      </c>
      <c r="AF171">
        <f>'2025_Fantasy_Hitters_modified'!P139</f>
        <v>5.9320366132722873</v>
      </c>
      <c r="AG171">
        <f>'2025_Fantasy_Hitters_modified'!Q139</f>
        <v>2.9999999999999973</v>
      </c>
      <c r="AH171">
        <f>'2025_Fantasy_Hitters_modified'!R139</f>
        <v>0</v>
      </c>
      <c r="AI171">
        <f>'2025_Fantasy_Hitters_modified'!S139</f>
        <v>1.9905737704918014</v>
      </c>
      <c r="AJ171">
        <f>'2025_Fantasy_Hitters_modified'!T139</f>
        <v>0.99528688524589826</v>
      </c>
      <c r="AK171">
        <f>'2025_Fantasy_Hitters_modified'!U139</f>
        <v>0.99528688524590314</v>
      </c>
      <c r="AL171">
        <f>'2025_Fantasy_Hitters_modified'!V139</f>
        <v>0.22945976113692648</v>
      </c>
      <c r="AM171">
        <f>'2025_Fantasy_Hitters_modified'!W139</f>
        <v>0.31017031333672018</v>
      </c>
      <c r="AN171">
        <f>'2025_Fantasy_Hitters_modified'!X139</f>
        <v>0.42061630167852371</v>
      </c>
      <c r="AO171">
        <f>'2025_Fantasy_Hitters_modified'!Y139</f>
        <v>0.73078661501524389</v>
      </c>
      <c r="AP171">
        <f>'2025_Fantasy_Hitters_modified'!Z139</f>
        <v>0.26495440720000002</v>
      </c>
      <c r="AQ171">
        <f>'2025_Fantasy_Hitters_modified'!AA139</f>
        <v>24.385245900000001</v>
      </c>
      <c r="AR171">
        <f>'2025_Fantasy_Hitters_modified'!AB139</f>
        <v>8.6640666316999901</v>
      </c>
    </row>
    <row r="172" spans="1:44" x14ac:dyDescent="0.4">
      <c r="A172" t="str">
        <f>'2025_Fantasy_Hitters_modified'!A124</f>
        <v>MIL</v>
      </c>
      <c r="B172" t="str">
        <f>'2025_Fantasy_Hitters_modified'!B124</f>
        <v>Garrett Mitchell</v>
      </c>
      <c r="C172">
        <f>'2025_Fantasy_Hitters_modified'!D124</f>
        <v>399</v>
      </c>
      <c r="D172">
        <f>'2025_Fantasy_Hitters_modified'!E124</f>
        <v>452</v>
      </c>
      <c r="E172" s="5">
        <f>(V172-AVERAGE(V$2:V$229))/AVERAGE(V$2:V$229)*100+100</f>
        <v>78.483030169979131</v>
      </c>
      <c r="F172" s="4">
        <f>E172*1.51744-31.775</f>
        <v>87.31828930113312</v>
      </c>
      <c r="G172" s="5">
        <f>(Z172-AVERAGE(Z$2:Z$229))/AVERAGE(Z$2:Z$229)*100+100</f>
        <v>66.887894964651537</v>
      </c>
      <c r="H172" s="4">
        <f>G172*0.83285-13.6979</f>
        <v>42.009683321310035</v>
      </c>
      <c r="I172" s="5">
        <f>(AA172-AVERAGE(AA$2:AA$229))/AVERAGE(AA$2:AA$229)*100+100</f>
        <v>84.794182224355694</v>
      </c>
      <c r="J172" s="5">
        <f>(AB172-AVERAGE(AB$2:AB$229))/AVERAGE(AB$2:AB$229)*100+100</f>
        <v>76.400191479176272</v>
      </c>
      <c r="K172" s="5">
        <f>(AC172-AVERAGE(AC$2:AC$229))/AVERAGE(AC$2:AC$229)*100+100</f>
        <v>94.172534604873633</v>
      </c>
      <c r="L172" s="5">
        <f>(AF172-AVERAGE(AF$2:AF$229))/AVERAGE(AF$2:AF$229)*100+100</f>
        <v>71.456583849777189</v>
      </c>
      <c r="M172" s="5">
        <f>(AI172-AVERAGE(AI$2:AI$229))/AVERAGE(AI$2:AI$229)*100+100</f>
        <v>190.5328415468538</v>
      </c>
      <c r="N172" s="5">
        <f>(AVERAGE(AJ$2:AJ$229)-AJ172)/AVERAGE(AJ$2:AJ$229)*100+100</f>
        <v>13.817803455926665</v>
      </c>
      <c r="O172" s="5">
        <f>(AK172-AVERAGE(AK$2:AK$229))/AVERAGE(AK$2:AK$229)*100+100</f>
        <v>192.05662869001708</v>
      </c>
      <c r="P172" s="5">
        <f>(AL172-AVERAGE(AL$2:AL$229))/AVERAGE(AL$2:AL$229)*100+100</f>
        <v>92.618124086940185</v>
      </c>
      <c r="Q172" s="5">
        <f>(AM172-AVERAGE(AM$2:AM$229))/AVERAGE(AM$2:AM$229)*100+100</f>
        <v>96.168337298179921</v>
      </c>
      <c r="R172" s="5">
        <f>(AN172-AVERAGE(AN$2:AN$229))/AVERAGE(AN$2:AN$229)*100+100</f>
        <v>89.860175847190234</v>
      </c>
      <c r="S172" s="5">
        <f>(AO172-AVERAGE(AO$2:AO$229))/AVERAGE(AO$2:AO$229)*100+100</f>
        <v>92.612336991238067</v>
      </c>
      <c r="T172" s="6">
        <f>(F172*1.5+H172*2.5+I172+J172+K172*1.5+L172+O172*0.75+P172+S172)/11.25</f>
        <v>83.483051938780918</v>
      </c>
      <c r="V172">
        <f>'2025_Fantasy_Hitters_modified'!F124</f>
        <v>92.194698747965475</v>
      </c>
      <c r="W172">
        <f>'2025_Fantasy_Hitters_modified'!G124</f>
        <v>59.899644905856057</v>
      </c>
      <c r="X172">
        <f>'2025_Fantasy_Hitters_modified'!H124</f>
        <v>16.998873483942671</v>
      </c>
      <c r="Y172">
        <f>'2025_Fantasy_Hitters_modified'!I124</f>
        <v>2.9499341401949133</v>
      </c>
      <c r="Z172">
        <f>'2025_Fantasy_Hitters_modified'!J124</f>
        <v>12.199999999999966</v>
      </c>
      <c r="AA172">
        <f>'2025_Fantasy_Hitters_modified'!K124</f>
        <v>55.915102040815967</v>
      </c>
      <c r="AB172">
        <f>'2025_Fantasy_Hitters_modified'!L124</f>
        <v>48.99999999999968</v>
      </c>
      <c r="AC172" s="2">
        <f>'2025_Fantasy_Hitters_modified'!M124</f>
        <v>43.035510203068</v>
      </c>
      <c r="AD172">
        <f>'2025_Fantasy_Hitters_modified'!N124</f>
        <v>0.3999999999999867</v>
      </c>
      <c r="AE172">
        <f>'2025_Fantasy_Hitters_modified'!O124</f>
        <v>136.52244896760001</v>
      </c>
      <c r="AF172">
        <f>'2025_Fantasy_Hitters_modified'!P124</f>
        <v>4.1870129870129444</v>
      </c>
      <c r="AG172">
        <f>'2025_Fantasy_Hitters_modified'!Q124</f>
        <v>1.9999999999999789</v>
      </c>
      <c r="AH172">
        <f>'2025_Fantasy_Hitters_modified'!R124</f>
        <v>1.6805194805194594</v>
      </c>
      <c r="AI172">
        <f>'2025_Fantasy_Hitters_modified'!S124</f>
        <v>19.93714285714281</v>
      </c>
      <c r="AJ172">
        <f>'2025_Fantasy_Hitters_modified'!T124</f>
        <v>5.053469387755035</v>
      </c>
      <c r="AK172">
        <f>'2025_Fantasy_Hitters_modified'!U124</f>
        <v>14.883673469387775</v>
      </c>
      <c r="AL172">
        <f>'2025_Fantasy_Hitters_modified'!V124</f>
        <v>0.23106440788963778</v>
      </c>
      <c r="AM172">
        <f>'2025_Fantasy_Hitters_modified'!W124</f>
        <v>0.31459507336432729</v>
      </c>
      <c r="AN172">
        <f>'2025_Fantasy_Hitters_modified'!X124</f>
        <v>0.37981752955971432</v>
      </c>
      <c r="AO172">
        <f>'2025_Fantasy_Hitters_modified'!Y124</f>
        <v>0.69441260292404161</v>
      </c>
      <c r="AP172">
        <f>'2025_Fantasy_Hitters_modified'!Z124</f>
        <v>0.31709003999999902</v>
      </c>
      <c r="AQ172">
        <f>'2025_Fantasy_Hitters_modified'!AA124</f>
        <v>30.204081630000001</v>
      </c>
      <c r="AR172">
        <f>'2025_Fantasy_Hitters_modified'!AB124</f>
        <v>9.5211305758999991</v>
      </c>
    </row>
    <row r="173" spans="1:44" x14ac:dyDescent="0.4">
      <c r="A173" t="str">
        <f>'2025_Fantasy_Hitters_modified'!A27</f>
        <v>ATL</v>
      </c>
      <c r="B173" t="str">
        <f>'2025_Fantasy_Hitters_modified'!B27</f>
        <v>Sean Murphy</v>
      </c>
      <c r="C173">
        <f>'2025_Fantasy_Hitters_modified'!D27</f>
        <v>374</v>
      </c>
      <c r="D173">
        <f>'2025_Fantasy_Hitters_modified'!E27</f>
        <v>428</v>
      </c>
      <c r="E173" s="5">
        <f>(V173-AVERAGE(V$2:V$229))/AVERAGE(V$2:V$229)*100+100</f>
        <v>75.639600540047809</v>
      </c>
      <c r="F173" s="4">
        <f>E173*1.51744-31.775</f>
        <v>83.003555443490143</v>
      </c>
      <c r="G173" s="5">
        <f>(Z173-AVERAGE(Z$2:Z$229))/AVERAGE(Z$2:Z$229)*100+100</f>
        <v>93.204443803203219</v>
      </c>
      <c r="H173" s="4">
        <f>G173*0.83285-13.6979</f>
        <v>63.927421021497793</v>
      </c>
      <c r="I173" s="5">
        <f>(AA173-AVERAGE(AA$2:AA$229))/AVERAGE(AA$2:AA$229)*100+100</f>
        <v>76.630005031447453</v>
      </c>
      <c r="J173" s="5">
        <f>(AB173-AVERAGE(AB$2:AB$229))/AVERAGE(AB$2:AB$229)*100+100</f>
        <v>82.636941804007151</v>
      </c>
      <c r="K173" s="5">
        <f>(AC173-AVERAGE(AC$2:AC$229))/AVERAGE(AC$2:AC$229)*100+100</f>
        <v>89.69741228181546</v>
      </c>
      <c r="L173" s="5">
        <f>(AF173-AVERAGE(AF$2:AF$229))/AVERAGE(AF$2:AF$229)*100+100</f>
        <v>155.75300600038523</v>
      </c>
      <c r="M173" s="5">
        <f>(AI173-AVERAGE(AI$2:AI$229))/AVERAGE(AI$2:AI$229)*100+100</f>
        <v>0.95344007118336549</v>
      </c>
      <c r="N173" s="5">
        <f>(AVERAGE(AJ$2:AJ$229)-AJ173)/AVERAGE(AJ$2:AJ$229)*100+100</f>
        <v>200</v>
      </c>
      <c r="O173" s="5">
        <f>(AK173-AVERAGE(AK$2:AK$229))/AVERAGE(AK$2:AK$229)*100+100</f>
        <v>1.2873766992735227</v>
      </c>
      <c r="P173" s="5">
        <f>(AL173-AVERAGE(AL$2:AL$229))/AVERAGE(AL$2:AL$229)*100+100</f>
        <v>95.229332032399213</v>
      </c>
      <c r="Q173" s="5">
        <f>(AM173-AVERAGE(AM$2:AM$229))/AVERAGE(AM$2:AM$229)*100+100</f>
        <v>102.12090309751015</v>
      </c>
      <c r="R173" s="5">
        <f>(AN173-AVERAGE(AN$2:AN$229))/AVERAGE(AN$2:AN$229)*100+100</f>
        <v>102.52481122050602</v>
      </c>
      <c r="S173" s="5">
        <f>(AO173-AVERAGE(AO$2:AO$229))/AVERAGE(AO$2:AO$229)*100+100</f>
        <v>102.34859184969388</v>
      </c>
      <c r="T173" s="6">
        <f>(F173*1.5+H173*2.5+I173+J173+K173*1.5+L173+O173*0.75+P173+S173)/11.25</f>
        <v>82.882970078585871</v>
      </c>
      <c r="V173">
        <f>'2025_Fantasy_Hitters_modified'!F27</f>
        <v>88.85449720917687</v>
      </c>
      <c r="W173">
        <f>'2025_Fantasy_Hitters_modified'!G27</f>
        <v>53.086786866684662</v>
      </c>
      <c r="X173">
        <f>'2025_Fantasy_Hitters_modified'!H27</f>
        <v>18.961603430199389</v>
      </c>
      <c r="Y173">
        <f>'2025_Fantasy_Hitters_modified'!I27</f>
        <v>1.0207097591484624</v>
      </c>
      <c r="Z173">
        <f>'2025_Fantasy_Hitters_modified'!J27</f>
        <v>17</v>
      </c>
      <c r="AA173">
        <f>'2025_Fantasy_Hitters_modified'!K27</f>
        <v>50.531468531468377</v>
      </c>
      <c r="AB173">
        <f>'2025_Fantasy_Hitters_modified'!L27</f>
        <v>52.999999999999751</v>
      </c>
      <c r="AC173" s="2">
        <f>'2025_Fantasy_Hitters_modified'!M27</f>
        <v>40.990442889100002</v>
      </c>
      <c r="AD173">
        <f>'2025_Fantasy_Hitters_modified'!N27</f>
        <v>0.99976689976688249</v>
      </c>
      <c r="AE173">
        <f>'2025_Fantasy_Hitters_modified'!O27</f>
        <v>100.7645687512</v>
      </c>
      <c r="AF173">
        <f>'2025_Fantasy_Hitters_modified'!P27</f>
        <v>9.1263788968824517</v>
      </c>
      <c r="AG173">
        <f>'2025_Fantasy_Hitters_modified'!Q27</f>
        <v>2.9999999999999898</v>
      </c>
      <c r="AH173">
        <f>'2025_Fantasy_Hitters_modified'!R27</f>
        <v>0</v>
      </c>
      <c r="AI173">
        <f>'2025_Fantasy_Hitters_modified'!S27</f>
        <v>9.976689976689844E-2</v>
      </c>
      <c r="AJ173">
        <f>'2025_Fantasy_Hitters_modified'!T27</f>
        <v>0</v>
      </c>
      <c r="AK173">
        <f>'2025_Fantasy_Hitters_modified'!U27</f>
        <v>9.976689976689844E-2</v>
      </c>
      <c r="AL173">
        <f>'2025_Fantasy_Hitters_modified'!V27</f>
        <v>0.23757886954325366</v>
      </c>
      <c r="AM173">
        <f>'2025_Fantasy_Hitters_modified'!W27</f>
        <v>0.33406767658236919</v>
      </c>
      <c r="AN173">
        <f>'2025_Fantasy_Hitters_modified'!X27</f>
        <v>0.43334792247200221</v>
      </c>
      <c r="AO173">
        <f>'2025_Fantasy_Hitters_modified'!Y27</f>
        <v>0.7674155990543714</v>
      </c>
      <c r="AP173">
        <f>'2025_Fantasy_Hitters_modified'!Z27</f>
        <v>0.2771785356</v>
      </c>
      <c r="AQ173">
        <f>'2025_Fantasy_Hitters_modified'!AA27</f>
        <v>23.54312354</v>
      </c>
      <c r="AR173">
        <f>'2025_Fantasy_Hitters_modified'!AB27</f>
        <v>9.5772062825000006</v>
      </c>
    </row>
    <row r="174" spans="1:44" x14ac:dyDescent="0.4">
      <c r="A174" t="str">
        <f>'2025_Fantasy_Hitters_modified'!A185</f>
        <v>SFG</v>
      </c>
      <c r="B174" t="str">
        <f>'2025_Fantasy_Hitters_modified'!B185</f>
        <v>Jung Hoo Lee</v>
      </c>
      <c r="C174">
        <f>'2025_Fantasy_Hitters_modified'!D185</f>
        <v>472</v>
      </c>
      <c r="D174">
        <f>'2025_Fantasy_Hitters_modified'!E185</f>
        <v>520</v>
      </c>
      <c r="E174" s="5">
        <f>(V174-AVERAGE(V$2:V$229))/AVERAGE(V$2:V$229)*100+100</f>
        <v>115.75828510838728</v>
      </c>
      <c r="F174" s="4">
        <f>E174*1.51744-31.775</f>
        <v>143.88125215487119</v>
      </c>
      <c r="G174" s="5">
        <f>(Z174-AVERAGE(Z$2:Z$229))/AVERAGE(Z$2:Z$229)*100+100</f>
        <v>51.536574808829798</v>
      </c>
      <c r="H174" s="4">
        <f>G174*0.83285-13.6979</f>
        <v>29.224336329533894</v>
      </c>
      <c r="I174" s="5">
        <f>(AA174-AVERAGE(AA$2:AA$229))/AVERAGE(AA$2:AA$229)*100+100</f>
        <v>91.658466735452095</v>
      </c>
      <c r="J174" s="5">
        <f>(AB174-AVERAGE(AB$2:AB$229))/AVERAGE(AB$2:AB$229)*100+100</f>
        <v>81.077754222799854</v>
      </c>
      <c r="K174" s="5">
        <f>(AC174-AVERAGE(AC$2:AC$229))/AVERAGE(AC$2:AC$229)*100+100</f>
        <v>87.089581544420454</v>
      </c>
      <c r="L174" s="5">
        <f>(AF174-AVERAGE(AF$2:AF$229))/AVERAGE(AF$2:AF$229)*100+100</f>
        <v>67.381187027389416</v>
      </c>
      <c r="M174" s="5">
        <f>(AI174-AVERAGE(AI$2:AI$229))/AVERAGE(AI$2:AI$229)*100+100</f>
        <v>73.648471933806505</v>
      </c>
      <c r="N174" s="5">
        <f>(AVERAGE(AJ$2:AJ$229)-AJ174)/AVERAGE(AJ$2:AJ$229)*100+100</f>
        <v>81.864921218317377</v>
      </c>
      <c r="O174" s="5">
        <f>(AK174-AVERAGE(AK$2:AK$229))/AVERAGE(AK$2:AK$229)*100+100</f>
        <v>58.0673064941018</v>
      </c>
      <c r="P174" s="5">
        <f>(AL174-AVERAGE(AL$2:AL$229))/AVERAGE(AL$2:AL$229)*100+100</f>
        <v>115.47904917230017</v>
      </c>
      <c r="Q174" s="5">
        <f>(AM174-AVERAGE(AM$2:AM$229))/AVERAGE(AM$2:AM$229)*100+100</f>
        <v>107.38955992596124</v>
      </c>
      <c r="R174" s="5">
        <f>(AN174-AVERAGE(AN$2:AN$229))/AVERAGE(AN$2:AN$229)*100+100</f>
        <v>100.9577005467564</v>
      </c>
      <c r="S174" s="5">
        <f>(AO174-AVERAGE(AO$2:AO$229))/AVERAGE(AO$2:AO$229)*100+100</f>
        <v>103.76382933799871</v>
      </c>
      <c r="T174" s="6">
        <f>(F174*1.5+H174*2.5+I174+J174+K174*1.5+L174+O174*0.75+P174+S174)/11.25</f>
        <v>81.993587354603449</v>
      </c>
      <c r="V174">
        <f>'2025_Fantasy_Hitters_modified'!F185</f>
        <v>135.98226521115095</v>
      </c>
      <c r="W174">
        <f>'2025_Fantasy_Hitters_modified'!G185</f>
        <v>91.841558359006683</v>
      </c>
      <c r="X174">
        <f>'2025_Fantasy_Hitters_modified'!H185</f>
        <v>31.392401772365442</v>
      </c>
      <c r="Y174">
        <f>'2025_Fantasy_Hitters_modified'!I185</f>
        <v>3.0624741583342887</v>
      </c>
      <c r="Z174">
        <f>'2025_Fantasy_Hitters_modified'!J185</f>
        <v>9.3999999999999613</v>
      </c>
      <c r="AA174">
        <f>'2025_Fantasy_Hitters_modified'!K185</f>
        <v>60.441558441558314</v>
      </c>
      <c r="AB174">
        <f>'2025_Fantasy_Hitters_modified'!L185</f>
        <v>52</v>
      </c>
      <c r="AC174" s="2">
        <f>'2025_Fantasy_Hitters_modified'!M185</f>
        <v>39.798701297160001</v>
      </c>
      <c r="AD174">
        <f>'2025_Fantasy_Hitters_modified'!N185</f>
        <v>2.0532467532467278</v>
      </c>
      <c r="AE174">
        <f>'2025_Fantasy_Hitters_modified'!O185</f>
        <v>44.740259740799999</v>
      </c>
      <c r="AF174">
        <f>'2025_Fantasy_Hitters_modified'!P185</f>
        <v>3.9482142857142386</v>
      </c>
      <c r="AG174">
        <f>'2025_Fantasy_Hitters_modified'!Q185</f>
        <v>3.5999999999999512</v>
      </c>
      <c r="AH174">
        <f>'2025_Fantasy_Hitters_modified'!R185</f>
        <v>1.7928571428571336</v>
      </c>
      <c r="AI174">
        <f>'2025_Fantasy_Hitters_modified'!S185</f>
        <v>7.7064935064934437</v>
      </c>
      <c r="AJ174">
        <f>'2025_Fantasy_Hitters_modified'!T185</f>
        <v>3.2064935064934721</v>
      </c>
      <c r="AK174">
        <f>'2025_Fantasy_Hitters_modified'!U185</f>
        <v>4.4999999999999716</v>
      </c>
      <c r="AL174">
        <f>'2025_Fantasy_Hitters_modified'!V185</f>
        <v>0.28809801951515029</v>
      </c>
      <c r="AM174">
        <f>'2025_Fantasy_Hitters_modified'!W185</f>
        <v>0.3513030112886229</v>
      </c>
      <c r="AN174">
        <f>'2025_Fantasy_Hitters_modified'!X185</f>
        <v>0.4267241194464837</v>
      </c>
      <c r="AO174">
        <f>'2025_Fantasy_Hitters_modified'!Y185</f>
        <v>0.77802713073510654</v>
      </c>
      <c r="AP174">
        <f>'2025_Fantasy_Hitters_modified'!Z185</f>
        <v>0.3003424838</v>
      </c>
      <c r="AQ174">
        <f>'2025_Fantasy_Hitters_modified'!AA185</f>
        <v>8.6038961040000004</v>
      </c>
      <c r="AR174">
        <f>'2025_Fantasy_Hitters_modified'!AB185</f>
        <v>7.6535964032999999</v>
      </c>
    </row>
    <row r="175" spans="1:44" x14ac:dyDescent="0.4">
      <c r="A175" t="str">
        <f>'2025_Fantasy_Hitters_modified'!A200</f>
        <v>TBR</v>
      </c>
      <c r="B175" t="str">
        <f>'2025_Fantasy_Hitters_modified'!B200</f>
        <v>Ha-Seong Kim</v>
      </c>
      <c r="C175">
        <f>'2025_Fantasy_Hitters_modified'!D200</f>
        <v>397</v>
      </c>
      <c r="D175">
        <f>'2025_Fantasy_Hitters_modified'!E200</f>
        <v>455</v>
      </c>
      <c r="E175" s="5">
        <f>(V175-AVERAGE(V$2:V$229))/AVERAGE(V$2:V$229)*100+100</f>
        <v>80.621019054265787</v>
      </c>
      <c r="F175" s="4">
        <f>E175*1.51744-31.775</f>
        <v>90.562559153705081</v>
      </c>
      <c r="G175" s="5">
        <f>(Z175-AVERAGE(Z$2:Z$229))/AVERAGE(Z$2:Z$229)*100+100</f>
        <v>57.019189150194521</v>
      </c>
      <c r="H175" s="4">
        <f>G175*0.83285-13.6979</f>
        <v>33.790531683739502</v>
      </c>
      <c r="I175" s="5">
        <f>(AA175-AVERAGE(AA$2:AA$229))/AVERAGE(AA$2:AA$229)*100+100</f>
        <v>82.01226347167777</v>
      </c>
      <c r="J175" s="5">
        <f>(AB175-AVERAGE(AB$2:AB$229))/AVERAGE(AB$2:AB$229)*100+100</f>
        <v>68.604253573138323</v>
      </c>
      <c r="K175" s="5">
        <f>(AC175-AVERAGE(AC$2:AC$229))/AVERAGE(AC$2:AC$229)*100+100</f>
        <v>95.697194398181452</v>
      </c>
      <c r="L175" s="5">
        <f>(AF175-AVERAGE(AF$2:AF$229))/AVERAGE(AF$2:AF$229)*100+100</f>
        <v>67.400197615509768</v>
      </c>
      <c r="M175" s="5">
        <f>(AI175-AVERAGE(AI$2:AI$229))/AVERAGE(AI$2:AI$229)*100+100</f>
        <v>190.05456727952551</v>
      </c>
      <c r="N175" s="5">
        <f>(AVERAGE(AJ$2:AJ$229)-AJ175)/AVERAGE(AJ$2:AJ$229)*100+100</f>
        <v>18.758912110961816</v>
      </c>
      <c r="O175" s="5">
        <f>(AK175-AVERAGE(AK$2:AK$229))/AVERAGE(AK$2:AK$229)*100+100</f>
        <v>193.14143522052635</v>
      </c>
      <c r="P175" s="5">
        <f>(AL175-AVERAGE(AL$2:AL$229))/AVERAGE(AL$2:AL$229)*100+100</f>
        <v>95.620473566085224</v>
      </c>
      <c r="Q175" s="5">
        <f>(AM175-AVERAGE(AM$2:AM$229))/AVERAGE(AM$2:AM$229)*100+100</f>
        <v>98.656035378401342</v>
      </c>
      <c r="R175" s="5">
        <f>(AN175-AVERAGE(AN$2:AN$229))/AVERAGE(AN$2:AN$229)*100+100</f>
        <v>88.496873351173988</v>
      </c>
      <c r="S175" s="5">
        <f>(AO175-AVERAGE(AO$2:AO$229))/AVERAGE(AO$2:AO$229)*100+100</f>
        <v>92.929171288481029</v>
      </c>
      <c r="T175" s="6">
        <f>(F175*1.5+H175*2.5+I175+J175+K175*1.5+L175+O175*0.75+P175+S175)/11.25</f>
        <v>81.35896848599694</v>
      </c>
      <c r="V175">
        <f>'2025_Fantasy_Hitters_modified'!F200</f>
        <v>94.706212901871126</v>
      </c>
      <c r="W175">
        <f>'2025_Fantasy_Hitters_modified'!G200</f>
        <v>64.027907871653667</v>
      </c>
      <c r="X175">
        <f>'2025_Fantasy_Hitters_modified'!H200</f>
        <v>19.069262442089897</v>
      </c>
      <c r="Y175">
        <f>'2025_Fantasy_Hitters_modified'!I200</f>
        <v>1.5778239180970284</v>
      </c>
      <c r="Z175">
        <f>'2025_Fantasy_Hitters_modified'!J200</f>
        <v>10.399999999999929</v>
      </c>
      <c r="AA175">
        <f>'2025_Fantasy_Hitters_modified'!K200</f>
        <v>54.080645161290022</v>
      </c>
      <c r="AB175">
        <f>'2025_Fantasy_Hitters_modified'!L200</f>
        <v>44</v>
      </c>
      <c r="AC175" s="2">
        <f>'2025_Fantasy_Hitters_modified'!M200</f>
        <v>43.732258064495007</v>
      </c>
      <c r="AD175">
        <f>'2025_Fantasy_Hitters_modified'!N200</f>
        <v>1.2096774193548134</v>
      </c>
      <c r="AE175">
        <f>'2025_Fantasy_Hitters_modified'!O200</f>
        <v>79.677419367000013</v>
      </c>
      <c r="AF175">
        <f>'2025_Fantasy_Hitters_modified'!P200</f>
        <v>3.9493282149711706</v>
      </c>
      <c r="AG175">
        <f>'2025_Fantasy_Hitters_modified'!Q200</f>
        <v>2.9999999999999574</v>
      </c>
      <c r="AH175">
        <f>'2025_Fantasy_Hitters_modified'!R200</f>
        <v>3.2959692898272324</v>
      </c>
      <c r="AI175">
        <f>'2025_Fantasy_Hitters_modified'!S200</f>
        <v>19.887096774193513</v>
      </c>
      <c r="AJ175">
        <f>'2025_Fantasy_Hitters_modified'!T200</f>
        <v>4.9193548387096291</v>
      </c>
      <c r="AK175">
        <f>'2025_Fantasy_Hitters_modified'!U200</f>
        <v>14.967741935483883</v>
      </c>
      <c r="AL175">
        <f>'2025_Fantasy_Hitters_modified'!V200</f>
        <v>0.23855469244803809</v>
      </c>
      <c r="AM175">
        <f>'2025_Fantasy_Hitters_modified'!W200</f>
        <v>0.32273306952858422</v>
      </c>
      <c r="AN175">
        <f>'2025_Fantasy_Hitters_modified'!X200</f>
        <v>0.37405517508847419</v>
      </c>
      <c r="AO175">
        <f>'2025_Fantasy_Hitters_modified'!Y200</f>
        <v>0.69678824461705835</v>
      </c>
      <c r="AP175">
        <f>'2025_Fantasy_Hitters_modified'!Z200</f>
        <v>0.27202346059999999</v>
      </c>
      <c r="AQ175">
        <f>'2025_Fantasy_Hitters_modified'!AA200</f>
        <v>17.511520740000002</v>
      </c>
      <c r="AR175">
        <f>'2025_Fantasy_Hitters_modified'!AB200</f>
        <v>9.6114852889000009</v>
      </c>
    </row>
    <row r="176" spans="1:44" x14ac:dyDescent="0.4">
      <c r="A176" t="str">
        <f>'2025_Fantasy_Hitters_modified'!A80</f>
        <v>DET</v>
      </c>
      <c r="B176" t="str">
        <f>'2025_Fantasy_Hitters_modified'!B80</f>
        <v>Colt Keith</v>
      </c>
      <c r="C176">
        <f>'2025_Fantasy_Hitters_modified'!D80</f>
        <v>476</v>
      </c>
      <c r="D176">
        <f>'2025_Fantasy_Hitters_modified'!E80</f>
        <v>523</v>
      </c>
      <c r="E176" s="5">
        <f>(V176-AVERAGE(V$2:V$229))/AVERAGE(V$2:V$229)*100+100</f>
        <v>102.93450376620476</v>
      </c>
      <c r="F176" s="4">
        <f>E176*1.51744-31.775</f>
        <v>124.42193339498974</v>
      </c>
      <c r="G176" s="5">
        <f>(Z176-AVERAGE(Z$2:Z$229))/AVERAGE(Z$2:Z$229)*100+100</f>
        <v>77.85312364738121</v>
      </c>
      <c r="H176" s="4">
        <f>G176*0.83285-13.6979</f>
        <v>51.142074029721428</v>
      </c>
      <c r="I176" s="5">
        <f>(AA176-AVERAGE(AA$2:AA$229))/AVERAGE(AA$2:AA$229)*100+100</f>
        <v>92.705308170680382</v>
      </c>
      <c r="J176" s="5">
        <f>(AB176-AVERAGE(AB$2:AB$229))/AVERAGE(AB$2:AB$229)*100+100</f>
        <v>95.110442453668526</v>
      </c>
      <c r="K176" s="5">
        <f>(AC176-AVERAGE(AC$2:AC$229))/AVERAGE(AC$2:AC$229)*100+100</f>
        <v>84.270540426674728</v>
      </c>
      <c r="L176" s="5">
        <f>(AF176-AVERAGE(AF$2:AF$229))/AVERAGE(AF$2:AF$229)*100+100</f>
        <v>50.776566009395133</v>
      </c>
      <c r="M176" s="5">
        <f>(AI176-AVERAGE(AI$2:AI$229))/AVERAGE(AI$2:AI$229)*100+100</f>
        <v>46.666690747130005</v>
      </c>
      <c r="N176" s="5">
        <f>(AVERAGE(AJ$2:AJ$229)-AJ176)/AVERAGE(AJ$2:AJ$229)*100+100</f>
        <v>163.31274648359664</v>
      </c>
      <c r="O176" s="5">
        <f>(AK176-AVERAGE(AK$2:AK$229))/AVERAGE(AK$2:AK$229)*100+100</f>
        <v>50.161928381656985</v>
      </c>
      <c r="P176" s="5">
        <f>(AL176-AVERAGE(AL$2:AL$229))/AVERAGE(AL$2:AL$229)*100+100</f>
        <v>101.82329251789454</v>
      </c>
      <c r="Q176" s="5">
        <f>(AM176-AVERAGE(AM$2:AM$229))/AVERAGE(AM$2:AM$229)*100+100</f>
        <v>96.510390745290934</v>
      </c>
      <c r="R176" s="5">
        <f>(AN176-AVERAGE(AN$2:AN$229))/AVERAGE(AN$2:AN$229)*100+100</f>
        <v>95.733233021682437</v>
      </c>
      <c r="S176" s="5">
        <f>(AO176-AVERAGE(AO$2:AO$229))/AVERAGE(AO$2:AO$229)*100+100</f>
        <v>96.072295885930487</v>
      </c>
      <c r="T176" s="6">
        <f>(F176*1.5+H176*2.5+I176+J176+K176*1.5+L176+O176*0.75+P176+S176)/11.25</f>
        <v>81.333621967165513</v>
      </c>
      <c r="V176">
        <f>'2025_Fantasy_Hitters_modified'!F80</f>
        <v>120.91805763542791</v>
      </c>
      <c r="W176">
        <f>'2025_Fantasy_Hitters_modified'!G80</f>
        <v>79.986844947771331</v>
      </c>
      <c r="X176">
        <f>'2025_Fantasy_Hitters_modified'!H80</f>
        <v>22.939395566493822</v>
      </c>
      <c r="Y176">
        <f>'2025_Fantasy_Hitters_modified'!I80</f>
        <v>3.3145792046232949</v>
      </c>
      <c r="Z176">
        <f>'2025_Fantasy_Hitters_modified'!J80</f>
        <v>14.199999999999946</v>
      </c>
      <c r="AA176">
        <f>'2025_Fantasy_Hitters_modified'!K80</f>
        <v>61.131868131867833</v>
      </c>
      <c r="AB176">
        <f>'2025_Fantasy_Hitters_modified'!L80</f>
        <v>60.999999999999659</v>
      </c>
      <c r="AC176" s="2">
        <f>'2025_Fantasy_Hitters_modified'!M80</f>
        <v>38.510439562518997</v>
      </c>
      <c r="AD176">
        <f>'2025_Fantasy_Hitters_modified'!N80</f>
        <v>1.895787545787508</v>
      </c>
      <c r="AE176">
        <f>'2025_Fantasy_Hitters_modified'!O80</f>
        <v>111.11355313749999</v>
      </c>
      <c r="AF176">
        <f>'2025_Fantasy_Hitters_modified'!P80</f>
        <v>2.9752631578947275</v>
      </c>
      <c r="AG176">
        <f>'2025_Fantasy_Hitters_modified'!Q80</f>
        <v>3.9999999999999716</v>
      </c>
      <c r="AH176">
        <f>'2025_Fantasy_Hitters_modified'!R80</f>
        <v>0</v>
      </c>
      <c r="AI176">
        <f>'2025_Fantasy_Hitters_modified'!S80</f>
        <v>4.8831501831501383</v>
      </c>
      <c r="AJ176">
        <f>'2025_Fantasy_Hitters_modified'!T80</f>
        <v>0.99578754578752082</v>
      </c>
      <c r="AK176">
        <f>'2025_Fantasy_Hitters_modified'!U80</f>
        <v>3.8873626373626173</v>
      </c>
      <c r="AL176">
        <f>'2025_Fantasy_Hitters_modified'!V80</f>
        <v>0.25402953284753765</v>
      </c>
      <c r="AM176">
        <f>'2025_Fantasy_Hitters_modified'!W80</f>
        <v>0.31571403135311688</v>
      </c>
      <c r="AN176">
        <f>'2025_Fantasy_Hitters_modified'!X80</f>
        <v>0.40464154137527025</v>
      </c>
      <c r="AO176">
        <f>'2025_Fantasy_Hitters_modified'!Y80</f>
        <v>0.72035557272838713</v>
      </c>
      <c r="AP176">
        <f>'2025_Fantasy_Hitters_modified'!Z80</f>
        <v>0.30087999859999998</v>
      </c>
      <c r="AQ176">
        <f>'2025_Fantasy_Hitters_modified'!AA80</f>
        <v>21.24542125</v>
      </c>
      <c r="AR176">
        <f>'2025_Fantasy_Hitters_modified'!AB80</f>
        <v>7.3633727653000003</v>
      </c>
    </row>
    <row r="177" spans="1:44" x14ac:dyDescent="0.4">
      <c r="A177" t="str">
        <f>'2025_Fantasy_Hitters_modified'!A148</f>
        <v>NYY</v>
      </c>
      <c r="B177" t="str">
        <f>'2025_Fantasy_Hitters_modified'!B148</f>
        <v>Austin Wells</v>
      </c>
      <c r="C177">
        <f>'2025_Fantasy_Hitters_modified'!D148</f>
        <v>411</v>
      </c>
      <c r="D177">
        <f>'2025_Fantasy_Hitters_modified'!E148</f>
        <v>467</v>
      </c>
      <c r="E177" s="5">
        <f>(V177-AVERAGE(V$2:V$229))/AVERAGE(V$2:V$229)*100+100</f>
        <v>79.646748305124618</v>
      </c>
      <c r="F177" s="4">
        <f>E177*1.51744-31.775</f>
        <v>89.084161748128281</v>
      </c>
      <c r="G177" s="5">
        <f>(Z177-AVERAGE(Z$2:Z$229))/AVERAGE(Z$2:Z$229)*100+100</f>
        <v>96.494012408021774</v>
      </c>
      <c r="H177" s="4">
        <f>G177*0.83285-13.6979</f>
        <v>66.667138234020925</v>
      </c>
      <c r="I177" s="5">
        <f>(AA177-AVERAGE(AA$2:AA$229))/AVERAGE(AA$2:AA$229)*100+100</f>
        <v>79.055919923243877</v>
      </c>
      <c r="J177" s="5">
        <f>(AB177-AVERAGE(AB$2:AB$229))/AVERAGE(AB$2:AB$229)*100+100</f>
        <v>91.99206729125298</v>
      </c>
      <c r="K177" s="5">
        <f>(AC177-AVERAGE(AC$2:AC$229))/AVERAGE(AC$2:AC$229)*100+100</f>
        <v>96.608477075774999</v>
      </c>
      <c r="L177" s="5">
        <f>(AF177-AVERAGE(AF$2:AF$229))/AVERAGE(AF$2:AF$229)*100+100</f>
        <v>87.617013838079359</v>
      </c>
      <c r="M177" s="5">
        <f>(AI177-AVERAGE(AI$2:AI$229))/AVERAGE(AI$2:AI$229)*100+100</f>
        <v>29.667070679548885</v>
      </c>
      <c r="N177" s="5">
        <f>(AVERAGE(AJ$2:AJ$229)-AJ177)/AVERAGE(AJ$2:AJ$229)*100+100</f>
        <v>163.11767656505501</v>
      </c>
      <c r="O177" s="5">
        <f>(AK177-AVERAGE(AK$2:AK$229))/AVERAGE(AK$2:AK$229)*100+100</f>
        <v>27.139971967445632</v>
      </c>
      <c r="P177" s="5">
        <f>(AL177-AVERAGE(AL$2:AL$229))/AVERAGE(AL$2:AL$229)*100+100</f>
        <v>91.247156913345933</v>
      </c>
      <c r="Q177" s="5">
        <f>(AM177-AVERAGE(AM$2:AM$229))/AVERAGE(AM$2:AM$229)*100+100</f>
        <v>95.821485595581947</v>
      </c>
      <c r="R177" s="5">
        <f>(AN177-AVERAGE(AN$2:AN$229))/AVERAGE(AN$2:AN$229)*100+100</f>
        <v>95.600373748231931</v>
      </c>
      <c r="S177" s="5">
        <f>(AO177-AVERAGE(AO$2:AO$229))/AVERAGE(AO$2:AO$229)*100+100</f>
        <v>95.696841703196782</v>
      </c>
      <c r="T177" s="6">
        <f>(F177*1.5+H177*2.5+I177+J177+K177*1.5+L177+O177*0.75+P177+S177)/11.25</f>
        <v>80.9929584413876</v>
      </c>
      <c r="V177">
        <f>'2025_Fantasy_Hitters_modified'!F148</f>
        <v>93.561728571672774</v>
      </c>
      <c r="W177">
        <f>'2025_Fantasy_Hitters_modified'!G148</f>
        <v>55.24489350667114</v>
      </c>
      <c r="X177">
        <f>'2025_Fantasy_Hitters_modified'!H148</f>
        <v>18.743803154049086</v>
      </c>
      <c r="Y177">
        <f>'2025_Fantasy_Hitters_modified'!I148</f>
        <v>0.98145689929433211</v>
      </c>
      <c r="Z177">
        <f>'2025_Fantasy_Hitters_modified'!J148</f>
        <v>17.59999999999993</v>
      </c>
      <c r="AA177">
        <f>'2025_Fantasy_Hitters_modified'!K148</f>
        <v>52.131168831168544</v>
      </c>
      <c r="AB177">
        <f>'2025_Fantasy_Hitters_modified'!L148</f>
        <v>58.999999999999552</v>
      </c>
      <c r="AC177" s="2">
        <f>'2025_Fantasy_Hitters_modified'!M148</f>
        <v>44.148701299606003</v>
      </c>
      <c r="AD177">
        <f>'2025_Fantasy_Hitters_modified'!N148</f>
        <v>1.2999999999999721</v>
      </c>
      <c r="AE177">
        <f>'2025_Fantasy_Hitters_modified'!O148</f>
        <v>110.17965366529999</v>
      </c>
      <c r="AF177">
        <f>'2025_Fantasy_Hitters_modified'!P148</f>
        <v>5.133936651583646</v>
      </c>
      <c r="AG177">
        <f>'2025_Fantasy_Hitters_modified'!Q148</f>
        <v>3.3999999999999861</v>
      </c>
      <c r="AH177">
        <f>'2025_Fantasy_Hitters_modified'!R148</f>
        <v>0.39999999999999286</v>
      </c>
      <c r="AI177">
        <f>'2025_Fantasy_Hitters_modified'!S148</f>
        <v>3.1043290043289953</v>
      </c>
      <c r="AJ177">
        <f>'2025_Fantasy_Hitters_modified'!T148</f>
        <v>1.0010822510822273</v>
      </c>
      <c r="AK177">
        <f>'2025_Fantasy_Hitters_modified'!U148</f>
        <v>2.103246753246768</v>
      </c>
      <c r="AL177">
        <f>'2025_Fantasy_Hitters_modified'!V148</f>
        <v>0.2276441084468924</v>
      </c>
      <c r="AM177">
        <f>'2025_Fantasy_Hitters_modified'!W148</f>
        <v>0.31346041886274201</v>
      </c>
      <c r="AN177">
        <f>'2025_Fantasy_Hitters_modified'!X148</f>
        <v>0.40407997691642827</v>
      </c>
      <c r="AO177">
        <f>'2025_Fantasy_Hitters_modified'!Y148</f>
        <v>0.71754039577917028</v>
      </c>
      <c r="AP177">
        <f>'2025_Fantasy_Hitters_modified'!Z148</f>
        <v>0.2650255976</v>
      </c>
      <c r="AQ177">
        <f>'2025_Fantasy_Hitters_modified'!AA148</f>
        <v>23.593073589999999</v>
      </c>
      <c r="AR177">
        <f>'2025_Fantasy_Hitters_modified'!AB148</f>
        <v>9.4536833617999996</v>
      </c>
    </row>
    <row r="178" spans="1:44" x14ac:dyDescent="0.4">
      <c r="A178" t="str">
        <f>'2025_Fantasy_Hitters_modified'!A208</f>
        <v>TEX</v>
      </c>
      <c r="B178" t="str">
        <f>'2025_Fantasy_Hitters_modified'!B208</f>
        <v>Evan Carter</v>
      </c>
      <c r="C178">
        <f>'2025_Fantasy_Hitters_modified'!D208</f>
        <v>391</v>
      </c>
      <c r="D178">
        <f>'2025_Fantasy_Hitters_modified'!E208</f>
        <v>448</v>
      </c>
      <c r="E178" s="5">
        <f>(V178-AVERAGE(V$2:V$229))/AVERAGE(V$2:V$229)*100+100</f>
        <v>79.136281234728401</v>
      </c>
      <c r="F178" s="4">
        <f>E178*1.51744-31.775</f>
        <v>88.309558596826264</v>
      </c>
      <c r="G178" s="5">
        <f>(Z178-AVERAGE(Z$2:Z$229))/AVERAGE(Z$2:Z$229)*100+100</f>
        <v>69.080940701197434</v>
      </c>
      <c r="H178" s="4">
        <f>G178*0.83285-13.6979</f>
        <v>43.83616146299228</v>
      </c>
      <c r="I178" s="5">
        <f>(AA178-AVERAGE(AA$2:AA$229))/AVERAGE(AA$2:AA$229)*100+100</f>
        <v>86.939438043540022</v>
      </c>
      <c r="J178" s="5">
        <f>(AB178-AVERAGE(AB$2:AB$229))/AVERAGE(AB$2:AB$229)*100+100</f>
        <v>74.841003897968989</v>
      </c>
      <c r="K178" s="5">
        <f>(AC178-AVERAGE(AC$2:AC$229))/AVERAGE(AC$2:AC$229)*100+100</f>
        <v>97.631517453886161</v>
      </c>
      <c r="L178" s="5">
        <f>(AF178-AVERAGE(AF$2:AF$229))/AVERAGE(AF$2:AF$229)*100+100</f>
        <v>87.417092532242009</v>
      </c>
      <c r="M178" s="5">
        <f>(AI178-AVERAGE(AI$2:AI$229))/AVERAGE(AI$2:AI$229)*100+100</f>
        <v>104.52938711202025</v>
      </c>
      <c r="N178" s="5">
        <f>(AVERAGE(AJ$2:AJ$229)-AJ178)/AVERAGE(AJ$2:AJ$229)*100+100</f>
        <v>87.779886795226815</v>
      </c>
      <c r="O178" s="5">
        <f>(AK178-AVERAGE(AK$2:AK$229))/AVERAGE(AK$2:AK$229)*100+100</f>
        <v>101.83575673440119</v>
      </c>
      <c r="P178" s="5">
        <f>(AL178-AVERAGE(AL$2:AL$229))/AVERAGE(AL$2:AL$229)*100+100</f>
        <v>95.299801121841455</v>
      </c>
      <c r="Q178" s="5">
        <f>(AM178-AVERAGE(AM$2:AM$229))/AVERAGE(AM$2:AM$229)*100+100</f>
        <v>100.33694407410013</v>
      </c>
      <c r="R178" s="5">
        <f>(AN178-AVERAGE(AN$2:AN$229))/AVERAGE(AN$2:AN$229)*100+100</f>
        <v>95.745943772453941</v>
      </c>
      <c r="S178" s="5">
        <f>(AO178-AVERAGE(AO$2:AO$229))/AVERAGE(AO$2:AO$229)*100+100</f>
        <v>97.748931923703637</v>
      </c>
      <c r="T178" s="6">
        <f>(F178*1.5+H178*2.5+I178+J178+K178*1.5+L178+O178*0.75+P178+S178)/11.25</f>
        <v>80.633342471435228</v>
      </c>
      <c r="V178">
        <f>'2025_Fantasy_Hitters_modified'!F208</f>
        <v>92.962078460381107</v>
      </c>
      <c r="W178">
        <f>'2025_Fantasy_Hitters_modified'!G208</f>
        <v>57.403508763295399</v>
      </c>
      <c r="X178">
        <f>'2025_Fantasy_Hitters_modified'!H208</f>
        <v>19.364356255513471</v>
      </c>
      <c r="Y178">
        <f>'2025_Fantasy_Hitters_modified'!I208</f>
        <v>3.9012093334278428</v>
      </c>
      <c r="Z178">
        <f>'2025_Fantasy_Hitters_modified'!J208</f>
        <v>12.599999999999955</v>
      </c>
      <c r="AA178">
        <f>'2025_Fantasy_Hitters_modified'!K208</f>
        <v>57.329729729729408</v>
      </c>
      <c r="AB178">
        <f>'2025_Fantasy_Hitters_modified'!L208</f>
        <v>47.999999999999936</v>
      </c>
      <c r="AC178" s="2">
        <f>'2025_Fantasy_Hitters_modified'!M208</f>
        <v>44.616216215871994</v>
      </c>
      <c r="AD178">
        <f>'2025_Fantasy_Hitters_modified'!N208</f>
        <v>1.8864864864864794</v>
      </c>
      <c r="AE178">
        <f>'2025_Fantasy_Hitters_modified'!O208</f>
        <v>112.432432448</v>
      </c>
      <c r="AF178">
        <f>'2025_Fantasy_Hitters_modified'!P208</f>
        <v>5.122222222222157</v>
      </c>
      <c r="AG178">
        <f>'2025_Fantasy_Hitters_modified'!Q208</f>
        <v>2.999999999999968</v>
      </c>
      <c r="AH178">
        <f>'2025_Fantasy_Hitters_modified'!R208</f>
        <v>0.39999999999998975</v>
      </c>
      <c r="AI178">
        <f>'2025_Fantasy_Hitters_modified'!S208</f>
        <v>10.937837837837792</v>
      </c>
      <c r="AJ178">
        <f>'2025_Fantasy_Hitters_modified'!T208</f>
        <v>3.0459459459459159</v>
      </c>
      <c r="AK178">
        <f>'2025_Fantasy_Hitters_modified'!U208</f>
        <v>7.8918918918918761</v>
      </c>
      <c r="AL178">
        <f>'2025_Fantasy_Hitters_modified'!V208</f>
        <v>0.23775467636926115</v>
      </c>
      <c r="AM178">
        <f>'2025_Fantasy_Hitters_modified'!W208</f>
        <v>0.32823181900578979</v>
      </c>
      <c r="AN178">
        <f>'2025_Fantasy_Hitters_modified'!X208</f>
        <v>0.40469526668697109</v>
      </c>
      <c r="AO178">
        <f>'2025_Fantasy_Hitters_modified'!Y208</f>
        <v>0.73292708569276088</v>
      </c>
      <c r="AP178">
        <f>'2025_Fantasy_Hitters_modified'!Z208</f>
        <v>0.29877980900000001</v>
      </c>
      <c r="AQ178">
        <f>'2025_Fantasy_Hitters_modified'!AA208</f>
        <v>25.096525100000001</v>
      </c>
      <c r="AR178">
        <f>'2025_Fantasy_Hitters_modified'!AB208</f>
        <v>9.9589768338999995</v>
      </c>
    </row>
    <row r="179" spans="1:44" x14ac:dyDescent="0.4">
      <c r="A179" t="str">
        <f>'2025_Fantasy_Hitters_modified'!A44</f>
        <v>BOS</v>
      </c>
      <c r="B179" t="str">
        <f>'2025_Fantasy_Hitters_modified'!B44</f>
        <v>Masataka Yoshida</v>
      </c>
      <c r="C179">
        <f>'2025_Fantasy_Hitters_modified'!D44</f>
        <v>403</v>
      </c>
      <c r="D179">
        <f>'2025_Fantasy_Hitters_modified'!E44</f>
        <v>447</v>
      </c>
      <c r="E179" s="5">
        <f>(V179-AVERAGE(V$2:V$229))/AVERAGE(V$2:V$229)*100+100</f>
        <v>93.192249559475343</v>
      </c>
      <c r="F179" s="4">
        <f>E179*1.51744-31.775</f>
        <v>109.63864717153024</v>
      </c>
      <c r="G179" s="5">
        <f>(Z179-AVERAGE(Z$2:Z$229))/AVERAGE(Z$2:Z$229)*100+100</f>
        <v>60.308757755013758</v>
      </c>
      <c r="H179" s="4">
        <f>G179*0.83285-13.6979</f>
        <v>36.530248896263203</v>
      </c>
      <c r="I179" s="5">
        <f>(AA179-AVERAGE(AA$2:AA$229))/AVERAGE(AA$2:AA$229)*100+100</f>
        <v>78.432846343587926</v>
      </c>
      <c r="J179" s="5">
        <f>(AB179-AVERAGE(AB$2:AB$229))/AVERAGE(AB$2:AB$229)*100+100</f>
        <v>85.755316966422797</v>
      </c>
      <c r="K179" s="5">
        <f>(AC179-AVERAGE(AC$2:AC$229))/AVERAGE(AC$2:AC$229)*100+100</f>
        <v>74.31500701935822</v>
      </c>
      <c r="L179" s="5">
        <f>(AF179-AVERAGE(AF$2:AF$229))/AVERAGE(AF$2:AF$229)*100+100</f>
        <v>135.51233476225988</v>
      </c>
      <c r="M179" s="5">
        <f>(AI179-AVERAGE(AI$2:AI$229))/AVERAGE(AI$2:AI$229)*100+100</f>
        <v>29.014934688200199</v>
      </c>
      <c r="N179" s="5">
        <f>(AVERAGE(AJ$2:AJ$229)-AJ179)/AVERAGE(AJ$2:AJ$229)*100+100</f>
        <v>166.84179441243265</v>
      </c>
      <c r="O179" s="5">
        <f>(AK179-AVERAGE(AK$2:AK$229))/AVERAGE(AK$2:AK$229)*100+100</f>
        <v>27.563779072639122</v>
      </c>
      <c r="P179" s="5">
        <f>(AL179-AVERAGE(AL$2:AL$229))/AVERAGE(AL$2:AL$229)*100+100</f>
        <v>108.88495168556628</v>
      </c>
      <c r="Q179" s="5">
        <f>(AM179-AVERAGE(AM$2:AM$229))/AVERAGE(AM$2:AM$229)*100+100</f>
        <v>105.81836450609411</v>
      </c>
      <c r="R179" s="5">
        <f>(AN179-AVERAGE(AN$2:AN$229))/AVERAGE(AN$2:AN$229)*100+100</f>
        <v>97.831825798394618</v>
      </c>
      <c r="S179" s="5">
        <f>(AO179-AVERAGE(AO$2:AO$229))/AVERAGE(AO$2:AO$229)*100+100</f>
        <v>101.31623907436048</v>
      </c>
      <c r="T179" s="6">
        <f>(F179*1.5+H179*2.5+I179+J179+K179*1.5+L179+O179*0.75+P179+S179)/11.25</f>
        <v>79.807166814548211</v>
      </c>
      <c r="V179">
        <f>'2025_Fantasy_Hitters_modified'!F44</f>
        <v>109.4737468109067</v>
      </c>
      <c r="W179">
        <f>'2025_Fantasy_Hitters_modified'!G44</f>
        <v>75.010600044992472</v>
      </c>
      <c r="X179">
        <f>'2025_Fantasy_Hitters_modified'!H44</f>
        <v>22.33425185402006</v>
      </c>
      <c r="Y179">
        <f>'2025_Fantasy_Hitters_modified'!I44</f>
        <v>0.98871620535394833</v>
      </c>
      <c r="Z179">
        <f>'2025_Fantasy_Hitters_modified'!J44</f>
        <v>10.999999999999984</v>
      </c>
      <c r="AA179">
        <f>'2025_Fantasy_Hitters_modified'!K44</f>
        <v>51.720300751879584</v>
      </c>
      <c r="AB179">
        <f>'2025_Fantasy_Hitters_modified'!L44</f>
        <v>54.999999999999922</v>
      </c>
      <c r="AC179" s="2">
        <f>'2025_Fantasy_Hitters_modified'!M44</f>
        <v>33.960902255010005</v>
      </c>
      <c r="AD179">
        <f>'2025_Fantasy_Hitters_modified'!N44</f>
        <v>1.4120300751879384</v>
      </c>
      <c r="AE179">
        <f>'2025_Fantasy_Hitters_modified'!O44</f>
        <v>58.2556390815</v>
      </c>
      <c r="AF179">
        <f>'2025_Fantasy_Hitters_modified'!P44</f>
        <v>7.9403726708073945</v>
      </c>
      <c r="AG179">
        <f>'2025_Fantasy_Hitters_modified'!Q44</f>
        <v>2.9999999999999756</v>
      </c>
      <c r="AH179">
        <f>'2025_Fantasy_Hitters_modified'!R44</f>
        <v>0</v>
      </c>
      <c r="AI179">
        <f>'2025_Fantasy_Hitters_modified'!S44</f>
        <v>3.0360902255638877</v>
      </c>
      <c r="AJ179">
        <f>'2025_Fantasy_Hitters_modified'!T44</f>
        <v>0.89999999999996594</v>
      </c>
      <c r="AK179">
        <f>'2025_Fantasy_Hitters_modified'!U44</f>
        <v>2.1360902255639216</v>
      </c>
      <c r="AL179">
        <f>'2025_Fantasy_Hitters_modified'!V44</f>
        <v>0.27164701441912331</v>
      </c>
      <c r="AM179">
        <f>'2025_Fantasy_Hitters_modified'!W44</f>
        <v>0.34616316638467914</v>
      </c>
      <c r="AN179">
        <f>'2025_Fantasy_Hitters_modified'!X44</f>
        <v>0.41351179247914238</v>
      </c>
      <c r="AO179">
        <f>'2025_Fantasy_Hitters_modified'!Y44</f>
        <v>0.75967495886382153</v>
      </c>
      <c r="AP179">
        <f>'2025_Fantasy_Hitters_modified'!Z44</f>
        <v>0.29242879240000003</v>
      </c>
      <c r="AQ179">
        <f>'2025_Fantasy_Hitters_modified'!AA44</f>
        <v>13.03258145</v>
      </c>
      <c r="AR179">
        <f>'2025_Fantasy_Hitters_modified'!AB44</f>
        <v>7.5975172830000002</v>
      </c>
    </row>
    <row r="180" spans="1:44" x14ac:dyDescent="0.4">
      <c r="A180" t="str">
        <f>'2025_Fantasy_Hitters_modified'!A189</f>
        <v>STL</v>
      </c>
      <c r="B180" t="str">
        <f>'2025_Fantasy_Hitters_modified'!B189</f>
        <v>Alec Burleson</v>
      </c>
      <c r="C180">
        <f>'2025_Fantasy_Hitters_modified'!D189</f>
        <v>446</v>
      </c>
      <c r="D180">
        <f>'2025_Fantasy_Hitters_modified'!E189</f>
        <v>485</v>
      </c>
      <c r="E180" s="5">
        <f>(V180-AVERAGE(V$2:V$229))/AVERAGE(V$2:V$229)*100+100</f>
        <v>99.401057413584496</v>
      </c>
      <c r="F180" s="4">
        <f>E180*1.51744-31.775</f>
        <v>119.06014056166964</v>
      </c>
      <c r="G180" s="5">
        <f>(Z180-AVERAGE(Z$2:Z$229))/AVERAGE(Z$2:Z$229)*100+100</f>
        <v>80.046169383927321</v>
      </c>
      <c r="H180" s="4">
        <f>G180*0.83285-13.6979</f>
        <v>52.968552171403857</v>
      </c>
      <c r="I180" s="5">
        <f>(AA180-AVERAGE(AA$2:AA$229))/AVERAGE(AA$2:AA$229)*100+100</f>
        <v>86.673722614860068</v>
      </c>
      <c r="J180" s="5">
        <f>(AB180-AVERAGE(AB$2:AB$229))/AVERAGE(AB$2:AB$229)*100+100</f>
        <v>95.11044245366854</v>
      </c>
      <c r="K180" s="5">
        <f>(AC180-AVERAGE(AC$2:AC$229))/AVERAGE(AC$2:AC$229)*100+100</f>
        <v>71.773837863996448</v>
      </c>
      <c r="L180" s="5">
        <f>(AF180-AVERAGE(AF$2:AF$229))/AVERAGE(AF$2:AF$229)*100+100</f>
        <v>52.153814345043429</v>
      </c>
      <c r="M180" s="5">
        <f>(AI180-AVERAGE(AI$2:AI$229))/AVERAGE(AI$2:AI$229)*100+100</f>
        <v>57.704726782383212</v>
      </c>
      <c r="N180" s="5">
        <f>(AVERAGE(AJ$2:AJ$229)-AJ180)/AVERAGE(AJ$2:AJ$229)*100+100</f>
        <v>126.96607432612946</v>
      </c>
      <c r="O180" s="5">
        <f>(AK180-AVERAGE(AK$2:AK$229))/AVERAGE(AK$2:AK$229)*100+100</f>
        <v>52.335767427871232</v>
      </c>
      <c r="P180" s="5">
        <f>(AL180-AVERAGE(AL$2:AL$229))/AVERAGE(AL$2:AL$229)*100+100</f>
        <v>104.94198127772651</v>
      </c>
      <c r="Q180" s="5">
        <f>(AM180-AVERAGE(AM$2:AM$229))/AVERAGE(AM$2:AM$229)*100+100</f>
        <v>96.807712725609576</v>
      </c>
      <c r="R180" s="5">
        <f>(AN180-AVERAGE(AN$2:AN$229))/AVERAGE(AN$2:AN$229)*100+100</f>
        <v>96.510607264455558</v>
      </c>
      <c r="S180" s="5">
        <f>(AO180-AVERAGE(AO$2:AO$229))/AVERAGE(AO$2:AO$229)*100+100</f>
        <v>96.640230152554594</v>
      </c>
      <c r="T180" s="6">
        <f>(F180*1.5+H180*2.5+I180+J180+K180*1.5+L180+O180*0.75+P180+S180)/11.25</f>
        <v>79.417276842823597</v>
      </c>
      <c r="V180">
        <f>'2025_Fantasy_Hitters_modified'!F189</f>
        <v>116.76728744579103</v>
      </c>
      <c r="W180">
        <f>'2025_Fantasy_Hitters_modified'!G189</f>
        <v>80.085875440300569</v>
      </c>
      <c r="X180">
        <f>'2025_Fantasy_Hitters_modified'!H189</f>
        <v>20.231146028869514</v>
      </c>
      <c r="Y180">
        <f>'2025_Fantasy_Hitters_modified'!I189</f>
        <v>0.99580527645620942</v>
      </c>
      <c r="Z180">
        <f>'2025_Fantasy_Hitters_modified'!J189</f>
        <v>14.599999999999973</v>
      </c>
      <c r="AA180">
        <f>'2025_Fantasy_Hitters_modified'!K189</f>
        <v>57.15451127819523</v>
      </c>
      <c r="AB180">
        <f>'2025_Fantasy_Hitters_modified'!L189</f>
        <v>60.999999999999673</v>
      </c>
      <c r="AC180" s="2">
        <f>'2025_Fantasy_Hitters_modified'!M189</f>
        <v>32.799624058854995</v>
      </c>
      <c r="AD180">
        <f>'2025_Fantasy_Hitters_modified'!N189</f>
        <v>0.39999999999998198</v>
      </c>
      <c r="AE180">
        <f>'2025_Fantasy_Hitters_modified'!O189</f>
        <v>66.550751873499991</v>
      </c>
      <c r="AF180">
        <f>'2025_Fantasy_Hitters_modified'!P189</f>
        <v>3.055963302752259</v>
      </c>
      <c r="AG180">
        <f>'2025_Fantasy_Hitters_modified'!Q189</f>
        <v>3.9999999999999658</v>
      </c>
      <c r="AH180">
        <f>'2025_Fantasy_Hitters_modified'!R189</f>
        <v>0.93394495412842204</v>
      </c>
      <c r="AI180">
        <f>'2025_Fantasy_Hitters_modified'!S189</f>
        <v>6.0381578947367887</v>
      </c>
      <c r="AJ180">
        <f>'2025_Fantasy_Hitters_modified'!T189</f>
        <v>1.9823308270676319</v>
      </c>
      <c r="AK180">
        <f>'2025_Fantasy_Hitters_modified'!U189</f>
        <v>4.0558270676691563</v>
      </c>
      <c r="AL180">
        <f>'2025_Fantasy_Hitters_modified'!V189</f>
        <v>0.26181006153764802</v>
      </c>
      <c r="AM180">
        <f>'2025_Fantasy_Hitters_modified'!W189</f>
        <v>0.31668665948456881</v>
      </c>
      <c r="AN180">
        <f>'2025_Fantasy_Hitters_modified'!X189</f>
        <v>0.40792731687759665</v>
      </c>
      <c r="AO180">
        <f>'2025_Fantasy_Hitters_modified'!Y189</f>
        <v>0.72461397636216551</v>
      </c>
      <c r="AP180">
        <f>'2025_Fantasy_Hitters_modified'!Z189</f>
        <v>0.27698927940000001</v>
      </c>
      <c r="AQ180">
        <f>'2025_Fantasy_Hitters_modified'!AA189</f>
        <v>13.72180451</v>
      </c>
      <c r="AR180">
        <f>'2025_Fantasy_Hitters_modified'!AB189</f>
        <v>6.7628090842999997</v>
      </c>
    </row>
    <row r="181" spans="1:44" x14ac:dyDescent="0.4">
      <c r="A181" t="str">
        <f>'2025_Fantasy_Hitters_modified'!A97</f>
        <v>KCR</v>
      </c>
      <c r="B181" t="str">
        <f>'2025_Fantasy_Hitters_modified'!B97</f>
        <v>MJ Melendez</v>
      </c>
      <c r="C181">
        <f>'2025_Fantasy_Hitters_modified'!D97</f>
        <v>426</v>
      </c>
      <c r="D181">
        <f>'2025_Fantasy_Hitters_modified'!E97</f>
        <v>478</v>
      </c>
      <c r="E181" s="5">
        <f>(V181-AVERAGE(V$2:V$229))/AVERAGE(V$2:V$229)*100+100</f>
        <v>82.929044739401974</v>
      </c>
      <c r="F181" s="4">
        <f>E181*1.51744-31.775</f>
        <v>94.064849649358138</v>
      </c>
      <c r="G181" s="5">
        <f>(Z181-AVERAGE(Z$2:Z$229))/AVERAGE(Z$2:Z$229)*100+100</f>
        <v>93.204443803203077</v>
      </c>
      <c r="H181" s="4">
        <f>G181*0.83285-13.6979</f>
        <v>63.927421021497679</v>
      </c>
      <c r="I181" s="5">
        <f>(AA181-AVERAGE(AA$2:AA$229))/AVERAGE(AA$2:AA$229)*100+100</f>
        <v>85.489803344249395</v>
      </c>
      <c r="J181" s="5">
        <f>(AB181-AVERAGE(AB$2:AB$229))/AVERAGE(AB$2:AB$229)*100+100</f>
        <v>85.755316966422811</v>
      </c>
      <c r="K181" s="5">
        <f>(AC181-AVERAGE(AC$2:AC$229))/AVERAGE(AC$2:AC$229)*100+100</f>
        <v>104.49423568576826</v>
      </c>
      <c r="L181" s="5">
        <f>(AF181-AVERAGE(AF$2:AF$229))/AVERAGE(AF$2:AF$229)*100+100</f>
        <v>49.259233897511542</v>
      </c>
      <c r="M181" s="5">
        <f>(AI181-AVERAGE(AI$2:AI$229))/AVERAGE(AI$2:AI$229)*100+100</f>
        <v>47.536885146766785</v>
      </c>
      <c r="N181" s="5">
        <f>(AVERAGE(AJ$2:AJ$229)-AJ181)/AVERAGE(AJ$2:AJ$229)*100+100</f>
        <v>90.042828825352217</v>
      </c>
      <c r="O181" s="5">
        <f>(AK181-AVERAGE(AK$2:AK$229))/AVERAGE(AK$2:AK$229)*100+100</f>
        <v>25.674556857268655</v>
      </c>
      <c r="P181" s="5">
        <f>(AL181-AVERAGE(AL$2:AL$229))/AVERAGE(AL$2:AL$229)*100+100</f>
        <v>91.662179040658401</v>
      </c>
      <c r="Q181" s="5">
        <f>(AM181-AVERAGE(AM$2:AM$229))/AVERAGE(AM$2:AM$229)*100+100</f>
        <v>95.427355148602047</v>
      </c>
      <c r="R181" s="5">
        <f>(AN181-AVERAGE(AN$2:AN$229))/AVERAGE(AN$2:AN$229)*100+100</f>
        <v>99.44531033268737</v>
      </c>
      <c r="S181" s="5">
        <f>(AO181-AVERAGE(AO$2:AO$229))/AVERAGE(AO$2:AO$229)*100+100</f>
        <v>97.692333617985369</v>
      </c>
      <c r="T181" s="6">
        <f>(F181*1.5+H181*2.5+I181+J181+K181*1.5+L181+O181*0.75+P181+S181)/11.25</f>
        <v>78.82417467255226</v>
      </c>
      <c r="V181">
        <f>'2025_Fantasy_Hitters_modified'!F97</f>
        <v>97.417470765932194</v>
      </c>
      <c r="W181">
        <f>'2025_Fantasy_Hitters_modified'!G97</f>
        <v>55.096146901342806</v>
      </c>
      <c r="X181">
        <f>'2025_Fantasy_Hitters_modified'!H97</f>
        <v>23.412681362233421</v>
      </c>
      <c r="Y181">
        <f>'2025_Fantasy_Hitters_modified'!I97</f>
        <v>3.046584950170887</v>
      </c>
      <c r="Z181">
        <f>'2025_Fantasy_Hitters_modified'!J97</f>
        <v>16.999999999999975</v>
      </c>
      <c r="AA181">
        <f>'2025_Fantasy_Hitters_modified'!K97</f>
        <v>56.373809523809186</v>
      </c>
      <c r="AB181">
        <f>'2025_Fantasy_Hitters_modified'!L97</f>
        <v>54.999999999999929</v>
      </c>
      <c r="AC181" s="2">
        <f>'2025_Fantasy_Hitters_modified'!M97</f>
        <v>47.752380934472001</v>
      </c>
      <c r="AD181">
        <f>'2025_Fantasy_Hitters_modified'!N97</f>
        <v>1.3948412698412529</v>
      </c>
      <c r="AE181">
        <f>'2025_Fantasy_Hitters_modified'!O97</f>
        <v>117.603174588</v>
      </c>
      <c r="AF181">
        <f>'2025_Fantasy_Hitters_modified'!P97</f>
        <v>2.8863547758284307</v>
      </c>
      <c r="AG181">
        <f>'2025_Fantasy_Hitters_modified'!Q97</f>
        <v>3.5999999999999637</v>
      </c>
      <c r="AH181">
        <f>'2025_Fantasy_Hitters_modified'!R97</f>
        <v>0</v>
      </c>
      <c r="AI181">
        <f>'2025_Fantasy_Hitters_modified'!S97</f>
        <v>4.974206349206308</v>
      </c>
      <c r="AJ181">
        <f>'2025_Fantasy_Hitters_modified'!T97</f>
        <v>2.9845238095237803</v>
      </c>
      <c r="AK181">
        <f>'2025_Fantasy_Hitters_modified'!U97</f>
        <v>1.9896825396825277</v>
      </c>
      <c r="AL181">
        <f>'2025_Fantasy_Hitters_modified'!V97</f>
        <v>0.22867950884021643</v>
      </c>
      <c r="AM181">
        <f>'2025_Fantasy_Hitters_modified'!W97</f>
        <v>0.31217110160545897</v>
      </c>
      <c r="AN181">
        <f>'2025_Fantasy_Hitters_modified'!X97</f>
        <v>0.42033160675193004</v>
      </c>
      <c r="AO181">
        <f>'2025_Fantasy_Hitters_modified'!Y97</f>
        <v>0.73250270835738895</v>
      </c>
      <c r="AP181">
        <f>'2025_Fantasy_Hitters_modified'!Z97</f>
        <v>0.27260452940000002</v>
      </c>
      <c r="AQ181">
        <f>'2025_Fantasy_Hitters_modified'!AA97</f>
        <v>24.603174599999999</v>
      </c>
      <c r="AR181">
        <f>'2025_Fantasy_Hitters_modified'!AB97</f>
        <v>9.9900378524000004</v>
      </c>
    </row>
    <row r="182" spans="1:44" x14ac:dyDescent="0.4">
      <c r="A182" t="str">
        <f>'2025_Fantasy_Hitters_modified'!A135</f>
        <v>MIN</v>
      </c>
      <c r="B182" t="str">
        <f>'2025_Fantasy_Hitters_modified'!B135</f>
        <v>Ryan Jeffers</v>
      </c>
      <c r="C182">
        <f>'2025_Fantasy_Hitters_modified'!D135</f>
        <v>362</v>
      </c>
      <c r="D182">
        <f>'2025_Fantasy_Hitters_modified'!E135</f>
        <v>409</v>
      </c>
      <c r="E182" s="5">
        <f>(V182-AVERAGE(V$2:V$229))/AVERAGE(V$2:V$229)*100+100</f>
        <v>72.642327589575217</v>
      </c>
      <c r="F182" s="4">
        <f>E182*1.51744-31.775</f>
        <v>78.455373577525023</v>
      </c>
      <c r="G182" s="5">
        <f>(Z182-AVERAGE(Z$2:Z$229))/AVERAGE(Z$2:Z$229)*100+100</f>
        <v>91.011398066657094</v>
      </c>
      <c r="H182" s="4">
        <f>G182*0.83285-13.6979</f>
        <v>62.100942879815349</v>
      </c>
      <c r="I182" s="5">
        <f>(AA182-AVERAGE(AA$2:AA$229))/AVERAGE(AA$2:AA$229)*100+100</f>
        <v>71.911296767370587</v>
      </c>
      <c r="J182" s="5">
        <f>(AB182-AVERAGE(AB$2:AB$229))/AVERAGE(AB$2:AB$229)*100+100</f>
        <v>79.518566641591946</v>
      </c>
      <c r="K182" s="5">
        <f>(AC182-AVERAGE(AC$2:AC$229))/AVERAGE(AC$2:AC$229)*100+100</f>
        <v>70.572479478091566</v>
      </c>
      <c r="L182" s="5">
        <f>(AF182-AVERAGE(AF$2:AF$229))/AVERAGE(AF$2:AF$229)*100+100</f>
        <v>139.90157303887673</v>
      </c>
      <c r="M182" s="5">
        <f>(AI182-AVERAGE(AI$2:AI$229))/AVERAGE(AI$2:AI$229)*100+100</f>
        <v>27.742820919622574</v>
      </c>
      <c r="N182" s="5">
        <f>(AVERAGE(AJ$2:AJ$229)-AJ182)/AVERAGE(AJ$2:AJ$229)*100+100</f>
        <v>166.84179441243171</v>
      </c>
      <c r="O182" s="5">
        <f>(AK182-AVERAGE(AK$2:AK$229))/AVERAGE(AK$2:AK$229)*100+100</f>
        <v>25.846115137600663</v>
      </c>
      <c r="P182" s="5">
        <f>(AL182-AVERAGE(AL$2:AL$229))/AVERAGE(AL$2:AL$229)*100+100</f>
        <v>94.487486089058152</v>
      </c>
      <c r="Q182" s="5">
        <f>(AM182-AVERAGE(AM$2:AM$229))/AVERAGE(AM$2:AM$229)*100+100</f>
        <v>97.000750069164013</v>
      </c>
      <c r="R182" s="5">
        <f>(AN182-AVERAGE(AN$2:AN$229))/AVERAGE(AN$2:AN$229)*100+100</f>
        <v>99.724032935547399</v>
      </c>
      <c r="S182" s="5">
        <f>(AO182-AVERAGE(AO$2:AO$229))/AVERAGE(AO$2:AO$229)*100+100</f>
        <v>98.535903343852183</v>
      </c>
      <c r="T182" s="6">
        <f>(F182*1.5+H182*2.5+I182+J182+K182*1.5+L182+O182*0.75+P182+S182)/11.25</f>
        <v>78.447426579281185</v>
      </c>
      <c r="V182">
        <f>'2025_Fantasy_Hitters_modified'!F135</f>
        <v>85.333574582517784</v>
      </c>
      <c r="W182">
        <f>'2025_Fantasy_Hitters_modified'!G135</f>
        <v>51.295286606595084</v>
      </c>
      <c r="X182">
        <f>'2025_Fantasy_Hitters_modified'!H135</f>
        <v>15.938220193047576</v>
      </c>
      <c r="Y182">
        <f>'2025_Fantasy_Hitters_modified'!I135</f>
        <v>1.0049282217307545</v>
      </c>
      <c r="Z182">
        <f>'2025_Fantasy_Hitters_modified'!J135</f>
        <v>16.599999999999969</v>
      </c>
      <c r="AA182">
        <f>'2025_Fantasy_Hitters_modified'!K135</f>
        <v>47.419851116625104</v>
      </c>
      <c r="AB182">
        <f>'2025_Fantasy_Hitters_modified'!L135</f>
        <v>50.999999999999858</v>
      </c>
      <c r="AC182" s="2">
        <f>'2025_Fantasy_Hitters_modified'!M135</f>
        <v>32.250620346774006</v>
      </c>
      <c r="AD182">
        <f>'2025_Fantasy_Hitters_modified'!N135</f>
        <v>0.39999999999999597</v>
      </c>
      <c r="AE182">
        <f>'2025_Fantasy_Hitters_modified'!O135</f>
        <v>94.384615397200008</v>
      </c>
      <c r="AF182">
        <f>'2025_Fantasy_Hitters_modified'!P135</f>
        <v>8.197560975609715</v>
      </c>
      <c r="AG182">
        <f>'2025_Fantasy_Hitters_modified'!Q135</f>
        <v>2.9999999999999698</v>
      </c>
      <c r="AH182">
        <f>'2025_Fantasy_Hitters_modified'!R135</f>
        <v>1.997073170731698</v>
      </c>
      <c r="AI182">
        <f>'2025_Fantasy_Hitters_modified'!S135</f>
        <v>2.9029776674937673</v>
      </c>
      <c r="AJ182">
        <f>'2025_Fantasy_Hitters_modified'!T135</f>
        <v>0.89999999999999092</v>
      </c>
      <c r="AK182">
        <f>'2025_Fantasy_Hitters_modified'!U135</f>
        <v>2.0029776674937763</v>
      </c>
      <c r="AL182">
        <f>'2025_Fantasy_Hitters_modified'!V135</f>
        <v>0.23572810658154084</v>
      </c>
      <c r="AM182">
        <f>'2025_Fantasy_Hitters_modified'!W135</f>
        <v>0.31731814172668421</v>
      </c>
      <c r="AN182">
        <f>'2025_Fantasy_Hitters_modified'!X135</f>
        <v>0.42150970071238231</v>
      </c>
      <c r="AO182">
        <f>'2025_Fantasy_Hitters_modified'!Y135</f>
        <v>0.73882784243906652</v>
      </c>
      <c r="AP182">
        <f>'2025_Fantasy_Hitters_modified'!Z135</f>
        <v>0.27058823500000001</v>
      </c>
      <c r="AQ182">
        <f>'2025_Fantasy_Hitters_modified'!AA135</f>
        <v>23.07692308</v>
      </c>
      <c r="AR182">
        <f>'2025_Fantasy_Hitters_modified'!AB135</f>
        <v>7.8852372486000002</v>
      </c>
    </row>
    <row r="183" spans="1:44" x14ac:dyDescent="0.4">
      <c r="A183" t="str">
        <f>'2025_Fantasy_Hitters_modified'!A141</f>
        <v>NYM</v>
      </c>
      <c r="B183" t="str">
        <f>'2025_Fantasy_Hitters_modified'!B141</f>
        <v>Jeff McNeil</v>
      </c>
      <c r="C183">
        <f>'2025_Fantasy_Hitters_modified'!D141</f>
        <v>443</v>
      </c>
      <c r="D183">
        <f>'2025_Fantasy_Hitters_modified'!E141</f>
        <v>490</v>
      </c>
      <c r="E183" s="5">
        <f>(V183-AVERAGE(V$2:V$229))/AVERAGE(V$2:V$229)*100+100</f>
        <v>94.895800515815381</v>
      </c>
      <c r="F183" s="4">
        <f>E183*1.51744-31.775</f>
        <v>112.22368353471887</v>
      </c>
      <c r="G183" s="5">
        <f>(Z183-AVERAGE(Z$2:Z$229))/AVERAGE(Z$2:Z$229)*100+100</f>
        <v>47.150483335737924</v>
      </c>
      <c r="H183" s="4">
        <f>G183*0.83285-13.6979</f>
        <v>25.571380046169327</v>
      </c>
      <c r="I183" s="5">
        <f>(AA183-AVERAGE(AA$2:AA$229))/AVERAGE(AA$2:AA$229)*100+100</f>
        <v>80.787071454409926</v>
      </c>
      <c r="J183" s="5">
        <f>(AB183-AVERAGE(AB$2:AB$229))/AVERAGE(AB$2:AB$229)*100+100</f>
        <v>74.841003897969017</v>
      </c>
      <c r="K183" s="5">
        <f>(AC183-AVERAGE(AC$2:AC$229))/AVERAGE(AC$2:AC$229)*100+100</f>
        <v>70.183204631073153</v>
      </c>
      <c r="L183" s="5">
        <f>(AF183-AVERAGE(AF$2:AF$229))/AVERAGE(AF$2:AF$229)*100+100</f>
        <v>156.45183174339763</v>
      </c>
      <c r="M183" s="5">
        <f>(AI183-AVERAGE(AI$2:AI$229))/AVERAGE(AI$2:AI$229)*100+100</f>
        <v>47.348992320099669</v>
      </c>
      <c r="N183" s="5">
        <f>(AVERAGE(AJ$2:AJ$229)-AJ183)/AVERAGE(AJ$2:AJ$229)*100+100</f>
        <v>163.49248071671789</v>
      </c>
      <c r="O183" s="5">
        <f>(AK183-AVERAGE(AK$2:AK$229))/AVERAGE(AK$2:AK$229)*100+100</f>
        <v>51.146152790764312</v>
      </c>
      <c r="P183" s="5">
        <f>(AL183-AVERAGE(AL$2:AL$229))/AVERAGE(AL$2:AL$229)*100+100</f>
        <v>100.86404506100209</v>
      </c>
      <c r="Q183" s="5">
        <f>(AM183-AVERAGE(AM$2:AM$229))/AVERAGE(AM$2:AM$229)*100+100</f>
        <v>98.079328158168138</v>
      </c>
      <c r="R183" s="5">
        <f>(AN183-AVERAGE(AN$2:AN$229))/AVERAGE(AN$2:AN$229)*100+100</f>
        <v>86.585974208898762</v>
      </c>
      <c r="S183" s="5">
        <f>(AO183-AVERAGE(AO$2:AO$229))/AVERAGE(AO$2:AO$229)*100+100</f>
        <v>91.600361110648919</v>
      </c>
      <c r="T183" s="6">
        <f>(F183*1.5+H183*2.5+I183+J183+K183*1.5+L183+O183*0.75+P183+S183)/11.25</f>
        <v>78.261574242187763</v>
      </c>
      <c r="V183">
        <f>'2025_Fantasy_Hitters_modified'!F141</f>
        <v>111.47492294900204</v>
      </c>
      <c r="W183">
        <f>'2025_Fantasy_Hitters_modified'!G141</f>
        <v>79.038635440538613</v>
      </c>
      <c r="X183">
        <f>'2025_Fantasy_Hitters_modified'!H141</f>
        <v>22.861093988667104</v>
      </c>
      <c r="Y183">
        <f>'2025_Fantasy_Hitters_modified'!I141</f>
        <v>0.9891819514327107</v>
      </c>
      <c r="Z183">
        <f>'2025_Fantasy_Hitters_modified'!J141</f>
        <v>8.5999999999999694</v>
      </c>
      <c r="AA183">
        <f>'2025_Fantasy_Hitters_modified'!K141</f>
        <v>53.27272727272706</v>
      </c>
      <c r="AB183">
        <f>'2025_Fantasy_Hitters_modified'!L141</f>
        <v>47.999999999999957</v>
      </c>
      <c r="AC183" s="2">
        <f>'2025_Fantasy_Hitters_modified'!M141</f>
        <v>32.072727272949997</v>
      </c>
      <c r="AD183">
        <f>'2025_Fantasy_Hitters_modified'!N141</f>
        <v>0.99090909090907664</v>
      </c>
      <c r="AE183">
        <f>'2025_Fantasy_Hitters_modified'!O141</f>
        <v>61.818181802999995</v>
      </c>
      <c r="AF183">
        <f>'2025_Fantasy_Hitters_modified'!P141</f>
        <v>9.1673267326732493</v>
      </c>
      <c r="AG183">
        <f>'2025_Fantasy_Hitters_modified'!Q141</f>
        <v>2.9999999999999818</v>
      </c>
      <c r="AH183">
        <f>'2025_Fantasy_Hitters_modified'!R141</f>
        <v>0.98217821782175141</v>
      </c>
      <c r="AI183">
        <f>'2025_Fantasy_Hitters_modified'!S141</f>
        <v>4.9545454545454071</v>
      </c>
      <c r="AJ183">
        <f>'2025_Fantasy_Hitters_modified'!T141</f>
        <v>0.99090909090907664</v>
      </c>
      <c r="AK183">
        <f>'2025_Fantasy_Hitters_modified'!U141</f>
        <v>3.9636363636363305</v>
      </c>
      <c r="AL183">
        <f>'2025_Fantasy_Hitters_modified'!V141</f>
        <v>0.25163639491874051</v>
      </c>
      <c r="AM183">
        <f>'2025_Fantasy_Hitters_modified'!W141</f>
        <v>0.32084648964838453</v>
      </c>
      <c r="AN183">
        <f>'2025_Fantasy_Hitters_modified'!X141</f>
        <v>0.36597826020806057</v>
      </c>
      <c r="AO183">
        <f>'2025_Fantasy_Hitters_modified'!Y141</f>
        <v>0.68682474985644504</v>
      </c>
      <c r="AP183">
        <f>'2025_Fantasy_Hitters_modified'!Z141</f>
        <v>0.2739081552</v>
      </c>
      <c r="AQ183">
        <f>'2025_Fantasy_Hitters_modified'!AA141</f>
        <v>12.615955469999999</v>
      </c>
      <c r="AR183">
        <f>'2025_Fantasy_Hitters_modified'!AB141</f>
        <v>6.5454545455000002</v>
      </c>
    </row>
    <row r="184" spans="1:44" x14ac:dyDescent="0.4">
      <c r="A184" t="str">
        <f>'2025_Fantasy_Hitters_modified'!A166</f>
        <v>PIT</v>
      </c>
      <c r="B184" t="str">
        <f>'2025_Fantasy_Hitters_modified'!B166</f>
        <v>Ke'Bryan Hayes</v>
      </c>
      <c r="C184">
        <f>'2025_Fantasy_Hitters_modified'!D166</f>
        <v>479</v>
      </c>
      <c r="D184">
        <f>'2025_Fantasy_Hitters_modified'!E166</f>
        <v>521</v>
      </c>
      <c r="E184" s="5">
        <f>(V184-AVERAGE(V$2:V$229))/AVERAGE(V$2:V$229)*100+100</f>
        <v>101.42931344043123</v>
      </c>
      <c r="F184" s="4">
        <f>E184*1.51744-31.775</f>
        <v>122.13789738704796</v>
      </c>
      <c r="G184" s="5">
        <f>(Z184-AVERAGE(Z$2:Z$229))/AVERAGE(Z$2:Z$229)*100+100</f>
        <v>57.019189150194627</v>
      </c>
      <c r="H184" s="4">
        <f>G184*0.83285-13.6979</f>
        <v>33.790531683739587</v>
      </c>
      <c r="I184" s="5">
        <f>(AA184-AVERAGE(AA$2:AA$229))/AVERAGE(AA$2:AA$229)*100+100</f>
        <v>86.779843697840988</v>
      </c>
      <c r="J184" s="5">
        <f>(AB184-AVERAGE(AB$2:AB$229))/AVERAGE(AB$2:AB$229)*100+100</f>
        <v>77.959379060384407</v>
      </c>
      <c r="K184" s="5">
        <f>(AC184-AVERAGE(AC$2:AC$229))/AVERAGE(AC$2:AC$229)*100+100</f>
        <v>72.940611718094615</v>
      </c>
      <c r="L184" s="5">
        <f>(AF184-AVERAGE(AF$2:AF$229))/AVERAGE(AF$2:AF$229)*100+100</f>
        <v>51.890304256730133</v>
      </c>
      <c r="M184" s="5">
        <f>(AI184-AVERAGE(AI$2:AI$229))/AVERAGE(AI$2:AI$229)*100+100</f>
        <v>133.11573893130065</v>
      </c>
      <c r="N184" s="5">
        <f>(AVERAGE(AJ$2:AJ$229)-AJ184)/AVERAGE(AJ$2:AJ$229)*100+100</f>
        <v>54.309411125823345</v>
      </c>
      <c r="O184" s="5">
        <f>(AK184-AVERAGE(AK$2:AK$229))/AVERAGE(AK$2:AK$229)*100+100</f>
        <v>128.71147366536562</v>
      </c>
      <c r="P184" s="5">
        <f>(AL184-AVERAGE(AL$2:AL$229))/AVERAGE(AL$2:AL$229)*100+100</f>
        <v>99.705952348994273</v>
      </c>
      <c r="Q184" s="5">
        <f>(AM184-AVERAGE(AM$2:AM$229))/AVERAGE(AM$2:AM$229)*100+100</f>
        <v>92.319091421573091</v>
      </c>
      <c r="R184" s="5">
        <f>(AN184-AVERAGE(AN$2:AN$229))/AVERAGE(AN$2:AN$229)*100+100</f>
        <v>88.654699950549016</v>
      </c>
      <c r="S184" s="5">
        <f>(AO184-AVERAGE(AO$2:AO$229))/AVERAGE(AO$2:AO$229)*100+100</f>
        <v>90.25342184463598</v>
      </c>
      <c r="T184" s="6">
        <f>(F184*1.5+H184*2.5+I184+J184+K184*1.5+L184+O184*0.75+P184+S184)/11.25</f>
        <v>78.241475495526473</v>
      </c>
      <c r="V184">
        <f>'2025_Fantasy_Hitters_modified'!F166</f>
        <v>119.14989745681999</v>
      </c>
      <c r="W184">
        <f>'2025_Fantasy_Hitters_modified'!G166</f>
        <v>85.095207501241489</v>
      </c>
      <c r="X184">
        <f>'2025_Fantasy_Hitters_modified'!H166</f>
        <v>21.949520587615041</v>
      </c>
      <c r="Y184">
        <f>'2025_Fantasy_Hitters_modified'!I166</f>
        <v>2.9659062942769019</v>
      </c>
      <c r="Z184">
        <f>'2025_Fantasy_Hitters_modified'!J166</f>
        <v>10.399999999999949</v>
      </c>
      <c r="AA184">
        <f>'2025_Fantasy_Hitters_modified'!K166</f>
        <v>57.224489795917826</v>
      </c>
      <c r="AB184">
        <f>'2025_Fantasy_Hitters_modified'!L166</f>
        <v>49.999999999999957</v>
      </c>
      <c r="AC184" s="2">
        <f>'2025_Fantasy_Hitters_modified'!M166</f>
        <v>33.332823131316999</v>
      </c>
      <c r="AD184">
        <f>'2025_Fantasy_Hitters_modified'!N166</f>
        <v>0.58860544217686706</v>
      </c>
      <c r="AE184">
        <f>'2025_Fantasy_Hitters_modified'!O166</f>
        <v>101.89625850729999</v>
      </c>
      <c r="AF184">
        <f>'2025_Fantasy_Hitters_modified'!P166</f>
        <v>3.0405228758169858</v>
      </c>
      <c r="AG184">
        <f>'2025_Fantasy_Hitters_modified'!Q166</f>
        <v>3.9999999999999885</v>
      </c>
      <c r="AH184">
        <f>'2025_Fantasy_Hitters_modified'!R166</f>
        <v>0</v>
      </c>
      <c r="AI184">
        <f>'2025_Fantasy_Hitters_modified'!S166</f>
        <v>13.929081632653013</v>
      </c>
      <c r="AJ184">
        <f>'2025_Fantasy_Hitters_modified'!T166</f>
        <v>3.9544217687074688</v>
      </c>
      <c r="AK184">
        <f>'2025_Fantasy_Hitters_modified'!U166</f>
        <v>9.9746598639455435</v>
      </c>
      <c r="AL184">
        <f>'2025_Fantasy_Hitters_modified'!V166</f>
        <v>0.24874717631903964</v>
      </c>
      <c r="AM184">
        <f>'2025_Fantasy_Hitters_modified'!W166</f>
        <v>0.30200305167642211</v>
      </c>
      <c r="AN184">
        <f>'2025_Fantasy_Hitters_modified'!X166</f>
        <v>0.37472227047870993</v>
      </c>
      <c r="AO184">
        <f>'2025_Fantasy_Hitters_modified'!Y166</f>
        <v>0.67672532215513204</v>
      </c>
      <c r="AP184">
        <f>'2025_Fantasy_Hitters_modified'!Z166</f>
        <v>0.29336066859999999</v>
      </c>
      <c r="AQ184">
        <f>'2025_Fantasy_Hitters_modified'!AA166</f>
        <v>19.557823129999999</v>
      </c>
      <c r="AR184">
        <f>'2025_Fantasy_Hitters_modified'!AB166</f>
        <v>6.3978547277000004</v>
      </c>
    </row>
    <row r="185" spans="1:44" x14ac:dyDescent="0.4">
      <c r="A185" t="str">
        <f>'2025_Fantasy_Hitters_modified'!A34</f>
        <v>BAL</v>
      </c>
      <c r="B185" t="str">
        <f>'2025_Fantasy_Hitters_modified'!B34</f>
        <v>Jackson Holliday</v>
      </c>
      <c r="C185">
        <f>'2025_Fantasy_Hitters_modified'!D34</f>
        <v>407</v>
      </c>
      <c r="D185">
        <f>'2025_Fantasy_Hitters_modified'!E34</f>
        <v>467</v>
      </c>
      <c r="E185" s="5">
        <f>(V185-AVERAGE(V$2:V$229))/AVERAGE(V$2:V$229)*100+100</f>
        <v>82.581218005441428</v>
      </c>
      <c r="F185" s="4">
        <f>E185*1.51744-31.775</f>
        <v>93.537043450177038</v>
      </c>
      <c r="G185" s="5">
        <f>(Z185-AVERAGE(Z$2:Z$229))/AVERAGE(Z$2:Z$229)*100+100</f>
        <v>62.501803491559649</v>
      </c>
      <c r="H185" s="4">
        <f>G185*0.83285-13.6979</f>
        <v>38.356727037945447</v>
      </c>
      <c r="I185" s="5">
        <f>(AA185-AVERAGE(AA$2:AA$229))/AVERAGE(AA$2:AA$229)*100+100</f>
        <v>96.790926992998322</v>
      </c>
      <c r="J185" s="5">
        <f>(AB185-AVERAGE(AB$2:AB$229))/AVERAGE(AB$2:AB$229)*100+100</f>
        <v>73.281816316760739</v>
      </c>
      <c r="K185" s="5">
        <f>(AC185-AVERAGE(AC$2:AC$229))/AVERAGE(AC$2:AC$229)*100+100</f>
        <v>107.60600137903572</v>
      </c>
      <c r="L185" s="5">
        <f>(AF185-AVERAGE(AF$2:AF$229))/AVERAGE(AF$2:AF$229)*100+100</f>
        <v>51.47306146604366</v>
      </c>
      <c r="M185" s="5">
        <f>(AI185-AVERAGE(AI$2:AI$229))/AVERAGE(AI$2:AI$229)*100+100</f>
        <v>85.021825668973122</v>
      </c>
      <c r="N185" s="5">
        <f>(AVERAGE(AJ$2:AJ$229)-AJ185)/AVERAGE(AJ$2:AJ$229)*100+100</f>
        <v>130.01505482595522</v>
      </c>
      <c r="O185" s="5">
        <f>(AK185-AVERAGE(AK$2:AK$229))/AVERAGE(AK$2:AK$229)*100+100</f>
        <v>90.288402270099894</v>
      </c>
      <c r="P185" s="5">
        <f>(AL185-AVERAGE(AL$2:AL$229))/AVERAGE(AL$2:AL$229)*100+100</f>
        <v>95.538845403762167</v>
      </c>
      <c r="Q185" s="5">
        <f>(AM185-AVERAGE(AM$2:AM$229))/AVERAGE(AM$2:AM$229)*100+100</f>
        <v>100.08496133347012</v>
      </c>
      <c r="R185" s="5">
        <f>(AN185-AVERAGE(AN$2:AN$229))/AVERAGE(AN$2:AN$229)*100+100</f>
        <v>89.229354379432905</v>
      </c>
      <c r="S185" s="5">
        <f>(AO185-AVERAGE(AO$2:AO$229))/AVERAGE(AO$2:AO$229)*100+100</f>
        <v>93.96550133541632</v>
      </c>
      <c r="T185" s="6">
        <f>(F185*1.5+H185*2.5+I185+J185+K185*1.5+L185+O185*0.75+P185+S185)/11.25</f>
        <v>77.899807827221224</v>
      </c>
      <c r="V185">
        <f>'2025_Fantasy_Hitters_modified'!F34</f>
        <v>97.008875673661549</v>
      </c>
      <c r="W185">
        <f>'2025_Fantasy_Hitters_modified'!G34</f>
        <v>61.816279057864712</v>
      </c>
      <c r="X185">
        <f>'2025_Fantasy_Hitters_modified'!H34</f>
        <v>19.456562653104879</v>
      </c>
      <c r="Y185">
        <f>'2025_Fantasy_Hitters_modified'!I34</f>
        <v>2.390377697381449</v>
      </c>
      <c r="Z185">
        <f>'2025_Fantasy_Hitters_modified'!J34</f>
        <v>11.399999999999972</v>
      </c>
      <c r="AA185">
        <f>'2025_Fantasy_Hitters_modified'!K34</f>
        <v>63.826012793176545</v>
      </c>
      <c r="AB185">
        <f>'2025_Fantasy_Hitters_modified'!L34</f>
        <v>46.999999999999574</v>
      </c>
      <c r="AC185" s="2">
        <f>'2025_Fantasy_Hitters_modified'!M34</f>
        <v>49.174413640760001</v>
      </c>
      <c r="AD185">
        <f>'2025_Fantasy_Hitters_modified'!N34</f>
        <v>1.3995735607675623</v>
      </c>
      <c r="AE185">
        <f>'2025_Fantasy_Hitters_modified'!O34</f>
        <v>123.47121535469998</v>
      </c>
      <c r="AF185">
        <f>'2025_Fantasy_Hitters_modified'!P34</f>
        <v>3.0160744500845933</v>
      </c>
      <c r="AG185">
        <f>'2025_Fantasy_Hitters_modified'!Q34</f>
        <v>2.3999999999999755</v>
      </c>
      <c r="AH185">
        <f>'2025_Fantasy_Hitters_modified'!R34</f>
        <v>0.39999999999999286</v>
      </c>
      <c r="AI185">
        <f>'2025_Fantasy_Hitters_modified'!S34</f>
        <v>8.8965884861406934</v>
      </c>
      <c r="AJ185">
        <f>'2025_Fantasy_Hitters_modified'!T34</f>
        <v>1.8995735607675532</v>
      </c>
      <c r="AK185">
        <f>'2025_Fantasy_Hitters_modified'!U34</f>
        <v>6.99701492537314</v>
      </c>
      <c r="AL185">
        <f>'2025_Fantasy_Hitters_modified'!V34</f>
        <v>0.23835104588123232</v>
      </c>
      <c r="AM185">
        <f>'2025_Fantasy_Hitters_modified'!W34</f>
        <v>0.32740750893656967</v>
      </c>
      <c r="AN185">
        <f>'2025_Fantasy_Hitters_modified'!X34</f>
        <v>0.37715119768112704</v>
      </c>
      <c r="AO185">
        <f>'2025_Fantasy_Hitters_modified'!Y34</f>
        <v>0.70455870661769671</v>
      </c>
      <c r="AP185">
        <f>'2025_Fantasy_Hitters_modified'!Z34</f>
        <v>0.3118393424</v>
      </c>
      <c r="AQ185">
        <f>'2025_Fantasy_Hitters_modified'!AA34</f>
        <v>26.439232409999999</v>
      </c>
      <c r="AR185">
        <f>'2025_Fantasy_Hitters_modified'!AB34</f>
        <v>10.529853028</v>
      </c>
    </row>
    <row r="186" spans="1:44" x14ac:dyDescent="0.4">
      <c r="A186" t="str">
        <f>'2025_Fantasy_Hitters_modified'!A40</f>
        <v>BOS</v>
      </c>
      <c r="B186" t="str">
        <f>'2025_Fantasy_Hitters_modified'!B40</f>
        <v>Ceddanne Rafaela</v>
      </c>
      <c r="C186">
        <f>'2025_Fantasy_Hitters_modified'!D40</f>
        <v>433</v>
      </c>
      <c r="D186">
        <f>'2025_Fantasy_Hitters_modified'!E40</f>
        <v>461</v>
      </c>
      <c r="E186" s="5">
        <f>(V186-AVERAGE(V$2:V$229))/AVERAGE(V$2:V$229)*100+100</f>
        <v>89.593665529893514</v>
      </c>
      <c r="F186" s="4">
        <f>E186*1.51744-31.775</f>
        <v>104.17801182168159</v>
      </c>
      <c r="G186" s="5">
        <f>(Z186-AVERAGE(Z$2:Z$229))/AVERAGE(Z$2:Z$229)*100+100</f>
        <v>63.598326359832456</v>
      </c>
      <c r="H186" s="4">
        <f>G186*0.83285-13.6979</f>
        <v>39.269966108786463</v>
      </c>
      <c r="I186" s="5">
        <f>(AA186-AVERAGE(AA$2:AA$229))/AVERAGE(AA$2:AA$229)*100+100</f>
        <v>84.946688884464294</v>
      </c>
      <c r="J186" s="5">
        <f>(AB186-AVERAGE(AB$2:AB$229))/AVERAGE(AB$2:AB$229)*100+100</f>
        <v>82.636941804007137</v>
      </c>
      <c r="K186" s="5">
        <f>(AC186-AVERAGE(AC$2:AC$229))/AVERAGE(AC$2:AC$229)*100+100</f>
        <v>37.199272956775829</v>
      </c>
      <c r="L186" s="5">
        <f>(AF186-AVERAGE(AF$2:AF$229))/AVERAGE(AF$2:AF$229)*100+100</f>
        <v>87.977547031010246</v>
      </c>
      <c r="M186" s="5">
        <f>(AI186-AVERAGE(AI$2:AI$229))/AVERAGE(AI$2:AI$229)*100+100</f>
        <v>162.45911093440895</v>
      </c>
      <c r="N186" s="5">
        <f>(AVERAGE(AJ$2:AJ$229)-AJ186)/AVERAGE(AJ$2:AJ$229)*100+100</f>
        <v>10.728276553909851</v>
      </c>
      <c r="O186" s="5">
        <f>(AK186-AVERAGE(AK$2:AK$229))/AVERAGE(AK$2:AK$229)*100+100</f>
        <v>153.06815529592239</v>
      </c>
      <c r="P186" s="5">
        <f>(AL186-AVERAGE(AL$2:AL$229))/AVERAGE(AL$2:AL$229)*100+100</f>
        <v>97.427716215160061</v>
      </c>
      <c r="Q186" s="5">
        <f>(AM186-AVERAGE(AM$2:AM$229))/AVERAGE(AM$2:AM$229)*100+100</f>
        <v>86.151377616920598</v>
      </c>
      <c r="R186" s="5">
        <f>(AN186-AVERAGE(AN$2:AN$229))/AVERAGE(AN$2:AN$229)*100+100</f>
        <v>91.570005388330429</v>
      </c>
      <c r="S186" s="5">
        <f>(AO186-AVERAGE(AO$2:AO$229))/AVERAGE(AO$2:AO$229)*100+100</f>
        <v>89.205935140224554</v>
      </c>
      <c r="T186" s="6">
        <f>(F186*1.5+H186*2.5+I186+J186+K186*1.5+L186+O186*0.75+P186+S186)/11.25</f>
        <v>77.087714487685375</v>
      </c>
      <c r="V186">
        <f>'2025_Fantasy_Hitters_modified'!F40</f>
        <v>105.24645882510919</v>
      </c>
      <c r="W186">
        <f>'2025_Fantasy_Hitters_modified'!G40</f>
        <v>69.637100764629039</v>
      </c>
      <c r="X186">
        <f>'2025_Fantasy_Hitters_modified'!H40</f>
        <v>20.357925831545479</v>
      </c>
      <c r="Y186">
        <f>'2025_Fantasy_Hitters_modified'!I40</f>
        <v>3.6124489667040214</v>
      </c>
      <c r="Z186">
        <f>'2025_Fantasy_Hitters_modified'!J40</f>
        <v>11.599999999999939</v>
      </c>
      <c r="AA186">
        <f>'2025_Fantasy_Hitters_modified'!K40</f>
        <v>56.015668202764601</v>
      </c>
      <c r="AB186">
        <f>'2025_Fantasy_Hitters_modified'!L40</f>
        <v>52.999999999999744</v>
      </c>
      <c r="AC186" s="2">
        <f>'2025_Fantasy_Hitters_modified'!M40</f>
        <v>16.999539171320002</v>
      </c>
      <c r="AD186">
        <f>'2025_Fantasy_Hitters_modified'!N40</f>
        <v>0.60622119815666797</v>
      </c>
      <c r="AE186">
        <f>'2025_Fantasy_Hitters_modified'!O40</f>
        <v>110.4700460804</v>
      </c>
      <c r="AF186">
        <f>'2025_Fantasy_Hitters_modified'!P40</f>
        <v>5.1550621669626686</v>
      </c>
      <c r="AG186">
        <f>'2025_Fantasy_Hitters_modified'!Q40</f>
        <v>3.5999999999999606</v>
      </c>
      <c r="AH186">
        <f>'2025_Fantasy_Hitters_modified'!R40</f>
        <v>1.7825932504440192</v>
      </c>
      <c r="AI186">
        <f>'2025_Fantasy_Hitters_modified'!S40</f>
        <v>16.999539170506885</v>
      </c>
      <c r="AJ186">
        <f>'2025_Fantasy_Hitters_modified'!T40</f>
        <v>5.1373271889400787</v>
      </c>
      <c r="AK186">
        <f>'2025_Fantasy_Hitters_modified'!U40</f>
        <v>11.862211981566807</v>
      </c>
      <c r="AL186">
        <f>'2025_Fantasy_Hitters_modified'!V40</f>
        <v>0.24306341530048312</v>
      </c>
      <c r="AM186">
        <f>'2025_Fantasy_Hitters_modified'!W40</f>
        <v>0.28182663570233052</v>
      </c>
      <c r="AN186">
        <f>'2025_Fantasy_Hitters_modified'!X40</f>
        <v>0.38704457119591645</v>
      </c>
      <c r="AO186">
        <f>'2025_Fantasy_Hitters_modified'!Y40</f>
        <v>0.66887120689824697</v>
      </c>
      <c r="AP186">
        <f>'2025_Fantasy_Hitters_modified'!Z40</f>
        <v>0.297734628</v>
      </c>
      <c r="AQ186">
        <f>'2025_Fantasy_Hitters_modified'!AA40</f>
        <v>23.963133639999999</v>
      </c>
      <c r="AR186">
        <f>'2025_Fantasy_Hitters_modified'!AB40</f>
        <v>3.687535612</v>
      </c>
    </row>
    <row r="187" spans="1:44" x14ac:dyDescent="0.4">
      <c r="A187" t="str">
        <f>'2025_Fantasy_Hitters_modified'!A179</f>
        <v>SEA</v>
      </c>
      <c r="B187" t="str">
        <f>'2025_Fantasy_Hitters_modified'!B179</f>
        <v>Jorge Polanco</v>
      </c>
      <c r="C187">
        <f>'2025_Fantasy_Hitters_modified'!D179</f>
        <v>417</v>
      </c>
      <c r="D187">
        <f>'2025_Fantasy_Hitters_modified'!E179</f>
        <v>471</v>
      </c>
      <c r="E187" s="5">
        <f>(V187-AVERAGE(V$2:V$229))/AVERAGE(V$2:V$229)*100+100</f>
        <v>79.110195753848387</v>
      </c>
      <c r="F187" s="4">
        <f>E187*1.51744-31.775</f>
        <v>88.269975444719677</v>
      </c>
      <c r="G187" s="5">
        <f>(Z187-AVERAGE(Z$2:Z$229))/AVERAGE(Z$2:Z$229)*100+100</f>
        <v>85.528783725291973</v>
      </c>
      <c r="H187" s="4">
        <f>G187*0.83285-13.6979</f>
        <v>57.534747525609419</v>
      </c>
      <c r="I187" s="5">
        <f>(AA187-AVERAGE(AA$2:AA$229))/AVERAGE(AA$2:AA$229)*100+100</f>
        <v>76.817254816388484</v>
      </c>
      <c r="J187" s="5">
        <f>(AB187-AVERAGE(AB$2:AB$229))/AVERAGE(AB$2:AB$229)*100+100</f>
        <v>84.196129385214931</v>
      </c>
      <c r="K187" s="5">
        <f>(AC187-AVERAGE(AC$2:AC$229))/AVERAGE(AC$2:AC$229)*100+100</f>
        <v>101.16456606728234</v>
      </c>
      <c r="L187" s="5">
        <f>(AF187-AVERAGE(AF$2:AF$229))/AVERAGE(AF$2:AF$229)*100+100</f>
        <v>66.624413158119182</v>
      </c>
      <c r="M187" s="5">
        <f>(AI187-AVERAGE(AI$2:AI$229))/AVERAGE(AI$2:AI$229)*100+100</f>
        <v>38.526011928403072</v>
      </c>
      <c r="N187" s="5">
        <f>(AVERAGE(AJ$2:AJ$229)-AJ187)/AVERAGE(AJ$2:AJ$229)*100+100</f>
        <v>160.48545951957777</v>
      </c>
      <c r="O187" s="5">
        <f>(AK187-AVERAGE(AK$2:AK$229))/AVERAGE(AK$2:AK$229)*100+100</f>
        <v>38.179785771763385</v>
      </c>
      <c r="P187" s="5">
        <f>(AL187-AVERAGE(AL$2:AL$229))/AVERAGE(AL$2:AL$229)*100+100</f>
        <v>89.328392306744078</v>
      </c>
      <c r="Q187" s="5">
        <f>(AM187-AVERAGE(AM$2:AM$229))/AVERAGE(AM$2:AM$229)*100+100</f>
        <v>94.574301420446332</v>
      </c>
      <c r="R187" s="5">
        <f>(AN187-AVERAGE(AN$2:AN$229))/AVERAGE(AN$2:AN$229)*100+100</f>
        <v>88.913167313882965</v>
      </c>
      <c r="S187" s="5">
        <f>(AO187-AVERAGE(AO$2:AO$229))/AVERAGE(AO$2:AO$229)*100+100</f>
        <v>91.38303962776979</v>
      </c>
      <c r="T187" s="6">
        <f>(F187*1.5+H187*2.5+I187+J187+K187*1.5+L187+O187*0.75+P187+S187)/11.25</f>
        <v>76.886466640452042</v>
      </c>
      <c r="V187">
        <f>'2025_Fantasy_Hitters_modified'!F179</f>
        <v>92.931435618913099</v>
      </c>
      <c r="W187">
        <f>'2025_Fantasy_Hitters_modified'!G179</f>
        <v>58.963237479765944</v>
      </c>
      <c r="X187">
        <f>'2025_Fantasy_Hitters_modified'!H179</f>
        <v>17.07317409768207</v>
      </c>
      <c r="Y187">
        <f>'2025_Fantasy_Hitters_modified'!I179</f>
        <v>0.40172174347487094</v>
      </c>
      <c r="Z187">
        <f>'2025_Fantasy_Hitters_modified'!J179</f>
        <v>15.599999999999929</v>
      </c>
      <c r="AA187">
        <f>'2025_Fantasy_Hitters_modified'!K179</f>
        <v>50.654945054944903</v>
      </c>
      <c r="AB187">
        <f>'2025_Fantasy_Hitters_modified'!L179</f>
        <v>53.999999999999808</v>
      </c>
      <c r="AC187" s="2">
        <f>'2025_Fantasy_Hitters_modified'!M179</f>
        <v>46.230769230588002</v>
      </c>
      <c r="AD187">
        <f>'2025_Fantasy_Hitters_modified'!N179</f>
        <v>1.9725274725274393</v>
      </c>
      <c r="AE187">
        <f>'2025_Fantasy_Hitters_modified'!O179</f>
        <v>126.80769229320001</v>
      </c>
      <c r="AF187">
        <f>'2025_Fantasy_Hitters_modified'!P179</f>
        <v>3.9038709677419172</v>
      </c>
      <c r="AG187">
        <f>'2025_Fantasy_Hitters_modified'!Q179</f>
        <v>3.5999999999999726</v>
      </c>
      <c r="AH187">
        <f>'2025_Fantasy_Hitters_modified'!R179</f>
        <v>0</v>
      </c>
      <c r="AI187">
        <f>'2025_Fantasy_Hitters_modified'!S179</f>
        <v>4.0313186813186608</v>
      </c>
      <c r="AJ187">
        <f>'2025_Fantasy_Hitters_modified'!T179</f>
        <v>1.0725274725274334</v>
      </c>
      <c r="AK187">
        <f>'2025_Fantasy_Hitters_modified'!U179</f>
        <v>2.9587912087912276</v>
      </c>
      <c r="AL187">
        <f>'2025_Fantasy_Hitters_modified'!V179</f>
        <v>0.22285715975758538</v>
      </c>
      <c r="AM187">
        <f>'2025_Fantasy_Hitters_modified'!W179</f>
        <v>0.30938051056757132</v>
      </c>
      <c r="AN187">
        <f>'2025_Fantasy_Hitters_modified'!X179</f>
        <v>0.37581475037303214</v>
      </c>
      <c r="AO187">
        <f>'2025_Fantasy_Hitters_modified'!Y179</f>
        <v>0.68519526094060346</v>
      </c>
      <c r="AP187">
        <f>'2025_Fantasy_Hitters_modified'!Z179</f>
        <v>0.27797833900000002</v>
      </c>
      <c r="AQ187">
        <f>'2025_Fantasy_Hitters_modified'!AA179</f>
        <v>26.92307692</v>
      </c>
      <c r="AR187">
        <f>'2025_Fantasy_Hitters_modified'!AB179</f>
        <v>9.8154499428000008</v>
      </c>
    </row>
    <row r="188" spans="1:44" x14ac:dyDescent="0.4">
      <c r="A188" t="str">
        <f>'2025_Fantasy_Hitters_modified'!A5</f>
        <v>ARI</v>
      </c>
      <c r="B188" t="str">
        <f>'2025_Fantasy_Hitters_modified'!B5</f>
        <v>Gabriel Moreno</v>
      </c>
      <c r="C188">
        <f>'2025_Fantasy_Hitters_modified'!D5</f>
        <v>400</v>
      </c>
      <c r="D188">
        <f>'2025_Fantasy_Hitters_modified'!E5</f>
        <v>450</v>
      </c>
      <c r="E188" s="5">
        <f>(V188-AVERAGE(V$2:V$229))/AVERAGE(V$2:V$229)*100+100</f>
        <v>94.706919212387263</v>
      </c>
      <c r="F188" s="4">
        <f>E188*1.51744-31.775</f>
        <v>111.9370674896449</v>
      </c>
      <c r="G188" s="5">
        <f>(Z188-AVERAGE(Z$2:Z$229))/AVERAGE(Z$2:Z$229)*100+100</f>
        <v>49.343529072284056</v>
      </c>
      <c r="H188" s="4">
        <f>G188*0.83285-13.6979</f>
        <v>27.397858187851778</v>
      </c>
      <c r="I188" s="5">
        <f>(AA188-AVERAGE(AA$2:AA$229))/AVERAGE(AA$2:AA$229)*100+100</f>
        <v>79.596401487581531</v>
      </c>
      <c r="J188" s="5">
        <f>(AB188-AVERAGE(AB$2:AB$229))/AVERAGE(AB$2:AB$229)*100+100</f>
        <v>82.63694180400698</v>
      </c>
      <c r="K188" s="5">
        <f>(AC188-AVERAGE(AC$2:AC$229))/AVERAGE(AC$2:AC$229)*100+100</f>
        <v>84.355166387601855</v>
      </c>
      <c r="L188" s="5">
        <f>(AF188-AVERAGE(AF$2:AF$229))/AVERAGE(AF$2:AF$229)*100+100</f>
        <v>82.991491353383665</v>
      </c>
      <c r="M188" s="5">
        <f>(AI188-AVERAGE(AI$2:AI$229))/AVERAGE(AI$2:AI$229)*100+100</f>
        <v>48.094402871798025</v>
      </c>
      <c r="N188" s="5">
        <f>(AVERAGE(AJ$2:AJ$229)-AJ188)/AVERAGE(AJ$2:AJ$229)*100+100</f>
        <v>160.30171441488366</v>
      </c>
      <c r="O188" s="5">
        <f>(AK188-AVERAGE(AK$2:AK$229))/AVERAGE(AK$2:AK$229)*100+100</f>
        <v>51.035092255960393</v>
      </c>
      <c r="P188" s="5">
        <f>(AL188-AVERAGE(AL$2:AL$229))/AVERAGE(AL$2:AL$229)*100+100</f>
        <v>111.48458760531912</v>
      </c>
      <c r="Q188" s="5">
        <f>(AM188-AVERAGE(AM$2:AM$229))/AVERAGE(AM$2:AM$229)*100+100</f>
        <v>107.42296823837049</v>
      </c>
      <c r="R188" s="5">
        <f>(AN188-AVERAGE(AN$2:AN$229))/AVERAGE(AN$2:AN$229)*100+100</f>
        <v>96.188287205425539</v>
      </c>
      <c r="S188" s="5">
        <f>(AO188-AVERAGE(AO$2:AO$229))/AVERAGE(AO$2:AO$229)*100+100</f>
        <v>101.08981879190569</v>
      </c>
      <c r="T188" s="6">
        <f>(F188*1.5+H188*2.5+I188+J188+K188*1.5+L188+O188*0.75+P188+S188)/11.25</f>
        <v>76.356316135081514</v>
      </c>
      <c r="V188">
        <f>'2025_Fantasy_Hitters_modified'!F5</f>
        <v>111.25304243762317</v>
      </c>
      <c r="W188">
        <f>'2025_Fantasy_Hitters_modified'!G5</f>
        <v>78.73464802050222</v>
      </c>
      <c r="X188">
        <f>'2025_Fantasy_Hitters_modified'!H5</f>
        <v>21.840455666288367</v>
      </c>
      <c r="Y188">
        <f>'2025_Fantasy_Hitters_modified'!I5</f>
        <v>1.4034731314967854</v>
      </c>
      <c r="Z188">
        <f>'2025_Fantasy_Hitters_modified'!J5</f>
        <v>9</v>
      </c>
      <c r="AA188">
        <f>'2025_Fantasy_Hitters_modified'!K5</f>
        <v>52.487573964496654</v>
      </c>
      <c r="AB188">
        <f>'2025_Fantasy_Hitters_modified'!L5</f>
        <v>52.999999999999645</v>
      </c>
      <c r="AC188" s="2">
        <f>'2025_Fantasy_Hitters_modified'!M5</f>
        <v>38.549112424199997</v>
      </c>
      <c r="AD188">
        <f>'2025_Fantasy_Hitters_modified'!N5</f>
        <v>0.98875739644969496</v>
      </c>
      <c r="AE188">
        <f>'2025_Fantasy_Hitters_modified'!O5</f>
        <v>73.66863905999999</v>
      </c>
      <c r="AF188">
        <f>'2025_Fantasy_Hitters_modified'!P5</f>
        <v>4.8629032258064404</v>
      </c>
      <c r="AG188">
        <f>'2025_Fantasy_Hitters_modified'!Q5</f>
        <v>3.3999999999999662</v>
      </c>
      <c r="AH188">
        <f>'2025_Fantasy_Hitters_modified'!R5</f>
        <v>0</v>
      </c>
      <c r="AI188">
        <f>'2025_Fantasy_Hitters_modified'!S5</f>
        <v>5.0325443786982147</v>
      </c>
      <c r="AJ188">
        <f>'2025_Fantasy_Hitters_modified'!T5</f>
        <v>1.0775147928993989</v>
      </c>
      <c r="AK188">
        <f>'2025_Fantasy_Hitters_modified'!U5</f>
        <v>3.9550295857988158</v>
      </c>
      <c r="AL188">
        <f>'2025_Fantasy_Hitters_modified'!V5</f>
        <v>0.27813260609405793</v>
      </c>
      <c r="AM188">
        <f>'2025_Fantasy_Hitters_modified'!W5</f>
        <v>0.35141229975911792</v>
      </c>
      <c r="AN188">
        <f>'2025_Fantasy_Hitters_modified'!X5</f>
        <v>0.4065649468689233</v>
      </c>
      <c r="AO188">
        <f>'2025_Fantasy_Hitters_modified'!Y5</f>
        <v>0.75797724662804122</v>
      </c>
      <c r="AP188">
        <f>'2025_Fantasy_Hitters_modified'!Z5</f>
        <v>0.3188121116</v>
      </c>
      <c r="AQ188">
        <f>'2025_Fantasy_Hitters_modified'!AA5</f>
        <v>16.37080868</v>
      </c>
      <c r="AR188">
        <f>'2025_Fantasy_Hitters_modified'!AB5</f>
        <v>8.5664694275999995</v>
      </c>
    </row>
    <row r="189" spans="1:44" x14ac:dyDescent="0.4">
      <c r="A189" t="str">
        <f>'2025_Fantasy_Hitters_modified'!A160</f>
        <v>PHI</v>
      </c>
      <c r="B189" t="str">
        <f>'2025_Fantasy_Hitters_modified'!B160</f>
        <v>Max Kepler</v>
      </c>
      <c r="C189">
        <f>'2025_Fantasy_Hitters_modified'!D160</f>
        <v>404</v>
      </c>
      <c r="D189">
        <f>'2025_Fantasy_Hitters_modified'!E160</f>
        <v>449</v>
      </c>
      <c r="E189" s="5">
        <f>(V189-AVERAGE(V$2:V$229))/AVERAGE(V$2:V$229)*100+100</f>
        <v>80.974819696088048</v>
      </c>
      <c r="F189" s="4">
        <f>E189*1.51744-31.775</f>
        <v>91.099430399631842</v>
      </c>
      <c r="G189" s="5">
        <f>(Z189-AVERAGE(Z$2:Z$229))/AVERAGE(Z$2:Z$229)*100+100</f>
        <v>78.949646515654337</v>
      </c>
      <c r="H189" s="4">
        <f>G189*0.83285-13.6979</f>
        <v>52.055313100562714</v>
      </c>
      <c r="I189" s="5">
        <f>(AA189-AVERAGE(AA$2:AA$229))/AVERAGE(AA$2:AA$229)*100+100</f>
        <v>78.828322969067131</v>
      </c>
      <c r="J189" s="5">
        <f>(AB189-AVERAGE(AB$2:AB$229))/AVERAGE(AB$2:AB$229)*100+100</f>
        <v>81.077754222799285</v>
      </c>
      <c r="K189" s="5">
        <f>(AC189-AVERAGE(AC$2:AC$229))/AVERAGE(AC$2:AC$229)*100+100</f>
        <v>84.912977434334877</v>
      </c>
      <c r="L189" s="5">
        <f>(AF189-AVERAGE(AF$2:AF$229))/AVERAGE(AF$2:AF$229)*100+100</f>
        <v>85.525594658457109</v>
      </c>
      <c r="M189" s="5">
        <f>(AI189-AVERAGE(AI$2:AI$229))/AVERAGE(AI$2:AI$229)*100+100</f>
        <v>19.792128763253231</v>
      </c>
      <c r="N189" s="5">
        <f>(AVERAGE(AJ$2:AJ$229)-AJ189)/AVERAGE(AJ$2:AJ$229)*100+100</f>
        <v>200</v>
      </c>
      <c r="O189" s="5">
        <f>(AK189-AVERAGE(AK$2:AK$229))/AVERAGE(AK$2:AK$229)*100+100</f>
        <v>26.724202358317967</v>
      </c>
      <c r="P189" s="5">
        <f>(AL189-AVERAGE(AL$2:AL$229))/AVERAGE(AL$2:AL$229)*100+100</f>
        <v>94.376037327970977</v>
      </c>
      <c r="Q189" s="5">
        <f>(AM189-AVERAGE(AM$2:AM$229))/AVERAGE(AM$2:AM$229)*100+100</f>
        <v>95.458346845378784</v>
      </c>
      <c r="R189" s="5">
        <f>(AN189-AVERAGE(AN$2:AN$229))/AVERAGE(AN$2:AN$229)*100+100</f>
        <v>95.893076271685473</v>
      </c>
      <c r="S189" s="5">
        <f>(AO189-AVERAGE(AO$2:AO$229))/AVERAGE(AO$2:AO$229)*100+100</f>
        <v>95.703410004493136</v>
      </c>
      <c r="T189" s="6">
        <f>(F189*1.5+H189*2.5+I189+J189+K189*1.5+L189+O189*0.75+P189+S189)/11.25</f>
        <v>75.529881373678478</v>
      </c>
      <c r="V189">
        <f>'2025_Fantasy_Hitters_modified'!F160</f>
        <v>95.121825595710732</v>
      </c>
      <c r="W189">
        <f>'2025_Fantasy_Hitters_modified'!G160</f>
        <v>59.93595550481524</v>
      </c>
      <c r="X189">
        <f>'2025_Fantasy_Hitters_modified'!H160</f>
        <v>20.180456398927689</v>
      </c>
      <c r="Y189">
        <f>'2025_Fantasy_Hitters_modified'!I160</f>
        <v>1.9504215355577355</v>
      </c>
      <c r="Z189">
        <f>'2025_Fantasy_Hitters_modified'!J160</f>
        <v>14.399999999999974</v>
      </c>
      <c r="AA189">
        <f>'2025_Fantasy_Hitters_modified'!K160</f>
        <v>51.981086519114392</v>
      </c>
      <c r="AB189">
        <f>'2025_Fantasy_Hitters_modified'!L160</f>
        <v>51.999999999999645</v>
      </c>
      <c r="AC189" s="2">
        <f>'2025_Fantasy_Hitters_modified'!M160</f>
        <v>38.804024146537998</v>
      </c>
      <c r="AD189">
        <f>'2025_Fantasy_Hitters_modified'!N160</f>
        <v>0.39999999999998209</v>
      </c>
      <c r="AE189">
        <f>'2025_Fantasy_Hitters_modified'!O160</f>
        <v>90.3420523315</v>
      </c>
      <c r="AF189">
        <f>'2025_Fantasy_Hitters_modified'!P160</f>
        <v>5.0113895216400195</v>
      </c>
      <c r="AG189">
        <f>'2025_Fantasy_Hitters_modified'!Q160</f>
        <v>2.9999999999999551</v>
      </c>
      <c r="AH189">
        <f>'2025_Fantasy_Hitters_modified'!R160</f>
        <v>0</v>
      </c>
      <c r="AI189">
        <f>'2025_Fantasy_Hitters_modified'!S160</f>
        <v>2.071026156941608</v>
      </c>
      <c r="AJ189">
        <f>'2025_Fantasy_Hitters_modified'!T160</f>
        <v>0</v>
      </c>
      <c r="AK189">
        <f>'2025_Fantasy_Hitters_modified'!U160</f>
        <v>2.071026156941608</v>
      </c>
      <c r="AL189">
        <f>'2025_Fantasy_Hitters_modified'!V160</f>
        <v>0.23545006335571964</v>
      </c>
      <c r="AM189">
        <f>'2025_Fantasy_Hitters_modified'!W160</f>
        <v>0.31227248461149903</v>
      </c>
      <c r="AN189">
        <f>'2025_Fantasy_Hitters_modified'!X160</f>
        <v>0.40531716066669238</v>
      </c>
      <c r="AO189">
        <f>'2025_Fantasy_Hitters_modified'!Y160</f>
        <v>0.71758964527819136</v>
      </c>
      <c r="AP189">
        <f>'2025_Fantasy_Hitters_modified'!Z160</f>
        <v>0.26706270659999998</v>
      </c>
      <c r="AQ189">
        <f>'2025_Fantasy_Hitters_modified'!AA160</f>
        <v>20.12072435</v>
      </c>
      <c r="AR189">
        <f>'2025_Fantasy_Hitters_modified'!AB160</f>
        <v>8.6423216362000002</v>
      </c>
    </row>
    <row r="190" spans="1:44" x14ac:dyDescent="0.4">
      <c r="A190" t="str">
        <f>'2025_Fantasy_Hitters_modified'!A72</f>
        <v>CLE</v>
      </c>
      <c r="B190" t="str">
        <f>'2025_Fantasy_Hitters_modified'!B72</f>
        <v>Kyle Manzardo</v>
      </c>
      <c r="C190">
        <f>'2025_Fantasy_Hitters_modified'!D72</f>
        <v>391</v>
      </c>
      <c r="D190">
        <f>'2025_Fantasy_Hitters_modified'!E72</f>
        <v>445</v>
      </c>
      <c r="E190" s="5">
        <f>(V190-AVERAGE(V$2:V$229))/AVERAGE(V$2:V$229)*100+100</f>
        <v>77.81972623719291</v>
      </c>
      <c r="F190" s="4">
        <f>E190*1.51744-31.775</f>
        <v>86.311765381366001</v>
      </c>
      <c r="G190" s="5">
        <f>(Z190-AVERAGE(Z$2:Z$229))/AVERAGE(Z$2:Z$229)*100+100</f>
        <v>91.011398066657136</v>
      </c>
      <c r="H190" s="4">
        <f>G190*0.83285-13.6979</f>
        <v>62.100942879815392</v>
      </c>
      <c r="I190" s="5">
        <f>(AA190-AVERAGE(AA$2:AA$229))/AVERAGE(AA$2:AA$229)*100+100</f>
        <v>82.294594471145672</v>
      </c>
      <c r="J190" s="5">
        <f>(AB190-AVERAGE(AB$2:AB$229))/AVERAGE(AB$2:AB$229)*100+100</f>
        <v>84.196129385214832</v>
      </c>
      <c r="K190" s="5">
        <f>(AC190-AVERAGE(AC$2:AC$229))/AVERAGE(AC$2:AC$229)*100+100</f>
        <v>87.353097677788924</v>
      </c>
      <c r="L190" s="5">
        <f>(AF190-AVERAGE(AF$2:AF$229))/AVERAGE(AF$2:AF$229)*100+100</f>
        <v>69.172161935920315</v>
      </c>
      <c r="M190" s="5">
        <f>(AI190-AVERAGE(AI$2:AI$229))/AVERAGE(AI$2:AI$229)*100+100</f>
        <v>9.580899342291687</v>
      </c>
      <c r="N190" s="5">
        <f>(AVERAGE(AJ$2:AJ$229)-AJ190)/AVERAGE(AJ$2:AJ$229)*100+100</f>
        <v>163.0641698639254</v>
      </c>
      <c r="O190" s="5">
        <f>(AK190-AVERAGE(AK$2:AK$229))/AVERAGE(AK$2:AK$229)*100+100</f>
        <v>0</v>
      </c>
      <c r="P190" s="5">
        <f>(AL190-AVERAGE(AL$2:AL$229))/AVERAGE(AL$2:AL$229)*100+100</f>
        <v>93.714340856669963</v>
      </c>
      <c r="Q190" s="5">
        <f>(AM190-AVERAGE(AM$2:AM$229))/AVERAGE(AM$2:AM$229)*100+100</f>
        <v>95.836027127628228</v>
      </c>
      <c r="R190" s="5">
        <f>(AN190-AVERAGE(AN$2:AN$229))/AVERAGE(AN$2:AN$229)*100+100</f>
        <v>98.618133335218715</v>
      </c>
      <c r="S190" s="5">
        <f>(AO190-AVERAGE(AO$2:AO$229))/AVERAGE(AO$2:AO$229)*100+100</f>
        <v>97.404339956175761</v>
      </c>
      <c r="T190" s="6">
        <f>(F190*1.5+H190*2.5+I190+J190+K190*1.5+L190+O190*0.75+P190+S190)/11.25</f>
        <v>74.891663857190892</v>
      </c>
      <c r="V190">
        <f>'2025_Fantasy_Hitters_modified'!F72</f>
        <v>91.415509843955007</v>
      </c>
      <c r="W190">
        <f>'2025_Fantasy_Hitters_modified'!G72</f>
        <v>52.81262466318038</v>
      </c>
      <c r="X190">
        <f>'2025_Fantasy_Hitters_modified'!H72</f>
        <v>20.404229957442226</v>
      </c>
      <c r="Y190">
        <f>'2025_Fantasy_Hitters_modified'!I72</f>
        <v>0.98717607794100981</v>
      </c>
      <c r="Z190">
        <f>'2025_Fantasy_Hitters_modified'!J72</f>
        <v>16.599999999999977</v>
      </c>
      <c r="AA190">
        <f>'2025_Fantasy_Hitters_modified'!K72</f>
        <v>54.266820276497384</v>
      </c>
      <c r="AB190">
        <f>'2025_Fantasy_Hitters_modified'!L72</f>
        <v>53.999999999999744</v>
      </c>
      <c r="AC190" s="2">
        <f>'2025_Fantasy_Hitters_modified'!M72</f>
        <v>39.919124425769994</v>
      </c>
      <c r="AD190">
        <f>'2025_Fantasy_Hitters_modified'!N72</f>
        <v>1.4025345622119636</v>
      </c>
      <c r="AE190">
        <f>'2025_Fantasy_Hitters_modified'!O72</f>
        <v>97.407834093999995</v>
      </c>
      <c r="AF190">
        <f>'2025_Fantasy_Hitters_modified'!P72</f>
        <v>4.053156822810581</v>
      </c>
      <c r="AG190">
        <f>'2025_Fantasy_Hitters_modified'!Q72</f>
        <v>3.9999999999999911</v>
      </c>
      <c r="AH190">
        <f>'2025_Fantasy_Hitters_modified'!R72</f>
        <v>0</v>
      </c>
      <c r="AI190">
        <f>'2025_Fantasy_Hitters_modified'!S72</f>
        <v>1.0025345622119557</v>
      </c>
      <c r="AJ190">
        <f>'2025_Fantasy_Hitters_modified'!T72</f>
        <v>1.0025345622119557</v>
      </c>
      <c r="AK190">
        <f>'2025_Fantasy_Hitters_modified'!U72</f>
        <v>0</v>
      </c>
      <c r="AL190">
        <f>'2025_Fantasy_Hitters_modified'!V72</f>
        <v>0.23379925791292841</v>
      </c>
      <c r="AM190">
        <f>'2025_Fantasy_Hitters_modified'!W72</f>
        <v>0.31350798851476525</v>
      </c>
      <c r="AN190">
        <f>'2025_Fantasy_Hitters_modified'!X72</f>
        <v>0.41683532688462338</v>
      </c>
      <c r="AO190">
        <f>'2025_Fantasy_Hitters_modified'!Y72</f>
        <v>0.73034331539938857</v>
      </c>
      <c r="AP190">
        <f>'2025_Fantasy_Hitters_modified'!Z72</f>
        <v>0.26625478899999999</v>
      </c>
      <c r="AQ190">
        <f>'2025_Fantasy_Hitters_modified'!AA72</f>
        <v>21.88940092</v>
      </c>
      <c r="AR190">
        <f>'2025_Fantasy_Hitters_modified'!AB72</f>
        <v>8.9705897585999992</v>
      </c>
    </row>
    <row r="191" spans="1:44" x14ac:dyDescent="0.4">
      <c r="A191" t="str">
        <f>'2025_Fantasy_Hitters_modified'!A60</f>
        <v>CIN</v>
      </c>
      <c r="B191" t="str">
        <f>'2025_Fantasy_Hitters_modified'!B60</f>
        <v>Christian Encarnacion-Strand</v>
      </c>
      <c r="C191">
        <f>'2025_Fantasy_Hitters_modified'!D60</f>
        <v>362</v>
      </c>
      <c r="D191">
        <f>'2025_Fantasy_Hitters_modified'!E60</f>
        <v>393</v>
      </c>
      <c r="E191" s="5">
        <f>(V191-AVERAGE(V$2:V$229))/AVERAGE(V$2:V$229)*100+100</f>
        <v>79.789508743418267</v>
      </c>
      <c r="F191" s="4">
        <f>E191*1.51744-31.775</f>
        <v>89.300792147612611</v>
      </c>
      <c r="G191" s="5">
        <f>(Z191-AVERAGE(Z$2:Z$229))/AVERAGE(Z$2:Z$229)*100+100</f>
        <v>93.204443803203134</v>
      </c>
      <c r="H191" s="4">
        <f>G191*0.83285-13.6979</f>
        <v>63.927421021497722</v>
      </c>
      <c r="I191" s="5">
        <f>(AA191-AVERAGE(AA$2:AA$229))/AVERAGE(AA$2:AA$229)*100+100</f>
        <v>73.463532389867737</v>
      </c>
      <c r="J191" s="5">
        <f>(AB191-AVERAGE(AB$2:AB$229))/AVERAGE(AB$2:AB$229)*100+100</f>
        <v>88.873692128838115</v>
      </c>
      <c r="K191" s="5">
        <f>(AC191-AVERAGE(AC$2:AC$229))/AVERAGE(AC$2:AC$229)*100+100</f>
        <v>50.456711044901972</v>
      </c>
      <c r="L191" s="5">
        <f>(AF191-AVERAGE(AF$2:AF$229))/AVERAGE(AF$2:AF$229)*100+100</f>
        <v>86.76608720078481</v>
      </c>
      <c r="M191" s="5">
        <f>(AI191-AVERAGE(AI$2:AI$229))/AVERAGE(AI$2:AI$229)*100+100</f>
        <v>19.348175912883377</v>
      </c>
      <c r="N191" s="5">
        <f>(AVERAGE(AJ$2:AJ$229)-AJ191)/AVERAGE(AJ$2:AJ$229)*100+100</f>
        <v>162.70491352483975</v>
      </c>
      <c r="O191" s="5">
        <f>(AK191-AVERAGE(AK$2:AK$229))/AVERAGE(AK$2:AK$229)*100+100</f>
        <v>13.062378851339901</v>
      </c>
      <c r="P191" s="5">
        <f>(AL191-AVERAGE(AL$2:AL$229))/AVERAGE(AL$2:AL$229)*100+100</f>
        <v>103.7839830799756</v>
      </c>
      <c r="Q191" s="5">
        <f>(AM191-AVERAGE(AM$2:AM$229))/AVERAGE(AM$2:AM$229)*100+100</f>
        <v>96.54876727671639</v>
      </c>
      <c r="R191" s="5">
        <f>(AN191-AVERAGE(AN$2:AN$229))/AVERAGE(AN$2:AN$229)*100+100</f>
        <v>107.55447509096598</v>
      </c>
      <c r="S191" s="5">
        <f>(AO191-AVERAGE(AO$2:AO$229))/AVERAGE(AO$2:AO$229)*100+100</f>
        <v>102.75284126398618</v>
      </c>
      <c r="T191" s="6">
        <f>(F191*1.5+H191*2.5+I191+J191+K191*1.5+L191+O191*0.75+P191+S191)/11.25</f>
        <v>74.21259800395319</v>
      </c>
      <c r="V191">
        <f>'2025_Fantasy_Hitters_modified'!F60</f>
        <v>93.729430501288718</v>
      </c>
      <c r="W191">
        <f>'2025_Fantasy_Hitters_modified'!G60</f>
        <v>57.696545792527431</v>
      </c>
      <c r="X191">
        <f>'2025_Fantasy_Hitters_modified'!H60</f>
        <v>17.93674998731419</v>
      </c>
      <c r="Y191">
        <f>'2025_Fantasy_Hitters_modified'!I60</f>
        <v>0.9992429208332404</v>
      </c>
      <c r="Z191">
        <f>'2025_Fantasy_Hitters_modified'!J60</f>
        <v>16.999999999999986</v>
      </c>
      <c r="AA191">
        <f>'2025_Fantasy_Hitters_modified'!K60</f>
        <v>48.443428571428221</v>
      </c>
      <c r="AB191">
        <f>'2025_Fantasy_Hitters_modified'!L60</f>
        <v>56.999999999999886</v>
      </c>
      <c r="AC191" s="2">
        <f>'2025_Fantasy_Hitters_modified'!M60</f>
        <v>23.058000000711001</v>
      </c>
      <c r="AD191">
        <f>'2025_Fantasy_Hitters_modified'!N60</f>
        <v>1.0122857142857071</v>
      </c>
      <c r="AE191">
        <f>'2025_Fantasy_Hitters_modified'!O60</f>
        <v>105.5485714398</v>
      </c>
      <c r="AF191">
        <f>'2025_Fantasy_Hitters_modified'!P60</f>
        <v>5.0840764331209547</v>
      </c>
      <c r="AG191">
        <f>'2025_Fantasy_Hitters_modified'!Q60</f>
        <v>2.9999999999999836</v>
      </c>
      <c r="AH191">
        <f>'2025_Fantasy_Hitters_modified'!R60</f>
        <v>0</v>
      </c>
      <c r="AI191">
        <f>'2025_Fantasy_Hitters_modified'!S60</f>
        <v>2.0245714285714183</v>
      </c>
      <c r="AJ191">
        <f>'2025_Fantasy_Hitters_modified'!T60</f>
        <v>1.0122857142857071</v>
      </c>
      <c r="AK191">
        <f>'2025_Fantasy_Hitters_modified'!U60</f>
        <v>1.0122857142857111</v>
      </c>
      <c r="AL191">
        <f>'2025_Fantasy_Hitters_modified'!V60</f>
        <v>0.25892107873284176</v>
      </c>
      <c r="AM191">
        <f>'2025_Fantasy_Hitters_modified'!W60</f>
        <v>0.31583957233737892</v>
      </c>
      <c r="AN191">
        <f>'2025_Fantasy_Hitters_modified'!X60</f>
        <v>0.45460711196037423</v>
      </c>
      <c r="AO191">
        <f>'2025_Fantasy_Hitters_modified'!Y60</f>
        <v>0.77044668429775309</v>
      </c>
      <c r="AP191">
        <f>'2025_Fantasy_Hitters_modified'!Z60</f>
        <v>0.3164734106</v>
      </c>
      <c r="AQ191">
        <f>'2025_Fantasy_Hitters_modified'!AA60</f>
        <v>26.85714286</v>
      </c>
      <c r="AR191">
        <f>'2025_Fantasy_Hitters_modified'!AB60</f>
        <v>5.8671755726999999</v>
      </c>
    </row>
    <row r="192" spans="1:44" x14ac:dyDescent="0.4">
      <c r="A192" t="str">
        <f>'2025_Fantasy_Hitters_modified'!A201</f>
        <v>TBR</v>
      </c>
      <c r="B192" t="str">
        <f>'2025_Fantasy_Hitters_modified'!B201</f>
        <v>Jonathan Aranda</v>
      </c>
      <c r="C192">
        <f>'2025_Fantasy_Hitters_modified'!D201</f>
        <v>352</v>
      </c>
      <c r="D192">
        <f>'2025_Fantasy_Hitters_modified'!E201</f>
        <v>401</v>
      </c>
      <c r="E192" s="5">
        <f>(V192-AVERAGE(V$2:V$229))/AVERAGE(V$2:V$229)*100+100</f>
        <v>72.398755803346646</v>
      </c>
      <c r="F192" s="4">
        <f>E192*1.51744-31.775</f>
        <v>78.085768006230325</v>
      </c>
      <c r="G192" s="5">
        <f>(Z192-AVERAGE(Z$2:Z$229))/AVERAGE(Z$2:Z$229)*100+100</f>
        <v>82.239215120473233</v>
      </c>
      <c r="H192" s="4">
        <f>G192*0.83285-13.6979</f>
        <v>54.79503031308613</v>
      </c>
      <c r="I192" s="5">
        <f>(AA192-AVERAGE(AA$2:AA$229))/AVERAGE(AA$2:AA$229)*100+100</f>
        <v>73.894671722415836</v>
      </c>
      <c r="J192" s="5">
        <f>(AB192-AVERAGE(AB$2:AB$229))/AVERAGE(AB$2:AB$229)*100+100</f>
        <v>74.841003897968577</v>
      </c>
      <c r="K192" s="5">
        <f>(AC192-AVERAGE(AC$2:AC$229))/AVERAGE(AC$2:AC$229)*100+100</f>
        <v>79.74798824828008</v>
      </c>
      <c r="L192" s="5">
        <f>(AF192-AVERAGE(AF$2:AF$229))/AVERAGE(AF$2:AF$229)*100+100</f>
        <v>106.1241723189022</v>
      </c>
      <c r="M192" s="5">
        <f>(AI192-AVERAGE(AI$2:AI$229))/AVERAGE(AI$2:AI$229)*100+100</f>
        <v>9.6744627281024123</v>
      </c>
      <c r="N192" s="5">
        <f>(AVERAGE(AJ$2:AJ$229)-AJ192)/AVERAGE(AJ$2:AJ$229)*100+100</f>
        <v>195.86167431042185</v>
      </c>
      <c r="O192" s="5">
        <f>(AK192-AVERAGE(AK$2:AK$229))/AVERAGE(AK$2:AK$229)*100+100</f>
        <v>11.613461298820368</v>
      </c>
      <c r="P192" s="5">
        <f>(AL192-AVERAGE(AL$2:AL$229))/AVERAGE(AL$2:AL$229)*100+100</f>
        <v>96.845969902321357</v>
      </c>
      <c r="Q192" s="5">
        <f>(AM192-AVERAGE(AM$2:AM$229))/AVERAGE(AM$2:AM$229)*100+100</f>
        <v>100.26316876312902</v>
      </c>
      <c r="R192" s="5">
        <f>(AN192-AVERAGE(AN$2:AN$229))/AVERAGE(AN$2:AN$229)*100+100</f>
        <v>100.09413361884857</v>
      </c>
      <c r="S192" s="5">
        <f>(AO192-AVERAGE(AO$2:AO$229))/AVERAGE(AO$2:AO$229)*100+100</f>
        <v>100.1678812487533</v>
      </c>
      <c r="T192" s="6">
        <f>(F192*1.5+H192*2.5+I192+J192+K192*1.5+L192+O192*0.75+P192+S192)/11.25</f>
        <v>74.161956020351781</v>
      </c>
      <c r="V192">
        <f>'2025_Fantasy_Hitters_modified'!F201</f>
        <v>85.047448684903856</v>
      </c>
      <c r="W192">
        <f>'2025_Fantasy_Hitters_modified'!G201</f>
        <v>52.48355435519111</v>
      </c>
      <c r="X192">
        <f>'2025_Fantasy_Hitters_modified'!H201</f>
        <v>16.771924333005096</v>
      </c>
      <c r="Y192">
        <f>'2025_Fantasy_Hitters_modified'!I201</f>
        <v>0.96488494763832344</v>
      </c>
      <c r="Z192">
        <f>'2025_Fantasy_Hitters_modified'!J201</f>
        <v>14.999999999999964</v>
      </c>
      <c r="AA192">
        <f>'2025_Fantasy_Hitters_modified'!K201</f>
        <v>48.727731092436684</v>
      </c>
      <c r="AB192">
        <f>'2025_Fantasy_Hitters_modified'!L201</f>
        <v>47.999999999999673</v>
      </c>
      <c r="AC192" s="2">
        <f>'2025_Fantasy_Hitters_modified'!M201</f>
        <v>36.443697478600001</v>
      </c>
      <c r="AD192">
        <f>'2025_Fantasy_Hitters_modified'!N201</f>
        <v>1.0123249299719812</v>
      </c>
      <c r="AE192">
        <f>'2025_Fantasy_Hitters_modified'!O201</f>
        <v>101.09243696030001</v>
      </c>
      <c r="AF192">
        <f>'2025_Fantasy_Hitters_modified'!P201</f>
        <v>6.2183673469387193</v>
      </c>
      <c r="AG192">
        <f>'2025_Fantasy_Hitters_modified'!Q201</f>
        <v>2.9999999999999845</v>
      </c>
      <c r="AH192">
        <f>'2025_Fantasy_Hitters_modified'!R201</f>
        <v>0</v>
      </c>
      <c r="AI192">
        <f>'2025_Fantasy_Hitters_modified'!S201</f>
        <v>1.0123249299719812</v>
      </c>
      <c r="AJ192">
        <f>'2025_Fantasy_Hitters_modified'!T201</f>
        <v>0.11232492997198591</v>
      </c>
      <c r="AK192">
        <f>'2025_Fantasy_Hitters_modified'!U201</f>
        <v>0.89999999999999525</v>
      </c>
      <c r="AL192">
        <f>'2025_Fantasy_Hitters_modified'!V201</f>
        <v>0.24161207012756777</v>
      </c>
      <c r="AM192">
        <f>'2025_Fantasy_Hitters_modified'!W201</f>
        <v>0.32799047814434312</v>
      </c>
      <c r="AN192">
        <f>'2025_Fantasy_Hitters_modified'!X201</f>
        <v>0.42307402802305721</v>
      </c>
      <c r="AO192">
        <f>'2025_Fantasy_Hitters_modified'!Y201</f>
        <v>0.75106450616740039</v>
      </c>
      <c r="AP192">
        <f>'2025_Fantasy_Hitters_modified'!Z201</f>
        <v>0.2931989586</v>
      </c>
      <c r="AQ192">
        <f>'2025_Fantasy_Hitters_modified'!AA201</f>
        <v>25.210084030000001</v>
      </c>
      <c r="AR192">
        <f>'2025_Fantasy_Hitters_modified'!AB201</f>
        <v>9.0882038600000001</v>
      </c>
    </row>
    <row r="193" spans="1:44" x14ac:dyDescent="0.4">
      <c r="A193" t="str">
        <f>'2025_Fantasy_Hitters_modified'!A142</f>
        <v>NYM</v>
      </c>
      <c r="B193" t="str">
        <f>'2025_Fantasy_Hitters_modified'!B142</f>
        <v>Jesse Winker</v>
      </c>
      <c r="C193">
        <f>'2025_Fantasy_Hitters_modified'!D142</f>
        <v>346</v>
      </c>
      <c r="D193">
        <f>'2025_Fantasy_Hitters_modified'!E142</f>
        <v>408</v>
      </c>
      <c r="E193" s="5">
        <f>(V193-AVERAGE(V$2:V$229))/AVERAGE(V$2:V$229)*100+100</f>
        <v>67.794018030688278</v>
      </c>
      <c r="F193" s="4">
        <f>E193*1.51744-31.775</f>
        <v>71.098354720487606</v>
      </c>
      <c r="G193" s="5">
        <f>(Z193-AVERAGE(Z$2:Z$229))/AVERAGE(Z$2:Z$229)*100+100</f>
        <v>57.019189150194741</v>
      </c>
      <c r="H193" s="4">
        <f>G193*0.83285-13.6979</f>
        <v>33.790531683739687</v>
      </c>
      <c r="I193" s="5">
        <f>(AA193-AVERAGE(AA$2:AA$229))/AVERAGE(AA$2:AA$229)*100+100</f>
        <v>71.979924001499981</v>
      </c>
      <c r="J193" s="5">
        <f>(AB193-AVERAGE(AB$2:AB$229))/AVERAGE(AB$2:AB$229)*100+100</f>
        <v>67.045065991930585</v>
      </c>
      <c r="K193" s="5">
        <f>(AC193-AVERAGE(AC$2:AC$229))/AVERAGE(AC$2:AC$229)*100+100</f>
        <v>110.38936227764256</v>
      </c>
      <c r="L193" s="5">
        <f>(AF193-AVERAGE(AF$2:AF$229))/AVERAGE(AF$2:AF$229)*100+100</f>
        <v>104.11141090258742</v>
      </c>
      <c r="M193" s="5">
        <f>(AI193-AVERAGE(AI$2:AI$229))/AVERAGE(AI$2:AI$229)*100+100</f>
        <v>57.998064829571334</v>
      </c>
      <c r="N193" s="5">
        <f>(AVERAGE(AJ$2:AJ$229)-AJ193)/AVERAGE(AJ$2:AJ$229)*100+100</f>
        <v>126.64297062047697</v>
      </c>
      <c r="O193" s="5">
        <f>(AK193-AVERAGE(AK$2:AK$229))/AVERAGE(AK$2:AK$229)*100+100</f>
        <v>52.618680232906343</v>
      </c>
      <c r="P193" s="5">
        <f>(AL193-AVERAGE(AL$2:AL$229))/AVERAGE(AL$2:AL$229)*100+100</f>
        <v>92.258924887730402</v>
      </c>
      <c r="Q193" s="5">
        <f>(AM193-AVERAGE(AM$2:AM$229))/AVERAGE(AM$2:AM$229)*100+100</f>
        <v>104.98304394281162</v>
      </c>
      <c r="R193" s="5">
        <f>(AN193-AVERAGE(AN$2:AN$229))/AVERAGE(AN$2:AN$229)*100+100</f>
        <v>86.483415128353883</v>
      </c>
      <c r="S193" s="5">
        <f>(AO193-AVERAGE(AO$2:AO$229))/AVERAGE(AO$2:AO$229)*100+100</f>
        <v>94.55454013015148</v>
      </c>
      <c r="T193" s="6">
        <f>(F193*1.5+H193*2.5+I193+J193+K193*1.5+L193+O193*0.75+P193+S193)/11.25</f>
        <v>73.433047181788808</v>
      </c>
      <c r="V193">
        <f>'2025_Fantasy_Hitters_modified'!F142</f>
        <v>79.63822313838557</v>
      </c>
      <c r="W193">
        <f>'2025_Fantasy_Hitters_modified'!G142</f>
        <v>53.443074222764629</v>
      </c>
      <c r="X193">
        <f>'2025_Fantasy_Hitters_modified'!H142</f>
        <v>14.254928293197004</v>
      </c>
      <c r="Y193">
        <f>'2025_Fantasy_Hitters_modified'!I142</f>
        <v>0.97518624138571131</v>
      </c>
      <c r="Z193">
        <f>'2025_Fantasy_Hitters_modified'!J142</f>
        <v>10.39999999999997</v>
      </c>
      <c r="AA193">
        <f>'2025_Fantasy_Hitters_modified'!K142</f>
        <v>47.465105386416525</v>
      </c>
      <c r="AB193">
        <f>'2025_Fantasy_Hitters_modified'!L142</f>
        <v>42.999999999999957</v>
      </c>
      <c r="AC193" s="2">
        <f>'2025_Fantasy_Hitters_modified'!M142</f>
        <v>50.446370022240004</v>
      </c>
      <c r="AD193">
        <f>'2025_Fantasy_Hitters_modified'!N142</f>
        <v>0.99555035128803071</v>
      </c>
      <c r="AE193">
        <f>'2025_Fantasy_Hitters_modified'!O142</f>
        <v>85.039812626399993</v>
      </c>
      <c r="AF193">
        <f>'2025_Fantasy_Hitters_modified'!P142</f>
        <v>6.1004291845492951</v>
      </c>
      <c r="AG193">
        <f>'2025_Fantasy_Hitters_modified'!Q142</f>
        <v>1.9999999999999898</v>
      </c>
      <c r="AH193">
        <f>'2025_Fantasy_Hitters_modified'!R142</f>
        <v>0.92532188841199903</v>
      </c>
      <c r="AI193">
        <f>'2025_Fantasy_Hitters_modified'!S142</f>
        <v>6.0688524590163366</v>
      </c>
      <c r="AJ193">
        <f>'2025_Fantasy_Hitters_modified'!T142</f>
        <v>1.9911007025761021</v>
      </c>
      <c r="AK193">
        <f>'2025_Fantasy_Hitters_modified'!U142</f>
        <v>4.0777517564402341</v>
      </c>
      <c r="AL193">
        <f>'2025_Fantasy_Hitters_modified'!V142</f>
        <v>0.23016827496643227</v>
      </c>
      <c r="AM193">
        <f>'2025_Fantasy_Hitters_modified'!W142</f>
        <v>0.34343058577372626</v>
      </c>
      <c r="AN193">
        <f>'2025_Fantasy_Hitters_modified'!X142</f>
        <v>0.36554476743732844</v>
      </c>
      <c r="AO193">
        <f>'2025_Fantasy_Hitters_modified'!Y142</f>
        <v>0.70897535321105476</v>
      </c>
      <c r="AP193">
        <f>'2025_Fantasy_Hitters_modified'!Z142</f>
        <v>0.2741454378</v>
      </c>
      <c r="AQ193">
        <f>'2025_Fantasy_Hitters_modified'!AA142</f>
        <v>20.84309133</v>
      </c>
      <c r="AR193">
        <f>'2025_Fantasy_Hitters_modified'!AB142</f>
        <v>12.364306378</v>
      </c>
    </row>
    <row r="194" spans="1:44" x14ac:dyDescent="0.4">
      <c r="A194" t="str">
        <f>'2025_Fantasy_Hitters_modified'!A227</f>
        <v>WSN</v>
      </c>
      <c r="B194" t="str">
        <f>'2025_Fantasy_Hitters_modified'!B227</f>
        <v>Keibert Ruiz</v>
      </c>
      <c r="C194">
        <f>'2025_Fantasy_Hitters_modified'!D227</f>
        <v>449</v>
      </c>
      <c r="D194">
        <f>'2025_Fantasy_Hitters_modified'!E227</f>
        <v>483</v>
      </c>
      <c r="E194" s="5">
        <f>(V194-AVERAGE(V$2:V$229))/AVERAGE(V$2:V$229)*100+100</f>
        <v>91.295527410199952</v>
      </c>
      <c r="F194" s="4">
        <f>E194*1.51744-31.775</f>
        <v>106.7604851133338</v>
      </c>
      <c r="G194" s="5">
        <f>(Z194-AVERAGE(Z$2:Z$229))/AVERAGE(Z$2:Z$229)*100+100</f>
        <v>69.080940701197591</v>
      </c>
      <c r="H194" s="4">
        <f>G194*0.83285-13.6979</f>
        <v>43.836161462992408</v>
      </c>
      <c r="I194" s="5">
        <f>(AA194-AVERAGE(AA$2:AA$229))/AVERAGE(AA$2:AA$229)*100+100</f>
        <v>70.94666159677115</v>
      </c>
      <c r="J194" s="5">
        <f>(AB194-AVERAGE(AB$2:AB$229))/AVERAGE(AB$2:AB$229)*100+100</f>
        <v>88.873692128837959</v>
      </c>
      <c r="K194" s="5">
        <f>(AC194-AVERAGE(AC$2:AC$229))/AVERAGE(AC$2:AC$229)*100+100</f>
        <v>54.740487562573684</v>
      </c>
      <c r="L194" s="5">
        <f>(AF194-AVERAGE(AF$2:AF$229))/AVERAGE(AF$2:AF$229)*100+100</f>
        <v>100.6207503592522</v>
      </c>
      <c r="M194" s="5">
        <f>(AI194-AVERAGE(AI$2:AI$229))/AVERAGE(AI$2:AI$229)*100+100</f>
        <v>28.687950817062486</v>
      </c>
      <c r="N194" s="5">
        <f>(AVERAGE(AJ$2:AJ$229)-AJ194)/AVERAGE(AJ$2:AJ$229)*100+100</f>
        <v>163.134522815488</v>
      </c>
      <c r="O194" s="5">
        <f>(AK194-AVERAGE(AK$2:AK$229))/AVERAGE(AK$2:AK$229)*100+100</f>
        <v>25.823821582516004</v>
      </c>
      <c r="P194" s="5">
        <f>(AL194-AVERAGE(AL$2:AL$229))/AVERAGE(AL$2:AL$229)*100+100</f>
        <v>95.740628581637026</v>
      </c>
      <c r="Q194" s="5">
        <f>(AM194-AVERAGE(AM$2:AM$229))/AVERAGE(AM$2:AM$229)*100+100</f>
        <v>88.833638466407976</v>
      </c>
      <c r="R194" s="5">
        <f>(AN194-AVERAGE(AN$2:AN$229))/AVERAGE(AN$2:AN$229)*100+100</f>
        <v>87.300048489170223</v>
      </c>
      <c r="S194" s="5">
        <f>(AO194-AVERAGE(AO$2:AO$229))/AVERAGE(AO$2:AO$229)*100+100</f>
        <v>87.969131989814073</v>
      </c>
      <c r="T194" s="6">
        <f>(F194*1.5+H194*2.5+I194+J194+K194*1.5+L194+O194*0.75+P194+S194)/11.25</f>
        <v>72.476497201292574</v>
      </c>
      <c r="V194">
        <f>'2025_Fantasy_Hitters_modified'!F227</f>
        <v>107.24565079088417</v>
      </c>
      <c r="W194">
        <f>'2025_Fantasy_Hitters_modified'!G227</f>
        <v>72.536223227099626</v>
      </c>
      <c r="X194">
        <f>'2025_Fantasy_Hitters_modified'!H227</f>
        <v>21.371598565683506</v>
      </c>
      <c r="Y194">
        <f>'2025_Fantasy_Hitters_modified'!I227</f>
        <v>0</v>
      </c>
      <c r="Z194">
        <f>'2025_Fantasy_Hitters_modified'!J227</f>
        <v>12.599999999999985</v>
      </c>
      <c r="AA194">
        <f>'2025_Fantasy_Hitters_modified'!K227</f>
        <v>46.783749999999969</v>
      </c>
      <c r="AB194">
        <f>'2025_Fantasy_Hitters_modified'!L227</f>
        <v>56.999999999999787</v>
      </c>
      <c r="AC194" s="2">
        <f>'2025_Fantasy_Hitters_modified'!M227</f>
        <v>25.015625000478003</v>
      </c>
      <c r="AD194">
        <f>'2025_Fantasy_Hitters_modified'!N227</f>
        <v>0.89999999999999969</v>
      </c>
      <c r="AE194">
        <f>'2025_Fantasy_Hitters_modified'!O227</f>
        <v>53.3312500161</v>
      </c>
      <c r="AF194">
        <f>'2025_Fantasy_Hitters_modified'!P227</f>
        <v>5.8958932238192912</v>
      </c>
      <c r="AG194">
        <f>'2025_Fantasy_Hitters_modified'!Q227</f>
        <v>3.5999999999999988</v>
      </c>
      <c r="AH194">
        <f>'2025_Fantasy_Hitters_modified'!R227</f>
        <v>0.39999999999999986</v>
      </c>
      <c r="AI194">
        <f>'2025_Fantasy_Hitters_modified'!S227</f>
        <v>3.0018749999999987</v>
      </c>
      <c r="AJ194">
        <f>'2025_Fantasy_Hitters_modified'!T227</f>
        <v>1.0006249999999981</v>
      </c>
      <c r="AK194">
        <f>'2025_Fantasy_Hitters_modified'!U227</f>
        <v>2.0012500000000006</v>
      </c>
      <c r="AL194">
        <f>'2025_Fantasy_Hitters_modified'!V227</f>
        <v>0.23885445610441908</v>
      </c>
      <c r="AM194">
        <f>'2025_Fantasy_Hitters_modified'!W227</f>
        <v>0.29060110422735425</v>
      </c>
      <c r="AN194">
        <f>'2025_Fantasy_Hitters_modified'!X227</f>
        <v>0.36899648186740885</v>
      </c>
      <c r="AO194">
        <f>'2025_Fantasy_Hitters_modified'!Y227</f>
        <v>0.65959758609476316</v>
      </c>
      <c r="AP194">
        <f>'2025_Fantasy_Hitters_modified'!Z227</f>
        <v>0.24477191600000001</v>
      </c>
      <c r="AQ194">
        <f>'2025_Fantasy_Hitters_modified'!AA227</f>
        <v>11.04166667</v>
      </c>
      <c r="AR194">
        <f>'2025_Fantasy_Hitters_modified'!AB227</f>
        <v>5.1792184266000003</v>
      </c>
    </row>
    <row r="195" spans="1:44" x14ac:dyDescent="0.4">
      <c r="A195" t="str">
        <f>'2025_Fantasy_Hitters_modified'!A168</f>
        <v>PIT</v>
      </c>
      <c r="B195" t="str">
        <f>'2025_Fantasy_Hitters_modified'!B168</f>
        <v>Spencer Horwitz</v>
      </c>
      <c r="C195">
        <f>'2025_Fantasy_Hitters_modified'!D168</f>
        <v>368</v>
      </c>
      <c r="D195">
        <f>'2025_Fantasy_Hitters_modified'!E168</f>
        <v>424</v>
      </c>
      <c r="E195" s="5">
        <f>(V195-AVERAGE(V$2:V$229))/AVERAGE(V$2:V$229)*100+100</f>
        <v>80.330193977576087</v>
      </c>
      <c r="F195" s="4">
        <f>E195*1.51744-31.775</f>
        <v>90.121249549333044</v>
      </c>
      <c r="G195" s="5">
        <f>(Z195-AVERAGE(Z$2:Z$229))/AVERAGE(Z$2:Z$229)*100+100</f>
        <v>52.633097677102846</v>
      </c>
      <c r="H195" s="4">
        <f>G195*0.83285-13.6979</f>
        <v>30.137575400375102</v>
      </c>
      <c r="I195" s="5">
        <f>(AA195-AVERAGE(AA$2:AA$229))/AVERAGE(AA$2:AA$229)*100+100</f>
        <v>74.405050365964613</v>
      </c>
      <c r="J195" s="5">
        <f>(AB195-AVERAGE(AB$2:AB$229))/AVERAGE(AB$2:AB$229)*100+100</f>
        <v>71.722628735553158</v>
      </c>
      <c r="K195" s="5">
        <f>(AC195-AVERAGE(AC$2:AC$229))/AVERAGE(AC$2:AC$229)*100+100</f>
        <v>97.838303026171815</v>
      </c>
      <c r="L195" s="5">
        <f>(AF195-AVERAGE(AF$2:AF$229))/AVERAGE(AF$2:AF$229)*100+100</f>
        <v>86.64311322787097</v>
      </c>
      <c r="M195" s="5">
        <f>(AI195-AVERAGE(AI$2:AI$229))/AVERAGE(AI$2:AI$229)*100+100</f>
        <v>19.010961726425251</v>
      </c>
      <c r="N195" s="5">
        <f>(AVERAGE(AJ$2:AJ$229)-AJ195)/AVERAGE(AJ$2:AJ$229)*100+100</f>
        <v>163.35491961850116</v>
      </c>
      <c r="O195" s="5">
        <f>(AK195-AVERAGE(AK$2:AK$229))/AVERAGE(AK$2:AK$229)*100+100</f>
        <v>12.834718141751793</v>
      </c>
      <c r="P195" s="5">
        <f>(AL195-AVERAGE(AL$2:AL$229))/AVERAGE(AL$2:AL$229)*100+100</f>
        <v>102.7836676504873</v>
      </c>
      <c r="Q195" s="5">
        <f>(AM195-AVERAGE(AM$2:AM$229))/AVERAGE(AM$2:AM$229)*100+100</f>
        <v>106.95205256210296</v>
      </c>
      <c r="R195" s="5">
        <f>(AN195-AVERAGE(AN$2:AN$229))/AVERAGE(AN$2:AN$229)*100+100</f>
        <v>92.803393520588557</v>
      </c>
      <c r="S195" s="5">
        <f>(AO195-AVERAGE(AO$2:AO$229))/AVERAGE(AO$2:AO$229)*100+100</f>
        <v>98.976252277767003</v>
      </c>
      <c r="T195" s="6">
        <f>(F195*1.5+H195*2.5+I195+J195+K195*1.5+L195+O195*0.75+P195+S195)/11.25</f>
        <v>71.239112731391273</v>
      </c>
      <c r="V195">
        <f>'2025_Fantasy_Hitters_modified'!F168</f>
        <v>94.364578152605077</v>
      </c>
      <c r="W195">
        <f>'2025_Fantasy_Hitters_modified'!G168</f>
        <v>63.131637386325991</v>
      </c>
      <c r="X195">
        <f>'2025_Fantasy_Hitters_modified'!H168</f>
        <v>19.94460662414231</v>
      </c>
      <c r="Y195">
        <f>'2025_Fantasy_Hitters_modified'!I168</f>
        <v>0.97667431486615552</v>
      </c>
      <c r="Z195">
        <f>'2025_Fantasy_Hitters_modified'!J168</f>
        <v>9.599999999999973</v>
      </c>
      <c r="AA195">
        <f>'2025_Fantasy_Hitters_modified'!K168</f>
        <v>49.064285714285333</v>
      </c>
      <c r="AB195">
        <f>'2025_Fantasy_Hitters_modified'!L168</f>
        <v>45.999999999999645</v>
      </c>
      <c r="AC195" s="2">
        <f>'2025_Fantasy_Hitters_modified'!M168</f>
        <v>44.710714284160005</v>
      </c>
      <c r="AD195">
        <f>'2025_Fantasy_Hitters_modified'!N168</f>
        <v>1.9892857142856863</v>
      </c>
      <c r="AE195">
        <f>'2025_Fantasy_Hitters_modified'!O168</f>
        <v>77.607142863200011</v>
      </c>
      <c r="AF195">
        <f>'2025_Fantasy_Hitters_modified'!P168</f>
        <v>5.0768707482992834</v>
      </c>
      <c r="AG195">
        <f>'2025_Fantasy_Hitters_modified'!Q168</f>
        <v>2.9999999999999969</v>
      </c>
      <c r="AH195">
        <f>'2025_Fantasy_Hitters_modified'!R168</f>
        <v>0</v>
      </c>
      <c r="AI195">
        <f>'2025_Fantasy_Hitters_modified'!S168</f>
        <v>1.9892857142856863</v>
      </c>
      <c r="AJ195">
        <f>'2025_Fantasy_Hitters_modified'!T168</f>
        <v>0.99464285714284095</v>
      </c>
      <c r="AK195">
        <f>'2025_Fantasy_Hitters_modified'!U168</f>
        <v>0.99464285714284539</v>
      </c>
      <c r="AL195">
        <f>'2025_Fantasy_Hitters_modified'!V168</f>
        <v>0.25642548411033989</v>
      </c>
      <c r="AM195">
        <f>'2025_Fantasy_Hitters_modified'!W168</f>
        <v>0.34987179530738299</v>
      </c>
      <c r="AN195">
        <f>'2025_Fantasy_Hitters_modified'!X168</f>
        <v>0.39225780863915477</v>
      </c>
      <c r="AO195">
        <f>'2025_Fantasy_Hitters_modified'!Y168</f>
        <v>0.74212960394653771</v>
      </c>
      <c r="AP195">
        <f>'2025_Fantasy_Hitters_modified'!Z168</f>
        <v>0.29868467799999998</v>
      </c>
      <c r="AQ195">
        <f>'2025_Fantasy_Hitters_modified'!AA168</f>
        <v>18.303571430000002</v>
      </c>
      <c r="AR195">
        <f>'2025_Fantasy_Hitters_modified'!AB168</f>
        <v>10.544979784000001</v>
      </c>
    </row>
    <row r="196" spans="1:44" x14ac:dyDescent="0.4">
      <c r="A196" t="str">
        <f>'2025_Fantasy_Hitters_modified'!A13</f>
        <v>ATH</v>
      </c>
      <c r="B196" t="str">
        <f>'2025_Fantasy_Hitters_modified'!B13</f>
        <v>Jacob Wilson</v>
      </c>
      <c r="C196">
        <f>'2025_Fantasy_Hitters_modified'!D13</f>
        <v>450</v>
      </c>
      <c r="D196">
        <f>'2025_Fantasy_Hitters_modified'!E13</f>
        <v>489</v>
      </c>
      <c r="E196" s="5">
        <f>(V196-AVERAGE(V$2:V$229))/AVERAGE(V$2:V$229)*100+100</f>
        <v>105.00605559684433</v>
      </c>
      <c r="F196" s="4">
        <f>E196*1.51744-31.775</f>
        <v>127.56538900487544</v>
      </c>
      <c r="G196" s="5">
        <f>(Z196-AVERAGE(Z$2:Z$229))/AVERAGE(Z$2:Z$229)*100+100</f>
        <v>32.895686048189233</v>
      </c>
      <c r="H196" s="4">
        <f>G196*0.83285-13.6979</f>
        <v>13.699272125234401</v>
      </c>
      <c r="I196" s="5">
        <f>(AA196-AVERAGE(AA$2:AA$229))/AVERAGE(AA$2:AA$229)*100+100</f>
        <v>87.979220556586171</v>
      </c>
      <c r="J196" s="5">
        <f>(AB196-AVERAGE(AB$2:AB$229))/AVERAGE(AB$2:AB$229)*100+100</f>
        <v>70.163441154346017</v>
      </c>
      <c r="K196" s="5">
        <f>(AC196-AVERAGE(AC$2:AC$229))/AVERAGE(AC$2:AC$229)*100+100</f>
        <v>53.537625359872372</v>
      </c>
      <c r="L196" s="5">
        <f>(AF196-AVERAGE(AF$2:AF$229))/AVERAGE(AF$2:AF$229)*100+100</f>
        <v>89.837773273797737</v>
      </c>
      <c r="M196" s="5">
        <f>(AI196-AVERAGE(AI$2:AI$229))/AVERAGE(AI$2:AI$229)*100+100</f>
        <v>37.827639352898615</v>
      </c>
      <c r="N196" s="5">
        <f>(AVERAGE(AJ$2:AJ$229)-AJ196)/AVERAGE(AJ$2:AJ$229)*100+100</f>
        <v>160.24254226252506</v>
      </c>
      <c r="O196" s="5">
        <f>(AK196-AVERAGE(AK$2:AK$229))/AVERAGE(AK$2:AK$229)*100+100</f>
        <v>37.151732115884826</v>
      </c>
      <c r="P196" s="5">
        <f>(AL196-AVERAGE(AL$2:AL$229))/AVERAGE(AL$2:AL$229)*100+100</f>
        <v>109.87400241719598</v>
      </c>
      <c r="Q196" s="5">
        <f>(AM196-AVERAGE(AM$2:AM$229))/AVERAGE(AM$2:AM$229)*100+100</f>
        <v>98.316308380364646</v>
      </c>
      <c r="R196" s="5">
        <f>(AN196-AVERAGE(AN$2:AN$229))/AVERAGE(AN$2:AN$229)*100+100</f>
        <v>87.90851772876313</v>
      </c>
      <c r="S196" s="5">
        <f>(AO196-AVERAGE(AO$2:AO$229))/AVERAGE(AO$2:AO$229)*100+100</f>
        <v>92.44928879958411</v>
      </c>
      <c r="T196" s="6">
        <f>(F196*1.5+H196*2.5+I196+J196+K196*1.5+L196+O196*0.75+P196+S196)/11.25</f>
        <v>69.695131302100563</v>
      </c>
      <c r="V196">
        <f>'2025_Fantasy_Hitters_modified'!F13</f>
        <v>123.3515276040692</v>
      </c>
      <c r="W196">
        <f>'2025_Fantasy_Hitters_modified'!G13</f>
        <v>90.640509237380286</v>
      </c>
      <c r="X196">
        <f>'2025_Fantasy_Hitters_modified'!H13</f>
        <v>23.267975300806771</v>
      </c>
      <c r="Y196">
        <f>'2025_Fantasy_Hitters_modified'!I13</f>
        <v>2.0097638183629645</v>
      </c>
      <c r="Z196">
        <f>'2025_Fantasy_Hitters_modified'!J13</f>
        <v>5.999999999999976</v>
      </c>
      <c r="AA196">
        <f>'2025_Fantasy_Hitters_modified'!K13</f>
        <v>58.015384615384193</v>
      </c>
      <c r="AB196">
        <f>'2025_Fantasy_Hitters_modified'!L13</f>
        <v>44.999999999999993</v>
      </c>
      <c r="AC196" s="2">
        <f>'2025_Fantasy_Hitters_modified'!M13</f>
        <v>24.465934065489002</v>
      </c>
      <c r="AD196">
        <f>'2025_Fantasy_Hitters_modified'!N13</f>
        <v>0.89999999999998903</v>
      </c>
      <c r="AE196">
        <f>'2025_Fantasy_Hitters_modified'!O13</f>
        <v>48.362637362099996</v>
      </c>
      <c r="AF196">
        <f>'2025_Fantasy_Hitters_modified'!P13</f>
        <v>5.2640624999999694</v>
      </c>
      <c r="AG196">
        <f>'2025_Fantasy_Hitters_modified'!Q13</f>
        <v>3.3999999999999786</v>
      </c>
      <c r="AH196">
        <f>'2025_Fantasy_Hitters_modified'!R13</f>
        <v>3.0337499999999853</v>
      </c>
      <c r="AI196">
        <f>'2025_Fantasy_Hitters_modified'!S13</f>
        <v>3.9582417582417575</v>
      </c>
      <c r="AJ196">
        <f>'2025_Fantasy_Hitters_modified'!T13</f>
        <v>1.0791208791208653</v>
      </c>
      <c r="AK196">
        <f>'2025_Fantasy_Hitters_modified'!U13</f>
        <v>2.879120879120892</v>
      </c>
      <c r="AL196">
        <f>'2025_Fantasy_Hitters_modified'!V13</f>
        <v>0.27411450578682045</v>
      </c>
      <c r="AM196">
        <f>'2025_Fantasy_Hitters_modified'!W13</f>
        <v>0.32162172204277067</v>
      </c>
      <c r="AN196">
        <f>'2025_Fantasy_Hitters_modified'!X13</f>
        <v>0.37156833620907254</v>
      </c>
      <c r="AO196">
        <f>'2025_Fantasy_Hitters_modified'!Y13</f>
        <v>0.69319005825184321</v>
      </c>
      <c r="AP196">
        <f>'2025_Fantasy_Hitters_modified'!Z13</f>
        <v>0.29408656579999998</v>
      </c>
      <c r="AQ196">
        <f>'2025_Fantasy_Hitters_modified'!AA13</f>
        <v>9.8901098899999997</v>
      </c>
      <c r="AR196">
        <f>'2025_Fantasy_Hitters_modified'!AB13</f>
        <v>5.0032585001000003</v>
      </c>
    </row>
    <row r="197" spans="1:44" x14ac:dyDescent="0.4">
      <c r="A197" t="str">
        <f>'2025_Fantasy_Hitters_modified'!A37</f>
        <v>BAL</v>
      </c>
      <c r="B197" t="str">
        <f>'2025_Fantasy_Hitters_modified'!B37</f>
        <v>Ryan O'Hearn</v>
      </c>
      <c r="C197">
        <f>'2025_Fantasy_Hitters_modified'!D37</f>
        <v>364</v>
      </c>
      <c r="D197">
        <f>'2025_Fantasy_Hitters_modified'!E37</f>
        <v>401</v>
      </c>
      <c r="E197" s="5">
        <f>(V197-AVERAGE(V$2:V$229))/AVERAGE(V$2:V$229)*100+100</f>
        <v>79.60956913912328</v>
      </c>
      <c r="F197" s="4">
        <f>E197*1.51744-31.775</f>
        <v>89.027744594471216</v>
      </c>
      <c r="G197" s="5">
        <f>(Z197-AVERAGE(Z$2:Z$229))/AVERAGE(Z$2:Z$229)*100+100</f>
        <v>71.273986437743503</v>
      </c>
      <c r="H197" s="4">
        <f>G197*0.83285-13.6979</f>
        <v>45.662639604674681</v>
      </c>
      <c r="I197" s="5">
        <f>(AA197-AVERAGE(AA$2:AA$229))/AVERAGE(AA$2:AA$229)*100+100</f>
        <v>74.657174647454354</v>
      </c>
      <c r="J197" s="5">
        <f>(AB197-AVERAGE(AB$2:AB$229))/AVERAGE(AB$2:AB$229)*100+100</f>
        <v>81.077754222799541</v>
      </c>
      <c r="K197" s="5">
        <f>(AC197-AVERAGE(AC$2:AC$229))/AVERAGE(AC$2:AC$229)*100+100</f>
        <v>69.72169222014854</v>
      </c>
      <c r="L197" s="5">
        <f>(AF197-AVERAGE(AF$2:AF$229))/AVERAGE(AF$2:AF$229)*100+100</f>
        <v>50.820356990760317</v>
      </c>
      <c r="M197" s="5">
        <f>(AI197-AVERAGE(AI$2:AI$229))/AVERAGE(AI$2:AI$229)*100+100</f>
        <v>28.634724125792715</v>
      </c>
      <c r="N197" s="5">
        <f>(AVERAGE(AJ$2:AJ$229)-AJ197)/AVERAGE(AJ$2:AJ$229)*100+100</f>
        <v>163.20292182331963</v>
      </c>
      <c r="O197" s="5">
        <f>(AK197-AVERAGE(AK$2:AK$229))/AVERAGE(AK$2:AK$229)*100+100</f>
        <v>25.775908903512047</v>
      </c>
      <c r="P197" s="5">
        <f>(AL197-AVERAGE(AL$2:AL$229))/AVERAGE(AL$2:AL$229)*100+100</f>
        <v>102.98097597873762</v>
      </c>
      <c r="Q197" s="5">
        <f>(AM197-AVERAGE(AM$2:AM$229))/AVERAGE(AM$2:AM$229)*100+100</f>
        <v>99.200884840960782</v>
      </c>
      <c r="R197" s="5">
        <f>(AN197-AVERAGE(AN$2:AN$229))/AVERAGE(AN$2:AN$229)*100+100</f>
        <v>101.31949702696346</v>
      </c>
      <c r="S197" s="5">
        <f>(AO197-AVERAGE(AO$2:AO$229))/AVERAGE(AO$2:AO$229)*100+100</f>
        <v>100.39517665518409</v>
      </c>
      <c r="T197" s="6">
        <f>(F197*1.5+H197*2.5+I197+J197+K197*1.5+L197+O197*0.75+P197+S197)/11.25</f>
        <v>69.470588836105449</v>
      </c>
      <c r="V197">
        <f>'2025_Fantasy_Hitters_modified'!F37</f>
        <v>93.518053881720448</v>
      </c>
      <c r="W197">
        <f>'2025_Fantasy_Hitters_modified'!G37</f>
        <v>60.232247000141037</v>
      </c>
      <c r="X197">
        <f>'2025_Fantasy_Hitters_modified'!H37</f>
        <v>18.886950910526952</v>
      </c>
      <c r="Y197">
        <f>'2025_Fantasy_Hitters_modified'!I37</f>
        <v>1.9593564800013965</v>
      </c>
      <c r="Z197">
        <f>'2025_Fantasy_Hitters_modified'!J37</f>
        <v>12.999999999999975</v>
      </c>
      <c r="AA197">
        <f>'2025_Fantasy_Hitters_modified'!K37</f>
        <v>49.230541871920842</v>
      </c>
      <c r="AB197">
        <f>'2025_Fantasy_Hitters_modified'!L37</f>
        <v>51.999999999999808</v>
      </c>
      <c r="AC197" s="2">
        <f>'2025_Fantasy_Hitters_modified'!M37</f>
        <v>31.861822658855001</v>
      </c>
      <c r="AD197">
        <f>'2025_Fantasy_Hitters_modified'!N37</f>
        <v>1.597536945812799</v>
      </c>
      <c r="AE197">
        <f>'2025_Fantasy_Hitters_modified'!O37</f>
        <v>74.076354663999993</v>
      </c>
      <c r="AF197">
        <f>'2025_Fantasy_Hitters_modified'!P37</f>
        <v>2.9778290993071455</v>
      </c>
      <c r="AG197">
        <f>'2025_Fantasy_Hitters_modified'!Q37</f>
        <v>2.9999999999999845</v>
      </c>
      <c r="AH197">
        <f>'2025_Fantasy_Hitters_modified'!R37</f>
        <v>0</v>
      </c>
      <c r="AI197">
        <f>'2025_Fantasy_Hitters_modified'!S37</f>
        <v>2.9963054187191918</v>
      </c>
      <c r="AJ197">
        <f>'2025_Fantasy_Hitters_modified'!T37</f>
        <v>0.99876847290639859</v>
      </c>
      <c r="AK197">
        <f>'2025_Fantasy_Hitters_modified'!U37</f>
        <v>1.9975369458127932</v>
      </c>
      <c r="AL197">
        <f>'2025_Fantasy_Hitters_modified'!V37</f>
        <v>0.25691773044428695</v>
      </c>
      <c r="AM197">
        <f>'2025_Fantasy_Hitters_modified'!W37</f>
        <v>0.32451543326140964</v>
      </c>
      <c r="AN197">
        <f>'2025_Fantasy_Hitters_modified'!X37</f>
        <v>0.42825334687142586</v>
      </c>
      <c r="AO197">
        <f>'2025_Fantasy_Hitters_modified'!Y37</f>
        <v>0.75276878013283555</v>
      </c>
      <c r="AP197">
        <f>'2025_Fantasy_Hitters_modified'!Z37</f>
        <v>0.287642917</v>
      </c>
      <c r="AQ197">
        <f>'2025_Fantasy_Hitters_modified'!AA37</f>
        <v>18.472906399999999</v>
      </c>
      <c r="AR197">
        <f>'2025_Fantasy_Hitters_modified'!AB37</f>
        <v>7.9455916855000002</v>
      </c>
    </row>
    <row r="198" spans="1:44" x14ac:dyDescent="0.4">
      <c r="A198" t="str">
        <f>'2025_Fantasy_Hitters_modified'!A33</f>
        <v>BAL</v>
      </c>
      <c r="B198" t="str">
        <f>'2025_Fantasy_Hitters_modified'!B33</f>
        <v>Heston Kjerstad</v>
      </c>
      <c r="C198">
        <f>'2025_Fantasy_Hitters_modified'!D33</f>
        <v>333</v>
      </c>
      <c r="D198">
        <f>'2025_Fantasy_Hitters_modified'!E33</f>
        <v>371</v>
      </c>
      <c r="E198" s="5">
        <f>(V198-AVERAGE(V$2:V$229))/AVERAGE(V$2:V$229)*100+100</f>
        <v>70.612487405528356</v>
      </c>
      <c r="F198" s="4">
        <f>E198*1.51744-31.775</f>
        <v>75.375212888644938</v>
      </c>
      <c r="G198" s="5">
        <f>(Z198-AVERAGE(Z$2:Z$229))/AVERAGE(Z$2:Z$229)*100+100</f>
        <v>66.887894964651451</v>
      </c>
      <c r="H198" s="4">
        <f>G198*0.83285-13.6979</f>
        <v>42.009683321309964</v>
      </c>
      <c r="I198" s="5">
        <f>(AA198-AVERAGE(AA$2:AA$229))/AVERAGE(AA$2:AA$229)*100+100</f>
        <v>68.385305464659822</v>
      </c>
      <c r="J198" s="5">
        <f>(AB198-AVERAGE(AB$2:AB$229))/AVERAGE(AB$2:AB$229)*100+100</f>
        <v>70.163441154345705</v>
      </c>
      <c r="K198" s="5">
        <f>(AC198-AVERAGE(AC$2:AC$229))/AVERAGE(AC$2:AC$229)*100+100</f>
        <v>55.339737446752032</v>
      </c>
      <c r="L198" s="5">
        <f>(AF198-AVERAGE(AF$2:AF$229))/AVERAGE(AF$2:AF$229)*100+100</f>
        <v>124.25277929155517</v>
      </c>
      <c r="M198" s="5">
        <f>(AI198-AVERAGE(AI$2:AI$229))/AVERAGE(AI$2:AI$229)*100+100</f>
        <v>27.580235507233439</v>
      </c>
      <c r="N198" s="5">
        <f>(AVERAGE(AJ$2:AJ$229)-AJ198)/AVERAGE(AJ$2:AJ$229)*100+100</f>
        <v>163.41609286049962</v>
      </c>
      <c r="O198" s="5">
        <f>(AK198-AVERAGE(AK$2:AK$229))/AVERAGE(AK$2:AK$229)*100+100</f>
        <v>24.426753881924341</v>
      </c>
      <c r="P198" s="5">
        <f>(AL198-AVERAGE(AL$2:AL$229))/AVERAGE(AL$2:AL$229)*100+100</f>
        <v>99.845935496751949</v>
      </c>
      <c r="Q198" s="5">
        <f>(AM198-AVERAGE(AM$2:AM$229))/AVERAGE(AM$2:AM$229)*100+100</f>
        <v>98.75921612887521</v>
      </c>
      <c r="R198" s="5">
        <f>(AN198-AVERAGE(AN$2:AN$229))/AVERAGE(AN$2:AN$229)*100+100</f>
        <v>98.863705223467477</v>
      </c>
      <c r="S198" s="5">
        <f>(AO198-AVERAGE(AO$2:AO$229))/AVERAGE(AO$2:AO$229)*100+100</f>
        <v>98.818118117248332</v>
      </c>
      <c r="T198" s="6">
        <f>(F198*1.5+H198*2.5+I198+J198+K198*1.5+L198+O198*0.75+P198+S198)/11.25</f>
        <v>69.411758110433297</v>
      </c>
      <c r="V198">
        <f>'2025_Fantasy_Hitters_modified'!F33</f>
        <v>82.949103648235493</v>
      </c>
      <c r="W198">
        <f>'2025_Fantasy_Hitters_modified'!G33</f>
        <v>52.962181111319943</v>
      </c>
      <c r="X198">
        <f>'2025_Fantasy_Hitters_modified'!H33</f>
        <v>15.722023032941216</v>
      </c>
      <c r="Y198">
        <f>'2025_Fantasy_Hitters_modified'!I33</f>
        <v>1.9818606499270894</v>
      </c>
      <c r="Z198">
        <f>'2025_Fantasy_Hitters_modified'!J33</f>
        <v>12.199999999999951</v>
      </c>
      <c r="AA198">
        <f>'2025_Fantasy_Hitters_modified'!K33</f>
        <v>45.094736842105071</v>
      </c>
      <c r="AB198">
        <f>'2025_Fantasy_Hitters_modified'!L33</f>
        <v>44.999999999999794</v>
      </c>
      <c r="AC198" s="2">
        <f>'2025_Fantasy_Hitters_modified'!M33</f>
        <v>25.289473682717997</v>
      </c>
      <c r="AD198">
        <f>'2025_Fantasy_Hitters_modified'!N33</f>
        <v>1.5859649122806951</v>
      </c>
      <c r="AE198">
        <f>'2025_Fantasy_Hitters_modified'!O33</f>
        <v>94.842105246700001</v>
      </c>
      <c r="AF198">
        <f>'2025_Fantasy_Hitters_modified'!P33</f>
        <v>7.2806167400880692</v>
      </c>
      <c r="AG198">
        <f>'2025_Fantasy_Hitters_modified'!Q33</f>
        <v>2.5999999999999881</v>
      </c>
      <c r="AH198">
        <f>'2025_Fantasy_Hitters_modified'!R33</f>
        <v>0</v>
      </c>
      <c r="AI198">
        <f>'2025_Fantasy_Hitters_modified'!S33</f>
        <v>2.8859649122806856</v>
      </c>
      <c r="AJ198">
        <f>'2025_Fantasy_Hitters_modified'!T33</f>
        <v>0.99298245614034308</v>
      </c>
      <c r="AK198">
        <f>'2025_Fantasy_Hitters_modified'!U33</f>
        <v>1.8929824561403426</v>
      </c>
      <c r="AL198">
        <f>'2025_Fantasy_Hitters_modified'!V33</f>
        <v>0.24909640735205854</v>
      </c>
      <c r="AM198">
        <f>'2025_Fantasy_Hitters_modified'!W33</f>
        <v>0.32307060427938755</v>
      </c>
      <c r="AN198">
        <f>'2025_Fantasy_Hitters_modified'!X33</f>
        <v>0.41787330068163192</v>
      </c>
      <c r="AO198">
        <f>'2025_Fantasy_Hitters_modified'!Y33</f>
        <v>0.74094390496101947</v>
      </c>
      <c r="AP198">
        <f>'2025_Fantasy_Hitters_modified'!Z33</f>
        <v>0.30954565680000001</v>
      </c>
      <c r="AQ198">
        <f>'2025_Fantasy_Hitters_modified'!AA33</f>
        <v>25.563909769999999</v>
      </c>
      <c r="AR198">
        <f>'2025_Fantasy_Hitters_modified'!AB33</f>
        <v>6.8165697258</v>
      </c>
    </row>
    <row r="199" spans="1:44" x14ac:dyDescent="0.4">
      <c r="A199" t="str">
        <f>'2025_Fantasy_Hitters_modified'!A110</f>
        <v>LAD</v>
      </c>
      <c r="B199" t="str">
        <f>'2025_Fantasy_Hitters_modified'!B110</f>
        <v>Hyeseong Kim</v>
      </c>
      <c r="C199">
        <f>'2025_Fantasy_Hitters_modified'!D110</f>
        <v>401</v>
      </c>
      <c r="D199">
        <f>'2025_Fantasy_Hitters_modified'!E110</f>
        <v>438</v>
      </c>
      <c r="E199" s="5">
        <f>(V199-AVERAGE(V$2:V$229))/AVERAGE(V$2:V$229)*100+100</f>
        <v>87.198869407309687</v>
      </c>
      <c r="F199" s="4">
        <f>E199*1.51744-31.775</f>
        <v>100.54405239342799</v>
      </c>
      <c r="G199" s="5">
        <f>(Z199-AVERAGE(Z$2:Z$229))/AVERAGE(Z$2:Z$229)*100+100</f>
        <v>29.606117443370266</v>
      </c>
      <c r="H199" s="4">
        <f>G199*0.83285-13.6979</f>
        <v>10.959554912710924</v>
      </c>
      <c r="I199" s="5">
        <f>(AA199-AVERAGE(AA$2:AA$229))/AVERAGE(AA$2:AA$229)*100+100</f>
        <v>76.669294802758145</v>
      </c>
      <c r="J199" s="5">
        <f>(AB199-AVERAGE(AB$2:AB$229))/AVERAGE(AB$2:AB$229)*100+100</f>
        <v>65.485878410722961</v>
      </c>
      <c r="K199" s="5">
        <f>(AC199-AVERAGE(AC$2:AC$229))/AVERAGE(AC$2:AC$229)*100+100</f>
        <v>58.786079019323111</v>
      </c>
      <c r="L199" s="5">
        <f>(AF199-AVERAGE(AF$2:AF$229))/AVERAGE(AF$2:AF$229)*100+100</f>
        <v>39.472183231829284</v>
      </c>
      <c r="M199" s="5">
        <f>(AI199-AVERAGE(AI$2:AI$229))/AVERAGE(AI$2:AI$229)*100+100</f>
        <v>162.88203921053253</v>
      </c>
      <c r="N199" s="5">
        <f>(AVERAGE(AJ$2:AJ$229)-AJ199)/AVERAGE(AJ$2:AJ$229)*100+100</f>
        <v>85.408761798465832</v>
      </c>
      <c r="O199" s="5">
        <f>(AK199-AVERAGE(AK$2:AK$229))/AVERAGE(AK$2:AK$229)*100+100</f>
        <v>179.7956006855631</v>
      </c>
      <c r="P199" s="5">
        <f>(AL199-AVERAGE(AL$2:AL$229))/AVERAGE(AL$2:AL$229)*100+100</f>
        <v>102.3904837996497</v>
      </c>
      <c r="Q199" s="5">
        <f>(AM199-AVERAGE(AM$2:AM$229))/AVERAGE(AM$2:AM$229)*100+100</f>
        <v>93.867817149905775</v>
      </c>
      <c r="R199" s="5">
        <f>(AN199-AVERAGE(AN$2:AN$229))/AVERAGE(AN$2:AN$229)*100+100</f>
        <v>84.772398770786211</v>
      </c>
      <c r="S199" s="5">
        <f>(AO199-AVERAGE(AO$2:AO$229))/AVERAGE(AO$2:AO$229)*100+100</f>
        <v>88.740600480009135</v>
      </c>
      <c r="T199" s="6">
        <f>(F199*1.5+H199*2.5+I199+J199+K199*1.5+L199+O199*0.75+P199+S199)/11.25</f>
        <v>68.799931168004036</v>
      </c>
      <c r="V199">
        <f>'2025_Fantasy_Hitters_modified'!F110</f>
        <v>102.4332709728279</v>
      </c>
      <c r="W199">
        <f>'2025_Fantasy_Hitters_modified'!G110</f>
        <v>75.721518641614438</v>
      </c>
      <c r="X199">
        <f>'2025_Fantasy_Hitters_modified'!H110</f>
        <v>19.613107962592871</v>
      </c>
      <c r="Y199">
        <f>'2025_Fantasy_Hitters_modified'!I110</f>
        <v>2.3785539690264761</v>
      </c>
      <c r="Z199">
        <f>'2025_Fantasy_Hitters_modified'!J110</f>
        <v>5.3999999999999684</v>
      </c>
      <c r="AA199">
        <f>'2025_Fantasy_Hitters_modified'!K110</f>
        <v>50.557377049179948</v>
      </c>
      <c r="AB199">
        <f>'2025_Fantasy_Hitters_modified'!L110</f>
        <v>42</v>
      </c>
      <c r="AC199" s="2">
        <f>'2025_Fantasy_Hitters_modified'!M110</f>
        <v>26.864402811809999</v>
      </c>
      <c r="AD199">
        <f>'2025_Fantasy_Hitters_modified'!N110</f>
        <v>1.0025761124121555</v>
      </c>
      <c r="AE199">
        <f>'2025_Fantasy_Hitters_modified'!O110</f>
        <v>70.777517584199998</v>
      </c>
      <c r="AF199">
        <f>'2025_Fantasy_Hitters_modified'!P110</f>
        <v>2.3128805620608901</v>
      </c>
      <c r="AG199">
        <f>'2025_Fantasy_Hitters_modified'!Q110</f>
        <v>2.9999999999999778</v>
      </c>
      <c r="AH199">
        <f>'2025_Fantasy_Hitters_modified'!R110</f>
        <v>1.6309133489461216</v>
      </c>
      <c r="AI199">
        <f>'2025_Fantasy_Hitters_modified'!S110</f>
        <v>17.043793911006976</v>
      </c>
      <c r="AJ199">
        <f>'2025_Fantasy_Hitters_modified'!T110</f>
        <v>3.11030444964869</v>
      </c>
      <c r="AK199">
        <f>'2025_Fantasy_Hitters_modified'!U110</f>
        <v>13.933489461358285</v>
      </c>
      <c r="AL199">
        <f>'2025_Fantasy_Hitters_modified'!V110</f>
        <v>0.2554445660170272</v>
      </c>
      <c r="AM199">
        <f>'2025_Fantasy_Hitters_modified'!W110</f>
        <v>0.30706939157388091</v>
      </c>
      <c r="AN199">
        <f>'2025_Fantasy_Hitters_modified'!X110</f>
        <v>0.35831270941117077</v>
      </c>
      <c r="AO199">
        <f>'2025_Fantasy_Hitters_modified'!Y110</f>
        <v>0.66538210098505168</v>
      </c>
      <c r="AP199">
        <f>'2025_Fantasy_Hitters_modified'!Z110</f>
        <v>0.29599333839999997</v>
      </c>
      <c r="AQ199">
        <f>'2025_Fantasy_Hitters_modified'!AA110</f>
        <v>16.159250589999999</v>
      </c>
      <c r="AR199">
        <f>'2025_Fantasy_Hitters_modified'!AB110</f>
        <v>6.1334252994999998</v>
      </c>
    </row>
    <row r="200" spans="1:44" x14ac:dyDescent="0.4">
      <c r="A200" t="str">
        <f>'2025_Fantasy_Hitters_modified'!A202</f>
        <v>TBR</v>
      </c>
      <c r="B200" t="str">
        <f>'2025_Fantasy_Hitters_modified'!B202</f>
        <v>Jose Caballero</v>
      </c>
      <c r="C200">
        <f>'2025_Fantasy_Hitters_modified'!D202</f>
        <v>279</v>
      </c>
      <c r="D200">
        <f>'2025_Fantasy_Hitters_modified'!E202</f>
        <v>313</v>
      </c>
      <c r="E200" s="5">
        <f>(V200-AVERAGE(V$2:V$229))/AVERAGE(V$2:V$229)*100+100</f>
        <v>51.600734242470111</v>
      </c>
      <c r="F200" s="4">
        <f>E200*1.51744-31.775</f>
        <v>46.526018168893835</v>
      </c>
      <c r="G200" s="5">
        <f>(Z200-AVERAGE(Z$2:Z$229))/AVERAGE(Z$2:Z$229)*100+100</f>
        <v>35.088731784735117</v>
      </c>
      <c r="H200" s="4">
        <f>G200*0.83285-13.6979</f>
        <v>15.525750266916642</v>
      </c>
      <c r="I200" s="5">
        <f>(AA200-AVERAGE(AA$2:AA$229))/AVERAGE(AA$2:AA$229)*100+100</f>
        <v>57.379403834414205</v>
      </c>
      <c r="J200" s="5">
        <f>(AB200-AVERAGE(AB$2:AB$229))/AVERAGE(AB$2:AB$229)*100+100</f>
        <v>43.657252273815281</v>
      </c>
      <c r="K200" s="5">
        <f>(AC200-AVERAGE(AC$2:AC$229))/AVERAGE(AC$2:AC$229)*100+100</f>
        <v>44.849711903222875</v>
      </c>
      <c r="L200" s="5">
        <f>(AF200-AVERAGE(AF$2:AF$229))/AVERAGE(AF$2:AF$229)*100+100</f>
        <v>122.8158580243344</v>
      </c>
      <c r="M200" s="5">
        <f>(AI200-AVERAGE(AI$2:AI$229))/AVERAGE(AI$2:AI$229)*100+100</f>
        <v>249.46420354368573</v>
      </c>
      <c r="N200" s="5">
        <f>(AVERAGE(AJ$2:AJ$229)-AJ200)/AVERAGE(AJ$2:AJ$229)*100+100</f>
        <v>-62.756441250768177</v>
      </c>
      <c r="O200" s="5">
        <f>(AK200-AVERAGE(AK$2:AK$229))/AVERAGE(AK$2:AK$229)*100+100</f>
        <v>244.80867754490271</v>
      </c>
      <c r="P200" s="5">
        <f>(AL200-AVERAGE(AL$2:AL$229))/AVERAGE(AL$2:AL$229)*100+100</f>
        <v>87.085287861470732</v>
      </c>
      <c r="Q200" s="5">
        <f>(AM200-AVERAGE(AM$2:AM$229))/AVERAGE(AM$2:AM$229)*100+100</f>
        <v>89.610758035289336</v>
      </c>
      <c r="R200" s="5">
        <f>(AN200-AVERAGE(AN$2:AN$229))/AVERAGE(AN$2:AN$229)*100+100</f>
        <v>78.277573658986569</v>
      </c>
      <c r="S200" s="5">
        <f>(AO200-AVERAGE(AO$2:AO$229))/AVERAGE(AO$2:AO$229)*100+100</f>
        <v>83.222080853534834</v>
      </c>
      <c r="T200" s="6">
        <f>(F200*1.5+H200*2.5+I200+J200+K200*1.5+L200+O200*0.75+P200+S200)/11.25</f>
        <v>66.990609936152282</v>
      </c>
      <c r="V200">
        <f>'2025_Fantasy_Hitters_modified'!F202</f>
        <v>60.615831707248461</v>
      </c>
      <c r="W200">
        <f>'2025_Fantasy_Hitters_modified'!G202</f>
        <v>40.126756480468714</v>
      </c>
      <c r="X200">
        <f>'2025_Fantasy_Hitters_modified'!H202</f>
        <v>11.828908736126936</v>
      </c>
      <c r="Y200">
        <f>'2025_Fantasy_Hitters_modified'!I202</f>
        <v>0.97518086901998446</v>
      </c>
      <c r="Z200">
        <f>'2025_Fantasy_Hitters_modified'!J202</f>
        <v>6.3999999999999613</v>
      </c>
      <c r="AA200">
        <f>'2025_Fantasy_Hitters_modified'!K202</f>
        <v>37.837209302325292</v>
      </c>
      <c r="AB200">
        <f>'2025_Fantasy_Hitters_modified'!L202</f>
        <v>27.999999999999982</v>
      </c>
      <c r="AC200" s="2">
        <f>'2025_Fantasy_Hitters_modified'!M202</f>
        <v>20.495681063637001</v>
      </c>
      <c r="AD200">
        <f>'2025_Fantasy_Hitters_modified'!N202</f>
        <v>0.10398671096345437</v>
      </c>
      <c r="AE200">
        <f>'2025_Fantasy_Hitters_modified'!O202</f>
        <v>79.029900347199984</v>
      </c>
      <c r="AF200">
        <f>'2025_Fantasy_Hitters_modified'!P202</f>
        <v>7.1964200477326559</v>
      </c>
      <c r="AG200">
        <f>'2025_Fantasy_Hitters_modified'!Q202</f>
        <v>1.9999999999999762</v>
      </c>
      <c r="AH200">
        <f>'2025_Fantasy_Hitters_modified'!R202</f>
        <v>1.2964200477326788</v>
      </c>
      <c r="AI200">
        <f>'2025_Fantasy_Hitters_modified'!S202</f>
        <v>26.103654485049805</v>
      </c>
      <c r="AJ200">
        <f>'2025_Fantasy_Hitters_modified'!T202</f>
        <v>7.1318936877075947</v>
      </c>
      <c r="AK200">
        <f>'2025_Fantasy_Hitters_modified'!U202</f>
        <v>18.97176079734221</v>
      </c>
      <c r="AL200">
        <f>'2025_Fantasy_Hitters_modified'!V202</f>
        <v>0.21726104554569342</v>
      </c>
      <c r="AM200">
        <f>'2025_Fantasy_Hitters_modified'!W202</f>
        <v>0.29314329217250978</v>
      </c>
      <c r="AN200">
        <f>'2025_Fantasy_Hitters_modified'!X202</f>
        <v>0.33086063283076123</v>
      </c>
      <c r="AO200">
        <f>'2025_Fantasy_Hitters_modified'!Y202</f>
        <v>0.62400392500327095</v>
      </c>
      <c r="AP200">
        <f>'2025_Fantasy_Hitters_modified'!Z202</f>
        <v>0.2772194308</v>
      </c>
      <c r="AQ200">
        <f>'2025_Fantasy_Hitters_modified'!AA202</f>
        <v>25.249169439999999</v>
      </c>
      <c r="AR200">
        <f>'2025_Fantasy_Hitters_modified'!AB202</f>
        <v>6.5481409149000003</v>
      </c>
    </row>
    <row r="201" spans="1:44" x14ac:dyDescent="0.4">
      <c r="A201" t="str">
        <f>'2025_Fantasy_Hitters_modified'!A214</f>
        <v>TOR</v>
      </c>
      <c r="B201" t="str">
        <f>'2025_Fantasy_Hitters_modified'!B214</f>
        <v>Alejandro Kirk</v>
      </c>
      <c r="C201">
        <f>'2025_Fantasy_Hitters_modified'!D214</f>
        <v>366</v>
      </c>
      <c r="D201">
        <f>'2025_Fantasy_Hitters_modified'!E214</f>
        <v>414</v>
      </c>
      <c r="E201" s="5">
        <f>(V201-AVERAGE(V$2:V$229))/AVERAGE(V$2:V$229)*100+100</f>
        <v>79.647990103224316</v>
      </c>
      <c r="F201" s="4">
        <f>E201*1.51744-31.775</f>
        <v>89.086046102236708</v>
      </c>
      <c r="G201" s="5">
        <f>(Z201-AVERAGE(Z$2:Z$229))/AVERAGE(Z$2:Z$229)*100+100</f>
        <v>51.536574808829926</v>
      </c>
      <c r="H201" s="4">
        <f>G201*0.83285-13.6979</f>
        <v>29.224336329534001</v>
      </c>
      <c r="I201" s="5">
        <f>(AA201-AVERAGE(AA$2:AA$229))/AVERAGE(AA$2:AA$229)*100+100</f>
        <v>63.583677452020652</v>
      </c>
      <c r="J201" s="5">
        <f>(AB201-AVERAGE(AB$2:AB$229))/AVERAGE(AB$2:AB$229)*100+100</f>
        <v>74.841003897968932</v>
      </c>
      <c r="K201" s="5">
        <f>(AC201-AVERAGE(AC$2:AC$229))/AVERAGE(AC$2:AC$229)*100+100</f>
        <v>83.77290560850156</v>
      </c>
      <c r="L201" s="5">
        <f>(AF201-AVERAGE(AF$2:AF$229))/AVERAGE(AF$2:AF$229)*100+100</f>
        <v>83.401297294785394</v>
      </c>
      <c r="M201" s="5">
        <f>(AI201-AVERAGE(AI$2:AI$229))/AVERAGE(AI$2:AI$229)*100+100</f>
        <v>0.90744596846110426</v>
      </c>
      <c r="N201" s="5">
        <f>(AVERAGE(AJ$2:AJ$229)-AJ201)/AVERAGE(AJ$2:AJ$229)*100+100</f>
        <v>200</v>
      </c>
      <c r="O201" s="5">
        <f>(AK201-AVERAGE(AK$2:AK$229))/AVERAGE(AK$2:AK$229)*100+100</f>
        <v>1.2252734397837628</v>
      </c>
      <c r="P201" s="5">
        <f>(AL201-AVERAGE(AL$2:AL$229))/AVERAGE(AL$2:AL$229)*100+100</f>
        <v>102.46766723008017</v>
      </c>
      <c r="Q201" s="5">
        <f>(AM201-AVERAGE(AM$2:AM$229))/AVERAGE(AM$2:AM$229)*100+100</f>
        <v>103.0199794497692</v>
      </c>
      <c r="R201" s="5">
        <f>(AN201-AVERAGE(AN$2:AN$229))/AVERAGE(AN$2:AN$229)*100+100</f>
        <v>89.701413132188264</v>
      </c>
      <c r="S201" s="5">
        <f>(AO201-AVERAGE(AO$2:AO$229))/AVERAGE(AO$2:AO$229)*100+100</f>
        <v>95.512114237170266</v>
      </c>
      <c r="T201" s="6">
        <f>(F201*1.5+H201*2.5+I201+J201+K201*1.5+L201+O201*0.75+P201+S201)/11.25</f>
        <v>66.939909651716064</v>
      </c>
      <c r="V201">
        <f>'2025_Fantasy_Hitters_modified'!F214</f>
        <v>93.563187322710547</v>
      </c>
      <c r="W201">
        <f>'2025_Fantasy_Hitters_modified'!G214</f>
        <v>66.691124366956871</v>
      </c>
      <c r="X201">
        <f>'2025_Fantasy_Hitters_modified'!H214</f>
        <v>17.238243186579208</v>
      </c>
      <c r="Y201">
        <f>'2025_Fantasy_Hitters_modified'!I214</f>
        <v>0</v>
      </c>
      <c r="Z201">
        <f>'2025_Fantasy_Hitters_modified'!J214</f>
        <v>9.3999999999999844</v>
      </c>
      <c r="AA201">
        <f>'2025_Fantasy_Hitters_modified'!K214</f>
        <v>41.928440366972104</v>
      </c>
      <c r="AB201">
        <f>'2025_Fantasy_Hitters_modified'!L214</f>
        <v>47.999999999999901</v>
      </c>
      <c r="AC201" s="2">
        <f>'2025_Fantasy_Hitters_modified'!M214</f>
        <v>38.283027521579996</v>
      </c>
      <c r="AD201">
        <f>'2025_Fantasy_Hitters_modified'!N214</f>
        <v>0.99495412844033448</v>
      </c>
      <c r="AE201">
        <f>'2025_Fantasy_Hitters_modified'!O214</f>
        <v>50.325688061999998</v>
      </c>
      <c r="AF201">
        <f>'2025_Fantasy_Hitters_modified'!P214</f>
        <v>4.8869158878504502</v>
      </c>
      <c r="AG201">
        <f>'2025_Fantasy_Hitters_modified'!Q214</f>
        <v>3.3999999999999879</v>
      </c>
      <c r="AH201">
        <f>'2025_Fantasy_Hitters_modified'!R214</f>
        <v>0</v>
      </c>
      <c r="AI201">
        <f>'2025_Fantasy_Hitters_modified'!S214</f>
        <v>9.4954128440363827E-2</v>
      </c>
      <c r="AJ201">
        <f>'2025_Fantasy_Hitters_modified'!T214</f>
        <v>0</v>
      </c>
      <c r="AK201">
        <f>'2025_Fantasy_Hitters_modified'!U214</f>
        <v>9.4954128440363827E-2</v>
      </c>
      <c r="AL201">
        <f>'2025_Fantasy_Hitters_modified'!V214</f>
        <v>0.2556371238325425</v>
      </c>
      <c r="AM201">
        <f>'2025_Fantasy_Hitters_modified'!W214</f>
        <v>0.33700882123502213</v>
      </c>
      <c r="AN201">
        <f>'2025_Fantasy_Hitters_modified'!X214</f>
        <v>0.37914647743200885</v>
      </c>
      <c r="AO201">
        <f>'2025_Fantasy_Hitters_modified'!Y214</f>
        <v>0.71615529866703098</v>
      </c>
      <c r="AP201">
        <f>'2025_Fantasy_Hitters_modified'!Z214</f>
        <v>0.27177968619999998</v>
      </c>
      <c r="AQ201">
        <f>'2025_Fantasy_Hitters_modified'!AA214</f>
        <v>12.1559633</v>
      </c>
      <c r="AR201">
        <f>'2025_Fantasy_Hitters_modified'!AB214</f>
        <v>9.2471080969999999</v>
      </c>
    </row>
    <row r="202" spans="1:44" x14ac:dyDescent="0.4">
      <c r="A202" t="str">
        <f>'2025_Fantasy_Hitters_modified'!A62</f>
        <v>CIN</v>
      </c>
      <c r="B202" t="str">
        <f>'2025_Fantasy_Hitters_modified'!B62</f>
        <v>Gavin Lux</v>
      </c>
      <c r="C202">
        <f>'2025_Fantasy_Hitters_modified'!D62</f>
        <v>371</v>
      </c>
      <c r="D202">
        <f>'2025_Fantasy_Hitters_modified'!E62</f>
        <v>415</v>
      </c>
      <c r="E202" s="5">
        <f>(V202-AVERAGE(V$2:V$229))/AVERAGE(V$2:V$229)*100+100</f>
        <v>80.69052832790922</v>
      </c>
      <c r="F202" s="4">
        <f>E202*1.51744-31.775</f>
        <v>90.668035305902549</v>
      </c>
      <c r="G202" s="5">
        <f>(Z202-AVERAGE(Z$2:Z$229))/AVERAGE(Z$2:Z$229)*100+100</f>
        <v>54.826143413648779</v>
      </c>
      <c r="H202" s="4">
        <f>G202*0.83285-13.6979</f>
        <v>31.964053542057382</v>
      </c>
      <c r="I202" s="5">
        <f>(AA202-AVERAGE(AA$2:AA$229))/AVERAGE(AA$2:AA$229)*100+100</f>
        <v>76.124244487725036</v>
      </c>
      <c r="J202" s="5">
        <f>(AB202-AVERAGE(AB$2:AB$229))/AVERAGE(AB$2:AB$229)*100+100</f>
        <v>68.604253573138223</v>
      </c>
      <c r="K202" s="5">
        <f>(AC202-AVERAGE(AC$2:AC$229))/AVERAGE(AC$2:AC$229)*100+100</f>
        <v>83.91945825777529</v>
      </c>
      <c r="L202" s="5">
        <f>(AF202-AVERAGE(AF$2:AF$229))/AVERAGE(AF$2:AF$229)*100+100</f>
        <v>33.805291365877622</v>
      </c>
      <c r="M202" s="5">
        <f>(AI202-AVERAGE(AI$2:AI$229))/AVERAGE(AI$2:AI$229)*100+100</f>
        <v>47.861400437699878</v>
      </c>
      <c r="N202" s="5">
        <f>(AVERAGE(AJ$2:AJ$229)-AJ202)/AVERAGE(AJ$2:AJ$229)*100+100</f>
        <v>127.44292881631861</v>
      </c>
      <c r="O202" s="5">
        <f>(AK202-AVERAGE(AK$2:AK$229))/AVERAGE(AK$2:AK$229)*100+100</f>
        <v>39.211890870620266</v>
      </c>
      <c r="P202" s="5">
        <f>(AL202-AVERAGE(AL$2:AL$229))/AVERAGE(AL$2:AL$229)*100+100</f>
        <v>102.40985779366828</v>
      </c>
      <c r="Q202" s="5">
        <f>(AM202-AVERAGE(AM$2:AM$229))/AVERAGE(AM$2:AM$229)*100+100</f>
        <v>100.80408901832816</v>
      </c>
      <c r="R202" s="5">
        <f>(AN202-AVERAGE(AN$2:AN$229))/AVERAGE(AN$2:AN$229)*100+100</f>
        <v>96.313362454530761</v>
      </c>
      <c r="S202" s="5">
        <f>(AO202-AVERAGE(AO$2:AO$229))/AVERAGE(AO$2:AO$229)*100+100</f>
        <v>98.272602599769513</v>
      </c>
      <c r="T202" s="6">
        <f>(F202*1.5+H202*2.5+I202+J202+K202*1.5+L202+O202*0.75+P202+S202)/11.25</f>
        <v>66.703692637671466</v>
      </c>
      <c r="V202">
        <f>'2025_Fantasy_Hitters_modified'!F62</f>
        <v>94.787866050709368</v>
      </c>
      <c r="W202">
        <f>'2025_Fantasy_Hitters_modified'!G62</f>
        <v>63.590899538032048</v>
      </c>
      <c r="X202">
        <f>'2025_Fantasy_Hitters_modified'!H62</f>
        <v>19.178207797184253</v>
      </c>
      <c r="Y202">
        <f>'2025_Fantasy_Hitters_modified'!I62</f>
        <v>3.0281380732396199</v>
      </c>
      <c r="Z202">
        <f>'2025_Fantasy_Hitters_modified'!J62</f>
        <v>9.999999999999968</v>
      </c>
      <c r="AA202">
        <f>'2025_Fantasy_Hitters_modified'!K62</f>
        <v>50.197959183673355</v>
      </c>
      <c r="AB202">
        <f>'2025_Fantasy_Hitters_modified'!L62</f>
        <v>43.999999999999929</v>
      </c>
      <c r="AC202" s="2">
        <f>'2025_Fantasy_Hitters_modified'!M62</f>
        <v>38.349999999909997</v>
      </c>
      <c r="AD202">
        <f>'2025_Fantasy_Hitters_modified'!N62</f>
        <v>0.98469387755099458</v>
      </c>
      <c r="AE202">
        <f>'2025_Fantasy_Hitters_modified'!O62</f>
        <v>87.234693863999993</v>
      </c>
      <c r="AF202">
        <f>'2025_Fantasy_Hitters_modified'!P62</f>
        <v>1.9808278867102251</v>
      </c>
      <c r="AG202">
        <f>'2025_Fantasy_Hitters_modified'!Q62</f>
        <v>2.3999999999999866</v>
      </c>
      <c r="AH202">
        <f>'2025_Fantasy_Hitters_modified'!R62</f>
        <v>0.94248366013068685</v>
      </c>
      <c r="AI202">
        <f>'2025_Fantasy_Hitters_modified'!S62</f>
        <v>5.0081632653060932</v>
      </c>
      <c r="AJ202">
        <f>'2025_Fantasy_Hitters_modified'!T62</f>
        <v>1.9693877551020267</v>
      </c>
      <c r="AK202">
        <f>'2025_Fantasy_Hitters_modified'!U62</f>
        <v>3.0387755102040668</v>
      </c>
      <c r="AL202">
        <f>'2025_Fantasy_Hitters_modified'!V62</f>
        <v>0.25549290040622469</v>
      </c>
      <c r="AM202">
        <f>'2025_Fantasy_Hitters_modified'!W62</f>
        <v>0.32975998827781866</v>
      </c>
      <c r="AN202">
        <f>'2025_Fantasy_Hitters_modified'!X62</f>
        <v>0.40709361011352901</v>
      </c>
      <c r="AO202">
        <f>'2025_Fantasy_Hitters_modified'!Y62</f>
        <v>0.73685359839134768</v>
      </c>
      <c r="AP202">
        <f>'2025_Fantasy_Hitters_modified'!Z62</f>
        <v>0.30701852899999998</v>
      </c>
      <c r="AQ202">
        <f>'2025_Fantasy_Hitters_modified'!AA62</f>
        <v>21.020408159999999</v>
      </c>
      <c r="AR202">
        <f>'2025_Fantasy_Hitters_modified'!AB62</f>
        <v>9.2409638554000004</v>
      </c>
    </row>
    <row r="203" spans="1:44" x14ac:dyDescent="0.4">
      <c r="A203" t="str">
        <f>'2025_Fantasy_Hitters_modified'!A69</f>
        <v>CLE</v>
      </c>
      <c r="B203" t="str">
        <f>'2025_Fantasy_Hitters_modified'!B69</f>
        <v>Bo Naylor</v>
      </c>
      <c r="C203">
        <f>'2025_Fantasy_Hitters_modified'!D69</f>
        <v>350</v>
      </c>
      <c r="D203">
        <f>'2025_Fantasy_Hitters_modified'!E69</f>
        <v>395</v>
      </c>
      <c r="E203" s="5">
        <f>(V203-AVERAGE(V$2:V$229))/AVERAGE(V$2:V$229)*100+100</f>
        <v>64.674238825751218</v>
      </c>
      <c r="F203" s="4">
        <f>E203*1.51744-31.775</f>
        <v>66.364276963747926</v>
      </c>
      <c r="G203" s="5">
        <f>(Z203-AVERAGE(Z$2:Z$229))/AVERAGE(Z$2:Z$229)*100+100</f>
        <v>74.563555042562257</v>
      </c>
      <c r="H203" s="4">
        <f>G203*0.83285-13.6979</f>
        <v>48.402356817197969</v>
      </c>
      <c r="I203" s="5">
        <f>(AA203-AVERAGE(AA$2:AA$229))/AVERAGE(AA$2:AA$229)*100+100</f>
        <v>68.440350142099916</v>
      </c>
      <c r="J203" s="5">
        <f>(AB203-AVERAGE(AB$2:AB$229))/AVERAGE(AB$2:AB$229)*100+100</f>
        <v>68.604253573138237</v>
      </c>
      <c r="K203" s="5">
        <f>(AC203-AVERAGE(AC$2:AC$229))/AVERAGE(AC$2:AC$229)*100+100</f>
        <v>80.238416219325998</v>
      </c>
      <c r="L203" s="5">
        <f>(AF203-AVERAGE(AF$2:AF$229))/AVERAGE(AF$2:AF$229)*100+100</f>
        <v>49.068288593630385</v>
      </c>
      <c r="M203" s="5">
        <f>(AI203-AVERAGE(AI$2:AI$229))/AVERAGE(AI$2:AI$229)*100+100</f>
        <v>57.680589378915577</v>
      </c>
      <c r="N203" s="5">
        <f>(AVERAGE(AJ$2:AJ$229)-AJ203)/AVERAGE(AJ$2:AJ$229)*100+100</f>
        <v>126.99266100514924</v>
      </c>
      <c r="O203" s="5">
        <f>(AK203-AVERAGE(AK$2:AK$229))/AVERAGE(AK$2:AK$229)*100+100</f>
        <v>52.312487868377083</v>
      </c>
      <c r="P203" s="5">
        <f>(AL203-AVERAGE(AL$2:AL$229))/AVERAGE(AL$2:AL$229)*100+100</f>
        <v>87.007440930265275</v>
      </c>
      <c r="Q203" s="5">
        <f>(AM203-AVERAGE(AM$2:AM$229))/AVERAGE(AM$2:AM$229)*100+100</f>
        <v>91.450428388633739</v>
      </c>
      <c r="R203" s="5">
        <f>(AN203-AVERAGE(AN$2:AN$229))/AVERAGE(AN$2:AN$229)*100+100</f>
        <v>90.631865358098807</v>
      </c>
      <c r="S203" s="5">
        <f>(AO203-AVERAGE(AO$2:AO$229))/AVERAGE(AO$2:AO$229)*100+100</f>
        <v>90.988992769008462</v>
      </c>
      <c r="T203" s="6">
        <f>(F203*1.5+H203*2.5+I203+J203+K203*1.5+L203+O203*0.75+P203+S203)/11.25</f>
        <v>66.155877664624967</v>
      </c>
      <c r="V203">
        <f>'2025_Fantasy_Hitters_modified'!F69</f>
        <v>75.973391348170622</v>
      </c>
      <c r="W203">
        <f>'2025_Fantasy_Hitters_modified'!G69</f>
        <v>45.904089326620884</v>
      </c>
      <c r="X203">
        <f>'2025_Fantasy_Hitters_modified'!H69</f>
        <v>15.337719183976381</v>
      </c>
      <c r="Y203">
        <f>'2025_Fantasy_Hitters_modified'!I69</f>
        <v>1.0327397583877362</v>
      </c>
      <c r="Z203">
        <f>'2025_Fantasy_Hitters_modified'!J69</f>
        <v>13.599999999999943</v>
      </c>
      <c r="AA203">
        <f>'2025_Fantasy_Hitters_modified'!K69</f>
        <v>45.131034482758331</v>
      </c>
      <c r="AB203">
        <f>'2025_Fantasy_Hitters_modified'!L69</f>
        <v>43.999999999999943</v>
      </c>
      <c r="AC203" s="2">
        <f>'2025_Fantasy_Hitters_modified'!M69</f>
        <v>36.667816092804998</v>
      </c>
      <c r="AD203">
        <f>'2025_Fantasy_Hitters_modified'!N69</f>
        <v>1.0816091954022726</v>
      </c>
      <c r="AE203">
        <f>'2025_Fantasy_Hitters_modified'!O69</f>
        <v>102.6091953855</v>
      </c>
      <c r="AF203">
        <f>'2025_Fantasy_Hitters_modified'!P69</f>
        <v>2.8751662971174934</v>
      </c>
      <c r="AG203">
        <f>'2025_Fantasy_Hitters_modified'!Q69</f>
        <v>1.9999999999999976</v>
      </c>
      <c r="AH203">
        <f>'2025_Fantasy_Hitters_modified'!R69</f>
        <v>0.92549889135253049</v>
      </c>
      <c r="AI203">
        <f>'2025_Fantasy_Hitters_modified'!S69</f>
        <v>6.0356321839079996</v>
      </c>
      <c r="AJ203">
        <f>'2025_Fantasy_Hitters_modified'!T69</f>
        <v>1.981609195402293</v>
      </c>
      <c r="AK203">
        <f>'2025_Fantasy_Hitters_modified'!U69</f>
        <v>4.0540229885057064</v>
      </c>
      <c r="AL203">
        <f>'2025_Fantasy_Hitters_modified'!V69</f>
        <v>0.21706683242334462</v>
      </c>
      <c r="AM203">
        <f>'2025_Fantasy_Hitters_modified'!W69</f>
        <v>0.29916139798609043</v>
      </c>
      <c r="AN203">
        <f>'2025_Fantasy_Hitters_modified'!X69</f>
        <v>0.38307927705639033</v>
      </c>
      <c r="AO203">
        <f>'2025_Fantasy_Hitters_modified'!Y69</f>
        <v>0.68224067504248076</v>
      </c>
      <c r="AP203">
        <f>'2025_Fantasy_Hitters_modified'!Z69</f>
        <v>0.2645285148</v>
      </c>
      <c r="AQ203">
        <f>'2025_Fantasy_Hitters_modified'!AA69</f>
        <v>25.977011489999999</v>
      </c>
      <c r="AR203">
        <f>'2025_Fantasy_Hitters_modified'!AB69</f>
        <v>9.2829914158999998</v>
      </c>
    </row>
    <row r="204" spans="1:44" x14ac:dyDescent="0.4">
      <c r="A204" t="str">
        <f>'2025_Fantasy_Hitters_modified'!A196</f>
        <v>STL</v>
      </c>
      <c r="B204" t="str">
        <f>'2025_Fantasy_Hitters_modified'!B196</f>
        <v>Nolan Gorman</v>
      </c>
      <c r="C204">
        <f>'2025_Fantasy_Hitters_modified'!D196</f>
        <v>317</v>
      </c>
      <c r="D204">
        <f>'2025_Fantasy_Hitters_modified'!E196</f>
        <v>353</v>
      </c>
      <c r="E204" s="5">
        <f>(V204-AVERAGE(V$2:V$229))/AVERAGE(V$2:V$229)*100+100</f>
        <v>58.880129607617064</v>
      </c>
      <c r="F204" s="4">
        <f>E204*1.51744-31.775</f>
        <v>57.57206387178244</v>
      </c>
      <c r="G204" s="5">
        <f>(Z204-AVERAGE(Z$2:Z$229))/AVERAGE(Z$2:Z$229)*100+100</f>
        <v>88.81835233011104</v>
      </c>
      <c r="H204" s="4">
        <f>G204*0.83285-13.6979</f>
        <v>60.274464738132977</v>
      </c>
      <c r="I204" s="5">
        <f>(AA204-AVERAGE(AA$2:AA$229))/AVERAGE(AA$2:AA$229)*100+100</f>
        <v>64.610302168180965</v>
      </c>
      <c r="J204" s="5">
        <f>(AB204-AVERAGE(AB$2:AB$229))/AVERAGE(AB$2:AB$229)*100+100</f>
        <v>74.841003897968761</v>
      </c>
      <c r="K204" s="5">
        <f>(AC204-AVERAGE(AC$2:AC$229))/AVERAGE(AC$2:AC$229)*100+100</f>
        <v>70.061248541414585</v>
      </c>
      <c r="L204" s="5">
        <f>(AF204-AVERAGE(AF$2:AF$229))/AVERAGE(AF$2:AF$229)*100+100</f>
        <v>48.436738125474257</v>
      </c>
      <c r="M204" s="5">
        <f>(AI204-AVERAGE(AI$2:AI$229))/AVERAGE(AI$2:AI$229)*100+100</f>
        <v>38.558603855701648</v>
      </c>
      <c r="N204" s="5">
        <f>(AVERAGE(AJ$2:AJ$229)-AJ204)/AVERAGE(AJ$2:AJ$229)*100+100</f>
        <v>163.63849759458486</v>
      </c>
      <c r="O204" s="5">
        <f>(AK204-AVERAGE(AK$2:AK$229))/AVERAGE(AK$2:AK$229)*100+100</f>
        <v>39.328125372633529</v>
      </c>
      <c r="P204" s="5">
        <f>(AL204-AVERAGE(AL$2:AL$229))/AVERAGE(AL$2:AL$229)*100+100</f>
        <v>87.45861765346379</v>
      </c>
      <c r="Q204" s="5">
        <f>(AM204-AVERAGE(AM$2:AM$229))/AVERAGE(AM$2:AM$229)*100+100</f>
        <v>91.192602452000671</v>
      </c>
      <c r="R204" s="5">
        <f>(AN204-AVERAGE(AN$2:AN$229))/AVERAGE(AN$2:AN$229)*100+100</f>
        <v>98.232361027257426</v>
      </c>
      <c r="S204" s="5">
        <f>(AO204-AVERAGE(AO$2:AO$229))/AVERAGE(AO$2:AO$229)*100+100</f>
        <v>95.16101446061873</v>
      </c>
      <c r="T204" s="6">
        <f>(F204*1.5+H204*2.5+I204+J204+K204*1.5+L204+O204*0.75+P204+S204)/11.25</f>
        <v>65.967991182249733</v>
      </c>
      <c r="V204">
        <f>'2025_Fantasy_Hitters_modified'!F196</f>
        <v>69.167000810983865</v>
      </c>
      <c r="W204">
        <f>'2025_Fantasy_Hitters_modified'!G196</f>
        <v>39.114092906572701</v>
      </c>
      <c r="X204">
        <f>'2025_Fantasy_Hitters_modified'!H196</f>
        <v>13.241750202745976</v>
      </c>
      <c r="Y204">
        <f>'2025_Fantasy_Hitters_modified'!I196</f>
        <v>0.4074384677767986</v>
      </c>
      <c r="Z204">
        <f>'2025_Fantasy_Hitters_modified'!J196</f>
        <v>16.199999999999953</v>
      </c>
      <c r="AA204">
        <f>'2025_Fantasy_Hitters_modified'!K196</f>
        <v>42.605418719211464</v>
      </c>
      <c r="AB204">
        <f>'2025_Fantasy_Hitters_modified'!L196</f>
        <v>47.999999999999787</v>
      </c>
      <c r="AC204" s="2">
        <f>'2025_Fantasy_Hitters_modified'!M196</f>
        <v>32.016995072867999</v>
      </c>
      <c r="AD204">
        <f>'2025_Fantasy_Hitters_modified'!N196</f>
        <v>0.9869458128078813</v>
      </c>
      <c r="AE204">
        <f>'2025_Fantasy_Hitters_modified'!O196</f>
        <v>114.7684729031</v>
      </c>
      <c r="AF204">
        <f>'2025_Fantasy_Hitters_modified'!P196</f>
        <v>2.8381604696673182</v>
      </c>
      <c r="AG204">
        <f>'2025_Fantasy_Hitters_modified'!Q196</f>
        <v>2</v>
      </c>
      <c r="AH204">
        <f>'2025_Fantasy_Hitters_modified'!R196</f>
        <v>0</v>
      </c>
      <c r="AI204">
        <f>'2025_Fantasy_Hitters_modified'!S196</f>
        <v>4.0347290640393814</v>
      </c>
      <c r="AJ204">
        <f>'2025_Fantasy_Hitters_modified'!T196</f>
        <v>0.98694581280787774</v>
      </c>
      <c r="AK204">
        <f>'2025_Fantasy_Hitters_modified'!U196</f>
        <v>3.0477832512315035</v>
      </c>
      <c r="AL204">
        <f>'2025_Fantasy_Hitters_modified'!V196</f>
        <v>0.21819243158039073</v>
      </c>
      <c r="AM204">
        <f>'2025_Fantasy_Hitters_modified'!W196</f>
        <v>0.29831797309460234</v>
      </c>
      <c r="AN204">
        <f>'2025_Fantasy_Hitters_modified'!X196</f>
        <v>0.41520475935455786</v>
      </c>
      <c r="AO204">
        <f>'2025_Fantasy_Hitters_modified'!Y196</f>
        <v>0.7135227324491602</v>
      </c>
      <c r="AP204">
        <f>'2025_Fantasy_Hitters_modified'!Z196</f>
        <v>0.28169212700000001</v>
      </c>
      <c r="AQ204">
        <f>'2025_Fantasy_Hitters_modified'!AA196</f>
        <v>32.512315270000002</v>
      </c>
      <c r="AR204">
        <f>'2025_Fantasy_Hitters_modified'!AB196</f>
        <v>9.0699702755999994</v>
      </c>
    </row>
    <row r="205" spans="1:44" x14ac:dyDescent="0.4">
      <c r="A205" t="str">
        <f>'2025_Fantasy_Hitters_modified'!A41</f>
        <v>BOS</v>
      </c>
      <c r="B205" t="str">
        <f>'2025_Fantasy_Hitters_modified'!B41</f>
        <v>Connor Wong</v>
      </c>
      <c r="C205">
        <f>'2025_Fantasy_Hitters_modified'!D41</f>
        <v>368</v>
      </c>
      <c r="D205">
        <f>'2025_Fantasy_Hitters_modified'!E41</f>
        <v>401</v>
      </c>
      <c r="E205" s="5">
        <f>(V205-AVERAGE(V$2:V$229))/AVERAGE(V$2:V$229)*100+100</f>
        <v>75.127758657468988</v>
      </c>
      <c r="F205" s="4">
        <f>E205*1.51744-31.775</f>
        <v>82.226866097189742</v>
      </c>
      <c r="G205" s="5">
        <f>(Z205-AVERAGE(Z$2:Z$229))/AVERAGE(Z$2:Z$229)*100+100</f>
        <v>60.308757755013758</v>
      </c>
      <c r="H205" s="4">
        <f>G205*0.83285-13.6979</f>
        <v>36.530248896263203</v>
      </c>
      <c r="I205" s="5">
        <f>(AA205-AVERAGE(AA$2:AA$229))/AVERAGE(AA$2:AA$229)*100+100</f>
        <v>69.20875306758964</v>
      </c>
      <c r="J205" s="5">
        <f>(AB205-AVERAGE(AB$2:AB$229))/AVERAGE(AB$2:AB$229)*100+100</f>
        <v>67.045065991930485</v>
      </c>
      <c r="K205" s="5">
        <f>(AC205-AVERAGE(AC$2:AC$229))/AVERAGE(AC$2:AC$229)*100+100</f>
        <v>50.500251947171272</v>
      </c>
      <c r="L205" s="5">
        <f>(AF205-AVERAGE(AF$2:AF$229))/AVERAGE(AF$2:AF$229)*100+100</f>
        <v>86.34725513889515</v>
      </c>
      <c r="M205" s="5">
        <f>(AI205-AVERAGE(AI$2:AI$229))/AVERAGE(AI$2:AI$229)*100+100</f>
        <v>66.404739994650683</v>
      </c>
      <c r="N205" s="5">
        <f>(AVERAGE(AJ$2:AJ$229)-AJ205)/AVERAGE(AJ$2:AJ$229)*100+100</f>
        <v>88.578895869266972</v>
      </c>
      <c r="O205" s="5">
        <f>(AK205-AVERAGE(AK$2:AK$229))/AVERAGE(AK$2:AK$229)*100+100</f>
        <v>50.638030263409952</v>
      </c>
      <c r="P205" s="5">
        <f>(AL205-AVERAGE(AL$2:AL$229))/AVERAGE(AL$2:AL$229)*100+100</f>
        <v>96.127074949313055</v>
      </c>
      <c r="Q205" s="5">
        <f>(AM205-AVERAGE(AM$2:AM$229))/AVERAGE(AM$2:AM$229)*100+100</f>
        <v>90.376871859128883</v>
      </c>
      <c r="R205" s="5">
        <f>(AN205-AVERAGE(AN$2:AN$229))/AVERAGE(AN$2:AN$229)*100+100</f>
        <v>89.59921406108495</v>
      </c>
      <c r="S205" s="5">
        <f>(AO205-AVERAGE(AO$2:AO$229))/AVERAGE(AO$2:AO$229)*100+100</f>
        <v>89.938495100698532</v>
      </c>
      <c r="T205" s="6">
        <f>(F205*1.5+H205*2.5+I205+J205+K205*1.5+L205+O205*0.75+P205+S205)/11.25</f>
        <v>65.516574778060786</v>
      </c>
      <c r="V205">
        <f>'2025_Fantasy_Hitters_modified'!F41</f>
        <v>88.253232094046325</v>
      </c>
      <c r="W205">
        <f>'2025_Fantasy_Hitters_modified'!G41</f>
        <v>57.842135169149813</v>
      </c>
      <c r="X205">
        <f>'2025_Fantasy_Hitters_modified'!H41</f>
        <v>17.280328231562937</v>
      </c>
      <c r="Y205">
        <f>'2025_Fantasy_Hitters_modified'!I41</f>
        <v>0.98804889970684417</v>
      </c>
      <c r="Z205">
        <f>'2025_Fantasy_Hitters_modified'!J41</f>
        <v>10.999999999999984</v>
      </c>
      <c r="AA205">
        <f>'2025_Fantasy_Hitters_modified'!K41</f>
        <v>45.637735849056533</v>
      </c>
      <c r="AB205">
        <f>'2025_Fantasy_Hitters_modified'!L41</f>
        <v>42.999999999999901</v>
      </c>
      <c r="AC205" s="2">
        <f>'2025_Fantasy_Hitters_modified'!M41</f>
        <v>23.077897574369</v>
      </c>
      <c r="AD205">
        <f>'2025_Fantasy_Hitters_modified'!N41</f>
        <v>0</v>
      </c>
      <c r="AE205">
        <f>'2025_Fantasy_Hitters_modified'!O41</f>
        <v>104.84366576559998</v>
      </c>
      <c r="AF205">
        <f>'2025_Fantasy_Hitters_modified'!P41</f>
        <v>5.059534883720886</v>
      </c>
      <c r="AG205">
        <f>'2025_Fantasy_Hitters_modified'!Q41</f>
        <v>2.5999999999999868</v>
      </c>
      <c r="AH205">
        <f>'2025_Fantasy_Hitters_modified'!R41</f>
        <v>1.3595348837209131</v>
      </c>
      <c r="AI205">
        <f>'2025_Fantasy_Hitters_modified'!S41</f>
        <v>6.948517520215594</v>
      </c>
      <c r="AJ205">
        <f>'2025_Fantasy_Hitters_modified'!T41</f>
        <v>3.0242587601077973</v>
      </c>
      <c r="AK205">
        <f>'2025_Fantasy_Hitters_modified'!U41</f>
        <v>3.9242587601077967</v>
      </c>
      <c r="AL205">
        <f>'2025_Fantasy_Hitters_modified'!V41</f>
        <v>0.23981856547295197</v>
      </c>
      <c r="AM205">
        <f>'2025_Fantasy_Hitters_modified'!W41</f>
        <v>0.29564947707065287</v>
      </c>
      <c r="AN205">
        <f>'2025_Fantasy_Hitters_modified'!X41</f>
        <v>0.37871450633531567</v>
      </c>
      <c r="AO205">
        <f>'2025_Fantasy_Hitters_modified'!Y41</f>
        <v>0.67436398340596848</v>
      </c>
      <c r="AP205">
        <f>'2025_Fantasy_Hitters_modified'!Z41</f>
        <v>0.30324361639999903</v>
      </c>
      <c r="AQ205">
        <f>'2025_Fantasy_Hitters_modified'!AA41</f>
        <v>26.145552559999999</v>
      </c>
      <c r="AR205">
        <f>'2025_Fantasy_Hitters_modified'!AB41</f>
        <v>5.7550866769000004</v>
      </c>
    </row>
    <row r="206" spans="1:44" x14ac:dyDescent="0.4">
      <c r="A206" t="str">
        <f>'2025_Fantasy_Hitters_modified'!A165</f>
        <v>PIT</v>
      </c>
      <c r="B206" t="str">
        <f>'2025_Fantasy_Hitters_modified'!B165</f>
        <v>Joey Bart</v>
      </c>
      <c r="C206">
        <f>'2025_Fantasy_Hitters_modified'!D165</f>
        <v>328</v>
      </c>
      <c r="D206">
        <f>'2025_Fantasy_Hitters_modified'!E165</f>
        <v>366</v>
      </c>
      <c r="E206" s="5">
        <f>(V206-AVERAGE(V$2:V$229))/AVERAGE(V$2:V$229)*100+100</f>
        <v>65.552727328323869</v>
      </c>
      <c r="F206" s="4">
        <f>E206*1.51744-31.775</f>
        <v>67.69733055709176</v>
      </c>
      <c r="G206" s="5">
        <f>(Z206-AVERAGE(Z$2:Z$229))/AVERAGE(Z$2:Z$229)*100+100</f>
        <v>63.598326359832477</v>
      </c>
      <c r="H206" s="4">
        <f>G206*0.83285-13.6979</f>
        <v>39.269966108786477</v>
      </c>
      <c r="I206" s="5">
        <f>(AA206-AVERAGE(AA$2:AA$229))/AVERAGE(AA$2:AA$229)*100+100</f>
        <v>61.440282202870435</v>
      </c>
      <c r="J206" s="5">
        <f>(AB206-AVERAGE(AB$2:AB$229))/AVERAGE(AB$2:AB$229)*100+100</f>
        <v>70.163441154345946</v>
      </c>
      <c r="K206" s="5">
        <f>(AC206-AVERAGE(AC$2:AC$229))/AVERAGE(AC$2:AC$229)*100+100</f>
        <v>57.544672400835687</v>
      </c>
      <c r="L206" s="5">
        <f>(AF206-AVERAGE(AF$2:AF$229))/AVERAGE(AF$2:AF$229)*100+100</f>
        <v>121.31030549594684</v>
      </c>
      <c r="M206" s="5">
        <f>(AI206-AVERAGE(AI$2:AI$229))/AVERAGE(AI$2:AI$229)*100+100</f>
        <v>9.5238971892384683</v>
      </c>
      <c r="N206" s="5">
        <f>(AVERAGE(AJ$2:AJ$229)-AJ206)/AVERAGE(AJ$2:AJ$229)*100+100</f>
        <v>200</v>
      </c>
      <c r="O206" s="5">
        <f>(AK206-AVERAGE(AK$2:AK$229))/AVERAGE(AK$2:AK$229)*100+100</f>
        <v>12.859584674770957</v>
      </c>
      <c r="P206" s="5">
        <f>(AL206-AVERAGE(AL$2:AL$229))/AVERAGE(AL$2:AL$229)*100+100</f>
        <v>94.104422788807739</v>
      </c>
      <c r="Q206" s="5">
        <f>(AM206-AVERAGE(AM$2:AM$229))/AVERAGE(AM$2:AM$229)*100+100</f>
        <v>94.728117637557872</v>
      </c>
      <c r="R206" s="5">
        <f>(AN206-AVERAGE(AN$2:AN$229))/AVERAGE(AN$2:AN$229)*100+100</f>
        <v>91.081825593560097</v>
      </c>
      <c r="S206" s="5">
        <f>(AO206-AVERAGE(AO$2:AO$229))/AVERAGE(AO$2:AO$229)*100+100</f>
        <v>92.672650964994887</v>
      </c>
      <c r="T206" s="6">
        <f>(F206*1.5+H206*2.5+I206+J206+K206*1.5+L206+O206*0.75+P206+S206)/11.25</f>
        <v>65.366552073057903</v>
      </c>
      <c r="V206">
        <f>'2025_Fantasy_Hitters_modified'!F165</f>
        <v>77.005359439525193</v>
      </c>
      <c r="W206">
        <f>'2025_Fantasy_Hitters_modified'!G165</f>
        <v>50.936901139266581</v>
      </c>
      <c r="X206">
        <f>'2025_Fantasy_Hitters_modified'!H165</f>
        <v>13.873864123535649</v>
      </c>
      <c r="Y206">
        <f>'2025_Fantasy_Hitters_modified'!I165</f>
        <v>0.39639611781530315</v>
      </c>
      <c r="Z206">
        <f>'2025_Fantasy_Hitters_modified'!J165</f>
        <v>11.599999999999945</v>
      </c>
      <c r="AA206">
        <f>'2025_Fantasy_Hitters_modified'!K165</f>
        <v>40.515039577836241</v>
      </c>
      <c r="AB206">
        <f>'2025_Fantasy_Hitters_modified'!L165</f>
        <v>44.99999999999995</v>
      </c>
      <c r="AC206" s="2">
        <f>'2025_Fantasy_Hitters_modified'!M165</f>
        <v>26.29709762649</v>
      </c>
      <c r="AD206">
        <f>'2025_Fantasy_Hitters_modified'!N165</f>
        <v>0</v>
      </c>
      <c r="AE206">
        <f>'2025_Fantasy_Hitters_modified'!O165</f>
        <v>102.3641160918</v>
      </c>
      <c r="AF206">
        <f>'2025_Fantasy_Hitters_modified'!P165</f>
        <v>7.1082018927444279</v>
      </c>
      <c r="AG206">
        <f>'2025_Fantasy_Hitters_modified'!Q165</f>
        <v>1.9999999999999853</v>
      </c>
      <c r="AH206">
        <f>'2025_Fantasy_Hitters_modified'!R165</f>
        <v>0</v>
      </c>
      <c r="AI206">
        <f>'2025_Fantasy_Hitters_modified'!S165</f>
        <v>0.99656992084430296</v>
      </c>
      <c r="AJ206">
        <f>'2025_Fantasy_Hitters_modified'!T165</f>
        <v>0</v>
      </c>
      <c r="AK206">
        <f>'2025_Fantasy_Hitters_modified'!U165</f>
        <v>0.99656992084430296</v>
      </c>
      <c r="AL206">
        <f>'2025_Fantasy_Hitters_modified'!V165</f>
        <v>0.23477243731562558</v>
      </c>
      <c r="AM206">
        <f>'2025_Fantasy_Hitters_modified'!W165</f>
        <v>0.30988368890533119</v>
      </c>
      <c r="AN206">
        <f>'2025_Fantasy_Hitters_modified'!X165</f>
        <v>0.38498115164568159</v>
      </c>
      <c r="AO206">
        <f>'2025_Fantasy_Hitters_modified'!Y165</f>
        <v>0.69486484055101272</v>
      </c>
      <c r="AP206">
        <f>'2025_Fantasy_Hitters_modified'!Z165</f>
        <v>0.30275229399999998</v>
      </c>
      <c r="AQ206">
        <f>'2025_Fantasy_Hitters_modified'!AA165</f>
        <v>27.968337729999998</v>
      </c>
      <c r="AR206">
        <f>'2025_Fantasy_Hitters_modified'!AB165</f>
        <v>7.1849993515000001</v>
      </c>
    </row>
    <row r="207" spans="1:44" x14ac:dyDescent="0.4">
      <c r="A207" t="str">
        <f>'2025_Fantasy_Hitters_modified'!A191</f>
        <v>STL</v>
      </c>
      <c r="B207" t="str">
        <f>'2025_Fantasy_Hitters_modified'!B191</f>
        <v>Ivan Herrera</v>
      </c>
      <c r="C207">
        <f>'2025_Fantasy_Hitters_modified'!D191</f>
        <v>320</v>
      </c>
      <c r="D207">
        <f>'2025_Fantasy_Hitters_modified'!E191</f>
        <v>368</v>
      </c>
      <c r="E207" s="5">
        <f>(V207-AVERAGE(V$2:V$229))/AVERAGE(V$2:V$229)*100+100</f>
        <v>69.810693598322729</v>
      </c>
      <c r="F207" s="4">
        <f>E207*1.51744-31.775</f>
        <v>74.158538893838823</v>
      </c>
      <c r="G207" s="5">
        <f>(Z207-AVERAGE(Z$2:Z$229))/AVERAGE(Z$2:Z$229)*100+100</f>
        <v>49.343529072283985</v>
      </c>
      <c r="H207" s="4">
        <f>G207*0.83285-13.6979</f>
        <v>27.397858187851714</v>
      </c>
      <c r="I207" s="5">
        <f>(AA207-AVERAGE(AA$2:AA$229))/AVERAGE(AA$2:AA$229)*100+100</f>
        <v>66.466060760105819</v>
      </c>
      <c r="J207" s="5">
        <f>(AB207-AVERAGE(AB$2:AB$229))/AVERAGE(AB$2:AB$229)*100+100</f>
        <v>60.808315667099755</v>
      </c>
      <c r="K207" s="5">
        <f>(AC207-AVERAGE(AC$2:AC$229))/AVERAGE(AC$2:AC$229)*100+100</f>
        <v>76.267724354318972</v>
      </c>
      <c r="L207" s="5">
        <f>(AF207-AVERAGE(AF$2:AF$229))/AVERAGE(AF$2:AF$229)*100+100</f>
        <v>69.573681413385827</v>
      </c>
      <c r="M207" s="5">
        <f>(AI207-AVERAGE(AI$2:AI$229))/AVERAGE(AI$2:AI$229)*100+100</f>
        <v>48.306842941558678</v>
      </c>
      <c r="N207" s="5">
        <f>(AVERAGE(AJ$2:AJ$229)-AJ207)/AVERAGE(AJ$2:AJ$229)*100+100</f>
        <v>163.43525626161511</v>
      </c>
      <c r="O207" s="5">
        <f>(AK207-AVERAGE(AK$2:AK$229))/AVERAGE(AK$2:AK$229)*100+100</f>
        <v>52.419442289036496</v>
      </c>
      <c r="P207" s="5">
        <f>(AL207-AVERAGE(AL$2:AL$229))/AVERAGE(AL$2:AL$229)*100+100</f>
        <v>102.72238357786668</v>
      </c>
      <c r="Q207" s="5">
        <f>(AM207-AVERAGE(AM$2:AM$229))/AVERAGE(AM$2:AM$229)*100+100</f>
        <v>103.48176289649783</v>
      </c>
      <c r="R207" s="5">
        <f>(AN207-AVERAGE(AN$2:AN$229))/AVERAGE(AN$2:AN$229)*100+100</f>
        <v>93.722570949028508</v>
      </c>
      <c r="S207" s="5">
        <f>(AO207-AVERAGE(AO$2:AO$229))/AVERAGE(AO$2:AO$229)*100+100</f>
        <v>97.98036762779229</v>
      </c>
      <c r="T207" s="6">
        <f>(F207*1.5+H207*2.5+I207+J207+K207*1.5+L207+O207*0.75+P207+S207)/11.25</f>
        <v>64.977727209323888</v>
      </c>
      <c r="V207">
        <f>'2025_Fantasy_Hitters_modified'!F191</f>
        <v>82.007229483168132</v>
      </c>
      <c r="W207">
        <f>'2025_Fantasy_Hitters_modified'!G191</f>
        <v>56.235298385683549</v>
      </c>
      <c r="X207">
        <f>'2025_Fantasy_Hitters_modified'!H191</f>
        <v>15.785346915279584</v>
      </c>
      <c r="Y207">
        <f>'2025_Fantasy_Hitters_modified'!I191</f>
        <v>0.98658418220497401</v>
      </c>
      <c r="Z207">
        <f>'2025_Fantasy_Hitters_modified'!J191</f>
        <v>8.9999999999999876</v>
      </c>
      <c r="AA207">
        <f>'2025_Fantasy_Hitters_modified'!K191</f>
        <v>43.829145728642942</v>
      </c>
      <c r="AB207">
        <f>'2025_Fantasy_Hitters_modified'!L191</f>
        <v>38.999999999999915</v>
      </c>
      <c r="AC207" s="2">
        <f>'2025_Fantasy_Hitters_modified'!M191</f>
        <v>34.853266330639997</v>
      </c>
      <c r="AD207">
        <f>'2025_Fantasy_Hitters_modified'!N191</f>
        <v>0</v>
      </c>
      <c r="AE207">
        <f>'2025_Fantasy_Hitters_modified'!O191</f>
        <v>78.592964825600006</v>
      </c>
      <c r="AF207">
        <f>'2025_Fantasy_Hitters_modified'!P191</f>
        <v>4.0766839378238187</v>
      </c>
      <c r="AG207">
        <f>'2025_Fantasy_Hitters_modified'!Q191</f>
        <v>2.3999999999999768</v>
      </c>
      <c r="AH207">
        <f>'2025_Fantasy_Hitters_modified'!R191</f>
        <v>0.39999999999999619</v>
      </c>
      <c r="AI207">
        <f>'2025_Fantasy_Hitters_modified'!S191</f>
        <v>5.0547738693467226</v>
      </c>
      <c r="AJ207">
        <f>'2025_Fantasy_Hitters_modified'!T191</f>
        <v>0.99246231155777842</v>
      </c>
      <c r="AK207">
        <f>'2025_Fantasy_Hitters_modified'!U191</f>
        <v>4.0623115577889441</v>
      </c>
      <c r="AL207">
        <f>'2025_Fantasy_Hitters_modified'!V191</f>
        <v>0.25627259213490039</v>
      </c>
      <c r="AM207">
        <f>'2025_Fantasy_Hitters_modified'!W191</f>
        <v>0.33851945146305223</v>
      </c>
      <c r="AN207">
        <f>'2025_Fantasy_Hitters_modified'!X191</f>
        <v>0.39614295238392999</v>
      </c>
      <c r="AO207">
        <f>'2025_Fantasy_Hitters_modified'!Y191</f>
        <v>0.73466240384698223</v>
      </c>
      <c r="AP207">
        <f>'2025_Fantasy_Hitters_modified'!Z191</f>
        <v>0.31092437000000001</v>
      </c>
      <c r="AQ207">
        <f>'2025_Fantasy_Hitters_modified'!AA191</f>
        <v>21.356783920000002</v>
      </c>
      <c r="AR207">
        <f>'2025_Fantasy_Hitters_modified'!AB191</f>
        <v>9.4709962855000001</v>
      </c>
    </row>
    <row r="208" spans="1:44" x14ac:dyDescent="0.4">
      <c r="A208" t="str">
        <f>'2025_Fantasy_Hitters_modified'!A119</f>
        <v>MIA</v>
      </c>
      <c r="B208" t="str">
        <f>'2025_Fantasy_Hitters_modified'!B119</f>
        <v>Deyvison De Los Santos</v>
      </c>
      <c r="C208">
        <f>'2025_Fantasy_Hitters_modified'!D119</f>
        <v>373</v>
      </c>
      <c r="D208">
        <f>'2025_Fantasy_Hitters_modified'!E119</f>
        <v>398</v>
      </c>
      <c r="E208" s="5">
        <f>(V208-AVERAGE(V$2:V$229))/AVERAGE(V$2:V$229)*100+100</f>
        <v>79.022281183023566</v>
      </c>
      <c r="F208" s="4">
        <f>E208*1.51744-31.775</f>
        <v>88.136570358367265</v>
      </c>
      <c r="G208" s="5">
        <f>(Z208-AVERAGE(Z$2:Z$229))/AVERAGE(Z$2:Z$229)*100+100</f>
        <v>75.660077910835426</v>
      </c>
      <c r="H208" s="4">
        <f>G208*0.83285-13.6979</f>
        <v>49.315595888039283</v>
      </c>
      <c r="I208" s="5">
        <f>(AA208-AVERAGE(AA$2:AA$229))/AVERAGE(AA$2:AA$229)*100+100</f>
        <v>65.044030635834545</v>
      </c>
      <c r="J208" s="5">
        <f>(AB208-AVERAGE(AB$2:AB$229))/AVERAGE(AB$2:AB$229)*100+100</f>
        <v>77.959379060384094</v>
      </c>
      <c r="K208" s="5">
        <f>(AC208-AVERAGE(AC$2:AC$229))/AVERAGE(AC$2:AC$229)*100+100</f>
        <v>41.40047448058494</v>
      </c>
      <c r="L208" s="5">
        <f>(AF208-AVERAGE(AF$2:AF$229))/AVERAGE(AF$2:AF$229)*100+100</f>
        <v>51.964789408492265</v>
      </c>
      <c r="M208" s="5">
        <f>(AI208-AVERAGE(AI$2:AI$229))/AVERAGE(AI$2:AI$229)*100+100</f>
        <v>9.6877403526544157</v>
      </c>
      <c r="N208" s="5">
        <f>(AVERAGE(AJ$2:AJ$229)-AJ208)/AVERAGE(AJ$2:AJ$229)*100+100</f>
        <v>162.65228145247903</v>
      </c>
      <c r="O208" s="5">
        <f>(AK208-AVERAGE(AK$2:AK$229))/AVERAGE(AK$2:AK$229)*100+100</f>
        <v>0</v>
      </c>
      <c r="P208" s="5">
        <f>(AL208-AVERAGE(AL$2:AL$229))/AVERAGE(AL$2:AL$229)*100+100</f>
        <v>99.75480968289142</v>
      </c>
      <c r="Q208" s="5">
        <f>(AM208-AVERAGE(AM$2:AM$229))/AVERAGE(AM$2:AM$229)*100+100</f>
        <v>90.128456506810693</v>
      </c>
      <c r="R208" s="5">
        <f>(AN208-AVERAGE(AN$2:AN$229))/AVERAGE(AN$2:AN$229)*100+100</f>
        <v>96.53938878861409</v>
      </c>
      <c r="S208" s="5">
        <f>(AO208-AVERAGE(AO$2:AO$229))/AVERAGE(AO$2:AO$229)*100+100</f>
        <v>93.742390192401302</v>
      </c>
      <c r="T208" s="6">
        <f>(F208*1.5+H208*2.5+I208+J208+K208*1.5+L208+O208*0.75+P208+S208)/11.25</f>
        <v>62.760884974091567</v>
      </c>
      <c r="V208">
        <f>'2025_Fantasy_Hitters_modified'!F119</f>
        <v>92.828161607254813</v>
      </c>
      <c r="W208">
        <f>'2025_Fantasy_Hitters_modified'!G119</f>
        <v>61.517226298074853</v>
      </c>
      <c r="X208">
        <f>'2025_Fantasy_Hitters_modified'!H119</f>
        <v>16.210904945077903</v>
      </c>
      <c r="Y208">
        <f>'2025_Fantasy_Hitters_modified'!I119</f>
        <v>1.0210764803068462</v>
      </c>
      <c r="Z208">
        <f>'2025_Fantasy_Hitters_modified'!J119</f>
        <v>13.799999999999978</v>
      </c>
      <c r="AA208">
        <f>'2025_Fantasy_Hitters_modified'!K119</f>
        <v>42.891428571428548</v>
      </c>
      <c r="AB208">
        <f>'2025_Fantasy_Hitters_modified'!L119</f>
        <v>49.999999999999766</v>
      </c>
      <c r="AC208" s="2">
        <f>'2025_Fantasy_Hitters_modified'!M119</f>
        <v>18.919428572211999</v>
      </c>
      <c r="AD208">
        <f>'2025_Fantasy_Hitters_modified'!N119</f>
        <v>1.9137142857142821</v>
      </c>
      <c r="AE208">
        <f>'2025_Fantasy_Hitters_modified'!O119</f>
        <v>106.8914285828</v>
      </c>
      <c r="AF208">
        <f>'2025_Fantasy_Hitters_modified'!P119</f>
        <v>3.044887348353531</v>
      </c>
      <c r="AG208">
        <f>'2025_Fantasy_Hitters_modified'!Q119</f>
        <v>1.9999999999999987</v>
      </c>
      <c r="AH208">
        <f>'2025_Fantasy_Hitters_modified'!R119</f>
        <v>0.39999999999999175</v>
      </c>
      <c r="AI208">
        <f>'2025_Fantasy_Hitters_modified'!S119</f>
        <v>1.0137142857142649</v>
      </c>
      <c r="AJ208">
        <f>'2025_Fantasy_Hitters_modified'!T119</f>
        <v>1.0137142857142649</v>
      </c>
      <c r="AK208">
        <f>'2025_Fantasy_Hitters_modified'!U119</f>
        <v>0</v>
      </c>
      <c r="AL208">
        <f>'2025_Fantasy_Hitters_modified'!V119</f>
        <v>0.24886906597119252</v>
      </c>
      <c r="AM208">
        <f>'2025_Fantasy_Hitters_modified'!W119</f>
        <v>0.29483683698366608</v>
      </c>
      <c r="AN208">
        <f>'2025_Fantasy_Hitters_modified'!X119</f>
        <v>0.40804896951515041</v>
      </c>
      <c r="AO208">
        <f>'2025_Fantasy_Hitters_modified'!Y119</f>
        <v>0.70288580649881649</v>
      </c>
      <c r="AP208">
        <f>'2025_Fantasy_Hitters_modified'!Z119</f>
        <v>0.31075697200000002</v>
      </c>
      <c r="AQ208">
        <f>'2025_Fantasy_Hitters_modified'!AA119</f>
        <v>26.85714286</v>
      </c>
      <c r="AR208">
        <f>'2025_Fantasy_Hitters_modified'!AB119</f>
        <v>4.7536252693999996</v>
      </c>
    </row>
    <row r="209" spans="1:44" x14ac:dyDescent="0.4">
      <c r="A209" t="str">
        <f>'2025_Fantasy_Hitters_modified'!A108</f>
        <v>LAD</v>
      </c>
      <c r="B209" t="str">
        <f>'2025_Fantasy_Hitters_modified'!B108</f>
        <v>Andy Pages</v>
      </c>
      <c r="C209">
        <f>'2025_Fantasy_Hitters_modified'!D108</f>
        <v>286</v>
      </c>
      <c r="D209">
        <f>'2025_Fantasy_Hitters_modified'!E108</f>
        <v>320</v>
      </c>
      <c r="E209" s="5">
        <f>(V209-AVERAGE(V$2:V$229))/AVERAGE(V$2:V$229)*100+100</f>
        <v>59.099814095348776</v>
      </c>
      <c r="F209" s="4">
        <f>E209*1.51744-31.775</f>
        <v>57.905421900846044</v>
      </c>
      <c r="G209" s="5">
        <f>(Z209-AVERAGE(Z$2:Z$229))/AVERAGE(Z$2:Z$229)*100+100</f>
        <v>67.984417832924706</v>
      </c>
      <c r="H209" s="4">
        <f>G209*0.83285-13.6979</f>
        <v>42.922922392151335</v>
      </c>
      <c r="I209" s="5">
        <f>(AA209-AVERAGE(AA$2:AA$229))/AVERAGE(AA$2:AA$229)*100+100</f>
        <v>62.305699476638708</v>
      </c>
      <c r="J209" s="5">
        <f>(AB209-AVERAGE(AB$2:AB$229))/AVERAGE(AB$2:AB$229)*100+100</f>
        <v>60.808315667099883</v>
      </c>
      <c r="K209" s="5">
        <f>(AC209-AVERAGE(AC$2:AC$229))/AVERAGE(AC$2:AC$229)*100+100</f>
        <v>52.768130206440162</v>
      </c>
      <c r="L209" s="5">
        <f>(AF209-AVERAGE(AF$2:AF$229))/AVERAGE(AF$2:AF$229)*100+100</f>
        <v>88.800729380980627</v>
      </c>
      <c r="M209" s="5">
        <f>(AI209-AVERAGE(AI$2:AI$229))/AVERAGE(AI$2:AI$229)*100+100</f>
        <v>19.386402622279505</v>
      </c>
      <c r="N209" s="5">
        <f>(AVERAGE(AJ$2:AJ$229)-AJ209)/AVERAGE(AJ$2:AJ$229)*100+100</f>
        <v>158.42066283463623</v>
      </c>
      <c r="O209" s="5">
        <f>(AK209-AVERAGE(AK$2:AK$229))/AVERAGE(AK$2:AK$229)*100+100</f>
        <v>11.613461298820425</v>
      </c>
      <c r="P209" s="5">
        <f>(AL209-AVERAGE(AL$2:AL$229))/AVERAGE(AL$2:AL$229)*100+100</f>
        <v>97.300079536132841</v>
      </c>
      <c r="Q209" s="5">
        <f>(AM209-AVERAGE(AM$2:AM$229))/AVERAGE(AM$2:AM$229)*100+100</f>
        <v>97.310856242829814</v>
      </c>
      <c r="R209" s="5">
        <f>(AN209-AVERAGE(AN$2:AN$229))/AVERAGE(AN$2:AN$229)*100+100</f>
        <v>102.86041286874234</v>
      </c>
      <c r="S209" s="5">
        <f>(AO209-AVERAGE(AO$2:AO$229))/AVERAGE(AO$2:AO$229)*100+100</f>
        <v>100.43922022312071</v>
      </c>
      <c r="T209" s="6">
        <f>(F209*1.5+H209*2.5+I209+J209+K209*1.5+L209+O209*0.75+P209+S209)/11.25</f>
        <v>61.482824391057399</v>
      </c>
      <c r="V209">
        <f>'2025_Fantasy_Hitters_modified'!F108</f>
        <v>69.425066091110793</v>
      </c>
      <c r="W209">
        <f>'2025_Fantasy_Hitters_modified'!G108</f>
        <v>40.31082258164723</v>
      </c>
      <c r="X209">
        <f>'2025_Fantasy_Hitters_modified'!H108</f>
        <v>15.73105271478917</v>
      </c>
      <c r="Y209">
        <f>'2025_Fantasy_Hitters_modified'!I108</f>
        <v>0.99009037919835308</v>
      </c>
      <c r="Z209">
        <f>'2025_Fantasy_Hitters_modified'!J108</f>
        <v>12.4</v>
      </c>
      <c r="AA209">
        <f>'2025_Fantasy_Hitters_modified'!K108</f>
        <v>41.085714285714239</v>
      </c>
      <c r="AB209">
        <f>'2025_Fantasy_Hitters_modified'!L108</f>
        <v>39</v>
      </c>
      <c r="AC209" s="2">
        <f>'2025_Fantasy_Hitters_modified'!M108</f>
        <v>24.114285714240001</v>
      </c>
      <c r="AD209">
        <f>'2025_Fantasy_Hitters_modified'!N108</f>
        <v>0.89999999999999991</v>
      </c>
      <c r="AE209">
        <f>'2025_Fantasy_Hitters_modified'!O108</f>
        <v>77.714285728000007</v>
      </c>
      <c r="AF209">
        <f>'2025_Fantasy_Hitters_modified'!P108</f>
        <v>5.2032967032966715</v>
      </c>
      <c r="AG209">
        <f>'2025_Fantasy_Hitters_modified'!Q108</f>
        <v>2</v>
      </c>
      <c r="AH209">
        <f>'2025_Fantasy_Hitters_modified'!R108</f>
        <v>0</v>
      </c>
      <c r="AI209">
        <f>'2025_Fantasy_Hitters_modified'!S108</f>
        <v>2.0285714285714271</v>
      </c>
      <c r="AJ209">
        <f>'2025_Fantasy_Hitters_modified'!T108</f>
        <v>1.1285714285714272</v>
      </c>
      <c r="AK209">
        <f>'2025_Fantasy_Hitters_modified'!U108</f>
        <v>0.89999999999999991</v>
      </c>
      <c r="AL209">
        <f>'2025_Fantasy_Hitters_modified'!V108</f>
        <v>0.24274498633255523</v>
      </c>
      <c r="AM209">
        <f>'2025_Fantasy_Hitters_modified'!W108</f>
        <v>0.3183325907355366</v>
      </c>
      <c r="AN209">
        <f>'2025_Fantasy_Hitters_modified'!X108</f>
        <v>0.43476643059028197</v>
      </c>
      <c r="AO209">
        <f>'2025_Fantasy_Hitters_modified'!Y108</f>
        <v>0.75309902132581863</v>
      </c>
      <c r="AP209">
        <f>'2025_Fantasy_Hitters_modified'!Z108</f>
        <v>0.28817171720000001</v>
      </c>
      <c r="AQ209">
        <f>'2025_Fantasy_Hitters_modified'!AA108</f>
        <v>24.285714290000001</v>
      </c>
      <c r="AR209">
        <f>'2025_Fantasy_Hitters_modified'!AB108</f>
        <v>7.5357142857000001</v>
      </c>
    </row>
    <row r="210" spans="1:44" x14ac:dyDescent="0.4">
      <c r="A210" t="str">
        <f>'2025_Fantasy_Hitters_modified'!A129</f>
        <v>MIN</v>
      </c>
      <c r="B210" t="str">
        <f>'2025_Fantasy_Hitters_modified'!B129</f>
        <v>Brooks Lee</v>
      </c>
      <c r="C210">
        <f>'2025_Fantasy_Hitters_modified'!D129</f>
        <v>393</v>
      </c>
      <c r="D210">
        <f>'2025_Fantasy_Hitters_modified'!E129</f>
        <v>427</v>
      </c>
      <c r="E210" s="5">
        <f>(V210-AVERAGE(V$2:V$229))/AVERAGE(V$2:V$229)*100+100</f>
        <v>82.347038732815392</v>
      </c>
      <c r="F210" s="4">
        <f>E210*1.51744-31.775</f>
        <v>93.181690454723395</v>
      </c>
      <c r="G210" s="5">
        <f>(Z210-AVERAGE(Z$2:Z$229))/AVERAGE(Z$2:Z$229)*100+100</f>
        <v>47.150483335737782</v>
      </c>
      <c r="H210" s="4">
        <f>G210*0.83285-13.6979</f>
        <v>25.571380046169207</v>
      </c>
      <c r="I210" s="5">
        <f>(AA210-AVERAGE(AA$2:AA$229))/AVERAGE(AA$2:AA$229)*100+100</f>
        <v>67.875155981200109</v>
      </c>
      <c r="J210" s="5">
        <f>(AB210-AVERAGE(AB$2:AB$229))/AVERAGE(AB$2:AB$229)*100+100</f>
        <v>74.841003897968776</v>
      </c>
      <c r="K210" s="5">
        <f>(AC210-AVERAGE(AC$2:AC$229))/AVERAGE(AC$2:AC$229)*100+100</f>
        <v>57.879261299907348</v>
      </c>
      <c r="L210" s="5">
        <f>(AF210-AVERAGE(AF$2:AF$229))/AVERAGE(AF$2:AF$229)*100+100</f>
        <v>32.42187551653754</v>
      </c>
      <c r="M210" s="5">
        <f>(AI210-AVERAGE(AI$2:AI$229))/AVERAGE(AI$2:AI$229)*100+100</f>
        <v>47.86302572296335</v>
      </c>
      <c r="N210" s="5">
        <f>(AVERAGE(AJ$2:AJ$229)-AJ210)/AVERAGE(AJ$2:AJ$229)*100+100</f>
        <v>163.72042012100999</v>
      </c>
      <c r="O210" s="5">
        <f>(AK210-AVERAGE(AK$2:AK$229))/AVERAGE(AK$2:AK$229)*100+100</f>
        <v>51.920057689325319</v>
      </c>
      <c r="P210" s="5">
        <f>(AL210-AVERAGE(AL$2:AL$229))/AVERAGE(AL$2:AL$229)*100+100</f>
        <v>98.66168980422097</v>
      </c>
      <c r="Q210" s="5">
        <f>(AM210-AVERAGE(AM$2:AM$229))/AVERAGE(AM$2:AM$229)*100+100</f>
        <v>91.51026677723064</v>
      </c>
      <c r="R210" s="5">
        <f>(AN210-AVERAGE(AN$2:AN$229))/AVERAGE(AN$2:AN$229)*100+100</f>
        <v>85.896350543943129</v>
      </c>
      <c r="S210" s="5">
        <f>(AO210-AVERAGE(AO$2:AO$229))/AVERAGE(AO$2:AO$229)*100+100</f>
        <v>88.345622371120157</v>
      </c>
      <c r="T210" s="6">
        <f>(F210*1.5+H210*2.5+I210+J210+K210*1.5+L210+O210*0.75+P210+S210)/11.25</f>
        <v>61.476023874258729</v>
      </c>
      <c r="V210">
        <f>'2025_Fantasy_Hitters_modified'!F129</f>
        <v>96.733783243539847</v>
      </c>
      <c r="W210">
        <f>'2025_Fantasy_Hitters_modified'!G129</f>
        <v>67.200858550481769</v>
      </c>
      <c r="X210">
        <f>'2025_Fantasy_Hitters_modified'!H129</f>
        <v>19.02888501849149</v>
      </c>
      <c r="Y210">
        <f>'2025_Fantasy_Hitters_modified'!I129</f>
        <v>1.0084273004354813</v>
      </c>
      <c r="Z210">
        <f>'2025_Fantasy_Hitters_modified'!J129</f>
        <v>8.5999999999999428</v>
      </c>
      <c r="AA210">
        <f>'2025_Fantasy_Hitters_modified'!K129</f>
        <v>44.758333333333141</v>
      </c>
      <c r="AB210">
        <f>'2025_Fantasy_Hitters_modified'!L129</f>
        <v>47.999999999999801</v>
      </c>
      <c r="AC210" s="2">
        <f>'2025_Fantasy_Hitters_modified'!M129</f>
        <v>26.449999999142999</v>
      </c>
      <c r="AD210">
        <f>'2025_Fantasy_Hitters_modified'!N129</f>
        <v>1.9694444444444339</v>
      </c>
      <c r="AE210">
        <f>'2025_Fantasy_Hitters_modified'!O129</f>
        <v>70.319444451899997</v>
      </c>
      <c r="AF210">
        <f>'2025_Fantasy_Hitters_modified'!P129</f>
        <v>1.8997663551401773</v>
      </c>
      <c r="AG210">
        <f>'2025_Fantasy_Hitters_modified'!Q129</f>
        <v>2.9999999999999658</v>
      </c>
      <c r="AH210">
        <f>'2025_Fantasy_Hitters_modified'!R129</f>
        <v>0.39999999999998975</v>
      </c>
      <c r="AI210">
        <f>'2025_Fantasy_Hitters_modified'!S129</f>
        <v>5.008333333333308</v>
      </c>
      <c r="AJ210">
        <f>'2025_Fantasy_Hitters_modified'!T129</f>
        <v>0.98472222222219563</v>
      </c>
      <c r="AK210">
        <f>'2025_Fantasy_Hitters_modified'!U129</f>
        <v>4.0236111111111121</v>
      </c>
      <c r="AL210">
        <f>'2025_Fantasy_Hitters_modified'!V129</f>
        <v>0.24614194209552123</v>
      </c>
      <c r="AM210">
        <f>'2025_Fantasy_Hitters_modified'!W129</f>
        <v>0.29935714705256622</v>
      </c>
      <c r="AN210">
        <f>'2025_Fantasy_Hitters_modified'!X129</f>
        <v>0.36306338546761063</v>
      </c>
      <c r="AO210">
        <f>'2025_Fantasy_Hitters_modified'!Y129</f>
        <v>0.66242053252017685</v>
      </c>
      <c r="AP210">
        <f>'2025_Fantasy_Hitters_modified'!Z129</f>
        <v>0.27795391959999999</v>
      </c>
      <c r="AQ210">
        <f>'2025_Fantasy_Hitters_modified'!AA129</f>
        <v>16.468253969999999</v>
      </c>
      <c r="AR210">
        <f>'2025_Fantasy_Hitters_modified'!AB129</f>
        <v>6.1943793909</v>
      </c>
    </row>
    <row r="211" spans="1:44" x14ac:dyDescent="0.4">
      <c r="A211" t="str">
        <f>'2025_Fantasy_Hitters_modified'!A132</f>
        <v>MIN</v>
      </c>
      <c r="B211" t="str">
        <f>'2025_Fantasy_Hitters_modified'!B132</f>
        <v>Edouard Julien</v>
      </c>
      <c r="C211">
        <f>'2025_Fantasy_Hitters_modified'!D132</f>
        <v>296</v>
      </c>
      <c r="D211">
        <f>'2025_Fantasy_Hitters_modified'!E132</f>
        <v>345</v>
      </c>
      <c r="E211" s="5">
        <f>(V211-AVERAGE(V$2:V$229))/AVERAGE(V$2:V$229)*100+100</f>
        <v>57.079555066586046</v>
      </c>
      <c r="F211" s="4">
        <f>E211*1.51744-31.775</f>
        <v>54.839800040240327</v>
      </c>
      <c r="G211" s="5">
        <f>(Z211-AVERAGE(Z$2:Z$229))/AVERAGE(Z$2:Z$229)*100+100</f>
        <v>47.150483335737988</v>
      </c>
      <c r="H211" s="4">
        <f>G211*0.83285-13.6979</f>
        <v>25.571380046169384</v>
      </c>
      <c r="I211" s="5">
        <f>(AA211-AVERAGE(AA$2:AA$229))/AVERAGE(AA$2:AA$229)*100+100</f>
        <v>62.993039504370849</v>
      </c>
      <c r="J211" s="5">
        <f>(AB211-AVERAGE(AB$2:AB$229))/AVERAGE(AB$2:AB$229)*100+100</f>
        <v>48.334815017438373</v>
      </c>
      <c r="K211" s="5">
        <f>(AC211-AVERAGE(AC$2:AC$229))/AVERAGE(AC$2:AC$229)*100+100</f>
        <v>95.225189327099827</v>
      </c>
      <c r="L211" s="5">
        <f>(AF211-AVERAGE(AF$2:AF$229))/AVERAGE(AF$2:AF$229)*100+100</f>
        <v>50.448322867711177</v>
      </c>
      <c r="M211" s="5">
        <f>(AI211-AVERAGE(AI$2:AI$229))/AVERAGE(AI$2:AI$229)*100+100</f>
        <v>48.357407949459756</v>
      </c>
      <c r="N211" s="5">
        <f>(AVERAGE(AJ$2:AJ$229)-AJ211)/AVERAGE(AJ$2:AJ$229)*100+100</f>
        <v>162.71496146592762</v>
      </c>
      <c r="O211" s="5">
        <f>(AK211-AVERAGE(AK$2:AK$229))/AVERAGE(AK$2:AK$229)*100+100</f>
        <v>52.23543848257323</v>
      </c>
      <c r="P211" s="5">
        <f>(AL211-AVERAGE(AL$2:AL$229))/AVERAGE(AL$2:AL$229)*100+100</f>
        <v>90.799191553899121</v>
      </c>
      <c r="Q211" s="5">
        <f>(AM211-AVERAGE(AM$2:AM$229))/AVERAGE(AM$2:AM$229)*100+100</f>
        <v>102.217936684946</v>
      </c>
      <c r="R211" s="5">
        <f>(AN211-AVERAGE(AN$2:AN$229))/AVERAGE(AN$2:AN$229)*100+100</f>
        <v>85.808598388977927</v>
      </c>
      <c r="S211" s="5">
        <f>(AO211-AVERAGE(AO$2:AO$229))/AVERAGE(AO$2:AO$229)*100+100</f>
        <v>92.967759359820604</v>
      </c>
      <c r="T211" s="6">
        <f>(F211*1.5+H211*2.5+I211+J211+K211*1.5+L211+O211*0.75+P211+S211)/11.25</f>
        <v>59.888501451698112</v>
      </c>
      <c r="V211">
        <f>'2025_Fantasy_Hitters_modified'!F132</f>
        <v>67.051850223346264</v>
      </c>
      <c r="W211">
        <f>'2025_Fantasy_Hitters_modified'!G132</f>
        <v>44.624964273961609</v>
      </c>
      <c r="X211">
        <f>'2025_Fantasy_Hitters_modified'!H132</f>
        <v>12.664567548391656</v>
      </c>
      <c r="Y211">
        <f>'2025_Fantasy_Hitters_modified'!I132</f>
        <v>1.0009580429830749</v>
      </c>
      <c r="Z211">
        <f>'2025_Fantasy_Hitters_modified'!J132</f>
        <v>8.5999999999999801</v>
      </c>
      <c r="AA211">
        <f>'2025_Fantasy_Hitters_modified'!K132</f>
        <v>41.538961038960721</v>
      </c>
      <c r="AB211">
        <f>'2025_Fantasy_Hitters_modified'!L132</f>
        <v>30.999999999999996</v>
      </c>
      <c r="AC211" s="2">
        <f>'2025_Fantasy_Hitters_modified'!M132</f>
        <v>43.516558453800002</v>
      </c>
      <c r="AD211">
        <f>'2025_Fantasy_Hitters_modified'!N132</f>
        <v>1.0120129870129602</v>
      </c>
      <c r="AE211">
        <f>'2025_Fantasy_Hitters_modified'!O132</f>
        <v>110.89285713299999</v>
      </c>
      <c r="AF211">
        <f>'2025_Fantasy_Hitters_modified'!P132</f>
        <v>2.9560296846010985</v>
      </c>
      <c r="AG211">
        <f>'2025_Fantasy_Hitters_modified'!Q132</f>
        <v>1.9999999999999785</v>
      </c>
      <c r="AH211">
        <f>'2025_Fantasy_Hitters_modified'!R132</f>
        <v>0.39999999999998875</v>
      </c>
      <c r="AI211">
        <f>'2025_Fantasy_Hitters_modified'!S132</f>
        <v>5.0600649350649043</v>
      </c>
      <c r="AJ211">
        <f>'2025_Fantasy_Hitters_modified'!T132</f>
        <v>1.0120129870129602</v>
      </c>
      <c r="AK211">
        <f>'2025_Fantasy_Hitters_modified'!U132</f>
        <v>4.0480519480519437</v>
      </c>
      <c r="AL211">
        <f>'2025_Fantasy_Hitters_modified'!V132</f>
        <v>0.22652652102481846</v>
      </c>
      <c r="AM211">
        <f>'2025_Fantasy_Hitters_modified'!W132</f>
        <v>0.33438510214483402</v>
      </c>
      <c r="AN211">
        <f>'2025_Fantasy_Hitters_modified'!X132</f>
        <v>0.36269247803950699</v>
      </c>
      <c r="AO211">
        <f>'2025_Fantasy_Hitters_modified'!Y132</f>
        <v>0.69707758018434096</v>
      </c>
      <c r="AP211">
        <f>'2025_Fantasy_Hitters_modified'!Z132</f>
        <v>0.32744824259999999</v>
      </c>
      <c r="AQ211">
        <f>'2025_Fantasy_Hitters_modified'!AA132</f>
        <v>32.142857139999997</v>
      </c>
      <c r="AR211">
        <f>'2025_Fantasy_Hitters_modified'!AB132</f>
        <v>12.613495203999999</v>
      </c>
    </row>
    <row r="212" spans="1:44" x14ac:dyDescent="0.4">
      <c r="A212" t="str">
        <f>'2025_Fantasy_Hitters_modified'!A58</f>
        <v>CHW</v>
      </c>
      <c r="B212" t="str">
        <f>'2025_Fantasy_Hitters_modified'!B58</f>
        <v>Lenyn Sosa</v>
      </c>
      <c r="C212">
        <f>'2025_Fantasy_Hitters_modified'!D58</f>
        <v>383</v>
      </c>
      <c r="D212">
        <f>'2025_Fantasy_Hitters_modified'!E58</f>
        <v>407</v>
      </c>
      <c r="E212" s="5">
        <f>(V212-AVERAGE(V$2:V$229))/AVERAGE(V$2:V$229)*100+100</f>
        <v>79.939488329418708</v>
      </c>
      <c r="F212" s="4">
        <f>E212*1.51744-31.775</f>
        <v>89.528377170593131</v>
      </c>
      <c r="G212" s="5">
        <f>(Z212-AVERAGE(Z$2:Z$229))/AVERAGE(Z$2:Z$229)*100+100</f>
        <v>60.308757755013787</v>
      </c>
      <c r="H212" s="4">
        <f>G212*0.83285-13.6979</f>
        <v>36.530248896263231</v>
      </c>
      <c r="I212" s="5">
        <f>(AA212-AVERAGE(AA$2:AA$229))/AVERAGE(AA$2:AA$229)*100+100</f>
        <v>62.051921046423566</v>
      </c>
      <c r="J212" s="5">
        <f>(AB212-AVERAGE(AB$2:AB$229))/AVERAGE(AB$2:AB$229)*100+100</f>
        <v>67.04506599193023</v>
      </c>
      <c r="K212" s="5">
        <f>(AC212-AVERAGE(AC$2:AC$229))/AVERAGE(AC$2:AC$229)*100+100</f>
        <v>37.375086325025144</v>
      </c>
      <c r="L212" s="5">
        <f>(AF212-AVERAGE(AF$2:AF$229))/AVERAGE(AF$2:AF$229)*100+100</f>
        <v>50.21335858229854</v>
      </c>
      <c r="M212" s="5">
        <f>(AI212-AVERAGE(AI$2:AI$229))/AVERAGE(AI$2:AI$229)*100+100</f>
        <v>28.070998335651666</v>
      </c>
      <c r="N212" s="5">
        <f>(AVERAGE(AJ$2:AJ$229)-AJ212)/AVERAGE(AJ$2:AJ$229)*100+100</f>
        <v>162.47011003467372</v>
      </c>
      <c r="O212" s="5">
        <f>(AK212-AVERAGE(AK$2:AK$229))/AVERAGE(AK$2:AK$229)*100+100</f>
        <v>24.75807865485487</v>
      </c>
      <c r="P212" s="5">
        <f>(AL212-AVERAGE(AL$2:AL$229))/AVERAGE(AL$2:AL$229)*100+100</f>
        <v>98.277862863450679</v>
      </c>
      <c r="Q212" s="5">
        <f>(AM212-AVERAGE(AM$2:AM$229))/AVERAGE(AM$2:AM$229)*100+100</f>
        <v>86.823051790021907</v>
      </c>
      <c r="R212" s="5">
        <f>(AN212-AVERAGE(AN$2:AN$229))/AVERAGE(AN$2:AN$229)*100+100</f>
        <v>91.112108230821718</v>
      </c>
      <c r="S212" s="5">
        <f>(AO212-AVERAGE(AO$2:AO$229))/AVERAGE(AO$2:AO$229)*100+100</f>
        <v>89.24085389265862</v>
      </c>
      <c r="T212" s="6">
        <f>(F212*1.5+H212*2.5+I212+J212+K212*1.5+L212+O212*0.75+P212+S212)/11.25</f>
        <v>59.295861231287859</v>
      </c>
      <c r="V212">
        <f>'2025_Fantasy_Hitters_modified'!F58</f>
        <v>93.905612826559647</v>
      </c>
      <c r="W212">
        <f>'2025_Fantasy_Hitters_modified'!G58</f>
        <v>64.526537211997024</v>
      </c>
      <c r="X212">
        <f>'2025_Fantasy_Hitters_modified'!H58</f>
        <v>17.979530492506907</v>
      </c>
      <c r="Y212">
        <f>'2025_Fantasy_Hitters_modified'!I58</f>
        <v>1.0037353066277483</v>
      </c>
      <c r="Z212">
        <f>'2025_Fantasy_Hitters_modified'!J58</f>
        <v>10.999999999999989</v>
      </c>
      <c r="AA212">
        <f>'2025_Fantasy_Hitters_modified'!K58</f>
        <v>40.918367346938503</v>
      </c>
      <c r="AB212">
        <f>'2025_Fantasy_Hitters_modified'!L58</f>
        <v>42.999999999999737</v>
      </c>
      <c r="AC212" s="2">
        <f>'2025_Fantasy_Hitters_modified'!M58</f>
        <v>17.079883382452</v>
      </c>
      <c r="AD212">
        <f>'2025_Fantasy_Hitters_modified'!N58</f>
        <v>0.61865889212826697</v>
      </c>
      <c r="AE212">
        <f>'2025_Fantasy_Hitters_modified'!O58</f>
        <v>85.434402314799996</v>
      </c>
      <c r="AF212">
        <f>'2025_Fantasy_Hitters_modified'!P58</f>
        <v>2.9422619047618723</v>
      </c>
      <c r="AG212">
        <f>'2025_Fantasy_Hitters_modified'!Q58</f>
        <v>2.5999999999999766</v>
      </c>
      <c r="AH212">
        <f>'2025_Fantasy_Hitters_modified'!R58</f>
        <v>2.2535714285714135</v>
      </c>
      <c r="AI212">
        <f>'2025_Fantasy_Hitters_modified'!S58</f>
        <v>2.937317784256531</v>
      </c>
      <c r="AJ212">
        <f>'2025_Fantasy_Hitters_modified'!T58</f>
        <v>1.0186588921282578</v>
      </c>
      <c r="AK212">
        <f>'2025_Fantasy_Hitters_modified'!U58</f>
        <v>1.9186588921282732</v>
      </c>
      <c r="AL212">
        <f>'2025_Fantasy_Hitters_modified'!V58</f>
        <v>0.24518436769336721</v>
      </c>
      <c r="AM212">
        <f>'2025_Fantasy_Hitters_modified'!W58</f>
        <v>0.28402388057211087</v>
      </c>
      <c r="AN212">
        <f>'2025_Fantasy_Hitters_modified'!X58</f>
        <v>0.38510914913027161</v>
      </c>
      <c r="AO212">
        <f>'2025_Fantasy_Hitters_modified'!Y58</f>
        <v>0.66913302970238253</v>
      </c>
      <c r="AP212">
        <f>'2025_Fantasy_Hitters_modified'!Z58</f>
        <v>0.28670634919999999</v>
      </c>
      <c r="AQ212">
        <f>'2025_Fantasy_Hitters_modified'!AA58</f>
        <v>20.99125364</v>
      </c>
      <c r="AR212">
        <f>'2025_Fantasy_Hitters_modified'!AB58</f>
        <v>4.1965315435999999</v>
      </c>
    </row>
    <row r="213" spans="1:44" x14ac:dyDescent="0.4">
      <c r="A213" t="str">
        <f>'2025_Fantasy_Hitters_modified'!A46</f>
        <v>BOS</v>
      </c>
      <c r="B213" t="str">
        <f>'2025_Fantasy_Hitters_modified'!B46</f>
        <v>Roman Anthony</v>
      </c>
      <c r="C213">
        <f>'2025_Fantasy_Hitters_modified'!D46</f>
        <v>311</v>
      </c>
      <c r="D213">
        <f>'2025_Fantasy_Hitters_modified'!E46</f>
        <v>353</v>
      </c>
      <c r="E213" s="5">
        <f>(V213-AVERAGE(V$2:V$229))/AVERAGE(V$2:V$229)*100+100</f>
        <v>62.275266435071039</v>
      </c>
      <c r="F213" s="4">
        <f>E213*1.51744-31.775</f>
        <v>62.723980299234192</v>
      </c>
      <c r="G213" s="5">
        <f>(Z213-AVERAGE(Z$2:Z$229))/AVERAGE(Z$2:Z$229)*100+100</f>
        <v>43.860914730919163</v>
      </c>
      <c r="H213" s="4">
        <f>G213*0.83285-13.6979</f>
        <v>22.831662833646025</v>
      </c>
      <c r="I213" s="5">
        <f>(AA213-AVERAGE(AA$2:AA$229))/AVERAGE(AA$2:AA$229)*100+100</f>
        <v>65.301055748221415</v>
      </c>
      <c r="J213" s="5">
        <f>(AB213-AVERAGE(AB$2:AB$229))/AVERAGE(AB$2:AB$229)*100+100</f>
        <v>57.689940504684017</v>
      </c>
      <c r="K213" s="5">
        <f>(AC213-AVERAGE(AC$2:AC$229))/AVERAGE(AC$2:AC$229)*100+100</f>
        <v>73.527621294265685</v>
      </c>
      <c r="L213" s="5">
        <f>(AF213-AVERAGE(AF$2:AF$229))/AVERAGE(AF$2:AF$229)*100+100</f>
        <v>33.981540402313897</v>
      </c>
      <c r="M213" s="5">
        <f>(AI213-AVERAGE(AI$2:AI$229))/AVERAGE(AI$2:AI$229)*100+100</f>
        <v>75.173184656654627</v>
      </c>
      <c r="N213" s="5">
        <f>(AVERAGE(AJ$2:AJ$229)-AJ213)/AVERAGE(AJ$2:AJ$229)*100+100</f>
        <v>123.16710493230971</v>
      </c>
      <c r="O213" s="5">
        <f>(AK213-AVERAGE(AK$2:AK$229))/AVERAGE(AK$2:AK$229)*100+100</f>
        <v>74.591881106469842</v>
      </c>
      <c r="P213" s="5">
        <f>(AL213-AVERAGE(AL$2:AL$229))/AVERAGE(AL$2:AL$229)*100+100</f>
        <v>94.2862404004387</v>
      </c>
      <c r="Q213" s="5">
        <f>(AM213-AVERAGE(AM$2:AM$229))/AVERAGE(AM$2:AM$229)*100+100</f>
        <v>96.511862328152446</v>
      </c>
      <c r="R213" s="5">
        <f>(AN213-AVERAGE(AN$2:AN$229))/AVERAGE(AN$2:AN$229)*100+100</f>
        <v>89.362024051003388</v>
      </c>
      <c r="S213" s="5">
        <f>(AO213-AVERAGE(AO$2:AO$229))/AVERAGE(AO$2:AO$229)*100+100</f>
        <v>92.48139682633213</v>
      </c>
      <c r="T213" s="6">
        <f>(F213*1.5+H213*2.5+I213+J213+K213*1.5+L213+O213*0.75+P213+S213)/11.25</f>
        <v>58.768057260996216</v>
      </c>
      <c r="V213">
        <f>'2025_Fantasy_Hitters_modified'!F46</f>
        <v>73.155297597401457</v>
      </c>
      <c r="W213">
        <f>'2025_Fantasy_Hitters_modified'!G46</f>
        <v>47.141774144002234</v>
      </c>
      <c r="X213">
        <f>'2025_Fantasy_Hitters_modified'!H46</f>
        <v>16.288824399350364</v>
      </c>
      <c r="Y213">
        <f>'2025_Fantasy_Hitters_modified'!I46</f>
        <v>1.9163322822765101</v>
      </c>
      <c r="Z213">
        <f>'2025_Fantasy_Hitters_modified'!J46</f>
        <v>8</v>
      </c>
      <c r="AA213">
        <f>'2025_Fantasy_Hitters_modified'!K46</f>
        <v>43.060916442048466</v>
      </c>
      <c r="AB213">
        <f>'2025_Fantasy_Hitters_modified'!L46</f>
        <v>36.999999999999687</v>
      </c>
      <c r="AC213" s="2">
        <f>'2025_Fantasy_Hitters_modified'!M46</f>
        <v>33.601078166721997</v>
      </c>
      <c r="AD213">
        <f>'2025_Fantasy_Hitters_modified'!N46</f>
        <v>0.99514824797843626</v>
      </c>
      <c r="AE213">
        <f>'2025_Fantasy_Hitters_modified'!O46</f>
        <v>93.245283020200006</v>
      </c>
      <c r="AF213">
        <f>'2025_Fantasy_Hitters_modified'!P46</f>
        <v>1.991155234657038</v>
      </c>
      <c r="AG213">
        <f>'2025_Fantasy_Hitters_modified'!Q46</f>
        <v>2</v>
      </c>
      <c r="AH213">
        <f>'2025_Fantasy_Hitters_modified'!R46</f>
        <v>0.4</v>
      </c>
      <c r="AI213">
        <f>'2025_Fantasy_Hitters_modified'!S46</f>
        <v>7.866037735849047</v>
      </c>
      <c r="AJ213">
        <f>'2025_Fantasy_Hitters_modified'!T46</f>
        <v>2.0854447439353052</v>
      </c>
      <c r="AK213">
        <f>'2025_Fantasy_Hitters_modified'!U46</f>
        <v>5.7805929919137418</v>
      </c>
      <c r="AL213">
        <f>'2025_Fantasy_Hitters_modified'!V46</f>
        <v>0.23522603729067992</v>
      </c>
      <c r="AM213">
        <f>'2025_Fantasy_Hitters_modified'!W46</f>
        <v>0.31571884533588174</v>
      </c>
      <c r="AN213">
        <f>'2025_Fantasy_Hitters_modified'!X46</f>
        <v>0.37771196073804658</v>
      </c>
      <c r="AO213">
        <f>'2025_Fantasy_Hitters_modified'!Y46</f>
        <v>0.69343080607392826</v>
      </c>
      <c r="AP213">
        <f>'2025_Fantasy_Hitters_modified'!Z46</f>
        <v>0.30769230800000003</v>
      </c>
      <c r="AQ213">
        <f>'2025_Fantasy_Hitters_modified'!AA46</f>
        <v>26.41509434</v>
      </c>
      <c r="AR213">
        <f>'2025_Fantasy_Hitters_modified'!AB46</f>
        <v>9.5187190273999995</v>
      </c>
    </row>
    <row r="214" spans="1:44" x14ac:dyDescent="0.4">
      <c r="A214" t="str">
        <f>'2025_Fantasy_Hitters_modified'!A43</f>
        <v>BOS</v>
      </c>
      <c r="B214" t="str">
        <f>'2025_Fantasy_Hitters_modified'!B43</f>
        <v>Kristian Campbell</v>
      </c>
      <c r="C214">
        <f>'2025_Fantasy_Hitters_modified'!D43</f>
        <v>252</v>
      </c>
      <c r="D214">
        <f>'2025_Fantasy_Hitters_modified'!E43</f>
        <v>285</v>
      </c>
      <c r="E214" s="5">
        <f>(V214-AVERAGE(V$2:V$229))/AVERAGE(V$2:V$229)*100+100</f>
        <v>55.475737081643345</v>
      </c>
      <c r="F214" s="4">
        <f>E214*1.51744-31.775</f>
        <v>52.406102477168879</v>
      </c>
      <c r="G214" s="5">
        <f>(Z214-AVERAGE(Z$2:Z$229))/AVERAGE(Z$2:Z$229)*100+100</f>
        <v>38.378300389554219</v>
      </c>
      <c r="H214" s="4">
        <f>G214*0.83285-13.6979</f>
        <v>18.265467479440229</v>
      </c>
      <c r="I214" s="5">
        <f>(AA214-AVERAGE(AA$2:AA$229))/AVERAGE(AA$2:AA$229)*100+100</f>
        <v>55.189071424456451</v>
      </c>
      <c r="J214" s="5">
        <f>(AB214-AVERAGE(AB$2:AB$229))/AVERAGE(AB$2:AB$229)*100+100</f>
        <v>49.894002598645628</v>
      </c>
      <c r="K214" s="5">
        <f>(AC214-AVERAGE(AC$2:AC$229))/AVERAGE(AC$2:AC$229)*100+100</f>
        <v>53.205780578033888</v>
      </c>
      <c r="L214" s="5">
        <f>(AF214-AVERAGE(AF$2:AF$229))/AVERAGE(AF$2:AF$229)*100+100</f>
        <v>71.949808001928659</v>
      </c>
      <c r="M214" s="5">
        <f>(AI214-AVERAGE(AI$2:AI$229))/AVERAGE(AI$2:AI$229)*100+100</f>
        <v>75.292965113993731</v>
      </c>
      <c r="N214" s="5">
        <f>(AVERAGE(AJ$2:AJ$229)-AJ214)/AVERAGE(AJ$2:AJ$229)*100+100</f>
        <v>125.35017736766983</v>
      </c>
      <c r="O214" s="5">
        <f>(AK214-AVERAGE(AK$2:AK$229))/AVERAGE(AK$2:AK$229)*100+100</f>
        <v>75.518221884921928</v>
      </c>
      <c r="P214" s="5">
        <f>(AL214-AVERAGE(AL$2:AL$229))/AVERAGE(AL$2:AL$229)*100+100</f>
        <v>103.65628839823425</v>
      </c>
      <c r="Q214" s="5">
        <f>(AM214-AVERAGE(AM$2:AM$229))/AVERAGE(AM$2:AM$229)*100+100</f>
        <v>103.56777597928613</v>
      </c>
      <c r="R214" s="5">
        <f>(AN214-AVERAGE(AN$2:AN$229))/AVERAGE(AN$2:AN$229)*100+100</f>
        <v>96.077644846816796</v>
      </c>
      <c r="S214" s="5">
        <f>(AO214-AVERAGE(AO$2:AO$229))/AVERAGE(AO$2:AO$229)*100+100</f>
        <v>99.345482556229086</v>
      </c>
      <c r="T214" s="6">
        <f>(F214*1.5+H214*2.5+I214+J214+K214*1.5+L214+O214*0.75+P214+S214)/11.25</f>
        <v>56.955983348852463</v>
      </c>
      <c r="V214">
        <f>'2025_Fantasy_Hitters_modified'!F43</f>
        <v>65.167831274942799</v>
      </c>
      <c r="W214">
        <f>'2025_Fantasy_Hitters_modified'!G43</f>
        <v>43.970936862075384</v>
      </c>
      <c r="X214">
        <f>'2025_Fantasy_Hitters_modified'!H43</f>
        <v>12.816640789394151</v>
      </c>
      <c r="Y214">
        <f>'2025_Fantasy_Hitters_modified'!I43</f>
        <v>1.5774327125408154</v>
      </c>
      <c r="Z214">
        <f>'2025_Fantasy_Hitters_modified'!J43</f>
        <v>6.9999999999999911</v>
      </c>
      <c r="AA214">
        <f>'2025_Fantasy_Hitters_modified'!K43</f>
        <v>36.392857142857018</v>
      </c>
      <c r="AB214">
        <f>'2025_Fantasy_Hitters_modified'!L43</f>
        <v>31.999999999999723</v>
      </c>
      <c r="AC214" s="2">
        <f>'2025_Fantasy_Hitters_modified'!M43</f>
        <v>24.314285715420002</v>
      </c>
      <c r="AD214">
        <f>'2025_Fantasy_Hitters_modified'!N43</f>
        <v>0.89999999999998148</v>
      </c>
      <c r="AE214">
        <f>'2025_Fantasy_Hitters_modified'!O43</f>
        <v>65.595238107</v>
      </c>
      <c r="AF214">
        <f>'2025_Fantasy_Hitters_modified'!P43</f>
        <v>4.2159135559921195</v>
      </c>
      <c r="AG214">
        <f>'2025_Fantasy_Hitters_modified'!Q43</f>
        <v>1.9999999999999907</v>
      </c>
      <c r="AH214">
        <f>'2025_Fantasy_Hitters_modified'!R43</f>
        <v>0</v>
      </c>
      <c r="AI214">
        <f>'2025_Fantasy_Hitters_modified'!S43</f>
        <v>7.8785714285713935</v>
      </c>
      <c r="AJ214">
        <f>'2025_Fantasy_Hitters_modified'!T43</f>
        <v>2.0261904761904694</v>
      </c>
      <c r="AK214">
        <f>'2025_Fantasy_Hitters_modified'!U43</f>
        <v>5.8523809523809245</v>
      </c>
      <c r="AL214">
        <f>'2025_Fantasy_Hitters_modified'!V43</f>
        <v>0.25860250505929683</v>
      </c>
      <c r="AM214">
        <f>'2025_Fantasy_Hitters_modified'!W43</f>
        <v>0.33880082569546904</v>
      </c>
      <c r="AN214">
        <f>'2025_Fantasy_Hitters_modified'!X43</f>
        <v>0.4060972880098655</v>
      </c>
      <c r="AO214">
        <f>'2025_Fantasy_Hitters_modified'!Y43</f>
        <v>0.74489811370533454</v>
      </c>
      <c r="AP214">
        <f>'2025_Fantasy_Hitters_modified'!Z43</f>
        <v>0.32065217400000001</v>
      </c>
      <c r="AQ214">
        <f>'2025_Fantasy_Hitters_modified'!AA43</f>
        <v>23.015873020000001</v>
      </c>
      <c r="AR214">
        <f>'2025_Fantasy_Hitters_modified'!AB43</f>
        <v>8.5313283212000002</v>
      </c>
    </row>
    <row r="215" spans="1:44" x14ac:dyDescent="0.4">
      <c r="A215" t="str">
        <f>'2025_Fantasy_Hitters_modified'!A87</f>
        <v>HOU</v>
      </c>
      <c r="B215" t="str">
        <f>'2025_Fantasy_Hitters_modified'!B87</f>
        <v>Brendan Rodgers</v>
      </c>
      <c r="C215">
        <f>'2025_Fantasy_Hitters_modified'!D87</f>
        <v>326</v>
      </c>
      <c r="D215">
        <f>'2025_Fantasy_Hitters_modified'!E87</f>
        <v>353</v>
      </c>
      <c r="E215" s="5">
        <f>(V215-AVERAGE(V$2:V$229))/AVERAGE(V$2:V$229)*100+100</f>
        <v>68.256007043088147</v>
      </c>
      <c r="F215" s="4">
        <f>E215*1.51744-31.775</f>
        <v>71.799395327463685</v>
      </c>
      <c r="G215" s="5">
        <f>(Z215-AVERAGE(Z$2:Z$229))/AVERAGE(Z$2:Z$229)*100+100</f>
        <v>49.343529072283879</v>
      </c>
      <c r="H215" s="4">
        <f>G215*0.83285-13.6979</f>
        <v>27.397858187851629</v>
      </c>
      <c r="I215" s="5">
        <f>(AA215-AVERAGE(AA$2:AA$229))/AVERAGE(AA$2:AA$229)*100+100</f>
        <v>58.291087190732675</v>
      </c>
      <c r="J215" s="5">
        <f>(AB215-AVERAGE(AB$2:AB$229))/AVERAGE(AB$2:AB$229)*100+100</f>
        <v>59.249128085891876</v>
      </c>
      <c r="K215" s="5">
        <f>(AC215-AVERAGE(AC$2:AC$229))/AVERAGE(AC$2:AC$229)*100+100</f>
        <v>48.155217168339348</v>
      </c>
      <c r="L215" s="5">
        <f>(AF215-AVERAGE(AF$2:AF$229))/AVERAGE(AF$2:AF$229)*100+100</f>
        <v>67.450836474895738</v>
      </c>
      <c r="M215" s="5">
        <f>(AI215-AVERAGE(AI$2:AI$229))/AVERAGE(AI$2:AI$229)*100+100</f>
        <v>10.107039571342455</v>
      </c>
      <c r="N215" s="5">
        <f>(AVERAGE(AJ$2:AJ$229)-AJ215)/AVERAGE(AJ$2:AJ$229)*100+100</f>
        <v>200</v>
      </c>
      <c r="O215" s="5">
        <f>(AK215-AVERAGE(AK$2:AK$229))/AVERAGE(AK$2:AK$229)*100+100</f>
        <v>13.64696915521111</v>
      </c>
      <c r="P215" s="5">
        <f>(AL215-AVERAGE(AL$2:AL$229))/AVERAGE(AL$2:AL$229)*100+100</f>
        <v>98.586260172935738</v>
      </c>
      <c r="Q215" s="5">
        <f>(AM215-AVERAGE(AM$2:AM$229))/AVERAGE(AM$2:AM$229)*100+100</f>
        <v>92.700336299498503</v>
      </c>
      <c r="R215" s="5">
        <f>(AN215-AVERAGE(AN$2:AN$229))/AVERAGE(AN$2:AN$229)*100+100</f>
        <v>90.224966715383971</v>
      </c>
      <c r="S215" s="5">
        <f>(AO215-AVERAGE(AO$2:AO$229))/AVERAGE(AO$2:AO$229)*100+100</f>
        <v>91.304935267154136</v>
      </c>
      <c r="T215" s="6">
        <f>(F215*1.5+H215*2.5+I215+J215+K215*1.5+L215+O215*0.75+P215+S215)/11.25</f>
        <v>56.315025624120182</v>
      </c>
      <c r="V215">
        <f>'2025_Fantasy_Hitters_modified'!F87</f>
        <v>80.180925652939706</v>
      </c>
      <c r="W215">
        <f>'2025_Fantasy_Hitters_modified'!G87</f>
        <v>55.229269074690933</v>
      </c>
      <c r="X215">
        <f>'2025_Fantasy_Hitters_modified'!H87</f>
        <v>15.038223729494252</v>
      </c>
      <c r="Y215">
        <f>'2025_Fantasy_Hitters_modified'!I87</f>
        <v>1.0058174277045764</v>
      </c>
      <c r="Z215">
        <f>'2025_Fantasy_Hitters_modified'!J87</f>
        <v>8.9999999999999662</v>
      </c>
      <c r="AA215">
        <f>'2025_Fantasy_Hitters_modified'!K87</f>
        <v>38.438392857142553</v>
      </c>
      <c r="AB215">
        <f>'2025_Fantasy_Hitters_modified'!L87</f>
        <v>37.999999999999794</v>
      </c>
      <c r="AC215" s="2">
        <f>'2025_Fantasy_Hitters_modified'!M87</f>
        <v>22.006250001386</v>
      </c>
      <c r="AD215">
        <f>'2025_Fantasy_Hitters_modified'!N87</f>
        <v>0</v>
      </c>
      <c r="AE215">
        <f>'2025_Fantasy_Hitters_modified'!O87</f>
        <v>80.370535704199995</v>
      </c>
      <c r="AF215">
        <f>'2025_Fantasy_Hitters_modified'!P87</f>
        <v>3.9522954091816063</v>
      </c>
      <c r="AG215">
        <f>'2025_Fantasy_Hitters_modified'!Q87</f>
        <v>2</v>
      </c>
      <c r="AH215">
        <f>'2025_Fantasy_Hitters_modified'!R87</f>
        <v>0.8227544910179565</v>
      </c>
      <c r="AI215">
        <f>'2025_Fantasy_Hitters_modified'!S87</f>
        <v>1.0575892857142852</v>
      </c>
      <c r="AJ215">
        <f>'2025_Fantasy_Hitters_modified'!T87</f>
        <v>0</v>
      </c>
      <c r="AK215">
        <f>'2025_Fantasy_Hitters_modified'!U87</f>
        <v>1.0575892857142852</v>
      </c>
      <c r="AL215">
        <f>'2025_Fantasy_Hitters_modified'!V87</f>
        <v>0.24595375967159419</v>
      </c>
      <c r="AM215">
        <f>'2025_Fantasy_Hitters_modified'!W87</f>
        <v>0.30325021642638383</v>
      </c>
      <c r="AN215">
        <f>'2025_Fantasy_Hitters_modified'!X87</f>
        <v>0.38135941354844483</v>
      </c>
      <c r="AO215">
        <f>'2025_Fantasy_Hitters_modified'!Y87</f>
        <v>0.68460962997482866</v>
      </c>
      <c r="AP215">
        <f>'2025_Fantasy_Hitters_modified'!Z87</f>
        <v>0.29829059819999998</v>
      </c>
      <c r="AQ215">
        <f>'2025_Fantasy_Hitters_modified'!AA87</f>
        <v>22.76785714</v>
      </c>
      <c r="AR215">
        <f>'2025_Fantasy_Hitters_modified'!AB87</f>
        <v>6.2340651561999998</v>
      </c>
    </row>
    <row r="216" spans="1:44" x14ac:dyDescent="0.4">
      <c r="A216" t="str">
        <f>'2025_Fantasy_Hitters_modified'!A11</f>
        <v>ARI</v>
      </c>
      <c r="B216" t="str">
        <f>'2025_Fantasy_Hitters_modified'!B11</f>
        <v>Pavin Smith</v>
      </c>
      <c r="C216">
        <f>'2025_Fantasy_Hitters_modified'!D11</f>
        <v>263</v>
      </c>
      <c r="D216">
        <f>'2025_Fantasy_Hitters_modified'!E11</f>
        <v>300</v>
      </c>
      <c r="E216" s="5">
        <f>(V216-AVERAGE(V$2:V$229))/AVERAGE(V$2:V$229)*100+100</f>
        <v>53.535101537973532</v>
      </c>
      <c r="F216" s="4">
        <f>E216*1.51744-31.775</f>
        <v>49.461304477782555</v>
      </c>
      <c r="G216" s="5">
        <f>(Z216-AVERAGE(Z$2:Z$229))/AVERAGE(Z$2:Z$229)*100+100</f>
        <v>54.826143413648893</v>
      </c>
      <c r="H216" s="4">
        <f>G216*0.83285-13.6979</f>
        <v>31.964053542057481</v>
      </c>
      <c r="I216" s="5">
        <f>(AA216-AVERAGE(AA$2:AA$229))/AVERAGE(AA$2:AA$229)*100+100</f>
        <v>53.2068142957662</v>
      </c>
      <c r="J216" s="5">
        <f>(AB216-AVERAGE(AB$2:AB$229))/AVERAGE(AB$2:AB$229)*100+100</f>
        <v>60.808315667099883</v>
      </c>
      <c r="K216" s="5">
        <f>(AC216-AVERAGE(AC$2:AC$229))/AVERAGE(AC$2:AC$229)*100+100</f>
        <v>66.397813125311188</v>
      </c>
      <c r="L216" s="5">
        <f>(AF216-AVERAGE(AF$2:AF$229))/AVERAGE(AF$2:AF$229)*100+100</f>
        <v>33.020305151592552</v>
      </c>
      <c r="M216" s="5">
        <f>(AI216-AVERAGE(AI$2:AI$229))/AVERAGE(AI$2:AI$229)*100+100</f>
        <v>18.840306773764439</v>
      </c>
      <c r="N216" s="5">
        <f>(AVERAGE(AJ$2:AJ$229)-AJ216)/AVERAGE(AJ$2:AJ$229)*100+100</f>
        <v>196.84207565832685</v>
      </c>
      <c r="O216" s="5">
        <f>(AK216-AVERAGE(AK$2:AK$229))/AVERAGE(AK$2:AK$229)*100+100</f>
        <v>24.33296653086164</v>
      </c>
      <c r="P216" s="5">
        <f>(AL216-AVERAGE(AL$2:AL$229))/AVERAGE(AL$2:AL$229)*100+100</f>
        <v>95.846442040750134</v>
      </c>
      <c r="Q216" s="5">
        <f>(AM216-AVERAGE(AM$2:AM$229))/AVERAGE(AM$2:AM$229)*100+100</f>
        <v>99.188875033446152</v>
      </c>
      <c r="R216" s="5">
        <f>(AN216-AVERAGE(AN$2:AN$229))/AVERAGE(AN$2:AN$229)*100+100</f>
        <v>96.712288277297716</v>
      </c>
      <c r="S216" s="5">
        <f>(AO216-AVERAGE(AO$2:AO$229))/AVERAGE(AO$2:AO$229)*100+100</f>
        <v>97.792787863919045</v>
      </c>
      <c r="T216" s="6">
        <f>(F216*1.5+H216*2.5+I216+J216+K216*1.5+L216+O216*0.75+P216+S216)/11.25</f>
        <v>54.455395571294076</v>
      </c>
      <c r="V216">
        <f>'2025_Fantasy_Hitters_modified'!F11</f>
        <v>62.888149808252052</v>
      </c>
      <c r="W216">
        <f>'2025_Fantasy_Hitters_modified'!G11</f>
        <v>39.072922415991627</v>
      </c>
      <c r="X216">
        <f>'2025_Fantasy_Hitters_modified'!H11</f>
        <v>12.732332361245829</v>
      </c>
      <c r="Y216">
        <f>'2025_Fantasy_Hitters_modified'!I11</f>
        <v>0.99049784406788588</v>
      </c>
      <c r="Z216">
        <f>'2025_Fantasy_Hitters_modified'!J11</f>
        <v>9.9999999999999893</v>
      </c>
      <c r="AA216">
        <f>'2025_Fantasy_Hitters_modified'!K11</f>
        <v>35.085714285713998</v>
      </c>
      <c r="AB216">
        <f>'2025_Fantasy_Hitters_modified'!L11</f>
        <v>39</v>
      </c>
      <c r="AC216" s="2">
        <f>'2025_Fantasy_Hitters_modified'!M11</f>
        <v>30.342857141999996</v>
      </c>
      <c r="AD216">
        <f>'2025_Fantasy_Hitters_modified'!N11</f>
        <v>0.985714285714275</v>
      </c>
      <c r="AE216">
        <f>'2025_Fantasy_Hitters_modified'!O11</f>
        <v>63.428571420000004</v>
      </c>
      <c r="AF216">
        <f>'2025_Fantasy_Hitters_modified'!P11</f>
        <v>1.9348314606741388</v>
      </c>
      <c r="AG216">
        <f>'2025_Fantasy_Hitters_modified'!Q11</f>
        <v>1.99999999999998</v>
      </c>
      <c r="AH216">
        <f>'2025_Fantasy_Hitters_modified'!R11</f>
        <v>0</v>
      </c>
      <c r="AI216">
        <f>'2025_Fantasy_Hitters_modified'!S11</f>
        <v>1.9714285714285531</v>
      </c>
      <c r="AJ216">
        <f>'2025_Fantasy_Hitters_modified'!T11</f>
        <v>8.5714285714283994E-2</v>
      </c>
      <c r="AK216">
        <f>'2025_Fantasy_Hitters_modified'!U11</f>
        <v>1.885714285714269</v>
      </c>
      <c r="AL216">
        <f>'2025_Fantasy_Hitters_modified'!V11</f>
        <v>0.23911844033555912</v>
      </c>
      <c r="AM216">
        <f>'2025_Fantasy_Hitters_modified'!W11</f>
        <v>0.32447614562909421</v>
      </c>
      <c r="AN216">
        <f>'2025_Fantasy_Hitters_modified'!X11</f>
        <v>0.40877977441325819</v>
      </c>
      <c r="AO216">
        <f>'2025_Fantasy_Hitters_modified'!Y11</f>
        <v>0.7332559200423524</v>
      </c>
      <c r="AP216">
        <f>'2025_Fantasy_Hitters_modified'!Z11</f>
        <v>0.27607535319999998</v>
      </c>
      <c r="AQ216">
        <f>'2025_Fantasy_Hitters_modified'!AA11</f>
        <v>21.14285714</v>
      </c>
      <c r="AR216">
        <f>'2025_Fantasy_Hitters_modified'!AB11</f>
        <v>10.114285713999999</v>
      </c>
    </row>
    <row r="217" spans="1:44" x14ac:dyDescent="0.4">
      <c r="A217" t="str">
        <f>'2025_Fantasy_Hitters_modified'!A82</f>
        <v>DET</v>
      </c>
      <c r="B217" t="str">
        <f>'2025_Fantasy_Hitters_modified'!B82</f>
        <v>Jace Jung</v>
      </c>
      <c r="C217">
        <f>'2025_Fantasy_Hitters_modified'!D82</f>
        <v>309</v>
      </c>
      <c r="D217">
        <f>'2025_Fantasy_Hitters_modified'!E82</f>
        <v>354</v>
      </c>
      <c r="E217" s="5">
        <f>(V217-AVERAGE(V$2:V$229))/AVERAGE(V$2:V$229)*100+100</f>
        <v>57.268266374999129</v>
      </c>
      <c r="F217" s="4">
        <f>E217*1.51744-31.775</f>
        <v>55.126158128078679</v>
      </c>
      <c r="G217" s="5">
        <f>(Z217-AVERAGE(Z$2:Z$229))/AVERAGE(Z$2:Z$229)*100+100</f>
        <v>43.860914730919006</v>
      </c>
      <c r="H217" s="4">
        <f>G217*0.83285-13.6979</f>
        <v>22.83166283364589</v>
      </c>
      <c r="I217" s="5">
        <f>(AA217-AVERAGE(AA$2:AA$229))/AVERAGE(AA$2:AA$229)*100+100</f>
        <v>55.887952462396775</v>
      </c>
      <c r="J217" s="5">
        <f>(AB217-AVERAGE(AB$2:AB$229))/AVERAGE(AB$2:AB$229)*100+100</f>
        <v>56.130752923476663</v>
      </c>
      <c r="K217" s="5">
        <f>(AC217-AVERAGE(AC$2:AC$229))/AVERAGE(AC$2:AC$229)*100+100</f>
        <v>82.164480270358069</v>
      </c>
      <c r="L217" s="5">
        <f>(AF217-AVERAGE(AF$2:AF$229))/AVERAGE(AF$2:AF$229)*100+100</f>
        <v>50.647062238222581</v>
      </c>
      <c r="M217" s="5">
        <f>(AI217-AVERAGE(AI$2:AI$229))/AVERAGE(AI$2:AI$229)*100+100</f>
        <v>19.135198531962374</v>
      </c>
      <c r="N217" s="5">
        <f>(AVERAGE(AJ$2:AJ$229)-AJ217)/AVERAGE(AJ$2:AJ$229)*100+100</f>
        <v>163.11544368925763</v>
      </c>
      <c r="O217" s="5">
        <f>(AK217-AVERAGE(AK$2:AK$229))/AVERAGE(AK$2:AK$229)*100+100</f>
        <v>12.918593140021031</v>
      </c>
      <c r="P217" s="5">
        <f>(AL217-AVERAGE(AL$2:AL$229))/AVERAGE(AL$2:AL$229)*100+100</f>
        <v>87.266723546133363</v>
      </c>
      <c r="Q217" s="5">
        <f>(AM217-AVERAGE(AM$2:AM$229))/AVERAGE(AM$2:AM$229)*100+100</f>
        <v>95.139818302380547</v>
      </c>
      <c r="R217" s="5">
        <f>(AN217-AVERAGE(AN$2:AN$229))/AVERAGE(AN$2:AN$229)*100+100</f>
        <v>81.942724560930458</v>
      </c>
      <c r="S217" s="5">
        <f>(AO217-AVERAGE(AO$2:AO$229))/AVERAGE(AO$2:AO$229)*100+100</f>
        <v>87.700428908189622</v>
      </c>
      <c r="T217" s="6">
        <f>(F217*1.5+H217*2.5+I217+J217+K217*1.5+L217+O217*0.75+P217+S217)/11.25</f>
        <v>54.252175965795971</v>
      </c>
      <c r="V217">
        <f>'2025_Fantasy_Hitters_modified'!F82</f>
        <v>67.273531040101147</v>
      </c>
      <c r="W217">
        <f>'2025_Fantasy_Hitters_modified'!G82</f>
        <v>43.909295988576616</v>
      </c>
      <c r="X217">
        <f>'2025_Fantasy_Hitters_modified'!H82</f>
        <v>14.064905670532461</v>
      </c>
      <c r="Y217">
        <f>'2025_Fantasy_Hitters_modified'!I82</f>
        <v>0.99458975813050199</v>
      </c>
      <c r="Z217">
        <f>'2025_Fantasy_Hitters_modified'!J82</f>
        <v>7.9999999999999734</v>
      </c>
      <c r="AA217">
        <f>'2025_Fantasy_Hitters_modified'!K82</f>
        <v>36.853714285714162</v>
      </c>
      <c r="AB217">
        <f>'2025_Fantasy_Hitters_modified'!L82</f>
        <v>35.999999999999901</v>
      </c>
      <c r="AC217" s="2">
        <f>'2025_Fantasy_Hitters_modified'!M82</f>
        <v>37.547999996400002</v>
      </c>
      <c r="AD217">
        <f>'2025_Fantasy_Hitters_modified'!N82</f>
        <v>1.0011428571428402</v>
      </c>
      <c r="AE217">
        <f>'2025_Fantasy_Hitters_modified'!O82</f>
        <v>90.017142862200004</v>
      </c>
      <c r="AF217">
        <f>'2025_Fantasy_Hitters_modified'!P82</f>
        <v>2.9676748582230474</v>
      </c>
      <c r="AG217">
        <f>'2025_Fantasy_Hitters_modified'!Q82</f>
        <v>1.9999999999999669</v>
      </c>
      <c r="AH217">
        <f>'2025_Fantasy_Hitters_modified'!R82</f>
        <v>0</v>
      </c>
      <c r="AI217">
        <f>'2025_Fantasy_Hitters_modified'!S82</f>
        <v>2.002285714285684</v>
      </c>
      <c r="AJ217">
        <f>'2025_Fantasy_Hitters_modified'!T82</f>
        <v>1.0011428571428402</v>
      </c>
      <c r="AK217">
        <f>'2025_Fantasy_Hitters_modified'!U82</f>
        <v>1.0011428571428438</v>
      </c>
      <c r="AL217">
        <f>'2025_Fantasy_Hitters_modified'!V82</f>
        <v>0.21771369268641147</v>
      </c>
      <c r="AM217">
        <f>'2025_Fantasy_Hitters_modified'!W82</f>
        <v>0.31123048354162031</v>
      </c>
      <c r="AN217">
        <f>'2025_Fantasy_Hitters_modified'!X82</f>
        <v>0.34635235146936227</v>
      </c>
      <c r="AO217">
        <f>'2025_Fantasy_Hitters_modified'!Y82</f>
        <v>0.65758283501098258</v>
      </c>
      <c r="AP217">
        <f>'2025_Fantasy_Hitters_modified'!Z82</f>
        <v>0.27830188700000003</v>
      </c>
      <c r="AQ217">
        <f>'2025_Fantasy_Hitters_modified'!AA82</f>
        <v>25.428571430000002</v>
      </c>
      <c r="AR217">
        <f>'2025_Fantasy_Hitters_modified'!AB82</f>
        <v>10.606779660000001</v>
      </c>
    </row>
    <row r="218" spans="1:44" x14ac:dyDescent="0.4">
      <c r="A218" t="str">
        <f>'2025_Fantasy_Hitters_modified'!A7</f>
        <v>ARI</v>
      </c>
      <c r="B218" t="str">
        <f>'2025_Fantasy_Hitters_modified'!B7</f>
        <v>Jordan Lawlar</v>
      </c>
      <c r="C218">
        <f>'2025_Fantasy_Hitters_modified'!D7</f>
        <v>235</v>
      </c>
      <c r="D218">
        <f>'2025_Fantasy_Hitters_modified'!E7</f>
        <v>262</v>
      </c>
      <c r="E218" s="5">
        <f>(V218-AVERAGE(V$2:V$229))/AVERAGE(V$2:V$229)*100+100</f>
        <v>50.029243258849192</v>
      </c>
      <c r="F218" s="4">
        <f>E218*1.51744-31.775</f>
        <v>44.141374890708114</v>
      </c>
      <c r="G218" s="5">
        <f>(Z218-AVERAGE(Z$2:Z$229))/AVERAGE(Z$2:Z$229)*100+100</f>
        <v>32.895686048189333</v>
      </c>
      <c r="H218" s="4">
        <f>G218*0.83285-13.6979</f>
        <v>13.699272125234483</v>
      </c>
      <c r="I218" s="5">
        <f>(AA218-AVERAGE(AA$2:AA$229))/AVERAGE(AA$2:AA$229)*100+100</f>
        <v>48.550808185193915</v>
      </c>
      <c r="J218" s="5">
        <f>(AB218-AVERAGE(AB$2:AB$229))/AVERAGE(AB$2:AB$229)*100+100</f>
        <v>42.098064692607281</v>
      </c>
      <c r="K218" s="5">
        <f>(AC218-AVERAGE(AC$2:AC$229))/AVERAGE(AC$2:AC$229)*100+100</f>
        <v>42.067663172908809</v>
      </c>
      <c r="L218" s="5">
        <f>(AF218-AVERAGE(AF$2:AF$229))/AVERAGE(AF$2:AF$229)*100+100</f>
        <v>54.977078461450262</v>
      </c>
      <c r="M218" s="5">
        <f>(AI218-AVERAGE(AI$2:AI$229))/AVERAGE(AI$2:AI$229)*100+100</f>
        <v>102.34500371796071</v>
      </c>
      <c r="N218" s="5">
        <f>(AVERAGE(AJ$2:AJ$229)-AJ218)/AVERAGE(AJ$2:AJ$229)*100+100</f>
        <v>126.22974938776062</v>
      </c>
      <c r="O218" s="5">
        <f>(AK218-AVERAGE(AK$2:AK$229))/AVERAGE(AK$2:AK$229)*100+100</f>
        <v>112.35313845975929</v>
      </c>
      <c r="P218" s="5">
        <f>(AL218-AVERAGE(AL$2:AL$229))/AVERAGE(AL$2:AL$229)*100+100</f>
        <v>100.24187586253286</v>
      </c>
      <c r="Q218" s="5">
        <f>(AM218-AVERAGE(AM$2:AM$229))/AVERAGE(AM$2:AM$229)*100+100</f>
        <v>96.894423334603388</v>
      </c>
      <c r="R218" s="5">
        <f>(AN218-AVERAGE(AN$2:AN$229))/AVERAGE(AN$2:AN$229)*100+100</f>
        <v>91.055825322832007</v>
      </c>
      <c r="S218" s="5">
        <f>(AO218-AVERAGE(AO$2:AO$229))/AVERAGE(AO$2:AO$229)*100+100</f>
        <v>93.603122615166058</v>
      </c>
      <c r="T218" s="6">
        <f>(F218*1.5+H218*2.5+I218+J218+K218*1.5+L218+O218*0.75+P218+S218)/11.25</f>
        <v>52.204225872913916</v>
      </c>
      <c r="V218">
        <f>'2025_Fantasy_Hitters_modified'!F7</f>
        <v>58.76978756870939</v>
      </c>
      <c r="W218">
        <f>'2025_Fantasy_Hitters_modified'!G7</f>
        <v>40.324082953447729</v>
      </c>
      <c r="X218">
        <f>'2025_Fantasy_Hitters_modified'!H7</f>
        <v>10.952220061430213</v>
      </c>
      <c r="Y218">
        <f>'2025_Fantasy_Hitters_modified'!I7</f>
        <v>1.4054072596310823</v>
      </c>
      <c r="Z218">
        <f>'2025_Fantasy_Hitters_modified'!J7</f>
        <v>5.9999999999999938</v>
      </c>
      <c r="AA218">
        <f>'2025_Fantasy_Hitters_modified'!K7</f>
        <v>32.015444015443812</v>
      </c>
      <c r="AB218">
        <f>'2025_Fantasy_Hitters_modified'!L7</f>
        <v>26.999999999999787</v>
      </c>
      <c r="AC218" s="2">
        <f>'2025_Fantasy_Hitters_modified'!M7</f>
        <v>19.224324324422003</v>
      </c>
      <c r="AD218">
        <f>'2025_Fantasy_Hitters_modified'!N7</f>
        <v>0</v>
      </c>
      <c r="AE218">
        <f>'2025_Fantasy_Hitters_modified'!O7</f>
        <v>63.729729718399994</v>
      </c>
      <c r="AF218">
        <f>'2025_Fantasy_Hitters_modified'!P7</f>
        <v>3.2213930348258546</v>
      </c>
      <c r="AG218">
        <f>'2025_Fantasy_Hitters_modified'!Q7</f>
        <v>1.9999999999999891</v>
      </c>
      <c r="AH218">
        <f>'2025_Fantasy_Hitters_modified'!R7</f>
        <v>0.79104477611939139</v>
      </c>
      <c r="AI218">
        <f>'2025_Fantasy_Hitters_modified'!S7</f>
        <v>10.709266409266377</v>
      </c>
      <c r="AJ218">
        <f>'2025_Fantasy_Hitters_modified'!T7</f>
        <v>2.0023166023165917</v>
      </c>
      <c r="AK218">
        <f>'2025_Fantasy_Hitters_modified'!U7</f>
        <v>8.706949806949785</v>
      </c>
      <c r="AL218">
        <f>'2025_Fantasy_Hitters_modified'!V7</f>
        <v>0.25008420242003998</v>
      </c>
      <c r="AM218">
        <f>'2025_Fantasy_Hitters_modified'!W7</f>
        <v>0.31697031553149924</v>
      </c>
      <c r="AN218">
        <f>'2025_Fantasy_Hitters_modified'!X7</f>
        <v>0.3848712547029845</v>
      </c>
      <c r="AO218">
        <f>'2025_Fantasy_Hitters_modified'!Y7</f>
        <v>0.70184157023448379</v>
      </c>
      <c r="AP218">
        <f>'2025_Fantasy_Hitters_modified'!Z7</f>
        <v>0.31547618999999999</v>
      </c>
      <c r="AQ218">
        <f>'2025_Fantasy_Hitters_modified'!AA7</f>
        <v>24.324324319999999</v>
      </c>
      <c r="AR218">
        <f>'2025_Fantasy_Hitters_modified'!AB7</f>
        <v>7.3375283681000001</v>
      </c>
    </row>
    <row r="219" spans="1:44" x14ac:dyDescent="0.4">
      <c r="A219" t="str">
        <f>'2025_Fantasy_Hitters_modified'!A2</f>
        <v>ARI</v>
      </c>
      <c r="B219" t="str">
        <f>'2025_Fantasy_Hitters_modified'!B2</f>
        <v>Alek Thomas</v>
      </c>
      <c r="C219">
        <f>'2025_Fantasy_Hitters_modified'!D2</f>
        <v>278</v>
      </c>
      <c r="D219">
        <f>'2025_Fantasy_Hitters_modified'!E2</f>
        <v>303</v>
      </c>
      <c r="E219" s="5">
        <f>(V219-AVERAGE(V$2:V$229))/AVERAGE(V$2:V$229)*100+100</f>
        <v>60.50256925253386</v>
      </c>
      <c r="F219" s="4">
        <f>E219*1.51744-31.775</f>
        <v>60.03401868656497</v>
      </c>
      <c r="G219" s="5">
        <f>(Z219-AVERAGE(Z$2:Z$229))/AVERAGE(Z$2:Z$229)*100+100</f>
        <v>36.18525465300818</v>
      </c>
      <c r="H219" s="4">
        <f>G219*0.83285-13.6979</f>
        <v>16.43898933775786</v>
      </c>
      <c r="I219" s="5">
        <f>(AA219-AVERAGE(AA$2:AA$229))/AVERAGE(AA$2:AA$229)*100+100</f>
        <v>55.566525177838543</v>
      </c>
      <c r="J219" s="5">
        <f>(AB219-AVERAGE(AB$2:AB$229))/AVERAGE(AB$2:AB$229)*100+100</f>
        <v>53.012377761061344</v>
      </c>
      <c r="K219" s="5">
        <f>(AC219-AVERAGE(AC$2:AC$229))/AVERAGE(AC$2:AC$229)*100+100</f>
        <v>43.760227556135476</v>
      </c>
      <c r="L219" s="5">
        <f>(AF219-AVERAGE(AF$2:AF$229))/AVERAGE(AF$2:AF$229)*100+100</f>
        <v>34.182009904837841</v>
      </c>
      <c r="M219" s="5">
        <f>(AI219-AVERAGE(AI$2:AI$229))/AVERAGE(AI$2:AI$229)*100+100</f>
        <v>66.57118430261616</v>
      </c>
      <c r="N219" s="5">
        <f>(AVERAGE(AJ$2:AJ$229)-AJ219)/AVERAGE(AJ$2:AJ$229)*100+100</f>
        <v>125.50537450411937</v>
      </c>
      <c r="O219" s="5">
        <f>(AK219-AVERAGE(AK$2:AK$229))/AVERAGE(AK$2:AK$229)*100+100</f>
        <v>63.79604686616954</v>
      </c>
      <c r="P219" s="5">
        <f>(AL219-AVERAGE(AL$2:AL$229))/AVERAGE(AL$2:AL$229)*100+100</f>
        <v>102.47599295366521</v>
      </c>
      <c r="Q219" s="5">
        <f>(AM219-AVERAGE(AM$2:AM$229))/AVERAGE(AM$2:AM$229)*100+100</f>
        <v>95.470024344409808</v>
      </c>
      <c r="R219" s="5">
        <f>(AN219-AVERAGE(AN$2:AN$229))/AVERAGE(AN$2:AN$229)*100+100</f>
        <v>93.569327483146097</v>
      </c>
      <c r="S219" s="5">
        <f>(AO219-AVERAGE(AO$2:AO$229))/AVERAGE(AO$2:AO$229)*100+100</f>
        <v>94.398574497323708</v>
      </c>
      <c r="T219" s="6">
        <f>(F219*1.5+H219*2.5+I219+J219+K219*1.5+L219+O219*0.75+P219+S219)/11.25</f>
        <v>51.935231835804373</v>
      </c>
      <c r="V219">
        <f>'2025_Fantasy_Hitters_modified'!F2</f>
        <v>71.072894785463419</v>
      </c>
      <c r="W219">
        <f>'2025_Fantasy_Hitters_modified'!G2</f>
        <v>47.126306460624512</v>
      </c>
      <c r="X219">
        <f>'2025_Fantasy_Hitters_modified'!H2</f>
        <v>15.110834715342992</v>
      </c>
      <c r="Y219">
        <f>'2025_Fantasy_Hitters_modified'!I2</f>
        <v>2.0665659055657941</v>
      </c>
      <c r="Z219">
        <f>'2025_Fantasy_Hitters_modified'!J2</f>
        <v>6.5999999999999757</v>
      </c>
      <c r="AA219">
        <f>'2025_Fantasy_Hitters_modified'!K2</f>
        <v>36.641758241757962</v>
      </c>
      <c r="AB219">
        <f>'2025_Fantasy_Hitters_modified'!L2</f>
        <v>33.999999999999936</v>
      </c>
      <c r="AC219">
        <f>'2025_Fantasy_Hitters_modified'!M2</f>
        <v>19.99780219766097</v>
      </c>
      <c r="AD219">
        <f>'2025_Fantasy_Hitters_modified'!N2</f>
        <v>0.89999999999999991</v>
      </c>
      <c r="AE219">
        <f>'2025_Fantasy_Hitters_modified'!O2</f>
        <v>56.604395600400004</v>
      </c>
      <c r="AF219">
        <f>'2025_Fantasy_Hitters_modified'!P2</f>
        <v>2.0029017857142835</v>
      </c>
      <c r="AG219">
        <f>'2025_Fantasy_Hitters_modified'!Q2</f>
        <v>1.9999999999999998</v>
      </c>
      <c r="AH219">
        <f>'2025_Fantasy_Hitters_modified'!R2</f>
        <v>1.2116071428571402</v>
      </c>
      <c r="AI219">
        <f>'2025_Fantasy_Hitters_modified'!S2</f>
        <v>6.9659340659340385</v>
      </c>
      <c r="AJ219">
        <f>'2025_Fantasy_Hitters_modified'!T2</f>
        <v>2.021978021978021</v>
      </c>
      <c r="AK219">
        <f>'2025_Fantasy_Hitters_modified'!U2</f>
        <v>4.9439560439560175</v>
      </c>
      <c r="AL219">
        <f>'2025_Fantasy_Hitters_modified'!V2</f>
        <v>0.2556578949117389</v>
      </c>
      <c r="AM219">
        <f>'2025_Fantasy_Hitters_modified'!W2</f>
        <v>0.3123106851644834</v>
      </c>
      <c r="AN219">
        <f>'2025_Fantasy_Hitters_modified'!X2</f>
        <v>0.39549522880578342</v>
      </c>
      <c r="AO219">
        <f>'2025_Fantasy_Hitters_modified'!Y2</f>
        <v>0.70780591397026682</v>
      </c>
      <c r="AP219">
        <f>'2025_Fantasy_Hitters_modified'!Z2</f>
        <v>0.29739023060000003</v>
      </c>
      <c r="AQ219">
        <f>'2025_Fantasy_Hitters_modified'!AA2</f>
        <v>18.68131868</v>
      </c>
      <c r="AR219">
        <f>'2025_Fantasy_Hitters_modified'!AB2</f>
        <v>6.5999347186999904</v>
      </c>
    </row>
    <row r="220" spans="1:44" x14ac:dyDescent="0.4">
      <c r="A220" t="str">
        <f>'2025_Fantasy_Hitters_modified'!A86</f>
        <v>DET</v>
      </c>
      <c r="B220" t="str">
        <f>'2025_Fantasy_Hitters_modified'!B86</f>
        <v>Spencer Torkelson</v>
      </c>
      <c r="C220">
        <f>'2025_Fantasy_Hitters_modified'!D86</f>
        <v>247</v>
      </c>
      <c r="D220">
        <f>'2025_Fantasy_Hitters_modified'!E86</f>
        <v>279</v>
      </c>
      <c r="E220" s="5">
        <f>(V220-AVERAGE(V$2:V$229))/AVERAGE(V$2:V$229)*100+100</f>
        <v>46.589126762693581</v>
      </c>
      <c r="F220" s="4">
        <f>E220*1.51744-31.775</f>
        <v>38.921204514781742</v>
      </c>
      <c r="G220" s="5">
        <f>(Z220-AVERAGE(Z$2:Z$229))/AVERAGE(Z$2:Z$229)*100+100</f>
        <v>54.826143413648893</v>
      </c>
      <c r="H220" s="4">
        <f>G220*0.83285-13.6979</f>
        <v>31.964053542057481</v>
      </c>
      <c r="I220" s="5">
        <f>(AA220-AVERAGE(AA$2:AA$229))/AVERAGE(AA$2:AA$229)*100+100</f>
        <v>49.025659915032158</v>
      </c>
      <c r="J220" s="5">
        <f>(AB220-AVERAGE(AB$2:AB$229))/AVERAGE(AB$2:AB$229)*100+100</f>
        <v>51.453190179853692</v>
      </c>
      <c r="K220" s="5">
        <f>(AC220-AVERAGE(AC$2:AC$229))/AVERAGE(AC$2:AC$229)*100+100</f>
        <v>57.310315823328047</v>
      </c>
      <c r="L220" s="5">
        <f>(AF220-AVERAGE(AF$2:AF$229))/AVERAGE(AF$2:AF$229)*100+100</f>
        <v>51.167464583575864</v>
      </c>
      <c r="M220" s="5">
        <f>(AI220-AVERAGE(AI$2:AI$229))/AVERAGE(AI$2:AI$229)*100+100</f>
        <v>9.8706824619070943</v>
      </c>
      <c r="N220" s="5">
        <f>(AVERAGE(AJ$2:AJ$229)-AJ220)/AVERAGE(AJ$2:AJ$229)*100+100</f>
        <v>200</v>
      </c>
      <c r="O220" s="5">
        <f>(AK220-AVERAGE(AK$2:AK$229))/AVERAGE(AK$2:AK$229)*100+100</f>
        <v>13.327829395312946</v>
      </c>
      <c r="P220" s="5">
        <f>(AL220-AVERAGE(AL$2:AL$229))/AVERAGE(AL$2:AL$229)*100+100</f>
        <v>88.813856956908239</v>
      </c>
      <c r="Q220" s="5">
        <f>(AM220-AVERAGE(AM$2:AM$229))/AVERAGE(AM$2:AM$229)*100+100</f>
        <v>93.217309463872624</v>
      </c>
      <c r="R220" s="5">
        <f>(AN220-AVERAGE(AN$2:AN$229))/AVERAGE(AN$2:AN$229)*100+100</f>
        <v>92.772176190031857</v>
      </c>
      <c r="S220" s="5">
        <f>(AO220-AVERAGE(AO$2:AO$229))/AVERAGE(AO$2:AO$229)*100+100</f>
        <v>92.966381507968819</v>
      </c>
      <c r="T220" s="6">
        <f>(F220*1.5+H220*2.5+I220+J220+K220*1.5+L220+O220*0.75+P220+S220)/11.25</f>
        <v>50.46043018241172</v>
      </c>
      <c r="V220">
        <f>'2025_Fantasy_Hitters_modified'!F86</f>
        <v>54.728652773912799</v>
      </c>
      <c r="W220">
        <f>'2025_Fantasy_Hitters_modified'!G86</f>
        <v>31.807041972560214</v>
      </c>
      <c r="X220">
        <f>'2025_Fantasy_Hitters_modified'!H86</f>
        <v>11.927640739710052</v>
      </c>
      <c r="Y220">
        <f>'2025_Fantasy_Hitters_modified'!I86</f>
        <v>0.39758802465700233</v>
      </c>
      <c r="Z220">
        <f>'2025_Fantasy_Hitters_modified'!J86</f>
        <v>9.9999999999999893</v>
      </c>
      <c r="AA220">
        <f>'2025_Fantasy_Hitters_modified'!K86</f>
        <v>32.328571428571188</v>
      </c>
      <c r="AB220">
        <f>'2025_Fantasy_Hitters_modified'!L86</f>
        <v>32.999999999999964</v>
      </c>
      <c r="AC220" s="2">
        <f>'2025_Fantasy_Hitters_modified'!M86</f>
        <v>26.190000000575999</v>
      </c>
      <c r="AD220">
        <f>'2025_Fantasy_Hitters_modified'!N86</f>
        <v>0</v>
      </c>
      <c r="AE220">
        <f>'2025_Fantasy_Hitters_modified'!O86</f>
        <v>74.400000009300001</v>
      </c>
      <c r="AF220">
        <f>'2025_Fantasy_Hitters_modified'!P86</f>
        <v>2.9981679389312852</v>
      </c>
      <c r="AG220">
        <f>'2025_Fantasy_Hitters_modified'!Q86</f>
        <v>1.999999999999998</v>
      </c>
      <c r="AH220">
        <f>'2025_Fantasy_Hitters_modified'!R86</f>
        <v>0</v>
      </c>
      <c r="AI220">
        <f>'2025_Fantasy_Hitters_modified'!S86</f>
        <v>1.0328571428571403</v>
      </c>
      <c r="AJ220">
        <f>'2025_Fantasy_Hitters_modified'!T86</f>
        <v>0</v>
      </c>
      <c r="AK220">
        <f>'2025_Fantasy_Hitters_modified'!U86</f>
        <v>1.0328571428571403</v>
      </c>
      <c r="AL220">
        <f>'2025_Fantasy_Hitters_modified'!V86</f>
        <v>0.22157349301179272</v>
      </c>
      <c r="AM220">
        <f>'2025_Fantasy_Hitters_modified'!W86</f>
        <v>0.30494138854334985</v>
      </c>
      <c r="AN220">
        <f>'2025_Fantasy_Hitters_modified'!X86</f>
        <v>0.39212586042895253</v>
      </c>
      <c r="AO220">
        <f>'2025_Fantasy_Hitters_modified'!Y86</f>
        <v>0.69706724897230243</v>
      </c>
      <c r="AP220">
        <f>'2025_Fantasy_Hitters_modified'!Z86</f>
        <v>0.27174151140000002</v>
      </c>
      <c r="AQ220">
        <f>'2025_Fantasy_Hitters_modified'!AA86</f>
        <v>26.666666670000001</v>
      </c>
      <c r="AR220">
        <f>'2025_Fantasy_Hitters_modified'!AB86</f>
        <v>9.3870967743999998</v>
      </c>
    </row>
    <row r="221" spans="1:44" x14ac:dyDescent="0.4">
      <c r="A221" t="str">
        <f>'2025_Fantasy_Hitters_modified'!A173</f>
        <v>SDP</v>
      </c>
      <c r="B221" t="str">
        <f>'2025_Fantasy_Hitters_modified'!B173</f>
        <v>Luis Campusano</v>
      </c>
      <c r="C221">
        <f>'2025_Fantasy_Hitters_modified'!D173</f>
        <v>282</v>
      </c>
      <c r="D221">
        <f>'2025_Fantasy_Hitters_modified'!E173</f>
        <v>306</v>
      </c>
      <c r="E221" s="5">
        <f>(V221-AVERAGE(V$2:V$229))/AVERAGE(V$2:V$229)*100+100</f>
        <v>58.609106974293638</v>
      </c>
      <c r="F221" s="4">
        <f>E221*1.51744-31.775</f>
        <v>57.160803287072135</v>
      </c>
      <c r="G221" s="5">
        <f>(Z221-AVERAGE(Z$2:Z$229))/AVERAGE(Z$2:Z$229)*100+100</f>
        <v>47.150483335737938</v>
      </c>
      <c r="H221" s="4">
        <f>G221*0.83285-13.6979</f>
        <v>25.571380046169342</v>
      </c>
      <c r="I221" s="5">
        <f>(AA221-AVERAGE(AA$2:AA$229))/AVERAGE(AA$2:AA$229)*100+100</f>
        <v>50.667261502815549</v>
      </c>
      <c r="J221" s="5">
        <f>(AB221-AVERAGE(AB$2:AB$229))/AVERAGE(AB$2:AB$229)*100+100</f>
        <v>57.689940504684238</v>
      </c>
      <c r="K221" s="5">
        <f>(AC221-AVERAGE(AC$2:AC$229))/AVERAGE(AC$2:AC$229)*100+100</f>
        <v>39.744522868673812</v>
      </c>
      <c r="L221" s="5">
        <f>(AF221-AVERAGE(AF$2:AF$229))/AVERAGE(AF$2:AF$229)*100+100</f>
        <v>50.492044274817793</v>
      </c>
      <c r="M221" s="5">
        <f>(AI221-AVERAGE(AI$2:AI$229))/AVERAGE(AI$2:AI$229)*100+100</f>
        <v>0.85257821247736842</v>
      </c>
      <c r="N221" s="5">
        <f>(AVERAGE(AJ$2:AJ$229)-AJ221)/AVERAGE(AJ$2:AJ$229)*100+100</f>
        <v>200</v>
      </c>
      <c r="O221" s="5">
        <f>(AK221-AVERAGE(AK$2:AK$229))/AVERAGE(AK$2:AK$229)*100+100</f>
        <v>1.1511885835565323</v>
      </c>
      <c r="P221" s="5">
        <f>(AL221-AVERAGE(AL$2:AL$229))/AVERAGE(AL$2:AL$229)*100+100</f>
        <v>97.860878342252747</v>
      </c>
      <c r="Q221" s="5">
        <f>(AM221-AVERAGE(AM$2:AM$229))/AVERAGE(AM$2:AM$229)*100+100</f>
        <v>91.019953715249827</v>
      </c>
      <c r="R221" s="5">
        <f>(AN221-AVERAGE(AN$2:AN$229))/AVERAGE(AN$2:AN$229)*100+100</f>
        <v>90.742413638542644</v>
      </c>
      <c r="S221" s="5">
        <f>(AO221-AVERAGE(AO$2:AO$229))/AVERAGE(AO$2:AO$229)*100+100</f>
        <v>90.863500427611669</v>
      </c>
      <c r="T221" s="6">
        <f>(F221*1.5+H221*2.5+I221+J221+K221*1.5+L221+O221*0.75+P221+S221)/11.25</f>
        <v>49.575418296790374</v>
      </c>
      <c r="V221">
        <f>'2025_Fantasy_Hitters_modified'!F173</f>
        <v>68.8486281643236</v>
      </c>
      <c r="W221">
        <f>'2025_Fantasy_Hitters_modified'!G173</f>
        <v>47.882844154203397</v>
      </c>
      <c r="X221">
        <f>'2025_Fantasy_Hitters_modified'!H173</f>
        <v>12.049725632864728</v>
      </c>
      <c r="Y221">
        <f>'2025_Fantasy_Hitters_modified'!I173</f>
        <v>0.59260945735400161</v>
      </c>
      <c r="Z221">
        <f>'2025_Fantasy_Hitters_modified'!J173</f>
        <v>8.5999999999999712</v>
      </c>
      <c r="AA221">
        <f>'2025_Fantasy_Hitters_modified'!K173</f>
        <v>33.41107871720105</v>
      </c>
      <c r="AB221">
        <f>'2025_Fantasy_Hitters_modified'!L173</f>
        <v>36.999999999999829</v>
      </c>
      <c r="AC221" s="2">
        <f>'2025_Fantasy_Hitters_modified'!M173</f>
        <v>18.162682215227999</v>
      </c>
      <c r="AD221">
        <f>'2025_Fantasy_Hitters_modified'!N173</f>
        <v>0</v>
      </c>
      <c r="AE221">
        <f>'2025_Fantasy_Hitters_modified'!O173</f>
        <v>49.067055385200007</v>
      </c>
      <c r="AF221">
        <f>'2025_Fantasy_Hitters_modified'!P173</f>
        <v>2.9585915492957602</v>
      </c>
      <c r="AG221">
        <f>'2025_Fantasy_Hitters_modified'!Q173</f>
        <v>1.9999999999999998</v>
      </c>
      <c r="AH221">
        <f>'2025_Fantasy_Hitters_modified'!R173</f>
        <v>0</v>
      </c>
      <c r="AI221">
        <f>'2025_Fantasy_Hitters_modified'!S173</f>
        <v>8.9212827988337212E-2</v>
      </c>
      <c r="AJ221">
        <f>'2025_Fantasy_Hitters_modified'!T173</f>
        <v>0</v>
      </c>
      <c r="AK221">
        <f>'2025_Fantasy_Hitters_modified'!U173</f>
        <v>8.9212827988337212E-2</v>
      </c>
      <c r="AL221">
        <f>'2025_Fantasy_Hitters_modified'!V173</f>
        <v>0.24414407150469361</v>
      </c>
      <c r="AM221">
        <f>'2025_Fantasy_Hitters_modified'!W173</f>
        <v>0.29775318801533057</v>
      </c>
      <c r="AN221">
        <f>'2025_Fantasy_Hitters_modified'!X173</f>
        <v>0.38354653826948493</v>
      </c>
      <c r="AO221">
        <f>'2025_Fantasy_Hitters_modified'!Y173</f>
        <v>0.6812997262848155</v>
      </c>
      <c r="AP221">
        <f>'2025_Fantasy_Hitters_modified'!Z173</f>
        <v>0.26619469060000001</v>
      </c>
      <c r="AQ221">
        <f>'2025_Fantasy_Hitters_modified'!AA173</f>
        <v>16.034985420000002</v>
      </c>
      <c r="AR221">
        <f>'2025_Fantasy_Hitters_modified'!AB173</f>
        <v>5.9355170637999999</v>
      </c>
    </row>
    <row r="222" spans="1:44" x14ac:dyDescent="0.4">
      <c r="A222" t="str">
        <f>'2025_Fantasy_Hitters_modified'!A219</f>
        <v>TOR</v>
      </c>
      <c r="B222" t="str">
        <f>'2025_Fantasy_Hitters_modified'!B219</f>
        <v>Davis Schneider</v>
      </c>
      <c r="C222">
        <f>'2025_Fantasy_Hitters_modified'!D219</f>
        <v>205</v>
      </c>
      <c r="D222">
        <f>'2025_Fantasy_Hitters_modified'!E219</f>
        <v>235</v>
      </c>
      <c r="E222" s="5">
        <f>(V222-AVERAGE(V$2:V$229))/AVERAGE(V$2:V$229)*100+100</f>
        <v>36.927406194194802</v>
      </c>
      <c r="F222" s="4">
        <f>E222*1.51744-31.775</f>
        <v>24.260123255318959</v>
      </c>
      <c r="G222" s="5">
        <f>(Z222-AVERAGE(Z$2:Z$229))/AVERAGE(Z$2:Z$229)*100+100</f>
        <v>46.053960467464961</v>
      </c>
      <c r="H222" s="4">
        <f>G222*0.83285-13.6979</f>
        <v>24.658140975328191</v>
      </c>
      <c r="I222" s="5">
        <f>(AA222-AVERAGE(AA$2:AA$229))/AVERAGE(AA$2:AA$229)*100+100</f>
        <v>42.643441881020749</v>
      </c>
      <c r="J222" s="5">
        <f>(AB222-AVERAGE(AB$2:AB$229))/AVERAGE(AB$2:AB$229)*100+100</f>
        <v>42.098064692607394</v>
      </c>
      <c r="K222" s="5">
        <f>(AC222-AVERAGE(AC$2:AC$229))/AVERAGE(AC$2:AC$229)*100+100</f>
        <v>53.143259106815592</v>
      </c>
      <c r="L222" s="5">
        <f>(AF222-AVERAGE(AF$2:AF$229))/AVERAGE(AF$2:AF$229)*100+100</f>
        <v>51.177036606641337</v>
      </c>
      <c r="M222" s="5">
        <f>(AI222-AVERAGE(AI$2:AI$229))/AVERAGE(AI$2:AI$229)*100+100</f>
        <v>28.369679330349669</v>
      </c>
      <c r="N222" s="5">
        <f>(AVERAGE(AJ$2:AJ$229)-AJ222)/AVERAGE(AJ$2:AJ$229)*100+100</f>
        <v>166.84179441243191</v>
      </c>
      <c r="O222" s="5">
        <f>(AK222-AVERAGE(AK$2:AK$229))/AVERAGE(AK$2:AK$229)*100+100</f>
        <v>26.69252692173319</v>
      </c>
      <c r="P222" s="5">
        <f>(AL222-AVERAGE(AL$2:AL$229))/AVERAGE(AL$2:AL$229)*100+100</f>
        <v>84.818005574967117</v>
      </c>
      <c r="Q222" s="5">
        <f>(AM222-AVERAGE(AM$2:AM$229))/AVERAGE(AM$2:AM$229)*100+100</f>
        <v>93.395476323276142</v>
      </c>
      <c r="R222" s="5">
        <f>(AN222-AVERAGE(AN$2:AN$229))/AVERAGE(AN$2:AN$229)*100+100</f>
        <v>93.313544756314855</v>
      </c>
      <c r="S222" s="5">
        <f>(AO222-AVERAGE(AO$2:AO$229))/AVERAGE(AO$2:AO$229)*100+100</f>
        <v>93.349290333978558</v>
      </c>
      <c r="T222" s="6">
        <f>(F222*1.5+H222*2.5+I222+J222+K222*1.5+L222+O222*0.75+P222+S222)/11.25</f>
        <v>45.498280912181102</v>
      </c>
      <c r="V222">
        <f>'2025_Fantasy_Hitters_modified'!F219</f>
        <v>43.378945515279277</v>
      </c>
      <c r="W222">
        <f>'2025_Fantasy_Hitters_modified'!G219</f>
        <v>24.31869545347989</v>
      </c>
      <c r="X222">
        <f>'2025_Fantasy_Hitters_modified'!H219</f>
        <v>9.9939844329369194</v>
      </c>
      <c r="Y222">
        <f>'2025_Fantasy_Hitters_modified'!I219</f>
        <v>0.98274180257212951</v>
      </c>
      <c r="Z222">
        <f>'2025_Fantasy_Hitters_modified'!J219</f>
        <v>8.3999999999999702</v>
      </c>
      <c r="AA222">
        <f>'2025_Fantasy_Hitters_modified'!K219</f>
        <v>28.119999999999976</v>
      </c>
      <c r="AB222">
        <f>'2025_Fantasy_Hitters_modified'!L219</f>
        <v>26.999999999999858</v>
      </c>
      <c r="AC222" s="2">
        <f>'2025_Fantasy_Hitters_modified'!M219</f>
        <v>24.285714291449995</v>
      </c>
      <c r="AD222">
        <f>'2025_Fantasy_Hitters_modified'!N219</f>
        <v>0</v>
      </c>
      <c r="AE222">
        <f>'2025_Fantasy_Hitters_modified'!O219</f>
        <v>68.485714279000007</v>
      </c>
      <c r="AF222">
        <f>'2025_Fantasy_Hitters_modified'!P219</f>
        <v>2.9987288135593162</v>
      </c>
      <c r="AG222">
        <f>'2025_Fantasy_Hitters_modified'!Q219</f>
        <v>1.9999999999999907</v>
      </c>
      <c r="AH222">
        <f>'2025_Fantasy_Hitters_modified'!R219</f>
        <v>0</v>
      </c>
      <c r="AI222">
        <f>'2025_Fantasy_Hitters_modified'!S219</f>
        <v>2.9685714285714044</v>
      </c>
      <c r="AJ222">
        <f>'2025_Fantasy_Hitters_modified'!T219</f>
        <v>0.89999999999998515</v>
      </c>
      <c r="AK222">
        <f>'2025_Fantasy_Hitters_modified'!U219</f>
        <v>2.0685714285714192</v>
      </c>
      <c r="AL222">
        <f>'2025_Fantasy_Hitters_modified'!V219</f>
        <v>0.21160461226965502</v>
      </c>
      <c r="AM222">
        <f>'2025_Fantasy_Hitters_modified'!W219</f>
        <v>0.30552422503381921</v>
      </c>
      <c r="AN222">
        <f>'2025_Fantasy_Hitters_modified'!X219</f>
        <v>0.39441409622960977</v>
      </c>
      <c r="AO222">
        <f>'2025_Fantasy_Hitters_modified'!Y219</f>
        <v>0.69993832126342892</v>
      </c>
      <c r="AP222">
        <f>'2025_Fantasy_Hitters_modified'!Z219</f>
        <v>0.26883247539999999</v>
      </c>
      <c r="AQ222">
        <f>'2025_Fantasy_Hitters_modified'!AA219</f>
        <v>29.14285714</v>
      </c>
      <c r="AR222">
        <f>'2025_Fantasy_Hitters_modified'!AB219</f>
        <v>10.334346506999999</v>
      </c>
    </row>
    <row r="223" spans="1:44" x14ac:dyDescent="0.4">
      <c r="A223" t="str">
        <f>'2025_Fantasy_Hitters_modified'!A164</f>
        <v>PIT</v>
      </c>
      <c r="B223" t="str">
        <f>'2025_Fantasy_Hitters_modified'!B164</f>
        <v>Endy Rodriguez</v>
      </c>
      <c r="C223">
        <f>'2025_Fantasy_Hitters_modified'!D164</f>
        <v>245</v>
      </c>
      <c r="D223">
        <f>'2025_Fantasy_Hitters_modified'!E164</f>
        <v>270</v>
      </c>
      <c r="E223" s="5">
        <f>(V223-AVERAGE(V$2:V$229))/AVERAGE(V$2:V$229)*100+100</f>
        <v>51.63049646215741</v>
      </c>
      <c r="F223" s="4">
        <f>E223*1.51744-31.775</f>
        <v>46.571180551536138</v>
      </c>
      <c r="G223" s="5">
        <f>(Z223-AVERAGE(Z$2:Z$229))/AVERAGE(Z$2:Z$229)*100+100</f>
        <v>32.895686048189333</v>
      </c>
      <c r="H223" s="4">
        <f>G223*0.83285-13.6979</f>
        <v>13.699272125234483</v>
      </c>
      <c r="I223" s="5">
        <f>(AA223-AVERAGE(AA$2:AA$229))/AVERAGE(AA$2:AA$229)*100+100</f>
        <v>45.154734190941291</v>
      </c>
      <c r="J223" s="5">
        <f>(AB223-AVERAGE(AB$2:AB$229))/AVERAGE(AB$2:AB$229)*100+100</f>
        <v>43.657252273815018</v>
      </c>
      <c r="K223" s="5">
        <f>(AC223-AVERAGE(AC$2:AC$229))/AVERAGE(AC$2:AC$229)*100+100</f>
        <v>43.957603061160725</v>
      </c>
      <c r="L223" s="5">
        <f>(AF223-AVERAGE(AF$2:AF$229))/AVERAGE(AF$2:AF$229)*100+100</f>
        <v>34.666035839821788</v>
      </c>
      <c r="M223" s="5">
        <f>(AI223-AVERAGE(AI$2:AI$229))/AVERAGE(AI$2:AI$229)*100+100</f>
        <v>9.9771711523675037</v>
      </c>
      <c r="N223" s="5">
        <f>(AVERAGE(AJ$2:AJ$229)-AJ223)/AVERAGE(AJ$2:AJ$229)*100+100</f>
        <v>197.34734355299457</v>
      </c>
      <c r="O223" s="5">
        <f>(AK223-AVERAGE(AK$2:AK$229))/AVERAGE(AK$2:AK$229)*100+100</f>
        <v>12.542538202726078</v>
      </c>
      <c r="P223" s="5">
        <f>(AL223-AVERAGE(AL$2:AL$229))/AVERAGE(AL$2:AL$229)*100+100</f>
        <v>99.227792630841918</v>
      </c>
      <c r="Q223" s="5">
        <f>(AM223-AVERAGE(AM$2:AM$229))/AVERAGE(AM$2:AM$229)*100+100</f>
        <v>94.732515281102806</v>
      </c>
      <c r="R223" s="5">
        <f>(AN223-AVERAGE(AN$2:AN$229))/AVERAGE(AN$2:AN$229)*100+100</f>
        <v>92.367331548226147</v>
      </c>
      <c r="S223" s="5">
        <f>(AO223-AVERAGE(AO$2:AO$229))/AVERAGE(AO$2:AO$229)*100+100</f>
        <v>93.399227579856046</v>
      </c>
      <c r="T223" s="6">
        <f>(F223*1.5+H223*2.5+I223+J223+K223*1.5+L223+O223*0.75+P223+S223)/11.25</f>
        <v>44.049182391062409</v>
      </c>
      <c r="V223">
        <f>'2025_Fantasy_Hitters_modified'!F164</f>
        <v>60.650793645799993</v>
      </c>
      <c r="W223">
        <f>'2025_Fantasy_Hitters_modified'!G164</f>
        <v>38.924863728099467</v>
      </c>
      <c r="X223">
        <f>'2025_Fantasy_Hitters_modified'!H164</f>
        <v>13.911111109839972</v>
      </c>
      <c r="Y223">
        <f>'2025_Fantasy_Hitters_modified'!I164</f>
        <v>1.6348367773288981</v>
      </c>
      <c r="Z223">
        <f>'2025_Fantasy_Hitters_modified'!J164</f>
        <v>5.9999999999999938</v>
      </c>
      <c r="AA223">
        <f>'2025_Fantasy_Hitters_modified'!K164</f>
        <v>29.775999999999868</v>
      </c>
      <c r="AB223">
        <f>'2025_Fantasy_Hitters_modified'!L164</f>
        <v>27.999999999999812</v>
      </c>
      <c r="AC223" s="2">
        <f>'2025_Fantasy_Hitters_modified'!M164</f>
        <v>20.087999998920001</v>
      </c>
      <c r="AD223">
        <f>'2025_Fantasy_Hitters_modified'!N164</f>
        <v>0</v>
      </c>
      <c r="AE223">
        <f>'2025_Fantasy_Hitters_modified'!O164</f>
        <v>54</v>
      </c>
      <c r="AF223">
        <f>'2025_Fantasy_Hitters_modified'!P164</f>
        <v>2.0312633832976412</v>
      </c>
      <c r="AG223">
        <f>'2025_Fantasy_Hitters_modified'!Q164</f>
        <v>1.999999999999998</v>
      </c>
      <c r="AH223">
        <f>'2025_Fantasy_Hitters_modified'!R164</f>
        <v>0</v>
      </c>
      <c r="AI223">
        <f>'2025_Fantasy_Hitters_modified'!S164</f>
        <v>1.0439999999999983</v>
      </c>
      <c r="AJ223">
        <f>'2025_Fantasy_Hitters_modified'!T164</f>
        <v>7.1999999999998204E-2</v>
      </c>
      <c r="AK223">
        <f>'2025_Fantasy_Hitters_modified'!U164</f>
        <v>0.97200000000000009</v>
      </c>
      <c r="AL223">
        <f>'2025_Fantasy_Hitters_modified'!V164</f>
        <v>0.24755425977877549</v>
      </c>
      <c r="AM223">
        <f>'2025_Fantasy_Hitters_modified'!W164</f>
        <v>0.30989807489798238</v>
      </c>
      <c r="AN223">
        <f>'2025_Fantasy_Hitters_modified'!X164</f>
        <v>0.39041467869292279</v>
      </c>
      <c r="AO223">
        <f>'2025_Fantasy_Hitters_modified'!Y164</f>
        <v>0.70031275359090517</v>
      </c>
      <c r="AP223">
        <f>'2025_Fantasy_Hitters_modified'!Z164</f>
        <v>0.2922502334</v>
      </c>
      <c r="AQ223">
        <f>'2025_Fantasy_Hitters_modified'!AA164</f>
        <v>20</v>
      </c>
      <c r="AR223">
        <f>'2025_Fantasy_Hitters_modified'!AB164</f>
        <v>7.4399999996000004</v>
      </c>
    </row>
    <row r="224" spans="1:44" x14ac:dyDescent="0.4">
      <c r="A224" t="str">
        <f>'2025_Fantasy_Hitters_modified'!A70</f>
        <v>CLE</v>
      </c>
      <c r="B224" t="str">
        <f>'2025_Fantasy_Hitters_modified'!B70</f>
        <v>David Fry</v>
      </c>
      <c r="C224">
        <f>'2025_Fantasy_Hitters_modified'!D70</f>
        <v>175</v>
      </c>
      <c r="D224">
        <f>'2025_Fantasy_Hitters_modified'!E70</f>
        <v>197</v>
      </c>
      <c r="E224" s="5">
        <f>(V224-AVERAGE(V$2:V$229))/AVERAGE(V$2:V$229)*100+100</f>
        <v>34.950949732328027</v>
      </c>
      <c r="F224" s="4">
        <f>E224*1.51744-31.775</f>
        <v>21.260969161823837</v>
      </c>
      <c r="G224" s="5">
        <f>(Z224-AVERAGE(Z$2:Z$229))/AVERAGE(Z$2:Z$229)*100+100</f>
        <v>32.89568604818929</v>
      </c>
      <c r="H224" s="4">
        <f>G224*0.83285-13.6979</f>
        <v>13.699272125234447</v>
      </c>
      <c r="I224" s="5">
        <f>(AA224-AVERAGE(AA$2:AA$229))/AVERAGE(AA$2:AA$229)*100+100</f>
        <v>33.223929317584265</v>
      </c>
      <c r="J224" s="5">
        <f>(AB224-AVERAGE(AB$2:AB$229))/AVERAGE(AB$2:AB$229)*100+100</f>
        <v>37.420501948984331</v>
      </c>
      <c r="K224" s="5">
        <f>(AC224-AVERAGE(AC$2:AC$229))/AVERAGE(AC$2:AC$229)*100+100</f>
        <v>35.452180748601862</v>
      </c>
      <c r="L224" s="5">
        <f>(AF224-AVERAGE(AF$2:AF$229))/AVERAGE(AF$2:AF$229)*100+100</f>
        <v>53.046837163052921</v>
      </c>
      <c r="M224" s="5">
        <f>(AI224-AVERAGE(AI$2:AI$229))/AVERAGE(AI$2:AI$229)*100+100</f>
        <v>19.353636871368465</v>
      </c>
      <c r="N224" s="5">
        <f>(AVERAGE(AJ$2:AJ$229)-AJ224)/AVERAGE(AJ$2:AJ$229)*100+100</f>
        <v>200</v>
      </c>
      <c r="O224" s="5">
        <f>(AK224-AVERAGE(AK$2:AK$229))/AVERAGE(AK$2:AK$229)*100+100</f>
        <v>26.132131328901096</v>
      </c>
      <c r="P224" s="5">
        <f>(AL224-AVERAGE(AL$2:AL$229))/AVERAGE(AL$2:AL$229)*100+100</f>
        <v>94.04030876916562</v>
      </c>
      <c r="Q224" s="5">
        <f>(AM224-AVERAGE(AM$2:AM$229))/AVERAGE(AM$2:AM$229)*100+100</f>
        <v>96.377259215706871</v>
      </c>
      <c r="R224" s="5">
        <f>(AN224-AVERAGE(AN$2:AN$229))/AVERAGE(AN$2:AN$229)*100+100</f>
        <v>93.533029592100348</v>
      </c>
      <c r="S224" s="5">
        <f>(AO224-AVERAGE(AO$2:AO$229))/AVERAGE(AO$2:AO$229)*100+100</f>
        <v>94.773926534205629</v>
      </c>
      <c r="T224" s="6">
        <f>(F224*1.5+H224*2.5+I224+J224+K224*1.5+L224+O224*0.75+P224+S224)/11.25</f>
        <v>40.12644510296829</v>
      </c>
      <c r="V224">
        <f>'2025_Fantasy_Hitters_modified'!F70</f>
        <v>41.057184904155747</v>
      </c>
      <c r="W224">
        <f>'2025_Fantasy_Hitters_modified'!G70</f>
        <v>25.903364401403948</v>
      </c>
      <c r="X224">
        <f>'2025_Fantasy_Hitters_modified'!H70</f>
        <v>8.7642962260389403</v>
      </c>
      <c r="Y224">
        <f>'2025_Fantasy_Hitters_modified'!I70</f>
        <v>0.58428641506926038</v>
      </c>
      <c r="Z224">
        <f>'2025_Fantasy_Hitters_modified'!J70</f>
        <v>5.9999999999999858</v>
      </c>
      <c r="AA224">
        <f>'2025_Fantasy_Hitters_modified'!K70</f>
        <v>21.908571428571229</v>
      </c>
      <c r="AB224">
        <f>'2025_Fantasy_Hitters_modified'!L70</f>
        <v>23.999999999999865</v>
      </c>
      <c r="AC224" s="2">
        <f>'2025_Fantasy_Hitters_modified'!M70</f>
        <v>16.201142856873979</v>
      </c>
      <c r="AD224">
        <f>'2025_Fantasy_Hitters_modified'!N70</f>
        <v>0.61257142857141689</v>
      </c>
      <c r="AE224">
        <f>'2025_Fantasy_Hitters_modified'!O70</f>
        <v>46.154285717100002</v>
      </c>
      <c r="AF224">
        <f>'2025_Fantasy_Hitters_modified'!P70</f>
        <v>3.1082901554403937</v>
      </c>
      <c r="AG224">
        <f>'2025_Fantasy_Hitters_modified'!Q70</f>
        <v>1.5999999999999817</v>
      </c>
      <c r="AH224">
        <f>'2025_Fantasy_Hitters_modified'!R70</f>
        <v>0.30621761658030688</v>
      </c>
      <c r="AI224">
        <f>'2025_Fantasy_Hitters_modified'!S70</f>
        <v>2.0251428571428387</v>
      </c>
      <c r="AJ224">
        <f>'2025_Fantasy_Hitters_modified'!T70</f>
        <v>0</v>
      </c>
      <c r="AK224">
        <f>'2025_Fantasy_Hitters_modified'!U70</f>
        <v>2.0251428571428387</v>
      </c>
      <c r="AL224">
        <f>'2025_Fantasy_Hitters_modified'!V70</f>
        <v>0.23461248516660427</v>
      </c>
      <c r="AM224">
        <f>'2025_Fantasy_Hitters_modified'!W70</f>
        <v>0.31527851874581514</v>
      </c>
      <c r="AN224">
        <f>'2025_Fantasy_Hitters_modified'!X70</f>
        <v>0.39534180627822602</v>
      </c>
      <c r="AO224">
        <f>'2025_Fantasy_Hitters_modified'!Y70</f>
        <v>0.71062032502404116</v>
      </c>
      <c r="AP224">
        <f>'2025_Fantasy_Hitters_modified'!Z70</f>
        <v>0.28170664699999998</v>
      </c>
      <c r="AQ224">
        <f>'2025_Fantasy_Hitters_modified'!AA70</f>
        <v>23.428571430000002</v>
      </c>
      <c r="AR224">
        <f>'2025_Fantasy_Hitters_modified'!AB70</f>
        <v>8.2239303841999902</v>
      </c>
    </row>
    <row r="225" spans="1:44" x14ac:dyDescent="0.4">
      <c r="A225" t="str">
        <f>'2025_Fantasy_Hitters_modified'!A65</f>
        <v>CIN</v>
      </c>
      <c r="B225" t="str">
        <f>'2025_Fantasy_Hitters_modified'!B65</f>
        <v>Noelvi Marte</v>
      </c>
      <c r="C225">
        <f>'2025_Fantasy_Hitters_modified'!D65</f>
        <v>191</v>
      </c>
      <c r="D225">
        <f>'2025_Fantasy_Hitters_modified'!E65</f>
        <v>207</v>
      </c>
      <c r="E225" s="5">
        <f>(V225-AVERAGE(V$2:V$229))/AVERAGE(V$2:V$229)*100+100</f>
        <v>39.237126245885257</v>
      </c>
      <c r="F225" s="4">
        <f>E225*1.51744-31.775</f>
        <v>27.764984850556125</v>
      </c>
      <c r="G225" s="5">
        <f>(Z225-AVERAGE(Z$2:Z$229))/AVERAGE(Z$2:Z$229)*100+100</f>
        <v>29.606117443370294</v>
      </c>
      <c r="H225" s="4">
        <f>G225*0.83285-13.6979</f>
        <v>10.959554912710949</v>
      </c>
      <c r="I225" s="5">
        <f>(AA225-AVERAGE(AA$2:AA$229))/AVERAGE(AA$2:AA$229)*100+100</f>
        <v>35.349759764388295</v>
      </c>
      <c r="J225" s="5">
        <f>(AB225-AVERAGE(AB$2:AB$229))/AVERAGE(AB$2:AB$229)*100+100</f>
        <v>34.302126786568849</v>
      </c>
      <c r="K225" s="5">
        <f>(AC225-AVERAGE(AC$2:AC$229))/AVERAGE(AC$2:AC$229)*100+100</f>
        <v>26.280336280850165</v>
      </c>
      <c r="L225" s="5">
        <f>(AF225-AVERAGE(AF$2:AF$229))/AVERAGE(AF$2:AF$229)*100+100</f>
        <v>33.916263421192212</v>
      </c>
      <c r="M225" s="5">
        <f>(AI225-AVERAGE(AI$2:AI$229))/AVERAGE(AI$2:AI$229)*100+100</f>
        <v>66.629899153461793</v>
      </c>
      <c r="N225" s="5">
        <f>(AVERAGE(AJ$2:AJ$229)-AJ225)/AVERAGE(AJ$2:AJ$229)*100+100</f>
        <v>123.7791897532519</v>
      </c>
      <c r="O225" s="5">
        <f>(AK225-AVERAGE(AK$2:AK$229))/AVERAGE(AK$2:AK$229)*100+100</f>
        <v>63.270740452664498</v>
      </c>
      <c r="P225" s="5">
        <f>(AL225-AVERAGE(AL$2:AL$229))/AVERAGE(AL$2:AL$229)*100+100</f>
        <v>96.729053509450139</v>
      </c>
      <c r="Q225" s="5">
        <f>(AM225-AVERAGE(AM$2:AM$229))/AVERAGE(AM$2:AM$229)*100+100</f>
        <v>90.038069421166611</v>
      </c>
      <c r="R225" s="5">
        <f>(AN225-AVERAGE(AN$2:AN$229))/AVERAGE(AN$2:AN$229)*100+100</f>
        <v>87.486845035615545</v>
      </c>
      <c r="S225" s="5">
        <f>(AO225-AVERAGE(AO$2:AO$229))/AVERAGE(AO$2:AO$229)*100+100</f>
        <v>88.599907958657752</v>
      </c>
      <c r="T225" s="6">
        <f>(F225*1.5+H225*2.5+I225+J225+K225*1.5+L225+O225*0.75+P225+S225)/11.25</f>
        <v>39.539292067434879</v>
      </c>
      <c r="V225">
        <f>'2025_Fantasy_Hitters_modified'!F65</f>
        <v>46.092193766481365</v>
      </c>
      <c r="W225">
        <f>'2025_Fantasy_Hitters_modified'!G65</f>
        <v>31.164265469939398</v>
      </c>
      <c r="X225">
        <f>'2025_Fantasy_Hitters_modified'!H65</f>
        <v>8.9324327780081028</v>
      </c>
      <c r="Y225">
        <f>'2025_Fantasy_Hitters_modified'!I65</f>
        <v>0</v>
      </c>
      <c r="Z225">
        <f>'2025_Fantasy_Hitters_modified'!J65</f>
        <v>5.3999999999999728</v>
      </c>
      <c r="AA225">
        <f>'2025_Fantasy_Hitters_modified'!K65</f>
        <v>23.310389610389585</v>
      </c>
      <c r="AB225">
        <f>'2025_Fantasy_Hitters_modified'!L65</f>
        <v>21.999999999999797</v>
      </c>
      <c r="AC225" s="2">
        <f>'2025_Fantasy_Hitters_modified'!M65</f>
        <v>12.009740259194999</v>
      </c>
      <c r="AD225">
        <f>'2025_Fantasy_Hitters_modified'!N65</f>
        <v>0</v>
      </c>
      <c r="AE225">
        <f>'2025_Fantasy_Hitters_modified'!O65</f>
        <v>52.422077912399999</v>
      </c>
      <c r="AF225">
        <f>'2025_Fantasy_Hitters_modified'!P65</f>
        <v>1.9873303167420682</v>
      </c>
      <c r="AG225">
        <f>'2025_Fantasy_Hitters_modified'!Q65</f>
        <v>0.99999999999999278</v>
      </c>
      <c r="AH225">
        <f>'2025_Fantasy_Hitters_modified'!R65</f>
        <v>0</v>
      </c>
      <c r="AI225">
        <f>'2025_Fantasy_Hitters_modified'!S65</f>
        <v>6.9720779220779017</v>
      </c>
      <c r="AJ225">
        <f>'2025_Fantasy_Hitters_modified'!T65</f>
        <v>2.0688311688311538</v>
      </c>
      <c r="AK225">
        <f>'2025_Fantasy_Hitters_modified'!U65</f>
        <v>4.9032467532467479</v>
      </c>
      <c r="AL225">
        <f>'2025_Fantasy_Hitters_modified'!V65</f>
        <v>0.24132038621194432</v>
      </c>
      <c r="AM225">
        <f>'2025_Fantasy_Hitters_modified'!W65</f>
        <v>0.29454115409428411</v>
      </c>
      <c r="AN225">
        <f>'2025_Fantasy_Hitters_modified'!X65</f>
        <v>0.36978602631390317</v>
      </c>
      <c r="AO225">
        <f>'2025_Fantasy_Hitters_modified'!Y65</f>
        <v>0.66432718040818728</v>
      </c>
      <c r="AP225">
        <f>'2025_Fantasy_Hitters_modified'!Z65</f>
        <v>0.30327041239999902</v>
      </c>
      <c r="AQ225">
        <f>'2025_Fantasy_Hitters_modified'!AA65</f>
        <v>25.324675320000001</v>
      </c>
      <c r="AR225">
        <f>'2025_Fantasy_Hitters_modified'!AB65</f>
        <v>5.8018068884999998</v>
      </c>
    </row>
    <row r="226" spans="1:44" x14ac:dyDescent="0.4">
      <c r="A226" t="str">
        <f>'2025_Fantasy_Hitters_modified'!A221</f>
        <v>TOR</v>
      </c>
      <c r="B226" t="str">
        <f>'2025_Fantasy_Hitters_modified'!B221</f>
        <v>Orelvis Martinez</v>
      </c>
      <c r="C226">
        <f>'2025_Fantasy_Hitters_modified'!D221</f>
        <v>162</v>
      </c>
      <c r="D226">
        <f>'2025_Fantasy_Hitters_modified'!E221</f>
        <v>178</v>
      </c>
      <c r="E226" s="5">
        <f>(V226-AVERAGE(V$2:V$229))/AVERAGE(V$2:V$229)*100+100</f>
        <v>30.065996584269811</v>
      </c>
      <c r="F226" s="4">
        <f>E226*1.51744-31.775</f>
        <v>13.848345856834378</v>
      </c>
      <c r="G226" s="5">
        <f>(Z226-AVERAGE(Z$2:Z$229))/AVERAGE(Z$2:Z$229)*100+100</f>
        <v>36.185254653008251</v>
      </c>
      <c r="H226" s="4">
        <f>G226*0.83285-13.6979</f>
        <v>16.438989337757921</v>
      </c>
      <c r="I226" s="5">
        <f>(AA226-AVERAGE(AA$2:AA$229))/AVERAGE(AA$2:AA$229)*100+100</f>
        <v>29.428394356420554</v>
      </c>
      <c r="J226" s="5">
        <f>(AB226-AVERAGE(AB$2:AB$229))/AVERAGE(AB$2:AB$229)*100+100</f>
        <v>34.302126786569005</v>
      </c>
      <c r="K226" s="5">
        <f>(AC226-AVERAGE(AC$2:AC$229))/AVERAGE(AC$2:AC$229)*100+100</f>
        <v>26.415325844993518</v>
      </c>
      <c r="L226" s="5">
        <f>(AF226-AVERAGE(AF$2:AF$229))/AVERAGE(AF$2:AF$229)*100+100</f>
        <v>35.476406286723844</v>
      </c>
      <c r="M226" s="5">
        <f>(AI226-AVERAGE(AI$2:AI$229))/AVERAGE(AI$2:AI$229)*100+100</f>
        <v>9.4110517894069119</v>
      </c>
      <c r="N226" s="5">
        <f>(AVERAGE(AJ$2:AJ$229)-AJ226)/AVERAGE(AJ$2:AJ$229)*100+100</f>
        <v>200</v>
      </c>
      <c r="O226" s="5">
        <f>(AK226-AVERAGE(AK$2:AK$229))/AVERAGE(AK$2:AK$229)*100+100</f>
        <v>12.707215855005444</v>
      </c>
      <c r="P226" s="5">
        <f>(AL226-AVERAGE(AL$2:AL$229))/AVERAGE(AL$2:AL$229)*100+100</f>
        <v>87.388382894228059</v>
      </c>
      <c r="Q226" s="5">
        <f>(AM226-AVERAGE(AM$2:AM$229))/AVERAGE(AM$2:AM$229)*100+100</f>
        <v>87.60363575144514</v>
      </c>
      <c r="R226" s="5">
        <f>(AN226-AVERAGE(AN$2:AN$229))/AVERAGE(AN$2:AN$229)*100+100</f>
        <v>91.033494943338582</v>
      </c>
      <c r="S226" s="5">
        <f>(AO226-AVERAGE(AO$2:AO$229))/AVERAGE(AO$2:AO$229)*100+100</f>
        <v>89.537096147774477</v>
      </c>
      <c r="T226" s="6">
        <f>(F226*1.5+H226*2.5+I226+J226+K226*1.5+L226+O226*0.75+P226+S226)/11.25</f>
        <v>34.413848823120595</v>
      </c>
      <c r="V226">
        <f>'2025_Fantasy_Hitters_modified'!F221</f>
        <v>35.318787916835745</v>
      </c>
      <c r="W226">
        <f>'2025_Fantasy_Hitters_modified'!G221</f>
        <v>20.089004355619085</v>
      </c>
      <c r="X226">
        <f>'2025_Fantasy_Hitters_modified'!H221</f>
        <v>7.9224242529202025</v>
      </c>
      <c r="Y226">
        <f>'2025_Fantasy_Hitters_modified'!I221</f>
        <v>0</v>
      </c>
      <c r="Z226">
        <f>'2025_Fantasy_Hitters_modified'!J221</f>
        <v>6.599999999999989</v>
      </c>
      <c r="AA226">
        <f>'2025_Fantasy_Hitters_modified'!K221</f>
        <v>19.405714285714147</v>
      </c>
      <c r="AB226">
        <f>'2025_Fantasy_Hitters_modified'!L221</f>
        <v>21.999999999999904</v>
      </c>
      <c r="AC226" s="2">
        <f>'2025_Fantasy_Hitters_modified'!M221</f>
        <v>12.071428571922</v>
      </c>
      <c r="AD226">
        <f>'2025_Fantasy_Hitters_modified'!N221</f>
        <v>0.98476190476188963</v>
      </c>
      <c r="AE226">
        <f>'2025_Fantasy_Hitters_modified'!O221</f>
        <v>47.466666672599999</v>
      </c>
      <c r="AF226">
        <f>'2025_Fantasy_Hitters_modified'!P221</f>
        <v>2.0787472035793888</v>
      </c>
      <c r="AG226">
        <f>'2025_Fantasy_Hitters_modified'!Q221</f>
        <v>0.99999999999998435</v>
      </c>
      <c r="AH226">
        <f>'2025_Fantasy_Hitters_modified'!R221</f>
        <v>0</v>
      </c>
      <c r="AI226">
        <f>'2025_Fantasy_Hitters_modified'!S221</f>
        <v>0.98476190476188963</v>
      </c>
      <c r="AJ226">
        <f>'2025_Fantasy_Hitters_modified'!T221</f>
        <v>0</v>
      </c>
      <c r="AK226">
        <f>'2025_Fantasy_Hitters_modified'!U221</f>
        <v>0.98476190476188963</v>
      </c>
      <c r="AL226">
        <f>'2025_Fantasy_Hitters_modified'!V221</f>
        <v>0.21801720936318361</v>
      </c>
      <c r="AM226">
        <f>'2025_Fantasy_Hitters_modified'!W221</f>
        <v>0.28657740156987493</v>
      </c>
      <c r="AN226">
        <f>'2025_Fantasy_Hitters_modified'!X221</f>
        <v>0.38477686951518175</v>
      </c>
      <c r="AO226">
        <f>'2025_Fantasy_Hitters_modified'!Y221</f>
        <v>0.67135427108505663</v>
      </c>
      <c r="AP226">
        <f>'2025_Fantasy_Hitters_modified'!Z221</f>
        <v>0.26363636400000001</v>
      </c>
      <c r="AQ226">
        <f>'2025_Fantasy_Hitters_modified'!AA221</f>
        <v>26.666666670000001</v>
      </c>
      <c r="AR226">
        <f>'2025_Fantasy_Hitters_modified'!AB221</f>
        <v>6.7817014449000004</v>
      </c>
    </row>
    <row r="227" spans="1:44" x14ac:dyDescent="0.4">
      <c r="A227" t="str">
        <f>'2025_Fantasy_Hitters_modified'!A30</f>
        <v>BAL</v>
      </c>
      <c r="B227" t="str">
        <f>'2025_Fantasy_Hitters_modified'!B30</f>
        <v>Coby Mayo</v>
      </c>
      <c r="C227">
        <f>'2025_Fantasy_Hitters_modified'!D30</f>
        <v>151</v>
      </c>
      <c r="D227">
        <f>'2025_Fantasy_Hitters_modified'!E30</f>
        <v>169</v>
      </c>
      <c r="E227" s="5">
        <f>(V227-AVERAGE(V$2:V$229))/AVERAGE(V$2:V$229)*100+100</f>
        <v>29.91486653066174</v>
      </c>
      <c r="F227" s="4">
        <f>E227*1.51744-31.775</f>
        <v>13.619015068287347</v>
      </c>
      <c r="G227" s="5">
        <f>(Z227-AVERAGE(Z$2:Z$229))/AVERAGE(Z$2:Z$229)*100+100</f>
        <v>30.702640311643307</v>
      </c>
      <c r="H227" s="4">
        <f>G227*0.83285-13.6979</f>
        <v>11.872793983552128</v>
      </c>
      <c r="I227" s="5">
        <f>(AA227-AVERAGE(AA$2:AA$229))/AVERAGE(AA$2:AA$229)*100+100</f>
        <v>29.831344985859161</v>
      </c>
      <c r="J227" s="5">
        <f>(AB227-AVERAGE(AB$2:AB$229))/AVERAGE(AB$2:AB$229)*100+100</f>
        <v>31.183751624153743</v>
      </c>
      <c r="K227" s="5">
        <f>(AC227-AVERAGE(AC$2:AC$229))/AVERAGE(AC$2:AC$229)*100+100</f>
        <v>28.831086411462408</v>
      </c>
      <c r="L227" s="5">
        <f>(AF227-AVERAGE(AF$2:AF$229))/AVERAGE(AF$2:AF$229)*100+100</f>
        <v>34.609289891359111</v>
      </c>
      <c r="M227" s="5">
        <f>(AI227-AVERAGE(AI$2:AI$229))/AVERAGE(AI$2:AI$229)*100+100</f>
        <v>9.8828179252074051</v>
      </c>
      <c r="N227" s="5">
        <f>(AVERAGE(AJ$2:AJ$229)-AJ227)/AVERAGE(AJ$2:AJ$229)*100+100</f>
        <v>161.90022761851691</v>
      </c>
      <c r="O227" s="5">
        <f>(AK227-AVERAGE(AK$2:AK$229))/AVERAGE(AK$2:AK$229)*100+100</f>
        <v>0</v>
      </c>
      <c r="P227" s="5">
        <f>(AL227-AVERAGE(AL$2:AL$229))/AVERAGE(AL$2:AL$229)*100+100</f>
        <v>93.283157061563514</v>
      </c>
      <c r="Q227" s="5">
        <f>(AM227-AVERAGE(AM$2:AM$229))/AVERAGE(AM$2:AM$229)*100+100</f>
        <v>93.68587719153355</v>
      </c>
      <c r="R227" s="5">
        <f>(AN227-AVERAGE(AN$2:AN$229))/AVERAGE(AN$2:AN$229)*100+100</f>
        <v>95.40583603516022</v>
      </c>
      <c r="S227" s="5">
        <f>(AO227-AVERAGE(AO$2:AO$229))/AVERAGE(AO$2:AO$229)*100+100</f>
        <v>94.655442448127275</v>
      </c>
      <c r="T227" s="6">
        <f>(F227*1.5+H227*2.5+I227+J227+K227*1.5+L227+O227*0.75+P227+S227)/11.25</f>
        <v>33.504010950183805</v>
      </c>
      <c r="V227">
        <f>'2025_Fantasy_Hitters_modified'!F30</f>
        <v>35.141254127251138</v>
      </c>
      <c r="W227">
        <f>'2025_Fantasy_Hitters_modified'!G30</f>
        <v>21.554928873539115</v>
      </c>
      <c r="X227">
        <f>'2025_Fantasy_Hitters_modified'!H30</f>
        <v>7.8776677672669555</v>
      </c>
      <c r="Y227">
        <f>'2025_Fantasy_Hitters_modified'!I30</f>
        <v>0.39388338836334774</v>
      </c>
      <c r="Z227">
        <f>'2025_Fantasy_Hitters_modified'!J30</f>
        <v>5.5999999999999819</v>
      </c>
      <c r="AA227">
        <f>'2025_Fantasy_Hitters_modified'!K30</f>
        <v>19.671428571428425</v>
      </c>
      <c r="AB227">
        <f>'2025_Fantasy_Hitters_modified'!L30</f>
        <v>19.999999999999968</v>
      </c>
      <c r="AC227" s="2">
        <f>'2025_Fantasy_Hitters_modified'!M30</f>
        <v>13.175396824902</v>
      </c>
      <c r="AD227">
        <f>'2025_Fantasy_Hitters_modified'!N30</f>
        <v>0.39999999999999936</v>
      </c>
      <c r="AE227">
        <f>'2025_Fantasy_Hitters_modified'!O30</f>
        <v>46.944444448200002</v>
      </c>
      <c r="AF227">
        <f>'2025_Fantasy_Hitters_modified'!P30</f>
        <v>2.0279383429672353</v>
      </c>
      <c r="AG227">
        <f>'2025_Fantasy_Hitters_modified'!Q30</f>
        <v>0.99999999999999833</v>
      </c>
      <c r="AH227">
        <f>'2025_Fantasy_Hitters_modified'!R30</f>
        <v>0</v>
      </c>
      <c r="AI227">
        <f>'2025_Fantasy_Hitters_modified'!S30</f>
        <v>1.034126984126982</v>
      </c>
      <c r="AJ227">
        <f>'2025_Fantasy_Hitters_modified'!T30</f>
        <v>1.034126984126982</v>
      </c>
      <c r="AK227">
        <f>'2025_Fantasy_Hitters_modified'!U30</f>
        <v>0</v>
      </c>
      <c r="AL227">
        <f>'2025_Fantasy_Hitters_modified'!V30</f>
        <v>0.23272353726656383</v>
      </c>
      <c r="AM227">
        <f>'2025_Fantasy_Hitters_modified'!W30</f>
        <v>0.30647421216078008</v>
      </c>
      <c r="AN227">
        <f>'2025_Fantasy_Hitters_modified'!X30</f>
        <v>0.40325771240505293</v>
      </c>
      <c r="AO227">
        <f>'2025_Fantasy_Hitters_modified'!Y30</f>
        <v>0.70973192456583301</v>
      </c>
      <c r="AP227">
        <f>'2025_Fantasy_Hitters_modified'!Z30</f>
        <v>0.29702970299999998</v>
      </c>
      <c r="AQ227">
        <f>'2025_Fantasy_Hitters_modified'!AA30</f>
        <v>27.777777780000001</v>
      </c>
      <c r="AR227">
        <f>'2025_Fantasy_Hitters_modified'!AB30</f>
        <v>7.7960927957999999</v>
      </c>
    </row>
    <row r="228" spans="1:44" x14ac:dyDescent="0.4">
      <c r="A228" t="str">
        <f>'2025_Fantasy_Hitters_modified'!A177</f>
        <v>SEA</v>
      </c>
      <c r="B228" t="str">
        <f>'2025_Fantasy_Hitters_modified'!B177</f>
        <v>Dominic Canzone</v>
      </c>
      <c r="C228">
        <f>'2025_Fantasy_Hitters_modified'!D177</f>
        <v>108</v>
      </c>
      <c r="D228">
        <f>'2025_Fantasy_Hitters_modified'!E177</f>
        <v>118</v>
      </c>
      <c r="E228" s="5">
        <f>(V228-AVERAGE(V$2:V$229))/AVERAGE(V$2:V$229)*100+100</f>
        <v>20.940502642774973</v>
      </c>
      <c r="F228" s="4">
        <f>E228*1.51744-31.775</f>
        <v>9.5633025245334125E-4</v>
      </c>
      <c r="G228" s="5">
        <f>(Z228-AVERAGE(Z$2:Z$229))/AVERAGE(Z$2:Z$229)*100+100</f>
        <v>21.930457365459546</v>
      </c>
      <c r="H228" s="4">
        <f>G228*0.83285-13.6979</f>
        <v>4.5668814168229801</v>
      </c>
      <c r="I228" s="5">
        <f>(AA228-AVERAGE(AA$2:AA$229))/AVERAGE(AA$2:AA$229)*100+100</f>
        <v>20.699963786483963</v>
      </c>
      <c r="J228" s="5">
        <f>(AB228-AVERAGE(AB$2:AB$229))/AVERAGE(AB$2:AB$229)*100+100</f>
        <v>21.828626136907616</v>
      </c>
      <c r="K228" s="5">
        <f>(AC228-AVERAGE(AC$2:AC$229))/AVERAGE(AC$2:AC$229)*100+100</f>
        <v>19.569223642826103</v>
      </c>
      <c r="L228" s="5">
        <f>(AF228-AVERAGE(AF$2:AF$229))/AVERAGE(AF$2:AF$229)*100+100</f>
        <v>16.361518176867122</v>
      </c>
      <c r="M228" s="5">
        <f>(AI228-AVERAGE(AI$2:AI$229))/AVERAGE(AI$2:AI$229)*100+100</f>
        <v>10.614738055508639</v>
      </c>
      <c r="N228" s="5">
        <f>(AVERAGE(AJ$2:AJ$229)-AJ228)/AVERAGE(AJ$2:AJ$229)*100+100</f>
        <v>200</v>
      </c>
      <c r="O228" s="5">
        <f>(AK228-AVERAGE(AK$2:AK$229))/AVERAGE(AK$2:AK$229)*100+100</f>
        <v>14.332485967988646</v>
      </c>
      <c r="P228" s="5">
        <f>(AL228-AVERAGE(AL$2:AL$229))/AVERAGE(AL$2:AL$229)*100+100</f>
        <v>91.296990163723365</v>
      </c>
      <c r="Q228" s="5">
        <f>(AM228-AVERAGE(AM$2:AM$229))/AVERAGE(AM$2:AM$229)*100+100</f>
        <v>89.724287970576611</v>
      </c>
      <c r="R228" s="5">
        <f>(AN228-AVERAGE(AN$2:AN$229))/AVERAGE(AN$2:AN$229)*100+100</f>
        <v>91.455927904186495</v>
      </c>
      <c r="S228" s="5">
        <f>(AO228-AVERAGE(AO$2:AO$229))/AVERAGE(AO$2:AO$229)*100+100</f>
        <v>90.700438023689657</v>
      </c>
      <c r="T228" s="6">
        <f>(F228*1.5+H228*2.5+I228+J228+K228*1.5+L228+O228*0.75+P228+S228)/11.25</f>
        <v>25.991944379141199</v>
      </c>
      <c r="V228">
        <f>'2025_Fantasy_Hitters_modified'!F177</f>
        <v>24.59899074488203</v>
      </c>
      <c r="W228">
        <f>'2025_Fantasy_Hitters_modified'!G177</f>
        <v>15.449243058661528</v>
      </c>
      <c r="X228">
        <f>'2025_Fantasy_Hitters_modified'!H177</f>
        <v>5.1497476862205094</v>
      </c>
      <c r="Y228">
        <f>'2025_Fantasy_Hitters_modified'!I177</f>
        <v>0</v>
      </c>
      <c r="Z228">
        <f>'2025_Fantasy_Hitters_modified'!J177</f>
        <v>3.9999999999999925</v>
      </c>
      <c r="AA228">
        <f>'2025_Fantasy_Hitters_modified'!K177</f>
        <v>13.649999999999892</v>
      </c>
      <c r="AB228">
        <f>'2025_Fantasy_Hitters_modified'!L177</f>
        <v>13.99999999999998</v>
      </c>
      <c r="AC228" s="2">
        <f>'2025_Fantasy_Hitters_modified'!M177</f>
        <v>8.9428571428020014</v>
      </c>
      <c r="AD228">
        <f>'2025_Fantasy_Hitters_modified'!N177</f>
        <v>0</v>
      </c>
      <c r="AE228">
        <f>'2025_Fantasy_Hitters_modified'!O177</f>
        <v>27.3928571378</v>
      </c>
      <c r="AF228">
        <f>'2025_Fantasy_Hitters_modified'!P177</f>
        <v>0.95870646766168666</v>
      </c>
      <c r="AG228">
        <f>'2025_Fantasy_Hitters_modified'!Q177</f>
        <v>0.59999999999999709</v>
      </c>
      <c r="AH228">
        <f>'2025_Fantasy_Hitters_modified'!R177</f>
        <v>0</v>
      </c>
      <c r="AI228">
        <f>'2025_Fantasy_Hitters_modified'!S177</f>
        <v>1.1107142857142809</v>
      </c>
      <c r="AJ228">
        <f>'2025_Fantasy_Hitters_modified'!T177</f>
        <v>0</v>
      </c>
      <c r="AK228">
        <f>'2025_Fantasy_Hitters_modified'!U177</f>
        <v>1.1107142857142809</v>
      </c>
      <c r="AL228">
        <f>'2025_Fantasy_Hitters_modified'!V177</f>
        <v>0.22776843282298176</v>
      </c>
      <c r="AM228">
        <f>'2025_Fantasy_Hitters_modified'!W177</f>
        <v>0.29351468216763893</v>
      </c>
      <c r="AN228">
        <f>'2025_Fantasy_Hitters_modified'!X177</f>
        <v>0.38656239288057886</v>
      </c>
      <c r="AO228">
        <f>'2025_Fantasy_Hitters_modified'!Y177</f>
        <v>0.68007707504821779</v>
      </c>
      <c r="AP228">
        <f>'2025_Fantasy_Hitters_modified'!Z177</f>
        <v>0.26680161939999902</v>
      </c>
      <c r="AQ228">
        <f>'2025_Fantasy_Hitters_modified'!AA177</f>
        <v>23.214285709999999</v>
      </c>
      <c r="AR228">
        <f>'2025_Fantasy_Hitters_modified'!AB177</f>
        <v>7.5786924939000002</v>
      </c>
    </row>
    <row r="229" spans="1:44" x14ac:dyDescent="0.4">
      <c r="A229" t="str">
        <f>'2025_Fantasy_Hitters_modified'!A20</f>
        <v>ATL</v>
      </c>
      <c r="B229" t="str">
        <f>'2025_Fantasy_Hitters_modified'!B20</f>
        <v>Drake Baldwin</v>
      </c>
      <c r="C229">
        <f>'2025_Fantasy_Hitters_modified'!D20</f>
        <v>113</v>
      </c>
      <c r="D229">
        <f>'2025_Fantasy_Hitters_modified'!E20</f>
        <v>127</v>
      </c>
      <c r="E229" s="5">
        <f>(V229-AVERAGE(V$2:V$229))/AVERAGE(V$2:V$229)*100+100</f>
        <v>21.944057453177209</v>
      </c>
      <c r="F229" s="4">
        <f>E229*1.51744-31.775</f>
        <v>1.5237905417492215</v>
      </c>
      <c r="G229" s="5">
        <f>(Z229-AVERAGE(Z$2:Z$229))/AVERAGE(Z$2:Z$229)*100+100</f>
        <v>16.447843024094624</v>
      </c>
      <c r="H229" s="4">
        <f>G229*0.83285-13.6979</f>
        <v>6.8606261720560724E-4</v>
      </c>
      <c r="I229" s="5">
        <f>(AA229-AVERAGE(AA$2:AA$229))/AVERAGE(AA$2:AA$229)*100+100</f>
        <v>20.821055915134963</v>
      </c>
      <c r="J229" s="5">
        <f>(AB229-AVERAGE(AB$2:AB$229))/AVERAGE(AB$2:AB$229)*100+100</f>
        <v>21.828626136907459</v>
      </c>
      <c r="K229" s="5">
        <f>(AC229-AVERAGE(AC$2:AC$229))/AVERAGE(AC$2:AC$229)*100+100</f>
        <v>22.390388841318838</v>
      </c>
      <c r="L229" s="5">
        <f>(AF229-AVERAGE(AF$2:AF$229))/AVERAGE(AF$2:AF$229)*100+100</f>
        <v>18.650701858154846</v>
      </c>
      <c r="M229" s="5">
        <f>(AI229-AVERAGE(AI$2:AI$229))/AVERAGE(AI$2:AI$229)*100+100</f>
        <v>0</v>
      </c>
      <c r="N229" s="5">
        <f>(AVERAGE(AJ$2:AJ$229)-AJ229)/AVERAGE(AJ$2:AJ$229)*100+100</f>
        <v>200</v>
      </c>
      <c r="O229" s="5">
        <f>(AK229-AVERAGE(AK$2:AK$229))/AVERAGE(AK$2:AK$229)*100+100</f>
        <v>0</v>
      </c>
      <c r="P229" s="5">
        <f>(AL229-AVERAGE(AL$2:AL$229))/AVERAGE(AL$2:AL$229)*100+100</f>
        <v>91.439028202479975</v>
      </c>
      <c r="Q229" s="5">
        <f>(AM229-AVERAGE(AM$2:AM$229))/AVERAGE(AM$2:AM$229)*100+100</f>
        <v>91.296296789260538</v>
      </c>
      <c r="R229" s="5">
        <f>(AN229-AVERAGE(AN$2:AN$229))/AVERAGE(AN$2:AN$229)*100+100</f>
        <v>82.576950915219413</v>
      </c>
      <c r="S229" s="5">
        <f>(AO229-AVERAGE(AO$2:AO$229))/AVERAGE(AO$2:AO$229)*100+100</f>
        <v>86.381077537927354</v>
      </c>
      <c r="T229" s="6">
        <f>(F229*1.5+H229*2.5+I229+J229+K229*1.5+L229+O229*0.75+P229+S229)/11.25</f>
        <v>24.443864345044418</v>
      </c>
      <c r="V229">
        <f>'2025_Fantasy_Hitters_modified'!F20</f>
        <v>25.77787531676617</v>
      </c>
      <c r="W229">
        <f>'2025_Fantasy_Hitters_modified'!G20</f>
        <v>17.949956092016812</v>
      </c>
      <c r="X229">
        <f>'2025_Fantasy_Hitters_modified'!H20</f>
        <v>4.7453906909929469</v>
      </c>
      <c r="Y229">
        <f>'2025_Fantasy_Hitters_modified'!I20</f>
        <v>0</v>
      </c>
      <c r="Z229">
        <f>'2025_Fantasy_Hitters_modified'!J20</f>
        <v>2.9999999999999889</v>
      </c>
      <c r="AA229">
        <f>'2025_Fantasy_Hitters_modified'!K20</f>
        <v>13.729850746268607</v>
      </c>
      <c r="AB229">
        <f>'2025_Fantasy_Hitters_modified'!L20</f>
        <v>13.999999999999879</v>
      </c>
      <c r="AC229" s="2">
        <f>'2025_Fantasy_Hitters_modified'!M20</f>
        <v>10.232089552163</v>
      </c>
      <c r="AD229">
        <f>'2025_Fantasy_Hitters_modified'!N20</f>
        <v>0</v>
      </c>
      <c r="AE229">
        <f>'2025_Fantasy_Hitters_modified'!O20</f>
        <v>30.328358202699999</v>
      </c>
      <c r="AF229">
        <f>'2025_Fantasy_Hitters_modified'!P20</f>
        <v>1.0928416485900099</v>
      </c>
      <c r="AG229">
        <f>'2025_Fantasy_Hitters_modified'!Q20</f>
        <v>0.9999999999999879</v>
      </c>
      <c r="AH229">
        <f>'2025_Fantasy_Hitters_modified'!R20</f>
        <v>0</v>
      </c>
      <c r="AI229">
        <f>'2025_Fantasy_Hitters_modified'!S20</f>
        <v>0</v>
      </c>
      <c r="AJ229">
        <f>'2025_Fantasy_Hitters_modified'!T20</f>
        <v>0</v>
      </c>
      <c r="AK229">
        <f>'2025_Fantasy_Hitters_modified'!U20</f>
        <v>0</v>
      </c>
      <c r="AL229">
        <f>'2025_Fantasy_Hitters_modified'!V20</f>
        <v>0.22812279041385991</v>
      </c>
      <c r="AM229">
        <f>'2025_Fantasy_Hitters_modified'!W20</f>
        <v>0.29865718793967749</v>
      </c>
      <c r="AN229">
        <f>'2025_Fantasy_Hitters_modified'!X20</f>
        <v>0.34903307499117397</v>
      </c>
      <c r="AO229">
        <f>'2025_Fantasy_Hitters_modified'!Y20</f>
        <v>0.64769026293085141</v>
      </c>
      <c r="AP229">
        <f>'2025_Fantasy_Hitters_modified'!Z20</f>
        <v>0.28235294100000002</v>
      </c>
      <c r="AQ229">
        <f>'2025_Fantasy_Hitters_modified'!AA20</f>
        <v>23.880597009999999</v>
      </c>
      <c r="AR229">
        <f>'2025_Fantasy_Hitters_modified'!AB20</f>
        <v>8.0567634268999999</v>
      </c>
    </row>
  </sheetData>
  <sortState xmlns:xlrd2="http://schemas.microsoft.com/office/spreadsheetml/2017/richdata2" ref="A2:AR229">
    <sortCondition descending="1" ref="T2:T2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2025_Fantasy_Hitters_modified</vt:lpstr>
      <vt:lpstr>Fantasy 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張書綸</cp:lastModifiedBy>
  <dcterms:created xsi:type="dcterms:W3CDTF">2025-02-04T17:51:57Z</dcterms:created>
  <dcterms:modified xsi:type="dcterms:W3CDTF">2025-03-07T04:06:14Z</dcterms:modified>
</cp:coreProperties>
</file>